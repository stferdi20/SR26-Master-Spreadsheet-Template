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AC&amp;M" sheetId="15" state="visible" r:id="rId15"/>
    <sheet xmlns:r="http://schemas.openxmlformats.org/officeDocument/2006/relationships" name="GCE" sheetId="16" state="visible" r:id="rId16"/>
    <sheet xmlns:r="http://schemas.openxmlformats.org/officeDocument/2006/relationships" name="Education" sheetId="17" state="visible" r:id="rId17"/>
    <sheet xmlns:r="http://schemas.openxmlformats.org/officeDocument/2006/relationships" name="SaSS" sheetId="18" state="visible" r:id="rId18"/>
    <sheet xmlns:r="http://schemas.openxmlformats.org/officeDocument/2006/relationships" name="Indigenous" sheetId="19" state="visible" r:id="rId19"/>
    <sheet xmlns:r="http://schemas.openxmlformats.org/officeDocument/2006/relationships" name="L&amp;R" sheetId="20" state="visible" r:id="rId20"/>
    <sheet xmlns:r="http://schemas.openxmlformats.org/officeDocument/2006/relationships" name="A1. Data scoring" sheetId="21" state="visible" r:id="rId21"/>
    <sheet xmlns:r="http://schemas.openxmlformats.org/officeDocument/2006/relationships" name="0.5 Target Check" sheetId="22" state="visible" r:id="rId22"/>
    <sheet xmlns:r="http://schemas.openxmlformats.org/officeDocument/2006/relationships" name="T1. Manual target review" sheetId="23" state="visible" r:id="rId23"/>
    <sheet xmlns:r="http://schemas.openxmlformats.org/officeDocument/2006/relationships" name="T2. Single target review" sheetId="24" state="visible" r:id="rId24"/>
    <sheet xmlns:r="http://schemas.openxmlformats.org/officeDocument/2006/relationships" name="Request wording log" sheetId="25" state="visible" r:id="rId25"/>
    <sheet xmlns:r="http://schemas.openxmlformats.org/officeDocument/2006/relationships" name="Highlighted stories" sheetId="26" state="visible" r:id="rId26"/>
    <sheet xmlns:r="http://schemas.openxmlformats.org/officeDocument/2006/relationships" name="Evidence register" sheetId="27" state="visible" r:id="rId27"/>
    <sheet xmlns:r="http://schemas.openxmlformats.org/officeDocument/2006/relationships" name="Issues log" sheetId="28" state="visible" r:id="rId28"/>
    <sheet xmlns:r="http://schemas.openxmlformats.org/officeDocument/2006/relationships" name="Lists" sheetId="29" state="hidden" r:id="rId29"/>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matrix'!$A$6:$AC$87</definedName>
    <definedName name="_xlnm._FilterDatabase" localSheetId="6" hidden="1">'3c. RASCI triangulation'!$B$5:$K$53</definedName>
    <definedName name="_xlnm._FilterDatabase" localSheetId="20" hidden="1">'A1. Data scoring'!$B$10:$AK$238</definedName>
    <definedName name="_xlnm._FilterDatabase" localSheetId="22"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7">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6" fillId="0" borderId="0" pivotButton="0" quotePrefix="0" xfId="0"/>
    <xf numFmtId="9" fontId="26"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v0.7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6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28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Faculties (pilot), 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Jan, final 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AC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outlineLevel="1" width="13" customWidth="1" min="23" max="23"/>
    <col outlineLevel="1" width="13" customWidth="1" min="24" max="24"/>
    <col outlineLevel="1" width="13" customWidth="1" min="25" max="25"/>
    <col outlineLevel="1" width="13" customWidth="1" min="26" max="26"/>
    <col outlineLevel="1" width="13" customWidth="1" min="27" max="27"/>
    <col outlineLevel="1" width="13" customWidth="1" min="28" max="28"/>
    <col outlineLevel="1" width="13" customWidth="1" min="29" max="29"/>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Gerard</t>
        </is>
      </c>
      <c r="V3" s="22" t="inlineStr">
        <is>
          <t>Director</t>
        </is>
      </c>
      <c r="W3" s="22" t="inlineStr">
        <is>
          <t>Director</t>
        </is>
      </c>
      <c r="X3" s="22" t="inlineStr">
        <is>
          <t>Rose</t>
        </is>
      </c>
      <c r="Y3" s="22" t="inlineStr">
        <is>
          <t>Gerard</t>
        </is>
      </c>
      <c r="Z3" s="22" t="inlineStr">
        <is>
          <t>Katie</t>
        </is>
      </c>
      <c r="AA3" s="22" t="inlineStr">
        <is>
          <t>Rose</t>
        </is>
      </c>
      <c r="AB3" s="22" t="inlineStr">
        <is>
          <t>Gerard</t>
        </is>
      </c>
      <c r="AC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 (consolidated)</t>
        </is>
      </c>
      <c r="W4" s="22" t="inlineStr">
        <is>
          <t>Chancellery</t>
        </is>
      </c>
      <c r="X4" s="22" t="inlineStr">
        <is>
          <t>Chancellery</t>
        </is>
      </c>
      <c r="Y4" s="22" t="inlineStr">
        <is>
          <t>Chancellery</t>
        </is>
      </c>
      <c r="Z4" s="22" t="inlineStr">
        <is>
          <t>Chancellery</t>
        </is>
      </c>
      <c r="AA4" s="22" t="inlineStr">
        <is>
          <t>Chancellery</t>
        </is>
      </c>
      <c r="AB4" s="22" t="inlineStr">
        <is>
          <t>Chancellery</t>
        </is>
      </c>
      <c r="AC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4" t="inlineStr">
        <is>
          <t>Chancellery (all)</t>
        </is>
      </c>
      <c r="W6" s="25" t="inlineStr">
        <is>
          <t>MRE – Research</t>
        </is>
      </c>
      <c r="X6" s="25" t="inlineStr">
        <is>
          <t>AC&amp;M – Advancement, Communication and Marketing</t>
        </is>
      </c>
      <c r="Y6" s="25" t="inlineStr">
        <is>
          <t>GCE – Global, Culture and Engagement</t>
        </is>
      </c>
      <c r="Z6" s="25" t="inlineStr">
        <is>
          <t>Education – Chancellery Education</t>
        </is>
      </c>
      <c r="AA6" s="25" t="inlineStr">
        <is>
          <t>SaSS – Student and Scholarly Services</t>
        </is>
      </c>
      <c r="AB6" s="25" t="inlineStr">
        <is>
          <t>Indigenous – Chancellery Indigenous</t>
        </is>
      </c>
      <c r="AC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inlineStr">
        <is>
          <t>A and R</t>
        </is>
      </c>
      <c r="W10" s="30" t="n"/>
      <c r="X10" s="30" t="n"/>
      <c r="Y10" s="30" t="n"/>
      <c r="Z10" s="30" t="inlineStr">
        <is>
          <t>R</t>
        </is>
      </c>
      <c r="AA10" s="30" t="n"/>
      <c r="AB10" s="30" t="n"/>
      <c r="AC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inlineStr">
        <is>
          <t>A and R</t>
        </is>
      </c>
      <c r="W11" s="30" t="n"/>
      <c r="X11" s="30" t="n"/>
      <c r="Y11" s="30" t="n"/>
      <c r="Z11" s="30" t="inlineStr">
        <is>
          <t>R</t>
        </is>
      </c>
      <c r="AA11" s="30" t="n"/>
      <c r="AB11" s="30" t="n"/>
      <c r="AC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n"/>
      <c r="K12" s="30" t="n"/>
      <c r="L12" s="30" t="n"/>
      <c r="M12" s="30" t="n"/>
      <c r="N12" s="30" t="inlineStr">
        <is>
          <t>A and R</t>
        </is>
      </c>
      <c r="O12" s="30" t="n"/>
      <c r="P12" s="30" t="inlineStr">
        <is>
          <t>R</t>
        </is>
      </c>
      <c r="Q12" s="30" t="n"/>
      <c r="R12" s="30" t="n"/>
      <c r="S12" s="30" t="n"/>
      <c r="T12" s="30" t="n"/>
      <c r="U12" s="30" t="n"/>
      <c r="V12" s="30" t="inlineStr">
        <is>
          <t>A and R</t>
        </is>
      </c>
      <c r="W12" s="30" t="n"/>
      <c r="X12" s="30" t="n"/>
      <c r="Y12" s="30" t="n"/>
      <c r="Z12" s="30" t="n"/>
      <c r="AA12" s="30" t="inlineStr">
        <is>
          <t>R</t>
        </is>
      </c>
      <c r="AB12" s="30" t="n"/>
      <c r="AC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n"/>
      <c r="S13" s="30" t="n"/>
      <c r="T13" s="30" t="n"/>
      <c r="U13" s="30" t="n"/>
      <c r="V13" s="30" t="inlineStr">
        <is>
          <t>A and R</t>
        </is>
      </c>
      <c r="W13" s="30" t="n"/>
      <c r="X13" s="30" t="n"/>
      <c r="Y13" s="30" t="n"/>
      <c r="Z13" s="30" t="n"/>
      <c r="AA13" s="30" t="inlineStr">
        <is>
          <t>R</t>
        </is>
      </c>
      <c r="AB13" s="30" t="n"/>
      <c r="AC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n"/>
      <c r="X16" s="30" t="n"/>
      <c r="Y16" s="30" t="n"/>
      <c r="Z16" s="30" t="n"/>
      <c r="AA16" s="30" t="n"/>
      <c r="AB16" s="30" t="n"/>
      <c r="AC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inlineStr">
        <is>
          <t>A and R</t>
        </is>
      </c>
      <c r="J17" s="30" t="inlineStr">
        <is>
          <t>R</t>
        </is>
      </c>
      <c r="K17" s="30" t="inlineStr">
        <is>
          <t>R</t>
        </is>
      </c>
      <c r="L17" s="30" t="inlineStr">
        <is>
          <t>R</t>
        </is>
      </c>
      <c r="M17" s="30" t="inlineStr">
        <is>
          <t>R</t>
        </is>
      </c>
      <c r="N17" s="30" t="n"/>
      <c r="O17" s="30" t="n"/>
      <c r="P17" s="30" t="n"/>
      <c r="Q17" s="30" t="n"/>
      <c r="R17" s="30" t="n"/>
      <c r="S17" s="30" t="n"/>
      <c r="T17" s="30" t="n"/>
      <c r="U17" s="30" t="n"/>
      <c r="V17" s="30" t="n"/>
      <c r="W17" s="30" t="n"/>
      <c r="X17" s="30" t="n"/>
      <c r="Y17" s="30" t="n"/>
      <c r="Z17" s="30" t="n"/>
      <c r="AA17" s="30" t="n"/>
      <c r="AB17" s="30" t="n"/>
      <c r="AC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inlineStr">
        <is>
          <t>A and R</t>
        </is>
      </c>
      <c r="J18" s="30" t="inlineStr">
        <is>
          <t>R</t>
        </is>
      </c>
      <c r="K18" s="30" t="inlineStr">
        <is>
          <t>R</t>
        </is>
      </c>
      <c r="L18" s="30" t="inlineStr">
        <is>
          <t>R</t>
        </is>
      </c>
      <c r="M18" s="30" t="inlineStr">
        <is>
          <t>R</t>
        </is>
      </c>
      <c r="N18" s="30" t="n"/>
      <c r="O18" s="30" t="n"/>
      <c r="P18" s="30" t="n"/>
      <c r="Q18" s="30" t="n"/>
      <c r="R18" s="30" t="n"/>
      <c r="S18" s="30" t="n"/>
      <c r="T18" s="30" t="n"/>
      <c r="U18" s="30" t="n"/>
      <c r="V18" s="30" t="n"/>
      <c r="W18" s="30" t="n"/>
      <c r="X18" s="30" t="n"/>
      <c r="Y18" s="30" t="n"/>
      <c r="Z18" s="30" t="n"/>
      <c r="AA18" s="30" t="n"/>
      <c r="AB18" s="30" t="n"/>
      <c r="AC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inlineStr">
        <is>
          <t>A and R</t>
        </is>
      </c>
      <c r="J19" s="30" t="inlineStr">
        <is>
          <t>R</t>
        </is>
      </c>
      <c r="K19" s="30" t="inlineStr">
        <is>
          <t>R</t>
        </is>
      </c>
      <c r="L19" s="30" t="inlineStr">
        <is>
          <t>R</t>
        </is>
      </c>
      <c r="M19" s="30" t="inlineStr">
        <is>
          <t>R</t>
        </is>
      </c>
      <c r="N19" s="30" t="n"/>
      <c r="O19" s="30" t="n"/>
      <c r="P19" s="30" t="n"/>
      <c r="Q19" s="30" t="n"/>
      <c r="R19" s="30" t="n"/>
      <c r="S19" s="30" t="n"/>
      <c r="T19" s="30" t="n"/>
      <c r="U19" s="30" t="n"/>
      <c r="V19" s="30" t="n"/>
      <c r="W19" s="30" t="n"/>
      <c r="X19" s="30" t="n"/>
      <c r="Y19" s="30" t="n"/>
      <c r="Z19" s="30" t="n"/>
      <c r="AA19" s="30" t="n"/>
      <c r="AB19" s="30" t="n"/>
      <c r="AC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inlineStr">
        <is>
          <t>A and R</t>
        </is>
      </c>
      <c r="W21" s="30" t="n"/>
      <c r="X21" s="30" t="inlineStr">
        <is>
          <t>R</t>
        </is>
      </c>
      <c r="Y21" s="30" t="n"/>
      <c r="Z21" s="30" t="n"/>
      <c r="AA21" s="30" t="n"/>
      <c r="AB21" s="30" t="n"/>
      <c r="AC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A and R</t>
        </is>
      </c>
      <c r="W22" s="30" t="inlineStr">
        <is>
          <t>R (quant)</t>
        </is>
      </c>
      <c r="X22" s="30" t="n"/>
      <c r="Y22" s="30" t="n"/>
      <c r="Z22" s="30" t="n"/>
      <c r="AA22" s="30" t="n"/>
      <c r="AB22" s="30" t="n"/>
      <c r="AC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A and R</t>
        </is>
      </c>
      <c r="W23" s="30" t="inlineStr">
        <is>
          <t>R</t>
        </is>
      </c>
      <c r="X23" s="30" t="n"/>
      <c r="Y23" s="30" t="n"/>
      <c r="Z23" s="30" t="n"/>
      <c r="AA23" s="30" t="n"/>
      <c r="AB23" s="30" t="n"/>
      <c r="AC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n"/>
      <c r="X24" s="30" t="n"/>
      <c r="Y24" s="30" t="n"/>
      <c r="Z24" s="30" t="n"/>
      <c r="AA24" s="30" t="n"/>
      <c r="AB24" s="30" t="n"/>
      <c r="AC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n"/>
      <c r="S26" s="30" t="n"/>
      <c r="T26" s="30" t="n"/>
      <c r="U26" s="30" t="n"/>
      <c r="V26" s="30" t="inlineStr">
        <is>
          <t>A and R</t>
        </is>
      </c>
      <c r="W26" s="30" t="inlineStr">
        <is>
          <t>R</t>
        </is>
      </c>
      <c r="X26" s="30" t="n"/>
      <c r="Y26" s="30" t="n"/>
      <c r="Z26" s="30" t="n"/>
      <c r="AA26" s="30" t="n"/>
      <c r="AB26" s="30" t="n"/>
      <c r="AC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A and R</t>
        </is>
      </c>
      <c r="W27" s="30" t="inlineStr">
        <is>
          <t>R (quant)</t>
        </is>
      </c>
      <c r="X27" s="30" t="n"/>
      <c r="Y27" s="30" t="n"/>
      <c r="Z27" s="30" t="n"/>
      <c r="AA27" s="30" t="n"/>
      <c r="AB27" s="30" t="n"/>
      <c r="AC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n"/>
      <c r="S28" s="30" t="n"/>
      <c r="T28" s="30" t="n"/>
      <c r="U28" s="30" t="n"/>
      <c r="V28" s="30" t="inlineStr">
        <is>
          <t>A and R</t>
        </is>
      </c>
      <c r="W28" s="30" t="inlineStr">
        <is>
          <t>R</t>
        </is>
      </c>
      <c r="X28" s="30" t="n"/>
      <c r="Y28" s="30" t="n"/>
      <c r="Z28" s="30" t="n"/>
      <c r="AA28" s="30" t="n"/>
      <c r="AB28" s="30" t="n"/>
      <c r="AC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n"/>
      <c r="S29" s="30" t="n"/>
      <c r="T29" s="30" t="n"/>
      <c r="U29" s="30" t="n"/>
      <c r="V29" s="30" t="inlineStr">
        <is>
          <t>A and R</t>
        </is>
      </c>
      <c r="W29" s="30" t="inlineStr">
        <is>
          <t>R</t>
        </is>
      </c>
      <c r="X29" s="30" t="n"/>
      <c r="Y29" s="30" t="n"/>
      <c r="Z29" s="30" t="n"/>
      <c r="AA29" s="30" t="n"/>
      <c r="AB29" s="30" t="n"/>
      <c r="AC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n"/>
      <c r="X33" s="30" t="n"/>
      <c r="Y33" s="30" t="n"/>
      <c r="Z33" s="30" t="n"/>
      <c r="AA33" s="30" t="n"/>
      <c r="AB33" s="30" t="n"/>
      <c r="AC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n"/>
      <c r="X34" s="30" t="n"/>
      <c r="Y34" s="30" t="n"/>
      <c r="Z34" s="30" t="n"/>
      <c r="AA34" s="30" t="n"/>
      <c r="AB34" s="30" t="n"/>
      <c r="AC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n"/>
      <c r="X35" s="30" t="n"/>
      <c r="Y35" s="30" t="n"/>
      <c r="Z35" s="30" t="n"/>
      <c r="AA35" s="30" t="n"/>
      <c r="AB35" s="30" t="n"/>
      <c r="AC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n"/>
      <c r="S37" s="30" t="n"/>
      <c r="T37" s="30" t="n"/>
      <c r="U37" s="30" t="n"/>
      <c r="V37" s="30" t="inlineStr">
        <is>
          <t>A and R</t>
        </is>
      </c>
      <c r="W37" s="30" t="n"/>
      <c r="X37" s="30" t="inlineStr">
        <is>
          <t>R</t>
        </is>
      </c>
      <c r="Y37" s="30" t="n"/>
      <c r="Z37" s="30" t="n"/>
      <c r="AA37" s="30" t="n"/>
      <c r="AB37" s="30" t="n"/>
      <c r="AC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n"/>
      <c r="S39" s="30" t="n"/>
      <c r="T39" s="30" t="n"/>
      <c r="U39" s="30" t="n"/>
      <c r="V39" s="30" t="inlineStr">
        <is>
          <t>A and R</t>
        </is>
      </c>
      <c r="W39" s="30" t="n"/>
      <c r="X39" s="30" t="inlineStr">
        <is>
          <t>R</t>
        </is>
      </c>
      <c r="Y39" s="30" t="n"/>
      <c r="Z39" s="30" t="n"/>
      <c r="AA39" s="30" t="n"/>
      <c r="AB39" s="30" t="n"/>
      <c r="AC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n"/>
      <c r="X41" s="30" t="n"/>
      <c r="Y41" s="30" t="n"/>
      <c r="Z41" s="30" t="n"/>
      <c r="AA41" s="30" t="n"/>
      <c r="AB41" s="30" t="n"/>
      <c r="AC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n"/>
      <c r="X44" s="30" t="n"/>
      <c r="Y44" s="30" t="n"/>
      <c r="Z44" s="30" t="n"/>
      <c r="AA44" s="30" t="n"/>
      <c r="AB44" s="30" t="n"/>
      <c r="AC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n"/>
      <c r="X45" s="30" t="n"/>
      <c r="Y45" s="30" t="n"/>
      <c r="Z45" s="30" t="n"/>
      <c r="AA45" s="30" t="n"/>
      <c r="AB45" s="30" t="n"/>
      <c r="AC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n"/>
      <c r="X46" s="30" t="n"/>
      <c r="Y46" s="30" t="n"/>
      <c r="Z46" s="30" t="n"/>
      <c r="AA46" s="30" t="n"/>
      <c r="AB46" s="30" t="n"/>
      <c r="AC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n"/>
      <c r="X47" s="30" t="n"/>
      <c r="Y47" s="30" t="n"/>
      <c r="Z47" s="30" t="n"/>
      <c r="AA47" s="30" t="n"/>
      <c r="AB47" s="30" t="n"/>
      <c r="AC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A and R</t>
        </is>
      </c>
      <c r="W49" s="30" t="inlineStr">
        <is>
          <t>R</t>
        </is>
      </c>
      <c r="X49" s="30" t="n"/>
      <c r="Y49" s="30" t="n"/>
      <c r="Z49" s="30" t="n"/>
      <c r="AA49" s="30" t="n"/>
      <c r="AB49" s="30" t="n"/>
      <c r="AC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n"/>
      <c r="X50" s="30" t="n"/>
      <c r="Y50" s="30" t="n"/>
      <c r="Z50" s="30" t="n"/>
      <c r="AA50" s="30" t="n"/>
      <c r="AB50" s="30" t="n"/>
      <c r="AC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n"/>
      <c r="X51" s="30" t="n"/>
      <c r="Y51" s="30" t="n"/>
      <c r="Z51" s="30" t="n"/>
      <c r="AA51" s="30" t="n"/>
      <c r="AB51" s="30" t="n"/>
      <c r="AC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n"/>
      <c r="X54" s="30" t="n"/>
      <c r="Y54" s="30" t="n"/>
      <c r="Z54" s="30" t="n"/>
      <c r="AA54" s="30" t="n"/>
      <c r="AB54" s="30" t="n"/>
      <c r="AC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n"/>
      <c r="X55" s="30" t="n"/>
      <c r="Y55" s="30" t="n"/>
      <c r="Z55" s="30" t="n"/>
      <c r="AA55" s="30" t="n"/>
      <c r="AB55" s="30" t="n"/>
      <c r="AC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n"/>
      <c r="X59" s="30" t="n"/>
      <c r="Y59" s="30" t="n"/>
      <c r="Z59" s="30" t="n"/>
      <c r="AA59" s="30" t="n"/>
      <c r="AB59" s="30" t="n"/>
      <c r="AC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n"/>
      <c r="X60" s="30" t="n"/>
      <c r="Y60" s="30" t="n"/>
      <c r="Z60" s="30" t="n"/>
      <c r="AA60" s="30" t="n"/>
      <c r="AB60" s="30" t="n"/>
      <c r="AC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n"/>
      <c r="X61" s="30" t="n"/>
      <c r="Y61" s="30" t="n"/>
      <c r="Z61" s="30" t="n"/>
      <c r="AA61" s="30" t="n"/>
      <c r="AB61" s="30" t="n"/>
      <c r="AC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n"/>
      <c r="X62" s="30" t="n"/>
      <c r="Y62" s="30" t="n"/>
      <c r="Z62" s="30" t="n"/>
      <c r="AA62" s="30" t="n"/>
      <c r="AB62" s="30" t="n"/>
      <c r="AC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n"/>
      <c r="X65" s="30" t="n"/>
      <c r="Y65" s="30" t="n"/>
      <c r="Z65" s="30" t="n"/>
      <c r="AA65" s="30" t="n"/>
      <c r="AB65" s="30" t="n"/>
      <c r="AC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n"/>
      <c r="X67" s="30" t="n"/>
      <c r="Y67" s="30" t="n"/>
      <c r="Z67" s="30" t="n"/>
      <c r="AA67" s="30" t="n"/>
      <c r="AB67" s="30" t="n"/>
      <c r="AC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n"/>
      <c r="X70" s="30" t="n"/>
      <c r="Y70" s="30" t="n"/>
      <c r="Z70" s="30" t="n"/>
      <c r="AA70" s="30" t="n"/>
      <c r="AB70" s="30" t="n"/>
      <c r="AC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n"/>
      <c r="X72" s="30" t="n"/>
      <c r="Y72" s="30" t="n"/>
      <c r="Z72" s="30" t="n"/>
      <c r="AA72" s="30" t="n"/>
      <c r="AB72" s="30" t="n"/>
      <c r="AC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n"/>
      <c r="X73" s="30" t="n"/>
      <c r="Y73" s="30" t="n"/>
      <c r="Z73" s="30" t="n"/>
      <c r="AA73" s="30" t="n"/>
      <c r="AB73" s="30" t="n"/>
      <c r="AC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n"/>
      <c r="X76" s="30" t="n"/>
      <c r="Y76" s="30" t="n"/>
      <c r="Z76" s="30" t="n"/>
      <c r="AA76" s="30" t="n"/>
      <c r="AB76" s="30" t="n"/>
      <c r="AC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n"/>
      <c r="R79" s="30" t="inlineStr">
        <is>
          <t>R (quant)</t>
        </is>
      </c>
      <c r="S79" s="30" t="n"/>
      <c r="T79" s="30" t="n"/>
      <c r="U79" s="30" t="n"/>
      <c r="V79" s="30" t="n"/>
      <c r="W79" s="30" t="n"/>
      <c r="X79" s="30" t="n"/>
      <c r="Y79" s="30" t="n"/>
      <c r="Z79" s="30" t="n"/>
      <c r="AA79" s="30" t="n"/>
      <c r="AB79" s="30" t="n"/>
      <c r="AC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n"/>
      <c r="R80" s="30" t="inlineStr">
        <is>
          <t>R</t>
        </is>
      </c>
      <c r="S80" s="30" t="n"/>
      <c r="T80" s="30" t="n"/>
      <c r="U80" s="30" t="n"/>
      <c r="V80" s="30" t="n"/>
      <c r="W80" s="30" t="n"/>
      <c r="X80" s="30" t="n"/>
      <c r="Y80" s="30" t="n"/>
      <c r="Z80" s="30" t="n"/>
      <c r="AA80" s="30" t="n"/>
      <c r="AB80" s="30" t="n"/>
      <c r="AC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inlineStr">
        <is>
          <t>A and R</t>
        </is>
      </c>
      <c r="W84" s="30" t="n"/>
      <c r="X84" s="30" t="n"/>
      <c r="Y84" s="30" t="inlineStr">
        <is>
          <t>R</t>
        </is>
      </c>
      <c r="Z84" s="30" t="n"/>
      <c r="AA84" s="30" t="n"/>
      <c r="AB84" s="30" t="inlineStr">
        <is>
          <t>R</t>
        </is>
      </c>
      <c r="AC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n"/>
      <c r="X85" s="30" t="n"/>
      <c r="Y85" s="30" t="n"/>
      <c r="Z85" s="30" t="n"/>
      <c r="AA85" s="30" t="n"/>
      <c r="AB85" s="30" t="n"/>
      <c r="AC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inlineStr">
        <is>
          <t>A and R</t>
        </is>
      </c>
      <c r="W86" s="30" t="n"/>
      <c r="X86" s="30" t="inlineStr">
        <is>
          <t>R</t>
        </is>
      </c>
      <c r="Y86" s="30" t="inlineStr">
        <is>
          <t>R</t>
        </is>
      </c>
      <c r="Z86" s="30" t="inlineStr">
        <is>
          <t>R</t>
        </is>
      </c>
      <c r="AA86" s="30" t="n"/>
      <c r="AB86" s="30" t="n"/>
      <c r="AC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inlineStr">
        <is>
          <t>A and R</t>
        </is>
      </c>
      <c r="J87" s="30" t="inlineStr">
        <is>
          <t>R</t>
        </is>
      </c>
      <c r="K87" s="30" t="inlineStr">
        <is>
          <t>R</t>
        </is>
      </c>
      <c r="L87" s="30" t="inlineStr">
        <is>
          <t>R</t>
        </is>
      </c>
      <c r="M87" s="30" t="inlineStr">
        <is>
          <t>R</t>
        </is>
      </c>
      <c r="N87" s="30" t="inlineStr">
        <is>
          <t>A and R</t>
        </is>
      </c>
      <c r="O87" s="30" t="n"/>
      <c r="P87" s="30" t="inlineStr">
        <is>
          <t>R</t>
        </is>
      </c>
      <c r="Q87" s="30" t="inlineStr">
        <is>
          <t>R</t>
        </is>
      </c>
      <c r="R87" s="30" t="n"/>
      <c r="S87" s="30" t="inlineStr">
        <is>
          <t>R</t>
        </is>
      </c>
      <c r="T87" s="30" t="inlineStr">
        <is>
          <t>R</t>
        </is>
      </c>
      <c r="U87" s="30" t="n"/>
      <c r="V87" s="30" t="n"/>
      <c r="W87" s="30" t="n"/>
      <c r="X87" s="30" t="n"/>
      <c r="Y87" s="30" t="n"/>
      <c r="Z87" s="30" t="n"/>
      <c r="AA87" s="30" t="n"/>
      <c r="AB87" s="30" t="n"/>
      <c r="AC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c r="Z90" s="33">
        <f>Z6</f>
        <v/>
      </c>
      <c r="AA90" s="33">
        <f>AA6</f>
        <v/>
      </c>
      <c r="AB90" s="33">
        <f>AB6</f>
        <v/>
      </c>
      <c r="AC90" s="33">
        <f>AC6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c r="Z91" s="35">
        <f>COUNTIF(Z10:Z87,$F91)</f>
        <v/>
      </c>
      <c r="AA91" s="35">
        <f>COUNTIF(AA10:AA87,$F91)</f>
        <v/>
      </c>
      <c r="AB91" s="35">
        <f>COUNTIF(AB10:AB87,$F91)</f>
        <v/>
      </c>
      <c r="AC91" s="35">
        <f>COUNTIF(AC10:AC87,$F91)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c r="Z92" s="35">
        <f>COUNTIF(Z10:Z87,$F92)</f>
        <v/>
      </c>
      <c r="AA92" s="35">
        <f>COUNTIF(AA10:AA87,$F92)</f>
        <v/>
      </c>
      <c r="AB92" s="35">
        <f>COUNTIF(AB10:AB87,$F92)</f>
        <v/>
      </c>
      <c r="AC92" s="35">
        <f>COUNTIF(AC10:AC87,$F92)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c r="Z93" s="35">
        <f>COUNTIF(Z10:Z87,$F93)</f>
        <v/>
      </c>
      <c r="AA93" s="35">
        <f>COUNTIF(AA10:AA87,$F93)</f>
        <v/>
      </c>
      <c r="AB93" s="35">
        <f>COUNTIF(AB10:AB87,$F93)</f>
        <v/>
      </c>
      <c r="AC93" s="35">
        <f>COUNTIF(AC10:AC87,$F93)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c r="Z94" s="35">
        <f>COUNTIF(Z10:Z87,$F94)</f>
        <v/>
      </c>
      <c r="AA94" s="35">
        <f>COUNTIF(AA10:AA87,$F94)</f>
        <v/>
      </c>
      <c r="AB94" s="35">
        <f>COUNTIF(AB10:AB87,$F94)</f>
        <v/>
      </c>
      <c r="AC94" s="35">
        <f>COUNTIF(AC10:AC87,$F94)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c r="Z95" s="35">
        <f>COUNTIF(Z10:Z87,$F95)</f>
        <v/>
      </c>
      <c r="AA95" s="35">
        <f>COUNTIF(AA10:AA87,$F95)</f>
        <v/>
      </c>
      <c r="AB95" s="35">
        <f>COUNTIF(AB10:AB87,$F95)</f>
        <v/>
      </c>
      <c r="AC95" s="35">
        <f>COUNTIF(AC10:AC87,$F95)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c r="Z96" s="35">
        <f>COUNTIF(Z10:Z87,$F96)</f>
        <v/>
      </c>
      <c r="AA96" s="35">
        <f>COUNTIF(AA10:AA87,$F96)</f>
        <v/>
      </c>
      <c r="AB96" s="35">
        <f>COUNTIF(AB10:AB87,$F96)</f>
        <v/>
      </c>
      <c r="AC96" s="35">
        <f>COUNTIF(AC10:AC87,$F96)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c r="Z97" s="35">
        <f>COUNTIF(Z10:Z87,$F97)</f>
        <v/>
      </c>
      <c r="AA97" s="35">
        <f>COUNTIF(AA10:AA87,$F97)</f>
        <v/>
      </c>
      <c r="AB97" s="35">
        <f>COUNTIF(AB10:AB87,$F97)</f>
        <v/>
      </c>
      <c r="AC97" s="35">
        <f>COUNTIF(AC10:AC87,$F97)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c r="Z98" s="35">
        <f>COUNTIF(Z10:Z87,$F98)</f>
        <v/>
      </c>
      <c r="AA98" s="35">
        <f>COUNTIF(AA10:AA87,$F98)</f>
        <v/>
      </c>
      <c r="AB98" s="35">
        <f>COUNTIF(AB10:AB87,$F98)</f>
        <v/>
      </c>
      <c r="AC98" s="35">
        <f>COUNTIF(AC10:AC87,$F98)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c r="Z99" s="23">
        <f>Z91+Z92</f>
        <v/>
      </c>
      <c r="AA99" s="23">
        <f>AA91+AA92</f>
        <v/>
      </c>
      <c r="AB99" s="23">
        <f>AB91+AB92</f>
        <v/>
      </c>
      <c r="AC99" s="23">
        <f>AC91+AC92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c r="Z100" s="23">
        <f>Z92+Z93+Z94+Z95</f>
        <v/>
      </c>
      <c r="AA100" s="23">
        <f>AA92+AA93+AA94+AA95</f>
        <v/>
      </c>
      <c r="AB100" s="23">
        <f>AB92+AB93+AB94+AB95</f>
        <v/>
      </c>
      <c r="AC100" s="23">
        <f>AC92+AC93+AC94+AC95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c r="Z101" s="23">
        <f>SUM(Z91:Z98)</f>
        <v/>
      </c>
      <c r="AA101" s="23">
        <f>SUM(AA91:AA98)</f>
        <v/>
      </c>
      <c r="AB101" s="23">
        <f>SUM(AB91:AB98)</f>
        <v/>
      </c>
      <c r="AC101" s="23">
        <f>SUM(AC91:AC98)</f>
        <v/>
      </c>
    </row>
  </sheetData>
  <autoFilter ref="A6:AC87"/>
  <mergeCells count="2">
    <mergeCell ref="B2:G2"/>
    <mergeCell ref="I5:AC5"/>
  </mergeCells>
  <conditionalFormatting sqref="I10:AC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AC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98"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ABP – Architecture, Building and Planning: A and R
ARTS – Arts: A and R
Education – Chancellery Education: A and R
FBE – Business and Economics: A and R
⚠ Academic Board: Support
SCI – Science: A and R
SaSS – Student and Scholarly Services: Support</t>
        </is>
      </c>
      <c r="F6" s="8" t="inlineStr">
        <is>
          <t>ABP – Architecture, Building and Planning: R
ARTS – Arts: R
CI&amp;S – Sustainability Strategy: R
Education – Chancellery Education: R
FBE – Business and Economics: R
SCI – Science: R</t>
        </is>
      </c>
      <c r="G6" s="8" t="inlineStr">
        <is>
          <t>ABP – Architecture, Building and Planning
ARTS – Arts
Education – Chancellery Education
FBE – Business and Economics
SCI – Science</t>
        </is>
      </c>
      <c r="H6" s="8" t="inlineStr"/>
      <c r="I6" s="43" t="inlineStr">
        <is>
          <t>CI&amp;S – Sustainability Strategy</t>
        </is>
      </c>
      <c r="J6" s="8" t="inlineStr">
        <is>
          <t>Consistent with SR25. New areas added in SR26.</t>
        </is>
      </c>
      <c r="K6" s="8" t="inlineStr"/>
    </row>
    <row r="7" ht="84"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ABP – Architecture, Building and Planning: A and R
ARTS – Arts: A and R
Education – Chancellery Education: A and R
FBE – Business and Economics: A and R
SCI – Science: A and R</t>
        </is>
      </c>
      <c r="F7" s="8" t="inlineStr">
        <is>
          <t>ABP – Architecture, Building and Planning: R
ARTS – Arts: R
CI&amp;S – Sustainability Strategy: R
Education – Chancellery Education: R
FBE – Business and Economics: R
SCI – Science: R</t>
        </is>
      </c>
      <c r="G7" s="8" t="inlineStr">
        <is>
          <t>ABP – Architecture, Building and Planning
ARTS – Arts
Education – Chancellery Education
FBE – Business and Economics
SCI – Science</t>
        </is>
      </c>
      <c r="H7" s="8" t="inlineStr"/>
      <c r="I7" s="43" t="inlineStr">
        <is>
          <t>CI&amp;S – Sustainability Strategy</t>
        </is>
      </c>
      <c r="J7" s="8" t="inlineStr">
        <is>
          <t>Consistent with SR25. New areas added in SR26.</t>
        </is>
      </c>
      <c r="K7" s="8" t="inlineStr"/>
    </row>
    <row r="8" ht="84"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ABP – Architecture, Building and Planning: A and R
ARTS – Arts: A and R
ESG – Campus Operations &amp; Sustainability Delivery: R
FBE – Business and Economics: A and R
SCI – Science: A and R
SaSS – Student and Scholarly Services: R</t>
        </is>
      </c>
      <c r="F8" s="8" t="inlineStr">
        <is>
          <t>CI&amp;S – Sustainability Strategy: R
SaSS – Student and Scholarly Services: R</t>
        </is>
      </c>
      <c r="G8" s="8" t="inlineStr">
        <is>
          <t>SaSS – Student and Scholarly Services</t>
        </is>
      </c>
      <c r="H8" s="12" t="inlineStr">
        <is>
          <t>ABP – Architecture, Building and Planning
ARTS – Arts
ESG – Campus Operations &amp; Sustainability Delivery
FBE – Business and Economics
SCI – Science</t>
        </is>
      </c>
      <c r="I8" s="43" t="inlineStr">
        <is>
          <t>CI&amp;S – Sustainability Strategy</t>
        </is>
      </c>
      <c r="J8" s="8" t="inlineStr">
        <is>
          <t>Team decision (v0.7): for faculties, covered by the merged EE1(a) question.</t>
        </is>
      </c>
      <c r="K8" s="8" t="inlineStr"/>
    </row>
    <row r="9" ht="84"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ABP – Architecture, Building and Planning: A and R
AC&amp;M – Advancement, Communication and Marketing: A and R
ARTS – Arts: A and R
Education – Chancellery Education: A and R
FBE – Business and Economics: A and R
SCI – Science: A and R</t>
        </is>
      </c>
      <c r="F9" s="8" t="inlineStr">
        <is>
          <t>SaSS – Student and Scholarly Services: R</t>
        </is>
      </c>
      <c r="G9" s="8" t="inlineStr"/>
      <c r="H9" s="12" t="inlineStr">
        <is>
          <t>ABP – Architecture, Building and Planning
AC&amp;M – Advancement, Communication and Marketing
ARTS – Arts
Education – Chancellery Education
FBE – Business and Economics
SCI – Science</t>
        </is>
      </c>
      <c r="I9" s="43" t="inlineStr">
        <is>
          <t>SaSS – Student and Scholarly Services</t>
        </is>
      </c>
      <c r="J9" s="8" t="inlineStr">
        <is>
          <t>Team decision (v0.7): asked of SaSS only.</t>
        </is>
      </c>
      <c r="K9" s="8" t="inlineStr"/>
    </row>
    <row r="10" ht="14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0" s="8" t="inlineStr">
        <is>
          <t>ABP – Architecture, Building and Planning: R
ARTS – Arts: R
CI&amp;S – Sustainability Strategy: R
FBE – Business and Economics: R
SCI – Science: R</t>
        </is>
      </c>
      <c r="G10" s="8" t="inlineStr">
        <is>
          <t>ABP – Architecture, Building and Planning
ARTS – Arts
CI&amp;S – Sustainability Strategy
FBE – Business and Economics
SCI – Science</t>
        </is>
      </c>
      <c r="H10" s="12" t="inlineStr">
        <is>
          <t>CFOG – Procurement
ESG – Campus Operations &amp; Sustainability Delivery
MRE – Research
Not in SR26: CFOG Finance</t>
        </is>
      </c>
      <c r="I10" s="8" t="inlineStr"/>
      <c r="J10" s="8" t="inlineStr">
        <is>
          <t>Check why CFOG, ESG, MRE is not asked (was responsible in SR25); Consider request or 'C/I' for CFOG Finance.</t>
        </is>
      </c>
      <c r="K10" s="8" t="inlineStr"/>
    </row>
    <row r="11" ht="140"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1" s="8" t="inlineStr">
        <is>
          <t>ABP – Architecture, Building and Planning: R
ARTS – Arts: R
FBE – Business and Economics: R
SCI – Science: R</t>
        </is>
      </c>
      <c r="G11" s="8" t="inlineStr">
        <is>
          <t>ABP – Architecture, Building and Planning
ARTS – Arts
FBE – Business and Economics
SCI – Science</t>
        </is>
      </c>
      <c r="H11" s="12" t="inlineStr">
        <is>
          <t>CFOG – Procurement
CI&amp;S – Sustainability Strategy
ESG – Campus Operations &amp; Sustainability Delivery
MRE – Research
Not in SR26: CFOG Finance</t>
        </is>
      </c>
      <c r="I11" s="8" t="inlineStr"/>
      <c r="J11" s="8" t="inlineStr">
        <is>
          <t>Check why CFOG, CI&amp;S, ESG, MRE is not asked (was responsible in SR25); Consider request or 'C/I' for CFOG Finance.</t>
        </is>
      </c>
      <c r="K11" s="8" t="inlineStr"/>
    </row>
    <row r="12" ht="140"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2" s="8" t="inlineStr">
        <is>
          <t>ABP – Architecture, Building and Planning: R
ARTS – Arts: R
FBE – Business and Economics: R
SCI – Science: R</t>
        </is>
      </c>
      <c r="G12" s="8" t="inlineStr">
        <is>
          <t>ABP – Architecture, Building and Planning
ARTS – Arts
FBE – Business and Economics
SCI – Science</t>
        </is>
      </c>
      <c r="H12" s="12" t="inlineStr">
        <is>
          <t>CFOG – Procurement
CI&amp;S – Sustainability Strategy
ESG – Campus Operations &amp; Sustainability Delivery
MRE – Research
Not in SR26: CFOG Finance</t>
        </is>
      </c>
      <c r="I12" s="8" t="inlineStr"/>
      <c r="J12" s="8" t="inlineStr">
        <is>
          <t>Check why CFOG, CI&amp;S, ESG, MRE is not asked (was responsible in SR25); Consider request or 'C/I' for CFOG Finance.</t>
        </is>
      </c>
      <c r="K12" s="8" t="inlineStr"/>
    </row>
    <row r="13" ht="140"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3" s="8" t="inlineStr">
        <is>
          <t>ABP – Architecture, Building and Planning: R
ARTS – Arts: R
FBE – Business and Economics: R
SCI – Science: R</t>
        </is>
      </c>
      <c r="G13" s="8" t="inlineStr">
        <is>
          <t>ABP – Architecture, Building and Planning
ARTS – Arts
FBE – Business and Economics
SCI – Science</t>
        </is>
      </c>
      <c r="H13" s="12" t="inlineStr">
        <is>
          <t>CFOG – Procurement
CI&amp;S – Sustainability Strategy
ESG – Campus Operations &amp; Sustainability Delivery
MRE – Research
Not in SR26: CFOG Finance</t>
        </is>
      </c>
      <c r="I13" s="8" t="inlineStr"/>
      <c r="J13" s="8" t="inlineStr">
        <is>
          <t>Check why CFOG, CI&amp;S, ESG, MRE is not asked (was responsible in SR25); Consider request or 'C/I' for CFOG Finance.</t>
        </is>
      </c>
      <c r="K13" s="8" t="inlineStr"/>
    </row>
    <row r="14" ht="84"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ABP – Architecture, Building and Planning: A and R
ARTS – Arts: A and R
FBE – Business and Economics: A and R
MRE – Research: R
⚠ RIC: R
SCI – Science: A and R</t>
        </is>
      </c>
      <c r="F14" s="8" t="inlineStr">
        <is>
          <t>ABP – Architecture, Building and Planning: R
AC&amp;M – Advancement, Communication and Marketing: R
ARTS – Arts: R
FBE – Business and Economics: R
SCI – Science: R</t>
        </is>
      </c>
      <c r="G14" s="8" t="inlineStr">
        <is>
          <t>ABP – Architecture, Building and Planning
ARTS – Arts
FBE – Business and Economics
SCI – Science</t>
        </is>
      </c>
      <c r="H14" s="12" t="inlineStr">
        <is>
          <t>MRE – Research
Not in SR26: RIC</t>
        </is>
      </c>
      <c r="I14" s="43" t="inlineStr">
        <is>
          <t>AC&amp;M – Advancement, Communication and Marketing</t>
        </is>
      </c>
      <c r="J14" s="8" t="inlineStr">
        <is>
          <t>Check why MRE is not asked (was responsible in SR25); Consider request or 'C/I' for RIC.</t>
        </is>
      </c>
      <c r="K14" s="8" t="inlineStr"/>
    </row>
    <row r="15" ht="84"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ABP – Architecture, Building and Planning: A and R
ARTS – Arts: A and R
FBE – Business and Economics: A and R
MRE – Research: R
⚠ RIC: R
SCI – Science: A and R</t>
        </is>
      </c>
      <c r="F15" s="8" t="inlineStr">
        <is>
          <t>MRE – Research: R (quant)</t>
        </is>
      </c>
      <c r="G15" s="8" t="inlineStr">
        <is>
          <t>MRE – Research</t>
        </is>
      </c>
      <c r="H15" s="12" t="inlineStr">
        <is>
          <t>ABP – Architecture, Building and Planning
ARTS – Arts
FBE – Business and Economics
Not in SR26: RIC
SCI – Science</t>
        </is>
      </c>
      <c r="I15" s="8" t="inlineStr"/>
      <c r="J15" s="8" t="inlineStr">
        <is>
          <t>Check why ABP, ARTS, FBE, SCI is not asked (was responsible in SR25); Consider request or 'C/I' for RIC.</t>
        </is>
      </c>
      <c r="K15" s="8" t="inlineStr"/>
    </row>
    <row r="16" ht="84"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ABP – Architecture, Building and Planning: A and R
ARTS – Arts: A and R
FBE – Business and Economics: A and R
MRE – Research: R
⚠ RIC: R
SCI – Science: A and R</t>
        </is>
      </c>
      <c r="F16" s="8" t="inlineStr">
        <is>
          <t>MRE – Research: R</t>
        </is>
      </c>
      <c r="G16" s="8" t="inlineStr">
        <is>
          <t>MRE – Research</t>
        </is>
      </c>
      <c r="H16" s="12" t="inlineStr">
        <is>
          <t>ABP – Architecture, Building and Planning
ARTS – Arts
FBE – Business and Economics
Not in SR26: RIC
SCI – Science</t>
        </is>
      </c>
      <c r="I16" s="8" t="inlineStr"/>
      <c r="J16" s="8" t="inlineStr">
        <is>
          <t>Check why ABP, ARTS, FBE, SCI is not asked (was responsible in SR25); Consider request or 'C/I' for RIC.</t>
        </is>
      </c>
      <c r="K16" s="8" t="inlineStr"/>
    </row>
    <row r="17" ht="84"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ABP – Architecture, Building and Planning: A and R
ARTS – Arts: A and R
FBE – Business and Economics: A and R
MRE – Research: R
⚠ RIC: R
SCI – Science: A and R</t>
        </is>
      </c>
      <c r="F17" s="8" t="inlineStr">
        <is>
          <t>ABP – Architecture, Building and Planning: R
ARTS – Arts: R
CI&amp;S – Sustainability Strategy: R
FBE – Business and Economics: R
SCI – Science: R</t>
        </is>
      </c>
      <c r="G17" s="8" t="inlineStr">
        <is>
          <t>ABP – Architecture, Building and Planning
ARTS – Arts
FBE – Business and Economics
SCI – Science</t>
        </is>
      </c>
      <c r="H17" s="12" t="inlineStr">
        <is>
          <t>MRE – Research
Not in SR26: RIC</t>
        </is>
      </c>
      <c r="I17" s="43" t="inlineStr">
        <is>
          <t>CI&amp;S – Sustainability Strategy</t>
        </is>
      </c>
      <c r="J17" s="8" t="inlineStr">
        <is>
          <t>Check why MRE is not asked (was responsible in SR25); Consider request or 'C/I' for RIC.</t>
        </is>
      </c>
      <c r="K17" s="8" t="inlineStr"/>
    </row>
    <row r="18" ht="84"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ABP – Architecture, Building and Planning: R
ARTS – Arts: R
FBE – Business and Economics: R
MRE – Research: A
⚠ RIC: A and R
SCI – Science: R</t>
        </is>
      </c>
      <c r="F18" s="8" t="inlineStr">
        <is>
          <t>MRE – Research: R</t>
        </is>
      </c>
      <c r="G18" s="8" t="inlineStr">
        <is>
          <t>MRE – Research</t>
        </is>
      </c>
      <c r="H18" s="12" t="inlineStr">
        <is>
          <t>ABP – Architecture, Building and Planning
ARTS – Arts
FBE – Business and Economics
Not in SR26: RIC
SCI – Science</t>
        </is>
      </c>
      <c r="I18" s="8" t="inlineStr"/>
      <c r="J18" s="8" t="inlineStr">
        <is>
          <t>Team decision (v0.7): asked of MRE only.</t>
        </is>
      </c>
      <c r="K18" s="8" t="inlineStr"/>
    </row>
    <row r="19" ht="98"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ABP – Architecture, Building and Planning: R
ARTS – Arts: R
FBE – Business and Economics: R
MRE – Research: A
⚠ RIC: A and R
SCI – Science: R</t>
        </is>
      </c>
      <c r="F19" s="8" t="inlineStr">
        <is>
          <t>ABP – Architecture, Building and Planning: R
ARTS – Arts: R
CFOG – Procurement: R
CI&amp;S – Sustainability Strategy: R
FBE – Business and Economics: R
MRE – Research: R (quant)
SCI – Science: R</t>
        </is>
      </c>
      <c r="G19" s="8" t="inlineStr">
        <is>
          <t>ABP – Architecture, Building and Planning
ARTS – Arts
FBE – Business and Economics
MRE – Research
SCI – Science</t>
        </is>
      </c>
      <c r="H19" s="12" t="inlineStr">
        <is>
          <t>Not in SR26: RIC</t>
        </is>
      </c>
      <c r="I19" s="43" t="inlineStr">
        <is>
          <t>CFOG – Procurement
CI&amp;S – Sustainability Strategy</t>
        </is>
      </c>
      <c r="J19" s="8" t="inlineStr">
        <is>
          <t>Consider request or 'C/I' for RIC.</t>
        </is>
      </c>
      <c r="K19" s="8" t="inlineStr"/>
    </row>
    <row r="20" ht="112"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ABP – Architecture, Building and Planning: R
ARTS – Arts: R
ESG – Campus Operations &amp; Sustainability Delivery: A
Education – Chancellery Education: A and R
FBE – Business and Economics: R
MRE – Research: A
⚠ RIC: A and R
SCI – Science: R</t>
        </is>
      </c>
      <c r="F20" s="8" t="inlineStr">
        <is>
          <t>MRE – Research: R</t>
        </is>
      </c>
      <c r="G20" s="8" t="inlineStr">
        <is>
          <t>MRE – Research</t>
        </is>
      </c>
      <c r="H20" s="12" t="inlineStr">
        <is>
          <t>ABP – Architecture, Building and Planning
ARTS – Arts
ESG – Campus Operations &amp; Sustainability Delivery
Education – Chancellery Education
FBE – Business and Economics
Not in SR26: RIC
SCI – Science</t>
        </is>
      </c>
      <c r="I20" s="8" t="inlineStr"/>
      <c r="J20" s="8" t="inlineStr">
        <is>
          <t>Team decision (v0.7): asked of MRE only.</t>
        </is>
      </c>
      <c r="K20" s="8" t="inlineStr"/>
    </row>
    <row r="21" ht="84"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ABP – Architecture, Building and Planning: R
ARTS – Arts: R
FBE – Business and Economics: R
MRE – Research: A
⚠ RIC: A and R
SCI – Science: R</t>
        </is>
      </c>
      <c r="F21" s="8" t="inlineStr">
        <is>
          <t>MRE – Research: R</t>
        </is>
      </c>
      <c r="G21" s="8" t="inlineStr">
        <is>
          <t>MRE – Research</t>
        </is>
      </c>
      <c r="H21" s="12" t="inlineStr">
        <is>
          <t>ABP – Architecture, Building and Planning
ARTS – Arts
FBE – Business and Economics
Not in SR26: RIC
SCI – Science</t>
        </is>
      </c>
      <c r="I21" s="8" t="inlineStr"/>
      <c r="J21" s="8" t="inlineStr">
        <is>
          <t>Team decision (v0.7): asked of MRE only.</t>
        </is>
      </c>
      <c r="K21" s="8" t="inlineStr"/>
    </row>
    <row r="22" ht="196"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2" s="8" t="inlineStr">
        <is>
          <t>ESG – Campus Operations &amp; Sustainability Delivery: R (quant)</t>
        </is>
      </c>
      <c r="G22" s="8" t="inlineStr">
        <is>
          <t>ESG – Campus Operations &amp; Sustainability Delivery</t>
        </is>
      </c>
      <c r="H22"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2" s="8" t="inlineStr"/>
      <c r="J22" s="8" t="inlineStr">
        <is>
          <t>Check why ABP, ARTS, CFOG, CFOG, CI&amp;S, Education, FBE, GCE, Indigenous, MRE, SCI is not asked (was responsible in SR25); Consider request or 'C/I' for CFOG Finance, People strategy.</t>
        </is>
      </c>
      <c r="K22" s="8" t="inlineStr"/>
    </row>
    <row r="23" ht="196" customHeight="1">
      <c r="B23" s="7" t="inlineStr">
        <is>
          <t>CL1(b)</t>
        </is>
      </c>
      <c r="C23" s="8" t="inlineStr">
        <is>
          <t>Development of Greenhouse Gas  intensity metrics</t>
        </is>
      </c>
      <c r="D23" s="8" t="inlineStr">
        <is>
          <t>1a – The University is certified carbon neutral by 2025</t>
        </is>
      </c>
      <c r="E23"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3" s="8" t="inlineStr">
        <is>
          <t>ESG – Campus Operations &amp; Sustainability Delivery: R (quant)</t>
        </is>
      </c>
      <c r="G23" s="8" t="inlineStr">
        <is>
          <t>ESG – Campus Operations &amp; Sustainability Delivery</t>
        </is>
      </c>
      <c r="H23"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3" s="8" t="inlineStr"/>
      <c r="J23" s="8" t="inlineStr">
        <is>
          <t>Check why ABP, ARTS, CFOG, CFOG, CI&amp;S, Education, FBE, GCE, Indigenous, MRE, SCI is not asked (was responsible in SR25); Consider request or 'C/I' for CFOG Finance, People strategy.</t>
        </is>
      </c>
      <c r="K23" s="8" t="inlineStr"/>
    </row>
    <row r="24" ht="196"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4" s="8" t="inlineStr">
        <is>
          <t>CI&amp;S – Sustainability Strategy: R</t>
        </is>
      </c>
      <c r="G24" s="8" t="inlineStr">
        <is>
          <t>CI&amp;S – Sustainability Strategy</t>
        </is>
      </c>
      <c r="H24" s="12" t="inlineStr">
        <is>
          <t>ABP – Architecture, Building and Planning
ARTS – Arts
CFOG – Procurement
CFOG – Treasury &amp; Investments
ESG – Campus Operations &amp; Sustainability Delivery
Education – Chancellery Education
FBE – Business and Economics
GCE – Global, Culture and Engagement
Indigenous – Chancellery Indigenous
MRE – Research
Not in SR26: CFOG Finance
Not in SR26: People strategy
SCI – Science</t>
        </is>
      </c>
      <c r="I24" s="8" t="inlineStr"/>
      <c r="J24" s="8" t="inlineStr">
        <is>
          <t>Check why ABP, ARTS, CFOG, CFOG, ESG, Education, FBE, GCE, Indigenous, MRE, SCI is not asked (was responsible in SR25); Consider request or 'C/I' for CFOG Finance, People strategy.</t>
        </is>
      </c>
      <c r="K24" s="8" t="inlineStr"/>
    </row>
    <row r="25" ht="7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ABP – Architecture, Building and Planning: R
ARTS – Arts: R
FBE – Business and Economics: R
MRE – Research: Support
SCI – Science: R</t>
        </is>
      </c>
      <c r="F25" s="8" t="inlineStr">
        <is>
          <t>AC&amp;M – Advancement, Communication and Marketing: R</t>
        </is>
      </c>
      <c r="G25" s="8" t="inlineStr"/>
      <c r="H25" s="12" t="inlineStr">
        <is>
          <t>ABP – Architecture, Building and Planning
ARTS – Arts
FBE – Business and Economics
SCI – Science</t>
        </is>
      </c>
      <c r="I25" s="43" t="inlineStr">
        <is>
          <t>AC&amp;M – Advancement, Communication and Marketing</t>
        </is>
      </c>
      <c r="J25" s="8" t="inlineStr">
        <is>
          <t>Team decision (v0.7): asked of AC&amp;M only.</t>
        </is>
      </c>
      <c r="K25" s="8" t="inlineStr"/>
    </row>
    <row r="26" ht="7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ABP – Architecture, Building and Planning: R
ARTS – Arts: R
FBE – Business and Economics: R
MRE – Research: Support
SCI – Science: R</t>
        </is>
      </c>
      <c r="F26" s="8" t="inlineStr">
        <is>
          <t>SST compiles</t>
        </is>
      </c>
      <c r="G26" s="8" t="inlineStr"/>
      <c r="H26" s="12" t="inlineStr">
        <is>
          <t>ABP – Architecture, Building and Planning
ARTS – Arts
FBE – Business and Economics
SCI – Science</t>
        </is>
      </c>
      <c r="I26" s="8" t="inlineStr"/>
      <c r="J26" s="8" t="inlineStr">
        <is>
          <t>Check why ABP, ARTS, FBE, SCI is not asked (was responsible in SR25).</t>
        </is>
      </c>
      <c r="K26" s="8" t="inlineStr"/>
    </row>
    <row r="27" ht="7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ABP – Architecture, Building and Planning: R
ARTS – Arts: R
FBE – Business and Economics: R
MRE – Research: Support
SCI – Science: R</t>
        </is>
      </c>
      <c r="F27" s="8" t="inlineStr">
        <is>
          <t>AC&amp;M – Advancement, Communication and Marketing: R</t>
        </is>
      </c>
      <c r="G27" s="8" t="inlineStr"/>
      <c r="H27" s="12" t="inlineStr">
        <is>
          <t>ABP – Architecture, Building and Planning
ARTS – Arts
FBE – Business and Economics
SCI – Science</t>
        </is>
      </c>
      <c r="I27" s="43" t="inlineStr">
        <is>
          <t>AC&amp;M – Advancement, Communication and Marketing</t>
        </is>
      </c>
      <c r="J27" s="8" t="inlineStr">
        <is>
          <t>Team decision (v0.7): asked of AC&amp;M only.</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Research: R</t>
        </is>
      </c>
      <c r="G33" s="8" t="inlineStr"/>
      <c r="H33" s="12" t="inlineStr">
        <is>
          <t>CFOG – Procurement
ESG – Campus Operations &amp; Sustainability Delivery</t>
        </is>
      </c>
      <c r="I33" s="43" t="inlineStr">
        <is>
          <t>MRE – Research</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54"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ABP – Architecture, Building and Planning: Faculty specific
ARTS – Arts: Faculty specific
CFOG – Procurement: R
CI&amp;S – Estate Planning &amp; Development: A and R
CI&amp;S – Sustainability Strategy: A and R
ESG – Campus Operations &amp; Sustainability Delivery: R
FBE – Business and Economics: Faculty specific
Legal &amp; Risk – Risk &amp; resilience: Support
⚠ CFOG Finance: R
⚠ EPMO &amp; investment office: R
SCI – Science: Faculty specific</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84"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84"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112"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ABP – Architecture, Building and Planning: Faculty specific
ARTS – Arts: Faculty specific
CI&amp;S – Estate Planning &amp; Development: A and R
ESG – Campus Operations &amp; Sustainability Delivery: Support
FBE – Business and Economics: Faculty specific
GCE – Global, Culture and Engagement: R
Indigenous – Chancellery Indigenous: A and R
SCI – Science: Faculty specific</t>
        </is>
      </c>
      <c r="F41" s="8" t="inlineStr">
        <is>
          <t>CI&amp;S – Estate Planning &amp; Development: R</t>
        </is>
      </c>
      <c r="G41" s="8" t="inlineStr">
        <is>
          <t>CI&amp;S – Estate Planning &amp; Development</t>
        </is>
      </c>
      <c r="H41" s="12" t="inlineStr">
        <is>
          <t>GCE – Global, Culture and Engagement
Indigenous – Chancellery Indigenous</t>
        </is>
      </c>
      <c r="I41" s="8" t="inlineStr"/>
      <c r="J41" s="8" t="inlineStr">
        <is>
          <t>Check why GCE, Indigenous is not asked (was responsible in SR25).</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84"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GCE – Global, Culture and Engagement: R
Indigenous – Chancellery Indigenous: A and R</t>
        </is>
      </c>
      <c r="F50" s="8" t="inlineStr">
        <is>
          <t>ABP – Architecture, Building and Planning: R
ARTS – Arts: R
FBE – Business and Economics: R
GCE – Global, Culture and Engagement: R
Indigenous – Chancellery Indigenous: R
SCI – Science: R</t>
        </is>
      </c>
      <c r="G50" s="8" t="inlineStr">
        <is>
          <t>GCE – Global, Culture and Engagement
Indigenous – Chancellery Indigenous</t>
        </is>
      </c>
      <c r="H50" s="8" t="inlineStr"/>
      <c r="I50" s="43" t="inlineStr">
        <is>
          <t>ABP – Architecture, Building and Planning
ARTS – Arts
FBE – Business and Economics
SCI – Science</t>
        </is>
      </c>
      <c r="J50" s="8" t="inlineStr">
        <is>
          <t>Consistent with SR25. New areas added in SR26.</t>
        </is>
      </c>
      <c r="K50" s="8" t="inlineStr"/>
    </row>
    <row r="51" ht="112"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ABP – Architecture, Building and Planning: R
ARTS – Arts: R
CFOG – Procurement: R
CI&amp;S – Sustainability Strategy: A and R
ESG – Campus Operations &amp; Sustainability Delivery: R
FBE – Business and Economics: R
⚠ CFOG Finance: R
SCI – Science: R</t>
        </is>
      </c>
      <c r="F51" s="8" t="inlineStr">
        <is>
          <t>ABP – Architecture, Building and Planning: R
ARTS – Arts: R
CI&amp;S – Estate Planning &amp; Development: R (quant)
CI&amp;S – Sustainability Strategy: R
FBE – Business and Economics: R
SCI – Science: R</t>
        </is>
      </c>
      <c r="G51" s="8" t="inlineStr">
        <is>
          <t>ABP – Architecture, Building and Planning
ARTS – Arts
CI&amp;S – Sustainability Strategy
FBE – Business and Economics
SCI – Science</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54"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ABP – Architecture, Building and Planning: R
ARTS – Arts: R
ESG – Campus Operations &amp; Sustainability Delivery: Support
Education – Chancellery Education: A
FBE – Business and Economics: R
GCE – Global, Culture and Engagement: A and R
⚠ Academic Board: Support
SCI – Science: R</t>
        </is>
      </c>
      <c r="F52" s="8" t="inlineStr">
        <is>
          <t>ABP – Architecture, Building and Planning: R
AC&amp;M – Advancement, Communication and Marketing: R
ARTS – Arts: R
CFOG – Procurement: R
CI&amp;S – Sustainability Strategy: R
CIOG – Responsible AI &amp; digital: R
ESG – Campus Operations &amp; Sustainability Delivery: R
Education – Chancellery Education: R
FBE – Business and Economics: R
GCE – Global, Culture and Engagement: R
SCI – Science: R</t>
        </is>
      </c>
      <c r="G52" s="8" t="inlineStr">
        <is>
          <t>ABP – Architecture, Building and Planning
ARTS – Arts
Education – Chancellery Education
FBE – Business and Economics
GCE – Global, Culture and Engagement
SCI – Science</t>
        </is>
      </c>
      <c r="H52" s="8" t="inlineStr"/>
      <c r="I52" s="43" t="inlineStr">
        <is>
          <t>AC&amp;M – Advancement, Communication and Marketing
CFOG – Procurement
CI&amp;S – Sustainability Strategy
CIOG – Responsible AI &amp; digital</t>
        </is>
      </c>
      <c r="J52" s="8" t="inlineStr">
        <is>
          <t>Consistent with SR25. New areas added in SR26.</t>
        </is>
      </c>
      <c r="K52" s="8" t="inlineStr"/>
    </row>
    <row r="53" ht="112"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ABP – Architecture, Building and Planning: R
ARTS – Arts: R
Education – Chancellery Education: A
FBE – Business and Economics: R
⚠ Academic Board: Support
SCI – Science: R</t>
        </is>
      </c>
      <c r="F53" s="8" t="inlineStr">
        <is>
          <t>ABP – Architecture, Building and Planning: R
ARTS – Arts: R
CFOG – Procurement: R
CI&amp;S – Sustainability Strategy: R
CIOG – Responsible AI &amp; digital: R
ESG – Campus Operations &amp; Sustainability Delivery: R
FBE – Business and Economics: R
SCI – Science: R</t>
        </is>
      </c>
      <c r="G53" s="8" t="inlineStr">
        <is>
          <t>ABP – Architecture, Building and Planning
ARTS – Arts
FBE – Business and Economics
SCI – Science</t>
        </is>
      </c>
      <c r="H53" s="12" t="inlineStr">
        <is>
          <t>Education – Chancellery Education</t>
        </is>
      </c>
      <c r="I53" s="43" t="inlineStr">
        <is>
          <t>CFOG – Procurement
CI&amp;S – Sustainability Strategy
CIOG – Responsible AI &amp; digital
ESG – Campus Operations &amp; Sustainability Delivery</t>
        </is>
      </c>
      <c r="J53" s="8" t="inlineStr">
        <is>
          <t>Check why Education is not asked (was responsible in SR25).</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ABP – Architecture, Building and Planning</t>
        </is>
      </c>
      <c r="C58" s="8" t="n">
        <v>13</v>
      </c>
      <c r="D58" s="8" t="inlineStr">
        <is>
          <t>Yes – check</t>
        </is>
      </c>
    </row>
    <row r="59">
      <c r="B59" s="8" t="inlineStr">
        <is>
          <t>ARTS – Arts</t>
        </is>
      </c>
      <c r="C59" s="8" t="n">
        <v>13</v>
      </c>
      <c r="D59" s="8" t="inlineStr">
        <is>
          <t>Yes – check</t>
        </is>
      </c>
    </row>
    <row r="60">
      <c r="B60" s="8" t="inlineStr">
        <is>
          <t>ESG – Campus Operations &amp; Sustainability Delivery</t>
        </is>
      </c>
      <c r="C60" s="8" t="n">
        <v>13</v>
      </c>
      <c r="D60" s="8" t="inlineStr">
        <is>
          <t>Yes – check</t>
        </is>
      </c>
    </row>
    <row r="61">
      <c r="B61" s="8" t="inlineStr">
        <is>
          <t>FBE – Business and Economics</t>
        </is>
      </c>
      <c r="C61" s="8" t="n">
        <v>13</v>
      </c>
      <c r="D61" s="8" t="inlineStr">
        <is>
          <t>Yes – check</t>
        </is>
      </c>
    </row>
    <row r="62">
      <c r="B62" s="8" t="inlineStr">
        <is>
          <t>SCI – Science</t>
        </is>
      </c>
      <c r="C62" s="8" t="n">
        <v>13</v>
      </c>
      <c r="D62" s="8" t="inlineStr">
        <is>
          <t>Yes – check</t>
        </is>
      </c>
    </row>
    <row r="63">
      <c r="B63" s="8" t="inlineStr">
        <is>
          <t>CFOG – Procurement</t>
        </is>
      </c>
      <c r="C63" s="8" t="n">
        <v>13</v>
      </c>
      <c r="D63" s="8" t="inlineStr">
        <is>
          <t>Yes – check</t>
        </is>
      </c>
    </row>
    <row r="64">
      <c r="B64" s="8" t="inlineStr">
        <is>
          <t>CFOG Finance</t>
        </is>
      </c>
      <c r="C64" s="8" t="n">
        <v>10</v>
      </c>
      <c r="D64" s="8" t="inlineStr">
        <is>
          <t>No – no SR26 request</t>
        </is>
      </c>
    </row>
    <row r="65">
      <c r="B65" s="8" t="inlineStr">
        <is>
          <t>MRE – Research</t>
        </is>
      </c>
      <c r="C65" s="8" t="n">
        <v>9</v>
      </c>
      <c r="D65" s="8" t="inlineStr">
        <is>
          <t>Yes – check</t>
        </is>
      </c>
    </row>
    <row r="66">
      <c r="B66" s="8" t="inlineStr">
        <is>
          <t>CI&amp;S – Sustainability Strategy</t>
        </is>
      </c>
      <c r="C66" s="8" t="n">
        <v>8</v>
      </c>
      <c r="D66" s="8" t="inlineStr">
        <is>
          <t>Yes – check</t>
        </is>
      </c>
    </row>
    <row r="67">
      <c r="B67" s="8" t="inlineStr">
        <is>
          <t>RIC</t>
        </is>
      </c>
      <c r="C67" s="8" t="n">
        <v>8</v>
      </c>
      <c r="D67" s="8" t="inlineStr">
        <is>
          <t>No – no SR26 request</t>
        </is>
      </c>
    </row>
    <row r="68">
      <c r="B68" s="8" t="inlineStr">
        <is>
          <t>Education – Chancellery Education</t>
        </is>
      </c>
      <c r="C68" s="8" t="n">
        <v>6</v>
      </c>
      <c r="D68" s="8" t="inlineStr">
        <is>
          <t>Yes – check</t>
        </is>
      </c>
    </row>
    <row r="69">
      <c r="B69" s="8" t="inlineStr">
        <is>
          <t>CI&amp;S – Estate Planning &amp; Development</t>
        </is>
      </c>
      <c r="C69" s="8" t="n">
        <v>6</v>
      </c>
      <c r="D69" s="8" t="inlineStr">
        <is>
          <t>Yes – check</t>
        </is>
      </c>
    </row>
    <row r="70">
      <c r="B70" s="8" t="inlineStr">
        <is>
          <t>GCE – Global, Culture and Engagement</t>
        </is>
      </c>
      <c r="C70" s="8" t="n">
        <v>4</v>
      </c>
      <c r="D70" s="8" t="inlineStr">
        <is>
          <t>Yes – check</t>
        </is>
      </c>
    </row>
    <row r="71">
      <c r="B71" s="8" t="inlineStr">
        <is>
          <t>Indigenous – Chancellery Indigenous</t>
        </is>
      </c>
      <c r="C71" s="8" t="n">
        <v>4</v>
      </c>
      <c r="D71" s="8" t="inlineStr">
        <is>
          <t>Yes – check</t>
        </is>
      </c>
    </row>
    <row r="72">
      <c r="B72" s="8" t="inlineStr">
        <is>
          <t>CFOG – Treasury &amp; Investments</t>
        </is>
      </c>
      <c r="C72" s="8" t="n">
        <v>3</v>
      </c>
      <c r="D72" s="8" t="inlineStr">
        <is>
          <t>Yes – check</t>
        </is>
      </c>
    </row>
    <row r="73">
      <c r="B73" s="8" t="inlineStr">
        <is>
          <t>People strategy</t>
        </is>
      </c>
      <c r="C73" s="8" t="n">
        <v>3</v>
      </c>
      <c r="D73" s="8" t="inlineStr">
        <is>
          <t>No – no SR26 request</t>
        </is>
      </c>
    </row>
    <row r="74">
      <c r="B74" s="8" t="inlineStr">
        <is>
          <t>EPMO &amp; investment office</t>
        </is>
      </c>
      <c r="C74" s="8" t="n">
        <v>2</v>
      </c>
      <c r="D74" s="8" t="inlineStr">
        <is>
          <t>No – no SR26 request</t>
        </is>
      </c>
    </row>
    <row r="75">
      <c r="B75" s="8" t="inlineStr">
        <is>
          <t>AC&amp;M – Advancement, Communication and Marketing</t>
        </is>
      </c>
      <c r="C75" s="8" t="n">
        <v>1</v>
      </c>
      <c r="D75" s="8" t="inlineStr">
        <is>
          <t>Yes – check</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Chased</t>
        </is>
      </c>
      <c r="I5" s="32" t="inlineStr">
        <is>
          <t>Support meeting</t>
        </is>
      </c>
      <c r="L5" s="32" t="inlineStr">
        <is>
          <t>Response rate</t>
        </is>
      </c>
      <c r="N5" s="32" t="inlineStr">
        <is>
          <t>Owner confirmed</t>
        </is>
      </c>
    </row>
    <row r="6">
      <c r="C6">
        <f>COUNTIF($N$10:$N$26,"Not sent")</f>
        <v/>
      </c>
      <c r="E6">
        <f>COUNTIF($N$10:$N$26,"Sent")</f>
        <v/>
      </c>
      <c r="G6">
        <f>COUNTIF($N$10:$N$26,"Chased")</f>
        <v/>
      </c>
      <c r="I6">
        <f>COUNTIF($N$10:$N$26,"Support meeting")</f>
        <v/>
      </c>
      <c r="L6" s="44">
        <f>IFERROR((COUNTIF($N$10:$N$26,"Received")+COUNTIF($N$10:$N$26,"Under review")+COUNTIF($N$10:$N$26,"Complete"))/(COUNTA($N$10:$N$26)-COUNTIF($N$10:$N$26,"Not required")),0)</f>
        <v/>
      </c>
      <c r="N6">
        <f>COUNTIF($M$10:$M$26,"Yes")&amp;" / "&amp;COUNTA($C$10:$C$26)</f>
        <v/>
      </c>
    </row>
    <row r="7">
      <c r="C7" s="32" t="inlineStr">
        <is>
          <t>Received</t>
        </is>
      </c>
      <c r="E7" s="32" t="inlineStr">
        <is>
          <t>Under review</t>
        </is>
      </c>
      <c r="G7" s="32" t="inlineStr">
        <is>
          <t>Complete</t>
        </is>
      </c>
      <c r="I7" s="32" t="inlineStr">
        <is>
          <t>Not required</t>
        </is>
      </c>
    </row>
    <row r="8">
      <c r="C8">
        <f>COUNTIF($N$10:$N$26,"Received")</f>
        <v/>
      </c>
      <c r="E8">
        <f>COUNTIF($N$10:$N$26,"Under review")</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13</v>
      </c>
      <c r="G10" s="8" t="inlineStr">
        <is>
          <t>ABP - end-2026 sustainability reporting request - v0.7.xlsx</t>
        </is>
      </c>
      <c r="H10" s="45" t="n"/>
      <c r="I10" s="45" t="n">
        <v>46402</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13</v>
      </c>
      <c r="G11" s="8" t="inlineStr">
        <is>
          <t>ARTS - end-2026 sustainability reporting request - v0.7.xlsx</t>
        </is>
      </c>
      <c r="H11" s="45" t="n"/>
      <c r="I11" s="45" t="n">
        <v>46402</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13</v>
      </c>
      <c r="G12" s="8" t="inlineStr">
        <is>
          <t>FBE - end-2026 sustainability reporting request - v0.7.xlsx</t>
        </is>
      </c>
      <c r="H12" s="45" t="n"/>
      <c r="I12" s="45" t="n">
        <v>46402</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13</v>
      </c>
      <c r="G13" s="8" t="inlineStr">
        <is>
          <t>SCI - end-2026 sustainability reporting request - v0.7.xlsx</t>
        </is>
      </c>
      <c r="H13" s="45" t="n"/>
      <c r="I13" s="45" t="n">
        <v>46402</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v0.7.xlsx</t>
        </is>
      </c>
      <c r="H14" s="45" t="n"/>
      <c r="I14" s="45" t="n">
        <v>46402</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end-2026 sustainability reporting request - v0.7.xlsx</t>
        </is>
      </c>
      <c r="H15" s="45" t="n"/>
      <c r="I15" s="45" t="n">
        <v>46402</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v0.7.xlsx</t>
        </is>
      </c>
      <c r="H16" s="45" t="n"/>
      <c r="I16" s="45" t="n">
        <v>46402</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v0.7.xlsx</t>
        </is>
      </c>
      <c r="H17" s="45" t="n"/>
      <c r="I17" s="45" t="n">
        <v>46402</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v0.7.xlsx</t>
        </is>
      </c>
      <c r="H18" s="45" t="n"/>
      <c r="I18" s="45" t="n">
        <v>46402</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v0.7.xlsx</t>
        </is>
      </c>
      <c r="H19" s="45" t="n"/>
      <c r="I19" s="45" t="n">
        <v>46402</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5</v>
      </c>
      <c r="G20" s="8" t="inlineStr">
        <is>
          <t>MRE - end-2026 sustainability reporting request - v0.7.xlsx</t>
        </is>
      </c>
      <c r="H20" s="45" t="n"/>
      <c r="I20" s="45" t="n">
        <v>46402</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end-2026 sustainability reporting request - v0.7.xlsx</t>
        </is>
      </c>
      <c r="H21" s="45" t="n"/>
      <c r="I21" s="45" t="n">
        <v>46402</v>
      </c>
      <c r="J21" s="45">
        <f>IF(I21="","",I21-7)</f>
        <v/>
      </c>
      <c r="K21" s="8" t="inlineStr"/>
      <c r="L21" s="45" t="n"/>
      <c r="M21" s="8" t="inlineStr"/>
      <c r="N21" s="8" t="inlineStr">
        <is>
          <t>Not sent</t>
        </is>
      </c>
      <c r="O21" s="8">
        <f>IF(OR(I21="",L21&lt;&gt;""),"",MAX(0,TODAY()-I21))</f>
        <v/>
      </c>
      <c r="P21" s="8" t="inlineStr"/>
    </row>
    <row r="22">
      <c r="B22" s="8" t="inlineStr">
        <is>
          <t>C9</t>
        </is>
      </c>
      <c r="C22" s="8" t="inlineStr">
        <is>
          <t>Central</t>
        </is>
      </c>
      <c r="D22" s="8" t="inlineStr">
        <is>
          <t>GCE – Global, Culture and Engagement</t>
        </is>
      </c>
      <c r="E22" s="8" t="inlineStr">
        <is>
          <t>TBC</t>
        </is>
      </c>
      <c r="F22" s="8" t="n">
        <v>2</v>
      </c>
      <c r="G22" s="8" t="inlineStr">
        <is>
          <t>GCE - end-2026 sustainability reporting request - v0.7.xlsx</t>
        </is>
      </c>
      <c r="H22" s="45" t="n"/>
      <c r="I22" s="45" t="n">
        <v>46402</v>
      </c>
      <c r="J22" s="45">
        <f>IF(I22="","",I22-7)</f>
        <v/>
      </c>
      <c r="K22" s="8" t="inlineStr"/>
      <c r="L22" s="45" t="n"/>
      <c r="M22" s="8" t="inlineStr"/>
      <c r="N22" s="8" t="inlineStr">
        <is>
          <t>Not sent</t>
        </is>
      </c>
      <c r="O22" s="8">
        <f>IF(OR(I22="",L22&lt;&gt;""),"",MAX(0,TODAY()-I22))</f>
        <v/>
      </c>
      <c r="P22" s="8" t="inlineStr"/>
    </row>
    <row r="23">
      <c r="B23" s="8" t="inlineStr">
        <is>
          <t>C10</t>
        </is>
      </c>
      <c r="C23" s="8" t="inlineStr">
        <is>
          <t>Central</t>
        </is>
      </c>
      <c r="D23" s="8" t="inlineStr">
        <is>
          <t>Education – Chancellery Education</t>
        </is>
      </c>
      <c r="E23" s="8" t="inlineStr">
        <is>
          <t>TBC</t>
        </is>
      </c>
      <c r="F23" s="8" t="n">
        <v>3</v>
      </c>
      <c r="G23" s="8" t="inlineStr">
        <is>
          <t>Education - end-2026 sustainability reporting request - v0.7.xlsx</t>
        </is>
      </c>
      <c r="H23" s="45" t="n"/>
      <c r="I23" s="45" t="n">
        <v>46402</v>
      </c>
      <c r="J23" s="45">
        <f>IF(I23="","",I23-7)</f>
        <v/>
      </c>
      <c r="K23" s="8" t="inlineStr"/>
      <c r="L23" s="45" t="n"/>
      <c r="M23" s="8" t="inlineStr"/>
      <c r="N23" s="8" t="inlineStr">
        <is>
          <t>Not sent</t>
        </is>
      </c>
      <c r="O23" s="8">
        <f>IF(OR(I23="",L23&lt;&gt;""),"",MAX(0,TODAY()-I23))</f>
        <v/>
      </c>
      <c r="P23" s="8" t="inlineStr"/>
    </row>
    <row r="24">
      <c r="B24" s="8" t="inlineStr">
        <is>
          <t>C11</t>
        </is>
      </c>
      <c r="C24" s="8" t="inlineStr">
        <is>
          <t>Central</t>
        </is>
      </c>
      <c r="D24" s="8" t="inlineStr">
        <is>
          <t>SaSS – Student and Scholarly Services</t>
        </is>
      </c>
      <c r="E24" s="8" t="inlineStr">
        <is>
          <t>TBC</t>
        </is>
      </c>
      <c r="F24" s="8" t="n">
        <v>2</v>
      </c>
      <c r="G24" s="8" t="inlineStr">
        <is>
          <t>SaSS - end-2026 sustainability reporting request - v0.7.xlsx</t>
        </is>
      </c>
      <c r="H24" s="45" t="n"/>
      <c r="I24" s="45" t="n">
        <v>46402</v>
      </c>
      <c r="J24" s="45">
        <f>IF(I24="","",I24-7)</f>
        <v/>
      </c>
      <c r="K24" s="8" t="inlineStr"/>
      <c r="L24" s="45" t="n"/>
      <c r="M24" s="8" t="inlineStr"/>
      <c r="N24" s="8" t="inlineStr">
        <is>
          <t>Not sent</t>
        </is>
      </c>
      <c r="O24" s="8">
        <f>IF(OR(I24="",L24&lt;&gt;""),"",MAX(0,TODAY()-I24))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end-2026 sustainability reporting request - v0.7.xlsx</t>
        </is>
      </c>
      <c r="H25" s="45" t="n"/>
      <c r="I25" s="45" t="n">
        <v>46402</v>
      </c>
      <c r="J25" s="45">
        <f>IF(I25="","",I25-7)</f>
        <v/>
      </c>
      <c r="K25" s="8" t="inlineStr"/>
      <c r="L25" s="45"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v0.7.xlsx</t>
        </is>
      </c>
      <c r="H26" s="45" t="n"/>
      <c r="I26" s="45" t="n">
        <v>46402</v>
      </c>
      <c r="J26" s="45">
        <f>IF(I26="","",I26-7)</f>
        <v/>
      </c>
      <c r="K26" s="8" t="inlineStr"/>
      <c r="L26" s="45"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8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TR1(a)</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8" t="n"/>
      <c r="M12" s="8" t="n"/>
      <c r="N12" s="8" t="n"/>
      <c r="O12" s="8" t="n"/>
      <c r="P12" s="8" t="n"/>
      <c r="Q12" s="8" t="n"/>
      <c r="R12" s="8" t="n"/>
    </row>
    <row r="13" ht="150" customHeight="1">
      <c r="B13" s="7" t="inlineStr">
        <is>
          <t>TR1(b)</t>
        </is>
      </c>
      <c r="C13" s="51" t="inlineStr">
        <is>
          <t>Transformational research</t>
        </is>
      </c>
      <c r="D13" s="51" t="inlineStr">
        <is>
          <t>Utilise the expertise of the University’s researchers through mutually beneficial partnerships to help address the University’s operational sustainability challenges.</t>
        </is>
      </c>
      <c r="E13" s="51" t="inlineStr">
        <is>
          <t>Evidence of institutional pathways that enable ongoing collaboration between academic and professional staff</t>
        </is>
      </c>
      <c r="F13"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3" s="8" t="inlineStr">
        <is>
          <t>We will map existing academic–professional collaboration mechanisms across faculties to establish a baseline for this new indicator and identify models other faculties could adopt.</t>
        </is>
      </c>
      <c r="H13" s="8" t="inlineStr">
        <is>
          <t>N/A – new indicator</t>
        </is>
      </c>
      <c r="I13" s="8" t="inlineStr"/>
      <c r="J13" s="8" t="inlineStr"/>
      <c r="K13" s="8" t="inlineStr"/>
      <c r="L13" s="8" t="n"/>
      <c r="M13" s="8" t="n"/>
      <c r="N13" s="8" t="n"/>
      <c r="O13" s="8" t="n"/>
      <c r="P13" s="8" t="n"/>
      <c r="Q13" s="8" t="n"/>
      <c r="R13" s="8" t="n"/>
    </row>
    <row r="14" ht="150" customHeight="1">
      <c r="B14" s="7" t="inlineStr">
        <is>
          <t>TR1(c)</t>
        </is>
      </c>
      <c r="C14" s="51" t="inlineStr">
        <is>
          <t>Transformational research</t>
        </is>
      </c>
      <c r="D14" s="51" t="inlineStr">
        <is>
          <t>Utilise the expertise of the University’s researchers through mutually beneficial partnerships to help address the University’s operational sustainability challenges.</t>
        </is>
      </c>
      <c r="E14" s="51" t="inlineStr">
        <is>
          <t>Expert assessment of the quality, relevance and continuity of these collaborations</t>
        </is>
      </c>
      <c r="F14" s="8" t="inlineStr">
        <is>
          <t>For the collaborations described in TR1(a)–(b), please give a short assessment (a paragraph is sufficient) of their quality, relevance and continuity: are they ongoing, useful to the University's operational priorities, and producing outcomes?</t>
        </is>
      </c>
      <c r="G14" s="8" t="inlineStr">
        <is>
          <t>We will use your assessment to describe the quality and continuity of research–operations collaboration in the 2026 report, and as baseline evidence for the interim target status assessment from 2027.</t>
        </is>
      </c>
      <c r="H14" s="8" t="inlineStr">
        <is>
          <t>N/A – new indicator</t>
        </is>
      </c>
      <c r="I14" s="8" t="inlineStr"/>
      <c r="J14" s="8" t="inlineStr"/>
      <c r="K14" s="8" t="inlineStr"/>
      <c r="L14" s="8" t="n"/>
      <c r="M14" s="8" t="n"/>
      <c r="N14" s="8" t="n"/>
      <c r="O14" s="8" t="n"/>
      <c r="P14" s="8" t="n"/>
      <c r="Q14" s="8" t="n"/>
      <c r="R14" s="8" t="n"/>
    </row>
    <row r="15" ht="150" customHeight="1">
      <c r="B15" s="7" t="inlineStr">
        <is>
          <t>TR1(d)</t>
        </is>
      </c>
      <c r="C15" s="51" t="inlineStr">
        <is>
          <t>Transformational research</t>
        </is>
      </c>
      <c r="D15" s="51" t="inlineStr">
        <is>
          <t>Utilise the expertise of the University’s researchers through mutually beneficial partnerships to help address the University’s operational sustainability challenges.</t>
        </is>
      </c>
      <c r="E15" s="51" t="inlineStr">
        <is>
          <t>Periodic feedback from participants on the effectiveness and mutual benefit of collaboration mechanisms.</t>
        </is>
      </c>
      <c r="F15"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5" s="8" t="inlineStr">
        <is>
          <t>We will use any feedback to understand whether collaboration mechanisms are working and to inform improvements. Where none has been collected, this helps us plan how to gather feedback from 2027.</t>
        </is>
      </c>
      <c r="H15" s="8" t="inlineStr">
        <is>
          <t>N/A – new indicator</t>
        </is>
      </c>
      <c r="I15" s="8" t="inlineStr"/>
      <c r="J15" s="8" t="inlineStr"/>
      <c r="K15" s="8" t="inlineStr"/>
      <c r="L15" s="8" t="n"/>
      <c r="M15" s="8" t="n"/>
      <c r="N15" s="8" t="n"/>
      <c r="O15" s="8" t="n"/>
      <c r="P15" s="8" t="n"/>
      <c r="Q15" s="8" t="n"/>
      <c r="R15" s="8" t="n"/>
    </row>
    <row r="16" ht="150" customHeight="1">
      <c r="B16" s="7" t="inlineStr">
        <is>
          <t>TR2(a)</t>
        </is>
      </c>
      <c r="C16" s="51" t="inlineStr">
        <is>
          <t>Transformational research</t>
        </is>
      </c>
      <c r="D16" s="51" t="inlineStr">
        <is>
          <t>Deliver high-quality research and partnerships that contribute to sustainability outcomes and demonstrable societal benefit.</t>
        </is>
      </c>
      <c r="E16" s="51" t="inlineStr">
        <is>
          <t>Evidence of sustainability-related research impact across diverse pathways, could include policy, industry, community, practice, cultural and institutional outcomes</t>
        </is>
      </c>
      <c r="F16"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6" s="8" t="inlineStr">
        <is>
          <t>We will collate research impact examples across faculties to show the breadth of sustainability-related research impact in the Transformational research section of the 2026 Sustainability Report, complementing University-wide metrics from MRE.</t>
        </is>
      </c>
      <c r="H16" s="8" t="inlineStr">
        <is>
          <t>5b(i)</t>
        </is>
      </c>
      <c r="I16" s="8" t="inlineStr">
        <is>
          <t>Met or exceeded</t>
        </is>
      </c>
      <c r="J16"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6" s="8" t="inlineStr">
        <is>
          <t>www.beyondepic.io</t>
        </is>
      </c>
      <c r="L16" s="8" t="n"/>
      <c r="M16" s="8" t="n"/>
      <c r="N16" s="8" t="n"/>
      <c r="O16" s="8" t="n"/>
      <c r="P16" s="8" t="n"/>
      <c r="Q16" s="8" t="n"/>
      <c r="R16" s="8" t="n"/>
    </row>
    <row r="17" ht="150" customHeight="1">
      <c r="B17" s="7" t="inlineStr">
        <is>
          <t>TR2(d)</t>
        </is>
      </c>
      <c r="C17" s="51" t="inlineStr">
        <is>
          <t>Transformational research</t>
        </is>
      </c>
      <c r="D17" s="51" t="inlineStr">
        <is>
          <t>Deliver high-quality research and partnerships that contribute to sustainability outcomes and demonstrable societal benefit.</t>
        </is>
      </c>
      <c r="E17" s="51" t="inlineStr">
        <is>
          <t>Case-based evidence demonstrating how research has contributed to meaningful sustainability outcomes.</t>
        </is>
      </c>
      <c r="F17"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7" s="8" t="inlineStr">
        <is>
          <t>We will select the strongest examples to develop as full research case studies for the 2026 Sustainability Report (we may contact you for more detail and images).</t>
        </is>
      </c>
      <c r="H17" s="8" t="inlineStr">
        <is>
          <t>5b(i)</t>
        </is>
      </c>
      <c r="I17" s="8" t="inlineStr">
        <is>
          <t>Met or exceeded</t>
        </is>
      </c>
      <c r="J17"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7" s="8" t="inlineStr">
        <is>
          <t>www.beyondepic.io</t>
        </is>
      </c>
      <c r="L17" s="8" t="n"/>
      <c r="M17" s="8" t="n"/>
      <c r="N17" s="8" t="n"/>
      <c r="O17" s="8" t="n"/>
      <c r="P17" s="8" t="n"/>
      <c r="Q17" s="8" t="n"/>
      <c r="R17" s="8" t="n"/>
    </row>
    <row r="18" ht="150" customHeight="1">
      <c r="B18" s="7" t="inlineStr">
        <is>
          <t>TR3(b)</t>
        </is>
      </c>
      <c r="C18" s="51" t="inlineStr">
        <is>
          <t>Transformational research</t>
        </is>
      </c>
      <c r="D18" s="51" t="inlineStr">
        <is>
          <t>Embed sustainability within research systems, processes, capability and culture, so research is conducted responsibly, efficiently and with reduced environmental impact.</t>
        </is>
      </c>
      <c r="E18" s="51" t="inlineStr">
        <is>
          <t>Demonstrated examples of more sustainable research practices in laboratories, fieldwork, procurement, travel or infrastructure use</t>
        </is>
      </c>
      <c r="F18"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8" s="8" t="inlineStr">
        <is>
          <t>We will report on ways the University is making research practices more sustainable in the 2026 Sustainability Report, and share practical examples (e.g. green labs) across faculties.</t>
        </is>
      </c>
      <c r="H18" s="8" t="inlineStr">
        <is>
          <t>5c(ii)</t>
        </is>
      </c>
      <c r="I18" s="8" t="inlineStr">
        <is>
          <t>Partially met</t>
        </is>
      </c>
      <c r="J18"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8" s="8" t="inlineStr"/>
      <c r="L18" s="8" t="n"/>
      <c r="M18" s="8" t="n"/>
      <c r="N18" s="8" t="n"/>
      <c r="O18" s="8" t="n"/>
      <c r="P18" s="8" t="n"/>
      <c r="Q18" s="8" t="n"/>
      <c r="R18" s="8" t="n"/>
    </row>
    <row r="19" ht="150" customHeight="1">
      <c r="B19" s="7" t="inlineStr">
        <is>
          <t>EN1(a)</t>
        </is>
      </c>
      <c r="C19" s="51" t="inlineStr">
        <is>
          <t>Enablers</t>
        </is>
      </c>
      <c r="D19" s="51" t="inlineStr">
        <is>
          <t>Enablers</t>
        </is>
      </c>
      <c r="E19" s="51" t="inlineStr">
        <is>
          <t>Evidence of sustainability outcomes informed by Indigenous knowledges</t>
        </is>
      </c>
      <c r="F19"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9" s="8" t="inlineStr">
        <is>
          <t>We will report on the ways Indigenous knowledges inform sustainability activities across the University, and develop selected examples into case studies with appropriate permissions.</t>
        </is>
      </c>
      <c r="H19" s="8" t="inlineStr">
        <is>
          <t>6a</t>
        </is>
      </c>
      <c r="I19" s="8" t="inlineStr">
        <is>
          <t>Met or exceeded</t>
        </is>
      </c>
      <c r="J19"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9" s="8" t="inlineStr"/>
      <c r="L19" s="8" t="n"/>
      <c r="M19" s="8" t="n"/>
      <c r="N19" s="8" t="n"/>
      <c r="O19" s="8" t="n"/>
      <c r="P19" s="8" t="n"/>
      <c r="Q19" s="8" t="n"/>
      <c r="R19" s="8" t="n"/>
    </row>
    <row r="20" ht="150" customHeight="1">
      <c r="B20" s="7" t="inlineStr">
        <is>
          <t>EN1(b)</t>
        </is>
      </c>
      <c r="C20" s="51" t="inlineStr">
        <is>
          <t>Enablers</t>
        </is>
      </c>
      <c r="D20" s="51" t="inlineStr">
        <is>
          <t>Enablers</t>
        </is>
      </c>
      <c r="E20" s="51" t="inlineStr">
        <is>
          <t>Living laboratories enabling applied learning, research and operational sustainability outcomes</t>
        </is>
      </c>
      <c r="F20"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0" s="8" t="inlineStr">
        <is>
          <t>We will share examples of sustainability-related living labs from across the University in the 2026 Sustainability Report, alongside CLLAP projects reported by CI&amp;S.</t>
        </is>
      </c>
      <c r="H20" s="8" t="inlineStr">
        <is>
          <t>2a</t>
        </is>
      </c>
      <c r="I20" s="8" t="inlineStr">
        <is>
          <t>Met or exceeded</t>
        </is>
      </c>
      <c r="J20"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8" t="inlineStr"/>
      <c r="L20" s="8" t="n"/>
      <c r="M20" s="8" t="n"/>
      <c r="N20" s="8" t="n"/>
      <c r="O20" s="8" t="n"/>
      <c r="P20" s="8" t="n"/>
      <c r="Q20" s="8" t="n"/>
      <c r="R20" s="8" t="n"/>
    </row>
    <row r="21" ht="150" customHeight="1">
      <c r="B21" s="7" t="inlineStr">
        <is>
          <t>EN1(c)</t>
        </is>
      </c>
      <c r="C21" s="51" t="inlineStr">
        <is>
          <t>Enablers</t>
        </is>
      </c>
      <c r="D21" s="51" t="inlineStr">
        <is>
          <t>Enablers</t>
        </is>
      </c>
      <c r="E21" s="51" t="inlineStr">
        <is>
          <t>Coordinated internal engagement and external partnerships contributing to delivery of sustainability outcomes across priority areas.</t>
        </is>
      </c>
      <c r="F21"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1" s="8" t="inlineStr">
        <is>
          <t>We will report on internal engagement and partnerships contributing to Sustainability 2030 outcomes, and update our record of sustainability-focused communities of practice and contacts across the University.</t>
        </is>
      </c>
      <c r="H21" s="8" t="inlineStr">
        <is>
          <t>3a(ii)</t>
        </is>
      </c>
      <c r="I21" s="8" t="inlineStr">
        <is>
          <t>Met or exceeded</t>
        </is>
      </c>
      <c r="J21"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1" s="8" t="inlineStr"/>
      <c r="L21" s="8" t="n"/>
      <c r="M21" s="8" t="n"/>
      <c r="N21" s="8" t="n"/>
      <c r="O21" s="8" t="n"/>
      <c r="P21" s="8" t="n"/>
      <c r="Q21" s="8" t="n"/>
      <c r="R21" s="8" t="n"/>
    </row>
    <row r="22" ht="150" customHeight="1">
      <c r="B22" s="7" t="inlineStr">
        <is>
          <t>EN1(d)</t>
        </is>
      </c>
      <c r="C22" s="51" t="inlineStr">
        <is>
          <t>Enablers</t>
        </is>
      </c>
      <c r="D22" s="51" t="inlineStr">
        <is>
          <t>Enablers</t>
        </is>
      </c>
      <c r="E22" s="51" t="inlineStr">
        <is>
          <t>Sustainability objectives integrated into governance and decision‑making processes, supported by transparent reporting.</t>
        </is>
      </c>
      <c r="F22"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2" s="8" t="inlineStr">
        <is>
          <t>We will report on how sustainability is integrated into governance and decision-making across faculties and portfolios, and use responses as a baseline for the governance enabler from 2027.</t>
        </is>
      </c>
      <c r="H22" s="8" t="inlineStr">
        <is>
          <t>N/A – new indicator</t>
        </is>
      </c>
      <c r="I22" s="8" t="inlineStr"/>
      <c r="J22" s="8" t="inlineStr"/>
      <c r="K22" s="8" t="inlineStr"/>
      <c r="L22" s="8" t="n"/>
      <c r="M22" s="8" t="n"/>
      <c r="N22" s="8" t="n"/>
      <c r="O22" s="8" t="n"/>
      <c r="P22" s="8" t="n"/>
      <c r="Q22" s="8" t="n"/>
      <c r="R22" s="8" t="n"/>
    </row>
    <row r="23"/>
    <row r="25">
      <c r="B25" s="46" t="inlineStr">
        <is>
          <t>1.2  ARTS – Faculty of Arts</t>
        </is>
      </c>
    </row>
    <row r="27">
      <c r="C27" s="47" t="inlineStr">
        <is>
          <t>Sustainability 2030 target and indicator</t>
        </is>
      </c>
      <c r="H27" s="47" t="inlineStr">
        <is>
          <t>End-2025 reporting (click the ref to see your full SR25 response; [+] above expands a summary)</t>
        </is>
      </c>
      <c r="L27" s="48" t="inlineStr">
        <is>
          <t>End-2026 reporting (PLEASE COMPLETE THIS SECTION)</t>
        </is>
      </c>
    </row>
    <row r="28">
      <c r="B28" s="6" t="inlineStr">
        <is>
          <t>Ref</t>
        </is>
      </c>
      <c r="C28" s="6" t="inlineStr">
        <is>
          <t>Priority area</t>
        </is>
      </c>
      <c r="D28" s="6" t="inlineStr">
        <is>
          <t>Sustainability 2030 target</t>
        </is>
      </c>
      <c r="E28" s="6" t="inlineStr">
        <is>
          <t>Indicator</t>
        </is>
      </c>
      <c r="F28" s="6" t="inlineStr">
        <is>
          <t>2026 Reporting request</t>
        </is>
      </c>
      <c r="G28" s="6" t="inlineStr">
        <is>
          <t>How SST will use this data</t>
        </is>
      </c>
      <c r="H28" s="6" t="inlineStr">
        <is>
          <t>Related SR25 ref</t>
        </is>
      </c>
      <c r="I28" s="6" t="inlineStr">
        <is>
          <t>End-2025 confirmed status</t>
        </is>
      </c>
      <c r="J28" s="6" t="inlineStr">
        <is>
          <t>End-2025 reporting response</t>
        </is>
      </c>
      <c r="K28" s="6" t="inlineStr">
        <is>
          <t>Links and supporting information</t>
        </is>
      </c>
      <c r="L28" s="49" t="inlineStr">
        <is>
          <t>Confirm end-2026 target status</t>
        </is>
      </c>
      <c r="M28" s="49" t="inlineStr">
        <is>
          <t>OPTION 1:  Target-level reporting (Column D)</t>
        </is>
      </c>
      <c r="N28" s="49" t="inlineStr">
        <is>
          <t>OPTION 2:  Indicator level reporting (Column E/F)</t>
        </is>
      </c>
      <c r="O28" s="49" t="inlineStr">
        <is>
          <t>Supporting information/comments</t>
        </is>
      </c>
      <c r="P28" s="49" t="inlineStr">
        <is>
          <t>Data source and limitations</t>
        </is>
      </c>
      <c r="Q28" s="49" t="inlineStr">
        <is>
          <t>Data owner confirms information is accurate</t>
        </is>
      </c>
      <c r="R28" s="49" t="inlineStr">
        <is>
          <t>Confirmed by (name, role, date)</t>
        </is>
      </c>
    </row>
    <row r="29">
      <c r="B29" s="50" t="inlineStr"/>
      <c r="C29" s="50" t="inlineStr"/>
      <c r="D29" s="50" t="inlineStr"/>
      <c r="E29" s="50" t="inlineStr"/>
      <c r="F29" s="50" t="inlineStr"/>
      <c r="G29" s="50" t="inlineStr"/>
      <c r="H29" s="50" t="inlineStr"/>
      <c r="I29" s="50" t="inlineStr"/>
      <c r="J29" s="50" t="inlineStr"/>
      <c r="K29" s="50" t="inlineStr"/>
      <c r="L29" s="50" t="inlineStr">
        <is>
          <t>(Met or exceeded; partially met; not met; not yet started)</t>
        </is>
      </c>
      <c r="M29" s="50" t="inlineStr">
        <is>
          <t>Provide further evidence of target status assessment in the form of:
A general update on activities in relation to the overarching target (Column D)</t>
        </is>
      </c>
      <c r="N29" s="50" t="inlineStr">
        <is>
          <t>Provide further evidence of target status assessment in the form of:
Data and commentary in direct response to the reporting request (Column F)</t>
        </is>
      </c>
      <c r="O29" s="50" t="inlineStr">
        <is>
          <t>Provide any additional information to support the target status assessment (e.g. links, images, rationale for selection of target status)</t>
        </is>
      </c>
      <c r="P29" s="50" t="inlineStr">
        <is>
          <t>Where did this information come from (system, report, survey, person)? Note any gaps or limitations.</t>
        </is>
      </c>
      <c r="Q29" s="50" t="inlineStr">
        <is>
          <t>Select 'Yes' to confirm the information provided is accurate and can be used for reporting</t>
        </is>
      </c>
      <c r="R29" s="50" t="inlineStr">
        <is>
          <t>Name, role and date of the person confirming</t>
        </is>
      </c>
    </row>
    <row r="30" ht="150" customHeight="1">
      <c r="B30" s="7" t="inlineStr">
        <is>
          <t>EE1(a)</t>
        </is>
      </c>
      <c r="C30" s="51" t="inlineStr">
        <is>
          <t>Exceptional education</t>
        </is>
      </c>
      <c r="D30" s="51" t="inlineStr">
        <is>
          <t>Provide our students with learning experiences that help them build the knowledge, skills and relationships to lead change for sustainable societies.</t>
        </is>
      </c>
      <c r="E30" s="51" t="inlineStr">
        <is>
          <t>Evidence of innovative approaches to sustainability teaching and learning</t>
        </is>
      </c>
      <c r="F3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3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30" s="8" t="inlineStr">
        <is>
          <t>4a(ii)</t>
        </is>
      </c>
      <c r="I30" s="8" t="inlineStr">
        <is>
          <t>Partially met</t>
        </is>
      </c>
      <c r="J30"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0" s="8" t="inlineStr"/>
      <c r="L30" s="8" t="n"/>
      <c r="M30" s="8" t="n"/>
      <c r="N30" s="8" t="n"/>
      <c r="O30" s="8" t="n"/>
      <c r="P30" s="8" t="n"/>
      <c r="Q30" s="8" t="n"/>
      <c r="R30" s="8" t="n"/>
    </row>
    <row r="31" ht="150" customHeight="1">
      <c r="B31" s="7" t="inlineStr">
        <is>
          <t>EE1(b)</t>
        </is>
      </c>
      <c r="C31" s="51" t="inlineStr">
        <is>
          <t>Exceptional education</t>
        </is>
      </c>
      <c r="D31" s="51" t="inlineStr">
        <is>
          <t>Provide our students with learning experiences that help them build the knowledge, skills and relationships to lead change for sustainable societies.</t>
        </is>
      </c>
      <c r="E31" s="51" t="inlineStr">
        <is>
          <t>Pilots of possible approaches for understanding and developing students’ sustainability self-efficacy</t>
        </is>
      </c>
      <c r="F3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1" s="8" t="inlineStr">
        <is>
          <t>This is a new indicator. We will use responses to establish a baseline of how (and whether) faculties are understanding student sustainability self-efficacy, and report on early pilots in the 2026 Sustainability Report. A nil response is useful to us.</t>
        </is>
      </c>
      <c r="H31" s="8" t="inlineStr">
        <is>
          <t>N/A – new indicator</t>
        </is>
      </c>
      <c r="I31" s="8" t="inlineStr"/>
      <c r="J31" s="8" t="inlineStr"/>
      <c r="K31" s="8" t="inlineStr"/>
      <c r="L31" s="8" t="n"/>
      <c r="M31" s="8" t="n"/>
      <c r="N31" s="8" t="n"/>
      <c r="O31" s="8" t="n"/>
      <c r="P31" s="8" t="n"/>
      <c r="Q31" s="8" t="n"/>
      <c r="R31" s="8" t="n"/>
    </row>
    <row r="32" ht="150" customHeight="1">
      <c r="B32" s="7" t="inlineStr">
        <is>
          <t>TR1(a)</t>
        </is>
      </c>
      <c r="C32" s="51" t="inlineStr">
        <is>
          <t>Transformational research</t>
        </is>
      </c>
      <c r="D32" s="51" t="inlineStr">
        <is>
          <t>Utilise the expertise of the University’s researchers through mutually beneficial partnerships to help address the University’s operational sustainability challenges.</t>
        </is>
      </c>
      <c r="E32" s="51" t="inlineStr">
        <is>
          <t>Expert-reviewed evidence of researchers contributing to operational sustainability priorities through partnerships, advisory input, living labs, applied projects or decision-support</t>
        </is>
      </c>
      <c r="F3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32" s="8" t="inlineStr">
        <is>
          <t>We will report on examples of researchers helping solve the University's own operational sustainability challenges, alongside CLLAP projects reported by CI&amp;S, and share them with operational teams to identify further collaboration.</t>
        </is>
      </c>
      <c r="H32" s="8" t="inlineStr">
        <is>
          <t>2a</t>
        </is>
      </c>
      <c r="I32" s="8" t="inlineStr">
        <is>
          <t>Met or exceeded</t>
        </is>
      </c>
      <c r="J32" s="8" t="inlineStr">
        <is>
          <t>See attached report. (RH note: Saved in responses folder)</t>
        </is>
      </c>
      <c r="K32" s="8" t="inlineStr">
        <is>
          <t>Draft report on the Living Lab project is here: Report John Medley Living Lab Project FINAL.docx</t>
        </is>
      </c>
      <c r="L32" s="8" t="n"/>
      <c r="M32" s="8" t="n"/>
      <c r="N32" s="8" t="n"/>
      <c r="O32" s="8" t="n"/>
      <c r="P32" s="8" t="n"/>
      <c r="Q32" s="8" t="n"/>
      <c r="R32" s="8" t="n"/>
    </row>
    <row r="33" ht="150" customHeight="1">
      <c r="B33" s="7" t="inlineStr">
        <is>
          <t>TR1(b)</t>
        </is>
      </c>
      <c r="C33" s="51" t="inlineStr">
        <is>
          <t>Transformational research</t>
        </is>
      </c>
      <c r="D33" s="51" t="inlineStr">
        <is>
          <t>Utilise the expertise of the University’s researchers through mutually beneficial partnerships to help address the University’s operational sustainability challenges.</t>
        </is>
      </c>
      <c r="E33" s="51" t="inlineStr">
        <is>
          <t>Evidence of institutional pathways that enable ongoing collaboration between academic and professional staff</t>
        </is>
      </c>
      <c r="F33"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33" s="8" t="inlineStr">
        <is>
          <t>We will map existing academic–professional collaboration mechanisms across faculties to establish a baseline for this new indicator and identify models other faculties could adopt.</t>
        </is>
      </c>
      <c r="H33" s="8" t="inlineStr">
        <is>
          <t>N/A – new indicator</t>
        </is>
      </c>
      <c r="I33" s="8" t="inlineStr"/>
      <c r="J33" s="8" t="inlineStr"/>
      <c r="K33" s="8" t="inlineStr"/>
      <c r="L33" s="8" t="n"/>
      <c r="M33" s="8" t="n"/>
      <c r="N33" s="8" t="n"/>
      <c r="O33" s="8" t="n"/>
      <c r="P33" s="8" t="n"/>
      <c r="Q33" s="8" t="n"/>
      <c r="R33" s="8" t="n"/>
    </row>
    <row r="34" ht="150" customHeight="1">
      <c r="B34" s="7" t="inlineStr">
        <is>
          <t>TR1(c)</t>
        </is>
      </c>
      <c r="C34" s="51" t="inlineStr">
        <is>
          <t>Transformational research</t>
        </is>
      </c>
      <c r="D34" s="51" t="inlineStr">
        <is>
          <t>Utilise the expertise of the University’s researchers through mutually beneficial partnerships to help address the University’s operational sustainability challenges.</t>
        </is>
      </c>
      <c r="E34" s="51" t="inlineStr">
        <is>
          <t>Expert assessment of the quality, relevance and continuity of these collaborations</t>
        </is>
      </c>
      <c r="F34" s="8" t="inlineStr">
        <is>
          <t>For the collaborations described in TR1(a)–(b), please give a short assessment (a paragraph is sufficient) of their quality, relevance and continuity: are they ongoing, useful to the University's operational priorities, and producing outcomes?</t>
        </is>
      </c>
      <c r="G34" s="8" t="inlineStr">
        <is>
          <t>We will use your assessment to describe the quality and continuity of research–operations collaboration in the 2026 report, and as baseline evidence for the interim target status assessment from 2027.</t>
        </is>
      </c>
      <c r="H34" s="8" t="inlineStr">
        <is>
          <t>N/A – new indicator</t>
        </is>
      </c>
      <c r="I34" s="8" t="inlineStr"/>
      <c r="J34" s="8" t="inlineStr"/>
      <c r="K34" s="8" t="inlineStr"/>
      <c r="L34" s="8" t="n"/>
      <c r="M34" s="8" t="n"/>
      <c r="N34" s="8" t="n"/>
      <c r="O34" s="8" t="n"/>
      <c r="P34" s="8" t="n"/>
      <c r="Q34" s="8" t="n"/>
      <c r="R34" s="8" t="n"/>
    </row>
    <row r="35" ht="150" customHeight="1">
      <c r="B35" s="7" t="inlineStr">
        <is>
          <t>TR1(d)</t>
        </is>
      </c>
      <c r="C35" s="51" t="inlineStr">
        <is>
          <t>Transformational research</t>
        </is>
      </c>
      <c r="D35" s="51" t="inlineStr">
        <is>
          <t>Utilise the expertise of the University’s researchers through mutually beneficial partnerships to help address the University’s operational sustainability challenges.</t>
        </is>
      </c>
      <c r="E35" s="51" t="inlineStr">
        <is>
          <t>Periodic feedback from participants on the effectiveness and mutual benefit of collaboration mechanisms.</t>
        </is>
      </c>
      <c r="F35"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35" s="8" t="inlineStr">
        <is>
          <t>We will use any feedback to understand whether collaboration mechanisms are working and to inform improvements. Where none has been collected, this helps us plan how to gather feedback from 2027.</t>
        </is>
      </c>
      <c r="H35" s="8" t="inlineStr">
        <is>
          <t>N/A – new indicator</t>
        </is>
      </c>
      <c r="I35" s="8" t="inlineStr"/>
      <c r="J35" s="8" t="inlineStr"/>
      <c r="K35" s="8" t="inlineStr"/>
      <c r="L35" s="8" t="n"/>
      <c r="M35" s="8" t="n"/>
      <c r="N35" s="8" t="n"/>
      <c r="O35" s="8" t="n"/>
      <c r="P35" s="8" t="n"/>
      <c r="Q35" s="8" t="n"/>
      <c r="R35" s="8" t="n"/>
    </row>
    <row r="36" ht="150" customHeight="1">
      <c r="B36" s="7" t="inlineStr">
        <is>
          <t>TR2(a)</t>
        </is>
      </c>
      <c r="C36" s="51" t="inlineStr">
        <is>
          <t>Transformational research</t>
        </is>
      </c>
      <c r="D36" s="51" t="inlineStr">
        <is>
          <t>Deliver high-quality research and partnerships that contribute to sustainability outcomes and demonstrable societal benefit.</t>
        </is>
      </c>
      <c r="E36" s="51" t="inlineStr">
        <is>
          <t>Evidence of sustainability-related research impact across diverse pathways, could include policy, industry, community, practice, cultural and institutional outcomes</t>
        </is>
      </c>
      <c r="F36"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36" s="8" t="inlineStr">
        <is>
          <t>We will collate research impact examples across faculties to show the breadth of sustainability-related research impact in the Transformational research section of the 2026 Sustainability Report, complementing University-wide metrics from MRE.</t>
        </is>
      </c>
      <c r="H36" s="8" t="inlineStr">
        <is>
          <t>5b(i)</t>
        </is>
      </c>
      <c r="I36" s="8" t="inlineStr">
        <is>
          <t>Met or exceeded</t>
        </is>
      </c>
      <c r="J36" s="8" t="inlineStr">
        <is>
          <t>In addition to the matters listed at mid-2025, the Ass Dean joined the Board of MBI and hosted a major showcase of MBI activities to Arts Faculty researchers which boosted involvement in the BDI's researech clusters</t>
        </is>
      </c>
      <c r="K36" s="8" t="inlineStr"/>
      <c r="L36" s="8" t="n"/>
      <c r="M36" s="8" t="n"/>
      <c r="N36" s="8" t="n"/>
      <c r="O36" s="8" t="n"/>
      <c r="P36" s="8" t="n"/>
      <c r="Q36" s="8" t="n"/>
      <c r="R36" s="8" t="n"/>
    </row>
    <row r="37" ht="150" customHeight="1">
      <c r="B37" s="7" t="inlineStr">
        <is>
          <t>TR2(d)</t>
        </is>
      </c>
      <c r="C37" s="51" t="inlineStr">
        <is>
          <t>Transformational research</t>
        </is>
      </c>
      <c r="D37" s="51" t="inlineStr">
        <is>
          <t>Deliver high-quality research and partnerships that contribute to sustainability outcomes and demonstrable societal benefit.</t>
        </is>
      </c>
      <c r="E37" s="51" t="inlineStr">
        <is>
          <t>Case-based evidence demonstrating how research has contributed to meaningful sustainability outcomes.</t>
        </is>
      </c>
      <c r="F37"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7" s="8" t="inlineStr">
        <is>
          <t>We will select the strongest examples to develop as full research case studies for the 2026 Sustainability Report (we may contact you for more detail and images).</t>
        </is>
      </c>
      <c r="H37" s="8" t="inlineStr">
        <is>
          <t>5b(i)</t>
        </is>
      </c>
      <c r="I37" s="8" t="inlineStr">
        <is>
          <t>Met or exceeded</t>
        </is>
      </c>
      <c r="J37" s="8" t="inlineStr">
        <is>
          <t>In addition to the matters listed at mid-2025, the Ass Dean joined the Board of MBI and hosted a major showcase of MBI activities to Arts Faculty researchers which boosted involvement in the BDI's researech clusters</t>
        </is>
      </c>
      <c r="K37" s="8" t="inlineStr"/>
      <c r="L37" s="8" t="n"/>
      <c r="M37" s="8" t="n"/>
      <c r="N37" s="8" t="n"/>
      <c r="O37" s="8" t="n"/>
      <c r="P37" s="8" t="n"/>
      <c r="Q37" s="8" t="n"/>
      <c r="R37" s="8" t="n"/>
    </row>
    <row r="38" ht="150" customHeight="1">
      <c r="B38" s="7" t="inlineStr">
        <is>
          <t>TR3(b)</t>
        </is>
      </c>
      <c r="C38" s="51" t="inlineStr">
        <is>
          <t>Transformational research</t>
        </is>
      </c>
      <c r="D38" s="51" t="inlineStr">
        <is>
          <t>Embed sustainability within research systems, processes, capability and culture, so research is conducted responsibly, efficiently and with reduced environmental impact.</t>
        </is>
      </c>
      <c r="E38" s="51" t="inlineStr">
        <is>
          <t>Demonstrated examples of more sustainable research practices in laboratories, fieldwork, procurement, travel or infrastructure use</t>
        </is>
      </c>
      <c r="F38"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8" s="8" t="inlineStr">
        <is>
          <t>We will report on ways the University is making research practices more sustainable in the 2026 Sustainability Report, and share practical examples (e.g. green labs) across faculties.</t>
        </is>
      </c>
      <c r="H38" s="8" t="inlineStr">
        <is>
          <t>5c(ii)</t>
        </is>
      </c>
      <c r="I38" s="8" t="inlineStr">
        <is>
          <t>Not met</t>
        </is>
      </c>
      <c r="J38" s="8" t="inlineStr">
        <is>
          <t>This needs more specific attention
In general terms, the Faculty has focused on reducing air travel, the major environmental impact of our research activity.</t>
        </is>
      </c>
      <c r="K38" s="8" t="inlineStr"/>
      <c r="L38" s="8" t="n"/>
      <c r="M38" s="8" t="n"/>
      <c r="N38" s="8" t="n"/>
      <c r="O38" s="8" t="n"/>
      <c r="P38" s="8" t="n"/>
      <c r="Q38" s="8" t="n"/>
      <c r="R38" s="8" t="n"/>
    </row>
    <row r="39" ht="150" customHeight="1">
      <c r="B39" s="7" t="inlineStr">
        <is>
          <t>EN1(a)</t>
        </is>
      </c>
      <c r="C39" s="51" t="inlineStr">
        <is>
          <t>Enablers</t>
        </is>
      </c>
      <c r="D39" s="51" t="inlineStr">
        <is>
          <t>Enablers</t>
        </is>
      </c>
      <c r="E39" s="51" t="inlineStr">
        <is>
          <t>Evidence of sustainability outcomes informed by Indigenous knowledges</t>
        </is>
      </c>
      <c r="F39"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9" s="8" t="inlineStr">
        <is>
          <t>We will report on the ways Indigenous knowledges inform sustainability activities across the University, and develop selected examples into case studies with appropriate permissions.</t>
        </is>
      </c>
      <c r="H39" s="8" t="inlineStr">
        <is>
          <t>6a</t>
        </is>
      </c>
      <c r="I39" s="8" t="inlineStr">
        <is>
          <t>Partially met</t>
        </is>
      </c>
      <c r="J39"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9" s="8" t="inlineStr"/>
      <c r="L39" s="8" t="n"/>
      <c r="M39" s="8" t="n"/>
      <c r="N39" s="8" t="n"/>
      <c r="O39" s="8" t="n"/>
      <c r="P39" s="8" t="n"/>
      <c r="Q39" s="8" t="n"/>
      <c r="R39" s="8" t="n"/>
    </row>
    <row r="40" ht="150" customHeight="1">
      <c r="B40" s="7" t="inlineStr">
        <is>
          <t>EN1(b)</t>
        </is>
      </c>
      <c r="C40" s="51" t="inlineStr">
        <is>
          <t>Enablers</t>
        </is>
      </c>
      <c r="D40" s="51" t="inlineStr">
        <is>
          <t>Enablers</t>
        </is>
      </c>
      <c r="E40" s="51" t="inlineStr">
        <is>
          <t>Living laboratories enabling applied learning, research and operational sustainability outcomes</t>
        </is>
      </c>
      <c r="F40"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0" s="8" t="inlineStr">
        <is>
          <t>We will share examples of sustainability-related living labs from across the University in the 2026 Sustainability Report, alongside CLLAP projects reported by CI&amp;S.</t>
        </is>
      </c>
      <c r="H40" s="8" t="inlineStr">
        <is>
          <t>2a</t>
        </is>
      </c>
      <c r="I40" s="8" t="inlineStr">
        <is>
          <t>Met or exceeded</t>
        </is>
      </c>
      <c r="J40" s="8" t="inlineStr">
        <is>
          <t>See attached report. (RH note: Saved in responses folder)</t>
        </is>
      </c>
      <c r="K40" s="8" t="inlineStr">
        <is>
          <t>Draft report on the Living Lab project is here: Report John Medley Living Lab Project FINAL.docx</t>
        </is>
      </c>
      <c r="L40" s="8" t="n"/>
      <c r="M40" s="8" t="n"/>
      <c r="N40" s="8" t="n"/>
      <c r="O40" s="8" t="n"/>
      <c r="P40" s="8" t="n"/>
      <c r="Q40" s="8" t="n"/>
      <c r="R40" s="8" t="n"/>
    </row>
    <row r="41" ht="150" customHeight="1">
      <c r="B41" s="7" t="inlineStr">
        <is>
          <t>EN1(c)</t>
        </is>
      </c>
      <c r="C41" s="51" t="inlineStr">
        <is>
          <t>Enablers</t>
        </is>
      </c>
      <c r="D41" s="51" t="inlineStr">
        <is>
          <t>Enablers</t>
        </is>
      </c>
      <c r="E41" s="51" t="inlineStr">
        <is>
          <t>Coordinated internal engagement and external partnerships contributing to delivery of sustainability outcomes across priority areas.</t>
        </is>
      </c>
      <c r="F41"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41" s="8" t="inlineStr">
        <is>
          <t>We will report on internal engagement and partnerships contributing to Sustainability 2030 outcomes, and update our record of sustainability-focused communities of practice and contacts across the University.</t>
        </is>
      </c>
      <c r="H41" s="8" t="inlineStr">
        <is>
          <t>3a(ii)</t>
        </is>
      </c>
      <c r="I41" s="8" t="inlineStr">
        <is>
          <t>Partially met</t>
        </is>
      </c>
      <c r="J41"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41" s="8" t="inlineStr"/>
      <c r="L41" s="8" t="n"/>
      <c r="M41" s="8" t="n"/>
      <c r="N41" s="8" t="n"/>
      <c r="O41" s="8" t="n"/>
      <c r="P41" s="8" t="n"/>
      <c r="Q41" s="8" t="n"/>
      <c r="R41" s="8" t="n"/>
    </row>
    <row r="42" ht="150" customHeight="1">
      <c r="B42" s="7" t="inlineStr">
        <is>
          <t>EN1(d)</t>
        </is>
      </c>
      <c r="C42" s="51" t="inlineStr">
        <is>
          <t>Enablers</t>
        </is>
      </c>
      <c r="D42" s="51" t="inlineStr">
        <is>
          <t>Enablers</t>
        </is>
      </c>
      <c r="E42" s="51" t="inlineStr">
        <is>
          <t>Sustainability objectives integrated into governance and decision‑making processes, supported by transparent reporting.</t>
        </is>
      </c>
      <c r="F42"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42" s="8" t="inlineStr">
        <is>
          <t>We will report on how sustainability is integrated into governance and decision-making across faculties and portfolios, and use responses as a baseline for the governance enabler from 2027.</t>
        </is>
      </c>
      <c r="H42" s="8" t="inlineStr">
        <is>
          <t>N/A – new indicator</t>
        </is>
      </c>
      <c r="I42" s="8" t="inlineStr"/>
      <c r="J42" s="8" t="inlineStr"/>
      <c r="K42" s="8" t="inlineStr"/>
      <c r="L42" s="8" t="n"/>
      <c r="M42" s="8" t="n"/>
      <c r="N42" s="8" t="n"/>
      <c r="O42" s="8" t="n"/>
      <c r="P42" s="8" t="n"/>
      <c r="Q42" s="8" t="n"/>
      <c r="R42" s="8" t="n"/>
    </row>
    <row r="43"/>
    <row r="45">
      <c r="B45" s="46" t="inlineStr">
        <is>
          <t>1.3  FBE – Faculty of Business and Economics</t>
        </is>
      </c>
    </row>
    <row r="47">
      <c r="C47" s="47" t="inlineStr">
        <is>
          <t>Sustainability 2030 target and indicator</t>
        </is>
      </c>
      <c r="H47" s="47" t="inlineStr">
        <is>
          <t>End-2025 reporting (click the ref to see your full SR25 response; [+] above expands a summary)</t>
        </is>
      </c>
      <c r="L47" s="48" t="inlineStr">
        <is>
          <t>End-2026 reporting (PLEASE COMPLETE THIS SECTION)</t>
        </is>
      </c>
    </row>
    <row r="48">
      <c r="B48" s="6" t="inlineStr">
        <is>
          <t>Ref</t>
        </is>
      </c>
      <c r="C48" s="6" t="inlineStr">
        <is>
          <t>Priority area</t>
        </is>
      </c>
      <c r="D48" s="6" t="inlineStr">
        <is>
          <t>Sustainability 2030 target</t>
        </is>
      </c>
      <c r="E48" s="6" t="inlineStr">
        <is>
          <t>Indicator</t>
        </is>
      </c>
      <c r="F48" s="6" t="inlineStr">
        <is>
          <t>2026 Reporting request</t>
        </is>
      </c>
      <c r="G48" s="6" t="inlineStr">
        <is>
          <t>How SST will use this data</t>
        </is>
      </c>
      <c r="H48" s="6" t="inlineStr">
        <is>
          <t>Related SR25 ref</t>
        </is>
      </c>
      <c r="I48" s="6" t="inlineStr">
        <is>
          <t>End-2025 confirmed status</t>
        </is>
      </c>
      <c r="J48" s="6" t="inlineStr">
        <is>
          <t>End-2025 reporting response</t>
        </is>
      </c>
      <c r="K48" s="6" t="inlineStr">
        <is>
          <t>Links and supporting information</t>
        </is>
      </c>
      <c r="L48" s="49" t="inlineStr">
        <is>
          <t>Confirm end-2026 target status</t>
        </is>
      </c>
      <c r="M48" s="49" t="inlineStr">
        <is>
          <t>OPTION 1:  Target-level reporting (Column D)</t>
        </is>
      </c>
      <c r="N48" s="49" t="inlineStr">
        <is>
          <t>OPTION 2:  Indicator level reporting (Column E/F)</t>
        </is>
      </c>
      <c r="O48" s="49" t="inlineStr">
        <is>
          <t>Supporting information/comments</t>
        </is>
      </c>
      <c r="P48" s="49" t="inlineStr">
        <is>
          <t>Data source and limitations</t>
        </is>
      </c>
      <c r="Q48" s="49" t="inlineStr">
        <is>
          <t>Data owner confirms information is accurate</t>
        </is>
      </c>
      <c r="R48" s="49" t="inlineStr">
        <is>
          <t>Confirmed by (name, role, date)</t>
        </is>
      </c>
    </row>
    <row r="49">
      <c r="B49" s="50" t="inlineStr"/>
      <c r="C49" s="50" t="inlineStr"/>
      <c r="D49" s="50" t="inlineStr"/>
      <c r="E49" s="50" t="inlineStr"/>
      <c r="F49" s="50" t="inlineStr"/>
      <c r="G49" s="50" t="inlineStr"/>
      <c r="H49" s="50" t="inlineStr"/>
      <c r="I49" s="50" t="inlineStr"/>
      <c r="J49" s="50" t="inlineStr"/>
      <c r="K49" s="50" t="inlineStr"/>
      <c r="L49" s="50" t="inlineStr">
        <is>
          <t>(Met or exceeded; partially met; not met; not yet started)</t>
        </is>
      </c>
      <c r="M49" s="50" t="inlineStr">
        <is>
          <t>Provide further evidence of target status assessment in the form of:
A general update on activities in relation to the overarching target (Column D)</t>
        </is>
      </c>
      <c r="N49" s="50" t="inlineStr">
        <is>
          <t>Provide further evidence of target status assessment in the form of:
Data and commentary in direct response to the reporting request (Column F)</t>
        </is>
      </c>
      <c r="O49" s="50" t="inlineStr">
        <is>
          <t>Provide any additional information to support the target status assessment (e.g. links, images, rationale for selection of target status)</t>
        </is>
      </c>
      <c r="P49" s="50" t="inlineStr">
        <is>
          <t>Where did this information come from (system, report, survey, person)? Note any gaps or limitations.</t>
        </is>
      </c>
      <c r="Q49" s="50" t="inlineStr">
        <is>
          <t>Select 'Yes' to confirm the information provided is accurate and can be used for reporting</t>
        </is>
      </c>
      <c r="R49" s="50" t="inlineStr">
        <is>
          <t>Name, role and date of the person confirming</t>
        </is>
      </c>
    </row>
    <row r="50" ht="150" customHeight="1">
      <c r="B50" s="7" t="inlineStr">
        <is>
          <t>EE1(a)</t>
        </is>
      </c>
      <c r="C50" s="51" t="inlineStr">
        <is>
          <t>Exceptional education</t>
        </is>
      </c>
      <c r="D50" s="51" t="inlineStr">
        <is>
          <t>Provide our students with learning experiences that help them build the knowledge, skills and relationships to lead change for sustainable societies.</t>
        </is>
      </c>
      <c r="E50" s="51" t="inlineStr">
        <is>
          <t>Evidence of innovative approaches to sustainability teaching and learning</t>
        </is>
      </c>
      <c r="F5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0" s="8" t="inlineStr">
        <is>
          <t>4a(ii)</t>
        </is>
      </c>
      <c r="I50" s="8" t="inlineStr">
        <is>
          <t>Partially met</t>
        </is>
      </c>
      <c r="J50"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50" s="8" t="inlineStr"/>
      <c r="L50" s="8" t="n"/>
      <c r="M50" s="8" t="n"/>
      <c r="N50" s="8" t="n"/>
      <c r="O50" s="8" t="n"/>
      <c r="P50" s="8" t="n"/>
      <c r="Q50" s="8" t="n"/>
      <c r="R50" s="8" t="n"/>
    </row>
    <row r="51" ht="150" customHeight="1">
      <c r="B51" s="7" t="inlineStr">
        <is>
          <t>EE1(b)</t>
        </is>
      </c>
      <c r="C51" s="51" t="inlineStr">
        <is>
          <t>Exceptional education</t>
        </is>
      </c>
      <c r="D51" s="51" t="inlineStr">
        <is>
          <t>Provide our students with learning experiences that help them build the knowledge, skills and relationships to lead change for sustainable societies.</t>
        </is>
      </c>
      <c r="E51" s="51" t="inlineStr">
        <is>
          <t>Pilots of possible approaches for understanding and developing students’ sustainability self-efficacy</t>
        </is>
      </c>
      <c r="F5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1" s="8" t="inlineStr">
        <is>
          <t>This is a new indicator. We will use responses to establish a baseline of how (and whether) faculties are understanding student sustainability self-efficacy, and report on early pilots in the 2026 Sustainability Report. A nil response is useful to us.</t>
        </is>
      </c>
      <c r="H51" s="8" t="inlineStr">
        <is>
          <t>N/A – new indicator</t>
        </is>
      </c>
      <c r="I51" s="8" t="inlineStr"/>
      <c r="J51" s="8" t="inlineStr"/>
      <c r="K51" s="8" t="inlineStr"/>
      <c r="L51" s="8" t="n"/>
      <c r="M51" s="8" t="n"/>
      <c r="N51" s="8" t="n"/>
      <c r="O51" s="8" t="n"/>
      <c r="P51" s="8" t="n"/>
      <c r="Q51" s="8" t="n"/>
      <c r="R51" s="8" t="n"/>
    </row>
    <row r="52" ht="150" customHeight="1">
      <c r="B52" s="7" t="inlineStr">
        <is>
          <t>TR1(a)</t>
        </is>
      </c>
      <c r="C52" s="51" t="inlineStr">
        <is>
          <t>Transformational research</t>
        </is>
      </c>
      <c r="D52" s="51" t="inlineStr">
        <is>
          <t>Utilise the expertise of the University’s researchers through mutually beneficial partnerships to help address the University’s operational sustainability challenges.</t>
        </is>
      </c>
      <c r="E52" s="51" t="inlineStr">
        <is>
          <t>Expert-reviewed evidence of researchers contributing to operational sustainability priorities through partnerships, advisory input, living labs, applied projects or decision-support</t>
        </is>
      </c>
      <c r="F52"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52" s="8" t="inlineStr">
        <is>
          <t>We will report on examples of researchers helping solve the University's own operational sustainability challenges, alongside CLLAP projects reported by CI&amp;S, and share them with operational teams to identify further collaboration.</t>
        </is>
      </c>
      <c r="H52" s="8" t="inlineStr">
        <is>
          <t>2a</t>
        </is>
      </c>
      <c r="I52" s="8" t="inlineStr">
        <is>
          <t>Partially met</t>
        </is>
      </c>
      <c r="J52" s="8" t="inlineStr">
        <is>
          <t>CLLAP report on University Investor Stewardship provided separately</t>
        </is>
      </c>
      <c r="K52" s="8" t="inlineStr"/>
      <c r="L52" s="8" t="n"/>
      <c r="M52" s="8" t="n"/>
      <c r="N52" s="8" t="n"/>
      <c r="O52" s="8" t="n"/>
      <c r="P52" s="8" t="n"/>
      <c r="Q52" s="8" t="n"/>
      <c r="R52" s="8" t="n"/>
    </row>
    <row r="53" ht="150" customHeight="1">
      <c r="B53" s="7" t="inlineStr">
        <is>
          <t>TR1(b)</t>
        </is>
      </c>
      <c r="C53" s="51" t="inlineStr">
        <is>
          <t>Transformational research</t>
        </is>
      </c>
      <c r="D53" s="51" t="inlineStr">
        <is>
          <t>Utilise the expertise of the University’s researchers through mutually beneficial partnerships to help address the University’s operational sustainability challenges.</t>
        </is>
      </c>
      <c r="E53" s="51" t="inlineStr">
        <is>
          <t>Evidence of institutional pathways that enable ongoing collaboration between academic and professional staff</t>
        </is>
      </c>
      <c r="F53"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53" s="8" t="inlineStr">
        <is>
          <t>We will map existing academic–professional collaboration mechanisms across faculties to establish a baseline for this new indicator and identify models other faculties could adopt.</t>
        </is>
      </c>
      <c r="H53" s="8" t="inlineStr">
        <is>
          <t>N/A – new indicator</t>
        </is>
      </c>
      <c r="I53" s="8" t="inlineStr"/>
      <c r="J53" s="8" t="inlineStr"/>
      <c r="K53" s="8" t="inlineStr"/>
      <c r="L53" s="8" t="n"/>
      <c r="M53" s="8" t="n"/>
      <c r="N53" s="8" t="n"/>
      <c r="O53" s="8" t="n"/>
      <c r="P53" s="8" t="n"/>
      <c r="Q53" s="8" t="n"/>
      <c r="R53" s="8" t="n"/>
    </row>
    <row r="54" ht="150" customHeight="1">
      <c r="B54" s="7" t="inlineStr">
        <is>
          <t>TR1(c)</t>
        </is>
      </c>
      <c r="C54" s="51" t="inlineStr">
        <is>
          <t>Transformational research</t>
        </is>
      </c>
      <c r="D54" s="51" t="inlineStr">
        <is>
          <t>Utilise the expertise of the University’s researchers through mutually beneficial partnerships to help address the University’s operational sustainability challenges.</t>
        </is>
      </c>
      <c r="E54" s="51" t="inlineStr">
        <is>
          <t>Expert assessment of the quality, relevance and continuity of these collaborations</t>
        </is>
      </c>
      <c r="F54" s="8" t="inlineStr">
        <is>
          <t>For the collaborations described in TR1(a)–(b), please give a short assessment (a paragraph is sufficient) of their quality, relevance and continuity: are they ongoing, useful to the University's operational priorities, and producing outcomes?</t>
        </is>
      </c>
      <c r="G54" s="8" t="inlineStr">
        <is>
          <t>We will use your assessment to describe the quality and continuity of research–operations collaboration in the 2026 report, and as baseline evidence for the interim target status assessment from 2027.</t>
        </is>
      </c>
      <c r="H54" s="8" t="inlineStr">
        <is>
          <t>N/A – new indicator</t>
        </is>
      </c>
      <c r="I54" s="8" t="inlineStr"/>
      <c r="J54" s="8" t="inlineStr"/>
      <c r="K54" s="8" t="inlineStr"/>
      <c r="L54" s="8" t="n"/>
      <c r="M54" s="8" t="n"/>
      <c r="N54" s="8" t="n"/>
      <c r="O54" s="8" t="n"/>
      <c r="P54" s="8" t="n"/>
      <c r="Q54" s="8" t="n"/>
      <c r="R54" s="8" t="n"/>
    </row>
    <row r="55" ht="150" customHeight="1">
      <c r="B55" s="7" t="inlineStr">
        <is>
          <t>TR1(d)</t>
        </is>
      </c>
      <c r="C55" s="51" t="inlineStr">
        <is>
          <t>Transformational research</t>
        </is>
      </c>
      <c r="D55" s="51" t="inlineStr">
        <is>
          <t>Utilise the expertise of the University’s researchers through mutually beneficial partnerships to help address the University’s operational sustainability challenges.</t>
        </is>
      </c>
      <c r="E55" s="51" t="inlineStr">
        <is>
          <t>Periodic feedback from participants on the effectiveness and mutual benefit of collaboration mechanisms.</t>
        </is>
      </c>
      <c r="F55"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55" s="8" t="inlineStr">
        <is>
          <t>We will use any feedback to understand whether collaboration mechanisms are working and to inform improvements. Where none has been collected, this helps us plan how to gather feedback from 2027.</t>
        </is>
      </c>
      <c r="H55" s="8" t="inlineStr">
        <is>
          <t>N/A – new indicator</t>
        </is>
      </c>
      <c r="I55" s="8" t="inlineStr"/>
      <c r="J55" s="8" t="inlineStr"/>
      <c r="K55" s="8" t="inlineStr"/>
      <c r="L55" s="8" t="n"/>
      <c r="M55" s="8" t="n"/>
      <c r="N55" s="8" t="n"/>
      <c r="O55" s="8" t="n"/>
      <c r="P55" s="8" t="n"/>
      <c r="Q55" s="8" t="n"/>
      <c r="R55" s="8" t="n"/>
    </row>
    <row r="56" ht="150" customHeight="1">
      <c r="B56" s="7" t="inlineStr">
        <is>
          <t>TR2(a)</t>
        </is>
      </c>
      <c r="C56" s="51" t="inlineStr">
        <is>
          <t>Transformational research</t>
        </is>
      </c>
      <c r="D56" s="51" t="inlineStr">
        <is>
          <t>Deliver high-quality research and partnerships that contribute to sustainability outcomes and demonstrable societal benefit.</t>
        </is>
      </c>
      <c r="E56" s="51" t="inlineStr">
        <is>
          <t>Evidence of sustainability-related research impact across diverse pathways, could include policy, industry, community, practice, cultural and institutional outcomes</t>
        </is>
      </c>
      <c r="F56"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56" s="8" t="inlineStr">
        <is>
          <t>We will collate research impact examples across faculties to show the breadth of sustainability-related research impact in the Transformational research section of the 2026 Sustainability Report, complementing University-wide metrics from MRE.</t>
        </is>
      </c>
      <c r="H56" s="8" t="inlineStr">
        <is>
          <t>5b(i)</t>
        </is>
      </c>
      <c r="I56" s="8" t="inlineStr">
        <is>
          <t>Partially met</t>
        </is>
      </c>
      <c r="J5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56" s="8" t="inlineStr">
        <is>
          <t>https://fbe.unimelb.edu.au/research/our-research-at-a-glance</t>
        </is>
      </c>
      <c r="L56" s="8" t="n"/>
      <c r="M56" s="8" t="n"/>
      <c r="N56" s="8" t="n"/>
      <c r="O56" s="8" t="n"/>
      <c r="P56" s="8" t="n"/>
      <c r="Q56" s="8" t="n"/>
      <c r="R56" s="8" t="n"/>
    </row>
    <row r="57" ht="150" customHeight="1">
      <c r="B57" s="7" t="inlineStr">
        <is>
          <t>TR2(d)</t>
        </is>
      </c>
      <c r="C57" s="51" t="inlineStr">
        <is>
          <t>Transformational research</t>
        </is>
      </c>
      <c r="D57" s="51" t="inlineStr">
        <is>
          <t>Deliver high-quality research and partnerships that contribute to sustainability outcomes and demonstrable societal benefit.</t>
        </is>
      </c>
      <c r="E57" s="51" t="inlineStr">
        <is>
          <t>Case-based evidence demonstrating how research has contributed to meaningful sustainability outcomes.</t>
        </is>
      </c>
      <c r="F57"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57" s="8" t="inlineStr">
        <is>
          <t>We will select the strongest examples to develop as full research case studies for the 2026 Sustainability Report (we may contact you for more detail and images).</t>
        </is>
      </c>
      <c r="H57" s="8" t="inlineStr">
        <is>
          <t>5b(i)</t>
        </is>
      </c>
      <c r="I57" s="8" t="inlineStr">
        <is>
          <t>Partially met</t>
        </is>
      </c>
      <c r="J57"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57" s="8" t="inlineStr">
        <is>
          <t>https://fbe.unimelb.edu.au/research/our-research-at-a-glance</t>
        </is>
      </c>
      <c r="L57" s="8" t="n"/>
      <c r="M57" s="8" t="n"/>
      <c r="N57" s="8" t="n"/>
      <c r="O57" s="8" t="n"/>
      <c r="P57" s="8" t="n"/>
      <c r="Q57" s="8" t="n"/>
      <c r="R57" s="8" t="n"/>
    </row>
    <row r="58" ht="150" customHeight="1">
      <c r="B58" s="7" t="inlineStr">
        <is>
          <t>TR3(b)</t>
        </is>
      </c>
      <c r="C58" s="51" t="inlineStr">
        <is>
          <t>Transformational research</t>
        </is>
      </c>
      <c r="D58" s="51" t="inlineStr">
        <is>
          <t>Embed sustainability within research systems, processes, capability and culture, so research is conducted responsibly, efficiently and with reduced environmental impact.</t>
        </is>
      </c>
      <c r="E58" s="51" t="inlineStr">
        <is>
          <t>Demonstrated examples of more sustainable research practices in laboratories, fieldwork, procurement, travel or infrastructure use</t>
        </is>
      </c>
      <c r="F58"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58" s="8" t="inlineStr">
        <is>
          <t>We will report on ways the University is making research practices more sustainable in the 2026 Sustainability Report, and share practical examples (e.g. green labs) across faculties.</t>
        </is>
      </c>
      <c r="H58" s="8" t="inlineStr">
        <is>
          <t>5c(ii)</t>
        </is>
      </c>
      <c r="I58" s="8" t="inlineStr">
        <is>
          <t>Partially met</t>
        </is>
      </c>
      <c r="J58"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58" s="8" t="inlineStr">
        <is>
          <t>https://fbe.unimelb.edu.au/managementmarketing/research/the-sustainability-hub</t>
        </is>
      </c>
      <c r="L58" s="8" t="n"/>
      <c r="M58" s="8" t="n"/>
      <c r="N58" s="8" t="n"/>
      <c r="O58" s="8" t="n"/>
      <c r="P58" s="8" t="n"/>
      <c r="Q58" s="8" t="n"/>
      <c r="R58" s="8" t="n"/>
    </row>
    <row r="59" ht="150" customHeight="1">
      <c r="B59" s="7" t="inlineStr">
        <is>
          <t>EN1(a)</t>
        </is>
      </c>
      <c r="C59" s="51" t="inlineStr">
        <is>
          <t>Enablers</t>
        </is>
      </c>
      <c r="D59" s="51" t="inlineStr">
        <is>
          <t>Enablers</t>
        </is>
      </c>
      <c r="E59" s="51" t="inlineStr">
        <is>
          <t>Evidence of sustainability outcomes informed by Indigenous knowledges</t>
        </is>
      </c>
      <c r="F59"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9" s="8" t="inlineStr">
        <is>
          <t>We will report on the ways Indigenous knowledges inform sustainability activities across the University, and develop selected examples into case studies with appropriate permissions.</t>
        </is>
      </c>
      <c r="H59" s="8" t="inlineStr">
        <is>
          <t>6a</t>
        </is>
      </c>
      <c r="I59" s="8" t="inlineStr">
        <is>
          <t>Partially met</t>
        </is>
      </c>
      <c r="J59"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59" s="8" t="inlineStr">
        <is>
          <t>https://dilinduwa.com.au/
https://mabocentre.com/</t>
        </is>
      </c>
      <c r="L59" s="8" t="n"/>
      <c r="M59" s="8" t="n"/>
      <c r="N59" s="8" t="n"/>
      <c r="O59" s="8" t="n"/>
      <c r="P59" s="8" t="n"/>
      <c r="Q59" s="8" t="n"/>
      <c r="R59" s="8" t="n"/>
    </row>
    <row r="60" ht="150" customHeight="1">
      <c r="B60" s="7" t="inlineStr">
        <is>
          <t>EN1(b)</t>
        </is>
      </c>
      <c r="C60" s="51" t="inlineStr">
        <is>
          <t>Enablers</t>
        </is>
      </c>
      <c r="D60" s="51" t="inlineStr">
        <is>
          <t>Enablers</t>
        </is>
      </c>
      <c r="E60" s="51" t="inlineStr">
        <is>
          <t>Living laboratories enabling applied learning, research and operational sustainability outcomes</t>
        </is>
      </c>
      <c r="F60"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0" s="8" t="inlineStr">
        <is>
          <t>We will share examples of sustainability-related living labs from across the University in the 2026 Sustainability Report, alongside CLLAP projects reported by CI&amp;S.</t>
        </is>
      </c>
      <c r="H60" s="8" t="inlineStr">
        <is>
          <t>2a</t>
        </is>
      </c>
      <c r="I60" s="8" t="inlineStr">
        <is>
          <t>Partially met</t>
        </is>
      </c>
      <c r="J60" s="8" t="inlineStr">
        <is>
          <t>CLLAP report on University Investor Stewardship provided separately</t>
        </is>
      </c>
      <c r="K60" s="8" t="inlineStr"/>
      <c r="L60" s="8" t="n"/>
      <c r="M60" s="8" t="n"/>
      <c r="N60" s="8" t="n"/>
      <c r="O60" s="8" t="n"/>
      <c r="P60" s="8" t="n"/>
      <c r="Q60" s="8" t="n"/>
      <c r="R60" s="8" t="n"/>
    </row>
    <row r="61" ht="150" customHeight="1">
      <c r="B61" s="7" t="inlineStr">
        <is>
          <t>EN1(c)</t>
        </is>
      </c>
      <c r="C61" s="51" t="inlineStr">
        <is>
          <t>Enablers</t>
        </is>
      </c>
      <c r="D61" s="51" t="inlineStr">
        <is>
          <t>Enablers</t>
        </is>
      </c>
      <c r="E61" s="51" t="inlineStr">
        <is>
          <t>Coordinated internal engagement and external partnerships contributing to delivery of sustainability outcomes across priority areas.</t>
        </is>
      </c>
      <c r="F61"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1" s="8" t="inlineStr">
        <is>
          <t>We will report on internal engagement and partnerships contributing to Sustainability 2030 outcomes, and update our record of sustainability-focused communities of practice and contacts across the University.</t>
        </is>
      </c>
      <c r="H61" s="8" t="inlineStr">
        <is>
          <t>3a(ii)</t>
        </is>
      </c>
      <c r="I61" s="8" t="inlineStr">
        <is>
          <t>Partially met</t>
        </is>
      </c>
      <c r="J61"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61" s="8" t="inlineStr"/>
      <c r="L61" s="8" t="n"/>
      <c r="M61" s="8" t="n"/>
      <c r="N61" s="8" t="n"/>
      <c r="O61" s="8" t="n"/>
      <c r="P61" s="8" t="n"/>
      <c r="Q61" s="8" t="n"/>
      <c r="R61" s="8" t="n"/>
    </row>
    <row r="62" ht="150" customHeight="1">
      <c r="B62" s="7" t="inlineStr">
        <is>
          <t>EN1(d)</t>
        </is>
      </c>
      <c r="C62" s="51" t="inlineStr">
        <is>
          <t>Enablers</t>
        </is>
      </c>
      <c r="D62" s="51" t="inlineStr">
        <is>
          <t>Enablers</t>
        </is>
      </c>
      <c r="E62" s="51" t="inlineStr">
        <is>
          <t>Sustainability objectives integrated into governance and decision‑making processes, supported by transparent reporting.</t>
        </is>
      </c>
      <c r="F62"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62" s="8" t="inlineStr">
        <is>
          <t>We will report on how sustainability is integrated into governance and decision-making across faculties and portfolios, and use responses as a baseline for the governance enabler from 2027.</t>
        </is>
      </c>
      <c r="H62" s="8" t="inlineStr">
        <is>
          <t>N/A – new indicator</t>
        </is>
      </c>
      <c r="I62" s="8" t="inlineStr"/>
      <c r="J62" s="8" t="inlineStr"/>
      <c r="K62" s="8" t="inlineStr"/>
      <c r="L62" s="8" t="n"/>
      <c r="M62" s="8" t="n"/>
      <c r="N62" s="8" t="n"/>
      <c r="O62" s="8" t="n"/>
      <c r="P62" s="8" t="n"/>
      <c r="Q62" s="8" t="n"/>
      <c r="R62" s="8" t="n"/>
    </row>
    <row r="63"/>
    <row r="65">
      <c r="B65" s="46" t="inlineStr">
        <is>
          <t>1.4  SCI – Faculty of Science</t>
        </is>
      </c>
    </row>
    <row r="67">
      <c r="C67" s="47" t="inlineStr">
        <is>
          <t>Sustainability 2030 target and indicator</t>
        </is>
      </c>
      <c r="H67" s="47" t="inlineStr">
        <is>
          <t>End-2025 reporting (click the ref to see your full SR25 response; [+] above expands a summary)</t>
        </is>
      </c>
      <c r="L67" s="48" t="inlineStr">
        <is>
          <t>End-2026 reporting (PLEASE COMPLETE THIS SECTION)</t>
        </is>
      </c>
    </row>
    <row r="68">
      <c r="B68" s="6" t="inlineStr">
        <is>
          <t>Ref</t>
        </is>
      </c>
      <c r="C68" s="6" t="inlineStr">
        <is>
          <t>Priority area</t>
        </is>
      </c>
      <c r="D68" s="6" t="inlineStr">
        <is>
          <t>Sustainability 2030 target</t>
        </is>
      </c>
      <c r="E68" s="6" t="inlineStr">
        <is>
          <t>Indicator</t>
        </is>
      </c>
      <c r="F68" s="6" t="inlineStr">
        <is>
          <t>2026 Reporting request</t>
        </is>
      </c>
      <c r="G68" s="6" t="inlineStr">
        <is>
          <t>How SST will use this data</t>
        </is>
      </c>
      <c r="H68" s="6" t="inlineStr">
        <is>
          <t>Related SR25 ref</t>
        </is>
      </c>
      <c r="I68" s="6" t="inlineStr">
        <is>
          <t>End-2025 confirmed status</t>
        </is>
      </c>
      <c r="J68" s="6" t="inlineStr">
        <is>
          <t>End-2025 reporting response</t>
        </is>
      </c>
      <c r="K68" s="6" t="inlineStr">
        <is>
          <t>Links and supporting information</t>
        </is>
      </c>
      <c r="L68" s="49" t="inlineStr">
        <is>
          <t>Confirm end-2026 target status</t>
        </is>
      </c>
      <c r="M68" s="49" t="inlineStr">
        <is>
          <t>OPTION 1:  Target-level reporting (Column D)</t>
        </is>
      </c>
      <c r="N68" s="49" t="inlineStr">
        <is>
          <t>OPTION 2:  Indicator level reporting (Column E/F)</t>
        </is>
      </c>
      <c r="O68" s="49" t="inlineStr">
        <is>
          <t>Supporting information/comments</t>
        </is>
      </c>
      <c r="P68" s="49" t="inlineStr">
        <is>
          <t>Data source and limitations</t>
        </is>
      </c>
      <c r="Q68" s="49" t="inlineStr">
        <is>
          <t>Data owner confirms information is accurate</t>
        </is>
      </c>
      <c r="R68" s="49" t="inlineStr">
        <is>
          <t>Confirmed by (name, role, date)</t>
        </is>
      </c>
    </row>
    <row r="69">
      <c r="B69" s="50" t="inlineStr"/>
      <c r="C69" s="50" t="inlineStr"/>
      <c r="D69" s="50" t="inlineStr"/>
      <c r="E69" s="50" t="inlineStr"/>
      <c r="F69" s="50" t="inlineStr"/>
      <c r="G69" s="50" t="inlineStr"/>
      <c r="H69" s="50" t="inlineStr"/>
      <c r="I69" s="50" t="inlineStr"/>
      <c r="J69" s="50" t="inlineStr"/>
      <c r="K69" s="50" t="inlineStr"/>
      <c r="L69" s="50" t="inlineStr">
        <is>
          <t>(Met or exceeded; partially met; not met; not yet started)</t>
        </is>
      </c>
      <c r="M69" s="50" t="inlineStr">
        <is>
          <t>Provide further evidence of target status assessment in the form of:
A general update on activities in relation to the overarching target (Column D)</t>
        </is>
      </c>
      <c r="N69" s="50" t="inlineStr">
        <is>
          <t>Provide further evidence of target status assessment in the form of:
Data and commentary in direct response to the reporting request (Column F)</t>
        </is>
      </c>
      <c r="O69" s="50" t="inlineStr">
        <is>
          <t>Provide any additional information to support the target status assessment (e.g. links, images, rationale for selection of target status)</t>
        </is>
      </c>
      <c r="P69" s="50" t="inlineStr">
        <is>
          <t>Where did this information come from (system, report, survey, person)? Note any gaps or limitations.</t>
        </is>
      </c>
      <c r="Q69" s="50" t="inlineStr">
        <is>
          <t>Select 'Yes' to confirm the information provided is accurate and can be used for reporting</t>
        </is>
      </c>
      <c r="R69" s="50" t="inlineStr">
        <is>
          <t>Name, role and date of the person confirming</t>
        </is>
      </c>
    </row>
    <row r="70" ht="150" customHeight="1">
      <c r="B70" s="7" t="inlineStr">
        <is>
          <t>EE1(a)</t>
        </is>
      </c>
      <c r="C70" s="51" t="inlineStr">
        <is>
          <t>Exceptional education</t>
        </is>
      </c>
      <c r="D70" s="51" t="inlineStr">
        <is>
          <t>Provide our students with learning experiences that help them build the knowledge, skills and relationships to lead change for sustainable societies.</t>
        </is>
      </c>
      <c r="E70" s="51" t="inlineStr">
        <is>
          <t>Evidence of innovative approaches to sustainability teaching and learning</t>
        </is>
      </c>
      <c r="F70"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7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0" s="8" t="inlineStr">
        <is>
          <t>4a(ii)</t>
        </is>
      </c>
      <c r="I70" s="8" t="inlineStr">
        <is>
          <t>Met or exceeded</t>
        </is>
      </c>
      <c r="J70"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70" s="8" t="inlineStr"/>
      <c r="L70" s="8" t="n"/>
      <c r="M70" s="8" t="n"/>
      <c r="N70" s="8" t="n"/>
      <c r="O70" s="8" t="n"/>
      <c r="P70" s="8" t="n"/>
      <c r="Q70" s="8" t="n"/>
      <c r="R70" s="8" t="n"/>
    </row>
    <row r="71" ht="150" customHeight="1">
      <c r="B71" s="7" t="inlineStr">
        <is>
          <t>EE1(b)</t>
        </is>
      </c>
      <c r="C71" s="51" t="inlineStr">
        <is>
          <t>Exceptional education</t>
        </is>
      </c>
      <c r="D71" s="51" t="inlineStr">
        <is>
          <t>Provide our students with learning experiences that help them build the knowledge, skills and relationships to lead change for sustainable societies.</t>
        </is>
      </c>
      <c r="E71" s="51" t="inlineStr">
        <is>
          <t>Pilots of possible approaches for understanding and developing students’ sustainability self-efficacy</t>
        </is>
      </c>
      <c r="F7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71" s="8" t="inlineStr">
        <is>
          <t>This is a new indicator. We will use responses to establish a baseline of how (and whether) faculties are understanding student sustainability self-efficacy, and report on early pilots in the 2026 Sustainability Report. A nil response is useful to us.</t>
        </is>
      </c>
      <c r="H71" s="8" t="inlineStr">
        <is>
          <t>N/A – new indicator</t>
        </is>
      </c>
      <c r="I71" s="8" t="inlineStr"/>
      <c r="J71" s="8" t="inlineStr"/>
      <c r="K71" s="8" t="inlineStr"/>
      <c r="L71" s="8" t="n"/>
      <c r="M71" s="8" t="n"/>
      <c r="N71" s="8" t="n"/>
      <c r="O71" s="8" t="n"/>
      <c r="P71" s="8" t="n"/>
      <c r="Q71" s="8" t="n"/>
      <c r="R71" s="8" t="n"/>
    </row>
    <row r="72" ht="150" customHeight="1">
      <c r="B72" s="7" t="inlineStr">
        <is>
          <t>TR1(a)</t>
        </is>
      </c>
      <c r="C72" s="51" t="inlineStr">
        <is>
          <t>Transformational research</t>
        </is>
      </c>
      <c r="D72" s="51" t="inlineStr">
        <is>
          <t>Utilise the expertise of the University’s researchers through mutually beneficial partnerships to help address the University’s operational sustainability challenges.</t>
        </is>
      </c>
      <c r="E72" s="51" t="inlineStr">
        <is>
          <t>Expert-reviewed evidence of researchers contributing to operational sustainability priorities through partnerships, advisory input, living labs, applied projects or decision-support</t>
        </is>
      </c>
      <c r="F72"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72" s="8" t="inlineStr">
        <is>
          <t>We will report on examples of researchers helping solve the University's own operational sustainability challenges, alongside CLLAP projects reported by CI&amp;S, and share them with operational teams to identify further collaboration.</t>
        </is>
      </c>
      <c r="H72" s="8" t="inlineStr">
        <is>
          <t>2a</t>
        </is>
      </c>
      <c r="I72" s="8" t="inlineStr">
        <is>
          <t>Partially met</t>
        </is>
      </c>
      <c r="J72"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72" s="8" t="inlineStr">
        <is>
          <t>https://www.unimelb.edu.au/newsroom/news/2024/october/native-harvest-cookbook-aims-to-put-indigenous-food-in-every-aussie-kitchen
https://theconversation.com/we-planted-two-woody-meadows-a-decade-ago-to-see-what-would-thrive-now-the-concept-is-popular-across-australia-269611</t>
        </is>
      </c>
      <c r="L72" s="8" t="n"/>
      <c r="M72" s="8" t="n"/>
      <c r="N72" s="8" t="n"/>
      <c r="O72" s="8" t="n"/>
      <c r="P72" s="8" t="n"/>
      <c r="Q72" s="8" t="n"/>
      <c r="R72" s="8" t="n"/>
    </row>
    <row r="73" ht="150" customHeight="1">
      <c r="B73" s="7" t="inlineStr">
        <is>
          <t>TR1(b)</t>
        </is>
      </c>
      <c r="C73" s="51" t="inlineStr">
        <is>
          <t>Transformational research</t>
        </is>
      </c>
      <c r="D73" s="51" t="inlineStr">
        <is>
          <t>Utilise the expertise of the University’s researchers through mutually beneficial partnerships to help address the University’s operational sustainability challenges.</t>
        </is>
      </c>
      <c r="E73" s="51" t="inlineStr">
        <is>
          <t>Evidence of institutional pathways that enable ongoing collaboration between academic and professional staff</t>
        </is>
      </c>
      <c r="F73"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73" s="8" t="inlineStr">
        <is>
          <t>We will map existing academic–professional collaboration mechanisms across faculties to establish a baseline for this new indicator and identify models other faculties could adopt.</t>
        </is>
      </c>
      <c r="H73" s="8" t="inlineStr">
        <is>
          <t>N/A – new indicator</t>
        </is>
      </c>
      <c r="I73" s="8" t="inlineStr"/>
      <c r="J73" s="8" t="inlineStr"/>
      <c r="K73" s="8" t="inlineStr"/>
      <c r="L73" s="8" t="n"/>
      <c r="M73" s="8" t="n"/>
      <c r="N73" s="8" t="n"/>
      <c r="O73" s="8" t="n"/>
      <c r="P73" s="8" t="n"/>
      <c r="Q73" s="8" t="n"/>
      <c r="R73" s="8" t="n"/>
    </row>
    <row r="74" ht="150" customHeight="1">
      <c r="B74" s="7" t="inlineStr">
        <is>
          <t>TR1(c)</t>
        </is>
      </c>
      <c r="C74" s="51" t="inlineStr">
        <is>
          <t>Transformational research</t>
        </is>
      </c>
      <c r="D74" s="51" t="inlineStr">
        <is>
          <t>Utilise the expertise of the University’s researchers through mutually beneficial partnerships to help address the University’s operational sustainability challenges.</t>
        </is>
      </c>
      <c r="E74" s="51" t="inlineStr">
        <is>
          <t>Expert assessment of the quality, relevance and continuity of these collaborations</t>
        </is>
      </c>
      <c r="F74" s="8" t="inlineStr">
        <is>
          <t>For the collaborations described in TR1(a)–(b), please give a short assessment (a paragraph is sufficient) of their quality, relevance and continuity: are they ongoing, useful to the University's operational priorities, and producing outcomes?</t>
        </is>
      </c>
      <c r="G74" s="8" t="inlineStr">
        <is>
          <t>We will use your assessment to describe the quality and continuity of research–operations collaboration in the 2026 report, and as baseline evidence for the interim target status assessment from 2027.</t>
        </is>
      </c>
      <c r="H74" s="8" t="inlineStr">
        <is>
          <t>N/A – new indicator</t>
        </is>
      </c>
      <c r="I74" s="8" t="inlineStr"/>
      <c r="J74" s="8" t="inlineStr"/>
      <c r="K74" s="8" t="inlineStr"/>
      <c r="L74" s="8" t="n"/>
      <c r="M74" s="8" t="n"/>
      <c r="N74" s="8" t="n"/>
      <c r="O74" s="8" t="n"/>
      <c r="P74" s="8" t="n"/>
      <c r="Q74" s="8" t="n"/>
      <c r="R74" s="8" t="n"/>
    </row>
    <row r="75" ht="150" customHeight="1">
      <c r="B75" s="7" t="inlineStr">
        <is>
          <t>TR1(d)</t>
        </is>
      </c>
      <c r="C75" s="51" t="inlineStr">
        <is>
          <t>Transformational research</t>
        </is>
      </c>
      <c r="D75" s="51" t="inlineStr">
        <is>
          <t>Utilise the expertise of the University’s researchers through mutually beneficial partnerships to help address the University’s operational sustainability challenges.</t>
        </is>
      </c>
      <c r="E75" s="51" t="inlineStr">
        <is>
          <t>Periodic feedback from participants on the effectiveness and mutual benefit of collaboration mechanisms.</t>
        </is>
      </c>
      <c r="F75"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5" s="8" t="inlineStr">
        <is>
          <t>We will use any feedback to understand whether collaboration mechanisms are working and to inform improvements. Where none has been collected, this helps us plan how to gather feedback from 2027.</t>
        </is>
      </c>
      <c r="H75" s="8" t="inlineStr">
        <is>
          <t>N/A – new indicator</t>
        </is>
      </c>
      <c r="I75" s="8" t="inlineStr"/>
      <c r="J75" s="8" t="inlineStr"/>
      <c r="K75" s="8" t="inlineStr"/>
      <c r="L75" s="8" t="n"/>
      <c r="M75" s="8" t="n"/>
      <c r="N75" s="8" t="n"/>
      <c r="O75" s="8" t="n"/>
      <c r="P75" s="8" t="n"/>
      <c r="Q75" s="8" t="n"/>
      <c r="R75" s="8" t="n"/>
    </row>
    <row r="76" ht="150" customHeight="1">
      <c r="B76" s="7" t="inlineStr">
        <is>
          <t>TR2(a)</t>
        </is>
      </c>
      <c r="C76" s="51" t="inlineStr">
        <is>
          <t>Transformational research</t>
        </is>
      </c>
      <c r="D76" s="51" t="inlineStr">
        <is>
          <t>Deliver high-quality research and partnerships that contribute to sustainability outcomes and demonstrable societal benefit.</t>
        </is>
      </c>
      <c r="E76" s="51" t="inlineStr">
        <is>
          <t>Evidence of sustainability-related research impact across diverse pathways, could include policy, industry, community, practice, cultural and institutional outcomes</t>
        </is>
      </c>
      <c r="F76"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6" s="8" t="inlineStr">
        <is>
          <t>We will collate research impact examples across faculties to show the breadth of sustainability-related research impact in the Transformational research section of the 2026 Sustainability Report, complementing University-wide metrics from MRE.</t>
        </is>
      </c>
      <c r="H76" s="8" t="inlineStr">
        <is>
          <t>5b(i)</t>
        </is>
      </c>
      <c r="I76" s="8" t="inlineStr">
        <is>
          <t>Met or exceeded</t>
        </is>
      </c>
      <c r="J76"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76" s="8" t="inlineStr"/>
      <c r="L76" s="8" t="n"/>
      <c r="M76" s="8" t="n"/>
      <c r="N76" s="8" t="n"/>
      <c r="O76" s="8" t="n"/>
      <c r="P76" s="8" t="n"/>
      <c r="Q76" s="8" t="n"/>
      <c r="R76" s="8" t="n"/>
    </row>
    <row r="77" ht="150" customHeight="1">
      <c r="B77" s="7" t="inlineStr">
        <is>
          <t>TR2(d)</t>
        </is>
      </c>
      <c r="C77" s="51" t="inlineStr">
        <is>
          <t>Transformational research</t>
        </is>
      </c>
      <c r="D77" s="51" t="inlineStr">
        <is>
          <t>Deliver high-quality research and partnerships that contribute to sustainability outcomes and demonstrable societal benefit.</t>
        </is>
      </c>
      <c r="E77" s="51" t="inlineStr">
        <is>
          <t>Case-based evidence demonstrating how research has contributed to meaningful sustainability outcomes.</t>
        </is>
      </c>
      <c r="F77"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77" s="8" t="inlineStr">
        <is>
          <t>We will select the strongest examples to develop as full research case studies for the 2026 Sustainability Report (we may contact you for more detail and images).</t>
        </is>
      </c>
      <c r="H77" s="8" t="inlineStr">
        <is>
          <t>5b(i)</t>
        </is>
      </c>
      <c r="I77" s="8" t="inlineStr">
        <is>
          <t>Met or exceeded</t>
        </is>
      </c>
      <c r="J77"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77" s="8" t="inlineStr"/>
      <c r="L77" s="8" t="n"/>
      <c r="M77" s="8" t="n"/>
      <c r="N77" s="8" t="n"/>
      <c r="O77" s="8" t="n"/>
      <c r="P77" s="8" t="n"/>
      <c r="Q77" s="8" t="n"/>
      <c r="R77" s="8" t="n"/>
    </row>
    <row r="78" ht="150" customHeight="1">
      <c r="B78" s="7" t="inlineStr">
        <is>
          <t>TR3(b)</t>
        </is>
      </c>
      <c r="C78" s="51" t="inlineStr">
        <is>
          <t>Transformational research</t>
        </is>
      </c>
      <c r="D78" s="51" t="inlineStr">
        <is>
          <t>Embed sustainability within research systems, processes, capability and culture, so research is conducted responsibly, efficiently and with reduced environmental impact.</t>
        </is>
      </c>
      <c r="E78" s="51" t="inlineStr">
        <is>
          <t>Demonstrated examples of more sustainable research practices in laboratories, fieldwork, procurement, travel or infrastructure use</t>
        </is>
      </c>
      <c r="F78"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78" s="8" t="inlineStr">
        <is>
          <t>We will report on ways the University is making research practices more sustainable in the 2026 Sustainability Report, and share practical examples (e.g. green labs) across faculties.</t>
        </is>
      </c>
      <c r="H78" s="8" t="inlineStr">
        <is>
          <t>5c(ii)</t>
        </is>
      </c>
      <c r="I78" s="8" t="inlineStr">
        <is>
          <t>Partially met</t>
        </is>
      </c>
      <c r="J78"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78" s="8" t="inlineStr"/>
      <c r="L78" s="8" t="n"/>
      <c r="M78" s="8" t="n"/>
      <c r="N78" s="8" t="n"/>
      <c r="O78" s="8" t="n"/>
      <c r="P78" s="8" t="n"/>
      <c r="Q78" s="8" t="n"/>
      <c r="R78" s="8" t="n"/>
    </row>
    <row r="79" ht="150" customHeight="1">
      <c r="B79" s="7" t="inlineStr">
        <is>
          <t>EN1(a)</t>
        </is>
      </c>
      <c r="C79" s="51" t="inlineStr">
        <is>
          <t>Enablers</t>
        </is>
      </c>
      <c r="D79" s="51" t="inlineStr">
        <is>
          <t>Enablers</t>
        </is>
      </c>
      <c r="E79" s="51" t="inlineStr">
        <is>
          <t>Evidence of sustainability outcomes informed by Indigenous knowledges</t>
        </is>
      </c>
      <c r="F79"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79" s="8" t="inlineStr">
        <is>
          <t>We will report on the ways Indigenous knowledges inform sustainability activities across the University, and develop selected examples into case studies with appropriate permissions.</t>
        </is>
      </c>
      <c r="H79" s="8" t="inlineStr">
        <is>
          <t>6a</t>
        </is>
      </c>
      <c r="I79" s="8" t="inlineStr">
        <is>
          <t>Partially met</t>
        </is>
      </c>
      <c r="J79"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79" s="8" t="inlineStr"/>
      <c r="L79" s="8" t="n"/>
      <c r="M79" s="8" t="n"/>
      <c r="N79" s="8" t="n"/>
      <c r="O79" s="8" t="n"/>
      <c r="P79" s="8" t="n"/>
      <c r="Q79" s="8" t="n"/>
      <c r="R79" s="8" t="n"/>
    </row>
    <row r="80" ht="150" customHeight="1">
      <c r="B80" s="7" t="inlineStr">
        <is>
          <t>EN1(b)</t>
        </is>
      </c>
      <c r="C80" s="51" t="inlineStr">
        <is>
          <t>Enablers</t>
        </is>
      </c>
      <c r="D80" s="51" t="inlineStr">
        <is>
          <t>Enablers</t>
        </is>
      </c>
      <c r="E80" s="51" t="inlineStr">
        <is>
          <t>Living laboratories enabling applied learning, research and operational sustainability outcomes</t>
        </is>
      </c>
      <c r="F80"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80" s="8" t="inlineStr">
        <is>
          <t>We will share examples of sustainability-related living labs from across the University in the 2026 Sustainability Report, alongside CLLAP projects reported by CI&amp;S.</t>
        </is>
      </c>
      <c r="H80" s="8" t="inlineStr">
        <is>
          <t>2a</t>
        </is>
      </c>
      <c r="I80" s="8" t="inlineStr">
        <is>
          <t>Partially met</t>
        </is>
      </c>
      <c r="J8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80" s="8" t="inlineStr">
        <is>
          <t>https://www.unimelb.edu.au/newsroom/news/2024/october/native-harvest-cookbook-aims-to-put-indigenous-food-in-every-aussie-kitchen
https://theconversation.com/we-planted-two-woody-meadows-a-decade-ago-to-see-what-would-thrive-now-the-concept-is-popular-across-australia-269611</t>
        </is>
      </c>
      <c r="L80" s="8" t="n"/>
      <c r="M80" s="8" t="n"/>
      <c r="N80" s="8" t="n"/>
      <c r="O80" s="8" t="n"/>
      <c r="P80" s="8" t="n"/>
      <c r="Q80" s="8" t="n"/>
      <c r="R80" s="8" t="n"/>
    </row>
    <row r="81" ht="150" customHeight="1">
      <c r="B81" s="7" t="inlineStr">
        <is>
          <t>EN1(c)</t>
        </is>
      </c>
      <c r="C81" s="51" t="inlineStr">
        <is>
          <t>Enablers</t>
        </is>
      </c>
      <c r="D81" s="51" t="inlineStr">
        <is>
          <t>Enablers</t>
        </is>
      </c>
      <c r="E81" s="51" t="inlineStr">
        <is>
          <t>Coordinated internal engagement and external partnerships contributing to delivery of sustainability outcomes across priority areas.</t>
        </is>
      </c>
      <c r="F81"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81" s="8" t="inlineStr">
        <is>
          <t>We will report on internal engagement and partnerships contributing to Sustainability 2030 outcomes, and update our record of sustainability-focused communities of practice and contacts across the University.</t>
        </is>
      </c>
      <c r="H81" s="8" t="inlineStr">
        <is>
          <t>3a(ii)</t>
        </is>
      </c>
      <c r="I81" s="8" t="inlineStr">
        <is>
          <t>Met or exceeded</t>
        </is>
      </c>
      <c r="J81"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81" s="8" t="inlineStr"/>
      <c r="L81" s="8" t="n"/>
      <c r="M81" s="8" t="n"/>
      <c r="N81" s="8" t="n"/>
      <c r="O81" s="8" t="n"/>
      <c r="P81" s="8" t="n"/>
      <c r="Q81" s="8" t="n"/>
      <c r="R81" s="8" t="n"/>
    </row>
    <row r="82" ht="150" customHeight="1">
      <c r="B82" s="7" t="inlineStr">
        <is>
          <t>EN1(d)</t>
        </is>
      </c>
      <c r="C82" s="51" t="inlineStr">
        <is>
          <t>Enablers</t>
        </is>
      </c>
      <c r="D82" s="51" t="inlineStr">
        <is>
          <t>Enablers</t>
        </is>
      </c>
      <c r="E82" s="51" t="inlineStr">
        <is>
          <t>Sustainability objectives integrated into governance and decision‑making processes, supported by transparent reporting.</t>
        </is>
      </c>
      <c r="F82"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2" s="8" t="inlineStr">
        <is>
          <t>We will report on how sustainability is integrated into governance and decision-making across faculties and portfolios, and use responses as a baseline for the governance enabler from 2027.</t>
        </is>
      </c>
      <c r="H82" s="8" t="inlineStr">
        <is>
          <t>N/A – new indicator</t>
        </is>
      </c>
      <c r="I82" s="8" t="inlineStr"/>
      <c r="J82" s="8" t="inlineStr"/>
      <c r="K82" s="8" t="inlineStr"/>
      <c r="L82" s="8" t="n"/>
      <c r="M82" s="8" t="n"/>
      <c r="N82" s="8" t="n"/>
      <c r="O82" s="8" t="n"/>
      <c r="P82" s="8" t="n"/>
      <c r="Q82" s="8" t="n"/>
      <c r="R82" s="8" t="n"/>
    </row>
    <row r="83"/>
  </sheetData>
  <mergeCells count="12">
    <mergeCell ref="C7:G7"/>
    <mergeCell ref="L27:R27"/>
    <mergeCell ref="C67:G67"/>
    <mergeCell ref="H27:K27"/>
    <mergeCell ref="L47:R47"/>
    <mergeCell ref="C47:G47"/>
    <mergeCell ref="H47:K47"/>
    <mergeCell ref="C27:G27"/>
    <mergeCell ref="L7:R7"/>
    <mergeCell ref="H7:K7"/>
    <mergeCell ref="H67:K67"/>
    <mergeCell ref="L67:R67"/>
  </mergeCells>
  <dataValidations count="8">
    <dataValidation sqref="L10:L22" showDropDown="0" showInputMessage="0" showErrorMessage="0" allowBlank="1" errorTitle="Invalid entry" error="Please select from the dropdown" type="list">
      <formula1>=Lists!$B$3:$B$7</formula1>
    </dataValidation>
    <dataValidation sqref="Q10:Q22" showDropDown="0" showInputMessage="0" showErrorMessage="0" allowBlank="1" errorTitle="Invalid entry" error="Please select from the dropdown" type="list">
      <formula1>=Lists!$C$2:$C$4</formula1>
    </dataValidation>
    <dataValidation sqref="L30:L42" showDropDown="0" showInputMessage="0" showErrorMessage="0" allowBlank="1" errorTitle="Invalid entry" error="Please select from the dropdown" type="list">
      <formula1>=Lists!$B$3:$B$7</formula1>
    </dataValidation>
    <dataValidation sqref="Q30:Q42" showDropDown="0" showInputMessage="0" showErrorMessage="0" allowBlank="1" errorTitle="Invalid entry" error="Please select from the dropdown" type="list">
      <formula1>=Lists!$C$2:$C$4</formula1>
    </dataValidation>
    <dataValidation sqref="L50:L62" showDropDown="0" showInputMessage="0" showErrorMessage="0" allowBlank="1" errorTitle="Invalid entry" error="Please select from the dropdown" type="list">
      <formula1>=Lists!$B$3:$B$7</formula1>
    </dataValidation>
    <dataValidation sqref="Q50:Q62" showDropDown="0" showInputMessage="0" showErrorMessage="0" allowBlank="1" errorTitle="Invalid entry" error="Please select from the dropdown" type="list">
      <formula1>=Lists!$C$2:$C$4</formula1>
    </dataValidation>
    <dataValidation sqref="L70:L82" showDropDown="0" showInputMessage="0" showErrorMessage="0" allowBlank="1" errorTitle="Invalid entry" error="Please select from the dropdown" type="list">
      <formula1>=Lists!$B$3:$B$7</formula1>
    </dataValidation>
    <dataValidation sqref="Q70:Q8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1" t="inlineStr">
        <is>
          <t>Transformational research</t>
        </is>
      </c>
      <c r="D25" s="51" t="inlineStr">
        <is>
          <t>Utilise the expertise of the University’s researchers through mutually beneficial partnerships to help address the University’s operational sustainability challenges.</t>
        </is>
      </c>
      <c r="E25" s="51"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1" t="inlineStr">
        <is>
          <t>Transformational research</t>
        </is>
      </c>
      <c r="D26" s="51" t="inlineStr">
        <is>
          <t>Deliver high-quality research and partnerships that contribute to sustainability outcomes and demonstrable societal benefit.</t>
        </is>
      </c>
      <c r="E26" s="51"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1" t="inlineStr">
        <is>
          <t>Transformational research</t>
        </is>
      </c>
      <c r="D27" s="51" t="inlineStr">
        <is>
          <t>Embed sustainability within research systems, processes, capability and culture, so research is conducted responsibly, efficiently and with reduced environmental impact.</t>
        </is>
      </c>
      <c r="E27" s="51"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1" t="inlineStr">
        <is>
          <t>Climate leadership</t>
        </is>
      </c>
      <c r="D28"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1"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1" t="inlineStr">
        <is>
          <t>Responsible AI</t>
        </is>
      </c>
      <c r="D29" s="51" t="inlineStr">
        <is>
          <t>Improve understanding of our sustainability-related risks and opportunities of AI technologies by 2028.</t>
        </is>
      </c>
      <c r="E29" s="51"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1" t="inlineStr">
        <is>
          <t>Responsible AI</t>
        </is>
      </c>
      <c r="D30" s="51" t="inlineStr">
        <is>
          <t>Improve understanding of our sustainability-related risks and opportunities of AI technologies by 2028.</t>
        </is>
      </c>
      <c r="E30" s="51"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1" t="inlineStr">
        <is>
          <t>Modern slavery and human rights</t>
        </is>
      </c>
      <c r="D31" s="51" t="inlineStr">
        <is>
          <t>Manage our approach to modern slavery and human rights-related risks and opportunities.</t>
        </is>
      </c>
      <c r="E31" s="51"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1" t="inlineStr">
        <is>
          <t>Responsible investments</t>
        </is>
      </c>
      <c r="D32" s="51" t="inlineStr">
        <is>
          <t>Achieve net zero financed emissions for the University’s investment portfolio by 2050.</t>
        </is>
      </c>
      <c r="E32" s="51"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1" t="inlineStr">
        <is>
          <t>Enablers</t>
        </is>
      </c>
      <c r="D35" s="51" t="inlineStr">
        <is>
          <t>Enablers</t>
        </is>
      </c>
      <c r="E35" s="51"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5"/>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TR2(c)</t>
        </is>
      </c>
      <c r="C10" s="51" t="inlineStr">
        <is>
          <t>Transformational research</t>
        </is>
      </c>
      <c r="D10" s="51" t="inlineStr">
        <is>
          <t>Deliver high-quality research and partnerships that contribute to sustainability outcomes and demonstrable societal benefit.</t>
        </is>
      </c>
      <c r="E10" s="51" t="inlineStr">
        <is>
          <t>Expert-reviewed summary of sustainability-related research outputs, outcomes and influence using available institutional evidence sources</t>
        </is>
      </c>
      <c r="F10"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is>
          <t>5b(iii)</t>
        </is>
      </c>
      <c r="I10" s="8" t="inlineStr">
        <is>
          <t>Met or exceeded</t>
        </is>
      </c>
      <c r="J10" s="8" t="inlineStr">
        <is>
          <t>The University’s research outputs continue to be extensively mentioned in patents, policy, news and social media.</t>
        </is>
      </c>
      <c r="K10" s="8" t="inlineStr"/>
      <c r="L10" s="8" t="n"/>
      <c r="M10" s="8" t="n"/>
      <c r="N10" s="8" t="n"/>
      <c r="O10" s="8" t="n"/>
      <c r="P10" s="8" t="n"/>
      <c r="Q10" s="8" t="n"/>
      <c r="R10" s="8" t="n"/>
    </row>
    <row r="11" ht="150" customHeight="1">
      <c r="B11" s="7" t="inlineStr">
        <is>
          <t>TR3(a)</t>
        </is>
      </c>
      <c r="C11" s="51" t="inlineStr">
        <is>
          <t>Transformational research</t>
        </is>
      </c>
      <c r="D11" s="51" t="inlineStr">
        <is>
          <t>Embed sustainability within research systems, processes, capability and culture, so research is conducted responsibly, efficiently and with reduced environmental impact.</t>
        </is>
      </c>
      <c r="E11" s="51" t="inlineStr">
        <is>
          <t>Evidence that sustainability considerations are integrated into relevant research systems, planning processes, guidance, training, induction or support services</t>
        </is>
      </c>
      <c r="F11"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1" s="8" t="inlineStr">
        <is>
          <t>We will report on how sustainability is being built into research systems and support across the University, and use responses to establish a baseline for this new target.</t>
        </is>
      </c>
      <c r="H11" s="8" t="inlineStr">
        <is>
          <t>5c(i)</t>
        </is>
      </c>
      <c r="I11" s="8" t="inlineStr">
        <is>
          <t>Partially met</t>
        </is>
      </c>
      <c r="J11"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1" s="8" t="inlineStr"/>
      <c r="L11" s="8" t="n"/>
      <c r="M11" s="8" t="n"/>
      <c r="N11" s="8" t="n"/>
      <c r="O11" s="8" t="n"/>
      <c r="P11" s="8" t="n"/>
      <c r="Q11" s="8" t="n"/>
      <c r="R11" s="8" t="n"/>
    </row>
    <row r="12" ht="150" customHeight="1">
      <c r="B12" s="7" t="inlineStr">
        <is>
          <t>TR3(c)</t>
        </is>
      </c>
      <c r="C12" s="51" t="inlineStr">
        <is>
          <t>Transformational research</t>
        </is>
      </c>
      <c r="D12" s="51" t="inlineStr">
        <is>
          <t>Embed sustainability within research systems, processes, capability and culture, so research is conducted responsibly, efficiently and with reduced environmental impact.</t>
        </is>
      </c>
      <c r="E12" s="51" t="inlineStr">
        <is>
          <t>Evidence of progress in sustainability-related research culture, capability and awareness, informed by periodic staff and graduate researcher surveys</t>
        </is>
      </c>
      <c r="F12"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2" s="8" t="inlineStr">
        <is>
          <t>We will use any survey or capability data to describe changes in sustainability-related research culture. Where no evidence exists, this helps us plan University-wide measurement (e.g. staff and graduate researcher surveys) from 2027.</t>
        </is>
      </c>
      <c r="H12" s="8" t="inlineStr">
        <is>
          <t>N/A – new indicator</t>
        </is>
      </c>
      <c r="I12" s="8" t="inlineStr"/>
      <c r="J12" s="8" t="inlineStr"/>
      <c r="K12" s="8" t="inlineStr"/>
      <c r="L12" s="8" t="n"/>
      <c r="M12" s="8" t="n"/>
      <c r="N12" s="8" t="n"/>
      <c r="O12" s="8" t="n"/>
      <c r="P12" s="8" t="n"/>
      <c r="Q12" s="8" t="n"/>
      <c r="R12" s="8" t="n"/>
    </row>
    <row r="13" ht="150" customHeight="1">
      <c r="B13" s="7" t="inlineStr">
        <is>
          <t>TR3(d)</t>
        </is>
      </c>
      <c r="C13" s="51" t="inlineStr">
        <is>
          <t>Transformational research</t>
        </is>
      </c>
      <c r="D13" s="51" t="inlineStr">
        <is>
          <t>Embed sustainability within research systems, processes, capability and culture, so research is conducted responsibly, efficiently and with reduced environmental impact.</t>
        </is>
      </c>
      <c r="E13" s="51" t="inlineStr">
        <is>
          <t>Expert assessment of progress in embedding sustainable research practices across the institution.</t>
        </is>
      </c>
      <c r="F13" s="8" t="inlineStr">
        <is>
          <t>Faculty/Portfolio’s assessment of progress in embedding sustainable research practices, highlighting areas of strong progress, remaining gaps and priority actions for further improvement.</t>
        </is>
      </c>
      <c r="G13" s="8" t="inlineStr">
        <is>
          <t>We will use faculty self-assessments to identify strengths, gaps and priority actions in embedding sustainable research practices, to inform internal management reporting and the Transformational research working group.</t>
        </is>
      </c>
      <c r="H13" s="8" t="inlineStr">
        <is>
          <t>N/A – new indicator</t>
        </is>
      </c>
      <c r="I13" s="8" t="inlineStr"/>
      <c r="J13" s="8" t="inlineStr"/>
      <c r="K13" s="8" t="inlineStr"/>
      <c r="L13" s="8" t="n"/>
      <c r="M13" s="8" t="n"/>
      <c r="N13" s="8" t="n"/>
      <c r="O13" s="8" t="n"/>
      <c r="P13" s="8" t="n"/>
      <c r="Q13" s="8" t="n"/>
      <c r="R13" s="8" t="n"/>
    </row>
    <row r="14" ht="150" customHeight="1">
      <c r="B14" s="7" t="inlineStr">
        <is>
          <t>NB2(a)</t>
        </is>
      </c>
      <c r="C14" s="51" t="inlineStr">
        <is>
          <t>Nature and biodiversity</t>
        </is>
      </c>
      <c r="D14" s="51" t="inlineStr">
        <is>
          <t>Improve our understanding of our supply chain impacts on nature.</t>
        </is>
      </c>
      <c r="E14" s="51" t="inlineStr">
        <is>
          <t>Documented baseline nature footprint analysis</t>
        </is>
      </c>
      <c r="F14" s="8" t="inlineStr">
        <is>
          <t>Impact Encore Measurement</t>
        </is>
      </c>
      <c r="G14" s="8" t="inlineStr">
        <is>
          <t>We will report on the baseline nature footprint of the University's supply chain in the Nature and biodiversity section of the 2026 Sustainability Report.</t>
        </is>
      </c>
      <c r="H14" s="8" t="inlineStr">
        <is>
          <t>N/A – new indicator</t>
        </is>
      </c>
      <c r="I14" s="8" t="inlineStr"/>
      <c r="J14" s="8" t="inlineStr"/>
      <c r="K14" s="8" t="inlineStr"/>
      <c r="L14" s="8" t="n"/>
      <c r="M14" s="8" t="n"/>
      <c r="N14" s="8" t="n"/>
      <c r="O14" s="8" t="n"/>
      <c r="P14" s="8" t="n"/>
      <c r="Q14" s="8" t="n"/>
      <c r="R14" s="8" t="n"/>
    </row>
    <row r="15"/>
  </sheetData>
  <mergeCells count="3">
    <mergeCell ref="C7:G7"/>
    <mergeCell ref="L7:R7"/>
    <mergeCell ref="H7:K7"/>
  </mergeCells>
  <dataValidations count="2">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6" t="inlineStr">
        <is>
          <t>1.1  AC&amp;M – Advancement, Communication and Marketing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TR2(a)</t>
        </is>
      </c>
      <c r="C10" s="51" t="inlineStr">
        <is>
          <t>Transformational research</t>
        </is>
      </c>
      <c r="D10" s="51" t="inlineStr">
        <is>
          <t>Deliver high-quality research and partnerships that contribute to sustainability outcomes and demonstrable societal benefit.</t>
        </is>
      </c>
      <c r="E10" s="51"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1" t="inlineStr">
        <is>
          <t>Climate leadership</t>
        </is>
      </c>
      <c r="D11" s="51" t="inlineStr">
        <is>
          <t>Develop understanding of our research and education programs that contribute to accelerating global decarbonisation and our own climate transition.</t>
        </is>
      </c>
      <c r="E11" s="51"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1" t="inlineStr">
        <is>
          <t>Climate leadership</t>
        </is>
      </c>
      <c r="D12" s="51" t="inlineStr">
        <is>
          <t>Develop understanding of our research and education programs that contribute to accelerating global decarbonisation and our own climate transition.</t>
        </is>
      </c>
      <c r="E12" s="51"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6" t="inlineStr">
        <is>
          <t>1.1  GCE – Global, Culture and Engagement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1" t="inlineStr">
        <is>
          <t>Enablers</t>
        </is>
      </c>
      <c r="D11" s="51" t="inlineStr">
        <is>
          <t>Enablers</t>
        </is>
      </c>
      <c r="E11" s="51"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6" t="inlineStr">
        <is>
          <t>1.1  Education – Chancellery Education</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6" t="inlineStr">
        <is>
          <t>1.1  SaSS – Student and Scholarly Services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EE1(c)</t>
        </is>
      </c>
      <c r="C10" s="51" t="inlineStr">
        <is>
          <t>Exceptional education</t>
        </is>
      </c>
      <c r="D10" s="51" t="inlineStr">
        <is>
          <t>Provide our students with learning experiences that help them build the knowledge, skills and relationships to lead change for sustainable societies.</t>
        </is>
      </c>
      <c r="E10" s="51"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1" t="inlineStr">
        <is>
          <t>Exceptional education</t>
        </is>
      </c>
      <c r="D11" s="51" t="inlineStr">
        <is>
          <t>Provide our students with learning experiences that help them build the knowledge, skills and relationships to lead change for sustainable societies.</t>
        </is>
      </c>
      <c r="E11" s="51"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6" t="inlineStr">
        <is>
          <t>1.1  Indigenous – Chancellery Indigenous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c r="T9" s="52" t="inlineStr">
        <is>
          <t>Central</t>
        </is>
      </c>
      <c r="U9" s="52" t="inlineStr">
        <is>
          <t>Central</t>
        </is>
      </c>
      <c r="V9" s="52" t="inlineStr">
        <is>
          <t>Central</t>
        </is>
      </c>
      <c r="W9" s="52" t="inlineStr">
        <is>
          <t>Central</t>
        </is>
      </c>
      <c r="X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IFERROR(IF(INDEX('Faculties'!$L$10:$L$23,MATCH($F11,'Faculties'!$B$10:$B$23,0))="","Cell will autofill based on response",INDEX('Faculties'!$L$10:$L$23,MATCH($F11,'Faculties'!$B$10:$B$23,0))),"N/A")</f>
        <v/>
      </c>
      <c r="I11" s="53">
        <f>IFERROR(IF(INDEX('Faculties'!$L$30:$L$43,MATCH($F11,'Faculties'!$B$30:$B$43,0))="","Cell will autofill based on response",INDEX('Faculties'!$L$30:$L$43,MATCH($F11,'Faculties'!$B$30:$B$43,0))),"N/A")</f>
        <v/>
      </c>
      <c r="J11" s="53">
        <f>IFERROR(IF(INDEX('Faculties'!$L$50:$L$63,MATCH($F11,'Faculties'!$B$50:$B$63,0))="","Cell will autofill based on response",INDEX('Faculties'!$L$50:$L$63,MATCH($F11,'Faculties'!$B$50:$B$63,0))),"N/A")</f>
        <v/>
      </c>
      <c r="K11" s="53">
        <f>IFERROR(IF(INDEX('Faculties'!$L$70:$L$83,MATCH($F11,'Faculties'!$B$70:$B$83,0))="","Cell will autofill based on response",INDEX('Faculties'!$L$70:$L$83,MATCH($F11,'Faculties'!$B$70:$B$83,0))),"N/A")</f>
        <v/>
      </c>
      <c r="L11" s="53">
        <f>IFERROR(IF(INDEX('CI&amp;S'!$L$10:$L$15,MATCH($F11,'CI&amp;S'!$B$10:$B$15,0))="","Cell will autofill based on response",INDEX('CI&amp;S'!$L$10:$L$15,MATCH($F11,'CI&amp;S'!$B$10:$B$15,0))),"N/A")</f>
        <v/>
      </c>
      <c r="M11" s="53">
        <f>IFERROR(IF(INDEX('CI&amp;S'!$L$22:$L$36,MATCH($F11,'CI&amp;S'!$B$22:$B$36,0))="","Cell will autofill based on response",INDEX('CI&amp;S'!$L$22:$L$36,MATCH($F11,'CI&amp;S'!$B$22:$B$36,0))),"N/A")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IFERROR(IF(INDEX('MRE'!$L$10:$L$15,MATCH($F11,'MRE'!$B$10:$B$15,0))="","Cell will autofill based on response",INDEX('MRE'!$L$10:$L$15,MATCH($F11,'MRE'!$B$10:$B$15,0))),"N/A")</f>
        <v/>
      </c>
      <c r="S11" s="53">
        <f>IFERROR(IF(INDEX('AC&amp;M'!$L$10:$L$14,MATCH($F11,'AC&amp;M'!$B$10:$B$14,0))="","Cell will autofill based on response",INDEX('AC&amp;M'!$L$10:$L$14,MATCH($F11,'AC&amp;M'!$B$10:$B$14,0))),"N/A")</f>
        <v/>
      </c>
      <c r="T11" s="53">
        <f>IFERROR(IF(INDEX('GCE'!$L$10:$L$12,MATCH($F11,'GCE'!$B$10:$B$12,0))="","Cell will autofill based on response",INDEX('GCE'!$L$10:$L$12,MATCH($F11,'GCE'!$B$10:$B$12,0))),"N/A")</f>
        <v/>
      </c>
      <c r="U11" s="53">
        <f>IFERROR(IF(INDEX('Education'!$L$10:$L$13,MATCH($F11,'Education'!$B$10:$B$13,0))="","Cell will autofill based on response",INDEX('Education'!$L$10:$L$13,MATCH($F11,'Education'!$B$10:$B$13,0))),"N/A")</f>
        <v/>
      </c>
      <c r="V11" s="53">
        <f>IFERROR(IF(INDEX('SaSS'!$L$10:$L$12,MATCH($F11,'SaSS'!$B$10:$B$12,0))="","Cell will autofill based on response",INDEX('SaSS'!$L$10:$L$12,MATCH($F11,'SaSS'!$B$10:$B$12,0))),"N/A")</f>
        <v/>
      </c>
      <c r="W11" s="53">
        <f>IFERROR(IF(INDEX('Indigenous'!$L$10:$L$11,MATCH($F11,'Indigenous'!$B$10:$B$11,0))="","Cell will autofill based on response",INDEX('Indigenous'!$L$10:$L$11,MATCH($F11,'Indigenous'!$B$10:$B$11,0))),"N/A")</f>
        <v/>
      </c>
      <c r="X11" s="53">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4">
        <f>IF(AF11&gt;0,AE11/AF11,"No valid responses to date")</f>
        <v/>
      </c>
      <c r="AH11" s="10">
        <f>IF(ISNUMBER(AG11),INDEX(Lists!$G$2:$G$5,MATCH(ROUND(AG11,0),Lists!$H$2:$H$5,0)),"")</f>
        <v/>
      </c>
      <c r="AI11" s="55">
        <f>IF(AF11&gt;0,AD11/AF11,"")</f>
        <v/>
      </c>
      <c r="AJ11" s="55">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IFERROR(IF(INDEX('Faculties'!$M$10:$M$23,MATCH($F12,'Faculties'!$B$10:$B$23,0))="","Cell will autofill based on response",INDEX('Faculties'!$M$10:$M$23,MATCH($F12,'Faculties'!$B$10:$B$23,0))),"N/A")</f>
        <v/>
      </c>
      <c r="I12" s="53">
        <f>IFERROR(IF(INDEX('Faculties'!$M$30:$M$43,MATCH($F12,'Faculties'!$B$30:$B$43,0))="","Cell will autofill based on response",INDEX('Faculties'!$M$30:$M$43,MATCH($F12,'Faculties'!$B$30:$B$43,0))),"N/A")</f>
        <v/>
      </c>
      <c r="J12" s="53">
        <f>IFERROR(IF(INDEX('Faculties'!$M$50:$M$63,MATCH($F12,'Faculties'!$B$50:$B$63,0))="","Cell will autofill based on response",INDEX('Faculties'!$M$50:$M$63,MATCH($F12,'Faculties'!$B$50:$B$63,0))),"N/A")</f>
        <v/>
      </c>
      <c r="K12" s="53">
        <f>IFERROR(IF(INDEX('Faculties'!$M$70:$M$83,MATCH($F12,'Faculties'!$B$70:$B$83,0))="","Cell will autofill based on response",INDEX('Faculties'!$M$70:$M$83,MATCH($F12,'Faculties'!$B$70:$B$83,0))),"N/A")</f>
        <v/>
      </c>
      <c r="L12" s="53">
        <f>IFERROR(IF(INDEX('CI&amp;S'!$M$10:$M$15,MATCH($F12,'CI&amp;S'!$B$10:$B$15,0))="","Cell will autofill based on response",INDEX('CI&amp;S'!$M$10:$M$15,MATCH($F12,'CI&amp;S'!$B$10:$B$15,0))),"N/A")</f>
        <v/>
      </c>
      <c r="M12" s="53">
        <f>IFERROR(IF(INDEX('CI&amp;S'!$M$22:$M$36,MATCH($F12,'CI&amp;S'!$B$22:$B$36,0))="","Cell will autofill based on response",INDEX('CI&amp;S'!$M$22:$M$36,MATCH($F12,'CI&amp;S'!$B$22:$B$36,0))),"N/A")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IFERROR(IF(INDEX('MRE'!$M$10:$M$15,MATCH($F12,'MRE'!$B$10:$B$15,0))="","Cell will autofill based on response",INDEX('MRE'!$M$10:$M$15,MATCH($F12,'MRE'!$B$10:$B$15,0))),"N/A")</f>
        <v/>
      </c>
      <c r="S12" s="53">
        <f>IFERROR(IF(INDEX('AC&amp;M'!$M$10:$M$14,MATCH($F12,'AC&amp;M'!$B$10:$B$14,0))="","Cell will autofill based on response",INDEX('AC&amp;M'!$M$10:$M$14,MATCH($F12,'AC&amp;M'!$B$10:$B$14,0))),"N/A")</f>
        <v/>
      </c>
      <c r="T12" s="53">
        <f>IFERROR(IF(INDEX('GCE'!$M$10:$M$12,MATCH($F12,'GCE'!$B$10:$B$12,0))="","Cell will autofill based on response",INDEX('GCE'!$M$10:$M$12,MATCH($F12,'GCE'!$B$10:$B$12,0))),"N/A")</f>
        <v/>
      </c>
      <c r="U12" s="53">
        <f>IFERROR(IF(INDEX('Education'!$M$10:$M$13,MATCH($F12,'Education'!$B$10:$B$13,0))="","Cell will autofill based on response",INDEX('Education'!$M$10:$M$13,MATCH($F12,'Education'!$B$10:$B$13,0))),"N/A")</f>
        <v/>
      </c>
      <c r="V12" s="53">
        <f>IFERROR(IF(INDEX('SaSS'!$M$10:$M$12,MATCH($F12,'SaSS'!$B$10:$B$12,0))="","Cell will autofill based on response",INDEX('SaSS'!$M$10:$M$12,MATCH($F12,'SaSS'!$B$10:$B$12,0))),"N/A")</f>
        <v/>
      </c>
      <c r="W12" s="53">
        <f>IFERROR(IF(INDEX('Indigenous'!$M$10:$M$11,MATCH($F12,'Indigenous'!$B$10:$B$11,0))="","Cell will autofill based on response",INDEX('Indigenous'!$M$10:$M$11,MATCH($F12,'Indigenous'!$B$10:$B$11,0))),"N/A")</f>
        <v/>
      </c>
      <c r="X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IFERROR(IF(INDEX('Faculties'!$N$10:$N$23,MATCH($F13,'Faculties'!$B$10:$B$23,0))="","Cell will autofill based on response",INDEX('Faculties'!$N$10:$N$23,MATCH($F13,'Faculties'!$B$10:$B$23,0))),"N/A")</f>
        <v/>
      </c>
      <c r="I13" s="53">
        <f>IFERROR(IF(INDEX('Faculties'!$N$30:$N$43,MATCH($F13,'Faculties'!$B$30:$B$43,0))="","Cell will autofill based on response",INDEX('Faculties'!$N$30:$N$43,MATCH($F13,'Faculties'!$B$30:$B$43,0))),"N/A")</f>
        <v/>
      </c>
      <c r="J13" s="53">
        <f>IFERROR(IF(INDEX('Faculties'!$N$50:$N$63,MATCH($F13,'Faculties'!$B$50:$B$63,0))="","Cell will autofill based on response",INDEX('Faculties'!$N$50:$N$63,MATCH($F13,'Faculties'!$B$50:$B$63,0))),"N/A")</f>
        <v/>
      </c>
      <c r="K13" s="53">
        <f>IFERROR(IF(INDEX('Faculties'!$N$70:$N$83,MATCH($F13,'Faculties'!$B$70:$B$83,0))="","Cell will autofill based on response",INDEX('Faculties'!$N$70:$N$83,MATCH($F13,'Faculties'!$B$70:$B$83,0))),"N/A")</f>
        <v/>
      </c>
      <c r="L13" s="53">
        <f>IFERROR(IF(INDEX('CI&amp;S'!$N$10:$N$15,MATCH($F13,'CI&amp;S'!$B$10:$B$15,0))="","Cell will autofill based on response",INDEX('CI&amp;S'!$N$10:$N$15,MATCH($F13,'CI&amp;S'!$B$10:$B$15,0))),"N/A")</f>
        <v/>
      </c>
      <c r="M13" s="53">
        <f>IFERROR(IF(INDEX('CI&amp;S'!$N$22:$N$36,MATCH($F13,'CI&amp;S'!$B$22:$B$36,0))="","Cell will autofill based on response",INDEX('CI&amp;S'!$N$22:$N$36,MATCH($F13,'CI&amp;S'!$B$22:$B$36,0))),"N/A")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IFERROR(IF(INDEX('MRE'!$N$10:$N$15,MATCH($F13,'MRE'!$B$10:$B$15,0))="","Cell will autofill based on response",INDEX('MRE'!$N$10:$N$15,MATCH($F13,'MRE'!$B$10:$B$15,0))),"N/A")</f>
        <v/>
      </c>
      <c r="S13" s="53">
        <f>IFERROR(IF(INDEX('AC&amp;M'!$N$10:$N$14,MATCH($F13,'AC&amp;M'!$B$10:$B$14,0))="","Cell will autofill based on response",INDEX('AC&amp;M'!$N$10:$N$14,MATCH($F13,'AC&amp;M'!$B$10:$B$14,0))),"N/A")</f>
        <v/>
      </c>
      <c r="T13" s="53">
        <f>IFERROR(IF(INDEX('GCE'!$N$10:$N$12,MATCH($F13,'GCE'!$B$10:$B$12,0))="","Cell will autofill based on response",INDEX('GCE'!$N$10:$N$12,MATCH($F13,'GCE'!$B$10:$B$12,0))),"N/A")</f>
        <v/>
      </c>
      <c r="U13" s="53">
        <f>IFERROR(IF(INDEX('Education'!$N$10:$N$13,MATCH($F13,'Education'!$B$10:$B$13,0))="","Cell will autofill based on response",INDEX('Education'!$N$10:$N$13,MATCH($F13,'Education'!$B$10:$B$13,0))),"N/A")</f>
        <v/>
      </c>
      <c r="V13" s="53">
        <f>IFERROR(IF(INDEX('SaSS'!$N$10:$N$12,MATCH($F13,'SaSS'!$B$10:$B$12,0))="","Cell will autofill based on response",INDEX('SaSS'!$N$10:$N$12,MATCH($F13,'SaSS'!$B$10:$B$12,0))),"N/A")</f>
        <v/>
      </c>
      <c r="W13" s="53">
        <f>IFERROR(IF(INDEX('Indigenous'!$N$10:$N$11,MATCH($F13,'Indigenous'!$B$10:$B$11,0))="","Cell will autofill based on response",INDEX('Indigenous'!$N$10:$N$11,MATCH($F13,'Indigenous'!$B$10:$B$11,0))),"N/A")</f>
        <v/>
      </c>
      <c r="X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IFERROR(IF(INDEX('Faculties'!$O$10:$O$23,MATCH($F14,'Faculties'!$B$10:$B$23,0))="","Cell will autofill based on response",INDEX('Faculties'!$O$10:$O$23,MATCH($F14,'Faculties'!$B$10:$B$23,0))),"N/A")</f>
        <v/>
      </c>
      <c r="I14" s="53">
        <f>IFERROR(IF(INDEX('Faculties'!$O$30:$O$43,MATCH($F14,'Faculties'!$B$30:$B$43,0))="","Cell will autofill based on response",INDEX('Faculties'!$O$30:$O$43,MATCH($F14,'Faculties'!$B$30:$B$43,0))),"N/A")</f>
        <v/>
      </c>
      <c r="J14" s="53">
        <f>IFERROR(IF(INDEX('Faculties'!$O$50:$O$63,MATCH($F14,'Faculties'!$B$50:$B$63,0))="","Cell will autofill based on response",INDEX('Faculties'!$O$50:$O$63,MATCH($F14,'Faculties'!$B$50:$B$63,0))),"N/A")</f>
        <v/>
      </c>
      <c r="K14" s="53">
        <f>IFERROR(IF(INDEX('Faculties'!$O$70:$O$83,MATCH($F14,'Faculties'!$B$70:$B$83,0))="","Cell will autofill based on response",INDEX('Faculties'!$O$70:$O$83,MATCH($F14,'Faculties'!$B$70:$B$83,0))),"N/A")</f>
        <v/>
      </c>
      <c r="L14" s="53">
        <f>IFERROR(IF(INDEX('CI&amp;S'!$O$10:$O$15,MATCH($F14,'CI&amp;S'!$B$10:$B$15,0))="","Cell will autofill based on response",INDEX('CI&amp;S'!$O$10:$O$15,MATCH($F14,'CI&amp;S'!$B$10:$B$15,0))),"N/A")</f>
        <v/>
      </c>
      <c r="M14" s="53">
        <f>IFERROR(IF(INDEX('CI&amp;S'!$O$22:$O$36,MATCH($F14,'CI&amp;S'!$B$22:$B$36,0))="","Cell will autofill based on response",INDEX('CI&amp;S'!$O$22:$O$36,MATCH($F14,'CI&amp;S'!$B$22:$B$36,0))),"N/A")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IFERROR(IF(INDEX('MRE'!$O$10:$O$15,MATCH($F14,'MRE'!$B$10:$B$15,0))="","Cell will autofill based on response",INDEX('MRE'!$O$10:$O$15,MATCH($F14,'MRE'!$B$10:$B$15,0))),"N/A")</f>
        <v/>
      </c>
      <c r="S14" s="53">
        <f>IFERROR(IF(INDEX('AC&amp;M'!$O$10:$O$14,MATCH($F14,'AC&amp;M'!$B$10:$B$14,0))="","Cell will autofill based on response",INDEX('AC&amp;M'!$O$10:$O$14,MATCH($F14,'AC&amp;M'!$B$10:$B$14,0))),"N/A")</f>
        <v/>
      </c>
      <c r="T14" s="53">
        <f>IFERROR(IF(INDEX('GCE'!$O$10:$O$12,MATCH($F14,'GCE'!$B$10:$B$12,0))="","Cell will autofill based on response",INDEX('GCE'!$O$10:$O$12,MATCH($F14,'GCE'!$B$10:$B$12,0))),"N/A")</f>
        <v/>
      </c>
      <c r="U14" s="53">
        <f>IFERROR(IF(INDEX('Education'!$O$10:$O$13,MATCH($F14,'Education'!$B$10:$B$13,0))="","Cell will autofill based on response",INDEX('Education'!$O$10:$O$13,MATCH($F14,'Education'!$B$10:$B$13,0))),"N/A")</f>
        <v/>
      </c>
      <c r="V14" s="53">
        <f>IFERROR(IF(INDEX('SaSS'!$O$10:$O$12,MATCH($F14,'SaSS'!$B$10:$B$12,0))="","Cell will autofill based on response",INDEX('SaSS'!$O$10:$O$12,MATCH($F14,'SaSS'!$B$10:$B$12,0))),"N/A")</f>
        <v/>
      </c>
      <c r="W14" s="53">
        <f>IFERROR(IF(INDEX('Indigenous'!$O$10:$O$11,MATCH($F14,'Indigenous'!$B$10:$B$11,0))="","Cell will autofill based on response",INDEX('Indigenous'!$O$10:$O$11,MATCH($F14,'Indigenous'!$B$10:$B$11,0))),"N/A")</f>
        <v/>
      </c>
      <c r="X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IFERROR(IF(INDEX('Faculties'!$P$10:$P$23,MATCH($F15,'Faculties'!$B$10:$B$23,0))="","Cell will autofill based on response",INDEX('Faculties'!$P$10:$P$23,MATCH($F15,'Faculties'!$B$10:$B$23,0))),"N/A")</f>
        <v/>
      </c>
      <c r="I15" s="53">
        <f>IFERROR(IF(INDEX('Faculties'!$P$30:$P$43,MATCH($F15,'Faculties'!$B$30:$B$43,0))="","Cell will autofill based on response",INDEX('Faculties'!$P$30:$P$43,MATCH($F15,'Faculties'!$B$30:$B$43,0))),"N/A")</f>
        <v/>
      </c>
      <c r="J15" s="53">
        <f>IFERROR(IF(INDEX('Faculties'!$P$50:$P$63,MATCH($F15,'Faculties'!$B$50:$B$63,0))="","Cell will autofill based on response",INDEX('Faculties'!$P$50:$P$63,MATCH($F15,'Faculties'!$B$50:$B$63,0))),"N/A")</f>
        <v/>
      </c>
      <c r="K15" s="53">
        <f>IFERROR(IF(INDEX('Faculties'!$P$70:$P$83,MATCH($F15,'Faculties'!$B$70:$B$83,0))="","Cell will autofill based on response",INDEX('Faculties'!$P$70:$P$83,MATCH($F15,'Faculties'!$B$70:$B$83,0))),"N/A")</f>
        <v/>
      </c>
      <c r="L15" s="53">
        <f>IFERROR(IF(INDEX('CI&amp;S'!$P$10:$P$15,MATCH($F15,'CI&amp;S'!$B$10:$B$15,0))="","Cell will autofill based on response",INDEX('CI&amp;S'!$P$10:$P$15,MATCH($F15,'CI&amp;S'!$B$10:$B$15,0))),"N/A")</f>
        <v/>
      </c>
      <c r="M15" s="53">
        <f>IFERROR(IF(INDEX('CI&amp;S'!$P$22:$P$36,MATCH($F15,'CI&amp;S'!$B$22:$B$36,0))="","Cell will autofill based on response",INDEX('CI&amp;S'!$P$22:$P$36,MATCH($F15,'CI&amp;S'!$B$22:$B$36,0))),"N/A")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IFERROR(IF(INDEX('MRE'!$P$10:$P$15,MATCH($F15,'MRE'!$B$10:$B$15,0))="","Cell will autofill based on response",INDEX('MRE'!$P$10:$P$15,MATCH($F15,'MRE'!$B$10:$B$15,0))),"N/A")</f>
        <v/>
      </c>
      <c r="S15" s="53">
        <f>IFERROR(IF(INDEX('AC&amp;M'!$P$10:$P$14,MATCH($F15,'AC&amp;M'!$B$10:$B$14,0))="","Cell will autofill based on response",INDEX('AC&amp;M'!$P$10:$P$14,MATCH($F15,'AC&amp;M'!$B$10:$B$14,0))),"N/A")</f>
        <v/>
      </c>
      <c r="T15" s="53">
        <f>IFERROR(IF(INDEX('GCE'!$P$10:$P$12,MATCH($F15,'GCE'!$B$10:$B$12,0))="","Cell will autofill based on response",INDEX('GCE'!$P$10:$P$12,MATCH($F15,'GCE'!$B$10:$B$12,0))),"N/A")</f>
        <v/>
      </c>
      <c r="U15" s="53">
        <f>IFERROR(IF(INDEX('Education'!$P$10:$P$13,MATCH($F15,'Education'!$B$10:$B$13,0))="","Cell will autofill based on response",INDEX('Education'!$P$10:$P$13,MATCH($F15,'Education'!$B$10:$B$13,0))),"N/A")</f>
        <v/>
      </c>
      <c r="V15" s="53">
        <f>IFERROR(IF(INDEX('SaSS'!$P$10:$P$12,MATCH($F15,'SaSS'!$B$10:$B$12,0))="","Cell will autofill based on response",INDEX('SaSS'!$P$10:$P$12,MATCH($F15,'SaSS'!$B$10:$B$12,0))),"N/A")</f>
        <v/>
      </c>
      <c r="W15" s="53">
        <f>IFERROR(IF(INDEX('Indigenous'!$P$10:$P$11,MATCH($F15,'Indigenous'!$B$10:$B$11,0))="","Cell will autofill based on response",INDEX('Indigenous'!$P$10:$P$11,MATCH($F15,'Indigenous'!$B$10:$B$11,0))),"N/A")</f>
        <v/>
      </c>
      <c r="X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IFERROR(IF(INDEX('Faculties'!$Q$10:$Q$23,MATCH($F16,'Faculties'!$B$10:$B$23,0))="","Cell will autofill based on response",INDEX('Faculties'!$Q$10:$Q$23,MATCH($F16,'Faculties'!$B$10:$B$23,0))),"N/A")</f>
        <v/>
      </c>
      <c r="I16" s="53">
        <f>IFERROR(IF(INDEX('Faculties'!$Q$30:$Q$43,MATCH($F16,'Faculties'!$B$30:$B$43,0))="","Cell will autofill based on response",INDEX('Faculties'!$Q$30:$Q$43,MATCH($F16,'Faculties'!$B$30:$B$43,0))),"N/A")</f>
        <v/>
      </c>
      <c r="J16" s="53">
        <f>IFERROR(IF(INDEX('Faculties'!$Q$50:$Q$63,MATCH($F16,'Faculties'!$B$50:$B$63,0))="","Cell will autofill based on response",INDEX('Faculties'!$Q$50:$Q$63,MATCH($F16,'Faculties'!$B$50:$B$63,0))),"N/A")</f>
        <v/>
      </c>
      <c r="K16" s="53">
        <f>IFERROR(IF(INDEX('Faculties'!$Q$70:$Q$83,MATCH($F16,'Faculties'!$B$70:$B$83,0))="","Cell will autofill based on response",INDEX('Faculties'!$Q$70:$Q$83,MATCH($F16,'Faculties'!$B$70:$B$83,0))),"N/A")</f>
        <v/>
      </c>
      <c r="L16" s="53">
        <f>IFERROR(IF(INDEX('CI&amp;S'!$Q$10:$Q$15,MATCH($F16,'CI&amp;S'!$B$10:$B$15,0))="","Cell will autofill based on response",INDEX('CI&amp;S'!$Q$10:$Q$15,MATCH($F16,'CI&amp;S'!$B$10:$B$15,0))),"N/A")</f>
        <v/>
      </c>
      <c r="M16" s="53">
        <f>IFERROR(IF(INDEX('CI&amp;S'!$Q$22:$Q$36,MATCH($F16,'CI&amp;S'!$B$22:$B$36,0))="","Cell will autofill based on response",INDEX('CI&amp;S'!$Q$22:$Q$36,MATCH($F16,'CI&amp;S'!$B$22:$B$36,0))),"N/A")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IFERROR(IF(INDEX('MRE'!$Q$10:$Q$15,MATCH($F16,'MRE'!$B$10:$B$15,0))="","Cell will autofill based on response",INDEX('MRE'!$Q$10:$Q$15,MATCH($F16,'MRE'!$B$10:$B$15,0))),"N/A")</f>
        <v/>
      </c>
      <c r="S16" s="53">
        <f>IFERROR(IF(INDEX('AC&amp;M'!$Q$10:$Q$14,MATCH($F16,'AC&amp;M'!$B$10:$B$14,0))="","Cell will autofill based on response",INDEX('AC&amp;M'!$Q$10:$Q$14,MATCH($F16,'AC&amp;M'!$B$10:$B$14,0))),"N/A")</f>
        <v/>
      </c>
      <c r="T16" s="53">
        <f>IFERROR(IF(INDEX('GCE'!$Q$10:$Q$12,MATCH($F16,'GCE'!$B$10:$B$12,0))="","Cell will autofill based on response",INDEX('GCE'!$Q$10:$Q$12,MATCH($F16,'GCE'!$B$10:$B$12,0))),"N/A")</f>
        <v/>
      </c>
      <c r="U16" s="53">
        <f>IFERROR(IF(INDEX('Education'!$Q$10:$Q$13,MATCH($F16,'Education'!$B$10:$B$13,0))="","Cell will autofill based on response",INDEX('Education'!$Q$10:$Q$13,MATCH($F16,'Education'!$B$10:$B$13,0))),"N/A")</f>
        <v/>
      </c>
      <c r="V16" s="53">
        <f>IFERROR(IF(INDEX('SaSS'!$Q$10:$Q$12,MATCH($F16,'SaSS'!$B$10:$B$12,0))="","Cell will autofill based on response",INDEX('SaSS'!$Q$10:$Q$12,MATCH($F16,'SaSS'!$B$10:$B$12,0))),"N/A")</f>
        <v/>
      </c>
      <c r="W16" s="53">
        <f>IFERROR(IF(INDEX('Indigenous'!$Q$10:$Q$11,MATCH($F16,'Indigenous'!$B$10:$B$11,0))="","Cell will autofill based on response",INDEX('Indigenous'!$Q$10:$Q$11,MATCH($F16,'Indigenous'!$B$10:$B$11,0))),"N/A")</f>
        <v/>
      </c>
      <c r="X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IFERROR(IF(INDEX('Faculties'!$L$10:$L$23,MATCH($F17,'Faculties'!$B$10:$B$23,0))="","Cell will autofill based on response",INDEX('Faculties'!$L$10:$L$23,MATCH($F17,'Faculties'!$B$10:$B$23,0))),"N/A")</f>
        <v/>
      </c>
      <c r="I17" s="53">
        <f>IFERROR(IF(INDEX('Faculties'!$L$30:$L$43,MATCH($F17,'Faculties'!$B$30:$B$43,0))="","Cell will autofill based on response",INDEX('Faculties'!$L$30:$L$43,MATCH($F17,'Faculties'!$B$30:$B$43,0))),"N/A")</f>
        <v/>
      </c>
      <c r="J17" s="53">
        <f>IFERROR(IF(INDEX('Faculties'!$L$50:$L$63,MATCH($F17,'Faculties'!$B$50:$B$63,0))="","Cell will autofill based on response",INDEX('Faculties'!$L$50:$L$63,MATCH($F17,'Faculties'!$B$50:$B$63,0))),"N/A")</f>
        <v/>
      </c>
      <c r="K17" s="53">
        <f>IFERROR(IF(INDEX('Faculties'!$L$70:$L$83,MATCH($F17,'Faculties'!$B$70:$B$83,0))="","Cell will autofill based on response",INDEX('Faculties'!$L$70:$L$83,MATCH($F17,'Faculties'!$B$70:$B$83,0))),"N/A")</f>
        <v/>
      </c>
      <c r="L17" s="53">
        <f>IFERROR(IF(INDEX('CI&amp;S'!$L$10:$L$15,MATCH($F17,'CI&amp;S'!$B$10:$B$15,0))="","Cell will autofill based on response",INDEX('CI&amp;S'!$L$10:$L$15,MATCH($F17,'CI&amp;S'!$B$10:$B$15,0))),"N/A")</f>
        <v/>
      </c>
      <c r="M17" s="53">
        <f>IFERROR(IF(INDEX('CI&amp;S'!$L$22:$L$36,MATCH($F17,'CI&amp;S'!$B$22:$B$36,0))="","Cell will autofill based on response",INDEX('CI&amp;S'!$L$22:$L$36,MATCH($F17,'CI&amp;S'!$B$22:$B$36,0))),"N/A")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IFERROR(IF(INDEX('MRE'!$L$10:$L$15,MATCH($F17,'MRE'!$B$10:$B$15,0))="","Cell will autofill based on response",INDEX('MRE'!$L$10:$L$15,MATCH($F17,'MRE'!$B$10:$B$15,0))),"N/A")</f>
        <v/>
      </c>
      <c r="S17" s="53">
        <f>IFERROR(IF(INDEX('AC&amp;M'!$L$10:$L$14,MATCH($F17,'AC&amp;M'!$B$10:$B$14,0))="","Cell will autofill based on response",INDEX('AC&amp;M'!$L$10:$L$14,MATCH($F17,'AC&amp;M'!$B$10:$B$14,0))),"N/A")</f>
        <v/>
      </c>
      <c r="T17" s="53">
        <f>IFERROR(IF(INDEX('GCE'!$L$10:$L$12,MATCH($F17,'GCE'!$B$10:$B$12,0))="","Cell will autofill based on response",INDEX('GCE'!$L$10:$L$12,MATCH($F17,'GCE'!$B$10:$B$12,0))),"N/A")</f>
        <v/>
      </c>
      <c r="U17" s="53">
        <f>IFERROR(IF(INDEX('Education'!$L$10:$L$13,MATCH($F17,'Education'!$B$10:$B$13,0))="","Cell will autofill based on response",INDEX('Education'!$L$10:$L$13,MATCH($F17,'Education'!$B$10:$B$13,0))),"N/A")</f>
        <v/>
      </c>
      <c r="V17" s="53">
        <f>IFERROR(IF(INDEX('SaSS'!$L$10:$L$12,MATCH($F17,'SaSS'!$B$10:$B$12,0))="","Cell will autofill based on response",INDEX('SaSS'!$L$10:$L$12,MATCH($F17,'SaSS'!$B$10:$B$12,0))),"N/A")</f>
        <v/>
      </c>
      <c r="W17" s="53">
        <f>IFERROR(IF(INDEX('Indigenous'!$L$10:$L$11,MATCH($F17,'Indigenous'!$B$10:$B$11,0))="","Cell will autofill based on response",INDEX('Indigenous'!$L$10:$L$11,MATCH($F17,'Indigenous'!$B$10:$B$11,0))),"N/A")</f>
        <v/>
      </c>
      <c r="X17" s="53">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4">
        <f>IF(AF17&gt;0,AE17/AF17,"No valid responses to date")</f>
        <v/>
      </c>
      <c r="AH17" s="10">
        <f>IF(ISNUMBER(AG17),INDEX(Lists!$G$2:$G$5,MATCH(ROUND(AG17,0),Lists!$H$2:$H$5,0)),"")</f>
        <v/>
      </c>
      <c r="AI17" s="55">
        <f>IF(AF17&gt;0,AD17/AF17,"")</f>
        <v/>
      </c>
      <c r="AJ17" s="55">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IFERROR(IF(INDEX('Faculties'!$M$10:$M$23,MATCH($F18,'Faculties'!$B$10:$B$23,0))="","Cell will autofill based on response",INDEX('Faculties'!$M$10:$M$23,MATCH($F18,'Faculties'!$B$10:$B$23,0))),"N/A")</f>
        <v/>
      </c>
      <c r="I18" s="53">
        <f>IFERROR(IF(INDEX('Faculties'!$M$30:$M$43,MATCH($F18,'Faculties'!$B$30:$B$43,0))="","Cell will autofill based on response",INDEX('Faculties'!$M$30:$M$43,MATCH($F18,'Faculties'!$B$30:$B$43,0))),"N/A")</f>
        <v/>
      </c>
      <c r="J18" s="53">
        <f>IFERROR(IF(INDEX('Faculties'!$M$50:$M$63,MATCH($F18,'Faculties'!$B$50:$B$63,0))="","Cell will autofill based on response",INDEX('Faculties'!$M$50:$M$63,MATCH($F18,'Faculties'!$B$50:$B$63,0))),"N/A")</f>
        <v/>
      </c>
      <c r="K18" s="53">
        <f>IFERROR(IF(INDEX('Faculties'!$M$70:$M$83,MATCH($F18,'Faculties'!$B$70:$B$83,0))="","Cell will autofill based on response",INDEX('Faculties'!$M$70:$M$83,MATCH($F18,'Faculties'!$B$70:$B$83,0))),"N/A")</f>
        <v/>
      </c>
      <c r="L18" s="53">
        <f>IFERROR(IF(INDEX('CI&amp;S'!$M$10:$M$15,MATCH($F18,'CI&amp;S'!$B$10:$B$15,0))="","Cell will autofill based on response",INDEX('CI&amp;S'!$M$10:$M$15,MATCH($F18,'CI&amp;S'!$B$10:$B$15,0))),"N/A")</f>
        <v/>
      </c>
      <c r="M18" s="53">
        <f>IFERROR(IF(INDEX('CI&amp;S'!$M$22:$M$36,MATCH($F18,'CI&amp;S'!$B$22:$B$36,0))="","Cell will autofill based on response",INDEX('CI&amp;S'!$M$22:$M$36,MATCH($F18,'CI&amp;S'!$B$22:$B$36,0))),"N/A")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IFERROR(IF(INDEX('MRE'!$M$10:$M$15,MATCH($F18,'MRE'!$B$10:$B$15,0))="","Cell will autofill based on response",INDEX('MRE'!$M$10:$M$15,MATCH($F18,'MRE'!$B$10:$B$15,0))),"N/A")</f>
        <v/>
      </c>
      <c r="S18" s="53">
        <f>IFERROR(IF(INDEX('AC&amp;M'!$M$10:$M$14,MATCH($F18,'AC&amp;M'!$B$10:$B$14,0))="","Cell will autofill based on response",INDEX('AC&amp;M'!$M$10:$M$14,MATCH($F18,'AC&amp;M'!$B$10:$B$14,0))),"N/A")</f>
        <v/>
      </c>
      <c r="T18" s="53">
        <f>IFERROR(IF(INDEX('GCE'!$M$10:$M$12,MATCH($F18,'GCE'!$B$10:$B$12,0))="","Cell will autofill based on response",INDEX('GCE'!$M$10:$M$12,MATCH($F18,'GCE'!$B$10:$B$12,0))),"N/A")</f>
        <v/>
      </c>
      <c r="U18" s="53">
        <f>IFERROR(IF(INDEX('Education'!$M$10:$M$13,MATCH($F18,'Education'!$B$10:$B$13,0))="","Cell will autofill based on response",INDEX('Education'!$M$10:$M$13,MATCH($F18,'Education'!$B$10:$B$13,0))),"N/A")</f>
        <v/>
      </c>
      <c r="V18" s="53">
        <f>IFERROR(IF(INDEX('SaSS'!$M$10:$M$12,MATCH($F18,'SaSS'!$B$10:$B$12,0))="","Cell will autofill based on response",INDEX('SaSS'!$M$10:$M$12,MATCH($F18,'SaSS'!$B$10:$B$12,0))),"N/A")</f>
        <v/>
      </c>
      <c r="W18" s="53">
        <f>IFERROR(IF(INDEX('Indigenous'!$M$10:$M$11,MATCH($F18,'Indigenous'!$B$10:$B$11,0))="","Cell will autofill based on response",INDEX('Indigenous'!$M$10:$M$11,MATCH($F18,'Indigenous'!$B$10:$B$11,0))),"N/A")</f>
        <v/>
      </c>
      <c r="X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IFERROR(IF(INDEX('Faculties'!$N$10:$N$23,MATCH($F19,'Faculties'!$B$10:$B$23,0))="","Cell will autofill based on response",INDEX('Faculties'!$N$10:$N$23,MATCH($F19,'Faculties'!$B$10:$B$23,0))),"N/A")</f>
        <v/>
      </c>
      <c r="I19" s="53">
        <f>IFERROR(IF(INDEX('Faculties'!$N$30:$N$43,MATCH($F19,'Faculties'!$B$30:$B$43,0))="","Cell will autofill based on response",INDEX('Faculties'!$N$30:$N$43,MATCH($F19,'Faculties'!$B$30:$B$43,0))),"N/A")</f>
        <v/>
      </c>
      <c r="J19" s="53">
        <f>IFERROR(IF(INDEX('Faculties'!$N$50:$N$63,MATCH($F19,'Faculties'!$B$50:$B$63,0))="","Cell will autofill based on response",INDEX('Faculties'!$N$50:$N$63,MATCH($F19,'Faculties'!$B$50:$B$63,0))),"N/A")</f>
        <v/>
      </c>
      <c r="K19" s="53">
        <f>IFERROR(IF(INDEX('Faculties'!$N$70:$N$83,MATCH($F19,'Faculties'!$B$70:$B$83,0))="","Cell will autofill based on response",INDEX('Faculties'!$N$70:$N$83,MATCH($F19,'Faculties'!$B$70:$B$83,0))),"N/A")</f>
        <v/>
      </c>
      <c r="L19" s="53">
        <f>IFERROR(IF(INDEX('CI&amp;S'!$N$10:$N$15,MATCH($F19,'CI&amp;S'!$B$10:$B$15,0))="","Cell will autofill based on response",INDEX('CI&amp;S'!$N$10:$N$15,MATCH($F19,'CI&amp;S'!$B$10:$B$15,0))),"N/A")</f>
        <v/>
      </c>
      <c r="M19" s="53">
        <f>IFERROR(IF(INDEX('CI&amp;S'!$N$22:$N$36,MATCH($F19,'CI&amp;S'!$B$22:$B$36,0))="","Cell will autofill based on response",INDEX('CI&amp;S'!$N$22:$N$36,MATCH($F19,'CI&amp;S'!$B$22:$B$36,0))),"N/A")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IFERROR(IF(INDEX('MRE'!$N$10:$N$15,MATCH($F19,'MRE'!$B$10:$B$15,0))="","Cell will autofill based on response",INDEX('MRE'!$N$10:$N$15,MATCH($F19,'MRE'!$B$10:$B$15,0))),"N/A")</f>
        <v/>
      </c>
      <c r="S19" s="53">
        <f>IFERROR(IF(INDEX('AC&amp;M'!$N$10:$N$14,MATCH($F19,'AC&amp;M'!$B$10:$B$14,0))="","Cell will autofill based on response",INDEX('AC&amp;M'!$N$10:$N$14,MATCH($F19,'AC&amp;M'!$B$10:$B$14,0))),"N/A")</f>
        <v/>
      </c>
      <c r="T19" s="53">
        <f>IFERROR(IF(INDEX('GCE'!$N$10:$N$12,MATCH($F19,'GCE'!$B$10:$B$12,0))="","Cell will autofill based on response",INDEX('GCE'!$N$10:$N$12,MATCH($F19,'GCE'!$B$10:$B$12,0))),"N/A")</f>
        <v/>
      </c>
      <c r="U19" s="53">
        <f>IFERROR(IF(INDEX('Education'!$N$10:$N$13,MATCH($F19,'Education'!$B$10:$B$13,0))="","Cell will autofill based on response",INDEX('Education'!$N$10:$N$13,MATCH($F19,'Education'!$B$10:$B$13,0))),"N/A")</f>
        <v/>
      </c>
      <c r="V19" s="53">
        <f>IFERROR(IF(INDEX('SaSS'!$N$10:$N$12,MATCH($F19,'SaSS'!$B$10:$B$12,0))="","Cell will autofill based on response",INDEX('SaSS'!$N$10:$N$12,MATCH($F19,'SaSS'!$B$10:$B$12,0))),"N/A")</f>
        <v/>
      </c>
      <c r="W19" s="53">
        <f>IFERROR(IF(INDEX('Indigenous'!$N$10:$N$11,MATCH($F19,'Indigenous'!$B$10:$B$11,0))="","Cell will autofill based on response",INDEX('Indigenous'!$N$10:$N$11,MATCH($F19,'Indigenous'!$B$10:$B$11,0))),"N/A")</f>
        <v/>
      </c>
      <c r="X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IFERROR(IF(INDEX('Faculties'!$O$10:$O$23,MATCH($F20,'Faculties'!$B$10:$B$23,0))="","Cell will autofill based on response",INDEX('Faculties'!$O$10:$O$23,MATCH($F20,'Faculties'!$B$10:$B$23,0))),"N/A")</f>
        <v/>
      </c>
      <c r="I20" s="53">
        <f>IFERROR(IF(INDEX('Faculties'!$O$30:$O$43,MATCH($F20,'Faculties'!$B$30:$B$43,0))="","Cell will autofill based on response",INDEX('Faculties'!$O$30:$O$43,MATCH($F20,'Faculties'!$B$30:$B$43,0))),"N/A")</f>
        <v/>
      </c>
      <c r="J20" s="53">
        <f>IFERROR(IF(INDEX('Faculties'!$O$50:$O$63,MATCH($F20,'Faculties'!$B$50:$B$63,0))="","Cell will autofill based on response",INDEX('Faculties'!$O$50:$O$63,MATCH($F20,'Faculties'!$B$50:$B$63,0))),"N/A")</f>
        <v/>
      </c>
      <c r="K20" s="53">
        <f>IFERROR(IF(INDEX('Faculties'!$O$70:$O$83,MATCH($F20,'Faculties'!$B$70:$B$83,0))="","Cell will autofill based on response",INDEX('Faculties'!$O$70:$O$83,MATCH($F20,'Faculties'!$B$70:$B$83,0))),"N/A")</f>
        <v/>
      </c>
      <c r="L20" s="53">
        <f>IFERROR(IF(INDEX('CI&amp;S'!$O$10:$O$15,MATCH($F20,'CI&amp;S'!$B$10:$B$15,0))="","Cell will autofill based on response",INDEX('CI&amp;S'!$O$10:$O$15,MATCH($F20,'CI&amp;S'!$B$10:$B$15,0))),"N/A")</f>
        <v/>
      </c>
      <c r="M20" s="53">
        <f>IFERROR(IF(INDEX('CI&amp;S'!$O$22:$O$36,MATCH($F20,'CI&amp;S'!$B$22:$B$36,0))="","Cell will autofill based on response",INDEX('CI&amp;S'!$O$22:$O$36,MATCH($F20,'CI&amp;S'!$B$22:$B$36,0))),"N/A")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IFERROR(IF(INDEX('MRE'!$O$10:$O$15,MATCH($F20,'MRE'!$B$10:$B$15,0))="","Cell will autofill based on response",INDEX('MRE'!$O$10:$O$15,MATCH($F20,'MRE'!$B$10:$B$15,0))),"N/A")</f>
        <v/>
      </c>
      <c r="S20" s="53">
        <f>IFERROR(IF(INDEX('AC&amp;M'!$O$10:$O$14,MATCH($F20,'AC&amp;M'!$B$10:$B$14,0))="","Cell will autofill based on response",INDEX('AC&amp;M'!$O$10:$O$14,MATCH($F20,'AC&amp;M'!$B$10:$B$14,0))),"N/A")</f>
        <v/>
      </c>
      <c r="T20" s="53">
        <f>IFERROR(IF(INDEX('GCE'!$O$10:$O$12,MATCH($F20,'GCE'!$B$10:$B$12,0))="","Cell will autofill based on response",INDEX('GCE'!$O$10:$O$12,MATCH($F20,'GCE'!$B$10:$B$12,0))),"N/A")</f>
        <v/>
      </c>
      <c r="U20" s="53">
        <f>IFERROR(IF(INDEX('Education'!$O$10:$O$13,MATCH($F20,'Education'!$B$10:$B$13,0))="","Cell will autofill based on response",INDEX('Education'!$O$10:$O$13,MATCH($F20,'Education'!$B$10:$B$13,0))),"N/A")</f>
        <v/>
      </c>
      <c r="V20" s="53">
        <f>IFERROR(IF(INDEX('SaSS'!$O$10:$O$12,MATCH($F20,'SaSS'!$B$10:$B$12,0))="","Cell will autofill based on response",INDEX('SaSS'!$O$10:$O$12,MATCH($F20,'SaSS'!$B$10:$B$12,0))),"N/A")</f>
        <v/>
      </c>
      <c r="W20" s="53">
        <f>IFERROR(IF(INDEX('Indigenous'!$O$10:$O$11,MATCH($F20,'Indigenous'!$B$10:$B$11,0))="","Cell will autofill based on response",INDEX('Indigenous'!$O$10:$O$11,MATCH($F20,'Indigenous'!$B$10:$B$11,0))),"N/A")</f>
        <v/>
      </c>
      <c r="X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IFERROR(IF(INDEX('Faculties'!$P$10:$P$23,MATCH($F21,'Faculties'!$B$10:$B$23,0))="","Cell will autofill based on response",INDEX('Faculties'!$P$10:$P$23,MATCH($F21,'Faculties'!$B$10:$B$23,0))),"N/A")</f>
        <v/>
      </c>
      <c r="I21" s="53">
        <f>IFERROR(IF(INDEX('Faculties'!$P$30:$P$43,MATCH($F21,'Faculties'!$B$30:$B$43,0))="","Cell will autofill based on response",INDEX('Faculties'!$P$30:$P$43,MATCH($F21,'Faculties'!$B$30:$B$43,0))),"N/A")</f>
        <v/>
      </c>
      <c r="J21" s="53">
        <f>IFERROR(IF(INDEX('Faculties'!$P$50:$P$63,MATCH($F21,'Faculties'!$B$50:$B$63,0))="","Cell will autofill based on response",INDEX('Faculties'!$P$50:$P$63,MATCH($F21,'Faculties'!$B$50:$B$63,0))),"N/A")</f>
        <v/>
      </c>
      <c r="K21" s="53">
        <f>IFERROR(IF(INDEX('Faculties'!$P$70:$P$83,MATCH($F21,'Faculties'!$B$70:$B$83,0))="","Cell will autofill based on response",INDEX('Faculties'!$P$70:$P$83,MATCH($F21,'Faculties'!$B$70:$B$83,0))),"N/A")</f>
        <v/>
      </c>
      <c r="L21" s="53">
        <f>IFERROR(IF(INDEX('CI&amp;S'!$P$10:$P$15,MATCH($F21,'CI&amp;S'!$B$10:$B$15,0))="","Cell will autofill based on response",INDEX('CI&amp;S'!$P$10:$P$15,MATCH($F21,'CI&amp;S'!$B$10:$B$15,0))),"N/A")</f>
        <v/>
      </c>
      <c r="M21" s="53">
        <f>IFERROR(IF(INDEX('CI&amp;S'!$P$22:$P$36,MATCH($F21,'CI&amp;S'!$B$22:$B$36,0))="","Cell will autofill based on response",INDEX('CI&amp;S'!$P$22:$P$36,MATCH($F21,'CI&amp;S'!$B$22:$B$36,0))),"N/A")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IFERROR(IF(INDEX('MRE'!$P$10:$P$15,MATCH($F21,'MRE'!$B$10:$B$15,0))="","Cell will autofill based on response",INDEX('MRE'!$P$10:$P$15,MATCH($F21,'MRE'!$B$10:$B$15,0))),"N/A")</f>
        <v/>
      </c>
      <c r="S21" s="53">
        <f>IFERROR(IF(INDEX('AC&amp;M'!$P$10:$P$14,MATCH($F21,'AC&amp;M'!$B$10:$B$14,0))="","Cell will autofill based on response",INDEX('AC&amp;M'!$P$10:$P$14,MATCH($F21,'AC&amp;M'!$B$10:$B$14,0))),"N/A")</f>
        <v/>
      </c>
      <c r="T21" s="53">
        <f>IFERROR(IF(INDEX('GCE'!$P$10:$P$12,MATCH($F21,'GCE'!$B$10:$B$12,0))="","Cell will autofill based on response",INDEX('GCE'!$P$10:$P$12,MATCH($F21,'GCE'!$B$10:$B$12,0))),"N/A")</f>
        <v/>
      </c>
      <c r="U21" s="53">
        <f>IFERROR(IF(INDEX('Education'!$P$10:$P$13,MATCH($F21,'Education'!$B$10:$B$13,0))="","Cell will autofill based on response",INDEX('Education'!$P$10:$P$13,MATCH($F21,'Education'!$B$10:$B$13,0))),"N/A")</f>
        <v/>
      </c>
      <c r="V21" s="53">
        <f>IFERROR(IF(INDEX('SaSS'!$P$10:$P$12,MATCH($F21,'SaSS'!$B$10:$B$12,0))="","Cell will autofill based on response",INDEX('SaSS'!$P$10:$P$12,MATCH($F21,'SaSS'!$B$10:$B$12,0))),"N/A")</f>
        <v/>
      </c>
      <c r="W21" s="53">
        <f>IFERROR(IF(INDEX('Indigenous'!$P$10:$P$11,MATCH($F21,'Indigenous'!$B$10:$B$11,0))="","Cell will autofill based on response",INDEX('Indigenous'!$P$10:$P$11,MATCH($F21,'Indigenous'!$B$10:$B$11,0))),"N/A")</f>
        <v/>
      </c>
      <c r="X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IFERROR(IF(INDEX('Faculties'!$Q$10:$Q$23,MATCH($F22,'Faculties'!$B$10:$B$23,0))="","Cell will autofill based on response",INDEX('Faculties'!$Q$10:$Q$23,MATCH($F22,'Faculties'!$B$10:$B$23,0))),"N/A")</f>
        <v/>
      </c>
      <c r="I22" s="53">
        <f>IFERROR(IF(INDEX('Faculties'!$Q$30:$Q$43,MATCH($F22,'Faculties'!$B$30:$B$43,0))="","Cell will autofill based on response",INDEX('Faculties'!$Q$30:$Q$43,MATCH($F22,'Faculties'!$B$30:$B$43,0))),"N/A")</f>
        <v/>
      </c>
      <c r="J22" s="53">
        <f>IFERROR(IF(INDEX('Faculties'!$Q$50:$Q$63,MATCH($F22,'Faculties'!$B$50:$B$63,0))="","Cell will autofill based on response",INDEX('Faculties'!$Q$50:$Q$63,MATCH($F22,'Faculties'!$B$50:$B$63,0))),"N/A")</f>
        <v/>
      </c>
      <c r="K22" s="53">
        <f>IFERROR(IF(INDEX('Faculties'!$Q$70:$Q$83,MATCH($F22,'Faculties'!$B$70:$B$83,0))="","Cell will autofill based on response",INDEX('Faculties'!$Q$70:$Q$83,MATCH($F22,'Faculties'!$B$70:$B$83,0))),"N/A")</f>
        <v/>
      </c>
      <c r="L22" s="53">
        <f>IFERROR(IF(INDEX('CI&amp;S'!$Q$10:$Q$15,MATCH($F22,'CI&amp;S'!$B$10:$B$15,0))="","Cell will autofill based on response",INDEX('CI&amp;S'!$Q$10:$Q$15,MATCH($F22,'CI&amp;S'!$B$10:$B$15,0))),"N/A")</f>
        <v/>
      </c>
      <c r="M22" s="53">
        <f>IFERROR(IF(INDEX('CI&amp;S'!$Q$22:$Q$36,MATCH($F22,'CI&amp;S'!$B$22:$B$36,0))="","Cell will autofill based on response",INDEX('CI&amp;S'!$Q$22:$Q$36,MATCH($F22,'CI&amp;S'!$B$22:$B$36,0))),"N/A")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IFERROR(IF(INDEX('MRE'!$Q$10:$Q$15,MATCH($F22,'MRE'!$B$10:$B$15,0))="","Cell will autofill based on response",INDEX('MRE'!$Q$10:$Q$15,MATCH($F22,'MRE'!$B$10:$B$15,0))),"N/A")</f>
        <v/>
      </c>
      <c r="S22" s="53">
        <f>IFERROR(IF(INDEX('AC&amp;M'!$Q$10:$Q$14,MATCH($F22,'AC&amp;M'!$B$10:$B$14,0))="","Cell will autofill based on response",INDEX('AC&amp;M'!$Q$10:$Q$14,MATCH($F22,'AC&amp;M'!$B$10:$B$14,0))),"N/A")</f>
        <v/>
      </c>
      <c r="T22" s="53">
        <f>IFERROR(IF(INDEX('GCE'!$Q$10:$Q$12,MATCH($F22,'GCE'!$B$10:$B$12,0))="","Cell will autofill based on response",INDEX('GCE'!$Q$10:$Q$12,MATCH($F22,'GCE'!$B$10:$B$12,0))),"N/A")</f>
        <v/>
      </c>
      <c r="U22" s="53">
        <f>IFERROR(IF(INDEX('Education'!$Q$10:$Q$13,MATCH($F22,'Education'!$B$10:$B$13,0))="","Cell will autofill based on response",INDEX('Education'!$Q$10:$Q$13,MATCH($F22,'Education'!$B$10:$B$13,0))),"N/A")</f>
        <v/>
      </c>
      <c r="V22" s="53">
        <f>IFERROR(IF(INDEX('SaSS'!$Q$10:$Q$12,MATCH($F22,'SaSS'!$B$10:$B$12,0))="","Cell will autofill based on response",INDEX('SaSS'!$Q$10:$Q$12,MATCH($F22,'SaSS'!$B$10:$B$12,0))),"N/A")</f>
        <v/>
      </c>
      <c r="W22" s="53">
        <f>IFERROR(IF(INDEX('Indigenous'!$Q$10:$Q$11,MATCH($F22,'Indigenous'!$B$10:$B$11,0))="","Cell will autofill based on response",INDEX('Indigenous'!$Q$10:$Q$11,MATCH($F22,'Indigenous'!$B$10:$B$11,0))),"N/A")</f>
        <v/>
      </c>
      <c r="X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IFERROR(IF(INDEX('Faculties'!$L$10:$L$23,MATCH($F23,'Faculties'!$B$10:$B$23,0))="","Cell will autofill based on response",INDEX('Faculties'!$L$10:$L$23,MATCH($F23,'Faculties'!$B$10:$B$23,0))),"N/A")</f>
        <v/>
      </c>
      <c r="I23" s="53">
        <f>IFERROR(IF(INDEX('Faculties'!$L$30:$L$43,MATCH($F23,'Faculties'!$B$30:$B$43,0))="","Cell will autofill based on response",INDEX('Faculties'!$L$30:$L$43,MATCH($F23,'Faculties'!$B$30:$B$43,0))),"N/A")</f>
        <v/>
      </c>
      <c r="J23" s="53">
        <f>IFERROR(IF(INDEX('Faculties'!$L$50:$L$63,MATCH($F23,'Faculties'!$B$50:$B$63,0))="","Cell will autofill based on response",INDEX('Faculties'!$L$50:$L$63,MATCH($F23,'Faculties'!$B$50:$B$63,0))),"N/A")</f>
        <v/>
      </c>
      <c r="K23" s="53">
        <f>IFERROR(IF(INDEX('Faculties'!$L$70:$L$83,MATCH($F23,'Faculties'!$B$70:$B$83,0))="","Cell will autofill based on response",INDEX('Faculties'!$L$70:$L$83,MATCH($F23,'Faculties'!$B$70:$B$83,0))),"N/A")</f>
        <v/>
      </c>
      <c r="L23" s="53">
        <f>IFERROR(IF(INDEX('CI&amp;S'!$L$10:$L$15,MATCH($F23,'CI&amp;S'!$B$10:$B$15,0))="","Cell will autofill based on response",INDEX('CI&amp;S'!$L$10:$L$15,MATCH($F23,'CI&amp;S'!$B$10:$B$15,0))),"N/A")</f>
        <v/>
      </c>
      <c r="M23" s="53">
        <f>IFERROR(IF(INDEX('CI&amp;S'!$L$22:$L$36,MATCH($F23,'CI&amp;S'!$B$22:$B$36,0))="","Cell will autofill based on response",INDEX('CI&amp;S'!$L$22:$L$36,MATCH($F23,'CI&amp;S'!$B$22:$B$36,0))),"N/A")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IFERROR(IF(INDEX('MRE'!$L$10:$L$15,MATCH($F23,'MRE'!$B$10:$B$15,0))="","Cell will autofill based on response",INDEX('MRE'!$L$10:$L$15,MATCH($F23,'MRE'!$B$10:$B$15,0))),"N/A")</f>
        <v/>
      </c>
      <c r="S23" s="53">
        <f>IFERROR(IF(INDEX('AC&amp;M'!$L$10:$L$14,MATCH($F23,'AC&amp;M'!$B$10:$B$14,0))="","Cell will autofill based on response",INDEX('AC&amp;M'!$L$10:$L$14,MATCH($F23,'AC&amp;M'!$B$10:$B$14,0))),"N/A")</f>
        <v/>
      </c>
      <c r="T23" s="53">
        <f>IFERROR(IF(INDEX('GCE'!$L$10:$L$12,MATCH($F23,'GCE'!$B$10:$B$12,0))="","Cell will autofill based on response",INDEX('GCE'!$L$10:$L$12,MATCH($F23,'GCE'!$B$10:$B$12,0))),"N/A")</f>
        <v/>
      </c>
      <c r="U23" s="53">
        <f>IFERROR(IF(INDEX('Education'!$L$10:$L$13,MATCH($F23,'Education'!$B$10:$B$13,0))="","Cell will autofill based on response",INDEX('Education'!$L$10:$L$13,MATCH($F23,'Education'!$B$10:$B$13,0))),"N/A")</f>
        <v/>
      </c>
      <c r="V23" s="53">
        <f>IFERROR(IF(INDEX('SaSS'!$L$10:$L$12,MATCH($F23,'SaSS'!$B$10:$B$12,0))="","Cell will autofill based on response",INDEX('SaSS'!$L$10:$L$12,MATCH($F23,'SaSS'!$B$10:$B$12,0))),"N/A")</f>
        <v/>
      </c>
      <c r="W23" s="53">
        <f>IFERROR(IF(INDEX('Indigenous'!$L$10:$L$11,MATCH($F23,'Indigenous'!$B$10:$B$11,0))="","Cell will autofill based on response",INDEX('Indigenous'!$L$10:$L$11,MATCH($F23,'Indigenous'!$B$10:$B$11,0))),"N/A")</f>
        <v/>
      </c>
      <c r="X23" s="53">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4">
        <f>IF(AF23&gt;0,AE23/AF23,"No valid responses to date")</f>
        <v/>
      </c>
      <c r="AH23" s="10">
        <f>IF(ISNUMBER(AG23),INDEX(Lists!$G$2:$G$5,MATCH(ROUND(AG23,0),Lists!$H$2:$H$5,0)),"")</f>
        <v/>
      </c>
      <c r="AI23" s="55">
        <f>IF(AF23&gt;0,AD23/AF23,"")</f>
        <v/>
      </c>
      <c r="AJ23" s="55">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IFERROR(IF(INDEX('Faculties'!$M$10:$M$23,MATCH($F24,'Faculties'!$B$10:$B$23,0))="","Cell will autofill based on response",INDEX('Faculties'!$M$10:$M$23,MATCH($F24,'Faculties'!$B$10:$B$23,0))),"N/A")</f>
        <v/>
      </c>
      <c r="I24" s="53">
        <f>IFERROR(IF(INDEX('Faculties'!$M$30:$M$43,MATCH($F24,'Faculties'!$B$30:$B$43,0))="","Cell will autofill based on response",INDEX('Faculties'!$M$30:$M$43,MATCH($F24,'Faculties'!$B$30:$B$43,0))),"N/A")</f>
        <v/>
      </c>
      <c r="J24" s="53">
        <f>IFERROR(IF(INDEX('Faculties'!$M$50:$M$63,MATCH($F24,'Faculties'!$B$50:$B$63,0))="","Cell will autofill based on response",INDEX('Faculties'!$M$50:$M$63,MATCH($F24,'Faculties'!$B$50:$B$63,0))),"N/A")</f>
        <v/>
      </c>
      <c r="K24" s="53">
        <f>IFERROR(IF(INDEX('Faculties'!$M$70:$M$83,MATCH($F24,'Faculties'!$B$70:$B$83,0))="","Cell will autofill based on response",INDEX('Faculties'!$M$70:$M$83,MATCH($F24,'Faculties'!$B$70:$B$83,0))),"N/A")</f>
        <v/>
      </c>
      <c r="L24" s="53">
        <f>IFERROR(IF(INDEX('CI&amp;S'!$M$10:$M$15,MATCH($F24,'CI&amp;S'!$B$10:$B$15,0))="","Cell will autofill based on response",INDEX('CI&amp;S'!$M$10:$M$15,MATCH($F24,'CI&amp;S'!$B$10:$B$15,0))),"N/A")</f>
        <v/>
      </c>
      <c r="M24" s="53">
        <f>IFERROR(IF(INDEX('CI&amp;S'!$M$22:$M$36,MATCH($F24,'CI&amp;S'!$B$22:$B$36,0))="","Cell will autofill based on response",INDEX('CI&amp;S'!$M$22:$M$36,MATCH($F24,'CI&amp;S'!$B$22:$B$36,0))),"N/A")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IFERROR(IF(INDEX('MRE'!$M$10:$M$15,MATCH($F24,'MRE'!$B$10:$B$15,0))="","Cell will autofill based on response",INDEX('MRE'!$M$10:$M$15,MATCH($F24,'MRE'!$B$10:$B$15,0))),"N/A")</f>
        <v/>
      </c>
      <c r="S24" s="53">
        <f>IFERROR(IF(INDEX('AC&amp;M'!$M$10:$M$14,MATCH($F24,'AC&amp;M'!$B$10:$B$14,0))="","Cell will autofill based on response",INDEX('AC&amp;M'!$M$10:$M$14,MATCH($F24,'AC&amp;M'!$B$10:$B$14,0))),"N/A")</f>
        <v/>
      </c>
      <c r="T24" s="53">
        <f>IFERROR(IF(INDEX('GCE'!$M$10:$M$12,MATCH($F24,'GCE'!$B$10:$B$12,0))="","Cell will autofill based on response",INDEX('GCE'!$M$10:$M$12,MATCH($F24,'GCE'!$B$10:$B$12,0))),"N/A")</f>
        <v/>
      </c>
      <c r="U24" s="53">
        <f>IFERROR(IF(INDEX('Education'!$M$10:$M$13,MATCH($F24,'Education'!$B$10:$B$13,0))="","Cell will autofill based on response",INDEX('Education'!$M$10:$M$13,MATCH($F24,'Education'!$B$10:$B$13,0))),"N/A")</f>
        <v/>
      </c>
      <c r="V24" s="53">
        <f>IFERROR(IF(INDEX('SaSS'!$M$10:$M$12,MATCH($F24,'SaSS'!$B$10:$B$12,0))="","Cell will autofill based on response",INDEX('SaSS'!$M$10:$M$12,MATCH($F24,'SaSS'!$B$10:$B$12,0))),"N/A")</f>
        <v/>
      </c>
      <c r="W24" s="53">
        <f>IFERROR(IF(INDEX('Indigenous'!$M$10:$M$11,MATCH($F24,'Indigenous'!$B$10:$B$11,0))="","Cell will autofill based on response",INDEX('Indigenous'!$M$10:$M$11,MATCH($F24,'Indigenous'!$B$10:$B$11,0))),"N/A")</f>
        <v/>
      </c>
      <c r="X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IFERROR(IF(INDEX('Faculties'!$N$10:$N$23,MATCH($F25,'Faculties'!$B$10:$B$23,0))="","Cell will autofill based on response",INDEX('Faculties'!$N$10:$N$23,MATCH($F25,'Faculties'!$B$10:$B$23,0))),"N/A")</f>
        <v/>
      </c>
      <c r="I25" s="53">
        <f>IFERROR(IF(INDEX('Faculties'!$N$30:$N$43,MATCH($F25,'Faculties'!$B$30:$B$43,0))="","Cell will autofill based on response",INDEX('Faculties'!$N$30:$N$43,MATCH($F25,'Faculties'!$B$30:$B$43,0))),"N/A")</f>
        <v/>
      </c>
      <c r="J25" s="53">
        <f>IFERROR(IF(INDEX('Faculties'!$N$50:$N$63,MATCH($F25,'Faculties'!$B$50:$B$63,0))="","Cell will autofill based on response",INDEX('Faculties'!$N$50:$N$63,MATCH($F25,'Faculties'!$B$50:$B$63,0))),"N/A")</f>
        <v/>
      </c>
      <c r="K25" s="53">
        <f>IFERROR(IF(INDEX('Faculties'!$N$70:$N$83,MATCH($F25,'Faculties'!$B$70:$B$83,0))="","Cell will autofill based on response",INDEX('Faculties'!$N$70:$N$83,MATCH($F25,'Faculties'!$B$70:$B$83,0))),"N/A")</f>
        <v/>
      </c>
      <c r="L25" s="53">
        <f>IFERROR(IF(INDEX('CI&amp;S'!$N$10:$N$15,MATCH($F25,'CI&amp;S'!$B$10:$B$15,0))="","Cell will autofill based on response",INDEX('CI&amp;S'!$N$10:$N$15,MATCH($F25,'CI&amp;S'!$B$10:$B$15,0))),"N/A")</f>
        <v/>
      </c>
      <c r="M25" s="53">
        <f>IFERROR(IF(INDEX('CI&amp;S'!$N$22:$N$36,MATCH($F25,'CI&amp;S'!$B$22:$B$36,0))="","Cell will autofill based on response",INDEX('CI&amp;S'!$N$22:$N$36,MATCH($F25,'CI&amp;S'!$B$22:$B$36,0))),"N/A")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IFERROR(IF(INDEX('MRE'!$N$10:$N$15,MATCH($F25,'MRE'!$B$10:$B$15,0))="","Cell will autofill based on response",INDEX('MRE'!$N$10:$N$15,MATCH($F25,'MRE'!$B$10:$B$15,0))),"N/A")</f>
        <v/>
      </c>
      <c r="S25" s="53">
        <f>IFERROR(IF(INDEX('AC&amp;M'!$N$10:$N$14,MATCH($F25,'AC&amp;M'!$B$10:$B$14,0))="","Cell will autofill based on response",INDEX('AC&amp;M'!$N$10:$N$14,MATCH($F25,'AC&amp;M'!$B$10:$B$14,0))),"N/A")</f>
        <v/>
      </c>
      <c r="T25" s="53">
        <f>IFERROR(IF(INDEX('GCE'!$N$10:$N$12,MATCH($F25,'GCE'!$B$10:$B$12,0))="","Cell will autofill based on response",INDEX('GCE'!$N$10:$N$12,MATCH($F25,'GCE'!$B$10:$B$12,0))),"N/A")</f>
        <v/>
      </c>
      <c r="U25" s="53">
        <f>IFERROR(IF(INDEX('Education'!$N$10:$N$13,MATCH($F25,'Education'!$B$10:$B$13,0))="","Cell will autofill based on response",INDEX('Education'!$N$10:$N$13,MATCH($F25,'Education'!$B$10:$B$13,0))),"N/A")</f>
        <v/>
      </c>
      <c r="V25" s="53">
        <f>IFERROR(IF(INDEX('SaSS'!$N$10:$N$12,MATCH($F25,'SaSS'!$B$10:$B$12,0))="","Cell will autofill based on response",INDEX('SaSS'!$N$10:$N$12,MATCH($F25,'SaSS'!$B$10:$B$12,0))),"N/A")</f>
        <v/>
      </c>
      <c r="W25" s="53">
        <f>IFERROR(IF(INDEX('Indigenous'!$N$10:$N$11,MATCH($F25,'Indigenous'!$B$10:$B$11,0))="","Cell will autofill based on response",INDEX('Indigenous'!$N$10:$N$11,MATCH($F25,'Indigenous'!$B$10:$B$11,0))),"N/A")</f>
        <v/>
      </c>
      <c r="X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IFERROR(IF(INDEX('Faculties'!$O$10:$O$23,MATCH($F26,'Faculties'!$B$10:$B$23,0))="","Cell will autofill based on response",INDEX('Faculties'!$O$10:$O$23,MATCH($F26,'Faculties'!$B$10:$B$23,0))),"N/A")</f>
        <v/>
      </c>
      <c r="I26" s="53">
        <f>IFERROR(IF(INDEX('Faculties'!$O$30:$O$43,MATCH($F26,'Faculties'!$B$30:$B$43,0))="","Cell will autofill based on response",INDEX('Faculties'!$O$30:$O$43,MATCH($F26,'Faculties'!$B$30:$B$43,0))),"N/A")</f>
        <v/>
      </c>
      <c r="J26" s="53">
        <f>IFERROR(IF(INDEX('Faculties'!$O$50:$O$63,MATCH($F26,'Faculties'!$B$50:$B$63,0))="","Cell will autofill based on response",INDEX('Faculties'!$O$50:$O$63,MATCH($F26,'Faculties'!$B$50:$B$63,0))),"N/A")</f>
        <v/>
      </c>
      <c r="K26" s="53">
        <f>IFERROR(IF(INDEX('Faculties'!$O$70:$O$83,MATCH($F26,'Faculties'!$B$70:$B$83,0))="","Cell will autofill based on response",INDEX('Faculties'!$O$70:$O$83,MATCH($F26,'Faculties'!$B$70:$B$83,0))),"N/A")</f>
        <v/>
      </c>
      <c r="L26" s="53">
        <f>IFERROR(IF(INDEX('CI&amp;S'!$O$10:$O$15,MATCH($F26,'CI&amp;S'!$B$10:$B$15,0))="","Cell will autofill based on response",INDEX('CI&amp;S'!$O$10:$O$15,MATCH($F26,'CI&amp;S'!$B$10:$B$15,0))),"N/A")</f>
        <v/>
      </c>
      <c r="M26" s="53">
        <f>IFERROR(IF(INDEX('CI&amp;S'!$O$22:$O$36,MATCH($F26,'CI&amp;S'!$B$22:$B$36,0))="","Cell will autofill based on response",INDEX('CI&amp;S'!$O$22:$O$36,MATCH($F26,'CI&amp;S'!$B$22:$B$36,0))),"N/A")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IFERROR(IF(INDEX('MRE'!$O$10:$O$15,MATCH($F26,'MRE'!$B$10:$B$15,0))="","Cell will autofill based on response",INDEX('MRE'!$O$10:$O$15,MATCH($F26,'MRE'!$B$10:$B$15,0))),"N/A")</f>
        <v/>
      </c>
      <c r="S26" s="53">
        <f>IFERROR(IF(INDEX('AC&amp;M'!$O$10:$O$14,MATCH($F26,'AC&amp;M'!$B$10:$B$14,0))="","Cell will autofill based on response",INDEX('AC&amp;M'!$O$10:$O$14,MATCH($F26,'AC&amp;M'!$B$10:$B$14,0))),"N/A")</f>
        <v/>
      </c>
      <c r="T26" s="53">
        <f>IFERROR(IF(INDEX('GCE'!$O$10:$O$12,MATCH($F26,'GCE'!$B$10:$B$12,0))="","Cell will autofill based on response",INDEX('GCE'!$O$10:$O$12,MATCH($F26,'GCE'!$B$10:$B$12,0))),"N/A")</f>
        <v/>
      </c>
      <c r="U26" s="53">
        <f>IFERROR(IF(INDEX('Education'!$O$10:$O$13,MATCH($F26,'Education'!$B$10:$B$13,0))="","Cell will autofill based on response",INDEX('Education'!$O$10:$O$13,MATCH($F26,'Education'!$B$10:$B$13,0))),"N/A")</f>
        <v/>
      </c>
      <c r="V26" s="53">
        <f>IFERROR(IF(INDEX('SaSS'!$O$10:$O$12,MATCH($F26,'SaSS'!$B$10:$B$12,0))="","Cell will autofill based on response",INDEX('SaSS'!$O$10:$O$12,MATCH($F26,'SaSS'!$B$10:$B$12,0))),"N/A")</f>
        <v/>
      </c>
      <c r="W26" s="53">
        <f>IFERROR(IF(INDEX('Indigenous'!$O$10:$O$11,MATCH($F26,'Indigenous'!$B$10:$B$11,0))="","Cell will autofill based on response",INDEX('Indigenous'!$O$10:$O$11,MATCH($F26,'Indigenous'!$B$10:$B$11,0))),"N/A")</f>
        <v/>
      </c>
      <c r="X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IFERROR(IF(INDEX('Faculties'!$P$10:$P$23,MATCH($F27,'Faculties'!$B$10:$B$23,0))="","Cell will autofill based on response",INDEX('Faculties'!$P$10:$P$23,MATCH($F27,'Faculties'!$B$10:$B$23,0))),"N/A")</f>
        <v/>
      </c>
      <c r="I27" s="53">
        <f>IFERROR(IF(INDEX('Faculties'!$P$30:$P$43,MATCH($F27,'Faculties'!$B$30:$B$43,0))="","Cell will autofill based on response",INDEX('Faculties'!$P$30:$P$43,MATCH($F27,'Faculties'!$B$30:$B$43,0))),"N/A")</f>
        <v/>
      </c>
      <c r="J27" s="53">
        <f>IFERROR(IF(INDEX('Faculties'!$P$50:$P$63,MATCH($F27,'Faculties'!$B$50:$B$63,0))="","Cell will autofill based on response",INDEX('Faculties'!$P$50:$P$63,MATCH($F27,'Faculties'!$B$50:$B$63,0))),"N/A")</f>
        <v/>
      </c>
      <c r="K27" s="53">
        <f>IFERROR(IF(INDEX('Faculties'!$P$70:$P$83,MATCH($F27,'Faculties'!$B$70:$B$83,0))="","Cell will autofill based on response",INDEX('Faculties'!$P$70:$P$83,MATCH($F27,'Faculties'!$B$70:$B$83,0))),"N/A")</f>
        <v/>
      </c>
      <c r="L27" s="53">
        <f>IFERROR(IF(INDEX('CI&amp;S'!$P$10:$P$15,MATCH($F27,'CI&amp;S'!$B$10:$B$15,0))="","Cell will autofill based on response",INDEX('CI&amp;S'!$P$10:$P$15,MATCH($F27,'CI&amp;S'!$B$10:$B$15,0))),"N/A")</f>
        <v/>
      </c>
      <c r="M27" s="53">
        <f>IFERROR(IF(INDEX('CI&amp;S'!$P$22:$P$36,MATCH($F27,'CI&amp;S'!$B$22:$B$36,0))="","Cell will autofill based on response",INDEX('CI&amp;S'!$P$22:$P$36,MATCH($F27,'CI&amp;S'!$B$22:$B$36,0))),"N/A")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IFERROR(IF(INDEX('MRE'!$P$10:$P$15,MATCH($F27,'MRE'!$B$10:$B$15,0))="","Cell will autofill based on response",INDEX('MRE'!$P$10:$P$15,MATCH($F27,'MRE'!$B$10:$B$15,0))),"N/A")</f>
        <v/>
      </c>
      <c r="S27" s="53">
        <f>IFERROR(IF(INDEX('AC&amp;M'!$P$10:$P$14,MATCH($F27,'AC&amp;M'!$B$10:$B$14,0))="","Cell will autofill based on response",INDEX('AC&amp;M'!$P$10:$P$14,MATCH($F27,'AC&amp;M'!$B$10:$B$14,0))),"N/A")</f>
        <v/>
      </c>
      <c r="T27" s="53">
        <f>IFERROR(IF(INDEX('GCE'!$P$10:$P$12,MATCH($F27,'GCE'!$B$10:$B$12,0))="","Cell will autofill based on response",INDEX('GCE'!$P$10:$P$12,MATCH($F27,'GCE'!$B$10:$B$12,0))),"N/A")</f>
        <v/>
      </c>
      <c r="U27" s="53">
        <f>IFERROR(IF(INDEX('Education'!$P$10:$P$13,MATCH($F27,'Education'!$B$10:$B$13,0))="","Cell will autofill based on response",INDEX('Education'!$P$10:$P$13,MATCH($F27,'Education'!$B$10:$B$13,0))),"N/A")</f>
        <v/>
      </c>
      <c r="V27" s="53">
        <f>IFERROR(IF(INDEX('SaSS'!$P$10:$P$12,MATCH($F27,'SaSS'!$B$10:$B$12,0))="","Cell will autofill based on response",INDEX('SaSS'!$P$10:$P$12,MATCH($F27,'SaSS'!$B$10:$B$12,0))),"N/A")</f>
        <v/>
      </c>
      <c r="W27" s="53">
        <f>IFERROR(IF(INDEX('Indigenous'!$P$10:$P$11,MATCH($F27,'Indigenous'!$B$10:$B$11,0))="","Cell will autofill based on response",INDEX('Indigenous'!$P$10:$P$11,MATCH($F27,'Indigenous'!$B$10:$B$11,0))),"N/A")</f>
        <v/>
      </c>
      <c r="X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IFERROR(IF(INDEX('Faculties'!$Q$10:$Q$23,MATCH($F28,'Faculties'!$B$10:$B$23,0))="","Cell will autofill based on response",INDEX('Faculties'!$Q$10:$Q$23,MATCH($F28,'Faculties'!$B$10:$B$23,0))),"N/A")</f>
        <v/>
      </c>
      <c r="I28" s="53">
        <f>IFERROR(IF(INDEX('Faculties'!$Q$30:$Q$43,MATCH($F28,'Faculties'!$B$30:$B$43,0))="","Cell will autofill based on response",INDEX('Faculties'!$Q$30:$Q$43,MATCH($F28,'Faculties'!$B$30:$B$43,0))),"N/A")</f>
        <v/>
      </c>
      <c r="J28" s="53">
        <f>IFERROR(IF(INDEX('Faculties'!$Q$50:$Q$63,MATCH($F28,'Faculties'!$B$50:$B$63,0))="","Cell will autofill based on response",INDEX('Faculties'!$Q$50:$Q$63,MATCH($F28,'Faculties'!$B$50:$B$63,0))),"N/A")</f>
        <v/>
      </c>
      <c r="K28" s="53">
        <f>IFERROR(IF(INDEX('Faculties'!$Q$70:$Q$83,MATCH($F28,'Faculties'!$B$70:$B$83,0))="","Cell will autofill based on response",INDEX('Faculties'!$Q$70:$Q$83,MATCH($F28,'Faculties'!$B$70:$B$83,0))),"N/A")</f>
        <v/>
      </c>
      <c r="L28" s="53">
        <f>IFERROR(IF(INDEX('CI&amp;S'!$Q$10:$Q$15,MATCH($F28,'CI&amp;S'!$B$10:$B$15,0))="","Cell will autofill based on response",INDEX('CI&amp;S'!$Q$10:$Q$15,MATCH($F28,'CI&amp;S'!$B$10:$B$15,0))),"N/A")</f>
        <v/>
      </c>
      <c r="M28" s="53">
        <f>IFERROR(IF(INDEX('CI&amp;S'!$Q$22:$Q$36,MATCH($F28,'CI&amp;S'!$B$22:$B$36,0))="","Cell will autofill based on response",INDEX('CI&amp;S'!$Q$22:$Q$36,MATCH($F28,'CI&amp;S'!$B$22:$B$36,0))),"N/A")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IFERROR(IF(INDEX('MRE'!$Q$10:$Q$15,MATCH($F28,'MRE'!$B$10:$B$15,0))="","Cell will autofill based on response",INDEX('MRE'!$Q$10:$Q$15,MATCH($F28,'MRE'!$B$10:$B$15,0))),"N/A")</f>
        <v/>
      </c>
      <c r="S28" s="53">
        <f>IFERROR(IF(INDEX('AC&amp;M'!$Q$10:$Q$14,MATCH($F28,'AC&amp;M'!$B$10:$B$14,0))="","Cell will autofill based on response",INDEX('AC&amp;M'!$Q$10:$Q$14,MATCH($F28,'AC&amp;M'!$B$10:$B$14,0))),"N/A")</f>
        <v/>
      </c>
      <c r="T28" s="53">
        <f>IFERROR(IF(INDEX('GCE'!$Q$10:$Q$12,MATCH($F28,'GCE'!$B$10:$B$12,0))="","Cell will autofill based on response",INDEX('GCE'!$Q$10:$Q$12,MATCH($F28,'GCE'!$B$10:$B$12,0))),"N/A")</f>
        <v/>
      </c>
      <c r="U28" s="53">
        <f>IFERROR(IF(INDEX('Education'!$Q$10:$Q$13,MATCH($F28,'Education'!$B$10:$B$13,0))="","Cell will autofill based on response",INDEX('Education'!$Q$10:$Q$13,MATCH($F28,'Education'!$B$10:$B$13,0))),"N/A")</f>
        <v/>
      </c>
      <c r="V28" s="53">
        <f>IFERROR(IF(INDEX('SaSS'!$Q$10:$Q$12,MATCH($F28,'SaSS'!$B$10:$B$12,0))="","Cell will autofill based on response",INDEX('SaSS'!$Q$10:$Q$12,MATCH($F28,'SaSS'!$B$10:$B$12,0))),"N/A")</f>
        <v/>
      </c>
      <c r="W28" s="53">
        <f>IFERROR(IF(INDEX('Indigenous'!$Q$10:$Q$11,MATCH($F28,'Indigenous'!$B$10:$B$11,0))="","Cell will autofill based on response",INDEX('Indigenous'!$Q$10:$Q$11,MATCH($F28,'Indigenous'!$B$10:$B$11,0))),"N/A")</f>
        <v/>
      </c>
      <c r="X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IFERROR(IF(INDEX('Faculties'!$L$10:$L$23,MATCH($F29,'Faculties'!$B$10:$B$23,0))="","Cell will autofill based on response",INDEX('Faculties'!$L$10:$L$23,MATCH($F29,'Faculties'!$B$10:$B$23,0))),"N/A")</f>
        <v/>
      </c>
      <c r="I29" s="53">
        <f>IFERROR(IF(INDEX('Faculties'!$L$30:$L$43,MATCH($F29,'Faculties'!$B$30:$B$43,0))="","Cell will autofill based on response",INDEX('Faculties'!$L$30:$L$43,MATCH($F29,'Faculties'!$B$30:$B$43,0))),"N/A")</f>
        <v/>
      </c>
      <c r="J29" s="53">
        <f>IFERROR(IF(INDEX('Faculties'!$L$50:$L$63,MATCH($F29,'Faculties'!$B$50:$B$63,0))="","Cell will autofill based on response",INDEX('Faculties'!$L$50:$L$63,MATCH($F29,'Faculties'!$B$50:$B$63,0))),"N/A")</f>
        <v/>
      </c>
      <c r="K29" s="53">
        <f>IFERROR(IF(INDEX('Faculties'!$L$70:$L$83,MATCH($F29,'Faculties'!$B$70:$B$83,0))="","Cell will autofill based on response",INDEX('Faculties'!$L$70:$L$83,MATCH($F29,'Faculties'!$B$70:$B$83,0))),"N/A")</f>
        <v/>
      </c>
      <c r="L29" s="53">
        <f>IFERROR(IF(INDEX('CI&amp;S'!$L$10:$L$15,MATCH($F29,'CI&amp;S'!$B$10:$B$15,0))="","Cell will autofill based on response",INDEX('CI&amp;S'!$L$10:$L$15,MATCH($F29,'CI&amp;S'!$B$10:$B$15,0))),"N/A")</f>
        <v/>
      </c>
      <c r="M29" s="53">
        <f>IFERROR(IF(INDEX('CI&amp;S'!$L$22:$L$36,MATCH($F29,'CI&amp;S'!$B$22:$B$36,0))="","Cell will autofill based on response",INDEX('CI&amp;S'!$L$22:$L$36,MATCH($F29,'CI&amp;S'!$B$22:$B$36,0))),"N/A")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IFERROR(IF(INDEX('MRE'!$L$10:$L$15,MATCH($F29,'MRE'!$B$10:$B$15,0))="","Cell will autofill based on response",INDEX('MRE'!$L$10:$L$15,MATCH($F29,'MRE'!$B$10:$B$15,0))),"N/A")</f>
        <v/>
      </c>
      <c r="S29" s="53">
        <f>IFERROR(IF(INDEX('AC&amp;M'!$L$10:$L$14,MATCH($F29,'AC&amp;M'!$B$10:$B$14,0))="","Cell will autofill based on response",INDEX('AC&amp;M'!$L$10:$L$14,MATCH($F29,'AC&amp;M'!$B$10:$B$14,0))),"N/A")</f>
        <v/>
      </c>
      <c r="T29" s="53">
        <f>IFERROR(IF(INDEX('GCE'!$L$10:$L$12,MATCH($F29,'GCE'!$B$10:$B$12,0))="","Cell will autofill based on response",INDEX('GCE'!$L$10:$L$12,MATCH($F29,'GCE'!$B$10:$B$12,0))),"N/A")</f>
        <v/>
      </c>
      <c r="U29" s="53">
        <f>IFERROR(IF(INDEX('Education'!$L$10:$L$13,MATCH($F29,'Education'!$B$10:$B$13,0))="","Cell will autofill based on response",INDEX('Education'!$L$10:$L$13,MATCH($F29,'Education'!$B$10:$B$13,0))),"N/A")</f>
        <v/>
      </c>
      <c r="V29" s="53">
        <f>IFERROR(IF(INDEX('SaSS'!$L$10:$L$12,MATCH($F29,'SaSS'!$B$10:$B$12,0))="","Cell will autofill based on response",INDEX('SaSS'!$L$10:$L$12,MATCH($F29,'SaSS'!$B$10:$B$12,0))),"N/A")</f>
        <v/>
      </c>
      <c r="W29" s="53">
        <f>IFERROR(IF(INDEX('Indigenous'!$L$10:$L$11,MATCH($F29,'Indigenous'!$B$10:$B$11,0))="","Cell will autofill based on response",INDEX('Indigenous'!$L$10:$L$11,MATCH($F29,'Indigenous'!$B$10:$B$11,0))),"N/A")</f>
        <v/>
      </c>
      <c r="X29" s="53">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4">
        <f>IF(AF29&gt;0,AE29/AF29,"No valid responses to date")</f>
        <v/>
      </c>
      <c r="AH29" s="10">
        <f>IF(ISNUMBER(AG29),INDEX(Lists!$G$2:$G$5,MATCH(ROUND(AG29,0),Lists!$H$2:$H$5,0)),"")</f>
        <v/>
      </c>
      <c r="AI29" s="55">
        <f>IF(AF29&gt;0,AD29/AF29,"")</f>
        <v/>
      </c>
      <c r="AJ29" s="55">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IFERROR(IF(INDEX('Faculties'!$M$10:$M$23,MATCH($F30,'Faculties'!$B$10:$B$23,0))="","Cell will autofill based on response",INDEX('Faculties'!$M$10:$M$23,MATCH($F30,'Faculties'!$B$10:$B$23,0))),"N/A")</f>
        <v/>
      </c>
      <c r="I30" s="53">
        <f>IFERROR(IF(INDEX('Faculties'!$M$30:$M$43,MATCH($F30,'Faculties'!$B$30:$B$43,0))="","Cell will autofill based on response",INDEX('Faculties'!$M$30:$M$43,MATCH($F30,'Faculties'!$B$30:$B$43,0))),"N/A")</f>
        <v/>
      </c>
      <c r="J30" s="53">
        <f>IFERROR(IF(INDEX('Faculties'!$M$50:$M$63,MATCH($F30,'Faculties'!$B$50:$B$63,0))="","Cell will autofill based on response",INDEX('Faculties'!$M$50:$M$63,MATCH($F30,'Faculties'!$B$50:$B$63,0))),"N/A")</f>
        <v/>
      </c>
      <c r="K30" s="53">
        <f>IFERROR(IF(INDEX('Faculties'!$M$70:$M$83,MATCH($F30,'Faculties'!$B$70:$B$83,0))="","Cell will autofill based on response",INDEX('Faculties'!$M$70:$M$83,MATCH($F30,'Faculties'!$B$70:$B$83,0))),"N/A")</f>
        <v/>
      </c>
      <c r="L30" s="53">
        <f>IFERROR(IF(INDEX('CI&amp;S'!$M$10:$M$15,MATCH($F30,'CI&amp;S'!$B$10:$B$15,0))="","Cell will autofill based on response",INDEX('CI&amp;S'!$M$10:$M$15,MATCH($F30,'CI&amp;S'!$B$10:$B$15,0))),"N/A")</f>
        <v/>
      </c>
      <c r="M30" s="53">
        <f>IFERROR(IF(INDEX('CI&amp;S'!$M$22:$M$36,MATCH($F30,'CI&amp;S'!$B$22:$B$36,0))="","Cell will autofill based on response",INDEX('CI&amp;S'!$M$22:$M$36,MATCH($F30,'CI&amp;S'!$B$22:$B$36,0))),"N/A")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IFERROR(IF(INDEX('MRE'!$M$10:$M$15,MATCH($F30,'MRE'!$B$10:$B$15,0))="","Cell will autofill based on response",INDEX('MRE'!$M$10:$M$15,MATCH($F30,'MRE'!$B$10:$B$15,0))),"N/A")</f>
        <v/>
      </c>
      <c r="S30" s="53">
        <f>IFERROR(IF(INDEX('AC&amp;M'!$M$10:$M$14,MATCH($F30,'AC&amp;M'!$B$10:$B$14,0))="","Cell will autofill based on response",INDEX('AC&amp;M'!$M$10:$M$14,MATCH($F30,'AC&amp;M'!$B$10:$B$14,0))),"N/A")</f>
        <v/>
      </c>
      <c r="T30" s="53">
        <f>IFERROR(IF(INDEX('GCE'!$M$10:$M$12,MATCH($F30,'GCE'!$B$10:$B$12,0))="","Cell will autofill based on response",INDEX('GCE'!$M$10:$M$12,MATCH($F30,'GCE'!$B$10:$B$12,0))),"N/A")</f>
        <v/>
      </c>
      <c r="U30" s="53">
        <f>IFERROR(IF(INDEX('Education'!$M$10:$M$13,MATCH($F30,'Education'!$B$10:$B$13,0))="","Cell will autofill based on response",INDEX('Education'!$M$10:$M$13,MATCH($F30,'Education'!$B$10:$B$13,0))),"N/A")</f>
        <v/>
      </c>
      <c r="V30" s="53">
        <f>IFERROR(IF(INDEX('SaSS'!$M$10:$M$12,MATCH($F30,'SaSS'!$B$10:$B$12,0))="","Cell will autofill based on response",INDEX('SaSS'!$M$10:$M$12,MATCH($F30,'SaSS'!$B$10:$B$12,0))),"N/A")</f>
        <v/>
      </c>
      <c r="W30" s="53">
        <f>IFERROR(IF(INDEX('Indigenous'!$M$10:$M$11,MATCH($F30,'Indigenous'!$B$10:$B$11,0))="","Cell will autofill based on response",INDEX('Indigenous'!$M$10:$M$11,MATCH($F30,'Indigenous'!$B$10:$B$11,0))),"N/A")</f>
        <v/>
      </c>
      <c r="X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IFERROR(IF(INDEX('Faculties'!$N$10:$N$23,MATCH($F31,'Faculties'!$B$10:$B$23,0))="","Cell will autofill based on response",INDEX('Faculties'!$N$10:$N$23,MATCH($F31,'Faculties'!$B$10:$B$23,0))),"N/A")</f>
        <v/>
      </c>
      <c r="I31" s="53">
        <f>IFERROR(IF(INDEX('Faculties'!$N$30:$N$43,MATCH($F31,'Faculties'!$B$30:$B$43,0))="","Cell will autofill based on response",INDEX('Faculties'!$N$30:$N$43,MATCH($F31,'Faculties'!$B$30:$B$43,0))),"N/A")</f>
        <v/>
      </c>
      <c r="J31" s="53">
        <f>IFERROR(IF(INDEX('Faculties'!$N$50:$N$63,MATCH($F31,'Faculties'!$B$50:$B$63,0))="","Cell will autofill based on response",INDEX('Faculties'!$N$50:$N$63,MATCH($F31,'Faculties'!$B$50:$B$63,0))),"N/A")</f>
        <v/>
      </c>
      <c r="K31" s="53">
        <f>IFERROR(IF(INDEX('Faculties'!$N$70:$N$83,MATCH($F31,'Faculties'!$B$70:$B$83,0))="","Cell will autofill based on response",INDEX('Faculties'!$N$70:$N$83,MATCH($F31,'Faculties'!$B$70:$B$83,0))),"N/A")</f>
        <v/>
      </c>
      <c r="L31" s="53">
        <f>IFERROR(IF(INDEX('CI&amp;S'!$N$10:$N$15,MATCH($F31,'CI&amp;S'!$B$10:$B$15,0))="","Cell will autofill based on response",INDEX('CI&amp;S'!$N$10:$N$15,MATCH($F31,'CI&amp;S'!$B$10:$B$15,0))),"N/A")</f>
        <v/>
      </c>
      <c r="M31" s="53">
        <f>IFERROR(IF(INDEX('CI&amp;S'!$N$22:$N$36,MATCH($F31,'CI&amp;S'!$B$22:$B$36,0))="","Cell will autofill based on response",INDEX('CI&amp;S'!$N$22:$N$36,MATCH($F31,'CI&amp;S'!$B$22:$B$36,0))),"N/A")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IFERROR(IF(INDEX('MRE'!$N$10:$N$15,MATCH($F31,'MRE'!$B$10:$B$15,0))="","Cell will autofill based on response",INDEX('MRE'!$N$10:$N$15,MATCH($F31,'MRE'!$B$10:$B$15,0))),"N/A")</f>
        <v/>
      </c>
      <c r="S31" s="53">
        <f>IFERROR(IF(INDEX('AC&amp;M'!$N$10:$N$14,MATCH($F31,'AC&amp;M'!$B$10:$B$14,0))="","Cell will autofill based on response",INDEX('AC&amp;M'!$N$10:$N$14,MATCH($F31,'AC&amp;M'!$B$10:$B$14,0))),"N/A")</f>
        <v/>
      </c>
      <c r="T31" s="53">
        <f>IFERROR(IF(INDEX('GCE'!$N$10:$N$12,MATCH($F31,'GCE'!$B$10:$B$12,0))="","Cell will autofill based on response",INDEX('GCE'!$N$10:$N$12,MATCH($F31,'GCE'!$B$10:$B$12,0))),"N/A")</f>
        <v/>
      </c>
      <c r="U31" s="53">
        <f>IFERROR(IF(INDEX('Education'!$N$10:$N$13,MATCH($F31,'Education'!$B$10:$B$13,0))="","Cell will autofill based on response",INDEX('Education'!$N$10:$N$13,MATCH($F31,'Education'!$B$10:$B$13,0))),"N/A")</f>
        <v/>
      </c>
      <c r="V31" s="53">
        <f>IFERROR(IF(INDEX('SaSS'!$N$10:$N$12,MATCH($F31,'SaSS'!$B$10:$B$12,0))="","Cell will autofill based on response",INDEX('SaSS'!$N$10:$N$12,MATCH($F31,'SaSS'!$B$10:$B$12,0))),"N/A")</f>
        <v/>
      </c>
      <c r="W31" s="53">
        <f>IFERROR(IF(INDEX('Indigenous'!$N$10:$N$11,MATCH($F31,'Indigenous'!$B$10:$B$11,0))="","Cell will autofill based on response",INDEX('Indigenous'!$N$10:$N$11,MATCH($F31,'Indigenous'!$B$10:$B$11,0))),"N/A")</f>
        <v/>
      </c>
      <c r="X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IFERROR(IF(INDEX('Faculties'!$O$10:$O$23,MATCH($F32,'Faculties'!$B$10:$B$23,0))="","Cell will autofill based on response",INDEX('Faculties'!$O$10:$O$23,MATCH($F32,'Faculties'!$B$10:$B$23,0))),"N/A")</f>
        <v/>
      </c>
      <c r="I32" s="53">
        <f>IFERROR(IF(INDEX('Faculties'!$O$30:$O$43,MATCH($F32,'Faculties'!$B$30:$B$43,0))="","Cell will autofill based on response",INDEX('Faculties'!$O$30:$O$43,MATCH($F32,'Faculties'!$B$30:$B$43,0))),"N/A")</f>
        <v/>
      </c>
      <c r="J32" s="53">
        <f>IFERROR(IF(INDEX('Faculties'!$O$50:$O$63,MATCH($F32,'Faculties'!$B$50:$B$63,0))="","Cell will autofill based on response",INDEX('Faculties'!$O$50:$O$63,MATCH($F32,'Faculties'!$B$50:$B$63,0))),"N/A")</f>
        <v/>
      </c>
      <c r="K32" s="53">
        <f>IFERROR(IF(INDEX('Faculties'!$O$70:$O$83,MATCH($F32,'Faculties'!$B$70:$B$83,0))="","Cell will autofill based on response",INDEX('Faculties'!$O$70:$O$83,MATCH($F32,'Faculties'!$B$70:$B$83,0))),"N/A")</f>
        <v/>
      </c>
      <c r="L32" s="53">
        <f>IFERROR(IF(INDEX('CI&amp;S'!$O$10:$O$15,MATCH($F32,'CI&amp;S'!$B$10:$B$15,0))="","Cell will autofill based on response",INDEX('CI&amp;S'!$O$10:$O$15,MATCH($F32,'CI&amp;S'!$B$10:$B$15,0))),"N/A")</f>
        <v/>
      </c>
      <c r="M32" s="53">
        <f>IFERROR(IF(INDEX('CI&amp;S'!$O$22:$O$36,MATCH($F32,'CI&amp;S'!$B$22:$B$36,0))="","Cell will autofill based on response",INDEX('CI&amp;S'!$O$22:$O$36,MATCH($F32,'CI&amp;S'!$B$22:$B$36,0))),"N/A")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IFERROR(IF(INDEX('MRE'!$O$10:$O$15,MATCH($F32,'MRE'!$B$10:$B$15,0))="","Cell will autofill based on response",INDEX('MRE'!$O$10:$O$15,MATCH($F32,'MRE'!$B$10:$B$15,0))),"N/A")</f>
        <v/>
      </c>
      <c r="S32" s="53">
        <f>IFERROR(IF(INDEX('AC&amp;M'!$O$10:$O$14,MATCH($F32,'AC&amp;M'!$B$10:$B$14,0))="","Cell will autofill based on response",INDEX('AC&amp;M'!$O$10:$O$14,MATCH($F32,'AC&amp;M'!$B$10:$B$14,0))),"N/A")</f>
        <v/>
      </c>
      <c r="T32" s="53">
        <f>IFERROR(IF(INDEX('GCE'!$O$10:$O$12,MATCH($F32,'GCE'!$B$10:$B$12,0))="","Cell will autofill based on response",INDEX('GCE'!$O$10:$O$12,MATCH($F32,'GCE'!$B$10:$B$12,0))),"N/A")</f>
        <v/>
      </c>
      <c r="U32" s="53">
        <f>IFERROR(IF(INDEX('Education'!$O$10:$O$13,MATCH($F32,'Education'!$B$10:$B$13,0))="","Cell will autofill based on response",INDEX('Education'!$O$10:$O$13,MATCH($F32,'Education'!$B$10:$B$13,0))),"N/A")</f>
        <v/>
      </c>
      <c r="V32" s="53">
        <f>IFERROR(IF(INDEX('SaSS'!$O$10:$O$12,MATCH($F32,'SaSS'!$B$10:$B$12,0))="","Cell will autofill based on response",INDEX('SaSS'!$O$10:$O$12,MATCH($F32,'SaSS'!$B$10:$B$12,0))),"N/A")</f>
        <v/>
      </c>
      <c r="W32" s="53">
        <f>IFERROR(IF(INDEX('Indigenous'!$O$10:$O$11,MATCH($F32,'Indigenous'!$B$10:$B$11,0))="","Cell will autofill based on response",INDEX('Indigenous'!$O$10:$O$11,MATCH($F32,'Indigenous'!$B$10:$B$11,0))),"N/A")</f>
        <v/>
      </c>
      <c r="X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IFERROR(IF(INDEX('Faculties'!$P$10:$P$23,MATCH($F33,'Faculties'!$B$10:$B$23,0))="","Cell will autofill based on response",INDEX('Faculties'!$P$10:$P$23,MATCH($F33,'Faculties'!$B$10:$B$23,0))),"N/A")</f>
        <v/>
      </c>
      <c r="I33" s="53">
        <f>IFERROR(IF(INDEX('Faculties'!$P$30:$P$43,MATCH($F33,'Faculties'!$B$30:$B$43,0))="","Cell will autofill based on response",INDEX('Faculties'!$P$30:$P$43,MATCH($F33,'Faculties'!$B$30:$B$43,0))),"N/A")</f>
        <v/>
      </c>
      <c r="J33" s="53">
        <f>IFERROR(IF(INDEX('Faculties'!$P$50:$P$63,MATCH($F33,'Faculties'!$B$50:$B$63,0))="","Cell will autofill based on response",INDEX('Faculties'!$P$50:$P$63,MATCH($F33,'Faculties'!$B$50:$B$63,0))),"N/A")</f>
        <v/>
      </c>
      <c r="K33" s="53">
        <f>IFERROR(IF(INDEX('Faculties'!$P$70:$P$83,MATCH($F33,'Faculties'!$B$70:$B$83,0))="","Cell will autofill based on response",INDEX('Faculties'!$P$70:$P$83,MATCH($F33,'Faculties'!$B$70:$B$83,0))),"N/A")</f>
        <v/>
      </c>
      <c r="L33" s="53">
        <f>IFERROR(IF(INDEX('CI&amp;S'!$P$10:$P$15,MATCH($F33,'CI&amp;S'!$B$10:$B$15,0))="","Cell will autofill based on response",INDEX('CI&amp;S'!$P$10:$P$15,MATCH($F33,'CI&amp;S'!$B$10:$B$15,0))),"N/A")</f>
        <v/>
      </c>
      <c r="M33" s="53">
        <f>IFERROR(IF(INDEX('CI&amp;S'!$P$22:$P$36,MATCH($F33,'CI&amp;S'!$B$22:$B$36,0))="","Cell will autofill based on response",INDEX('CI&amp;S'!$P$22:$P$36,MATCH($F33,'CI&amp;S'!$B$22:$B$36,0))),"N/A")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IFERROR(IF(INDEX('MRE'!$P$10:$P$15,MATCH($F33,'MRE'!$B$10:$B$15,0))="","Cell will autofill based on response",INDEX('MRE'!$P$10:$P$15,MATCH($F33,'MRE'!$B$10:$B$15,0))),"N/A")</f>
        <v/>
      </c>
      <c r="S33" s="53">
        <f>IFERROR(IF(INDEX('AC&amp;M'!$P$10:$P$14,MATCH($F33,'AC&amp;M'!$B$10:$B$14,0))="","Cell will autofill based on response",INDEX('AC&amp;M'!$P$10:$P$14,MATCH($F33,'AC&amp;M'!$B$10:$B$14,0))),"N/A")</f>
        <v/>
      </c>
      <c r="T33" s="53">
        <f>IFERROR(IF(INDEX('GCE'!$P$10:$P$12,MATCH($F33,'GCE'!$B$10:$B$12,0))="","Cell will autofill based on response",INDEX('GCE'!$P$10:$P$12,MATCH($F33,'GCE'!$B$10:$B$12,0))),"N/A")</f>
        <v/>
      </c>
      <c r="U33" s="53">
        <f>IFERROR(IF(INDEX('Education'!$P$10:$P$13,MATCH($F33,'Education'!$B$10:$B$13,0))="","Cell will autofill based on response",INDEX('Education'!$P$10:$P$13,MATCH($F33,'Education'!$B$10:$B$13,0))),"N/A")</f>
        <v/>
      </c>
      <c r="V33" s="53">
        <f>IFERROR(IF(INDEX('SaSS'!$P$10:$P$12,MATCH($F33,'SaSS'!$B$10:$B$12,0))="","Cell will autofill based on response",INDEX('SaSS'!$P$10:$P$12,MATCH($F33,'SaSS'!$B$10:$B$12,0))),"N/A")</f>
        <v/>
      </c>
      <c r="W33" s="53">
        <f>IFERROR(IF(INDEX('Indigenous'!$P$10:$P$11,MATCH($F33,'Indigenous'!$B$10:$B$11,0))="","Cell will autofill based on response",INDEX('Indigenous'!$P$10:$P$11,MATCH($F33,'Indigenous'!$B$10:$B$11,0))),"N/A")</f>
        <v/>
      </c>
      <c r="X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IFERROR(IF(INDEX('Faculties'!$Q$10:$Q$23,MATCH($F34,'Faculties'!$B$10:$B$23,0))="","Cell will autofill based on response",INDEX('Faculties'!$Q$10:$Q$23,MATCH($F34,'Faculties'!$B$10:$B$23,0))),"N/A")</f>
        <v/>
      </c>
      <c r="I34" s="53">
        <f>IFERROR(IF(INDEX('Faculties'!$Q$30:$Q$43,MATCH($F34,'Faculties'!$B$30:$B$43,0))="","Cell will autofill based on response",INDEX('Faculties'!$Q$30:$Q$43,MATCH($F34,'Faculties'!$B$30:$B$43,0))),"N/A")</f>
        <v/>
      </c>
      <c r="J34" s="53">
        <f>IFERROR(IF(INDEX('Faculties'!$Q$50:$Q$63,MATCH($F34,'Faculties'!$B$50:$B$63,0))="","Cell will autofill based on response",INDEX('Faculties'!$Q$50:$Q$63,MATCH($F34,'Faculties'!$B$50:$B$63,0))),"N/A")</f>
        <v/>
      </c>
      <c r="K34" s="53">
        <f>IFERROR(IF(INDEX('Faculties'!$Q$70:$Q$83,MATCH($F34,'Faculties'!$B$70:$B$83,0))="","Cell will autofill based on response",INDEX('Faculties'!$Q$70:$Q$83,MATCH($F34,'Faculties'!$B$70:$B$83,0))),"N/A")</f>
        <v/>
      </c>
      <c r="L34" s="53">
        <f>IFERROR(IF(INDEX('CI&amp;S'!$Q$10:$Q$15,MATCH($F34,'CI&amp;S'!$B$10:$B$15,0))="","Cell will autofill based on response",INDEX('CI&amp;S'!$Q$10:$Q$15,MATCH($F34,'CI&amp;S'!$B$10:$B$15,0))),"N/A")</f>
        <v/>
      </c>
      <c r="M34" s="53">
        <f>IFERROR(IF(INDEX('CI&amp;S'!$Q$22:$Q$36,MATCH($F34,'CI&amp;S'!$B$22:$B$36,0))="","Cell will autofill based on response",INDEX('CI&amp;S'!$Q$22:$Q$36,MATCH($F34,'CI&amp;S'!$B$22:$B$36,0))),"N/A")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IFERROR(IF(INDEX('MRE'!$Q$10:$Q$15,MATCH($F34,'MRE'!$B$10:$B$15,0))="","Cell will autofill based on response",INDEX('MRE'!$Q$10:$Q$15,MATCH($F34,'MRE'!$B$10:$B$15,0))),"N/A")</f>
        <v/>
      </c>
      <c r="S34" s="53">
        <f>IFERROR(IF(INDEX('AC&amp;M'!$Q$10:$Q$14,MATCH($F34,'AC&amp;M'!$B$10:$B$14,0))="","Cell will autofill based on response",INDEX('AC&amp;M'!$Q$10:$Q$14,MATCH($F34,'AC&amp;M'!$B$10:$B$14,0))),"N/A")</f>
        <v/>
      </c>
      <c r="T34" s="53">
        <f>IFERROR(IF(INDEX('GCE'!$Q$10:$Q$12,MATCH($F34,'GCE'!$B$10:$B$12,0))="","Cell will autofill based on response",INDEX('GCE'!$Q$10:$Q$12,MATCH($F34,'GCE'!$B$10:$B$12,0))),"N/A")</f>
        <v/>
      </c>
      <c r="U34" s="53">
        <f>IFERROR(IF(INDEX('Education'!$Q$10:$Q$13,MATCH($F34,'Education'!$B$10:$B$13,0))="","Cell will autofill based on response",INDEX('Education'!$Q$10:$Q$13,MATCH($F34,'Education'!$B$10:$B$13,0))),"N/A")</f>
        <v/>
      </c>
      <c r="V34" s="53">
        <f>IFERROR(IF(INDEX('SaSS'!$Q$10:$Q$12,MATCH($F34,'SaSS'!$B$10:$B$12,0))="","Cell will autofill based on response",INDEX('SaSS'!$Q$10:$Q$12,MATCH($F34,'SaSS'!$B$10:$B$12,0))),"N/A")</f>
        <v/>
      </c>
      <c r="W34" s="53">
        <f>IFERROR(IF(INDEX('Indigenous'!$Q$10:$Q$11,MATCH($F34,'Indigenous'!$B$10:$B$11,0))="","Cell will autofill based on response",INDEX('Indigenous'!$Q$10:$Q$11,MATCH($F34,'Indigenous'!$B$10:$B$11,0))),"N/A")</f>
        <v/>
      </c>
      <c r="X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IFERROR(IF(INDEX('Faculties'!$L$10:$L$23,MATCH($F35,'Faculties'!$B$10:$B$23,0))="","Cell will autofill based on response",INDEX('Faculties'!$L$10:$L$23,MATCH($F35,'Faculties'!$B$10:$B$23,0))),"N/A")</f>
        <v/>
      </c>
      <c r="I35" s="53">
        <f>IFERROR(IF(INDEX('Faculties'!$L$30:$L$43,MATCH($F35,'Faculties'!$B$30:$B$43,0))="","Cell will autofill based on response",INDEX('Faculties'!$L$30:$L$43,MATCH($F35,'Faculties'!$B$30:$B$43,0))),"N/A")</f>
        <v/>
      </c>
      <c r="J35" s="53">
        <f>IFERROR(IF(INDEX('Faculties'!$L$50:$L$63,MATCH($F35,'Faculties'!$B$50:$B$63,0))="","Cell will autofill based on response",INDEX('Faculties'!$L$50:$L$63,MATCH($F35,'Faculties'!$B$50:$B$63,0))),"N/A")</f>
        <v/>
      </c>
      <c r="K35" s="53">
        <f>IFERROR(IF(INDEX('Faculties'!$L$70:$L$83,MATCH($F35,'Faculties'!$B$70:$B$83,0))="","Cell will autofill based on response",INDEX('Faculties'!$L$70:$L$83,MATCH($F35,'Faculties'!$B$70:$B$83,0))),"N/A")</f>
        <v/>
      </c>
      <c r="L35" s="53">
        <f>IFERROR(IF(INDEX('CI&amp;S'!$L$10:$L$15,MATCH($F35,'CI&amp;S'!$B$10:$B$15,0))="","Cell will autofill based on response",INDEX('CI&amp;S'!$L$10:$L$15,MATCH($F35,'CI&amp;S'!$B$10:$B$15,0))),"N/A")</f>
        <v/>
      </c>
      <c r="M35" s="53">
        <f>IFERROR(IF(INDEX('CI&amp;S'!$L$22:$L$36,MATCH($F35,'CI&amp;S'!$B$22:$B$36,0))="","Cell will autofill based on response",INDEX('CI&amp;S'!$L$22:$L$36,MATCH($F35,'CI&amp;S'!$B$22:$B$36,0))),"N/A")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IFERROR(IF(INDEX('MRE'!$L$10:$L$15,MATCH($F35,'MRE'!$B$10:$B$15,0))="","Cell will autofill based on response",INDEX('MRE'!$L$10:$L$15,MATCH($F35,'MRE'!$B$10:$B$15,0))),"N/A")</f>
        <v/>
      </c>
      <c r="S35" s="53">
        <f>IFERROR(IF(INDEX('AC&amp;M'!$L$10:$L$14,MATCH($F35,'AC&amp;M'!$B$10:$B$14,0))="","Cell will autofill based on response",INDEX('AC&amp;M'!$L$10:$L$14,MATCH($F35,'AC&amp;M'!$B$10:$B$14,0))),"N/A")</f>
        <v/>
      </c>
      <c r="T35" s="53">
        <f>IFERROR(IF(INDEX('GCE'!$L$10:$L$12,MATCH($F35,'GCE'!$B$10:$B$12,0))="","Cell will autofill based on response",INDEX('GCE'!$L$10:$L$12,MATCH($F35,'GCE'!$B$10:$B$12,0))),"N/A")</f>
        <v/>
      </c>
      <c r="U35" s="53">
        <f>IFERROR(IF(INDEX('Education'!$L$10:$L$13,MATCH($F35,'Education'!$B$10:$B$13,0))="","Cell will autofill based on response",INDEX('Education'!$L$10:$L$13,MATCH($F35,'Education'!$B$10:$B$13,0))),"N/A")</f>
        <v/>
      </c>
      <c r="V35" s="53">
        <f>IFERROR(IF(INDEX('SaSS'!$L$10:$L$12,MATCH($F35,'SaSS'!$B$10:$B$12,0))="","Cell will autofill based on response",INDEX('SaSS'!$L$10:$L$12,MATCH($F35,'SaSS'!$B$10:$B$12,0))),"N/A")</f>
        <v/>
      </c>
      <c r="W35" s="53">
        <f>IFERROR(IF(INDEX('Indigenous'!$L$10:$L$11,MATCH($F35,'Indigenous'!$B$10:$B$11,0))="","Cell will autofill based on response",INDEX('Indigenous'!$L$10:$L$11,MATCH($F35,'Indigenous'!$B$10:$B$11,0))),"N/A")</f>
        <v/>
      </c>
      <c r="X35" s="53">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4">
        <f>IF(AF35&gt;0,AE35/AF35,"No valid responses to date")</f>
        <v/>
      </c>
      <c r="AH35" s="10">
        <f>IF(ISNUMBER(AG35),INDEX(Lists!$G$2:$G$5,MATCH(ROUND(AG35,0),Lists!$H$2:$H$5,0)),"")</f>
        <v/>
      </c>
      <c r="AI35" s="55">
        <f>IF(AF35&gt;0,AD35/AF35,"")</f>
        <v/>
      </c>
      <c r="AJ35" s="55">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IFERROR(IF(INDEX('Faculties'!$M$10:$M$23,MATCH($F36,'Faculties'!$B$10:$B$23,0))="","Cell will autofill based on response",INDEX('Faculties'!$M$10:$M$23,MATCH($F36,'Faculties'!$B$10:$B$23,0))),"N/A")</f>
        <v/>
      </c>
      <c r="I36" s="53">
        <f>IFERROR(IF(INDEX('Faculties'!$M$30:$M$43,MATCH($F36,'Faculties'!$B$30:$B$43,0))="","Cell will autofill based on response",INDEX('Faculties'!$M$30:$M$43,MATCH($F36,'Faculties'!$B$30:$B$43,0))),"N/A")</f>
        <v/>
      </c>
      <c r="J36" s="53">
        <f>IFERROR(IF(INDEX('Faculties'!$M$50:$M$63,MATCH($F36,'Faculties'!$B$50:$B$63,0))="","Cell will autofill based on response",INDEX('Faculties'!$M$50:$M$63,MATCH($F36,'Faculties'!$B$50:$B$63,0))),"N/A")</f>
        <v/>
      </c>
      <c r="K36" s="53">
        <f>IFERROR(IF(INDEX('Faculties'!$M$70:$M$83,MATCH($F36,'Faculties'!$B$70:$B$83,0))="","Cell will autofill based on response",INDEX('Faculties'!$M$70:$M$83,MATCH($F36,'Faculties'!$B$70:$B$83,0))),"N/A")</f>
        <v/>
      </c>
      <c r="L36" s="53">
        <f>IFERROR(IF(INDEX('CI&amp;S'!$M$10:$M$15,MATCH($F36,'CI&amp;S'!$B$10:$B$15,0))="","Cell will autofill based on response",INDEX('CI&amp;S'!$M$10:$M$15,MATCH($F36,'CI&amp;S'!$B$10:$B$15,0))),"N/A")</f>
        <v/>
      </c>
      <c r="M36" s="53">
        <f>IFERROR(IF(INDEX('CI&amp;S'!$M$22:$M$36,MATCH($F36,'CI&amp;S'!$B$22:$B$36,0))="","Cell will autofill based on response",INDEX('CI&amp;S'!$M$22:$M$36,MATCH($F36,'CI&amp;S'!$B$22:$B$36,0))),"N/A")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IFERROR(IF(INDEX('MRE'!$M$10:$M$15,MATCH($F36,'MRE'!$B$10:$B$15,0))="","Cell will autofill based on response",INDEX('MRE'!$M$10:$M$15,MATCH($F36,'MRE'!$B$10:$B$15,0))),"N/A")</f>
        <v/>
      </c>
      <c r="S36" s="53">
        <f>IFERROR(IF(INDEX('AC&amp;M'!$M$10:$M$14,MATCH($F36,'AC&amp;M'!$B$10:$B$14,0))="","Cell will autofill based on response",INDEX('AC&amp;M'!$M$10:$M$14,MATCH($F36,'AC&amp;M'!$B$10:$B$14,0))),"N/A")</f>
        <v/>
      </c>
      <c r="T36" s="53">
        <f>IFERROR(IF(INDEX('GCE'!$M$10:$M$12,MATCH($F36,'GCE'!$B$10:$B$12,0))="","Cell will autofill based on response",INDEX('GCE'!$M$10:$M$12,MATCH($F36,'GCE'!$B$10:$B$12,0))),"N/A")</f>
        <v/>
      </c>
      <c r="U36" s="53">
        <f>IFERROR(IF(INDEX('Education'!$M$10:$M$13,MATCH($F36,'Education'!$B$10:$B$13,0))="","Cell will autofill based on response",INDEX('Education'!$M$10:$M$13,MATCH($F36,'Education'!$B$10:$B$13,0))),"N/A")</f>
        <v/>
      </c>
      <c r="V36" s="53">
        <f>IFERROR(IF(INDEX('SaSS'!$M$10:$M$12,MATCH($F36,'SaSS'!$B$10:$B$12,0))="","Cell will autofill based on response",INDEX('SaSS'!$M$10:$M$12,MATCH($F36,'SaSS'!$B$10:$B$12,0))),"N/A")</f>
        <v/>
      </c>
      <c r="W36" s="53">
        <f>IFERROR(IF(INDEX('Indigenous'!$M$10:$M$11,MATCH($F36,'Indigenous'!$B$10:$B$11,0))="","Cell will autofill based on response",INDEX('Indigenous'!$M$10:$M$11,MATCH($F36,'Indigenous'!$B$10:$B$11,0))),"N/A")</f>
        <v/>
      </c>
      <c r="X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IFERROR(IF(INDEX('Faculties'!$N$10:$N$23,MATCH($F37,'Faculties'!$B$10:$B$23,0))="","Cell will autofill based on response",INDEX('Faculties'!$N$10:$N$23,MATCH($F37,'Faculties'!$B$10:$B$23,0))),"N/A")</f>
        <v/>
      </c>
      <c r="I37" s="53">
        <f>IFERROR(IF(INDEX('Faculties'!$N$30:$N$43,MATCH($F37,'Faculties'!$B$30:$B$43,0))="","Cell will autofill based on response",INDEX('Faculties'!$N$30:$N$43,MATCH($F37,'Faculties'!$B$30:$B$43,0))),"N/A")</f>
        <v/>
      </c>
      <c r="J37" s="53">
        <f>IFERROR(IF(INDEX('Faculties'!$N$50:$N$63,MATCH($F37,'Faculties'!$B$50:$B$63,0))="","Cell will autofill based on response",INDEX('Faculties'!$N$50:$N$63,MATCH($F37,'Faculties'!$B$50:$B$63,0))),"N/A")</f>
        <v/>
      </c>
      <c r="K37" s="53">
        <f>IFERROR(IF(INDEX('Faculties'!$N$70:$N$83,MATCH($F37,'Faculties'!$B$70:$B$83,0))="","Cell will autofill based on response",INDEX('Faculties'!$N$70:$N$83,MATCH($F37,'Faculties'!$B$70:$B$83,0))),"N/A")</f>
        <v/>
      </c>
      <c r="L37" s="53">
        <f>IFERROR(IF(INDEX('CI&amp;S'!$N$10:$N$15,MATCH($F37,'CI&amp;S'!$B$10:$B$15,0))="","Cell will autofill based on response",INDEX('CI&amp;S'!$N$10:$N$15,MATCH($F37,'CI&amp;S'!$B$10:$B$15,0))),"N/A")</f>
        <v/>
      </c>
      <c r="M37" s="53">
        <f>IFERROR(IF(INDEX('CI&amp;S'!$N$22:$N$36,MATCH($F37,'CI&amp;S'!$B$22:$B$36,0))="","Cell will autofill based on response",INDEX('CI&amp;S'!$N$22:$N$36,MATCH($F37,'CI&amp;S'!$B$22:$B$36,0))),"N/A")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IFERROR(IF(INDEX('MRE'!$N$10:$N$15,MATCH($F37,'MRE'!$B$10:$B$15,0))="","Cell will autofill based on response",INDEX('MRE'!$N$10:$N$15,MATCH($F37,'MRE'!$B$10:$B$15,0))),"N/A")</f>
        <v/>
      </c>
      <c r="S37" s="53">
        <f>IFERROR(IF(INDEX('AC&amp;M'!$N$10:$N$14,MATCH($F37,'AC&amp;M'!$B$10:$B$14,0))="","Cell will autofill based on response",INDEX('AC&amp;M'!$N$10:$N$14,MATCH($F37,'AC&amp;M'!$B$10:$B$14,0))),"N/A")</f>
        <v/>
      </c>
      <c r="T37" s="53">
        <f>IFERROR(IF(INDEX('GCE'!$N$10:$N$12,MATCH($F37,'GCE'!$B$10:$B$12,0))="","Cell will autofill based on response",INDEX('GCE'!$N$10:$N$12,MATCH($F37,'GCE'!$B$10:$B$12,0))),"N/A")</f>
        <v/>
      </c>
      <c r="U37" s="53">
        <f>IFERROR(IF(INDEX('Education'!$N$10:$N$13,MATCH($F37,'Education'!$B$10:$B$13,0))="","Cell will autofill based on response",INDEX('Education'!$N$10:$N$13,MATCH($F37,'Education'!$B$10:$B$13,0))),"N/A")</f>
        <v/>
      </c>
      <c r="V37" s="53">
        <f>IFERROR(IF(INDEX('SaSS'!$N$10:$N$12,MATCH($F37,'SaSS'!$B$10:$B$12,0))="","Cell will autofill based on response",INDEX('SaSS'!$N$10:$N$12,MATCH($F37,'SaSS'!$B$10:$B$12,0))),"N/A")</f>
        <v/>
      </c>
      <c r="W37" s="53">
        <f>IFERROR(IF(INDEX('Indigenous'!$N$10:$N$11,MATCH($F37,'Indigenous'!$B$10:$B$11,0))="","Cell will autofill based on response",INDEX('Indigenous'!$N$10:$N$11,MATCH($F37,'Indigenous'!$B$10:$B$11,0))),"N/A")</f>
        <v/>
      </c>
      <c r="X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IFERROR(IF(INDEX('Faculties'!$O$10:$O$23,MATCH($F38,'Faculties'!$B$10:$B$23,0))="","Cell will autofill based on response",INDEX('Faculties'!$O$10:$O$23,MATCH($F38,'Faculties'!$B$10:$B$23,0))),"N/A")</f>
        <v/>
      </c>
      <c r="I38" s="53">
        <f>IFERROR(IF(INDEX('Faculties'!$O$30:$O$43,MATCH($F38,'Faculties'!$B$30:$B$43,0))="","Cell will autofill based on response",INDEX('Faculties'!$O$30:$O$43,MATCH($F38,'Faculties'!$B$30:$B$43,0))),"N/A")</f>
        <v/>
      </c>
      <c r="J38" s="53">
        <f>IFERROR(IF(INDEX('Faculties'!$O$50:$O$63,MATCH($F38,'Faculties'!$B$50:$B$63,0))="","Cell will autofill based on response",INDEX('Faculties'!$O$50:$O$63,MATCH($F38,'Faculties'!$B$50:$B$63,0))),"N/A")</f>
        <v/>
      </c>
      <c r="K38" s="53">
        <f>IFERROR(IF(INDEX('Faculties'!$O$70:$O$83,MATCH($F38,'Faculties'!$B$70:$B$83,0))="","Cell will autofill based on response",INDEX('Faculties'!$O$70:$O$83,MATCH($F38,'Faculties'!$B$70:$B$83,0))),"N/A")</f>
        <v/>
      </c>
      <c r="L38" s="53">
        <f>IFERROR(IF(INDEX('CI&amp;S'!$O$10:$O$15,MATCH($F38,'CI&amp;S'!$B$10:$B$15,0))="","Cell will autofill based on response",INDEX('CI&amp;S'!$O$10:$O$15,MATCH($F38,'CI&amp;S'!$B$10:$B$15,0))),"N/A")</f>
        <v/>
      </c>
      <c r="M38" s="53">
        <f>IFERROR(IF(INDEX('CI&amp;S'!$O$22:$O$36,MATCH($F38,'CI&amp;S'!$B$22:$B$36,0))="","Cell will autofill based on response",INDEX('CI&amp;S'!$O$22:$O$36,MATCH($F38,'CI&amp;S'!$B$22:$B$36,0))),"N/A")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IFERROR(IF(INDEX('MRE'!$O$10:$O$15,MATCH($F38,'MRE'!$B$10:$B$15,0))="","Cell will autofill based on response",INDEX('MRE'!$O$10:$O$15,MATCH($F38,'MRE'!$B$10:$B$15,0))),"N/A")</f>
        <v/>
      </c>
      <c r="S38" s="53">
        <f>IFERROR(IF(INDEX('AC&amp;M'!$O$10:$O$14,MATCH($F38,'AC&amp;M'!$B$10:$B$14,0))="","Cell will autofill based on response",INDEX('AC&amp;M'!$O$10:$O$14,MATCH($F38,'AC&amp;M'!$B$10:$B$14,0))),"N/A")</f>
        <v/>
      </c>
      <c r="T38" s="53">
        <f>IFERROR(IF(INDEX('GCE'!$O$10:$O$12,MATCH($F38,'GCE'!$B$10:$B$12,0))="","Cell will autofill based on response",INDEX('GCE'!$O$10:$O$12,MATCH($F38,'GCE'!$B$10:$B$12,0))),"N/A")</f>
        <v/>
      </c>
      <c r="U38" s="53">
        <f>IFERROR(IF(INDEX('Education'!$O$10:$O$13,MATCH($F38,'Education'!$B$10:$B$13,0))="","Cell will autofill based on response",INDEX('Education'!$O$10:$O$13,MATCH($F38,'Education'!$B$10:$B$13,0))),"N/A")</f>
        <v/>
      </c>
      <c r="V38" s="53">
        <f>IFERROR(IF(INDEX('SaSS'!$O$10:$O$12,MATCH($F38,'SaSS'!$B$10:$B$12,0))="","Cell will autofill based on response",INDEX('SaSS'!$O$10:$O$12,MATCH($F38,'SaSS'!$B$10:$B$12,0))),"N/A")</f>
        <v/>
      </c>
      <c r="W38" s="53">
        <f>IFERROR(IF(INDEX('Indigenous'!$O$10:$O$11,MATCH($F38,'Indigenous'!$B$10:$B$11,0))="","Cell will autofill based on response",INDEX('Indigenous'!$O$10:$O$11,MATCH($F38,'Indigenous'!$B$10:$B$11,0))),"N/A")</f>
        <v/>
      </c>
      <c r="X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IFERROR(IF(INDEX('Faculties'!$P$10:$P$23,MATCH($F39,'Faculties'!$B$10:$B$23,0))="","Cell will autofill based on response",INDEX('Faculties'!$P$10:$P$23,MATCH($F39,'Faculties'!$B$10:$B$23,0))),"N/A")</f>
        <v/>
      </c>
      <c r="I39" s="53">
        <f>IFERROR(IF(INDEX('Faculties'!$P$30:$P$43,MATCH($F39,'Faculties'!$B$30:$B$43,0))="","Cell will autofill based on response",INDEX('Faculties'!$P$30:$P$43,MATCH($F39,'Faculties'!$B$30:$B$43,0))),"N/A")</f>
        <v/>
      </c>
      <c r="J39" s="53">
        <f>IFERROR(IF(INDEX('Faculties'!$P$50:$P$63,MATCH($F39,'Faculties'!$B$50:$B$63,0))="","Cell will autofill based on response",INDEX('Faculties'!$P$50:$P$63,MATCH($F39,'Faculties'!$B$50:$B$63,0))),"N/A")</f>
        <v/>
      </c>
      <c r="K39" s="53">
        <f>IFERROR(IF(INDEX('Faculties'!$P$70:$P$83,MATCH($F39,'Faculties'!$B$70:$B$83,0))="","Cell will autofill based on response",INDEX('Faculties'!$P$70:$P$83,MATCH($F39,'Faculties'!$B$70:$B$83,0))),"N/A")</f>
        <v/>
      </c>
      <c r="L39" s="53">
        <f>IFERROR(IF(INDEX('CI&amp;S'!$P$10:$P$15,MATCH($F39,'CI&amp;S'!$B$10:$B$15,0))="","Cell will autofill based on response",INDEX('CI&amp;S'!$P$10:$P$15,MATCH($F39,'CI&amp;S'!$B$10:$B$15,0))),"N/A")</f>
        <v/>
      </c>
      <c r="M39" s="53">
        <f>IFERROR(IF(INDEX('CI&amp;S'!$P$22:$P$36,MATCH($F39,'CI&amp;S'!$B$22:$B$36,0))="","Cell will autofill based on response",INDEX('CI&amp;S'!$P$22:$P$36,MATCH($F39,'CI&amp;S'!$B$22:$B$36,0))),"N/A")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IFERROR(IF(INDEX('MRE'!$P$10:$P$15,MATCH($F39,'MRE'!$B$10:$B$15,0))="","Cell will autofill based on response",INDEX('MRE'!$P$10:$P$15,MATCH($F39,'MRE'!$B$10:$B$15,0))),"N/A")</f>
        <v/>
      </c>
      <c r="S39" s="53">
        <f>IFERROR(IF(INDEX('AC&amp;M'!$P$10:$P$14,MATCH($F39,'AC&amp;M'!$B$10:$B$14,0))="","Cell will autofill based on response",INDEX('AC&amp;M'!$P$10:$P$14,MATCH($F39,'AC&amp;M'!$B$10:$B$14,0))),"N/A")</f>
        <v/>
      </c>
      <c r="T39" s="53">
        <f>IFERROR(IF(INDEX('GCE'!$P$10:$P$12,MATCH($F39,'GCE'!$B$10:$B$12,0))="","Cell will autofill based on response",INDEX('GCE'!$P$10:$P$12,MATCH($F39,'GCE'!$B$10:$B$12,0))),"N/A")</f>
        <v/>
      </c>
      <c r="U39" s="53">
        <f>IFERROR(IF(INDEX('Education'!$P$10:$P$13,MATCH($F39,'Education'!$B$10:$B$13,0))="","Cell will autofill based on response",INDEX('Education'!$P$10:$P$13,MATCH($F39,'Education'!$B$10:$B$13,0))),"N/A")</f>
        <v/>
      </c>
      <c r="V39" s="53">
        <f>IFERROR(IF(INDEX('SaSS'!$P$10:$P$12,MATCH($F39,'SaSS'!$B$10:$B$12,0))="","Cell will autofill based on response",INDEX('SaSS'!$P$10:$P$12,MATCH($F39,'SaSS'!$B$10:$B$12,0))),"N/A")</f>
        <v/>
      </c>
      <c r="W39" s="53">
        <f>IFERROR(IF(INDEX('Indigenous'!$P$10:$P$11,MATCH($F39,'Indigenous'!$B$10:$B$11,0))="","Cell will autofill based on response",INDEX('Indigenous'!$P$10:$P$11,MATCH($F39,'Indigenous'!$B$10:$B$11,0))),"N/A")</f>
        <v/>
      </c>
      <c r="X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IFERROR(IF(INDEX('Faculties'!$Q$10:$Q$23,MATCH($F40,'Faculties'!$B$10:$B$23,0))="","Cell will autofill based on response",INDEX('Faculties'!$Q$10:$Q$23,MATCH($F40,'Faculties'!$B$10:$B$23,0))),"N/A")</f>
        <v/>
      </c>
      <c r="I40" s="53">
        <f>IFERROR(IF(INDEX('Faculties'!$Q$30:$Q$43,MATCH($F40,'Faculties'!$B$30:$B$43,0))="","Cell will autofill based on response",INDEX('Faculties'!$Q$30:$Q$43,MATCH($F40,'Faculties'!$B$30:$B$43,0))),"N/A")</f>
        <v/>
      </c>
      <c r="J40" s="53">
        <f>IFERROR(IF(INDEX('Faculties'!$Q$50:$Q$63,MATCH($F40,'Faculties'!$B$50:$B$63,0))="","Cell will autofill based on response",INDEX('Faculties'!$Q$50:$Q$63,MATCH($F40,'Faculties'!$B$50:$B$63,0))),"N/A")</f>
        <v/>
      </c>
      <c r="K40" s="53">
        <f>IFERROR(IF(INDEX('Faculties'!$Q$70:$Q$83,MATCH($F40,'Faculties'!$B$70:$B$83,0))="","Cell will autofill based on response",INDEX('Faculties'!$Q$70:$Q$83,MATCH($F40,'Faculties'!$B$70:$B$83,0))),"N/A")</f>
        <v/>
      </c>
      <c r="L40" s="53">
        <f>IFERROR(IF(INDEX('CI&amp;S'!$Q$10:$Q$15,MATCH($F40,'CI&amp;S'!$B$10:$B$15,0))="","Cell will autofill based on response",INDEX('CI&amp;S'!$Q$10:$Q$15,MATCH($F40,'CI&amp;S'!$B$10:$B$15,0))),"N/A")</f>
        <v/>
      </c>
      <c r="M40" s="53">
        <f>IFERROR(IF(INDEX('CI&amp;S'!$Q$22:$Q$36,MATCH($F40,'CI&amp;S'!$B$22:$B$36,0))="","Cell will autofill based on response",INDEX('CI&amp;S'!$Q$22:$Q$36,MATCH($F40,'CI&amp;S'!$B$22:$B$36,0))),"N/A")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IFERROR(IF(INDEX('MRE'!$Q$10:$Q$15,MATCH($F40,'MRE'!$B$10:$B$15,0))="","Cell will autofill based on response",INDEX('MRE'!$Q$10:$Q$15,MATCH($F40,'MRE'!$B$10:$B$15,0))),"N/A")</f>
        <v/>
      </c>
      <c r="S40" s="53">
        <f>IFERROR(IF(INDEX('AC&amp;M'!$Q$10:$Q$14,MATCH($F40,'AC&amp;M'!$B$10:$B$14,0))="","Cell will autofill based on response",INDEX('AC&amp;M'!$Q$10:$Q$14,MATCH($F40,'AC&amp;M'!$B$10:$B$14,0))),"N/A")</f>
        <v/>
      </c>
      <c r="T40" s="53">
        <f>IFERROR(IF(INDEX('GCE'!$Q$10:$Q$12,MATCH($F40,'GCE'!$B$10:$B$12,0))="","Cell will autofill based on response",INDEX('GCE'!$Q$10:$Q$12,MATCH($F40,'GCE'!$B$10:$B$12,0))),"N/A")</f>
        <v/>
      </c>
      <c r="U40" s="53">
        <f>IFERROR(IF(INDEX('Education'!$Q$10:$Q$13,MATCH($F40,'Education'!$B$10:$B$13,0))="","Cell will autofill based on response",INDEX('Education'!$Q$10:$Q$13,MATCH($F40,'Education'!$B$10:$B$13,0))),"N/A")</f>
        <v/>
      </c>
      <c r="V40" s="53">
        <f>IFERROR(IF(INDEX('SaSS'!$Q$10:$Q$12,MATCH($F40,'SaSS'!$B$10:$B$12,0))="","Cell will autofill based on response",INDEX('SaSS'!$Q$10:$Q$12,MATCH($F40,'SaSS'!$B$10:$B$12,0))),"N/A")</f>
        <v/>
      </c>
      <c r="W40" s="53">
        <f>IFERROR(IF(INDEX('Indigenous'!$Q$10:$Q$11,MATCH($F40,'Indigenous'!$B$10:$B$11,0))="","Cell will autofill based on response",INDEX('Indigenous'!$Q$10:$Q$11,MATCH($F40,'Indigenous'!$B$10:$B$11,0))),"N/A")</f>
        <v/>
      </c>
      <c r="X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IFERROR(IF(INDEX('Faculties'!$L$10:$L$23,MATCH($F41,'Faculties'!$B$10:$B$23,0))="","Cell will autofill based on response",INDEX('Faculties'!$L$10:$L$23,MATCH($F41,'Faculties'!$B$10:$B$23,0))),"N/A")</f>
        <v/>
      </c>
      <c r="I41" s="53">
        <f>IFERROR(IF(INDEX('Faculties'!$L$30:$L$43,MATCH($F41,'Faculties'!$B$30:$B$43,0))="","Cell will autofill based on response",INDEX('Faculties'!$L$30:$L$43,MATCH($F41,'Faculties'!$B$30:$B$43,0))),"N/A")</f>
        <v/>
      </c>
      <c r="J41" s="53">
        <f>IFERROR(IF(INDEX('Faculties'!$L$50:$L$63,MATCH($F41,'Faculties'!$B$50:$B$63,0))="","Cell will autofill based on response",INDEX('Faculties'!$L$50:$L$63,MATCH($F41,'Faculties'!$B$50:$B$63,0))),"N/A")</f>
        <v/>
      </c>
      <c r="K41" s="53">
        <f>IFERROR(IF(INDEX('Faculties'!$L$70:$L$83,MATCH($F41,'Faculties'!$B$70:$B$83,0))="","Cell will autofill based on response",INDEX('Faculties'!$L$70:$L$83,MATCH($F41,'Faculties'!$B$70:$B$83,0))),"N/A")</f>
        <v/>
      </c>
      <c r="L41" s="53">
        <f>IFERROR(IF(INDEX('CI&amp;S'!$L$10:$L$15,MATCH($F41,'CI&amp;S'!$B$10:$B$15,0))="","Cell will autofill based on response",INDEX('CI&amp;S'!$L$10:$L$15,MATCH($F41,'CI&amp;S'!$B$10:$B$15,0))),"N/A")</f>
        <v/>
      </c>
      <c r="M41" s="53">
        <f>IFERROR(IF(INDEX('CI&amp;S'!$L$22:$L$36,MATCH($F41,'CI&amp;S'!$B$22:$B$36,0))="","Cell will autofill based on response",INDEX('CI&amp;S'!$L$22:$L$36,MATCH($F41,'CI&amp;S'!$B$22:$B$36,0))),"N/A")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IFERROR(IF(INDEX('MRE'!$L$10:$L$15,MATCH($F41,'MRE'!$B$10:$B$15,0))="","Cell will autofill based on response",INDEX('MRE'!$L$10:$L$15,MATCH($F41,'MRE'!$B$10:$B$15,0))),"N/A")</f>
        <v/>
      </c>
      <c r="S41" s="53">
        <f>IFERROR(IF(INDEX('AC&amp;M'!$L$10:$L$14,MATCH($F41,'AC&amp;M'!$B$10:$B$14,0))="","Cell will autofill based on response",INDEX('AC&amp;M'!$L$10:$L$14,MATCH($F41,'AC&amp;M'!$B$10:$B$14,0))),"N/A")</f>
        <v/>
      </c>
      <c r="T41" s="53">
        <f>IFERROR(IF(INDEX('GCE'!$L$10:$L$12,MATCH($F41,'GCE'!$B$10:$B$12,0))="","Cell will autofill based on response",INDEX('GCE'!$L$10:$L$12,MATCH($F41,'GCE'!$B$10:$B$12,0))),"N/A")</f>
        <v/>
      </c>
      <c r="U41" s="53">
        <f>IFERROR(IF(INDEX('Education'!$L$10:$L$13,MATCH($F41,'Education'!$B$10:$B$13,0))="","Cell will autofill based on response",INDEX('Education'!$L$10:$L$13,MATCH($F41,'Education'!$B$10:$B$13,0))),"N/A")</f>
        <v/>
      </c>
      <c r="V41" s="53">
        <f>IFERROR(IF(INDEX('SaSS'!$L$10:$L$12,MATCH($F41,'SaSS'!$B$10:$B$12,0))="","Cell will autofill based on response",INDEX('SaSS'!$L$10:$L$12,MATCH($F41,'SaSS'!$B$10:$B$12,0))),"N/A")</f>
        <v/>
      </c>
      <c r="W41" s="53">
        <f>IFERROR(IF(INDEX('Indigenous'!$L$10:$L$11,MATCH($F41,'Indigenous'!$B$10:$B$11,0))="","Cell will autofill based on response",INDEX('Indigenous'!$L$10:$L$11,MATCH($F41,'Indigenous'!$B$10:$B$11,0))),"N/A")</f>
        <v/>
      </c>
      <c r="X41" s="53">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4">
        <f>IF(AF41&gt;0,AE41/AF41,"No valid responses to date")</f>
        <v/>
      </c>
      <c r="AH41" s="10">
        <f>IF(ISNUMBER(AG41),INDEX(Lists!$G$2:$G$5,MATCH(ROUND(AG41,0),Lists!$H$2:$H$5,0)),"")</f>
        <v/>
      </c>
      <c r="AI41" s="55">
        <f>IF(AF41&gt;0,AD41/AF41,"")</f>
        <v/>
      </c>
      <c r="AJ41" s="55">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IFERROR(IF(INDEX('Faculties'!$M$10:$M$23,MATCH($F42,'Faculties'!$B$10:$B$23,0))="","Cell will autofill based on response",INDEX('Faculties'!$M$10:$M$23,MATCH($F42,'Faculties'!$B$10:$B$23,0))),"N/A")</f>
        <v/>
      </c>
      <c r="I42" s="53">
        <f>IFERROR(IF(INDEX('Faculties'!$M$30:$M$43,MATCH($F42,'Faculties'!$B$30:$B$43,0))="","Cell will autofill based on response",INDEX('Faculties'!$M$30:$M$43,MATCH($F42,'Faculties'!$B$30:$B$43,0))),"N/A")</f>
        <v/>
      </c>
      <c r="J42" s="53">
        <f>IFERROR(IF(INDEX('Faculties'!$M$50:$M$63,MATCH($F42,'Faculties'!$B$50:$B$63,0))="","Cell will autofill based on response",INDEX('Faculties'!$M$50:$M$63,MATCH($F42,'Faculties'!$B$50:$B$63,0))),"N/A")</f>
        <v/>
      </c>
      <c r="K42" s="53">
        <f>IFERROR(IF(INDEX('Faculties'!$M$70:$M$83,MATCH($F42,'Faculties'!$B$70:$B$83,0))="","Cell will autofill based on response",INDEX('Faculties'!$M$70:$M$83,MATCH($F42,'Faculties'!$B$70:$B$83,0))),"N/A")</f>
        <v/>
      </c>
      <c r="L42" s="53">
        <f>IFERROR(IF(INDEX('CI&amp;S'!$M$10:$M$15,MATCH($F42,'CI&amp;S'!$B$10:$B$15,0))="","Cell will autofill based on response",INDEX('CI&amp;S'!$M$10:$M$15,MATCH($F42,'CI&amp;S'!$B$10:$B$15,0))),"N/A")</f>
        <v/>
      </c>
      <c r="M42" s="53">
        <f>IFERROR(IF(INDEX('CI&amp;S'!$M$22:$M$36,MATCH($F42,'CI&amp;S'!$B$22:$B$36,0))="","Cell will autofill based on response",INDEX('CI&amp;S'!$M$22:$M$36,MATCH($F42,'CI&amp;S'!$B$22:$B$36,0))),"N/A")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IFERROR(IF(INDEX('MRE'!$M$10:$M$15,MATCH($F42,'MRE'!$B$10:$B$15,0))="","Cell will autofill based on response",INDEX('MRE'!$M$10:$M$15,MATCH($F42,'MRE'!$B$10:$B$15,0))),"N/A")</f>
        <v/>
      </c>
      <c r="S42" s="53">
        <f>IFERROR(IF(INDEX('AC&amp;M'!$M$10:$M$14,MATCH($F42,'AC&amp;M'!$B$10:$B$14,0))="","Cell will autofill based on response",INDEX('AC&amp;M'!$M$10:$M$14,MATCH($F42,'AC&amp;M'!$B$10:$B$14,0))),"N/A")</f>
        <v/>
      </c>
      <c r="T42" s="53">
        <f>IFERROR(IF(INDEX('GCE'!$M$10:$M$12,MATCH($F42,'GCE'!$B$10:$B$12,0))="","Cell will autofill based on response",INDEX('GCE'!$M$10:$M$12,MATCH($F42,'GCE'!$B$10:$B$12,0))),"N/A")</f>
        <v/>
      </c>
      <c r="U42" s="53">
        <f>IFERROR(IF(INDEX('Education'!$M$10:$M$13,MATCH($F42,'Education'!$B$10:$B$13,0))="","Cell will autofill based on response",INDEX('Education'!$M$10:$M$13,MATCH($F42,'Education'!$B$10:$B$13,0))),"N/A")</f>
        <v/>
      </c>
      <c r="V42" s="53">
        <f>IFERROR(IF(INDEX('SaSS'!$M$10:$M$12,MATCH($F42,'SaSS'!$B$10:$B$12,0))="","Cell will autofill based on response",INDEX('SaSS'!$M$10:$M$12,MATCH($F42,'SaSS'!$B$10:$B$12,0))),"N/A")</f>
        <v/>
      </c>
      <c r="W42" s="53">
        <f>IFERROR(IF(INDEX('Indigenous'!$M$10:$M$11,MATCH($F42,'Indigenous'!$B$10:$B$11,0))="","Cell will autofill based on response",INDEX('Indigenous'!$M$10:$M$11,MATCH($F42,'Indigenous'!$B$10:$B$11,0))),"N/A")</f>
        <v/>
      </c>
      <c r="X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IFERROR(IF(INDEX('Faculties'!$N$10:$N$23,MATCH($F43,'Faculties'!$B$10:$B$23,0))="","Cell will autofill based on response",INDEX('Faculties'!$N$10:$N$23,MATCH($F43,'Faculties'!$B$10:$B$23,0))),"N/A")</f>
        <v/>
      </c>
      <c r="I43" s="53">
        <f>IFERROR(IF(INDEX('Faculties'!$N$30:$N$43,MATCH($F43,'Faculties'!$B$30:$B$43,0))="","Cell will autofill based on response",INDEX('Faculties'!$N$30:$N$43,MATCH($F43,'Faculties'!$B$30:$B$43,0))),"N/A")</f>
        <v/>
      </c>
      <c r="J43" s="53">
        <f>IFERROR(IF(INDEX('Faculties'!$N$50:$N$63,MATCH($F43,'Faculties'!$B$50:$B$63,0))="","Cell will autofill based on response",INDEX('Faculties'!$N$50:$N$63,MATCH($F43,'Faculties'!$B$50:$B$63,0))),"N/A")</f>
        <v/>
      </c>
      <c r="K43" s="53">
        <f>IFERROR(IF(INDEX('Faculties'!$N$70:$N$83,MATCH($F43,'Faculties'!$B$70:$B$83,0))="","Cell will autofill based on response",INDEX('Faculties'!$N$70:$N$83,MATCH($F43,'Faculties'!$B$70:$B$83,0))),"N/A")</f>
        <v/>
      </c>
      <c r="L43" s="53">
        <f>IFERROR(IF(INDEX('CI&amp;S'!$N$10:$N$15,MATCH($F43,'CI&amp;S'!$B$10:$B$15,0))="","Cell will autofill based on response",INDEX('CI&amp;S'!$N$10:$N$15,MATCH($F43,'CI&amp;S'!$B$10:$B$15,0))),"N/A")</f>
        <v/>
      </c>
      <c r="M43" s="53">
        <f>IFERROR(IF(INDEX('CI&amp;S'!$N$22:$N$36,MATCH($F43,'CI&amp;S'!$B$22:$B$36,0))="","Cell will autofill based on response",INDEX('CI&amp;S'!$N$22:$N$36,MATCH($F43,'CI&amp;S'!$B$22:$B$36,0))),"N/A")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IFERROR(IF(INDEX('MRE'!$N$10:$N$15,MATCH($F43,'MRE'!$B$10:$B$15,0))="","Cell will autofill based on response",INDEX('MRE'!$N$10:$N$15,MATCH($F43,'MRE'!$B$10:$B$15,0))),"N/A")</f>
        <v/>
      </c>
      <c r="S43" s="53">
        <f>IFERROR(IF(INDEX('AC&amp;M'!$N$10:$N$14,MATCH($F43,'AC&amp;M'!$B$10:$B$14,0))="","Cell will autofill based on response",INDEX('AC&amp;M'!$N$10:$N$14,MATCH($F43,'AC&amp;M'!$B$10:$B$14,0))),"N/A")</f>
        <v/>
      </c>
      <c r="T43" s="53">
        <f>IFERROR(IF(INDEX('GCE'!$N$10:$N$12,MATCH($F43,'GCE'!$B$10:$B$12,0))="","Cell will autofill based on response",INDEX('GCE'!$N$10:$N$12,MATCH($F43,'GCE'!$B$10:$B$12,0))),"N/A")</f>
        <v/>
      </c>
      <c r="U43" s="53">
        <f>IFERROR(IF(INDEX('Education'!$N$10:$N$13,MATCH($F43,'Education'!$B$10:$B$13,0))="","Cell will autofill based on response",INDEX('Education'!$N$10:$N$13,MATCH($F43,'Education'!$B$10:$B$13,0))),"N/A")</f>
        <v/>
      </c>
      <c r="V43" s="53">
        <f>IFERROR(IF(INDEX('SaSS'!$N$10:$N$12,MATCH($F43,'SaSS'!$B$10:$B$12,0))="","Cell will autofill based on response",INDEX('SaSS'!$N$10:$N$12,MATCH($F43,'SaSS'!$B$10:$B$12,0))),"N/A")</f>
        <v/>
      </c>
      <c r="W43" s="53">
        <f>IFERROR(IF(INDEX('Indigenous'!$N$10:$N$11,MATCH($F43,'Indigenous'!$B$10:$B$11,0))="","Cell will autofill based on response",INDEX('Indigenous'!$N$10:$N$11,MATCH($F43,'Indigenous'!$B$10:$B$11,0))),"N/A")</f>
        <v/>
      </c>
      <c r="X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IFERROR(IF(INDEX('Faculties'!$O$10:$O$23,MATCH($F44,'Faculties'!$B$10:$B$23,0))="","Cell will autofill based on response",INDEX('Faculties'!$O$10:$O$23,MATCH($F44,'Faculties'!$B$10:$B$23,0))),"N/A")</f>
        <v/>
      </c>
      <c r="I44" s="53">
        <f>IFERROR(IF(INDEX('Faculties'!$O$30:$O$43,MATCH($F44,'Faculties'!$B$30:$B$43,0))="","Cell will autofill based on response",INDEX('Faculties'!$O$30:$O$43,MATCH($F44,'Faculties'!$B$30:$B$43,0))),"N/A")</f>
        <v/>
      </c>
      <c r="J44" s="53">
        <f>IFERROR(IF(INDEX('Faculties'!$O$50:$O$63,MATCH($F44,'Faculties'!$B$50:$B$63,0))="","Cell will autofill based on response",INDEX('Faculties'!$O$50:$O$63,MATCH($F44,'Faculties'!$B$50:$B$63,0))),"N/A")</f>
        <v/>
      </c>
      <c r="K44" s="53">
        <f>IFERROR(IF(INDEX('Faculties'!$O$70:$O$83,MATCH($F44,'Faculties'!$B$70:$B$83,0))="","Cell will autofill based on response",INDEX('Faculties'!$O$70:$O$83,MATCH($F44,'Faculties'!$B$70:$B$83,0))),"N/A")</f>
        <v/>
      </c>
      <c r="L44" s="53">
        <f>IFERROR(IF(INDEX('CI&amp;S'!$O$10:$O$15,MATCH($F44,'CI&amp;S'!$B$10:$B$15,0))="","Cell will autofill based on response",INDEX('CI&amp;S'!$O$10:$O$15,MATCH($F44,'CI&amp;S'!$B$10:$B$15,0))),"N/A")</f>
        <v/>
      </c>
      <c r="M44" s="53">
        <f>IFERROR(IF(INDEX('CI&amp;S'!$O$22:$O$36,MATCH($F44,'CI&amp;S'!$B$22:$B$36,0))="","Cell will autofill based on response",INDEX('CI&amp;S'!$O$22:$O$36,MATCH($F44,'CI&amp;S'!$B$22:$B$36,0))),"N/A")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IFERROR(IF(INDEX('MRE'!$O$10:$O$15,MATCH($F44,'MRE'!$B$10:$B$15,0))="","Cell will autofill based on response",INDEX('MRE'!$O$10:$O$15,MATCH($F44,'MRE'!$B$10:$B$15,0))),"N/A")</f>
        <v/>
      </c>
      <c r="S44" s="53">
        <f>IFERROR(IF(INDEX('AC&amp;M'!$O$10:$O$14,MATCH($F44,'AC&amp;M'!$B$10:$B$14,0))="","Cell will autofill based on response",INDEX('AC&amp;M'!$O$10:$O$14,MATCH($F44,'AC&amp;M'!$B$10:$B$14,0))),"N/A")</f>
        <v/>
      </c>
      <c r="T44" s="53">
        <f>IFERROR(IF(INDEX('GCE'!$O$10:$O$12,MATCH($F44,'GCE'!$B$10:$B$12,0))="","Cell will autofill based on response",INDEX('GCE'!$O$10:$O$12,MATCH($F44,'GCE'!$B$10:$B$12,0))),"N/A")</f>
        <v/>
      </c>
      <c r="U44" s="53">
        <f>IFERROR(IF(INDEX('Education'!$O$10:$O$13,MATCH($F44,'Education'!$B$10:$B$13,0))="","Cell will autofill based on response",INDEX('Education'!$O$10:$O$13,MATCH($F44,'Education'!$B$10:$B$13,0))),"N/A")</f>
        <v/>
      </c>
      <c r="V44" s="53">
        <f>IFERROR(IF(INDEX('SaSS'!$O$10:$O$12,MATCH($F44,'SaSS'!$B$10:$B$12,0))="","Cell will autofill based on response",INDEX('SaSS'!$O$10:$O$12,MATCH($F44,'SaSS'!$B$10:$B$12,0))),"N/A")</f>
        <v/>
      </c>
      <c r="W44" s="53">
        <f>IFERROR(IF(INDEX('Indigenous'!$O$10:$O$11,MATCH($F44,'Indigenous'!$B$10:$B$11,0))="","Cell will autofill based on response",INDEX('Indigenous'!$O$10:$O$11,MATCH($F44,'Indigenous'!$B$10:$B$11,0))),"N/A")</f>
        <v/>
      </c>
      <c r="X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IFERROR(IF(INDEX('Faculties'!$P$10:$P$23,MATCH($F45,'Faculties'!$B$10:$B$23,0))="","Cell will autofill based on response",INDEX('Faculties'!$P$10:$P$23,MATCH($F45,'Faculties'!$B$10:$B$23,0))),"N/A")</f>
        <v/>
      </c>
      <c r="I45" s="53">
        <f>IFERROR(IF(INDEX('Faculties'!$P$30:$P$43,MATCH($F45,'Faculties'!$B$30:$B$43,0))="","Cell will autofill based on response",INDEX('Faculties'!$P$30:$P$43,MATCH($F45,'Faculties'!$B$30:$B$43,0))),"N/A")</f>
        <v/>
      </c>
      <c r="J45" s="53">
        <f>IFERROR(IF(INDEX('Faculties'!$P$50:$P$63,MATCH($F45,'Faculties'!$B$50:$B$63,0))="","Cell will autofill based on response",INDEX('Faculties'!$P$50:$P$63,MATCH($F45,'Faculties'!$B$50:$B$63,0))),"N/A")</f>
        <v/>
      </c>
      <c r="K45" s="53">
        <f>IFERROR(IF(INDEX('Faculties'!$P$70:$P$83,MATCH($F45,'Faculties'!$B$70:$B$83,0))="","Cell will autofill based on response",INDEX('Faculties'!$P$70:$P$83,MATCH($F45,'Faculties'!$B$70:$B$83,0))),"N/A")</f>
        <v/>
      </c>
      <c r="L45" s="53">
        <f>IFERROR(IF(INDEX('CI&amp;S'!$P$10:$P$15,MATCH($F45,'CI&amp;S'!$B$10:$B$15,0))="","Cell will autofill based on response",INDEX('CI&amp;S'!$P$10:$P$15,MATCH($F45,'CI&amp;S'!$B$10:$B$15,0))),"N/A")</f>
        <v/>
      </c>
      <c r="M45" s="53">
        <f>IFERROR(IF(INDEX('CI&amp;S'!$P$22:$P$36,MATCH($F45,'CI&amp;S'!$B$22:$B$36,0))="","Cell will autofill based on response",INDEX('CI&amp;S'!$P$22:$P$36,MATCH($F45,'CI&amp;S'!$B$22:$B$36,0))),"N/A")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IFERROR(IF(INDEX('MRE'!$P$10:$P$15,MATCH($F45,'MRE'!$B$10:$B$15,0))="","Cell will autofill based on response",INDEX('MRE'!$P$10:$P$15,MATCH($F45,'MRE'!$B$10:$B$15,0))),"N/A")</f>
        <v/>
      </c>
      <c r="S45" s="53">
        <f>IFERROR(IF(INDEX('AC&amp;M'!$P$10:$P$14,MATCH($F45,'AC&amp;M'!$B$10:$B$14,0))="","Cell will autofill based on response",INDEX('AC&amp;M'!$P$10:$P$14,MATCH($F45,'AC&amp;M'!$B$10:$B$14,0))),"N/A")</f>
        <v/>
      </c>
      <c r="T45" s="53">
        <f>IFERROR(IF(INDEX('GCE'!$P$10:$P$12,MATCH($F45,'GCE'!$B$10:$B$12,0))="","Cell will autofill based on response",INDEX('GCE'!$P$10:$P$12,MATCH($F45,'GCE'!$B$10:$B$12,0))),"N/A")</f>
        <v/>
      </c>
      <c r="U45" s="53">
        <f>IFERROR(IF(INDEX('Education'!$P$10:$P$13,MATCH($F45,'Education'!$B$10:$B$13,0))="","Cell will autofill based on response",INDEX('Education'!$P$10:$P$13,MATCH($F45,'Education'!$B$10:$B$13,0))),"N/A")</f>
        <v/>
      </c>
      <c r="V45" s="53">
        <f>IFERROR(IF(INDEX('SaSS'!$P$10:$P$12,MATCH($F45,'SaSS'!$B$10:$B$12,0))="","Cell will autofill based on response",INDEX('SaSS'!$P$10:$P$12,MATCH($F45,'SaSS'!$B$10:$B$12,0))),"N/A")</f>
        <v/>
      </c>
      <c r="W45" s="53">
        <f>IFERROR(IF(INDEX('Indigenous'!$P$10:$P$11,MATCH($F45,'Indigenous'!$B$10:$B$11,0))="","Cell will autofill based on response",INDEX('Indigenous'!$P$10:$P$11,MATCH($F45,'Indigenous'!$B$10:$B$11,0))),"N/A")</f>
        <v/>
      </c>
      <c r="X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IFERROR(IF(INDEX('Faculties'!$Q$10:$Q$23,MATCH($F46,'Faculties'!$B$10:$B$23,0))="","Cell will autofill based on response",INDEX('Faculties'!$Q$10:$Q$23,MATCH($F46,'Faculties'!$B$10:$B$23,0))),"N/A")</f>
        <v/>
      </c>
      <c r="I46" s="53">
        <f>IFERROR(IF(INDEX('Faculties'!$Q$30:$Q$43,MATCH($F46,'Faculties'!$B$30:$B$43,0))="","Cell will autofill based on response",INDEX('Faculties'!$Q$30:$Q$43,MATCH($F46,'Faculties'!$B$30:$B$43,0))),"N/A")</f>
        <v/>
      </c>
      <c r="J46" s="53">
        <f>IFERROR(IF(INDEX('Faculties'!$Q$50:$Q$63,MATCH($F46,'Faculties'!$B$50:$B$63,0))="","Cell will autofill based on response",INDEX('Faculties'!$Q$50:$Q$63,MATCH($F46,'Faculties'!$B$50:$B$63,0))),"N/A")</f>
        <v/>
      </c>
      <c r="K46" s="53">
        <f>IFERROR(IF(INDEX('Faculties'!$Q$70:$Q$83,MATCH($F46,'Faculties'!$B$70:$B$83,0))="","Cell will autofill based on response",INDEX('Faculties'!$Q$70:$Q$83,MATCH($F46,'Faculties'!$B$70:$B$83,0))),"N/A")</f>
        <v/>
      </c>
      <c r="L46" s="53">
        <f>IFERROR(IF(INDEX('CI&amp;S'!$Q$10:$Q$15,MATCH($F46,'CI&amp;S'!$B$10:$B$15,0))="","Cell will autofill based on response",INDEX('CI&amp;S'!$Q$10:$Q$15,MATCH($F46,'CI&amp;S'!$B$10:$B$15,0))),"N/A")</f>
        <v/>
      </c>
      <c r="M46" s="53">
        <f>IFERROR(IF(INDEX('CI&amp;S'!$Q$22:$Q$36,MATCH($F46,'CI&amp;S'!$B$22:$B$36,0))="","Cell will autofill based on response",INDEX('CI&amp;S'!$Q$22:$Q$36,MATCH($F46,'CI&amp;S'!$B$22:$B$36,0))),"N/A")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IFERROR(IF(INDEX('MRE'!$Q$10:$Q$15,MATCH($F46,'MRE'!$B$10:$B$15,0))="","Cell will autofill based on response",INDEX('MRE'!$Q$10:$Q$15,MATCH($F46,'MRE'!$B$10:$B$15,0))),"N/A")</f>
        <v/>
      </c>
      <c r="S46" s="53">
        <f>IFERROR(IF(INDEX('AC&amp;M'!$Q$10:$Q$14,MATCH($F46,'AC&amp;M'!$B$10:$B$14,0))="","Cell will autofill based on response",INDEX('AC&amp;M'!$Q$10:$Q$14,MATCH($F46,'AC&amp;M'!$B$10:$B$14,0))),"N/A")</f>
        <v/>
      </c>
      <c r="T46" s="53">
        <f>IFERROR(IF(INDEX('GCE'!$Q$10:$Q$12,MATCH($F46,'GCE'!$B$10:$B$12,0))="","Cell will autofill based on response",INDEX('GCE'!$Q$10:$Q$12,MATCH($F46,'GCE'!$B$10:$B$12,0))),"N/A")</f>
        <v/>
      </c>
      <c r="U46" s="53">
        <f>IFERROR(IF(INDEX('Education'!$Q$10:$Q$13,MATCH($F46,'Education'!$B$10:$B$13,0))="","Cell will autofill based on response",INDEX('Education'!$Q$10:$Q$13,MATCH($F46,'Education'!$B$10:$B$13,0))),"N/A")</f>
        <v/>
      </c>
      <c r="V46" s="53">
        <f>IFERROR(IF(INDEX('SaSS'!$Q$10:$Q$12,MATCH($F46,'SaSS'!$B$10:$B$12,0))="","Cell will autofill based on response",INDEX('SaSS'!$Q$10:$Q$12,MATCH($F46,'SaSS'!$B$10:$B$12,0))),"N/A")</f>
        <v/>
      </c>
      <c r="W46" s="53">
        <f>IFERROR(IF(INDEX('Indigenous'!$Q$10:$Q$11,MATCH($F46,'Indigenous'!$B$10:$B$11,0))="","Cell will autofill based on response",INDEX('Indigenous'!$Q$10:$Q$11,MATCH($F46,'Indigenous'!$B$10:$B$11,0))),"N/A")</f>
        <v/>
      </c>
      <c r="X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IFERROR(IF(INDEX('Faculties'!$L$10:$L$23,MATCH($F47,'Faculties'!$B$10:$B$23,0))="","Cell will autofill based on response",INDEX('Faculties'!$L$10:$L$23,MATCH($F47,'Faculties'!$B$10:$B$23,0))),"N/A")</f>
        <v/>
      </c>
      <c r="I47" s="53">
        <f>IFERROR(IF(INDEX('Faculties'!$L$30:$L$43,MATCH($F47,'Faculties'!$B$30:$B$43,0))="","Cell will autofill based on response",INDEX('Faculties'!$L$30:$L$43,MATCH($F47,'Faculties'!$B$30:$B$43,0))),"N/A")</f>
        <v/>
      </c>
      <c r="J47" s="53">
        <f>IFERROR(IF(INDEX('Faculties'!$L$50:$L$63,MATCH($F47,'Faculties'!$B$50:$B$63,0))="","Cell will autofill based on response",INDEX('Faculties'!$L$50:$L$63,MATCH($F47,'Faculties'!$B$50:$B$63,0))),"N/A")</f>
        <v/>
      </c>
      <c r="K47" s="53">
        <f>IFERROR(IF(INDEX('Faculties'!$L$70:$L$83,MATCH($F47,'Faculties'!$B$70:$B$83,0))="","Cell will autofill based on response",INDEX('Faculties'!$L$70:$L$83,MATCH($F47,'Faculties'!$B$70:$B$83,0))),"N/A")</f>
        <v/>
      </c>
      <c r="L47" s="53">
        <f>IFERROR(IF(INDEX('CI&amp;S'!$L$10:$L$15,MATCH($F47,'CI&amp;S'!$B$10:$B$15,0))="","Cell will autofill based on response",INDEX('CI&amp;S'!$L$10:$L$15,MATCH($F47,'CI&amp;S'!$B$10:$B$15,0))),"N/A")</f>
        <v/>
      </c>
      <c r="M47" s="53">
        <f>IFERROR(IF(INDEX('CI&amp;S'!$L$22:$L$36,MATCH($F47,'CI&amp;S'!$B$22:$B$36,0))="","Cell will autofill based on response",INDEX('CI&amp;S'!$L$22:$L$36,MATCH($F47,'CI&amp;S'!$B$22:$B$36,0))),"N/A")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IFERROR(IF(INDEX('MRE'!$L$10:$L$15,MATCH($F47,'MRE'!$B$10:$B$15,0))="","Cell will autofill based on response",INDEX('MRE'!$L$10:$L$15,MATCH($F47,'MRE'!$B$10:$B$15,0))),"N/A")</f>
        <v/>
      </c>
      <c r="S47" s="53">
        <f>IFERROR(IF(INDEX('AC&amp;M'!$L$10:$L$14,MATCH($F47,'AC&amp;M'!$B$10:$B$14,0))="","Cell will autofill based on response",INDEX('AC&amp;M'!$L$10:$L$14,MATCH($F47,'AC&amp;M'!$B$10:$B$14,0))),"N/A")</f>
        <v/>
      </c>
      <c r="T47" s="53">
        <f>IFERROR(IF(INDEX('GCE'!$L$10:$L$12,MATCH($F47,'GCE'!$B$10:$B$12,0))="","Cell will autofill based on response",INDEX('GCE'!$L$10:$L$12,MATCH($F47,'GCE'!$B$10:$B$12,0))),"N/A")</f>
        <v/>
      </c>
      <c r="U47" s="53">
        <f>IFERROR(IF(INDEX('Education'!$L$10:$L$13,MATCH($F47,'Education'!$B$10:$B$13,0))="","Cell will autofill based on response",INDEX('Education'!$L$10:$L$13,MATCH($F47,'Education'!$B$10:$B$13,0))),"N/A")</f>
        <v/>
      </c>
      <c r="V47" s="53">
        <f>IFERROR(IF(INDEX('SaSS'!$L$10:$L$12,MATCH($F47,'SaSS'!$B$10:$B$12,0))="","Cell will autofill based on response",INDEX('SaSS'!$L$10:$L$12,MATCH($F47,'SaSS'!$B$10:$B$12,0))),"N/A")</f>
        <v/>
      </c>
      <c r="W47" s="53">
        <f>IFERROR(IF(INDEX('Indigenous'!$L$10:$L$11,MATCH($F47,'Indigenous'!$B$10:$B$11,0))="","Cell will autofill based on response",INDEX('Indigenous'!$L$10:$L$11,MATCH($F47,'Indigenous'!$B$10:$B$11,0))),"N/A")</f>
        <v/>
      </c>
      <c r="X47" s="53">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4">
        <f>IF(AF47&gt;0,AE47/AF47,"No valid responses to date")</f>
        <v/>
      </c>
      <c r="AH47" s="10">
        <f>IF(ISNUMBER(AG47),INDEX(Lists!$G$2:$G$5,MATCH(ROUND(AG47,0),Lists!$H$2:$H$5,0)),"")</f>
        <v/>
      </c>
      <c r="AI47" s="55">
        <f>IF(AF47&gt;0,AD47/AF47,"")</f>
        <v/>
      </c>
      <c r="AJ47" s="55">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IFERROR(IF(INDEX('Faculties'!$M$10:$M$23,MATCH($F48,'Faculties'!$B$10:$B$23,0))="","Cell will autofill based on response",INDEX('Faculties'!$M$10:$M$23,MATCH($F48,'Faculties'!$B$10:$B$23,0))),"N/A")</f>
        <v/>
      </c>
      <c r="I48" s="53">
        <f>IFERROR(IF(INDEX('Faculties'!$M$30:$M$43,MATCH($F48,'Faculties'!$B$30:$B$43,0))="","Cell will autofill based on response",INDEX('Faculties'!$M$30:$M$43,MATCH($F48,'Faculties'!$B$30:$B$43,0))),"N/A")</f>
        <v/>
      </c>
      <c r="J48" s="53">
        <f>IFERROR(IF(INDEX('Faculties'!$M$50:$M$63,MATCH($F48,'Faculties'!$B$50:$B$63,0))="","Cell will autofill based on response",INDEX('Faculties'!$M$50:$M$63,MATCH($F48,'Faculties'!$B$50:$B$63,0))),"N/A")</f>
        <v/>
      </c>
      <c r="K48" s="53">
        <f>IFERROR(IF(INDEX('Faculties'!$M$70:$M$83,MATCH($F48,'Faculties'!$B$70:$B$83,0))="","Cell will autofill based on response",INDEX('Faculties'!$M$70:$M$83,MATCH($F48,'Faculties'!$B$70:$B$83,0))),"N/A")</f>
        <v/>
      </c>
      <c r="L48" s="53">
        <f>IFERROR(IF(INDEX('CI&amp;S'!$M$10:$M$15,MATCH($F48,'CI&amp;S'!$B$10:$B$15,0))="","Cell will autofill based on response",INDEX('CI&amp;S'!$M$10:$M$15,MATCH($F48,'CI&amp;S'!$B$10:$B$15,0))),"N/A")</f>
        <v/>
      </c>
      <c r="M48" s="53">
        <f>IFERROR(IF(INDEX('CI&amp;S'!$M$22:$M$36,MATCH($F48,'CI&amp;S'!$B$22:$B$36,0))="","Cell will autofill based on response",INDEX('CI&amp;S'!$M$22:$M$36,MATCH($F48,'CI&amp;S'!$B$22:$B$36,0))),"N/A")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IFERROR(IF(INDEX('MRE'!$M$10:$M$15,MATCH($F48,'MRE'!$B$10:$B$15,0))="","Cell will autofill based on response",INDEX('MRE'!$M$10:$M$15,MATCH($F48,'MRE'!$B$10:$B$15,0))),"N/A")</f>
        <v/>
      </c>
      <c r="S48" s="53">
        <f>IFERROR(IF(INDEX('AC&amp;M'!$M$10:$M$14,MATCH($F48,'AC&amp;M'!$B$10:$B$14,0))="","Cell will autofill based on response",INDEX('AC&amp;M'!$M$10:$M$14,MATCH($F48,'AC&amp;M'!$B$10:$B$14,0))),"N/A")</f>
        <v/>
      </c>
      <c r="T48" s="53">
        <f>IFERROR(IF(INDEX('GCE'!$M$10:$M$12,MATCH($F48,'GCE'!$B$10:$B$12,0))="","Cell will autofill based on response",INDEX('GCE'!$M$10:$M$12,MATCH($F48,'GCE'!$B$10:$B$12,0))),"N/A")</f>
        <v/>
      </c>
      <c r="U48" s="53">
        <f>IFERROR(IF(INDEX('Education'!$M$10:$M$13,MATCH($F48,'Education'!$B$10:$B$13,0))="","Cell will autofill based on response",INDEX('Education'!$M$10:$M$13,MATCH($F48,'Education'!$B$10:$B$13,0))),"N/A")</f>
        <v/>
      </c>
      <c r="V48" s="53">
        <f>IFERROR(IF(INDEX('SaSS'!$M$10:$M$12,MATCH($F48,'SaSS'!$B$10:$B$12,0))="","Cell will autofill based on response",INDEX('SaSS'!$M$10:$M$12,MATCH($F48,'SaSS'!$B$10:$B$12,0))),"N/A")</f>
        <v/>
      </c>
      <c r="W48" s="53">
        <f>IFERROR(IF(INDEX('Indigenous'!$M$10:$M$11,MATCH($F48,'Indigenous'!$B$10:$B$11,0))="","Cell will autofill based on response",INDEX('Indigenous'!$M$10:$M$11,MATCH($F48,'Indigenous'!$B$10:$B$11,0))),"N/A")</f>
        <v/>
      </c>
      <c r="X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IFERROR(IF(INDEX('Faculties'!$N$10:$N$23,MATCH($F49,'Faculties'!$B$10:$B$23,0))="","Cell will autofill based on response",INDEX('Faculties'!$N$10:$N$23,MATCH($F49,'Faculties'!$B$10:$B$23,0))),"N/A")</f>
        <v/>
      </c>
      <c r="I49" s="53">
        <f>IFERROR(IF(INDEX('Faculties'!$N$30:$N$43,MATCH($F49,'Faculties'!$B$30:$B$43,0))="","Cell will autofill based on response",INDEX('Faculties'!$N$30:$N$43,MATCH($F49,'Faculties'!$B$30:$B$43,0))),"N/A")</f>
        <v/>
      </c>
      <c r="J49" s="53">
        <f>IFERROR(IF(INDEX('Faculties'!$N$50:$N$63,MATCH($F49,'Faculties'!$B$50:$B$63,0))="","Cell will autofill based on response",INDEX('Faculties'!$N$50:$N$63,MATCH($F49,'Faculties'!$B$50:$B$63,0))),"N/A")</f>
        <v/>
      </c>
      <c r="K49" s="53">
        <f>IFERROR(IF(INDEX('Faculties'!$N$70:$N$83,MATCH($F49,'Faculties'!$B$70:$B$83,0))="","Cell will autofill based on response",INDEX('Faculties'!$N$70:$N$83,MATCH($F49,'Faculties'!$B$70:$B$83,0))),"N/A")</f>
        <v/>
      </c>
      <c r="L49" s="53">
        <f>IFERROR(IF(INDEX('CI&amp;S'!$N$10:$N$15,MATCH($F49,'CI&amp;S'!$B$10:$B$15,0))="","Cell will autofill based on response",INDEX('CI&amp;S'!$N$10:$N$15,MATCH($F49,'CI&amp;S'!$B$10:$B$15,0))),"N/A")</f>
        <v/>
      </c>
      <c r="M49" s="53">
        <f>IFERROR(IF(INDEX('CI&amp;S'!$N$22:$N$36,MATCH($F49,'CI&amp;S'!$B$22:$B$36,0))="","Cell will autofill based on response",INDEX('CI&amp;S'!$N$22:$N$36,MATCH($F49,'CI&amp;S'!$B$22:$B$36,0))),"N/A")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IFERROR(IF(INDEX('MRE'!$N$10:$N$15,MATCH($F49,'MRE'!$B$10:$B$15,0))="","Cell will autofill based on response",INDEX('MRE'!$N$10:$N$15,MATCH($F49,'MRE'!$B$10:$B$15,0))),"N/A")</f>
        <v/>
      </c>
      <c r="S49" s="53">
        <f>IFERROR(IF(INDEX('AC&amp;M'!$N$10:$N$14,MATCH($F49,'AC&amp;M'!$B$10:$B$14,0))="","Cell will autofill based on response",INDEX('AC&amp;M'!$N$10:$N$14,MATCH($F49,'AC&amp;M'!$B$10:$B$14,0))),"N/A")</f>
        <v/>
      </c>
      <c r="T49" s="53">
        <f>IFERROR(IF(INDEX('GCE'!$N$10:$N$12,MATCH($F49,'GCE'!$B$10:$B$12,0))="","Cell will autofill based on response",INDEX('GCE'!$N$10:$N$12,MATCH($F49,'GCE'!$B$10:$B$12,0))),"N/A")</f>
        <v/>
      </c>
      <c r="U49" s="53">
        <f>IFERROR(IF(INDEX('Education'!$N$10:$N$13,MATCH($F49,'Education'!$B$10:$B$13,0))="","Cell will autofill based on response",INDEX('Education'!$N$10:$N$13,MATCH($F49,'Education'!$B$10:$B$13,0))),"N/A")</f>
        <v/>
      </c>
      <c r="V49" s="53">
        <f>IFERROR(IF(INDEX('SaSS'!$N$10:$N$12,MATCH($F49,'SaSS'!$B$10:$B$12,0))="","Cell will autofill based on response",INDEX('SaSS'!$N$10:$N$12,MATCH($F49,'SaSS'!$B$10:$B$12,0))),"N/A")</f>
        <v/>
      </c>
      <c r="W49" s="53">
        <f>IFERROR(IF(INDEX('Indigenous'!$N$10:$N$11,MATCH($F49,'Indigenous'!$B$10:$B$11,0))="","Cell will autofill based on response",INDEX('Indigenous'!$N$10:$N$11,MATCH($F49,'Indigenous'!$B$10:$B$11,0))),"N/A")</f>
        <v/>
      </c>
      <c r="X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IFERROR(IF(INDEX('Faculties'!$O$10:$O$23,MATCH($F50,'Faculties'!$B$10:$B$23,0))="","Cell will autofill based on response",INDEX('Faculties'!$O$10:$O$23,MATCH($F50,'Faculties'!$B$10:$B$23,0))),"N/A")</f>
        <v/>
      </c>
      <c r="I50" s="53">
        <f>IFERROR(IF(INDEX('Faculties'!$O$30:$O$43,MATCH($F50,'Faculties'!$B$30:$B$43,0))="","Cell will autofill based on response",INDEX('Faculties'!$O$30:$O$43,MATCH($F50,'Faculties'!$B$30:$B$43,0))),"N/A")</f>
        <v/>
      </c>
      <c r="J50" s="53">
        <f>IFERROR(IF(INDEX('Faculties'!$O$50:$O$63,MATCH($F50,'Faculties'!$B$50:$B$63,0))="","Cell will autofill based on response",INDEX('Faculties'!$O$50:$O$63,MATCH($F50,'Faculties'!$B$50:$B$63,0))),"N/A")</f>
        <v/>
      </c>
      <c r="K50" s="53">
        <f>IFERROR(IF(INDEX('Faculties'!$O$70:$O$83,MATCH($F50,'Faculties'!$B$70:$B$83,0))="","Cell will autofill based on response",INDEX('Faculties'!$O$70:$O$83,MATCH($F50,'Faculties'!$B$70:$B$83,0))),"N/A")</f>
        <v/>
      </c>
      <c r="L50" s="53">
        <f>IFERROR(IF(INDEX('CI&amp;S'!$O$10:$O$15,MATCH($F50,'CI&amp;S'!$B$10:$B$15,0))="","Cell will autofill based on response",INDEX('CI&amp;S'!$O$10:$O$15,MATCH($F50,'CI&amp;S'!$B$10:$B$15,0))),"N/A")</f>
        <v/>
      </c>
      <c r="M50" s="53">
        <f>IFERROR(IF(INDEX('CI&amp;S'!$O$22:$O$36,MATCH($F50,'CI&amp;S'!$B$22:$B$36,0))="","Cell will autofill based on response",INDEX('CI&amp;S'!$O$22:$O$36,MATCH($F50,'CI&amp;S'!$B$22:$B$36,0))),"N/A")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IFERROR(IF(INDEX('MRE'!$O$10:$O$15,MATCH($F50,'MRE'!$B$10:$B$15,0))="","Cell will autofill based on response",INDEX('MRE'!$O$10:$O$15,MATCH($F50,'MRE'!$B$10:$B$15,0))),"N/A")</f>
        <v/>
      </c>
      <c r="S50" s="53">
        <f>IFERROR(IF(INDEX('AC&amp;M'!$O$10:$O$14,MATCH($F50,'AC&amp;M'!$B$10:$B$14,0))="","Cell will autofill based on response",INDEX('AC&amp;M'!$O$10:$O$14,MATCH($F50,'AC&amp;M'!$B$10:$B$14,0))),"N/A")</f>
        <v/>
      </c>
      <c r="T50" s="53">
        <f>IFERROR(IF(INDEX('GCE'!$O$10:$O$12,MATCH($F50,'GCE'!$B$10:$B$12,0))="","Cell will autofill based on response",INDEX('GCE'!$O$10:$O$12,MATCH($F50,'GCE'!$B$10:$B$12,0))),"N/A")</f>
        <v/>
      </c>
      <c r="U50" s="53">
        <f>IFERROR(IF(INDEX('Education'!$O$10:$O$13,MATCH($F50,'Education'!$B$10:$B$13,0))="","Cell will autofill based on response",INDEX('Education'!$O$10:$O$13,MATCH($F50,'Education'!$B$10:$B$13,0))),"N/A")</f>
        <v/>
      </c>
      <c r="V50" s="53">
        <f>IFERROR(IF(INDEX('SaSS'!$O$10:$O$12,MATCH($F50,'SaSS'!$B$10:$B$12,0))="","Cell will autofill based on response",INDEX('SaSS'!$O$10:$O$12,MATCH($F50,'SaSS'!$B$10:$B$12,0))),"N/A")</f>
        <v/>
      </c>
      <c r="W50" s="53">
        <f>IFERROR(IF(INDEX('Indigenous'!$O$10:$O$11,MATCH($F50,'Indigenous'!$B$10:$B$11,0))="","Cell will autofill based on response",INDEX('Indigenous'!$O$10:$O$11,MATCH($F50,'Indigenous'!$B$10:$B$11,0))),"N/A")</f>
        <v/>
      </c>
      <c r="X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IFERROR(IF(INDEX('Faculties'!$P$10:$P$23,MATCH($F51,'Faculties'!$B$10:$B$23,0))="","Cell will autofill based on response",INDEX('Faculties'!$P$10:$P$23,MATCH($F51,'Faculties'!$B$10:$B$23,0))),"N/A")</f>
        <v/>
      </c>
      <c r="I51" s="53">
        <f>IFERROR(IF(INDEX('Faculties'!$P$30:$P$43,MATCH($F51,'Faculties'!$B$30:$B$43,0))="","Cell will autofill based on response",INDEX('Faculties'!$P$30:$P$43,MATCH($F51,'Faculties'!$B$30:$B$43,0))),"N/A")</f>
        <v/>
      </c>
      <c r="J51" s="53">
        <f>IFERROR(IF(INDEX('Faculties'!$P$50:$P$63,MATCH($F51,'Faculties'!$B$50:$B$63,0))="","Cell will autofill based on response",INDEX('Faculties'!$P$50:$P$63,MATCH($F51,'Faculties'!$B$50:$B$63,0))),"N/A")</f>
        <v/>
      </c>
      <c r="K51" s="53">
        <f>IFERROR(IF(INDEX('Faculties'!$P$70:$P$83,MATCH($F51,'Faculties'!$B$70:$B$83,0))="","Cell will autofill based on response",INDEX('Faculties'!$P$70:$P$83,MATCH($F51,'Faculties'!$B$70:$B$83,0))),"N/A")</f>
        <v/>
      </c>
      <c r="L51" s="53">
        <f>IFERROR(IF(INDEX('CI&amp;S'!$P$10:$P$15,MATCH($F51,'CI&amp;S'!$B$10:$B$15,0))="","Cell will autofill based on response",INDEX('CI&amp;S'!$P$10:$P$15,MATCH($F51,'CI&amp;S'!$B$10:$B$15,0))),"N/A")</f>
        <v/>
      </c>
      <c r="M51" s="53">
        <f>IFERROR(IF(INDEX('CI&amp;S'!$P$22:$P$36,MATCH($F51,'CI&amp;S'!$B$22:$B$36,0))="","Cell will autofill based on response",INDEX('CI&amp;S'!$P$22:$P$36,MATCH($F51,'CI&amp;S'!$B$22:$B$36,0))),"N/A")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IFERROR(IF(INDEX('MRE'!$P$10:$P$15,MATCH($F51,'MRE'!$B$10:$B$15,0))="","Cell will autofill based on response",INDEX('MRE'!$P$10:$P$15,MATCH($F51,'MRE'!$B$10:$B$15,0))),"N/A")</f>
        <v/>
      </c>
      <c r="S51" s="53">
        <f>IFERROR(IF(INDEX('AC&amp;M'!$P$10:$P$14,MATCH($F51,'AC&amp;M'!$B$10:$B$14,0))="","Cell will autofill based on response",INDEX('AC&amp;M'!$P$10:$P$14,MATCH($F51,'AC&amp;M'!$B$10:$B$14,0))),"N/A")</f>
        <v/>
      </c>
      <c r="T51" s="53">
        <f>IFERROR(IF(INDEX('GCE'!$P$10:$P$12,MATCH($F51,'GCE'!$B$10:$B$12,0))="","Cell will autofill based on response",INDEX('GCE'!$P$10:$P$12,MATCH($F51,'GCE'!$B$10:$B$12,0))),"N/A")</f>
        <v/>
      </c>
      <c r="U51" s="53">
        <f>IFERROR(IF(INDEX('Education'!$P$10:$P$13,MATCH($F51,'Education'!$B$10:$B$13,0))="","Cell will autofill based on response",INDEX('Education'!$P$10:$P$13,MATCH($F51,'Education'!$B$10:$B$13,0))),"N/A")</f>
        <v/>
      </c>
      <c r="V51" s="53">
        <f>IFERROR(IF(INDEX('SaSS'!$P$10:$P$12,MATCH($F51,'SaSS'!$B$10:$B$12,0))="","Cell will autofill based on response",INDEX('SaSS'!$P$10:$P$12,MATCH($F51,'SaSS'!$B$10:$B$12,0))),"N/A")</f>
        <v/>
      </c>
      <c r="W51" s="53">
        <f>IFERROR(IF(INDEX('Indigenous'!$P$10:$P$11,MATCH($F51,'Indigenous'!$B$10:$B$11,0))="","Cell will autofill based on response",INDEX('Indigenous'!$P$10:$P$11,MATCH($F51,'Indigenous'!$B$10:$B$11,0))),"N/A")</f>
        <v/>
      </c>
      <c r="X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IFERROR(IF(INDEX('Faculties'!$Q$10:$Q$23,MATCH($F52,'Faculties'!$B$10:$B$23,0))="","Cell will autofill based on response",INDEX('Faculties'!$Q$10:$Q$23,MATCH($F52,'Faculties'!$B$10:$B$23,0))),"N/A")</f>
        <v/>
      </c>
      <c r="I52" s="53">
        <f>IFERROR(IF(INDEX('Faculties'!$Q$30:$Q$43,MATCH($F52,'Faculties'!$B$30:$B$43,0))="","Cell will autofill based on response",INDEX('Faculties'!$Q$30:$Q$43,MATCH($F52,'Faculties'!$B$30:$B$43,0))),"N/A")</f>
        <v/>
      </c>
      <c r="J52" s="53">
        <f>IFERROR(IF(INDEX('Faculties'!$Q$50:$Q$63,MATCH($F52,'Faculties'!$B$50:$B$63,0))="","Cell will autofill based on response",INDEX('Faculties'!$Q$50:$Q$63,MATCH($F52,'Faculties'!$B$50:$B$63,0))),"N/A")</f>
        <v/>
      </c>
      <c r="K52" s="53">
        <f>IFERROR(IF(INDEX('Faculties'!$Q$70:$Q$83,MATCH($F52,'Faculties'!$B$70:$B$83,0))="","Cell will autofill based on response",INDEX('Faculties'!$Q$70:$Q$83,MATCH($F52,'Faculties'!$B$70:$B$83,0))),"N/A")</f>
        <v/>
      </c>
      <c r="L52" s="53">
        <f>IFERROR(IF(INDEX('CI&amp;S'!$Q$10:$Q$15,MATCH($F52,'CI&amp;S'!$B$10:$B$15,0))="","Cell will autofill based on response",INDEX('CI&amp;S'!$Q$10:$Q$15,MATCH($F52,'CI&amp;S'!$B$10:$B$15,0))),"N/A")</f>
        <v/>
      </c>
      <c r="M52" s="53">
        <f>IFERROR(IF(INDEX('CI&amp;S'!$Q$22:$Q$36,MATCH($F52,'CI&amp;S'!$B$22:$B$36,0))="","Cell will autofill based on response",INDEX('CI&amp;S'!$Q$22:$Q$36,MATCH($F52,'CI&amp;S'!$B$22:$B$36,0))),"N/A")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IFERROR(IF(INDEX('MRE'!$Q$10:$Q$15,MATCH($F52,'MRE'!$B$10:$B$15,0))="","Cell will autofill based on response",INDEX('MRE'!$Q$10:$Q$15,MATCH($F52,'MRE'!$B$10:$B$15,0))),"N/A")</f>
        <v/>
      </c>
      <c r="S52" s="53">
        <f>IFERROR(IF(INDEX('AC&amp;M'!$Q$10:$Q$14,MATCH($F52,'AC&amp;M'!$B$10:$B$14,0))="","Cell will autofill based on response",INDEX('AC&amp;M'!$Q$10:$Q$14,MATCH($F52,'AC&amp;M'!$B$10:$B$14,0))),"N/A")</f>
        <v/>
      </c>
      <c r="T52" s="53">
        <f>IFERROR(IF(INDEX('GCE'!$Q$10:$Q$12,MATCH($F52,'GCE'!$B$10:$B$12,0))="","Cell will autofill based on response",INDEX('GCE'!$Q$10:$Q$12,MATCH($F52,'GCE'!$B$10:$B$12,0))),"N/A")</f>
        <v/>
      </c>
      <c r="U52" s="53">
        <f>IFERROR(IF(INDEX('Education'!$Q$10:$Q$13,MATCH($F52,'Education'!$B$10:$B$13,0))="","Cell will autofill based on response",INDEX('Education'!$Q$10:$Q$13,MATCH($F52,'Education'!$B$10:$B$13,0))),"N/A")</f>
        <v/>
      </c>
      <c r="V52" s="53">
        <f>IFERROR(IF(INDEX('SaSS'!$Q$10:$Q$12,MATCH($F52,'SaSS'!$B$10:$B$12,0))="","Cell will autofill based on response",INDEX('SaSS'!$Q$10:$Q$12,MATCH($F52,'SaSS'!$B$10:$B$12,0))),"N/A")</f>
        <v/>
      </c>
      <c r="W52" s="53">
        <f>IFERROR(IF(INDEX('Indigenous'!$Q$10:$Q$11,MATCH($F52,'Indigenous'!$B$10:$B$11,0))="","Cell will autofill based on response",INDEX('Indigenous'!$Q$10:$Q$11,MATCH($F52,'Indigenous'!$B$10:$B$11,0))),"N/A")</f>
        <v/>
      </c>
      <c r="X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IFERROR(IF(INDEX('Faculties'!$L$10:$L$23,MATCH($F53,'Faculties'!$B$10:$B$23,0))="","Cell will autofill based on response",INDEX('Faculties'!$L$10:$L$23,MATCH($F53,'Faculties'!$B$10:$B$23,0))),"N/A")</f>
        <v/>
      </c>
      <c r="I53" s="53">
        <f>IFERROR(IF(INDEX('Faculties'!$L$30:$L$43,MATCH($F53,'Faculties'!$B$30:$B$43,0))="","Cell will autofill based on response",INDEX('Faculties'!$L$30:$L$43,MATCH($F53,'Faculties'!$B$30:$B$43,0))),"N/A")</f>
        <v/>
      </c>
      <c r="J53" s="53">
        <f>IFERROR(IF(INDEX('Faculties'!$L$50:$L$63,MATCH($F53,'Faculties'!$B$50:$B$63,0))="","Cell will autofill based on response",INDEX('Faculties'!$L$50:$L$63,MATCH($F53,'Faculties'!$B$50:$B$63,0))),"N/A")</f>
        <v/>
      </c>
      <c r="K53" s="53">
        <f>IFERROR(IF(INDEX('Faculties'!$L$70:$L$83,MATCH($F53,'Faculties'!$B$70:$B$83,0))="","Cell will autofill based on response",INDEX('Faculties'!$L$70:$L$83,MATCH($F53,'Faculties'!$B$70:$B$83,0))),"N/A")</f>
        <v/>
      </c>
      <c r="L53" s="53">
        <f>IFERROR(IF(INDEX('CI&amp;S'!$L$10:$L$15,MATCH($F53,'CI&amp;S'!$B$10:$B$15,0))="","Cell will autofill based on response",INDEX('CI&amp;S'!$L$10:$L$15,MATCH($F53,'CI&amp;S'!$B$10:$B$15,0))),"N/A")</f>
        <v/>
      </c>
      <c r="M53" s="53">
        <f>IFERROR(IF(INDEX('CI&amp;S'!$L$22:$L$36,MATCH($F53,'CI&amp;S'!$B$22:$B$36,0))="","Cell will autofill based on response",INDEX('CI&amp;S'!$L$22:$L$36,MATCH($F53,'CI&amp;S'!$B$22:$B$36,0))),"N/A")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IFERROR(IF(INDEX('MRE'!$L$10:$L$15,MATCH($F53,'MRE'!$B$10:$B$15,0))="","Cell will autofill based on response",INDEX('MRE'!$L$10:$L$15,MATCH($F53,'MRE'!$B$10:$B$15,0))),"N/A")</f>
        <v/>
      </c>
      <c r="S53" s="53">
        <f>IFERROR(IF(INDEX('AC&amp;M'!$L$10:$L$14,MATCH($F53,'AC&amp;M'!$B$10:$B$14,0))="","Cell will autofill based on response",INDEX('AC&amp;M'!$L$10:$L$14,MATCH($F53,'AC&amp;M'!$B$10:$B$14,0))),"N/A")</f>
        <v/>
      </c>
      <c r="T53" s="53">
        <f>IFERROR(IF(INDEX('GCE'!$L$10:$L$12,MATCH($F53,'GCE'!$B$10:$B$12,0))="","Cell will autofill based on response",INDEX('GCE'!$L$10:$L$12,MATCH($F53,'GCE'!$B$10:$B$12,0))),"N/A")</f>
        <v/>
      </c>
      <c r="U53" s="53">
        <f>IFERROR(IF(INDEX('Education'!$L$10:$L$13,MATCH($F53,'Education'!$B$10:$B$13,0))="","Cell will autofill based on response",INDEX('Education'!$L$10:$L$13,MATCH($F53,'Education'!$B$10:$B$13,0))),"N/A")</f>
        <v/>
      </c>
      <c r="V53" s="53">
        <f>IFERROR(IF(INDEX('SaSS'!$L$10:$L$12,MATCH($F53,'SaSS'!$B$10:$B$12,0))="","Cell will autofill based on response",INDEX('SaSS'!$L$10:$L$12,MATCH($F53,'SaSS'!$B$10:$B$12,0))),"N/A")</f>
        <v/>
      </c>
      <c r="W53" s="53">
        <f>IFERROR(IF(INDEX('Indigenous'!$L$10:$L$11,MATCH($F53,'Indigenous'!$B$10:$B$11,0))="","Cell will autofill based on response",INDEX('Indigenous'!$L$10:$L$11,MATCH($F53,'Indigenous'!$B$10:$B$11,0))),"N/A")</f>
        <v/>
      </c>
      <c r="X53" s="53">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4">
        <f>IF(AF53&gt;0,AE53/AF53,"No valid responses to date")</f>
        <v/>
      </c>
      <c r="AH53" s="10">
        <f>IF(ISNUMBER(AG53),INDEX(Lists!$G$2:$G$5,MATCH(ROUND(AG53,0),Lists!$H$2:$H$5,0)),"")</f>
        <v/>
      </c>
      <c r="AI53" s="55">
        <f>IF(AF53&gt;0,AD53/AF53,"")</f>
        <v/>
      </c>
      <c r="AJ53" s="55">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IFERROR(IF(INDEX('Faculties'!$M$10:$M$23,MATCH($F54,'Faculties'!$B$10:$B$23,0))="","Cell will autofill based on response",INDEX('Faculties'!$M$10:$M$23,MATCH($F54,'Faculties'!$B$10:$B$23,0))),"N/A")</f>
        <v/>
      </c>
      <c r="I54" s="53">
        <f>IFERROR(IF(INDEX('Faculties'!$M$30:$M$43,MATCH($F54,'Faculties'!$B$30:$B$43,0))="","Cell will autofill based on response",INDEX('Faculties'!$M$30:$M$43,MATCH($F54,'Faculties'!$B$30:$B$43,0))),"N/A")</f>
        <v/>
      </c>
      <c r="J54" s="53">
        <f>IFERROR(IF(INDEX('Faculties'!$M$50:$M$63,MATCH($F54,'Faculties'!$B$50:$B$63,0))="","Cell will autofill based on response",INDEX('Faculties'!$M$50:$M$63,MATCH($F54,'Faculties'!$B$50:$B$63,0))),"N/A")</f>
        <v/>
      </c>
      <c r="K54" s="53">
        <f>IFERROR(IF(INDEX('Faculties'!$M$70:$M$83,MATCH($F54,'Faculties'!$B$70:$B$83,0))="","Cell will autofill based on response",INDEX('Faculties'!$M$70:$M$83,MATCH($F54,'Faculties'!$B$70:$B$83,0))),"N/A")</f>
        <v/>
      </c>
      <c r="L54" s="53">
        <f>IFERROR(IF(INDEX('CI&amp;S'!$M$10:$M$15,MATCH($F54,'CI&amp;S'!$B$10:$B$15,0))="","Cell will autofill based on response",INDEX('CI&amp;S'!$M$10:$M$15,MATCH($F54,'CI&amp;S'!$B$10:$B$15,0))),"N/A")</f>
        <v/>
      </c>
      <c r="M54" s="53">
        <f>IFERROR(IF(INDEX('CI&amp;S'!$M$22:$M$36,MATCH($F54,'CI&amp;S'!$B$22:$B$36,0))="","Cell will autofill based on response",INDEX('CI&amp;S'!$M$22:$M$36,MATCH($F54,'CI&amp;S'!$B$22:$B$36,0))),"N/A")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IFERROR(IF(INDEX('MRE'!$M$10:$M$15,MATCH($F54,'MRE'!$B$10:$B$15,0))="","Cell will autofill based on response",INDEX('MRE'!$M$10:$M$15,MATCH($F54,'MRE'!$B$10:$B$15,0))),"N/A")</f>
        <v/>
      </c>
      <c r="S54" s="53">
        <f>IFERROR(IF(INDEX('AC&amp;M'!$M$10:$M$14,MATCH($F54,'AC&amp;M'!$B$10:$B$14,0))="","Cell will autofill based on response",INDEX('AC&amp;M'!$M$10:$M$14,MATCH($F54,'AC&amp;M'!$B$10:$B$14,0))),"N/A")</f>
        <v/>
      </c>
      <c r="T54" s="53">
        <f>IFERROR(IF(INDEX('GCE'!$M$10:$M$12,MATCH($F54,'GCE'!$B$10:$B$12,0))="","Cell will autofill based on response",INDEX('GCE'!$M$10:$M$12,MATCH($F54,'GCE'!$B$10:$B$12,0))),"N/A")</f>
        <v/>
      </c>
      <c r="U54" s="53">
        <f>IFERROR(IF(INDEX('Education'!$M$10:$M$13,MATCH($F54,'Education'!$B$10:$B$13,0))="","Cell will autofill based on response",INDEX('Education'!$M$10:$M$13,MATCH($F54,'Education'!$B$10:$B$13,0))),"N/A")</f>
        <v/>
      </c>
      <c r="V54" s="53">
        <f>IFERROR(IF(INDEX('SaSS'!$M$10:$M$12,MATCH($F54,'SaSS'!$B$10:$B$12,0))="","Cell will autofill based on response",INDEX('SaSS'!$M$10:$M$12,MATCH($F54,'SaSS'!$B$10:$B$12,0))),"N/A")</f>
        <v/>
      </c>
      <c r="W54" s="53">
        <f>IFERROR(IF(INDEX('Indigenous'!$M$10:$M$11,MATCH($F54,'Indigenous'!$B$10:$B$11,0))="","Cell will autofill based on response",INDEX('Indigenous'!$M$10:$M$11,MATCH($F54,'Indigenous'!$B$10:$B$11,0))),"N/A")</f>
        <v/>
      </c>
      <c r="X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IFERROR(IF(INDEX('Faculties'!$N$10:$N$23,MATCH($F55,'Faculties'!$B$10:$B$23,0))="","Cell will autofill based on response",INDEX('Faculties'!$N$10:$N$23,MATCH($F55,'Faculties'!$B$10:$B$23,0))),"N/A")</f>
        <v/>
      </c>
      <c r="I55" s="53">
        <f>IFERROR(IF(INDEX('Faculties'!$N$30:$N$43,MATCH($F55,'Faculties'!$B$30:$B$43,0))="","Cell will autofill based on response",INDEX('Faculties'!$N$30:$N$43,MATCH($F55,'Faculties'!$B$30:$B$43,0))),"N/A")</f>
        <v/>
      </c>
      <c r="J55" s="53">
        <f>IFERROR(IF(INDEX('Faculties'!$N$50:$N$63,MATCH($F55,'Faculties'!$B$50:$B$63,0))="","Cell will autofill based on response",INDEX('Faculties'!$N$50:$N$63,MATCH($F55,'Faculties'!$B$50:$B$63,0))),"N/A")</f>
        <v/>
      </c>
      <c r="K55" s="53">
        <f>IFERROR(IF(INDEX('Faculties'!$N$70:$N$83,MATCH($F55,'Faculties'!$B$70:$B$83,0))="","Cell will autofill based on response",INDEX('Faculties'!$N$70:$N$83,MATCH($F55,'Faculties'!$B$70:$B$83,0))),"N/A")</f>
        <v/>
      </c>
      <c r="L55" s="53">
        <f>IFERROR(IF(INDEX('CI&amp;S'!$N$10:$N$15,MATCH($F55,'CI&amp;S'!$B$10:$B$15,0))="","Cell will autofill based on response",INDEX('CI&amp;S'!$N$10:$N$15,MATCH($F55,'CI&amp;S'!$B$10:$B$15,0))),"N/A")</f>
        <v/>
      </c>
      <c r="M55" s="53">
        <f>IFERROR(IF(INDEX('CI&amp;S'!$N$22:$N$36,MATCH($F55,'CI&amp;S'!$B$22:$B$36,0))="","Cell will autofill based on response",INDEX('CI&amp;S'!$N$22:$N$36,MATCH($F55,'CI&amp;S'!$B$22:$B$36,0))),"N/A")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IFERROR(IF(INDEX('MRE'!$N$10:$N$15,MATCH($F55,'MRE'!$B$10:$B$15,0))="","Cell will autofill based on response",INDEX('MRE'!$N$10:$N$15,MATCH($F55,'MRE'!$B$10:$B$15,0))),"N/A")</f>
        <v/>
      </c>
      <c r="S55" s="53">
        <f>IFERROR(IF(INDEX('AC&amp;M'!$N$10:$N$14,MATCH($F55,'AC&amp;M'!$B$10:$B$14,0))="","Cell will autofill based on response",INDEX('AC&amp;M'!$N$10:$N$14,MATCH($F55,'AC&amp;M'!$B$10:$B$14,0))),"N/A")</f>
        <v/>
      </c>
      <c r="T55" s="53">
        <f>IFERROR(IF(INDEX('GCE'!$N$10:$N$12,MATCH($F55,'GCE'!$B$10:$B$12,0))="","Cell will autofill based on response",INDEX('GCE'!$N$10:$N$12,MATCH($F55,'GCE'!$B$10:$B$12,0))),"N/A")</f>
        <v/>
      </c>
      <c r="U55" s="53">
        <f>IFERROR(IF(INDEX('Education'!$N$10:$N$13,MATCH($F55,'Education'!$B$10:$B$13,0))="","Cell will autofill based on response",INDEX('Education'!$N$10:$N$13,MATCH($F55,'Education'!$B$10:$B$13,0))),"N/A")</f>
        <v/>
      </c>
      <c r="V55" s="53">
        <f>IFERROR(IF(INDEX('SaSS'!$N$10:$N$12,MATCH($F55,'SaSS'!$B$10:$B$12,0))="","Cell will autofill based on response",INDEX('SaSS'!$N$10:$N$12,MATCH($F55,'SaSS'!$B$10:$B$12,0))),"N/A")</f>
        <v/>
      </c>
      <c r="W55" s="53">
        <f>IFERROR(IF(INDEX('Indigenous'!$N$10:$N$11,MATCH($F55,'Indigenous'!$B$10:$B$11,0))="","Cell will autofill based on response",INDEX('Indigenous'!$N$10:$N$11,MATCH($F55,'Indigenous'!$B$10:$B$11,0))),"N/A")</f>
        <v/>
      </c>
      <c r="X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IFERROR(IF(INDEX('Faculties'!$O$10:$O$23,MATCH($F56,'Faculties'!$B$10:$B$23,0))="","Cell will autofill based on response",INDEX('Faculties'!$O$10:$O$23,MATCH($F56,'Faculties'!$B$10:$B$23,0))),"N/A")</f>
        <v/>
      </c>
      <c r="I56" s="53">
        <f>IFERROR(IF(INDEX('Faculties'!$O$30:$O$43,MATCH($F56,'Faculties'!$B$30:$B$43,0))="","Cell will autofill based on response",INDEX('Faculties'!$O$30:$O$43,MATCH($F56,'Faculties'!$B$30:$B$43,0))),"N/A")</f>
        <v/>
      </c>
      <c r="J56" s="53">
        <f>IFERROR(IF(INDEX('Faculties'!$O$50:$O$63,MATCH($F56,'Faculties'!$B$50:$B$63,0))="","Cell will autofill based on response",INDEX('Faculties'!$O$50:$O$63,MATCH($F56,'Faculties'!$B$50:$B$63,0))),"N/A")</f>
        <v/>
      </c>
      <c r="K56" s="53">
        <f>IFERROR(IF(INDEX('Faculties'!$O$70:$O$83,MATCH($F56,'Faculties'!$B$70:$B$83,0))="","Cell will autofill based on response",INDEX('Faculties'!$O$70:$O$83,MATCH($F56,'Faculties'!$B$70:$B$83,0))),"N/A")</f>
        <v/>
      </c>
      <c r="L56" s="53">
        <f>IFERROR(IF(INDEX('CI&amp;S'!$O$10:$O$15,MATCH($F56,'CI&amp;S'!$B$10:$B$15,0))="","Cell will autofill based on response",INDEX('CI&amp;S'!$O$10:$O$15,MATCH($F56,'CI&amp;S'!$B$10:$B$15,0))),"N/A")</f>
        <v/>
      </c>
      <c r="M56" s="53">
        <f>IFERROR(IF(INDEX('CI&amp;S'!$O$22:$O$36,MATCH($F56,'CI&amp;S'!$B$22:$B$36,0))="","Cell will autofill based on response",INDEX('CI&amp;S'!$O$22:$O$36,MATCH($F56,'CI&amp;S'!$B$22:$B$36,0))),"N/A")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IFERROR(IF(INDEX('MRE'!$O$10:$O$15,MATCH($F56,'MRE'!$B$10:$B$15,0))="","Cell will autofill based on response",INDEX('MRE'!$O$10:$O$15,MATCH($F56,'MRE'!$B$10:$B$15,0))),"N/A")</f>
        <v/>
      </c>
      <c r="S56" s="53">
        <f>IFERROR(IF(INDEX('AC&amp;M'!$O$10:$O$14,MATCH($F56,'AC&amp;M'!$B$10:$B$14,0))="","Cell will autofill based on response",INDEX('AC&amp;M'!$O$10:$O$14,MATCH($F56,'AC&amp;M'!$B$10:$B$14,0))),"N/A")</f>
        <v/>
      </c>
      <c r="T56" s="53">
        <f>IFERROR(IF(INDEX('GCE'!$O$10:$O$12,MATCH($F56,'GCE'!$B$10:$B$12,0))="","Cell will autofill based on response",INDEX('GCE'!$O$10:$O$12,MATCH($F56,'GCE'!$B$10:$B$12,0))),"N/A")</f>
        <v/>
      </c>
      <c r="U56" s="53">
        <f>IFERROR(IF(INDEX('Education'!$O$10:$O$13,MATCH($F56,'Education'!$B$10:$B$13,0))="","Cell will autofill based on response",INDEX('Education'!$O$10:$O$13,MATCH($F56,'Education'!$B$10:$B$13,0))),"N/A")</f>
        <v/>
      </c>
      <c r="V56" s="53">
        <f>IFERROR(IF(INDEX('SaSS'!$O$10:$O$12,MATCH($F56,'SaSS'!$B$10:$B$12,0))="","Cell will autofill based on response",INDEX('SaSS'!$O$10:$O$12,MATCH($F56,'SaSS'!$B$10:$B$12,0))),"N/A")</f>
        <v/>
      </c>
      <c r="W56" s="53">
        <f>IFERROR(IF(INDEX('Indigenous'!$O$10:$O$11,MATCH($F56,'Indigenous'!$B$10:$B$11,0))="","Cell will autofill based on response",INDEX('Indigenous'!$O$10:$O$11,MATCH($F56,'Indigenous'!$B$10:$B$11,0))),"N/A")</f>
        <v/>
      </c>
      <c r="X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IFERROR(IF(INDEX('Faculties'!$P$10:$P$23,MATCH($F57,'Faculties'!$B$10:$B$23,0))="","Cell will autofill based on response",INDEX('Faculties'!$P$10:$P$23,MATCH($F57,'Faculties'!$B$10:$B$23,0))),"N/A")</f>
        <v/>
      </c>
      <c r="I57" s="53">
        <f>IFERROR(IF(INDEX('Faculties'!$P$30:$P$43,MATCH($F57,'Faculties'!$B$30:$B$43,0))="","Cell will autofill based on response",INDEX('Faculties'!$P$30:$P$43,MATCH($F57,'Faculties'!$B$30:$B$43,0))),"N/A")</f>
        <v/>
      </c>
      <c r="J57" s="53">
        <f>IFERROR(IF(INDEX('Faculties'!$P$50:$P$63,MATCH($F57,'Faculties'!$B$50:$B$63,0))="","Cell will autofill based on response",INDEX('Faculties'!$P$50:$P$63,MATCH($F57,'Faculties'!$B$50:$B$63,0))),"N/A")</f>
        <v/>
      </c>
      <c r="K57" s="53">
        <f>IFERROR(IF(INDEX('Faculties'!$P$70:$P$83,MATCH($F57,'Faculties'!$B$70:$B$83,0))="","Cell will autofill based on response",INDEX('Faculties'!$P$70:$P$83,MATCH($F57,'Faculties'!$B$70:$B$83,0))),"N/A")</f>
        <v/>
      </c>
      <c r="L57" s="53">
        <f>IFERROR(IF(INDEX('CI&amp;S'!$P$10:$P$15,MATCH($F57,'CI&amp;S'!$B$10:$B$15,0))="","Cell will autofill based on response",INDEX('CI&amp;S'!$P$10:$P$15,MATCH($F57,'CI&amp;S'!$B$10:$B$15,0))),"N/A")</f>
        <v/>
      </c>
      <c r="M57" s="53">
        <f>IFERROR(IF(INDEX('CI&amp;S'!$P$22:$P$36,MATCH($F57,'CI&amp;S'!$B$22:$B$36,0))="","Cell will autofill based on response",INDEX('CI&amp;S'!$P$22:$P$36,MATCH($F57,'CI&amp;S'!$B$22:$B$36,0))),"N/A")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IFERROR(IF(INDEX('MRE'!$P$10:$P$15,MATCH($F57,'MRE'!$B$10:$B$15,0))="","Cell will autofill based on response",INDEX('MRE'!$P$10:$P$15,MATCH($F57,'MRE'!$B$10:$B$15,0))),"N/A")</f>
        <v/>
      </c>
      <c r="S57" s="53">
        <f>IFERROR(IF(INDEX('AC&amp;M'!$P$10:$P$14,MATCH($F57,'AC&amp;M'!$B$10:$B$14,0))="","Cell will autofill based on response",INDEX('AC&amp;M'!$P$10:$P$14,MATCH($F57,'AC&amp;M'!$B$10:$B$14,0))),"N/A")</f>
        <v/>
      </c>
      <c r="T57" s="53">
        <f>IFERROR(IF(INDEX('GCE'!$P$10:$P$12,MATCH($F57,'GCE'!$B$10:$B$12,0))="","Cell will autofill based on response",INDEX('GCE'!$P$10:$P$12,MATCH($F57,'GCE'!$B$10:$B$12,0))),"N/A")</f>
        <v/>
      </c>
      <c r="U57" s="53">
        <f>IFERROR(IF(INDEX('Education'!$P$10:$P$13,MATCH($F57,'Education'!$B$10:$B$13,0))="","Cell will autofill based on response",INDEX('Education'!$P$10:$P$13,MATCH($F57,'Education'!$B$10:$B$13,0))),"N/A")</f>
        <v/>
      </c>
      <c r="V57" s="53">
        <f>IFERROR(IF(INDEX('SaSS'!$P$10:$P$12,MATCH($F57,'SaSS'!$B$10:$B$12,0))="","Cell will autofill based on response",INDEX('SaSS'!$P$10:$P$12,MATCH($F57,'SaSS'!$B$10:$B$12,0))),"N/A")</f>
        <v/>
      </c>
      <c r="W57" s="53">
        <f>IFERROR(IF(INDEX('Indigenous'!$P$10:$P$11,MATCH($F57,'Indigenous'!$B$10:$B$11,0))="","Cell will autofill based on response",INDEX('Indigenous'!$P$10:$P$11,MATCH($F57,'Indigenous'!$B$10:$B$11,0))),"N/A")</f>
        <v/>
      </c>
      <c r="X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IFERROR(IF(INDEX('Faculties'!$Q$10:$Q$23,MATCH($F58,'Faculties'!$B$10:$B$23,0))="","Cell will autofill based on response",INDEX('Faculties'!$Q$10:$Q$23,MATCH($F58,'Faculties'!$B$10:$B$23,0))),"N/A")</f>
        <v/>
      </c>
      <c r="I58" s="53">
        <f>IFERROR(IF(INDEX('Faculties'!$Q$30:$Q$43,MATCH($F58,'Faculties'!$B$30:$B$43,0))="","Cell will autofill based on response",INDEX('Faculties'!$Q$30:$Q$43,MATCH($F58,'Faculties'!$B$30:$B$43,0))),"N/A")</f>
        <v/>
      </c>
      <c r="J58" s="53">
        <f>IFERROR(IF(INDEX('Faculties'!$Q$50:$Q$63,MATCH($F58,'Faculties'!$B$50:$B$63,0))="","Cell will autofill based on response",INDEX('Faculties'!$Q$50:$Q$63,MATCH($F58,'Faculties'!$B$50:$B$63,0))),"N/A")</f>
        <v/>
      </c>
      <c r="K58" s="53">
        <f>IFERROR(IF(INDEX('Faculties'!$Q$70:$Q$83,MATCH($F58,'Faculties'!$B$70:$B$83,0))="","Cell will autofill based on response",INDEX('Faculties'!$Q$70:$Q$83,MATCH($F58,'Faculties'!$B$70:$B$83,0))),"N/A")</f>
        <v/>
      </c>
      <c r="L58" s="53">
        <f>IFERROR(IF(INDEX('CI&amp;S'!$Q$10:$Q$15,MATCH($F58,'CI&amp;S'!$B$10:$B$15,0))="","Cell will autofill based on response",INDEX('CI&amp;S'!$Q$10:$Q$15,MATCH($F58,'CI&amp;S'!$B$10:$B$15,0))),"N/A")</f>
        <v/>
      </c>
      <c r="M58" s="53">
        <f>IFERROR(IF(INDEX('CI&amp;S'!$Q$22:$Q$36,MATCH($F58,'CI&amp;S'!$B$22:$B$36,0))="","Cell will autofill based on response",INDEX('CI&amp;S'!$Q$22:$Q$36,MATCH($F58,'CI&amp;S'!$B$22:$B$36,0))),"N/A")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IFERROR(IF(INDEX('MRE'!$Q$10:$Q$15,MATCH($F58,'MRE'!$B$10:$B$15,0))="","Cell will autofill based on response",INDEX('MRE'!$Q$10:$Q$15,MATCH($F58,'MRE'!$B$10:$B$15,0))),"N/A")</f>
        <v/>
      </c>
      <c r="S58" s="53">
        <f>IFERROR(IF(INDEX('AC&amp;M'!$Q$10:$Q$14,MATCH($F58,'AC&amp;M'!$B$10:$B$14,0))="","Cell will autofill based on response",INDEX('AC&amp;M'!$Q$10:$Q$14,MATCH($F58,'AC&amp;M'!$B$10:$B$14,0))),"N/A")</f>
        <v/>
      </c>
      <c r="T58" s="53">
        <f>IFERROR(IF(INDEX('GCE'!$Q$10:$Q$12,MATCH($F58,'GCE'!$B$10:$B$12,0))="","Cell will autofill based on response",INDEX('GCE'!$Q$10:$Q$12,MATCH($F58,'GCE'!$B$10:$B$12,0))),"N/A")</f>
        <v/>
      </c>
      <c r="U58" s="53">
        <f>IFERROR(IF(INDEX('Education'!$Q$10:$Q$13,MATCH($F58,'Education'!$B$10:$B$13,0))="","Cell will autofill based on response",INDEX('Education'!$Q$10:$Q$13,MATCH($F58,'Education'!$B$10:$B$13,0))),"N/A")</f>
        <v/>
      </c>
      <c r="V58" s="53">
        <f>IFERROR(IF(INDEX('SaSS'!$Q$10:$Q$12,MATCH($F58,'SaSS'!$B$10:$B$12,0))="","Cell will autofill based on response",INDEX('SaSS'!$Q$10:$Q$12,MATCH($F58,'SaSS'!$B$10:$B$12,0))),"N/A")</f>
        <v/>
      </c>
      <c r="W58" s="53">
        <f>IFERROR(IF(INDEX('Indigenous'!$Q$10:$Q$11,MATCH($F58,'Indigenous'!$B$10:$B$11,0))="","Cell will autofill based on response",INDEX('Indigenous'!$Q$10:$Q$11,MATCH($F58,'Indigenous'!$B$10:$B$11,0))),"N/A")</f>
        <v/>
      </c>
      <c r="X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IFERROR(IF(INDEX('Faculties'!$L$10:$L$23,MATCH($F59,'Faculties'!$B$10:$B$23,0))="","Cell will autofill based on response",INDEX('Faculties'!$L$10:$L$23,MATCH($F59,'Faculties'!$B$10:$B$23,0))),"N/A")</f>
        <v/>
      </c>
      <c r="I59" s="53">
        <f>IFERROR(IF(INDEX('Faculties'!$L$30:$L$43,MATCH($F59,'Faculties'!$B$30:$B$43,0))="","Cell will autofill based on response",INDEX('Faculties'!$L$30:$L$43,MATCH($F59,'Faculties'!$B$30:$B$43,0))),"N/A")</f>
        <v/>
      </c>
      <c r="J59" s="53">
        <f>IFERROR(IF(INDEX('Faculties'!$L$50:$L$63,MATCH($F59,'Faculties'!$B$50:$B$63,0))="","Cell will autofill based on response",INDEX('Faculties'!$L$50:$L$63,MATCH($F59,'Faculties'!$B$50:$B$63,0))),"N/A")</f>
        <v/>
      </c>
      <c r="K59" s="53">
        <f>IFERROR(IF(INDEX('Faculties'!$L$70:$L$83,MATCH($F59,'Faculties'!$B$70:$B$83,0))="","Cell will autofill based on response",INDEX('Faculties'!$L$70:$L$83,MATCH($F59,'Faculties'!$B$70:$B$83,0))),"N/A")</f>
        <v/>
      </c>
      <c r="L59" s="53">
        <f>IFERROR(IF(INDEX('CI&amp;S'!$L$10:$L$15,MATCH($F59,'CI&amp;S'!$B$10:$B$15,0))="","Cell will autofill based on response",INDEX('CI&amp;S'!$L$10:$L$15,MATCH($F59,'CI&amp;S'!$B$10:$B$15,0))),"N/A")</f>
        <v/>
      </c>
      <c r="M59" s="53">
        <f>IFERROR(IF(INDEX('CI&amp;S'!$L$22:$L$36,MATCH($F59,'CI&amp;S'!$B$22:$B$36,0))="","Cell will autofill based on response",INDEX('CI&amp;S'!$L$22:$L$36,MATCH($F59,'CI&amp;S'!$B$22:$B$36,0))),"N/A")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IFERROR(IF(INDEX('MRE'!$L$10:$L$15,MATCH($F59,'MRE'!$B$10:$B$15,0))="","Cell will autofill based on response",INDEX('MRE'!$L$10:$L$15,MATCH($F59,'MRE'!$B$10:$B$15,0))),"N/A")</f>
        <v/>
      </c>
      <c r="S59" s="53">
        <f>IFERROR(IF(INDEX('AC&amp;M'!$L$10:$L$14,MATCH($F59,'AC&amp;M'!$B$10:$B$14,0))="","Cell will autofill based on response",INDEX('AC&amp;M'!$L$10:$L$14,MATCH($F59,'AC&amp;M'!$B$10:$B$14,0))),"N/A")</f>
        <v/>
      </c>
      <c r="T59" s="53">
        <f>IFERROR(IF(INDEX('GCE'!$L$10:$L$12,MATCH($F59,'GCE'!$B$10:$B$12,0))="","Cell will autofill based on response",INDEX('GCE'!$L$10:$L$12,MATCH($F59,'GCE'!$B$10:$B$12,0))),"N/A")</f>
        <v/>
      </c>
      <c r="U59" s="53">
        <f>IFERROR(IF(INDEX('Education'!$L$10:$L$13,MATCH($F59,'Education'!$B$10:$B$13,0))="","Cell will autofill based on response",INDEX('Education'!$L$10:$L$13,MATCH($F59,'Education'!$B$10:$B$13,0))),"N/A")</f>
        <v/>
      </c>
      <c r="V59" s="53">
        <f>IFERROR(IF(INDEX('SaSS'!$L$10:$L$12,MATCH($F59,'SaSS'!$B$10:$B$12,0))="","Cell will autofill based on response",INDEX('SaSS'!$L$10:$L$12,MATCH($F59,'SaSS'!$B$10:$B$12,0))),"N/A")</f>
        <v/>
      </c>
      <c r="W59" s="53">
        <f>IFERROR(IF(INDEX('Indigenous'!$L$10:$L$11,MATCH($F59,'Indigenous'!$B$10:$B$11,0))="","Cell will autofill based on response",INDEX('Indigenous'!$L$10:$L$11,MATCH($F59,'Indigenous'!$B$10:$B$11,0))),"N/A")</f>
        <v/>
      </c>
      <c r="X59" s="53">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4">
        <f>IF(AF59&gt;0,AE59/AF59,"No valid responses to date")</f>
        <v/>
      </c>
      <c r="AH59" s="10">
        <f>IF(ISNUMBER(AG59),INDEX(Lists!$G$2:$G$5,MATCH(ROUND(AG59,0),Lists!$H$2:$H$5,0)),"")</f>
        <v/>
      </c>
      <c r="AI59" s="55">
        <f>IF(AF59&gt;0,AD59/AF59,"")</f>
        <v/>
      </c>
      <c r="AJ59" s="55">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IFERROR(IF(INDEX('Faculties'!$M$10:$M$23,MATCH($F60,'Faculties'!$B$10:$B$23,0))="","Cell will autofill based on response",INDEX('Faculties'!$M$10:$M$23,MATCH($F60,'Faculties'!$B$10:$B$23,0))),"N/A")</f>
        <v/>
      </c>
      <c r="I60" s="53">
        <f>IFERROR(IF(INDEX('Faculties'!$M$30:$M$43,MATCH($F60,'Faculties'!$B$30:$B$43,0))="","Cell will autofill based on response",INDEX('Faculties'!$M$30:$M$43,MATCH($F60,'Faculties'!$B$30:$B$43,0))),"N/A")</f>
        <v/>
      </c>
      <c r="J60" s="53">
        <f>IFERROR(IF(INDEX('Faculties'!$M$50:$M$63,MATCH($F60,'Faculties'!$B$50:$B$63,0))="","Cell will autofill based on response",INDEX('Faculties'!$M$50:$M$63,MATCH($F60,'Faculties'!$B$50:$B$63,0))),"N/A")</f>
        <v/>
      </c>
      <c r="K60" s="53">
        <f>IFERROR(IF(INDEX('Faculties'!$M$70:$M$83,MATCH($F60,'Faculties'!$B$70:$B$83,0))="","Cell will autofill based on response",INDEX('Faculties'!$M$70:$M$83,MATCH($F60,'Faculties'!$B$70:$B$83,0))),"N/A")</f>
        <v/>
      </c>
      <c r="L60" s="53">
        <f>IFERROR(IF(INDEX('CI&amp;S'!$M$10:$M$15,MATCH($F60,'CI&amp;S'!$B$10:$B$15,0))="","Cell will autofill based on response",INDEX('CI&amp;S'!$M$10:$M$15,MATCH($F60,'CI&amp;S'!$B$10:$B$15,0))),"N/A")</f>
        <v/>
      </c>
      <c r="M60" s="53">
        <f>IFERROR(IF(INDEX('CI&amp;S'!$M$22:$M$36,MATCH($F60,'CI&amp;S'!$B$22:$B$36,0))="","Cell will autofill based on response",INDEX('CI&amp;S'!$M$22:$M$36,MATCH($F60,'CI&amp;S'!$B$22:$B$36,0))),"N/A")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IFERROR(IF(INDEX('MRE'!$M$10:$M$15,MATCH($F60,'MRE'!$B$10:$B$15,0))="","Cell will autofill based on response",INDEX('MRE'!$M$10:$M$15,MATCH($F60,'MRE'!$B$10:$B$15,0))),"N/A")</f>
        <v/>
      </c>
      <c r="S60" s="53">
        <f>IFERROR(IF(INDEX('AC&amp;M'!$M$10:$M$14,MATCH($F60,'AC&amp;M'!$B$10:$B$14,0))="","Cell will autofill based on response",INDEX('AC&amp;M'!$M$10:$M$14,MATCH($F60,'AC&amp;M'!$B$10:$B$14,0))),"N/A")</f>
        <v/>
      </c>
      <c r="T60" s="53">
        <f>IFERROR(IF(INDEX('GCE'!$M$10:$M$12,MATCH($F60,'GCE'!$B$10:$B$12,0))="","Cell will autofill based on response",INDEX('GCE'!$M$10:$M$12,MATCH($F60,'GCE'!$B$10:$B$12,0))),"N/A")</f>
        <v/>
      </c>
      <c r="U60" s="53">
        <f>IFERROR(IF(INDEX('Education'!$M$10:$M$13,MATCH($F60,'Education'!$B$10:$B$13,0))="","Cell will autofill based on response",INDEX('Education'!$M$10:$M$13,MATCH($F60,'Education'!$B$10:$B$13,0))),"N/A")</f>
        <v/>
      </c>
      <c r="V60" s="53">
        <f>IFERROR(IF(INDEX('SaSS'!$M$10:$M$12,MATCH($F60,'SaSS'!$B$10:$B$12,0))="","Cell will autofill based on response",INDEX('SaSS'!$M$10:$M$12,MATCH($F60,'SaSS'!$B$10:$B$12,0))),"N/A")</f>
        <v/>
      </c>
      <c r="W60" s="53">
        <f>IFERROR(IF(INDEX('Indigenous'!$M$10:$M$11,MATCH($F60,'Indigenous'!$B$10:$B$11,0))="","Cell will autofill based on response",INDEX('Indigenous'!$M$10:$M$11,MATCH($F60,'Indigenous'!$B$10:$B$11,0))),"N/A")</f>
        <v/>
      </c>
      <c r="X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IFERROR(IF(INDEX('Faculties'!$N$10:$N$23,MATCH($F61,'Faculties'!$B$10:$B$23,0))="","Cell will autofill based on response",INDEX('Faculties'!$N$10:$N$23,MATCH($F61,'Faculties'!$B$10:$B$23,0))),"N/A")</f>
        <v/>
      </c>
      <c r="I61" s="53">
        <f>IFERROR(IF(INDEX('Faculties'!$N$30:$N$43,MATCH($F61,'Faculties'!$B$30:$B$43,0))="","Cell will autofill based on response",INDEX('Faculties'!$N$30:$N$43,MATCH($F61,'Faculties'!$B$30:$B$43,0))),"N/A")</f>
        <v/>
      </c>
      <c r="J61" s="53">
        <f>IFERROR(IF(INDEX('Faculties'!$N$50:$N$63,MATCH($F61,'Faculties'!$B$50:$B$63,0))="","Cell will autofill based on response",INDEX('Faculties'!$N$50:$N$63,MATCH($F61,'Faculties'!$B$50:$B$63,0))),"N/A")</f>
        <v/>
      </c>
      <c r="K61" s="53">
        <f>IFERROR(IF(INDEX('Faculties'!$N$70:$N$83,MATCH($F61,'Faculties'!$B$70:$B$83,0))="","Cell will autofill based on response",INDEX('Faculties'!$N$70:$N$83,MATCH($F61,'Faculties'!$B$70:$B$83,0))),"N/A")</f>
        <v/>
      </c>
      <c r="L61" s="53">
        <f>IFERROR(IF(INDEX('CI&amp;S'!$N$10:$N$15,MATCH($F61,'CI&amp;S'!$B$10:$B$15,0))="","Cell will autofill based on response",INDEX('CI&amp;S'!$N$10:$N$15,MATCH($F61,'CI&amp;S'!$B$10:$B$15,0))),"N/A")</f>
        <v/>
      </c>
      <c r="M61" s="53">
        <f>IFERROR(IF(INDEX('CI&amp;S'!$N$22:$N$36,MATCH($F61,'CI&amp;S'!$B$22:$B$36,0))="","Cell will autofill based on response",INDEX('CI&amp;S'!$N$22:$N$36,MATCH($F61,'CI&amp;S'!$B$22:$B$36,0))),"N/A")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IFERROR(IF(INDEX('MRE'!$N$10:$N$15,MATCH($F61,'MRE'!$B$10:$B$15,0))="","Cell will autofill based on response",INDEX('MRE'!$N$10:$N$15,MATCH($F61,'MRE'!$B$10:$B$15,0))),"N/A")</f>
        <v/>
      </c>
      <c r="S61" s="53">
        <f>IFERROR(IF(INDEX('AC&amp;M'!$N$10:$N$14,MATCH($F61,'AC&amp;M'!$B$10:$B$14,0))="","Cell will autofill based on response",INDEX('AC&amp;M'!$N$10:$N$14,MATCH($F61,'AC&amp;M'!$B$10:$B$14,0))),"N/A")</f>
        <v/>
      </c>
      <c r="T61" s="53">
        <f>IFERROR(IF(INDEX('GCE'!$N$10:$N$12,MATCH($F61,'GCE'!$B$10:$B$12,0))="","Cell will autofill based on response",INDEX('GCE'!$N$10:$N$12,MATCH($F61,'GCE'!$B$10:$B$12,0))),"N/A")</f>
        <v/>
      </c>
      <c r="U61" s="53">
        <f>IFERROR(IF(INDEX('Education'!$N$10:$N$13,MATCH($F61,'Education'!$B$10:$B$13,0))="","Cell will autofill based on response",INDEX('Education'!$N$10:$N$13,MATCH($F61,'Education'!$B$10:$B$13,0))),"N/A")</f>
        <v/>
      </c>
      <c r="V61" s="53">
        <f>IFERROR(IF(INDEX('SaSS'!$N$10:$N$12,MATCH($F61,'SaSS'!$B$10:$B$12,0))="","Cell will autofill based on response",INDEX('SaSS'!$N$10:$N$12,MATCH($F61,'SaSS'!$B$10:$B$12,0))),"N/A")</f>
        <v/>
      </c>
      <c r="W61" s="53">
        <f>IFERROR(IF(INDEX('Indigenous'!$N$10:$N$11,MATCH($F61,'Indigenous'!$B$10:$B$11,0))="","Cell will autofill based on response",INDEX('Indigenous'!$N$10:$N$11,MATCH($F61,'Indigenous'!$B$10:$B$11,0))),"N/A")</f>
        <v/>
      </c>
      <c r="X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IFERROR(IF(INDEX('Faculties'!$O$10:$O$23,MATCH($F62,'Faculties'!$B$10:$B$23,0))="","Cell will autofill based on response",INDEX('Faculties'!$O$10:$O$23,MATCH($F62,'Faculties'!$B$10:$B$23,0))),"N/A")</f>
        <v/>
      </c>
      <c r="I62" s="53">
        <f>IFERROR(IF(INDEX('Faculties'!$O$30:$O$43,MATCH($F62,'Faculties'!$B$30:$B$43,0))="","Cell will autofill based on response",INDEX('Faculties'!$O$30:$O$43,MATCH($F62,'Faculties'!$B$30:$B$43,0))),"N/A")</f>
        <v/>
      </c>
      <c r="J62" s="53">
        <f>IFERROR(IF(INDEX('Faculties'!$O$50:$O$63,MATCH($F62,'Faculties'!$B$50:$B$63,0))="","Cell will autofill based on response",INDEX('Faculties'!$O$50:$O$63,MATCH($F62,'Faculties'!$B$50:$B$63,0))),"N/A")</f>
        <v/>
      </c>
      <c r="K62" s="53">
        <f>IFERROR(IF(INDEX('Faculties'!$O$70:$O$83,MATCH($F62,'Faculties'!$B$70:$B$83,0))="","Cell will autofill based on response",INDEX('Faculties'!$O$70:$O$83,MATCH($F62,'Faculties'!$B$70:$B$83,0))),"N/A")</f>
        <v/>
      </c>
      <c r="L62" s="53">
        <f>IFERROR(IF(INDEX('CI&amp;S'!$O$10:$O$15,MATCH($F62,'CI&amp;S'!$B$10:$B$15,0))="","Cell will autofill based on response",INDEX('CI&amp;S'!$O$10:$O$15,MATCH($F62,'CI&amp;S'!$B$10:$B$15,0))),"N/A")</f>
        <v/>
      </c>
      <c r="M62" s="53">
        <f>IFERROR(IF(INDEX('CI&amp;S'!$O$22:$O$36,MATCH($F62,'CI&amp;S'!$B$22:$B$36,0))="","Cell will autofill based on response",INDEX('CI&amp;S'!$O$22:$O$36,MATCH($F62,'CI&amp;S'!$B$22:$B$36,0))),"N/A")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IFERROR(IF(INDEX('MRE'!$O$10:$O$15,MATCH($F62,'MRE'!$B$10:$B$15,0))="","Cell will autofill based on response",INDEX('MRE'!$O$10:$O$15,MATCH($F62,'MRE'!$B$10:$B$15,0))),"N/A")</f>
        <v/>
      </c>
      <c r="S62" s="53">
        <f>IFERROR(IF(INDEX('AC&amp;M'!$O$10:$O$14,MATCH($F62,'AC&amp;M'!$B$10:$B$14,0))="","Cell will autofill based on response",INDEX('AC&amp;M'!$O$10:$O$14,MATCH($F62,'AC&amp;M'!$B$10:$B$14,0))),"N/A")</f>
        <v/>
      </c>
      <c r="T62" s="53">
        <f>IFERROR(IF(INDEX('GCE'!$O$10:$O$12,MATCH($F62,'GCE'!$B$10:$B$12,0))="","Cell will autofill based on response",INDEX('GCE'!$O$10:$O$12,MATCH($F62,'GCE'!$B$10:$B$12,0))),"N/A")</f>
        <v/>
      </c>
      <c r="U62" s="53">
        <f>IFERROR(IF(INDEX('Education'!$O$10:$O$13,MATCH($F62,'Education'!$B$10:$B$13,0))="","Cell will autofill based on response",INDEX('Education'!$O$10:$O$13,MATCH($F62,'Education'!$B$10:$B$13,0))),"N/A")</f>
        <v/>
      </c>
      <c r="V62" s="53">
        <f>IFERROR(IF(INDEX('SaSS'!$O$10:$O$12,MATCH($F62,'SaSS'!$B$10:$B$12,0))="","Cell will autofill based on response",INDEX('SaSS'!$O$10:$O$12,MATCH($F62,'SaSS'!$B$10:$B$12,0))),"N/A")</f>
        <v/>
      </c>
      <c r="W62" s="53">
        <f>IFERROR(IF(INDEX('Indigenous'!$O$10:$O$11,MATCH($F62,'Indigenous'!$B$10:$B$11,0))="","Cell will autofill based on response",INDEX('Indigenous'!$O$10:$O$11,MATCH($F62,'Indigenous'!$B$10:$B$11,0))),"N/A")</f>
        <v/>
      </c>
      <c r="X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IFERROR(IF(INDEX('Faculties'!$P$10:$P$23,MATCH($F63,'Faculties'!$B$10:$B$23,0))="","Cell will autofill based on response",INDEX('Faculties'!$P$10:$P$23,MATCH($F63,'Faculties'!$B$10:$B$23,0))),"N/A")</f>
        <v/>
      </c>
      <c r="I63" s="53">
        <f>IFERROR(IF(INDEX('Faculties'!$P$30:$P$43,MATCH($F63,'Faculties'!$B$30:$B$43,0))="","Cell will autofill based on response",INDEX('Faculties'!$P$30:$P$43,MATCH($F63,'Faculties'!$B$30:$B$43,0))),"N/A")</f>
        <v/>
      </c>
      <c r="J63" s="53">
        <f>IFERROR(IF(INDEX('Faculties'!$P$50:$P$63,MATCH($F63,'Faculties'!$B$50:$B$63,0))="","Cell will autofill based on response",INDEX('Faculties'!$P$50:$P$63,MATCH($F63,'Faculties'!$B$50:$B$63,0))),"N/A")</f>
        <v/>
      </c>
      <c r="K63" s="53">
        <f>IFERROR(IF(INDEX('Faculties'!$P$70:$P$83,MATCH($F63,'Faculties'!$B$70:$B$83,0))="","Cell will autofill based on response",INDEX('Faculties'!$P$70:$P$83,MATCH($F63,'Faculties'!$B$70:$B$83,0))),"N/A")</f>
        <v/>
      </c>
      <c r="L63" s="53">
        <f>IFERROR(IF(INDEX('CI&amp;S'!$P$10:$P$15,MATCH($F63,'CI&amp;S'!$B$10:$B$15,0))="","Cell will autofill based on response",INDEX('CI&amp;S'!$P$10:$P$15,MATCH($F63,'CI&amp;S'!$B$10:$B$15,0))),"N/A")</f>
        <v/>
      </c>
      <c r="M63" s="53">
        <f>IFERROR(IF(INDEX('CI&amp;S'!$P$22:$P$36,MATCH($F63,'CI&amp;S'!$B$22:$B$36,0))="","Cell will autofill based on response",INDEX('CI&amp;S'!$P$22:$P$36,MATCH($F63,'CI&amp;S'!$B$22:$B$36,0))),"N/A")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IFERROR(IF(INDEX('MRE'!$P$10:$P$15,MATCH($F63,'MRE'!$B$10:$B$15,0))="","Cell will autofill based on response",INDEX('MRE'!$P$10:$P$15,MATCH($F63,'MRE'!$B$10:$B$15,0))),"N/A")</f>
        <v/>
      </c>
      <c r="S63" s="53">
        <f>IFERROR(IF(INDEX('AC&amp;M'!$P$10:$P$14,MATCH($F63,'AC&amp;M'!$B$10:$B$14,0))="","Cell will autofill based on response",INDEX('AC&amp;M'!$P$10:$P$14,MATCH($F63,'AC&amp;M'!$B$10:$B$14,0))),"N/A")</f>
        <v/>
      </c>
      <c r="T63" s="53">
        <f>IFERROR(IF(INDEX('GCE'!$P$10:$P$12,MATCH($F63,'GCE'!$B$10:$B$12,0))="","Cell will autofill based on response",INDEX('GCE'!$P$10:$P$12,MATCH($F63,'GCE'!$B$10:$B$12,0))),"N/A")</f>
        <v/>
      </c>
      <c r="U63" s="53">
        <f>IFERROR(IF(INDEX('Education'!$P$10:$P$13,MATCH($F63,'Education'!$B$10:$B$13,0))="","Cell will autofill based on response",INDEX('Education'!$P$10:$P$13,MATCH($F63,'Education'!$B$10:$B$13,0))),"N/A")</f>
        <v/>
      </c>
      <c r="V63" s="53">
        <f>IFERROR(IF(INDEX('SaSS'!$P$10:$P$12,MATCH($F63,'SaSS'!$B$10:$B$12,0))="","Cell will autofill based on response",INDEX('SaSS'!$P$10:$P$12,MATCH($F63,'SaSS'!$B$10:$B$12,0))),"N/A")</f>
        <v/>
      </c>
      <c r="W63" s="53">
        <f>IFERROR(IF(INDEX('Indigenous'!$P$10:$P$11,MATCH($F63,'Indigenous'!$B$10:$B$11,0))="","Cell will autofill based on response",INDEX('Indigenous'!$P$10:$P$11,MATCH($F63,'Indigenous'!$B$10:$B$11,0))),"N/A")</f>
        <v/>
      </c>
      <c r="X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IFERROR(IF(INDEX('Faculties'!$Q$10:$Q$23,MATCH($F64,'Faculties'!$B$10:$B$23,0))="","Cell will autofill based on response",INDEX('Faculties'!$Q$10:$Q$23,MATCH($F64,'Faculties'!$B$10:$B$23,0))),"N/A")</f>
        <v/>
      </c>
      <c r="I64" s="53">
        <f>IFERROR(IF(INDEX('Faculties'!$Q$30:$Q$43,MATCH($F64,'Faculties'!$B$30:$B$43,0))="","Cell will autofill based on response",INDEX('Faculties'!$Q$30:$Q$43,MATCH($F64,'Faculties'!$B$30:$B$43,0))),"N/A")</f>
        <v/>
      </c>
      <c r="J64" s="53">
        <f>IFERROR(IF(INDEX('Faculties'!$Q$50:$Q$63,MATCH($F64,'Faculties'!$B$50:$B$63,0))="","Cell will autofill based on response",INDEX('Faculties'!$Q$50:$Q$63,MATCH($F64,'Faculties'!$B$50:$B$63,0))),"N/A")</f>
        <v/>
      </c>
      <c r="K64" s="53">
        <f>IFERROR(IF(INDEX('Faculties'!$Q$70:$Q$83,MATCH($F64,'Faculties'!$B$70:$B$83,0))="","Cell will autofill based on response",INDEX('Faculties'!$Q$70:$Q$83,MATCH($F64,'Faculties'!$B$70:$B$83,0))),"N/A")</f>
        <v/>
      </c>
      <c r="L64" s="53">
        <f>IFERROR(IF(INDEX('CI&amp;S'!$Q$10:$Q$15,MATCH($F64,'CI&amp;S'!$B$10:$B$15,0))="","Cell will autofill based on response",INDEX('CI&amp;S'!$Q$10:$Q$15,MATCH($F64,'CI&amp;S'!$B$10:$B$15,0))),"N/A")</f>
        <v/>
      </c>
      <c r="M64" s="53">
        <f>IFERROR(IF(INDEX('CI&amp;S'!$Q$22:$Q$36,MATCH($F64,'CI&amp;S'!$B$22:$B$36,0))="","Cell will autofill based on response",INDEX('CI&amp;S'!$Q$22:$Q$36,MATCH($F64,'CI&amp;S'!$B$22:$B$36,0))),"N/A")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IFERROR(IF(INDEX('MRE'!$Q$10:$Q$15,MATCH($F64,'MRE'!$B$10:$B$15,0))="","Cell will autofill based on response",INDEX('MRE'!$Q$10:$Q$15,MATCH($F64,'MRE'!$B$10:$B$15,0))),"N/A")</f>
        <v/>
      </c>
      <c r="S64" s="53">
        <f>IFERROR(IF(INDEX('AC&amp;M'!$Q$10:$Q$14,MATCH($F64,'AC&amp;M'!$B$10:$B$14,0))="","Cell will autofill based on response",INDEX('AC&amp;M'!$Q$10:$Q$14,MATCH($F64,'AC&amp;M'!$B$10:$B$14,0))),"N/A")</f>
        <v/>
      </c>
      <c r="T64" s="53">
        <f>IFERROR(IF(INDEX('GCE'!$Q$10:$Q$12,MATCH($F64,'GCE'!$B$10:$B$12,0))="","Cell will autofill based on response",INDEX('GCE'!$Q$10:$Q$12,MATCH($F64,'GCE'!$B$10:$B$12,0))),"N/A")</f>
        <v/>
      </c>
      <c r="U64" s="53">
        <f>IFERROR(IF(INDEX('Education'!$Q$10:$Q$13,MATCH($F64,'Education'!$B$10:$B$13,0))="","Cell will autofill based on response",INDEX('Education'!$Q$10:$Q$13,MATCH($F64,'Education'!$B$10:$B$13,0))),"N/A")</f>
        <v/>
      </c>
      <c r="V64" s="53">
        <f>IFERROR(IF(INDEX('SaSS'!$Q$10:$Q$12,MATCH($F64,'SaSS'!$B$10:$B$12,0))="","Cell will autofill based on response",INDEX('SaSS'!$Q$10:$Q$12,MATCH($F64,'SaSS'!$B$10:$B$12,0))),"N/A")</f>
        <v/>
      </c>
      <c r="W64" s="53">
        <f>IFERROR(IF(INDEX('Indigenous'!$Q$10:$Q$11,MATCH($F64,'Indigenous'!$B$10:$B$11,0))="","Cell will autofill based on response",INDEX('Indigenous'!$Q$10:$Q$11,MATCH($F64,'Indigenous'!$B$10:$B$11,0))),"N/A")</f>
        <v/>
      </c>
      <c r="X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IFERROR(IF(INDEX('Faculties'!$L$10:$L$23,MATCH($F65,'Faculties'!$B$10:$B$23,0))="","Cell will autofill based on response",INDEX('Faculties'!$L$10:$L$23,MATCH($F65,'Faculties'!$B$10:$B$23,0))),"N/A")</f>
        <v/>
      </c>
      <c r="I65" s="53">
        <f>IFERROR(IF(INDEX('Faculties'!$L$30:$L$43,MATCH($F65,'Faculties'!$B$30:$B$43,0))="","Cell will autofill based on response",INDEX('Faculties'!$L$30:$L$43,MATCH($F65,'Faculties'!$B$30:$B$43,0))),"N/A")</f>
        <v/>
      </c>
      <c r="J65" s="53">
        <f>IFERROR(IF(INDEX('Faculties'!$L$50:$L$63,MATCH($F65,'Faculties'!$B$50:$B$63,0))="","Cell will autofill based on response",INDEX('Faculties'!$L$50:$L$63,MATCH($F65,'Faculties'!$B$50:$B$63,0))),"N/A")</f>
        <v/>
      </c>
      <c r="K65" s="53">
        <f>IFERROR(IF(INDEX('Faculties'!$L$70:$L$83,MATCH($F65,'Faculties'!$B$70:$B$83,0))="","Cell will autofill based on response",INDEX('Faculties'!$L$70:$L$83,MATCH($F65,'Faculties'!$B$70:$B$83,0))),"N/A")</f>
        <v/>
      </c>
      <c r="L65" s="53">
        <f>IFERROR(IF(INDEX('CI&amp;S'!$L$10:$L$15,MATCH($F65,'CI&amp;S'!$B$10:$B$15,0))="","Cell will autofill based on response",INDEX('CI&amp;S'!$L$10:$L$15,MATCH($F65,'CI&amp;S'!$B$10:$B$15,0))),"N/A")</f>
        <v/>
      </c>
      <c r="M65" s="53">
        <f>IFERROR(IF(INDEX('CI&amp;S'!$L$22:$L$36,MATCH($F65,'CI&amp;S'!$B$22:$B$36,0))="","Cell will autofill based on response",INDEX('CI&amp;S'!$L$22:$L$36,MATCH($F65,'CI&amp;S'!$B$22:$B$36,0))),"N/A")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IFERROR(IF(INDEX('MRE'!$L$10:$L$15,MATCH($F65,'MRE'!$B$10:$B$15,0))="","Cell will autofill based on response",INDEX('MRE'!$L$10:$L$15,MATCH($F65,'MRE'!$B$10:$B$15,0))),"N/A")</f>
        <v/>
      </c>
      <c r="S65" s="53">
        <f>IFERROR(IF(INDEX('AC&amp;M'!$L$10:$L$14,MATCH($F65,'AC&amp;M'!$B$10:$B$14,0))="","Cell will autofill based on response",INDEX('AC&amp;M'!$L$10:$L$14,MATCH($F65,'AC&amp;M'!$B$10:$B$14,0))),"N/A")</f>
        <v/>
      </c>
      <c r="T65" s="53">
        <f>IFERROR(IF(INDEX('GCE'!$L$10:$L$12,MATCH($F65,'GCE'!$B$10:$B$12,0))="","Cell will autofill based on response",INDEX('GCE'!$L$10:$L$12,MATCH($F65,'GCE'!$B$10:$B$12,0))),"N/A")</f>
        <v/>
      </c>
      <c r="U65" s="53">
        <f>IFERROR(IF(INDEX('Education'!$L$10:$L$13,MATCH($F65,'Education'!$B$10:$B$13,0))="","Cell will autofill based on response",INDEX('Education'!$L$10:$L$13,MATCH($F65,'Education'!$B$10:$B$13,0))),"N/A")</f>
        <v/>
      </c>
      <c r="V65" s="53">
        <f>IFERROR(IF(INDEX('SaSS'!$L$10:$L$12,MATCH($F65,'SaSS'!$B$10:$B$12,0))="","Cell will autofill based on response",INDEX('SaSS'!$L$10:$L$12,MATCH($F65,'SaSS'!$B$10:$B$12,0))),"N/A")</f>
        <v/>
      </c>
      <c r="W65" s="53">
        <f>IFERROR(IF(INDEX('Indigenous'!$L$10:$L$11,MATCH($F65,'Indigenous'!$B$10:$B$11,0))="","Cell will autofill based on response",INDEX('Indigenous'!$L$10:$L$11,MATCH($F65,'Indigenous'!$B$10:$B$11,0))),"N/A")</f>
        <v/>
      </c>
      <c r="X65" s="53">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4">
        <f>IF(AF65&gt;0,AE65/AF65,"No valid responses to date")</f>
        <v/>
      </c>
      <c r="AH65" s="10">
        <f>IF(ISNUMBER(AG65),INDEX(Lists!$G$2:$G$5,MATCH(ROUND(AG65,0),Lists!$H$2:$H$5,0)),"")</f>
        <v/>
      </c>
      <c r="AI65" s="55">
        <f>IF(AF65&gt;0,AD65/AF65,"")</f>
        <v/>
      </c>
      <c r="AJ65" s="55">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IFERROR(IF(INDEX('Faculties'!$M$10:$M$23,MATCH($F66,'Faculties'!$B$10:$B$23,0))="","Cell will autofill based on response",INDEX('Faculties'!$M$10:$M$23,MATCH($F66,'Faculties'!$B$10:$B$23,0))),"N/A")</f>
        <v/>
      </c>
      <c r="I66" s="53">
        <f>IFERROR(IF(INDEX('Faculties'!$M$30:$M$43,MATCH($F66,'Faculties'!$B$30:$B$43,0))="","Cell will autofill based on response",INDEX('Faculties'!$M$30:$M$43,MATCH($F66,'Faculties'!$B$30:$B$43,0))),"N/A")</f>
        <v/>
      </c>
      <c r="J66" s="53">
        <f>IFERROR(IF(INDEX('Faculties'!$M$50:$M$63,MATCH($F66,'Faculties'!$B$50:$B$63,0))="","Cell will autofill based on response",INDEX('Faculties'!$M$50:$M$63,MATCH($F66,'Faculties'!$B$50:$B$63,0))),"N/A")</f>
        <v/>
      </c>
      <c r="K66" s="53">
        <f>IFERROR(IF(INDEX('Faculties'!$M$70:$M$83,MATCH($F66,'Faculties'!$B$70:$B$83,0))="","Cell will autofill based on response",INDEX('Faculties'!$M$70:$M$83,MATCH($F66,'Faculties'!$B$70:$B$83,0))),"N/A")</f>
        <v/>
      </c>
      <c r="L66" s="53">
        <f>IFERROR(IF(INDEX('CI&amp;S'!$M$10:$M$15,MATCH($F66,'CI&amp;S'!$B$10:$B$15,0))="","Cell will autofill based on response",INDEX('CI&amp;S'!$M$10:$M$15,MATCH($F66,'CI&amp;S'!$B$10:$B$15,0))),"N/A")</f>
        <v/>
      </c>
      <c r="M66" s="53">
        <f>IFERROR(IF(INDEX('CI&amp;S'!$M$22:$M$36,MATCH($F66,'CI&amp;S'!$B$22:$B$36,0))="","Cell will autofill based on response",INDEX('CI&amp;S'!$M$22:$M$36,MATCH($F66,'CI&amp;S'!$B$22:$B$36,0))),"N/A")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IFERROR(IF(INDEX('MRE'!$M$10:$M$15,MATCH($F66,'MRE'!$B$10:$B$15,0))="","Cell will autofill based on response",INDEX('MRE'!$M$10:$M$15,MATCH($F66,'MRE'!$B$10:$B$15,0))),"N/A")</f>
        <v/>
      </c>
      <c r="S66" s="53">
        <f>IFERROR(IF(INDEX('AC&amp;M'!$M$10:$M$14,MATCH($F66,'AC&amp;M'!$B$10:$B$14,0))="","Cell will autofill based on response",INDEX('AC&amp;M'!$M$10:$M$14,MATCH($F66,'AC&amp;M'!$B$10:$B$14,0))),"N/A")</f>
        <v/>
      </c>
      <c r="T66" s="53">
        <f>IFERROR(IF(INDEX('GCE'!$M$10:$M$12,MATCH($F66,'GCE'!$B$10:$B$12,0))="","Cell will autofill based on response",INDEX('GCE'!$M$10:$M$12,MATCH($F66,'GCE'!$B$10:$B$12,0))),"N/A")</f>
        <v/>
      </c>
      <c r="U66" s="53">
        <f>IFERROR(IF(INDEX('Education'!$M$10:$M$13,MATCH($F66,'Education'!$B$10:$B$13,0))="","Cell will autofill based on response",INDEX('Education'!$M$10:$M$13,MATCH($F66,'Education'!$B$10:$B$13,0))),"N/A")</f>
        <v/>
      </c>
      <c r="V66" s="53">
        <f>IFERROR(IF(INDEX('SaSS'!$M$10:$M$12,MATCH($F66,'SaSS'!$B$10:$B$12,0))="","Cell will autofill based on response",INDEX('SaSS'!$M$10:$M$12,MATCH($F66,'SaSS'!$B$10:$B$12,0))),"N/A")</f>
        <v/>
      </c>
      <c r="W66" s="53">
        <f>IFERROR(IF(INDEX('Indigenous'!$M$10:$M$11,MATCH($F66,'Indigenous'!$B$10:$B$11,0))="","Cell will autofill based on response",INDEX('Indigenous'!$M$10:$M$11,MATCH($F66,'Indigenous'!$B$10:$B$11,0))),"N/A")</f>
        <v/>
      </c>
      <c r="X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IFERROR(IF(INDEX('Faculties'!$N$10:$N$23,MATCH($F67,'Faculties'!$B$10:$B$23,0))="","Cell will autofill based on response",INDEX('Faculties'!$N$10:$N$23,MATCH($F67,'Faculties'!$B$10:$B$23,0))),"N/A")</f>
        <v/>
      </c>
      <c r="I67" s="53">
        <f>IFERROR(IF(INDEX('Faculties'!$N$30:$N$43,MATCH($F67,'Faculties'!$B$30:$B$43,0))="","Cell will autofill based on response",INDEX('Faculties'!$N$30:$N$43,MATCH($F67,'Faculties'!$B$30:$B$43,0))),"N/A")</f>
        <v/>
      </c>
      <c r="J67" s="53">
        <f>IFERROR(IF(INDEX('Faculties'!$N$50:$N$63,MATCH($F67,'Faculties'!$B$50:$B$63,0))="","Cell will autofill based on response",INDEX('Faculties'!$N$50:$N$63,MATCH($F67,'Faculties'!$B$50:$B$63,0))),"N/A")</f>
        <v/>
      </c>
      <c r="K67" s="53">
        <f>IFERROR(IF(INDEX('Faculties'!$N$70:$N$83,MATCH($F67,'Faculties'!$B$70:$B$83,0))="","Cell will autofill based on response",INDEX('Faculties'!$N$70:$N$83,MATCH($F67,'Faculties'!$B$70:$B$83,0))),"N/A")</f>
        <v/>
      </c>
      <c r="L67" s="53">
        <f>IFERROR(IF(INDEX('CI&amp;S'!$N$10:$N$15,MATCH($F67,'CI&amp;S'!$B$10:$B$15,0))="","Cell will autofill based on response",INDEX('CI&amp;S'!$N$10:$N$15,MATCH($F67,'CI&amp;S'!$B$10:$B$15,0))),"N/A")</f>
        <v/>
      </c>
      <c r="M67" s="53">
        <f>IFERROR(IF(INDEX('CI&amp;S'!$N$22:$N$36,MATCH($F67,'CI&amp;S'!$B$22:$B$36,0))="","Cell will autofill based on response",INDEX('CI&amp;S'!$N$22:$N$36,MATCH($F67,'CI&amp;S'!$B$22:$B$36,0))),"N/A")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IFERROR(IF(INDEX('MRE'!$N$10:$N$15,MATCH($F67,'MRE'!$B$10:$B$15,0))="","Cell will autofill based on response",INDEX('MRE'!$N$10:$N$15,MATCH($F67,'MRE'!$B$10:$B$15,0))),"N/A")</f>
        <v/>
      </c>
      <c r="S67" s="53">
        <f>IFERROR(IF(INDEX('AC&amp;M'!$N$10:$N$14,MATCH($F67,'AC&amp;M'!$B$10:$B$14,0))="","Cell will autofill based on response",INDEX('AC&amp;M'!$N$10:$N$14,MATCH($F67,'AC&amp;M'!$B$10:$B$14,0))),"N/A")</f>
        <v/>
      </c>
      <c r="T67" s="53">
        <f>IFERROR(IF(INDEX('GCE'!$N$10:$N$12,MATCH($F67,'GCE'!$B$10:$B$12,0))="","Cell will autofill based on response",INDEX('GCE'!$N$10:$N$12,MATCH($F67,'GCE'!$B$10:$B$12,0))),"N/A")</f>
        <v/>
      </c>
      <c r="U67" s="53">
        <f>IFERROR(IF(INDEX('Education'!$N$10:$N$13,MATCH($F67,'Education'!$B$10:$B$13,0))="","Cell will autofill based on response",INDEX('Education'!$N$10:$N$13,MATCH($F67,'Education'!$B$10:$B$13,0))),"N/A")</f>
        <v/>
      </c>
      <c r="V67" s="53">
        <f>IFERROR(IF(INDEX('SaSS'!$N$10:$N$12,MATCH($F67,'SaSS'!$B$10:$B$12,0))="","Cell will autofill based on response",INDEX('SaSS'!$N$10:$N$12,MATCH($F67,'SaSS'!$B$10:$B$12,0))),"N/A")</f>
        <v/>
      </c>
      <c r="W67" s="53">
        <f>IFERROR(IF(INDEX('Indigenous'!$N$10:$N$11,MATCH($F67,'Indigenous'!$B$10:$B$11,0))="","Cell will autofill based on response",INDEX('Indigenous'!$N$10:$N$11,MATCH($F67,'Indigenous'!$B$10:$B$11,0))),"N/A")</f>
        <v/>
      </c>
      <c r="X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IFERROR(IF(INDEX('Faculties'!$O$10:$O$23,MATCH($F68,'Faculties'!$B$10:$B$23,0))="","Cell will autofill based on response",INDEX('Faculties'!$O$10:$O$23,MATCH($F68,'Faculties'!$B$10:$B$23,0))),"N/A")</f>
        <v/>
      </c>
      <c r="I68" s="53">
        <f>IFERROR(IF(INDEX('Faculties'!$O$30:$O$43,MATCH($F68,'Faculties'!$B$30:$B$43,0))="","Cell will autofill based on response",INDEX('Faculties'!$O$30:$O$43,MATCH($F68,'Faculties'!$B$30:$B$43,0))),"N/A")</f>
        <v/>
      </c>
      <c r="J68" s="53">
        <f>IFERROR(IF(INDEX('Faculties'!$O$50:$O$63,MATCH($F68,'Faculties'!$B$50:$B$63,0))="","Cell will autofill based on response",INDEX('Faculties'!$O$50:$O$63,MATCH($F68,'Faculties'!$B$50:$B$63,0))),"N/A")</f>
        <v/>
      </c>
      <c r="K68" s="53">
        <f>IFERROR(IF(INDEX('Faculties'!$O$70:$O$83,MATCH($F68,'Faculties'!$B$70:$B$83,0))="","Cell will autofill based on response",INDEX('Faculties'!$O$70:$O$83,MATCH($F68,'Faculties'!$B$70:$B$83,0))),"N/A")</f>
        <v/>
      </c>
      <c r="L68" s="53">
        <f>IFERROR(IF(INDEX('CI&amp;S'!$O$10:$O$15,MATCH($F68,'CI&amp;S'!$B$10:$B$15,0))="","Cell will autofill based on response",INDEX('CI&amp;S'!$O$10:$O$15,MATCH($F68,'CI&amp;S'!$B$10:$B$15,0))),"N/A")</f>
        <v/>
      </c>
      <c r="M68" s="53">
        <f>IFERROR(IF(INDEX('CI&amp;S'!$O$22:$O$36,MATCH($F68,'CI&amp;S'!$B$22:$B$36,0))="","Cell will autofill based on response",INDEX('CI&amp;S'!$O$22:$O$36,MATCH($F68,'CI&amp;S'!$B$22:$B$36,0))),"N/A")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IFERROR(IF(INDEX('MRE'!$O$10:$O$15,MATCH($F68,'MRE'!$B$10:$B$15,0))="","Cell will autofill based on response",INDEX('MRE'!$O$10:$O$15,MATCH($F68,'MRE'!$B$10:$B$15,0))),"N/A")</f>
        <v/>
      </c>
      <c r="S68" s="53">
        <f>IFERROR(IF(INDEX('AC&amp;M'!$O$10:$O$14,MATCH($F68,'AC&amp;M'!$B$10:$B$14,0))="","Cell will autofill based on response",INDEX('AC&amp;M'!$O$10:$O$14,MATCH($F68,'AC&amp;M'!$B$10:$B$14,0))),"N/A")</f>
        <v/>
      </c>
      <c r="T68" s="53">
        <f>IFERROR(IF(INDEX('GCE'!$O$10:$O$12,MATCH($F68,'GCE'!$B$10:$B$12,0))="","Cell will autofill based on response",INDEX('GCE'!$O$10:$O$12,MATCH($F68,'GCE'!$B$10:$B$12,0))),"N/A")</f>
        <v/>
      </c>
      <c r="U68" s="53">
        <f>IFERROR(IF(INDEX('Education'!$O$10:$O$13,MATCH($F68,'Education'!$B$10:$B$13,0))="","Cell will autofill based on response",INDEX('Education'!$O$10:$O$13,MATCH($F68,'Education'!$B$10:$B$13,0))),"N/A")</f>
        <v/>
      </c>
      <c r="V68" s="53">
        <f>IFERROR(IF(INDEX('SaSS'!$O$10:$O$12,MATCH($F68,'SaSS'!$B$10:$B$12,0))="","Cell will autofill based on response",INDEX('SaSS'!$O$10:$O$12,MATCH($F68,'SaSS'!$B$10:$B$12,0))),"N/A")</f>
        <v/>
      </c>
      <c r="W68" s="53">
        <f>IFERROR(IF(INDEX('Indigenous'!$O$10:$O$11,MATCH($F68,'Indigenous'!$B$10:$B$11,0))="","Cell will autofill based on response",INDEX('Indigenous'!$O$10:$O$11,MATCH($F68,'Indigenous'!$B$10:$B$11,0))),"N/A")</f>
        <v/>
      </c>
      <c r="X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IFERROR(IF(INDEX('Faculties'!$P$10:$P$23,MATCH($F69,'Faculties'!$B$10:$B$23,0))="","Cell will autofill based on response",INDEX('Faculties'!$P$10:$P$23,MATCH($F69,'Faculties'!$B$10:$B$23,0))),"N/A")</f>
        <v/>
      </c>
      <c r="I69" s="53">
        <f>IFERROR(IF(INDEX('Faculties'!$P$30:$P$43,MATCH($F69,'Faculties'!$B$30:$B$43,0))="","Cell will autofill based on response",INDEX('Faculties'!$P$30:$P$43,MATCH($F69,'Faculties'!$B$30:$B$43,0))),"N/A")</f>
        <v/>
      </c>
      <c r="J69" s="53">
        <f>IFERROR(IF(INDEX('Faculties'!$P$50:$P$63,MATCH($F69,'Faculties'!$B$50:$B$63,0))="","Cell will autofill based on response",INDEX('Faculties'!$P$50:$P$63,MATCH($F69,'Faculties'!$B$50:$B$63,0))),"N/A")</f>
        <v/>
      </c>
      <c r="K69" s="53">
        <f>IFERROR(IF(INDEX('Faculties'!$P$70:$P$83,MATCH($F69,'Faculties'!$B$70:$B$83,0))="","Cell will autofill based on response",INDEX('Faculties'!$P$70:$P$83,MATCH($F69,'Faculties'!$B$70:$B$83,0))),"N/A")</f>
        <v/>
      </c>
      <c r="L69" s="53">
        <f>IFERROR(IF(INDEX('CI&amp;S'!$P$10:$P$15,MATCH($F69,'CI&amp;S'!$B$10:$B$15,0))="","Cell will autofill based on response",INDEX('CI&amp;S'!$P$10:$P$15,MATCH($F69,'CI&amp;S'!$B$10:$B$15,0))),"N/A")</f>
        <v/>
      </c>
      <c r="M69" s="53">
        <f>IFERROR(IF(INDEX('CI&amp;S'!$P$22:$P$36,MATCH($F69,'CI&amp;S'!$B$22:$B$36,0))="","Cell will autofill based on response",INDEX('CI&amp;S'!$P$22:$P$36,MATCH($F69,'CI&amp;S'!$B$22:$B$36,0))),"N/A")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IFERROR(IF(INDEX('MRE'!$P$10:$P$15,MATCH($F69,'MRE'!$B$10:$B$15,0))="","Cell will autofill based on response",INDEX('MRE'!$P$10:$P$15,MATCH($F69,'MRE'!$B$10:$B$15,0))),"N/A")</f>
        <v/>
      </c>
      <c r="S69" s="53">
        <f>IFERROR(IF(INDEX('AC&amp;M'!$P$10:$P$14,MATCH($F69,'AC&amp;M'!$B$10:$B$14,0))="","Cell will autofill based on response",INDEX('AC&amp;M'!$P$10:$P$14,MATCH($F69,'AC&amp;M'!$B$10:$B$14,0))),"N/A")</f>
        <v/>
      </c>
      <c r="T69" s="53">
        <f>IFERROR(IF(INDEX('GCE'!$P$10:$P$12,MATCH($F69,'GCE'!$B$10:$B$12,0))="","Cell will autofill based on response",INDEX('GCE'!$P$10:$P$12,MATCH($F69,'GCE'!$B$10:$B$12,0))),"N/A")</f>
        <v/>
      </c>
      <c r="U69" s="53">
        <f>IFERROR(IF(INDEX('Education'!$P$10:$P$13,MATCH($F69,'Education'!$B$10:$B$13,0))="","Cell will autofill based on response",INDEX('Education'!$P$10:$P$13,MATCH($F69,'Education'!$B$10:$B$13,0))),"N/A")</f>
        <v/>
      </c>
      <c r="V69" s="53">
        <f>IFERROR(IF(INDEX('SaSS'!$P$10:$P$12,MATCH($F69,'SaSS'!$B$10:$B$12,0))="","Cell will autofill based on response",INDEX('SaSS'!$P$10:$P$12,MATCH($F69,'SaSS'!$B$10:$B$12,0))),"N/A")</f>
        <v/>
      </c>
      <c r="W69" s="53">
        <f>IFERROR(IF(INDEX('Indigenous'!$P$10:$P$11,MATCH($F69,'Indigenous'!$B$10:$B$11,0))="","Cell will autofill based on response",INDEX('Indigenous'!$P$10:$P$11,MATCH($F69,'Indigenous'!$B$10:$B$11,0))),"N/A")</f>
        <v/>
      </c>
      <c r="X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IFERROR(IF(INDEX('Faculties'!$Q$10:$Q$23,MATCH($F70,'Faculties'!$B$10:$B$23,0))="","Cell will autofill based on response",INDEX('Faculties'!$Q$10:$Q$23,MATCH($F70,'Faculties'!$B$10:$B$23,0))),"N/A")</f>
        <v/>
      </c>
      <c r="I70" s="53">
        <f>IFERROR(IF(INDEX('Faculties'!$Q$30:$Q$43,MATCH($F70,'Faculties'!$B$30:$B$43,0))="","Cell will autofill based on response",INDEX('Faculties'!$Q$30:$Q$43,MATCH($F70,'Faculties'!$B$30:$B$43,0))),"N/A")</f>
        <v/>
      </c>
      <c r="J70" s="53">
        <f>IFERROR(IF(INDEX('Faculties'!$Q$50:$Q$63,MATCH($F70,'Faculties'!$B$50:$B$63,0))="","Cell will autofill based on response",INDEX('Faculties'!$Q$50:$Q$63,MATCH($F70,'Faculties'!$B$50:$B$63,0))),"N/A")</f>
        <v/>
      </c>
      <c r="K70" s="53">
        <f>IFERROR(IF(INDEX('Faculties'!$Q$70:$Q$83,MATCH($F70,'Faculties'!$B$70:$B$83,0))="","Cell will autofill based on response",INDEX('Faculties'!$Q$70:$Q$83,MATCH($F70,'Faculties'!$B$70:$B$83,0))),"N/A")</f>
        <v/>
      </c>
      <c r="L70" s="53">
        <f>IFERROR(IF(INDEX('CI&amp;S'!$Q$10:$Q$15,MATCH($F70,'CI&amp;S'!$B$10:$B$15,0))="","Cell will autofill based on response",INDEX('CI&amp;S'!$Q$10:$Q$15,MATCH($F70,'CI&amp;S'!$B$10:$B$15,0))),"N/A")</f>
        <v/>
      </c>
      <c r="M70" s="53">
        <f>IFERROR(IF(INDEX('CI&amp;S'!$Q$22:$Q$36,MATCH($F70,'CI&amp;S'!$B$22:$B$36,0))="","Cell will autofill based on response",INDEX('CI&amp;S'!$Q$22:$Q$36,MATCH($F70,'CI&amp;S'!$B$22:$B$36,0))),"N/A")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IFERROR(IF(INDEX('MRE'!$Q$10:$Q$15,MATCH($F70,'MRE'!$B$10:$B$15,0))="","Cell will autofill based on response",INDEX('MRE'!$Q$10:$Q$15,MATCH($F70,'MRE'!$B$10:$B$15,0))),"N/A")</f>
        <v/>
      </c>
      <c r="S70" s="53">
        <f>IFERROR(IF(INDEX('AC&amp;M'!$Q$10:$Q$14,MATCH($F70,'AC&amp;M'!$B$10:$B$14,0))="","Cell will autofill based on response",INDEX('AC&amp;M'!$Q$10:$Q$14,MATCH($F70,'AC&amp;M'!$B$10:$B$14,0))),"N/A")</f>
        <v/>
      </c>
      <c r="T70" s="53">
        <f>IFERROR(IF(INDEX('GCE'!$Q$10:$Q$12,MATCH($F70,'GCE'!$B$10:$B$12,0))="","Cell will autofill based on response",INDEX('GCE'!$Q$10:$Q$12,MATCH($F70,'GCE'!$B$10:$B$12,0))),"N/A")</f>
        <v/>
      </c>
      <c r="U70" s="53">
        <f>IFERROR(IF(INDEX('Education'!$Q$10:$Q$13,MATCH($F70,'Education'!$B$10:$B$13,0))="","Cell will autofill based on response",INDEX('Education'!$Q$10:$Q$13,MATCH($F70,'Education'!$B$10:$B$13,0))),"N/A")</f>
        <v/>
      </c>
      <c r="V70" s="53">
        <f>IFERROR(IF(INDEX('SaSS'!$Q$10:$Q$12,MATCH($F70,'SaSS'!$B$10:$B$12,0))="","Cell will autofill based on response",INDEX('SaSS'!$Q$10:$Q$12,MATCH($F70,'SaSS'!$B$10:$B$12,0))),"N/A")</f>
        <v/>
      </c>
      <c r="W70" s="53">
        <f>IFERROR(IF(INDEX('Indigenous'!$Q$10:$Q$11,MATCH($F70,'Indigenous'!$B$10:$B$11,0))="","Cell will autofill based on response",INDEX('Indigenous'!$Q$10:$Q$11,MATCH($F70,'Indigenous'!$B$10:$B$11,0))),"N/A")</f>
        <v/>
      </c>
      <c r="X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IFERROR(IF(INDEX('Faculties'!$L$10:$L$23,MATCH($F71,'Faculties'!$B$10:$B$23,0))="","Cell will autofill based on response",INDEX('Faculties'!$L$10:$L$23,MATCH($F71,'Faculties'!$B$10:$B$23,0))),"N/A")</f>
        <v/>
      </c>
      <c r="I71" s="53">
        <f>IFERROR(IF(INDEX('Faculties'!$L$30:$L$43,MATCH($F71,'Faculties'!$B$30:$B$43,0))="","Cell will autofill based on response",INDEX('Faculties'!$L$30:$L$43,MATCH($F71,'Faculties'!$B$30:$B$43,0))),"N/A")</f>
        <v/>
      </c>
      <c r="J71" s="53">
        <f>IFERROR(IF(INDEX('Faculties'!$L$50:$L$63,MATCH($F71,'Faculties'!$B$50:$B$63,0))="","Cell will autofill based on response",INDEX('Faculties'!$L$50:$L$63,MATCH($F71,'Faculties'!$B$50:$B$63,0))),"N/A")</f>
        <v/>
      </c>
      <c r="K71" s="53">
        <f>IFERROR(IF(INDEX('Faculties'!$L$70:$L$83,MATCH($F71,'Faculties'!$B$70:$B$83,0))="","Cell will autofill based on response",INDEX('Faculties'!$L$70:$L$83,MATCH($F71,'Faculties'!$B$70:$B$83,0))),"N/A")</f>
        <v/>
      </c>
      <c r="L71" s="53">
        <f>IFERROR(IF(INDEX('CI&amp;S'!$L$10:$L$15,MATCH($F71,'CI&amp;S'!$B$10:$B$15,0))="","Cell will autofill based on response",INDEX('CI&amp;S'!$L$10:$L$15,MATCH($F71,'CI&amp;S'!$B$10:$B$15,0))),"N/A")</f>
        <v/>
      </c>
      <c r="M71" s="53">
        <f>IFERROR(IF(INDEX('CI&amp;S'!$L$22:$L$36,MATCH($F71,'CI&amp;S'!$B$22:$B$36,0))="","Cell will autofill based on response",INDEX('CI&amp;S'!$L$22:$L$36,MATCH($F71,'CI&amp;S'!$B$22:$B$36,0))),"N/A")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IFERROR(IF(INDEX('MRE'!$L$10:$L$15,MATCH($F71,'MRE'!$B$10:$B$15,0))="","Cell will autofill based on response",INDEX('MRE'!$L$10:$L$15,MATCH($F71,'MRE'!$B$10:$B$15,0))),"N/A")</f>
        <v/>
      </c>
      <c r="S71" s="53">
        <f>IFERROR(IF(INDEX('AC&amp;M'!$L$10:$L$14,MATCH($F71,'AC&amp;M'!$B$10:$B$14,0))="","Cell will autofill based on response",INDEX('AC&amp;M'!$L$10:$L$14,MATCH($F71,'AC&amp;M'!$B$10:$B$14,0))),"N/A")</f>
        <v/>
      </c>
      <c r="T71" s="53">
        <f>IFERROR(IF(INDEX('GCE'!$L$10:$L$12,MATCH($F71,'GCE'!$B$10:$B$12,0))="","Cell will autofill based on response",INDEX('GCE'!$L$10:$L$12,MATCH($F71,'GCE'!$B$10:$B$12,0))),"N/A")</f>
        <v/>
      </c>
      <c r="U71" s="53">
        <f>IFERROR(IF(INDEX('Education'!$L$10:$L$13,MATCH($F71,'Education'!$B$10:$B$13,0))="","Cell will autofill based on response",INDEX('Education'!$L$10:$L$13,MATCH($F71,'Education'!$B$10:$B$13,0))),"N/A")</f>
        <v/>
      </c>
      <c r="V71" s="53">
        <f>IFERROR(IF(INDEX('SaSS'!$L$10:$L$12,MATCH($F71,'SaSS'!$B$10:$B$12,0))="","Cell will autofill based on response",INDEX('SaSS'!$L$10:$L$12,MATCH($F71,'SaSS'!$B$10:$B$12,0))),"N/A")</f>
        <v/>
      </c>
      <c r="W71" s="53">
        <f>IFERROR(IF(INDEX('Indigenous'!$L$10:$L$11,MATCH($F71,'Indigenous'!$B$10:$B$11,0))="","Cell will autofill based on response",INDEX('Indigenous'!$L$10:$L$11,MATCH($F71,'Indigenous'!$B$10:$B$11,0))),"N/A")</f>
        <v/>
      </c>
      <c r="X71" s="53">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4">
        <f>IF(AF71&gt;0,AE71/AF71,"No valid responses to date")</f>
        <v/>
      </c>
      <c r="AH71" s="10">
        <f>IF(ISNUMBER(AG71),INDEX(Lists!$G$2:$G$5,MATCH(ROUND(AG71,0),Lists!$H$2:$H$5,0)),"")</f>
        <v/>
      </c>
      <c r="AI71" s="55">
        <f>IF(AF71&gt;0,AD71/AF71,"")</f>
        <v/>
      </c>
      <c r="AJ71" s="55">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IFERROR(IF(INDEX('Faculties'!$M$10:$M$23,MATCH($F72,'Faculties'!$B$10:$B$23,0))="","Cell will autofill based on response",INDEX('Faculties'!$M$10:$M$23,MATCH($F72,'Faculties'!$B$10:$B$23,0))),"N/A")</f>
        <v/>
      </c>
      <c r="I72" s="53">
        <f>IFERROR(IF(INDEX('Faculties'!$M$30:$M$43,MATCH($F72,'Faculties'!$B$30:$B$43,0))="","Cell will autofill based on response",INDEX('Faculties'!$M$30:$M$43,MATCH($F72,'Faculties'!$B$30:$B$43,0))),"N/A")</f>
        <v/>
      </c>
      <c r="J72" s="53">
        <f>IFERROR(IF(INDEX('Faculties'!$M$50:$M$63,MATCH($F72,'Faculties'!$B$50:$B$63,0))="","Cell will autofill based on response",INDEX('Faculties'!$M$50:$M$63,MATCH($F72,'Faculties'!$B$50:$B$63,0))),"N/A")</f>
        <v/>
      </c>
      <c r="K72" s="53">
        <f>IFERROR(IF(INDEX('Faculties'!$M$70:$M$83,MATCH($F72,'Faculties'!$B$70:$B$83,0))="","Cell will autofill based on response",INDEX('Faculties'!$M$70:$M$83,MATCH($F72,'Faculties'!$B$70:$B$83,0))),"N/A")</f>
        <v/>
      </c>
      <c r="L72" s="53">
        <f>IFERROR(IF(INDEX('CI&amp;S'!$M$10:$M$15,MATCH($F72,'CI&amp;S'!$B$10:$B$15,0))="","Cell will autofill based on response",INDEX('CI&amp;S'!$M$10:$M$15,MATCH($F72,'CI&amp;S'!$B$10:$B$15,0))),"N/A")</f>
        <v/>
      </c>
      <c r="M72" s="53">
        <f>IFERROR(IF(INDEX('CI&amp;S'!$M$22:$M$36,MATCH($F72,'CI&amp;S'!$B$22:$B$36,0))="","Cell will autofill based on response",INDEX('CI&amp;S'!$M$22:$M$36,MATCH($F72,'CI&amp;S'!$B$22:$B$36,0))),"N/A")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IFERROR(IF(INDEX('MRE'!$M$10:$M$15,MATCH($F72,'MRE'!$B$10:$B$15,0))="","Cell will autofill based on response",INDEX('MRE'!$M$10:$M$15,MATCH($F72,'MRE'!$B$10:$B$15,0))),"N/A")</f>
        <v/>
      </c>
      <c r="S72" s="53">
        <f>IFERROR(IF(INDEX('AC&amp;M'!$M$10:$M$14,MATCH($F72,'AC&amp;M'!$B$10:$B$14,0))="","Cell will autofill based on response",INDEX('AC&amp;M'!$M$10:$M$14,MATCH($F72,'AC&amp;M'!$B$10:$B$14,0))),"N/A")</f>
        <v/>
      </c>
      <c r="T72" s="53">
        <f>IFERROR(IF(INDEX('GCE'!$M$10:$M$12,MATCH($F72,'GCE'!$B$10:$B$12,0))="","Cell will autofill based on response",INDEX('GCE'!$M$10:$M$12,MATCH($F72,'GCE'!$B$10:$B$12,0))),"N/A")</f>
        <v/>
      </c>
      <c r="U72" s="53">
        <f>IFERROR(IF(INDEX('Education'!$M$10:$M$13,MATCH($F72,'Education'!$B$10:$B$13,0))="","Cell will autofill based on response",INDEX('Education'!$M$10:$M$13,MATCH($F72,'Education'!$B$10:$B$13,0))),"N/A")</f>
        <v/>
      </c>
      <c r="V72" s="53">
        <f>IFERROR(IF(INDEX('SaSS'!$M$10:$M$12,MATCH($F72,'SaSS'!$B$10:$B$12,0))="","Cell will autofill based on response",INDEX('SaSS'!$M$10:$M$12,MATCH($F72,'SaSS'!$B$10:$B$12,0))),"N/A")</f>
        <v/>
      </c>
      <c r="W72" s="53">
        <f>IFERROR(IF(INDEX('Indigenous'!$M$10:$M$11,MATCH($F72,'Indigenous'!$B$10:$B$11,0))="","Cell will autofill based on response",INDEX('Indigenous'!$M$10:$M$11,MATCH($F72,'Indigenous'!$B$10:$B$11,0))),"N/A")</f>
        <v/>
      </c>
      <c r="X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IFERROR(IF(INDEX('Faculties'!$N$10:$N$23,MATCH($F73,'Faculties'!$B$10:$B$23,0))="","Cell will autofill based on response",INDEX('Faculties'!$N$10:$N$23,MATCH($F73,'Faculties'!$B$10:$B$23,0))),"N/A")</f>
        <v/>
      </c>
      <c r="I73" s="53">
        <f>IFERROR(IF(INDEX('Faculties'!$N$30:$N$43,MATCH($F73,'Faculties'!$B$30:$B$43,0))="","Cell will autofill based on response",INDEX('Faculties'!$N$30:$N$43,MATCH($F73,'Faculties'!$B$30:$B$43,0))),"N/A")</f>
        <v/>
      </c>
      <c r="J73" s="53">
        <f>IFERROR(IF(INDEX('Faculties'!$N$50:$N$63,MATCH($F73,'Faculties'!$B$50:$B$63,0))="","Cell will autofill based on response",INDEX('Faculties'!$N$50:$N$63,MATCH($F73,'Faculties'!$B$50:$B$63,0))),"N/A")</f>
        <v/>
      </c>
      <c r="K73" s="53">
        <f>IFERROR(IF(INDEX('Faculties'!$N$70:$N$83,MATCH($F73,'Faculties'!$B$70:$B$83,0))="","Cell will autofill based on response",INDEX('Faculties'!$N$70:$N$83,MATCH($F73,'Faculties'!$B$70:$B$83,0))),"N/A")</f>
        <v/>
      </c>
      <c r="L73" s="53">
        <f>IFERROR(IF(INDEX('CI&amp;S'!$N$10:$N$15,MATCH($F73,'CI&amp;S'!$B$10:$B$15,0))="","Cell will autofill based on response",INDEX('CI&amp;S'!$N$10:$N$15,MATCH($F73,'CI&amp;S'!$B$10:$B$15,0))),"N/A")</f>
        <v/>
      </c>
      <c r="M73" s="53">
        <f>IFERROR(IF(INDEX('CI&amp;S'!$N$22:$N$36,MATCH($F73,'CI&amp;S'!$B$22:$B$36,0))="","Cell will autofill based on response",INDEX('CI&amp;S'!$N$22:$N$36,MATCH($F73,'CI&amp;S'!$B$22:$B$36,0))),"N/A")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IFERROR(IF(INDEX('MRE'!$N$10:$N$15,MATCH($F73,'MRE'!$B$10:$B$15,0))="","Cell will autofill based on response",INDEX('MRE'!$N$10:$N$15,MATCH($F73,'MRE'!$B$10:$B$15,0))),"N/A")</f>
        <v/>
      </c>
      <c r="S73" s="53">
        <f>IFERROR(IF(INDEX('AC&amp;M'!$N$10:$N$14,MATCH($F73,'AC&amp;M'!$B$10:$B$14,0))="","Cell will autofill based on response",INDEX('AC&amp;M'!$N$10:$N$14,MATCH($F73,'AC&amp;M'!$B$10:$B$14,0))),"N/A")</f>
        <v/>
      </c>
      <c r="T73" s="53">
        <f>IFERROR(IF(INDEX('GCE'!$N$10:$N$12,MATCH($F73,'GCE'!$B$10:$B$12,0))="","Cell will autofill based on response",INDEX('GCE'!$N$10:$N$12,MATCH($F73,'GCE'!$B$10:$B$12,0))),"N/A")</f>
        <v/>
      </c>
      <c r="U73" s="53">
        <f>IFERROR(IF(INDEX('Education'!$N$10:$N$13,MATCH($F73,'Education'!$B$10:$B$13,0))="","Cell will autofill based on response",INDEX('Education'!$N$10:$N$13,MATCH($F73,'Education'!$B$10:$B$13,0))),"N/A")</f>
        <v/>
      </c>
      <c r="V73" s="53">
        <f>IFERROR(IF(INDEX('SaSS'!$N$10:$N$12,MATCH($F73,'SaSS'!$B$10:$B$12,0))="","Cell will autofill based on response",INDEX('SaSS'!$N$10:$N$12,MATCH($F73,'SaSS'!$B$10:$B$12,0))),"N/A")</f>
        <v/>
      </c>
      <c r="W73" s="53">
        <f>IFERROR(IF(INDEX('Indigenous'!$N$10:$N$11,MATCH($F73,'Indigenous'!$B$10:$B$11,0))="","Cell will autofill based on response",INDEX('Indigenous'!$N$10:$N$11,MATCH($F73,'Indigenous'!$B$10:$B$11,0))),"N/A")</f>
        <v/>
      </c>
      <c r="X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IFERROR(IF(INDEX('Faculties'!$O$10:$O$23,MATCH($F74,'Faculties'!$B$10:$B$23,0))="","Cell will autofill based on response",INDEX('Faculties'!$O$10:$O$23,MATCH($F74,'Faculties'!$B$10:$B$23,0))),"N/A")</f>
        <v/>
      </c>
      <c r="I74" s="53">
        <f>IFERROR(IF(INDEX('Faculties'!$O$30:$O$43,MATCH($F74,'Faculties'!$B$30:$B$43,0))="","Cell will autofill based on response",INDEX('Faculties'!$O$30:$O$43,MATCH($F74,'Faculties'!$B$30:$B$43,0))),"N/A")</f>
        <v/>
      </c>
      <c r="J74" s="53">
        <f>IFERROR(IF(INDEX('Faculties'!$O$50:$O$63,MATCH($F74,'Faculties'!$B$50:$B$63,0))="","Cell will autofill based on response",INDEX('Faculties'!$O$50:$O$63,MATCH($F74,'Faculties'!$B$50:$B$63,0))),"N/A")</f>
        <v/>
      </c>
      <c r="K74" s="53">
        <f>IFERROR(IF(INDEX('Faculties'!$O$70:$O$83,MATCH($F74,'Faculties'!$B$70:$B$83,0))="","Cell will autofill based on response",INDEX('Faculties'!$O$70:$O$83,MATCH($F74,'Faculties'!$B$70:$B$83,0))),"N/A")</f>
        <v/>
      </c>
      <c r="L74" s="53">
        <f>IFERROR(IF(INDEX('CI&amp;S'!$O$10:$O$15,MATCH($F74,'CI&amp;S'!$B$10:$B$15,0))="","Cell will autofill based on response",INDEX('CI&amp;S'!$O$10:$O$15,MATCH($F74,'CI&amp;S'!$B$10:$B$15,0))),"N/A")</f>
        <v/>
      </c>
      <c r="M74" s="53">
        <f>IFERROR(IF(INDEX('CI&amp;S'!$O$22:$O$36,MATCH($F74,'CI&amp;S'!$B$22:$B$36,0))="","Cell will autofill based on response",INDEX('CI&amp;S'!$O$22:$O$36,MATCH($F74,'CI&amp;S'!$B$22:$B$36,0))),"N/A")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IFERROR(IF(INDEX('MRE'!$O$10:$O$15,MATCH($F74,'MRE'!$B$10:$B$15,0))="","Cell will autofill based on response",INDEX('MRE'!$O$10:$O$15,MATCH($F74,'MRE'!$B$10:$B$15,0))),"N/A")</f>
        <v/>
      </c>
      <c r="S74" s="53">
        <f>IFERROR(IF(INDEX('AC&amp;M'!$O$10:$O$14,MATCH($F74,'AC&amp;M'!$B$10:$B$14,0))="","Cell will autofill based on response",INDEX('AC&amp;M'!$O$10:$O$14,MATCH($F74,'AC&amp;M'!$B$10:$B$14,0))),"N/A")</f>
        <v/>
      </c>
      <c r="T74" s="53">
        <f>IFERROR(IF(INDEX('GCE'!$O$10:$O$12,MATCH($F74,'GCE'!$B$10:$B$12,0))="","Cell will autofill based on response",INDEX('GCE'!$O$10:$O$12,MATCH($F74,'GCE'!$B$10:$B$12,0))),"N/A")</f>
        <v/>
      </c>
      <c r="U74" s="53">
        <f>IFERROR(IF(INDEX('Education'!$O$10:$O$13,MATCH($F74,'Education'!$B$10:$B$13,0))="","Cell will autofill based on response",INDEX('Education'!$O$10:$O$13,MATCH($F74,'Education'!$B$10:$B$13,0))),"N/A")</f>
        <v/>
      </c>
      <c r="V74" s="53">
        <f>IFERROR(IF(INDEX('SaSS'!$O$10:$O$12,MATCH($F74,'SaSS'!$B$10:$B$12,0))="","Cell will autofill based on response",INDEX('SaSS'!$O$10:$O$12,MATCH($F74,'SaSS'!$B$10:$B$12,0))),"N/A")</f>
        <v/>
      </c>
      <c r="W74" s="53">
        <f>IFERROR(IF(INDEX('Indigenous'!$O$10:$O$11,MATCH($F74,'Indigenous'!$B$10:$B$11,0))="","Cell will autofill based on response",INDEX('Indigenous'!$O$10:$O$11,MATCH($F74,'Indigenous'!$B$10:$B$11,0))),"N/A")</f>
        <v/>
      </c>
      <c r="X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IFERROR(IF(INDEX('Faculties'!$P$10:$P$23,MATCH($F75,'Faculties'!$B$10:$B$23,0))="","Cell will autofill based on response",INDEX('Faculties'!$P$10:$P$23,MATCH($F75,'Faculties'!$B$10:$B$23,0))),"N/A")</f>
        <v/>
      </c>
      <c r="I75" s="53">
        <f>IFERROR(IF(INDEX('Faculties'!$P$30:$P$43,MATCH($F75,'Faculties'!$B$30:$B$43,0))="","Cell will autofill based on response",INDEX('Faculties'!$P$30:$P$43,MATCH($F75,'Faculties'!$B$30:$B$43,0))),"N/A")</f>
        <v/>
      </c>
      <c r="J75" s="53">
        <f>IFERROR(IF(INDEX('Faculties'!$P$50:$P$63,MATCH($F75,'Faculties'!$B$50:$B$63,0))="","Cell will autofill based on response",INDEX('Faculties'!$P$50:$P$63,MATCH($F75,'Faculties'!$B$50:$B$63,0))),"N/A")</f>
        <v/>
      </c>
      <c r="K75" s="53">
        <f>IFERROR(IF(INDEX('Faculties'!$P$70:$P$83,MATCH($F75,'Faculties'!$B$70:$B$83,0))="","Cell will autofill based on response",INDEX('Faculties'!$P$70:$P$83,MATCH($F75,'Faculties'!$B$70:$B$83,0))),"N/A")</f>
        <v/>
      </c>
      <c r="L75" s="53">
        <f>IFERROR(IF(INDEX('CI&amp;S'!$P$10:$P$15,MATCH($F75,'CI&amp;S'!$B$10:$B$15,0))="","Cell will autofill based on response",INDEX('CI&amp;S'!$P$10:$P$15,MATCH($F75,'CI&amp;S'!$B$10:$B$15,0))),"N/A")</f>
        <v/>
      </c>
      <c r="M75" s="53">
        <f>IFERROR(IF(INDEX('CI&amp;S'!$P$22:$P$36,MATCH($F75,'CI&amp;S'!$B$22:$B$36,0))="","Cell will autofill based on response",INDEX('CI&amp;S'!$P$22:$P$36,MATCH($F75,'CI&amp;S'!$B$22:$B$36,0))),"N/A")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IFERROR(IF(INDEX('MRE'!$P$10:$P$15,MATCH($F75,'MRE'!$B$10:$B$15,0))="","Cell will autofill based on response",INDEX('MRE'!$P$10:$P$15,MATCH($F75,'MRE'!$B$10:$B$15,0))),"N/A")</f>
        <v/>
      </c>
      <c r="S75" s="53">
        <f>IFERROR(IF(INDEX('AC&amp;M'!$P$10:$P$14,MATCH($F75,'AC&amp;M'!$B$10:$B$14,0))="","Cell will autofill based on response",INDEX('AC&amp;M'!$P$10:$P$14,MATCH($F75,'AC&amp;M'!$B$10:$B$14,0))),"N/A")</f>
        <v/>
      </c>
      <c r="T75" s="53">
        <f>IFERROR(IF(INDEX('GCE'!$P$10:$P$12,MATCH($F75,'GCE'!$B$10:$B$12,0))="","Cell will autofill based on response",INDEX('GCE'!$P$10:$P$12,MATCH($F75,'GCE'!$B$10:$B$12,0))),"N/A")</f>
        <v/>
      </c>
      <c r="U75" s="53">
        <f>IFERROR(IF(INDEX('Education'!$P$10:$P$13,MATCH($F75,'Education'!$B$10:$B$13,0))="","Cell will autofill based on response",INDEX('Education'!$P$10:$P$13,MATCH($F75,'Education'!$B$10:$B$13,0))),"N/A")</f>
        <v/>
      </c>
      <c r="V75" s="53">
        <f>IFERROR(IF(INDEX('SaSS'!$P$10:$P$12,MATCH($F75,'SaSS'!$B$10:$B$12,0))="","Cell will autofill based on response",INDEX('SaSS'!$P$10:$P$12,MATCH($F75,'SaSS'!$B$10:$B$12,0))),"N/A")</f>
        <v/>
      </c>
      <c r="W75" s="53">
        <f>IFERROR(IF(INDEX('Indigenous'!$P$10:$P$11,MATCH($F75,'Indigenous'!$B$10:$B$11,0))="","Cell will autofill based on response",INDEX('Indigenous'!$P$10:$P$11,MATCH($F75,'Indigenous'!$B$10:$B$11,0))),"N/A")</f>
        <v/>
      </c>
      <c r="X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IFERROR(IF(INDEX('Faculties'!$Q$10:$Q$23,MATCH($F76,'Faculties'!$B$10:$B$23,0))="","Cell will autofill based on response",INDEX('Faculties'!$Q$10:$Q$23,MATCH($F76,'Faculties'!$B$10:$B$23,0))),"N/A")</f>
        <v/>
      </c>
      <c r="I76" s="53">
        <f>IFERROR(IF(INDEX('Faculties'!$Q$30:$Q$43,MATCH($F76,'Faculties'!$B$30:$B$43,0))="","Cell will autofill based on response",INDEX('Faculties'!$Q$30:$Q$43,MATCH($F76,'Faculties'!$B$30:$B$43,0))),"N/A")</f>
        <v/>
      </c>
      <c r="J76" s="53">
        <f>IFERROR(IF(INDEX('Faculties'!$Q$50:$Q$63,MATCH($F76,'Faculties'!$B$50:$B$63,0))="","Cell will autofill based on response",INDEX('Faculties'!$Q$50:$Q$63,MATCH($F76,'Faculties'!$B$50:$B$63,0))),"N/A")</f>
        <v/>
      </c>
      <c r="K76" s="53">
        <f>IFERROR(IF(INDEX('Faculties'!$Q$70:$Q$83,MATCH($F76,'Faculties'!$B$70:$B$83,0))="","Cell will autofill based on response",INDEX('Faculties'!$Q$70:$Q$83,MATCH($F76,'Faculties'!$B$70:$B$83,0))),"N/A")</f>
        <v/>
      </c>
      <c r="L76" s="53">
        <f>IFERROR(IF(INDEX('CI&amp;S'!$Q$10:$Q$15,MATCH($F76,'CI&amp;S'!$B$10:$B$15,0))="","Cell will autofill based on response",INDEX('CI&amp;S'!$Q$10:$Q$15,MATCH($F76,'CI&amp;S'!$B$10:$B$15,0))),"N/A")</f>
        <v/>
      </c>
      <c r="M76" s="53">
        <f>IFERROR(IF(INDEX('CI&amp;S'!$Q$22:$Q$36,MATCH($F76,'CI&amp;S'!$B$22:$B$36,0))="","Cell will autofill based on response",INDEX('CI&amp;S'!$Q$22:$Q$36,MATCH($F76,'CI&amp;S'!$B$22:$B$36,0))),"N/A")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IFERROR(IF(INDEX('MRE'!$Q$10:$Q$15,MATCH($F76,'MRE'!$B$10:$B$15,0))="","Cell will autofill based on response",INDEX('MRE'!$Q$10:$Q$15,MATCH($F76,'MRE'!$B$10:$B$15,0))),"N/A")</f>
        <v/>
      </c>
      <c r="S76" s="53">
        <f>IFERROR(IF(INDEX('AC&amp;M'!$Q$10:$Q$14,MATCH($F76,'AC&amp;M'!$B$10:$B$14,0))="","Cell will autofill based on response",INDEX('AC&amp;M'!$Q$10:$Q$14,MATCH($F76,'AC&amp;M'!$B$10:$B$14,0))),"N/A")</f>
        <v/>
      </c>
      <c r="T76" s="53">
        <f>IFERROR(IF(INDEX('GCE'!$Q$10:$Q$12,MATCH($F76,'GCE'!$B$10:$B$12,0))="","Cell will autofill based on response",INDEX('GCE'!$Q$10:$Q$12,MATCH($F76,'GCE'!$B$10:$B$12,0))),"N/A")</f>
        <v/>
      </c>
      <c r="U76" s="53">
        <f>IFERROR(IF(INDEX('Education'!$Q$10:$Q$13,MATCH($F76,'Education'!$B$10:$B$13,0))="","Cell will autofill based on response",INDEX('Education'!$Q$10:$Q$13,MATCH($F76,'Education'!$B$10:$B$13,0))),"N/A")</f>
        <v/>
      </c>
      <c r="V76" s="53">
        <f>IFERROR(IF(INDEX('SaSS'!$Q$10:$Q$12,MATCH($F76,'SaSS'!$B$10:$B$12,0))="","Cell will autofill based on response",INDEX('SaSS'!$Q$10:$Q$12,MATCH($F76,'SaSS'!$B$10:$B$12,0))),"N/A")</f>
        <v/>
      </c>
      <c r="W76" s="53">
        <f>IFERROR(IF(INDEX('Indigenous'!$Q$10:$Q$11,MATCH($F76,'Indigenous'!$B$10:$B$11,0))="","Cell will autofill based on response",INDEX('Indigenous'!$Q$10:$Q$11,MATCH($F76,'Indigenous'!$B$10:$B$11,0))),"N/A")</f>
        <v/>
      </c>
      <c r="X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IFERROR(IF(INDEX('Faculties'!$L$10:$L$23,MATCH($F77,'Faculties'!$B$10:$B$23,0))="","Cell will autofill based on response",INDEX('Faculties'!$L$10:$L$23,MATCH($F77,'Faculties'!$B$10:$B$23,0))),"N/A")</f>
        <v/>
      </c>
      <c r="I77" s="53">
        <f>IFERROR(IF(INDEX('Faculties'!$L$30:$L$43,MATCH($F77,'Faculties'!$B$30:$B$43,0))="","Cell will autofill based on response",INDEX('Faculties'!$L$30:$L$43,MATCH($F77,'Faculties'!$B$30:$B$43,0))),"N/A")</f>
        <v/>
      </c>
      <c r="J77" s="53">
        <f>IFERROR(IF(INDEX('Faculties'!$L$50:$L$63,MATCH($F77,'Faculties'!$B$50:$B$63,0))="","Cell will autofill based on response",INDEX('Faculties'!$L$50:$L$63,MATCH($F77,'Faculties'!$B$50:$B$63,0))),"N/A")</f>
        <v/>
      </c>
      <c r="K77" s="53">
        <f>IFERROR(IF(INDEX('Faculties'!$L$70:$L$83,MATCH($F77,'Faculties'!$B$70:$B$83,0))="","Cell will autofill based on response",INDEX('Faculties'!$L$70:$L$83,MATCH($F77,'Faculties'!$B$70:$B$83,0))),"N/A")</f>
        <v/>
      </c>
      <c r="L77" s="53">
        <f>IFERROR(IF(INDEX('CI&amp;S'!$L$10:$L$15,MATCH($F77,'CI&amp;S'!$B$10:$B$15,0))="","Cell will autofill based on response",INDEX('CI&amp;S'!$L$10:$L$15,MATCH($F77,'CI&amp;S'!$B$10:$B$15,0))),"N/A")</f>
        <v/>
      </c>
      <c r="M77" s="53">
        <f>IFERROR(IF(INDEX('CI&amp;S'!$L$22:$L$36,MATCH($F77,'CI&amp;S'!$B$22:$B$36,0))="","Cell will autofill based on response",INDEX('CI&amp;S'!$L$22:$L$36,MATCH($F77,'CI&amp;S'!$B$22:$B$36,0))),"N/A")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IFERROR(IF(INDEX('MRE'!$L$10:$L$15,MATCH($F77,'MRE'!$B$10:$B$15,0))="","Cell will autofill based on response",INDEX('MRE'!$L$10:$L$15,MATCH($F77,'MRE'!$B$10:$B$15,0))),"N/A")</f>
        <v/>
      </c>
      <c r="S77" s="53">
        <f>IFERROR(IF(INDEX('AC&amp;M'!$L$10:$L$14,MATCH($F77,'AC&amp;M'!$B$10:$B$14,0))="","Cell will autofill based on response",INDEX('AC&amp;M'!$L$10:$L$14,MATCH($F77,'AC&amp;M'!$B$10:$B$14,0))),"N/A")</f>
        <v/>
      </c>
      <c r="T77" s="53">
        <f>IFERROR(IF(INDEX('GCE'!$L$10:$L$12,MATCH($F77,'GCE'!$B$10:$B$12,0))="","Cell will autofill based on response",INDEX('GCE'!$L$10:$L$12,MATCH($F77,'GCE'!$B$10:$B$12,0))),"N/A")</f>
        <v/>
      </c>
      <c r="U77" s="53">
        <f>IFERROR(IF(INDEX('Education'!$L$10:$L$13,MATCH($F77,'Education'!$B$10:$B$13,0))="","Cell will autofill based on response",INDEX('Education'!$L$10:$L$13,MATCH($F77,'Education'!$B$10:$B$13,0))),"N/A")</f>
        <v/>
      </c>
      <c r="V77" s="53">
        <f>IFERROR(IF(INDEX('SaSS'!$L$10:$L$12,MATCH($F77,'SaSS'!$B$10:$B$12,0))="","Cell will autofill based on response",INDEX('SaSS'!$L$10:$L$12,MATCH($F77,'SaSS'!$B$10:$B$12,0))),"N/A")</f>
        <v/>
      </c>
      <c r="W77" s="53">
        <f>IFERROR(IF(INDEX('Indigenous'!$L$10:$L$11,MATCH($F77,'Indigenous'!$B$10:$B$11,0))="","Cell will autofill based on response",INDEX('Indigenous'!$L$10:$L$11,MATCH($F77,'Indigenous'!$B$10:$B$11,0))),"N/A")</f>
        <v/>
      </c>
      <c r="X77" s="53">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4">
        <f>IF(AF77&gt;0,AE77/AF77,"No valid responses to date")</f>
        <v/>
      </c>
      <c r="AH77" s="10">
        <f>IF(ISNUMBER(AG77),INDEX(Lists!$G$2:$G$5,MATCH(ROUND(AG77,0),Lists!$H$2:$H$5,0)),"")</f>
        <v/>
      </c>
      <c r="AI77" s="55">
        <f>IF(AF77&gt;0,AD77/AF77,"")</f>
        <v/>
      </c>
      <c r="AJ77" s="55">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IFERROR(IF(INDEX('Faculties'!$M$10:$M$23,MATCH($F78,'Faculties'!$B$10:$B$23,0))="","Cell will autofill based on response",INDEX('Faculties'!$M$10:$M$23,MATCH($F78,'Faculties'!$B$10:$B$23,0))),"N/A")</f>
        <v/>
      </c>
      <c r="I78" s="53">
        <f>IFERROR(IF(INDEX('Faculties'!$M$30:$M$43,MATCH($F78,'Faculties'!$B$30:$B$43,0))="","Cell will autofill based on response",INDEX('Faculties'!$M$30:$M$43,MATCH($F78,'Faculties'!$B$30:$B$43,0))),"N/A")</f>
        <v/>
      </c>
      <c r="J78" s="53">
        <f>IFERROR(IF(INDEX('Faculties'!$M$50:$M$63,MATCH($F78,'Faculties'!$B$50:$B$63,0))="","Cell will autofill based on response",INDEX('Faculties'!$M$50:$M$63,MATCH($F78,'Faculties'!$B$50:$B$63,0))),"N/A")</f>
        <v/>
      </c>
      <c r="K78" s="53">
        <f>IFERROR(IF(INDEX('Faculties'!$M$70:$M$83,MATCH($F78,'Faculties'!$B$70:$B$83,0))="","Cell will autofill based on response",INDEX('Faculties'!$M$70:$M$83,MATCH($F78,'Faculties'!$B$70:$B$83,0))),"N/A")</f>
        <v/>
      </c>
      <c r="L78" s="53">
        <f>IFERROR(IF(INDEX('CI&amp;S'!$M$10:$M$15,MATCH($F78,'CI&amp;S'!$B$10:$B$15,0))="","Cell will autofill based on response",INDEX('CI&amp;S'!$M$10:$M$15,MATCH($F78,'CI&amp;S'!$B$10:$B$15,0))),"N/A")</f>
        <v/>
      </c>
      <c r="M78" s="53">
        <f>IFERROR(IF(INDEX('CI&amp;S'!$M$22:$M$36,MATCH($F78,'CI&amp;S'!$B$22:$B$36,0))="","Cell will autofill based on response",INDEX('CI&amp;S'!$M$22:$M$36,MATCH($F78,'CI&amp;S'!$B$22:$B$36,0))),"N/A")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IFERROR(IF(INDEX('MRE'!$M$10:$M$15,MATCH($F78,'MRE'!$B$10:$B$15,0))="","Cell will autofill based on response",INDEX('MRE'!$M$10:$M$15,MATCH($F78,'MRE'!$B$10:$B$15,0))),"N/A")</f>
        <v/>
      </c>
      <c r="S78" s="53">
        <f>IFERROR(IF(INDEX('AC&amp;M'!$M$10:$M$14,MATCH($F78,'AC&amp;M'!$B$10:$B$14,0))="","Cell will autofill based on response",INDEX('AC&amp;M'!$M$10:$M$14,MATCH($F78,'AC&amp;M'!$B$10:$B$14,0))),"N/A")</f>
        <v/>
      </c>
      <c r="T78" s="53">
        <f>IFERROR(IF(INDEX('GCE'!$M$10:$M$12,MATCH($F78,'GCE'!$B$10:$B$12,0))="","Cell will autofill based on response",INDEX('GCE'!$M$10:$M$12,MATCH($F78,'GCE'!$B$10:$B$12,0))),"N/A")</f>
        <v/>
      </c>
      <c r="U78" s="53">
        <f>IFERROR(IF(INDEX('Education'!$M$10:$M$13,MATCH($F78,'Education'!$B$10:$B$13,0))="","Cell will autofill based on response",INDEX('Education'!$M$10:$M$13,MATCH($F78,'Education'!$B$10:$B$13,0))),"N/A")</f>
        <v/>
      </c>
      <c r="V78" s="53">
        <f>IFERROR(IF(INDEX('SaSS'!$M$10:$M$12,MATCH($F78,'SaSS'!$B$10:$B$12,0))="","Cell will autofill based on response",INDEX('SaSS'!$M$10:$M$12,MATCH($F78,'SaSS'!$B$10:$B$12,0))),"N/A")</f>
        <v/>
      </c>
      <c r="W78" s="53">
        <f>IFERROR(IF(INDEX('Indigenous'!$M$10:$M$11,MATCH($F78,'Indigenous'!$B$10:$B$11,0))="","Cell will autofill based on response",INDEX('Indigenous'!$M$10:$M$11,MATCH($F78,'Indigenous'!$B$10:$B$11,0))),"N/A")</f>
        <v/>
      </c>
      <c r="X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IFERROR(IF(INDEX('Faculties'!$N$10:$N$23,MATCH($F79,'Faculties'!$B$10:$B$23,0))="","Cell will autofill based on response",INDEX('Faculties'!$N$10:$N$23,MATCH($F79,'Faculties'!$B$10:$B$23,0))),"N/A")</f>
        <v/>
      </c>
      <c r="I79" s="53">
        <f>IFERROR(IF(INDEX('Faculties'!$N$30:$N$43,MATCH($F79,'Faculties'!$B$30:$B$43,0))="","Cell will autofill based on response",INDEX('Faculties'!$N$30:$N$43,MATCH($F79,'Faculties'!$B$30:$B$43,0))),"N/A")</f>
        <v/>
      </c>
      <c r="J79" s="53">
        <f>IFERROR(IF(INDEX('Faculties'!$N$50:$N$63,MATCH($F79,'Faculties'!$B$50:$B$63,0))="","Cell will autofill based on response",INDEX('Faculties'!$N$50:$N$63,MATCH($F79,'Faculties'!$B$50:$B$63,0))),"N/A")</f>
        <v/>
      </c>
      <c r="K79" s="53">
        <f>IFERROR(IF(INDEX('Faculties'!$N$70:$N$83,MATCH($F79,'Faculties'!$B$70:$B$83,0))="","Cell will autofill based on response",INDEX('Faculties'!$N$70:$N$83,MATCH($F79,'Faculties'!$B$70:$B$83,0))),"N/A")</f>
        <v/>
      </c>
      <c r="L79" s="53">
        <f>IFERROR(IF(INDEX('CI&amp;S'!$N$10:$N$15,MATCH($F79,'CI&amp;S'!$B$10:$B$15,0))="","Cell will autofill based on response",INDEX('CI&amp;S'!$N$10:$N$15,MATCH($F79,'CI&amp;S'!$B$10:$B$15,0))),"N/A")</f>
        <v/>
      </c>
      <c r="M79" s="53">
        <f>IFERROR(IF(INDEX('CI&amp;S'!$N$22:$N$36,MATCH($F79,'CI&amp;S'!$B$22:$B$36,0))="","Cell will autofill based on response",INDEX('CI&amp;S'!$N$22:$N$36,MATCH($F79,'CI&amp;S'!$B$22:$B$36,0))),"N/A")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IFERROR(IF(INDEX('MRE'!$N$10:$N$15,MATCH($F79,'MRE'!$B$10:$B$15,0))="","Cell will autofill based on response",INDEX('MRE'!$N$10:$N$15,MATCH($F79,'MRE'!$B$10:$B$15,0))),"N/A")</f>
        <v/>
      </c>
      <c r="S79" s="53">
        <f>IFERROR(IF(INDEX('AC&amp;M'!$N$10:$N$14,MATCH($F79,'AC&amp;M'!$B$10:$B$14,0))="","Cell will autofill based on response",INDEX('AC&amp;M'!$N$10:$N$14,MATCH($F79,'AC&amp;M'!$B$10:$B$14,0))),"N/A")</f>
        <v/>
      </c>
      <c r="T79" s="53">
        <f>IFERROR(IF(INDEX('GCE'!$N$10:$N$12,MATCH($F79,'GCE'!$B$10:$B$12,0))="","Cell will autofill based on response",INDEX('GCE'!$N$10:$N$12,MATCH($F79,'GCE'!$B$10:$B$12,0))),"N/A")</f>
        <v/>
      </c>
      <c r="U79" s="53">
        <f>IFERROR(IF(INDEX('Education'!$N$10:$N$13,MATCH($F79,'Education'!$B$10:$B$13,0))="","Cell will autofill based on response",INDEX('Education'!$N$10:$N$13,MATCH($F79,'Education'!$B$10:$B$13,0))),"N/A")</f>
        <v/>
      </c>
      <c r="V79" s="53">
        <f>IFERROR(IF(INDEX('SaSS'!$N$10:$N$12,MATCH($F79,'SaSS'!$B$10:$B$12,0))="","Cell will autofill based on response",INDEX('SaSS'!$N$10:$N$12,MATCH($F79,'SaSS'!$B$10:$B$12,0))),"N/A")</f>
        <v/>
      </c>
      <c r="W79" s="53">
        <f>IFERROR(IF(INDEX('Indigenous'!$N$10:$N$11,MATCH($F79,'Indigenous'!$B$10:$B$11,0))="","Cell will autofill based on response",INDEX('Indigenous'!$N$10:$N$11,MATCH($F79,'Indigenous'!$B$10:$B$11,0))),"N/A")</f>
        <v/>
      </c>
      <c r="X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IFERROR(IF(INDEX('Faculties'!$O$10:$O$23,MATCH($F80,'Faculties'!$B$10:$B$23,0))="","Cell will autofill based on response",INDEX('Faculties'!$O$10:$O$23,MATCH($F80,'Faculties'!$B$10:$B$23,0))),"N/A")</f>
        <v/>
      </c>
      <c r="I80" s="53">
        <f>IFERROR(IF(INDEX('Faculties'!$O$30:$O$43,MATCH($F80,'Faculties'!$B$30:$B$43,0))="","Cell will autofill based on response",INDEX('Faculties'!$O$30:$O$43,MATCH($F80,'Faculties'!$B$30:$B$43,0))),"N/A")</f>
        <v/>
      </c>
      <c r="J80" s="53">
        <f>IFERROR(IF(INDEX('Faculties'!$O$50:$O$63,MATCH($F80,'Faculties'!$B$50:$B$63,0))="","Cell will autofill based on response",INDEX('Faculties'!$O$50:$O$63,MATCH($F80,'Faculties'!$B$50:$B$63,0))),"N/A")</f>
        <v/>
      </c>
      <c r="K80" s="53">
        <f>IFERROR(IF(INDEX('Faculties'!$O$70:$O$83,MATCH($F80,'Faculties'!$B$70:$B$83,0))="","Cell will autofill based on response",INDEX('Faculties'!$O$70:$O$83,MATCH($F80,'Faculties'!$B$70:$B$83,0))),"N/A")</f>
        <v/>
      </c>
      <c r="L80" s="53">
        <f>IFERROR(IF(INDEX('CI&amp;S'!$O$10:$O$15,MATCH($F80,'CI&amp;S'!$B$10:$B$15,0))="","Cell will autofill based on response",INDEX('CI&amp;S'!$O$10:$O$15,MATCH($F80,'CI&amp;S'!$B$10:$B$15,0))),"N/A")</f>
        <v/>
      </c>
      <c r="M80" s="53">
        <f>IFERROR(IF(INDEX('CI&amp;S'!$O$22:$O$36,MATCH($F80,'CI&amp;S'!$B$22:$B$36,0))="","Cell will autofill based on response",INDEX('CI&amp;S'!$O$22:$O$36,MATCH($F80,'CI&amp;S'!$B$22:$B$36,0))),"N/A")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IFERROR(IF(INDEX('MRE'!$O$10:$O$15,MATCH($F80,'MRE'!$B$10:$B$15,0))="","Cell will autofill based on response",INDEX('MRE'!$O$10:$O$15,MATCH($F80,'MRE'!$B$10:$B$15,0))),"N/A")</f>
        <v/>
      </c>
      <c r="S80" s="53">
        <f>IFERROR(IF(INDEX('AC&amp;M'!$O$10:$O$14,MATCH($F80,'AC&amp;M'!$B$10:$B$14,0))="","Cell will autofill based on response",INDEX('AC&amp;M'!$O$10:$O$14,MATCH($F80,'AC&amp;M'!$B$10:$B$14,0))),"N/A")</f>
        <v/>
      </c>
      <c r="T80" s="53">
        <f>IFERROR(IF(INDEX('GCE'!$O$10:$O$12,MATCH($F80,'GCE'!$B$10:$B$12,0))="","Cell will autofill based on response",INDEX('GCE'!$O$10:$O$12,MATCH($F80,'GCE'!$B$10:$B$12,0))),"N/A")</f>
        <v/>
      </c>
      <c r="U80" s="53">
        <f>IFERROR(IF(INDEX('Education'!$O$10:$O$13,MATCH($F80,'Education'!$B$10:$B$13,0))="","Cell will autofill based on response",INDEX('Education'!$O$10:$O$13,MATCH($F80,'Education'!$B$10:$B$13,0))),"N/A")</f>
        <v/>
      </c>
      <c r="V80" s="53">
        <f>IFERROR(IF(INDEX('SaSS'!$O$10:$O$12,MATCH($F80,'SaSS'!$B$10:$B$12,0))="","Cell will autofill based on response",INDEX('SaSS'!$O$10:$O$12,MATCH($F80,'SaSS'!$B$10:$B$12,0))),"N/A")</f>
        <v/>
      </c>
      <c r="W80" s="53">
        <f>IFERROR(IF(INDEX('Indigenous'!$O$10:$O$11,MATCH($F80,'Indigenous'!$B$10:$B$11,0))="","Cell will autofill based on response",INDEX('Indigenous'!$O$10:$O$11,MATCH($F80,'Indigenous'!$B$10:$B$11,0))),"N/A")</f>
        <v/>
      </c>
      <c r="X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IFERROR(IF(INDEX('Faculties'!$P$10:$P$23,MATCH($F81,'Faculties'!$B$10:$B$23,0))="","Cell will autofill based on response",INDEX('Faculties'!$P$10:$P$23,MATCH($F81,'Faculties'!$B$10:$B$23,0))),"N/A")</f>
        <v/>
      </c>
      <c r="I81" s="53">
        <f>IFERROR(IF(INDEX('Faculties'!$P$30:$P$43,MATCH($F81,'Faculties'!$B$30:$B$43,0))="","Cell will autofill based on response",INDEX('Faculties'!$P$30:$P$43,MATCH($F81,'Faculties'!$B$30:$B$43,0))),"N/A")</f>
        <v/>
      </c>
      <c r="J81" s="53">
        <f>IFERROR(IF(INDEX('Faculties'!$P$50:$P$63,MATCH($F81,'Faculties'!$B$50:$B$63,0))="","Cell will autofill based on response",INDEX('Faculties'!$P$50:$P$63,MATCH($F81,'Faculties'!$B$50:$B$63,0))),"N/A")</f>
        <v/>
      </c>
      <c r="K81" s="53">
        <f>IFERROR(IF(INDEX('Faculties'!$P$70:$P$83,MATCH($F81,'Faculties'!$B$70:$B$83,0))="","Cell will autofill based on response",INDEX('Faculties'!$P$70:$P$83,MATCH($F81,'Faculties'!$B$70:$B$83,0))),"N/A")</f>
        <v/>
      </c>
      <c r="L81" s="53">
        <f>IFERROR(IF(INDEX('CI&amp;S'!$P$10:$P$15,MATCH($F81,'CI&amp;S'!$B$10:$B$15,0))="","Cell will autofill based on response",INDEX('CI&amp;S'!$P$10:$P$15,MATCH($F81,'CI&amp;S'!$B$10:$B$15,0))),"N/A")</f>
        <v/>
      </c>
      <c r="M81" s="53">
        <f>IFERROR(IF(INDEX('CI&amp;S'!$P$22:$P$36,MATCH($F81,'CI&amp;S'!$B$22:$B$36,0))="","Cell will autofill based on response",INDEX('CI&amp;S'!$P$22:$P$36,MATCH($F81,'CI&amp;S'!$B$22:$B$36,0))),"N/A")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IFERROR(IF(INDEX('MRE'!$P$10:$P$15,MATCH($F81,'MRE'!$B$10:$B$15,0))="","Cell will autofill based on response",INDEX('MRE'!$P$10:$P$15,MATCH($F81,'MRE'!$B$10:$B$15,0))),"N/A")</f>
        <v/>
      </c>
      <c r="S81" s="53">
        <f>IFERROR(IF(INDEX('AC&amp;M'!$P$10:$P$14,MATCH($F81,'AC&amp;M'!$B$10:$B$14,0))="","Cell will autofill based on response",INDEX('AC&amp;M'!$P$10:$P$14,MATCH($F81,'AC&amp;M'!$B$10:$B$14,0))),"N/A")</f>
        <v/>
      </c>
      <c r="T81" s="53">
        <f>IFERROR(IF(INDEX('GCE'!$P$10:$P$12,MATCH($F81,'GCE'!$B$10:$B$12,0))="","Cell will autofill based on response",INDEX('GCE'!$P$10:$P$12,MATCH($F81,'GCE'!$B$10:$B$12,0))),"N/A")</f>
        <v/>
      </c>
      <c r="U81" s="53">
        <f>IFERROR(IF(INDEX('Education'!$P$10:$P$13,MATCH($F81,'Education'!$B$10:$B$13,0))="","Cell will autofill based on response",INDEX('Education'!$P$10:$P$13,MATCH($F81,'Education'!$B$10:$B$13,0))),"N/A")</f>
        <v/>
      </c>
      <c r="V81" s="53">
        <f>IFERROR(IF(INDEX('SaSS'!$P$10:$P$12,MATCH($F81,'SaSS'!$B$10:$B$12,0))="","Cell will autofill based on response",INDEX('SaSS'!$P$10:$P$12,MATCH($F81,'SaSS'!$B$10:$B$12,0))),"N/A")</f>
        <v/>
      </c>
      <c r="W81" s="53">
        <f>IFERROR(IF(INDEX('Indigenous'!$P$10:$P$11,MATCH($F81,'Indigenous'!$B$10:$B$11,0))="","Cell will autofill based on response",INDEX('Indigenous'!$P$10:$P$11,MATCH($F81,'Indigenous'!$B$10:$B$11,0))),"N/A")</f>
        <v/>
      </c>
      <c r="X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IFERROR(IF(INDEX('Faculties'!$Q$10:$Q$23,MATCH($F82,'Faculties'!$B$10:$B$23,0))="","Cell will autofill based on response",INDEX('Faculties'!$Q$10:$Q$23,MATCH($F82,'Faculties'!$B$10:$B$23,0))),"N/A")</f>
        <v/>
      </c>
      <c r="I82" s="53">
        <f>IFERROR(IF(INDEX('Faculties'!$Q$30:$Q$43,MATCH($F82,'Faculties'!$B$30:$B$43,0))="","Cell will autofill based on response",INDEX('Faculties'!$Q$30:$Q$43,MATCH($F82,'Faculties'!$B$30:$B$43,0))),"N/A")</f>
        <v/>
      </c>
      <c r="J82" s="53">
        <f>IFERROR(IF(INDEX('Faculties'!$Q$50:$Q$63,MATCH($F82,'Faculties'!$B$50:$B$63,0))="","Cell will autofill based on response",INDEX('Faculties'!$Q$50:$Q$63,MATCH($F82,'Faculties'!$B$50:$B$63,0))),"N/A")</f>
        <v/>
      </c>
      <c r="K82" s="53">
        <f>IFERROR(IF(INDEX('Faculties'!$Q$70:$Q$83,MATCH($F82,'Faculties'!$B$70:$B$83,0))="","Cell will autofill based on response",INDEX('Faculties'!$Q$70:$Q$83,MATCH($F82,'Faculties'!$B$70:$B$83,0))),"N/A")</f>
        <v/>
      </c>
      <c r="L82" s="53">
        <f>IFERROR(IF(INDEX('CI&amp;S'!$Q$10:$Q$15,MATCH($F82,'CI&amp;S'!$B$10:$B$15,0))="","Cell will autofill based on response",INDEX('CI&amp;S'!$Q$10:$Q$15,MATCH($F82,'CI&amp;S'!$B$10:$B$15,0))),"N/A")</f>
        <v/>
      </c>
      <c r="M82" s="53">
        <f>IFERROR(IF(INDEX('CI&amp;S'!$Q$22:$Q$36,MATCH($F82,'CI&amp;S'!$B$22:$B$36,0))="","Cell will autofill based on response",INDEX('CI&amp;S'!$Q$22:$Q$36,MATCH($F82,'CI&amp;S'!$B$22:$B$36,0))),"N/A")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IFERROR(IF(INDEX('MRE'!$Q$10:$Q$15,MATCH($F82,'MRE'!$B$10:$B$15,0))="","Cell will autofill based on response",INDEX('MRE'!$Q$10:$Q$15,MATCH($F82,'MRE'!$B$10:$B$15,0))),"N/A")</f>
        <v/>
      </c>
      <c r="S82" s="53">
        <f>IFERROR(IF(INDEX('AC&amp;M'!$Q$10:$Q$14,MATCH($F82,'AC&amp;M'!$B$10:$B$14,0))="","Cell will autofill based on response",INDEX('AC&amp;M'!$Q$10:$Q$14,MATCH($F82,'AC&amp;M'!$B$10:$B$14,0))),"N/A")</f>
        <v/>
      </c>
      <c r="T82" s="53">
        <f>IFERROR(IF(INDEX('GCE'!$Q$10:$Q$12,MATCH($F82,'GCE'!$B$10:$B$12,0))="","Cell will autofill based on response",INDEX('GCE'!$Q$10:$Q$12,MATCH($F82,'GCE'!$B$10:$B$12,0))),"N/A")</f>
        <v/>
      </c>
      <c r="U82" s="53">
        <f>IFERROR(IF(INDEX('Education'!$Q$10:$Q$13,MATCH($F82,'Education'!$B$10:$B$13,0))="","Cell will autofill based on response",INDEX('Education'!$Q$10:$Q$13,MATCH($F82,'Education'!$B$10:$B$13,0))),"N/A")</f>
        <v/>
      </c>
      <c r="V82" s="53">
        <f>IFERROR(IF(INDEX('SaSS'!$Q$10:$Q$12,MATCH($F82,'SaSS'!$B$10:$B$12,0))="","Cell will autofill based on response",INDEX('SaSS'!$Q$10:$Q$12,MATCH($F82,'SaSS'!$B$10:$B$12,0))),"N/A")</f>
        <v/>
      </c>
      <c r="W82" s="53">
        <f>IFERROR(IF(INDEX('Indigenous'!$Q$10:$Q$11,MATCH($F82,'Indigenous'!$B$10:$B$11,0))="","Cell will autofill based on response",INDEX('Indigenous'!$Q$10:$Q$11,MATCH($F82,'Indigenous'!$B$10:$B$11,0))),"N/A")</f>
        <v/>
      </c>
      <c r="X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IFERROR(IF(INDEX('Faculties'!$L$10:$L$23,MATCH($F83,'Faculties'!$B$10:$B$23,0))="","Cell will autofill based on response",INDEX('Faculties'!$L$10:$L$23,MATCH($F83,'Faculties'!$B$10:$B$23,0))),"N/A")</f>
        <v/>
      </c>
      <c r="I83" s="53">
        <f>IFERROR(IF(INDEX('Faculties'!$L$30:$L$43,MATCH($F83,'Faculties'!$B$30:$B$43,0))="","Cell will autofill based on response",INDEX('Faculties'!$L$30:$L$43,MATCH($F83,'Faculties'!$B$30:$B$43,0))),"N/A")</f>
        <v/>
      </c>
      <c r="J83" s="53">
        <f>IFERROR(IF(INDEX('Faculties'!$L$50:$L$63,MATCH($F83,'Faculties'!$B$50:$B$63,0))="","Cell will autofill based on response",INDEX('Faculties'!$L$50:$L$63,MATCH($F83,'Faculties'!$B$50:$B$63,0))),"N/A")</f>
        <v/>
      </c>
      <c r="K83" s="53">
        <f>IFERROR(IF(INDEX('Faculties'!$L$70:$L$83,MATCH($F83,'Faculties'!$B$70:$B$83,0))="","Cell will autofill based on response",INDEX('Faculties'!$L$70:$L$83,MATCH($F83,'Faculties'!$B$70:$B$83,0))),"N/A")</f>
        <v/>
      </c>
      <c r="L83" s="53">
        <f>IFERROR(IF(INDEX('CI&amp;S'!$L$10:$L$15,MATCH($F83,'CI&amp;S'!$B$10:$B$15,0))="","Cell will autofill based on response",INDEX('CI&amp;S'!$L$10:$L$15,MATCH($F83,'CI&amp;S'!$B$10:$B$15,0))),"N/A")</f>
        <v/>
      </c>
      <c r="M83" s="53">
        <f>IFERROR(IF(INDEX('CI&amp;S'!$L$22:$L$36,MATCH($F83,'CI&amp;S'!$B$22:$B$36,0))="","Cell will autofill based on response",INDEX('CI&amp;S'!$L$22:$L$36,MATCH($F83,'CI&amp;S'!$B$22:$B$36,0))),"N/A")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IFERROR(IF(INDEX('MRE'!$L$10:$L$15,MATCH($F83,'MRE'!$B$10:$B$15,0))="","Cell will autofill based on response",INDEX('MRE'!$L$10:$L$15,MATCH($F83,'MRE'!$B$10:$B$15,0))),"N/A")</f>
        <v/>
      </c>
      <c r="S83" s="53">
        <f>IFERROR(IF(INDEX('AC&amp;M'!$L$10:$L$14,MATCH($F83,'AC&amp;M'!$B$10:$B$14,0))="","Cell will autofill based on response",INDEX('AC&amp;M'!$L$10:$L$14,MATCH($F83,'AC&amp;M'!$B$10:$B$14,0))),"N/A")</f>
        <v/>
      </c>
      <c r="T83" s="53">
        <f>IFERROR(IF(INDEX('GCE'!$L$10:$L$12,MATCH($F83,'GCE'!$B$10:$B$12,0))="","Cell will autofill based on response",INDEX('GCE'!$L$10:$L$12,MATCH($F83,'GCE'!$B$10:$B$12,0))),"N/A")</f>
        <v/>
      </c>
      <c r="U83" s="53">
        <f>IFERROR(IF(INDEX('Education'!$L$10:$L$13,MATCH($F83,'Education'!$B$10:$B$13,0))="","Cell will autofill based on response",INDEX('Education'!$L$10:$L$13,MATCH($F83,'Education'!$B$10:$B$13,0))),"N/A")</f>
        <v/>
      </c>
      <c r="V83" s="53">
        <f>IFERROR(IF(INDEX('SaSS'!$L$10:$L$12,MATCH($F83,'SaSS'!$B$10:$B$12,0))="","Cell will autofill based on response",INDEX('SaSS'!$L$10:$L$12,MATCH($F83,'SaSS'!$B$10:$B$12,0))),"N/A")</f>
        <v/>
      </c>
      <c r="W83" s="53">
        <f>IFERROR(IF(INDEX('Indigenous'!$L$10:$L$11,MATCH($F83,'Indigenous'!$B$10:$B$11,0))="","Cell will autofill based on response",INDEX('Indigenous'!$L$10:$L$11,MATCH($F83,'Indigenous'!$B$10:$B$11,0))),"N/A")</f>
        <v/>
      </c>
      <c r="X83" s="53">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4">
        <f>IF(AF83&gt;0,AE83/AF83,"No valid responses to date")</f>
        <v/>
      </c>
      <c r="AH83" s="10">
        <f>IF(ISNUMBER(AG83),INDEX(Lists!$G$2:$G$5,MATCH(ROUND(AG83,0),Lists!$H$2:$H$5,0)),"")</f>
        <v/>
      </c>
      <c r="AI83" s="55">
        <f>IF(AF83&gt;0,AD83/AF83,"")</f>
        <v/>
      </c>
      <c r="AJ83" s="55">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IFERROR(IF(INDEX('Faculties'!$M$10:$M$23,MATCH($F84,'Faculties'!$B$10:$B$23,0))="","Cell will autofill based on response",INDEX('Faculties'!$M$10:$M$23,MATCH($F84,'Faculties'!$B$10:$B$23,0))),"N/A")</f>
        <v/>
      </c>
      <c r="I84" s="53">
        <f>IFERROR(IF(INDEX('Faculties'!$M$30:$M$43,MATCH($F84,'Faculties'!$B$30:$B$43,0))="","Cell will autofill based on response",INDEX('Faculties'!$M$30:$M$43,MATCH($F84,'Faculties'!$B$30:$B$43,0))),"N/A")</f>
        <v/>
      </c>
      <c r="J84" s="53">
        <f>IFERROR(IF(INDEX('Faculties'!$M$50:$M$63,MATCH($F84,'Faculties'!$B$50:$B$63,0))="","Cell will autofill based on response",INDEX('Faculties'!$M$50:$M$63,MATCH($F84,'Faculties'!$B$50:$B$63,0))),"N/A")</f>
        <v/>
      </c>
      <c r="K84" s="53">
        <f>IFERROR(IF(INDEX('Faculties'!$M$70:$M$83,MATCH($F84,'Faculties'!$B$70:$B$83,0))="","Cell will autofill based on response",INDEX('Faculties'!$M$70:$M$83,MATCH($F84,'Faculties'!$B$70:$B$83,0))),"N/A")</f>
        <v/>
      </c>
      <c r="L84" s="53">
        <f>IFERROR(IF(INDEX('CI&amp;S'!$M$10:$M$15,MATCH($F84,'CI&amp;S'!$B$10:$B$15,0))="","Cell will autofill based on response",INDEX('CI&amp;S'!$M$10:$M$15,MATCH($F84,'CI&amp;S'!$B$10:$B$15,0))),"N/A")</f>
        <v/>
      </c>
      <c r="M84" s="53">
        <f>IFERROR(IF(INDEX('CI&amp;S'!$M$22:$M$36,MATCH($F84,'CI&amp;S'!$B$22:$B$36,0))="","Cell will autofill based on response",INDEX('CI&amp;S'!$M$22:$M$36,MATCH($F84,'CI&amp;S'!$B$22:$B$36,0))),"N/A")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IFERROR(IF(INDEX('MRE'!$M$10:$M$15,MATCH($F84,'MRE'!$B$10:$B$15,0))="","Cell will autofill based on response",INDEX('MRE'!$M$10:$M$15,MATCH($F84,'MRE'!$B$10:$B$15,0))),"N/A")</f>
        <v/>
      </c>
      <c r="S84" s="53">
        <f>IFERROR(IF(INDEX('AC&amp;M'!$M$10:$M$14,MATCH($F84,'AC&amp;M'!$B$10:$B$14,0))="","Cell will autofill based on response",INDEX('AC&amp;M'!$M$10:$M$14,MATCH($F84,'AC&amp;M'!$B$10:$B$14,0))),"N/A")</f>
        <v/>
      </c>
      <c r="T84" s="53">
        <f>IFERROR(IF(INDEX('GCE'!$M$10:$M$12,MATCH($F84,'GCE'!$B$10:$B$12,0))="","Cell will autofill based on response",INDEX('GCE'!$M$10:$M$12,MATCH($F84,'GCE'!$B$10:$B$12,0))),"N/A")</f>
        <v/>
      </c>
      <c r="U84" s="53">
        <f>IFERROR(IF(INDEX('Education'!$M$10:$M$13,MATCH($F84,'Education'!$B$10:$B$13,0))="","Cell will autofill based on response",INDEX('Education'!$M$10:$M$13,MATCH($F84,'Education'!$B$10:$B$13,0))),"N/A")</f>
        <v/>
      </c>
      <c r="V84" s="53">
        <f>IFERROR(IF(INDEX('SaSS'!$M$10:$M$12,MATCH($F84,'SaSS'!$B$10:$B$12,0))="","Cell will autofill based on response",INDEX('SaSS'!$M$10:$M$12,MATCH($F84,'SaSS'!$B$10:$B$12,0))),"N/A")</f>
        <v/>
      </c>
      <c r="W84" s="53">
        <f>IFERROR(IF(INDEX('Indigenous'!$M$10:$M$11,MATCH($F84,'Indigenous'!$B$10:$B$11,0))="","Cell will autofill based on response",INDEX('Indigenous'!$M$10:$M$11,MATCH($F84,'Indigenous'!$B$10:$B$11,0))),"N/A")</f>
        <v/>
      </c>
      <c r="X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IFERROR(IF(INDEX('Faculties'!$N$10:$N$23,MATCH($F85,'Faculties'!$B$10:$B$23,0))="","Cell will autofill based on response",INDEX('Faculties'!$N$10:$N$23,MATCH($F85,'Faculties'!$B$10:$B$23,0))),"N/A")</f>
        <v/>
      </c>
      <c r="I85" s="53">
        <f>IFERROR(IF(INDEX('Faculties'!$N$30:$N$43,MATCH($F85,'Faculties'!$B$30:$B$43,0))="","Cell will autofill based on response",INDEX('Faculties'!$N$30:$N$43,MATCH($F85,'Faculties'!$B$30:$B$43,0))),"N/A")</f>
        <v/>
      </c>
      <c r="J85" s="53">
        <f>IFERROR(IF(INDEX('Faculties'!$N$50:$N$63,MATCH($F85,'Faculties'!$B$50:$B$63,0))="","Cell will autofill based on response",INDEX('Faculties'!$N$50:$N$63,MATCH($F85,'Faculties'!$B$50:$B$63,0))),"N/A")</f>
        <v/>
      </c>
      <c r="K85" s="53">
        <f>IFERROR(IF(INDEX('Faculties'!$N$70:$N$83,MATCH($F85,'Faculties'!$B$70:$B$83,0))="","Cell will autofill based on response",INDEX('Faculties'!$N$70:$N$83,MATCH($F85,'Faculties'!$B$70:$B$83,0))),"N/A")</f>
        <v/>
      </c>
      <c r="L85" s="53">
        <f>IFERROR(IF(INDEX('CI&amp;S'!$N$10:$N$15,MATCH($F85,'CI&amp;S'!$B$10:$B$15,0))="","Cell will autofill based on response",INDEX('CI&amp;S'!$N$10:$N$15,MATCH($F85,'CI&amp;S'!$B$10:$B$15,0))),"N/A")</f>
        <v/>
      </c>
      <c r="M85" s="53">
        <f>IFERROR(IF(INDEX('CI&amp;S'!$N$22:$N$36,MATCH($F85,'CI&amp;S'!$B$22:$B$36,0))="","Cell will autofill based on response",INDEX('CI&amp;S'!$N$22:$N$36,MATCH($F85,'CI&amp;S'!$B$22:$B$36,0))),"N/A")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IFERROR(IF(INDEX('MRE'!$N$10:$N$15,MATCH($F85,'MRE'!$B$10:$B$15,0))="","Cell will autofill based on response",INDEX('MRE'!$N$10:$N$15,MATCH($F85,'MRE'!$B$10:$B$15,0))),"N/A")</f>
        <v/>
      </c>
      <c r="S85" s="53">
        <f>IFERROR(IF(INDEX('AC&amp;M'!$N$10:$N$14,MATCH($F85,'AC&amp;M'!$B$10:$B$14,0))="","Cell will autofill based on response",INDEX('AC&amp;M'!$N$10:$N$14,MATCH($F85,'AC&amp;M'!$B$10:$B$14,0))),"N/A")</f>
        <v/>
      </c>
      <c r="T85" s="53">
        <f>IFERROR(IF(INDEX('GCE'!$N$10:$N$12,MATCH($F85,'GCE'!$B$10:$B$12,0))="","Cell will autofill based on response",INDEX('GCE'!$N$10:$N$12,MATCH($F85,'GCE'!$B$10:$B$12,0))),"N/A")</f>
        <v/>
      </c>
      <c r="U85" s="53">
        <f>IFERROR(IF(INDEX('Education'!$N$10:$N$13,MATCH($F85,'Education'!$B$10:$B$13,0))="","Cell will autofill based on response",INDEX('Education'!$N$10:$N$13,MATCH($F85,'Education'!$B$10:$B$13,0))),"N/A")</f>
        <v/>
      </c>
      <c r="V85" s="53">
        <f>IFERROR(IF(INDEX('SaSS'!$N$10:$N$12,MATCH($F85,'SaSS'!$B$10:$B$12,0))="","Cell will autofill based on response",INDEX('SaSS'!$N$10:$N$12,MATCH($F85,'SaSS'!$B$10:$B$12,0))),"N/A")</f>
        <v/>
      </c>
      <c r="W85" s="53">
        <f>IFERROR(IF(INDEX('Indigenous'!$N$10:$N$11,MATCH($F85,'Indigenous'!$B$10:$B$11,0))="","Cell will autofill based on response",INDEX('Indigenous'!$N$10:$N$11,MATCH($F85,'Indigenous'!$B$10:$B$11,0))),"N/A")</f>
        <v/>
      </c>
      <c r="X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IFERROR(IF(INDEX('Faculties'!$O$10:$O$23,MATCH($F86,'Faculties'!$B$10:$B$23,0))="","Cell will autofill based on response",INDEX('Faculties'!$O$10:$O$23,MATCH($F86,'Faculties'!$B$10:$B$23,0))),"N/A")</f>
        <v/>
      </c>
      <c r="I86" s="53">
        <f>IFERROR(IF(INDEX('Faculties'!$O$30:$O$43,MATCH($F86,'Faculties'!$B$30:$B$43,0))="","Cell will autofill based on response",INDEX('Faculties'!$O$30:$O$43,MATCH($F86,'Faculties'!$B$30:$B$43,0))),"N/A")</f>
        <v/>
      </c>
      <c r="J86" s="53">
        <f>IFERROR(IF(INDEX('Faculties'!$O$50:$O$63,MATCH($F86,'Faculties'!$B$50:$B$63,0))="","Cell will autofill based on response",INDEX('Faculties'!$O$50:$O$63,MATCH($F86,'Faculties'!$B$50:$B$63,0))),"N/A")</f>
        <v/>
      </c>
      <c r="K86" s="53">
        <f>IFERROR(IF(INDEX('Faculties'!$O$70:$O$83,MATCH($F86,'Faculties'!$B$70:$B$83,0))="","Cell will autofill based on response",INDEX('Faculties'!$O$70:$O$83,MATCH($F86,'Faculties'!$B$70:$B$83,0))),"N/A")</f>
        <v/>
      </c>
      <c r="L86" s="53">
        <f>IFERROR(IF(INDEX('CI&amp;S'!$O$10:$O$15,MATCH($F86,'CI&amp;S'!$B$10:$B$15,0))="","Cell will autofill based on response",INDEX('CI&amp;S'!$O$10:$O$15,MATCH($F86,'CI&amp;S'!$B$10:$B$15,0))),"N/A")</f>
        <v/>
      </c>
      <c r="M86" s="53">
        <f>IFERROR(IF(INDEX('CI&amp;S'!$O$22:$O$36,MATCH($F86,'CI&amp;S'!$B$22:$B$36,0))="","Cell will autofill based on response",INDEX('CI&amp;S'!$O$22:$O$36,MATCH($F86,'CI&amp;S'!$B$22:$B$36,0))),"N/A")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IFERROR(IF(INDEX('MRE'!$O$10:$O$15,MATCH($F86,'MRE'!$B$10:$B$15,0))="","Cell will autofill based on response",INDEX('MRE'!$O$10:$O$15,MATCH($F86,'MRE'!$B$10:$B$15,0))),"N/A")</f>
        <v/>
      </c>
      <c r="S86" s="53">
        <f>IFERROR(IF(INDEX('AC&amp;M'!$O$10:$O$14,MATCH($F86,'AC&amp;M'!$B$10:$B$14,0))="","Cell will autofill based on response",INDEX('AC&amp;M'!$O$10:$O$14,MATCH($F86,'AC&amp;M'!$B$10:$B$14,0))),"N/A")</f>
        <v/>
      </c>
      <c r="T86" s="53">
        <f>IFERROR(IF(INDEX('GCE'!$O$10:$O$12,MATCH($F86,'GCE'!$B$10:$B$12,0))="","Cell will autofill based on response",INDEX('GCE'!$O$10:$O$12,MATCH($F86,'GCE'!$B$10:$B$12,0))),"N/A")</f>
        <v/>
      </c>
      <c r="U86" s="53">
        <f>IFERROR(IF(INDEX('Education'!$O$10:$O$13,MATCH($F86,'Education'!$B$10:$B$13,0))="","Cell will autofill based on response",INDEX('Education'!$O$10:$O$13,MATCH($F86,'Education'!$B$10:$B$13,0))),"N/A")</f>
        <v/>
      </c>
      <c r="V86" s="53">
        <f>IFERROR(IF(INDEX('SaSS'!$O$10:$O$12,MATCH($F86,'SaSS'!$B$10:$B$12,0))="","Cell will autofill based on response",INDEX('SaSS'!$O$10:$O$12,MATCH($F86,'SaSS'!$B$10:$B$12,0))),"N/A")</f>
        <v/>
      </c>
      <c r="W86" s="53">
        <f>IFERROR(IF(INDEX('Indigenous'!$O$10:$O$11,MATCH($F86,'Indigenous'!$B$10:$B$11,0))="","Cell will autofill based on response",INDEX('Indigenous'!$O$10:$O$11,MATCH($F86,'Indigenous'!$B$10:$B$11,0))),"N/A")</f>
        <v/>
      </c>
      <c r="X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IFERROR(IF(INDEX('Faculties'!$P$10:$P$23,MATCH($F87,'Faculties'!$B$10:$B$23,0))="","Cell will autofill based on response",INDEX('Faculties'!$P$10:$P$23,MATCH($F87,'Faculties'!$B$10:$B$23,0))),"N/A")</f>
        <v/>
      </c>
      <c r="I87" s="53">
        <f>IFERROR(IF(INDEX('Faculties'!$P$30:$P$43,MATCH($F87,'Faculties'!$B$30:$B$43,0))="","Cell will autofill based on response",INDEX('Faculties'!$P$30:$P$43,MATCH($F87,'Faculties'!$B$30:$B$43,0))),"N/A")</f>
        <v/>
      </c>
      <c r="J87" s="53">
        <f>IFERROR(IF(INDEX('Faculties'!$P$50:$P$63,MATCH($F87,'Faculties'!$B$50:$B$63,0))="","Cell will autofill based on response",INDEX('Faculties'!$P$50:$P$63,MATCH($F87,'Faculties'!$B$50:$B$63,0))),"N/A")</f>
        <v/>
      </c>
      <c r="K87" s="53">
        <f>IFERROR(IF(INDEX('Faculties'!$P$70:$P$83,MATCH($F87,'Faculties'!$B$70:$B$83,0))="","Cell will autofill based on response",INDEX('Faculties'!$P$70:$P$83,MATCH($F87,'Faculties'!$B$70:$B$83,0))),"N/A")</f>
        <v/>
      </c>
      <c r="L87" s="53">
        <f>IFERROR(IF(INDEX('CI&amp;S'!$P$10:$P$15,MATCH($F87,'CI&amp;S'!$B$10:$B$15,0))="","Cell will autofill based on response",INDEX('CI&amp;S'!$P$10:$P$15,MATCH($F87,'CI&amp;S'!$B$10:$B$15,0))),"N/A")</f>
        <v/>
      </c>
      <c r="M87" s="53">
        <f>IFERROR(IF(INDEX('CI&amp;S'!$P$22:$P$36,MATCH($F87,'CI&amp;S'!$B$22:$B$36,0))="","Cell will autofill based on response",INDEX('CI&amp;S'!$P$22:$P$36,MATCH($F87,'CI&amp;S'!$B$22:$B$36,0))),"N/A")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IFERROR(IF(INDEX('MRE'!$P$10:$P$15,MATCH($F87,'MRE'!$B$10:$B$15,0))="","Cell will autofill based on response",INDEX('MRE'!$P$10:$P$15,MATCH($F87,'MRE'!$B$10:$B$15,0))),"N/A")</f>
        <v/>
      </c>
      <c r="S87" s="53">
        <f>IFERROR(IF(INDEX('AC&amp;M'!$P$10:$P$14,MATCH($F87,'AC&amp;M'!$B$10:$B$14,0))="","Cell will autofill based on response",INDEX('AC&amp;M'!$P$10:$P$14,MATCH($F87,'AC&amp;M'!$B$10:$B$14,0))),"N/A")</f>
        <v/>
      </c>
      <c r="T87" s="53">
        <f>IFERROR(IF(INDEX('GCE'!$P$10:$P$12,MATCH($F87,'GCE'!$B$10:$B$12,0))="","Cell will autofill based on response",INDEX('GCE'!$P$10:$P$12,MATCH($F87,'GCE'!$B$10:$B$12,0))),"N/A")</f>
        <v/>
      </c>
      <c r="U87" s="53">
        <f>IFERROR(IF(INDEX('Education'!$P$10:$P$13,MATCH($F87,'Education'!$B$10:$B$13,0))="","Cell will autofill based on response",INDEX('Education'!$P$10:$P$13,MATCH($F87,'Education'!$B$10:$B$13,0))),"N/A")</f>
        <v/>
      </c>
      <c r="V87" s="53">
        <f>IFERROR(IF(INDEX('SaSS'!$P$10:$P$12,MATCH($F87,'SaSS'!$B$10:$B$12,0))="","Cell will autofill based on response",INDEX('SaSS'!$P$10:$P$12,MATCH($F87,'SaSS'!$B$10:$B$12,0))),"N/A")</f>
        <v/>
      </c>
      <c r="W87" s="53">
        <f>IFERROR(IF(INDEX('Indigenous'!$P$10:$P$11,MATCH($F87,'Indigenous'!$B$10:$B$11,0))="","Cell will autofill based on response",INDEX('Indigenous'!$P$10:$P$11,MATCH($F87,'Indigenous'!$B$10:$B$11,0))),"N/A")</f>
        <v/>
      </c>
      <c r="X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IFERROR(IF(INDEX('Faculties'!$Q$10:$Q$23,MATCH($F88,'Faculties'!$B$10:$B$23,0))="","Cell will autofill based on response",INDEX('Faculties'!$Q$10:$Q$23,MATCH($F88,'Faculties'!$B$10:$B$23,0))),"N/A")</f>
        <v/>
      </c>
      <c r="I88" s="53">
        <f>IFERROR(IF(INDEX('Faculties'!$Q$30:$Q$43,MATCH($F88,'Faculties'!$B$30:$B$43,0))="","Cell will autofill based on response",INDEX('Faculties'!$Q$30:$Q$43,MATCH($F88,'Faculties'!$B$30:$B$43,0))),"N/A")</f>
        <v/>
      </c>
      <c r="J88" s="53">
        <f>IFERROR(IF(INDEX('Faculties'!$Q$50:$Q$63,MATCH($F88,'Faculties'!$B$50:$B$63,0))="","Cell will autofill based on response",INDEX('Faculties'!$Q$50:$Q$63,MATCH($F88,'Faculties'!$B$50:$B$63,0))),"N/A")</f>
        <v/>
      </c>
      <c r="K88" s="53">
        <f>IFERROR(IF(INDEX('Faculties'!$Q$70:$Q$83,MATCH($F88,'Faculties'!$B$70:$B$83,0))="","Cell will autofill based on response",INDEX('Faculties'!$Q$70:$Q$83,MATCH($F88,'Faculties'!$B$70:$B$83,0))),"N/A")</f>
        <v/>
      </c>
      <c r="L88" s="53">
        <f>IFERROR(IF(INDEX('CI&amp;S'!$Q$10:$Q$15,MATCH($F88,'CI&amp;S'!$B$10:$B$15,0))="","Cell will autofill based on response",INDEX('CI&amp;S'!$Q$10:$Q$15,MATCH($F88,'CI&amp;S'!$B$10:$B$15,0))),"N/A")</f>
        <v/>
      </c>
      <c r="M88" s="53">
        <f>IFERROR(IF(INDEX('CI&amp;S'!$Q$22:$Q$36,MATCH($F88,'CI&amp;S'!$B$22:$B$36,0))="","Cell will autofill based on response",INDEX('CI&amp;S'!$Q$22:$Q$36,MATCH($F88,'CI&amp;S'!$B$22:$B$36,0))),"N/A")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IFERROR(IF(INDEX('MRE'!$Q$10:$Q$15,MATCH($F88,'MRE'!$B$10:$B$15,0))="","Cell will autofill based on response",INDEX('MRE'!$Q$10:$Q$15,MATCH($F88,'MRE'!$B$10:$B$15,0))),"N/A")</f>
        <v/>
      </c>
      <c r="S88" s="53">
        <f>IFERROR(IF(INDEX('AC&amp;M'!$Q$10:$Q$14,MATCH($F88,'AC&amp;M'!$B$10:$B$14,0))="","Cell will autofill based on response",INDEX('AC&amp;M'!$Q$10:$Q$14,MATCH($F88,'AC&amp;M'!$B$10:$B$14,0))),"N/A")</f>
        <v/>
      </c>
      <c r="T88" s="53">
        <f>IFERROR(IF(INDEX('GCE'!$Q$10:$Q$12,MATCH($F88,'GCE'!$B$10:$B$12,0))="","Cell will autofill based on response",INDEX('GCE'!$Q$10:$Q$12,MATCH($F88,'GCE'!$B$10:$B$12,0))),"N/A")</f>
        <v/>
      </c>
      <c r="U88" s="53">
        <f>IFERROR(IF(INDEX('Education'!$Q$10:$Q$13,MATCH($F88,'Education'!$B$10:$B$13,0))="","Cell will autofill based on response",INDEX('Education'!$Q$10:$Q$13,MATCH($F88,'Education'!$B$10:$B$13,0))),"N/A")</f>
        <v/>
      </c>
      <c r="V88" s="53">
        <f>IFERROR(IF(INDEX('SaSS'!$Q$10:$Q$12,MATCH($F88,'SaSS'!$B$10:$B$12,0))="","Cell will autofill based on response",INDEX('SaSS'!$Q$10:$Q$12,MATCH($F88,'SaSS'!$B$10:$B$12,0))),"N/A")</f>
        <v/>
      </c>
      <c r="W88" s="53">
        <f>IFERROR(IF(INDEX('Indigenous'!$Q$10:$Q$11,MATCH($F88,'Indigenous'!$B$10:$B$11,0))="","Cell will autofill based on response",INDEX('Indigenous'!$Q$10:$Q$11,MATCH($F88,'Indigenous'!$B$10:$B$11,0))),"N/A")</f>
        <v/>
      </c>
      <c r="X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IFERROR(IF(INDEX('Faculties'!$L$10:$L$23,MATCH($F89,'Faculties'!$B$10:$B$23,0))="","Cell will autofill based on response",INDEX('Faculties'!$L$10:$L$23,MATCH($F89,'Faculties'!$B$10:$B$23,0))),"N/A")</f>
        <v/>
      </c>
      <c r="I89" s="53">
        <f>IFERROR(IF(INDEX('Faculties'!$L$30:$L$43,MATCH($F89,'Faculties'!$B$30:$B$43,0))="","Cell will autofill based on response",INDEX('Faculties'!$L$30:$L$43,MATCH($F89,'Faculties'!$B$30:$B$43,0))),"N/A")</f>
        <v/>
      </c>
      <c r="J89" s="53">
        <f>IFERROR(IF(INDEX('Faculties'!$L$50:$L$63,MATCH($F89,'Faculties'!$B$50:$B$63,0))="","Cell will autofill based on response",INDEX('Faculties'!$L$50:$L$63,MATCH($F89,'Faculties'!$B$50:$B$63,0))),"N/A")</f>
        <v/>
      </c>
      <c r="K89" s="53">
        <f>IFERROR(IF(INDEX('Faculties'!$L$70:$L$83,MATCH($F89,'Faculties'!$B$70:$B$83,0))="","Cell will autofill based on response",INDEX('Faculties'!$L$70:$L$83,MATCH($F89,'Faculties'!$B$70:$B$83,0))),"N/A")</f>
        <v/>
      </c>
      <c r="L89" s="53">
        <f>IFERROR(IF(INDEX('CI&amp;S'!$L$10:$L$15,MATCH($F89,'CI&amp;S'!$B$10:$B$15,0))="","Cell will autofill based on response",INDEX('CI&amp;S'!$L$10:$L$15,MATCH($F89,'CI&amp;S'!$B$10:$B$15,0))),"N/A")</f>
        <v/>
      </c>
      <c r="M89" s="53">
        <f>IFERROR(IF(INDEX('CI&amp;S'!$L$22:$L$36,MATCH($F89,'CI&amp;S'!$B$22:$B$36,0))="","Cell will autofill based on response",INDEX('CI&amp;S'!$L$22:$L$36,MATCH($F89,'CI&amp;S'!$B$22:$B$36,0))),"N/A")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IFERROR(IF(INDEX('MRE'!$L$10:$L$15,MATCH($F89,'MRE'!$B$10:$B$15,0))="","Cell will autofill based on response",INDEX('MRE'!$L$10:$L$15,MATCH($F89,'MRE'!$B$10:$B$15,0))),"N/A")</f>
        <v/>
      </c>
      <c r="S89" s="53">
        <f>IFERROR(IF(INDEX('AC&amp;M'!$L$10:$L$14,MATCH($F89,'AC&amp;M'!$B$10:$B$14,0))="","Cell will autofill based on response",INDEX('AC&amp;M'!$L$10:$L$14,MATCH($F89,'AC&amp;M'!$B$10:$B$14,0))),"N/A")</f>
        <v/>
      </c>
      <c r="T89" s="53">
        <f>IFERROR(IF(INDEX('GCE'!$L$10:$L$12,MATCH($F89,'GCE'!$B$10:$B$12,0))="","Cell will autofill based on response",INDEX('GCE'!$L$10:$L$12,MATCH($F89,'GCE'!$B$10:$B$12,0))),"N/A")</f>
        <v/>
      </c>
      <c r="U89" s="53">
        <f>IFERROR(IF(INDEX('Education'!$L$10:$L$13,MATCH($F89,'Education'!$B$10:$B$13,0))="","Cell will autofill based on response",INDEX('Education'!$L$10:$L$13,MATCH($F89,'Education'!$B$10:$B$13,0))),"N/A")</f>
        <v/>
      </c>
      <c r="V89" s="53">
        <f>IFERROR(IF(INDEX('SaSS'!$L$10:$L$12,MATCH($F89,'SaSS'!$B$10:$B$12,0))="","Cell will autofill based on response",INDEX('SaSS'!$L$10:$L$12,MATCH($F89,'SaSS'!$B$10:$B$12,0))),"N/A")</f>
        <v/>
      </c>
      <c r="W89" s="53">
        <f>IFERROR(IF(INDEX('Indigenous'!$L$10:$L$11,MATCH($F89,'Indigenous'!$B$10:$B$11,0))="","Cell will autofill based on response",INDEX('Indigenous'!$L$10:$L$11,MATCH($F89,'Indigenous'!$B$10:$B$11,0))),"N/A")</f>
        <v/>
      </c>
      <c r="X89" s="53">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4">
        <f>IF(AF89&gt;0,AE89/AF89,"No valid responses to date")</f>
        <v/>
      </c>
      <c r="AH89" s="10">
        <f>IF(ISNUMBER(AG89),INDEX(Lists!$G$2:$G$5,MATCH(ROUND(AG89,0),Lists!$H$2:$H$5,0)),"")</f>
        <v/>
      </c>
      <c r="AI89" s="55">
        <f>IF(AF89&gt;0,AD89/AF89,"")</f>
        <v/>
      </c>
      <c r="AJ89" s="55">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IFERROR(IF(INDEX('Faculties'!$M$10:$M$23,MATCH($F90,'Faculties'!$B$10:$B$23,0))="","Cell will autofill based on response",INDEX('Faculties'!$M$10:$M$23,MATCH($F90,'Faculties'!$B$10:$B$23,0))),"N/A")</f>
        <v/>
      </c>
      <c r="I90" s="53">
        <f>IFERROR(IF(INDEX('Faculties'!$M$30:$M$43,MATCH($F90,'Faculties'!$B$30:$B$43,0))="","Cell will autofill based on response",INDEX('Faculties'!$M$30:$M$43,MATCH($F90,'Faculties'!$B$30:$B$43,0))),"N/A")</f>
        <v/>
      </c>
      <c r="J90" s="53">
        <f>IFERROR(IF(INDEX('Faculties'!$M$50:$M$63,MATCH($F90,'Faculties'!$B$50:$B$63,0))="","Cell will autofill based on response",INDEX('Faculties'!$M$50:$M$63,MATCH($F90,'Faculties'!$B$50:$B$63,0))),"N/A")</f>
        <v/>
      </c>
      <c r="K90" s="53">
        <f>IFERROR(IF(INDEX('Faculties'!$M$70:$M$83,MATCH($F90,'Faculties'!$B$70:$B$83,0))="","Cell will autofill based on response",INDEX('Faculties'!$M$70:$M$83,MATCH($F90,'Faculties'!$B$70:$B$83,0))),"N/A")</f>
        <v/>
      </c>
      <c r="L90" s="53">
        <f>IFERROR(IF(INDEX('CI&amp;S'!$M$10:$M$15,MATCH($F90,'CI&amp;S'!$B$10:$B$15,0))="","Cell will autofill based on response",INDEX('CI&amp;S'!$M$10:$M$15,MATCH($F90,'CI&amp;S'!$B$10:$B$15,0))),"N/A")</f>
        <v/>
      </c>
      <c r="M90" s="53">
        <f>IFERROR(IF(INDEX('CI&amp;S'!$M$22:$M$36,MATCH($F90,'CI&amp;S'!$B$22:$B$36,0))="","Cell will autofill based on response",INDEX('CI&amp;S'!$M$22:$M$36,MATCH($F90,'CI&amp;S'!$B$22:$B$36,0))),"N/A")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IFERROR(IF(INDEX('MRE'!$M$10:$M$15,MATCH($F90,'MRE'!$B$10:$B$15,0))="","Cell will autofill based on response",INDEX('MRE'!$M$10:$M$15,MATCH($F90,'MRE'!$B$10:$B$15,0))),"N/A")</f>
        <v/>
      </c>
      <c r="S90" s="53">
        <f>IFERROR(IF(INDEX('AC&amp;M'!$M$10:$M$14,MATCH($F90,'AC&amp;M'!$B$10:$B$14,0))="","Cell will autofill based on response",INDEX('AC&amp;M'!$M$10:$M$14,MATCH($F90,'AC&amp;M'!$B$10:$B$14,0))),"N/A")</f>
        <v/>
      </c>
      <c r="T90" s="53">
        <f>IFERROR(IF(INDEX('GCE'!$M$10:$M$12,MATCH($F90,'GCE'!$B$10:$B$12,0))="","Cell will autofill based on response",INDEX('GCE'!$M$10:$M$12,MATCH($F90,'GCE'!$B$10:$B$12,0))),"N/A")</f>
        <v/>
      </c>
      <c r="U90" s="53">
        <f>IFERROR(IF(INDEX('Education'!$M$10:$M$13,MATCH($F90,'Education'!$B$10:$B$13,0))="","Cell will autofill based on response",INDEX('Education'!$M$10:$M$13,MATCH($F90,'Education'!$B$10:$B$13,0))),"N/A")</f>
        <v/>
      </c>
      <c r="V90" s="53">
        <f>IFERROR(IF(INDEX('SaSS'!$M$10:$M$12,MATCH($F90,'SaSS'!$B$10:$B$12,0))="","Cell will autofill based on response",INDEX('SaSS'!$M$10:$M$12,MATCH($F90,'SaSS'!$B$10:$B$12,0))),"N/A")</f>
        <v/>
      </c>
      <c r="W90" s="53">
        <f>IFERROR(IF(INDEX('Indigenous'!$M$10:$M$11,MATCH($F90,'Indigenous'!$B$10:$B$11,0))="","Cell will autofill based on response",INDEX('Indigenous'!$M$10:$M$11,MATCH($F90,'Indigenous'!$B$10:$B$11,0))),"N/A")</f>
        <v/>
      </c>
      <c r="X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IFERROR(IF(INDEX('Faculties'!$N$10:$N$23,MATCH($F91,'Faculties'!$B$10:$B$23,0))="","Cell will autofill based on response",INDEX('Faculties'!$N$10:$N$23,MATCH($F91,'Faculties'!$B$10:$B$23,0))),"N/A")</f>
        <v/>
      </c>
      <c r="I91" s="53">
        <f>IFERROR(IF(INDEX('Faculties'!$N$30:$N$43,MATCH($F91,'Faculties'!$B$30:$B$43,0))="","Cell will autofill based on response",INDEX('Faculties'!$N$30:$N$43,MATCH($F91,'Faculties'!$B$30:$B$43,0))),"N/A")</f>
        <v/>
      </c>
      <c r="J91" s="53">
        <f>IFERROR(IF(INDEX('Faculties'!$N$50:$N$63,MATCH($F91,'Faculties'!$B$50:$B$63,0))="","Cell will autofill based on response",INDEX('Faculties'!$N$50:$N$63,MATCH($F91,'Faculties'!$B$50:$B$63,0))),"N/A")</f>
        <v/>
      </c>
      <c r="K91" s="53">
        <f>IFERROR(IF(INDEX('Faculties'!$N$70:$N$83,MATCH($F91,'Faculties'!$B$70:$B$83,0))="","Cell will autofill based on response",INDEX('Faculties'!$N$70:$N$83,MATCH($F91,'Faculties'!$B$70:$B$83,0))),"N/A")</f>
        <v/>
      </c>
      <c r="L91" s="53">
        <f>IFERROR(IF(INDEX('CI&amp;S'!$N$10:$N$15,MATCH($F91,'CI&amp;S'!$B$10:$B$15,0))="","Cell will autofill based on response",INDEX('CI&amp;S'!$N$10:$N$15,MATCH($F91,'CI&amp;S'!$B$10:$B$15,0))),"N/A")</f>
        <v/>
      </c>
      <c r="M91" s="53">
        <f>IFERROR(IF(INDEX('CI&amp;S'!$N$22:$N$36,MATCH($F91,'CI&amp;S'!$B$22:$B$36,0))="","Cell will autofill based on response",INDEX('CI&amp;S'!$N$22:$N$36,MATCH($F91,'CI&amp;S'!$B$22:$B$36,0))),"N/A")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IFERROR(IF(INDEX('MRE'!$N$10:$N$15,MATCH($F91,'MRE'!$B$10:$B$15,0))="","Cell will autofill based on response",INDEX('MRE'!$N$10:$N$15,MATCH($F91,'MRE'!$B$10:$B$15,0))),"N/A")</f>
        <v/>
      </c>
      <c r="S91" s="53">
        <f>IFERROR(IF(INDEX('AC&amp;M'!$N$10:$N$14,MATCH($F91,'AC&amp;M'!$B$10:$B$14,0))="","Cell will autofill based on response",INDEX('AC&amp;M'!$N$10:$N$14,MATCH($F91,'AC&amp;M'!$B$10:$B$14,0))),"N/A")</f>
        <v/>
      </c>
      <c r="T91" s="53">
        <f>IFERROR(IF(INDEX('GCE'!$N$10:$N$12,MATCH($F91,'GCE'!$B$10:$B$12,0))="","Cell will autofill based on response",INDEX('GCE'!$N$10:$N$12,MATCH($F91,'GCE'!$B$10:$B$12,0))),"N/A")</f>
        <v/>
      </c>
      <c r="U91" s="53">
        <f>IFERROR(IF(INDEX('Education'!$N$10:$N$13,MATCH($F91,'Education'!$B$10:$B$13,0))="","Cell will autofill based on response",INDEX('Education'!$N$10:$N$13,MATCH($F91,'Education'!$B$10:$B$13,0))),"N/A")</f>
        <v/>
      </c>
      <c r="V91" s="53">
        <f>IFERROR(IF(INDEX('SaSS'!$N$10:$N$12,MATCH($F91,'SaSS'!$B$10:$B$12,0))="","Cell will autofill based on response",INDEX('SaSS'!$N$10:$N$12,MATCH($F91,'SaSS'!$B$10:$B$12,0))),"N/A")</f>
        <v/>
      </c>
      <c r="W91" s="53">
        <f>IFERROR(IF(INDEX('Indigenous'!$N$10:$N$11,MATCH($F91,'Indigenous'!$B$10:$B$11,0))="","Cell will autofill based on response",INDEX('Indigenous'!$N$10:$N$11,MATCH($F91,'Indigenous'!$B$10:$B$11,0))),"N/A")</f>
        <v/>
      </c>
      <c r="X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IFERROR(IF(INDEX('Faculties'!$O$10:$O$23,MATCH($F92,'Faculties'!$B$10:$B$23,0))="","Cell will autofill based on response",INDEX('Faculties'!$O$10:$O$23,MATCH($F92,'Faculties'!$B$10:$B$23,0))),"N/A")</f>
        <v/>
      </c>
      <c r="I92" s="53">
        <f>IFERROR(IF(INDEX('Faculties'!$O$30:$O$43,MATCH($F92,'Faculties'!$B$30:$B$43,0))="","Cell will autofill based on response",INDEX('Faculties'!$O$30:$O$43,MATCH($F92,'Faculties'!$B$30:$B$43,0))),"N/A")</f>
        <v/>
      </c>
      <c r="J92" s="53">
        <f>IFERROR(IF(INDEX('Faculties'!$O$50:$O$63,MATCH($F92,'Faculties'!$B$50:$B$63,0))="","Cell will autofill based on response",INDEX('Faculties'!$O$50:$O$63,MATCH($F92,'Faculties'!$B$50:$B$63,0))),"N/A")</f>
        <v/>
      </c>
      <c r="K92" s="53">
        <f>IFERROR(IF(INDEX('Faculties'!$O$70:$O$83,MATCH($F92,'Faculties'!$B$70:$B$83,0))="","Cell will autofill based on response",INDEX('Faculties'!$O$70:$O$83,MATCH($F92,'Faculties'!$B$70:$B$83,0))),"N/A")</f>
        <v/>
      </c>
      <c r="L92" s="53">
        <f>IFERROR(IF(INDEX('CI&amp;S'!$O$10:$O$15,MATCH($F92,'CI&amp;S'!$B$10:$B$15,0))="","Cell will autofill based on response",INDEX('CI&amp;S'!$O$10:$O$15,MATCH($F92,'CI&amp;S'!$B$10:$B$15,0))),"N/A")</f>
        <v/>
      </c>
      <c r="M92" s="53">
        <f>IFERROR(IF(INDEX('CI&amp;S'!$O$22:$O$36,MATCH($F92,'CI&amp;S'!$B$22:$B$36,0))="","Cell will autofill based on response",INDEX('CI&amp;S'!$O$22:$O$36,MATCH($F92,'CI&amp;S'!$B$22:$B$36,0))),"N/A")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IFERROR(IF(INDEX('MRE'!$O$10:$O$15,MATCH($F92,'MRE'!$B$10:$B$15,0))="","Cell will autofill based on response",INDEX('MRE'!$O$10:$O$15,MATCH($F92,'MRE'!$B$10:$B$15,0))),"N/A")</f>
        <v/>
      </c>
      <c r="S92" s="53">
        <f>IFERROR(IF(INDEX('AC&amp;M'!$O$10:$O$14,MATCH($F92,'AC&amp;M'!$B$10:$B$14,0))="","Cell will autofill based on response",INDEX('AC&amp;M'!$O$10:$O$14,MATCH($F92,'AC&amp;M'!$B$10:$B$14,0))),"N/A")</f>
        <v/>
      </c>
      <c r="T92" s="53">
        <f>IFERROR(IF(INDEX('GCE'!$O$10:$O$12,MATCH($F92,'GCE'!$B$10:$B$12,0))="","Cell will autofill based on response",INDEX('GCE'!$O$10:$O$12,MATCH($F92,'GCE'!$B$10:$B$12,0))),"N/A")</f>
        <v/>
      </c>
      <c r="U92" s="53">
        <f>IFERROR(IF(INDEX('Education'!$O$10:$O$13,MATCH($F92,'Education'!$B$10:$B$13,0))="","Cell will autofill based on response",INDEX('Education'!$O$10:$O$13,MATCH($F92,'Education'!$B$10:$B$13,0))),"N/A")</f>
        <v/>
      </c>
      <c r="V92" s="53">
        <f>IFERROR(IF(INDEX('SaSS'!$O$10:$O$12,MATCH($F92,'SaSS'!$B$10:$B$12,0))="","Cell will autofill based on response",INDEX('SaSS'!$O$10:$O$12,MATCH($F92,'SaSS'!$B$10:$B$12,0))),"N/A")</f>
        <v/>
      </c>
      <c r="W92" s="53">
        <f>IFERROR(IF(INDEX('Indigenous'!$O$10:$O$11,MATCH($F92,'Indigenous'!$B$10:$B$11,0))="","Cell will autofill based on response",INDEX('Indigenous'!$O$10:$O$11,MATCH($F92,'Indigenous'!$B$10:$B$11,0))),"N/A")</f>
        <v/>
      </c>
      <c r="X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IFERROR(IF(INDEX('Faculties'!$P$10:$P$23,MATCH($F93,'Faculties'!$B$10:$B$23,0))="","Cell will autofill based on response",INDEX('Faculties'!$P$10:$P$23,MATCH($F93,'Faculties'!$B$10:$B$23,0))),"N/A")</f>
        <v/>
      </c>
      <c r="I93" s="53">
        <f>IFERROR(IF(INDEX('Faculties'!$P$30:$P$43,MATCH($F93,'Faculties'!$B$30:$B$43,0))="","Cell will autofill based on response",INDEX('Faculties'!$P$30:$P$43,MATCH($F93,'Faculties'!$B$30:$B$43,0))),"N/A")</f>
        <v/>
      </c>
      <c r="J93" s="53">
        <f>IFERROR(IF(INDEX('Faculties'!$P$50:$P$63,MATCH($F93,'Faculties'!$B$50:$B$63,0))="","Cell will autofill based on response",INDEX('Faculties'!$P$50:$P$63,MATCH($F93,'Faculties'!$B$50:$B$63,0))),"N/A")</f>
        <v/>
      </c>
      <c r="K93" s="53">
        <f>IFERROR(IF(INDEX('Faculties'!$P$70:$P$83,MATCH($F93,'Faculties'!$B$70:$B$83,0))="","Cell will autofill based on response",INDEX('Faculties'!$P$70:$P$83,MATCH($F93,'Faculties'!$B$70:$B$83,0))),"N/A")</f>
        <v/>
      </c>
      <c r="L93" s="53">
        <f>IFERROR(IF(INDEX('CI&amp;S'!$P$10:$P$15,MATCH($F93,'CI&amp;S'!$B$10:$B$15,0))="","Cell will autofill based on response",INDEX('CI&amp;S'!$P$10:$P$15,MATCH($F93,'CI&amp;S'!$B$10:$B$15,0))),"N/A")</f>
        <v/>
      </c>
      <c r="M93" s="53">
        <f>IFERROR(IF(INDEX('CI&amp;S'!$P$22:$P$36,MATCH($F93,'CI&amp;S'!$B$22:$B$36,0))="","Cell will autofill based on response",INDEX('CI&amp;S'!$P$22:$P$36,MATCH($F93,'CI&amp;S'!$B$22:$B$36,0))),"N/A")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IFERROR(IF(INDEX('MRE'!$P$10:$P$15,MATCH($F93,'MRE'!$B$10:$B$15,0))="","Cell will autofill based on response",INDEX('MRE'!$P$10:$P$15,MATCH($F93,'MRE'!$B$10:$B$15,0))),"N/A")</f>
        <v/>
      </c>
      <c r="S93" s="53">
        <f>IFERROR(IF(INDEX('AC&amp;M'!$P$10:$P$14,MATCH($F93,'AC&amp;M'!$B$10:$B$14,0))="","Cell will autofill based on response",INDEX('AC&amp;M'!$P$10:$P$14,MATCH($F93,'AC&amp;M'!$B$10:$B$14,0))),"N/A")</f>
        <v/>
      </c>
      <c r="T93" s="53">
        <f>IFERROR(IF(INDEX('GCE'!$P$10:$P$12,MATCH($F93,'GCE'!$B$10:$B$12,0))="","Cell will autofill based on response",INDEX('GCE'!$P$10:$P$12,MATCH($F93,'GCE'!$B$10:$B$12,0))),"N/A")</f>
        <v/>
      </c>
      <c r="U93" s="53">
        <f>IFERROR(IF(INDEX('Education'!$P$10:$P$13,MATCH($F93,'Education'!$B$10:$B$13,0))="","Cell will autofill based on response",INDEX('Education'!$P$10:$P$13,MATCH($F93,'Education'!$B$10:$B$13,0))),"N/A")</f>
        <v/>
      </c>
      <c r="V93" s="53">
        <f>IFERROR(IF(INDEX('SaSS'!$P$10:$P$12,MATCH($F93,'SaSS'!$B$10:$B$12,0))="","Cell will autofill based on response",INDEX('SaSS'!$P$10:$P$12,MATCH($F93,'SaSS'!$B$10:$B$12,0))),"N/A")</f>
        <v/>
      </c>
      <c r="W93" s="53">
        <f>IFERROR(IF(INDEX('Indigenous'!$P$10:$P$11,MATCH($F93,'Indigenous'!$B$10:$B$11,0))="","Cell will autofill based on response",INDEX('Indigenous'!$P$10:$P$11,MATCH($F93,'Indigenous'!$B$10:$B$11,0))),"N/A")</f>
        <v/>
      </c>
      <c r="X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IFERROR(IF(INDEX('Faculties'!$Q$10:$Q$23,MATCH($F94,'Faculties'!$B$10:$B$23,0))="","Cell will autofill based on response",INDEX('Faculties'!$Q$10:$Q$23,MATCH($F94,'Faculties'!$B$10:$B$23,0))),"N/A")</f>
        <v/>
      </c>
      <c r="I94" s="53">
        <f>IFERROR(IF(INDEX('Faculties'!$Q$30:$Q$43,MATCH($F94,'Faculties'!$B$30:$B$43,0))="","Cell will autofill based on response",INDEX('Faculties'!$Q$30:$Q$43,MATCH($F94,'Faculties'!$B$30:$B$43,0))),"N/A")</f>
        <v/>
      </c>
      <c r="J94" s="53">
        <f>IFERROR(IF(INDEX('Faculties'!$Q$50:$Q$63,MATCH($F94,'Faculties'!$B$50:$B$63,0))="","Cell will autofill based on response",INDEX('Faculties'!$Q$50:$Q$63,MATCH($F94,'Faculties'!$B$50:$B$63,0))),"N/A")</f>
        <v/>
      </c>
      <c r="K94" s="53">
        <f>IFERROR(IF(INDEX('Faculties'!$Q$70:$Q$83,MATCH($F94,'Faculties'!$B$70:$B$83,0))="","Cell will autofill based on response",INDEX('Faculties'!$Q$70:$Q$83,MATCH($F94,'Faculties'!$B$70:$B$83,0))),"N/A")</f>
        <v/>
      </c>
      <c r="L94" s="53">
        <f>IFERROR(IF(INDEX('CI&amp;S'!$Q$10:$Q$15,MATCH($F94,'CI&amp;S'!$B$10:$B$15,0))="","Cell will autofill based on response",INDEX('CI&amp;S'!$Q$10:$Q$15,MATCH($F94,'CI&amp;S'!$B$10:$B$15,0))),"N/A")</f>
        <v/>
      </c>
      <c r="M94" s="53">
        <f>IFERROR(IF(INDEX('CI&amp;S'!$Q$22:$Q$36,MATCH($F94,'CI&amp;S'!$B$22:$B$36,0))="","Cell will autofill based on response",INDEX('CI&amp;S'!$Q$22:$Q$36,MATCH($F94,'CI&amp;S'!$B$22:$B$36,0))),"N/A")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IFERROR(IF(INDEX('MRE'!$Q$10:$Q$15,MATCH($F94,'MRE'!$B$10:$B$15,0))="","Cell will autofill based on response",INDEX('MRE'!$Q$10:$Q$15,MATCH($F94,'MRE'!$B$10:$B$15,0))),"N/A")</f>
        <v/>
      </c>
      <c r="S94" s="53">
        <f>IFERROR(IF(INDEX('AC&amp;M'!$Q$10:$Q$14,MATCH($F94,'AC&amp;M'!$B$10:$B$14,0))="","Cell will autofill based on response",INDEX('AC&amp;M'!$Q$10:$Q$14,MATCH($F94,'AC&amp;M'!$B$10:$B$14,0))),"N/A")</f>
        <v/>
      </c>
      <c r="T94" s="53">
        <f>IFERROR(IF(INDEX('GCE'!$Q$10:$Q$12,MATCH($F94,'GCE'!$B$10:$B$12,0))="","Cell will autofill based on response",INDEX('GCE'!$Q$10:$Q$12,MATCH($F94,'GCE'!$B$10:$B$12,0))),"N/A")</f>
        <v/>
      </c>
      <c r="U94" s="53">
        <f>IFERROR(IF(INDEX('Education'!$Q$10:$Q$13,MATCH($F94,'Education'!$B$10:$B$13,0))="","Cell will autofill based on response",INDEX('Education'!$Q$10:$Q$13,MATCH($F94,'Education'!$B$10:$B$13,0))),"N/A")</f>
        <v/>
      </c>
      <c r="V94" s="53">
        <f>IFERROR(IF(INDEX('SaSS'!$Q$10:$Q$12,MATCH($F94,'SaSS'!$B$10:$B$12,0))="","Cell will autofill based on response",INDEX('SaSS'!$Q$10:$Q$12,MATCH($F94,'SaSS'!$B$10:$B$12,0))),"N/A")</f>
        <v/>
      </c>
      <c r="W94" s="53">
        <f>IFERROR(IF(INDEX('Indigenous'!$Q$10:$Q$11,MATCH($F94,'Indigenous'!$B$10:$B$11,0))="","Cell will autofill based on response",INDEX('Indigenous'!$Q$10:$Q$11,MATCH($F94,'Indigenous'!$B$10:$B$11,0))),"N/A")</f>
        <v/>
      </c>
      <c r="X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IFERROR(IF(INDEX('Faculties'!$L$10:$L$23,MATCH($F95,'Faculties'!$B$10:$B$23,0))="","Cell will autofill based on response",INDEX('Faculties'!$L$10:$L$23,MATCH($F95,'Faculties'!$B$10:$B$23,0))),"N/A")</f>
        <v/>
      </c>
      <c r="I95" s="53">
        <f>IFERROR(IF(INDEX('Faculties'!$L$30:$L$43,MATCH($F95,'Faculties'!$B$30:$B$43,0))="","Cell will autofill based on response",INDEX('Faculties'!$L$30:$L$43,MATCH($F95,'Faculties'!$B$30:$B$43,0))),"N/A")</f>
        <v/>
      </c>
      <c r="J95" s="53">
        <f>IFERROR(IF(INDEX('Faculties'!$L$50:$L$63,MATCH($F95,'Faculties'!$B$50:$B$63,0))="","Cell will autofill based on response",INDEX('Faculties'!$L$50:$L$63,MATCH($F95,'Faculties'!$B$50:$B$63,0))),"N/A")</f>
        <v/>
      </c>
      <c r="K95" s="53">
        <f>IFERROR(IF(INDEX('Faculties'!$L$70:$L$83,MATCH($F95,'Faculties'!$B$70:$B$83,0))="","Cell will autofill based on response",INDEX('Faculties'!$L$70:$L$83,MATCH($F95,'Faculties'!$B$70:$B$83,0))),"N/A")</f>
        <v/>
      </c>
      <c r="L95" s="53">
        <f>IFERROR(IF(INDEX('CI&amp;S'!$L$10:$L$15,MATCH($F95,'CI&amp;S'!$B$10:$B$15,0))="","Cell will autofill based on response",INDEX('CI&amp;S'!$L$10:$L$15,MATCH($F95,'CI&amp;S'!$B$10:$B$15,0))),"N/A")</f>
        <v/>
      </c>
      <c r="M95" s="53">
        <f>IFERROR(IF(INDEX('CI&amp;S'!$L$22:$L$36,MATCH($F95,'CI&amp;S'!$B$22:$B$36,0))="","Cell will autofill based on response",INDEX('CI&amp;S'!$L$22:$L$36,MATCH($F95,'CI&amp;S'!$B$22:$B$36,0))),"N/A")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IFERROR(IF(INDEX('MRE'!$L$10:$L$15,MATCH($F95,'MRE'!$B$10:$B$15,0))="","Cell will autofill based on response",INDEX('MRE'!$L$10:$L$15,MATCH($F95,'MRE'!$B$10:$B$15,0))),"N/A")</f>
        <v/>
      </c>
      <c r="S95" s="53">
        <f>IFERROR(IF(INDEX('AC&amp;M'!$L$10:$L$14,MATCH($F95,'AC&amp;M'!$B$10:$B$14,0))="","Cell will autofill based on response",INDEX('AC&amp;M'!$L$10:$L$14,MATCH($F95,'AC&amp;M'!$B$10:$B$14,0))),"N/A")</f>
        <v/>
      </c>
      <c r="T95" s="53">
        <f>IFERROR(IF(INDEX('GCE'!$L$10:$L$12,MATCH($F95,'GCE'!$B$10:$B$12,0))="","Cell will autofill based on response",INDEX('GCE'!$L$10:$L$12,MATCH($F95,'GCE'!$B$10:$B$12,0))),"N/A")</f>
        <v/>
      </c>
      <c r="U95" s="53">
        <f>IFERROR(IF(INDEX('Education'!$L$10:$L$13,MATCH($F95,'Education'!$B$10:$B$13,0))="","Cell will autofill based on response",INDEX('Education'!$L$10:$L$13,MATCH($F95,'Education'!$B$10:$B$13,0))),"N/A")</f>
        <v/>
      </c>
      <c r="V95" s="53">
        <f>IFERROR(IF(INDEX('SaSS'!$L$10:$L$12,MATCH($F95,'SaSS'!$B$10:$B$12,0))="","Cell will autofill based on response",INDEX('SaSS'!$L$10:$L$12,MATCH($F95,'SaSS'!$B$10:$B$12,0))),"N/A")</f>
        <v/>
      </c>
      <c r="W95" s="53">
        <f>IFERROR(IF(INDEX('Indigenous'!$L$10:$L$11,MATCH($F95,'Indigenous'!$B$10:$B$11,0))="","Cell will autofill based on response",INDEX('Indigenous'!$L$10:$L$11,MATCH($F95,'Indigenous'!$B$10:$B$11,0))),"N/A")</f>
        <v/>
      </c>
      <c r="X95" s="53">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4">
        <f>IF(AF95&gt;0,AE95/AF95,"No valid responses to date")</f>
        <v/>
      </c>
      <c r="AH95" s="10">
        <f>IF(ISNUMBER(AG95),INDEX(Lists!$G$2:$G$5,MATCH(ROUND(AG95,0),Lists!$H$2:$H$5,0)),"")</f>
        <v/>
      </c>
      <c r="AI95" s="55">
        <f>IF(AF95&gt;0,AD95/AF95,"")</f>
        <v/>
      </c>
      <c r="AJ95" s="55">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IFERROR(IF(INDEX('Faculties'!$M$10:$M$23,MATCH($F96,'Faculties'!$B$10:$B$23,0))="","Cell will autofill based on response",INDEX('Faculties'!$M$10:$M$23,MATCH($F96,'Faculties'!$B$10:$B$23,0))),"N/A")</f>
        <v/>
      </c>
      <c r="I96" s="53">
        <f>IFERROR(IF(INDEX('Faculties'!$M$30:$M$43,MATCH($F96,'Faculties'!$B$30:$B$43,0))="","Cell will autofill based on response",INDEX('Faculties'!$M$30:$M$43,MATCH($F96,'Faculties'!$B$30:$B$43,0))),"N/A")</f>
        <v/>
      </c>
      <c r="J96" s="53">
        <f>IFERROR(IF(INDEX('Faculties'!$M$50:$M$63,MATCH($F96,'Faculties'!$B$50:$B$63,0))="","Cell will autofill based on response",INDEX('Faculties'!$M$50:$M$63,MATCH($F96,'Faculties'!$B$50:$B$63,0))),"N/A")</f>
        <v/>
      </c>
      <c r="K96" s="53">
        <f>IFERROR(IF(INDEX('Faculties'!$M$70:$M$83,MATCH($F96,'Faculties'!$B$70:$B$83,0))="","Cell will autofill based on response",INDEX('Faculties'!$M$70:$M$83,MATCH($F96,'Faculties'!$B$70:$B$83,0))),"N/A")</f>
        <v/>
      </c>
      <c r="L96" s="53">
        <f>IFERROR(IF(INDEX('CI&amp;S'!$M$10:$M$15,MATCH($F96,'CI&amp;S'!$B$10:$B$15,0))="","Cell will autofill based on response",INDEX('CI&amp;S'!$M$10:$M$15,MATCH($F96,'CI&amp;S'!$B$10:$B$15,0))),"N/A")</f>
        <v/>
      </c>
      <c r="M96" s="53">
        <f>IFERROR(IF(INDEX('CI&amp;S'!$M$22:$M$36,MATCH($F96,'CI&amp;S'!$B$22:$B$36,0))="","Cell will autofill based on response",INDEX('CI&amp;S'!$M$22:$M$36,MATCH($F96,'CI&amp;S'!$B$22:$B$36,0))),"N/A")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IFERROR(IF(INDEX('MRE'!$M$10:$M$15,MATCH($F96,'MRE'!$B$10:$B$15,0))="","Cell will autofill based on response",INDEX('MRE'!$M$10:$M$15,MATCH($F96,'MRE'!$B$10:$B$15,0))),"N/A")</f>
        <v/>
      </c>
      <c r="S96" s="53">
        <f>IFERROR(IF(INDEX('AC&amp;M'!$M$10:$M$14,MATCH($F96,'AC&amp;M'!$B$10:$B$14,0))="","Cell will autofill based on response",INDEX('AC&amp;M'!$M$10:$M$14,MATCH($F96,'AC&amp;M'!$B$10:$B$14,0))),"N/A")</f>
        <v/>
      </c>
      <c r="T96" s="53">
        <f>IFERROR(IF(INDEX('GCE'!$M$10:$M$12,MATCH($F96,'GCE'!$B$10:$B$12,0))="","Cell will autofill based on response",INDEX('GCE'!$M$10:$M$12,MATCH($F96,'GCE'!$B$10:$B$12,0))),"N/A")</f>
        <v/>
      </c>
      <c r="U96" s="53">
        <f>IFERROR(IF(INDEX('Education'!$M$10:$M$13,MATCH($F96,'Education'!$B$10:$B$13,0))="","Cell will autofill based on response",INDEX('Education'!$M$10:$M$13,MATCH($F96,'Education'!$B$10:$B$13,0))),"N/A")</f>
        <v/>
      </c>
      <c r="V96" s="53">
        <f>IFERROR(IF(INDEX('SaSS'!$M$10:$M$12,MATCH($F96,'SaSS'!$B$10:$B$12,0))="","Cell will autofill based on response",INDEX('SaSS'!$M$10:$M$12,MATCH($F96,'SaSS'!$B$10:$B$12,0))),"N/A")</f>
        <v/>
      </c>
      <c r="W96" s="53">
        <f>IFERROR(IF(INDEX('Indigenous'!$M$10:$M$11,MATCH($F96,'Indigenous'!$B$10:$B$11,0))="","Cell will autofill based on response",INDEX('Indigenous'!$M$10:$M$11,MATCH($F96,'Indigenous'!$B$10:$B$11,0))),"N/A")</f>
        <v/>
      </c>
      <c r="X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IFERROR(IF(INDEX('Faculties'!$N$10:$N$23,MATCH($F97,'Faculties'!$B$10:$B$23,0))="","Cell will autofill based on response",INDEX('Faculties'!$N$10:$N$23,MATCH($F97,'Faculties'!$B$10:$B$23,0))),"N/A")</f>
        <v/>
      </c>
      <c r="I97" s="53">
        <f>IFERROR(IF(INDEX('Faculties'!$N$30:$N$43,MATCH($F97,'Faculties'!$B$30:$B$43,0))="","Cell will autofill based on response",INDEX('Faculties'!$N$30:$N$43,MATCH($F97,'Faculties'!$B$30:$B$43,0))),"N/A")</f>
        <v/>
      </c>
      <c r="J97" s="53">
        <f>IFERROR(IF(INDEX('Faculties'!$N$50:$N$63,MATCH($F97,'Faculties'!$B$50:$B$63,0))="","Cell will autofill based on response",INDEX('Faculties'!$N$50:$N$63,MATCH($F97,'Faculties'!$B$50:$B$63,0))),"N/A")</f>
        <v/>
      </c>
      <c r="K97" s="53">
        <f>IFERROR(IF(INDEX('Faculties'!$N$70:$N$83,MATCH($F97,'Faculties'!$B$70:$B$83,0))="","Cell will autofill based on response",INDEX('Faculties'!$N$70:$N$83,MATCH($F97,'Faculties'!$B$70:$B$83,0))),"N/A")</f>
        <v/>
      </c>
      <c r="L97" s="53">
        <f>IFERROR(IF(INDEX('CI&amp;S'!$N$10:$N$15,MATCH($F97,'CI&amp;S'!$B$10:$B$15,0))="","Cell will autofill based on response",INDEX('CI&amp;S'!$N$10:$N$15,MATCH($F97,'CI&amp;S'!$B$10:$B$15,0))),"N/A")</f>
        <v/>
      </c>
      <c r="M97" s="53">
        <f>IFERROR(IF(INDEX('CI&amp;S'!$N$22:$N$36,MATCH($F97,'CI&amp;S'!$B$22:$B$36,0))="","Cell will autofill based on response",INDEX('CI&amp;S'!$N$22:$N$36,MATCH($F97,'CI&amp;S'!$B$22:$B$36,0))),"N/A")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IFERROR(IF(INDEX('MRE'!$N$10:$N$15,MATCH($F97,'MRE'!$B$10:$B$15,0))="","Cell will autofill based on response",INDEX('MRE'!$N$10:$N$15,MATCH($F97,'MRE'!$B$10:$B$15,0))),"N/A")</f>
        <v/>
      </c>
      <c r="S97" s="53">
        <f>IFERROR(IF(INDEX('AC&amp;M'!$N$10:$N$14,MATCH($F97,'AC&amp;M'!$B$10:$B$14,0))="","Cell will autofill based on response",INDEX('AC&amp;M'!$N$10:$N$14,MATCH($F97,'AC&amp;M'!$B$10:$B$14,0))),"N/A")</f>
        <v/>
      </c>
      <c r="T97" s="53">
        <f>IFERROR(IF(INDEX('GCE'!$N$10:$N$12,MATCH($F97,'GCE'!$B$10:$B$12,0))="","Cell will autofill based on response",INDEX('GCE'!$N$10:$N$12,MATCH($F97,'GCE'!$B$10:$B$12,0))),"N/A")</f>
        <v/>
      </c>
      <c r="U97" s="53">
        <f>IFERROR(IF(INDEX('Education'!$N$10:$N$13,MATCH($F97,'Education'!$B$10:$B$13,0))="","Cell will autofill based on response",INDEX('Education'!$N$10:$N$13,MATCH($F97,'Education'!$B$10:$B$13,0))),"N/A")</f>
        <v/>
      </c>
      <c r="V97" s="53">
        <f>IFERROR(IF(INDEX('SaSS'!$N$10:$N$12,MATCH($F97,'SaSS'!$B$10:$B$12,0))="","Cell will autofill based on response",INDEX('SaSS'!$N$10:$N$12,MATCH($F97,'SaSS'!$B$10:$B$12,0))),"N/A")</f>
        <v/>
      </c>
      <c r="W97" s="53">
        <f>IFERROR(IF(INDEX('Indigenous'!$N$10:$N$11,MATCH($F97,'Indigenous'!$B$10:$B$11,0))="","Cell will autofill based on response",INDEX('Indigenous'!$N$10:$N$11,MATCH($F97,'Indigenous'!$B$10:$B$11,0))),"N/A")</f>
        <v/>
      </c>
      <c r="X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IFERROR(IF(INDEX('Faculties'!$O$10:$O$23,MATCH($F98,'Faculties'!$B$10:$B$23,0))="","Cell will autofill based on response",INDEX('Faculties'!$O$10:$O$23,MATCH($F98,'Faculties'!$B$10:$B$23,0))),"N/A")</f>
        <v/>
      </c>
      <c r="I98" s="53">
        <f>IFERROR(IF(INDEX('Faculties'!$O$30:$O$43,MATCH($F98,'Faculties'!$B$30:$B$43,0))="","Cell will autofill based on response",INDEX('Faculties'!$O$30:$O$43,MATCH($F98,'Faculties'!$B$30:$B$43,0))),"N/A")</f>
        <v/>
      </c>
      <c r="J98" s="53">
        <f>IFERROR(IF(INDEX('Faculties'!$O$50:$O$63,MATCH($F98,'Faculties'!$B$50:$B$63,0))="","Cell will autofill based on response",INDEX('Faculties'!$O$50:$O$63,MATCH($F98,'Faculties'!$B$50:$B$63,0))),"N/A")</f>
        <v/>
      </c>
      <c r="K98" s="53">
        <f>IFERROR(IF(INDEX('Faculties'!$O$70:$O$83,MATCH($F98,'Faculties'!$B$70:$B$83,0))="","Cell will autofill based on response",INDEX('Faculties'!$O$70:$O$83,MATCH($F98,'Faculties'!$B$70:$B$83,0))),"N/A")</f>
        <v/>
      </c>
      <c r="L98" s="53">
        <f>IFERROR(IF(INDEX('CI&amp;S'!$O$10:$O$15,MATCH($F98,'CI&amp;S'!$B$10:$B$15,0))="","Cell will autofill based on response",INDEX('CI&amp;S'!$O$10:$O$15,MATCH($F98,'CI&amp;S'!$B$10:$B$15,0))),"N/A")</f>
        <v/>
      </c>
      <c r="M98" s="53">
        <f>IFERROR(IF(INDEX('CI&amp;S'!$O$22:$O$36,MATCH($F98,'CI&amp;S'!$B$22:$B$36,0))="","Cell will autofill based on response",INDEX('CI&amp;S'!$O$22:$O$36,MATCH($F98,'CI&amp;S'!$B$22:$B$36,0))),"N/A")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IFERROR(IF(INDEX('MRE'!$O$10:$O$15,MATCH($F98,'MRE'!$B$10:$B$15,0))="","Cell will autofill based on response",INDEX('MRE'!$O$10:$O$15,MATCH($F98,'MRE'!$B$10:$B$15,0))),"N/A")</f>
        <v/>
      </c>
      <c r="S98" s="53">
        <f>IFERROR(IF(INDEX('AC&amp;M'!$O$10:$O$14,MATCH($F98,'AC&amp;M'!$B$10:$B$14,0))="","Cell will autofill based on response",INDEX('AC&amp;M'!$O$10:$O$14,MATCH($F98,'AC&amp;M'!$B$10:$B$14,0))),"N/A")</f>
        <v/>
      </c>
      <c r="T98" s="53">
        <f>IFERROR(IF(INDEX('GCE'!$O$10:$O$12,MATCH($F98,'GCE'!$B$10:$B$12,0))="","Cell will autofill based on response",INDEX('GCE'!$O$10:$O$12,MATCH($F98,'GCE'!$B$10:$B$12,0))),"N/A")</f>
        <v/>
      </c>
      <c r="U98" s="53">
        <f>IFERROR(IF(INDEX('Education'!$O$10:$O$13,MATCH($F98,'Education'!$B$10:$B$13,0))="","Cell will autofill based on response",INDEX('Education'!$O$10:$O$13,MATCH($F98,'Education'!$B$10:$B$13,0))),"N/A")</f>
        <v/>
      </c>
      <c r="V98" s="53">
        <f>IFERROR(IF(INDEX('SaSS'!$O$10:$O$12,MATCH($F98,'SaSS'!$B$10:$B$12,0))="","Cell will autofill based on response",INDEX('SaSS'!$O$10:$O$12,MATCH($F98,'SaSS'!$B$10:$B$12,0))),"N/A")</f>
        <v/>
      </c>
      <c r="W98" s="53">
        <f>IFERROR(IF(INDEX('Indigenous'!$O$10:$O$11,MATCH($F98,'Indigenous'!$B$10:$B$11,0))="","Cell will autofill based on response",INDEX('Indigenous'!$O$10:$O$11,MATCH($F98,'Indigenous'!$B$10:$B$11,0))),"N/A")</f>
        <v/>
      </c>
      <c r="X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IFERROR(IF(INDEX('Faculties'!$P$10:$P$23,MATCH($F99,'Faculties'!$B$10:$B$23,0))="","Cell will autofill based on response",INDEX('Faculties'!$P$10:$P$23,MATCH($F99,'Faculties'!$B$10:$B$23,0))),"N/A")</f>
        <v/>
      </c>
      <c r="I99" s="53">
        <f>IFERROR(IF(INDEX('Faculties'!$P$30:$P$43,MATCH($F99,'Faculties'!$B$30:$B$43,0))="","Cell will autofill based on response",INDEX('Faculties'!$P$30:$P$43,MATCH($F99,'Faculties'!$B$30:$B$43,0))),"N/A")</f>
        <v/>
      </c>
      <c r="J99" s="53">
        <f>IFERROR(IF(INDEX('Faculties'!$P$50:$P$63,MATCH($F99,'Faculties'!$B$50:$B$63,0))="","Cell will autofill based on response",INDEX('Faculties'!$P$50:$P$63,MATCH($F99,'Faculties'!$B$50:$B$63,0))),"N/A")</f>
        <v/>
      </c>
      <c r="K99" s="53">
        <f>IFERROR(IF(INDEX('Faculties'!$P$70:$P$83,MATCH($F99,'Faculties'!$B$70:$B$83,0))="","Cell will autofill based on response",INDEX('Faculties'!$P$70:$P$83,MATCH($F99,'Faculties'!$B$70:$B$83,0))),"N/A")</f>
        <v/>
      </c>
      <c r="L99" s="53">
        <f>IFERROR(IF(INDEX('CI&amp;S'!$P$10:$P$15,MATCH($F99,'CI&amp;S'!$B$10:$B$15,0))="","Cell will autofill based on response",INDEX('CI&amp;S'!$P$10:$P$15,MATCH($F99,'CI&amp;S'!$B$10:$B$15,0))),"N/A")</f>
        <v/>
      </c>
      <c r="M99" s="53">
        <f>IFERROR(IF(INDEX('CI&amp;S'!$P$22:$P$36,MATCH($F99,'CI&amp;S'!$B$22:$B$36,0))="","Cell will autofill based on response",INDEX('CI&amp;S'!$P$22:$P$36,MATCH($F99,'CI&amp;S'!$B$22:$B$36,0))),"N/A")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IFERROR(IF(INDEX('MRE'!$P$10:$P$15,MATCH($F99,'MRE'!$B$10:$B$15,0))="","Cell will autofill based on response",INDEX('MRE'!$P$10:$P$15,MATCH($F99,'MRE'!$B$10:$B$15,0))),"N/A")</f>
        <v/>
      </c>
      <c r="S99" s="53">
        <f>IFERROR(IF(INDEX('AC&amp;M'!$P$10:$P$14,MATCH($F99,'AC&amp;M'!$B$10:$B$14,0))="","Cell will autofill based on response",INDEX('AC&amp;M'!$P$10:$P$14,MATCH($F99,'AC&amp;M'!$B$10:$B$14,0))),"N/A")</f>
        <v/>
      </c>
      <c r="T99" s="53">
        <f>IFERROR(IF(INDEX('GCE'!$P$10:$P$12,MATCH($F99,'GCE'!$B$10:$B$12,0))="","Cell will autofill based on response",INDEX('GCE'!$P$10:$P$12,MATCH($F99,'GCE'!$B$10:$B$12,0))),"N/A")</f>
        <v/>
      </c>
      <c r="U99" s="53">
        <f>IFERROR(IF(INDEX('Education'!$P$10:$P$13,MATCH($F99,'Education'!$B$10:$B$13,0))="","Cell will autofill based on response",INDEX('Education'!$P$10:$P$13,MATCH($F99,'Education'!$B$10:$B$13,0))),"N/A")</f>
        <v/>
      </c>
      <c r="V99" s="53">
        <f>IFERROR(IF(INDEX('SaSS'!$P$10:$P$12,MATCH($F99,'SaSS'!$B$10:$B$12,0))="","Cell will autofill based on response",INDEX('SaSS'!$P$10:$P$12,MATCH($F99,'SaSS'!$B$10:$B$12,0))),"N/A")</f>
        <v/>
      </c>
      <c r="W99" s="53">
        <f>IFERROR(IF(INDEX('Indigenous'!$P$10:$P$11,MATCH($F99,'Indigenous'!$B$10:$B$11,0))="","Cell will autofill based on response",INDEX('Indigenous'!$P$10:$P$11,MATCH($F99,'Indigenous'!$B$10:$B$11,0))),"N/A")</f>
        <v/>
      </c>
      <c r="X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IFERROR(IF(INDEX('Faculties'!$Q$10:$Q$23,MATCH($F100,'Faculties'!$B$10:$B$23,0))="","Cell will autofill based on response",INDEX('Faculties'!$Q$10:$Q$23,MATCH($F100,'Faculties'!$B$10:$B$23,0))),"N/A")</f>
        <v/>
      </c>
      <c r="I100" s="53">
        <f>IFERROR(IF(INDEX('Faculties'!$Q$30:$Q$43,MATCH($F100,'Faculties'!$B$30:$B$43,0))="","Cell will autofill based on response",INDEX('Faculties'!$Q$30:$Q$43,MATCH($F100,'Faculties'!$B$30:$B$43,0))),"N/A")</f>
        <v/>
      </c>
      <c r="J100" s="53">
        <f>IFERROR(IF(INDEX('Faculties'!$Q$50:$Q$63,MATCH($F100,'Faculties'!$B$50:$B$63,0))="","Cell will autofill based on response",INDEX('Faculties'!$Q$50:$Q$63,MATCH($F100,'Faculties'!$B$50:$B$63,0))),"N/A")</f>
        <v/>
      </c>
      <c r="K100" s="53">
        <f>IFERROR(IF(INDEX('Faculties'!$Q$70:$Q$83,MATCH($F100,'Faculties'!$B$70:$B$83,0))="","Cell will autofill based on response",INDEX('Faculties'!$Q$70:$Q$83,MATCH($F100,'Faculties'!$B$70:$B$83,0))),"N/A")</f>
        <v/>
      </c>
      <c r="L100" s="53">
        <f>IFERROR(IF(INDEX('CI&amp;S'!$Q$10:$Q$15,MATCH($F100,'CI&amp;S'!$B$10:$B$15,0))="","Cell will autofill based on response",INDEX('CI&amp;S'!$Q$10:$Q$15,MATCH($F100,'CI&amp;S'!$B$10:$B$15,0))),"N/A")</f>
        <v/>
      </c>
      <c r="M100" s="53">
        <f>IFERROR(IF(INDEX('CI&amp;S'!$Q$22:$Q$36,MATCH($F100,'CI&amp;S'!$B$22:$B$36,0))="","Cell will autofill based on response",INDEX('CI&amp;S'!$Q$22:$Q$36,MATCH($F100,'CI&amp;S'!$B$22:$B$36,0))),"N/A")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IFERROR(IF(INDEX('MRE'!$Q$10:$Q$15,MATCH($F100,'MRE'!$B$10:$B$15,0))="","Cell will autofill based on response",INDEX('MRE'!$Q$10:$Q$15,MATCH($F100,'MRE'!$B$10:$B$15,0))),"N/A")</f>
        <v/>
      </c>
      <c r="S100" s="53">
        <f>IFERROR(IF(INDEX('AC&amp;M'!$Q$10:$Q$14,MATCH($F100,'AC&amp;M'!$B$10:$B$14,0))="","Cell will autofill based on response",INDEX('AC&amp;M'!$Q$10:$Q$14,MATCH($F100,'AC&amp;M'!$B$10:$B$14,0))),"N/A")</f>
        <v/>
      </c>
      <c r="T100" s="53">
        <f>IFERROR(IF(INDEX('GCE'!$Q$10:$Q$12,MATCH($F100,'GCE'!$B$10:$B$12,0))="","Cell will autofill based on response",INDEX('GCE'!$Q$10:$Q$12,MATCH($F100,'GCE'!$B$10:$B$12,0))),"N/A")</f>
        <v/>
      </c>
      <c r="U100" s="53">
        <f>IFERROR(IF(INDEX('Education'!$Q$10:$Q$13,MATCH($F100,'Education'!$B$10:$B$13,0))="","Cell will autofill based on response",INDEX('Education'!$Q$10:$Q$13,MATCH($F100,'Education'!$B$10:$B$13,0))),"N/A")</f>
        <v/>
      </c>
      <c r="V100" s="53">
        <f>IFERROR(IF(INDEX('SaSS'!$Q$10:$Q$12,MATCH($F100,'SaSS'!$B$10:$B$12,0))="","Cell will autofill based on response",INDEX('SaSS'!$Q$10:$Q$12,MATCH($F100,'SaSS'!$B$10:$B$12,0))),"N/A")</f>
        <v/>
      </c>
      <c r="W100" s="53">
        <f>IFERROR(IF(INDEX('Indigenous'!$Q$10:$Q$11,MATCH($F100,'Indigenous'!$B$10:$B$11,0))="","Cell will autofill based on response",INDEX('Indigenous'!$Q$10:$Q$11,MATCH($F100,'Indigenous'!$B$10:$B$11,0))),"N/A")</f>
        <v/>
      </c>
      <c r="X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IFERROR(IF(INDEX('Faculties'!$L$10:$L$23,MATCH($F101,'Faculties'!$B$10:$B$23,0))="","Cell will autofill based on response",INDEX('Faculties'!$L$10:$L$23,MATCH($F101,'Faculties'!$B$10:$B$23,0))),"N/A")</f>
        <v/>
      </c>
      <c r="I101" s="53">
        <f>IFERROR(IF(INDEX('Faculties'!$L$30:$L$43,MATCH($F101,'Faculties'!$B$30:$B$43,0))="","Cell will autofill based on response",INDEX('Faculties'!$L$30:$L$43,MATCH($F101,'Faculties'!$B$30:$B$43,0))),"N/A")</f>
        <v/>
      </c>
      <c r="J101" s="53">
        <f>IFERROR(IF(INDEX('Faculties'!$L$50:$L$63,MATCH($F101,'Faculties'!$B$50:$B$63,0))="","Cell will autofill based on response",INDEX('Faculties'!$L$50:$L$63,MATCH($F101,'Faculties'!$B$50:$B$63,0))),"N/A")</f>
        <v/>
      </c>
      <c r="K101" s="53">
        <f>IFERROR(IF(INDEX('Faculties'!$L$70:$L$83,MATCH($F101,'Faculties'!$B$70:$B$83,0))="","Cell will autofill based on response",INDEX('Faculties'!$L$70:$L$83,MATCH($F101,'Faculties'!$B$70:$B$83,0))),"N/A")</f>
        <v/>
      </c>
      <c r="L101" s="53">
        <f>IFERROR(IF(INDEX('CI&amp;S'!$L$10:$L$15,MATCH($F101,'CI&amp;S'!$B$10:$B$15,0))="","Cell will autofill based on response",INDEX('CI&amp;S'!$L$10:$L$15,MATCH($F101,'CI&amp;S'!$B$10:$B$15,0))),"N/A")</f>
        <v/>
      </c>
      <c r="M101" s="53">
        <f>IFERROR(IF(INDEX('CI&amp;S'!$L$22:$L$36,MATCH($F101,'CI&amp;S'!$B$22:$B$36,0))="","Cell will autofill based on response",INDEX('CI&amp;S'!$L$22:$L$36,MATCH($F101,'CI&amp;S'!$B$22:$B$36,0))),"N/A")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IFERROR(IF(INDEX('MRE'!$L$10:$L$15,MATCH($F101,'MRE'!$B$10:$B$15,0))="","Cell will autofill based on response",INDEX('MRE'!$L$10:$L$15,MATCH($F101,'MRE'!$B$10:$B$15,0))),"N/A")</f>
        <v/>
      </c>
      <c r="S101" s="53">
        <f>IFERROR(IF(INDEX('AC&amp;M'!$L$10:$L$14,MATCH($F101,'AC&amp;M'!$B$10:$B$14,0))="","Cell will autofill based on response",INDEX('AC&amp;M'!$L$10:$L$14,MATCH($F101,'AC&amp;M'!$B$10:$B$14,0))),"N/A")</f>
        <v/>
      </c>
      <c r="T101" s="53">
        <f>IFERROR(IF(INDEX('GCE'!$L$10:$L$12,MATCH($F101,'GCE'!$B$10:$B$12,0))="","Cell will autofill based on response",INDEX('GCE'!$L$10:$L$12,MATCH($F101,'GCE'!$B$10:$B$12,0))),"N/A")</f>
        <v/>
      </c>
      <c r="U101" s="53">
        <f>IFERROR(IF(INDEX('Education'!$L$10:$L$13,MATCH($F101,'Education'!$B$10:$B$13,0))="","Cell will autofill based on response",INDEX('Education'!$L$10:$L$13,MATCH($F101,'Education'!$B$10:$B$13,0))),"N/A")</f>
        <v/>
      </c>
      <c r="V101" s="53">
        <f>IFERROR(IF(INDEX('SaSS'!$L$10:$L$12,MATCH($F101,'SaSS'!$B$10:$B$12,0))="","Cell will autofill based on response",INDEX('SaSS'!$L$10:$L$12,MATCH($F101,'SaSS'!$B$10:$B$12,0))),"N/A")</f>
        <v/>
      </c>
      <c r="W101" s="53">
        <f>IFERROR(IF(INDEX('Indigenous'!$L$10:$L$11,MATCH($F101,'Indigenous'!$B$10:$B$11,0))="","Cell will autofill based on response",INDEX('Indigenous'!$L$10:$L$11,MATCH($F101,'Indigenous'!$B$10:$B$11,0))),"N/A")</f>
        <v/>
      </c>
      <c r="X101" s="53">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4">
        <f>IF(AF101&gt;0,AE101/AF101,"No valid responses to date")</f>
        <v/>
      </c>
      <c r="AH101" s="10">
        <f>IF(ISNUMBER(AG101),INDEX(Lists!$G$2:$G$5,MATCH(ROUND(AG101,0),Lists!$H$2:$H$5,0)),"")</f>
        <v/>
      </c>
      <c r="AI101" s="55">
        <f>IF(AF101&gt;0,AD101/AF101,"")</f>
        <v/>
      </c>
      <c r="AJ101" s="55">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IFERROR(IF(INDEX('Faculties'!$M$10:$M$23,MATCH($F102,'Faculties'!$B$10:$B$23,0))="","Cell will autofill based on response",INDEX('Faculties'!$M$10:$M$23,MATCH($F102,'Faculties'!$B$10:$B$23,0))),"N/A")</f>
        <v/>
      </c>
      <c r="I102" s="53">
        <f>IFERROR(IF(INDEX('Faculties'!$M$30:$M$43,MATCH($F102,'Faculties'!$B$30:$B$43,0))="","Cell will autofill based on response",INDEX('Faculties'!$M$30:$M$43,MATCH($F102,'Faculties'!$B$30:$B$43,0))),"N/A")</f>
        <v/>
      </c>
      <c r="J102" s="53">
        <f>IFERROR(IF(INDEX('Faculties'!$M$50:$M$63,MATCH($F102,'Faculties'!$B$50:$B$63,0))="","Cell will autofill based on response",INDEX('Faculties'!$M$50:$M$63,MATCH($F102,'Faculties'!$B$50:$B$63,0))),"N/A")</f>
        <v/>
      </c>
      <c r="K102" s="53">
        <f>IFERROR(IF(INDEX('Faculties'!$M$70:$M$83,MATCH($F102,'Faculties'!$B$70:$B$83,0))="","Cell will autofill based on response",INDEX('Faculties'!$M$70:$M$83,MATCH($F102,'Faculties'!$B$70:$B$83,0))),"N/A")</f>
        <v/>
      </c>
      <c r="L102" s="53">
        <f>IFERROR(IF(INDEX('CI&amp;S'!$M$10:$M$15,MATCH($F102,'CI&amp;S'!$B$10:$B$15,0))="","Cell will autofill based on response",INDEX('CI&amp;S'!$M$10:$M$15,MATCH($F102,'CI&amp;S'!$B$10:$B$15,0))),"N/A")</f>
        <v/>
      </c>
      <c r="M102" s="53">
        <f>IFERROR(IF(INDEX('CI&amp;S'!$M$22:$M$36,MATCH($F102,'CI&amp;S'!$B$22:$B$36,0))="","Cell will autofill based on response",INDEX('CI&amp;S'!$M$22:$M$36,MATCH($F102,'CI&amp;S'!$B$22:$B$36,0))),"N/A")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IFERROR(IF(INDEX('MRE'!$M$10:$M$15,MATCH($F102,'MRE'!$B$10:$B$15,0))="","Cell will autofill based on response",INDEX('MRE'!$M$10:$M$15,MATCH($F102,'MRE'!$B$10:$B$15,0))),"N/A")</f>
        <v/>
      </c>
      <c r="S102" s="53">
        <f>IFERROR(IF(INDEX('AC&amp;M'!$M$10:$M$14,MATCH($F102,'AC&amp;M'!$B$10:$B$14,0))="","Cell will autofill based on response",INDEX('AC&amp;M'!$M$10:$M$14,MATCH($F102,'AC&amp;M'!$B$10:$B$14,0))),"N/A")</f>
        <v/>
      </c>
      <c r="T102" s="53">
        <f>IFERROR(IF(INDEX('GCE'!$M$10:$M$12,MATCH($F102,'GCE'!$B$10:$B$12,0))="","Cell will autofill based on response",INDEX('GCE'!$M$10:$M$12,MATCH($F102,'GCE'!$B$10:$B$12,0))),"N/A")</f>
        <v/>
      </c>
      <c r="U102" s="53">
        <f>IFERROR(IF(INDEX('Education'!$M$10:$M$13,MATCH($F102,'Education'!$B$10:$B$13,0))="","Cell will autofill based on response",INDEX('Education'!$M$10:$M$13,MATCH($F102,'Education'!$B$10:$B$13,0))),"N/A")</f>
        <v/>
      </c>
      <c r="V102" s="53">
        <f>IFERROR(IF(INDEX('SaSS'!$M$10:$M$12,MATCH($F102,'SaSS'!$B$10:$B$12,0))="","Cell will autofill based on response",INDEX('SaSS'!$M$10:$M$12,MATCH($F102,'SaSS'!$B$10:$B$12,0))),"N/A")</f>
        <v/>
      </c>
      <c r="W102" s="53">
        <f>IFERROR(IF(INDEX('Indigenous'!$M$10:$M$11,MATCH($F102,'Indigenous'!$B$10:$B$11,0))="","Cell will autofill based on response",INDEX('Indigenous'!$M$10:$M$11,MATCH($F102,'Indigenous'!$B$10:$B$11,0))),"N/A")</f>
        <v/>
      </c>
      <c r="X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IFERROR(IF(INDEX('Faculties'!$N$10:$N$23,MATCH($F103,'Faculties'!$B$10:$B$23,0))="","Cell will autofill based on response",INDEX('Faculties'!$N$10:$N$23,MATCH($F103,'Faculties'!$B$10:$B$23,0))),"N/A")</f>
        <v/>
      </c>
      <c r="I103" s="53">
        <f>IFERROR(IF(INDEX('Faculties'!$N$30:$N$43,MATCH($F103,'Faculties'!$B$30:$B$43,0))="","Cell will autofill based on response",INDEX('Faculties'!$N$30:$N$43,MATCH($F103,'Faculties'!$B$30:$B$43,0))),"N/A")</f>
        <v/>
      </c>
      <c r="J103" s="53">
        <f>IFERROR(IF(INDEX('Faculties'!$N$50:$N$63,MATCH($F103,'Faculties'!$B$50:$B$63,0))="","Cell will autofill based on response",INDEX('Faculties'!$N$50:$N$63,MATCH($F103,'Faculties'!$B$50:$B$63,0))),"N/A")</f>
        <v/>
      </c>
      <c r="K103" s="53">
        <f>IFERROR(IF(INDEX('Faculties'!$N$70:$N$83,MATCH($F103,'Faculties'!$B$70:$B$83,0))="","Cell will autofill based on response",INDEX('Faculties'!$N$70:$N$83,MATCH($F103,'Faculties'!$B$70:$B$83,0))),"N/A")</f>
        <v/>
      </c>
      <c r="L103" s="53">
        <f>IFERROR(IF(INDEX('CI&amp;S'!$N$10:$N$15,MATCH($F103,'CI&amp;S'!$B$10:$B$15,0))="","Cell will autofill based on response",INDEX('CI&amp;S'!$N$10:$N$15,MATCH($F103,'CI&amp;S'!$B$10:$B$15,0))),"N/A")</f>
        <v/>
      </c>
      <c r="M103" s="53">
        <f>IFERROR(IF(INDEX('CI&amp;S'!$N$22:$N$36,MATCH($F103,'CI&amp;S'!$B$22:$B$36,0))="","Cell will autofill based on response",INDEX('CI&amp;S'!$N$22:$N$36,MATCH($F103,'CI&amp;S'!$B$22:$B$36,0))),"N/A")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IFERROR(IF(INDEX('MRE'!$N$10:$N$15,MATCH($F103,'MRE'!$B$10:$B$15,0))="","Cell will autofill based on response",INDEX('MRE'!$N$10:$N$15,MATCH($F103,'MRE'!$B$10:$B$15,0))),"N/A")</f>
        <v/>
      </c>
      <c r="S103" s="53">
        <f>IFERROR(IF(INDEX('AC&amp;M'!$N$10:$N$14,MATCH($F103,'AC&amp;M'!$B$10:$B$14,0))="","Cell will autofill based on response",INDEX('AC&amp;M'!$N$10:$N$14,MATCH($F103,'AC&amp;M'!$B$10:$B$14,0))),"N/A")</f>
        <v/>
      </c>
      <c r="T103" s="53">
        <f>IFERROR(IF(INDEX('GCE'!$N$10:$N$12,MATCH($F103,'GCE'!$B$10:$B$12,0))="","Cell will autofill based on response",INDEX('GCE'!$N$10:$N$12,MATCH($F103,'GCE'!$B$10:$B$12,0))),"N/A")</f>
        <v/>
      </c>
      <c r="U103" s="53">
        <f>IFERROR(IF(INDEX('Education'!$N$10:$N$13,MATCH($F103,'Education'!$B$10:$B$13,0))="","Cell will autofill based on response",INDEX('Education'!$N$10:$N$13,MATCH($F103,'Education'!$B$10:$B$13,0))),"N/A")</f>
        <v/>
      </c>
      <c r="V103" s="53">
        <f>IFERROR(IF(INDEX('SaSS'!$N$10:$N$12,MATCH($F103,'SaSS'!$B$10:$B$12,0))="","Cell will autofill based on response",INDEX('SaSS'!$N$10:$N$12,MATCH($F103,'SaSS'!$B$10:$B$12,0))),"N/A")</f>
        <v/>
      </c>
      <c r="W103" s="53">
        <f>IFERROR(IF(INDEX('Indigenous'!$N$10:$N$11,MATCH($F103,'Indigenous'!$B$10:$B$11,0))="","Cell will autofill based on response",INDEX('Indigenous'!$N$10:$N$11,MATCH($F103,'Indigenous'!$B$10:$B$11,0))),"N/A")</f>
        <v/>
      </c>
      <c r="X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IFERROR(IF(INDEX('Faculties'!$O$10:$O$23,MATCH($F104,'Faculties'!$B$10:$B$23,0))="","Cell will autofill based on response",INDEX('Faculties'!$O$10:$O$23,MATCH($F104,'Faculties'!$B$10:$B$23,0))),"N/A")</f>
        <v/>
      </c>
      <c r="I104" s="53">
        <f>IFERROR(IF(INDEX('Faculties'!$O$30:$O$43,MATCH($F104,'Faculties'!$B$30:$B$43,0))="","Cell will autofill based on response",INDEX('Faculties'!$O$30:$O$43,MATCH($F104,'Faculties'!$B$30:$B$43,0))),"N/A")</f>
        <v/>
      </c>
      <c r="J104" s="53">
        <f>IFERROR(IF(INDEX('Faculties'!$O$50:$O$63,MATCH($F104,'Faculties'!$B$50:$B$63,0))="","Cell will autofill based on response",INDEX('Faculties'!$O$50:$O$63,MATCH($F104,'Faculties'!$B$50:$B$63,0))),"N/A")</f>
        <v/>
      </c>
      <c r="K104" s="53">
        <f>IFERROR(IF(INDEX('Faculties'!$O$70:$O$83,MATCH($F104,'Faculties'!$B$70:$B$83,0))="","Cell will autofill based on response",INDEX('Faculties'!$O$70:$O$83,MATCH($F104,'Faculties'!$B$70:$B$83,0))),"N/A")</f>
        <v/>
      </c>
      <c r="L104" s="53">
        <f>IFERROR(IF(INDEX('CI&amp;S'!$O$10:$O$15,MATCH($F104,'CI&amp;S'!$B$10:$B$15,0))="","Cell will autofill based on response",INDEX('CI&amp;S'!$O$10:$O$15,MATCH($F104,'CI&amp;S'!$B$10:$B$15,0))),"N/A")</f>
        <v/>
      </c>
      <c r="M104" s="53">
        <f>IFERROR(IF(INDEX('CI&amp;S'!$O$22:$O$36,MATCH($F104,'CI&amp;S'!$B$22:$B$36,0))="","Cell will autofill based on response",INDEX('CI&amp;S'!$O$22:$O$36,MATCH($F104,'CI&amp;S'!$B$22:$B$36,0))),"N/A")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IFERROR(IF(INDEX('MRE'!$O$10:$O$15,MATCH($F104,'MRE'!$B$10:$B$15,0))="","Cell will autofill based on response",INDEX('MRE'!$O$10:$O$15,MATCH($F104,'MRE'!$B$10:$B$15,0))),"N/A")</f>
        <v/>
      </c>
      <c r="S104" s="53">
        <f>IFERROR(IF(INDEX('AC&amp;M'!$O$10:$O$14,MATCH($F104,'AC&amp;M'!$B$10:$B$14,0))="","Cell will autofill based on response",INDEX('AC&amp;M'!$O$10:$O$14,MATCH($F104,'AC&amp;M'!$B$10:$B$14,0))),"N/A")</f>
        <v/>
      </c>
      <c r="T104" s="53">
        <f>IFERROR(IF(INDEX('GCE'!$O$10:$O$12,MATCH($F104,'GCE'!$B$10:$B$12,0))="","Cell will autofill based on response",INDEX('GCE'!$O$10:$O$12,MATCH($F104,'GCE'!$B$10:$B$12,0))),"N/A")</f>
        <v/>
      </c>
      <c r="U104" s="53">
        <f>IFERROR(IF(INDEX('Education'!$O$10:$O$13,MATCH($F104,'Education'!$B$10:$B$13,0))="","Cell will autofill based on response",INDEX('Education'!$O$10:$O$13,MATCH($F104,'Education'!$B$10:$B$13,0))),"N/A")</f>
        <v/>
      </c>
      <c r="V104" s="53">
        <f>IFERROR(IF(INDEX('SaSS'!$O$10:$O$12,MATCH($F104,'SaSS'!$B$10:$B$12,0))="","Cell will autofill based on response",INDEX('SaSS'!$O$10:$O$12,MATCH($F104,'SaSS'!$B$10:$B$12,0))),"N/A")</f>
        <v/>
      </c>
      <c r="W104" s="53">
        <f>IFERROR(IF(INDEX('Indigenous'!$O$10:$O$11,MATCH($F104,'Indigenous'!$B$10:$B$11,0))="","Cell will autofill based on response",INDEX('Indigenous'!$O$10:$O$11,MATCH($F104,'Indigenous'!$B$10:$B$11,0))),"N/A")</f>
        <v/>
      </c>
      <c r="X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IFERROR(IF(INDEX('Faculties'!$P$10:$P$23,MATCH($F105,'Faculties'!$B$10:$B$23,0))="","Cell will autofill based on response",INDEX('Faculties'!$P$10:$P$23,MATCH($F105,'Faculties'!$B$10:$B$23,0))),"N/A")</f>
        <v/>
      </c>
      <c r="I105" s="53">
        <f>IFERROR(IF(INDEX('Faculties'!$P$30:$P$43,MATCH($F105,'Faculties'!$B$30:$B$43,0))="","Cell will autofill based on response",INDEX('Faculties'!$P$30:$P$43,MATCH($F105,'Faculties'!$B$30:$B$43,0))),"N/A")</f>
        <v/>
      </c>
      <c r="J105" s="53">
        <f>IFERROR(IF(INDEX('Faculties'!$P$50:$P$63,MATCH($F105,'Faculties'!$B$50:$B$63,0))="","Cell will autofill based on response",INDEX('Faculties'!$P$50:$P$63,MATCH($F105,'Faculties'!$B$50:$B$63,0))),"N/A")</f>
        <v/>
      </c>
      <c r="K105" s="53">
        <f>IFERROR(IF(INDEX('Faculties'!$P$70:$P$83,MATCH($F105,'Faculties'!$B$70:$B$83,0))="","Cell will autofill based on response",INDEX('Faculties'!$P$70:$P$83,MATCH($F105,'Faculties'!$B$70:$B$83,0))),"N/A")</f>
        <v/>
      </c>
      <c r="L105" s="53">
        <f>IFERROR(IF(INDEX('CI&amp;S'!$P$10:$P$15,MATCH($F105,'CI&amp;S'!$B$10:$B$15,0))="","Cell will autofill based on response",INDEX('CI&amp;S'!$P$10:$P$15,MATCH($F105,'CI&amp;S'!$B$10:$B$15,0))),"N/A")</f>
        <v/>
      </c>
      <c r="M105" s="53">
        <f>IFERROR(IF(INDEX('CI&amp;S'!$P$22:$P$36,MATCH($F105,'CI&amp;S'!$B$22:$B$36,0))="","Cell will autofill based on response",INDEX('CI&amp;S'!$P$22:$P$36,MATCH($F105,'CI&amp;S'!$B$22:$B$36,0))),"N/A")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IFERROR(IF(INDEX('MRE'!$P$10:$P$15,MATCH($F105,'MRE'!$B$10:$B$15,0))="","Cell will autofill based on response",INDEX('MRE'!$P$10:$P$15,MATCH($F105,'MRE'!$B$10:$B$15,0))),"N/A")</f>
        <v/>
      </c>
      <c r="S105" s="53">
        <f>IFERROR(IF(INDEX('AC&amp;M'!$P$10:$P$14,MATCH($F105,'AC&amp;M'!$B$10:$B$14,0))="","Cell will autofill based on response",INDEX('AC&amp;M'!$P$10:$P$14,MATCH($F105,'AC&amp;M'!$B$10:$B$14,0))),"N/A")</f>
        <v/>
      </c>
      <c r="T105" s="53">
        <f>IFERROR(IF(INDEX('GCE'!$P$10:$P$12,MATCH($F105,'GCE'!$B$10:$B$12,0))="","Cell will autofill based on response",INDEX('GCE'!$P$10:$P$12,MATCH($F105,'GCE'!$B$10:$B$12,0))),"N/A")</f>
        <v/>
      </c>
      <c r="U105" s="53">
        <f>IFERROR(IF(INDEX('Education'!$P$10:$P$13,MATCH($F105,'Education'!$B$10:$B$13,0))="","Cell will autofill based on response",INDEX('Education'!$P$10:$P$13,MATCH($F105,'Education'!$B$10:$B$13,0))),"N/A")</f>
        <v/>
      </c>
      <c r="V105" s="53">
        <f>IFERROR(IF(INDEX('SaSS'!$P$10:$P$12,MATCH($F105,'SaSS'!$B$10:$B$12,0))="","Cell will autofill based on response",INDEX('SaSS'!$P$10:$P$12,MATCH($F105,'SaSS'!$B$10:$B$12,0))),"N/A")</f>
        <v/>
      </c>
      <c r="W105" s="53">
        <f>IFERROR(IF(INDEX('Indigenous'!$P$10:$P$11,MATCH($F105,'Indigenous'!$B$10:$B$11,0))="","Cell will autofill based on response",INDEX('Indigenous'!$P$10:$P$11,MATCH($F105,'Indigenous'!$B$10:$B$11,0))),"N/A")</f>
        <v/>
      </c>
      <c r="X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IFERROR(IF(INDEX('Faculties'!$Q$10:$Q$23,MATCH($F106,'Faculties'!$B$10:$B$23,0))="","Cell will autofill based on response",INDEX('Faculties'!$Q$10:$Q$23,MATCH($F106,'Faculties'!$B$10:$B$23,0))),"N/A")</f>
        <v/>
      </c>
      <c r="I106" s="53">
        <f>IFERROR(IF(INDEX('Faculties'!$Q$30:$Q$43,MATCH($F106,'Faculties'!$B$30:$B$43,0))="","Cell will autofill based on response",INDEX('Faculties'!$Q$30:$Q$43,MATCH($F106,'Faculties'!$B$30:$B$43,0))),"N/A")</f>
        <v/>
      </c>
      <c r="J106" s="53">
        <f>IFERROR(IF(INDEX('Faculties'!$Q$50:$Q$63,MATCH($F106,'Faculties'!$B$50:$B$63,0))="","Cell will autofill based on response",INDEX('Faculties'!$Q$50:$Q$63,MATCH($F106,'Faculties'!$B$50:$B$63,0))),"N/A")</f>
        <v/>
      </c>
      <c r="K106" s="53">
        <f>IFERROR(IF(INDEX('Faculties'!$Q$70:$Q$83,MATCH($F106,'Faculties'!$B$70:$B$83,0))="","Cell will autofill based on response",INDEX('Faculties'!$Q$70:$Q$83,MATCH($F106,'Faculties'!$B$70:$B$83,0))),"N/A")</f>
        <v/>
      </c>
      <c r="L106" s="53">
        <f>IFERROR(IF(INDEX('CI&amp;S'!$Q$10:$Q$15,MATCH($F106,'CI&amp;S'!$B$10:$B$15,0))="","Cell will autofill based on response",INDEX('CI&amp;S'!$Q$10:$Q$15,MATCH($F106,'CI&amp;S'!$B$10:$B$15,0))),"N/A")</f>
        <v/>
      </c>
      <c r="M106" s="53">
        <f>IFERROR(IF(INDEX('CI&amp;S'!$Q$22:$Q$36,MATCH($F106,'CI&amp;S'!$B$22:$B$36,0))="","Cell will autofill based on response",INDEX('CI&amp;S'!$Q$22:$Q$36,MATCH($F106,'CI&amp;S'!$B$22:$B$36,0))),"N/A")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IFERROR(IF(INDEX('MRE'!$Q$10:$Q$15,MATCH($F106,'MRE'!$B$10:$B$15,0))="","Cell will autofill based on response",INDEX('MRE'!$Q$10:$Q$15,MATCH($F106,'MRE'!$B$10:$B$15,0))),"N/A")</f>
        <v/>
      </c>
      <c r="S106" s="53">
        <f>IFERROR(IF(INDEX('AC&amp;M'!$Q$10:$Q$14,MATCH($F106,'AC&amp;M'!$B$10:$B$14,0))="","Cell will autofill based on response",INDEX('AC&amp;M'!$Q$10:$Q$14,MATCH($F106,'AC&amp;M'!$B$10:$B$14,0))),"N/A")</f>
        <v/>
      </c>
      <c r="T106" s="53">
        <f>IFERROR(IF(INDEX('GCE'!$Q$10:$Q$12,MATCH($F106,'GCE'!$B$10:$B$12,0))="","Cell will autofill based on response",INDEX('GCE'!$Q$10:$Q$12,MATCH($F106,'GCE'!$B$10:$B$12,0))),"N/A")</f>
        <v/>
      </c>
      <c r="U106" s="53">
        <f>IFERROR(IF(INDEX('Education'!$Q$10:$Q$13,MATCH($F106,'Education'!$B$10:$B$13,0))="","Cell will autofill based on response",INDEX('Education'!$Q$10:$Q$13,MATCH($F106,'Education'!$B$10:$B$13,0))),"N/A")</f>
        <v/>
      </c>
      <c r="V106" s="53">
        <f>IFERROR(IF(INDEX('SaSS'!$Q$10:$Q$12,MATCH($F106,'SaSS'!$B$10:$B$12,0))="","Cell will autofill based on response",INDEX('SaSS'!$Q$10:$Q$12,MATCH($F106,'SaSS'!$B$10:$B$12,0))),"N/A")</f>
        <v/>
      </c>
      <c r="W106" s="53">
        <f>IFERROR(IF(INDEX('Indigenous'!$Q$10:$Q$11,MATCH($F106,'Indigenous'!$B$10:$B$11,0))="","Cell will autofill based on response",INDEX('Indigenous'!$Q$10:$Q$11,MATCH($F106,'Indigenous'!$B$10:$B$11,0))),"N/A")</f>
        <v/>
      </c>
      <c r="X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IFERROR(IF(INDEX('Faculties'!$L$10:$L$23,MATCH($F107,'Faculties'!$B$10:$B$23,0))="","Cell will autofill based on response",INDEX('Faculties'!$L$10:$L$23,MATCH($F107,'Faculties'!$B$10:$B$23,0))),"N/A")</f>
        <v/>
      </c>
      <c r="I107" s="53">
        <f>IFERROR(IF(INDEX('Faculties'!$L$30:$L$43,MATCH($F107,'Faculties'!$B$30:$B$43,0))="","Cell will autofill based on response",INDEX('Faculties'!$L$30:$L$43,MATCH($F107,'Faculties'!$B$30:$B$43,0))),"N/A")</f>
        <v/>
      </c>
      <c r="J107" s="53">
        <f>IFERROR(IF(INDEX('Faculties'!$L$50:$L$63,MATCH($F107,'Faculties'!$B$50:$B$63,0))="","Cell will autofill based on response",INDEX('Faculties'!$L$50:$L$63,MATCH($F107,'Faculties'!$B$50:$B$63,0))),"N/A")</f>
        <v/>
      </c>
      <c r="K107" s="53">
        <f>IFERROR(IF(INDEX('Faculties'!$L$70:$L$83,MATCH($F107,'Faculties'!$B$70:$B$83,0))="","Cell will autofill based on response",INDEX('Faculties'!$L$70:$L$83,MATCH($F107,'Faculties'!$B$70:$B$83,0))),"N/A")</f>
        <v/>
      </c>
      <c r="L107" s="53">
        <f>IFERROR(IF(INDEX('CI&amp;S'!$L$10:$L$15,MATCH($F107,'CI&amp;S'!$B$10:$B$15,0))="","Cell will autofill based on response",INDEX('CI&amp;S'!$L$10:$L$15,MATCH($F107,'CI&amp;S'!$B$10:$B$15,0))),"N/A")</f>
        <v/>
      </c>
      <c r="M107" s="53">
        <f>IFERROR(IF(INDEX('CI&amp;S'!$L$22:$L$36,MATCH($F107,'CI&amp;S'!$B$22:$B$36,0))="","Cell will autofill based on response",INDEX('CI&amp;S'!$L$22:$L$36,MATCH($F107,'CI&amp;S'!$B$22:$B$36,0))),"N/A")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IFERROR(IF(INDEX('MRE'!$L$10:$L$15,MATCH($F107,'MRE'!$B$10:$B$15,0))="","Cell will autofill based on response",INDEX('MRE'!$L$10:$L$15,MATCH($F107,'MRE'!$B$10:$B$15,0))),"N/A")</f>
        <v/>
      </c>
      <c r="S107" s="53">
        <f>IFERROR(IF(INDEX('AC&amp;M'!$L$10:$L$14,MATCH($F107,'AC&amp;M'!$B$10:$B$14,0))="","Cell will autofill based on response",INDEX('AC&amp;M'!$L$10:$L$14,MATCH($F107,'AC&amp;M'!$B$10:$B$14,0))),"N/A")</f>
        <v/>
      </c>
      <c r="T107" s="53">
        <f>IFERROR(IF(INDEX('GCE'!$L$10:$L$12,MATCH($F107,'GCE'!$B$10:$B$12,0))="","Cell will autofill based on response",INDEX('GCE'!$L$10:$L$12,MATCH($F107,'GCE'!$B$10:$B$12,0))),"N/A")</f>
        <v/>
      </c>
      <c r="U107" s="53">
        <f>IFERROR(IF(INDEX('Education'!$L$10:$L$13,MATCH($F107,'Education'!$B$10:$B$13,0))="","Cell will autofill based on response",INDEX('Education'!$L$10:$L$13,MATCH($F107,'Education'!$B$10:$B$13,0))),"N/A")</f>
        <v/>
      </c>
      <c r="V107" s="53">
        <f>IFERROR(IF(INDEX('SaSS'!$L$10:$L$12,MATCH($F107,'SaSS'!$B$10:$B$12,0))="","Cell will autofill based on response",INDEX('SaSS'!$L$10:$L$12,MATCH($F107,'SaSS'!$B$10:$B$12,0))),"N/A")</f>
        <v/>
      </c>
      <c r="W107" s="53">
        <f>IFERROR(IF(INDEX('Indigenous'!$L$10:$L$11,MATCH($F107,'Indigenous'!$B$10:$B$11,0))="","Cell will autofill based on response",INDEX('Indigenous'!$L$10:$L$11,MATCH($F107,'Indigenous'!$B$10:$B$11,0))),"N/A")</f>
        <v/>
      </c>
      <c r="X107" s="53">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4">
        <f>IF(AF107&gt;0,AE107/AF107,"No valid responses to date")</f>
        <v/>
      </c>
      <c r="AH107" s="10">
        <f>IF(ISNUMBER(AG107),INDEX(Lists!$G$2:$G$5,MATCH(ROUND(AG107,0),Lists!$H$2:$H$5,0)),"")</f>
        <v/>
      </c>
      <c r="AI107" s="55">
        <f>IF(AF107&gt;0,AD107/AF107,"")</f>
        <v/>
      </c>
      <c r="AJ107" s="55">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IFERROR(IF(INDEX('Faculties'!$M$10:$M$23,MATCH($F108,'Faculties'!$B$10:$B$23,0))="","Cell will autofill based on response",INDEX('Faculties'!$M$10:$M$23,MATCH($F108,'Faculties'!$B$10:$B$23,0))),"N/A")</f>
        <v/>
      </c>
      <c r="I108" s="53">
        <f>IFERROR(IF(INDEX('Faculties'!$M$30:$M$43,MATCH($F108,'Faculties'!$B$30:$B$43,0))="","Cell will autofill based on response",INDEX('Faculties'!$M$30:$M$43,MATCH($F108,'Faculties'!$B$30:$B$43,0))),"N/A")</f>
        <v/>
      </c>
      <c r="J108" s="53">
        <f>IFERROR(IF(INDEX('Faculties'!$M$50:$M$63,MATCH($F108,'Faculties'!$B$50:$B$63,0))="","Cell will autofill based on response",INDEX('Faculties'!$M$50:$M$63,MATCH($F108,'Faculties'!$B$50:$B$63,0))),"N/A")</f>
        <v/>
      </c>
      <c r="K108" s="53">
        <f>IFERROR(IF(INDEX('Faculties'!$M$70:$M$83,MATCH($F108,'Faculties'!$B$70:$B$83,0))="","Cell will autofill based on response",INDEX('Faculties'!$M$70:$M$83,MATCH($F108,'Faculties'!$B$70:$B$83,0))),"N/A")</f>
        <v/>
      </c>
      <c r="L108" s="53">
        <f>IFERROR(IF(INDEX('CI&amp;S'!$M$10:$M$15,MATCH($F108,'CI&amp;S'!$B$10:$B$15,0))="","Cell will autofill based on response",INDEX('CI&amp;S'!$M$10:$M$15,MATCH($F108,'CI&amp;S'!$B$10:$B$15,0))),"N/A")</f>
        <v/>
      </c>
      <c r="M108" s="53">
        <f>IFERROR(IF(INDEX('CI&amp;S'!$M$22:$M$36,MATCH($F108,'CI&amp;S'!$B$22:$B$36,0))="","Cell will autofill based on response",INDEX('CI&amp;S'!$M$22:$M$36,MATCH($F108,'CI&amp;S'!$B$22:$B$36,0))),"N/A")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IFERROR(IF(INDEX('MRE'!$M$10:$M$15,MATCH($F108,'MRE'!$B$10:$B$15,0))="","Cell will autofill based on response",INDEX('MRE'!$M$10:$M$15,MATCH($F108,'MRE'!$B$10:$B$15,0))),"N/A")</f>
        <v/>
      </c>
      <c r="S108" s="53">
        <f>IFERROR(IF(INDEX('AC&amp;M'!$M$10:$M$14,MATCH($F108,'AC&amp;M'!$B$10:$B$14,0))="","Cell will autofill based on response",INDEX('AC&amp;M'!$M$10:$M$14,MATCH($F108,'AC&amp;M'!$B$10:$B$14,0))),"N/A")</f>
        <v/>
      </c>
      <c r="T108" s="53">
        <f>IFERROR(IF(INDEX('GCE'!$M$10:$M$12,MATCH($F108,'GCE'!$B$10:$B$12,0))="","Cell will autofill based on response",INDEX('GCE'!$M$10:$M$12,MATCH($F108,'GCE'!$B$10:$B$12,0))),"N/A")</f>
        <v/>
      </c>
      <c r="U108" s="53">
        <f>IFERROR(IF(INDEX('Education'!$M$10:$M$13,MATCH($F108,'Education'!$B$10:$B$13,0))="","Cell will autofill based on response",INDEX('Education'!$M$10:$M$13,MATCH($F108,'Education'!$B$10:$B$13,0))),"N/A")</f>
        <v/>
      </c>
      <c r="V108" s="53">
        <f>IFERROR(IF(INDEX('SaSS'!$M$10:$M$12,MATCH($F108,'SaSS'!$B$10:$B$12,0))="","Cell will autofill based on response",INDEX('SaSS'!$M$10:$M$12,MATCH($F108,'SaSS'!$B$10:$B$12,0))),"N/A")</f>
        <v/>
      </c>
      <c r="W108" s="53">
        <f>IFERROR(IF(INDEX('Indigenous'!$M$10:$M$11,MATCH($F108,'Indigenous'!$B$10:$B$11,0))="","Cell will autofill based on response",INDEX('Indigenous'!$M$10:$M$11,MATCH($F108,'Indigenous'!$B$10:$B$11,0))),"N/A")</f>
        <v/>
      </c>
      <c r="X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IFERROR(IF(INDEX('Faculties'!$N$10:$N$23,MATCH($F109,'Faculties'!$B$10:$B$23,0))="","Cell will autofill based on response",INDEX('Faculties'!$N$10:$N$23,MATCH($F109,'Faculties'!$B$10:$B$23,0))),"N/A")</f>
        <v/>
      </c>
      <c r="I109" s="53">
        <f>IFERROR(IF(INDEX('Faculties'!$N$30:$N$43,MATCH($F109,'Faculties'!$B$30:$B$43,0))="","Cell will autofill based on response",INDEX('Faculties'!$N$30:$N$43,MATCH($F109,'Faculties'!$B$30:$B$43,0))),"N/A")</f>
        <v/>
      </c>
      <c r="J109" s="53">
        <f>IFERROR(IF(INDEX('Faculties'!$N$50:$N$63,MATCH($F109,'Faculties'!$B$50:$B$63,0))="","Cell will autofill based on response",INDEX('Faculties'!$N$50:$N$63,MATCH($F109,'Faculties'!$B$50:$B$63,0))),"N/A")</f>
        <v/>
      </c>
      <c r="K109" s="53">
        <f>IFERROR(IF(INDEX('Faculties'!$N$70:$N$83,MATCH($F109,'Faculties'!$B$70:$B$83,0))="","Cell will autofill based on response",INDEX('Faculties'!$N$70:$N$83,MATCH($F109,'Faculties'!$B$70:$B$83,0))),"N/A")</f>
        <v/>
      </c>
      <c r="L109" s="53">
        <f>IFERROR(IF(INDEX('CI&amp;S'!$N$10:$N$15,MATCH($F109,'CI&amp;S'!$B$10:$B$15,0))="","Cell will autofill based on response",INDEX('CI&amp;S'!$N$10:$N$15,MATCH($F109,'CI&amp;S'!$B$10:$B$15,0))),"N/A")</f>
        <v/>
      </c>
      <c r="M109" s="53">
        <f>IFERROR(IF(INDEX('CI&amp;S'!$N$22:$N$36,MATCH($F109,'CI&amp;S'!$B$22:$B$36,0))="","Cell will autofill based on response",INDEX('CI&amp;S'!$N$22:$N$36,MATCH($F109,'CI&amp;S'!$B$22:$B$36,0))),"N/A")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IFERROR(IF(INDEX('MRE'!$N$10:$N$15,MATCH($F109,'MRE'!$B$10:$B$15,0))="","Cell will autofill based on response",INDEX('MRE'!$N$10:$N$15,MATCH($F109,'MRE'!$B$10:$B$15,0))),"N/A")</f>
        <v/>
      </c>
      <c r="S109" s="53">
        <f>IFERROR(IF(INDEX('AC&amp;M'!$N$10:$N$14,MATCH($F109,'AC&amp;M'!$B$10:$B$14,0))="","Cell will autofill based on response",INDEX('AC&amp;M'!$N$10:$N$14,MATCH($F109,'AC&amp;M'!$B$10:$B$14,0))),"N/A")</f>
        <v/>
      </c>
      <c r="T109" s="53">
        <f>IFERROR(IF(INDEX('GCE'!$N$10:$N$12,MATCH($F109,'GCE'!$B$10:$B$12,0))="","Cell will autofill based on response",INDEX('GCE'!$N$10:$N$12,MATCH($F109,'GCE'!$B$10:$B$12,0))),"N/A")</f>
        <v/>
      </c>
      <c r="U109" s="53">
        <f>IFERROR(IF(INDEX('Education'!$N$10:$N$13,MATCH($F109,'Education'!$B$10:$B$13,0))="","Cell will autofill based on response",INDEX('Education'!$N$10:$N$13,MATCH($F109,'Education'!$B$10:$B$13,0))),"N/A")</f>
        <v/>
      </c>
      <c r="V109" s="53">
        <f>IFERROR(IF(INDEX('SaSS'!$N$10:$N$12,MATCH($F109,'SaSS'!$B$10:$B$12,0))="","Cell will autofill based on response",INDEX('SaSS'!$N$10:$N$12,MATCH($F109,'SaSS'!$B$10:$B$12,0))),"N/A")</f>
        <v/>
      </c>
      <c r="W109" s="53">
        <f>IFERROR(IF(INDEX('Indigenous'!$N$10:$N$11,MATCH($F109,'Indigenous'!$B$10:$B$11,0))="","Cell will autofill based on response",INDEX('Indigenous'!$N$10:$N$11,MATCH($F109,'Indigenous'!$B$10:$B$11,0))),"N/A")</f>
        <v/>
      </c>
      <c r="X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IFERROR(IF(INDEX('Faculties'!$O$10:$O$23,MATCH($F110,'Faculties'!$B$10:$B$23,0))="","Cell will autofill based on response",INDEX('Faculties'!$O$10:$O$23,MATCH($F110,'Faculties'!$B$10:$B$23,0))),"N/A")</f>
        <v/>
      </c>
      <c r="I110" s="53">
        <f>IFERROR(IF(INDEX('Faculties'!$O$30:$O$43,MATCH($F110,'Faculties'!$B$30:$B$43,0))="","Cell will autofill based on response",INDEX('Faculties'!$O$30:$O$43,MATCH($F110,'Faculties'!$B$30:$B$43,0))),"N/A")</f>
        <v/>
      </c>
      <c r="J110" s="53">
        <f>IFERROR(IF(INDEX('Faculties'!$O$50:$O$63,MATCH($F110,'Faculties'!$B$50:$B$63,0))="","Cell will autofill based on response",INDEX('Faculties'!$O$50:$O$63,MATCH($F110,'Faculties'!$B$50:$B$63,0))),"N/A")</f>
        <v/>
      </c>
      <c r="K110" s="53">
        <f>IFERROR(IF(INDEX('Faculties'!$O$70:$O$83,MATCH($F110,'Faculties'!$B$70:$B$83,0))="","Cell will autofill based on response",INDEX('Faculties'!$O$70:$O$83,MATCH($F110,'Faculties'!$B$70:$B$83,0))),"N/A")</f>
        <v/>
      </c>
      <c r="L110" s="53">
        <f>IFERROR(IF(INDEX('CI&amp;S'!$O$10:$O$15,MATCH($F110,'CI&amp;S'!$B$10:$B$15,0))="","Cell will autofill based on response",INDEX('CI&amp;S'!$O$10:$O$15,MATCH($F110,'CI&amp;S'!$B$10:$B$15,0))),"N/A")</f>
        <v/>
      </c>
      <c r="M110" s="53">
        <f>IFERROR(IF(INDEX('CI&amp;S'!$O$22:$O$36,MATCH($F110,'CI&amp;S'!$B$22:$B$36,0))="","Cell will autofill based on response",INDEX('CI&amp;S'!$O$22:$O$36,MATCH($F110,'CI&amp;S'!$B$22:$B$36,0))),"N/A")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IFERROR(IF(INDEX('MRE'!$O$10:$O$15,MATCH($F110,'MRE'!$B$10:$B$15,0))="","Cell will autofill based on response",INDEX('MRE'!$O$10:$O$15,MATCH($F110,'MRE'!$B$10:$B$15,0))),"N/A")</f>
        <v/>
      </c>
      <c r="S110" s="53">
        <f>IFERROR(IF(INDEX('AC&amp;M'!$O$10:$O$14,MATCH($F110,'AC&amp;M'!$B$10:$B$14,0))="","Cell will autofill based on response",INDEX('AC&amp;M'!$O$10:$O$14,MATCH($F110,'AC&amp;M'!$B$10:$B$14,0))),"N/A")</f>
        <v/>
      </c>
      <c r="T110" s="53">
        <f>IFERROR(IF(INDEX('GCE'!$O$10:$O$12,MATCH($F110,'GCE'!$B$10:$B$12,0))="","Cell will autofill based on response",INDEX('GCE'!$O$10:$O$12,MATCH($F110,'GCE'!$B$10:$B$12,0))),"N/A")</f>
        <v/>
      </c>
      <c r="U110" s="53">
        <f>IFERROR(IF(INDEX('Education'!$O$10:$O$13,MATCH($F110,'Education'!$B$10:$B$13,0))="","Cell will autofill based on response",INDEX('Education'!$O$10:$O$13,MATCH($F110,'Education'!$B$10:$B$13,0))),"N/A")</f>
        <v/>
      </c>
      <c r="V110" s="53">
        <f>IFERROR(IF(INDEX('SaSS'!$O$10:$O$12,MATCH($F110,'SaSS'!$B$10:$B$12,0))="","Cell will autofill based on response",INDEX('SaSS'!$O$10:$O$12,MATCH($F110,'SaSS'!$B$10:$B$12,0))),"N/A")</f>
        <v/>
      </c>
      <c r="W110" s="53">
        <f>IFERROR(IF(INDEX('Indigenous'!$O$10:$O$11,MATCH($F110,'Indigenous'!$B$10:$B$11,0))="","Cell will autofill based on response",INDEX('Indigenous'!$O$10:$O$11,MATCH($F110,'Indigenous'!$B$10:$B$11,0))),"N/A")</f>
        <v/>
      </c>
      <c r="X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IFERROR(IF(INDEX('Faculties'!$P$10:$P$23,MATCH($F111,'Faculties'!$B$10:$B$23,0))="","Cell will autofill based on response",INDEX('Faculties'!$P$10:$P$23,MATCH($F111,'Faculties'!$B$10:$B$23,0))),"N/A")</f>
        <v/>
      </c>
      <c r="I111" s="53">
        <f>IFERROR(IF(INDEX('Faculties'!$P$30:$P$43,MATCH($F111,'Faculties'!$B$30:$B$43,0))="","Cell will autofill based on response",INDEX('Faculties'!$P$30:$P$43,MATCH($F111,'Faculties'!$B$30:$B$43,0))),"N/A")</f>
        <v/>
      </c>
      <c r="J111" s="53">
        <f>IFERROR(IF(INDEX('Faculties'!$P$50:$P$63,MATCH($F111,'Faculties'!$B$50:$B$63,0))="","Cell will autofill based on response",INDEX('Faculties'!$P$50:$P$63,MATCH($F111,'Faculties'!$B$50:$B$63,0))),"N/A")</f>
        <v/>
      </c>
      <c r="K111" s="53">
        <f>IFERROR(IF(INDEX('Faculties'!$P$70:$P$83,MATCH($F111,'Faculties'!$B$70:$B$83,0))="","Cell will autofill based on response",INDEX('Faculties'!$P$70:$P$83,MATCH($F111,'Faculties'!$B$70:$B$83,0))),"N/A")</f>
        <v/>
      </c>
      <c r="L111" s="53">
        <f>IFERROR(IF(INDEX('CI&amp;S'!$P$10:$P$15,MATCH($F111,'CI&amp;S'!$B$10:$B$15,0))="","Cell will autofill based on response",INDEX('CI&amp;S'!$P$10:$P$15,MATCH($F111,'CI&amp;S'!$B$10:$B$15,0))),"N/A")</f>
        <v/>
      </c>
      <c r="M111" s="53">
        <f>IFERROR(IF(INDEX('CI&amp;S'!$P$22:$P$36,MATCH($F111,'CI&amp;S'!$B$22:$B$36,0))="","Cell will autofill based on response",INDEX('CI&amp;S'!$P$22:$P$36,MATCH($F111,'CI&amp;S'!$B$22:$B$36,0))),"N/A")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IFERROR(IF(INDEX('MRE'!$P$10:$P$15,MATCH($F111,'MRE'!$B$10:$B$15,0))="","Cell will autofill based on response",INDEX('MRE'!$P$10:$P$15,MATCH($F111,'MRE'!$B$10:$B$15,0))),"N/A")</f>
        <v/>
      </c>
      <c r="S111" s="53">
        <f>IFERROR(IF(INDEX('AC&amp;M'!$P$10:$P$14,MATCH($F111,'AC&amp;M'!$B$10:$B$14,0))="","Cell will autofill based on response",INDEX('AC&amp;M'!$P$10:$P$14,MATCH($F111,'AC&amp;M'!$B$10:$B$14,0))),"N/A")</f>
        <v/>
      </c>
      <c r="T111" s="53">
        <f>IFERROR(IF(INDEX('GCE'!$P$10:$P$12,MATCH($F111,'GCE'!$B$10:$B$12,0))="","Cell will autofill based on response",INDEX('GCE'!$P$10:$P$12,MATCH($F111,'GCE'!$B$10:$B$12,0))),"N/A")</f>
        <v/>
      </c>
      <c r="U111" s="53">
        <f>IFERROR(IF(INDEX('Education'!$P$10:$P$13,MATCH($F111,'Education'!$B$10:$B$13,0))="","Cell will autofill based on response",INDEX('Education'!$P$10:$P$13,MATCH($F111,'Education'!$B$10:$B$13,0))),"N/A")</f>
        <v/>
      </c>
      <c r="V111" s="53">
        <f>IFERROR(IF(INDEX('SaSS'!$P$10:$P$12,MATCH($F111,'SaSS'!$B$10:$B$12,0))="","Cell will autofill based on response",INDEX('SaSS'!$P$10:$P$12,MATCH($F111,'SaSS'!$B$10:$B$12,0))),"N/A")</f>
        <v/>
      </c>
      <c r="W111" s="53">
        <f>IFERROR(IF(INDEX('Indigenous'!$P$10:$P$11,MATCH($F111,'Indigenous'!$B$10:$B$11,0))="","Cell will autofill based on response",INDEX('Indigenous'!$P$10:$P$11,MATCH($F111,'Indigenous'!$B$10:$B$11,0))),"N/A")</f>
        <v/>
      </c>
      <c r="X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IFERROR(IF(INDEX('Faculties'!$Q$10:$Q$23,MATCH($F112,'Faculties'!$B$10:$B$23,0))="","Cell will autofill based on response",INDEX('Faculties'!$Q$10:$Q$23,MATCH($F112,'Faculties'!$B$10:$B$23,0))),"N/A")</f>
        <v/>
      </c>
      <c r="I112" s="53">
        <f>IFERROR(IF(INDEX('Faculties'!$Q$30:$Q$43,MATCH($F112,'Faculties'!$B$30:$B$43,0))="","Cell will autofill based on response",INDEX('Faculties'!$Q$30:$Q$43,MATCH($F112,'Faculties'!$B$30:$B$43,0))),"N/A")</f>
        <v/>
      </c>
      <c r="J112" s="53">
        <f>IFERROR(IF(INDEX('Faculties'!$Q$50:$Q$63,MATCH($F112,'Faculties'!$B$50:$B$63,0))="","Cell will autofill based on response",INDEX('Faculties'!$Q$50:$Q$63,MATCH($F112,'Faculties'!$B$50:$B$63,0))),"N/A")</f>
        <v/>
      </c>
      <c r="K112" s="53">
        <f>IFERROR(IF(INDEX('Faculties'!$Q$70:$Q$83,MATCH($F112,'Faculties'!$B$70:$B$83,0))="","Cell will autofill based on response",INDEX('Faculties'!$Q$70:$Q$83,MATCH($F112,'Faculties'!$B$70:$B$83,0))),"N/A")</f>
        <v/>
      </c>
      <c r="L112" s="53">
        <f>IFERROR(IF(INDEX('CI&amp;S'!$Q$10:$Q$15,MATCH($F112,'CI&amp;S'!$B$10:$B$15,0))="","Cell will autofill based on response",INDEX('CI&amp;S'!$Q$10:$Q$15,MATCH($F112,'CI&amp;S'!$B$10:$B$15,0))),"N/A")</f>
        <v/>
      </c>
      <c r="M112" s="53">
        <f>IFERROR(IF(INDEX('CI&amp;S'!$Q$22:$Q$36,MATCH($F112,'CI&amp;S'!$B$22:$B$36,0))="","Cell will autofill based on response",INDEX('CI&amp;S'!$Q$22:$Q$36,MATCH($F112,'CI&amp;S'!$B$22:$B$36,0))),"N/A")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IFERROR(IF(INDEX('MRE'!$Q$10:$Q$15,MATCH($F112,'MRE'!$B$10:$B$15,0))="","Cell will autofill based on response",INDEX('MRE'!$Q$10:$Q$15,MATCH($F112,'MRE'!$B$10:$B$15,0))),"N/A")</f>
        <v/>
      </c>
      <c r="S112" s="53">
        <f>IFERROR(IF(INDEX('AC&amp;M'!$Q$10:$Q$14,MATCH($F112,'AC&amp;M'!$B$10:$B$14,0))="","Cell will autofill based on response",INDEX('AC&amp;M'!$Q$10:$Q$14,MATCH($F112,'AC&amp;M'!$B$10:$B$14,0))),"N/A")</f>
        <v/>
      </c>
      <c r="T112" s="53">
        <f>IFERROR(IF(INDEX('GCE'!$Q$10:$Q$12,MATCH($F112,'GCE'!$B$10:$B$12,0))="","Cell will autofill based on response",INDEX('GCE'!$Q$10:$Q$12,MATCH($F112,'GCE'!$B$10:$B$12,0))),"N/A")</f>
        <v/>
      </c>
      <c r="U112" s="53">
        <f>IFERROR(IF(INDEX('Education'!$Q$10:$Q$13,MATCH($F112,'Education'!$B$10:$B$13,0))="","Cell will autofill based on response",INDEX('Education'!$Q$10:$Q$13,MATCH($F112,'Education'!$B$10:$B$13,0))),"N/A")</f>
        <v/>
      </c>
      <c r="V112" s="53">
        <f>IFERROR(IF(INDEX('SaSS'!$Q$10:$Q$12,MATCH($F112,'SaSS'!$B$10:$B$12,0))="","Cell will autofill based on response",INDEX('SaSS'!$Q$10:$Q$12,MATCH($F112,'SaSS'!$B$10:$B$12,0))),"N/A")</f>
        <v/>
      </c>
      <c r="W112" s="53">
        <f>IFERROR(IF(INDEX('Indigenous'!$Q$10:$Q$11,MATCH($F112,'Indigenous'!$B$10:$B$11,0))="","Cell will autofill based on response",INDEX('Indigenous'!$Q$10:$Q$11,MATCH($F112,'Indigenous'!$B$10:$B$11,0))),"N/A")</f>
        <v/>
      </c>
      <c r="X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IFERROR(IF(INDEX('Faculties'!$L$10:$L$23,MATCH($F113,'Faculties'!$B$10:$B$23,0))="","Cell will autofill based on response",INDEX('Faculties'!$L$10:$L$23,MATCH($F113,'Faculties'!$B$10:$B$23,0))),"N/A")</f>
        <v/>
      </c>
      <c r="I113" s="53">
        <f>IFERROR(IF(INDEX('Faculties'!$L$30:$L$43,MATCH($F113,'Faculties'!$B$30:$B$43,0))="","Cell will autofill based on response",INDEX('Faculties'!$L$30:$L$43,MATCH($F113,'Faculties'!$B$30:$B$43,0))),"N/A")</f>
        <v/>
      </c>
      <c r="J113" s="53">
        <f>IFERROR(IF(INDEX('Faculties'!$L$50:$L$63,MATCH($F113,'Faculties'!$B$50:$B$63,0))="","Cell will autofill based on response",INDEX('Faculties'!$L$50:$L$63,MATCH($F113,'Faculties'!$B$50:$B$63,0))),"N/A")</f>
        <v/>
      </c>
      <c r="K113" s="53">
        <f>IFERROR(IF(INDEX('Faculties'!$L$70:$L$83,MATCH($F113,'Faculties'!$B$70:$B$83,0))="","Cell will autofill based on response",INDEX('Faculties'!$L$70:$L$83,MATCH($F113,'Faculties'!$B$70:$B$83,0))),"N/A")</f>
        <v/>
      </c>
      <c r="L113" s="53">
        <f>IFERROR(IF(INDEX('CI&amp;S'!$L$10:$L$15,MATCH($F113,'CI&amp;S'!$B$10:$B$15,0))="","Cell will autofill based on response",INDEX('CI&amp;S'!$L$10:$L$15,MATCH($F113,'CI&amp;S'!$B$10:$B$15,0))),"N/A")</f>
        <v/>
      </c>
      <c r="M113" s="53">
        <f>IFERROR(IF(INDEX('CI&amp;S'!$L$22:$L$36,MATCH($F113,'CI&amp;S'!$B$22:$B$36,0))="","Cell will autofill based on response",INDEX('CI&amp;S'!$L$22:$L$36,MATCH($F113,'CI&amp;S'!$B$22:$B$36,0))),"N/A")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IFERROR(IF(INDEX('MRE'!$L$10:$L$15,MATCH($F113,'MRE'!$B$10:$B$15,0))="","Cell will autofill based on response",INDEX('MRE'!$L$10:$L$15,MATCH($F113,'MRE'!$B$10:$B$15,0))),"N/A")</f>
        <v/>
      </c>
      <c r="S113" s="53">
        <f>IFERROR(IF(INDEX('AC&amp;M'!$L$10:$L$14,MATCH($F113,'AC&amp;M'!$B$10:$B$14,0))="","Cell will autofill based on response",INDEX('AC&amp;M'!$L$10:$L$14,MATCH($F113,'AC&amp;M'!$B$10:$B$14,0))),"N/A")</f>
        <v/>
      </c>
      <c r="T113" s="53">
        <f>IFERROR(IF(INDEX('GCE'!$L$10:$L$12,MATCH($F113,'GCE'!$B$10:$B$12,0))="","Cell will autofill based on response",INDEX('GCE'!$L$10:$L$12,MATCH($F113,'GCE'!$B$10:$B$12,0))),"N/A")</f>
        <v/>
      </c>
      <c r="U113" s="53">
        <f>IFERROR(IF(INDEX('Education'!$L$10:$L$13,MATCH($F113,'Education'!$B$10:$B$13,0))="","Cell will autofill based on response",INDEX('Education'!$L$10:$L$13,MATCH($F113,'Education'!$B$10:$B$13,0))),"N/A")</f>
        <v/>
      </c>
      <c r="V113" s="53">
        <f>IFERROR(IF(INDEX('SaSS'!$L$10:$L$12,MATCH($F113,'SaSS'!$B$10:$B$12,0))="","Cell will autofill based on response",INDEX('SaSS'!$L$10:$L$12,MATCH($F113,'SaSS'!$B$10:$B$12,0))),"N/A")</f>
        <v/>
      </c>
      <c r="W113" s="53">
        <f>IFERROR(IF(INDEX('Indigenous'!$L$10:$L$11,MATCH($F113,'Indigenous'!$B$10:$B$11,0))="","Cell will autofill based on response",INDEX('Indigenous'!$L$10:$L$11,MATCH($F113,'Indigenous'!$B$10:$B$11,0))),"N/A")</f>
        <v/>
      </c>
      <c r="X113" s="53">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4">
        <f>IF(AF113&gt;0,AE113/AF113,"No valid responses to date")</f>
        <v/>
      </c>
      <c r="AH113" s="10">
        <f>IF(ISNUMBER(AG113),INDEX(Lists!$G$2:$G$5,MATCH(ROUND(AG113,0),Lists!$H$2:$H$5,0)),"")</f>
        <v/>
      </c>
      <c r="AI113" s="55">
        <f>IF(AF113&gt;0,AD113/AF113,"")</f>
        <v/>
      </c>
      <c r="AJ113" s="55">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IFERROR(IF(INDEX('Faculties'!$M$10:$M$23,MATCH($F114,'Faculties'!$B$10:$B$23,0))="","Cell will autofill based on response",INDEX('Faculties'!$M$10:$M$23,MATCH($F114,'Faculties'!$B$10:$B$23,0))),"N/A")</f>
        <v/>
      </c>
      <c r="I114" s="53">
        <f>IFERROR(IF(INDEX('Faculties'!$M$30:$M$43,MATCH($F114,'Faculties'!$B$30:$B$43,0))="","Cell will autofill based on response",INDEX('Faculties'!$M$30:$M$43,MATCH($F114,'Faculties'!$B$30:$B$43,0))),"N/A")</f>
        <v/>
      </c>
      <c r="J114" s="53">
        <f>IFERROR(IF(INDEX('Faculties'!$M$50:$M$63,MATCH($F114,'Faculties'!$B$50:$B$63,0))="","Cell will autofill based on response",INDEX('Faculties'!$M$50:$M$63,MATCH($F114,'Faculties'!$B$50:$B$63,0))),"N/A")</f>
        <v/>
      </c>
      <c r="K114" s="53">
        <f>IFERROR(IF(INDEX('Faculties'!$M$70:$M$83,MATCH($F114,'Faculties'!$B$70:$B$83,0))="","Cell will autofill based on response",INDEX('Faculties'!$M$70:$M$83,MATCH($F114,'Faculties'!$B$70:$B$83,0))),"N/A")</f>
        <v/>
      </c>
      <c r="L114" s="53">
        <f>IFERROR(IF(INDEX('CI&amp;S'!$M$10:$M$15,MATCH($F114,'CI&amp;S'!$B$10:$B$15,0))="","Cell will autofill based on response",INDEX('CI&amp;S'!$M$10:$M$15,MATCH($F114,'CI&amp;S'!$B$10:$B$15,0))),"N/A")</f>
        <v/>
      </c>
      <c r="M114" s="53">
        <f>IFERROR(IF(INDEX('CI&amp;S'!$M$22:$M$36,MATCH($F114,'CI&amp;S'!$B$22:$B$36,0))="","Cell will autofill based on response",INDEX('CI&amp;S'!$M$22:$M$36,MATCH($F114,'CI&amp;S'!$B$22:$B$36,0))),"N/A")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IFERROR(IF(INDEX('MRE'!$M$10:$M$15,MATCH($F114,'MRE'!$B$10:$B$15,0))="","Cell will autofill based on response",INDEX('MRE'!$M$10:$M$15,MATCH($F114,'MRE'!$B$10:$B$15,0))),"N/A")</f>
        <v/>
      </c>
      <c r="S114" s="53">
        <f>IFERROR(IF(INDEX('AC&amp;M'!$M$10:$M$14,MATCH($F114,'AC&amp;M'!$B$10:$B$14,0))="","Cell will autofill based on response",INDEX('AC&amp;M'!$M$10:$M$14,MATCH($F114,'AC&amp;M'!$B$10:$B$14,0))),"N/A")</f>
        <v/>
      </c>
      <c r="T114" s="53">
        <f>IFERROR(IF(INDEX('GCE'!$M$10:$M$12,MATCH($F114,'GCE'!$B$10:$B$12,0))="","Cell will autofill based on response",INDEX('GCE'!$M$10:$M$12,MATCH($F114,'GCE'!$B$10:$B$12,0))),"N/A")</f>
        <v/>
      </c>
      <c r="U114" s="53">
        <f>IFERROR(IF(INDEX('Education'!$M$10:$M$13,MATCH($F114,'Education'!$B$10:$B$13,0))="","Cell will autofill based on response",INDEX('Education'!$M$10:$M$13,MATCH($F114,'Education'!$B$10:$B$13,0))),"N/A")</f>
        <v/>
      </c>
      <c r="V114" s="53">
        <f>IFERROR(IF(INDEX('SaSS'!$M$10:$M$12,MATCH($F114,'SaSS'!$B$10:$B$12,0))="","Cell will autofill based on response",INDEX('SaSS'!$M$10:$M$12,MATCH($F114,'SaSS'!$B$10:$B$12,0))),"N/A")</f>
        <v/>
      </c>
      <c r="W114" s="53">
        <f>IFERROR(IF(INDEX('Indigenous'!$M$10:$M$11,MATCH($F114,'Indigenous'!$B$10:$B$11,0))="","Cell will autofill based on response",INDEX('Indigenous'!$M$10:$M$11,MATCH($F114,'Indigenous'!$B$10:$B$11,0))),"N/A")</f>
        <v/>
      </c>
      <c r="X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IFERROR(IF(INDEX('Faculties'!$N$10:$N$23,MATCH($F115,'Faculties'!$B$10:$B$23,0))="","Cell will autofill based on response",INDEX('Faculties'!$N$10:$N$23,MATCH($F115,'Faculties'!$B$10:$B$23,0))),"N/A")</f>
        <v/>
      </c>
      <c r="I115" s="53">
        <f>IFERROR(IF(INDEX('Faculties'!$N$30:$N$43,MATCH($F115,'Faculties'!$B$30:$B$43,0))="","Cell will autofill based on response",INDEX('Faculties'!$N$30:$N$43,MATCH($F115,'Faculties'!$B$30:$B$43,0))),"N/A")</f>
        <v/>
      </c>
      <c r="J115" s="53">
        <f>IFERROR(IF(INDEX('Faculties'!$N$50:$N$63,MATCH($F115,'Faculties'!$B$50:$B$63,0))="","Cell will autofill based on response",INDEX('Faculties'!$N$50:$N$63,MATCH($F115,'Faculties'!$B$50:$B$63,0))),"N/A")</f>
        <v/>
      </c>
      <c r="K115" s="53">
        <f>IFERROR(IF(INDEX('Faculties'!$N$70:$N$83,MATCH($F115,'Faculties'!$B$70:$B$83,0))="","Cell will autofill based on response",INDEX('Faculties'!$N$70:$N$83,MATCH($F115,'Faculties'!$B$70:$B$83,0))),"N/A")</f>
        <v/>
      </c>
      <c r="L115" s="53">
        <f>IFERROR(IF(INDEX('CI&amp;S'!$N$10:$N$15,MATCH($F115,'CI&amp;S'!$B$10:$B$15,0))="","Cell will autofill based on response",INDEX('CI&amp;S'!$N$10:$N$15,MATCH($F115,'CI&amp;S'!$B$10:$B$15,0))),"N/A")</f>
        <v/>
      </c>
      <c r="M115" s="53">
        <f>IFERROR(IF(INDEX('CI&amp;S'!$N$22:$N$36,MATCH($F115,'CI&amp;S'!$B$22:$B$36,0))="","Cell will autofill based on response",INDEX('CI&amp;S'!$N$22:$N$36,MATCH($F115,'CI&amp;S'!$B$22:$B$36,0))),"N/A")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IFERROR(IF(INDEX('MRE'!$N$10:$N$15,MATCH($F115,'MRE'!$B$10:$B$15,0))="","Cell will autofill based on response",INDEX('MRE'!$N$10:$N$15,MATCH($F115,'MRE'!$B$10:$B$15,0))),"N/A")</f>
        <v/>
      </c>
      <c r="S115" s="53">
        <f>IFERROR(IF(INDEX('AC&amp;M'!$N$10:$N$14,MATCH($F115,'AC&amp;M'!$B$10:$B$14,0))="","Cell will autofill based on response",INDEX('AC&amp;M'!$N$10:$N$14,MATCH($F115,'AC&amp;M'!$B$10:$B$14,0))),"N/A")</f>
        <v/>
      </c>
      <c r="T115" s="53">
        <f>IFERROR(IF(INDEX('GCE'!$N$10:$N$12,MATCH($F115,'GCE'!$B$10:$B$12,0))="","Cell will autofill based on response",INDEX('GCE'!$N$10:$N$12,MATCH($F115,'GCE'!$B$10:$B$12,0))),"N/A")</f>
        <v/>
      </c>
      <c r="U115" s="53">
        <f>IFERROR(IF(INDEX('Education'!$N$10:$N$13,MATCH($F115,'Education'!$B$10:$B$13,0))="","Cell will autofill based on response",INDEX('Education'!$N$10:$N$13,MATCH($F115,'Education'!$B$10:$B$13,0))),"N/A")</f>
        <v/>
      </c>
      <c r="V115" s="53">
        <f>IFERROR(IF(INDEX('SaSS'!$N$10:$N$12,MATCH($F115,'SaSS'!$B$10:$B$12,0))="","Cell will autofill based on response",INDEX('SaSS'!$N$10:$N$12,MATCH($F115,'SaSS'!$B$10:$B$12,0))),"N/A")</f>
        <v/>
      </c>
      <c r="W115" s="53">
        <f>IFERROR(IF(INDEX('Indigenous'!$N$10:$N$11,MATCH($F115,'Indigenous'!$B$10:$B$11,0))="","Cell will autofill based on response",INDEX('Indigenous'!$N$10:$N$11,MATCH($F115,'Indigenous'!$B$10:$B$11,0))),"N/A")</f>
        <v/>
      </c>
      <c r="X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IFERROR(IF(INDEX('Faculties'!$O$10:$O$23,MATCH($F116,'Faculties'!$B$10:$B$23,0))="","Cell will autofill based on response",INDEX('Faculties'!$O$10:$O$23,MATCH($F116,'Faculties'!$B$10:$B$23,0))),"N/A")</f>
        <v/>
      </c>
      <c r="I116" s="53">
        <f>IFERROR(IF(INDEX('Faculties'!$O$30:$O$43,MATCH($F116,'Faculties'!$B$30:$B$43,0))="","Cell will autofill based on response",INDEX('Faculties'!$O$30:$O$43,MATCH($F116,'Faculties'!$B$30:$B$43,0))),"N/A")</f>
        <v/>
      </c>
      <c r="J116" s="53">
        <f>IFERROR(IF(INDEX('Faculties'!$O$50:$O$63,MATCH($F116,'Faculties'!$B$50:$B$63,0))="","Cell will autofill based on response",INDEX('Faculties'!$O$50:$O$63,MATCH($F116,'Faculties'!$B$50:$B$63,0))),"N/A")</f>
        <v/>
      </c>
      <c r="K116" s="53">
        <f>IFERROR(IF(INDEX('Faculties'!$O$70:$O$83,MATCH($F116,'Faculties'!$B$70:$B$83,0))="","Cell will autofill based on response",INDEX('Faculties'!$O$70:$O$83,MATCH($F116,'Faculties'!$B$70:$B$83,0))),"N/A")</f>
        <v/>
      </c>
      <c r="L116" s="53">
        <f>IFERROR(IF(INDEX('CI&amp;S'!$O$10:$O$15,MATCH($F116,'CI&amp;S'!$B$10:$B$15,0))="","Cell will autofill based on response",INDEX('CI&amp;S'!$O$10:$O$15,MATCH($F116,'CI&amp;S'!$B$10:$B$15,0))),"N/A")</f>
        <v/>
      </c>
      <c r="M116" s="53">
        <f>IFERROR(IF(INDEX('CI&amp;S'!$O$22:$O$36,MATCH($F116,'CI&amp;S'!$B$22:$B$36,0))="","Cell will autofill based on response",INDEX('CI&amp;S'!$O$22:$O$36,MATCH($F116,'CI&amp;S'!$B$22:$B$36,0))),"N/A")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IFERROR(IF(INDEX('MRE'!$O$10:$O$15,MATCH($F116,'MRE'!$B$10:$B$15,0))="","Cell will autofill based on response",INDEX('MRE'!$O$10:$O$15,MATCH($F116,'MRE'!$B$10:$B$15,0))),"N/A")</f>
        <v/>
      </c>
      <c r="S116" s="53">
        <f>IFERROR(IF(INDEX('AC&amp;M'!$O$10:$O$14,MATCH($F116,'AC&amp;M'!$B$10:$B$14,0))="","Cell will autofill based on response",INDEX('AC&amp;M'!$O$10:$O$14,MATCH($F116,'AC&amp;M'!$B$10:$B$14,0))),"N/A")</f>
        <v/>
      </c>
      <c r="T116" s="53">
        <f>IFERROR(IF(INDEX('GCE'!$O$10:$O$12,MATCH($F116,'GCE'!$B$10:$B$12,0))="","Cell will autofill based on response",INDEX('GCE'!$O$10:$O$12,MATCH($F116,'GCE'!$B$10:$B$12,0))),"N/A")</f>
        <v/>
      </c>
      <c r="U116" s="53">
        <f>IFERROR(IF(INDEX('Education'!$O$10:$O$13,MATCH($F116,'Education'!$B$10:$B$13,0))="","Cell will autofill based on response",INDEX('Education'!$O$10:$O$13,MATCH($F116,'Education'!$B$10:$B$13,0))),"N/A")</f>
        <v/>
      </c>
      <c r="V116" s="53">
        <f>IFERROR(IF(INDEX('SaSS'!$O$10:$O$12,MATCH($F116,'SaSS'!$B$10:$B$12,0))="","Cell will autofill based on response",INDEX('SaSS'!$O$10:$O$12,MATCH($F116,'SaSS'!$B$10:$B$12,0))),"N/A")</f>
        <v/>
      </c>
      <c r="W116" s="53">
        <f>IFERROR(IF(INDEX('Indigenous'!$O$10:$O$11,MATCH($F116,'Indigenous'!$B$10:$B$11,0))="","Cell will autofill based on response",INDEX('Indigenous'!$O$10:$O$11,MATCH($F116,'Indigenous'!$B$10:$B$11,0))),"N/A")</f>
        <v/>
      </c>
      <c r="X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IFERROR(IF(INDEX('Faculties'!$P$10:$P$23,MATCH($F117,'Faculties'!$B$10:$B$23,0))="","Cell will autofill based on response",INDEX('Faculties'!$P$10:$P$23,MATCH($F117,'Faculties'!$B$10:$B$23,0))),"N/A")</f>
        <v/>
      </c>
      <c r="I117" s="53">
        <f>IFERROR(IF(INDEX('Faculties'!$P$30:$P$43,MATCH($F117,'Faculties'!$B$30:$B$43,0))="","Cell will autofill based on response",INDEX('Faculties'!$P$30:$P$43,MATCH($F117,'Faculties'!$B$30:$B$43,0))),"N/A")</f>
        <v/>
      </c>
      <c r="J117" s="53">
        <f>IFERROR(IF(INDEX('Faculties'!$P$50:$P$63,MATCH($F117,'Faculties'!$B$50:$B$63,0))="","Cell will autofill based on response",INDEX('Faculties'!$P$50:$P$63,MATCH($F117,'Faculties'!$B$50:$B$63,0))),"N/A")</f>
        <v/>
      </c>
      <c r="K117" s="53">
        <f>IFERROR(IF(INDEX('Faculties'!$P$70:$P$83,MATCH($F117,'Faculties'!$B$70:$B$83,0))="","Cell will autofill based on response",INDEX('Faculties'!$P$70:$P$83,MATCH($F117,'Faculties'!$B$70:$B$83,0))),"N/A")</f>
        <v/>
      </c>
      <c r="L117" s="53">
        <f>IFERROR(IF(INDEX('CI&amp;S'!$P$10:$P$15,MATCH($F117,'CI&amp;S'!$B$10:$B$15,0))="","Cell will autofill based on response",INDEX('CI&amp;S'!$P$10:$P$15,MATCH($F117,'CI&amp;S'!$B$10:$B$15,0))),"N/A")</f>
        <v/>
      </c>
      <c r="M117" s="53">
        <f>IFERROR(IF(INDEX('CI&amp;S'!$P$22:$P$36,MATCH($F117,'CI&amp;S'!$B$22:$B$36,0))="","Cell will autofill based on response",INDEX('CI&amp;S'!$P$22:$P$36,MATCH($F117,'CI&amp;S'!$B$22:$B$36,0))),"N/A")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IFERROR(IF(INDEX('MRE'!$P$10:$P$15,MATCH($F117,'MRE'!$B$10:$B$15,0))="","Cell will autofill based on response",INDEX('MRE'!$P$10:$P$15,MATCH($F117,'MRE'!$B$10:$B$15,0))),"N/A")</f>
        <v/>
      </c>
      <c r="S117" s="53">
        <f>IFERROR(IF(INDEX('AC&amp;M'!$P$10:$P$14,MATCH($F117,'AC&amp;M'!$B$10:$B$14,0))="","Cell will autofill based on response",INDEX('AC&amp;M'!$P$10:$P$14,MATCH($F117,'AC&amp;M'!$B$10:$B$14,0))),"N/A")</f>
        <v/>
      </c>
      <c r="T117" s="53">
        <f>IFERROR(IF(INDEX('GCE'!$P$10:$P$12,MATCH($F117,'GCE'!$B$10:$B$12,0))="","Cell will autofill based on response",INDEX('GCE'!$P$10:$P$12,MATCH($F117,'GCE'!$B$10:$B$12,0))),"N/A")</f>
        <v/>
      </c>
      <c r="U117" s="53">
        <f>IFERROR(IF(INDEX('Education'!$P$10:$P$13,MATCH($F117,'Education'!$B$10:$B$13,0))="","Cell will autofill based on response",INDEX('Education'!$P$10:$P$13,MATCH($F117,'Education'!$B$10:$B$13,0))),"N/A")</f>
        <v/>
      </c>
      <c r="V117" s="53">
        <f>IFERROR(IF(INDEX('SaSS'!$P$10:$P$12,MATCH($F117,'SaSS'!$B$10:$B$12,0))="","Cell will autofill based on response",INDEX('SaSS'!$P$10:$P$12,MATCH($F117,'SaSS'!$B$10:$B$12,0))),"N/A")</f>
        <v/>
      </c>
      <c r="W117" s="53">
        <f>IFERROR(IF(INDEX('Indigenous'!$P$10:$P$11,MATCH($F117,'Indigenous'!$B$10:$B$11,0))="","Cell will autofill based on response",INDEX('Indigenous'!$P$10:$P$11,MATCH($F117,'Indigenous'!$B$10:$B$11,0))),"N/A")</f>
        <v/>
      </c>
      <c r="X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IFERROR(IF(INDEX('Faculties'!$Q$10:$Q$23,MATCH($F118,'Faculties'!$B$10:$B$23,0))="","Cell will autofill based on response",INDEX('Faculties'!$Q$10:$Q$23,MATCH($F118,'Faculties'!$B$10:$B$23,0))),"N/A")</f>
        <v/>
      </c>
      <c r="I118" s="53">
        <f>IFERROR(IF(INDEX('Faculties'!$Q$30:$Q$43,MATCH($F118,'Faculties'!$B$30:$B$43,0))="","Cell will autofill based on response",INDEX('Faculties'!$Q$30:$Q$43,MATCH($F118,'Faculties'!$B$30:$B$43,0))),"N/A")</f>
        <v/>
      </c>
      <c r="J118" s="53">
        <f>IFERROR(IF(INDEX('Faculties'!$Q$50:$Q$63,MATCH($F118,'Faculties'!$B$50:$B$63,0))="","Cell will autofill based on response",INDEX('Faculties'!$Q$50:$Q$63,MATCH($F118,'Faculties'!$B$50:$B$63,0))),"N/A")</f>
        <v/>
      </c>
      <c r="K118" s="53">
        <f>IFERROR(IF(INDEX('Faculties'!$Q$70:$Q$83,MATCH($F118,'Faculties'!$B$70:$B$83,0))="","Cell will autofill based on response",INDEX('Faculties'!$Q$70:$Q$83,MATCH($F118,'Faculties'!$B$70:$B$83,0))),"N/A")</f>
        <v/>
      </c>
      <c r="L118" s="53">
        <f>IFERROR(IF(INDEX('CI&amp;S'!$Q$10:$Q$15,MATCH($F118,'CI&amp;S'!$B$10:$B$15,0))="","Cell will autofill based on response",INDEX('CI&amp;S'!$Q$10:$Q$15,MATCH($F118,'CI&amp;S'!$B$10:$B$15,0))),"N/A")</f>
        <v/>
      </c>
      <c r="M118" s="53">
        <f>IFERROR(IF(INDEX('CI&amp;S'!$Q$22:$Q$36,MATCH($F118,'CI&amp;S'!$B$22:$B$36,0))="","Cell will autofill based on response",INDEX('CI&amp;S'!$Q$22:$Q$36,MATCH($F118,'CI&amp;S'!$B$22:$B$36,0))),"N/A")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IFERROR(IF(INDEX('MRE'!$Q$10:$Q$15,MATCH($F118,'MRE'!$B$10:$B$15,0))="","Cell will autofill based on response",INDEX('MRE'!$Q$10:$Q$15,MATCH($F118,'MRE'!$B$10:$B$15,0))),"N/A")</f>
        <v/>
      </c>
      <c r="S118" s="53">
        <f>IFERROR(IF(INDEX('AC&amp;M'!$Q$10:$Q$14,MATCH($F118,'AC&amp;M'!$B$10:$B$14,0))="","Cell will autofill based on response",INDEX('AC&amp;M'!$Q$10:$Q$14,MATCH($F118,'AC&amp;M'!$B$10:$B$14,0))),"N/A")</f>
        <v/>
      </c>
      <c r="T118" s="53">
        <f>IFERROR(IF(INDEX('GCE'!$Q$10:$Q$12,MATCH($F118,'GCE'!$B$10:$B$12,0))="","Cell will autofill based on response",INDEX('GCE'!$Q$10:$Q$12,MATCH($F118,'GCE'!$B$10:$B$12,0))),"N/A")</f>
        <v/>
      </c>
      <c r="U118" s="53">
        <f>IFERROR(IF(INDEX('Education'!$Q$10:$Q$13,MATCH($F118,'Education'!$B$10:$B$13,0))="","Cell will autofill based on response",INDEX('Education'!$Q$10:$Q$13,MATCH($F118,'Education'!$B$10:$B$13,0))),"N/A")</f>
        <v/>
      </c>
      <c r="V118" s="53">
        <f>IFERROR(IF(INDEX('SaSS'!$Q$10:$Q$12,MATCH($F118,'SaSS'!$B$10:$B$12,0))="","Cell will autofill based on response",INDEX('SaSS'!$Q$10:$Q$12,MATCH($F118,'SaSS'!$B$10:$B$12,0))),"N/A")</f>
        <v/>
      </c>
      <c r="W118" s="53">
        <f>IFERROR(IF(INDEX('Indigenous'!$Q$10:$Q$11,MATCH($F118,'Indigenous'!$B$10:$B$11,0))="","Cell will autofill based on response",INDEX('Indigenous'!$Q$10:$Q$11,MATCH($F118,'Indigenous'!$B$10:$B$11,0))),"N/A")</f>
        <v/>
      </c>
      <c r="X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IFERROR(IF(INDEX('Faculties'!$L$10:$L$23,MATCH($F119,'Faculties'!$B$10:$B$23,0))="","Cell will autofill based on response",INDEX('Faculties'!$L$10:$L$23,MATCH($F119,'Faculties'!$B$10:$B$23,0))),"N/A")</f>
        <v/>
      </c>
      <c r="I119" s="53">
        <f>IFERROR(IF(INDEX('Faculties'!$L$30:$L$43,MATCH($F119,'Faculties'!$B$30:$B$43,0))="","Cell will autofill based on response",INDEX('Faculties'!$L$30:$L$43,MATCH($F119,'Faculties'!$B$30:$B$43,0))),"N/A")</f>
        <v/>
      </c>
      <c r="J119" s="53">
        <f>IFERROR(IF(INDEX('Faculties'!$L$50:$L$63,MATCH($F119,'Faculties'!$B$50:$B$63,0))="","Cell will autofill based on response",INDEX('Faculties'!$L$50:$L$63,MATCH($F119,'Faculties'!$B$50:$B$63,0))),"N/A")</f>
        <v/>
      </c>
      <c r="K119" s="53">
        <f>IFERROR(IF(INDEX('Faculties'!$L$70:$L$83,MATCH($F119,'Faculties'!$B$70:$B$83,0))="","Cell will autofill based on response",INDEX('Faculties'!$L$70:$L$83,MATCH($F119,'Faculties'!$B$70:$B$83,0))),"N/A")</f>
        <v/>
      </c>
      <c r="L119" s="53">
        <f>IFERROR(IF(INDEX('CI&amp;S'!$L$10:$L$15,MATCH($F119,'CI&amp;S'!$B$10:$B$15,0))="","Cell will autofill based on response",INDEX('CI&amp;S'!$L$10:$L$15,MATCH($F119,'CI&amp;S'!$B$10:$B$15,0))),"N/A")</f>
        <v/>
      </c>
      <c r="M119" s="53">
        <f>IFERROR(IF(INDEX('CI&amp;S'!$L$22:$L$36,MATCH($F119,'CI&amp;S'!$B$22:$B$36,0))="","Cell will autofill based on response",INDEX('CI&amp;S'!$L$22:$L$36,MATCH($F119,'CI&amp;S'!$B$22:$B$36,0))),"N/A")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IFERROR(IF(INDEX('MRE'!$L$10:$L$15,MATCH($F119,'MRE'!$B$10:$B$15,0))="","Cell will autofill based on response",INDEX('MRE'!$L$10:$L$15,MATCH($F119,'MRE'!$B$10:$B$15,0))),"N/A")</f>
        <v/>
      </c>
      <c r="S119" s="53">
        <f>IFERROR(IF(INDEX('AC&amp;M'!$L$10:$L$14,MATCH($F119,'AC&amp;M'!$B$10:$B$14,0))="","Cell will autofill based on response",INDEX('AC&amp;M'!$L$10:$L$14,MATCH($F119,'AC&amp;M'!$B$10:$B$14,0))),"N/A")</f>
        <v/>
      </c>
      <c r="T119" s="53">
        <f>IFERROR(IF(INDEX('GCE'!$L$10:$L$12,MATCH($F119,'GCE'!$B$10:$B$12,0))="","Cell will autofill based on response",INDEX('GCE'!$L$10:$L$12,MATCH($F119,'GCE'!$B$10:$B$12,0))),"N/A")</f>
        <v/>
      </c>
      <c r="U119" s="53">
        <f>IFERROR(IF(INDEX('Education'!$L$10:$L$13,MATCH($F119,'Education'!$B$10:$B$13,0))="","Cell will autofill based on response",INDEX('Education'!$L$10:$L$13,MATCH($F119,'Education'!$B$10:$B$13,0))),"N/A")</f>
        <v/>
      </c>
      <c r="V119" s="53">
        <f>IFERROR(IF(INDEX('SaSS'!$L$10:$L$12,MATCH($F119,'SaSS'!$B$10:$B$12,0))="","Cell will autofill based on response",INDEX('SaSS'!$L$10:$L$12,MATCH($F119,'SaSS'!$B$10:$B$12,0))),"N/A")</f>
        <v/>
      </c>
      <c r="W119" s="53">
        <f>IFERROR(IF(INDEX('Indigenous'!$L$10:$L$11,MATCH($F119,'Indigenous'!$B$10:$B$11,0))="","Cell will autofill based on response",INDEX('Indigenous'!$L$10:$L$11,MATCH($F119,'Indigenous'!$B$10:$B$11,0))),"N/A")</f>
        <v/>
      </c>
      <c r="X119" s="53">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4">
        <f>IF(AF119&gt;0,AE119/AF119,"No valid responses to date")</f>
        <v/>
      </c>
      <c r="AH119" s="10">
        <f>IF(ISNUMBER(AG119),INDEX(Lists!$G$2:$G$5,MATCH(ROUND(AG119,0),Lists!$H$2:$H$5,0)),"")</f>
        <v/>
      </c>
      <c r="AI119" s="55">
        <f>IF(AF119&gt;0,AD119/AF119,"")</f>
        <v/>
      </c>
      <c r="AJ119" s="55">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IFERROR(IF(INDEX('Faculties'!$M$10:$M$23,MATCH($F120,'Faculties'!$B$10:$B$23,0))="","Cell will autofill based on response",INDEX('Faculties'!$M$10:$M$23,MATCH($F120,'Faculties'!$B$10:$B$23,0))),"N/A")</f>
        <v/>
      </c>
      <c r="I120" s="53">
        <f>IFERROR(IF(INDEX('Faculties'!$M$30:$M$43,MATCH($F120,'Faculties'!$B$30:$B$43,0))="","Cell will autofill based on response",INDEX('Faculties'!$M$30:$M$43,MATCH($F120,'Faculties'!$B$30:$B$43,0))),"N/A")</f>
        <v/>
      </c>
      <c r="J120" s="53">
        <f>IFERROR(IF(INDEX('Faculties'!$M$50:$M$63,MATCH($F120,'Faculties'!$B$50:$B$63,0))="","Cell will autofill based on response",INDEX('Faculties'!$M$50:$M$63,MATCH($F120,'Faculties'!$B$50:$B$63,0))),"N/A")</f>
        <v/>
      </c>
      <c r="K120" s="53">
        <f>IFERROR(IF(INDEX('Faculties'!$M$70:$M$83,MATCH($F120,'Faculties'!$B$70:$B$83,0))="","Cell will autofill based on response",INDEX('Faculties'!$M$70:$M$83,MATCH($F120,'Faculties'!$B$70:$B$83,0))),"N/A")</f>
        <v/>
      </c>
      <c r="L120" s="53">
        <f>IFERROR(IF(INDEX('CI&amp;S'!$M$10:$M$15,MATCH($F120,'CI&amp;S'!$B$10:$B$15,0))="","Cell will autofill based on response",INDEX('CI&amp;S'!$M$10:$M$15,MATCH($F120,'CI&amp;S'!$B$10:$B$15,0))),"N/A")</f>
        <v/>
      </c>
      <c r="M120" s="53">
        <f>IFERROR(IF(INDEX('CI&amp;S'!$M$22:$M$36,MATCH($F120,'CI&amp;S'!$B$22:$B$36,0))="","Cell will autofill based on response",INDEX('CI&amp;S'!$M$22:$M$36,MATCH($F120,'CI&amp;S'!$B$22:$B$36,0))),"N/A")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IFERROR(IF(INDEX('MRE'!$M$10:$M$15,MATCH($F120,'MRE'!$B$10:$B$15,0))="","Cell will autofill based on response",INDEX('MRE'!$M$10:$M$15,MATCH($F120,'MRE'!$B$10:$B$15,0))),"N/A")</f>
        <v/>
      </c>
      <c r="S120" s="53">
        <f>IFERROR(IF(INDEX('AC&amp;M'!$M$10:$M$14,MATCH($F120,'AC&amp;M'!$B$10:$B$14,0))="","Cell will autofill based on response",INDEX('AC&amp;M'!$M$10:$M$14,MATCH($F120,'AC&amp;M'!$B$10:$B$14,0))),"N/A")</f>
        <v/>
      </c>
      <c r="T120" s="53">
        <f>IFERROR(IF(INDEX('GCE'!$M$10:$M$12,MATCH($F120,'GCE'!$B$10:$B$12,0))="","Cell will autofill based on response",INDEX('GCE'!$M$10:$M$12,MATCH($F120,'GCE'!$B$10:$B$12,0))),"N/A")</f>
        <v/>
      </c>
      <c r="U120" s="53">
        <f>IFERROR(IF(INDEX('Education'!$M$10:$M$13,MATCH($F120,'Education'!$B$10:$B$13,0))="","Cell will autofill based on response",INDEX('Education'!$M$10:$M$13,MATCH($F120,'Education'!$B$10:$B$13,0))),"N/A")</f>
        <v/>
      </c>
      <c r="V120" s="53">
        <f>IFERROR(IF(INDEX('SaSS'!$M$10:$M$12,MATCH($F120,'SaSS'!$B$10:$B$12,0))="","Cell will autofill based on response",INDEX('SaSS'!$M$10:$M$12,MATCH($F120,'SaSS'!$B$10:$B$12,0))),"N/A")</f>
        <v/>
      </c>
      <c r="W120" s="53">
        <f>IFERROR(IF(INDEX('Indigenous'!$M$10:$M$11,MATCH($F120,'Indigenous'!$B$10:$B$11,0))="","Cell will autofill based on response",INDEX('Indigenous'!$M$10:$M$11,MATCH($F120,'Indigenous'!$B$10:$B$11,0))),"N/A")</f>
        <v/>
      </c>
      <c r="X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IFERROR(IF(INDEX('Faculties'!$N$10:$N$23,MATCH($F121,'Faculties'!$B$10:$B$23,0))="","Cell will autofill based on response",INDEX('Faculties'!$N$10:$N$23,MATCH($F121,'Faculties'!$B$10:$B$23,0))),"N/A")</f>
        <v/>
      </c>
      <c r="I121" s="53">
        <f>IFERROR(IF(INDEX('Faculties'!$N$30:$N$43,MATCH($F121,'Faculties'!$B$30:$B$43,0))="","Cell will autofill based on response",INDEX('Faculties'!$N$30:$N$43,MATCH($F121,'Faculties'!$B$30:$B$43,0))),"N/A")</f>
        <v/>
      </c>
      <c r="J121" s="53">
        <f>IFERROR(IF(INDEX('Faculties'!$N$50:$N$63,MATCH($F121,'Faculties'!$B$50:$B$63,0))="","Cell will autofill based on response",INDEX('Faculties'!$N$50:$N$63,MATCH($F121,'Faculties'!$B$50:$B$63,0))),"N/A")</f>
        <v/>
      </c>
      <c r="K121" s="53">
        <f>IFERROR(IF(INDEX('Faculties'!$N$70:$N$83,MATCH($F121,'Faculties'!$B$70:$B$83,0))="","Cell will autofill based on response",INDEX('Faculties'!$N$70:$N$83,MATCH($F121,'Faculties'!$B$70:$B$83,0))),"N/A")</f>
        <v/>
      </c>
      <c r="L121" s="53">
        <f>IFERROR(IF(INDEX('CI&amp;S'!$N$10:$N$15,MATCH($F121,'CI&amp;S'!$B$10:$B$15,0))="","Cell will autofill based on response",INDEX('CI&amp;S'!$N$10:$N$15,MATCH($F121,'CI&amp;S'!$B$10:$B$15,0))),"N/A")</f>
        <v/>
      </c>
      <c r="M121" s="53">
        <f>IFERROR(IF(INDEX('CI&amp;S'!$N$22:$N$36,MATCH($F121,'CI&amp;S'!$B$22:$B$36,0))="","Cell will autofill based on response",INDEX('CI&amp;S'!$N$22:$N$36,MATCH($F121,'CI&amp;S'!$B$22:$B$36,0))),"N/A")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IFERROR(IF(INDEX('MRE'!$N$10:$N$15,MATCH($F121,'MRE'!$B$10:$B$15,0))="","Cell will autofill based on response",INDEX('MRE'!$N$10:$N$15,MATCH($F121,'MRE'!$B$10:$B$15,0))),"N/A")</f>
        <v/>
      </c>
      <c r="S121" s="53">
        <f>IFERROR(IF(INDEX('AC&amp;M'!$N$10:$N$14,MATCH($F121,'AC&amp;M'!$B$10:$B$14,0))="","Cell will autofill based on response",INDEX('AC&amp;M'!$N$10:$N$14,MATCH($F121,'AC&amp;M'!$B$10:$B$14,0))),"N/A")</f>
        <v/>
      </c>
      <c r="T121" s="53">
        <f>IFERROR(IF(INDEX('GCE'!$N$10:$N$12,MATCH($F121,'GCE'!$B$10:$B$12,0))="","Cell will autofill based on response",INDEX('GCE'!$N$10:$N$12,MATCH($F121,'GCE'!$B$10:$B$12,0))),"N/A")</f>
        <v/>
      </c>
      <c r="U121" s="53">
        <f>IFERROR(IF(INDEX('Education'!$N$10:$N$13,MATCH($F121,'Education'!$B$10:$B$13,0))="","Cell will autofill based on response",INDEX('Education'!$N$10:$N$13,MATCH($F121,'Education'!$B$10:$B$13,0))),"N/A")</f>
        <v/>
      </c>
      <c r="V121" s="53">
        <f>IFERROR(IF(INDEX('SaSS'!$N$10:$N$12,MATCH($F121,'SaSS'!$B$10:$B$12,0))="","Cell will autofill based on response",INDEX('SaSS'!$N$10:$N$12,MATCH($F121,'SaSS'!$B$10:$B$12,0))),"N/A")</f>
        <v/>
      </c>
      <c r="W121" s="53">
        <f>IFERROR(IF(INDEX('Indigenous'!$N$10:$N$11,MATCH($F121,'Indigenous'!$B$10:$B$11,0))="","Cell will autofill based on response",INDEX('Indigenous'!$N$10:$N$11,MATCH($F121,'Indigenous'!$B$10:$B$11,0))),"N/A")</f>
        <v/>
      </c>
      <c r="X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IFERROR(IF(INDEX('Faculties'!$O$10:$O$23,MATCH($F122,'Faculties'!$B$10:$B$23,0))="","Cell will autofill based on response",INDEX('Faculties'!$O$10:$O$23,MATCH($F122,'Faculties'!$B$10:$B$23,0))),"N/A")</f>
        <v/>
      </c>
      <c r="I122" s="53">
        <f>IFERROR(IF(INDEX('Faculties'!$O$30:$O$43,MATCH($F122,'Faculties'!$B$30:$B$43,0))="","Cell will autofill based on response",INDEX('Faculties'!$O$30:$O$43,MATCH($F122,'Faculties'!$B$30:$B$43,0))),"N/A")</f>
        <v/>
      </c>
      <c r="J122" s="53">
        <f>IFERROR(IF(INDEX('Faculties'!$O$50:$O$63,MATCH($F122,'Faculties'!$B$50:$B$63,0))="","Cell will autofill based on response",INDEX('Faculties'!$O$50:$O$63,MATCH($F122,'Faculties'!$B$50:$B$63,0))),"N/A")</f>
        <v/>
      </c>
      <c r="K122" s="53">
        <f>IFERROR(IF(INDEX('Faculties'!$O$70:$O$83,MATCH($F122,'Faculties'!$B$70:$B$83,0))="","Cell will autofill based on response",INDEX('Faculties'!$O$70:$O$83,MATCH($F122,'Faculties'!$B$70:$B$83,0))),"N/A")</f>
        <v/>
      </c>
      <c r="L122" s="53">
        <f>IFERROR(IF(INDEX('CI&amp;S'!$O$10:$O$15,MATCH($F122,'CI&amp;S'!$B$10:$B$15,0))="","Cell will autofill based on response",INDEX('CI&amp;S'!$O$10:$O$15,MATCH($F122,'CI&amp;S'!$B$10:$B$15,0))),"N/A")</f>
        <v/>
      </c>
      <c r="M122" s="53">
        <f>IFERROR(IF(INDEX('CI&amp;S'!$O$22:$O$36,MATCH($F122,'CI&amp;S'!$B$22:$B$36,0))="","Cell will autofill based on response",INDEX('CI&amp;S'!$O$22:$O$36,MATCH($F122,'CI&amp;S'!$B$22:$B$36,0))),"N/A")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IFERROR(IF(INDEX('MRE'!$O$10:$O$15,MATCH($F122,'MRE'!$B$10:$B$15,0))="","Cell will autofill based on response",INDEX('MRE'!$O$10:$O$15,MATCH($F122,'MRE'!$B$10:$B$15,0))),"N/A")</f>
        <v/>
      </c>
      <c r="S122" s="53">
        <f>IFERROR(IF(INDEX('AC&amp;M'!$O$10:$O$14,MATCH($F122,'AC&amp;M'!$B$10:$B$14,0))="","Cell will autofill based on response",INDEX('AC&amp;M'!$O$10:$O$14,MATCH($F122,'AC&amp;M'!$B$10:$B$14,0))),"N/A")</f>
        <v/>
      </c>
      <c r="T122" s="53">
        <f>IFERROR(IF(INDEX('GCE'!$O$10:$O$12,MATCH($F122,'GCE'!$B$10:$B$12,0))="","Cell will autofill based on response",INDEX('GCE'!$O$10:$O$12,MATCH($F122,'GCE'!$B$10:$B$12,0))),"N/A")</f>
        <v/>
      </c>
      <c r="U122" s="53">
        <f>IFERROR(IF(INDEX('Education'!$O$10:$O$13,MATCH($F122,'Education'!$B$10:$B$13,0))="","Cell will autofill based on response",INDEX('Education'!$O$10:$O$13,MATCH($F122,'Education'!$B$10:$B$13,0))),"N/A")</f>
        <v/>
      </c>
      <c r="V122" s="53">
        <f>IFERROR(IF(INDEX('SaSS'!$O$10:$O$12,MATCH($F122,'SaSS'!$B$10:$B$12,0))="","Cell will autofill based on response",INDEX('SaSS'!$O$10:$O$12,MATCH($F122,'SaSS'!$B$10:$B$12,0))),"N/A")</f>
        <v/>
      </c>
      <c r="W122" s="53">
        <f>IFERROR(IF(INDEX('Indigenous'!$O$10:$O$11,MATCH($F122,'Indigenous'!$B$10:$B$11,0))="","Cell will autofill based on response",INDEX('Indigenous'!$O$10:$O$11,MATCH($F122,'Indigenous'!$B$10:$B$11,0))),"N/A")</f>
        <v/>
      </c>
      <c r="X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IFERROR(IF(INDEX('Faculties'!$P$10:$P$23,MATCH($F123,'Faculties'!$B$10:$B$23,0))="","Cell will autofill based on response",INDEX('Faculties'!$P$10:$P$23,MATCH($F123,'Faculties'!$B$10:$B$23,0))),"N/A")</f>
        <v/>
      </c>
      <c r="I123" s="53">
        <f>IFERROR(IF(INDEX('Faculties'!$P$30:$P$43,MATCH($F123,'Faculties'!$B$30:$B$43,0))="","Cell will autofill based on response",INDEX('Faculties'!$P$30:$P$43,MATCH($F123,'Faculties'!$B$30:$B$43,0))),"N/A")</f>
        <v/>
      </c>
      <c r="J123" s="53">
        <f>IFERROR(IF(INDEX('Faculties'!$P$50:$P$63,MATCH($F123,'Faculties'!$B$50:$B$63,0))="","Cell will autofill based on response",INDEX('Faculties'!$P$50:$P$63,MATCH($F123,'Faculties'!$B$50:$B$63,0))),"N/A")</f>
        <v/>
      </c>
      <c r="K123" s="53">
        <f>IFERROR(IF(INDEX('Faculties'!$P$70:$P$83,MATCH($F123,'Faculties'!$B$70:$B$83,0))="","Cell will autofill based on response",INDEX('Faculties'!$P$70:$P$83,MATCH($F123,'Faculties'!$B$70:$B$83,0))),"N/A")</f>
        <v/>
      </c>
      <c r="L123" s="53">
        <f>IFERROR(IF(INDEX('CI&amp;S'!$P$10:$P$15,MATCH($F123,'CI&amp;S'!$B$10:$B$15,0))="","Cell will autofill based on response",INDEX('CI&amp;S'!$P$10:$P$15,MATCH($F123,'CI&amp;S'!$B$10:$B$15,0))),"N/A")</f>
        <v/>
      </c>
      <c r="M123" s="53">
        <f>IFERROR(IF(INDEX('CI&amp;S'!$P$22:$P$36,MATCH($F123,'CI&amp;S'!$B$22:$B$36,0))="","Cell will autofill based on response",INDEX('CI&amp;S'!$P$22:$P$36,MATCH($F123,'CI&amp;S'!$B$22:$B$36,0))),"N/A")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IFERROR(IF(INDEX('MRE'!$P$10:$P$15,MATCH($F123,'MRE'!$B$10:$B$15,0))="","Cell will autofill based on response",INDEX('MRE'!$P$10:$P$15,MATCH($F123,'MRE'!$B$10:$B$15,0))),"N/A")</f>
        <v/>
      </c>
      <c r="S123" s="53">
        <f>IFERROR(IF(INDEX('AC&amp;M'!$P$10:$P$14,MATCH($F123,'AC&amp;M'!$B$10:$B$14,0))="","Cell will autofill based on response",INDEX('AC&amp;M'!$P$10:$P$14,MATCH($F123,'AC&amp;M'!$B$10:$B$14,0))),"N/A")</f>
        <v/>
      </c>
      <c r="T123" s="53">
        <f>IFERROR(IF(INDEX('GCE'!$P$10:$P$12,MATCH($F123,'GCE'!$B$10:$B$12,0))="","Cell will autofill based on response",INDEX('GCE'!$P$10:$P$12,MATCH($F123,'GCE'!$B$10:$B$12,0))),"N/A")</f>
        <v/>
      </c>
      <c r="U123" s="53">
        <f>IFERROR(IF(INDEX('Education'!$P$10:$P$13,MATCH($F123,'Education'!$B$10:$B$13,0))="","Cell will autofill based on response",INDEX('Education'!$P$10:$P$13,MATCH($F123,'Education'!$B$10:$B$13,0))),"N/A")</f>
        <v/>
      </c>
      <c r="V123" s="53">
        <f>IFERROR(IF(INDEX('SaSS'!$P$10:$P$12,MATCH($F123,'SaSS'!$B$10:$B$12,0))="","Cell will autofill based on response",INDEX('SaSS'!$P$10:$P$12,MATCH($F123,'SaSS'!$B$10:$B$12,0))),"N/A")</f>
        <v/>
      </c>
      <c r="W123" s="53">
        <f>IFERROR(IF(INDEX('Indigenous'!$P$10:$P$11,MATCH($F123,'Indigenous'!$B$10:$B$11,0))="","Cell will autofill based on response",INDEX('Indigenous'!$P$10:$P$11,MATCH($F123,'Indigenous'!$B$10:$B$11,0))),"N/A")</f>
        <v/>
      </c>
      <c r="X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IFERROR(IF(INDEX('Faculties'!$Q$10:$Q$23,MATCH($F124,'Faculties'!$B$10:$B$23,0))="","Cell will autofill based on response",INDEX('Faculties'!$Q$10:$Q$23,MATCH($F124,'Faculties'!$B$10:$B$23,0))),"N/A")</f>
        <v/>
      </c>
      <c r="I124" s="53">
        <f>IFERROR(IF(INDEX('Faculties'!$Q$30:$Q$43,MATCH($F124,'Faculties'!$B$30:$B$43,0))="","Cell will autofill based on response",INDEX('Faculties'!$Q$30:$Q$43,MATCH($F124,'Faculties'!$B$30:$B$43,0))),"N/A")</f>
        <v/>
      </c>
      <c r="J124" s="53">
        <f>IFERROR(IF(INDEX('Faculties'!$Q$50:$Q$63,MATCH($F124,'Faculties'!$B$50:$B$63,0))="","Cell will autofill based on response",INDEX('Faculties'!$Q$50:$Q$63,MATCH($F124,'Faculties'!$B$50:$B$63,0))),"N/A")</f>
        <v/>
      </c>
      <c r="K124" s="53">
        <f>IFERROR(IF(INDEX('Faculties'!$Q$70:$Q$83,MATCH($F124,'Faculties'!$B$70:$B$83,0))="","Cell will autofill based on response",INDEX('Faculties'!$Q$70:$Q$83,MATCH($F124,'Faculties'!$B$70:$B$83,0))),"N/A")</f>
        <v/>
      </c>
      <c r="L124" s="53">
        <f>IFERROR(IF(INDEX('CI&amp;S'!$Q$10:$Q$15,MATCH($F124,'CI&amp;S'!$B$10:$B$15,0))="","Cell will autofill based on response",INDEX('CI&amp;S'!$Q$10:$Q$15,MATCH($F124,'CI&amp;S'!$B$10:$B$15,0))),"N/A")</f>
        <v/>
      </c>
      <c r="M124" s="53">
        <f>IFERROR(IF(INDEX('CI&amp;S'!$Q$22:$Q$36,MATCH($F124,'CI&amp;S'!$B$22:$B$36,0))="","Cell will autofill based on response",INDEX('CI&amp;S'!$Q$22:$Q$36,MATCH($F124,'CI&amp;S'!$B$22:$B$36,0))),"N/A")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IFERROR(IF(INDEX('MRE'!$Q$10:$Q$15,MATCH($F124,'MRE'!$B$10:$B$15,0))="","Cell will autofill based on response",INDEX('MRE'!$Q$10:$Q$15,MATCH($F124,'MRE'!$B$10:$B$15,0))),"N/A")</f>
        <v/>
      </c>
      <c r="S124" s="53">
        <f>IFERROR(IF(INDEX('AC&amp;M'!$Q$10:$Q$14,MATCH($F124,'AC&amp;M'!$B$10:$B$14,0))="","Cell will autofill based on response",INDEX('AC&amp;M'!$Q$10:$Q$14,MATCH($F124,'AC&amp;M'!$B$10:$B$14,0))),"N/A")</f>
        <v/>
      </c>
      <c r="T124" s="53">
        <f>IFERROR(IF(INDEX('GCE'!$Q$10:$Q$12,MATCH($F124,'GCE'!$B$10:$B$12,0))="","Cell will autofill based on response",INDEX('GCE'!$Q$10:$Q$12,MATCH($F124,'GCE'!$B$10:$B$12,0))),"N/A")</f>
        <v/>
      </c>
      <c r="U124" s="53">
        <f>IFERROR(IF(INDEX('Education'!$Q$10:$Q$13,MATCH($F124,'Education'!$B$10:$B$13,0))="","Cell will autofill based on response",INDEX('Education'!$Q$10:$Q$13,MATCH($F124,'Education'!$B$10:$B$13,0))),"N/A")</f>
        <v/>
      </c>
      <c r="V124" s="53">
        <f>IFERROR(IF(INDEX('SaSS'!$Q$10:$Q$12,MATCH($F124,'SaSS'!$B$10:$B$12,0))="","Cell will autofill based on response",INDEX('SaSS'!$Q$10:$Q$12,MATCH($F124,'SaSS'!$B$10:$B$12,0))),"N/A")</f>
        <v/>
      </c>
      <c r="W124" s="53">
        <f>IFERROR(IF(INDEX('Indigenous'!$Q$10:$Q$11,MATCH($F124,'Indigenous'!$B$10:$B$11,0))="","Cell will autofill based on response",INDEX('Indigenous'!$Q$10:$Q$11,MATCH($F124,'Indigenous'!$B$10:$B$11,0))),"N/A")</f>
        <v/>
      </c>
      <c r="X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IFERROR(IF(INDEX('Faculties'!$L$10:$L$23,MATCH($F125,'Faculties'!$B$10:$B$23,0))="","Cell will autofill based on response",INDEX('Faculties'!$L$10:$L$23,MATCH($F125,'Faculties'!$B$10:$B$23,0))),"N/A")</f>
        <v/>
      </c>
      <c r="I125" s="53">
        <f>IFERROR(IF(INDEX('Faculties'!$L$30:$L$43,MATCH($F125,'Faculties'!$B$30:$B$43,0))="","Cell will autofill based on response",INDEX('Faculties'!$L$30:$L$43,MATCH($F125,'Faculties'!$B$30:$B$43,0))),"N/A")</f>
        <v/>
      </c>
      <c r="J125" s="53">
        <f>IFERROR(IF(INDEX('Faculties'!$L$50:$L$63,MATCH($F125,'Faculties'!$B$50:$B$63,0))="","Cell will autofill based on response",INDEX('Faculties'!$L$50:$L$63,MATCH($F125,'Faculties'!$B$50:$B$63,0))),"N/A")</f>
        <v/>
      </c>
      <c r="K125" s="53">
        <f>IFERROR(IF(INDEX('Faculties'!$L$70:$L$83,MATCH($F125,'Faculties'!$B$70:$B$83,0))="","Cell will autofill based on response",INDEX('Faculties'!$L$70:$L$83,MATCH($F125,'Faculties'!$B$70:$B$83,0))),"N/A")</f>
        <v/>
      </c>
      <c r="L125" s="53">
        <f>IFERROR(IF(INDEX('CI&amp;S'!$L$10:$L$15,MATCH($F125,'CI&amp;S'!$B$10:$B$15,0))="","Cell will autofill based on response",INDEX('CI&amp;S'!$L$10:$L$15,MATCH($F125,'CI&amp;S'!$B$10:$B$15,0))),"N/A")</f>
        <v/>
      </c>
      <c r="M125" s="53">
        <f>IFERROR(IF(INDEX('CI&amp;S'!$L$22:$L$36,MATCH($F125,'CI&amp;S'!$B$22:$B$36,0))="","Cell will autofill based on response",INDEX('CI&amp;S'!$L$22:$L$36,MATCH($F125,'CI&amp;S'!$B$22:$B$36,0))),"N/A")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IFERROR(IF(INDEX('MRE'!$L$10:$L$15,MATCH($F125,'MRE'!$B$10:$B$15,0))="","Cell will autofill based on response",INDEX('MRE'!$L$10:$L$15,MATCH($F125,'MRE'!$B$10:$B$15,0))),"N/A")</f>
        <v/>
      </c>
      <c r="S125" s="53">
        <f>IFERROR(IF(INDEX('AC&amp;M'!$L$10:$L$14,MATCH($F125,'AC&amp;M'!$B$10:$B$14,0))="","Cell will autofill based on response",INDEX('AC&amp;M'!$L$10:$L$14,MATCH($F125,'AC&amp;M'!$B$10:$B$14,0))),"N/A")</f>
        <v/>
      </c>
      <c r="T125" s="53">
        <f>IFERROR(IF(INDEX('GCE'!$L$10:$L$12,MATCH($F125,'GCE'!$B$10:$B$12,0))="","Cell will autofill based on response",INDEX('GCE'!$L$10:$L$12,MATCH($F125,'GCE'!$B$10:$B$12,0))),"N/A")</f>
        <v/>
      </c>
      <c r="U125" s="53">
        <f>IFERROR(IF(INDEX('Education'!$L$10:$L$13,MATCH($F125,'Education'!$B$10:$B$13,0))="","Cell will autofill based on response",INDEX('Education'!$L$10:$L$13,MATCH($F125,'Education'!$B$10:$B$13,0))),"N/A")</f>
        <v/>
      </c>
      <c r="V125" s="53">
        <f>IFERROR(IF(INDEX('SaSS'!$L$10:$L$12,MATCH($F125,'SaSS'!$B$10:$B$12,0))="","Cell will autofill based on response",INDEX('SaSS'!$L$10:$L$12,MATCH($F125,'SaSS'!$B$10:$B$12,0))),"N/A")</f>
        <v/>
      </c>
      <c r="W125" s="53">
        <f>IFERROR(IF(INDEX('Indigenous'!$L$10:$L$11,MATCH($F125,'Indigenous'!$B$10:$B$11,0))="","Cell will autofill based on response",INDEX('Indigenous'!$L$10:$L$11,MATCH($F125,'Indigenous'!$B$10:$B$11,0))),"N/A")</f>
        <v/>
      </c>
      <c r="X125" s="53">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4">
        <f>IF(AF125&gt;0,AE125/AF125,"No valid responses to date")</f>
        <v/>
      </c>
      <c r="AH125" s="10">
        <f>IF(ISNUMBER(AG125),INDEX(Lists!$G$2:$G$5,MATCH(ROUND(AG125,0),Lists!$H$2:$H$5,0)),"")</f>
        <v/>
      </c>
      <c r="AI125" s="55">
        <f>IF(AF125&gt;0,AD125/AF125,"")</f>
        <v/>
      </c>
      <c r="AJ125" s="55">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IFERROR(IF(INDEX('Faculties'!$M$10:$M$23,MATCH($F126,'Faculties'!$B$10:$B$23,0))="","Cell will autofill based on response",INDEX('Faculties'!$M$10:$M$23,MATCH($F126,'Faculties'!$B$10:$B$23,0))),"N/A")</f>
        <v/>
      </c>
      <c r="I126" s="53">
        <f>IFERROR(IF(INDEX('Faculties'!$M$30:$M$43,MATCH($F126,'Faculties'!$B$30:$B$43,0))="","Cell will autofill based on response",INDEX('Faculties'!$M$30:$M$43,MATCH($F126,'Faculties'!$B$30:$B$43,0))),"N/A")</f>
        <v/>
      </c>
      <c r="J126" s="53">
        <f>IFERROR(IF(INDEX('Faculties'!$M$50:$M$63,MATCH($F126,'Faculties'!$B$50:$B$63,0))="","Cell will autofill based on response",INDEX('Faculties'!$M$50:$M$63,MATCH($F126,'Faculties'!$B$50:$B$63,0))),"N/A")</f>
        <v/>
      </c>
      <c r="K126" s="53">
        <f>IFERROR(IF(INDEX('Faculties'!$M$70:$M$83,MATCH($F126,'Faculties'!$B$70:$B$83,0))="","Cell will autofill based on response",INDEX('Faculties'!$M$70:$M$83,MATCH($F126,'Faculties'!$B$70:$B$83,0))),"N/A")</f>
        <v/>
      </c>
      <c r="L126" s="53">
        <f>IFERROR(IF(INDEX('CI&amp;S'!$M$10:$M$15,MATCH($F126,'CI&amp;S'!$B$10:$B$15,0))="","Cell will autofill based on response",INDEX('CI&amp;S'!$M$10:$M$15,MATCH($F126,'CI&amp;S'!$B$10:$B$15,0))),"N/A")</f>
        <v/>
      </c>
      <c r="M126" s="53">
        <f>IFERROR(IF(INDEX('CI&amp;S'!$M$22:$M$36,MATCH($F126,'CI&amp;S'!$B$22:$B$36,0))="","Cell will autofill based on response",INDEX('CI&amp;S'!$M$22:$M$36,MATCH($F126,'CI&amp;S'!$B$22:$B$36,0))),"N/A")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IFERROR(IF(INDEX('MRE'!$M$10:$M$15,MATCH($F126,'MRE'!$B$10:$B$15,0))="","Cell will autofill based on response",INDEX('MRE'!$M$10:$M$15,MATCH($F126,'MRE'!$B$10:$B$15,0))),"N/A")</f>
        <v/>
      </c>
      <c r="S126" s="53">
        <f>IFERROR(IF(INDEX('AC&amp;M'!$M$10:$M$14,MATCH($F126,'AC&amp;M'!$B$10:$B$14,0))="","Cell will autofill based on response",INDEX('AC&amp;M'!$M$10:$M$14,MATCH($F126,'AC&amp;M'!$B$10:$B$14,0))),"N/A")</f>
        <v/>
      </c>
      <c r="T126" s="53">
        <f>IFERROR(IF(INDEX('GCE'!$M$10:$M$12,MATCH($F126,'GCE'!$B$10:$B$12,0))="","Cell will autofill based on response",INDEX('GCE'!$M$10:$M$12,MATCH($F126,'GCE'!$B$10:$B$12,0))),"N/A")</f>
        <v/>
      </c>
      <c r="U126" s="53">
        <f>IFERROR(IF(INDEX('Education'!$M$10:$M$13,MATCH($F126,'Education'!$B$10:$B$13,0))="","Cell will autofill based on response",INDEX('Education'!$M$10:$M$13,MATCH($F126,'Education'!$B$10:$B$13,0))),"N/A")</f>
        <v/>
      </c>
      <c r="V126" s="53">
        <f>IFERROR(IF(INDEX('SaSS'!$M$10:$M$12,MATCH($F126,'SaSS'!$B$10:$B$12,0))="","Cell will autofill based on response",INDEX('SaSS'!$M$10:$M$12,MATCH($F126,'SaSS'!$B$10:$B$12,0))),"N/A")</f>
        <v/>
      </c>
      <c r="W126" s="53">
        <f>IFERROR(IF(INDEX('Indigenous'!$M$10:$M$11,MATCH($F126,'Indigenous'!$B$10:$B$11,0))="","Cell will autofill based on response",INDEX('Indigenous'!$M$10:$M$11,MATCH($F126,'Indigenous'!$B$10:$B$11,0))),"N/A")</f>
        <v/>
      </c>
      <c r="X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IFERROR(IF(INDEX('Faculties'!$N$10:$N$23,MATCH($F127,'Faculties'!$B$10:$B$23,0))="","Cell will autofill based on response",INDEX('Faculties'!$N$10:$N$23,MATCH($F127,'Faculties'!$B$10:$B$23,0))),"N/A")</f>
        <v/>
      </c>
      <c r="I127" s="53">
        <f>IFERROR(IF(INDEX('Faculties'!$N$30:$N$43,MATCH($F127,'Faculties'!$B$30:$B$43,0))="","Cell will autofill based on response",INDEX('Faculties'!$N$30:$N$43,MATCH($F127,'Faculties'!$B$30:$B$43,0))),"N/A")</f>
        <v/>
      </c>
      <c r="J127" s="53">
        <f>IFERROR(IF(INDEX('Faculties'!$N$50:$N$63,MATCH($F127,'Faculties'!$B$50:$B$63,0))="","Cell will autofill based on response",INDEX('Faculties'!$N$50:$N$63,MATCH($F127,'Faculties'!$B$50:$B$63,0))),"N/A")</f>
        <v/>
      </c>
      <c r="K127" s="53">
        <f>IFERROR(IF(INDEX('Faculties'!$N$70:$N$83,MATCH($F127,'Faculties'!$B$70:$B$83,0))="","Cell will autofill based on response",INDEX('Faculties'!$N$70:$N$83,MATCH($F127,'Faculties'!$B$70:$B$83,0))),"N/A")</f>
        <v/>
      </c>
      <c r="L127" s="53">
        <f>IFERROR(IF(INDEX('CI&amp;S'!$N$10:$N$15,MATCH($F127,'CI&amp;S'!$B$10:$B$15,0))="","Cell will autofill based on response",INDEX('CI&amp;S'!$N$10:$N$15,MATCH($F127,'CI&amp;S'!$B$10:$B$15,0))),"N/A")</f>
        <v/>
      </c>
      <c r="M127" s="53">
        <f>IFERROR(IF(INDEX('CI&amp;S'!$N$22:$N$36,MATCH($F127,'CI&amp;S'!$B$22:$B$36,0))="","Cell will autofill based on response",INDEX('CI&amp;S'!$N$22:$N$36,MATCH($F127,'CI&amp;S'!$B$22:$B$36,0))),"N/A")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IFERROR(IF(INDEX('MRE'!$N$10:$N$15,MATCH($F127,'MRE'!$B$10:$B$15,0))="","Cell will autofill based on response",INDEX('MRE'!$N$10:$N$15,MATCH($F127,'MRE'!$B$10:$B$15,0))),"N/A")</f>
        <v/>
      </c>
      <c r="S127" s="53">
        <f>IFERROR(IF(INDEX('AC&amp;M'!$N$10:$N$14,MATCH($F127,'AC&amp;M'!$B$10:$B$14,0))="","Cell will autofill based on response",INDEX('AC&amp;M'!$N$10:$N$14,MATCH($F127,'AC&amp;M'!$B$10:$B$14,0))),"N/A")</f>
        <v/>
      </c>
      <c r="T127" s="53">
        <f>IFERROR(IF(INDEX('GCE'!$N$10:$N$12,MATCH($F127,'GCE'!$B$10:$B$12,0))="","Cell will autofill based on response",INDEX('GCE'!$N$10:$N$12,MATCH($F127,'GCE'!$B$10:$B$12,0))),"N/A")</f>
        <v/>
      </c>
      <c r="U127" s="53">
        <f>IFERROR(IF(INDEX('Education'!$N$10:$N$13,MATCH($F127,'Education'!$B$10:$B$13,0))="","Cell will autofill based on response",INDEX('Education'!$N$10:$N$13,MATCH($F127,'Education'!$B$10:$B$13,0))),"N/A")</f>
        <v/>
      </c>
      <c r="V127" s="53">
        <f>IFERROR(IF(INDEX('SaSS'!$N$10:$N$12,MATCH($F127,'SaSS'!$B$10:$B$12,0))="","Cell will autofill based on response",INDEX('SaSS'!$N$10:$N$12,MATCH($F127,'SaSS'!$B$10:$B$12,0))),"N/A")</f>
        <v/>
      </c>
      <c r="W127" s="53">
        <f>IFERROR(IF(INDEX('Indigenous'!$N$10:$N$11,MATCH($F127,'Indigenous'!$B$10:$B$11,0))="","Cell will autofill based on response",INDEX('Indigenous'!$N$10:$N$11,MATCH($F127,'Indigenous'!$B$10:$B$11,0))),"N/A")</f>
        <v/>
      </c>
      <c r="X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IFERROR(IF(INDEX('Faculties'!$O$10:$O$23,MATCH($F128,'Faculties'!$B$10:$B$23,0))="","Cell will autofill based on response",INDEX('Faculties'!$O$10:$O$23,MATCH($F128,'Faculties'!$B$10:$B$23,0))),"N/A")</f>
        <v/>
      </c>
      <c r="I128" s="53">
        <f>IFERROR(IF(INDEX('Faculties'!$O$30:$O$43,MATCH($F128,'Faculties'!$B$30:$B$43,0))="","Cell will autofill based on response",INDEX('Faculties'!$O$30:$O$43,MATCH($F128,'Faculties'!$B$30:$B$43,0))),"N/A")</f>
        <v/>
      </c>
      <c r="J128" s="53">
        <f>IFERROR(IF(INDEX('Faculties'!$O$50:$O$63,MATCH($F128,'Faculties'!$B$50:$B$63,0))="","Cell will autofill based on response",INDEX('Faculties'!$O$50:$O$63,MATCH($F128,'Faculties'!$B$50:$B$63,0))),"N/A")</f>
        <v/>
      </c>
      <c r="K128" s="53">
        <f>IFERROR(IF(INDEX('Faculties'!$O$70:$O$83,MATCH($F128,'Faculties'!$B$70:$B$83,0))="","Cell will autofill based on response",INDEX('Faculties'!$O$70:$O$83,MATCH($F128,'Faculties'!$B$70:$B$83,0))),"N/A")</f>
        <v/>
      </c>
      <c r="L128" s="53">
        <f>IFERROR(IF(INDEX('CI&amp;S'!$O$10:$O$15,MATCH($F128,'CI&amp;S'!$B$10:$B$15,0))="","Cell will autofill based on response",INDEX('CI&amp;S'!$O$10:$O$15,MATCH($F128,'CI&amp;S'!$B$10:$B$15,0))),"N/A")</f>
        <v/>
      </c>
      <c r="M128" s="53">
        <f>IFERROR(IF(INDEX('CI&amp;S'!$O$22:$O$36,MATCH($F128,'CI&amp;S'!$B$22:$B$36,0))="","Cell will autofill based on response",INDEX('CI&amp;S'!$O$22:$O$36,MATCH($F128,'CI&amp;S'!$B$22:$B$36,0))),"N/A")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IFERROR(IF(INDEX('MRE'!$O$10:$O$15,MATCH($F128,'MRE'!$B$10:$B$15,0))="","Cell will autofill based on response",INDEX('MRE'!$O$10:$O$15,MATCH($F128,'MRE'!$B$10:$B$15,0))),"N/A")</f>
        <v/>
      </c>
      <c r="S128" s="53">
        <f>IFERROR(IF(INDEX('AC&amp;M'!$O$10:$O$14,MATCH($F128,'AC&amp;M'!$B$10:$B$14,0))="","Cell will autofill based on response",INDEX('AC&amp;M'!$O$10:$O$14,MATCH($F128,'AC&amp;M'!$B$10:$B$14,0))),"N/A")</f>
        <v/>
      </c>
      <c r="T128" s="53">
        <f>IFERROR(IF(INDEX('GCE'!$O$10:$O$12,MATCH($F128,'GCE'!$B$10:$B$12,0))="","Cell will autofill based on response",INDEX('GCE'!$O$10:$O$12,MATCH($F128,'GCE'!$B$10:$B$12,0))),"N/A")</f>
        <v/>
      </c>
      <c r="U128" s="53">
        <f>IFERROR(IF(INDEX('Education'!$O$10:$O$13,MATCH($F128,'Education'!$B$10:$B$13,0))="","Cell will autofill based on response",INDEX('Education'!$O$10:$O$13,MATCH($F128,'Education'!$B$10:$B$13,0))),"N/A")</f>
        <v/>
      </c>
      <c r="V128" s="53">
        <f>IFERROR(IF(INDEX('SaSS'!$O$10:$O$12,MATCH($F128,'SaSS'!$B$10:$B$12,0))="","Cell will autofill based on response",INDEX('SaSS'!$O$10:$O$12,MATCH($F128,'SaSS'!$B$10:$B$12,0))),"N/A")</f>
        <v/>
      </c>
      <c r="W128" s="53">
        <f>IFERROR(IF(INDEX('Indigenous'!$O$10:$O$11,MATCH($F128,'Indigenous'!$B$10:$B$11,0))="","Cell will autofill based on response",INDEX('Indigenous'!$O$10:$O$11,MATCH($F128,'Indigenous'!$B$10:$B$11,0))),"N/A")</f>
        <v/>
      </c>
      <c r="X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IFERROR(IF(INDEX('Faculties'!$P$10:$P$23,MATCH($F129,'Faculties'!$B$10:$B$23,0))="","Cell will autofill based on response",INDEX('Faculties'!$P$10:$P$23,MATCH($F129,'Faculties'!$B$10:$B$23,0))),"N/A")</f>
        <v/>
      </c>
      <c r="I129" s="53">
        <f>IFERROR(IF(INDEX('Faculties'!$P$30:$P$43,MATCH($F129,'Faculties'!$B$30:$B$43,0))="","Cell will autofill based on response",INDEX('Faculties'!$P$30:$P$43,MATCH($F129,'Faculties'!$B$30:$B$43,0))),"N/A")</f>
        <v/>
      </c>
      <c r="J129" s="53">
        <f>IFERROR(IF(INDEX('Faculties'!$P$50:$P$63,MATCH($F129,'Faculties'!$B$50:$B$63,0))="","Cell will autofill based on response",INDEX('Faculties'!$P$50:$P$63,MATCH($F129,'Faculties'!$B$50:$B$63,0))),"N/A")</f>
        <v/>
      </c>
      <c r="K129" s="53">
        <f>IFERROR(IF(INDEX('Faculties'!$P$70:$P$83,MATCH($F129,'Faculties'!$B$70:$B$83,0))="","Cell will autofill based on response",INDEX('Faculties'!$P$70:$P$83,MATCH($F129,'Faculties'!$B$70:$B$83,0))),"N/A")</f>
        <v/>
      </c>
      <c r="L129" s="53">
        <f>IFERROR(IF(INDEX('CI&amp;S'!$P$10:$P$15,MATCH($F129,'CI&amp;S'!$B$10:$B$15,0))="","Cell will autofill based on response",INDEX('CI&amp;S'!$P$10:$P$15,MATCH($F129,'CI&amp;S'!$B$10:$B$15,0))),"N/A")</f>
        <v/>
      </c>
      <c r="M129" s="53">
        <f>IFERROR(IF(INDEX('CI&amp;S'!$P$22:$P$36,MATCH($F129,'CI&amp;S'!$B$22:$B$36,0))="","Cell will autofill based on response",INDEX('CI&amp;S'!$P$22:$P$36,MATCH($F129,'CI&amp;S'!$B$22:$B$36,0))),"N/A")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IFERROR(IF(INDEX('MRE'!$P$10:$P$15,MATCH($F129,'MRE'!$B$10:$B$15,0))="","Cell will autofill based on response",INDEX('MRE'!$P$10:$P$15,MATCH($F129,'MRE'!$B$10:$B$15,0))),"N/A")</f>
        <v/>
      </c>
      <c r="S129" s="53">
        <f>IFERROR(IF(INDEX('AC&amp;M'!$P$10:$P$14,MATCH($F129,'AC&amp;M'!$B$10:$B$14,0))="","Cell will autofill based on response",INDEX('AC&amp;M'!$P$10:$P$14,MATCH($F129,'AC&amp;M'!$B$10:$B$14,0))),"N/A")</f>
        <v/>
      </c>
      <c r="T129" s="53">
        <f>IFERROR(IF(INDEX('GCE'!$P$10:$P$12,MATCH($F129,'GCE'!$B$10:$B$12,0))="","Cell will autofill based on response",INDEX('GCE'!$P$10:$P$12,MATCH($F129,'GCE'!$B$10:$B$12,0))),"N/A")</f>
        <v/>
      </c>
      <c r="U129" s="53">
        <f>IFERROR(IF(INDEX('Education'!$P$10:$P$13,MATCH($F129,'Education'!$B$10:$B$13,0))="","Cell will autofill based on response",INDEX('Education'!$P$10:$P$13,MATCH($F129,'Education'!$B$10:$B$13,0))),"N/A")</f>
        <v/>
      </c>
      <c r="V129" s="53">
        <f>IFERROR(IF(INDEX('SaSS'!$P$10:$P$12,MATCH($F129,'SaSS'!$B$10:$B$12,0))="","Cell will autofill based on response",INDEX('SaSS'!$P$10:$P$12,MATCH($F129,'SaSS'!$B$10:$B$12,0))),"N/A")</f>
        <v/>
      </c>
      <c r="W129" s="53">
        <f>IFERROR(IF(INDEX('Indigenous'!$P$10:$P$11,MATCH($F129,'Indigenous'!$B$10:$B$11,0))="","Cell will autofill based on response",INDEX('Indigenous'!$P$10:$P$11,MATCH($F129,'Indigenous'!$B$10:$B$11,0))),"N/A")</f>
        <v/>
      </c>
      <c r="X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IFERROR(IF(INDEX('Faculties'!$Q$10:$Q$23,MATCH($F130,'Faculties'!$B$10:$B$23,0))="","Cell will autofill based on response",INDEX('Faculties'!$Q$10:$Q$23,MATCH($F130,'Faculties'!$B$10:$B$23,0))),"N/A")</f>
        <v/>
      </c>
      <c r="I130" s="53">
        <f>IFERROR(IF(INDEX('Faculties'!$Q$30:$Q$43,MATCH($F130,'Faculties'!$B$30:$B$43,0))="","Cell will autofill based on response",INDEX('Faculties'!$Q$30:$Q$43,MATCH($F130,'Faculties'!$B$30:$B$43,0))),"N/A")</f>
        <v/>
      </c>
      <c r="J130" s="53">
        <f>IFERROR(IF(INDEX('Faculties'!$Q$50:$Q$63,MATCH($F130,'Faculties'!$B$50:$B$63,0))="","Cell will autofill based on response",INDEX('Faculties'!$Q$50:$Q$63,MATCH($F130,'Faculties'!$B$50:$B$63,0))),"N/A")</f>
        <v/>
      </c>
      <c r="K130" s="53">
        <f>IFERROR(IF(INDEX('Faculties'!$Q$70:$Q$83,MATCH($F130,'Faculties'!$B$70:$B$83,0))="","Cell will autofill based on response",INDEX('Faculties'!$Q$70:$Q$83,MATCH($F130,'Faculties'!$B$70:$B$83,0))),"N/A")</f>
        <v/>
      </c>
      <c r="L130" s="53">
        <f>IFERROR(IF(INDEX('CI&amp;S'!$Q$10:$Q$15,MATCH($F130,'CI&amp;S'!$B$10:$B$15,0))="","Cell will autofill based on response",INDEX('CI&amp;S'!$Q$10:$Q$15,MATCH($F130,'CI&amp;S'!$B$10:$B$15,0))),"N/A")</f>
        <v/>
      </c>
      <c r="M130" s="53">
        <f>IFERROR(IF(INDEX('CI&amp;S'!$Q$22:$Q$36,MATCH($F130,'CI&amp;S'!$B$22:$B$36,0))="","Cell will autofill based on response",INDEX('CI&amp;S'!$Q$22:$Q$36,MATCH($F130,'CI&amp;S'!$B$22:$B$36,0))),"N/A")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IFERROR(IF(INDEX('MRE'!$Q$10:$Q$15,MATCH($F130,'MRE'!$B$10:$B$15,0))="","Cell will autofill based on response",INDEX('MRE'!$Q$10:$Q$15,MATCH($F130,'MRE'!$B$10:$B$15,0))),"N/A")</f>
        <v/>
      </c>
      <c r="S130" s="53">
        <f>IFERROR(IF(INDEX('AC&amp;M'!$Q$10:$Q$14,MATCH($F130,'AC&amp;M'!$B$10:$B$14,0))="","Cell will autofill based on response",INDEX('AC&amp;M'!$Q$10:$Q$14,MATCH($F130,'AC&amp;M'!$B$10:$B$14,0))),"N/A")</f>
        <v/>
      </c>
      <c r="T130" s="53">
        <f>IFERROR(IF(INDEX('GCE'!$Q$10:$Q$12,MATCH($F130,'GCE'!$B$10:$B$12,0))="","Cell will autofill based on response",INDEX('GCE'!$Q$10:$Q$12,MATCH($F130,'GCE'!$B$10:$B$12,0))),"N/A")</f>
        <v/>
      </c>
      <c r="U130" s="53">
        <f>IFERROR(IF(INDEX('Education'!$Q$10:$Q$13,MATCH($F130,'Education'!$B$10:$B$13,0))="","Cell will autofill based on response",INDEX('Education'!$Q$10:$Q$13,MATCH($F130,'Education'!$B$10:$B$13,0))),"N/A")</f>
        <v/>
      </c>
      <c r="V130" s="53">
        <f>IFERROR(IF(INDEX('SaSS'!$Q$10:$Q$12,MATCH($F130,'SaSS'!$B$10:$B$12,0))="","Cell will autofill based on response",INDEX('SaSS'!$Q$10:$Q$12,MATCH($F130,'SaSS'!$B$10:$B$12,0))),"N/A")</f>
        <v/>
      </c>
      <c r="W130" s="53">
        <f>IFERROR(IF(INDEX('Indigenous'!$Q$10:$Q$11,MATCH($F130,'Indigenous'!$B$10:$B$11,0))="","Cell will autofill based on response",INDEX('Indigenous'!$Q$10:$Q$11,MATCH($F130,'Indigenous'!$B$10:$B$11,0))),"N/A")</f>
        <v/>
      </c>
      <c r="X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IFERROR(IF(INDEX('Faculties'!$L$10:$L$23,MATCH($F131,'Faculties'!$B$10:$B$23,0))="","Cell will autofill based on response",INDEX('Faculties'!$L$10:$L$23,MATCH($F131,'Faculties'!$B$10:$B$23,0))),"N/A")</f>
        <v/>
      </c>
      <c r="I131" s="53">
        <f>IFERROR(IF(INDEX('Faculties'!$L$30:$L$43,MATCH($F131,'Faculties'!$B$30:$B$43,0))="","Cell will autofill based on response",INDEX('Faculties'!$L$30:$L$43,MATCH($F131,'Faculties'!$B$30:$B$43,0))),"N/A")</f>
        <v/>
      </c>
      <c r="J131" s="53">
        <f>IFERROR(IF(INDEX('Faculties'!$L$50:$L$63,MATCH($F131,'Faculties'!$B$50:$B$63,0))="","Cell will autofill based on response",INDEX('Faculties'!$L$50:$L$63,MATCH($F131,'Faculties'!$B$50:$B$63,0))),"N/A")</f>
        <v/>
      </c>
      <c r="K131" s="53">
        <f>IFERROR(IF(INDEX('Faculties'!$L$70:$L$83,MATCH($F131,'Faculties'!$B$70:$B$83,0))="","Cell will autofill based on response",INDEX('Faculties'!$L$70:$L$83,MATCH($F131,'Faculties'!$B$70:$B$83,0))),"N/A")</f>
        <v/>
      </c>
      <c r="L131" s="53">
        <f>IFERROR(IF(INDEX('CI&amp;S'!$L$10:$L$15,MATCH($F131,'CI&amp;S'!$B$10:$B$15,0))="","Cell will autofill based on response",INDEX('CI&amp;S'!$L$10:$L$15,MATCH($F131,'CI&amp;S'!$B$10:$B$15,0))),"N/A")</f>
        <v/>
      </c>
      <c r="M131" s="53">
        <f>IFERROR(IF(INDEX('CI&amp;S'!$L$22:$L$36,MATCH($F131,'CI&amp;S'!$B$22:$B$36,0))="","Cell will autofill based on response",INDEX('CI&amp;S'!$L$22:$L$36,MATCH($F131,'CI&amp;S'!$B$22:$B$36,0))),"N/A")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IFERROR(IF(INDEX('MRE'!$L$10:$L$15,MATCH($F131,'MRE'!$B$10:$B$15,0))="","Cell will autofill based on response",INDEX('MRE'!$L$10:$L$15,MATCH($F131,'MRE'!$B$10:$B$15,0))),"N/A")</f>
        <v/>
      </c>
      <c r="S131" s="53">
        <f>IFERROR(IF(INDEX('AC&amp;M'!$L$10:$L$14,MATCH($F131,'AC&amp;M'!$B$10:$B$14,0))="","Cell will autofill based on response",INDEX('AC&amp;M'!$L$10:$L$14,MATCH($F131,'AC&amp;M'!$B$10:$B$14,0))),"N/A")</f>
        <v/>
      </c>
      <c r="T131" s="53">
        <f>IFERROR(IF(INDEX('GCE'!$L$10:$L$12,MATCH($F131,'GCE'!$B$10:$B$12,0))="","Cell will autofill based on response",INDEX('GCE'!$L$10:$L$12,MATCH($F131,'GCE'!$B$10:$B$12,0))),"N/A")</f>
        <v/>
      </c>
      <c r="U131" s="53">
        <f>IFERROR(IF(INDEX('Education'!$L$10:$L$13,MATCH($F131,'Education'!$B$10:$B$13,0))="","Cell will autofill based on response",INDEX('Education'!$L$10:$L$13,MATCH($F131,'Education'!$B$10:$B$13,0))),"N/A")</f>
        <v/>
      </c>
      <c r="V131" s="53">
        <f>IFERROR(IF(INDEX('SaSS'!$L$10:$L$12,MATCH($F131,'SaSS'!$B$10:$B$12,0))="","Cell will autofill based on response",INDEX('SaSS'!$L$10:$L$12,MATCH($F131,'SaSS'!$B$10:$B$12,0))),"N/A")</f>
        <v/>
      </c>
      <c r="W131" s="53">
        <f>IFERROR(IF(INDEX('Indigenous'!$L$10:$L$11,MATCH($F131,'Indigenous'!$B$10:$B$11,0))="","Cell will autofill based on response",INDEX('Indigenous'!$L$10:$L$11,MATCH($F131,'Indigenous'!$B$10:$B$11,0))),"N/A")</f>
        <v/>
      </c>
      <c r="X131" s="53">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4">
        <f>IF(AF131&gt;0,AE131/AF131,"No valid responses to date")</f>
        <v/>
      </c>
      <c r="AH131" s="10">
        <f>IF(ISNUMBER(AG131),INDEX(Lists!$G$2:$G$5,MATCH(ROUND(AG131,0),Lists!$H$2:$H$5,0)),"")</f>
        <v/>
      </c>
      <c r="AI131" s="55">
        <f>IF(AF131&gt;0,AD131/AF131,"")</f>
        <v/>
      </c>
      <c r="AJ131" s="55">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IFERROR(IF(INDEX('Faculties'!$M$10:$M$23,MATCH($F132,'Faculties'!$B$10:$B$23,0))="","Cell will autofill based on response",INDEX('Faculties'!$M$10:$M$23,MATCH($F132,'Faculties'!$B$10:$B$23,0))),"N/A")</f>
        <v/>
      </c>
      <c r="I132" s="53">
        <f>IFERROR(IF(INDEX('Faculties'!$M$30:$M$43,MATCH($F132,'Faculties'!$B$30:$B$43,0))="","Cell will autofill based on response",INDEX('Faculties'!$M$30:$M$43,MATCH($F132,'Faculties'!$B$30:$B$43,0))),"N/A")</f>
        <v/>
      </c>
      <c r="J132" s="53">
        <f>IFERROR(IF(INDEX('Faculties'!$M$50:$M$63,MATCH($F132,'Faculties'!$B$50:$B$63,0))="","Cell will autofill based on response",INDEX('Faculties'!$M$50:$M$63,MATCH($F132,'Faculties'!$B$50:$B$63,0))),"N/A")</f>
        <v/>
      </c>
      <c r="K132" s="53">
        <f>IFERROR(IF(INDEX('Faculties'!$M$70:$M$83,MATCH($F132,'Faculties'!$B$70:$B$83,0))="","Cell will autofill based on response",INDEX('Faculties'!$M$70:$M$83,MATCH($F132,'Faculties'!$B$70:$B$83,0))),"N/A")</f>
        <v/>
      </c>
      <c r="L132" s="53">
        <f>IFERROR(IF(INDEX('CI&amp;S'!$M$10:$M$15,MATCH($F132,'CI&amp;S'!$B$10:$B$15,0))="","Cell will autofill based on response",INDEX('CI&amp;S'!$M$10:$M$15,MATCH($F132,'CI&amp;S'!$B$10:$B$15,0))),"N/A")</f>
        <v/>
      </c>
      <c r="M132" s="53">
        <f>IFERROR(IF(INDEX('CI&amp;S'!$M$22:$M$36,MATCH($F132,'CI&amp;S'!$B$22:$B$36,0))="","Cell will autofill based on response",INDEX('CI&amp;S'!$M$22:$M$36,MATCH($F132,'CI&amp;S'!$B$22:$B$36,0))),"N/A")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IFERROR(IF(INDEX('MRE'!$M$10:$M$15,MATCH($F132,'MRE'!$B$10:$B$15,0))="","Cell will autofill based on response",INDEX('MRE'!$M$10:$M$15,MATCH($F132,'MRE'!$B$10:$B$15,0))),"N/A")</f>
        <v/>
      </c>
      <c r="S132" s="53">
        <f>IFERROR(IF(INDEX('AC&amp;M'!$M$10:$M$14,MATCH($F132,'AC&amp;M'!$B$10:$B$14,0))="","Cell will autofill based on response",INDEX('AC&amp;M'!$M$10:$M$14,MATCH($F132,'AC&amp;M'!$B$10:$B$14,0))),"N/A")</f>
        <v/>
      </c>
      <c r="T132" s="53">
        <f>IFERROR(IF(INDEX('GCE'!$M$10:$M$12,MATCH($F132,'GCE'!$B$10:$B$12,0))="","Cell will autofill based on response",INDEX('GCE'!$M$10:$M$12,MATCH($F132,'GCE'!$B$10:$B$12,0))),"N/A")</f>
        <v/>
      </c>
      <c r="U132" s="53">
        <f>IFERROR(IF(INDEX('Education'!$M$10:$M$13,MATCH($F132,'Education'!$B$10:$B$13,0))="","Cell will autofill based on response",INDEX('Education'!$M$10:$M$13,MATCH($F132,'Education'!$B$10:$B$13,0))),"N/A")</f>
        <v/>
      </c>
      <c r="V132" s="53">
        <f>IFERROR(IF(INDEX('SaSS'!$M$10:$M$12,MATCH($F132,'SaSS'!$B$10:$B$12,0))="","Cell will autofill based on response",INDEX('SaSS'!$M$10:$M$12,MATCH($F132,'SaSS'!$B$10:$B$12,0))),"N/A")</f>
        <v/>
      </c>
      <c r="W132" s="53">
        <f>IFERROR(IF(INDEX('Indigenous'!$M$10:$M$11,MATCH($F132,'Indigenous'!$B$10:$B$11,0))="","Cell will autofill based on response",INDEX('Indigenous'!$M$10:$M$11,MATCH($F132,'Indigenous'!$B$10:$B$11,0))),"N/A")</f>
        <v/>
      </c>
      <c r="X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IFERROR(IF(INDEX('Faculties'!$N$10:$N$23,MATCH($F133,'Faculties'!$B$10:$B$23,0))="","Cell will autofill based on response",INDEX('Faculties'!$N$10:$N$23,MATCH($F133,'Faculties'!$B$10:$B$23,0))),"N/A")</f>
        <v/>
      </c>
      <c r="I133" s="53">
        <f>IFERROR(IF(INDEX('Faculties'!$N$30:$N$43,MATCH($F133,'Faculties'!$B$30:$B$43,0))="","Cell will autofill based on response",INDEX('Faculties'!$N$30:$N$43,MATCH($F133,'Faculties'!$B$30:$B$43,0))),"N/A")</f>
        <v/>
      </c>
      <c r="J133" s="53">
        <f>IFERROR(IF(INDEX('Faculties'!$N$50:$N$63,MATCH($F133,'Faculties'!$B$50:$B$63,0))="","Cell will autofill based on response",INDEX('Faculties'!$N$50:$N$63,MATCH($F133,'Faculties'!$B$50:$B$63,0))),"N/A")</f>
        <v/>
      </c>
      <c r="K133" s="53">
        <f>IFERROR(IF(INDEX('Faculties'!$N$70:$N$83,MATCH($F133,'Faculties'!$B$70:$B$83,0))="","Cell will autofill based on response",INDEX('Faculties'!$N$70:$N$83,MATCH($F133,'Faculties'!$B$70:$B$83,0))),"N/A")</f>
        <v/>
      </c>
      <c r="L133" s="53">
        <f>IFERROR(IF(INDEX('CI&amp;S'!$N$10:$N$15,MATCH($F133,'CI&amp;S'!$B$10:$B$15,0))="","Cell will autofill based on response",INDEX('CI&amp;S'!$N$10:$N$15,MATCH($F133,'CI&amp;S'!$B$10:$B$15,0))),"N/A")</f>
        <v/>
      </c>
      <c r="M133" s="53">
        <f>IFERROR(IF(INDEX('CI&amp;S'!$N$22:$N$36,MATCH($F133,'CI&amp;S'!$B$22:$B$36,0))="","Cell will autofill based on response",INDEX('CI&amp;S'!$N$22:$N$36,MATCH($F133,'CI&amp;S'!$B$22:$B$36,0))),"N/A")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IFERROR(IF(INDEX('MRE'!$N$10:$N$15,MATCH($F133,'MRE'!$B$10:$B$15,0))="","Cell will autofill based on response",INDEX('MRE'!$N$10:$N$15,MATCH($F133,'MRE'!$B$10:$B$15,0))),"N/A")</f>
        <v/>
      </c>
      <c r="S133" s="53">
        <f>IFERROR(IF(INDEX('AC&amp;M'!$N$10:$N$14,MATCH($F133,'AC&amp;M'!$B$10:$B$14,0))="","Cell will autofill based on response",INDEX('AC&amp;M'!$N$10:$N$14,MATCH($F133,'AC&amp;M'!$B$10:$B$14,0))),"N/A")</f>
        <v/>
      </c>
      <c r="T133" s="53">
        <f>IFERROR(IF(INDEX('GCE'!$N$10:$N$12,MATCH($F133,'GCE'!$B$10:$B$12,0))="","Cell will autofill based on response",INDEX('GCE'!$N$10:$N$12,MATCH($F133,'GCE'!$B$10:$B$12,0))),"N/A")</f>
        <v/>
      </c>
      <c r="U133" s="53">
        <f>IFERROR(IF(INDEX('Education'!$N$10:$N$13,MATCH($F133,'Education'!$B$10:$B$13,0))="","Cell will autofill based on response",INDEX('Education'!$N$10:$N$13,MATCH($F133,'Education'!$B$10:$B$13,0))),"N/A")</f>
        <v/>
      </c>
      <c r="V133" s="53">
        <f>IFERROR(IF(INDEX('SaSS'!$N$10:$N$12,MATCH($F133,'SaSS'!$B$10:$B$12,0))="","Cell will autofill based on response",INDEX('SaSS'!$N$10:$N$12,MATCH($F133,'SaSS'!$B$10:$B$12,0))),"N/A")</f>
        <v/>
      </c>
      <c r="W133" s="53">
        <f>IFERROR(IF(INDEX('Indigenous'!$N$10:$N$11,MATCH($F133,'Indigenous'!$B$10:$B$11,0))="","Cell will autofill based on response",INDEX('Indigenous'!$N$10:$N$11,MATCH($F133,'Indigenous'!$B$10:$B$11,0))),"N/A")</f>
        <v/>
      </c>
      <c r="X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IFERROR(IF(INDEX('Faculties'!$O$10:$O$23,MATCH($F134,'Faculties'!$B$10:$B$23,0))="","Cell will autofill based on response",INDEX('Faculties'!$O$10:$O$23,MATCH($F134,'Faculties'!$B$10:$B$23,0))),"N/A")</f>
        <v/>
      </c>
      <c r="I134" s="53">
        <f>IFERROR(IF(INDEX('Faculties'!$O$30:$O$43,MATCH($F134,'Faculties'!$B$30:$B$43,0))="","Cell will autofill based on response",INDEX('Faculties'!$O$30:$O$43,MATCH($F134,'Faculties'!$B$30:$B$43,0))),"N/A")</f>
        <v/>
      </c>
      <c r="J134" s="53">
        <f>IFERROR(IF(INDEX('Faculties'!$O$50:$O$63,MATCH($F134,'Faculties'!$B$50:$B$63,0))="","Cell will autofill based on response",INDEX('Faculties'!$O$50:$O$63,MATCH($F134,'Faculties'!$B$50:$B$63,0))),"N/A")</f>
        <v/>
      </c>
      <c r="K134" s="53">
        <f>IFERROR(IF(INDEX('Faculties'!$O$70:$O$83,MATCH($F134,'Faculties'!$B$70:$B$83,0))="","Cell will autofill based on response",INDEX('Faculties'!$O$70:$O$83,MATCH($F134,'Faculties'!$B$70:$B$83,0))),"N/A")</f>
        <v/>
      </c>
      <c r="L134" s="53">
        <f>IFERROR(IF(INDEX('CI&amp;S'!$O$10:$O$15,MATCH($F134,'CI&amp;S'!$B$10:$B$15,0))="","Cell will autofill based on response",INDEX('CI&amp;S'!$O$10:$O$15,MATCH($F134,'CI&amp;S'!$B$10:$B$15,0))),"N/A")</f>
        <v/>
      </c>
      <c r="M134" s="53">
        <f>IFERROR(IF(INDEX('CI&amp;S'!$O$22:$O$36,MATCH($F134,'CI&amp;S'!$B$22:$B$36,0))="","Cell will autofill based on response",INDEX('CI&amp;S'!$O$22:$O$36,MATCH($F134,'CI&amp;S'!$B$22:$B$36,0))),"N/A")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IFERROR(IF(INDEX('MRE'!$O$10:$O$15,MATCH($F134,'MRE'!$B$10:$B$15,0))="","Cell will autofill based on response",INDEX('MRE'!$O$10:$O$15,MATCH($F134,'MRE'!$B$10:$B$15,0))),"N/A")</f>
        <v/>
      </c>
      <c r="S134" s="53">
        <f>IFERROR(IF(INDEX('AC&amp;M'!$O$10:$O$14,MATCH($F134,'AC&amp;M'!$B$10:$B$14,0))="","Cell will autofill based on response",INDEX('AC&amp;M'!$O$10:$O$14,MATCH($F134,'AC&amp;M'!$B$10:$B$14,0))),"N/A")</f>
        <v/>
      </c>
      <c r="T134" s="53">
        <f>IFERROR(IF(INDEX('GCE'!$O$10:$O$12,MATCH($F134,'GCE'!$B$10:$B$12,0))="","Cell will autofill based on response",INDEX('GCE'!$O$10:$O$12,MATCH($F134,'GCE'!$B$10:$B$12,0))),"N/A")</f>
        <v/>
      </c>
      <c r="U134" s="53">
        <f>IFERROR(IF(INDEX('Education'!$O$10:$O$13,MATCH($F134,'Education'!$B$10:$B$13,0))="","Cell will autofill based on response",INDEX('Education'!$O$10:$O$13,MATCH($F134,'Education'!$B$10:$B$13,0))),"N/A")</f>
        <v/>
      </c>
      <c r="V134" s="53">
        <f>IFERROR(IF(INDEX('SaSS'!$O$10:$O$12,MATCH($F134,'SaSS'!$B$10:$B$12,0))="","Cell will autofill based on response",INDEX('SaSS'!$O$10:$O$12,MATCH($F134,'SaSS'!$B$10:$B$12,0))),"N/A")</f>
        <v/>
      </c>
      <c r="W134" s="53">
        <f>IFERROR(IF(INDEX('Indigenous'!$O$10:$O$11,MATCH($F134,'Indigenous'!$B$10:$B$11,0))="","Cell will autofill based on response",INDEX('Indigenous'!$O$10:$O$11,MATCH($F134,'Indigenous'!$B$10:$B$11,0))),"N/A")</f>
        <v/>
      </c>
      <c r="X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IFERROR(IF(INDEX('Faculties'!$P$10:$P$23,MATCH($F135,'Faculties'!$B$10:$B$23,0))="","Cell will autofill based on response",INDEX('Faculties'!$P$10:$P$23,MATCH($F135,'Faculties'!$B$10:$B$23,0))),"N/A")</f>
        <v/>
      </c>
      <c r="I135" s="53">
        <f>IFERROR(IF(INDEX('Faculties'!$P$30:$P$43,MATCH($F135,'Faculties'!$B$30:$B$43,0))="","Cell will autofill based on response",INDEX('Faculties'!$P$30:$P$43,MATCH($F135,'Faculties'!$B$30:$B$43,0))),"N/A")</f>
        <v/>
      </c>
      <c r="J135" s="53">
        <f>IFERROR(IF(INDEX('Faculties'!$P$50:$P$63,MATCH($F135,'Faculties'!$B$50:$B$63,0))="","Cell will autofill based on response",INDEX('Faculties'!$P$50:$P$63,MATCH($F135,'Faculties'!$B$50:$B$63,0))),"N/A")</f>
        <v/>
      </c>
      <c r="K135" s="53">
        <f>IFERROR(IF(INDEX('Faculties'!$P$70:$P$83,MATCH($F135,'Faculties'!$B$70:$B$83,0))="","Cell will autofill based on response",INDEX('Faculties'!$P$70:$P$83,MATCH($F135,'Faculties'!$B$70:$B$83,0))),"N/A")</f>
        <v/>
      </c>
      <c r="L135" s="53">
        <f>IFERROR(IF(INDEX('CI&amp;S'!$P$10:$P$15,MATCH($F135,'CI&amp;S'!$B$10:$B$15,0))="","Cell will autofill based on response",INDEX('CI&amp;S'!$P$10:$P$15,MATCH($F135,'CI&amp;S'!$B$10:$B$15,0))),"N/A")</f>
        <v/>
      </c>
      <c r="M135" s="53">
        <f>IFERROR(IF(INDEX('CI&amp;S'!$P$22:$P$36,MATCH($F135,'CI&amp;S'!$B$22:$B$36,0))="","Cell will autofill based on response",INDEX('CI&amp;S'!$P$22:$P$36,MATCH($F135,'CI&amp;S'!$B$22:$B$36,0))),"N/A")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IFERROR(IF(INDEX('MRE'!$P$10:$P$15,MATCH($F135,'MRE'!$B$10:$B$15,0))="","Cell will autofill based on response",INDEX('MRE'!$P$10:$P$15,MATCH($F135,'MRE'!$B$10:$B$15,0))),"N/A")</f>
        <v/>
      </c>
      <c r="S135" s="53">
        <f>IFERROR(IF(INDEX('AC&amp;M'!$P$10:$P$14,MATCH($F135,'AC&amp;M'!$B$10:$B$14,0))="","Cell will autofill based on response",INDEX('AC&amp;M'!$P$10:$P$14,MATCH($F135,'AC&amp;M'!$B$10:$B$14,0))),"N/A")</f>
        <v/>
      </c>
      <c r="T135" s="53">
        <f>IFERROR(IF(INDEX('GCE'!$P$10:$P$12,MATCH($F135,'GCE'!$B$10:$B$12,0))="","Cell will autofill based on response",INDEX('GCE'!$P$10:$P$12,MATCH($F135,'GCE'!$B$10:$B$12,0))),"N/A")</f>
        <v/>
      </c>
      <c r="U135" s="53">
        <f>IFERROR(IF(INDEX('Education'!$P$10:$P$13,MATCH($F135,'Education'!$B$10:$B$13,0))="","Cell will autofill based on response",INDEX('Education'!$P$10:$P$13,MATCH($F135,'Education'!$B$10:$B$13,0))),"N/A")</f>
        <v/>
      </c>
      <c r="V135" s="53">
        <f>IFERROR(IF(INDEX('SaSS'!$P$10:$P$12,MATCH($F135,'SaSS'!$B$10:$B$12,0))="","Cell will autofill based on response",INDEX('SaSS'!$P$10:$P$12,MATCH($F135,'SaSS'!$B$10:$B$12,0))),"N/A")</f>
        <v/>
      </c>
      <c r="W135" s="53">
        <f>IFERROR(IF(INDEX('Indigenous'!$P$10:$P$11,MATCH($F135,'Indigenous'!$B$10:$B$11,0))="","Cell will autofill based on response",INDEX('Indigenous'!$P$10:$P$11,MATCH($F135,'Indigenous'!$B$10:$B$11,0))),"N/A")</f>
        <v/>
      </c>
      <c r="X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IFERROR(IF(INDEX('Faculties'!$Q$10:$Q$23,MATCH($F136,'Faculties'!$B$10:$B$23,0))="","Cell will autofill based on response",INDEX('Faculties'!$Q$10:$Q$23,MATCH($F136,'Faculties'!$B$10:$B$23,0))),"N/A")</f>
        <v/>
      </c>
      <c r="I136" s="53">
        <f>IFERROR(IF(INDEX('Faculties'!$Q$30:$Q$43,MATCH($F136,'Faculties'!$B$30:$B$43,0))="","Cell will autofill based on response",INDEX('Faculties'!$Q$30:$Q$43,MATCH($F136,'Faculties'!$B$30:$B$43,0))),"N/A")</f>
        <v/>
      </c>
      <c r="J136" s="53">
        <f>IFERROR(IF(INDEX('Faculties'!$Q$50:$Q$63,MATCH($F136,'Faculties'!$B$50:$B$63,0))="","Cell will autofill based on response",INDEX('Faculties'!$Q$50:$Q$63,MATCH($F136,'Faculties'!$B$50:$B$63,0))),"N/A")</f>
        <v/>
      </c>
      <c r="K136" s="53">
        <f>IFERROR(IF(INDEX('Faculties'!$Q$70:$Q$83,MATCH($F136,'Faculties'!$B$70:$B$83,0))="","Cell will autofill based on response",INDEX('Faculties'!$Q$70:$Q$83,MATCH($F136,'Faculties'!$B$70:$B$83,0))),"N/A")</f>
        <v/>
      </c>
      <c r="L136" s="53">
        <f>IFERROR(IF(INDEX('CI&amp;S'!$Q$10:$Q$15,MATCH($F136,'CI&amp;S'!$B$10:$B$15,0))="","Cell will autofill based on response",INDEX('CI&amp;S'!$Q$10:$Q$15,MATCH($F136,'CI&amp;S'!$B$10:$B$15,0))),"N/A")</f>
        <v/>
      </c>
      <c r="M136" s="53">
        <f>IFERROR(IF(INDEX('CI&amp;S'!$Q$22:$Q$36,MATCH($F136,'CI&amp;S'!$B$22:$B$36,0))="","Cell will autofill based on response",INDEX('CI&amp;S'!$Q$22:$Q$36,MATCH($F136,'CI&amp;S'!$B$22:$B$36,0))),"N/A")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IFERROR(IF(INDEX('MRE'!$Q$10:$Q$15,MATCH($F136,'MRE'!$B$10:$B$15,0))="","Cell will autofill based on response",INDEX('MRE'!$Q$10:$Q$15,MATCH($F136,'MRE'!$B$10:$B$15,0))),"N/A")</f>
        <v/>
      </c>
      <c r="S136" s="53">
        <f>IFERROR(IF(INDEX('AC&amp;M'!$Q$10:$Q$14,MATCH($F136,'AC&amp;M'!$B$10:$B$14,0))="","Cell will autofill based on response",INDEX('AC&amp;M'!$Q$10:$Q$14,MATCH($F136,'AC&amp;M'!$B$10:$B$14,0))),"N/A")</f>
        <v/>
      </c>
      <c r="T136" s="53">
        <f>IFERROR(IF(INDEX('GCE'!$Q$10:$Q$12,MATCH($F136,'GCE'!$B$10:$B$12,0))="","Cell will autofill based on response",INDEX('GCE'!$Q$10:$Q$12,MATCH($F136,'GCE'!$B$10:$B$12,0))),"N/A")</f>
        <v/>
      </c>
      <c r="U136" s="53">
        <f>IFERROR(IF(INDEX('Education'!$Q$10:$Q$13,MATCH($F136,'Education'!$B$10:$B$13,0))="","Cell will autofill based on response",INDEX('Education'!$Q$10:$Q$13,MATCH($F136,'Education'!$B$10:$B$13,0))),"N/A")</f>
        <v/>
      </c>
      <c r="V136" s="53">
        <f>IFERROR(IF(INDEX('SaSS'!$Q$10:$Q$12,MATCH($F136,'SaSS'!$B$10:$B$12,0))="","Cell will autofill based on response",INDEX('SaSS'!$Q$10:$Q$12,MATCH($F136,'SaSS'!$B$10:$B$12,0))),"N/A")</f>
        <v/>
      </c>
      <c r="W136" s="53">
        <f>IFERROR(IF(INDEX('Indigenous'!$Q$10:$Q$11,MATCH($F136,'Indigenous'!$B$10:$B$11,0))="","Cell will autofill based on response",INDEX('Indigenous'!$Q$10:$Q$11,MATCH($F136,'Indigenous'!$B$10:$B$11,0))),"N/A")</f>
        <v/>
      </c>
      <c r="X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IFERROR(IF(INDEX('Faculties'!$L$10:$L$23,MATCH($F137,'Faculties'!$B$10:$B$23,0))="","Cell will autofill based on response",INDEX('Faculties'!$L$10:$L$23,MATCH($F137,'Faculties'!$B$10:$B$23,0))),"N/A")</f>
        <v/>
      </c>
      <c r="I137" s="53">
        <f>IFERROR(IF(INDEX('Faculties'!$L$30:$L$43,MATCH($F137,'Faculties'!$B$30:$B$43,0))="","Cell will autofill based on response",INDEX('Faculties'!$L$30:$L$43,MATCH($F137,'Faculties'!$B$30:$B$43,0))),"N/A")</f>
        <v/>
      </c>
      <c r="J137" s="53">
        <f>IFERROR(IF(INDEX('Faculties'!$L$50:$L$63,MATCH($F137,'Faculties'!$B$50:$B$63,0))="","Cell will autofill based on response",INDEX('Faculties'!$L$50:$L$63,MATCH($F137,'Faculties'!$B$50:$B$63,0))),"N/A")</f>
        <v/>
      </c>
      <c r="K137" s="53">
        <f>IFERROR(IF(INDEX('Faculties'!$L$70:$L$83,MATCH($F137,'Faculties'!$B$70:$B$83,0))="","Cell will autofill based on response",INDEX('Faculties'!$L$70:$L$83,MATCH($F137,'Faculties'!$B$70:$B$83,0))),"N/A")</f>
        <v/>
      </c>
      <c r="L137" s="53">
        <f>IFERROR(IF(INDEX('CI&amp;S'!$L$10:$L$15,MATCH($F137,'CI&amp;S'!$B$10:$B$15,0))="","Cell will autofill based on response",INDEX('CI&amp;S'!$L$10:$L$15,MATCH($F137,'CI&amp;S'!$B$10:$B$15,0))),"N/A")</f>
        <v/>
      </c>
      <c r="M137" s="53">
        <f>IFERROR(IF(INDEX('CI&amp;S'!$L$22:$L$36,MATCH($F137,'CI&amp;S'!$B$22:$B$36,0))="","Cell will autofill based on response",INDEX('CI&amp;S'!$L$22:$L$36,MATCH($F137,'CI&amp;S'!$B$22:$B$36,0))),"N/A")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IFERROR(IF(INDEX('MRE'!$L$10:$L$15,MATCH($F137,'MRE'!$B$10:$B$15,0))="","Cell will autofill based on response",INDEX('MRE'!$L$10:$L$15,MATCH($F137,'MRE'!$B$10:$B$15,0))),"N/A")</f>
        <v/>
      </c>
      <c r="S137" s="53">
        <f>IFERROR(IF(INDEX('AC&amp;M'!$L$10:$L$14,MATCH($F137,'AC&amp;M'!$B$10:$B$14,0))="","Cell will autofill based on response",INDEX('AC&amp;M'!$L$10:$L$14,MATCH($F137,'AC&amp;M'!$B$10:$B$14,0))),"N/A")</f>
        <v/>
      </c>
      <c r="T137" s="53">
        <f>IFERROR(IF(INDEX('GCE'!$L$10:$L$12,MATCH($F137,'GCE'!$B$10:$B$12,0))="","Cell will autofill based on response",INDEX('GCE'!$L$10:$L$12,MATCH($F137,'GCE'!$B$10:$B$12,0))),"N/A")</f>
        <v/>
      </c>
      <c r="U137" s="53">
        <f>IFERROR(IF(INDEX('Education'!$L$10:$L$13,MATCH($F137,'Education'!$B$10:$B$13,0))="","Cell will autofill based on response",INDEX('Education'!$L$10:$L$13,MATCH($F137,'Education'!$B$10:$B$13,0))),"N/A")</f>
        <v/>
      </c>
      <c r="V137" s="53">
        <f>IFERROR(IF(INDEX('SaSS'!$L$10:$L$12,MATCH($F137,'SaSS'!$B$10:$B$12,0))="","Cell will autofill based on response",INDEX('SaSS'!$L$10:$L$12,MATCH($F137,'SaSS'!$B$10:$B$12,0))),"N/A")</f>
        <v/>
      </c>
      <c r="W137" s="53">
        <f>IFERROR(IF(INDEX('Indigenous'!$L$10:$L$11,MATCH($F137,'Indigenous'!$B$10:$B$11,0))="","Cell will autofill based on response",INDEX('Indigenous'!$L$10:$L$11,MATCH($F137,'Indigenous'!$B$10:$B$11,0))),"N/A")</f>
        <v/>
      </c>
      <c r="X137" s="53">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4">
        <f>IF(AF137&gt;0,AE137/AF137,"No valid responses to date")</f>
        <v/>
      </c>
      <c r="AH137" s="10">
        <f>IF(ISNUMBER(AG137),INDEX(Lists!$G$2:$G$5,MATCH(ROUND(AG137,0),Lists!$H$2:$H$5,0)),"")</f>
        <v/>
      </c>
      <c r="AI137" s="55">
        <f>IF(AF137&gt;0,AD137/AF137,"")</f>
        <v/>
      </c>
      <c r="AJ137" s="55">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IFERROR(IF(INDEX('Faculties'!$M$10:$M$23,MATCH($F138,'Faculties'!$B$10:$B$23,0))="","Cell will autofill based on response",INDEX('Faculties'!$M$10:$M$23,MATCH($F138,'Faculties'!$B$10:$B$23,0))),"N/A")</f>
        <v/>
      </c>
      <c r="I138" s="53">
        <f>IFERROR(IF(INDEX('Faculties'!$M$30:$M$43,MATCH($F138,'Faculties'!$B$30:$B$43,0))="","Cell will autofill based on response",INDEX('Faculties'!$M$30:$M$43,MATCH($F138,'Faculties'!$B$30:$B$43,0))),"N/A")</f>
        <v/>
      </c>
      <c r="J138" s="53">
        <f>IFERROR(IF(INDEX('Faculties'!$M$50:$M$63,MATCH($F138,'Faculties'!$B$50:$B$63,0))="","Cell will autofill based on response",INDEX('Faculties'!$M$50:$M$63,MATCH($F138,'Faculties'!$B$50:$B$63,0))),"N/A")</f>
        <v/>
      </c>
      <c r="K138" s="53">
        <f>IFERROR(IF(INDEX('Faculties'!$M$70:$M$83,MATCH($F138,'Faculties'!$B$70:$B$83,0))="","Cell will autofill based on response",INDEX('Faculties'!$M$70:$M$83,MATCH($F138,'Faculties'!$B$70:$B$83,0))),"N/A")</f>
        <v/>
      </c>
      <c r="L138" s="53">
        <f>IFERROR(IF(INDEX('CI&amp;S'!$M$10:$M$15,MATCH($F138,'CI&amp;S'!$B$10:$B$15,0))="","Cell will autofill based on response",INDEX('CI&amp;S'!$M$10:$M$15,MATCH($F138,'CI&amp;S'!$B$10:$B$15,0))),"N/A")</f>
        <v/>
      </c>
      <c r="M138" s="53">
        <f>IFERROR(IF(INDEX('CI&amp;S'!$M$22:$M$36,MATCH($F138,'CI&amp;S'!$B$22:$B$36,0))="","Cell will autofill based on response",INDEX('CI&amp;S'!$M$22:$M$36,MATCH($F138,'CI&amp;S'!$B$22:$B$36,0))),"N/A")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IFERROR(IF(INDEX('MRE'!$M$10:$M$15,MATCH($F138,'MRE'!$B$10:$B$15,0))="","Cell will autofill based on response",INDEX('MRE'!$M$10:$M$15,MATCH($F138,'MRE'!$B$10:$B$15,0))),"N/A")</f>
        <v/>
      </c>
      <c r="S138" s="53">
        <f>IFERROR(IF(INDEX('AC&amp;M'!$M$10:$M$14,MATCH($F138,'AC&amp;M'!$B$10:$B$14,0))="","Cell will autofill based on response",INDEX('AC&amp;M'!$M$10:$M$14,MATCH($F138,'AC&amp;M'!$B$10:$B$14,0))),"N/A")</f>
        <v/>
      </c>
      <c r="T138" s="53">
        <f>IFERROR(IF(INDEX('GCE'!$M$10:$M$12,MATCH($F138,'GCE'!$B$10:$B$12,0))="","Cell will autofill based on response",INDEX('GCE'!$M$10:$M$12,MATCH($F138,'GCE'!$B$10:$B$12,0))),"N/A")</f>
        <v/>
      </c>
      <c r="U138" s="53">
        <f>IFERROR(IF(INDEX('Education'!$M$10:$M$13,MATCH($F138,'Education'!$B$10:$B$13,0))="","Cell will autofill based on response",INDEX('Education'!$M$10:$M$13,MATCH($F138,'Education'!$B$10:$B$13,0))),"N/A")</f>
        <v/>
      </c>
      <c r="V138" s="53">
        <f>IFERROR(IF(INDEX('SaSS'!$M$10:$M$12,MATCH($F138,'SaSS'!$B$10:$B$12,0))="","Cell will autofill based on response",INDEX('SaSS'!$M$10:$M$12,MATCH($F138,'SaSS'!$B$10:$B$12,0))),"N/A")</f>
        <v/>
      </c>
      <c r="W138" s="53">
        <f>IFERROR(IF(INDEX('Indigenous'!$M$10:$M$11,MATCH($F138,'Indigenous'!$B$10:$B$11,0))="","Cell will autofill based on response",INDEX('Indigenous'!$M$10:$M$11,MATCH($F138,'Indigenous'!$B$10:$B$11,0))),"N/A")</f>
        <v/>
      </c>
      <c r="X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IFERROR(IF(INDEX('Faculties'!$N$10:$N$23,MATCH($F139,'Faculties'!$B$10:$B$23,0))="","Cell will autofill based on response",INDEX('Faculties'!$N$10:$N$23,MATCH($F139,'Faculties'!$B$10:$B$23,0))),"N/A")</f>
        <v/>
      </c>
      <c r="I139" s="53">
        <f>IFERROR(IF(INDEX('Faculties'!$N$30:$N$43,MATCH($F139,'Faculties'!$B$30:$B$43,0))="","Cell will autofill based on response",INDEX('Faculties'!$N$30:$N$43,MATCH($F139,'Faculties'!$B$30:$B$43,0))),"N/A")</f>
        <v/>
      </c>
      <c r="J139" s="53">
        <f>IFERROR(IF(INDEX('Faculties'!$N$50:$N$63,MATCH($F139,'Faculties'!$B$50:$B$63,0))="","Cell will autofill based on response",INDEX('Faculties'!$N$50:$N$63,MATCH($F139,'Faculties'!$B$50:$B$63,0))),"N/A")</f>
        <v/>
      </c>
      <c r="K139" s="53">
        <f>IFERROR(IF(INDEX('Faculties'!$N$70:$N$83,MATCH($F139,'Faculties'!$B$70:$B$83,0))="","Cell will autofill based on response",INDEX('Faculties'!$N$70:$N$83,MATCH($F139,'Faculties'!$B$70:$B$83,0))),"N/A")</f>
        <v/>
      </c>
      <c r="L139" s="53">
        <f>IFERROR(IF(INDEX('CI&amp;S'!$N$10:$N$15,MATCH($F139,'CI&amp;S'!$B$10:$B$15,0))="","Cell will autofill based on response",INDEX('CI&amp;S'!$N$10:$N$15,MATCH($F139,'CI&amp;S'!$B$10:$B$15,0))),"N/A")</f>
        <v/>
      </c>
      <c r="M139" s="53">
        <f>IFERROR(IF(INDEX('CI&amp;S'!$N$22:$N$36,MATCH($F139,'CI&amp;S'!$B$22:$B$36,0))="","Cell will autofill based on response",INDEX('CI&amp;S'!$N$22:$N$36,MATCH($F139,'CI&amp;S'!$B$22:$B$36,0))),"N/A")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IFERROR(IF(INDEX('MRE'!$N$10:$N$15,MATCH($F139,'MRE'!$B$10:$B$15,0))="","Cell will autofill based on response",INDEX('MRE'!$N$10:$N$15,MATCH($F139,'MRE'!$B$10:$B$15,0))),"N/A")</f>
        <v/>
      </c>
      <c r="S139" s="53">
        <f>IFERROR(IF(INDEX('AC&amp;M'!$N$10:$N$14,MATCH($F139,'AC&amp;M'!$B$10:$B$14,0))="","Cell will autofill based on response",INDEX('AC&amp;M'!$N$10:$N$14,MATCH($F139,'AC&amp;M'!$B$10:$B$14,0))),"N/A")</f>
        <v/>
      </c>
      <c r="T139" s="53">
        <f>IFERROR(IF(INDEX('GCE'!$N$10:$N$12,MATCH($F139,'GCE'!$B$10:$B$12,0))="","Cell will autofill based on response",INDEX('GCE'!$N$10:$N$12,MATCH($F139,'GCE'!$B$10:$B$12,0))),"N/A")</f>
        <v/>
      </c>
      <c r="U139" s="53">
        <f>IFERROR(IF(INDEX('Education'!$N$10:$N$13,MATCH($F139,'Education'!$B$10:$B$13,0))="","Cell will autofill based on response",INDEX('Education'!$N$10:$N$13,MATCH($F139,'Education'!$B$10:$B$13,0))),"N/A")</f>
        <v/>
      </c>
      <c r="V139" s="53">
        <f>IFERROR(IF(INDEX('SaSS'!$N$10:$N$12,MATCH($F139,'SaSS'!$B$10:$B$12,0))="","Cell will autofill based on response",INDEX('SaSS'!$N$10:$N$12,MATCH($F139,'SaSS'!$B$10:$B$12,0))),"N/A")</f>
        <v/>
      </c>
      <c r="W139" s="53">
        <f>IFERROR(IF(INDEX('Indigenous'!$N$10:$N$11,MATCH($F139,'Indigenous'!$B$10:$B$11,0))="","Cell will autofill based on response",INDEX('Indigenous'!$N$10:$N$11,MATCH($F139,'Indigenous'!$B$10:$B$11,0))),"N/A")</f>
        <v/>
      </c>
      <c r="X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IFERROR(IF(INDEX('Faculties'!$O$10:$O$23,MATCH($F140,'Faculties'!$B$10:$B$23,0))="","Cell will autofill based on response",INDEX('Faculties'!$O$10:$O$23,MATCH($F140,'Faculties'!$B$10:$B$23,0))),"N/A")</f>
        <v/>
      </c>
      <c r="I140" s="53">
        <f>IFERROR(IF(INDEX('Faculties'!$O$30:$O$43,MATCH($F140,'Faculties'!$B$30:$B$43,0))="","Cell will autofill based on response",INDEX('Faculties'!$O$30:$O$43,MATCH($F140,'Faculties'!$B$30:$B$43,0))),"N/A")</f>
        <v/>
      </c>
      <c r="J140" s="53">
        <f>IFERROR(IF(INDEX('Faculties'!$O$50:$O$63,MATCH($F140,'Faculties'!$B$50:$B$63,0))="","Cell will autofill based on response",INDEX('Faculties'!$O$50:$O$63,MATCH($F140,'Faculties'!$B$50:$B$63,0))),"N/A")</f>
        <v/>
      </c>
      <c r="K140" s="53">
        <f>IFERROR(IF(INDEX('Faculties'!$O$70:$O$83,MATCH($F140,'Faculties'!$B$70:$B$83,0))="","Cell will autofill based on response",INDEX('Faculties'!$O$70:$O$83,MATCH($F140,'Faculties'!$B$70:$B$83,0))),"N/A")</f>
        <v/>
      </c>
      <c r="L140" s="53">
        <f>IFERROR(IF(INDEX('CI&amp;S'!$O$10:$O$15,MATCH($F140,'CI&amp;S'!$B$10:$B$15,0))="","Cell will autofill based on response",INDEX('CI&amp;S'!$O$10:$O$15,MATCH($F140,'CI&amp;S'!$B$10:$B$15,0))),"N/A")</f>
        <v/>
      </c>
      <c r="M140" s="53">
        <f>IFERROR(IF(INDEX('CI&amp;S'!$O$22:$O$36,MATCH($F140,'CI&amp;S'!$B$22:$B$36,0))="","Cell will autofill based on response",INDEX('CI&amp;S'!$O$22:$O$36,MATCH($F140,'CI&amp;S'!$B$22:$B$36,0))),"N/A")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IFERROR(IF(INDEX('MRE'!$O$10:$O$15,MATCH($F140,'MRE'!$B$10:$B$15,0))="","Cell will autofill based on response",INDEX('MRE'!$O$10:$O$15,MATCH($F140,'MRE'!$B$10:$B$15,0))),"N/A")</f>
        <v/>
      </c>
      <c r="S140" s="53">
        <f>IFERROR(IF(INDEX('AC&amp;M'!$O$10:$O$14,MATCH($F140,'AC&amp;M'!$B$10:$B$14,0))="","Cell will autofill based on response",INDEX('AC&amp;M'!$O$10:$O$14,MATCH($F140,'AC&amp;M'!$B$10:$B$14,0))),"N/A")</f>
        <v/>
      </c>
      <c r="T140" s="53">
        <f>IFERROR(IF(INDEX('GCE'!$O$10:$O$12,MATCH($F140,'GCE'!$B$10:$B$12,0))="","Cell will autofill based on response",INDEX('GCE'!$O$10:$O$12,MATCH($F140,'GCE'!$B$10:$B$12,0))),"N/A")</f>
        <v/>
      </c>
      <c r="U140" s="53">
        <f>IFERROR(IF(INDEX('Education'!$O$10:$O$13,MATCH($F140,'Education'!$B$10:$B$13,0))="","Cell will autofill based on response",INDEX('Education'!$O$10:$O$13,MATCH($F140,'Education'!$B$10:$B$13,0))),"N/A")</f>
        <v/>
      </c>
      <c r="V140" s="53">
        <f>IFERROR(IF(INDEX('SaSS'!$O$10:$O$12,MATCH($F140,'SaSS'!$B$10:$B$12,0))="","Cell will autofill based on response",INDEX('SaSS'!$O$10:$O$12,MATCH($F140,'SaSS'!$B$10:$B$12,0))),"N/A")</f>
        <v/>
      </c>
      <c r="W140" s="53">
        <f>IFERROR(IF(INDEX('Indigenous'!$O$10:$O$11,MATCH($F140,'Indigenous'!$B$10:$B$11,0))="","Cell will autofill based on response",INDEX('Indigenous'!$O$10:$O$11,MATCH($F140,'Indigenous'!$B$10:$B$11,0))),"N/A")</f>
        <v/>
      </c>
      <c r="X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IFERROR(IF(INDEX('Faculties'!$P$10:$P$23,MATCH($F141,'Faculties'!$B$10:$B$23,0))="","Cell will autofill based on response",INDEX('Faculties'!$P$10:$P$23,MATCH($F141,'Faculties'!$B$10:$B$23,0))),"N/A")</f>
        <v/>
      </c>
      <c r="I141" s="53">
        <f>IFERROR(IF(INDEX('Faculties'!$P$30:$P$43,MATCH($F141,'Faculties'!$B$30:$B$43,0))="","Cell will autofill based on response",INDEX('Faculties'!$P$30:$P$43,MATCH($F141,'Faculties'!$B$30:$B$43,0))),"N/A")</f>
        <v/>
      </c>
      <c r="J141" s="53">
        <f>IFERROR(IF(INDEX('Faculties'!$P$50:$P$63,MATCH($F141,'Faculties'!$B$50:$B$63,0))="","Cell will autofill based on response",INDEX('Faculties'!$P$50:$P$63,MATCH($F141,'Faculties'!$B$50:$B$63,0))),"N/A")</f>
        <v/>
      </c>
      <c r="K141" s="53">
        <f>IFERROR(IF(INDEX('Faculties'!$P$70:$P$83,MATCH($F141,'Faculties'!$B$70:$B$83,0))="","Cell will autofill based on response",INDEX('Faculties'!$P$70:$P$83,MATCH($F141,'Faculties'!$B$70:$B$83,0))),"N/A")</f>
        <v/>
      </c>
      <c r="L141" s="53">
        <f>IFERROR(IF(INDEX('CI&amp;S'!$P$10:$P$15,MATCH($F141,'CI&amp;S'!$B$10:$B$15,0))="","Cell will autofill based on response",INDEX('CI&amp;S'!$P$10:$P$15,MATCH($F141,'CI&amp;S'!$B$10:$B$15,0))),"N/A")</f>
        <v/>
      </c>
      <c r="M141" s="53">
        <f>IFERROR(IF(INDEX('CI&amp;S'!$P$22:$P$36,MATCH($F141,'CI&amp;S'!$B$22:$B$36,0))="","Cell will autofill based on response",INDEX('CI&amp;S'!$P$22:$P$36,MATCH($F141,'CI&amp;S'!$B$22:$B$36,0))),"N/A")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IFERROR(IF(INDEX('MRE'!$P$10:$P$15,MATCH($F141,'MRE'!$B$10:$B$15,0))="","Cell will autofill based on response",INDEX('MRE'!$P$10:$P$15,MATCH($F141,'MRE'!$B$10:$B$15,0))),"N/A")</f>
        <v/>
      </c>
      <c r="S141" s="53">
        <f>IFERROR(IF(INDEX('AC&amp;M'!$P$10:$P$14,MATCH($F141,'AC&amp;M'!$B$10:$B$14,0))="","Cell will autofill based on response",INDEX('AC&amp;M'!$P$10:$P$14,MATCH($F141,'AC&amp;M'!$B$10:$B$14,0))),"N/A")</f>
        <v/>
      </c>
      <c r="T141" s="53">
        <f>IFERROR(IF(INDEX('GCE'!$P$10:$P$12,MATCH($F141,'GCE'!$B$10:$B$12,0))="","Cell will autofill based on response",INDEX('GCE'!$P$10:$P$12,MATCH($F141,'GCE'!$B$10:$B$12,0))),"N/A")</f>
        <v/>
      </c>
      <c r="U141" s="53">
        <f>IFERROR(IF(INDEX('Education'!$P$10:$P$13,MATCH($F141,'Education'!$B$10:$B$13,0))="","Cell will autofill based on response",INDEX('Education'!$P$10:$P$13,MATCH($F141,'Education'!$B$10:$B$13,0))),"N/A")</f>
        <v/>
      </c>
      <c r="V141" s="53">
        <f>IFERROR(IF(INDEX('SaSS'!$P$10:$P$12,MATCH($F141,'SaSS'!$B$10:$B$12,0))="","Cell will autofill based on response",INDEX('SaSS'!$P$10:$P$12,MATCH($F141,'SaSS'!$B$10:$B$12,0))),"N/A")</f>
        <v/>
      </c>
      <c r="W141" s="53">
        <f>IFERROR(IF(INDEX('Indigenous'!$P$10:$P$11,MATCH($F141,'Indigenous'!$B$10:$B$11,0))="","Cell will autofill based on response",INDEX('Indigenous'!$P$10:$P$11,MATCH($F141,'Indigenous'!$B$10:$B$11,0))),"N/A")</f>
        <v/>
      </c>
      <c r="X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IFERROR(IF(INDEX('Faculties'!$Q$10:$Q$23,MATCH($F142,'Faculties'!$B$10:$B$23,0))="","Cell will autofill based on response",INDEX('Faculties'!$Q$10:$Q$23,MATCH($F142,'Faculties'!$B$10:$B$23,0))),"N/A")</f>
        <v/>
      </c>
      <c r="I142" s="53">
        <f>IFERROR(IF(INDEX('Faculties'!$Q$30:$Q$43,MATCH($F142,'Faculties'!$B$30:$B$43,0))="","Cell will autofill based on response",INDEX('Faculties'!$Q$30:$Q$43,MATCH($F142,'Faculties'!$B$30:$B$43,0))),"N/A")</f>
        <v/>
      </c>
      <c r="J142" s="53">
        <f>IFERROR(IF(INDEX('Faculties'!$Q$50:$Q$63,MATCH($F142,'Faculties'!$B$50:$B$63,0))="","Cell will autofill based on response",INDEX('Faculties'!$Q$50:$Q$63,MATCH($F142,'Faculties'!$B$50:$B$63,0))),"N/A")</f>
        <v/>
      </c>
      <c r="K142" s="53">
        <f>IFERROR(IF(INDEX('Faculties'!$Q$70:$Q$83,MATCH($F142,'Faculties'!$B$70:$B$83,0))="","Cell will autofill based on response",INDEX('Faculties'!$Q$70:$Q$83,MATCH($F142,'Faculties'!$B$70:$B$83,0))),"N/A")</f>
        <v/>
      </c>
      <c r="L142" s="53">
        <f>IFERROR(IF(INDEX('CI&amp;S'!$Q$10:$Q$15,MATCH($F142,'CI&amp;S'!$B$10:$B$15,0))="","Cell will autofill based on response",INDEX('CI&amp;S'!$Q$10:$Q$15,MATCH($F142,'CI&amp;S'!$B$10:$B$15,0))),"N/A")</f>
        <v/>
      </c>
      <c r="M142" s="53">
        <f>IFERROR(IF(INDEX('CI&amp;S'!$Q$22:$Q$36,MATCH($F142,'CI&amp;S'!$B$22:$B$36,0))="","Cell will autofill based on response",INDEX('CI&amp;S'!$Q$22:$Q$36,MATCH($F142,'CI&amp;S'!$B$22:$B$36,0))),"N/A")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IFERROR(IF(INDEX('MRE'!$Q$10:$Q$15,MATCH($F142,'MRE'!$B$10:$B$15,0))="","Cell will autofill based on response",INDEX('MRE'!$Q$10:$Q$15,MATCH($F142,'MRE'!$B$10:$B$15,0))),"N/A")</f>
        <v/>
      </c>
      <c r="S142" s="53">
        <f>IFERROR(IF(INDEX('AC&amp;M'!$Q$10:$Q$14,MATCH($F142,'AC&amp;M'!$B$10:$B$14,0))="","Cell will autofill based on response",INDEX('AC&amp;M'!$Q$10:$Q$14,MATCH($F142,'AC&amp;M'!$B$10:$B$14,0))),"N/A")</f>
        <v/>
      </c>
      <c r="T142" s="53">
        <f>IFERROR(IF(INDEX('GCE'!$Q$10:$Q$12,MATCH($F142,'GCE'!$B$10:$B$12,0))="","Cell will autofill based on response",INDEX('GCE'!$Q$10:$Q$12,MATCH($F142,'GCE'!$B$10:$B$12,0))),"N/A")</f>
        <v/>
      </c>
      <c r="U142" s="53">
        <f>IFERROR(IF(INDEX('Education'!$Q$10:$Q$13,MATCH($F142,'Education'!$B$10:$B$13,0))="","Cell will autofill based on response",INDEX('Education'!$Q$10:$Q$13,MATCH($F142,'Education'!$B$10:$B$13,0))),"N/A")</f>
        <v/>
      </c>
      <c r="V142" s="53">
        <f>IFERROR(IF(INDEX('SaSS'!$Q$10:$Q$12,MATCH($F142,'SaSS'!$B$10:$B$12,0))="","Cell will autofill based on response",INDEX('SaSS'!$Q$10:$Q$12,MATCH($F142,'SaSS'!$B$10:$B$12,0))),"N/A")</f>
        <v/>
      </c>
      <c r="W142" s="53">
        <f>IFERROR(IF(INDEX('Indigenous'!$Q$10:$Q$11,MATCH($F142,'Indigenous'!$B$10:$B$11,0))="","Cell will autofill based on response",INDEX('Indigenous'!$Q$10:$Q$11,MATCH($F142,'Indigenous'!$B$10:$B$11,0))),"N/A")</f>
        <v/>
      </c>
      <c r="X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IFERROR(IF(INDEX('Faculties'!$L$10:$L$23,MATCH($F143,'Faculties'!$B$10:$B$23,0))="","Cell will autofill based on response",INDEX('Faculties'!$L$10:$L$23,MATCH($F143,'Faculties'!$B$10:$B$23,0))),"N/A")</f>
        <v/>
      </c>
      <c r="I143" s="53">
        <f>IFERROR(IF(INDEX('Faculties'!$L$30:$L$43,MATCH($F143,'Faculties'!$B$30:$B$43,0))="","Cell will autofill based on response",INDEX('Faculties'!$L$30:$L$43,MATCH($F143,'Faculties'!$B$30:$B$43,0))),"N/A")</f>
        <v/>
      </c>
      <c r="J143" s="53">
        <f>IFERROR(IF(INDEX('Faculties'!$L$50:$L$63,MATCH($F143,'Faculties'!$B$50:$B$63,0))="","Cell will autofill based on response",INDEX('Faculties'!$L$50:$L$63,MATCH($F143,'Faculties'!$B$50:$B$63,0))),"N/A")</f>
        <v/>
      </c>
      <c r="K143" s="53">
        <f>IFERROR(IF(INDEX('Faculties'!$L$70:$L$83,MATCH($F143,'Faculties'!$B$70:$B$83,0))="","Cell will autofill based on response",INDEX('Faculties'!$L$70:$L$83,MATCH($F143,'Faculties'!$B$70:$B$83,0))),"N/A")</f>
        <v/>
      </c>
      <c r="L143" s="53">
        <f>IFERROR(IF(INDEX('CI&amp;S'!$L$10:$L$15,MATCH($F143,'CI&amp;S'!$B$10:$B$15,0))="","Cell will autofill based on response",INDEX('CI&amp;S'!$L$10:$L$15,MATCH($F143,'CI&amp;S'!$B$10:$B$15,0))),"N/A")</f>
        <v/>
      </c>
      <c r="M143" s="53">
        <f>IFERROR(IF(INDEX('CI&amp;S'!$L$22:$L$36,MATCH($F143,'CI&amp;S'!$B$22:$B$36,0))="","Cell will autofill based on response",INDEX('CI&amp;S'!$L$22:$L$36,MATCH($F143,'CI&amp;S'!$B$22:$B$36,0))),"N/A")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IFERROR(IF(INDEX('MRE'!$L$10:$L$15,MATCH($F143,'MRE'!$B$10:$B$15,0))="","Cell will autofill based on response",INDEX('MRE'!$L$10:$L$15,MATCH($F143,'MRE'!$B$10:$B$15,0))),"N/A")</f>
        <v/>
      </c>
      <c r="S143" s="53">
        <f>IFERROR(IF(INDEX('AC&amp;M'!$L$10:$L$14,MATCH($F143,'AC&amp;M'!$B$10:$B$14,0))="","Cell will autofill based on response",INDEX('AC&amp;M'!$L$10:$L$14,MATCH($F143,'AC&amp;M'!$B$10:$B$14,0))),"N/A")</f>
        <v/>
      </c>
      <c r="T143" s="53">
        <f>IFERROR(IF(INDEX('GCE'!$L$10:$L$12,MATCH($F143,'GCE'!$B$10:$B$12,0))="","Cell will autofill based on response",INDEX('GCE'!$L$10:$L$12,MATCH($F143,'GCE'!$B$10:$B$12,0))),"N/A")</f>
        <v/>
      </c>
      <c r="U143" s="53">
        <f>IFERROR(IF(INDEX('Education'!$L$10:$L$13,MATCH($F143,'Education'!$B$10:$B$13,0))="","Cell will autofill based on response",INDEX('Education'!$L$10:$L$13,MATCH($F143,'Education'!$B$10:$B$13,0))),"N/A")</f>
        <v/>
      </c>
      <c r="V143" s="53">
        <f>IFERROR(IF(INDEX('SaSS'!$L$10:$L$12,MATCH($F143,'SaSS'!$B$10:$B$12,0))="","Cell will autofill based on response",INDEX('SaSS'!$L$10:$L$12,MATCH($F143,'SaSS'!$B$10:$B$12,0))),"N/A")</f>
        <v/>
      </c>
      <c r="W143" s="53">
        <f>IFERROR(IF(INDEX('Indigenous'!$L$10:$L$11,MATCH($F143,'Indigenous'!$B$10:$B$11,0))="","Cell will autofill based on response",INDEX('Indigenous'!$L$10:$L$11,MATCH($F143,'Indigenous'!$B$10:$B$11,0))),"N/A")</f>
        <v/>
      </c>
      <c r="X143" s="53">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4">
        <f>IF(AF143&gt;0,AE143/AF143,"No valid responses to date")</f>
        <v/>
      </c>
      <c r="AH143" s="10">
        <f>IF(ISNUMBER(AG143),INDEX(Lists!$G$2:$G$5,MATCH(ROUND(AG143,0),Lists!$H$2:$H$5,0)),"")</f>
        <v/>
      </c>
      <c r="AI143" s="55">
        <f>IF(AF143&gt;0,AD143/AF143,"")</f>
        <v/>
      </c>
      <c r="AJ143" s="55">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IFERROR(IF(INDEX('Faculties'!$M$10:$M$23,MATCH($F144,'Faculties'!$B$10:$B$23,0))="","Cell will autofill based on response",INDEX('Faculties'!$M$10:$M$23,MATCH($F144,'Faculties'!$B$10:$B$23,0))),"N/A")</f>
        <v/>
      </c>
      <c r="I144" s="53">
        <f>IFERROR(IF(INDEX('Faculties'!$M$30:$M$43,MATCH($F144,'Faculties'!$B$30:$B$43,0))="","Cell will autofill based on response",INDEX('Faculties'!$M$30:$M$43,MATCH($F144,'Faculties'!$B$30:$B$43,0))),"N/A")</f>
        <v/>
      </c>
      <c r="J144" s="53">
        <f>IFERROR(IF(INDEX('Faculties'!$M$50:$M$63,MATCH($F144,'Faculties'!$B$50:$B$63,0))="","Cell will autofill based on response",INDEX('Faculties'!$M$50:$M$63,MATCH($F144,'Faculties'!$B$50:$B$63,0))),"N/A")</f>
        <v/>
      </c>
      <c r="K144" s="53">
        <f>IFERROR(IF(INDEX('Faculties'!$M$70:$M$83,MATCH($F144,'Faculties'!$B$70:$B$83,0))="","Cell will autofill based on response",INDEX('Faculties'!$M$70:$M$83,MATCH($F144,'Faculties'!$B$70:$B$83,0))),"N/A")</f>
        <v/>
      </c>
      <c r="L144" s="53">
        <f>IFERROR(IF(INDEX('CI&amp;S'!$M$10:$M$15,MATCH($F144,'CI&amp;S'!$B$10:$B$15,0))="","Cell will autofill based on response",INDEX('CI&amp;S'!$M$10:$M$15,MATCH($F144,'CI&amp;S'!$B$10:$B$15,0))),"N/A")</f>
        <v/>
      </c>
      <c r="M144" s="53">
        <f>IFERROR(IF(INDEX('CI&amp;S'!$M$22:$M$36,MATCH($F144,'CI&amp;S'!$B$22:$B$36,0))="","Cell will autofill based on response",INDEX('CI&amp;S'!$M$22:$M$36,MATCH($F144,'CI&amp;S'!$B$22:$B$36,0))),"N/A")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IFERROR(IF(INDEX('MRE'!$M$10:$M$15,MATCH($F144,'MRE'!$B$10:$B$15,0))="","Cell will autofill based on response",INDEX('MRE'!$M$10:$M$15,MATCH($F144,'MRE'!$B$10:$B$15,0))),"N/A")</f>
        <v/>
      </c>
      <c r="S144" s="53">
        <f>IFERROR(IF(INDEX('AC&amp;M'!$M$10:$M$14,MATCH($F144,'AC&amp;M'!$B$10:$B$14,0))="","Cell will autofill based on response",INDEX('AC&amp;M'!$M$10:$M$14,MATCH($F144,'AC&amp;M'!$B$10:$B$14,0))),"N/A")</f>
        <v/>
      </c>
      <c r="T144" s="53">
        <f>IFERROR(IF(INDEX('GCE'!$M$10:$M$12,MATCH($F144,'GCE'!$B$10:$B$12,0))="","Cell will autofill based on response",INDEX('GCE'!$M$10:$M$12,MATCH($F144,'GCE'!$B$10:$B$12,0))),"N/A")</f>
        <v/>
      </c>
      <c r="U144" s="53">
        <f>IFERROR(IF(INDEX('Education'!$M$10:$M$13,MATCH($F144,'Education'!$B$10:$B$13,0))="","Cell will autofill based on response",INDEX('Education'!$M$10:$M$13,MATCH($F144,'Education'!$B$10:$B$13,0))),"N/A")</f>
        <v/>
      </c>
      <c r="V144" s="53">
        <f>IFERROR(IF(INDEX('SaSS'!$M$10:$M$12,MATCH($F144,'SaSS'!$B$10:$B$12,0))="","Cell will autofill based on response",INDEX('SaSS'!$M$10:$M$12,MATCH($F144,'SaSS'!$B$10:$B$12,0))),"N/A")</f>
        <v/>
      </c>
      <c r="W144" s="53">
        <f>IFERROR(IF(INDEX('Indigenous'!$M$10:$M$11,MATCH($F144,'Indigenous'!$B$10:$B$11,0))="","Cell will autofill based on response",INDEX('Indigenous'!$M$10:$M$11,MATCH($F144,'Indigenous'!$B$10:$B$11,0))),"N/A")</f>
        <v/>
      </c>
      <c r="X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IFERROR(IF(INDEX('Faculties'!$N$10:$N$23,MATCH($F145,'Faculties'!$B$10:$B$23,0))="","Cell will autofill based on response",INDEX('Faculties'!$N$10:$N$23,MATCH($F145,'Faculties'!$B$10:$B$23,0))),"N/A")</f>
        <v/>
      </c>
      <c r="I145" s="53">
        <f>IFERROR(IF(INDEX('Faculties'!$N$30:$N$43,MATCH($F145,'Faculties'!$B$30:$B$43,0))="","Cell will autofill based on response",INDEX('Faculties'!$N$30:$N$43,MATCH($F145,'Faculties'!$B$30:$B$43,0))),"N/A")</f>
        <v/>
      </c>
      <c r="J145" s="53">
        <f>IFERROR(IF(INDEX('Faculties'!$N$50:$N$63,MATCH($F145,'Faculties'!$B$50:$B$63,0))="","Cell will autofill based on response",INDEX('Faculties'!$N$50:$N$63,MATCH($F145,'Faculties'!$B$50:$B$63,0))),"N/A")</f>
        <v/>
      </c>
      <c r="K145" s="53">
        <f>IFERROR(IF(INDEX('Faculties'!$N$70:$N$83,MATCH($F145,'Faculties'!$B$70:$B$83,0))="","Cell will autofill based on response",INDEX('Faculties'!$N$70:$N$83,MATCH($F145,'Faculties'!$B$70:$B$83,0))),"N/A")</f>
        <v/>
      </c>
      <c r="L145" s="53">
        <f>IFERROR(IF(INDEX('CI&amp;S'!$N$10:$N$15,MATCH($F145,'CI&amp;S'!$B$10:$B$15,0))="","Cell will autofill based on response",INDEX('CI&amp;S'!$N$10:$N$15,MATCH($F145,'CI&amp;S'!$B$10:$B$15,0))),"N/A")</f>
        <v/>
      </c>
      <c r="M145" s="53">
        <f>IFERROR(IF(INDEX('CI&amp;S'!$N$22:$N$36,MATCH($F145,'CI&amp;S'!$B$22:$B$36,0))="","Cell will autofill based on response",INDEX('CI&amp;S'!$N$22:$N$36,MATCH($F145,'CI&amp;S'!$B$22:$B$36,0))),"N/A")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IFERROR(IF(INDEX('MRE'!$N$10:$N$15,MATCH($F145,'MRE'!$B$10:$B$15,0))="","Cell will autofill based on response",INDEX('MRE'!$N$10:$N$15,MATCH($F145,'MRE'!$B$10:$B$15,0))),"N/A")</f>
        <v/>
      </c>
      <c r="S145" s="53">
        <f>IFERROR(IF(INDEX('AC&amp;M'!$N$10:$N$14,MATCH($F145,'AC&amp;M'!$B$10:$B$14,0))="","Cell will autofill based on response",INDEX('AC&amp;M'!$N$10:$N$14,MATCH($F145,'AC&amp;M'!$B$10:$B$14,0))),"N/A")</f>
        <v/>
      </c>
      <c r="T145" s="53">
        <f>IFERROR(IF(INDEX('GCE'!$N$10:$N$12,MATCH($F145,'GCE'!$B$10:$B$12,0))="","Cell will autofill based on response",INDEX('GCE'!$N$10:$N$12,MATCH($F145,'GCE'!$B$10:$B$12,0))),"N/A")</f>
        <v/>
      </c>
      <c r="U145" s="53">
        <f>IFERROR(IF(INDEX('Education'!$N$10:$N$13,MATCH($F145,'Education'!$B$10:$B$13,0))="","Cell will autofill based on response",INDEX('Education'!$N$10:$N$13,MATCH($F145,'Education'!$B$10:$B$13,0))),"N/A")</f>
        <v/>
      </c>
      <c r="V145" s="53">
        <f>IFERROR(IF(INDEX('SaSS'!$N$10:$N$12,MATCH($F145,'SaSS'!$B$10:$B$12,0))="","Cell will autofill based on response",INDEX('SaSS'!$N$10:$N$12,MATCH($F145,'SaSS'!$B$10:$B$12,0))),"N/A")</f>
        <v/>
      </c>
      <c r="W145" s="53">
        <f>IFERROR(IF(INDEX('Indigenous'!$N$10:$N$11,MATCH($F145,'Indigenous'!$B$10:$B$11,0))="","Cell will autofill based on response",INDEX('Indigenous'!$N$10:$N$11,MATCH($F145,'Indigenous'!$B$10:$B$11,0))),"N/A")</f>
        <v/>
      </c>
      <c r="X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IFERROR(IF(INDEX('Faculties'!$O$10:$O$23,MATCH($F146,'Faculties'!$B$10:$B$23,0))="","Cell will autofill based on response",INDEX('Faculties'!$O$10:$O$23,MATCH($F146,'Faculties'!$B$10:$B$23,0))),"N/A")</f>
        <v/>
      </c>
      <c r="I146" s="53">
        <f>IFERROR(IF(INDEX('Faculties'!$O$30:$O$43,MATCH($F146,'Faculties'!$B$30:$B$43,0))="","Cell will autofill based on response",INDEX('Faculties'!$O$30:$O$43,MATCH($F146,'Faculties'!$B$30:$B$43,0))),"N/A")</f>
        <v/>
      </c>
      <c r="J146" s="53">
        <f>IFERROR(IF(INDEX('Faculties'!$O$50:$O$63,MATCH($F146,'Faculties'!$B$50:$B$63,0))="","Cell will autofill based on response",INDEX('Faculties'!$O$50:$O$63,MATCH($F146,'Faculties'!$B$50:$B$63,0))),"N/A")</f>
        <v/>
      </c>
      <c r="K146" s="53">
        <f>IFERROR(IF(INDEX('Faculties'!$O$70:$O$83,MATCH($F146,'Faculties'!$B$70:$B$83,0))="","Cell will autofill based on response",INDEX('Faculties'!$O$70:$O$83,MATCH($F146,'Faculties'!$B$70:$B$83,0))),"N/A")</f>
        <v/>
      </c>
      <c r="L146" s="53">
        <f>IFERROR(IF(INDEX('CI&amp;S'!$O$10:$O$15,MATCH($F146,'CI&amp;S'!$B$10:$B$15,0))="","Cell will autofill based on response",INDEX('CI&amp;S'!$O$10:$O$15,MATCH($F146,'CI&amp;S'!$B$10:$B$15,0))),"N/A")</f>
        <v/>
      </c>
      <c r="M146" s="53">
        <f>IFERROR(IF(INDEX('CI&amp;S'!$O$22:$O$36,MATCH($F146,'CI&amp;S'!$B$22:$B$36,0))="","Cell will autofill based on response",INDEX('CI&amp;S'!$O$22:$O$36,MATCH($F146,'CI&amp;S'!$B$22:$B$36,0))),"N/A")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IFERROR(IF(INDEX('MRE'!$O$10:$O$15,MATCH($F146,'MRE'!$B$10:$B$15,0))="","Cell will autofill based on response",INDEX('MRE'!$O$10:$O$15,MATCH($F146,'MRE'!$B$10:$B$15,0))),"N/A")</f>
        <v/>
      </c>
      <c r="S146" s="53">
        <f>IFERROR(IF(INDEX('AC&amp;M'!$O$10:$O$14,MATCH($F146,'AC&amp;M'!$B$10:$B$14,0))="","Cell will autofill based on response",INDEX('AC&amp;M'!$O$10:$O$14,MATCH($F146,'AC&amp;M'!$B$10:$B$14,0))),"N/A")</f>
        <v/>
      </c>
      <c r="T146" s="53">
        <f>IFERROR(IF(INDEX('GCE'!$O$10:$O$12,MATCH($F146,'GCE'!$B$10:$B$12,0))="","Cell will autofill based on response",INDEX('GCE'!$O$10:$O$12,MATCH($F146,'GCE'!$B$10:$B$12,0))),"N/A")</f>
        <v/>
      </c>
      <c r="U146" s="53">
        <f>IFERROR(IF(INDEX('Education'!$O$10:$O$13,MATCH($F146,'Education'!$B$10:$B$13,0))="","Cell will autofill based on response",INDEX('Education'!$O$10:$O$13,MATCH($F146,'Education'!$B$10:$B$13,0))),"N/A")</f>
        <v/>
      </c>
      <c r="V146" s="53">
        <f>IFERROR(IF(INDEX('SaSS'!$O$10:$O$12,MATCH($F146,'SaSS'!$B$10:$B$12,0))="","Cell will autofill based on response",INDEX('SaSS'!$O$10:$O$12,MATCH($F146,'SaSS'!$B$10:$B$12,0))),"N/A")</f>
        <v/>
      </c>
      <c r="W146" s="53">
        <f>IFERROR(IF(INDEX('Indigenous'!$O$10:$O$11,MATCH($F146,'Indigenous'!$B$10:$B$11,0))="","Cell will autofill based on response",INDEX('Indigenous'!$O$10:$O$11,MATCH($F146,'Indigenous'!$B$10:$B$11,0))),"N/A")</f>
        <v/>
      </c>
      <c r="X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IFERROR(IF(INDEX('Faculties'!$P$10:$P$23,MATCH($F147,'Faculties'!$B$10:$B$23,0))="","Cell will autofill based on response",INDEX('Faculties'!$P$10:$P$23,MATCH($F147,'Faculties'!$B$10:$B$23,0))),"N/A")</f>
        <v/>
      </c>
      <c r="I147" s="53">
        <f>IFERROR(IF(INDEX('Faculties'!$P$30:$P$43,MATCH($F147,'Faculties'!$B$30:$B$43,0))="","Cell will autofill based on response",INDEX('Faculties'!$P$30:$P$43,MATCH($F147,'Faculties'!$B$30:$B$43,0))),"N/A")</f>
        <v/>
      </c>
      <c r="J147" s="53">
        <f>IFERROR(IF(INDEX('Faculties'!$P$50:$P$63,MATCH($F147,'Faculties'!$B$50:$B$63,0))="","Cell will autofill based on response",INDEX('Faculties'!$P$50:$P$63,MATCH($F147,'Faculties'!$B$50:$B$63,0))),"N/A")</f>
        <v/>
      </c>
      <c r="K147" s="53">
        <f>IFERROR(IF(INDEX('Faculties'!$P$70:$P$83,MATCH($F147,'Faculties'!$B$70:$B$83,0))="","Cell will autofill based on response",INDEX('Faculties'!$P$70:$P$83,MATCH($F147,'Faculties'!$B$70:$B$83,0))),"N/A")</f>
        <v/>
      </c>
      <c r="L147" s="53">
        <f>IFERROR(IF(INDEX('CI&amp;S'!$P$10:$P$15,MATCH($F147,'CI&amp;S'!$B$10:$B$15,0))="","Cell will autofill based on response",INDEX('CI&amp;S'!$P$10:$P$15,MATCH($F147,'CI&amp;S'!$B$10:$B$15,0))),"N/A")</f>
        <v/>
      </c>
      <c r="M147" s="53">
        <f>IFERROR(IF(INDEX('CI&amp;S'!$P$22:$P$36,MATCH($F147,'CI&amp;S'!$B$22:$B$36,0))="","Cell will autofill based on response",INDEX('CI&amp;S'!$P$22:$P$36,MATCH($F147,'CI&amp;S'!$B$22:$B$36,0))),"N/A")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IFERROR(IF(INDEX('MRE'!$P$10:$P$15,MATCH($F147,'MRE'!$B$10:$B$15,0))="","Cell will autofill based on response",INDEX('MRE'!$P$10:$P$15,MATCH($F147,'MRE'!$B$10:$B$15,0))),"N/A")</f>
        <v/>
      </c>
      <c r="S147" s="53">
        <f>IFERROR(IF(INDEX('AC&amp;M'!$P$10:$P$14,MATCH($F147,'AC&amp;M'!$B$10:$B$14,0))="","Cell will autofill based on response",INDEX('AC&amp;M'!$P$10:$P$14,MATCH($F147,'AC&amp;M'!$B$10:$B$14,0))),"N/A")</f>
        <v/>
      </c>
      <c r="T147" s="53">
        <f>IFERROR(IF(INDEX('GCE'!$P$10:$P$12,MATCH($F147,'GCE'!$B$10:$B$12,0))="","Cell will autofill based on response",INDEX('GCE'!$P$10:$P$12,MATCH($F147,'GCE'!$B$10:$B$12,0))),"N/A")</f>
        <v/>
      </c>
      <c r="U147" s="53">
        <f>IFERROR(IF(INDEX('Education'!$P$10:$P$13,MATCH($F147,'Education'!$B$10:$B$13,0))="","Cell will autofill based on response",INDEX('Education'!$P$10:$P$13,MATCH($F147,'Education'!$B$10:$B$13,0))),"N/A")</f>
        <v/>
      </c>
      <c r="V147" s="53">
        <f>IFERROR(IF(INDEX('SaSS'!$P$10:$P$12,MATCH($F147,'SaSS'!$B$10:$B$12,0))="","Cell will autofill based on response",INDEX('SaSS'!$P$10:$P$12,MATCH($F147,'SaSS'!$B$10:$B$12,0))),"N/A")</f>
        <v/>
      </c>
      <c r="W147" s="53">
        <f>IFERROR(IF(INDEX('Indigenous'!$P$10:$P$11,MATCH($F147,'Indigenous'!$B$10:$B$11,0))="","Cell will autofill based on response",INDEX('Indigenous'!$P$10:$P$11,MATCH($F147,'Indigenous'!$B$10:$B$11,0))),"N/A")</f>
        <v/>
      </c>
      <c r="X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IFERROR(IF(INDEX('Faculties'!$Q$10:$Q$23,MATCH($F148,'Faculties'!$B$10:$B$23,0))="","Cell will autofill based on response",INDEX('Faculties'!$Q$10:$Q$23,MATCH($F148,'Faculties'!$B$10:$B$23,0))),"N/A")</f>
        <v/>
      </c>
      <c r="I148" s="53">
        <f>IFERROR(IF(INDEX('Faculties'!$Q$30:$Q$43,MATCH($F148,'Faculties'!$B$30:$B$43,0))="","Cell will autofill based on response",INDEX('Faculties'!$Q$30:$Q$43,MATCH($F148,'Faculties'!$B$30:$B$43,0))),"N/A")</f>
        <v/>
      </c>
      <c r="J148" s="53">
        <f>IFERROR(IF(INDEX('Faculties'!$Q$50:$Q$63,MATCH($F148,'Faculties'!$B$50:$B$63,0))="","Cell will autofill based on response",INDEX('Faculties'!$Q$50:$Q$63,MATCH($F148,'Faculties'!$B$50:$B$63,0))),"N/A")</f>
        <v/>
      </c>
      <c r="K148" s="53">
        <f>IFERROR(IF(INDEX('Faculties'!$Q$70:$Q$83,MATCH($F148,'Faculties'!$B$70:$B$83,0))="","Cell will autofill based on response",INDEX('Faculties'!$Q$70:$Q$83,MATCH($F148,'Faculties'!$B$70:$B$83,0))),"N/A")</f>
        <v/>
      </c>
      <c r="L148" s="53">
        <f>IFERROR(IF(INDEX('CI&amp;S'!$Q$10:$Q$15,MATCH($F148,'CI&amp;S'!$B$10:$B$15,0))="","Cell will autofill based on response",INDEX('CI&amp;S'!$Q$10:$Q$15,MATCH($F148,'CI&amp;S'!$B$10:$B$15,0))),"N/A")</f>
        <v/>
      </c>
      <c r="M148" s="53">
        <f>IFERROR(IF(INDEX('CI&amp;S'!$Q$22:$Q$36,MATCH($F148,'CI&amp;S'!$B$22:$B$36,0))="","Cell will autofill based on response",INDEX('CI&amp;S'!$Q$22:$Q$36,MATCH($F148,'CI&amp;S'!$B$22:$B$36,0))),"N/A")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IFERROR(IF(INDEX('MRE'!$Q$10:$Q$15,MATCH($F148,'MRE'!$B$10:$B$15,0))="","Cell will autofill based on response",INDEX('MRE'!$Q$10:$Q$15,MATCH($F148,'MRE'!$B$10:$B$15,0))),"N/A")</f>
        <v/>
      </c>
      <c r="S148" s="53">
        <f>IFERROR(IF(INDEX('AC&amp;M'!$Q$10:$Q$14,MATCH($F148,'AC&amp;M'!$B$10:$B$14,0))="","Cell will autofill based on response",INDEX('AC&amp;M'!$Q$10:$Q$14,MATCH($F148,'AC&amp;M'!$B$10:$B$14,0))),"N/A")</f>
        <v/>
      </c>
      <c r="T148" s="53">
        <f>IFERROR(IF(INDEX('GCE'!$Q$10:$Q$12,MATCH($F148,'GCE'!$B$10:$B$12,0))="","Cell will autofill based on response",INDEX('GCE'!$Q$10:$Q$12,MATCH($F148,'GCE'!$B$10:$B$12,0))),"N/A")</f>
        <v/>
      </c>
      <c r="U148" s="53">
        <f>IFERROR(IF(INDEX('Education'!$Q$10:$Q$13,MATCH($F148,'Education'!$B$10:$B$13,0))="","Cell will autofill based on response",INDEX('Education'!$Q$10:$Q$13,MATCH($F148,'Education'!$B$10:$B$13,0))),"N/A")</f>
        <v/>
      </c>
      <c r="V148" s="53">
        <f>IFERROR(IF(INDEX('SaSS'!$Q$10:$Q$12,MATCH($F148,'SaSS'!$B$10:$B$12,0))="","Cell will autofill based on response",INDEX('SaSS'!$Q$10:$Q$12,MATCH($F148,'SaSS'!$B$10:$B$12,0))),"N/A")</f>
        <v/>
      </c>
      <c r="W148" s="53">
        <f>IFERROR(IF(INDEX('Indigenous'!$Q$10:$Q$11,MATCH($F148,'Indigenous'!$B$10:$B$11,0))="","Cell will autofill based on response",INDEX('Indigenous'!$Q$10:$Q$11,MATCH($F148,'Indigenous'!$B$10:$B$11,0))),"N/A")</f>
        <v/>
      </c>
      <c r="X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IFERROR(IF(INDEX('Faculties'!$L$10:$L$23,MATCH($F149,'Faculties'!$B$10:$B$23,0))="","Cell will autofill based on response",INDEX('Faculties'!$L$10:$L$23,MATCH($F149,'Faculties'!$B$10:$B$23,0))),"N/A")</f>
        <v/>
      </c>
      <c r="I149" s="53">
        <f>IFERROR(IF(INDEX('Faculties'!$L$30:$L$43,MATCH($F149,'Faculties'!$B$30:$B$43,0))="","Cell will autofill based on response",INDEX('Faculties'!$L$30:$L$43,MATCH($F149,'Faculties'!$B$30:$B$43,0))),"N/A")</f>
        <v/>
      </c>
      <c r="J149" s="53">
        <f>IFERROR(IF(INDEX('Faculties'!$L$50:$L$63,MATCH($F149,'Faculties'!$B$50:$B$63,0))="","Cell will autofill based on response",INDEX('Faculties'!$L$50:$L$63,MATCH($F149,'Faculties'!$B$50:$B$63,0))),"N/A")</f>
        <v/>
      </c>
      <c r="K149" s="53">
        <f>IFERROR(IF(INDEX('Faculties'!$L$70:$L$83,MATCH($F149,'Faculties'!$B$70:$B$83,0))="","Cell will autofill based on response",INDEX('Faculties'!$L$70:$L$83,MATCH($F149,'Faculties'!$B$70:$B$83,0))),"N/A")</f>
        <v/>
      </c>
      <c r="L149" s="53">
        <f>IFERROR(IF(INDEX('CI&amp;S'!$L$10:$L$15,MATCH($F149,'CI&amp;S'!$B$10:$B$15,0))="","Cell will autofill based on response",INDEX('CI&amp;S'!$L$10:$L$15,MATCH($F149,'CI&amp;S'!$B$10:$B$15,0))),"N/A")</f>
        <v/>
      </c>
      <c r="M149" s="53">
        <f>IFERROR(IF(INDEX('CI&amp;S'!$L$22:$L$36,MATCH($F149,'CI&amp;S'!$B$22:$B$36,0))="","Cell will autofill based on response",INDEX('CI&amp;S'!$L$22:$L$36,MATCH($F149,'CI&amp;S'!$B$22:$B$36,0))),"N/A")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IFERROR(IF(INDEX('MRE'!$L$10:$L$15,MATCH($F149,'MRE'!$B$10:$B$15,0))="","Cell will autofill based on response",INDEX('MRE'!$L$10:$L$15,MATCH($F149,'MRE'!$B$10:$B$15,0))),"N/A")</f>
        <v/>
      </c>
      <c r="S149" s="53">
        <f>IFERROR(IF(INDEX('AC&amp;M'!$L$10:$L$14,MATCH($F149,'AC&amp;M'!$B$10:$B$14,0))="","Cell will autofill based on response",INDEX('AC&amp;M'!$L$10:$L$14,MATCH($F149,'AC&amp;M'!$B$10:$B$14,0))),"N/A")</f>
        <v/>
      </c>
      <c r="T149" s="53">
        <f>IFERROR(IF(INDEX('GCE'!$L$10:$L$12,MATCH($F149,'GCE'!$B$10:$B$12,0))="","Cell will autofill based on response",INDEX('GCE'!$L$10:$L$12,MATCH($F149,'GCE'!$B$10:$B$12,0))),"N/A")</f>
        <v/>
      </c>
      <c r="U149" s="53">
        <f>IFERROR(IF(INDEX('Education'!$L$10:$L$13,MATCH($F149,'Education'!$B$10:$B$13,0))="","Cell will autofill based on response",INDEX('Education'!$L$10:$L$13,MATCH($F149,'Education'!$B$10:$B$13,0))),"N/A")</f>
        <v/>
      </c>
      <c r="V149" s="53">
        <f>IFERROR(IF(INDEX('SaSS'!$L$10:$L$12,MATCH($F149,'SaSS'!$B$10:$B$12,0))="","Cell will autofill based on response",INDEX('SaSS'!$L$10:$L$12,MATCH($F149,'SaSS'!$B$10:$B$12,0))),"N/A")</f>
        <v/>
      </c>
      <c r="W149" s="53">
        <f>IFERROR(IF(INDEX('Indigenous'!$L$10:$L$11,MATCH($F149,'Indigenous'!$B$10:$B$11,0))="","Cell will autofill based on response",INDEX('Indigenous'!$L$10:$L$11,MATCH($F149,'Indigenous'!$B$10:$B$11,0))),"N/A")</f>
        <v/>
      </c>
      <c r="X149" s="53">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4">
        <f>IF(AF149&gt;0,AE149/AF149,"No valid responses to date")</f>
        <v/>
      </c>
      <c r="AH149" s="10">
        <f>IF(ISNUMBER(AG149),INDEX(Lists!$G$2:$G$5,MATCH(ROUND(AG149,0),Lists!$H$2:$H$5,0)),"")</f>
        <v/>
      </c>
      <c r="AI149" s="55">
        <f>IF(AF149&gt;0,AD149/AF149,"")</f>
        <v/>
      </c>
      <c r="AJ149" s="55">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IFERROR(IF(INDEX('Faculties'!$M$10:$M$23,MATCH($F150,'Faculties'!$B$10:$B$23,0))="","Cell will autofill based on response",INDEX('Faculties'!$M$10:$M$23,MATCH($F150,'Faculties'!$B$10:$B$23,0))),"N/A")</f>
        <v/>
      </c>
      <c r="I150" s="53">
        <f>IFERROR(IF(INDEX('Faculties'!$M$30:$M$43,MATCH($F150,'Faculties'!$B$30:$B$43,0))="","Cell will autofill based on response",INDEX('Faculties'!$M$30:$M$43,MATCH($F150,'Faculties'!$B$30:$B$43,0))),"N/A")</f>
        <v/>
      </c>
      <c r="J150" s="53">
        <f>IFERROR(IF(INDEX('Faculties'!$M$50:$M$63,MATCH($F150,'Faculties'!$B$50:$B$63,0))="","Cell will autofill based on response",INDEX('Faculties'!$M$50:$M$63,MATCH($F150,'Faculties'!$B$50:$B$63,0))),"N/A")</f>
        <v/>
      </c>
      <c r="K150" s="53">
        <f>IFERROR(IF(INDEX('Faculties'!$M$70:$M$83,MATCH($F150,'Faculties'!$B$70:$B$83,0))="","Cell will autofill based on response",INDEX('Faculties'!$M$70:$M$83,MATCH($F150,'Faculties'!$B$70:$B$83,0))),"N/A")</f>
        <v/>
      </c>
      <c r="L150" s="53">
        <f>IFERROR(IF(INDEX('CI&amp;S'!$M$10:$M$15,MATCH($F150,'CI&amp;S'!$B$10:$B$15,0))="","Cell will autofill based on response",INDEX('CI&amp;S'!$M$10:$M$15,MATCH($F150,'CI&amp;S'!$B$10:$B$15,0))),"N/A")</f>
        <v/>
      </c>
      <c r="M150" s="53">
        <f>IFERROR(IF(INDEX('CI&amp;S'!$M$22:$M$36,MATCH($F150,'CI&amp;S'!$B$22:$B$36,0))="","Cell will autofill based on response",INDEX('CI&amp;S'!$M$22:$M$36,MATCH($F150,'CI&amp;S'!$B$22:$B$36,0))),"N/A")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IFERROR(IF(INDEX('MRE'!$M$10:$M$15,MATCH($F150,'MRE'!$B$10:$B$15,0))="","Cell will autofill based on response",INDEX('MRE'!$M$10:$M$15,MATCH($F150,'MRE'!$B$10:$B$15,0))),"N/A")</f>
        <v/>
      </c>
      <c r="S150" s="53">
        <f>IFERROR(IF(INDEX('AC&amp;M'!$M$10:$M$14,MATCH($F150,'AC&amp;M'!$B$10:$B$14,0))="","Cell will autofill based on response",INDEX('AC&amp;M'!$M$10:$M$14,MATCH($F150,'AC&amp;M'!$B$10:$B$14,0))),"N/A")</f>
        <v/>
      </c>
      <c r="T150" s="53">
        <f>IFERROR(IF(INDEX('GCE'!$M$10:$M$12,MATCH($F150,'GCE'!$B$10:$B$12,0))="","Cell will autofill based on response",INDEX('GCE'!$M$10:$M$12,MATCH($F150,'GCE'!$B$10:$B$12,0))),"N/A")</f>
        <v/>
      </c>
      <c r="U150" s="53">
        <f>IFERROR(IF(INDEX('Education'!$M$10:$M$13,MATCH($F150,'Education'!$B$10:$B$13,0))="","Cell will autofill based on response",INDEX('Education'!$M$10:$M$13,MATCH($F150,'Education'!$B$10:$B$13,0))),"N/A")</f>
        <v/>
      </c>
      <c r="V150" s="53">
        <f>IFERROR(IF(INDEX('SaSS'!$M$10:$M$12,MATCH($F150,'SaSS'!$B$10:$B$12,0))="","Cell will autofill based on response",INDEX('SaSS'!$M$10:$M$12,MATCH($F150,'SaSS'!$B$10:$B$12,0))),"N/A")</f>
        <v/>
      </c>
      <c r="W150" s="53">
        <f>IFERROR(IF(INDEX('Indigenous'!$M$10:$M$11,MATCH($F150,'Indigenous'!$B$10:$B$11,0))="","Cell will autofill based on response",INDEX('Indigenous'!$M$10:$M$11,MATCH($F150,'Indigenous'!$B$10:$B$11,0))),"N/A")</f>
        <v/>
      </c>
      <c r="X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IFERROR(IF(INDEX('Faculties'!$N$10:$N$23,MATCH($F151,'Faculties'!$B$10:$B$23,0))="","Cell will autofill based on response",INDEX('Faculties'!$N$10:$N$23,MATCH($F151,'Faculties'!$B$10:$B$23,0))),"N/A")</f>
        <v/>
      </c>
      <c r="I151" s="53">
        <f>IFERROR(IF(INDEX('Faculties'!$N$30:$N$43,MATCH($F151,'Faculties'!$B$30:$B$43,0))="","Cell will autofill based on response",INDEX('Faculties'!$N$30:$N$43,MATCH($F151,'Faculties'!$B$30:$B$43,0))),"N/A")</f>
        <v/>
      </c>
      <c r="J151" s="53">
        <f>IFERROR(IF(INDEX('Faculties'!$N$50:$N$63,MATCH($F151,'Faculties'!$B$50:$B$63,0))="","Cell will autofill based on response",INDEX('Faculties'!$N$50:$N$63,MATCH($F151,'Faculties'!$B$50:$B$63,0))),"N/A")</f>
        <v/>
      </c>
      <c r="K151" s="53">
        <f>IFERROR(IF(INDEX('Faculties'!$N$70:$N$83,MATCH($F151,'Faculties'!$B$70:$B$83,0))="","Cell will autofill based on response",INDEX('Faculties'!$N$70:$N$83,MATCH($F151,'Faculties'!$B$70:$B$83,0))),"N/A")</f>
        <v/>
      </c>
      <c r="L151" s="53">
        <f>IFERROR(IF(INDEX('CI&amp;S'!$N$10:$N$15,MATCH($F151,'CI&amp;S'!$B$10:$B$15,0))="","Cell will autofill based on response",INDEX('CI&amp;S'!$N$10:$N$15,MATCH($F151,'CI&amp;S'!$B$10:$B$15,0))),"N/A")</f>
        <v/>
      </c>
      <c r="M151" s="53">
        <f>IFERROR(IF(INDEX('CI&amp;S'!$N$22:$N$36,MATCH($F151,'CI&amp;S'!$B$22:$B$36,0))="","Cell will autofill based on response",INDEX('CI&amp;S'!$N$22:$N$36,MATCH($F151,'CI&amp;S'!$B$22:$B$36,0))),"N/A")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IFERROR(IF(INDEX('MRE'!$N$10:$N$15,MATCH($F151,'MRE'!$B$10:$B$15,0))="","Cell will autofill based on response",INDEX('MRE'!$N$10:$N$15,MATCH($F151,'MRE'!$B$10:$B$15,0))),"N/A")</f>
        <v/>
      </c>
      <c r="S151" s="53">
        <f>IFERROR(IF(INDEX('AC&amp;M'!$N$10:$N$14,MATCH($F151,'AC&amp;M'!$B$10:$B$14,0))="","Cell will autofill based on response",INDEX('AC&amp;M'!$N$10:$N$14,MATCH($F151,'AC&amp;M'!$B$10:$B$14,0))),"N/A")</f>
        <v/>
      </c>
      <c r="T151" s="53">
        <f>IFERROR(IF(INDEX('GCE'!$N$10:$N$12,MATCH($F151,'GCE'!$B$10:$B$12,0))="","Cell will autofill based on response",INDEX('GCE'!$N$10:$N$12,MATCH($F151,'GCE'!$B$10:$B$12,0))),"N/A")</f>
        <v/>
      </c>
      <c r="U151" s="53">
        <f>IFERROR(IF(INDEX('Education'!$N$10:$N$13,MATCH($F151,'Education'!$B$10:$B$13,0))="","Cell will autofill based on response",INDEX('Education'!$N$10:$N$13,MATCH($F151,'Education'!$B$10:$B$13,0))),"N/A")</f>
        <v/>
      </c>
      <c r="V151" s="53">
        <f>IFERROR(IF(INDEX('SaSS'!$N$10:$N$12,MATCH($F151,'SaSS'!$B$10:$B$12,0))="","Cell will autofill based on response",INDEX('SaSS'!$N$10:$N$12,MATCH($F151,'SaSS'!$B$10:$B$12,0))),"N/A")</f>
        <v/>
      </c>
      <c r="W151" s="53">
        <f>IFERROR(IF(INDEX('Indigenous'!$N$10:$N$11,MATCH($F151,'Indigenous'!$B$10:$B$11,0))="","Cell will autofill based on response",INDEX('Indigenous'!$N$10:$N$11,MATCH($F151,'Indigenous'!$B$10:$B$11,0))),"N/A")</f>
        <v/>
      </c>
      <c r="X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IFERROR(IF(INDEX('Faculties'!$O$10:$O$23,MATCH($F152,'Faculties'!$B$10:$B$23,0))="","Cell will autofill based on response",INDEX('Faculties'!$O$10:$O$23,MATCH($F152,'Faculties'!$B$10:$B$23,0))),"N/A")</f>
        <v/>
      </c>
      <c r="I152" s="53">
        <f>IFERROR(IF(INDEX('Faculties'!$O$30:$O$43,MATCH($F152,'Faculties'!$B$30:$B$43,0))="","Cell will autofill based on response",INDEX('Faculties'!$O$30:$O$43,MATCH($F152,'Faculties'!$B$30:$B$43,0))),"N/A")</f>
        <v/>
      </c>
      <c r="J152" s="53">
        <f>IFERROR(IF(INDEX('Faculties'!$O$50:$O$63,MATCH($F152,'Faculties'!$B$50:$B$63,0))="","Cell will autofill based on response",INDEX('Faculties'!$O$50:$O$63,MATCH($F152,'Faculties'!$B$50:$B$63,0))),"N/A")</f>
        <v/>
      </c>
      <c r="K152" s="53">
        <f>IFERROR(IF(INDEX('Faculties'!$O$70:$O$83,MATCH($F152,'Faculties'!$B$70:$B$83,0))="","Cell will autofill based on response",INDEX('Faculties'!$O$70:$O$83,MATCH($F152,'Faculties'!$B$70:$B$83,0))),"N/A")</f>
        <v/>
      </c>
      <c r="L152" s="53">
        <f>IFERROR(IF(INDEX('CI&amp;S'!$O$10:$O$15,MATCH($F152,'CI&amp;S'!$B$10:$B$15,0))="","Cell will autofill based on response",INDEX('CI&amp;S'!$O$10:$O$15,MATCH($F152,'CI&amp;S'!$B$10:$B$15,0))),"N/A")</f>
        <v/>
      </c>
      <c r="M152" s="53">
        <f>IFERROR(IF(INDEX('CI&amp;S'!$O$22:$O$36,MATCH($F152,'CI&amp;S'!$B$22:$B$36,0))="","Cell will autofill based on response",INDEX('CI&amp;S'!$O$22:$O$36,MATCH($F152,'CI&amp;S'!$B$22:$B$36,0))),"N/A")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IFERROR(IF(INDEX('MRE'!$O$10:$O$15,MATCH($F152,'MRE'!$B$10:$B$15,0))="","Cell will autofill based on response",INDEX('MRE'!$O$10:$O$15,MATCH($F152,'MRE'!$B$10:$B$15,0))),"N/A")</f>
        <v/>
      </c>
      <c r="S152" s="53">
        <f>IFERROR(IF(INDEX('AC&amp;M'!$O$10:$O$14,MATCH($F152,'AC&amp;M'!$B$10:$B$14,0))="","Cell will autofill based on response",INDEX('AC&amp;M'!$O$10:$O$14,MATCH($F152,'AC&amp;M'!$B$10:$B$14,0))),"N/A")</f>
        <v/>
      </c>
      <c r="T152" s="53">
        <f>IFERROR(IF(INDEX('GCE'!$O$10:$O$12,MATCH($F152,'GCE'!$B$10:$B$12,0))="","Cell will autofill based on response",INDEX('GCE'!$O$10:$O$12,MATCH($F152,'GCE'!$B$10:$B$12,0))),"N/A")</f>
        <v/>
      </c>
      <c r="U152" s="53">
        <f>IFERROR(IF(INDEX('Education'!$O$10:$O$13,MATCH($F152,'Education'!$B$10:$B$13,0))="","Cell will autofill based on response",INDEX('Education'!$O$10:$O$13,MATCH($F152,'Education'!$B$10:$B$13,0))),"N/A")</f>
        <v/>
      </c>
      <c r="V152" s="53">
        <f>IFERROR(IF(INDEX('SaSS'!$O$10:$O$12,MATCH($F152,'SaSS'!$B$10:$B$12,0))="","Cell will autofill based on response",INDEX('SaSS'!$O$10:$O$12,MATCH($F152,'SaSS'!$B$10:$B$12,0))),"N/A")</f>
        <v/>
      </c>
      <c r="W152" s="53">
        <f>IFERROR(IF(INDEX('Indigenous'!$O$10:$O$11,MATCH($F152,'Indigenous'!$B$10:$B$11,0))="","Cell will autofill based on response",INDEX('Indigenous'!$O$10:$O$11,MATCH($F152,'Indigenous'!$B$10:$B$11,0))),"N/A")</f>
        <v/>
      </c>
      <c r="X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IFERROR(IF(INDEX('Faculties'!$P$10:$P$23,MATCH($F153,'Faculties'!$B$10:$B$23,0))="","Cell will autofill based on response",INDEX('Faculties'!$P$10:$P$23,MATCH($F153,'Faculties'!$B$10:$B$23,0))),"N/A")</f>
        <v/>
      </c>
      <c r="I153" s="53">
        <f>IFERROR(IF(INDEX('Faculties'!$P$30:$P$43,MATCH($F153,'Faculties'!$B$30:$B$43,0))="","Cell will autofill based on response",INDEX('Faculties'!$P$30:$P$43,MATCH($F153,'Faculties'!$B$30:$B$43,0))),"N/A")</f>
        <v/>
      </c>
      <c r="J153" s="53">
        <f>IFERROR(IF(INDEX('Faculties'!$P$50:$P$63,MATCH($F153,'Faculties'!$B$50:$B$63,0))="","Cell will autofill based on response",INDEX('Faculties'!$P$50:$P$63,MATCH($F153,'Faculties'!$B$50:$B$63,0))),"N/A")</f>
        <v/>
      </c>
      <c r="K153" s="53">
        <f>IFERROR(IF(INDEX('Faculties'!$P$70:$P$83,MATCH($F153,'Faculties'!$B$70:$B$83,0))="","Cell will autofill based on response",INDEX('Faculties'!$P$70:$P$83,MATCH($F153,'Faculties'!$B$70:$B$83,0))),"N/A")</f>
        <v/>
      </c>
      <c r="L153" s="53">
        <f>IFERROR(IF(INDEX('CI&amp;S'!$P$10:$P$15,MATCH($F153,'CI&amp;S'!$B$10:$B$15,0))="","Cell will autofill based on response",INDEX('CI&amp;S'!$P$10:$P$15,MATCH($F153,'CI&amp;S'!$B$10:$B$15,0))),"N/A")</f>
        <v/>
      </c>
      <c r="M153" s="53">
        <f>IFERROR(IF(INDEX('CI&amp;S'!$P$22:$P$36,MATCH($F153,'CI&amp;S'!$B$22:$B$36,0))="","Cell will autofill based on response",INDEX('CI&amp;S'!$P$22:$P$36,MATCH($F153,'CI&amp;S'!$B$22:$B$36,0))),"N/A")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IFERROR(IF(INDEX('MRE'!$P$10:$P$15,MATCH($F153,'MRE'!$B$10:$B$15,0))="","Cell will autofill based on response",INDEX('MRE'!$P$10:$P$15,MATCH($F153,'MRE'!$B$10:$B$15,0))),"N/A")</f>
        <v/>
      </c>
      <c r="S153" s="53">
        <f>IFERROR(IF(INDEX('AC&amp;M'!$P$10:$P$14,MATCH($F153,'AC&amp;M'!$B$10:$B$14,0))="","Cell will autofill based on response",INDEX('AC&amp;M'!$P$10:$P$14,MATCH($F153,'AC&amp;M'!$B$10:$B$14,0))),"N/A")</f>
        <v/>
      </c>
      <c r="T153" s="53">
        <f>IFERROR(IF(INDEX('GCE'!$P$10:$P$12,MATCH($F153,'GCE'!$B$10:$B$12,0))="","Cell will autofill based on response",INDEX('GCE'!$P$10:$P$12,MATCH($F153,'GCE'!$B$10:$B$12,0))),"N/A")</f>
        <v/>
      </c>
      <c r="U153" s="53">
        <f>IFERROR(IF(INDEX('Education'!$P$10:$P$13,MATCH($F153,'Education'!$B$10:$B$13,0))="","Cell will autofill based on response",INDEX('Education'!$P$10:$P$13,MATCH($F153,'Education'!$B$10:$B$13,0))),"N/A")</f>
        <v/>
      </c>
      <c r="V153" s="53">
        <f>IFERROR(IF(INDEX('SaSS'!$P$10:$P$12,MATCH($F153,'SaSS'!$B$10:$B$12,0))="","Cell will autofill based on response",INDEX('SaSS'!$P$10:$P$12,MATCH($F153,'SaSS'!$B$10:$B$12,0))),"N/A")</f>
        <v/>
      </c>
      <c r="W153" s="53">
        <f>IFERROR(IF(INDEX('Indigenous'!$P$10:$P$11,MATCH($F153,'Indigenous'!$B$10:$B$11,0))="","Cell will autofill based on response",INDEX('Indigenous'!$P$10:$P$11,MATCH($F153,'Indigenous'!$B$10:$B$11,0))),"N/A")</f>
        <v/>
      </c>
      <c r="X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IFERROR(IF(INDEX('Faculties'!$Q$10:$Q$23,MATCH($F154,'Faculties'!$B$10:$B$23,0))="","Cell will autofill based on response",INDEX('Faculties'!$Q$10:$Q$23,MATCH($F154,'Faculties'!$B$10:$B$23,0))),"N/A")</f>
        <v/>
      </c>
      <c r="I154" s="53">
        <f>IFERROR(IF(INDEX('Faculties'!$Q$30:$Q$43,MATCH($F154,'Faculties'!$B$30:$B$43,0))="","Cell will autofill based on response",INDEX('Faculties'!$Q$30:$Q$43,MATCH($F154,'Faculties'!$B$30:$B$43,0))),"N/A")</f>
        <v/>
      </c>
      <c r="J154" s="53">
        <f>IFERROR(IF(INDEX('Faculties'!$Q$50:$Q$63,MATCH($F154,'Faculties'!$B$50:$B$63,0))="","Cell will autofill based on response",INDEX('Faculties'!$Q$50:$Q$63,MATCH($F154,'Faculties'!$B$50:$B$63,0))),"N/A")</f>
        <v/>
      </c>
      <c r="K154" s="53">
        <f>IFERROR(IF(INDEX('Faculties'!$Q$70:$Q$83,MATCH($F154,'Faculties'!$B$70:$B$83,0))="","Cell will autofill based on response",INDEX('Faculties'!$Q$70:$Q$83,MATCH($F154,'Faculties'!$B$70:$B$83,0))),"N/A")</f>
        <v/>
      </c>
      <c r="L154" s="53">
        <f>IFERROR(IF(INDEX('CI&amp;S'!$Q$10:$Q$15,MATCH($F154,'CI&amp;S'!$B$10:$B$15,0))="","Cell will autofill based on response",INDEX('CI&amp;S'!$Q$10:$Q$15,MATCH($F154,'CI&amp;S'!$B$10:$B$15,0))),"N/A")</f>
        <v/>
      </c>
      <c r="M154" s="53">
        <f>IFERROR(IF(INDEX('CI&amp;S'!$Q$22:$Q$36,MATCH($F154,'CI&amp;S'!$B$22:$B$36,0))="","Cell will autofill based on response",INDEX('CI&amp;S'!$Q$22:$Q$36,MATCH($F154,'CI&amp;S'!$B$22:$B$36,0))),"N/A")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IFERROR(IF(INDEX('MRE'!$Q$10:$Q$15,MATCH($F154,'MRE'!$B$10:$B$15,0))="","Cell will autofill based on response",INDEX('MRE'!$Q$10:$Q$15,MATCH($F154,'MRE'!$B$10:$B$15,0))),"N/A")</f>
        <v/>
      </c>
      <c r="S154" s="53">
        <f>IFERROR(IF(INDEX('AC&amp;M'!$Q$10:$Q$14,MATCH($F154,'AC&amp;M'!$B$10:$B$14,0))="","Cell will autofill based on response",INDEX('AC&amp;M'!$Q$10:$Q$14,MATCH($F154,'AC&amp;M'!$B$10:$B$14,0))),"N/A")</f>
        <v/>
      </c>
      <c r="T154" s="53">
        <f>IFERROR(IF(INDEX('GCE'!$Q$10:$Q$12,MATCH($F154,'GCE'!$B$10:$B$12,0))="","Cell will autofill based on response",INDEX('GCE'!$Q$10:$Q$12,MATCH($F154,'GCE'!$B$10:$B$12,0))),"N/A")</f>
        <v/>
      </c>
      <c r="U154" s="53">
        <f>IFERROR(IF(INDEX('Education'!$Q$10:$Q$13,MATCH($F154,'Education'!$B$10:$B$13,0))="","Cell will autofill based on response",INDEX('Education'!$Q$10:$Q$13,MATCH($F154,'Education'!$B$10:$B$13,0))),"N/A")</f>
        <v/>
      </c>
      <c r="V154" s="53">
        <f>IFERROR(IF(INDEX('SaSS'!$Q$10:$Q$12,MATCH($F154,'SaSS'!$B$10:$B$12,0))="","Cell will autofill based on response",INDEX('SaSS'!$Q$10:$Q$12,MATCH($F154,'SaSS'!$B$10:$B$12,0))),"N/A")</f>
        <v/>
      </c>
      <c r="W154" s="53">
        <f>IFERROR(IF(INDEX('Indigenous'!$Q$10:$Q$11,MATCH($F154,'Indigenous'!$B$10:$B$11,0))="","Cell will autofill based on response",INDEX('Indigenous'!$Q$10:$Q$11,MATCH($F154,'Indigenous'!$B$10:$B$11,0))),"N/A")</f>
        <v/>
      </c>
      <c r="X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IFERROR(IF(INDEX('Faculties'!$L$10:$L$23,MATCH($F155,'Faculties'!$B$10:$B$23,0))="","Cell will autofill based on response",INDEX('Faculties'!$L$10:$L$23,MATCH($F155,'Faculties'!$B$10:$B$23,0))),"N/A")</f>
        <v/>
      </c>
      <c r="I155" s="53">
        <f>IFERROR(IF(INDEX('Faculties'!$L$30:$L$43,MATCH($F155,'Faculties'!$B$30:$B$43,0))="","Cell will autofill based on response",INDEX('Faculties'!$L$30:$L$43,MATCH($F155,'Faculties'!$B$30:$B$43,0))),"N/A")</f>
        <v/>
      </c>
      <c r="J155" s="53">
        <f>IFERROR(IF(INDEX('Faculties'!$L$50:$L$63,MATCH($F155,'Faculties'!$B$50:$B$63,0))="","Cell will autofill based on response",INDEX('Faculties'!$L$50:$L$63,MATCH($F155,'Faculties'!$B$50:$B$63,0))),"N/A")</f>
        <v/>
      </c>
      <c r="K155" s="53">
        <f>IFERROR(IF(INDEX('Faculties'!$L$70:$L$83,MATCH($F155,'Faculties'!$B$70:$B$83,0))="","Cell will autofill based on response",INDEX('Faculties'!$L$70:$L$83,MATCH($F155,'Faculties'!$B$70:$B$83,0))),"N/A")</f>
        <v/>
      </c>
      <c r="L155" s="53">
        <f>IFERROR(IF(INDEX('CI&amp;S'!$L$10:$L$15,MATCH($F155,'CI&amp;S'!$B$10:$B$15,0))="","Cell will autofill based on response",INDEX('CI&amp;S'!$L$10:$L$15,MATCH($F155,'CI&amp;S'!$B$10:$B$15,0))),"N/A")</f>
        <v/>
      </c>
      <c r="M155" s="53">
        <f>IFERROR(IF(INDEX('CI&amp;S'!$L$22:$L$36,MATCH($F155,'CI&amp;S'!$B$22:$B$36,0))="","Cell will autofill based on response",INDEX('CI&amp;S'!$L$22:$L$36,MATCH($F155,'CI&amp;S'!$B$22:$B$36,0))),"N/A")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IFERROR(IF(INDEX('MRE'!$L$10:$L$15,MATCH($F155,'MRE'!$B$10:$B$15,0))="","Cell will autofill based on response",INDEX('MRE'!$L$10:$L$15,MATCH($F155,'MRE'!$B$10:$B$15,0))),"N/A")</f>
        <v/>
      </c>
      <c r="S155" s="53">
        <f>IFERROR(IF(INDEX('AC&amp;M'!$L$10:$L$14,MATCH($F155,'AC&amp;M'!$B$10:$B$14,0))="","Cell will autofill based on response",INDEX('AC&amp;M'!$L$10:$L$14,MATCH($F155,'AC&amp;M'!$B$10:$B$14,0))),"N/A")</f>
        <v/>
      </c>
      <c r="T155" s="53">
        <f>IFERROR(IF(INDEX('GCE'!$L$10:$L$12,MATCH($F155,'GCE'!$B$10:$B$12,0))="","Cell will autofill based on response",INDEX('GCE'!$L$10:$L$12,MATCH($F155,'GCE'!$B$10:$B$12,0))),"N/A")</f>
        <v/>
      </c>
      <c r="U155" s="53">
        <f>IFERROR(IF(INDEX('Education'!$L$10:$L$13,MATCH($F155,'Education'!$B$10:$B$13,0))="","Cell will autofill based on response",INDEX('Education'!$L$10:$L$13,MATCH($F155,'Education'!$B$10:$B$13,0))),"N/A")</f>
        <v/>
      </c>
      <c r="V155" s="53">
        <f>IFERROR(IF(INDEX('SaSS'!$L$10:$L$12,MATCH($F155,'SaSS'!$B$10:$B$12,0))="","Cell will autofill based on response",INDEX('SaSS'!$L$10:$L$12,MATCH($F155,'SaSS'!$B$10:$B$12,0))),"N/A")</f>
        <v/>
      </c>
      <c r="W155" s="53">
        <f>IFERROR(IF(INDEX('Indigenous'!$L$10:$L$11,MATCH($F155,'Indigenous'!$B$10:$B$11,0))="","Cell will autofill based on response",INDEX('Indigenous'!$L$10:$L$11,MATCH($F155,'Indigenous'!$B$10:$B$11,0))),"N/A")</f>
        <v/>
      </c>
      <c r="X155" s="53">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4">
        <f>IF(AF155&gt;0,AE155/AF155,"No valid responses to date")</f>
        <v/>
      </c>
      <c r="AH155" s="10">
        <f>IF(ISNUMBER(AG155),INDEX(Lists!$G$2:$G$5,MATCH(ROUND(AG155,0),Lists!$H$2:$H$5,0)),"")</f>
        <v/>
      </c>
      <c r="AI155" s="55">
        <f>IF(AF155&gt;0,AD155/AF155,"")</f>
        <v/>
      </c>
      <c r="AJ155" s="55">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IFERROR(IF(INDEX('Faculties'!$M$10:$M$23,MATCH($F156,'Faculties'!$B$10:$B$23,0))="","Cell will autofill based on response",INDEX('Faculties'!$M$10:$M$23,MATCH($F156,'Faculties'!$B$10:$B$23,0))),"N/A")</f>
        <v/>
      </c>
      <c r="I156" s="53">
        <f>IFERROR(IF(INDEX('Faculties'!$M$30:$M$43,MATCH($F156,'Faculties'!$B$30:$B$43,0))="","Cell will autofill based on response",INDEX('Faculties'!$M$30:$M$43,MATCH($F156,'Faculties'!$B$30:$B$43,0))),"N/A")</f>
        <v/>
      </c>
      <c r="J156" s="53">
        <f>IFERROR(IF(INDEX('Faculties'!$M$50:$M$63,MATCH($F156,'Faculties'!$B$50:$B$63,0))="","Cell will autofill based on response",INDEX('Faculties'!$M$50:$M$63,MATCH($F156,'Faculties'!$B$50:$B$63,0))),"N/A")</f>
        <v/>
      </c>
      <c r="K156" s="53">
        <f>IFERROR(IF(INDEX('Faculties'!$M$70:$M$83,MATCH($F156,'Faculties'!$B$70:$B$83,0))="","Cell will autofill based on response",INDEX('Faculties'!$M$70:$M$83,MATCH($F156,'Faculties'!$B$70:$B$83,0))),"N/A")</f>
        <v/>
      </c>
      <c r="L156" s="53">
        <f>IFERROR(IF(INDEX('CI&amp;S'!$M$10:$M$15,MATCH($F156,'CI&amp;S'!$B$10:$B$15,0))="","Cell will autofill based on response",INDEX('CI&amp;S'!$M$10:$M$15,MATCH($F156,'CI&amp;S'!$B$10:$B$15,0))),"N/A")</f>
        <v/>
      </c>
      <c r="M156" s="53">
        <f>IFERROR(IF(INDEX('CI&amp;S'!$M$22:$M$36,MATCH($F156,'CI&amp;S'!$B$22:$B$36,0))="","Cell will autofill based on response",INDEX('CI&amp;S'!$M$22:$M$36,MATCH($F156,'CI&amp;S'!$B$22:$B$36,0))),"N/A")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IFERROR(IF(INDEX('MRE'!$M$10:$M$15,MATCH($F156,'MRE'!$B$10:$B$15,0))="","Cell will autofill based on response",INDEX('MRE'!$M$10:$M$15,MATCH($F156,'MRE'!$B$10:$B$15,0))),"N/A")</f>
        <v/>
      </c>
      <c r="S156" s="53">
        <f>IFERROR(IF(INDEX('AC&amp;M'!$M$10:$M$14,MATCH($F156,'AC&amp;M'!$B$10:$B$14,0))="","Cell will autofill based on response",INDEX('AC&amp;M'!$M$10:$M$14,MATCH($F156,'AC&amp;M'!$B$10:$B$14,0))),"N/A")</f>
        <v/>
      </c>
      <c r="T156" s="53">
        <f>IFERROR(IF(INDEX('GCE'!$M$10:$M$12,MATCH($F156,'GCE'!$B$10:$B$12,0))="","Cell will autofill based on response",INDEX('GCE'!$M$10:$M$12,MATCH($F156,'GCE'!$B$10:$B$12,0))),"N/A")</f>
        <v/>
      </c>
      <c r="U156" s="53">
        <f>IFERROR(IF(INDEX('Education'!$M$10:$M$13,MATCH($F156,'Education'!$B$10:$B$13,0))="","Cell will autofill based on response",INDEX('Education'!$M$10:$M$13,MATCH($F156,'Education'!$B$10:$B$13,0))),"N/A")</f>
        <v/>
      </c>
      <c r="V156" s="53">
        <f>IFERROR(IF(INDEX('SaSS'!$M$10:$M$12,MATCH($F156,'SaSS'!$B$10:$B$12,0))="","Cell will autofill based on response",INDEX('SaSS'!$M$10:$M$12,MATCH($F156,'SaSS'!$B$10:$B$12,0))),"N/A")</f>
        <v/>
      </c>
      <c r="W156" s="53">
        <f>IFERROR(IF(INDEX('Indigenous'!$M$10:$M$11,MATCH($F156,'Indigenous'!$B$10:$B$11,0))="","Cell will autofill based on response",INDEX('Indigenous'!$M$10:$M$11,MATCH($F156,'Indigenous'!$B$10:$B$11,0))),"N/A")</f>
        <v/>
      </c>
      <c r="X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IFERROR(IF(INDEX('Faculties'!$N$10:$N$23,MATCH($F157,'Faculties'!$B$10:$B$23,0))="","Cell will autofill based on response",INDEX('Faculties'!$N$10:$N$23,MATCH($F157,'Faculties'!$B$10:$B$23,0))),"N/A")</f>
        <v/>
      </c>
      <c r="I157" s="53">
        <f>IFERROR(IF(INDEX('Faculties'!$N$30:$N$43,MATCH($F157,'Faculties'!$B$30:$B$43,0))="","Cell will autofill based on response",INDEX('Faculties'!$N$30:$N$43,MATCH($F157,'Faculties'!$B$30:$B$43,0))),"N/A")</f>
        <v/>
      </c>
      <c r="J157" s="53">
        <f>IFERROR(IF(INDEX('Faculties'!$N$50:$N$63,MATCH($F157,'Faculties'!$B$50:$B$63,0))="","Cell will autofill based on response",INDEX('Faculties'!$N$50:$N$63,MATCH($F157,'Faculties'!$B$50:$B$63,0))),"N/A")</f>
        <v/>
      </c>
      <c r="K157" s="53">
        <f>IFERROR(IF(INDEX('Faculties'!$N$70:$N$83,MATCH($F157,'Faculties'!$B$70:$B$83,0))="","Cell will autofill based on response",INDEX('Faculties'!$N$70:$N$83,MATCH($F157,'Faculties'!$B$70:$B$83,0))),"N/A")</f>
        <v/>
      </c>
      <c r="L157" s="53">
        <f>IFERROR(IF(INDEX('CI&amp;S'!$N$10:$N$15,MATCH($F157,'CI&amp;S'!$B$10:$B$15,0))="","Cell will autofill based on response",INDEX('CI&amp;S'!$N$10:$N$15,MATCH($F157,'CI&amp;S'!$B$10:$B$15,0))),"N/A")</f>
        <v/>
      </c>
      <c r="M157" s="53">
        <f>IFERROR(IF(INDEX('CI&amp;S'!$N$22:$N$36,MATCH($F157,'CI&amp;S'!$B$22:$B$36,0))="","Cell will autofill based on response",INDEX('CI&amp;S'!$N$22:$N$36,MATCH($F157,'CI&amp;S'!$B$22:$B$36,0))),"N/A")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IFERROR(IF(INDEX('MRE'!$N$10:$N$15,MATCH($F157,'MRE'!$B$10:$B$15,0))="","Cell will autofill based on response",INDEX('MRE'!$N$10:$N$15,MATCH($F157,'MRE'!$B$10:$B$15,0))),"N/A")</f>
        <v/>
      </c>
      <c r="S157" s="53">
        <f>IFERROR(IF(INDEX('AC&amp;M'!$N$10:$N$14,MATCH($F157,'AC&amp;M'!$B$10:$B$14,0))="","Cell will autofill based on response",INDEX('AC&amp;M'!$N$10:$N$14,MATCH($F157,'AC&amp;M'!$B$10:$B$14,0))),"N/A")</f>
        <v/>
      </c>
      <c r="T157" s="53">
        <f>IFERROR(IF(INDEX('GCE'!$N$10:$N$12,MATCH($F157,'GCE'!$B$10:$B$12,0))="","Cell will autofill based on response",INDEX('GCE'!$N$10:$N$12,MATCH($F157,'GCE'!$B$10:$B$12,0))),"N/A")</f>
        <v/>
      </c>
      <c r="U157" s="53">
        <f>IFERROR(IF(INDEX('Education'!$N$10:$N$13,MATCH($F157,'Education'!$B$10:$B$13,0))="","Cell will autofill based on response",INDEX('Education'!$N$10:$N$13,MATCH($F157,'Education'!$B$10:$B$13,0))),"N/A")</f>
        <v/>
      </c>
      <c r="V157" s="53">
        <f>IFERROR(IF(INDEX('SaSS'!$N$10:$N$12,MATCH($F157,'SaSS'!$B$10:$B$12,0))="","Cell will autofill based on response",INDEX('SaSS'!$N$10:$N$12,MATCH($F157,'SaSS'!$B$10:$B$12,0))),"N/A")</f>
        <v/>
      </c>
      <c r="W157" s="53">
        <f>IFERROR(IF(INDEX('Indigenous'!$N$10:$N$11,MATCH($F157,'Indigenous'!$B$10:$B$11,0))="","Cell will autofill based on response",INDEX('Indigenous'!$N$10:$N$11,MATCH($F157,'Indigenous'!$B$10:$B$11,0))),"N/A")</f>
        <v/>
      </c>
      <c r="X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IFERROR(IF(INDEX('Faculties'!$O$10:$O$23,MATCH($F158,'Faculties'!$B$10:$B$23,0))="","Cell will autofill based on response",INDEX('Faculties'!$O$10:$O$23,MATCH($F158,'Faculties'!$B$10:$B$23,0))),"N/A")</f>
        <v/>
      </c>
      <c r="I158" s="53">
        <f>IFERROR(IF(INDEX('Faculties'!$O$30:$O$43,MATCH($F158,'Faculties'!$B$30:$B$43,0))="","Cell will autofill based on response",INDEX('Faculties'!$O$30:$O$43,MATCH($F158,'Faculties'!$B$30:$B$43,0))),"N/A")</f>
        <v/>
      </c>
      <c r="J158" s="53">
        <f>IFERROR(IF(INDEX('Faculties'!$O$50:$O$63,MATCH($F158,'Faculties'!$B$50:$B$63,0))="","Cell will autofill based on response",INDEX('Faculties'!$O$50:$O$63,MATCH($F158,'Faculties'!$B$50:$B$63,0))),"N/A")</f>
        <v/>
      </c>
      <c r="K158" s="53">
        <f>IFERROR(IF(INDEX('Faculties'!$O$70:$O$83,MATCH($F158,'Faculties'!$B$70:$B$83,0))="","Cell will autofill based on response",INDEX('Faculties'!$O$70:$O$83,MATCH($F158,'Faculties'!$B$70:$B$83,0))),"N/A")</f>
        <v/>
      </c>
      <c r="L158" s="53">
        <f>IFERROR(IF(INDEX('CI&amp;S'!$O$10:$O$15,MATCH($F158,'CI&amp;S'!$B$10:$B$15,0))="","Cell will autofill based on response",INDEX('CI&amp;S'!$O$10:$O$15,MATCH($F158,'CI&amp;S'!$B$10:$B$15,0))),"N/A")</f>
        <v/>
      </c>
      <c r="M158" s="53">
        <f>IFERROR(IF(INDEX('CI&amp;S'!$O$22:$O$36,MATCH($F158,'CI&amp;S'!$B$22:$B$36,0))="","Cell will autofill based on response",INDEX('CI&amp;S'!$O$22:$O$36,MATCH($F158,'CI&amp;S'!$B$22:$B$36,0))),"N/A")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IFERROR(IF(INDEX('MRE'!$O$10:$O$15,MATCH($F158,'MRE'!$B$10:$B$15,0))="","Cell will autofill based on response",INDEX('MRE'!$O$10:$O$15,MATCH($F158,'MRE'!$B$10:$B$15,0))),"N/A")</f>
        <v/>
      </c>
      <c r="S158" s="53">
        <f>IFERROR(IF(INDEX('AC&amp;M'!$O$10:$O$14,MATCH($F158,'AC&amp;M'!$B$10:$B$14,0))="","Cell will autofill based on response",INDEX('AC&amp;M'!$O$10:$O$14,MATCH($F158,'AC&amp;M'!$B$10:$B$14,0))),"N/A")</f>
        <v/>
      </c>
      <c r="T158" s="53">
        <f>IFERROR(IF(INDEX('GCE'!$O$10:$O$12,MATCH($F158,'GCE'!$B$10:$B$12,0))="","Cell will autofill based on response",INDEX('GCE'!$O$10:$O$12,MATCH($F158,'GCE'!$B$10:$B$12,0))),"N/A")</f>
        <v/>
      </c>
      <c r="U158" s="53">
        <f>IFERROR(IF(INDEX('Education'!$O$10:$O$13,MATCH($F158,'Education'!$B$10:$B$13,0))="","Cell will autofill based on response",INDEX('Education'!$O$10:$O$13,MATCH($F158,'Education'!$B$10:$B$13,0))),"N/A")</f>
        <v/>
      </c>
      <c r="V158" s="53">
        <f>IFERROR(IF(INDEX('SaSS'!$O$10:$O$12,MATCH($F158,'SaSS'!$B$10:$B$12,0))="","Cell will autofill based on response",INDEX('SaSS'!$O$10:$O$12,MATCH($F158,'SaSS'!$B$10:$B$12,0))),"N/A")</f>
        <v/>
      </c>
      <c r="W158" s="53">
        <f>IFERROR(IF(INDEX('Indigenous'!$O$10:$O$11,MATCH($F158,'Indigenous'!$B$10:$B$11,0))="","Cell will autofill based on response",INDEX('Indigenous'!$O$10:$O$11,MATCH($F158,'Indigenous'!$B$10:$B$11,0))),"N/A")</f>
        <v/>
      </c>
      <c r="X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IFERROR(IF(INDEX('Faculties'!$P$10:$P$23,MATCH($F159,'Faculties'!$B$10:$B$23,0))="","Cell will autofill based on response",INDEX('Faculties'!$P$10:$P$23,MATCH($F159,'Faculties'!$B$10:$B$23,0))),"N/A")</f>
        <v/>
      </c>
      <c r="I159" s="53">
        <f>IFERROR(IF(INDEX('Faculties'!$P$30:$P$43,MATCH($F159,'Faculties'!$B$30:$B$43,0))="","Cell will autofill based on response",INDEX('Faculties'!$P$30:$P$43,MATCH($F159,'Faculties'!$B$30:$B$43,0))),"N/A")</f>
        <v/>
      </c>
      <c r="J159" s="53">
        <f>IFERROR(IF(INDEX('Faculties'!$P$50:$P$63,MATCH($F159,'Faculties'!$B$50:$B$63,0))="","Cell will autofill based on response",INDEX('Faculties'!$P$50:$P$63,MATCH($F159,'Faculties'!$B$50:$B$63,0))),"N/A")</f>
        <v/>
      </c>
      <c r="K159" s="53">
        <f>IFERROR(IF(INDEX('Faculties'!$P$70:$P$83,MATCH($F159,'Faculties'!$B$70:$B$83,0))="","Cell will autofill based on response",INDEX('Faculties'!$P$70:$P$83,MATCH($F159,'Faculties'!$B$70:$B$83,0))),"N/A")</f>
        <v/>
      </c>
      <c r="L159" s="53">
        <f>IFERROR(IF(INDEX('CI&amp;S'!$P$10:$P$15,MATCH($F159,'CI&amp;S'!$B$10:$B$15,0))="","Cell will autofill based on response",INDEX('CI&amp;S'!$P$10:$P$15,MATCH($F159,'CI&amp;S'!$B$10:$B$15,0))),"N/A")</f>
        <v/>
      </c>
      <c r="M159" s="53">
        <f>IFERROR(IF(INDEX('CI&amp;S'!$P$22:$P$36,MATCH($F159,'CI&amp;S'!$B$22:$B$36,0))="","Cell will autofill based on response",INDEX('CI&amp;S'!$P$22:$P$36,MATCH($F159,'CI&amp;S'!$B$22:$B$36,0))),"N/A")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IFERROR(IF(INDEX('MRE'!$P$10:$P$15,MATCH($F159,'MRE'!$B$10:$B$15,0))="","Cell will autofill based on response",INDEX('MRE'!$P$10:$P$15,MATCH($F159,'MRE'!$B$10:$B$15,0))),"N/A")</f>
        <v/>
      </c>
      <c r="S159" s="53">
        <f>IFERROR(IF(INDEX('AC&amp;M'!$P$10:$P$14,MATCH($F159,'AC&amp;M'!$B$10:$B$14,0))="","Cell will autofill based on response",INDEX('AC&amp;M'!$P$10:$P$14,MATCH($F159,'AC&amp;M'!$B$10:$B$14,0))),"N/A")</f>
        <v/>
      </c>
      <c r="T159" s="53">
        <f>IFERROR(IF(INDEX('GCE'!$P$10:$P$12,MATCH($F159,'GCE'!$B$10:$B$12,0))="","Cell will autofill based on response",INDEX('GCE'!$P$10:$P$12,MATCH($F159,'GCE'!$B$10:$B$12,0))),"N/A")</f>
        <v/>
      </c>
      <c r="U159" s="53">
        <f>IFERROR(IF(INDEX('Education'!$P$10:$P$13,MATCH($F159,'Education'!$B$10:$B$13,0))="","Cell will autofill based on response",INDEX('Education'!$P$10:$P$13,MATCH($F159,'Education'!$B$10:$B$13,0))),"N/A")</f>
        <v/>
      </c>
      <c r="V159" s="53">
        <f>IFERROR(IF(INDEX('SaSS'!$P$10:$P$12,MATCH($F159,'SaSS'!$B$10:$B$12,0))="","Cell will autofill based on response",INDEX('SaSS'!$P$10:$P$12,MATCH($F159,'SaSS'!$B$10:$B$12,0))),"N/A")</f>
        <v/>
      </c>
      <c r="W159" s="53">
        <f>IFERROR(IF(INDEX('Indigenous'!$P$10:$P$11,MATCH($F159,'Indigenous'!$B$10:$B$11,0))="","Cell will autofill based on response",INDEX('Indigenous'!$P$10:$P$11,MATCH($F159,'Indigenous'!$B$10:$B$11,0))),"N/A")</f>
        <v/>
      </c>
      <c r="X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IFERROR(IF(INDEX('Faculties'!$Q$10:$Q$23,MATCH($F160,'Faculties'!$B$10:$B$23,0))="","Cell will autofill based on response",INDEX('Faculties'!$Q$10:$Q$23,MATCH($F160,'Faculties'!$B$10:$B$23,0))),"N/A")</f>
        <v/>
      </c>
      <c r="I160" s="53">
        <f>IFERROR(IF(INDEX('Faculties'!$Q$30:$Q$43,MATCH($F160,'Faculties'!$B$30:$B$43,0))="","Cell will autofill based on response",INDEX('Faculties'!$Q$30:$Q$43,MATCH($F160,'Faculties'!$B$30:$B$43,0))),"N/A")</f>
        <v/>
      </c>
      <c r="J160" s="53">
        <f>IFERROR(IF(INDEX('Faculties'!$Q$50:$Q$63,MATCH($F160,'Faculties'!$B$50:$B$63,0))="","Cell will autofill based on response",INDEX('Faculties'!$Q$50:$Q$63,MATCH($F160,'Faculties'!$B$50:$B$63,0))),"N/A")</f>
        <v/>
      </c>
      <c r="K160" s="53">
        <f>IFERROR(IF(INDEX('Faculties'!$Q$70:$Q$83,MATCH($F160,'Faculties'!$B$70:$B$83,0))="","Cell will autofill based on response",INDEX('Faculties'!$Q$70:$Q$83,MATCH($F160,'Faculties'!$B$70:$B$83,0))),"N/A")</f>
        <v/>
      </c>
      <c r="L160" s="53">
        <f>IFERROR(IF(INDEX('CI&amp;S'!$Q$10:$Q$15,MATCH($F160,'CI&amp;S'!$B$10:$B$15,0))="","Cell will autofill based on response",INDEX('CI&amp;S'!$Q$10:$Q$15,MATCH($F160,'CI&amp;S'!$B$10:$B$15,0))),"N/A")</f>
        <v/>
      </c>
      <c r="M160" s="53">
        <f>IFERROR(IF(INDEX('CI&amp;S'!$Q$22:$Q$36,MATCH($F160,'CI&amp;S'!$B$22:$B$36,0))="","Cell will autofill based on response",INDEX('CI&amp;S'!$Q$22:$Q$36,MATCH($F160,'CI&amp;S'!$B$22:$B$36,0))),"N/A")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IFERROR(IF(INDEX('MRE'!$Q$10:$Q$15,MATCH($F160,'MRE'!$B$10:$B$15,0))="","Cell will autofill based on response",INDEX('MRE'!$Q$10:$Q$15,MATCH($F160,'MRE'!$B$10:$B$15,0))),"N/A")</f>
        <v/>
      </c>
      <c r="S160" s="53">
        <f>IFERROR(IF(INDEX('AC&amp;M'!$Q$10:$Q$14,MATCH($F160,'AC&amp;M'!$B$10:$B$14,0))="","Cell will autofill based on response",INDEX('AC&amp;M'!$Q$10:$Q$14,MATCH($F160,'AC&amp;M'!$B$10:$B$14,0))),"N/A")</f>
        <v/>
      </c>
      <c r="T160" s="53">
        <f>IFERROR(IF(INDEX('GCE'!$Q$10:$Q$12,MATCH($F160,'GCE'!$B$10:$B$12,0))="","Cell will autofill based on response",INDEX('GCE'!$Q$10:$Q$12,MATCH($F160,'GCE'!$B$10:$B$12,0))),"N/A")</f>
        <v/>
      </c>
      <c r="U160" s="53">
        <f>IFERROR(IF(INDEX('Education'!$Q$10:$Q$13,MATCH($F160,'Education'!$B$10:$B$13,0))="","Cell will autofill based on response",INDEX('Education'!$Q$10:$Q$13,MATCH($F160,'Education'!$B$10:$B$13,0))),"N/A")</f>
        <v/>
      </c>
      <c r="V160" s="53">
        <f>IFERROR(IF(INDEX('SaSS'!$Q$10:$Q$12,MATCH($F160,'SaSS'!$B$10:$B$12,0))="","Cell will autofill based on response",INDEX('SaSS'!$Q$10:$Q$12,MATCH($F160,'SaSS'!$B$10:$B$12,0))),"N/A")</f>
        <v/>
      </c>
      <c r="W160" s="53">
        <f>IFERROR(IF(INDEX('Indigenous'!$Q$10:$Q$11,MATCH($F160,'Indigenous'!$B$10:$B$11,0))="","Cell will autofill based on response",INDEX('Indigenous'!$Q$10:$Q$11,MATCH($F160,'Indigenous'!$B$10:$B$11,0))),"N/A")</f>
        <v/>
      </c>
      <c r="X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IFERROR(IF(INDEX('Faculties'!$L$10:$L$23,MATCH($F161,'Faculties'!$B$10:$B$23,0))="","Cell will autofill based on response",INDEX('Faculties'!$L$10:$L$23,MATCH($F161,'Faculties'!$B$10:$B$23,0))),"N/A")</f>
        <v/>
      </c>
      <c r="I161" s="53">
        <f>IFERROR(IF(INDEX('Faculties'!$L$30:$L$43,MATCH($F161,'Faculties'!$B$30:$B$43,0))="","Cell will autofill based on response",INDEX('Faculties'!$L$30:$L$43,MATCH($F161,'Faculties'!$B$30:$B$43,0))),"N/A")</f>
        <v/>
      </c>
      <c r="J161" s="53">
        <f>IFERROR(IF(INDEX('Faculties'!$L$50:$L$63,MATCH($F161,'Faculties'!$B$50:$B$63,0))="","Cell will autofill based on response",INDEX('Faculties'!$L$50:$L$63,MATCH($F161,'Faculties'!$B$50:$B$63,0))),"N/A")</f>
        <v/>
      </c>
      <c r="K161" s="53">
        <f>IFERROR(IF(INDEX('Faculties'!$L$70:$L$83,MATCH($F161,'Faculties'!$B$70:$B$83,0))="","Cell will autofill based on response",INDEX('Faculties'!$L$70:$L$83,MATCH($F161,'Faculties'!$B$70:$B$83,0))),"N/A")</f>
        <v/>
      </c>
      <c r="L161" s="53">
        <f>IFERROR(IF(INDEX('CI&amp;S'!$L$10:$L$15,MATCH($F161,'CI&amp;S'!$B$10:$B$15,0))="","Cell will autofill based on response",INDEX('CI&amp;S'!$L$10:$L$15,MATCH($F161,'CI&amp;S'!$B$10:$B$15,0))),"N/A")</f>
        <v/>
      </c>
      <c r="M161" s="53">
        <f>IFERROR(IF(INDEX('CI&amp;S'!$L$22:$L$36,MATCH($F161,'CI&amp;S'!$B$22:$B$36,0))="","Cell will autofill based on response",INDEX('CI&amp;S'!$L$22:$L$36,MATCH($F161,'CI&amp;S'!$B$22:$B$36,0))),"N/A")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IFERROR(IF(INDEX('MRE'!$L$10:$L$15,MATCH($F161,'MRE'!$B$10:$B$15,0))="","Cell will autofill based on response",INDEX('MRE'!$L$10:$L$15,MATCH($F161,'MRE'!$B$10:$B$15,0))),"N/A")</f>
        <v/>
      </c>
      <c r="S161" s="53">
        <f>IFERROR(IF(INDEX('AC&amp;M'!$L$10:$L$14,MATCH($F161,'AC&amp;M'!$B$10:$B$14,0))="","Cell will autofill based on response",INDEX('AC&amp;M'!$L$10:$L$14,MATCH($F161,'AC&amp;M'!$B$10:$B$14,0))),"N/A")</f>
        <v/>
      </c>
      <c r="T161" s="53">
        <f>IFERROR(IF(INDEX('GCE'!$L$10:$L$12,MATCH($F161,'GCE'!$B$10:$B$12,0))="","Cell will autofill based on response",INDEX('GCE'!$L$10:$L$12,MATCH($F161,'GCE'!$B$10:$B$12,0))),"N/A")</f>
        <v/>
      </c>
      <c r="U161" s="53">
        <f>IFERROR(IF(INDEX('Education'!$L$10:$L$13,MATCH($F161,'Education'!$B$10:$B$13,0))="","Cell will autofill based on response",INDEX('Education'!$L$10:$L$13,MATCH($F161,'Education'!$B$10:$B$13,0))),"N/A")</f>
        <v/>
      </c>
      <c r="V161" s="53">
        <f>IFERROR(IF(INDEX('SaSS'!$L$10:$L$12,MATCH($F161,'SaSS'!$B$10:$B$12,0))="","Cell will autofill based on response",INDEX('SaSS'!$L$10:$L$12,MATCH($F161,'SaSS'!$B$10:$B$12,0))),"N/A")</f>
        <v/>
      </c>
      <c r="W161" s="53">
        <f>IFERROR(IF(INDEX('Indigenous'!$L$10:$L$11,MATCH($F161,'Indigenous'!$B$10:$B$11,0))="","Cell will autofill based on response",INDEX('Indigenous'!$L$10:$L$11,MATCH($F161,'Indigenous'!$B$10:$B$11,0))),"N/A")</f>
        <v/>
      </c>
      <c r="X161" s="53">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4">
        <f>IF(AF161&gt;0,AE161/AF161,"No valid responses to date")</f>
        <v/>
      </c>
      <c r="AH161" s="10">
        <f>IF(ISNUMBER(AG161),INDEX(Lists!$G$2:$G$5,MATCH(ROUND(AG161,0),Lists!$H$2:$H$5,0)),"")</f>
        <v/>
      </c>
      <c r="AI161" s="55">
        <f>IF(AF161&gt;0,AD161/AF161,"")</f>
        <v/>
      </c>
      <c r="AJ161" s="55">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IFERROR(IF(INDEX('Faculties'!$M$10:$M$23,MATCH($F162,'Faculties'!$B$10:$B$23,0))="","Cell will autofill based on response",INDEX('Faculties'!$M$10:$M$23,MATCH($F162,'Faculties'!$B$10:$B$23,0))),"N/A")</f>
        <v/>
      </c>
      <c r="I162" s="53">
        <f>IFERROR(IF(INDEX('Faculties'!$M$30:$M$43,MATCH($F162,'Faculties'!$B$30:$B$43,0))="","Cell will autofill based on response",INDEX('Faculties'!$M$30:$M$43,MATCH($F162,'Faculties'!$B$30:$B$43,0))),"N/A")</f>
        <v/>
      </c>
      <c r="J162" s="53">
        <f>IFERROR(IF(INDEX('Faculties'!$M$50:$M$63,MATCH($F162,'Faculties'!$B$50:$B$63,0))="","Cell will autofill based on response",INDEX('Faculties'!$M$50:$M$63,MATCH($F162,'Faculties'!$B$50:$B$63,0))),"N/A")</f>
        <v/>
      </c>
      <c r="K162" s="53">
        <f>IFERROR(IF(INDEX('Faculties'!$M$70:$M$83,MATCH($F162,'Faculties'!$B$70:$B$83,0))="","Cell will autofill based on response",INDEX('Faculties'!$M$70:$M$83,MATCH($F162,'Faculties'!$B$70:$B$83,0))),"N/A")</f>
        <v/>
      </c>
      <c r="L162" s="53">
        <f>IFERROR(IF(INDEX('CI&amp;S'!$M$10:$M$15,MATCH($F162,'CI&amp;S'!$B$10:$B$15,0))="","Cell will autofill based on response",INDEX('CI&amp;S'!$M$10:$M$15,MATCH($F162,'CI&amp;S'!$B$10:$B$15,0))),"N/A")</f>
        <v/>
      </c>
      <c r="M162" s="53">
        <f>IFERROR(IF(INDEX('CI&amp;S'!$M$22:$M$36,MATCH($F162,'CI&amp;S'!$B$22:$B$36,0))="","Cell will autofill based on response",INDEX('CI&amp;S'!$M$22:$M$36,MATCH($F162,'CI&amp;S'!$B$22:$B$36,0))),"N/A")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IFERROR(IF(INDEX('MRE'!$M$10:$M$15,MATCH($F162,'MRE'!$B$10:$B$15,0))="","Cell will autofill based on response",INDEX('MRE'!$M$10:$M$15,MATCH($F162,'MRE'!$B$10:$B$15,0))),"N/A")</f>
        <v/>
      </c>
      <c r="S162" s="53">
        <f>IFERROR(IF(INDEX('AC&amp;M'!$M$10:$M$14,MATCH($F162,'AC&amp;M'!$B$10:$B$14,0))="","Cell will autofill based on response",INDEX('AC&amp;M'!$M$10:$M$14,MATCH($F162,'AC&amp;M'!$B$10:$B$14,0))),"N/A")</f>
        <v/>
      </c>
      <c r="T162" s="53">
        <f>IFERROR(IF(INDEX('GCE'!$M$10:$M$12,MATCH($F162,'GCE'!$B$10:$B$12,0))="","Cell will autofill based on response",INDEX('GCE'!$M$10:$M$12,MATCH($F162,'GCE'!$B$10:$B$12,0))),"N/A")</f>
        <v/>
      </c>
      <c r="U162" s="53">
        <f>IFERROR(IF(INDEX('Education'!$M$10:$M$13,MATCH($F162,'Education'!$B$10:$B$13,0))="","Cell will autofill based on response",INDEX('Education'!$M$10:$M$13,MATCH($F162,'Education'!$B$10:$B$13,0))),"N/A")</f>
        <v/>
      </c>
      <c r="V162" s="53">
        <f>IFERROR(IF(INDEX('SaSS'!$M$10:$M$12,MATCH($F162,'SaSS'!$B$10:$B$12,0))="","Cell will autofill based on response",INDEX('SaSS'!$M$10:$M$12,MATCH($F162,'SaSS'!$B$10:$B$12,0))),"N/A")</f>
        <v/>
      </c>
      <c r="W162" s="53">
        <f>IFERROR(IF(INDEX('Indigenous'!$M$10:$M$11,MATCH($F162,'Indigenous'!$B$10:$B$11,0))="","Cell will autofill based on response",INDEX('Indigenous'!$M$10:$M$11,MATCH($F162,'Indigenous'!$B$10:$B$11,0))),"N/A")</f>
        <v/>
      </c>
      <c r="X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IFERROR(IF(INDEX('Faculties'!$N$10:$N$23,MATCH($F163,'Faculties'!$B$10:$B$23,0))="","Cell will autofill based on response",INDEX('Faculties'!$N$10:$N$23,MATCH($F163,'Faculties'!$B$10:$B$23,0))),"N/A")</f>
        <v/>
      </c>
      <c r="I163" s="53">
        <f>IFERROR(IF(INDEX('Faculties'!$N$30:$N$43,MATCH($F163,'Faculties'!$B$30:$B$43,0))="","Cell will autofill based on response",INDEX('Faculties'!$N$30:$N$43,MATCH($F163,'Faculties'!$B$30:$B$43,0))),"N/A")</f>
        <v/>
      </c>
      <c r="J163" s="53">
        <f>IFERROR(IF(INDEX('Faculties'!$N$50:$N$63,MATCH($F163,'Faculties'!$B$50:$B$63,0))="","Cell will autofill based on response",INDEX('Faculties'!$N$50:$N$63,MATCH($F163,'Faculties'!$B$50:$B$63,0))),"N/A")</f>
        <v/>
      </c>
      <c r="K163" s="53">
        <f>IFERROR(IF(INDEX('Faculties'!$N$70:$N$83,MATCH($F163,'Faculties'!$B$70:$B$83,0))="","Cell will autofill based on response",INDEX('Faculties'!$N$70:$N$83,MATCH($F163,'Faculties'!$B$70:$B$83,0))),"N/A")</f>
        <v/>
      </c>
      <c r="L163" s="53">
        <f>IFERROR(IF(INDEX('CI&amp;S'!$N$10:$N$15,MATCH($F163,'CI&amp;S'!$B$10:$B$15,0))="","Cell will autofill based on response",INDEX('CI&amp;S'!$N$10:$N$15,MATCH($F163,'CI&amp;S'!$B$10:$B$15,0))),"N/A")</f>
        <v/>
      </c>
      <c r="M163" s="53">
        <f>IFERROR(IF(INDEX('CI&amp;S'!$N$22:$N$36,MATCH($F163,'CI&amp;S'!$B$22:$B$36,0))="","Cell will autofill based on response",INDEX('CI&amp;S'!$N$22:$N$36,MATCH($F163,'CI&amp;S'!$B$22:$B$36,0))),"N/A")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IFERROR(IF(INDEX('MRE'!$N$10:$N$15,MATCH($F163,'MRE'!$B$10:$B$15,0))="","Cell will autofill based on response",INDEX('MRE'!$N$10:$N$15,MATCH($F163,'MRE'!$B$10:$B$15,0))),"N/A")</f>
        <v/>
      </c>
      <c r="S163" s="53">
        <f>IFERROR(IF(INDEX('AC&amp;M'!$N$10:$N$14,MATCH($F163,'AC&amp;M'!$B$10:$B$14,0))="","Cell will autofill based on response",INDEX('AC&amp;M'!$N$10:$N$14,MATCH($F163,'AC&amp;M'!$B$10:$B$14,0))),"N/A")</f>
        <v/>
      </c>
      <c r="T163" s="53">
        <f>IFERROR(IF(INDEX('GCE'!$N$10:$N$12,MATCH($F163,'GCE'!$B$10:$B$12,0))="","Cell will autofill based on response",INDEX('GCE'!$N$10:$N$12,MATCH($F163,'GCE'!$B$10:$B$12,0))),"N/A")</f>
        <v/>
      </c>
      <c r="U163" s="53">
        <f>IFERROR(IF(INDEX('Education'!$N$10:$N$13,MATCH($F163,'Education'!$B$10:$B$13,0))="","Cell will autofill based on response",INDEX('Education'!$N$10:$N$13,MATCH($F163,'Education'!$B$10:$B$13,0))),"N/A")</f>
        <v/>
      </c>
      <c r="V163" s="53">
        <f>IFERROR(IF(INDEX('SaSS'!$N$10:$N$12,MATCH($F163,'SaSS'!$B$10:$B$12,0))="","Cell will autofill based on response",INDEX('SaSS'!$N$10:$N$12,MATCH($F163,'SaSS'!$B$10:$B$12,0))),"N/A")</f>
        <v/>
      </c>
      <c r="W163" s="53">
        <f>IFERROR(IF(INDEX('Indigenous'!$N$10:$N$11,MATCH($F163,'Indigenous'!$B$10:$B$11,0))="","Cell will autofill based on response",INDEX('Indigenous'!$N$10:$N$11,MATCH($F163,'Indigenous'!$B$10:$B$11,0))),"N/A")</f>
        <v/>
      </c>
      <c r="X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IFERROR(IF(INDEX('Faculties'!$O$10:$O$23,MATCH($F164,'Faculties'!$B$10:$B$23,0))="","Cell will autofill based on response",INDEX('Faculties'!$O$10:$O$23,MATCH($F164,'Faculties'!$B$10:$B$23,0))),"N/A")</f>
        <v/>
      </c>
      <c r="I164" s="53">
        <f>IFERROR(IF(INDEX('Faculties'!$O$30:$O$43,MATCH($F164,'Faculties'!$B$30:$B$43,0))="","Cell will autofill based on response",INDEX('Faculties'!$O$30:$O$43,MATCH($F164,'Faculties'!$B$30:$B$43,0))),"N/A")</f>
        <v/>
      </c>
      <c r="J164" s="53">
        <f>IFERROR(IF(INDEX('Faculties'!$O$50:$O$63,MATCH($F164,'Faculties'!$B$50:$B$63,0))="","Cell will autofill based on response",INDEX('Faculties'!$O$50:$O$63,MATCH($F164,'Faculties'!$B$50:$B$63,0))),"N/A")</f>
        <v/>
      </c>
      <c r="K164" s="53">
        <f>IFERROR(IF(INDEX('Faculties'!$O$70:$O$83,MATCH($F164,'Faculties'!$B$70:$B$83,0))="","Cell will autofill based on response",INDEX('Faculties'!$O$70:$O$83,MATCH($F164,'Faculties'!$B$70:$B$83,0))),"N/A")</f>
        <v/>
      </c>
      <c r="L164" s="53">
        <f>IFERROR(IF(INDEX('CI&amp;S'!$O$10:$O$15,MATCH($F164,'CI&amp;S'!$B$10:$B$15,0))="","Cell will autofill based on response",INDEX('CI&amp;S'!$O$10:$O$15,MATCH($F164,'CI&amp;S'!$B$10:$B$15,0))),"N/A")</f>
        <v/>
      </c>
      <c r="M164" s="53">
        <f>IFERROR(IF(INDEX('CI&amp;S'!$O$22:$O$36,MATCH($F164,'CI&amp;S'!$B$22:$B$36,0))="","Cell will autofill based on response",INDEX('CI&amp;S'!$O$22:$O$36,MATCH($F164,'CI&amp;S'!$B$22:$B$36,0))),"N/A")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IFERROR(IF(INDEX('MRE'!$O$10:$O$15,MATCH($F164,'MRE'!$B$10:$B$15,0))="","Cell will autofill based on response",INDEX('MRE'!$O$10:$O$15,MATCH($F164,'MRE'!$B$10:$B$15,0))),"N/A")</f>
        <v/>
      </c>
      <c r="S164" s="53">
        <f>IFERROR(IF(INDEX('AC&amp;M'!$O$10:$O$14,MATCH($F164,'AC&amp;M'!$B$10:$B$14,0))="","Cell will autofill based on response",INDEX('AC&amp;M'!$O$10:$O$14,MATCH($F164,'AC&amp;M'!$B$10:$B$14,0))),"N/A")</f>
        <v/>
      </c>
      <c r="T164" s="53">
        <f>IFERROR(IF(INDEX('GCE'!$O$10:$O$12,MATCH($F164,'GCE'!$B$10:$B$12,0))="","Cell will autofill based on response",INDEX('GCE'!$O$10:$O$12,MATCH($F164,'GCE'!$B$10:$B$12,0))),"N/A")</f>
        <v/>
      </c>
      <c r="U164" s="53">
        <f>IFERROR(IF(INDEX('Education'!$O$10:$O$13,MATCH($F164,'Education'!$B$10:$B$13,0))="","Cell will autofill based on response",INDEX('Education'!$O$10:$O$13,MATCH($F164,'Education'!$B$10:$B$13,0))),"N/A")</f>
        <v/>
      </c>
      <c r="V164" s="53">
        <f>IFERROR(IF(INDEX('SaSS'!$O$10:$O$12,MATCH($F164,'SaSS'!$B$10:$B$12,0))="","Cell will autofill based on response",INDEX('SaSS'!$O$10:$O$12,MATCH($F164,'SaSS'!$B$10:$B$12,0))),"N/A")</f>
        <v/>
      </c>
      <c r="W164" s="53">
        <f>IFERROR(IF(INDEX('Indigenous'!$O$10:$O$11,MATCH($F164,'Indigenous'!$B$10:$B$11,0))="","Cell will autofill based on response",INDEX('Indigenous'!$O$10:$O$11,MATCH($F164,'Indigenous'!$B$10:$B$11,0))),"N/A")</f>
        <v/>
      </c>
      <c r="X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IFERROR(IF(INDEX('Faculties'!$P$10:$P$23,MATCH($F165,'Faculties'!$B$10:$B$23,0))="","Cell will autofill based on response",INDEX('Faculties'!$P$10:$P$23,MATCH($F165,'Faculties'!$B$10:$B$23,0))),"N/A")</f>
        <v/>
      </c>
      <c r="I165" s="53">
        <f>IFERROR(IF(INDEX('Faculties'!$P$30:$P$43,MATCH($F165,'Faculties'!$B$30:$B$43,0))="","Cell will autofill based on response",INDEX('Faculties'!$P$30:$P$43,MATCH($F165,'Faculties'!$B$30:$B$43,0))),"N/A")</f>
        <v/>
      </c>
      <c r="J165" s="53">
        <f>IFERROR(IF(INDEX('Faculties'!$P$50:$P$63,MATCH($F165,'Faculties'!$B$50:$B$63,0))="","Cell will autofill based on response",INDEX('Faculties'!$P$50:$P$63,MATCH($F165,'Faculties'!$B$50:$B$63,0))),"N/A")</f>
        <v/>
      </c>
      <c r="K165" s="53">
        <f>IFERROR(IF(INDEX('Faculties'!$P$70:$P$83,MATCH($F165,'Faculties'!$B$70:$B$83,0))="","Cell will autofill based on response",INDEX('Faculties'!$P$70:$P$83,MATCH($F165,'Faculties'!$B$70:$B$83,0))),"N/A")</f>
        <v/>
      </c>
      <c r="L165" s="53">
        <f>IFERROR(IF(INDEX('CI&amp;S'!$P$10:$P$15,MATCH($F165,'CI&amp;S'!$B$10:$B$15,0))="","Cell will autofill based on response",INDEX('CI&amp;S'!$P$10:$P$15,MATCH($F165,'CI&amp;S'!$B$10:$B$15,0))),"N/A")</f>
        <v/>
      </c>
      <c r="M165" s="53">
        <f>IFERROR(IF(INDEX('CI&amp;S'!$P$22:$P$36,MATCH($F165,'CI&amp;S'!$B$22:$B$36,0))="","Cell will autofill based on response",INDEX('CI&amp;S'!$P$22:$P$36,MATCH($F165,'CI&amp;S'!$B$22:$B$36,0))),"N/A")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IFERROR(IF(INDEX('MRE'!$P$10:$P$15,MATCH($F165,'MRE'!$B$10:$B$15,0))="","Cell will autofill based on response",INDEX('MRE'!$P$10:$P$15,MATCH($F165,'MRE'!$B$10:$B$15,0))),"N/A")</f>
        <v/>
      </c>
      <c r="S165" s="53">
        <f>IFERROR(IF(INDEX('AC&amp;M'!$P$10:$P$14,MATCH($F165,'AC&amp;M'!$B$10:$B$14,0))="","Cell will autofill based on response",INDEX('AC&amp;M'!$P$10:$P$14,MATCH($F165,'AC&amp;M'!$B$10:$B$14,0))),"N/A")</f>
        <v/>
      </c>
      <c r="T165" s="53">
        <f>IFERROR(IF(INDEX('GCE'!$P$10:$P$12,MATCH($F165,'GCE'!$B$10:$B$12,0))="","Cell will autofill based on response",INDEX('GCE'!$P$10:$P$12,MATCH($F165,'GCE'!$B$10:$B$12,0))),"N/A")</f>
        <v/>
      </c>
      <c r="U165" s="53">
        <f>IFERROR(IF(INDEX('Education'!$P$10:$P$13,MATCH($F165,'Education'!$B$10:$B$13,0))="","Cell will autofill based on response",INDEX('Education'!$P$10:$P$13,MATCH($F165,'Education'!$B$10:$B$13,0))),"N/A")</f>
        <v/>
      </c>
      <c r="V165" s="53">
        <f>IFERROR(IF(INDEX('SaSS'!$P$10:$P$12,MATCH($F165,'SaSS'!$B$10:$B$12,0))="","Cell will autofill based on response",INDEX('SaSS'!$P$10:$P$12,MATCH($F165,'SaSS'!$B$10:$B$12,0))),"N/A")</f>
        <v/>
      </c>
      <c r="W165" s="53">
        <f>IFERROR(IF(INDEX('Indigenous'!$P$10:$P$11,MATCH($F165,'Indigenous'!$B$10:$B$11,0))="","Cell will autofill based on response",INDEX('Indigenous'!$P$10:$P$11,MATCH($F165,'Indigenous'!$B$10:$B$11,0))),"N/A")</f>
        <v/>
      </c>
      <c r="X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IFERROR(IF(INDEX('Faculties'!$Q$10:$Q$23,MATCH($F166,'Faculties'!$B$10:$B$23,0))="","Cell will autofill based on response",INDEX('Faculties'!$Q$10:$Q$23,MATCH($F166,'Faculties'!$B$10:$B$23,0))),"N/A")</f>
        <v/>
      </c>
      <c r="I166" s="53">
        <f>IFERROR(IF(INDEX('Faculties'!$Q$30:$Q$43,MATCH($F166,'Faculties'!$B$30:$B$43,0))="","Cell will autofill based on response",INDEX('Faculties'!$Q$30:$Q$43,MATCH($F166,'Faculties'!$B$30:$B$43,0))),"N/A")</f>
        <v/>
      </c>
      <c r="J166" s="53">
        <f>IFERROR(IF(INDEX('Faculties'!$Q$50:$Q$63,MATCH($F166,'Faculties'!$B$50:$B$63,0))="","Cell will autofill based on response",INDEX('Faculties'!$Q$50:$Q$63,MATCH($F166,'Faculties'!$B$50:$B$63,0))),"N/A")</f>
        <v/>
      </c>
      <c r="K166" s="53">
        <f>IFERROR(IF(INDEX('Faculties'!$Q$70:$Q$83,MATCH($F166,'Faculties'!$B$70:$B$83,0))="","Cell will autofill based on response",INDEX('Faculties'!$Q$70:$Q$83,MATCH($F166,'Faculties'!$B$70:$B$83,0))),"N/A")</f>
        <v/>
      </c>
      <c r="L166" s="53">
        <f>IFERROR(IF(INDEX('CI&amp;S'!$Q$10:$Q$15,MATCH($F166,'CI&amp;S'!$B$10:$B$15,0))="","Cell will autofill based on response",INDEX('CI&amp;S'!$Q$10:$Q$15,MATCH($F166,'CI&amp;S'!$B$10:$B$15,0))),"N/A")</f>
        <v/>
      </c>
      <c r="M166" s="53">
        <f>IFERROR(IF(INDEX('CI&amp;S'!$Q$22:$Q$36,MATCH($F166,'CI&amp;S'!$B$22:$B$36,0))="","Cell will autofill based on response",INDEX('CI&amp;S'!$Q$22:$Q$36,MATCH($F166,'CI&amp;S'!$B$22:$B$36,0))),"N/A")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IFERROR(IF(INDEX('MRE'!$Q$10:$Q$15,MATCH($F166,'MRE'!$B$10:$B$15,0))="","Cell will autofill based on response",INDEX('MRE'!$Q$10:$Q$15,MATCH($F166,'MRE'!$B$10:$B$15,0))),"N/A")</f>
        <v/>
      </c>
      <c r="S166" s="53">
        <f>IFERROR(IF(INDEX('AC&amp;M'!$Q$10:$Q$14,MATCH($F166,'AC&amp;M'!$B$10:$B$14,0))="","Cell will autofill based on response",INDEX('AC&amp;M'!$Q$10:$Q$14,MATCH($F166,'AC&amp;M'!$B$10:$B$14,0))),"N/A")</f>
        <v/>
      </c>
      <c r="T166" s="53">
        <f>IFERROR(IF(INDEX('GCE'!$Q$10:$Q$12,MATCH($F166,'GCE'!$B$10:$B$12,0))="","Cell will autofill based on response",INDEX('GCE'!$Q$10:$Q$12,MATCH($F166,'GCE'!$B$10:$B$12,0))),"N/A")</f>
        <v/>
      </c>
      <c r="U166" s="53">
        <f>IFERROR(IF(INDEX('Education'!$Q$10:$Q$13,MATCH($F166,'Education'!$B$10:$B$13,0))="","Cell will autofill based on response",INDEX('Education'!$Q$10:$Q$13,MATCH($F166,'Education'!$B$10:$B$13,0))),"N/A")</f>
        <v/>
      </c>
      <c r="V166" s="53">
        <f>IFERROR(IF(INDEX('SaSS'!$Q$10:$Q$12,MATCH($F166,'SaSS'!$B$10:$B$12,0))="","Cell will autofill based on response",INDEX('SaSS'!$Q$10:$Q$12,MATCH($F166,'SaSS'!$B$10:$B$12,0))),"N/A")</f>
        <v/>
      </c>
      <c r="W166" s="53">
        <f>IFERROR(IF(INDEX('Indigenous'!$Q$10:$Q$11,MATCH($F166,'Indigenous'!$B$10:$B$11,0))="","Cell will autofill based on response",INDEX('Indigenous'!$Q$10:$Q$11,MATCH($F166,'Indigenous'!$B$10:$B$11,0))),"N/A")</f>
        <v/>
      </c>
      <c r="X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IFERROR(IF(INDEX('Faculties'!$L$10:$L$23,MATCH($F167,'Faculties'!$B$10:$B$23,0))="","Cell will autofill based on response",INDEX('Faculties'!$L$10:$L$23,MATCH($F167,'Faculties'!$B$10:$B$23,0))),"N/A")</f>
        <v/>
      </c>
      <c r="I167" s="53">
        <f>IFERROR(IF(INDEX('Faculties'!$L$30:$L$43,MATCH($F167,'Faculties'!$B$30:$B$43,0))="","Cell will autofill based on response",INDEX('Faculties'!$L$30:$L$43,MATCH($F167,'Faculties'!$B$30:$B$43,0))),"N/A")</f>
        <v/>
      </c>
      <c r="J167" s="53">
        <f>IFERROR(IF(INDEX('Faculties'!$L$50:$L$63,MATCH($F167,'Faculties'!$B$50:$B$63,0))="","Cell will autofill based on response",INDEX('Faculties'!$L$50:$L$63,MATCH($F167,'Faculties'!$B$50:$B$63,0))),"N/A")</f>
        <v/>
      </c>
      <c r="K167" s="53">
        <f>IFERROR(IF(INDEX('Faculties'!$L$70:$L$83,MATCH($F167,'Faculties'!$B$70:$B$83,0))="","Cell will autofill based on response",INDEX('Faculties'!$L$70:$L$83,MATCH($F167,'Faculties'!$B$70:$B$83,0))),"N/A")</f>
        <v/>
      </c>
      <c r="L167" s="53">
        <f>IFERROR(IF(INDEX('CI&amp;S'!$L$10:$L$15,MATCH($F167,'CI&amp;S'!$B$10:$B$15,0))="","Cell will autofill based on response",INDEX('CI&amp;S'!$L$10:$L$15,MATCH($F167,'CI&amp;S'!$B$10:$B$15,0))),"N/A")</f>
        <v/>
      </c>
      <c r="M167" s="53">
        <f>IFERROR(IF(INDEX('CI&amp;S'!$L$22:$L$36,MATCH($F167,'CI&amp;S'!$B$22:$B$36,0))="","Cell will autofill based on response",INDEX('CI&amp;S'!$L$22:$L$36,MATCH($F167,'CI&amp;S'!$B$22:$B$36,0))),"N/A")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IFERROR(IF(INDEX('MRE'!$L$10:$L$15,MATCH($F167,'MRE'!$B$10:$B$15,0))="","Cell will autofill based on response",INDEX('MRE'!$L$10:$L$15,MATCH($F167,'MRE'!$B$10:$B$15,0))),"N/A")</f>
        <v/>
      </c>
      <c r="S167" s="53">
        <f>IFERROR(IF(INDEX('AC&amp;M'!$L$10:$L$14,MATCH($F167,'AC&amp;M'!$B$10:$B$14,0))="","Cell will autofill based on response",INDEX('AC&amp;M'!$L$10:$L$14,MATCH($F167,'AC&amp;M'!$B$10:$B$14,0))),"N/A")</f>
        <v/>
      </c>
      <c r="T167" s="53">
        <f>IFERROR(IF(INDEX('GCE'!$L$10:$L$12,MATCH($F167,'GCE'!$B$10:$B$12,0))="","Cell will autofill based on response",INDEX('GCE'!$L$10:$L$12,MATCH($F167,'GCE'!$B$10:$B$12,0))),"N/A")</f>
        <v/>
      </c>
      <c r="U167" s="53">
        <f>IFERROR(IF(INDEX('Education'!$L$10:$L$13,MATCH($F167,'Education'!$B$10:$B$13,0))="","Cell will autofill based on response",INDEX('Education'!$L$10:$L$13,MATCH($F167,'Education'!$B$10:$B$13,0))),"N/A")</f>
        <v/>
      </c>
      <c r="V167" s="53">
        <f>IFERROR(IF(INDEX('SaSS'!$L$10:$L$12,MATCH($F167,'SaSS'!$B$10:$B$12,0))="","Cell will autofill based on response",INDEX('SaSS'!$L$10:$L$12,MATCH($F167,'SaSS'!$B$10:$B$12,0))),"N/A")</f>
        <v/>
      </c>
      <c r="W167" s="53">
        <f>IFERROR(IF(INDEX('Indigenous'!$L$10:$L$11,MATCH($F167,'Indigenous'!$B$10:$B$11,0))="","Cell will autofill based on response",INDEX('Indigenous'!$L$10:$L$11,MATCH($F167,'Indigenous'!$B$10:$B$11,0))),"N/A")</f>
        <v/>
      </c>
      <c r="X167" s="53">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4">
        <f>IF(AF167&gt;0,AE167/AF167,"No valid responses to date")</f>
        <v/>
      </c>
      <c r="AH167" s="10">
        <f>IF(ISNUMBER(AG167),INDEX(Lists!$G$2:$G$5,MATCH(ROUND(AG167,0),Lists!$H$2:$H$5,0)),"")</f>
        <v/>
      </c>
      <c r="AI167" s="55">
        <f>IF(AF167&gt;0,AD167/AF167,"")</f>
        <v/>
      </c>
      <c r="AJ167" s="55">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IFERROR(IF(INDEX('Faculties'!$M$10:$M$23,MATCH($F168,'Faculties'!$B$10:$B$23,0))="","Cell will autofill based on response",INDEX('Faculties'!$M$10:$M$23,MATCH($F168,'Faculties'!$B$10:$B$23,0))),"N/A")</f>
        <v/>
      </c>
      <c r="I168" s="53">
        <f>IFERROR(IF(INDEX('Faculties'!$M$30:$M$43,MATCH($F168,'Faculties'!$B$30:$B$43,0))="","Cell will autofill based on response",INDEX('Faculties'!$M$30:$M$43,MATCH($F168,'Faculties'!$B$30:$B$43,0))),"N/A")</f>
        <v/>
      </c>
      <c r="J168" s="53">
        <f>IFERROR(IF(INDEX('Faculties'!$M$50:$M$63,MATCH($F168,'Faculties'!$B$50:$B$63,0))="","Cell will autofill based on response",INDEX('Faculties'!$M$50:$M$63,MATCH($F168,'Faculties'!$B$50:$B$63,0))),"N/A")</f>
        <v/>
      </c>
      <c r="K168" s="53">
        <f>IFERROR(IF(INDEX('Faculties'!$M$70:$M$83,MATCH($F168,'Faculties'!$B$70:$B$83,0))="","Cell will autofill based on response",INDEX('Faculties'!$M$70:$M$83,MATCH($F168,'Faculties'!$B$70:$B$83,0))),"N/A")</f>
        <v/>
      </c>
      <c r="L168" s="53">
        <f>IFERROR(IF(INDEX('CI&amp;S'!$M$10:$M$15,MATCH($F168,'CI&amp;S'!$B$10:$B$15,0))="","Cell will autofill based on response",INDEX('CI&amp;S'!$M$10:$M$15,MATCH($F168,'CI&amp;S'!$B$10:$B$15,0))),"N/A")</f>
        <v/>
      </c>
      <c r="M168" s="53">
        <f>IFERROR(IF(INDEX('CI&amp;S'!$M$22:$M$36,MATCH($F168,'CI&amp;S'!$B$22:$B$36,0))="","Cell will autofill based on response",INDEX('CI&amp;S'!$M$22:$M$36,MATCH($F168,'CI&amp;S'!$B$22:$B$36,0))),"N/A")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IFERROR(IF(INDEX('MRE'!$M$10:$M$15,MATCH($F168,'MRE'!$B$10:$B$15,0))="","Cell will autofill based on response",INDEX('MRE'!$M$10:$M$15,MATCH($F168,'MRE'!$B$10:$B$15,0))),"N/A")</f>
        <v/>
      </c>
      <c r="S168" s="53">
        <f>IFERROR(IF(INDEX('AC&amp;M'!$M$10:$M$14,MATCH($F168,'AC&amp;M'!$B$10:$B$14,0))="","Cell will autofill based on response",INDEX('AC&amp;M'!$M$10:$M$14,MATCH($F168,'AC&amp;M'!$B$10:$B$14,0))),"N/A")</f>
        <v/>
      </c>
      <c r="T168" s="53">
        <f>IFERROR(IF(INDEX('GCE'!$M$10:$M$12,MATCH($F168,'GCE'!$B$10:$B$12,0))="","Cell will autofill based on response",INDEX('GCE'!$M$10:$M$12,MATCH($F168,'GCE'!$B$10:$B$12,0))),"N/A")</f>
        <v/>
      </c>
      <c r="U168" s="53">
        <f>IFERROR(IF(INDEX('Education'!$M$10:$M$13,MATCH($F168,'Education'!$B$10:$B$13,0))="","Cell will autofill based on response",INDEX('Education'!$M$10:$M$13,MATCH($F168,'Education'!$B$10:$B$13,0))),"N/A")</f>
        <v/>
      </c>
      <c r="V168" s="53">
        <f>IFERROR(IF(INDEX('SaSS'!$M$10:$M$12,MATCH($F168,'SaSS'!$B$10:$B$12,0))="","Cell will autofill based on response",INDEX('SaSS'!$M$10:$M$12,MATCH($F168,'SaSS'!$B$10:$B$12,0))),"N/A")</f>
        <v/>
      </c>
      <c r="W168" s="53">
        <f>IFERROR(IF(INDEX('Indigenous'!$M$10:$M$11,MATCH($F168,'Indigenous'!$B$10:$B$11,0))="","Cell will autofill based on response",INDEX('Indigenous'!$M$10:$M$11,MATCH($F168,'Indigenous'!$B$10:$B$11,0))),"N/A")</f>
        <v/>
      </c>
      <c r="X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IFERROR(IF(INDEX('Faculties'!$N$10:$N$23,MATCH($F169,'Faculties'!$B$10:$B$23,0))="","Cell will autofill based on response",INDEX('Faculties'!$N$10:$N$23,MATCH($F169,'Faculties'!$B$10:$B$23,0))),"N/A")</f>
        <v/>
      </c>
      <c r="I169" s="53">
        <f>IFERROR(IF(INDEX('Faculties'!$N$30:$N$43,MATCH($F169,'Faculties'!$B$30:$B$43,0))="","Cell will autofill based on response",INDEX('Faculties'!$N$30:$N$43,MATCH($F169,'Faculties'!$B$30:$B$43,0))),"N/A")</f>
        <v/>
      </c>
      <c r="J169" s="53">
        <f>IFERROR(IF(INDEX('Faculties'!$N$50:$N$63,MATCH($F169,'Faculties'!$B$50:$B$63,0))="","Cell will autofill based on response",INDEX('Faculties'!$N$50:$N$63,MATCH($F169,'Faculties'!$B$50:$B$63,0))),"N/A")</f>
        <v/>
      </c>
      <c r="K169" s="53">
        <f>IFERROR(IF(INDEX('Faculties'!$N$70:$N$83,MATCH($F169,'Faculties'!$B$70:$B$83,0))="","Cell will autofill based on response",INDEX('Faculties'!$N$70:$N$83,MATCH($F169,'Faculties'!$B$70:$B$83,0))),"N/A")</f>
        <v/>
      </c>
      <c r="L169" s="53">
        <f>IFERROR(IF(INDEX('CI&amp;S'!$N$10:$N$15,MATCH($F169,'CI&amp;S'!$B$10:$B$15,0))="","Cell will autofill based on response",INDEX('CI&amp;S'!$N$10:$N$15,MATCH($F169,'CI&amp;S'!$B$10:$B$15,0))),"N/A")</f>
        <v/>
      </c>
      <c r="M169" s="53">
        <f>IFERROR(IF(INDEX('CI&amp;S'!$N$22:$N$36,MATCH($F169,'CI&amp;S'!$B$22:$B$36,0))="","Cell will autofill based on response",INDEX('CI&amp;S'!$N$22:$N$36,MATCH($F169,'CI&amp;S'!$B$22:$B$36,0))),"N/A")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IFERROR(IF(INDEX('MRE'!$N$10:$N$15,MATCH($F169,'MRE'!$B$10:$B$15,0))="","Cell will autofill based on response",INDEX('MRE'!$N$10:$N$15,MATCH($F169,'MRE'!$B$10:$B$15,0))),"N/A")</f>
        <v/>
      </c>
      <c r="S169" s="53">
        <f>IFERROR(IF(INDEX('AC&amp;M'!$N$10:$N$14,MATCH($F169,'AC&amp;M'!$B$10:$B$14,0))="","Cell will autofill based on response",INDEX('AC&amp;M'!$N$10:$N$14,MATCH($F169,'AC&amp;M'!$B$10:$B$14,0))),"N/A")</f>
        <v/>
      </c>
      <c r="T169" s="53">
        <f>IFERROR(IF(INDEX('GCE'!$N$10:$N$12,MATCH($F169,'GCE'!$B$10:$B$12,0))="","Cell will autofill based on response",INDEX('GCE'!$N$10:$N$12,MATCH($F169,'GCE'!$B$10:$B$12,0))),"N/A")</f>
        <v/>
      </c>
      <c r="U169" s="53">
        <f>IFERROR(IF(INDEX('Education'!$N$10:$N$13,MATCH($F169,'Education'!$B$10:$B$13,0))="","Cell will autofill based on response",INDEX('Education'!$N$10:$N$13,MATCH($F169,'Education'!$B$10:$B$13,0))),"N/A")</f>
        <v/>
      </c>
      <c r="V169" s="53">
        <f>IFERROR(IF(INDEX('SaSS'!$N$10:$N$12,MATCH($F169,'SaSS'!$B$10:$B$12,0))="","Cell will autofill based on response",INDEX('SaSS'!$N$10:$N$12,MATCH($F169,'SaSS'!$B$10:$B$12,0))),"N/A")</f>
        <v/>
      </c>
      <c r="W169" s="53">
        <f>IFERROR(IF(INDEX('Indigenous'!$N$10:$N$11,MATCH($F169,'Indigenous'!$B$10:$B$11,0))="","Cell will autofill based on response",INDEX('Indigenous'!$N$10:$N$11,MATCH($F169,'Indigenous'!$B$10:$B$11,0))),"N/A")</f>
        <v/>
      </c>
      <c r="X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IFERROR(IF(INDEX('Faculties'!$O$10:$O$23,MATCH($F170,'Faculties'!$B$10:$B$23,0))="","Cell will autofill based on response",INDEX('Faculties'!$O$10:$O$23,MATCH($F170,'Faculties'!$B$10:$B$23,0))),"N/A")</f>
        <v/>
      </c>
      <c r="I170" s="53">
        <f>IFERROR(IF(INDEX('Faculties'!$O$30:$O$43,MATCH($F170,'Faculties'!$B$30:$B$43,0))="","Cell will autofill based on response",INDEX('Faculties'!$O$30:$O$43,MATCH($F170,'Faculties'!$B$30:$B$43,0))),"N/A")</f>
        <v/>
      </c>
      <c r="J170" s="53">
        <f>IFERROR(IF(INDEX('Faculties'!$O$50:$O$63,MATCH($F170,'Faculties'!$B$50:$B$63,0))="","Cell will autofill based on response",INDEX('Faculties'!$O$50:$O$63,MATCH($F170,'Faculties'!$B$50:$B$63,0))),"N/A")</f>
        <v/>
      </c>
      <c r="K170" s="53">
        <f>IFERROR(IF(INDEX('Faculties'!$O$70:$O$83,MATCH($F170,'Faculties'!$B$70:$B$83,0))="","Cell will autofill based on response",INDEX('Faculties'!$O$70:$O$83,MATCH($F170,'Faculties'!$B$70:$B$83,0))),"N/A")</f>
        <v/>
      </c>
      <c r="L170" s="53">
        <f>IFERROR(IF(INDEX('CI&amp;S'!$O$10:$O$15,MATCH($F170,'CI&amp;S'!$B$10:$B$15,0))="","Cell will autofill based on response",INDEX('CI&amp;S'!$O$10:$O$15,MATCH($F170,'CI&amp;S'!$B$10:$B$15,0))),"N/A")</f>
        <v/>
      </c>
      <c r="M170" s="53">
        <f>IFERROR(IF(INDEX('CI&amp;S'!$O$22:$O$36,MATCH($F170,'CI&amp;S'!$B$22:$B$36,0))="","Cell will autofill based on response",INDEX('CI&amp;S'!$O$22:$O$36,MATCH($F170,'CI&amp;S'!$B$22:$B$36,0))),"N/A")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IFERROR(IF(INDEX('MRE'!$O$10:$O$15,MATCH($F170,'MRE'!$B$10:$B$15,0))="","Cell will autofill based on response",INDEX('MRE'!$O$10:$O$15,MATCH($F170,'MRE'!$B$10:$B$15,0))),"N/A")</f>
        <v/>
      </c>
      <c r="S170" s="53">
        <f>IFERROR(IF(INDEX('AC&amp;M'!$O$10:$O$14,MATCH($F170,'AC&amp;M'!$B$10:$B$14,0))="","Cell will autofill based on response",INDEX('AC&amp;M'!$O$10:$O$14,MATCH($F170,'AC&amp;M'!$B$10:$B$14,0))),"N/A")</f>
        <v/>
      </c>
      <c r="T170" s="53">
        <f>IFERROR(IF(INDEX('GCE'!$O$10:$O$12,MATCH($F170,'GCE'!$B$10:$B$12,0))="","Cell will autofill based on response",INDEX('GCE'!$O$10:$O$12,MATCH($F170,'GCE'!$B$10:$B$12,0))),"N/A")</f>
        <v/>
      </c>
      <c r="U170" s="53">
        <f>IFERROR(IF(INDEX('Education'!$O$10:$O$13,MATCH($F170,'Education'!$B$10:$B$13,0))="","Cell will autofill based on response",INDEX('Education'!$O$10:$O$13,MATCH($F170,'Education'!$B$10:$B$13,0))),"N/A")</f>
        <v/>
      </c>
      <c r="V170" s="53">
        <f>IFERROR(IF(INDEX('SaSS'!$O$10:$O$12,MATCH($F170,'SaSS'!$B$10:$B$12,0))="","Cell will autofill based on response",INDEX('SaSS'!$O$10:$O$12,MATCH($F170,'SaSS'!$B$10:$B$12,0))),"N/A")</f>
        <v/>
      </c>
      <c r="W170" s="53">
        <f>IFERROR(IF(INDEX('Indigenous'!$O$10:$O$11,MATCH($F170,'Indigenous'!$B$10:$B$11,0))="","Cell will autofill based on response",INDEX('Indigenous'!$O$10:$O$11,MATCH($F170,'Indigenous'!$B$10:$B$11,0))),"N/A")</f>
        <v/>
      </c>
      <c r="X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IFERROR(IF(INDEX('Faculties'!$P$10:$P$23,MATCH($F171,'Faculties'!$B$10:$B$23,0))="","Cell will autofill based on response",INDEX('Faculties'!$P$10:$P$23,MATCH($F171,'Faculties'!$B$10:$B$23,0))),"N/A")</f>
        <v/>
      </c>
      <c r="I171" s="53">
        <f>IFERROR(IF(INDEX('Faculties'!$P$30:$P$43,MATCH($F171,'Faculties'!$B$30:$B$43,0))="","Cell will autofill based on response",INDEX('Faculties'!$P$30:$P$43,MATCH($F171,'Faculties'!$B$30:$B$43,0))),"N/A")</f>
        <v/>
      </c>
      <c r="J171" s="53">
        <f>IFERROR(IF(INDEX('Faculties'!$P$50:$P$63,MATCH($F171,'Faculties'!$B$50:$B$63,0))="","Cell will autofill based on response",INDEX('Faculties'!$P$50:$P$63,MATCH($F171,'Faculties'!$B$50:$B$63,0))),"N/A")</f>
        <v/>
      </c>
      <c r="K171" s="53">
        <f>IFERROR(IF(INDEX('Faculties'!$P$70:$P$83,MATCH($F171,'Faculties'!$B$70:$B$83,0))="","Cell will autofill based on response",INDEX('Faculties'!$P$70:$P$83,MATCH($F171,'Faculties'!$B$70:$B$83,0))),"N/A")</f>
        <v/>
      </c>
      <c r="L171" s="53">
        <f>IFERROR(IF(INDEX('CI&amp;S'!$P$10:$P$15,MATCH($F171,'CI&amp;S'!$B$10:$B$15,0))="","Cell will autofill based on response",INDEX('CI&amp;S'!$P$10:$P$15,MATCH($F171,'CI&amp;S'!$B$10:$B$15,0))),"N/A")</f>
        <v/>
      </c>
      <c r="M171" s="53">
        <f>IFERROR(IF(INDEX('CI&amp;S'!$P$22:$P$36,MATCH($F171,'CI&amp;S'!$B$22:$B$36,0))="","Cell will autofill based on response",INDEX('CI&amp;S'!$P$22:$P$36,MATCH($F171,'CI&amp;S'!$B$22:$B$36,0))),"N/A")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IFERROR(IF(INDEX('MRE'!$P$10:$P$15,MATCH($F171,'MRE'!$B$10:$B$15,0))="","Cell will autofill based on response",INDEX('MRE'!$P$10:$P$15,MATCH($F171,'MRE'!$B$10:$B$15,0))),"N/A")</f>
        <v/>
      </c>
      <c r="S171" s="53">
        <f>IFERROR(IF(INDEX('AC&amp;M'!$P$10:$P$14,MATCH($F171,'AC&amp;M'!$B$10:$B$14,0))="","Cell will autofill based on response",INDEX('AC&amp;M'!$P$10:$P$14,MATCH($F171,'AC&amp;M'!$B$10:$B$14,0))),"N/A")</f>
        <v/>
      </c>
      <c r="T171" s="53">
        <f>IFERROR(IF(INDEX('GCE'!$P$10:$P$12,MATCH($F171,'GCE'!$B$10:$B$12,0))="","Cell will autofill based on response",INDEX('GCE'!$P$10:$P$12,MATCH($F171,'GCE'!$B$10:$B$12,0))),"N/A")</f>
        <v/>
      </c>
      <c r="U171" s="53">
        <f>IFERROR(IF(INDEX('Education'!$P$10:$P$13,MATCH($F171,'Education'!$B$10:$B$13,0))="","Cell will autofill based on response",INDEX('Education'!$P$10:$P$13,MATCH($F171,'Education'!$B$10:$B$13,0))),"N/A")</f>
        <v/>
      </c>
      <c r="V171" s="53">
        <f>IFERROR(IF(INDEX('SaSS'!$P$10:$P$12,MATCH($F171,'SaSS'!$B$10:$B$12,0))="","Cell will autofill based on response",INDEX('SaSS'!$P$10:$P$12,MATCH($F171,'SaSS'!$B$10:$B$12,0))),"N/A")</f>
        <v/>
      </c>
      <c r="W171" s="53">
        <f>IFERROR(IF(INDEX('Indigenous'!$P$10:$P$11,MATCH($F171,'Indigenous'!$B$10:$B$11,0))="","Cell will autofill based on response",INDEX('Indigenous'!$P$10:$P$11,MATCH($F171,'Indigenous'!$B$10:$B$11,0))),"N/A")</f>
        <v/>
      </c>
      <c r="X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IFERROR(IF(INDEX('Faculties'!$Q$10:$Q$23,MATCH($F172,'Faculties'!$B$10:$B$23,0))="","Cell will autofill based on response",INDEX('Faculties'!$Q$10:$Q$23,MATCH($F172,'Faculties'!$B$10:$B$23,0))),"N/A")</f>
        <v/>
      </c>
      <c r="I172" s="53">
        <f>IFERROR(IF(INDEX('Faculties'!$Q$30:$Q$43,MATCH($F172,'Faculties'!$B$30:$B$43,0))="","Cell will autofill based on response",INDEX('Faculties'!$Q$30:$Q$43,MATCH($F172,'Faculties'!$B$30:$B$43,0))),"N/A")</f>
        <v/>
      </c>
      <c r="J172" s="53">
        <f>IFERROR(IF(INDEX('Faculties'!$Q$50:$Q$63,MATCH($F172,'Faculties'!$B$50:$B$63,0))="","Cell will autofill based on response",INDEX('Faculties'!$Q$50:$Q$63,MATCH($F172,'Faculties'!$B$50:$B$63,0))),"N/A")</f>
        <v/>
      </c>
      <c r="K172" s="53">
        <f>IFERROR(IF(INDEX('Faculties'!$Q$70:$Q$83,MATCH($F172,'Faculties'!$B$70:$B$83,0))="","Cell will autofill based on response",INDEX('Faculties'!$Q$70:$Q$83,MATCH($F172,'Faculties'!$B$70:$B$83,0))),"N/A")</f>
        <v/>
      </c>
      <c r="L172" s="53">
        <f>IFERROR(IF(INDEX('CI&amp;S'!$Q$10:$Q$15,MATCH($F172,'CI&amp;S'!$B$10:$B$15,0))="","Cell will autofill based on response",INDEX('CI&amp;S'!$Q$10:$Q$15,MATCH($F172,'CI&amp;S'!$B$10:$B$15,0))),"N/A")</f>
        <v/>
      </c>
      <c r="M172" s="53">
        <f>IFERROR(IF(INDEX('CI&amp;S'!$Q$22:$Q$36,MATCH($F172,'CI&amp;S'!$B$22:$B$36,0))="","Cell will autofill based on response",INDEX('CI&amp;S'!$Q$22:$Q$36,MATCH($F172,'CI&amp;S'!$B$22:$B$36,0))),"N/A")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IFERROR(IF(INDEX('MRE'!$Q$10:$Q$15,MATCH($F172,'MRE'!$B$10:$B$15,0))="","Cell will autofill based on response",INDEX('MRE'!$Q$10:$Q$15,MATCH($F172,'MRE'!$B$10:$B$15,0))),"N/A")</f>
        <v/>
      </c>
      <c r="S172" s="53">
        <f>IFERROR(IF(INDEX('AC&amp;M'!$Q$10:$Q$14,MATCH($F172,'AC&amp;M'!$B$10:$B$14,0))="","Cell will autofill based on response",INDEX('AC&amp;M'!$Q$10:$Q$14,MATCH($F172,'AC&amp;M'!$B$10:$B$14,0))),"N/A")</f>
        <v/>
      </c>
      <c r="T172" s="53">
        <f>IFERROR(IF(INDEX('GCE'!$Q$10:$Q$12,MATCH($F172,'GCE'!$B$10:$B$12,0))="","Cell will autofill based on response",INDEX('GCE'!$Q$10:$Q$12,MATCH($F172,'GCE'!$B$10:$B$12,0))),"N/A")</f>
        <v/>
      </c>
      <c r="U172" s="53">
        <f>IFERROR(IF(INDEX('Education'!$Q$10:$Q$13,MATCH($F172,'Education'!$B$10:$B$13,0))="","Cell will autofill based on response",INDEX('Education'!$Q$10:$Q$13,MATCH($F172,'Education'!$B$10:$B$13,0))),"N/A")</f>
        <v/>
      </c>
      <c r="V172" s="53">
        <f>IFERROR(IF(INDEX('SaSS'!$Q$10:$Q$12,MATCH($F172,'SaSS'!$B$10:$B$12,0))="","Cell will autofill based on response",INDEX('SaSS'!$Q$10:$Q$12,MATCH($F172,'SaSS'!$B$10:$B$12,0))),"N/A")</f>
        <v/>
      </c>
      <c r="W172" s="53">
        <f>IFERROR(IF(INDEX('Indigenous'!$Q$10:$Q$11,MATCH($F172,'Indigenous'!$B$10:$B$11,0))="","Cell will autofill based on response",INDEX('Indigenous'!$Q$10:$Q$11,MATCH($F172,'Indigenous'!$B$10:$B$11,0))),"N/A")</f>
        <v/>
      </c>
      <c r="X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IFERROR(IF(INDEX('Faculties'!$L$10:$L$23,MATCH($F173,'Faculties'!$B$10:$B$23,0))="","Cell will autofill based on response",INDEX('Faculties'!$L$10:$L$23,MATCH($F173,'Faculties'!$B$10:$B$23,0))),"N/A")</f>
        <v/>
      </c>
      <c r="I173" s="53">
        <f>IFERROR(IF(INDEX('Faculties'!$L$30:$L$43,MATCH($F173,'Faculties'!$B$30:$B$43,0))="","Cell will autofill based on response",INDEX('Faculties'!$L$30:$L$43,MATCH($F173,'Faculties'!$B$30:$B$43,0))),"N/A")</f>
        <v/>
      </c>
      <c r="J173" s="53">
        <f>IFERROR(IF(INDEX('Faculties'!$L$50:$L$63,MATCH($F173,'Faculties'!$B$50:$B$63,0))="","Cell will autofill based on response",INDEX('Faculties'!$L$50:$L$63,MATCH($F173,'Faculties'!$B$50:$B$63,0))),"N/A")</f>
        <v/>
      </c>
      <c r="K173" s="53">
        <f>IFERROR(IF(INDEX('Faculties'!$L$70:$L$83,MATCH($F173,'Faculties'!$B$70:$B$83,0))="","Cell will autofill based on response",INDEX('Faculties'!$L$70:$L$83,MATCH($F173,'Faculties'!$B$70:$B$83,0))),"N/A")</f>
        <v/>
      </c>
      <c r="L173" s="53">
        <f>IFERROR(IF(INDEX('CI&amp;S'!$L$10:$L$15,MATCH($F173,'CI&amp;S'!$B$10:$B$15,0))="","Cell will autofill based on response",INDEX('CI&amp;S'!$L$10:$L$15,MATCH($F173,'CI&amp;S'!$B$10:$B$15,0))),"N/A")</f>
        <v/>
      </c>
      <c r="M173" s="53">
        <f>IFERROR(IF(INDEX('CI&amp;S'!$L$22:$L$36,MATCH($F173,'CI&amp;S'!$B$22:$B$36,0))="","Cell will autofill based on response",INDEX('CI&amp;S'!$L$22:$L$36,MATCH($F173,'CI&amp;S'!$B$22:$B$36,0))),"N/A")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IFERROR(IF(INDEX('MRE'!$L$10:$L$15,MATCH($F173,'MRE'!$B$10:$B$15,0))="","Cell will autofill based on response",INDEX('MRE'!$L$10:$L$15,MATCH($F173,'MRE'!$B$10:$B$15,0))),"N/A")</f>
        <v/>
      </c>
      <c r="S173" s="53">
        <f>IFERROR(IF(INDEX('AC&amp;M'!$L$10:$L$14,MATCH($F173,'AC&amp;M'!$B$10:$B$14,0))="","Cell will autofill based on response",INDEX('AC&amp;M'!$L$10:$L$14,MATCH($F173,'AC&amp;M'!$B$10:$B$14,0))),"N/A")</f>
        <v/>
      </c>
      <c r="T173" s="53">
        <f>IFERROR(IF(INDEX('GCE'!$L$10:$L$12,MATCH($F173,'GCE'!$B$10:$B$12,0))="","Cell will autofill based on response",INDEX('GCE'!$L$10:$L$12,MATCH($F173,'GCE'!$B$10:$B$12,0))),"N/A")</f>
        <v/>
      </c>
      <c r="U173" s="53">
        <f>IFERROR(IF(INDEX('Education'!$L$10:$L$13,MATCH($F173,'Education'!$B$10:$B$13,0))="","Cell will autofill based on response",INDEX('Education'!$L$10:$L$13,MATCH($F173,'Education'!$B$10:$B$13,0))),"N/A")</f>
        <v/>
      </c>
      <c r="V173" s="53">
        <f>IFERROR(IF(INDEX('SaSS'!$L$10:$L$12,MATCH($F173,'SaSS'!$B$10:$B$12,0))="","Cell will autofill based on response",INDEX('SaSS'!$L$10:$L$12,MATCH($F173,'SaSS'!$B$10:$B$12,0))),"N/A")</f>
        <v/>
      </c>
      <c r="W173" s="53">
        <f>IFERROR(IF(INDEX('Indigenous'!$L$10:$L$11,MATCH($F173,'Indigenous'!$B$10:$B$11,0))="","Cell will autofill based on response",INDEX('Indigenous'!$L$10:$L$11,MATCH($F173,'Indigenous'!$B$10:$B$11,0))),"N/A")</f>
        <v/>
      </c>
      <c r="X173" s="53">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4">
        <f>IF(AF173&gt;0,AE173/AF173,"No valid responses to date")</f>
        <v/>
      </c>
      <c r="AH173" s="10">
        <f>IF(ISNUMBER(AG173),INDEX(Lists!$G$2:$G$5,MATCH(ROUND(AG173,0),Lists!$H$2:$H$5,0)),"")</f>
        <v/>
      </c>
      <c r="AI173" s="55">
        <f>IF(AF173&gt;0,AD173/AF173,"")</f>
        <v/>
      </c>
      <c r="AJ173" s="55">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IFERROR(IF(INDEX('Faculties'!$M$10:$M$23,MATCH($F174,'Faculties'!$B$10:$B$23,0))="","Cell will autofill based on response",INDEX('Faculties'!$M$10:$M$23,MATCH($F174,'Faculties'!$B$10:$B$23,0))),"N/A")</f>
        <v/>
      </c>
      <c r="I174" s="53">
        <f>IFERROR(IF(INDEX('Faculties'!$M$30:$M$43,MATCH($F174,'Faculties'!$B$30:$B$43,0))="","Cell will autofill based on response",INDEX('Faculties'!$M$30:$M$43,MATCH($F174,'Faculties'!$B$30:$B$43,0))),"N/A")</f>
        <v/>
      </c>
      <c r="J174" s="53">
        <f>IFERROR(IF(INDEX('Faculties'!$M$50:$M$63,MATCH($F174,'Faculties'!$B$50:$B$63,0))="","Cell will autofill based on response",INDEX('Faculties'!$M$50:$M$63,MATCH($F174,'Faculties'!$B$50:$B$63,0))),"N/A")</f>
        <v/>
      </c>
      <c r="K174" s="53">
        <f>IFERROR(IF(INDEX('Faculties'!$M$70:$M$83,MATCH($F174,'Faculties'!$B$70:$B$83,0))="","Cell will autofill based on response",INDEX('Faculties'!$M$70:$M$83,MATCH($F174,'Faculties'!$B$70:$B$83,0))),"N/A")</f>
        <v/>
      </c>
      <c r="L174" s="53">
        <f>IFERROR(IF(INDEX('CI&amp;S'!$M$10:$M$15,MATCH($F174,'CI&amp;S'!$B$10:$B$15,0))="","Cell will autofill based on response",INDEX('CI&amp;S'!$M$10:$M$15,MATCH($F174,'CI&amp;S'!$B$10:$B$15,0))),"N/A")</f>
        <v/>
      </c>
      <c r="M174" s="53">
        <f>IFERROR(IF(INDEX('CI&amp;S'!$M$22:$M$36,MATCH($F174,'CI&amp;S'!$B$22:$B$36,0))="","Cell will autofill based on response",INDEX('CI&amp;S'!$M$22:$M$36,MATCH($F174,'CI&amp;S'!$B$22:$B$36,0))),"N/A")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IFERROR(IF(INDEX('MRE'!$M$10:$M$15,MATCH($F174,'MRE'!$B$10:$B$15,0))="","Cell will autofill based on response",INDEX('MRE'!$M$10:$M$15,MATCH($F174,'MRE'!$B$10:$B$15,0))),"N/A")</f>
        <v/>
      </c>
      <c r="S174" s="53">
        <f>IFERROR(IF(INDEX('AC&amp;M'!$M$10:$M$14,MATCH($F174,'AC&amp;M'!$B$10:$B$14,0))="","Cell will autofill based on response",INDEX('AC&amp;M'!$M$10:$M$14,MATCH($F174,'AC&amp;M'!$B$10:$B$14,0))),"N/A")</f>
        <v/>
      </c>
      <c r="T174" s="53">
        <f>IFERROR(IF(INDEX('GCE'!$M$10:$M$12,MATCH($F174,'GCE'!$B$10:$B$12,0))="","Cell will autofill based on response",INDEX('GCE'!$M$10:$M$12,MATCH($F174,'GCE'!$B$10:$B$12,0))),"N/A")</f>
        <v/>
      </c>
      <c r="U174" s="53">
        <f>IFERROR(IF(INDEX('Education'!$M$10:$M$13,MATCH($F174,'Education'!$B$10:$B$13,0))="","Cell will autofill based on response",INDEX('Education'!$M$10:$M$13,MATCH($F174,'Education'!$B$10:$B$13,0))),"N/A")</f>
        <v/>
      </c>
      <c r="V174" s="53">
        <f>IFERROR(IF(INDEX('SaSS'!$M$10:$M$12,MATCH($F174,'SaSS'!$B$10:$B$12,0))="","Cell will autofill based on response",INDEX('SaSS'!$M$10:$M$12,MATCH($F174,'SaSS'!$B$10:$B$12,0))),"N/A")</f>
        <v/>
      </c>
      <c r="W174" s="53">
        <f>IFERROR(IF(INDEX('Indigenous'!$M$10:$M$11,MATCH($F174,'Indigenous'!$B$10:$B$11,0))="","Cell will autofill based on response",INDEX('Indigenous'!$M$10:$M$11,MATCH($F174,'Indigenous'!$B$10:$B$11,0))),"N/A")</f>
        <v/>
      </c>
      <c r="X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IFERROR(IF(INDEX('Faculties'!$N$10:$N$23,MATCH($F175,'Faculties'!$B$10:$B$23,0))="","Cell will autofill based on response",INDEX('Faculties'!$N$10:$N$23,MATCH($F175,'Faculties'!$B$10:$B$23,0))),"N/A")</f>
        <v/>
      </c>
      <c r="I175" s="53">
        <f>IFERROR(IF(INDEX('Faculties'!$N$30:$N$43,MATCH($F175,'Faculties'!$B$30:$B$43,0))="","Cell will autofill based on response",INDEX('Faculties'!$N$30:$N$43,MATCH($F175,'Faculties'!$B$30:$B$43,0))),"N/A")</f>
        <v/>
      </c>
      <c r="J175" s="53">
        <f>IFERROR(IF(INDEX('Faculties'!$N$50:$N$63,MATCH($F175,'Faculties'!$B$50:$B$63,0))="","Cell will autofill based on response",INDEX('Faculties'!$N$50:$N$63,MATCH($F175,'Faculties'!$B$50:$B$63,0))),"N/A")</f>
        <v/>
      </c>
      <c r="K175" s="53">
        <f>IFERROR(IF(INDEX('Faculties'!$N$70:$N$83,MATCH($F175,'Faculties'!$B$70:$B$83,0))="","Cell will autofill based on response",INDEX('Faculties'!$N$70:$N$83,MATCH($F175,'Faculties'!$B$70:$B$83,0))),"N/A")</f>
        <v/>
      </c>
      <c r="L175" s="53">
        <f>IFERROR(IF(INDEX('CI&amp;S'!$N$10:$N$15,MATCH($F175,'CI&amp;S'!$B$10:$B$15,0))="","Cell will autofill based on response",INDEX('CI&amp;S'!$N$10:$N$15,MATCH($F175,'CI&amp;S'!$B$10:$B$15,0))),"N/A")</f>
        <v/>
      </c>
      <c r="M175" s="53">
        <f>IFERROR(IF(INDEX('CI&amp;S'!$N$22:$N$36,MATCH($F175,'CI&amp;S'!$B$22:$B$36,0))="","Cell will autofill based on response",INDEX('CI&amp;S'!$N$22:$N$36,MATCH($F175,'CI&amp;S'!$B$22:$B$36,0))),"N/A")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IFERROR(IF(INDEX('MRE'!$N$10:$N$15,MATCH($F175,'MRE'!$B$10:$B$15,0))="","Cell will autofill based on response",INDEX('MRE'!$N$10:$N$15,MATCH($F175,'MRE'!$B$10:$B$15,0))),"N/A")</f>
        <v/>
      </c>
      <c r="S175" s="53">
        <f>IFERROR(IF(INDEX('AC&amp;M'!$N$10:$N$14,MATCH($F175,'AC&amp;M'!$B$10:$B$14,0))="","Cell will autofill based on response",INDEX('AC&amp;M'!$N$10:$N$14,MATCH($F175,'AC&amp;M'!$B$10:$B$14,0))),"N/A")</f>
        <v/>
      </c>
      <c r="T175" s="53">
        <f>IFERROR(IF(INDEX('GCE'!$N$10:$N$12,MATCH($F175,'GCE'!$B$10:$B$12,0))="","Cell will autofill based on response",INDEX('GCE'!$N$10:$N$12,MATCH($F175,'GCE'!$B$10:$B$12,0))),"N/A")</f>
        <v/>
      </c>
      <c r="U175" s="53">
        <f>IFERROR(IF(INDEX('Education'!$N$10:$N$13,MATCH($F175,'Education'!$B$10:$B$13,0))="","Cell will autofill based on response",INDEX('Education'!$N$10:$N$13,MATCH($F175,'Education'!$B$10:$B$13,0))),"N/A")</f>
        <v/>
      </c>
      <c r="V175" s="53">
        <f>IFERROR(IF(INDEX('SaSS'!$N$10:$N$12,MATCH($F175,'SaSS'!$B$10:$B$12,0))="","Cell will autofill based on response",INDEX('SaSS'!$N$10:$N$12,MATCH($F175,'SaSS'!$B$10:$B$12,0))),"N/A")</f>
        <v/>
      </c>
      <c r="W175" s="53">
        <f>IFERROR(IF(INDEX('Indigenous'!$N$10:$N$11,MATCH($F175,'Indigenous'!$B$10:$B$11,0))="","Cell will autofill based on response",INDEX('Indigenous'!$N$10:$N$11,MATCH($F175,'Indigenous'!$B$10:$B$11,0))),"N/A")</f>
        <v/>
      </c>
      <c r="X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IFERROR(IF(INDEX('Faculties'!$O$10:$O$23,MATCH($F176,'Faculties'!$B$10:$B$23,0))="","Cell will autofill based on response",INDEX('Faculties'!$O$10:$O$23,MATCH($F176,'Faculties'!$B$10:$B$23,0))),"N/A")</f>
        <v/>
      </c>
      <c r="I176" s="53">
        <f>IFERROR(IF(INDEX('Faculties'!$O$30:$O$43,MATCH($F176,'Faculties'!$B$30:$B$43,0))="","Cell will autofill based on response",INDEX('Faculties'!$O$30:$O$43,MATCH($F176,'Faculties'!$B$30:$B$43,0))),"N/A")</f>
        <v/>
      </c>
      <c r="J176" s="53">
        <f>IFERROR(IF(INDEX('Faculties'!$O$50:$O$63,MATCH($F176,'Faculties'!$B$50:$B$63,0))="","Cell will autofill based on response",INDEX('Faculties'!$O$50:$O$63,MATCH($F176,'Faculties'!$B$50:$B$63,0))),"N/A")</f>
        <v/>
      </c>
      <c r="K176" s="53">
        <f>IFERROR(IF(INDEX('Faculties'!$O$70:$O$83,MATCH($F176,'Faculties'!$B$70:$B$83,0))="","Cell will autofill based on response",INDEX('Faculties'!$O$70:$O$83,MATCH($F176,'Faculties'!$B$70:$B$83,0))),"N/A")</f>
        <v/>
      </c>
      <c r="L176" s="53">
        <f>IFERROR(IF(INDEX('CI&amp;S'!$O$10:$O$15,MATCH($F176,'CI&amp;S'!$B$10:$B$15,0))="","Cell will autofill based on response",INDEX('CI&amp;S'!$O$10:$O$15,MATCH($F176,'CI&amp;S'!$B$10:$B$15,0))),"N/A")</f>
        <v/>
      </c>
      <c r="M176" s="53">
        <f>IFERROR(IF(INDEX('CI&amp;S'!$O$22:$O$36,MATCH($F176,'CI&amp;S'!$B$22:$B$36,0))="","Cell will autofill based on response",INDEX('CI&amp;S'!$O$22:$O$36,MATCH($F176,'CI&amp;S'!$B$22:$B$36,0))),"N/A")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IFERROR(IF(INDEX('MRE'!$O$10:$O$15,MATCH($F176,'MRE'!$B$10:$B$15,0))="","Cell will autofill based on response",INDEX('MRE'!$O$10:$O$15,MATCH($F176,'MRE'!$B$10:$B$15,0))),"N/A")</f>
        <v/>
      </c>
      <c r="S176" s="53">
        <f>IFERROR(IF(INDEX('AC&amp;M'!$O$10:$O$14,MATCH($F176,'AC&amp;M'!$B$10:$B$14,0))="","Cell will autofill based on response",INDEX('AC&amp;M'!$O$10:$O$14,MATCH($F176,'AC&amp;M'!$B$10:$B$14,0))),"N/A")</f>
        <v/>
      </c>
      <c r="T176" s="53">
        <f>IFERROR(IF(INDEX('GCE'!$O$10:$O$12,MATCH($F176,'GCE'!$B$10:$B$12,0))="","Cell will autofill based on response",INDEX('GCE'!$O$10:$O$12,MATCH($F176,'GCE'!$B$10:$B$12,0))),"N/A")</f>
        <v/>
      </c>
      <c r="U176" s="53">
        <f>IFERROR(IF(INDEX('Education'!$O$10:$O$13,MATCH($F176,'Education'!$B$10:$B$13,0))="","Cell will autofill based on response",INDEX('Education'!$O$10:$O$13,MATCH($F176,'Education'!$B$10:$B$13,0))),"N/A")</f>
        <v/>
      </c>
      <c r="V176" s="53">
        <f>IFERROR(IF(INDEX('SaSS'!$O$10:$O$12,MATCH($F176,'SaSS'!$B$10:$B$12,0))="","Cell will autofill based on response",INDEX('SaSS'!$O$10:$O$12,MATCH($F176,'SaSS'!$B$10:$B$12,0))),"N/A")</f>
        <v/>
      </c>
      <c r="W176" s="53">
        <f>IFERROR(IF(INDEX('Indigenous'!$O$10:$O$11,MATCH($F176,'Indigenous'!$B$10:$B$11,0))="","Cell will autofill based on response",INDEX('Indigenous'!$O$10:$O$11,MATCH($F176,'Indigenous'!$B$10:$B$11,0))),"N/A")</f>
        <v/>
      </c>
      <c r="X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IFERROR(IF(INDEX('Faculties'!$P$10:$P$23,MATCH($F177,'Faculties'!$B$10:$B$23,0))="","Cell will autofill based on response",INDEX('Faculties'!$P$10:$P$23,MATCH($F177,'Faculties'!$B$10:$B$23,0))),"N/A")</f>
        <v/>
      </c>
      <c r="I177" s="53">
        <f>IFERROR(IF(INDEX('Faculties'!$P$30:$P$43,MATCH($F177,'Faculties'!$B$30:$B$43,0))="","Cell will autofill based on response",INDEX('Faculties'!$P$30:$P$43,MATCH($F177,'Faculties'!$B$30:$B$43,0))),"N/A")</f>
        <v/>
      </c>
      <c r="J177" s="53">
        <f>IFERROR(IF(INDEX('Faculties'!$P$50:$P$63,MATCH($F177,'Faculties'!$B$50:$B$63,0))="","Cell will autofill based on response",INDEX('Faculties'!$P$50:$P$63,MATCH($F177,'Faculties'!$B$50:$B$63,0))),"N/A")</f>
        <v/>
      </c>
      <c r="K177" s="53">
        <f>IFERROR(IF(INDEX('Faculties'!$P$70:$P$83,MATCH($F177,'Faculties'!$B$70:$B$83,0))="","Cell will autofill based on response",INDEX('Faculties'!$P$70:$P$83,MATCH($F177,'Faculties'!$B$70:$B$83,0))),"N/A")</f>
        <v/>
      </c>
      <c r="L177" s="53">
        <f>IFERROR(IF(INDEX('CI&amp;S'!$P$10:$P$15,MATCH($F177,'CI&amp;S'!$B$10:$B$15,0))="","Cell will autofill based on response",INDEX('CI&amp;S'!$P$10:$P$15,MATCH($F177,'CI&amp;S'!$B$10:$B$15,0))),"N/A")</f>
        <v/>
      </c>
      <c r="M177" s="53">
        <f>IFERROR(IF(INDEX('CI&amp;S'!$P$22:$P$36,MATCH($F177,'CI&amp;S'!$B$22:$B$36,0))="","Cell will autofill based on response",INDEX('CI&amp;S'!$P$22:$P$36,MATCH($F177,'CI&amp;S'!$B$22:$B$36,0))),"N/A")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IFERROR(IF(INDEX('MRE'!$P$10:$P$15,MATCH($F177,'MRE'!$B$10:$B$15,0))="","Cell will autofill based on response",INDEX('MRE'!$P$10:$P$15,MATCH($F177,'MRE'!$B$10:$B$15,0))),"N/A")</f>
        <v/>
      </c>
      <c r="S177" s="53">
        <f>IFERROR(IF(INDEX('AC&amp;M'!$P$10:$P$14,MATCH($F177,'AC&amp;M'!$B$10:$B$14,0))="","Cell will autofill based on response",INDEX('AC&amp;M'!$P$10:$P$14,MATCH($F177,'AC&amp;M'!$B$10:$B$14,0))),"N/A")</f>
        <v/>
      </c>
      <c r="T177" s="53">
        <f>IFERROR(IF(INDEX('GCE'!$P$10:$P$12,MATCH($F177,'GCE'!$B$10:$B$12,0))="","Cell will autofill based on response",INDEX('GCE'!$P$10:$P$12,MATCH($F177,'GCE'!$B$10:$B$12,0))),"N/A")</f>
        <v/>
      </c>
      <c r="U177" s="53">
        <f>IFERROR(IF(INDEX('Education'!$P$10:$P$13,MATCH($F177,'Education'!$B$10:$B$13,0))="","Cell will autofill based on response",INDEX('Education'!$P$10:$P$13,MATCH($F177,'Education'!$B$10:$B$13,0))),"N/A")</f>
        <v/>
      </c>
      <c r="V177" s="53">
        <f>IFERROR(IF(INDEX('SaSS'!$P$10:$P$12,MATCH($F177,'SaSS'!$B$10:$B$12,0))="","Cell will autofill based on response",INDEX('SaSS'!$P$10:$P$12,MATCH($F177,'SaSS'!$B$10:$B$12,0))),"N/A")</f>
        <v/>
      </c>
      <c r="W177" s="53">
        <f>IFERROR(IF(INDEX('Indigenous'!$P$10:$P$11,MATCH($F177,'Indigenous'!$B$10:$B$11,0))="","Cell will autofill based on response",INDEX('Indigenous'!$P$10:$P$11,MATCH($F177,'Indigenous'!$B$10:$B$11,0))),"N/A")</f>
        <v/>
      </c>
      <c r="X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IFERROR(IF(INDEX('Faculties'!$Q$10:$Q$23,MATCH($F178,'Faculties'!$B$10:$B$23,0))="","Cell will autofill based on response",INDEX('Faculties'!$Q$10:$Q$23,MATCH($F178,'Faculties'!$B$10:$B$23,0))),"N/A")</f>
        <v/>
      </c>
      <c r="I178" s="53">
        <f>IFERROR(IF(INDEX('Faculties'!$Q$30:$Q$43,MATCH($F178,'Faculties'!$B$30:$B$43,0))="","Cell will autofill based on response",INDEX('Faculties'!$Q$30:$Q$43,MATCH($F178,'Faculties'!$B$30:$B$43,0))),"N/A")</f>
        <v/>
      </c>
      <c r="J178" s="53">
        <f>IFERROR(IF(INDEX('Faculties'!$Q$50:$Q$63,MATCH($F178,'Faculties'!$B$50:$B$63,0))="","Cell will autofill based on response",INDEX('Faculties'!$Q$50:$Q$63,MATCH($F178,'Faculties'!$B$50:$B$63,0))),"N/A")</f>
        <v/>
      </c>
      <c r="K178" s="53">
        <f>IFERROR(IF(INDEX('Faculties'!$Q$70:$Q$83,MATCH($F178,'Faculties'!$B$70:$B$83,0))="","Cell will autofill based on response",INDEX('Faculties'!$Q$70:$Q$83,MATCH($F178,'Faculties'!$B$70:$B$83,0))),"N/A")</f>
        <v/>
      </c>
      <c r="L178" s="53">
        <f>IFERROR(IF(INDEX('CI&amp;S'!$Q$10:$Q$15,MATCH($F178,'CI&amp;S'!$B$10:$B$15,0))="","Cell will autofill based on response",INDEX('CI&amp;S'!$Q$10:$Q$15,MATCH($F178,'CI&amp;S'!$B$10:$B$15,0))),"N/A")</f>
        <v/>
      </c>
      <c r="M178" s="53">
        <f>IFERROR(IF(INDEX('CI&amp;S'!$Q$22:$Q$36,MATCH($F178,'CI&amp;S'!$B$22:$B$36,0))="","Cell will autofill based on response",INDEX('CI&amp;S'!$Q$22:$Q$36,MATCH($F178,'CI&amp;S'!$B$22:$B$36,0))),"N/A")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IFERROR(IF(INDEX('MRE'!$Q$10:$Q$15,MATCH($F178,'MRE'!$B$10:$B$15,0))="","Cell will autofill based on response",INDEX('MRE'!$Q$10:$Q$15,MATCH($F178,'MRE'!$B$10:$B$15,0))),"N/A")</f>
        <v/>
      </c>
      <c r="S178" s="53">
        <f>IFERROR(IF(INDEX('AC&amp;M'!$Q$10:$Q$14,MATCH($F178,'AC&amp;M'!$B$10:$B$14,0))="","Cell will autofill based on response",INDEX('AC&amp;M'!$Q$10:$Q$14,MATCH($F178,'AC&amp;M'!$B$10:$B$14,0))),"N/A")</f>
        <v/>
      </c>
      <c r="T178" s="53">
        <f>IFERROR(IF(INDEX('GCE'!$Q$10:$Q$12,MATCH($F178,'GCE'!$B$10:$B$12,0))="","Cell will autofill based on response",INDEX('GCE'!$Q$10:$Q$12,MATCH($F178,'GCE'!$B$10:$B$12,0))),"N/A")</f>
        <v/>
      </c>
      <c r="U178" s="53">
        <f>IFERROR(IF(INDEX('Education'!$Q$10:$Q$13,MATCH($F178,'Education'!$B$10:$B$13,0))="","Cell will autofill based on response",INDEX('Education'!$Q$10:$Q$13,MATCH($F178,'Education'!$B$10:$B$13,0))),"N/A")</f>
        <v/>
      </c>
      <c r="V178" s="53">
        <f>IFERROR(IF(INDEX('SaSS'!$Q$10:$Q$12,MATCH($F178,'SaSS'!$B$10:$B$12,0))="","Cell will autofill based on response",INDEX('SaSS'!$Q$10:$Q$12,MATCH($F178,'SaSS'!$B$10:$B$12,0))),"N/A")</f>
        <v/>
      </c>
      <c r="W178" s="53">
        <f>IFERROR(IF(INDEX('Indigenous'!$Q$10:$Q$11,MATCH($F178,'Indigenous'!$B$10:$B$11,0))="","Cell will autofill based on response",INDEX('Indigenous'!$Q$10:$Q$11,MATCH($F178,'Indigenous'!$B$10:$B$11,0))),"N/A")</f>
        <v/>
      </c>
      <c r="X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IFERROR(IF(INDEX('Faculties'!$L$10:$L$23,MATCH($F179,'Faculties'!$B$10:$B$23,0))="","Cell will autofill based on response",INDEX('Faculties'!$L$10:$L$23,MATCH($F179,'Faculties'!$B$10:$B$23,0))),"N/A")</f>
        <v/>
      </c>
      <c r="I179" s="53">
        <f>IFERROR(IF(INDEX('Faculties'!$L$30:$L$43,MATCH($F179,'Faculties'!$B$30:$B$43,0))="","Cell will autofill based on response",INDEX('Faculties'!$L$30:$L$43,MATCH($F179,'Faculties'!$B$30:$B$43,0))),"N/A")</f>
        <v/>
      </c>
      <c r="J179" s="53">
        <f>IFERROR(IF(INDEX('Faculties'!$L$50:$L$63,MATCH($F179,'Faculties'!$B$50:$B$63,0))="","Cell will autofill based on response",INDEX('Faculties'!$L$50:$L$63,MATCH($F179,'Faculties'!$B$50:$B$63,0))),"N/A")</f>
        <v/>
      </c>
      <c r="K179" s="53">
        <f>IFERROR(IF(INDEX('Faculties'!$L$70:$L$83,MATCH($F179,'Faculties'!$B$70:$B$83,0))="","Cell will autofill based on response",INDEX('Faculties'!$L$70:$L$83,MATCH($F179,'Faculties'!$B$70:$B$83,0))),"N/A")</f>
        <v/>
      </c>
      <c r="L179" s="53">
        <f>IFERROR(IF(INDEX('CI&amp;S'!$L$10:$L$15,MATCH($F179,'CI&amp;S'!$B$10:$B$15,0))="","Cell will autofill based on response",INDEX('CI&amp;S'!$L$10:$L$15,MATCH($F179,'CI&amp;S'!$B$10:$B$15,0))),"N/A")</f>
        <v/>
      </c>
      <c r="M179" s="53">
        <f>IFERROR(IF(INDEX('CI&amp;S'!$L$22:$L$36,MATCH($F179,'CI&amp;S'!$B$22:$B$36,0))="","Cell will autofill based on response",INDEX('CI&amp;S'!$L$22:$L$36,MATCH($F179,'CI&amp;S'!$B$22:$B$36,0))),"N/A")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IFERROR(IF(INDEX('MRE'!$L$10:$L$15,MATCH($F179,'MRE'!$B$10:$B$15,0))="","Cell will autofill based on response",INDEX('MRE'!$L$10:$L$15,MATCH($F179,'MRE'!$B$10:$B$15,0))),"N/A")</f>
        <v/>
      </c>
      <c r="S179" s="53">
        <f>IFERROR(IF(INDEX('AC&amp;M'!$L$10:$L$14,MATCH($F179,'AC&amp;M'!$B$10:$B$14,0))="","Cell will autofill based on response",INDEX('AC&amp;M'!$L$10:$L$14,MATCH($F179,'AC&amp;M'!$B$10:$B$14,0))),"N/A")</f>
        <v/>
      </c>
      <c r="T179" s="53">
        <f>IFERROR(IF(INDEX('GCE'!$L$10:$L$12,MATCH($F179,'GCE'!$B$10:$B$12,0))="","Cell will autofill based on response",INDEX('GCE'!$L$10:$L$12,MATCH($F179,'GCE'!$B$10:$B$12,0))),"N/A")</f>
        <v/>
      </c>
      <c r="U179" s="53">
        <f>IFERROR(IF(INDEX('Education'!$L$10:$L$13,MATCH($F179,'Education'!$B$10:$B$13,0))="","Cell will autofill based on response",INDEX('Education'!$L$10:$L$13,MATCH($F179,'Education'!$B$10:$B$13,0))),"N/A")</f>
        <v/>
      </c>
      <c r="V179" s="53">
        <f>IFERROR(IF(INDEX('SaSS'!$L$10:$L$12,MATCH($F179,'SaSS'!$B$10:$B$12,0))="","Cell will autofill based on response",INDEX('SaSS'!$L$10:$L$12,MATCH($F179,'SaSS'!$B$10:$B$12,0))),"N/A")</f>
        <v/>
      </c>
      <c r="W179" s="53">
        <f>IFERROR(IF(INDEX('Indigenous'!$L$10:$L$11,MATCH($F179,'Indigenous'!$B$10:$B$11,0))="","Cell will autofill based on response",INDEX('Indigenous'!$L$10:$L$11,MATCH($F179,'Indigenous'!$B$10:$B$11,0))),"N/A")</f>
        <v/>
      </c>
      <c r="X179" s="53">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4">
        <f>IF(AF179&gt;0,AE179/AF179,"No valid responses to date")</f>
        <v/>
      </c>
      <c r="AH179" s="10">
        <f>IF(ISNUMBER(AG179),INDEX(Lists!$G$2:$G$5,MATCH(ROUND(AG179,0),Lists!$H$2:$H$5,0)),"")</f>
        <v/>
      </c>
      <c r="AI179" s="55">
        <f>IF(AF179&gt;0,AD179/AF179,"")</f>
        <v/>
      </c>
      <c r="AJ179" s="55">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IFERROR(IF(INDEX('Faculties'!$M$10:$M$23,MATCH($F180,'Faculties'!$B$10:$B$23,0))="","Cell will autofill based on response",INDEX('Faculties'!$M$10:$M$23,MATCH($F180,'Faculties'!$B$10:$B$23,0))),"N/A")</f>
        <v/>
      </c>
      <c r="I180" s="53">
        <f>IFERROR(IF(INDEX('Faculties'!$M$30:$M$43,MATCH($F180,'Faculties'!$B$30:$B$43,0))="","Cell will autofill based on response",INDEX('Faculties'!$M$30:$M$43,MATCH($F180,'Faculties'!$B$30:$B$43,0))),"N/A")</f>
        <v/>
      </c>
      <c r="J180" s="53">
        <f>IFERROR(IF(INDEX('Faculties'!$M$50:$M$63,MATCH($F180,'Faculties'!$B$50:$B$63,0))="","Cell will autofill based on response",INDEX('Faculties'!$M$50:$M$63,MATCH($F180,'Faculties'!$B$50:$B$63,0))),"N/A")</f>
        <v/>
      </c>
      <c r="K180" s="53">
        <f>IFERROR(IF(INDEX('Faculties'!$M$70:$M$83,MATCH($F180,'Faculties'!$B$70:$B$83,0))="","Cell will autofill based on response",INDEX('Faculties'!$M$70:$M$83,MATCH($F180,'Faculties'!$B$70:$B$83,0))),"N/A")</f>
        <v/>
      </c>
      <c r="L180" s="53">
        <f>IFERROR(IF(INDEX('CI&amp;S'!$M$10:$M$15,MATCH($F180,'CI&amp;S'!$B$10:$B$15,0))="","Cell will autofill based on response",INDEX('CI&amp;S'!$M$10:$M$15,MATCH($F180,'CI&amp;S'!$B$10:$B$15,0))),"N/A")</f>
        <v/>
      </c>
      <c r="M180" s="53">
        <f>IFERROR(IF(INDEX('CI&amp;S'!$M$22:$M$36,MATCH($F180,'CI&amp;S'!$B$22:$B$36,0))="","Cell will autofill based on response",INDEX('CI&amp;S'!$M$22:$M$36,MATCH($F180,'CI&amp;S'!$B$22:$B$36,0))),"N/A")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IFERROR(IF(INDEX('MRE'!$M$10:$M$15,MATCH($F180,'MRE'!$B$10:$B$15,0))="","Cell will autofill based on response",INDEX('MRE'!$M$10:$M$15,MATCH($F180,'MRE'!$B$10:$B$15,0))),"N/A")</f>
        <v/>
      </c>
      <c r="S180" s="53">
        <f>IFERROR(IF(INDEX('AC&amp;M'!$M$10:$M$14,MATCH($F180,'AC&amp;M'!$B$10:$B$14,0))="","Cell will autofill based on response",INDEX('AC&amp;M'!$M$10:$M$14,MATCH($F180,'AC&amp;M'!$B$10:$B$14,0))),"N/A")</f>
        <v/>
      </c>
      <c r="T180" s="53">
        <f>IFERROR(IF(INDEX('GCE'!$M$10:$M$12,MATCH($F180,'GCE'!$B$10:$B$12,0))="","Cell will autofill based on response",INDEX('GCE'!$M$10:$M$12,MATCH($F180,'GCE'!$B$10:$B$12,0))),"N/A")</f>
        <v/>
      </c>
      <c r="U180" s="53">
        <f>IFERROR(IF(INDEX('Education'!$M$10:$M$13,MATCH($F180,'Education'!$B$10:$B$13,0))="","Cell will autofill based on response",INDEX('Education'!$M$10:$M$13,MATCH($F180,'Education'!$B$10:$B$13,0))),"N/A")</f>
        <v/>
      </c>
      <c r="V180" s="53">
        <f>IFERROR(IF(INDEX('SaSS'!$M$10:$M$12,MATCH($F180,'SaSS'!$B$10:$B$12,0))="","Cell will autofill based on response",INDEX('SaSS'!$M$10:$M$12,MATCH($F180,'SaSS'!$B$10:$B$12,0))),"N/A")</f>
        <v/>
      </c>
      <c r="W180" s="53">
        <f>IFERROR(IF(INDEX('Indigenous'!$M$10:$M$11,MATCH($F180,'Indigenous'!$B$10:$B$11,0))="","Cell will autofill based on response",INDEX('Indigenous'!$M$10:$M$11,MATCH($F180,'Indigenous'!$B$10:$B$11,0))),"N/A")</f>
        <v/>
      </c>
      <c r="X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IFERROR(IF(INDEX('Faculties'!$N$10:$N$23,MATCH($F181,'Faculties'!$B$10:$B$23,0))="","Cell will autofill based on response",INDEX('Faculties'!$N$10:$N$23,MATCH($F181,'Faculties'!$B$10:$B$23,0))),"N/A")</f>
        <v/>
      </c>
      <c r="I181" s="53">
        <f>IFERROR(IF(INDEX('Faculties'!$N$30:$N$43,MATCH($F181,'Faculties'!$B$30:$B$43,0))="","Cell will autofill based on response",INDEX('Faculties'!$N$30:$N$43,MATCH($F181,'Faculties'!$B$30:$B$43,0))),"N/A")</f>
        <v/>
      </c>
      <c r="J181" s="53">
        <f>IFERROR(IF(INDEX('Faculties'!$N$50:$N$63,MATCH($F181,'Faculties'!$B$50:$B$63,0))="","Cell will autofill based on response",INDEX('Faculties'!$N$50:$N$63,MATCH($F181,'Faculties'!$B$50:$B$63,0))),"N/A")</f>
        <v/>
      </c>
      <c r="K181" s="53">
        <f>IFERROR(IF(INDEX('Faculties'!$N$70:$N$83,MATCH($F181,'Faculties'!$B$70:$B$83,0))="","Cell will autofill based on response",INDEX('Faculties'!$N$70:$N$83,MATCH($F181,'Faculties'!$B$70:$B$83,0))),"N/A")</f>
        <v/>
      </c>
      <c r="L181" s="53">
        <f>IFERROR(IF(INDEX('CI&amp;S'!$N$10:$N$15,MATCH($F181,'CI&amp;S'!$B$10:$B$15,0))="","Cell will autofill based on response",INDEX('CI&amp;S'!$N$10:$N$15,MATCH($F181,'CI&amp;S'!$B$10:$B$15,0))),"N/A")</f>
        <v/>
      </c>
      <c r="M181" s="53">
        <f>IFERROR(IF(INDEX('CI&amp;S'!$N$22:$N$36,MATCH($F181,'CI&amp;S'!$B$22:$B$36,0))="","Cell will autofill based on response",INDEX('CI&amp;S'!$N$22:$N$36,MATCH($F181,'CI&amp;S'!$B$22:$B$36,0))),"N/A")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IFERROR(IF(INDEX('MRE'!$N$10:$N$15,MATCH($F181,'MRE'!$B$10:$B$15,0))="","Cell will autofill based on response",INDEX('MRE'!$N$10:$N$15,MATCH($F181,'MRE'!$B$10:$B$15,0))),"N/A")</f>
        <v/>
      </c>
      <c r="S181" s="53">
        <f>IFERROR(IF(INDEX('AC&amp;M'!$N$10:$N$14,MATCH($F181,'AC&amp;M'!$B$10:$B$14,0))="","Cell will autofill based on response",INDEX('AC&amp;M'!$N$10:$N$14,MATCH($F181,'AC&amp;M'!$B$10:$B$14,0))),"N/A")</f>
        <v/>
      </c>
      <c r="T181" s="53">
        <f>IFERROR(IF(INDEX('GCE'!$N$10:$N$12,MATCH($F181,'GCE'!$B$10:$B$12,0))="","Cell will autofill based on response",INDEX('GCE'!$N$10:$N$12,MATCH($F181,'GCE'!$B$10:$B$12,0))),"N/A")</f>
        <v/>
      </c>
      <c r="U181" s="53">
        <f>IFERROR(IF(INDEX('Education'!$N$10:$N$13,MATCH($F181,'Education'!$B$10:$B$13,0))="","Cell will autofill based on response",INDEX('Education'!$N$10:$N$13,MATCH($F181,'Education'!$B$10:$B$13,0))),"N/A")</f>
        <v/>
      </c>
      <c r="V181" s="53">
        <f>IFERROR(IF(INDEX('SaSS'!$N$10:$N$12,MATCH($F181,'SaSS'!$B$10:$B$12,0))="","Cell will autofill based on response",INDEX('SaSS'!$N$10:$N$12,MATCH($F181,'SaSS'!$B$10:$B$12,0))),"N/A")</f>
        <v/>
      </c>
      <c r="W181" s="53">
        <f>IFERROR(IF(INDEX('Indigenous'!$N$10:$N$11,MATCH($F181,'Indigenous'!$B$10:$B$11,0))="","Cell will autofill based on response",INDEX('Indigenous'!$N$10:$N$11,MATCH($F181,'Indigenous'!$B$10:$B$11,0))),"N/A")</f>
        <v/>
      </c>
      <c r="X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IFERROR(IF(INDEX('Faculties'!$O$10:$O$23,MATCH($F182,'Faculties'!$B$10:$B$23,0))="","Cell will autofill based on response",INDEX('Faculties'!$O$10:$O$23,MATCH($F182,'Faculties'!$B$10:$B$23,0))),"N/A")</f>
        <v/>
      </c>
      <c r="I182" s="53">
        <f>IFERROR(IF(INDEX('Faculties'!$O$30:$O$43,MATCH($F182,'Faculties'!$B$30:$B$43,0))="","Cell will autofill based on response",INDEX('Faculties'!$O$30:$O$43,MATCH($F182,'Faculties'!$B$30:$B$43,0))),"N/A")</f>
        <v/>
      </c>
      <c r="J182" s="53">
        <f>IFERROR(IF(INDEX('Faculties'!$O$50:$O$63,MATCH($F182,'Faculties'!$B$50:$B$63,0))="","Cell will autofill based on response",INDEX('Faculties'!$O$50:$O$63,MATCH($F182,'Faculties'!$B$50:$B$63,0))),"N/A")</f>
        <v/>
      </c>
      <c r="K182" s="53">
        <f>IFERROR(IF(INDEX('Faculties'!$O$70:$O$83,MATCH($F182,'Faculties'!$B$70:$B$83,0))="","Cell will autofill based on response",INDEX('Faculties'!$O$70:$O$83,MATCH($F182,'Faculties'!$B$70:$B$83,0))),"N/A")</f>
        <v/>
      </c>
      <c r="L182" s="53">
        <f>IFERROR(IF(INDEX('CI&amp;S'!$O$10:$O$15,MATCH($F182,'CI&amp;S'!$B$10:$B$15,0))="","Cell will autofill based on response",INDEX('CI&amp;S'!$O$10:$O$15,MATCH($F182,'CI&amp;S'!$B$10:$B$15,0))),"N/A")</f>
        <v/>
      </c>
      <c r="M182" s="53">
        <f>IFERROR(IF(INDEX('CI&amp;S'!$O$22:$O$36,MATCH($F182,'CI&amp;S'!$B$22:$B$36,0))="","Cell will autofill based on response",INDEX('CI&amp;S'!$O$22:$O$36,MATCH($F182,'CI&amp;S'!$B$22:$B$36,0))),"N/A")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IFERROR(IF(INDEX('MRE'!$O$10:$O$15,MATCH($F182,'MRE'!$B$10:$B$15,0))="","Cell will autofill based on response",INDEX('MRE'!$O$10:$O$15,MATCH($F182,'MRE'!$B$10:$B$15,0))),"N/A")</f>
        <v/>
      </c>
      <c r="S182" s="53">
        <f>IFERROR(IF(INDEX('AC&amp;M'!$O$10:$O$14,MATCH($F182,'AC&amp;M'!$B$10:$B$14,0))="","Cell will autofill based on response",INDEX('AC&amp;M'!$O$10:$O$14,MATCH($F182,'AC&amp;M'!$B$10:$B$14,0))),"N/A")</f>
        <v/>
      </c>
      <c r="T182" s="53">
        <f>IFERROR(IF(INDEX('GCE'!$O$10:$O$12,MATCH($F182,'GCE'!$B$10:$B$12,0))="","Cell will autofill based on response",INDEX('GCE'!$O$10:$O$12,MATCH($F182,'GCE'!$B$10:$B$12,0))),"N/A")</f>
        <v/>
      </c>
      <c r="U182" s="53">
        <f>IFERROR(IF(INDEX('Education'!$O$10:$O$13,MATCH($F182,'Education'!$B$10:$B$13,0))="","Cell will autofill based on response",INDEX('Education'!$O$10:$O$13,MATCH($F182,'Education'!$B$10:$B$13,0))),"N/A")</f>
        <v/>
      </c>
      <c r="V182" s="53">
        <f>IFERROR(IF(INDEX('SaSS'!$O$10:$O$12,MATCH($F182,'SaSS'!$B$10:$B$12,0))="","Cell will autofill based on response",INDEX('SaSS'!$O$10:$O$12,MATCH($F182,'SaSS'!$B$10:$B$12,0))),"N/A")</f>
        <v/>
      </c>
      <c r="W182" s="53">
        <f>IFERROR(IF(INDEX('Indigenous'!$O$10:$O$11,MATCH($F182,'Indigenous'!$B$10:$B$11,0))="","Cell will autofill based on response",INDEX('Indigenous'!$O$10:$O$11,MATCH($F182,'Indigenous'!$B$10:$B$11,0))),"N/A")</f>
        <v/>
      </c>
      <c r="X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IFERROR(IF(INDEX('Faculties'!$P$10:$P$23,MATCH($F183,'Faculties'!$B$10:$B$23,0))="","Cell will autofill based on response",INDEX('Faculties'!$P$10:$P$23,MATCH($F183,'Faculties'!$B$10:$B$23,0))),"N/A")</f>
        <v/>
      </c>
      <c r="I183" s="53">
        <f>IFERROR(IF(INDEX('Faculties'!$P$30:$P$43,MATCH($F183,'Faculties'!$B$30:$B$43,0))="","Cell will autofill based on response",INDEX('Faculties'!$P$30:$P$43,MATCH($F183,'Faculties'!$B$30:$B$43,0))),"N/A")</f>
        <v/>
      </c>
      <c r="J183" s="53">
        <f>IFERROR(IF(INDEX('Faculties'!$P$50:$P$63,MATCH($F183,'Faculties'!$B$50:$B$63,0))="","Cell will autofill based on response",INDEX('Faculties'!$P$50:$P$63,MATCH($F183,'Faculties'!$B$50:$B$63,0))),"N/A")</f>
        <v/>
      </c>
      <c r="K183" s="53">
        <f>IFERROR(IF(INDEX('Faculties'!$P$70:$P$83,MATCH($F183,'Faculties'!$B$70:$B$83,0))="","Cell will autofill based on response",INDEX('Faculties'!$P$70:$P$83,MATCH($F183,'Faculties'!$B$70:$B$83,0))),"N/A")</f>
        <v/>
      </c>
      <c r="L183" s="53">
        <f>IFERROR(IF(INDEX('CI&amp;S'!$P$10:$P$15,MATCH($F183,'CI&amp;S'!$B$10:$B$15,0))="","Cell will autofill based on response",INDEX('CI&amp;S'!$P$10:$P$15,MATCH($F183,'CI&amp;S'!$B$10:$B$15,0))),"N/A")</f>
        <v/>
      </c>
      <c r="M183" s="53">
        <f>IFERROR(IF(INDEX('CI&amp;S'!$P$22:$P$36,MATCH($F183,'CI&amp;S'!$B$22:$B$36,0))="","Cell will autofill based on response",INDEX('CI&amp;S'!$P$22:$P$36,MATCH($F183,'CI&amp;S'!$B$22:$B$36,0))),"N/A")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IFERROR(IF(INDEX('MRE'!$P$10:$P$15,MATCH($F183,'MRE'!$B$10:$B$15,0))="","Cell will autofill based on response",INDEX('MRE'!$P$10:$P$15,MATCH($F183,'MRE'!$B$10:$B$15,0))),"N/A")</f>
        <v/>
      </c>
      <c r="S183" s="53">
        <f>IFERROR(IF(INDEX('AC&amp;M'!$P$10:$P$14,MATCH($F183,'AC&amp;M'!$B$10:$B$14,0))="","Cell will autofill based on response",INDEX('AC&amp;M'!$P$10:$P$14,MATCH($F183,'AC&amp;M'!$B$10:$B$14,0))),"N/A")</f>
        <v/>
      </c>
      <c r="T183" s="53">
        <f>IFERROR(IF(INDEX('GCE'!$P$10:$P$12,MATCH($F183,'GCE'!$B$10:$B$12,0))="","Cell will autofill based on response",INDEX('GCE'!$P$10:$P$12,MATCH($F183,'GCE'!$B$10:$B$12,0))),"N/A")</f>
        <v/>
      </c>
      <c r="U183" s="53">
        <f>IFERROR(IF(INDEX('Education'!$P$10:$P$13,MATCH($F183,'Education'!$B$10:$B$13,0))="","Cell will autofill based on response",INDEX('Education'!$P$10:$P$13,MATCH($F183,'Education'!$B$10:$B$13,0))),"N/A")</f>
        <v/>
      </c>
      <c r="V183" s="53">
        <f>IFERROR(IF(INDEX('SaSS'!$P$10:$P$12,MATCH($F183,'SaSS'!$B$10:$B$12,0))="","Cell will autofill based on response",INDEX('SaSS'!$P$10:$P$12,MATCH($F183,'SaSS'!$B$10:$B$12,0))),"N/A")</f>
        <v/>
      </c>
      <c r="W183" s="53">
        <f>IFERROR(IF(INDEX('Indigenous'!$P$10:$P$11,MATCH($F183,'Indigenous'!$B$10:$B$11,0))="","Cell will autofill based on response",INDEX('Indigenous'!$P$10:$P$11,MATCH($F183,'Indigenous'!$B$10:$B$11,0))),"N/A")</f>
        <v/>
      </c>
      <c r="X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IFERROR(IF(INDEX('Faculties'!$Q$10:$Q$23,MATCH($F184,'Faculties'!$B$10:$B$23,0))="","Cell will autofill based on response",INDEX('Faculties'!$Q$10:$Q$23,MATCH($F184,'Faculties'!$B$10:$B$23,0))),"N/A")</f>
        <v/>
      </c>
      <c r="I184" s="53">
        <f>IFERROR(IF(INDEX('Faculties'!$Q$30:$Q$43,MATCH($F184,'Faculties'!$B$30:$B$43,0))="","Cell will autofill based on response",INDEX('Faculties'!$Q$30:$Q$43,MATCH($F184,'Faculties'!$B$30:$B$43,0))),"N/A")</f>
        <v/>
      </c>
      <c r="J184" s="53">
        <f>IFERROR(IF(INDEX('Faculties'!$Q$50:$Q$63,MATCH($F184,'Faculties'!$B$50:$B$63,0))="","Cell will autofill based on response",INDEX('Faculties'!$Q$50:$Q$63,MATCH($F184,'Faculties'!$B$50:$B$63,0))),"N/A")</f>
        <v/>
      </c>
      <c r="K184" s="53">
        <f>IFERROR(IF(INDEX('Faculties'!$Q$70:$Q$83,MATCH($F184,'Faculties'!$B$70:$B$83,0))="","Cell will autofill based on response",INDEX('Faculties'!$Q$70:$Q$83,MATCH($F184,'Faculties'!$B$70:$B$83,0))),"N/A")</f>
        <v/>
      </c>
      <c r="L184" s="53">
        <f>IFERROR(IF(INDEX('CI&amp;S'!$Q$10:$Q$15,MATCH($F184,'CI&amp;S'!$B$10:$B$15,0))="","Cell will autofill based on response",INDEX('CI&amp;S'!$Q$10:$Q$15,MATCH($F184,'CI&amp;S'!$B$10:$B$15,0))),"N/A")</f>
        <v/>
      </c>
      <c r="M184" s="53">
        <f>IFERROR(IF(INDEX('CI&amp;S'!$Q$22:$Q$36,MATCH($F184,'CI&amp;S'!$B$22:$B$36,0))="","Cell will autofill based on response",INDEX('CI&amp;S'!$Q$22:$Q$36,MATCH($F184,'CI&amp;S'!$B$22:$B$36,0))),"N/A")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IFERROR(IF(INDEX('MRE'!$Q$10:$Q$15,MATCH($F184,'MRE'!$B$10:$B$15,0))="","Cell will autofill based on response",INDEX('MRE'!$Q$10:$Q$15,MATCH($F184,'MRE'!$B$10:$B$15,0))),"N/A")</f>
        <v/>
      </c>
      <c r="S184" s="53">
        <f>IFERROR(IF(INDEX('AC&amp;M'!$Q$10:$Q$14,MATCH($F184,'AC&amp;M'!$B$10:$B$14,0))="","Cell will autofill based on response",INDEX('AC&amp;M'!$Q$10:$Q$14,MATCH($F184,'AC&amp;M'!$B$10:$B$14,0))),"N/A")</f>
        <v/>
      </c>
      <c r="T184" s="53">
        <f>IFERROR(IF(INDEX('GCE'!$Q$10:$Q$12,MATCH($F184,'GCE'!$B$10:$B$12,0))="","Cell will autofill based on response",INDEX('GCE'!$Q$10:$Q$12,MATCH($F184,'GCE'!$B$10:$B$12,0))),"N/A")</f>
        <v/>
      </c>
      <c r="U184" s="53">
        <f>IFERROR(IF(INDEX('Education'!$Q$10:$Q$13,MATCH($F184,'Education'!$B$10:$B$13,0))="","Cell will autofill based on response",INDEX('Education'!$Q$10:$Q$13,MATCH($F184,'Education'!$B$10:$B$13,0))),"N/A")</f>
        <v/>
      </c>
      <c r="V184" s="53">
        <f>IFERROR(IF(INDEX('SaSS'!$Q$10:$Q$12,MATCH($F184,'SaSS'!$B$10:$B$12,0))="","Cell will autofill based on response",INDEX('SaSS'!$Q$10:$Q$12,MATCH($F184,'SaSS'!$B$10:$B$12,0))),"N/A")</f>
        <v/>
      </c>
      <c r="W184" s="53">
        <f>IFERROR(IF(INDEX('Indigenous'!$Q$10:$Q$11,MATCH($F184,'Indigenous'!$B$10:$B$11,0))="","Cell will autofill based on response",INDEX('Indigenous'!$Q$10:$Q$11,MATCH($F184,'Indigenous'!$B$10:$B$11,0))),"N/A")</f>
        <v/>
      </c>
      <c r="X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IFERROR(IF(INDEX('Faculties'!$L$10:$L$23,MATCH($F185,'Faculties'!$B$10:$B$23,0))="","Cell will autofill based on response",INDEX('Faculties'!$L$10:$L$23,MATCH($F185,'Faculties'!$B$10:$B$23,0))),"N/A")</f>
        <v/>
      </c>
      <c r="I185" s="53">
        <f>IFERROR(IF(INDEX('Faculties'!$L$30:$L$43,MATCH($F185,'Faculties'!$B$30:$B$43,0))="","Cell will autofill based on response",INDEX('Faculties'!$L$30:$L$43,MATCH($F185,'Faculties'!$B$30:$B$43,0))),"N/A")</f>
        <v/>
      </c>
      <c r="J185" s="53">
        <f>IFERROR(IF(INDEX('Faculties'!$L$50:$L$63,MATCH($F185,'Faculties'!$B$50:$B$63,0))="","Cell will autofill based on response",INDEX('Faculties'!$L$50:$L$63,MATCH($F185,'Faculties'!$B$50:$B$63,0))),"N/A")</f>
        <v/>
      </c>
      <c r="K185" s="53">
        <f>IFERROR(IF(INDEX('Faculties'!$L$70:$L$83,MATCH($F185,'Faculties'!$B$70:$B$83,0))="","Cell will autofill based on response",INDEX('Faculties'!$L$70:$L$83,MATCH($F185,'Faculties'!$B$70:$B$83,0))),"N/A")</f>
        <v/>
      </c>
      <c r="L185" s="53">
        <f>IFERROR(IF(INDEX('CI&amp;S'!$L$10:$L$15,MATCH($F185,'CI&amp;S'!$B$10:$B$15,0))="","Cell will autofill based on response",INDEX('CI&amp;S'!$L$10:$L$15,MATCH($F185,'CI&amp;S'!$B$10:$B$15,0))),"N/A")</f>
        <v/>
      </c>
      <c r="M185" s="53">
        <f>IFERROR(IF(INDEX('CI&amp;S'!$L$22:$L$36,MATCH($F185,'CI&amp;S'!$B$22:$B$36,0))="","Cell will autofill based on response",INDEX('CI&amp;S'!$L$22:$L$36,MATCH($F185,'CI&amp;S'!$B$22:$B$36,0))),"N/A")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IFERROR(IF(INDEX('MRE'!$L$10:$L$15,MATCH($F185,'MRE'!$B$10:$B$15,0))="","Cell will autofill based on response",INDEX('MRE'!$L$10:$L$15,MATCH($F185,'MRE'!$B$10:$B$15,0))),"N/A")</f>
        <v/>
      </c>
      <c r="S185" s="53">
        <f>IFERROR(IF(INDEX('AC&amp;M'!$L$10:$L$14,MATCH($F185,'AC&amp;M'!$B$10:$B$14,0))="","Cell will autofill based on response",INDEX('AC&amp;M'!$L$10:$L$14,MATCH($F185,'AC&amp;M'!$B$10:$B$14,0))),"N/A")</f>
        <v/>
      </c>
      <c r="T185" s="53">
        <f>IFERROR(IF(INDEX('GCE'!$L$10:$L$12,MATCH($F185,'GCE'!$B$10:$B$12,0))="","Cell will autofill based on response",INDEX('GCE'!$L$10:$L$12,MATCH($F185,'GCE'!$B$10:$B$12,0))),"N/A")</f>
        <v/>
      </c>
      <c r="U185" s="53">
        <f>IFERROR(IF(INDEX('Education'!$L$10:$L$13,MATCH($F185,'Education'!$B$10:$B$13,0))="","Cell will autofill based on response",INDEX('Education'!$L$10:$L$13,MATCH($F185,'Education'!$B$10:$B$13,0))),"N/A")</f>
        <v/>
      </c>
      <c r="V185" s="53">
        <f>IFERROR(IF(INDEX('SaSS'!$L$10:$L$12,MATCH($F185,'SaSS'!$B$10:$B$12,0))="","Cell will autofill based on response",INDEX('SaSS'!$L$10:$L$12,MATCH($F185,'SaSS'!$B$10:$B$12,0))),"N/A")</f>
        <v/>
      </c>
      <c r="W185" s="53">
        <f>IFERROR(IF(INDEX('Indigenous'!$L$10:$L$11,MATCH($F185,'Indigenous'!$B$10:$B$11,0))="","Cell will autofill based on response",INDEX('Indigenous'!$L$10:$L$11,MATCH($F185,'Indigenous'!$B$10:$B$11,0))),"N/A")</f>
        <v/>
      </c>
      <c r="X185" s="53">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4">
        <f>IF(AF185&gt;0,AE185/AF185,"No valid responses to date")</f>
        <v/>
      </c>
      <c r="AH185" s="10">
        <f>IF(ISNUMBER(AG185),INDEX(Lists!$G$2:$G$5,MATCH(ROUND(AG185,0),Lists!$H$2:$H$5,0)),"")</f>
        <v/>
      </c>
      <c r="AI185" s="55">
        <f>IF(AF185&gt;0,AD185/AF185,"")</f>
        <v/>
      </c>
      <c r="AJ185" s="55">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IFERROR(IF(INDEX('Faculties'!$M$10:$M$23,MATCH($F186,'Faculties'!$B$10:$B$23,0))="","Cell will autofill based on response",INDEX('Faculties'!$M$10:$M$23,MATCH($F186,'Faculties'!$B$10:$B$23,0))),"N/A")</f>
        <v/>
      </c>
      <c r="I186" s="53">
        <f>IFERROR(IF(INDEX('Faculties'!$M$30:$M$43,MATCH($F186,'Faculties'!$B$30:$B$43,0))="","Cell will autofill based on response",INDEX('Faculties'!$M$30:$M$43,MATCH($F186,'Faculties'!$B$30:$B$43,0))),"N/A")</f>
        <v/>
      </c>
      <c r="J186" s="53">
        <f>IFERROR(IF(INDEX('Faculties'!$M$50:$M$63,MATCH($F186,'Faculties'!$B$50:$B$63,0))="","Cell will autofill based on response",INDEX('Faculties'!$M$50:$M$63,MATCH($F186,'Faculties'!$B$50:$B$63,0))),"N/A")</f>
        <v/>
      </c>
      <c r="K186" s="53">
        <f>IFERROR(IF(INDEX('Faculties'!$M$70:$M$83,MATCH($F186,'Faculties'!$B$70:$B$83,0))="","Cell will autofill based on response",INDEX('Faculties'!$M$70:$M$83,MATCH($F186,'Faculties'!$B$70:$B$83,0))),"N/A")</f>
        <v/>
      </c>
      <c r="L186" s="53">
        <f>IFERROR(IF(INDEX('CI&amp;S'!$M$10:$M$15,MATCH($F186,'CI&amp;S'!$B$10:$B$15,0))="","Cell will autofill based on response",INDEX('CI&amp;S'!$M$10:$M$15,MATCH($F186,'CI&amp;S'!$B$10:$B$15,0))),"N/A")</f>
        <v/>
      </c>
      <c r="M186" s="53">
        <f>IFERROR(IF(INDEX('CI&amp;S'!$M$22:$M$36,MATCH($F186,'CI&amp;S'!$B$22:$B$36,0))="","Cell will autofill based on response",INDEX('CI&amp;S'!$M$22:$M$36,MATCH($F186,'CI&amp;S'!$B$22:$B$36,0))),"N/A")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IFERROR(IF(INDEX('MRE'!$M$10:$M$15,MATCH($F186,'MRE'!$B$10:$B$15,0))="","Cell will autofill based on response",INDEX('MRE'!$M$10:$M$15,MATCH($F186,'MRE'!$B$10:$B$15,0))),"N/A")</f>
        <v/>
      </c>
      <c r="S186" s="53">
        <f>IFERROR(IF(INDEX('AC&amp;M'!$M$10:$M$14,MATCH($F186,'AC&amp;M'!$B$10:$B$14,0))="","Cell will autofill based on response",INDEX('AC&amp;M'!$M$10:$M$14,MATCH($F186,'AC&amp;M'!$B$10:$B$14,0))),"N/A")</f>
        <v/>
      </c>
      <c r="T186" s="53">
        <f>IFERROR(IF(INDEX('GCE'!$M$10:$M$12,MATCH($F186,'GCE'!$B$10:$B$12,0))="","Cell will autofill based on response",INDEX('GCE'!$M$10:$M$12,MATCH($F186,'GCE'!$B$10:$B$12,0))),"N/A")</f>
        <v/>
      </c>
      <c r="U186" s="53">
        <f>IFERROR(IF(INDEX('Education'!$M$10:$M$13,MATCH($F186,'Education'!$B$10:$B$13,0))="","Cell will autofill based on response",INDEX('Education'!$M$10:$M$13,MATCH($F186,'Education'!$B$10:$B$13,0))),"N/A")</f>
        <v/>
      </c>
      <c r="V186" s="53">
        <f>IFERROR(IF(INDEX('SaSS'!$M$10:$M$12,MATCH($F186,'SaSS'!$B$10:$B$12,0))="","Cell will autofill based on response",INDEX('SaSS'!$M$10:$M$12,MATCH($F186,'SaSS'!$B$10:$B$12,0))),"N/A")</f>
        <v/>
      </c>
      <c r="W186" s="53">
        <f>IFERROR(IF(INDEX('Indigenous'!$M$10:$M$11,MATCH($F186,'Indigenous'!$B$10:$B$11,0))="","Cell will autofill based on response",INDEX('Indigenous'!$M$10:$M$11,MATCH($F186,'Indigenous'!$B$10:$B$11,0))),"N/A")</f>
        <v/>
      </c>
      <c r="X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IFERROR(IF(INDEX('Faculties'!$N$10:$N$23,MATCH($F187,'Faculties'!$B$10:$B$23,0))="","Cell will autofill based on response",INDEX('Faculties'!$N$10:$N$23,MATCH($F187,'Faculties'!$B$10:$B$23,0))),"N/A")</f>
        <v/>
      </c>
      <c r="I187" s="53">
        <f>IFERROR(IF(INDEX('Faculties'!$N$30:$N$43,MATCH($F187,'Faculties'!$B$30:$B$43,0))="","Cell will autofill based on response",INDEX('Faculties'!$N$30:$N$43,MATCH($F187,'Faculties'!$B$30:$B$43,0))),"N/A")</f>
        <v/>
      </c>
      <c r="J187" s="53">
        <f>IFERROR(IF(INDEX('Faculties'!$N$50:$N$63,MATCH($F187,'Faculties'!$B$50:$B$63,0))="","Cell will autofill based on response",INDEX('Faculties'!$N$50:$N$63,MATCH($F187,'Faculties'!$B$50:$B$63,0))),"N/A")</f>
        <v/>
      </c>
      <c r="K187" s="53">
        <f>IFERROR(IF(INDEX('Faculties'!$N$70:$N$83,MATCH($F187,'Faculties'!$B$70:$B$83,0))="","Cell will autofill based on response",INDEX('Faculties'!$N$70:$N$83,MATCH($F187,'Faculties'!$B$70:$B$83,0))),"N/A")</f>
        <v/>
      </c>
      <c r="L187" s="53">
        <f>IFERROR(IF(INDEX('CI&amp;S'!$N$10:$N$15,MATCH($F187,'CI&amp;S'!$B$10:$B$15,0))="","Cell will autofill based on response",INDEX('CI&amp;S'!$N$10:$N$15,MATCH($F187,'CI&amp;S'!$B$10:$B$15,0))),"N/A")</f>
        <v/>
      </c>
      <c r="M187" s="53">
        <f>IFERROR(IF(INDEX('CI&amp;S'!$N$22:$N$36,MATCH($F187,'CI&amp;S'!$B$22:$B$36,0))="","Cell will autofill based on response",INDEX('CI&amp;S'!$N$22:$N$36,MATCH($F187,'CI&amp;S'!$B$22:$B$36,0))),"N/A")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IFERROR(IF(INDEX('MRE'!$N$10:$N$15,MATCH($F187,'MRE'!$B$10:$B$15,0))="","Cell will autofill based on response",INDEX('MRE'!$N$10:$N$15,MATCH($F187,'MRE'!$B$10:$B$15,0))),"N/A")</f>
        <v/>
      </c>
      <c r="S187" s="53">
        <f>IFERROR(IF(INDEX('AC&amp;M'!$N$10:$N$14,MATCH($F187,'AC&amp;M'!$B$10:$B$14,0))="","Cell will autofill based on response",INDEX('AC&amp;M'!$N$10:$N$14,MATCH($F187,'AC&amp;M'!$B$10:$B$14,0))),"N/A")</f>
        <v/>
      </c>
      <c r="T187" s="53">
        <f>IFERROR(IF(INDEX('GCE'!$N$10:$N$12,MATCH($F187,'GCE'!$B$10:$B$12,0))="","Cell will autofill based on response",INDEX('GCE'!$N$10:$N$12,MATCH($F187,'GCE'!$B$10:$B$12,0))),"N/A")</f>
        <v/>
      </c>
      <c r="U187" s="53">
        <f>IFERROR(IF(INDEX('Education'!$N$10:$N$13,MATCH($F187,'Education'!$B$10:$B$13,0))="","Cell will autofill based on response",INDEX('Education'!$N$10:$N$13,MATCH($F187,'Education'!$B$10:$B$13,0))),"N/A")</f>
        <v/>
      </c>
      <c r="V187" s="53">
        <f>IFERROR(IF(INDEX('SaSS'!$N$10:$N$12,MATCH($F187,'SaSS'!$B$10:$B$12,0))="","Cell will autofill based on response",INDEX('SaSS'!$N$10:$N$12,MATCH($F187,'SaSS'!$B$10:$B$12,0))),"N/A")</f>
        <v/>
      </c>
      <c r="W187" s="53">
        <f>IFERROR(IF(INDEX('Indigenous'!$N$10:$N$11,MATCH($F187,'Indigenous'!$B$10:$B$11,0))="","Cell will autofill based on response",INDEX('Indigenous'!$N$10:$N$11,MATCH($F187,'Indigenous'!$B$10:$B$11,0))),"N/A")</f>
        <v/>
      </c>
      <c r="X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IFERROR(IF(INDEX('Faculties'!$O$10:$O$23,MATCH($F188,'Faculties'!$B$10:$B$23,0))="","Cell will autofill based on response",INDEX('Faculties'!$O$10:$O$23,MATCH($F188,'Faculties'!$B$10:$B$23,0))),"N/A")</f>
        <v/>
      </c>
      <c r="I188" s="53">
        <f>IFERROR(IF(INDEX('Faculties'!$O$30:$O$43,MATCH($F188,'Faculties'!$B$30:$B$43,0))="","Cell will autofill based on response",INDEX('Faculties'!$O$30:$O$43,MATCH($F188,'Faculties'!$B$30:$B$43,0))),"N/A")</f>
        <v/>
      </c>
      <c r="J188" s="53">
        <f>IFERROR(IF(INDEX('Faculties'!$O$50:$O$63,MATCH($F188,'Faculties'!$B$50:$B$63,0))="","Cell will autofill based on response",INDEX('Faculties'!$O$50:$O$63,MATCH($F188,'Faculties'!$B$50:$B$63,0))),"N/A")</f>
        <v/>
      </c>
      <c r="K188" s="53">
        <f>IFERROR(IF(INDEX('Faculties'!$O$70:$O$83,MATCH($F188,'Faculties'!$B$70:$B$83,0))="","Cell will autofill based on response",INDEX('Faculties'!$O$70:$O$83,MATCH($F188,'Faculties'!$B$70:$B$83,0))),"N/A")</f>
        <v/>
      </c>
      <c r="L188" s="53">
        <f>IFERROR(IF(INDEX('CI&amp;S'!$O$10:$O$15,MATCH($F188,'CI&amp;S'!$B$10:$B$15,0))="","Cell will autofill based on response",INDEX('CI&amp;S'!$O$10:$O$15,MATCH($F188,'CI&amp;S'!$B$10:$B$15,0))),"N/A")</f>
        <v/>
      </c>
      <c r="M188" s="53">
        <f>IFERROR(IF(INDEX('CI&amp;S'!$O$22:$O$36,MATCH($F188,'CI&amp;S'!$B$22:$B$36,0))="","Cell will autofill based on response",INDEX('CI&amp;S'!$O$22:$O$36,MATCH($F188,'CI&amp;S'!$B$22:$B$36,0))),"N/A")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IFERROR(IF(INDEX('MRE'!$O$10:$O$15,MATCH($F188,'MRE'!$B$10:$B$15,0))="","Cell will autofill based on response",INDEX('MRE'!$O$10:$O$15,MATCH($F188,'MRE'!$B$10:$B$15,0))),"N/A")</f>
        <v/>
      </c>
      <c r="S188" s="53">
        <f>IFERROR(IF(INDEX('AC&amp;M'!$O$10:$O$14,MATCH($F188,'AC&amp;M'!$B$10:$B$14,0))="","Cell will autofill based on response",INDEX('AC&amp;M'!$O$10:$O$14,MATCH($F188,'AC&amp;M'!$B$10:$B$14,0))),"N/A")</f>
        <v/>
      </c>
      <c r="T188" s="53">
        <f>IFERROR(IF(INDEX('GCE'!$O$10:$O$12,MATCH($F188,'GCE'!$B$10:$B$12,0))="","Cell will autofill based on response",INDEX('GCE'!$O$10:$O$12,MATCH($F188,'GCE'!$B$10:$B$12,0))),"N/A")</f>
        <v/>
      </c>
      <c r="U188" s="53">
        <f>IFERROR(IF(INDEX('Education'!$O$10:$O$13,MATCH($F188,'Education'!$B$10:$B$13,0))="","Cell will autofill based on response",INDEX('Education'!$O$10:$O$13,MATCH($F188,'Education'!$B$10:$B$13,0))),"N/A")</f>
        <v/>
      </c>
      <c r="V188" s="53">
        <f>IFERROR(IF(INDEX('SaSS'!$O$10:$O$12,MATCH($F188,'SaSS'!$B$10:$B$12,0))="","Cell will autofill based on response",INDEX('SaSS'!$O$10:$O$12,MATCH($F188,'SaSS'!$B$10:$B$12,0))),"N/A")</f>
        <v/>
      </c>
      <c r="W188" s="53">
        <f>IFERROR(IF(INDEX('Indigenous'!$O$10:$O$11,MATCH($F188,'Indigenous'!$B$10:$B$11,0))="","Cell will autofill based on response",INDEX('Indigenous'!$O$10:$O$11,MATCH($F188,'Indigenous'!$B$10:$B$11,0))),"N/A")</f>
        <v/>
      </c>
      <c r="X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IFERROR(IF(INDEX('Faculties'!$P$10:$P$23,MATCH($F189,'Faculties'!$B$10:$B$23,0))="","Cell will autofill based on response",INDEX('Faculties'!$P$10:$P$23,MATCH($F189,'Faculties'!$B$10:$B$23,0))),"N/A")</f>
        <v/>
      </c>
      <c r="I189" s="53">
        <f>IFERROR(IF(INDEX('Faculties'!$P$30:$P$43,MATCH($F189,'Faculties'!$B$30:$B$43,0))="","Cell will autofill based on response",INDEX('Faculties'!$P$30:$P$43,MATCH($F189,'Faculties'!$B$30:$B$43,0))),"N/A")</f>
        <v/>
      </c>
      <c r="J189" s="53">
        <f>IFERROR(IF(INDEX('Faculties'!$P$50:$P$63,MATCH($F189,'Faculties'!$B$50:$B$63,0))="","Cell will autofill based on response",INDEX('Faculties'!$P$50:$P$63,MATCH($F189,'Faculties'!$B$50:$B$63,0))),"N/A")</f>
        <v/>
      </c>
      <c r="K189" s="53">
        <f>IFERROR(IF(INDEX('Faculties'!$P$70:$P$83,MATCH($F189,'Faculties'!$B$70:$B$83,0))="","Cell will autofill based on response",INDEX('Faculties'!$P$70:$P$83,MATCH($F189,'Faculties'!$B$70:$B$83,0))),"N/A")</f>
        <v/>
      </c>
      <c r="L189" s="53">
        <f>IFERROR(IF(INDEX('CI&amp;S'!$P$10:$P$15,MATCH($F189,'CI&amp;S'!$B$10:$B$15,0))="","Cell will autofill based on response",INDEX('CI&amp;S'!$P$10:$P$15,MATCH($F189,'CI&amp;S'!$B$10:$B$15,0))),"N/A")</f>
        <v/>
      </c>
      <c r="M189" s="53">
        <f>IFERROR(IF(INDEX('CI&amp;S'!$P$22:$P$36,MATCH($F189,'CI&amp;S'!$B$22:$B$36,0))="","Cell will autofill based on response",INDEX('CI&amp;S'!$P$22:$P$36,MATCH($F189,'CI&amp;S'!$B$22:$B$36,0))),"N/A")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IFERROR(IF(INDEX('MRE'!$P$10:$P$15,MATCH($F189,'MRE'!$B$10:$B$15,0))="","Cell will autofill based on response",INDEX('MRE'!$P$10:$P$15,MATCH($F189,'MRE'!$B$10:$B$15,0))),"N/A")</f>
        <v/>
      </c>
      <c r="S189" s="53">
        <f>IFERROR(IF(INDEX('AC&amp;M'!$P$10:$P$14,MATCH($F189,'AC&amp;M'!$B$10:$B$14,0))="","Cell will autofill based on response",INDEX('AC&amp;M'!$P$10:$P$14,MATCH($F189,'AC&amp;M'!$B$10:$B$14,0))),"N/A")</f>
        <v/>
      </c>
      <c r="T189" s="53">
        <f>IFERROR(IF(INDEX('GCE'!$P$10:$P$12,MATCH($F189,'GCE'!$B$10:$B$12,0))="","Cell will autofill based on response",INDEX('GCE'!$P$10:$P$12,MATCH($F189,'GCE'!$B$10:$B$12,0))),"N/A")</f>
        <v/>
      </c>
      <c r="U189" s="53">
        <f>IFERROR(IF(INDEX('Education'!$P$10:$P$13,MATCH($F189,'Education'!$B$10:$B$13,0))="","Cell will autofill based on response",INDEX('Education'!$P$10:$P$13,MATCH($F189,'Education'!$B$10:$B$13,0))),"N/A")</f>
        <v/>
      </c>
      <c r="V189" s="53">
        <f>IFERROR(IF(INDEX('SaSS'!$P$10:$P$12,MATCH($F189,'SaSS'!$B$10:$B$12,0))="","Cell will autofill based on response",INDEX('SaSS'!$P$10:$P$12,MATCH($F189,'SaSS'!$B$10:$B$12,0))),"N/A")</f>
        <v/>
      </c>
      <c r="W189" s="53">
        <f>IFERROR(IF(INDEX('Indigenous'!$P$10:$P$11,MATCH($F189,'Indigenous'!$B$10:$B$11,0))="","Cell will autofill based on response",INDEX('Indigenous'!$P$10:$P$11,MATCH($F189,'Indigenous'!$B$10:$B$11,0))),"N/A")</f>
        <v/>
      </c>
      <c r="X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IFERROR(IF(INDEX('Faculties'!$Q$10:$Q$23,MATCH($F190,'Faculties'!$B$10:$B$23,0))="","Cell will autofill based on response",INDEX('Faculties'!$Q$10:$Q$23,MATCH($F190,'Faculties'!$B$10:$B$23,0))),"N/A")</f>
        <v/>
      </c>
      <c r="I190" s="53">
        <f>IFERROR(IF(INDEX('Faculties'!$Q$30:$Q$43,MATCH($F190,'Faculties'!$B$30:$B$43,0))="","Cell will autofill based on response",INDEX('Faculties'!$Q$30:$Q$43,MATCH($F190,'Faculties'!$B$30:$B$43,0))),"N/A")</f>
        <v/>
      </c>
      <c r="J190" s="53">
        <f>IFERROR(IF(INDEX('Faculties'!$Q$50:$Q$63,MATCH($F190,'Faculties'!$B$50:$B$63,0))="","Cell will autofill based on response",INDEX('Faculties'!$Q$50:$Q$63,MATCH($F190,'Faculties'!$B$50:$B$63,0))),"N/A")</f>
        <v/>
      </c>
      <c r="K190" s="53">
        <f>IFERROR(IF(INDEX('Faculties'!$Q$70:$Q$83,MATCH($F190,'Faculties'!$B$70:$B$83,0))="","Cell will autofill based on response",INDEX('Faculties'!$Q$70:$Q$83,MATCH($F190,'Faculties'!$B$70:$B$83,0))),"N/A")</f>
        <v/>
      </c>
      <c r="L190" s="53">
        <f>IFERROR(IF(INDEX('CI&amp;S'!$Q$10:$Q$15,MATCH($F190,'CI&amp;S'!$B$10:$B$15,0))="","Cell will autofill based on response",INDEX('CI&amp;S'!$Q$10:$Q$15,MATCH($F190,'CI&amp;S'!$B$10:$B$15,0))),"N/A")</f>
        <v/>
      </c>
      <c r="M190" s="53">
        <f>IFERROR(IF(INDEX('CI&amp;S'!$Q$22:$Q$36,MATCH($F190,'CI&amp;S'!$B$22:$B$36,0))="","Cell will autofill based on response",INDEX('CI&amp;S'!$Q$22:$Q$36,MATCH($F190,'CI&amp;S'!$B$22:$B$36,0))),"N/A")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IFERROR(IF(INDEX('MRE'!$Q$10:$Q$15,MATCH($F190,'MRE'!$B$10:$B$15,0))="","Cell will autofill based on response",INDEX('MRE'!$Q$10:$Q$15,MATCH($F190,'MRE'!$B$10:$B$15,0))),"N/A")</f>
        <v/>
      </c>
      <c r="S190" s="53">
        <f>IFERROR(IF(INDEX('AC&amp;M'!$Q$10:$Q$14,MATCH($F190,'AC&amp;M'!$B$10:$B$14,0))="","Cell will autofill based on response",INDEX('AC&amp;M'!$Q$10:$Q$14,MATCH($F190,'AC&amp;M'!$B$10:$B$14,0))),"N/A")</f>
        <v/>
      </c>
      <c r="T190" s="53">
        <f>IFERROR(IF(INDEX('GCE'!$Q$10:$Q$12,MATCH($F190,'GCE'!$B$10:$B$12,0))="","Cell will autofill based on response",INDEX('GCE'!$Q$10:$Q$12,MATCH($F190,'GCE'!$B$10:$B$12,0))),"N/A")</f>
        <v/>
      </c>
      <c r="U190" s="53">
        <f>IFERROR(IF(INDEX('Education'!$Q$10:$Q$13,MATCH($F190,'Education'!$B$10:$B$13,0))="","Cell will autofill based on response",INDEX('Education'!$Q$10:$Q$13,MATCH($F190,'Education'!$B$10:$B$13,0))),"N/A")</f>
        <v/>
      </c>
      <c r="V190" s="53">
        <f>IFERROR(IF(INDEX('SaSS'!$Q$10:$Q$12,MATCH($F190,'SaSS'!$B$10:$B$12,0))="","Cell will autofill based on response",INDEX('SaSS'!$Q$10:$Q$12,MATCH($F190,'SaSS'!$B$10:$B$12,0))),"N/A")</f>
        <v/>
      </c>
      <c r="W190" s="53">
        <f>IFERROR(IF(INDEX('Indigenous'!$Q$10:$Q$11,MATCH($F190,'Indigenous'!$B$10:$B$11,0))="","Cell will autofill based on response",INDEX('Indigenous'!$Q$10:$Q$11,MATCH($F190,'Indigenous'!$B$10:$B$11,0))),"N/A")</f>
        <v/>
      </c>
      <c r="X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IFERROR(IF(INDEX('Faculties'!$L$10:$L$23,MATCH($F191,'Faculties'!$B$10:$B$23,0))="","Cell will autofill based on response",INDEX('Faculties'!$L$10:$L$23,MATCH($F191,'Faculties'!$B$10:$B$23,0))),"N/A")</f>
        <v/>
      </c>
      <c r="I191" s="53">
        <f>IFERROR(IF(INDEX('Faculties'!$L$30:$L$43,MATCH($F191,'Faculties'!$B$30:$B$43,0))="","Cell will autofill based on response",INDEX('Faculties'!$L$30:$L$43,MATCH($F191,'Faculties'!$B$30:$B$43,0))),"N/A")</f>
        <v/>
      </c>
      <c r="J191" s="53">
        <f>IFERROR(IF(INDEX('Faculties'!$L$50:$L$63,MATCH($F191,'Faculties'!$B$50:$B$63,0))="","Cell will autofill based on response",INDEX('Faculties'!$L$50:$L$63,MATCH($F191,'Faculties'!$B$50:$B$63,0))),"N/A")</f>
        <v/>
      </c>
      <c r="K191" s="53">
        <f>IFERROR(IF(INDEX('Faculties'!$L$70:$L$83,MATCH($F191,'Faculties'!$B$70:$B$83,0))="","Cell will autofill based on response",INDEX('Faculties'!$L$70:$L$83,MATCH($F191,'Faculties'!$B$70:$B$83,0))),"N/A")</f>
        <v/>
      </c>
      <c r="L191" s="53">
        <f>IFERROR(IF(INDEX('CI&amp;S'!$L$10:$L$15,MATCH($F191,'CI&amp;S'!$B$10:$B$15,0))="","Cell will autofill based on response",INDEX('CI&amp;S'!$L$10:$L$15,MATCH($F191,'CI&amp;S'!$B$10:$B$15,0))),"N/A")</f>
        <v/>
      </c>
      <c r="M191" s="53">
        <f>IFERROR(IF(INDEX('CI&amp;S'!$L$22:$L$36,MATCH($F191,'CI&amp;S'!$B$22:$B$36,0))="","Cell will autofill based on response",INDEX('CI&amp;S'!$L$22:$L$36,MATCH($F191,'CI&amp;S'!$B$22:$B$36,0))),"N/A")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IFERROR(IF(INDEX('MRE'!$L$10:$L$15,MATCH($F191,'MRE'!$B$10:$B$15,0))="","Cell will autofill based on response",INDEX('MRE'!$L$10:$L$15,MATCH($F191,'MRE'!$B$10:$B$15,0))),"N/A")</f>
        <v/>
      </c>
      <c r="S191" s="53">
        <f>IFERROR(IF(INDEX('AC&amp;M'!$L$10:$L$14,MATCH($F191,'AC&amp;M'!$B$10:$B$14,0))="","Cell will autofill based on response",INDEX('AC&amp;M'!$L$10:$L$14,MATCH($F191,'AC&amp;M'!$B$10:$B$14,0))),"N/A")</f>
        <v/>
      </c>
      <c r="T191" s="53">
        <f>IFERROR(IF(INDEX('GCE'!$L$10:$L$12,MATCH($F191,'GCE'!$B$10:$B$12,0))="","Cell will autofill based on response",INDEX('GCE'!$L$10:$L$12,MATCH($F191,'GCE'!$B$10:$B$12,0))),"N/A")</f>
        <v/>
      </c>
      <c r="U191" s="53">
        <f>IFERROR(IF(INDEX('Education'!$L$10:$L$13,MATCH($F191,'Education'!$B$10:$B$13,0))="","Cell will autofill based on response",INDEX('Education'!$L$10:$L$13,MATCH($F191,'Education'!$B$10:$B$13,0))),"N/A")</f>
        <v/>
      </c>
      <c r="V191" s="53">
        <f>IFERROR(IF(INDEX('SaSS'!$L$10:$L$12,MATCH($F191,'SaSS'!$B$10:$B$12,0))="","Cell will autofill based on response",INDEX('SaSS'!$L$10:$L$12,MATCH($F191,'SaSS'!$B$10:$B$12,0))),"N/A")</f>
        <v/>
      </c>
      <c r="W191" s="53">
        <f>IFERROR(IF(INDEX('Indigenous'!$L$10:$L$11,MATCH($F191,'Indigenous'!$B$10:$B$11,0))="","Cell will autofill based on response",INDEX('Indigenous'!$L$10:$L$11,MATCH($F191,'Indigenous'!$B$10:$B$11,0))),"N/A")</f>
        <v/>
      </c>
      <c r="X191" s="53">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4">
        <f>IF(AF191&gt;0,AE191/AF191,"No valid responses to date")</f>
        <v/>
      </c>
      <c r="AH191" s="10">
        <f>IF(ISNUMBER(AG191),INDEX(Lists!$G$2:$G$5,MATCH(ROUND(AG191,0),Lists!$H$2:$H$5,0)),"")</f>
        <v/>
      </c>
      <c r="AI191" s="55">
        <f>IF(AF191&gt;0,AD191/AF191,"")</f>
        <v/>
      </c>
      <c r="AJ191" s="55">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IFERROR(IF(INDEX('Faculties'!$M$10:$M$23,MATCH($F192,'Faculties'!$B$10:$B$23,0))="","Cell will autofill based on response",INDEX('Faculties'!$M$10:$M$23,MATCH($F192,'Faculties'!$B$10:$B$23,0))),"N/A")</f>
        <v/>
      </c>
      <c r="I192" s="53">
        <f>IFERROR(IF(INDEX('Faculties'!$M$30:$M$43,MATCH($F192,'Faculties'!$B$30:$B$43,0))="","Cell will autofill based on response",INDEX('Faculties'!$M$30:$M$43,MATCH($F192,'Faculties'!$B$30:$B$43,0))),"N/A")</f>
        <v/>
      </c>
      <c r="J192" s="53">
        <f>IFERROR(IF(INDEX('Faculties'!$M$50:$M$63,MATCH($F192,'Faculties'!$B$50:$B$63,0))="","Cell will autofill based on response",INDEX('Faculties'!$M$50:$M$63,MATCH($F192,'Faculties'!$B$50:$B$63,0))),"N/A")</f>
        <v/>
      </c>
      <c r="K192" s="53">
        <f>IFERROR(IF(INDEX('Faculties'!$M$70:$M$83,MATCH($F192,'Faculties'!$B$70:$B$83,0))="","Cell will autofill based on response",INDEX('Faculties'!$M$70:$M$83,MATCH($F192,'Faculties'!$B$70:$B$83,0))),"N/A")</f>
        <v/>
      </c>
      <c r="L192" s="53">
        <f>IFERROR(IF(INDEX('CI&amp;S'!$M$10:$M$15,MATCH($F192,'CI&amp;S'!$B$10:$B$15,0))="","Cell will autofill based on response",INDEX('CI&amp;S'!$M$10:$M$15,MATCH($F192,'CI&amp;S'!$B$10:$B$15,0))),"N/A")</f>
        <v/>
      </c>
      <c r="M192" s="53">
        <f>IFERROR(IF(INDEX('CI&amp;S'!$M$22:$M$36,MATCH($F192,'CI&amp;S'!$B$22:$B$36,0))="","Cell will autofill based on response",INDEX('CI&amp;S'!$M$22:$M$36,MATCH($F192,'CI&amp;S'!$B$22:$B$36,0))),"N/A")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IFERROR(IF(INDEX('MRE'!$M$10:$M$15,MATCH($F192,'MRE'!$B$10:$B$15,0))="","Cell will autofill based on response",INDEX('MRE'!$M$10:$M$15,MATCH($F192,'MRE'!$B$10:$B$15,0))),"N/A")</f>
        <v/>
      </c>
      <c r="S192" s="53">
        <f>IFERROR(IF(INDEX('AC&amp;M'!$M$10:$M$14,MATCH($F192,'AC&amp;M'!$B$10:$B$14,0))="","Cell will autofill based on response",INDEX('AC&amp;M'!$M$10:$M$14,MATCH($F192,'AC&amp;M'!$B$10:$B$14,0))),"N/A")</f>
        <v/>
      </c>
      <c r="T192" s="53">
        <f>IFERROR(IF(INDEX('GCE'!$M$10:$M$12,MATCH($F192,'GCE'!$B$10:$B$12,0))="","Cell will autofill based on response",INDEX('GCE'!$M$10:$M$12,MATCH($F192,'GCE'!$B$10:$B$12,0))),"N/A")</f>
        <v/>
      </c>
      <c r="U192" s="53">
        <f>IFERROR(IF(INDEX('Education'!$M$10:$M$13,MATCH($F192,'Education'!$B$10:$B$13,0))="","Cell will autofill based on response",INDEX('Education'!$M$10:$M$13,MATCH($F192,'Education'!$B$10:$B$13,0))),"N/A")</f>
        <v/>
      </c>
      <c r="V192" s="53">
        <f>IFERROR(IF(INDEX('SaSS'!$M$10:$M$12,MATCH($F192,'SaSS'!$B$10:$B$12,0))="","Cell will autofill based on response",INDEX('SaSS'!$M$10:$M$12,MATCH($F192,'SaSS'!$B$10:$B$12,0))),"N/A")</f>
        <v/>
      </c>
      <c r="W192" s="53">
        <f>IFERROR(IF(INDEX('Indigenous'!$M$10:$M$11,MATCH($F192,'Indigenous'!$B$10:$B$11,0))="","Cell will autofill based on response",INDEX('Indigenous'!$M$10:$M$11,MATCH($F192,'Indigenous'!$B$10:$B$11,0))),"N/A")</f>
        <v/>
      </c>
      <c r="X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IFERROR(IF(INDEX('Faculties'!$N$10:$N$23,MATCH($F193,'Faculties'!$B$10:$B$23,0))="","Cell will autofill based on response",INDEX('Faculties'!$N$10:$N$23,MATCH($F193,'Faculties'!$B$10:$B$23,0))),"N/A")</f>
        <v/>
      </c>
      <c r="I193" s="53">
        <f>IFERROR(IF(INDEX('Faculties'!$N$30:$N$43,MATCH($F193,'Faculties'!$B$30:$B$43,0))="","Cell will autofill based on response",INDEX('Faculties'!$N$30:$N$43,MATCH($F193,'Faculties'!$B$30:$B$43,0))),"N/A")</f>
        <v/>
      </c>
      <c r="J193" s="53">
        <f>IFERROR(IF(INDEX('Faculties'!$N$50:$N$63,MATCH($F193,'Faculties'!$B$50:$B$63,0))="","Cell will autofill based on response",INDEX('Faculties'!$N$50:$N$63,MATCH($F193,'Faculties'!$B$50:$B$63,0))),"N/A")</f>
        <v/>
      </c>
      <c r="K193" s="53">
        <f>IFERROR(IF(INDEX('Faculties'!$N$70:$N$83,MATCH($F193,'Faculties'!$B$70:$B$83,0))="","Cell will autofill based on response",INDEX('Faculties'!$N$70:$N$83,MATCH($F193,'Faculties'!$B$70:$B$83,0))),"N/A")</f>
        <v/>
      </c>
      <c r="L193" s="53">
        <f>IFERROR(IF(INDEX('CI&amp;S'!$N$10:$N$15,MATCH($F193,'CI&amp;S'!$B$10:$B$15,0))="","Cell will autofill based on response",INDEX('CI&amp;S'!$N$10:$N$15,MATCH($F193,'CI&amp;S'!$B$10:$B$15,0))),"N/A")</f>
        <v/>
      </c>
      <c r="M193" s="53">
        <f>IFERROR(IF(INDEX('CI&amp;S'!$N$22:$N$36,MATCH($F193,'CI&amp;S'!$B$22:$B$36,0))="","Cell will autofill based on response",INDEX('CI&amp;S'!$N$22:$N$36,MATCH($F193,'CI&amp;S'!$B$22:$B$36,0))),"N/A")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IFERROR(IF(INDEX('MRE'!$N$10:$N$15,MATCH($F193,'MRE'!$B$10:$B$15,0))="","Cell will autofill based on response",INDEX('MRE'!$N$10:$N$15,MATCH($F193,'MRE'!$B$10:$B$15,0))),"N/A")</f>
        <v/>
      </c>
      <c r="S193" s="53">
        <f>IFERROR(IF(INDEX('AC&amp;M'!$N$10:$N$14,MATCH($F193,'AC&amp;M'!$B$10:$B$14,0))="","Cell will autofill based on response",INDEX('AC&amp;M'!$N$10:$N$14,MATCH($F193,'AC&amp;M'!$B$10:$B$14,0))),"N/A")</f>
        <v/>
      </c>
      <c r="T193" s="53">
        <f>IFERROR(IF(INDEX('GCE'!$N$10:$N$12,MATCH($F193,'GCE'!$B$10:$B$12,0))="","Cell will autofill based on response",INDEX('GCE'!$N$10:$N$12,MATCH($F193,'GCE'!$B$10:$B$12,0))),"N/A")</f>
        <v/>
      </c>
      <c r="U193" s="53">
        <f>IFERROR(IF(INDEX('Education'!$N$10:$N$13,MATCH($F193,'Education'!$B$10:$B$13,0))="","Cell will autofill based on response",INDEX('Education'!$N$10:$N$13,MATCH($F193,'Education'!$B$10:$B$13,0))),"N/A")</f>
        <v/>
      </c>
      <c r="V193" s="53">
        <f>IFERROR(IF(INDEX('SaSS'!$N$10:$N$12,MATCH($F193,'SaSS'!$B$10:$B$12,0))="","Cell will autofill based on response",INDEX('SaSS'!$N$10:$N$12,MATCH($F193,'SaSS'!$B$10:$B$12,0))),"N/A")</f>
        <v/>
      </c>
      <c r="W193" s="53">
        <f>IFERROR(IF(INDEX('Indigenous'!$N$10:$N$11,MATCH($F193,'Indigenous'!$B$10:$B$11,0))="","Cell will autofill based on response",INDEX('Indigenous'!$N$10:$N$11,MATCH($F193,'Indigenous'!$B$10:$B$11,0))),"N/A")</f>
        <v/>
      </c>
      <c r="X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IFERROR(IF(INDEX('Faculties'!$O$10:$O$23,MATCH($F194,'Faculties'!$B$10:$B$23,0))="","Cell will autofill based on response",INDEX('Faculties'!$O$10:$O$23,MATCH($F194,'Faculties'!$B$10:$B$23,0))),"N/A")</f>
        <v/>
      </c>
      <c r="I194" s="53">
        <f>IFERROR(IF(INDEX('Faculties'!$O$30:$O$43,MATCH($F194,'Faculties'!$B$30:$B$43,0))="","Cell will autofill based on response",INDEX('Faculties'!$O$30:$O$43,MATCH($F194,'Faculties'!$B$30:$B$43,0))),"N/A")</f>
        <v/>
      </c>
      <c r="J194" s="53">
        <f>IFERROR(IF(INDEX('Faculties'!$O$50:$O$63,MATCH($F194,'Faculties'!$B$50:$B$63,0))="","Cell will autofill based on response",INDEX('Faculties'!$O$50:$O$63,MATCH($F194,'Faculties'!$B$50:$B$63,0))),"N/A")</f>
        <v/>
      </c>
      <c r="K194" s="53">
        <f>IFERROR(IF(INDEX('Faculties'!$O$70:$O$83,MATCH($F194,'Faculties'!$B$70:$B$83,0))="","Cell will autofill based on response",INDEX('Faculties'!$O$70:$O$83,MATCH($F194,'Faculties'!$B$70:$B$83,0))),"N/A")</f>
        <v/>
      </c>
      <c r="L194" s="53">
        <f>IFERROR(IF(INDEX('CI&amp;S'!$O$10:$O$15,MATCH($F194,'CI&amp;S'!$B$10:$B$15,0))="","Cell will autofill based on response",INDEX('CI&amp;S'!$O$10:$O$15,MATCH($F194,'CI&amp;S'!$B$10:$B$15,0))),"N/A")</f>
        <v/>
      </c>
      <c r="M194" s="53">
        <f>IFERROR(IF(INDEX('CI&amp;S'!$O$22:$O$36,MATCH($F194,'CI&amp;S'!$B$22:$B$36,0))="","Cell will autofill based on response",INDEX('CI&amp;S'!$O$22:$O$36,MATCH($F194,'CI&amp;S'!$B$22:$B$36,0))),"N/A")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IFERROR(IF(INDEX('MRE'!$O$10:$O$15,MATCH($F194,'MRE'!$B$10:$B$15,0))="","Cell will autofill based on response",INDEX('MRE'!$O$10:$O$15,MATCH($F194,'MRE'!$B$10:$B$15,0))),"N/A")</f>
        <v/>
      </c>
      <c r="S194" s="53">
        <f>IFERROR(IF(INDEX('AC&amp;M'!$O$10:$O$14,MATCH($F194,'AC&amp;M'!$B$10:$B$14,0))="","Cell will autofill based on response",INDEX('AC&amp;M'!$O$10:$O$14,MATCH($F194,'AC&amp;M'!$B$10:$B$14,0))),"N/A")</f>
        <v/>
      </c>
      <c r="T194" s="53">
        <f>IFERROR(IF(INDEX('GCE'!$O$10:$O$12,MATCH($F194,'GCE'!$B$10:$B$12,0))="","Cell will autofill based on response",INDEX('GCE'!$O$10:$O$12,MATCH($F194,'GCE'!$B$10:$B$12,0))),"N/A")</f>
        <v/>
      </c>
      <c r="U194" s="53">
        <f>IFERROR(IF(INDEX('Education'!$O$10:$O$13,MATCH($F194,'Education'!$B$10:$B$13,0))="","Cell will autofill based on response",INDEX('Education'!$O$10:$O$13,MATCH($F194,'Education'!$B$10:$B$13,0))),"N/A")</f>
        <v/>
      </c>
      <c r="V194" s="53">
        <f>IFERROR(IF(INDEX('SaSS'!$O$10:$O$12,MATCH($F194,'SaSS'!$B$10:$B$12,0))="","Cell will autofill based on response",INDEX('SaSS'!$O$10:$O$12,MATCH($F194,'SaSS'!$B$10:$B$12,0))),"N/A")</f>
        <v/>
      </c>
      <c r="W194" s="53">
        <f>IFERROR(IF(INDEX('Indigenous'!$O$10:$O$11,MATCH($F194,'Indigenous'!$B$10:$B$11,0))="","Cell will autofill based on response",INDEX('Indigenous'!$O$10:$O$11,MATCH($F194,'Indigenous'!$B$10:$B$11,0))),"N/A")</f>
        <v/>
      </c>
      <c r="X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IFERROR(IF(INDEX('Faculties'!$P$10:$P$23,MATCH($F195,'Faculties'!$B$10:$B$23,0))="","Cell will autofill based on response",INDEX('Faculties'!$P$10:$P$23,MATCH($F195,'Faculties'!$B$10:$B$23,0))),"N/A")</f>
        <v/>
      </c>
      <c r="I195" s="53">
        <f>IFERROR(IF(INDEX('Faculties'!$P$30:$P$43,MATCH($F195,'Faculties'!$B$30:$B$43,0))="","Cell will autofill based on response",INDEX('Faculties'!$P$30:$P$43,MATCH($F195,'Faculties'!$B$30:$B$43,0))),"N/A")</f>
        <v/>
      </c>
      <c r="J195" s="53">
        <f>IFERROR(IF(INDEX('Faculties'!$P$50:$P$63,MATCH($F195,'Faculties'!$B$50:$B$63,0))="","Cell will autofill based on response",INDEX('Faculties'!$P$50:$P$63,MATCH($F195,'Faculties'!$B$50:$B$63,0))),"N/A")</f>
        <v/>
      </c>
      <c r="K195" s="53">
        <f>IFERROR(IF(INDEX('Faculties'!$P$70:$P$83,MATCH($F195,'Faculties'!$B$70:$B$83,0))="","Cell will autofill based on response",INDEX('Faculties'!$P$70:$P$83,MATCH($F195,'Faculties'!$B$70:$B$83,0))),"N/A")</f>
        <v/>
      </c>
      <c r="L195" s="53">
        <f>IFERROR(IF(INDEX('CI&amp;S'!$P$10:$P$15,MATCH($F195,'CI&amp;S'!$B$10:$B$15,0))="","Cell will autofill based on response",INDEX('CI&amp;S'!$P$10:$P$15,MATCH($F195,'CI&amp;S'!$B$10:$B$15,0))),"N/A")</f>
        <v/>
      </c>
      <c r="M195" s="53">
        <f>IFERROR(IF(INDEX('CI&amp;S'!$P$22:$P$36,MATCH($F195,'CI&amp;S'!$B$22:$B$36,0))="","Cell will autofill based on response",INDEX('CI&amp;S'!$P$22:$P$36,MATCH($F195,'CI&amp;S'!$B$22:$B$36,0))),"N/A")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IFERROR(IF(INDEX('MRE'!$P$10:$P$15,MATCH($F195,'MRE'!$B$10:$B$15,0))="","Cell will autofill based on response",INDEX('MRE'!$P$10:$P$15,MATCH($F195,'MRE'!$B$10:$B$15,0))),"N/A")</f>
        <v/>
      </c>
      <c r="S195" s="53">
        <f>IFERROR(IF(INDEX('AC&amp;M'!$P$10:$P$14,MATCH($F195,'AC&amp;M'!$B$10:$B$14,0))="","Cell will autofill based on response",INDEX('AC&amp;M'!$P$10:$P$14,MATCH($F195,'AC&amp;M'!$B$10:$B$14,0))),"N/A")</f>
        <v/>
      </c>
      <c r="T195" s="53">
        <f>IFERROR(IF(INDEX('GCE'!$P$10:$P$12,MATCH($F195,'GCE'!$B$10:$B$12,0))="","Cell will autofill based on response",INDEX('GCE'!$P$10:$P$12,MATCH($F195,'GCE'!$B$10:$B$12,0))),"N/A")</f>
        <v/>
      </c>
      <c r="U195" s="53">
        <f>IFERROR(IF(INDEX('Education'!$P$10:$P$13,MATCH($F195,'Education'!$B$10:$B$13,0))="","Cell will autofill based on response",INDEX('Education'!$P$10:$P$13,MATCH($F195,'Education'!$B$10:$B$13,0))),"N/A")</f>
        <v/>
      </c>
      <c r="V195" s="53">
        <f>IFERROR(IF(INDEX('SaSS'!$P$10:$P$12,MATCH($F195,'SaSS'!$B$10:$B$12,0))="","Cell will autofill based on response",INDEX('SaSS'!$P$10:$P$12,MATCH($F195,'SaSS'!$B$10:$B$12,0))),"N/A")</f>
        <v/>
      </c>
      <c r="W195" s="53">
        <f>IFERROR(IF(INDEX('Indigenous'!$P$10:$P$11,MATCH($F195,'Indigenous'!$B$10:$B$11,0))="","Cell will autofill based on response",INDEX('Indigenous'!$P$10:$P$11,MATCH($F195,'Indigenous'!$B$10:$B$11,0))),"N/A")</f>
        <v/>
      </c>
      <c r="X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IFERROR(IF(INDEX('Faculties'!$Q$10:$Q$23,MATCH($F196,'Faculties'!$B$10:$B$23,0))="","Cell will autofill based on response",INDEX('Faculties'!$Q$10:$Q$23,MATCH($F196,'Faculties'!$B$10:$B$23,0))),"N/A")</f>
        <v/>
      </c>
      <c r="I196" s="53">
        <f>IFERROR(IF(INDEX('Faculties'!$Q$30:$Q$43,MATCH($F196,'Faculties'!$B$30:$B$43,0))="","Cell will autofill based on response",INDEX('Faculties'!$Q$30:$Q$43,MATCH($F196,'Faculties'!$B$30:$B$43,0))),"N/A")</f>
        <v/>
      </c>
      <c r="J196" s="53">
        <f>IFERROR(IF(INDEX('Faculties'!$Q$50:$Q$63,MATCH($F196,'Faculties'!$B$50:$B$63,0))="","Cell will autofill based on response",INDEX('Faculties'!$Q$50:$Q$63,MATCH($F196,'Faculties'!$B$50:$B$63,0))),"N/A")</f>
        <v/>
      </c>
      <c r="K196" s="53">
        <f>IFERROR(IF(INDEX('Faculties'!$Q$70:$Q$83,MATCH($F196,'Faculties'!$B$70:$B$83,0))="","Cell will autofill based on response",INDEX('Faculties'!$Q$70:$Q$83,MATCH($F196,'Faculties'!$B$70:$B$83,0))),"N/A")</f>
        <v/>
      </c>
      <c r="L196" s="53">
        <f>IFERROR(IF(INDEX('CI&amp;S'!$Q$10:$Q$15,MATCH($F196,'CI&amp;S'!$B$10:$B$15,0))="","Cell will autofill based on response",INDEX('CI&amp;S'!$Q$10:$Q$15,MATCH($F196,'CI&amp;S'!$B$10:$B$15,0))),"N/A")</f>
        <v/>
      </c>
      <c r="M196" s="53">
        <f>IFERROR(IF(INDEX('CI&amp;S'!$Q$22:$Q$36,MATCH($F196,'CI&amp;S'!$B$22:$B$36,0))="","Cell will autofill based on response",INDEX('CI&amp;S'!$Q$22:$Q$36,MATCH($F196,'CI&amp;S'!$B$22:$B$36,0))),"N/A")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IFERROR(IF(INDEX('MRE'!$Q$10:$Q$15,MATCH($F196,'MRE'!$B$10:$B$15,0))="","Cell will autofill based on response",INDEX('MRE'!$Q$10:$Q$15,MATCH($F196,'MRE'!$B$10:$B$15,0))),"N/A")</f>
        <v/>
      </c>
      <c r="S196" s="53">
        <f>IFERROR(IF(INDEX('AC&amp;M'!$Q$10:$Q$14,MATCH($F196,'AC&amp;M'!$B$10:$B$14,0))="","Cell will autofill based on response",INDEX('AC&amp;M'!$Q$10:$Q$14,MATCH($F196,'AC&amp;M'!$B$10:$B$14,0))),"N/A")</f>
        <v/>
      </c>
      <c r="T196" s="53">
        <f>IFERROR(IF(INDEX('GCE'!$Q$10:$Q$12,MATCH($F196,'GCE'!$B$10:$B$12,0))="","Cell will autofill based on response",INDEX('GCE'!$Q$10:$Q$12,MATCH($F196,'GCE'!$B$10:$B$12,0))),"N/A")</f>
        <v/>
      </c>
      <c r="U196" s="53">
        <f>IFERROR(IF(INDEX('Education'!$Q$10:$Q$13,MATCH($F196,'Education'!$B$10:$B$13,0))="","Cell will autofill based on response",INDEX('Education'!$Q$10:$Q$13,MATCH($F196,'Education'!$B$10:$B$13,0))),"N/A")</f>
        <v/>
      </c>
      <c r="V196" s="53">
        <f>IFERROR(IF(INDEX('SaSS'!$Q$10:$Q$12,MATCH($F196,'SaSS'!$B$10:$B$12,0))="","Cell will autofill based on response",INDEX('SaSS'!$Q$10:$Q$12,MATCH($F196,'SaSS'!$B$10:$B$12,0))),"N/A")</f>
        <v/>
      </c>
      <c r="W196" s="53">
        <f>IFERROR(IF(INDEX('Indigenous'!$Q$10:$Q$11,MATCH($F196,'Indigenous'!$B$10:$B$11,0))="","Cell will autofill based on response",INDEX('Indigenous'!$Q$10:$Q$11,MATCH($F196,'Indigenous'!$B$10:$B$11,0))),"N/A")</f>
        <v/>
      </c>
      <c r="X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IFERROR(IF(INDEX('Faculties'!$L$10:$L$23,MATCH($F197,'Faculties'!$B$10:$B$23,0))="","Cell will autofill based on response",INDEX('Faculties'!$L$10:$L$23,MATCH($F197,'Faculties'!$B$10:$B$23,0))),"N/A")</f>
        <v/>
      </c>
      <c r="I197" s="53">
        <f>IFERROR(IF(INDEX('Faculties'!$L$30:$L$43,MATCH($F197,'Faculties'!$B$30:$B$43,0))="","Cell will autofill based on response",INDEX('Faculties'!$L$30:$L$43,MATCH($F197,'Faculties'!$B$30:$B$43,0))),"N/A")</f>
        <v/>
      </c>
      <c r="J197" s="53">
        <f>IFERROR(IF(INDEX('Faculties'!$L$50:$L$63,MATCH($F197,'Faculties'!$B$50:$B$63,0))="","Cell will autofill based on response",INDEX('Faculties'!$L$50:$L$63,MATCH($F197,'Faculties'!$B$50:$B$63,0))),"N/A")</f>
        <v/>
      </c>
      <c r="K197" s="53">
        <f>IFERROR(IF(INDEX('Faculties'!$L$70:$L$83,MATCH($F197,'Faculties'!$B$70:$B$83,0))="","Cell will autofill based on response",INDEX('Faculties'!$L$70:$L$83,MATCH($F197,'Faculties'!$B$70:$B$83,0))),"N/A")</f>
        <v/>
      </c>
      <c r="L197" s="53">
        <f>IFERROR(IF(INDEX('CI&amp;S'!$L$10:$L$15,MATCH($F197,'CI&amp;S'!$B$10:$B$15,0))="","Cell will autofill based on response",INDEX('CI&amp;S'!$L$10:$L$15,MATCH($F197,'CI&amp;S'!$B$10:$B$15,0))),"N/A")</f>
        <v/>
      </c>
      <c r="M197" s="53">
        <f>IFERROR(IF(INDEX('CI&amp;S'!$L$22:$L$36,MATCH($F197,'CI&amp;S'!$B$22:$B$36,0))="","Cell will autofill based on response",INDEX('CI&amp;S'!$L$22:$L$36,MATCH($F197,'CI&amp;S'!$B$22:$B$36,0))),"N/A")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IFERROR(IF(INDEX('MRE'!$L$10:$L$15,MATCH($F197,'MRE'!$B$10:$B$15,0))="","Cell will autofill based on response",INDEX('MRE'!$L$10:$L$15,MATCH($F197,'MRE'!$B$10:$B$15,0))),"N/A")</f>
        <v/>
      </c>
      <c r="S197" s="53">
        <f>IFERROR(IF(INDEX('AC&amp;M'!$L$10:$L$14,MATCH($F197,'AC&amp;M'!$B$10:$B$14,0))="","Cell will autofill based on response",INDEX('AC&amp;M'!$L$10:$L$14,MATCH($F197,'AC&amp;M'!$B$10:$B$14,0))),"N/A")</f>
        <v/>
      </c>
      <c r="T197" s="53">
        <f>IFERROR(IF(INDEX('GCE'!$L$10:$L$12,MATCH($F197,'GCE'!$B$10:$B$12,0))="","Cell will autofill based on response",INDEX('GCE'!$L$10:$L$12,MATCH($F197,'GCE'!$B$10:$B$12,0))),"N/A")</f>
        <v/>
      </c>
      <c r="U197" s="53">
        <f>IFERROR(IF(INDEX('Education'!$L$10:$L$13,MATCH($F197,'Education'!$B$10:$B$13,0))="","Cell will autofill based on response",INDEX('Education'!$L$10:$L$13,MATCH($F197,'Education'!$B$10:$B$13,0))),"N/A")</f>
        <v/>
      </c>
      <c r="V197" s="53">
        <f>IFERROR(IF(INDEX('SaSS'!$L$10:$L$12,MATCH($F197,'SaSS'!$B$10:$B$12,0))="","Cell will autofill based on response",INDEX('SaSS'!$L$10:$L$12,MATCH($F197,'SaSS'!$B$10:$B$12,0))),"N/A")</f>
        <v/>
      </c>
      <c r="W197" s="53">
        <f>IFERROR(IF(INDEX('Indigenous'!$L$10:$L$11,MATCH($F197,'Indigenous'!$B$10:$B$11,0))="","Cell will autofill based on response",INDEX('Indigenous'!$L$10:$L$11,MATCH($F197,'Indigenous'!$B$10:$B$11,0))),"N/A")</f>
        <v/>
      </c>
      <c r="X197" s="53">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4">
        <f>IF(AF197&gt;0,AE197/AF197,"No valid responses to date")</f>
        <v/>
      </c>
      <c r="AH197" s="10">
        <f>IF(ISNUMBER(AG197),INDEX(Lists!$G$2:$G$5,MATCH(ROUND(AG197,0),Lists!$H$2:$H$5,0)),"")</f>
        <v/>
      </c>
      <c r="AI197" s="55">
        <f>IF(AF197&gt;0,AD197/AF197,"")</f>
        <v/>
      </c>
      <c r="AJ197" s="55">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IFERROR(IF(INDEX('Faculties'!$M$10:$M$23,MATCH($F198,'Faculties'!$B$10:$B$23,0))="","Cell will autofill based on response",INDEX('Faculties'!$M$10:$M$23,MATCH($F198,'Faculties'!$B$10:$B$23,0))),"N/A")</f>
        <v/>
      </c>
      <c r="I198" s="53">
        <f>IFERROR(IF(INDEX('Faculties'!$M$30:$M$43,MATCH($F198,'Faculties'!$B$30:$B$43,0))="","Cell will autofill based on response",INDEX('Faculties'!$M$30:$M$43,MATCH($F198,'Faculties'!$B$30:$B$43,0))),"N/A")</f>
        <v/>
      </c>
      <c r="J198" s="53">
        <f>IFERROR(IF(INDEX('Faculties'!$M$50:$M$63,MATCH($F198,'Faculties'!$B$50:$B$63,0))="","Cell will autofill based on response",INDEX('Faculties'!$M$50:$M$63,MATCH($F198,'Faculties'!$B$50:$B$63,0))),"N/A")</f>
        <v/>
      </c>
      <c r="K198" s="53">
        <f>IFERROR(IF(INDEX('Faculties'!$M$70:$M$83,MATCH($F198,'Faculties'!$B$70:$B$83,0))="","Cell will autofill based on response",INDEX('Faculties'!$M$70:$M$83,MATCH($F198,'Faculties'!$B$70:$B$83,0))),"N/A")</f>
        <v/>
      </c>
      <c r="L198" s="53">
        <f>IFERROR(IF(INDEX('CI&amp;S'!$M$10:$M$15,MATCH($F198,'CI&amp;S'!$B$10:$B$15,0))="","Cell will autofill based on response",INDEX('CI&amp;S'!$M$10:$M$15,MATCH($F198,'CI&amp;S'!$B$10:$B$15,0))),"N/A")</f>
        <v/>
      </c>
      <c r="M198" s="53">
        <f>IFERROR(IF(INDEX('CI&amp;S'!$M$22:$M$36,MATCH($F198,'CI&amp;S'!$B$22:$B$36,0))="","Cell will autofill based on response",INDEX('CI&amp;S'!$M$22:$M$36,MATCH($F198,'CI&amp;S'!$B$22:$B$36,0))),"N/A")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IFERROR(IF(INDEX('MRE'!$M$10:$M$15,MATCH($F198,'MRE'!$B$10:$B$15,0))="","Cell will autofill based on response",INDEX('MRE'!$M$10:$M$15,MATCH($F198,'MRE'!$B$10:$B$15,0))),"N/A")</f>
        <v/>
      </c>
      <c r="S198" s="53">
        <f>IFERROR(IF(INDEX('AC&amp;M'!$M$10:$M$14,MATCH($F198,'AC&amp;M'!$B$10:$B$14,0))="","Cell will autofill based on response",INDEX('AC&amp;M'!$M$10:$M$14,MATCH($F198,'AC&amp;M'!$B$10:$B$14,0))),"N/A")</f>
        <v/>
      </c>
      <c r="T198" s="53">
        <f>IFERROR(IF(INDEX('GCE'!$M$10:$M$12,MATCH($F198,'GCE'!$B$10:$B$12,0))="","Cell will autofill based on response",INDEX('GCE'!$M$10:$M$12,MATCH($F198,'GCE'!$B$10:$B$12,0))),"N/A")</f>
        <v/>
      </c>
      <c r="U198" s="53">
        <f>IFERROR(IF(INDEX('Education'!$M$10:$M$13,MATCH($F198,'Education'!$B$10:$B$13,0))="","Cell will autofill based on response",INDEX('Education'!$M$10:$M$13,MATCH($F198,'Education'!$B$10:$B$13,0))),"N/A")</f>
        <v/>
      </c>
      <c r="V198" s="53">
        <f>IFERROR(IF(INDEX('SaSS'!$M$10:$M$12,MATCH($F198,'SaSS'!$B$10:$B$12,0))="","Cell will autofill based on response",INDEX('SaSS'!$M$10:$M$12,MATCH($F198,'SaSS'!$B$10:$B$12,0))),"N/A")</f>
        <v/>
      </c>
      <c r="W198" s="53">
        <f>IFERROR(IF(INDEX('Indigenous'!$M$10:$M$11,MATCH($F198,'Indigenous'!$B$10:$B$11,0))="","Cell will autofill based on response",INDEX('Indigenous'!$M$10:$M$11,MATCH($F198,'Indigenous'!$B$10:$B$11,0))),"N/A")</f>
        <v/>
      </c>
      <c r="X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IFERROR(IF(INDEX('Faculties'!$N$10:$N$23,MATCH($F199,'Faculties'!$B$10:$B$23,0))="","Cell will autofill based on response",INDEX('Faculties'!$N$10:$N$23,MATCH($F199,'Faculties'!$B$10:$B$23,0))),"N/A")</f>
        <v/>
      </c>
      <c r="I199" s="53">
        <f>IFERROR(IF(INDEX('Faculties'!$N$30:$N$43,MATCH($F199,'Faculties'!$B$30:$B$43,0))="","Cell will autofill based on response",INDEX('Faculties'!$N$30:$N$43,MATCH($F199,'Faculties'!$B$30:$B$43,0))),"N/A")</f>
        <v/>
      </c>
      <c r="J199" s="53">
        <f>IFERROR(IF(INDEX('Faculties'!$N$50:$N$63,MATCH($F199,'Faculties'!$B$50:$B$63,0))="","Cell will autofill based on response",INDEX('Faculties'!$N$50:$N$63,MATCH($F199,'Faculties'!$B$50:$B$63,0))),"N/A")</f>
        <v/>
      </c>
      <c r="K199" s="53">
        <f>IFERROR(IF(INDEX('Faculties'!$N$70:$N$83,MATCH($F199,'Faculties'!$B$70:$B$83,0))="","Cell will autofill based on response",INDEX('Faculties'!$N$70:$N$83,MATCH($F199,'Faculties'!$B$70:$B$83,0))),"N/A")</f>
        <v/>
      </c>
      <c r="L199" s="53">
        <f>IFERROR(IF(INDEX('CI&amp;S'!$N$10:$N$15,MATCH($F199,'CI&amp;S'!$B$10:$B$15,0))="","Cell will autofill based on response",INDEX('CI&amp;S'!$N$10:$N$15,MATCH($F199,'CI&amp;S'!$B$10:$B$15,0))),"N/A")</f>
        <v/>
      </c>
      <c r="M199" s="53">
        <f>IFERROR(IF(INDEX('CI&amp;S'!$N$22:$N$36,MATCH($F199,'CI&amp;S'!$B$22:$B$36,0))="","Cell will autofill based on response",INDEX('CI&amp;S'!$N$22:$N$36,MATCH($F199,'CI&amp;S'!$B$22:$B$36,0))),"N/A")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IFERROR(IF(INDEX('MRE'!$N$10:$N$15,MATCH($F199,'MRE'!$B$10:$B$15,0))="","Cell will autofill based on response",INDEX('MRE'!$N$10:$N$15,MATCH($F199,'MRE'!$B$10:$B$15,0))),"N/A")</f>
        <v/>
      </c>
      <c r="S199" s="53">
        <f>IFERROR(IF(INDEX('AC&amp;M'!$N$10:$N$14,MATCH($F199,'AC&amp;M'!$B$10:$B$14,0))="","Cell will autofill based on response",INDEX('AC&amp;M'!$N$10:$N$14,MATCH($F199,'AC&amp;M'!$B$10:$B$14,0))),"N/A")</f>
        <v/>
      </c>
      <c r="T199" s="53">
        <f>IFERROR(IF(INDEX('GCE'!$N$10:$N$12,MATCH($F199,'GCE'!$B$10:$B$12,0))="","Cell will autofill based on response",INDEX('GCE'!$N$10:$N$12,MATCH($F199,'GCE'!$B$10:$B$12,0))),"N/A")</f>
        <v/>
      </c>
      <c r="U199" s="53">
        <f>IFERROR(IF(INDEX('Education'!$N$10:$N$13,MATCH($F199,'Education'!$B$10:$B$13,0))="","Cell will autofill based on response",INDEX('Education'!$N$10:$N$13,MATCH($F199,'Education'!$B$10:$B$13,0))),"N/A")</f>
        <v/>
      </c>
      <c r="V199" s="53">
        <f>IFERROR(IF(INDEX('SaSS'!$N$10:$N$12,MATCH($F199,'SaSS'!$B$10:$B$12,0))="","Cell will autofill based on response",INDEX('SaSS'!$N$10:$N$12,MATCH($F199,'SaSS'!$B$10:$B$12,0))),"N/A")</f>
        <v/>
      </c>
      <c r="W199" s="53">
        <f>IFERROR(IF(INDEX('Indigenous'!$N$10:$N$11,MATCH($F199,'Indigenous'!$B$10:$B$11,0))="","Cell will autofill based on response",INDEX('Indigenous'!$N$10:$N$11,MATCH($F199,'Indigenous'!$B$10:$B$11,0))),"N/A")</f>
        <v/>
      </c>
      <c r="X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IFERROR(IF(INDEX('Faculties'!$O$10:$O$23,MATCH($F200,'Faculties'!$B$10:$B$23,0))="","Cell will autofill based on response",INDEX('Faculties'!$O$10:$O$23,MATCH($F200,'Faculties'!$B$10:$B$23,0))),"N/A")</f>
        <v/>
      </c>
      <c r="I200" s="53">
        <f>IFERROR(IF(INDEX('Faculties'!$O$30:$O$43,MATCH($F200,'Faculties'!$B$30:$B$43,0))="","Cell will autofill based on response",INDEX('Faculties'!$O$30:$O$43,MATCH($F200,'Faculties'!$B$30:$B$43,0))),"N/A")</f>
        <v/>
      </c>
      <c r="J200" s="53">
        <f>IFERROR(IF(INDEX('Faculties'!$O$50:$O$63,MATCH($F200,'Faculties'!$B$50:$B$63,0))="","Cell will autofill based on response",INDEX('Faculties'!$O$50:$O$63,MATCH($F200,'Faculties'!$B$50:$B$63,0))),"N/A")</f>
        <v/>
      </c>
      <c r="K200" s="53">
        <f>IFERROR(IF(INDEX('Faculties'!$O$70:$O$83,MATCH($F200,'Faculties'!$B$70:$B$83,0))="","Cell will autofill based on response",INDEX('Faculties'!$O$70:$O$83,MATCH($F200,'Faculties'!$B$70:$B$83,0))),"N/A")</f>
        <v/>
      </c>
      <c r="L200" s="53">
        <f>IFERROR(IF(INDEX('CI&amp;S'!$O$10:$O$15,MATCH($F200,'CI&amp;S'!$B$10:$B$15,0))="","Cell will autofill based on response",INDEX('CI&amp;S'!$O$10:$O$15,MATCH($F200,'CI&amp;S'!$B$10:$B$15,0))),"N/A")</f>
        <v/>
      </c>
      <c r="M200" s="53">
        <f>IFERROR(IF(INDEX('CI&amp;S'!$O$22:$O$36,MATCH($F200,'CI&amp;S'!$B$22:$B$36,0))="","Cell will autofill based on response",INDEX('CI&amp;S'!$O$22:$O$36,MATCH($F200,'CI&amp;S'!$B$22:$B$36,0))),"N/A")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IFERROR(IF(INDEX('MRE'!$O$10:$O$15,MATCH($F200,'MRE'!$B$10:$B$15,0))="","Cell will autofill based on response",INDEX('MRE'!$O$10:$O$15,MATCH($F200,'MRE'!$B$10:$B$15,0))),"N/A")</f>
        <v/>
      </c>
      <c r="S200" s="53">
        <f>IFERROR(IF(INDEX('AC&amp;M'!$O$10:$O$14,MATCH($F200,'AC&amp;M'!$B$10:$B$14,0))="","Cell will autofill based on response",INDEX('AC&amp;M'!$O$10:$O$14,MATCH($F200,'AC&amp;M'!$B$10:$B$14,0))),"N/A")</f>
        <v/>
      </c>
      <c r="T200" s="53">
        <f>IFERROR(IF(INDEX('GCE'!$O$10:$O$12,MATCH($F200,'GCE'!$B$10:$B$12,0))="","Cell will autofill based on response",INDEX('GCE'!$O$10:$O$12,MATCH($F200,'GCE'!$B$10:$B$12,0))),"N/A")</f>
        <v/>
      </c>
      <c r="U200" s="53">
        <f>IFERROR(IF(INDEX('Education'!$O$10:$O$13,MATCH($F200,'Education'!$B$10:$B$13,0))="","Cell will autofill based on response",INDEX('Education'!$O$10:$O$13,MATCH($F200,'Education'!$B$10:$B$13,0))),"N/A")</f>
        <v/>
      </c>
      <c r="V200" s="53">
        <f>IFERROR(IF(INDEX('SaSS'!$O$10:$O$12,MATCH($F200,'SaSS'!$B$10:$B$12,0))="","Cell will autofill based on response",INDEX('SaSS'!$O$10:$O$12,MATCH($F200,'SaSS'!$B$10:$B$12,0))),"N/A")</f>
        <v/>
      </c>
      <c r="W200" s="53">
        <f>IFERROR(IF(INDEX('Indigenous'!$O$10:$O$11,MATCH($F200,'Indigenous'!$B$10:$B$11,0))="","Cell will autofill based on response",INDEX('Indigenous'!$O$10:$O$11,MATCH($F200,'Indigenous'!$B$10:$B$11,0))),"N/A")</f>
        <v/>
      </c>
      <c r="X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IFERROR(IF(INDEX('Faculties'!$P$10:$P$23,MATCH($F201,'Faculties'!$B$10:$B$23,0))="","Cell will autofill based on response",INDEX('Faculties'!$P$10:$P$23,MATCH($F201,'Faculties'!$B$10:$B$23,0))),"N/A")</f>
        <v/>
      </c>
      <c r="I201" s="53">
        <f>IFERROR(IF(INDEX('Faculties'!$P$30:$P$43,MATCH($F201,'Faculties'!$B$30:$B$43,0))="","Cell will autofill based on response",INDEX('Faculties'!$P$30:$P$43,MATCH($F201,'Faculties'!$B$30:$B$43,0))),"N/A")</f>
        <v/>
      </c>
      <c r="J201" s="53">
        <f>IFERROR(IF(INDEX('Faculties'!$P$50:$P$63,MATCH($F201,'Faculties'!$B$50:$B$63,0))="","Cell will autofill based on response",INDEX('Faculties'!$P$50:$P$63,MATCH($F201,'Faculties'!$B$50:$B$63,0))),"N/A")</f>
        <v/>
      </c>
      <c r="K201" s="53">
        <f>IFERROR(IF(INDEX('Faculties'!$P$70:$P$83,MATCH($F201,'Faculties'!$B$70:$B$83,0))="","Cell will autofill based on response",INDEX('Faculties'!$P$70:$P$83,MATCH($F201,'Faculties'!$B$70:$B$83,0))),"N/A")</f>
        <v/>
      </c>
      <c r="L201" s="53">
        <f>IFERROR(IF(INDEX('CI&amp;S'!$P$10:$P$15,MATCH($F201,'CI&amp;S'!$B$10:$B$15,0))="","Cell will autofill based on response",INDEX('CI&amp;S'!$P$10:$P$15,MATCH($F201,'CI&amp;S'!$B$10:$B$15,0))),"N/A")</f>
        <v/>
      </c>
      <c r="M201" s="53">
        <f>IFERROR(IF(INDEX('CI&amp;S'!$P$22:$P$36,MATCH($F201,'CI&amp;S'!$B$22:$B$36,0))="","Cell will autofill based on response",INDEX('CI&amp;S'!$P$22:$P$36,MATCH($F201,'CI&amp;S'!$B$22:$B$36,0))),"N/A")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IFERROR(IF(INDEX('MRE'!$P$10:$P$15,MATCH($F201,'MRE'!$B$10:$B$15,0))="","Cell will autofill based on response",INDEX('MRE'!$P$10:$P$15,MATCH($F201,'MRE'!$B$10:$B$15,0))),"N/A")</f>
        <v/>
      </c>
      <c r="S201" s="53">
        <f>IFERROR(IF(INDEX('AC&amp;M'!$P$10:$P$14,MATCH($F201,'AC&amp;M'!$B$10:$B$14,0))="","Cell will autofill based on response",INDEX('AC&amp;M'!$P$10:$P$14,MATCH($F201,'AC&amp;M'!$B$10:$B$14,0))),"N/A")</f>
        <v/>
      </c>
      <c r="T201" s="53">
        <f>IFERROR(IF(INDEX('GCE'!$P$10:$P$12,MATCH($F201,'GCE'!$B$10:$B$12,0))="","Cell will autofill based on response",INDEX('GCE'!$P$10:$P$12,MATCH($F201,'GCE'!$B$10:$B$12,0))),"N/A")</f>
        <v/>
      </c>
      <c r="U201" s="53">
        <f>IFERROR(IF(INDEX('Education'!$P$10:$P$13,MATCH($F201,'Education'!$B$10:$B$13,0))="","Cell will autofill based on response",INDEX('Education'!$P$10:$P$13,MATCH($F201,'Education'!$B$10:$B$13,0))),"N/A")</f>
        <v/>
      </c>
      <c r="V201" s="53">
        <f>IFERROR(IF(INDEX('SaSS'!$P$10:$P$12,MATCH($F201,'SaSS'!$B$10:$B$12,0))="","Cell will autofill based on response",INDEX('SaSS'!$P$10:$P$12,MATCH($F201,'SaSS'!$B$10:$B$12,0))),"N/A")</f>
        <v/>
      </c>
      <c r="W201" s="53">
        <f>IFERROR(IF(INDEX('Indigenous'!$P$10:$P$11,MATCH($F201,'Indigenous'!$B$10:$B$11,0))="","Cell will autofill based on response",INDEX('Indigenous'!$P$10:$P$11,MATCH($F201,'Indigenous'!$B$10:$B$11,0))),"N/A")</f>
        <v/>
      </c>
      <c r="X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IFERROR(IF(INDEX('Faculties'!$Q$10:$Q$23,MATCH($F202,'Faculties'!$B$10:$B$23,0))="","Cell will autofill based on response",INDEX('Faculties'!$Q$10:$Q$23,MATCH($F202,'Faculties'!$B$10:$B$23,0))),"N/A")</f>
        <v/>
      </c>
      <c r="I202" s="53">
        <f>IFERROR(IF(INDEX('Faculties'!$Q$30:$Q$43,MATCH($F202,'Faculties'!$B$30:$B$43,0))="","Cell will autofill based on response",INDEX('Faculties'!$Q$30:$Q$43,MATCH($F202,'Faculties'!$B$30:$B$43,0))),"N/A")</f>
        <v/>
      </c>
      <c r="J202" s="53">
        <f>IFERROR(IF(INDEX('Faculties'!$Q$50:$Q$63,MATCH($F202,'Faculties'!$B$50:$B$63,0))="","Cell will autofill based on response",INDEX('Faculties'!$Q$50:$Q$63,MATCH($F202,'Faculties'!$B$50:$B$63,0))),"N/A")</f>
        <v/>
      </c>
      <c r="K202" s="53">
        <f>IFERROR(IF(INDEX('Faculties'!$Q$70:$Q$83,MATCH($F202,'Faculties'!$B$70:$B$83,0))="","Cell will autofill based on response",INDEX('Faculties'!$Q$70:$Q$83,MATCH($F202,'Faculties'!$B$70:$B$83,0))),"N/A")</f>
        <v/>
      </c>
      <c r="L202" s="53">
        <f>IFERROR(IF(INDEX('CI&amp;S'!$Q$10:$Q$15,MATCH($F202,'CI&amp;S'!$B$10:$B$15,0))="","Cell will autofill based on response",INDEX('CI&amp;S'!$Q$10:$Q$15,MATCH($F202,'CI&amp;S'!$B$10:$B$15,0))),"N/A")</f>
        <v/>
      </c>
      <c r="M202" s="53">
        <f>IFERROR(IF(INDEX('CI&amp;S'!$Q$22:$Q$36,MATCH($F202,'CI&amp;S'!$B$22:$B$36,0))="","Cell will autofill based on response",INDEX('CI&amp;S'!$Q$22:$Q$36,MATCH($F202,'CI&amp;S'!$B$22:$B$36,0))),"N/A")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IFERROR(IF(INDEX('MRE'!$Q$10:$Q$15,MATCH($F202,'MRE'!$B$10:$B$15,0))="","Cell will autofill based on response",INDEX('MRE'!$Q$10:$Q$15,MATCH($F202,'MRE'!$B$10:$B$15,0))),"N/A")</f>
        <v/>
      </c>
      <c r="S202" s="53">
        <f>IFERROR(IF(INDEX('AC&amp;M'!$Q$10:$Q$14,MATCH($F202,'AC&amp;M'!$B$10:$B$14,0))="","Cell will autofill based on response",INDEX('AC&amp;M'!$Q$10:$Q$14,MATCH($F202,'AC&amp;M'!$B$10:$B$14,0))),"N/A")</f>
        <v/>
      </c>
      <c r="T202" s="53">
        <f>IFERROR(IF(INDEX('GCE'!$Q$10:$Q$12,MATCH($F202,'GCE'!$B$10:$B$12,0))="","Cell will autofill based on response",INDEX('GCE'!$Q$10:$Q$12,MATCH($F202,'GCE'!$B$10:$B$12,0))),"N/A")</f>
        <v/>
      </c>
      <c r="U202" s="53">
        <f>IFERROR(IF(INDEX('Education'!$Q$10:$Q$13,MATCH($F202,'Education'!$B$10:$B$13,0))="","Cell will autofill based on response",INDEX('Education'!$Q$10:$Q$13,MATCH($F202,'Education'!$B$10:$B$13,0))),"N/A")</f>
        <v/>
      </c>
      <c r="V202" s="53">
        <f>IFERROR(IF(INDEX('SaSS'!$Q$10:$Q$12,MATCH($F202,'SaSS'!$B$10:$B$12,0))="","Cell will autofill based on response",INDEX('SaSS'!$Q$10:$Q$12,MATCH($F202,'SaSS'!$B$10:$B$12,0))),"N/A")</f>
        <v/>
      </c>
      <c r="W202" s="53">
        <f>IFERROR(IF(INDEX('Indigenous'!$Q$10:$Q$11,MATCH($F202,'Indigenous'!$B$10:$B$11,0))="","Cell will autofill based on response",INDEX('Indigenous'!$Q$10:$Q$11,MATCH($F202,'Indigenous'!$B$10:$B$11,0))),"N/A")</f>
        <v/>
      </c>
      <c r="X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IFERROR(IF(INDEX('Faculties'!$L$10:$L$23,MATCH($F203,'Faculties'!$B$10:$B$23,0))="","Cell will autofill based on response",INDEX('Faculties'!$L$10:$L$23,MATCH($F203,'Faculties'!$B$10:$B$23,0))),"N/A")</f>
        <v/>
      </c>
      <c r="I203" s="53">
        <f>IFERROR(IF(INDEX('Faculties'!$L$30:$L$43,MATCH($F203,'Faculties'!$B$30:$B$43,0))="","Cell will autofill based on response",INDEX('Faculties'!$L$30:$L$43,MATCH($F203,'Faculties'!$B$30:$B$43,0))),"N/A")</f>
        <v/>
      </c>
      <c r="J203" s="53">
        <f>IFERROR(IF(INDEX('Faculties'!$L$50:$L$63,MATCH($F203,'Faculties'!$B$50:$B$63,0))="","Cell will autofill based on response",INDEX('Faculties'!$L$50:$L$63,MATCH($F203,'Faculties'!$B$50:$B$63,0))),"N/A")</f>
        <v/>
      </c>
      <c r="K203" s="53">
        <f>IFERROR(IF(INDEX('Faculties'!$L$70:$L$83,MATCH($F203,'Faculties'!$B$70:$B$83,0))="","Cell will autofill based on response",INDEX('Faculties'!$L$70:$L$83,MATCH($F203,'Faculties'!$B$70:$B$83,0))),"N/A")</f>
        <v/>
      </c>
      <c r="L203" s="53">
        <f>IFERROR(IF(INDEX('CI&amp;S'!$L$10:$L$15,MATCH($F203,'CI&amp;S'!$B$10:$B$15,0))="","Cell will autofill based on response",INDEX('CI&amp;S'!$L$10:$L$15,MATCH($F203,'CI&amp;S'!$B$10:$B$15,0))),"N/A")</f>
        <v/>
      </c>
      <c r="M203" s="53">
        <f>IFERROR(IF(INDEX('CI&amp;S'!$L$22:$L$36,MATCH($F203,'CI&amp;S'!$B$22:$B$36,0))="","Cell will autofill based on response",INDEX('CI&amp;S'!$L$22:$L$36,MATCH($F203,'CI&amp;S'!$B$22:$B$36,0))),"N/A")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IFERROR(IF(INDEX('MRE'!$L$10:$L$15,MATCH($F203,'MRE'!$B$10:$B$15,0))="","Cell will autofill based on response",INDEX('MRE'!$L$10:$L$15,MATCH($F203,'MRE'!$B$10:$B$15,0))),"N/A")</f>
        <v/>
      </c>
      <c r="S203" s="53">
        <f>IFERROR(IF(INDEX('AC&amp;M'!$L$10:$L$14,MATCH($F203,'AC&amp;M'!$B$10:$B$14,0))="","Cell will autofill based on response",INDEX('AC&amp;M'!$L$10:$L$14,MATCH($F203,'AC&amp;M'!$B$10:$B$14,0))),"N/A")</f>
        <v/>
      </c>
      <c r="T203" s="53">
        <f>IFERROR(IF(INDEX('GCE'!$L$10:$L$12,MATCH($F203,'GCE'!$B$10:$B$12,0))="","Cell will autofill based on response",INDEX('GCE'!$L$10:$L$12,MATCH($F203,'GCE'!$B$10:$B$12,0))),"N/A")</f>
        <v/>
      </c>
      <c r="U203" s="53">
        <f>IFERROR(IF(INDEX('Education'!$L$10:$L$13,MATCH($F203,'Education'!$B$10:$B$13,0))="","Cell will autofill based on response",INDEX('Education'!$L$10:$L$13,MATCH($F203,'Education'!$B$10:$B$13,0))),"N/A")</f>
        <v/>
      </c>
      <c r="V203" s="53">
        <f>IFERROR(IF(INDEX('SaSS'!$L$10:$L$12,MATCH($F203,'SaSS'!$B$10:$B$12,0))="","Cell will autofill based on response",INDEX('SaSS'!$L$10:$L$12,MATCH($F203,'SaSS'!$B$10:$B$12,0))),"N/A")</f>
        <v/>
      </c>
      <c r="W203" s="53">
        <f>IFERROR(IF(INDEX('Indigenous'!$L$10:$L$11,MATCH($F203,'Indigenous'!$B$10:$B$11,0))="","Cell will autofill based on response",INDEX('Indigenous'!$L$10:$L$11,MATCH($F203,'Indigenous'!$B$10:$B$11,0))),"N/A")</f>
        <v/>
      </c>
      <c r="X203" s="53">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4">
        <f>IF(AF203&gt;0,AE203/AF203,"No valid responses to date")</f>
        <v/>
      </c>
      <c r="AH203" s="10">
        <f>IF(ISNUMBER(AG203),INDEX(Lists!$G$2:$G$5,MATCH(ROUND(AG203,0),Lists!$H$2:$H$5,0)),"")</f>
        <v/>
      </c>
      <c r="AI203" s="55">
        <f>IF(AF203&gt;0,AD203/AF203,"")</f>
        <v/>
      </c>
      <c r="AJ203" s="55">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IFERROR(IF(INDEX('Faculties'!$M$10:$M$23,MATCH($F204,'Faculties'!$B$10:$B$23,0))="","Cell will autofill based on response",INDEX('Faculties'!$M$10:$M$23,MATCH($F204,'Faculties'!$B$10:$B$23,0))),"N/A")</f>
        <v/>
      </c>
      <c r="I204" s="53">
        <f>IFERROR(IF(INDEX('Faculties'!$M$30:$M$43,MATCH($F204,'Faculties'!$B$30:$B$43,0))="","Cell will autofill based on response",INDEX('Faculties'!$M$30:$M$43,MATCH($F204,'Faculties'!$B$30:$B$43,0))),"N/A")</f>
        <v/>
      </c>
      <c r="J204" s="53">
        <f>IFERROR(IF(INDEX('Faculties'!$M$50:$M$63,MATCH($F204,'Faculties'!$B$50:$B$63,0))="","Cell will autofill based on response",INDEX('Faculties'!$M$50:$M$63,MATCH($F204,'Faculties'!$B$50:$B$63,0))),"N/A")</f>
        <v/>
      </c>
      <c r="K204" s="53">
        <f>IFERROR(IF(INDEX('Faculties'!$M$70:$M$83,MATCH($F204,'Faculties'!$B$70:$B$83,0))="","Cell will autofill based on response",INDEX('Faculties'!$M$70:$M$83,MATCH($F204,'Faculties'!$B$70:$B$83,0))),"N/A")</f>
        <v/>
      </c>
      <c r="L204" s="53">
        <f>IFERROR(IF(INDEX('CI&amp;S'!$M$10:$M$15,MATCH($F204,'CI&amp;S'!$B$10:$B$15,0))="","Cell will autofill based on response",INDEX('CI&amp;S'!$M$10:$M$15,MATCH($F204,'CI&amp;S'!$B$10:$B$15,0))),"N/A")</f>
        <v/>
      </c>
      <c r="M204" s="53">
        <f>IFERROR(IF(INDEX('CI&amp;S'!$M$22:$M$36,MATCH($F204,'CI&amp;S'!$B$22:$B$36,0))="","Cell will autofill based on response",INDEX('CI&amp;S'!$M$22:$M$36,MATCH($F204,'CI&amp;S'!$B$22:$B$36,0))),"N/A")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IFERROR(IF(INDEX('MRE'!$M$10:$M$15,MATCH($F204,'MRE'!$B$10:$B$15,0))="","Cell will autofill based on response",INDEX('MRE'!$M$10:$M$15,MATCH($F204,'MRE'!$B$10:$B$15,0))),"N/A")</f>
        <v/>
      </c>
      <c r="S204" s="53">
        <f>IFERROR(IF(INDEX('AC&amp;M'!$M$10:$M$14,MATCH($F204,'AC&amp;M'!$B$10:$B$14,0))="","Cell will autofill based on response",INDEX('AC&amp;M'!$M$10:$M$14,MATCH($F204,'AC&amp;M'!$B$10:$B$14,0))),"N/A")</f>
        <v/>
      </c>
      <c r="T204" s="53">
        <f>IFERROR(IF(INDEX('GCE'!$M$10:$M$12,MATCH($F204,'GCE'!$B$10:$B$12,0))="","Cell will autofill based on response",INDEX('GCE'!$M$10:$M$12,MATCH($F204,'GCE'!$B$10:$B$12,0))),"N/A")</f>
        <v/>
      </c>
      <c r="U204" s="53">
        <f>IFERROR(IF(INDEX('Education'!$M$10:$M$13,MATCH($F204,'Education'!$B$10:$B$13,0))="","Cell will autofill based on response",INDEX('Education'!$M$10:$M$13,MATCH($F204,'Education'!$B$10:$B$13,0))),"N/A")</f>
        <v/>
      </c>
      <c r="V204" s="53">
        <f>IFERROR(IF(INDEX('SaSS'!$M$10:$M$12,MATCH($F204,'SaSS'!$B$10:$B$12,0))="","Cell will autofill based on response",INDEX('SaSS'!$M$10:$M$12,MATCH($F204,'SaSS'!$B$10:$B$12,0))),"N/A")</f>
        <v/>
      </c>
      <c r="W204" s="53">
        <f>IFERROR(IF(INDEX('Indigenous'!$M$10:$M$11,MATCH($F204,'Indigenous'!$B$10:$B$11,0))="","Cell will autofill based on response",INDEX('Indigenous'!$M$10:$M$11,MATCH($F204,'Indigenous'!$B$10:$B$11,0))),"N/A")</f>
        <v/>
      </c>
      <c r="X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IFERROR(IF(INDEX('Faculties'!$N$10:$N$23,MATCH($F205,'Faculties'!$B$10:$B$23,0))="","Cell will autofill based on response",INDEX('Faculties'!$N$10:$N$23,MATCH($F205,'Faculties'!$B$10:$B$23,0))),"N/A")</f>
        <v/>
      </c>
      <c r="I205" s="53">
        <f>IFERROR(IF(INDEX('Faculties'!$N$30:$N$43,MATCH($F205,'Faculties'!$B$30:$B$43,0))="","Cell will autofill based on response",INDEX('Faculties'!$N$30:$N$43,MATCH($F205,'Faculties'!$B$30:$B$43,0))),"N/A")</f>
        <v/>
      </c>
      <c r="J205" s="53">
        <f>IFERROR(IF(INDEX('Faculties'!$N$50:$N$63,MATCH($F205,'Faculties'!$B$50:$B$63,0))="","Cell will autofill based on response",INDEX('Faculties'!$N$50:$N$63,MATCH($F205,'Faculties'!$B$50:$B$63,0))),"N/A")</f>
        <v/>
      </c>
      <c r="K205" s="53">
        <f>IFERROR(IF(INDEX('Faculties'!$N$70:$N$83,MATCH($F205,'Faculties'!$B$70:$B$83,0))="","Cell will autofill based on response",INDEX('Faculties'!$N$70:$N$83,MATCH($F205,'Faculties'!$B$70:$B$83,0))),"N/A")</f>
        <v/>
      </c>
      <c r="L205" s="53">
        <f>IFERROR(IF(INDEX('CI&amp;S'!$N$10:$N$15,MATCH($F205,'CI&amp;S'!$B$10:$B$15,0))="","Cell will autofill based on response",INDEX('CI&amp;S'!$N$10:$N$15,MATCH($F205,'CI&amp;S'!$B$10:$B$15,0))),"N/A")</f>
        <v/>
      </c>
      <c r="M205" s="53">
        <f>IFERROR(IF(INDEX('CI&amp;S'!$N$22:$N$36,MATCH($F205,'CI&amp;S'!$B$22:$B$36,0))="","Cell will autofill based on response",INDEX('CI&amp;S'!$N$22:$N$36,MATCH($F205,'CI&amp;S'!$B$22:$B$36,0))),"N/A")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IFERROR(IF(INDEX('MRE'!$N$10:$N$15,MATCH($F205,'MRE'!$B$10:$B$15,0))="","Cell will autofill based on response",INDEX('MRE'!$N$10:$N$15,MATCH($F205,'MRE'!$B$10:$B$15,0))),"N/A")</f>
        <v/>
      </c>
      <c r="S205" s="53">
        <f>IFERROR(IF(INDEX('AC&amp;M'!$N$10:$N$14,MATCH($F205,'AC&amp;M'!$B$10:$B$14,0))="","Cell will autofill based on response",INDEX('AC&amp;M'!$N$10:$N$14,MATCH($F205,'AC&amp;M'!$B$10:$B$14,0))),"N/A")</f>
        <v/>
      </c>
      <c r="T205" s="53">
        <f>IFERROR(IF(INDEX('GCE'!$N$10:$N$12,MATCH($F205,'GCE'!$B$10:$B$12,0))="","Cell will autofill based on response",INDEX('GCE'!$N$10:$N$12,MATCH($F205,'GCE'!$B$10:$B$12,0))),"N/A")</f>
        <v/>
      </c>
      <c r="U205" s="53">
        <f>IFERROR(IF(INDEX('Education'!$N$10:$N$13,MATCH($F205,'Education'!$B$10:$B$13,0))="","Cell will autofill based on response",INDEX('Education'!$N$10:$N$13,MATCH($F205,'Education'!$B$10:$B$13,0))),"N/A")</f>
        <v/>
      </c>
      <c r="V205" s="53">
        <f>IFERROR(IF(INDEX('SaSS'!$N$10:$N$12,MATCH($F205,'SaSS'!$B$10:$B$12,0))="","Cell will autofill based on response",INDEX('SaSS'!$N$10:$N$12,MATCH($F205,'SaSS'!$B$10:$B$12,0))),"N/A")</f>
        <v/>
      </c>
      <c r="W205" s="53">
        <f>IFERROR(IF(INDEX('Indigenous'!$N$10:$N$11,MATCH($F205,'Indigenous'!$B$10:$B$11,0))="","Cell will autofill based on response",INDEX('Indigenous'!$N$10:$N$11,MATCH($F205,'Indigenous'!$B$10:$B$11,0))),"N/A")</f>
        <v/>
      </c>
      <c r="X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IFERROR(IF(INDEX('Faculties'!$O$10:$O$23,MATCH($F206,'Faculties'!$B$10:$B$23,0))="","Cell will autofill based on response",INDEX('Faculties'!$O$10:$O$23,MATCH($F206,'Faculties'!$B$10:$B$23,0))),"N/A")</f>
        <v/>
      </c>
      <c r="I206" s="53">
        <f>IFERROR(IF(INDEX('Faculties'!$O$30:$O$43,MATCH($F206,'Faculties'!$B$30:$B$43,0))="","Cell will autofill based on response",INDEX('Faculties'!$O$30:$O$43,MATCH($F206,'Faculties'!$B$30:$B$43,0))),"N/A")</f>
        <v/>
      </c>
      <c r="J206" s="53">
        <f>IFERROR(IF(INDEX('Faculties'!$O$50:$O$63,MATCH($F206,'Faculties'!$B$50:$B$63,0))="","Cell will autofill based on response",INDEX('Faculties'!$O$50:$O$63,MATCH($F206,'Faculties'!$B$50:$B$63,0))),"N/A")</f>
        <v/>
      </c>
      <c r="K206" s="53">
        <f>IFERROR(IF(INDEX('Faculties'!$O$70:$O$83,MATCH($F206,'Faculties'!$B$70:$B$83,0))="","Cell will autofill based on response",INDEX('Faculties'!$O$70:$O$83,MATCH($F206,'Faculties'!$B$70:$B$83,0))),"N/A")</f>
        <v/>
      </c>
      <c r="L206" s="53">
        <f>IFERROR(IF(INDEX('CI&amp;S'!$O$10:$O$15,MATCH($F206,'CI&amp;S'!$B$10:$B$15,0))="","Cell will autofill based on response",INDEX('CI&amp;S'!$O$10:$O$15,MATCH($F206,'CI&amp;S'!$B$10:$B$15,0))),"N/A")</f>
        <v/>
      </c>
      <c r="M206" s="53">
        <f>IFERROR(IF(INDEX('CI&amp;S'!$O$22:$O$36,MATCH($F206,'CI&amp;S'!$B$22:$B$36,0))="","Cell will autofill based on response",INDEX('CI&amp;S'!$O$22:$O$36,MATCH($F206,'CI&amp;S'!$B$22:$B$36,0))),"N/A")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IFERROR(IF(INDEX('MRE'!$O$10:$O$15,MATCH($F206,'MRE'!$B$10:$B$15,0))="","Cell will autofill based on response",INDEX('MRE'!$O$10:$O$15,MATCH($F206,'MRE'!$B$10:$B$15,0))),"N/A")</f>
        <v/>
      </c>
      <c r="S206" s="53">
        <f>IFERROR(IF(INDEX('AC&amp;M'!$O$10:$O$14,MATCH($F206,'AC&amp;M'!$B$10:$B$14,0))="","Cell will autofill based on response",INDEX('AC&amp;M'!$O$10:$O$14,MATCH($F206,'AC&amp;M'!$B$10:$B$14,0))),"N/A")</f>
        <v/>
      </c>
      <c r="T206" s="53">
        <f>IFERROR(IF(INDEX('GCE'!$O$10:$O$12,MATCH($F206,'GCE'!$B$10:$B$12,0))="","Cell will autofill based on response",INDEX('GCE'!$O$10:$O$12,MATCH($F206,'GCE'!$B$10:$B$12,0))),"N/A")</f>
        <v/>
      </c>
      <c r="U206" s="53">
        <f>IFERROR(IF(INDEX('Education'!$O$10:$O$13,MATCH($F206,'Education'!$B$10:$B$13,0))="","Cell will autofill based on response",INDEX('Education'!$O$10:$O$13,MATCH($F206,'Education'!$B$10:$B$13,0))),"N/A")</f>
        <v/>
      </c>
      <c r="V206" s="53">
        <f>IFERROR(IF(INDEX('SaSS'!$O$10:$O$12,MATCH($F206,'SaSS'!$B$10:$B$12,0))="","Cell will autofill based on response",INDEX('SaSS'!$O$10:$O$12,MATCH($F206,'SaSS'!$B$10:$B$12,0))),"N/A")</f>
        <v/>
      </c>
      <c r="W206" s="53">
        <f>IFERROR(IF(INDEX('Indigenous'!$O$10:$O$11,MATCH($F206,'Indigenous'!$B$10:$B$11,0))="","Cell will autofill based on response",INDEX('Indigenous'!$O$10:$O$11,MATCH($F206,'Indigenous'!$B$10:$B$11,0))),"N/A")</f>
        <v/>
      </c>
      <c r="X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IFERROR(IF(INDEX('Faculties'!$P$10:$P$23,MATCH($F207,'Faculties'!$B$10:$B$23,0))="","Cell will autofill based on response",INDEX('Faculties'!$P$10:$P$23,MATCH($F207,'Faculties'!$B$10:$B$23,0))),"N/A")</f>
        <v/>
      </c>
      <c r="I207" s="53">
        <f>IFERROR(IF(INDEX('Faculties'!$P$30:$P$43,MATCH($F207,'Faculties'!$B$30:$B$43,0))="","Cell will autofill based on response",INDEX('Faculties'!$P$30:$P$43,MATCH($F207,'Faculties'!$B$30:$B$43,0))),"N/A")</f>
        <v/>
      </c>
      <c r="J207" s="53">
        <f>IFERROR(IF(INDEX('Faculties'!$P$50:$P$63,MATCH($F207,'Faculties'!$B$50:$B$63,0))="","Cell will autofill based on response",INDEX('Faculties'!$P$50:$P$63,MATCH($F207,'Faculties'!$B$50:$B$63,0))),"N/A")</f>
        <v/>
      </c>
      <c r="K207" s="53">
        <f>IFERROR(IF(INDEX('Faculties'!$P$70:$P$83,MATCH($F207,'Faculties'!$B$70:$B$83,0))="","Cell will autofill based on response",INDEX('Faculties'!$P$70:$P$83,MATCH($F207,'Faculties'!$B$70:$B$83,0))),"N/A")</f>
        <v/>
      </c>
      <c r="L207" s="53">
        <f>IFERROR(IF(INDEX('CI&amp;S'!$P$10:$P$15,MATCH($F207,'CI&amp;S'!$B$10:$B$15,0))="","Cell will autofill based on response",INDEX('CI&amp;S'!$P$10:$P$15,MATCH($F207,'CI&amp;S'!$B$10:$B$15,0))),"N/A")</f>
        <v/>
      </c>
      <c r="M207" s="53">
        <f>IFERROR(IF(INDEX('CI&amp;S'!$P$22:$P$36,MATCH($F207,'CI&amp;S'!$B$22:$B$36,0))="","Cell will autofill based on response",INDEX('CI&amp;S'!$P$22:$P$36,MATCH($F207,'CI&amp;S'!$B$22:$B$36,0))),"N/A")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IFERROR(IF(INDEX('MRE'!$P$10:$P$15,MATCH($F207,'MRE'!$B$10:$B$15,0))="","Cell will autofill based on response",INDEX('MRE'!$P$10:$P$15,MATCH($F207,'MRE'!$B$10:$B$15,0))),"N/A")</f>
        <v/>
      </c>
      <c r="S207" s="53">
        <f>IFERROR(IF(INDEX('AC&amp;M'!$P$10:$P$14,MATCH($F207,'AC&amp;M'!$B$10:$B$14,0))="","Cell will autofill based on response",INDEX('AC&amp;M'!$P$10:$P$14,MATCH($F207,'AC&amp;M'!$B$10:$B$14,0))),"N/A")</f>
        <v/>
      </c>
      <c r="T207" s="53">
        <f>IFERROR(IF(INDEX('GCE'!$P$10:$P$12,MATCH($F207,'GCE'!$B$10:$B$12,0))="","Cell will autofill based on response",INDEX('GCE'!$P$10:$P$12,MATCH($F207,'GCE'!$B$10:$B$12,0))),"N/A")</f>
        <v/>
      </c>
      <c r="U207" s="53">
        <f>IFERROR(IF(INDEX('Education'!$P$10:$P$13,MATCH($F207,'Education'!$B$10:$B$13,0))="","Cell will autofill based on response",INDEX('Education'!$P$10:$P$13,MATCH($F207,'Education'!$B$10:$B$13,0))),"N/A")</f>
        <v/>
      </c>
      <c r="V207" s="53">
        <f>IFERROR(IF(INDEX('SaSS'!$P$10:$P$12,MATCH($F207,'SaSS'!$B$10:$B$12,0))="","Cell will autofill based on response",INDEX('SaSS'!$P$10:$P$12,MATCH($F207,'SaSS'!$B$10:$B$12,0))),"N/A")</f>
        <v/>
      </c>
      <c r="W207" s="53">
        <f>IFERROR(IF(INDEX('Indigenous'!$P$10:$P$11,MATCH($F207,'Indigenous'!$B$10:$B$11,0))="","Cell will autofill based on response",INDEX('Indigenous'!$P$10:$P$11,MATCH($F207,'Indigenous'!$B$10:$B$11,0))),"N/A")</f>
        <v/>
      </c>
      <c r="X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IFERROR(IF(INDEX('Faculties'!$Q$10:$Q$23,MATCH($F208,'Faculties'!$B$10:$B$23,0))="","Cell will autofill based on response",INDEX('Faculties'!$Q$10:$Q$23,MATCH($F208,'Faculties'!$B$10:$B$23,0))),"N/A")</f>
        <v/>
      </c>
      <c r="I208" s="53">
        <f>IFERROR(IF(INDEX('Faculties'!$Q$30:$Q$43,MATCH($F208,'Faculties'!$B$30:$B$43,0))="","Cell will autofill based on response",INDEX('Faculties'!$Q$30:$Q$43,MATCH($F208,'Faculties'!$B$30:$B$43,0))),"N/A")</f>
        <v/>
      </c>
      <c r="J208" s="53">
        <f>IFERROR(IF(INDEX('Faculties'!$Q$50:$Q$63,MATCH($F208,'Faculties'!$B$50:$B$63,0))="","Cell will autofill based on response",INDEX('Faculties'!$Q$50:$Q$63,MATCH($F208,'Faculties'!$B$50:$B$63,0))),"N/A")</f>
        <v/>
      </c>
      <c r="K208" s="53">
        <f>IFERROR(IF(INDEX('Faculties'!$Q$70:$Q$83,MATCH($F208,'Faculties'!$B$70:$B$83,0))="","Cell will autofill based on response",INDEX('Faculties'!$Q$70:$Q$83,MATCH($F208,'Faculties'!$B$70:$B$83,0))),"N/A")</f>
        <v/>
      </c>
      <c r="L208" s="53">
        <f>IFERROR(IF(INDEX('CI&amp;S'!$Q$10:$Q$15,MATCH($F208,'CI&amp;S'!$B$10:$B$15,0))="","Cell will autofill based on response",INDEX('CI&amp;S'!$Q$10:$Q$15,MATCH($F208,'CI&amp;S'!$B$10:$B$15,0))),"N/A")</f>
        <v/>
      </c>
      <c r="M208" s="53">
        <f>IFERROR(IF(INDEX('CI&amp;S'!$Q$22:$Q$36,MATCH($F208,'CI&amp;S'!$B$22:$B$36,0))="","Cell will autofill based on response",INDEX('CI&amp;S'!$Q$22:$Q$36,MATCH($F208,'CI&amp;S'!$B$22:$B$36,0))),"N/A")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IFERROR(IF(INDEX('MRE'!$Q$10:$Q$15,MATCH($F208,'MRE'!$B$10:$B$15,0))="","Cell will autofill based on response",INDEX('MRE'!$Q$10:$Q$15,MATCH($F208,'MRE'!$B$10:$B$15,0))),"N/A")</f>
        <v/>
      </c>
      <c r="S208" s="53">
        <f>IFERROR(IF(INDEX('AC&amp;M'!$Q$10:$Q$14,MATCH($F208,'AC&amp;M'!$B$10:$B$14,0))="","Cell will autofill based on response",INDEX('AC&amp;M'!$Q$10:$Q$14,MATCH($F208,'AC&amp;M'!$B$10:$B$14,0))),"N/A")</f>
        <v/>
      </c>
      <c r="T208" s="53">
        <f>IFERROR(IF(INDEX('GCE'!$Q$10:$Q$12,MATCH($F208,'GCE'!$B$10:$B$12,0))="","Cell will autofill based on response",INDEX('GCE'!$Q$10:$Q$12,MATCH($F208,'GCE'!$B$10:$B$12,0))),"N/A")</f>
        <v/>
      </c>
      <c r="U208" s="53">
        <f>IFERROR(IF(INDEX('Education'!$Q$10:$Q$13,MATCH($F208,'Education'!$B$10:$B$13,0))="","Cell will autofill based on response",INDEX('Education'!$Q$10:$Q$13,MATCH($F208,'Education'!$B$10:$B$13,0))),"N/A")</f>
        <v/>
      </c>
      <c r="V208" s="53">
        <f>IFERROR(IF(INDEX('SaSS'!$Q$10:$Q$12,MATCH($F208,'SaSS'!$B$10:$B$12,0))="","Cell will autofill based on response",INDEX('SaSS'!$Q$10:$Q$12,MATCH($F208,'SaSS'!$B$10:$B$12,0))),"N/A")</f>
        <v/>
      </c>
      <c r="W208" s="53">
        <f>IFERROR(IF(INDEX('Indigenous'!$Q$10:$Q$11,MATCH($F208,'Indigenous'!$B$10:$B$11,0))="","Cell will autofill based on response",INDEX('Indigenous'!$Q$10:$Q$11,MATCH($F208,'Indigenous'!$B$10:$B$11,0))),"N/A")</f>
        <v/>
      </c>
      <c r="X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IFERROR(IF(INDEX('Faculties'!$L$10:$L$23,MATCH($F209,'Faculties'!$B$10:$B$23,0))="","Cell will autofill based on response",INDEX('Faculties'!$L$10:$L$23,MATCH($F209,'Faculties'!$B$10:$B$23,0))),"N/A")</f>
        <v/>
      </c>
      <c r="I209" s="53">
        <f>IFERROR(IF(INDEX('Faculties'!$L$30:$L$43,MATCH($F209,'Faculties'!$B$30:$B$43,0))="","Cell will autofill based on response",INDEX('Faculties'!$L$30:$L$43,MATCH($F209,'Faculties'!$B$30:$B$43,0))),"N/A")</f>
        <v/>
      </c>
      <c r="J209" s="53">
        <f>IFERROR(IF(INDEX('Faculties'!$L$50:$L$63,MATCH($F209,'Faculties'!$B$50:$B$63,0))="","Cell will autofill based on response",INDEX('Faculties'!$L$50:$L$63,MATCH($F209,'Faculties'!$B$50:$B$63,0))),"N/A")</f>
        <v/>
      </c>
      <c r="K209" s="53">
        <f>IFERROR(IF(INDEX('Faculties'!$L$70:$L$83,MATCH($F209,'Faculties'!$B$70:$B$83,0))="","Cell will autofill based on response",INDEX('Faculties'!$L$70:$L$83,MATCH($F209,'Faculties'!$B$70:$B$83,0))),"N/A")</f>
        <v/>
      </c>
      <c r="L209" s="53">
        <f>IFERROR(IF(INDEX('CI&amp;S'!$L$10:$L$15,MATCH($F209,'CI&amp;S'!$B$10:$B$15,0))="","Cell will autofill based on response",INDEX('CI&amp;S'!$L$10:$L$15,MATCH($F209,'CI&amp;S'!$B$10:$B$15,0))),"N/A")</f>
        <v/>
      </c>
      <c r="M209" s="53">
        <f>IFERROR(IF(INDEX('CI&amp;S'!$L$22:$L$36,MATCH($F209,'CI&amp;S'!$B$22:$B$36,0))="","Cell will autofill based on response",INDEX('CI&amp;S'!$L$22:$L$36,MATCH($F209,'CI&amp;S'!$B$22:$B$36,0))),"N/A")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IFERROR(IF(INDEX('MRE'!$L$10:$L$15,MATCH($F209,'MRE'!$B$10:$B$15,0))="","Cell will autofill based on response",INDEX('MRE'!$L$10:$L$15,MATCH($F209,'MRE'!$B$10:$B$15,0))),"N/A")</f>
        <v/>
      </c>
      <c r="S209" s="53">
        <f>IFERROR(IF(INDEX('AC&amp;M'!$L$10:$L$14,MATCH($F209,'AC&amp;M'!$B$10:$B$14,0))="","Cell will autofill based on response",INDEX('AC&amp;M'!$L$10:$L$14,MATCH($F209,'AC&amp;M'!$B$10:$B$14,0))),"N/A")</f>
        <v/>
      </c>
      <c r="T209" s="53">
        <f>IFERROR(IF(INDEX('GCE'!$L$10:$L$12,MATCH($F209,'GCE'!$B$10:$B$12,0))="","Cell will autofill based on response",INDEX('GCE'!$L$10:$L$12,MATCH($F209,'GCE'!$B$10:$B$12,0))),"N/A")</f>
        <v/>
      </c>
      <c r="U209" s="53">
        <f>IFERROR(IF(INDEX('Education'!$L$10:$L$13,MATCH($F209,'Education'!$B$10:$B$13,0))="","Cell will autofill based on response",INDEX('Education'!$L$10:$L$13,MATCH($F209,'Education'!$B$10:$B$13,0))),"N/A")</f>
        <v/>
      </c>
      <c r="V209" s="53">
        <f>IFERROR(IF(INDEX('SaSS'!$L$10:$L$12,MATCH($F209,'SaSS'!$B$10:$B$12,0))="","Cell will autofill based on response",INDEX('SaSS'!$L$10:$L$12,MATCH($F209,'SaSS'!$B$10:$B$12,0))),"N/A")</f>
        <v/>
      </c>
      <c r="W209" s="53">
        <f>IFERROR(IF(INDEX('Indigenous'!$L$10:$L$11,MATCH($F209,'Indigenous'!$B$10:$B$11,0))="","Cell will autofill based on response",INDEX('Indigenous'!$L$10:$L$11,MATCH($F209,'Indigenous'!$B$10:$B$11,0))),"N/A")</f>
        <v/>
      </c>
      <c r="X209" s="53">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4">
        <f>IF(AF209&gt;0,AE209/AF209,"No valid responses to date")</f>
        <v/>
      </c>
      <c r="AH209" s="10">
        <f>IF(ISNUMBER(AG209),INDEX(Lists!$G$2:$G$5,MATCH(ROUND(AG209,0),Lists!$H$2:$H$5,0)),"")</f>
        <v/>
      </c>
      <c r="AI209" s="55">
        <f>IF(AF209&gt;0,AD209/AF209,"")</f>
        <v/>
      </c>
      <c r="AJ209" s="55">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IFERROR(IF(INDEX('Faculties'!$M$10:$M$23,MATCH($F210,'Faculties'!$B$10:$B$23,0))="","Cell will autofill based on response",INDEX('Faculties'!$M$10:$M$23,MATCH($F210,'Faculties'!$B$10:$B$23,0))),"N/A")</f>
        <v/>
      </c>
      <c r="I210" s="53">
        <f>IFERROR(IF(INDEX('Faculties'!$M$30:$M$43,MATCH($F210,'Faculties'!$B$30:$B$43,0))="","Cell will autofill based on response",INDEX('Faculties'!$M$30:$M$43,MATCH($F210,'Faculties'!$B$30:$B$43,0))),"N/A")</f>
        <v/>
      </c>
      <c r="J210" s="53">
        <f>IFERROR(IF(INDEX('Faculties'!$M$50:$M$63,MATCH($F210,'Faculties'!$B$50:$B$63,0))="","Cell will autofill based on response",INDEX('Faculties'!$M$50:$M$63,MATCH($F210,'Faculties'!$B$50:$B$63,0))),"N/A")</f>
        <v/>
      </c>
      <c r="K210" s="53">
        <f>IFERROR(IF(INDEX('Faculties'!$M$70:$M$83,MATCH($F210,'Faculties'!$B$70:$B$83,0))="","Cell will autofill based on response",INDEX('Faculties'!$M$70:$M$83,MATCH($F210,'Faculties'!$B$70:$B$83,0))),"N/A")</f>
        <v/>
      </c>
      <c r="L210" s="53">
        <f>IFERROR(IF(INDEX('CI&amp;S'!$M$10:$M$15,MATCH($F210,'CI&amp;S'!$B$10:$B$15,0))="","Cell will autofill based on response",INDEX('CI&amp;S'!$M$10:$M$15,MATCH($F210,'CI&amp;S'!$B$10:$B$15,0))),"N/A")</f>
        <v/>
      </c>
      <c r="M210" s="53">
        <f>IFERROR(IF(INDEX('CI&amp;S'!$M$22:$M$36,MATCH($F210,'CI&amp;S'!$B$22:$B$36,0))="","Cell will autofill based on response",INDEX('CI&amp;S'!$M$22:$M$36,MATCH($F210,'CI&amp;S'!$B$22:$B$36,0))),"N/A")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IFERROR(IF(INDEX('MRE'!$M$10:$M$15,MATCH($F210,'MRE'!$B$10:$B$15,0))="","Cell will autofill based on response",INDEX('MRE'!$M$10:$M$15,MATCH($F210,'MRE'!$B$10:$B$15,0))),"N/A")</f>
        <v/>
      </c>
      <c r="S210" s="53">
        <f>IFERROR(IF(INDEX('AC&amp;M'!$M$10:$M$14,MATCH($F210,'AC&amp;M'!$B$10:$B$14,0))="","Cell will autofill based on response",INDEX('AC&amp;M'!$M$10:$M$14,MATCH($F210,'AC&amp;M'!$B$10:$B$14,0))),"N/A")</f>
        <v/>
      </c>
      <c r="T210" s="53">
        <f>IFERROR(IF(INDEX('GCE'!$M$10:$M$12,MATCH($F210,'GCE'!$B$10:$B$12,0))="","Cell will autofill based on response",INDEX('GCE'!$M$10:$M$12,MATCH($F210,'GCE'!$B$10:$B$12,0))),"N/A")</f>
        <v/>
      </c>
      <c r="U210" s="53">
        <f>IFERROR(IF(INDEX('Education'!$M$10:$M$13,MATCH($F210,'Education'!$B$10:$B$13,0))="","Cell will autofill based on response",INDEX('Education'!$M$10:$M$13,MATCH($F210,'Education'!$B$10:$B$13,0))),"N/A")</f>
        <v/>
      </c>
      <c r="V210" s="53">
        <f>IFERROR(IF(INDEX('SaSS'!$M$10:$M$12,MATCH($F210,'SaSS'!$B$10:$B$12,0))="","Cell will autofill based on response",INDEX('SaSS'!$M$10:$M$12,MATCH($F210,'SaSS'!$B$10:$B$12,0))),"N/A")</f>
        <v/>
      </c>
      <c r="W210" s="53">
        <f>IFERROR(IF(INDEX('Indigenous'!$M$10:$M$11,MATCH($F210,'Indigenous'!$B$10:$B$11,0))="","Cell will autofill based on response",INDEX('Indigenous'!$M$10:$M$11,MATCH($F210,'Indigenous'!$B$10:$B$11,0))),"N/A")</f>
        <v/>
      </c>
      <c r="X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IFERROR(IF(INDEX('Faculties'!$N$10:$N$23,MATCH($F211,'Faculties'!$B$10:$B$23,0))="","Cell will autofill based on response",INDEX('Faculties'!$N$10:$N$23,MATCH($F211,'Faculties'!$B$10:$B$23,0))),"N/A")</f>
        <v/>
      </c>
      <c r="I211" s="53">
        <f>IFERROR(IF(INDEX('Faculties'!$N$30:$N$43,MATCH($F211,'Faculties'!$B$30:$B$43,0))="","Cell will autofill based on response",INDEX('Faculties'!$N$30:$N$43,MATCH($F211,'Faculties'!$B$30:$B$43,0))),"N/A")</f>
        <v/>
      </c>
      <c r="J211" s="53">
        <f>IFERROR(IF(INDEX('Faculties'!$N$50:$N$63,MATCH($F211,'Faculties'!$B$50:$B$63,0))="","Cell will autofill based on response",INDEX('Faculties'!$N$50:$N$63,MATCH($F211,'Faculties'!$B$50:$B$63,0))),"N/A")</f>
        <v/>
      </c>
      <c r="K211" s="53">
        <f>IFERROR(IF(INDEX('Faculties'!$N$70:$N$83,MATCH($F211,'Faculties'!$B$70:$B$83,0))="","Cell will autofill based on response",INDEX('Faculties'!$N$70:$N$83,MATCH($F211,'Faculties'!$B$70:$B$83,0))),"N/A")</f>
        <v/>
      </c>
      <c r="L211" s="53">
        <f>IFERROR(IF(INDEX('CI&amp;S'!$N$10:$N$15,MATCH($F211,'CI&amp;S'!$B$10:$B$15,0))="","Cell will autofill based on response",INDEX('CI&amp;S'!$N$10:$N$15,MATCH($F211,'CI&amp;S'!$B$10:$B$15,0))),"N/A")</f>
        <v/>
      </c>
      <c r="M211" s="53">
        <f>IFERROR(IF(INDEX('CI&amp;S'!$N$22:$N$36,MATCH($F211,'CI&amp;S'!$B$22:$B$36,0))="","Cell will autofill based on response",INDEX('CI&amp;S'!$N$22:$N$36,MATCH($F211,'CI&amp;S'!$B$22:$B$36,0))),"N/A")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IFERROR(IF(INDEX('MRE'!$N$10:$N$15,MATCH($F211,'MRE'!$B$10:$B$15,0))="","Cell will autofill based on response",INDEX('MRE'!$N$10:$N$15,MATCH($F211,'MRE'!$B$10:$B$15,0))),"N/A")</f>
        <v/>
      </c>
      <c r="S211" s="53">
        <f>IFERROR(IF(INDEX('AC&amp;M'!$N$10:$N$14,MATCH($F211,'AC&amp;M'!$B$10:$B$14,0))="","Cell will autofill based on response",INDEX('AC&amp;M'!$N$10:$N$14,MATCH($F211,'AC&amp;M'!$B$10:$B$14,0))),"N/A")</f>
        <v/>
      </c>
      <c r="T211" s="53">
        <f>IFERROR(IF(INDEX('GCE'!$N$10:$N$12,MATCH($F211,'GCE'!$B$10:$B$12,0))="","Cell will autofill based on response",INDEX('GCE'!$N$10:$N$12,MATCH($F211,'GCE'!$B$10:$B$12,0))),"N/A")</f>
        <v/>
      </c>
      <c r="U211" s="53">
        <f>IFERROR(IF(INDEX('Education'!$N$10:$N$13,MATCH($F211,'Education'!$B$10:$B$13,0))="","Cell will autofill based on response",INDEX('Education'!$N$10:$N$13,MATCH($F211,'Education'!$B$10:$B$13,0))),"N/A")</f>
        <v/>
      </c>
      <c r="V211" s="53">
        <f>IFERROR(IF(INDEX('SaSS'!$N$10:$N$12,MATCH($F211,'SaSS'!$B$10:$B$12,0))="","Cell will autofill based on response",INDEX('SaSS'!$N$10:$N$12,MATCH($F211,'SaSS'!$B$10:$B$12,0))),"N/A")</f>
        <v/>
      </c>
      <c r="W211" s="53">
        <f>IFERROR(IF(INDEX('Indigenous'!$N$10:$N$11,MATCH($F211,'Indigenous'!$B$10:$B$11,0))="","Cell will autofill based on response",INDEX('Indigenous'!$N$10:$N$11,MATCH($F211,'Indigenous'!$B$10:$B$11,0))),"N/A")</f>
        <v/>
      </c>
      <c r="X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IFERROR(IF(INDEX('Faculties'!$O$10:$O$23,MATCH($F212,'Faculties'!$B$10:$B$23,0))="","Cell will autofill based on response",INDEX('Faculties'!$O$10:$O$23,MATCH($F212,'Faculties'!$B$10:$B$23,0))),"N/A")</f>
        <v/>
      </c>
      <c r="I212" s="53">
        <f>IFERROR(IF(INDEX('Faculties'!$O$30:$O$43,MATCH($F212,'Faculties'!$B$30:$B$43,0))="","Cell will autofill based on response",INDEX('Faculties'!$O$30:$O$43,MATCH($F212,'Faculties'!$B$30:$B$43,0))),"N/A")</f>
        <v/>
      </c>
      <c r="J212" s="53">
        <f>IFERROR(IF(INDEX('Faculties'!$O$50:$O$63,MATCH($F212,'Faculties'!$B$50:$B$63,0))="","Cell will autofill based on response",INDEX('Faculties'!$O$50:$O$63,MATCH($F212,'Faculties'!$B$50:$B$63,0))),"N/A")</f>
        <v/>
      </c>
      <c r="K212" s="53">
        <f>IFERROR(IF(INDEX('Faculties'!$O$70:$O$83,MATCH($F212,'Faculties'!$B$70:$B$83,0))="","Cell will autofill based on response",INDEX('Faculties'!$O$70:$O$83,MATCH($F212,'Faculties'!$B$70:$B$83,0))),"N/A")</f>
        <v/>
      </c>
      <c r="L212" s="53">
        <f>IFERROR(IF(INDEX('CI&amp;S'!$O$10:$O$15,MATCH($F212,'CI&amp;S'!$B$10:$B$15,0))="","Cell will autofill based on response",INDEX('CI&amp;S'!$O$10:$O$15,MATCH($F212,'CI&amp;S'!$B$10:$B$15,0))),"N/A")</f>
        <v/>
      </c>
      <c r="M212" s="53">
        <f>IFERROR(IF(INDEX('CI&amp;S'!$O$22:$O$36,MATCH($F212,'CI&amp;S'!$B$22:$B$36,0))="","Cell will autofill based on response",INDEX('CI&amp;S'!$O$22:$O$36,MATCH($F212,'CI&amp;S'!$B$22:$B$36,0))),"N/A")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IFERROR(IF(INDEX('MRE'!$O$10:$O$15,MATCH($F212,'MRE'!$B$10:$B$15,0))="","Cell will autofill based on response",INDEX('MRE'!$O$10:$O$15,MATCH($F212,'MRE'!$B$10:$B$15,0))),"N/A")</f>
        <v/>
      </c>
      <c r="S212" s="53">
        <f>IFERROR(IF(INDEX('AC&amp;M'!$O$10:$O$14,MATCH($F212,'AC&amp;M'!$B$10:$B$14,0))="","Cell will autofill based on response",INDEX('AC&amp;M'!$O$10:$O$14,MATCH($F212,'AC&amp;M'!$B$10:$B$14,0))),"N/A")</f>
        <v/>
      </c>
      <c r="T212" s="53">
        <f>IFERROR(IF(INDEX('GCE'!$O$10:$O$12,MATCH($F212,'GCE'!$B$10:$B$12,0))="","Cell will autofill based on response",INDEX('GCE'!$O$10:$O$12,MATCH($F212,'GCE'!$B$10:$B$12,0))),"N/A")</f>
        <v/>
      </c>
      <c r="U212" s="53">
        <f>IFERROR(IF(INDEX('Education'!$O$10:$O$13,MATCH($F212,'Education'!$B$10:$B$13,0))="","Cell will autofill based on response",INDEX('Education'!$O$10:$O$13,MATCH($F212,'Education'!$B$10:$B$13,0))),"N/A")</f>
        <v/>
      </c>
      <c r="V212" s="53">
        <f>IFERROR(IF(INDEX('SaSS'!$O$10:$O$12,MATCH($F212,'SaSS'!$B$10:$B$12,0))="","Cell will autofill based on response",INDEX('SaSS'!$O$10:$O$12,MATCH($F212,'SaSS'!$B$10:$B$12,0))),"N/A")</f>
        <v/>
      </c>
      <c r="W212" s="53">
        <f>IFERROR(IF(INDEX('Indigenous'!$O$10:$O$11,MATCH($F212,'Indigenous'!$B$10:$B$11,0))="","Cell will autofill based on response",INDEX('Indigenous'!$O$10:$O$11,MATCH($F212,'Indigenous'!$B$10:$B$11,0))),"N/A")</f>
        <v/>
      </c>
      <c r="X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IFERROR(IF(INDEX('Faculties'!$P$10:$P$23,MATCH($F213,'Faculties'!$B$10:$B$23,0))="","Cell will autofill based on response",INDEX('Faculties'!$P$10:$P$23,MATCH($F213,'Faculties'!$B$10:$B$23,0))),"N/A")</f>
        <v/>
      </c>
      <c r="I213" s="53">
        <f>IFERROR(IF(INDEX('Faculties'!$P$30:$P$43,MATCH($F213,'Faculties'!$B$30:$B$43,0))="","Cell will autofill based on response",INDEX('Faculties'!$P$30:$P$43,MATCH($F213,'Faculties'!$B$30:$B$43,0))),"N/A")</f>
        <v/>
      </c>
      <c r="J213" s="53">
        <f>IFERROR(IF(INDEX('Faculties'!$P$50:$P$63,MATCH($F213,'Faculties'!$B$50:$B$63,0))="","Cell will autofill based on response",INDEX('Faculties'!$P$50:$P$63,MATCH($F213,'Faculties'!$B$50:$B$63,0))),"N/A")</f>
        <v/>
      </c>
      <c r="K213" s="53">
        <f>IFERROR(IF(INDEX('Faculties'!$P$70:$P$83,MATCH($F213,'Faculties'!$B$70:$B$83,0))="","Cell will autofill based on response",INDEX('Faculties'!$P$70:$P$83,MATCH($F213,'Faculties'!$B$70:$B$83,0))),"N/A")</f>
        <v/>
      </c>
      <c r="L213" s="53">
        <f>IFERROR(IF(INDEX('CI&amp;S'!$P$10:$P$15,MATCH($F213,'CI&amp;S'!$B$10:$B$15,0))="","Cell will autofill based on response",INDEX('CI&amp;S'!$P$10:$P$15,MATCH($F213,'CI&amp;S'!$B$10:$B$15,0))),"N/A")</f>
        <v/>
      </c>
      <c r="M213" s="53">
        <f>IFERROR(IF(INDEX('CI&amp;S'!$P$22:$P$36,MATCH($F213,'CI&amp;S'!$B$22:$B$36,0))="","Cell will autofill based on response",INDEX('CI&amp;S'!$P$22:$P$36,MATCH($F213,'CI&amp;S'!$B$22:$B$36,0))),"N/A")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IFERROR(IF(INDEX('MRE'!$P$10:$P$15,MATCH($F213,'MRE'!$B$10:$B$15,0))="","Cell will autofill based on response",INDEX('MRE'!$P$10:$P$15,MATCH($F213,'MRE'!$B$10:$B$15,0))),"N/A")</f>
        <v/>
      </c>
      <c r="S213" s="53">
        <f>IFERROR(IF(INDEX('AC&amp;M'!$P$10:$P$14,MATCH($F213,'AC&amp;M'!$B$10:$B$14,0))="","Cell will autofill based on response",INDEX('AC&amp;M'!$P$10:$P$14,MATCH($F213,'AC&amp;M'!$B$10:$B$14,0))),"N/A")</f>
        <v/>
      </c>
      <c r="T213" s="53">
        <f>IFERROR(IF(INDEX('GCE'!$P$10:$P$12,MATCH($F213,'GCE'!$B$10:$B$12,0))="","Cell will autofill based on response",INDEX('GCE'!$P$10:$P$12,MATCH($F213,'GCE'!$B$10:$B$12,0))),"N/A")</f>
        <v/>
      </c>
      <c r="U213" s="53">
        <f>IFERROR(IF(INDEX('Education'!$P$10:$P$13,MATCH($F213,'Education'!$B$10:$B$13,0))="","Cell will autofill based on response",INDEX('Education'!$P$10:$P$13,MATCH($F213,'Education'!$B$10:$B$13,0))),"N/A")</f>
        <v/>
      </c>
      <c r="V213" s="53">
        <f>IFERROR(IF(INDEX('SaSS'!$P$10:$P$12,MATCH($F213,'SaSS'!$B$10:$B$12,0))="","Cell will autofill based on response",INDEX('SaSS'!$P$10:$P$12,MATCH($F213,'SaSS'!$B$10:$B$12,0))),"N/A")</f>
        <v/>
      </c>
      <c r="W213" s="53">
        <f>IFERROR(IF(INDEX('Indigenous'!$P$10:$P$11,MATCH($F213,'Indigenous'!$B$10:$B$11,0))="","Cell will autofill based on response",INDEX('Indigenous'!$P$10:$P$11,MATCH($F213,'Indigenous'!$B$10:$B$11,0))),"N/A")</f>
        <v/>
      </c>
      <c r="X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IFERROR(IF(INDEX('Faculties'!$Q$10:$Q$23,MATCH($F214,'Faculties'!$B$10:$B$23,0))="","Cell will autofill based on response",INDEX('Faculties'!$Q$10:$Q$23,MATCH($F214,'Faculties'!$B$10:$B$23,0))),"N/A")</f>
        <v/>
      </c>
      <c r="I214" s="53">
        <f>IFERROR(IF(INDEX('Faculties'!$Q$30:$Q$43,MATCH($F214,'Faculties'!$B$30:$B$43,0))="","Cell will autofill based on response",INDEX('Faculties'!$Q$30:$Q$43,MATCH($F214,'Faculties'!$B$30:$B$43,0))),"N/A")</f>
        <v/>
      </c>
      <c r="J214" s="53">
        <f>IFERROR(IF(INDEX('Faculties'!$Q$50:$Q$63,MATCH($F214,'Faculties'!$B$50:$B$63,0))="","Cell will autofill based on response",INDEX('Faculties'!$Q$50:$Q$63,MATCH($F214,'Faculties'!$B$50:$B$63,0))),"N/A")</f>
        <v/>
      </c>
      <c r="K214" s="53">
        <f>IFERROR(IF(INDEX('Faculties'!$Q$70:$Q$83,MATCH($F214,'Faculties'!$B$70:$B$83,0))="","Cell will autofill based on response",INDEX('Faculties'!$Q$70:$Q$83,MATCH($F214,'Faculties'!$B$70:$B$83,0))),"N/A")</f>
        <v/>
      </c>
      <c r="L214" s="53">
        <f>IFERROR(IF(INDEX('CI&amp;S'!$Q$10:$Q$15,MATCH($F214,'CI&amp;S'!$B$10:$B$15,0))="","Cell will autofill based on response",INDEX('CI&amp;S'!$Q$10:$Q$15,MATCH($F214,'CI&amp;S'!$B$10:$B$15,0))),"N/A")</f>
        <v/>
      </c>
      <c r="M214" s="53">
        <f>IFERROR(IF(INDEX('CI&amp;S'!$Q$22:$Q$36,MATCH($F214,'CI&amp;S'!$B$22:$B$36,0))="","Cell will autofill based on response",INDEX('CI&amp;S'!$Q$22:$Q$36,MATCH($F214,'CI&amp;S'!$B$22:$B$36,0))),"N/A")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IFERROR(IF(INDEX('MRE'!$Q$10:$Q$15,MATCH($F214,'MRE'!$B$10:$B$15,0))="","Cell will autofill based on response",INDEX('MRE'!$Q$10:$Q$15,MATCH($F214,'MRE'!$B$10:$B$15,0))),"N/A")</f>
        <v/>
      </c>
      <c r="S214" s="53">
        <f>IFERROR(IF(INDEX('AC&amp;M'!$Q$10:$Q$14,MATCH($F214,'AC&amp;M'!$B$10:$B$14,0))="","Cell will autofill based on response",INDEX('AC&amp;M'!$Q$10:$Q$14,MATCH($F214,'AC&amp;M'!$B$10:$B$14,0))),"N/A")</f>
        <v/>
      </c>
      <c r="T214" s="53">
        <f>IFERROR(IF(INDEX('GCE'!$Q$10:$Q$12,MATCH($F214,'GCE'!$B$10:$B$12,0))="","Cell will autofill based on response",INDEX('GCE'!$Q$10:$Q$12,MATCH($F214,'GCE'!$B$10:$B$12,0))),"N/A")</f>
        <v/>
      </c>
      <c r="U214" s="53">
        <f>IFERROR(IF(INDEX('Education'!$Q$10:$Q$13,MATCH($F214,'Education'!$B$10:$B$13,0))="","Cell will autofill based on response",INDEX('Education'!$Q$10:$Q$13,MATCH($F214,'Education'!$B$10:$B$13,0))),"N/A")</f>
        <v/>
      </c>
      <c r="V214" s="53">
        <f>IFERROR(IF(INDEX('SaSS'!$Q$10:$Q$12,MATCH($F214,'SaSS'!$B$10:$B$12,0))="","Cell will autofill based on response",INDEX('SaSS'!$Q$10:$Q$12,MATCH($F214,'SaSS'!$B$10:$B$12,0))),"N/A")</f>
        <v/>
      </c>
      <c r="W214" s="53">
        <f>IFERROR(IF(INDEX('Indigenous'!$Q$10:$Q$11,MATCH($F214,'Indigenous'!$B$10:$B$11,0))="","Cell will autofill based on response",INDEX('Indigenous'!$Q$10:$Q$11,MATCH($F214,'Indigenous'!$B$10:$B$11,0))),"N/A")</f>
        <v/>
      </c>
      <c r="X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IFERROR(IF(INDEX('Faculties'!$L$10:$L$23,MATCH($F215,'Faculties'!$B$10:$B$23,0))="","Cell will autofill based on response",INDEX('Faculties'!$L$10:$L$23,MATCH($F215,'Faculties'!$B$10:$B$23,0))),"N/A")</f>
        <v/>
      </c>
      <c r="I215" s="53">
        <f>IFERROR(IF(INDEX('Faculties'!$L$30:$L$43,MATCH($F215,'Faculties'!$B$30:$B$43,0))="","Cell will autofill based on response",INDEX('Faculties'!$L$30:$L$43,MATCH($F215,'Faculties'!$B$30:$B$43,0))),"N/A")</f>
        <v/>
      </c>
      <c r="J215" s="53">
        <f>IFERROR(IF(INDEX('Faculties'!$L$50:$L$63,MATCH($F215,'Faculties'!$B$50:$B$63,0))="","Cell will autofill based on response",INDEX('Faculties'!$L$50:$L$63,MATCH($F215,'Faculties'!$B$50:$B$63,0))),"N/A")</f>
        <v/>
      </c>
      <c r="K215" s="53">
        <f>IFERROR(IF(INDEX('Faculties'!$L$70:$L$83,MATCH($F215,'Faculties'!$B$70:$B$83,0))="","Cell will autofill based on response",INDEX('Faculties'!$L$70:$L$83,MATCH($F215,'Faculties'!$B$70:$B$83,0))),"N/A")</f>
        <v/>
      </c>
      <c r="L215" s="53">
        <f>IFERROR(IF(INDEX('CI&amp;S'!$L$10:$L$15,MATCH($F215,'CI&amp;S'!$B$10:$B$15,0))="","Cell will autofill based on response",INDEX('CI&amp;S'!$L$10:$L$15,MATCH($F215,'CI&amp;S'!$B$10:$B$15,0))),"N/A")</f>
        <v/>
      </c>
      <c r="M215" s="53">
        <f>IFERROR(IF(INDEX('CI&amp;S'!$L$22:$L$36,MATCH($F215,'CI&amp;S'!$B$22:$B$36,0))="","Cell will autofill based on response",INDEX('CI&amp;S'!$L$22:$L$36,MATCH($F215,'CI&amp;S'!$B$22:$B$36,0))),"N/A")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IFERROR(IF(INDEX('MRE'!$L$10:$L$15,MATCH($F215,'MRE'!$B$10:$B$15,0))="","Cell will autofill based on response",INDEX('MRE'!$L$10:$L$15,MATCH($F215,'MRE'!$B$10:$B$15,0))),"N/A")</f>
        <v/>
      </c>
      <c r="S215" s="53">
        <f>IFERROR(IF(INDEX('AC&amp;M'!$L$10:$L$14,MATCH($F215,'AC&amp;M'!$B$10:$B$14,0))="","Cell will autofill based on response",INDEX('AC&amp;M'!$L$10:$L$14,MATCH($F215,'AC&amp;M'!$B$10:$B$14,0))),"N/A")</f>
        <v/>
      </c>
      <c r="T215" s="53">
        <f>IFERROR(IF(INDEX('GCE'!$L$10:$L$12,MATCH($F215,'GCE'!$B$10:$B$12,0))="","Cell will autofill based on response",INDEX('GCE'!$L$10:$L$12,MATCH($F215,'GCE'!$B$10:$B$12,0))),"N/A")</f>
        <v/>
      </c>
      <c r="U215" s="53">
        <f>IFERROR(IF(INDEX('Education'!$L$10:$L$13,MATCH($F215,'Education'!$B$10:$B$13,0))="","Cell will autofill based on response",INDEX('Education'!$L$10:$L$13,MATCH($F215,'Education'!$B$10:$B$13,0))),"N/A")</f>
        <v/>
      </c>
      <c r="V215" s="53">
        <f>IFERROR(IF(INDEX('SaSS'!$L$10:$L$12,MATCH($F215,'SaSS'!$B$10:$B$12,0))="","Cell will autofill based on response",INDEX('SaSS'!$L$10:$L$12,MATCH($F215,'SaSS'!$B$10:$B$12,0))),"N/A")</f>
        <v/>
      </c>
      <c r="W215" s="53">
        <f>IFERROR(IF(INDEX('Indigenous'!$L$10:$L$11,MATCH($F215,'Indigenous'!$B$10:$B$11,0))="","Cell will autofill based on response",INDEX('Indigenous'!$L$10:$L$11,MATCH($F215,'Indigenous'!$B$10:$B$11,0))),"N/A")</f>
        <v/>
      </c>
      <c r="X215" s="53">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4">
        <f>IF(AF215&gt;0,AE215/AF215,"No valid responses to date")</f>
        <v/>
      </c>
      <c r="AH215" s="10">
        <f>IF(ISNUMBER(AG215),INDEX(Lists!$G$2:$G$5,MATCH(ROUND(AG215,0),Lists!$H$2:$H$5,0)),"")</f>
        <v/>
      </c>
      <c r="AI215" s="55">
        <f>IF(AF215&gt;0,AD215/AF215,"")</f>
        <v/>
      </c>
      <c r="AJ215" s="55">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IFERROR(IF(INDEX('Faculties'!$M$10:$M$23,MATCH($F216,'Faculties'!$B$10:$B$23,0))="","Cell will autofill based on response",INDEX('Faculties'!$M$10:$M$23,MATCH($F216,'Faculties'!$B$10:$B$23,0))),"N/A")</f>
        <v/>
      </c>
      <c r="I216" s="53">
        <f>IFERROR(IF(INDEX('Faculties'!$M$30:$M$43,MATCH($F216,'Faculties'!$B$30:$B$43,0))="","Cell will autofill based on response",INDEX('Faculties'!$M$30:$M$43,MATCH($F216,'Faculties'!$B$30:$B$43,0))),"N/A")</f>
        <v/>
      </c>
      <c r="J216" s="53">
        <f>IFERROR(IF(INDEX('Faculties'!$M$50:$M$63,MATCH($F216,'Faculties'!$B$50:$B$63,0))="","Cell will autofill based on response",INDEX('Faculties'!$M$50:$M$63,MATCH($F216,'Faculties'!$B$50:$B$63,0))),"N/A")</f>
        <v/>
      </c>
      <c r="K216" s="53">
        <f>IFERROR(IF(INDEX('Faculties'!$M$70:$M$83,MATCH($F216,'Faculties'!$B$70:$B$83,0))="","Cell will autofill based on response",INDEX('Faculties'!$M$70:$M$83,MATCH($F216,'Faculties'!$B$70:$B$83,0))),"N/A")</f>
        <v/>
      </c>
      <c r="L216" s="53">
        <f>IFERROR(IF(INDEX('CI&amp;S'!$M$10:$M$15,MATCH($F216,'CI&amp;S'!$B$10:$B$15,0))="","Cell will autofill based on response",INDEX('CI&amp;S'!$M$10:$M$15,MATCH($F216,'CI&amp;S'!$B$10:$B$15,0))),"N/A")</f>
        <v/>
      </c>
      <c r="M216" s="53">
        <f>IFERROR(IF(INDEX('CI&amp;S'!$M$22:$M$36,MATCH($F216,'CI&amp;S'!$B$22:$B$36,0))="","Cell will autofill based on response",INDEX('CI&amp;S'!$M$22:$M$36,MATCH($F216,'CI&amp;S'!$B$22:$B$36,0))),"N/A")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IFERROR(IF(INDEX('MRE'!$M$10:$M$15,MATCH($F216,'MRE'!$B$10:$B$15,0))="","Cell will autofill based on response",INDEX('MRE'!$M$10:$M$15,MATCH($F216,'MRE'!$B$10:$B$15,0))),"N/A")</f>
        <v/>
      </c>
      <c r="S216" s="53">
        <f>IFERROR(IF(INDEX('AC&amp;M'!$M$10:$M$14,MATCH($F216,'AC&amp;M'!$B$10:$B$14,0))="","Cell will autofill based on response",INDEX('AC&amp;M'!$M$10:$M$14,MATCH($F216,'AC&amp;M'!$B$10:$B$14,0))),"N/A")</f>
        <v/>
      </c>
      <c r="T216" s="53">
        <f>IFERROR(IF(INDEX('GCE'!$M$10:$M$12,MATCH($F216,'GCE'!$B$10:$B$12,0))="","Cell will autofill based on response",INDEX('GCE'!$M$10:$M$12,MATCH($F216,'GCE'!$B$10:$B$12,0))),"N/A")</f>
        <v/>
      </c>
      <c r="U216" s="53">
        <f>IFERROR(IF(INDEX('Education'!$M$10:$M$13,MATCH($F216,'Education'!$B$10:$B$13,0))="","Cell will autofill based on response",INDEX('Education'!$M$10:$M$13,MATCH($F216,'Education'!$B$10:$B$13,0))),"N/A")</f>
        <v/>
      </c>
      <c r="V216" s="53">
        <f>IFERROR(IF(INDEX('SaSS'!$M$10:$M$12,MATCH($F216,'SaSS'!$B$10:$B$12,0))="","Cell will autofill based on response",INDEX('SaSS'!$M$10:$M$12,MATCH($F216,'SaSS'!$B$10:$B$12,0))),"N/A")</f>
        <v/>
      </c>
      <c r="W216" s="53">
        <f>IFERROR(IF(INDEX('Indigenous'!$M$10:$M$11,MATCH($F216,'Indigenous'!$B$10:$B$11,0))="","Cell will autofill based on response",INDEX('Indigenous'!$M$10:$M$11,MATCH($F216,'Indigenous'!$B$10:$B$11,0))),"N/A")</f>
        <v/>
      </c>
      <c r="X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IFERROR(IF(INDEX('Faculties'!$N$10:$N$23,MATCH($F217,'Faculties'!$B$10:$B$23,0))="","Cell will autofill based on response",INDEX('Faculties'!$N$10:$N$23,MATCH($F217,'Faculties'!$B$10:$B$23,0))),"N/A")</f>
        <v/>
      </c>
      <c r="I217" s="53">
        <f>IFERROR(IF(INDEX('Faculties'!$N$30:$N$43,MATCH($F217,'Faculties'!$B$30:$B$43,0))="","Cell will autofill based on response",INDEX('Faculties'!$N$30:$N$43,MATCH($F217,'Faculties'!$B$30:$B$43,0))),"N/A")</f>
        <v/>
      </c>
      <c r="J217" s="53">
        <f>IFERROR(IF(INDEX('Faculties'!$N$50:$N$63,MATCH($F217,'Faculties'!$B$50:$B$63,0))="","Cell will autofill based on response",INDEX('Faculties'!$N$50:$N$63,MATCH($F217,'Faculties'!$B$50:$B$63,0))),"N/A")</f>
        <v/>
      </c>
      <c r="K217" s="53">
        <f>IFERROR(IF(INDEX('Faculties'!$N$70:$N$83,MATCH($F217,'Faculties'!$B$70:$B$83,0))="","Cell will autofill based on response",INDEX('Faculties'!$N$70:$N$83,MATCH($F217,'Faculties'!$B$70:$B$83,0))),"N/A")</f>
        <v/>
      </c>
      <c r="L217" s="53">
        <f>IFERROR(IF(INDEX('CI&amp;S'!$N$10:$N$15,MATCH($F217,'CI&amp;S'!$B$10:$B$15,0))="","Cell will autofill based on response",INDEX('CI&amp;S'!$N$10:$N$15,MATCH($F217,'CI&amp;S'!$B$10:$B$15,0))),"N/A")</f>
        <v/>
      </c>
      <c r="M217" s="53">
        <f>IFERROR(IF(INDEX('CI&amp;S'!$N$22:$N$36,MATCH($F217,'CI&amp;S'!$B$22:$B$36,0))="","Cell will autofill based on response",INDEX('CI&amp;S'!$N$22:$N$36,MATCH($F217,'CI&amp;S'!$B$22:$B$36,0))),"N/A")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IFERROR(IF(INDEX('MRE'!$N$10:$N$15,MATCH($F217,'MRE'!$B$10:$B$15,0))="","Cell will autofill based on response",INDEX('MRE'!$N$10:$N$15,MATCH($F217,'MRE'!$B$10:$B$15,0))),"N/A")</f>
        <v/>
      </c>
      <c r="S217" s="53">
        <f>IFERROR(IF(INDEX('AC&amp;M'!$N$10:$N$14,MATCH($F217,'AC&amp;M'!$B$10:$B$14,0))="","Cell will autofill based on response",INDEX('AC&amp;M'!$N$10:$N$14,MATCH($F217,'AC&amp;M'!$B$10:$B$14,0))),"N/A")</f>
        <v/>
      </c>
      <c r="T217" s="53">
        <f>IFERROR(IF(INDEX('GCE'!$N$10:$N$12,MATCH($F217,'GCE'!$B$10:$B$12,0))="","Cell will autofill based on response",INDEX('GCE'!$N$10:$N$12,MATCH($F217,'GCE'!$B$10:$B$12,0))),"N/A")</f>
        <v/>
      </c>
      <c r="U217" s="53">
        <f>IFERROR(IF(INDEX('Education'!$N$10:$N$13,MATCH($F217,'Education'!$B$10:$B$13,0))="","Cell will autofill based on response",INDEX('Education'!$N$10:$N$13,MATCH($F217,'Education'!$B$10:$B$13,0))),"N/A")</f>
        <v/>
      </c>
      <c r="V217" s="53">
        <f>IFERROR(IF(INDEX('SaSS'!$N$10:$N$12,MATCH($F217,'SaSS'!$B$10:$B$12,0))="","Cell will autofill based on response",INDEX('SaSS'!$N$10:$N$12,MATCH($F217,'SaSS'!$B$10:$B$12,0))),"N/A")</f>
        <v/>
      </c>
      <c r="W217" s="53">
        <f>IFERROR(IF(INDEX('Indigenous'!$N$10:$N$11,MATCH($F217,'Indigenous'!$B$10:$B$11,0))="","Cell will autofill based on response",INDEX('Indigenous'!$N$10:$N$11,MATCH($F217,'Indigenous'!$B$10:$B$11,0))),"N/A")</f>
        <v/>
      </c>
      <c r="X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IFERROR(IF(INDEX('Faculties'!$O$10:$O$23,MATCH($F218,'Faculties'!$B$10:$B$23,0))="","Cell will autofill based on response",INDEX('Faculties'!$O$10:$O$23,MATCH($F218,'Faculties'!$B$10:$B$23,0))),"N/A")</f>
        <v/>
      </c>
      <c r="I218" s="53">
        <f>IFERROR(IF(INDEX('Faculties'!$O$30:$O$43,MATCH($F218,'Faculties'!$B$30:$B$43,0))="","Cell will autofill based on response",INDEX('Faculties'!$O$30:$O$43,MATCH($F218,'Faculties'!$B$30:$B$43,0))),"N/A")</f>
        <v/>
      </c>
      <c r="J218" s="53">
        <f>IFERROR(IF(INDEX('Faculties'!$O$50:$O$63,MATCH($F218,'Faculties'!$B$50:$B$63,0))="","Cell will autofill based on response",INDEX('Faculties'!$O$50:$O$63,MATCH($F218,'Faculties'!$B$50:$B$63,0))),"N/A")</f>
        <v/>
      </c>
      <c r="K218" s="53">
        <f>IFERROR(IF(INDEX('Faculties'!$O$70:$O$83,MATCH($F218,'Faculties'!$B$70:$B$83,0))="","Cell will autofill based on response",INDEX('Faculties'!$O$70:$O$83,MATCH($F218,'Faculties'!$B$70:$B$83,0))),"N/A")</f>
        <v/>
      </c>
      <c r="L218" s="53">
        <f>IFERROR(IF(INDEX('CI&amp;S'!$O$10:$O$15,MATCH($F218,'CI&amp;S'!$B$10:$B$15,0))="","Cell will autofill based on response",INDEX('CI&amp;S'!$O$10:$O$15,MATCH($F218,'CI&amp;S'!$B$10:$B$15,0))),"N/A")</f>
        <v/>
      </c>
      <c r="M218" s="53">
        <f>IFERROR(IF(INDEX('CI&amp;S'!$O$22:$O$36,MATCH($F218,'CI&amp;S'!$B$22:$B$36,0))="","Cell will autofill based on response",INDEX('CI&amp;S'!$O$22:$O$36,MATCH($F218,'CI&amp;S'!$B$22:$B$36,0))),"N/A")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IFERROR(IF(INDEX('MRE'!$O$10:$O$15,MATCH($F218,'MRE'!$B$10:$B$15,0))="","Cell will autofill based on response",INDEX('MRE'!$O$10:$O$15,MATCH($F218,'MRE'!$B$10:$B$15,0))),"N/A")</f>
        <v/>
      </c>
      <c r="S218" s="53">
        <f>IFERROR(IF(INDEX('AC&amp;M'!$O$10:$O$14,MATCH($F218,'AC&amp;M'!$B$10:$B$14,0))="","Cell will autofill based on response",INDEX('AC&amp;M'!$O$10:$O$14,MATCH($F218,'AC&amp;M'!$B$10:$B$14,0))),"N/A")</f>
        <v/>
      </c>
      <c r="T218" s="53">
        <f>IFERROR(IF(INDEX('GCE'!$O$10:$O$12,MATCH($F218,'GCE'!$B$10:$B$12,0))="","Cell will autofill based on response",INDEX('GCE'!$O$10:$O$12,MATCH($F218,'GCE'!$B$10:$B$12,0))),"N/A")</f>
        <v/>
      </c>
      <c r="U218" s="53">
        <f>IFERROR(IF(INDEX('Education'!$O$10:$O$13,MATCH($F218,'Education'!$B$10:$B$13,0))="","Cell will autofill based on response",INDEX('Education'!$O$10:$O$13,MATCH($F218,'Education'!$B$10:$B$13,0))),"N/A")</f>
        <v/>
      </c>
      <c r="V218" s="53">
        <f>IFERROR(IF(INDEX('SaSS'!$O$10:$O$12,MATCH($F218,'SaSS'!$B$10:$B$12,0))="","Cell will autofill based on response",INDEX('SaSS'!$O$10:$O$12,MATCH($F218,'SaSS'!$B$10:$B$12,0))),"N/A")</f>
        <v/>
      </c>
      <c r="W218" s="53">
        <f>IFERROR(IF(INDEX('Indigenous'!$O$10:$O$11,MATCH($F218,'Indigenous'!$B$10:$B$11,0))="","Cell will autofill based on response",INDEX('Indigenous'!$O$10:$O$11,MATCH($F218,'Indigenous'!$B$10:$B$11,0))),"N/A")</f>
        <v/>
      </c>
      <c r="X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IFERROR(IF(INDEX('Faculties'!$P$10:$P$23,MATCH($F219,'Faculties'!$B$10:$B$23,0))="","Cell will autofill based on response",INDEX('Faculties'!$P$10:$P$23,MATCH($F219,'Faculties'!$B$10:$B$23,0))),"N/A")</f>
        <v/>
      </c>
      <c r="I219" s="53">
        <f>IFERROR(IF(INDEX('Faculties'!$P$30:$P$43,MATCH($F219,'Faculties'!$B$30:$B$43,0))="","Cell will autofill based on response",INDEX('Faculties'!$P$30:$P$43,MATCH($F219,'Faculties'!$B$30:$B$43,0))),"N/A")</f>
        <v/>
      </c>
      <c r="J219" s="53">
        <f>IFERROR(IF(INDEX('Faculties'!$P$50:$P$63,MATCH($F219,'Faculties'!$B$50:$B$63,0))="","Cell will autofill based on response",INDEX('Faculties'!$P$50:$P$63,MATCH($F219,'Faculties'!$B$50:$B$63,0))),"N/A")</f>
        <v/>
      </c>
      <c r="K219" s="53">
        <f>IFERROR(IF(INDEX('Faculties'!$P$70:$P$83,MATCH($F219,'Faculties'!$B$70:$B$83,0))="","Cell will autofill based on response",INDEX('Faculties'!$P$70:$P$83,MATCH($F219,'Faculties'!$B$70:$B$83,0))),"N/A")</f>
        <v/>
      </c>
      <c r="L219" s="53">
        <f>IFERROR(IF(INDEX('CI&amp;S'!$P$10:$P$15,MATCH($F219,'CI&amp;S'!$B$10:$B$15,0))="","Cell will autofill based on response",INDEX('CI&amp;S'!$P$10:$P$15,MATCH($F219,'CI&amp;S'!$B$10:$B$15,0))),"N/A")</f>
        <v/>
      </c>
      <c r="M219" s="53">
        <f>IFERROR(IF(INDEX('CI&amp;S'!$P$22:$P$36,MATCH($F219,'CI&amp;S'!$B$22:$B$36,0))="","Cell will autofill based on response",INDEX('CI&amp;S'!$P$22:$P$36,MATCH($F219,'CI&amp;S'!$B$22:$B$36,0))),"N/A")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IFERROR(IF(INDEX('MRE'!$P$10:$P$15,MATCH($F219,'MRE'!$B$10:$B$15,0))="","Cell will autofill based on response",INDEX('MRE'!$P$10:$P$15,MATCH($F219,'MRE'!$B$10:$B$15,0))),"N/A")</f>
        <v/>
      </c>
      <c r="S219" s="53">
        <f>IFERROR(IF(INDEX('AC&amp;M'!$P$10:$P$14,MATCH($F219,'AC&amp;M'!$B$10:$B$14,0))="","Cell will autofill based on response",INDEX('AC&amp;M'!$P$10:$P$14,MATCH($F219,'AC&amp;M'!$B$10:$B$14,0))),"N/A")</f>
        <v/>
      </c>
      <c r="T219" s="53">
        <f>IFERROR(IF(INDEX('GCE'!$P$10:$P$12,MATCH($F219,'GCE'!$B$10:$B$12,0))="","Cell will autofill based on response",INDEX('GCE'!$P$10:$P$12,MATCH($F219,'GCE'!$B$10:$B$12,0))),"N/A")</f>
        <v/>
      </c>
      <c r="U219" s="53">
        <f>IFERROR(IF(INDEX('Education'!$P$10:$P$13,MATCH($F219,'Education'!$B$10:$B$13,0))="","Cell will autofill based on response",INDEX('Education'!$P$10:$P$13,MATCH($F219,'Education'!$B$10:$B$13,0))),"N/A")</f>
        <v/>
      </c>
      <c r="V219" s="53">
        <f>IFERROR(IF(INDEX('SaSS'!$P$10:$P$12,MATCH($F219,'SaSS'!$B$10:$B$12,0))="","Cell will autofill based on response",INDEX('SaSS'!$P$10:$P$12,MATCH($F219,'SaSS'!$B$10:$B$12,0))),"N/A")</f>
        <v/>
      </c>
      <c r="W219" s="53">
        <f>IFERROR(IF(INDEX('Indigenous'!$P$10:$P$11,MATCH($F219,'Indigenous'!$B$10:$B$11,0))="","Cell will autofill based on response",INDEX('Indigenous'!$P$10:$P$11,MATCH($F219,'Indigenous'!$B$10:$B$11,0))),"N/A")</f>
        <v/>
      </c>
      <c r="X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IFERROR(IF(INDEX('Faculties'!$Q$10:$Q$23,MATCH($F220,'Faculties'!$B$10:$B$23,0))="","Cell will autofill based on response",INDEX('Faculties'!$Q$10:$Q$23,MATCH($F220,'Faculties'!$B$10:$B$23,0))),"N/A")</f>
        <v/>
      </c>
      <c r="I220" s="53">
        <f>IFERROR(IF(INDEX('Faculties'!$Q$30:$Q$43,MATCH($F220,'Faculties'!$B$30:$B$43,0))="","Cell will autofill based on response",INDEX('Faculties'!$Q$30:$Q$43,MATCH($F220,'Faculties'!$B$30:$B$43,0))),"N/A")</f>
        <v/>
      </c>
      <c r="J220" s="53">
        <f>IFERROR(IF(INDEX('Faculties'!$Q$50:$Q$63,MATCH($F220,'Faculties'!$B$50:$B$63,0))="","Cell will autofill based on response",INDEX('Faculties'!$Q$50:$Q$63,MATCH($F220,'Faculties'!$B$50:$B$63,0))),"N/A")</f>
        <v/>
      </c>
      <c r="K220" s="53">
        <f>IFERROR(IF(INDEX('Faculties'!$Q$70:$Q$83,MATCH($F220,'Faculties'!$B$70:$B$83,0))="","Cell will autofill based on response",INDEX('Faculties'!$Q$70:$Q$83,MATCH($F220,'Faculties'!$B$70:$B$83,0))),"N/A")</f>
        <v/>
      </c>
      <c r="L220" s="53">
        <f>IFERROR(IF(INDEX('CI&amp;S'!$Q$10:$Q$15,MATCH($F220,'CI&amp;S'!$B$10:$B$15,0))="","Cell will autofill based on response",INDEX('CI&amp;S'!$Q$10:$Q$15,MATCH($F220,'CI&amp;S'!$B$10:$B$15,0))),"N/A")</f>
        <v/>
      </c>
      <c r="M220" s="53">
        <f>IFERROR(IF(INDEX('CI&amp;S'!$Q$22:$Q$36,MATCH($F220,'CI&amp;S'!$B$22:$B$36,0))="","Cell will autofill based on response",INDEX('CI&amp;S'!$Q$22:$Q$36,MATCH($F220,'CI&amp;S'!$B$22:$B$36,0))),"N/A")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IFERROR(IF(INDEX('MRE'!$Q$10:$Q$15,MATCH($F220,'MRE'!$B$10:$B$15,0))="","Cell will autofill based on response",INDEX('MRE'!$Q$10:$Q$15,MATCH($F220,'MRE'!$B$10:$B$15,0))),"N/A")</f>
        <v/>
      </c>
      <c r="S220" s="53">
        <f>IFERROR(IF(INDEX('AC&amp;M'!$Q$10:$Q$14,MATCH($F220,'AC&amp;M'!$B$10:$B$14,0))="","Cell will autofill based on response",INDEX('AC&amp;M'!$Q$10:$Q$14,MATCH($F220,'AC&amp;M'!$B$10:$B$14,0))),"N/A")</f>
        <v/>
      </c>
      <c r="T220" s="53">
        <f>IFERROR(IF(INDEX('GCE'!$Q$10:$Q$12,MATCH($F220,'GCE'!$B$10:$B$12,0))="","Cell will autofill based on response",INDEX('GCE'!$Q$10:$Q$12,MATCH($F220,'GCE'!$B$10:$B$12,0))),"N/A")</f>
        <v/>
      </c>
      <c r="U220" s="53">
        <f>IFERROR(IF(INDEX('Education'!$Q$10:$Q$13,MATCH($F220,'Education'!$B$10:$B$13,0))="","Cell will autofill based on response",INDEX('Education'!$Q$10:$Q$13,MATCH($F220,'Education'!$B$10:$B$13,0))),"N/A")</f>
        <v/>
      </c>
      <c r="V220" s="53">
        <f>IFERROR(IF(INDEX('SaSS'!$Q$10:$Q$12,MATCH($F220,'SaSS'!$B$10:$B$12,0))="","Cell will autofill based on response",INDEX('SaSS'!$Q$10:$Q$12,MATCH($F220,'SaSS'!$B$10:$B$12,0))),"N/A")</f>
        <v/>
      </c>
      <c r="W220" s="53">
        <f>IFERROR(IF(INDEX('Indigenous'!$Q$10:$Q$11,MATCH($F220,'Indigenous'!$B$10:$B$11,0))="","Cell will autofill based on response",INDEX('Indigenous'!$Q$10:$Q$11,MATCH($F220,'Indigenous'!$B$10:$B$11,0))),"N/A")</f>
        <v/>
      </c>
      <c r="X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IFERROR(IF(INDEX('Faculties'!$L$10:$L$23,MATCH($F221,'Faculties'!$B$10:$B$23,0))="","Cell will autofill based on response",INDEX('Faculties'!$L$10:$L$23,MATCH($F221,'Faculties'!$B$10:$B$23,0))),"N/A")</f>
        <v/>
      </c>
      <c r="I221" s="53">
        <f>IFERROR(IF(INDEX('Faculties'!$L$30:$L$43,MATCH($F221,'Faculties'!$B$30:$B$43,0))="","Cell will autofill based on response",INDEX('Faculties'!$L$30:$L$43,MATCH($F221,'Faculties'!$B$30:$B$43,0))),"N/A")</f>
        <v/>
      </c>
      <c r="J221" s="53">
        <f>IFERROR(IF(INDEX('Faculties'!$L$50:$L$63,MATCH($F221,'Faculties'!$B$50:$B$63,0))="","Cell will autofill based on response",INDEX('Faculties'!$L$50:$L$63,MATCH($F221,'Faculties'!$B$50:$B$63,0))),"N/A")</f>
        <v/>
      </c>
      <c r="K221" s="53">
        <f>IFERROR(IF(INDEX('Faculties'!$L$70:$L$83,MATCH($F221,'Faculties'!$B$70:$B$83,0))="","Cell will autofill based on response",INDEX('Faculties'!$L$70:$L$83,MATCH($F221,'Faculties'!$B$70:$B$83,0))),"N/A")</f>
        <v/>
      </c>
      <c r="L221" s="53">
        <f>IFERROR(IF(INDEX('CI&amp;S'!$L$10:$L$15,MATCH($F221,'CI&amp;S'!$B$10:$B$15,0))="","Cell will autofill based on response",INDEX('CI&amp;S'!$L$10:$L$15,MATCH($F221,'CI&amp;S'!$B$10:$B$15,0))),"N/A")</f>
        <v/>
      </c>
      <c r="M221" s="53">
        <f>IFERROR(IF(INDEX('CI&amp;S'!$L$22:$L$36,MATCH($F221,'CI&amp;S'!$B$22:$B$36,0))="","Cell will autofill based on response",INDEX('CI&amp;S'!$L$22:$L$36,MATCH($F221,'CI&amp;S'!$B$22:$B$36,0))),"N/A")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IFERROR(IF(INDEX('MRE'!$L$10:$L$15,MATCH($F221,'MRE'!$B$10:$B$15,0))="","Cell will autofill based on response",INDEX('MRE'!$L$10:$L$15,MATCH($F221,'MRE'!$B$10:$B$15,0))),"N/A")</f>
        <v/>
      </c>
      <c r="S221" s="53">
        <f>IFERROR(IF(INDEX('AC&amp;M'!$L$10:$L$14,MATCH($F221,'AC&amp;M'!$B$10:$B$14,0))="","Cell will autofill based on response",INDEX('AC&amp;M'!$L$10:$L$14,MATCH($F221,'AC&amp;M'!$B$10:$B$14,0))),"N/A")</f>
        <v/>
      </c>
      <c r="T221" s="53">
        <f>IFERROR(IF(INDEX('GCE'!$L$10:$L$12,MATCH($F221,'GCE'!$B$10:$B$12,0))="","Cell will autofill based on response",INDEX('GCE'!$L$10:$L$12,MATCH($F221,'GCE'!$B$10:$B$12,0))),"N/A")</f>
        <v/>
      </c>
      <c r="U221" s="53">
        <f>IFERROR(IF(INDEX('Education'!$L$10:$L$13,MATCH($F221,'Education'!$B$10:$B$13,0))="","Cell will autofill based on response",INDEX('Education'!$L$10:$L$13,MATCH($F221,'Education'!$B$10:$B$13,0))),"N/A")</f>
        <v/>
      </c>
      <c r="V221" s="53">
        <f>IFERROR(IF(INDEX('SaSS'!$L$10:$L$12,MATCH($F221,'SaSS'!$B$10:$B$12,0))="","Cell will autofill based on response",INDEX('SaSS'!$L$10:$L$12,MATCH($F221,'SaSS'!$B$10:$B$12,0))),"N/A")</f>
        <v/>
      </c>
      <c r="W221" s="53">
        <f>IFERROR(IF(INDEX('Indigenous'!$L$10:$L$11,MATCH($F221,'Indigenous'!$B$10:$B$11,0))="","Cell will autofill based on response",INDEX('Indigenous'!$L$10:$L$11,MATCH($F221,'Indigenous'!$B$10:$B$11,0))),"N/A")</f>
        <v/>
      </c>
      <c r="X221" s="53">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4">
        <f>IF(AF221&gt;0,AE221/AF221,"No valid responses to date")</f>
        <v/>
      </c>
      <c r="AH221" s="10">
        <f>IF(ISNUMBER(AG221),INDEX(Lists!$G$2:$G$5,MATCH(ROUND(AG221,0),Lists!$H$2:$H$5,0)),"")</f>
        <v/>
      </c>
      <c r="AI221" s="55">
        <f>IF(AF221&gt;0,AD221/AF221,"")</f>
        <v/>
      </c>
      <c r="AJ221" s="55">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IFERROR(IF(INDEX('Faculties'!$M$10:$M$23,MATCH($F222,'Faculties'!$B$10:$B$23,0))="","Cell will autofill based on response",INDEX('Faculties'!$M$10:$M$23,MATCH($F222,'Faculties'!$B$10:$B$23,0))),"N/A")</f>
        <v/>
      </c>
      <c r="I222" s="53">
        <f>IFERROR(IF(INDEX('Faculties'!$M$30:$M$43,MATCH($F222,'Faculties'!$B$30:$B$43,0))="","Cell will autofill based on response",INDEX('Faculties'!$M$30:$M$43,MATCH($F222,'Faculties'!$B$30:$B$43,0))),"N/A")</f>
        <v/>
      </c>
      <c r="J222" s="53">
        <f>IFERROR(IF(INDEX('Faculties'!$M$50:$M$63,MATCH($F222,'Faculties'!$B$50:$B$63,0))="","Cell will autofill based on response",INDEX('Faculties'!$M$50:$M$63,MATCH($F222,'Faculties'!$B$50:$B$63,0))),"N/A")</f>
        <v/>
      </c>
      <c r="K222" s="53">
        <f>IFERROR(IF(INDEX('Faculties'!$M$70:$M$83,MATCH($F222,'Faculties'!$B$70:$B$83,0))="","Cell will autofill based on response",INDEX('Faculties'!$M$70:$M$83,MATCH($F222,'Faculties'!$B$70:$B$83,0))),"N/A")</f>
        <v/>
      </c>
      <c r="L222" s="53">
        <f>IFERROR(IF(INDEX('CI&amp;S'!$M$10:$M$15,MATCH($F222,'CI&amp;S'!$B$10:$B$15,0))="","Cell will autofill based on response",INDEX('CI&amp;S'!$M$10:$M$15,MATCH($F222,'CI&amp;S'!$B$10:$B$15,0))),"N/A")</f>
        <v/>
      </c>
      <c r="M222" s="53">
        <f>IFERROR(IF(INDEX('CI&amp;S'!$M$22:$M$36,MATCH($F222,'CI&amp;S'!$B$22:$B$36,0))="","Cell will autofill based on response",INDEX('CI&amp;S'!$M$22:$M$36,MATCH($F222,'CI&amp;S'!$B$22:$B$36,0))),"N/A")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IFERROR(IF(INDEX('MRE'!$M$10:$M$15,MATCH($F222,'MRE'!$B$10:$B$15,0))="","Cell will autofill based on response",INDEX('MRE'!$M$10:$M$15,MATCH($F222,'MRE'!$B$10:$B$15,0))),"N/A")</f>
        <v/>
      </c>
      <c r="S222" s="53">
        <f>IFERROR(IF(INDEX('AC&amp;M'!$M$10:$M$14,MATCH($F222,'AC&amp;M'!$B$10:$B$14,0))="","Cell will autofill based on response",INDEX('AC&amp;M'!$M$10:$M$14,MATCH($F222,'AC&amp;M'!$B$10:$B$14,0))),"N/A")</f>
        <v/>
      </c>
      <c r="T222" s="53">
        <f>IFERROR(IF(INDEX('GCE'!$M$10:$M$12,MATCH($F222,'GCE'!$B$10:$B$12,0))="","Cell will autofill based on response",INDEX('GCE'!$M$10:$M$12,MATCH($F222,'GCE'!$B$10:$B$12,0))),"N/A")</f>
        <v/>
      </c>
      <c r="U222" s="53">
        <f>IFERROR(IF(INDEX('Education'!$M$10:$M$13,MATCH($F222,'Education'!$B$10:$B$13,0))="","Cell will autofill based on response",INDEX('Education'!$M$10:$M$13,MATCH($F222,'Education'!$B$10:$B$13,0))),"N/A")</f>
        <v/>
      </c>
      <c r="V222" s="53">
        <f>IFERROR(IF(INDEX('SaSS'!$M$10:$M$12,MATCH($F222,'SaSS'!$B$10:$B$12,0))="","Cell will autofill based on response",INDEX('SaSS'!$M$10:$M$12,MATCH($F222,'SaSS'!$B$10:$B$12,0))),"N/A")</f>
        <v/>
      </c>
      <c r="W222" s="53">
        <f>IFERROR(IF(INDEX('Indigenous'!$M$10:$M$11,MATCH($F222,'Indigenous'!$B$10:$B$11,0))="","Cell will autofill based on response",INDEX('Indigenous'!$M$10:$M$11,MATCH($F222,'Indigenous'!$B$10:$B$11,0))),"N/A")</f>
        <v/>
      </c>
      <c r="X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IFERROR(IF(INDEX('Faculties'!$N$10:$N$23,MATCH($F223,'Faculties'!$B$10:$B$23,0))="","Cell will autofill based on response",INDEX('Faculties'!$N$10:$N$23,MATCH($F223,'Faculties'!$B$10:$B$23,0))),"N/A")</f>
        <v/>
      </c>
      <c r="I223" s="53">
        <f>IFERROR(IF(INDEX('Faculties'!$N$30:$N$43,MATCH($F223,'Faculties'!$B$30:$B$43,0))="","Cell will autofill based on response",INDEX('Faculties'!$N$30:$N$43,MATCH($F223,'Faculties'!$B$30:$B$43,0))),"N/A")</f>
        <v/>
      </c>
      <c r="J223" s="53">
        <f>IFERROR(IF(INDEX('Faculties'!$N$50:$N$63,MATCH($F223,'Faculties'!$B$50:$B$63,0))="","Cell will autofill based on response",INDEX('Faculties'!$N$50:$N$63,MATCH($F223,'Faculties'!$B$50:$B$63,0))),"N/A")</f>
        <v/>
      </c>
      <c r="K223" s="53">
        <f>IFERROR(IF(INDEX('Faculties'!$N$70:$N$83,MATCH($F223,'Faculties'!$B$70:$B$83,0))="","Cell will autofill based on response",INDEX('Faculties'!$N$70:$N$83,MATCH($F223,'Faculties'!$B$70:$B$83,0))),"N/A")</f>
        <v/>
      </c>
      <c r="L223" s="53">
        <f>IFERROR(IF(INDEX('CI&amp;S'!$N$10:$N$15,MATCH($F223,'CI&amp;S'!$B$10:$B$15,0))="","Cell will autofill based on response",INDEX('CI&amp;S'!$N$10:$N$15,MATCH($F223,'CI&amp;S'!$B$10:$B$15,0))),"N/A")</f>
        <v/>
      </c>
      <c r="M223" s="53">
        <f>IFERROR(IF(INDEX('CI&amp;S'!$N$22:$N$36,MATCH($F223,'CI&amp;S'!$B$22:$B$36,0))="","Cell will autofill based on response",INDEX('CI&amp;S'!$N$22:$N$36,MATCH($F223,'CI&amp;S'!$B$22:$B$36,0))),"N/A")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IFERROR(IF(INDEX('MRE'!$N$10:$N$15,MATCH($F223,'MRE'!$B$10:$B$15,0))="","Cell will autofill based on response",INDEX('MRE'!$N$10:$N$15,MATCH($F223,'MRE'!$B$10:$B$15,0))),"N/A")</f>
        <v/>
      </c>
      <c r="S223" s="53">
        <f>IFERROR(IF(INDEX('AC&amp;M'!$N$10:$N$14,MATCH($F223,'AC&amp;M'!$B$10:$B$14,0))="","Cell will autofill based on response",INDEX('AC&amp;M'!$N$10:$N$14,MATCH($F223,'AC&amp;M'!$B$10:$B$14,0))),"N/A")</f>
        <v/>
      </c>
      <c r="T223" s="53">
        <f>IFERROR(IF(INDEX('GCE'!$N$10:$N$12,MATCH($F223,'GCE'!$B$10:$B$12,0))="","Cell will autofill based on response",INDEX('GCE'!$N$10:$N$12,MATCH($F223,'GCE'!$B$10:$B$12,0))),"N/A")</f>
        <v/>
      </c>
      <c r="U223" s="53">
        <f>IFERROR(IF(INDEX('Education'!$N$10:$N$13,MATCH($F223,'Education'!$B$10:$B$13,0))="","Cell will autofill based on response",INDEX('Education'!$N$10:$N$13,MATCH($F223,'Education'!$B$10:$B$13,0))),"N/A")</f>
        <v/>
      </c>
      <c r="V223" s="53">
        <f>IFERROR(IF(INDEX('SaSS'!$N$10:$N$12,MATCH($F223,'SaSS'!$B$10:$B$12,0))="","Cell will autofill based on response",INDEX('SaSS'!$N$10:$N$12,MATCH($F223,'SaSS'!$B$10:$B$12,0))),"N/A")</f>
        <v/>
      </c>
      <c r="W223" s="53">
        <f>IFERROR(IF(INDEX('Indigenous'!$N$10:$N$11,MATCH($F223,'Indigenous'!$B$10:$B$11,0))="","Cell will autofill based on response",INDEX('Indigenous'!$N$10:$N$11,MATCH($F223,'Indigenous'!$B$10:$B$11,0))),"N/A")</f>
        <v/>
      </c>
      <c r="X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IFERROR(IF(INDEX('Faculties'!$O$10:$O$23,MATCH($F224,'Faculties'!$B$10:$B$23,0))="","Cell will autofill based on response",INDEX('Faculties'!$O$10:$O$23,MATCH($F224,'Faculties'!$B$10:$B$23,0))),"N/A")</f>
        <v/>
      </c>
      <c r="I224" s="53">
        <f>IFERROR(IF(INDEX('Faculties'!$O$30:$O$43,MATCH($F224,'Faculties'!$B$30:$B$43,0))="","Cell will autofill based on response",INDEX('Faculties'!$O$30:$O$43,MATCH($F224,'Faculties'!$B$30:$B$43,0))),"N/A")</f>
        <v/>
      </c>
      <c r="J224" s="53">
        <f>IFERROR(IF(INDEX('Faculties'!$O$50:$O$63,MATCH($F224,'Faculties'!$B$50:$B$63,0))="","Cell will autofill based on response",INDEX('Faculties'!$O$50:$O$63,MATCH($F224,'Faculties'!$B$50:$B$63,0))),"N/A")</f>
        <v/>
      </c>
      <c r="K224" s="53">
        <f>IFERROR(IF(INDEX('Faculties'!$O$70:$O$83,MATCH($F224,'Faculties'!$B$70:$B$83,0))="","Cell will autofill based on response",INDEX('Faculties'!$O$70:$O$83,MATCH($F224,'Faculties'!$B$70:$B$83,0))),"N/A")</f>
        <v/>
      </c>
      <c r="L224" s="53">
        <f>IFERROR(IF(INDEX('CI&amp;S'!$O$10:$O$15,MATCH($F224,'CI&amp;S'!$B$10:$B$15,0))="","Cell will autofill based on response",INDEX('CI&amp;S'!$O$10:$O$15,MATCH($F224,'CI&amp;S'!$B$10:$B$15,0))),"N/A")</f>
        <v/>
      </c>
      <c r="M224" s="53">
        <f>IFERROR(IF(INDEX('CI&amp;S'!$O$22:$O$36,MATCH($F224,'CI&amp;S'!$B$22:$B$36,0))="","Cell will autofill based on response",INDEX('CI&amp;S'!$O$22:$O$36,MATCH($F224,'CI&amp;S'!$B$22:$B$36,0))),"N/A")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IFERROR(IF(INDEX('MRE'!$O$10:$O$15,MATCH($F224,'MRE'!$B$10:$B$15,0))="","Cell will autofill based on response",INDEX('MRE'!$O$10:$O$15,MATCH($F224,'MRE'!$B$10:$B$15,0))),"N/A")</f>
        <v/>
      </c>
      <c r="S224" s="53">
        <f>IFERROR(IF(INDEX('AC&amp;M'!$O$10:$O$14,MATCH($F224,'AC&amp;M'!$B$10:$B$14,0))="","Cell will autofill based on response",INDEX('AC&amp;M'!$O$10:$O$14,MATCH($F224,'AC&amp;M'!$B$10:$B$14,0))),"N/A")</f>
        <v/>
      </c>
      <c r="T224" s="53">
        <f>IFERROR(IF(INDEX('GCE'!$O$10:$O$12,MATCH($F224,'GCE'!$B$10:$B$12,0))="","Cell will autofill based on response",INDEX('GCE'!$O$10:$O$12,MATCH($F224,'GCE'!$B$10:$B$12,0))),"N/A")</f>
        <v/>
      </c>
      <c r="U224" s="53">
        <f>IFERROR(IF(INDEX('Education'!$O$10:$O$13,MATCH($F224,'Education'!$B$10:$B$13,0))="","Cell will autofill based on response",INDEX('Education'!$O$10:$O$13,MATCH($F224,'Education'!$B$10:$B$13,0))),"N/A")</f>
        <v/>
      </c>
      <c r="V224" s="53">
        <f>IFERROR(IF(INDEX('SaSS'!$O$10:$O$12,MATCH($F224,'SaSS'!$B$10:$B$12,0))="","Cell will autofill based on response",INDEX('SaSS'!$O$10:$O$12,MATCH($F224,'SaSS'!$B$10:$B$12,0))),"N/A")</f>
        <v/>
      </c>
      <c r="W224" s="53">
        <f>IFERROR(IF(INDEX('Indigenous'!$O$10:$O$11,MATCH($F224,'Indigenous'!$B$10:$B$11,0))="","Cell will autofill based on response",INDEX('Indigenous'!$O$10:$O$11,MATCH($F224,'Indigenous'!$B$10:$B$11,0))),"N/A")</f>
        <v/>
      </c>
      <c r="X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IFERROR(IF(INDEX('Faculties'!$P$10:$P$23,MATCH($F225,'Faculties'!$B$10:$B$23,0))="","Cell will autofill based on response",INDEX('Faculties'!$P$10:$P$23,MATCH($F225,'Faculties'!$B$10:$B$23,0))),"N/A")</f>
        <v/>
      </c>
      <c r="I225" s="53">
        <f>IFERROR(IF(INDEX('Faculties'!$P$30:$P$43,MATCH($F225,'Faculties'!$B$30:$B$43,0))="","Cell will autofill based on response",INDEX('Faculties'!$P$30:$P$43,MATCH($F225,'Faculties'!$B$30:$B$43,0))),"N/A")</f>
        <v/>
      </c>
      <c r="J225" s="53">
        <f>IFERROR(IF(INDEX('Faculties'!$P$50:$P$63,MATCH($F225,'Faculties'!$B$50:$B$63,0))="","Cell will autofill based on response",INDEX('Faculties'!$P$50:$P$63,MATCH($F225,'Faculties'!$B$50:$B$63,0))),"N/A")</f>
        <v/>
      </c>
      <c r="K225" s="53">
        <f>IFERROR(IF(INDEX('Faculties'!$P$70:$P$83,MATCH($F225,'Faculties'!$B$70:$B$83,0))="","Cell will autofill based on response",INDEX('Faculties'!$P$70:$P$83,MATCH($F225,'Faculties'!$B$70:$B$83,0))),"N/A")</f>
        <v/>
      </c>
      <c r="L225" s="53">
        <f>IFERROR(IF(INDEX('CI&amp;S'!$P$10:$P$15,MATCH($F225,'CI&amp;S'!$B$10:$B$15,0))="","Cell will autofill based on response",INDEX('CI&amp;S'!$P$10:$P$15,MATCH($F225,'CI&amp;S'!$B$10:$B$15,0))),"N/A")</f>
        <v/>
      </c>
      <c r="M225" s="53">
        <f>IFERROR(IF(INDEX('CI&amp;S'!$P$22:$P$36,MATCH($F225,'CI&amp;S'!$B$22:$B$36,0))="","Cell will autofill based on response",INDEX('CI&amp;S'!$P$22:$P$36,MATCH($F225,'CI&amp;S'!$B$22:$B$36,0))),"N/A")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IFERROR(IF(INDEX('MRE'!$P$10:$P$15,MATCH($F225,'MRE'!$B$10:$B$15,0))="","Cell will autofill based on response",INDEX('MRE'!$P$10:$P$15,MATCH($F225,'MRE'!$B$10:$B$15,0))),"N/A")</f>
        <v/>
      </c>
      <c r="S225" s="53">
        <f>IFERROR(IF(INDEX('AC&amp;M'!$P$10:$P$14,MATCH($F225,'AC&amp;M'!$B$10:$B$14,0))="","Cell will autofill based on response",INDEX('AC&amp;M'!$P$10:$P$14,MATCH($F225,'AC&amp;M'!$B$10:$B$14,0))),"N/A")</f>
        <v/>
      </c>
      <c r="T225" s="53">
        <f>IFERROR(IF(INDEX('GCE'!$P$10:$P$12,MATCH($F225,'GCE'!$B$10:$B$12,0))="","Cell will autofill based on response",INDEX('GCE'!$P$10:$P$12,MATCH($F225,'GCE'!$B$10:$B$12,0))),"N/A")</f>
        <v/>
      </c>
      <c r="U225" s="53">
        <f>IFERROR(IF(INDEX('Education'!$P$10:$P$13,MATCH($F225,'Education'!$B$10:$B$13,0))="","Cell will autofill based on response",INDEX('Education'!$P$10:$P$13,MATCH($F225,'Education'!$B$10:$B$13,0))),"N/A")</f>
        <v/>
      </c>
      <c r="V225" s="53">
        <f>IFERROR(IF(INDEX('SaSS'!$P$10:$P$12,MATCH($F225,'SaSS'!$B$10:$B$12,0))="","Cell will autofill based on response",INDEX('SaSS'!$P$10:$P$12,MATCH($F225,'SaSS'!$B$10:$B$12,0))),"N/A")</f>
        <v/>
      </c>
      <c r="W225" s="53">
        <f>IFERROR(IF(INDEX('Indigenous'!$P$10:$P$11,MATCH($F225,'Indigenous'!$B$10:$B$11,0))="","Cell will autofill based on response",INDEX('Indigenous'!$P$10:$P$11,MATCH($F225,'Indigenous'!$B$10:$B$11,0))),"N/A")</f>
        <v/>
      </c>
      <c r="X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IFERROR(IF(INDEX('Faculties'!$Q$10:$Q$23,MATCH($F226,'Faculties'!$B$10:$B$23,0))="","Cell will autofill based on response",INDEX('Faculties'!$Q$10:$Q$23,MATCH($F226,'Faculties'!$B$10:$B$23,0))),"N/A")</f>
        <v/>
      </c>
      <c r="I226" s="53">
        <f>IFERROR(IF(INDEX('Faculties'!$Q$30:$Q$43,MATCH($F226,'Faculties'!$B$30:$B$43,0))="","Cell will autofill based on response",INDEX('Faculties'!$Q$30:$Q$43,MATCH($F226,'Faculties'!$B$30:$B$43,0))),"N/A")</f>
        <v/>
      </c>
      <c r="J226" s="53">
        <f>IFERROR(IF(INDEX('Faculties'!$Q$50:$Q$63,MATCH($F226,'Faculties'!$B$50:$B$63,0))="","Cell will autofill based on response",INDEX('Faculties'!$Q$50:$Q$63,MATCH($F226,'Faculties'!$B$50:$B$63,0))),"N/A")</f>
        <v/>
      </c>
      <c r="K226" s="53">
        <f>IFERROR(IF(INDEX('Faculties'!$Q$70:$Q$83,MATCH($F226,'Faculties'!$B$70:$B$83,0))="","Cell will autofill based on response",INDEX('Faculties'!$Q$70:$Q$83,MATCH($F226,'Faculties'!$B$70:$B$83,0))),"N/A")</f>
        <v/>
      </c>
      <c r="L226" s="53">
        <f>IFERROR(IF(INDEX('CI&amp;S'!$Q$10:$Q$15,MATCH($F226,'CI&amp;S'!$B$10:$B$15,0))="","Cell will autofill based on response",INDEX('CI&amp;S'!$Q$10:$Q$15,MATCH($F226,'CI&amp;S'!$B$10:$B$15,0))),"N/A")</f>
        <v/>
      </c>
      <c r="M226" s="53">
        <f>IFERROR(IF(INDEX('CI&amp;S'!$Q$22:$Q$36,MATCH($F226,'CI&amp;S'!$B$22:$B$36,0))="","Cell will autofill based on response",INDEX('CI&amp;S'!$Q$22:$Q$36,MATCH($F226,'CI&amp;S'!$B$22:$B$36,0))),"N/A")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IFERROR(IF(INDEX('MRE'!$Q$10:$Q$15,MATCH($F226,'MRE'!$B$10:$B$15,0))="","Cell will autofill based on response",INDEX('MRE'!$Q$10:$Q$15,MATCH($F226,'MRE'!$B$10:$B$15,0))),"N/A")</f>
        <v/>
      </c>
      <c r="S226" s="53">
        <f>IFERROR(IF(INDEX('AC&amp;M'!$Q$10:$Q$14,MATCH($F226,'AC&amp;M'!$B$10:$B$14,0))="","Cell will autofill based on response",INDEX('AC&amp;M'!$Q$10:$Q$14,MATCH($F226,'AC&amp;M'!$B$10:$B$14,0))),"N/A")</f>
        <v/>
      </c>
      <c r="T226" s="53">
        <f>IFERROR(IF(INDEX('GCE'!$Q$10:$Q$12,MATCH($F226,'GCE'!$B$10:$B$12,0))="","Cell will autofill based on response",INDEX('GCE'!$Q$10:$Q$12,MATCH($F226,'GCE'!$B$10:$B$12,0))),"N/A")</f>
        <v/>
      </c>
      <c r="U226" s="53">
        <f>IFERROR(IF(INDEX('Education'!$Q$10:$Q$13,MATCH($F226,'Education'!$B$10:$B$13,0))="","Cell will autofill based on response",INDEX('Education'!$Q$10:$Q$13,MATCH($F226,'Education'!$B$10:$B$13,0))),"N/A")</f>
        <v/>
      </c>
      <c r="V226" s="53">
        <f>IFERROR(IF(INDEX('SaSS'!$Q$10:$Q$12,MATCH($F226,'SaSS'!$B$10:$B$12,0))="","Cell will autofill based on response",INDEX('SaSS'!$Q$10:$Q$12,MATCH($F226,'SaSS'!$B$10:$B$12,0))),"N/A")</f>
        <v/>
      </c>
      <c r="W226" s="53">
        <f>IFERROR(IF(INDEX('Indigenous'!$Q$10:$Q$11,MATCH($F226,'Indigenous'!$B$10:$B$11,0))="","Cell will autofill based on response",INDEX('Indigenous'!$Q$10:$Q$11,MATCH($F226,'Indigenous'!$B$10:$B$11,0))),"N/A")</f>
        <v/>
      </c>
      <c r="X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IFERROR(IF(INDEX('Faculties'!$L$10:$L$23,MATCH($F227,'Faculties'!$B$10:$B$23,0))="","Cell will autofill based on response",INDEX('Faculties'!$L$10:$L$23,MATCH($F227,'Faculties'!$B$10:$B$23,0))),"N/A")</f>
        <v/>
      </c>
      <c r="I227" s="53">
        <f>IFERROR(IF(INDEX('Faculties'!$L$30:$L$43,MATCH($F227,'Faculties'!$B$30:$B$43,0))="","Cell will autofill based on response",INDEX('Faculties'!$L$30:$L$43,MATCH($F227,'Faculties'!$B$30:$B$43,0))),"N/A")</f>
        <v/>
      </c>
      <c r="J227" s="53">
        <f>IFERROR(IF(INDEX('Faculties'!$L$50:$L$63,MATCH($F227,'Faculties'!$B$50:$B$63,0))="","Cell will autofill based on response",INDEX('Faculties'!$L$50:$L$63,MATCH($F227,'Faculties'!$B$50:$B$63,0))),"N/A")</f>
        <v/>
      </c>
      <c r="K227" s="53">
        <f>IFERROR(IF(INDEX('Faculties'!$L$70:$L$83,MATCH($F227,'Faculties'!$B$70:$B$83,0))="","Cell will autofill based on response",INDEX('Faculties'!$L$70:$L$83,MATCH($F227,'Faculties'!$B$70:$B$83,0))),"N/A")</f>
        <v/>
      </c>
      <c r="L227" s="53">
        <f>IFERROR(IF(INDEX('CI&amp;S'!$L$10:$L$15,MATCH($F227,'CI&amp;S'!$B$10:$B$15,0))="","Cell will autofill based on response",INDEX('CI&amp;S'!$L$10:$L$15,MATCH($F227,'CI&amp;S'!$B$10:$B$15,0))),"N/A")</f>
        <v/>
      </c>
      <c r="M227" s="53">
        <f>IFERROR(IF(INDEX('CI&amp;S'!$L$22:$L$36,MATCH($F227,'CI&amp;S'!$B$22:$B$36,0))="","Cell will autofill based on response",INDEX('CI&amp;S'!$L$22:$L$36,MATCH($F227,'CI&amp;S'!$B$22:$B$36,0))),"N/A")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IFERROR(IF(INDEX('MRE'!$L$10:$L$15,MATCH($F227,'MRE'!$B$10:$B$15,0))="","Cell will autofill based on response",INDEX('MRE'!$L$10:$L$15,MATCH($F227,'MRE'!$B$10:$B$15,0))),"N/A")</f>
        <v/>
      </c>
      <c r="S227" s="53">
        <f>IFERROR(IF(INDEX('AC&amp;M'!$L$10:$L$14,MATCH($F227,'AC&amp;M'!$B$10:$B$14,0))="","Cell will autofill based on response",INDEX('AC&amp;M'!$L$10:$L$14,MATCH($F227,'AC&amp;M'!$B$10:$B$14,0))),"N/A")</f>
        <v/>
      </c>
      <c r="T227" s="53">
        <f>IFERROR(IF(INDEX('GCE'!$L$10:$L$12,MATCH($F227,'GCE'!$B$10:$B$12,0))="","Cell will autofill based on response",INDEX('GCE'!$L$10:$L$12,MATCH($F227,'GCE'!$B$10:$B$12,0))),"N/A")</f>
        <v/>
      </c>
      <c r="U227" s="53">
        <f>IFERROR(IF(INDEX('Education'!$L$10:$L$13,MATCH($F227,'Education'!$B$10:$B$13,0))="","Cell will autofill based on response",INDEX('Education'!$L$10:$L$13,MATCH($F227,'Education'!$B$10:$B$13,0))),"N/A")</f>
        <v/>
      </c>
      <c r="V227" s="53">
        <f>IFERROR(IF(INDEX('SaSS'!$L$10:$L$12,MATCH($F227,'SaSS'!$B$10:$B$12,0))="","Cell will autofill based on response",INDEX('SaSS'!$L$10:$L$12,MATCH($F227,'SaSS'!$B$10:$B$12,0))),"N/A")</f>
        <v/>
      </c>
      <c r="W227" s="53">
        <f>IFERROR(IF(INDEX('Indigenous'!$L$10:$L$11,MATCH($F227,'Indigenous'!$B$10:$B$11,0))="","Cell will autofill based on response",INDEX('Indigenous'!$L$10:$L$11,MATCH($F227,'Indigenous'!$B$10:$B$11,0))),"N/A")</f>
        <v/>
      </c>
      <c r="X227" s="53">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4">
        <f>IF(AF227&gt;0,AE227/AF227,"No valid responses to date")</f>
        <v/>
      </c>
      <c r="AH227" s="10">
        <f>IF(ISNUMBER(AG227),INDEX(Lists!$G$2:$G$5,MATCH(ROUND(AG227,0),Lists!$H$2:$H$5,0)),"")</f>
        <v/>
      </c>
      <c r="AI227" s="55">
        <f>IF(AF227&gt;0,AD227/AF227,"")</f>
        <v/>
      </c>
      <c r="AJ227" s="55">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IFERROR(IF(INDEX('Faculties'!$M$10:$M$23,MATCH($F228,'Faculties'!$B$10:$B$23,0))="","Cell will autofill based on response",INDEX('Faculties'!$M$10:$M$23,MATCH($F228,'Faculties'!$B$10:$B$23,0))),"N/A")</f>
        <v/>
      </c>
      <c r="I228" s="53">
        <f>IFERROR(IF(INDEX('Faculties'!$M$30:$M$43,MATCH($F228,'Faculties'!$B$30:$B$43,0))="","Cell will autofill based on response",INDEX('Faculties'!$M$30:$M$43,MATCH($F228,'Faculties'!$B$30:$B$43,0))),"N/A")</f>
        <v/>
      </c>
      <c r="J228" s="53">
        <f>IFERROR(IF(INDEX('Faculties'!$M$50:$M$63,MATCH($F228,'Faculties'!$B$50:$B$63,0))="","Cell will autofill based on response",INDEX('Faculties'!$M$50:$M$63,MATCH($F228,'Faculties'!$B$50:$B$63,0))),"N/A")</f>
        <v/>
      </c>
      <c r="K228" s="53">
        <f>IFERROR(IF(INDEX('Faculties'!$M$70:$M$83,MATCH($F228,'Faculties'!$B$70:$B$83,0))="","Cell will autofill based on response",INDEX('Faculties'!$M$70:$M$83,MATCH($F228,'Faculties'!$B$70:$B$83,0))),"N/A")</f>
        <v/>
      </c>
      <c r="L228" s="53">
        <f>IFERROR(IF(INDEX('CI&amp;S'!$M$10:$M$15,MATCH($F228,'CI&amp;S'!$B$10:$B$15,0))="","Cell will autofill based on response",INDEX('CI&amp;S'!$M$10:$M$15,MATCH($F228,'CI&amp;S'!$B$10:$B$15,0))),"N/A")</f>
        <v/>
      </c>
      <c r="M228" s="53">
        <f>IFERROR(IF(INDEX('CI&amp;S'!$M$22:$M$36,MATCH($F228,'CI&amp;S'!$B$22:$B$36,0))="","Cell will autofill based on response",INDEX('CI&amp;S'!$M$22:$M$36,MATCH($F228,'CI&amp;S'!$B$22:$B$36,0))),"N/A")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IFERROR(IF(INDEX('MRE'!$M$10:$M$15,MATCH($F228,'MRE'!$B$10:$B$15,0))="","Cell will autofill based on response",INDEX('MRE'!$M$10:$M$15,MATCH($F228,'MRE'!$B$10:$B$15,0))),"N/A")</f>
        <v/>
      </c>
      <c r="S228" s="53">
        <f>IFERROR(IF(INDEX('AC&amp;M'!$M$10:$M$14,MATCH($F228,'AC&amp;M'!$B$10:$B$14,0))="","Cell will autofill based on response",INDEX('AC&amp;M'!$M$10:$M$14,MATCH($F228,'AC&amp;M'!$B$10:$B$14,0))),"N/A")</f>
        <v/>
      </c>
      <c r="T228" s="53">
        <f>IFERROR(IF(INDEX('GCE'!$M$10:$M$12,MATCH($F228,'GCE'!$B$10:$B$12,0))="","Cell will autofill based on response",INDEX('GCE'!$M$10:$M$12,MATCH($F228,'GCE'!$B$10:$B$12,0))),"N/A")</f>
        <v/>
      </c>
      <c r="U228" s="53">
        <f>IFERROR(IF(INDEX('Education'!$M$10:$M$13,MATCH($F228,'Education'!$B$10:$B$13,0))="","Cell will autofill based on response",INDEX('Education'!$M$10:$M$13,MATCH($F228,'Education'!$B$10:$B$13,0))),"N/A")</f>
        <v/>
      </c>
      <c r="V228" s="53">
        <f>IFERROR(IF(INDEX('SaSS'!$M$10:$M$12,MATCH($F228,'SaSS'!$B$10:$B$12,0))="","Cell will autofill based on response",INDEX('SaSS'!$M$10:$M$12,MATCH($F228,'SaSS'!$B$10:$B$12,0))),"N/A")</f>
        <v/>
      </c>
      <c r="W228" s="53">
        <f>IFERROR(IF(INDEX('Indigenous'!$M$10:$M$11,MATCH($F228,'Indigenous'!$B$10:$B$11,0))="","Cell will autofill based on response",INDEX('Indigenous'!$M$10:$M$11,MATCH($F228,'Indigenous'!$B$10:$B$11,0))),"N/A")</f>
        <v/>
      </c>
      <c r="X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IFERROR(IF(INDEX('Faculties'!$N$10:$N$23,MATCH($F229,'Faculties'!$B$10:$B$23,0))="","Cell will autofill based on response",INDEX('Faculties'!$N$10:$N$23,MATCH($F229,'Faculties'!$B$10:$B$23,0))),"N/A")</f>
        <v/>
      </c>
      <c r="I229" s="53">
        <f>IFERROR(IF(INDEX('Faculties'!$N$30:$N$43,MATCH($F229,'Faculties'!$B$30:$B$43,0))="","Cell will autofill based on response",INDEX('Faculties'!$N$30:$N$43,MATCH($F229,'Faculties'!$B$30:$B$43,0))),"N/A")</f>
        <v/>
      </c>
      <c r="J229" s="53">
        <f>IFERROR(IF(INDEX('Faculties'!$N$50:$N$63,MATCH($F229,'Faculties'!$B$50:$B$63,0))="","Cell will autofill based on response",INDEX('Faculties'!$N$50:$N$63,MATCH($F229,'Faculties'!$B$50:$B$63,0))),"N/A")</f>
        <v/>
      </c>
      <c r="K229" s="53">
        <f>IFERROR(IF(INDEX('Faculties'!$N$70:$N$83,MATCH($F229,'Faculties'!$B$70:$B$83,0))="","Cell will autofill based on response",INDEX('Faculties'!$N$70:$N$83,MATCH($F229,'Faculties'!$B$70:$B$83,0))),"N/A")</f>
        <v/>
      </c>
      <c r="L229" s="53">
        <f>IFERROR(IF(INDEX('CI&amp;S'!$N$10:$N$15,MATCH($F229,'CI&amp;S'!$B$10:$B$15,0))="","Cell will autofill based on response",INDEX('CI&amp;S'!$N$10:$N$15,MATCH($F229,'CI&amp;S'!$B$10:$B$15,0))),"N/A")</f>
        <v/>
      </c>
      <c r="M229" s="53">
        <f>IFERROR(IF(INDEX('CI&amp;S'!$N$22:$N$36,MATCH($F229,'CI&amp;S'!$B$22:$B$36,0))="","Cell will autofill based on response",INDEX('CI&amp;S'!$N$22:$N$36,MATCH($F229,'CI&amp;S'!$B$22:$B$36,0))),"N/A")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IFERROR(IF(INDEX('MRE'!$N$10:$N$15,MATCH($F229,'MRE'!$B$10:$B$15,0))="","Cell will autofill based on response",INDEX('MRE'!$N$10:$N$15,MATCH($F229,'MRE'!$B$10:$B$15,0))),"N/A")</f>
        <v/>
      </c>
      <c r="S229" s="53">
        <f>IFERROR(IF(INDEX('AC&amp;M'!$N$10:$N$14,MATCH($F229,'AC&amp;M'!$B$10:$B$14,0))="","Cell will autofill based on response",INDEX('AC&amp;M'!$N$10:$N$14,MATCH($F229,'AC&amp;M'!$B$10:$B$14,0))),"N/A")</f>
        <v/>
      </c>
      <c r="T229" s="53">
        <f>IFERROR(IF(INDEX('GCE'!$N$10:$N$12,MATCH($F229,'GCE'!$B$10:$B$12,0))="","Cell will autofill based on response",INDEX('GCE'!$N$10:$N$12,MATCH($F229,'GCE'!$B$10:$B$12,0))),"N/A")</f>
        <v/>
      </c>
      <c r="U229" s="53">
        <f>IFERROR(IF(INDEX('Education'!$N$10:$N$13,MATCH($F229,'Education'!$B$10:$B$13,0))="","Cell will autofill based on response",INDEX('Education'!$N$10:$N$13,MATCH($F229,'Education'!$B$10:$B$13,0))),"N/A")</f>
        <v/>
      </c>
      <c r="V229" s="53">
        <f>IFERROR(IF(INDEX('SaSS'!$N$10:$N$12,MATCH($F229,'SaSS'!$B$10:$B$12,0))="","Cell will autofill based on response",INDEX('SaSS'!$N$10:$N$12,MATCH($F229,'SaSS'!$B$10:$B$12,0))),"N/A")</f>
        <v/>
      </c>
      <c r="W229" s="53">
        <f>IFERROR(IF(INDEX('Indigenous'!$N$10:$N$11,MATCH($F229,'Indigenous'!$B$10:$B$11,0))="","Cell will autofill based on response",INDEX('Indigenous'!$N$10:$N$11,MATCH($F229,'Indigenous'!$B$10:$B$11,0))),"N/A")</f>
        <v/>
      </c>
      <c r="X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IFERROR(IF(INDEX('Faculties'!$O$10:$O$23,MATCH($F230,'Faculties'!$B$10:$B$23,0))="","Cell will autofill based on response",INDEX('Faculties'!$O$10:$O$23,MATCH($F230,'Faculties'!$B$10:$B$23,0))),"N/A")</f>
        <v/>
      </c>
      <c r="I230" s="53">
        <f>IFERROR(IF(INDEX('Faculties'!$O$30:$O$43,MATCH($F230,'Faculties'!$B$30:$B$43,0))="","Cell will autofill based on response",INDEX('Faculties'!$O$30:$O$43,MATCH($F230,'Faculties'!$B$30:$B$43,0))),"N/A")</f>
        <v/>
      </c>
      <c r="J230" s="53">
        <f>IFERROR(IF(INDEX('Faculties'!$O$50:$O$63,MATCH($F230,'Faculties'!$B$50:$B$63,0))="","Cell will autofill based on response",INDEX('Faculties'!$O$50:$O$63,MATCH($F230,'Faculties'!$B$50:$B$63,0))),"N/A")</f>
        <v/>
      </c>
      <c r="K230" s="53">
        <f>IFERROR(IF(INDEX('Faculties'!$O$70:$O$83,MATCH($F230,'Faculties'!$B$70:$B$83,0))="","Cell will autofill based on response",INDEX('Faculties'!$O$70:$O$83,MATCH($F230,'Faculties'!$B$70:$B$83,0))),"N/A")</f>
        <v/>
      </c>
      <c r="L230" s="53">
        <f>IFERROR(IF(INDEX('CI&amp;S'!$O$10:$O$15,MATCH($F230,'CI&amp;S'!$B$10:$B$15,0))="","Cell will autofill based on response",INDEX('CI&amp;S'!$O$10:$O$15,MATCH($F230,'CI&amp;S'!$B$10:$B$15,0))),"N/A")</f>
        <v/>
      </c>
      <c r="M230" s="53">
        <f>IFERROR(IF(INDEX('CI&amp;S'!$O$22:$O$36,MATCH($F230,'CI&amp;S'!$B$22:$B$36,0))="","Cell will autofill based on response",INDEX('CI&amp;S'!$O$22:$O$36,MATCH($F230,'CI&amp;S'!$B$22:$B$36,0))),"N/A")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IFERROR(IF(INDEX('MRE'!$O$10:$O$15,MATCH($F230,'MRE'!$B$10:$B$15,0))="","Cell will autofill based on response",INDEX('MRE'!$O$10:$O$15,MATCH($F230,'MRE'!$B$10:$B$15,0))),"N/A")</f>
        <v/>
      </c>
      <c r="S230" s="53">
        <f>IFERROR(IF(INDEX('AC&amp;M'!$O$10:$O$14,MATCH($F230,'AC&amp;M'!$B$10:$B$14,0))="","Cell will autofill based on response",INDEX('AC&amp;M'!$O$10:$O$14,MATCH($F230,'AC&amp;M'!$B$10:$B$14,0))),"N/A")</f>
        <v/>
      </c>
      <c r="T230" s="53">
        <f>IFERROR(IF(INDEX('GCE'!$O$10:$O$12,MATCH($F230,'GCE'!$B$10:$B$12,0))="","Cell will autofill based on response",INDEX('GCE'!$O$10:$O$12,MATCH($F230,'GCE'!$B$10:$B$12,0))),"N/A")</f>
        <v/>
      </c>
      <c r="U230" s="53">
        <f>IFERROR(IF(INDEX('Education'!$O$10:$O$13,MATCH($F230,'Education'!$B$10:$B$13,0))="","Cell will autofill based on response",INDEX('Education'!$O$10:$O$13,MATCH($F230,'Education'!$B$10:$B$13,0))),"N/A")</f>
        <v/>
      </c>
      <c r="V230" s="53">
        <f>IFERROR(IF(INDEX('SaSS'!$O$10:$O$12,MATCH($F230,'SaSS'!$B$10:$B$12,0))="","Cell will autofill based on response",INDEX('SaSS'!$O$10:$O$12,MATCH($F230,'SaSS'!$B$10:$B$12,0))),"N/A")</f>
        <v/>
      </c>
      <c r="W230" s="53">
        <f>IFERROR(IF(INDEX('Indigenous'!$O$10:$O$11,MATCH($F230,'Indigenous'!$B$10:$B$11,0))="","Cell will autofill based on response",INDEX('Indigenous'!$O$10:$O$11,MATCH($F230,'Indigenous'!$B$10:$B$11,0))),"N/A")</f>
        <v/>
      </c>
      <c r="X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IFERROR(IF(INDEX('Faculties'!$P$10:$P$23,MATCH($F231,'Faculties'!$B$10:$B$23,0))="","Cell will autofill based on response",INDEX('Faculties'!$P$10:$P$23,MATCH($F231,'Faculties'!$B$10:$B$23,0))),"N/A")</f>
        <v/>
      </c>
      <c r="I231" s="53">
        <f>IFERROR(IF(INDEX('Faculties'!$P$30:$P$43,MATCH($F231,'Faculties'!$B$30:$B$43,0))="","Cell will autofill based on response",INDEX('Faculties'!$P$30:$P$43,MATCH($F231,'Faculties'!$B$30:$B$43,0))),"N/A")</f>
        <v/>
      </c>
      <c r="J231" s="53">
        <f>IFERROR(IF(INDEX('Faculties'!$P$50:$P$63,MATCH($F231,'Faculties'!$B$50:$B$63,0))="","Cell will autofill based on response",INDEX('Faculties'!$P$50:$P$63,MATCH($F231,'Faculties'!$B$50:$B$63,0))),"N/A")</f>
        <v/>
      </c>
      <c r="K231" s="53">
        <f>IFERROR(IF(INDEX('Faculties'!$P$70:$P$83,MATCH($F231,'Faculties'!$B$70:$B$83,0))="","Cell will autofill based on response",INDEX('Faculties'!$P$70:$P$83,MATCH($F231,'Faculties'!$B$70:$B$83,0))),"N/A")</f>
        <v/>
      </c>
      <c r="L231" s="53">
        <f>IFERROR(IF(INDEX('CI&amp;S'!$P$10:$P$15,MATCH($F231,'CI&amp;S'!$B$10:$B$15,0))="","Cell will autofill based on response",INDEX('CI&amp;S'!$P$10:$P$15,MATCH($F231,'CI&amp;S'!$B$10:$B$15,0))),"N/A")</f>
        <v/>
      </c>
      <c r="M231" s="53">
        <f>IFERROR(IF(INDEX('CI&amp;S'!$P$22:$P$36,MATCH($F231,'CI&amp;S'!$B$22:$B$36,0))="","Cell will autofill based on response",INDEX('CI&amp;S'!$P$22:$P$36,MATCH($F231,'CI&amp;S'!$B$22:$B$36,0))),"N/A")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IFERROR(IF(INDEX('MRE'!$P$10:$P$15,MATCH($F231,'MRE'!$B$10:$B$15,0))="","Cell will autofill based on response",INDEX('MRE'!$P$10:$P$15,MATCH($F231,'MRE'!$B$10:$B$15,0))),"N/A")</f>
        <v/>
      </c>
      <c r="S231" s="53">
        <f>IFERROR(IF(INDEX('AC&amp;M'!$P$10:$P$14,MATCH($F231,'AC&amp;M'!$B$10:$B$14,0))="","Cell will autofill based on response",INDEX('AC&amp;M'!$P$10:$P$14,MATCH($F231,'AC&amp;M'!$B$10:$B$14,0))),"N/A")</f>
        <v/>
      </c>
      <c r="T231" s="53">
        <f>IFERROR(IF(INDEX('GCE'!$P$10:$P$12,MATCH($F231,'GCE'!$B$10:$B$12,0))="","Cell will autofill based on response",INDEX('GCE'!$P$10:$P$12,MATCH($F231,'GCE'!$B$10:$B$12,0))),"N/A")</f>
        <v/>
      </c>
      <c r="U231" s="53">
        <f>IFERROR(IF(INDEX('Education'!$P$10:$P$13,MATCH($F231,'Education'!$B$10:$B$13,0))="","Cell will autofill based on response",INDEX('Education'!$P$10:$P$13,MATCH($F231,'Education'!$B$10:$B$13,0))),"N/A")</f>
        <v/>
      </c>
      <c r="V231" s="53">
        <f>IFERROR(IF(INDEX('SaSS'!$P$10:$P$12,MATCH($F231,'SaSS'!$B$10:$B$12,0))="","Cell will autofill based on response",INDEX('SaSS'!$P$10:$P$12,MATCH($F231,'SaSS'!$B$10:$B$12,0))),"N/A")</f>
        <v/>
      </c>
      <c r="W231" s="53">
        <f>IFERROR(IF(INDEX('Indigenous'!$P$10:$P$11,MATCH($F231,'Indigenous'!$B$10:$B$11,0))="","Cell will autofill based on response",INDEX('Indigenous'!$P$10:$P$11,MATCH($F231,'Indigenous'!$B$10:$B$11,0))),"N/A")</f>
        <v/>
      </c>
      <c r="X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IFERROR(IF(INDEX('Faculties'!$Q$10:$Q$23,MATCH($F232,'Faculties'!$B$10:$B$23,0))="","Cell will autofill based on response",INDEX('Faculties'!$Q$10:$Q$23,MATCH($F232,'Faculties'!$B$10:$B$23,0))),"N/A")</f>
        <v/>
      </c>
      <c r="I232" s="53">
        <f>IFERROR(IF(INDEX('Faculties'!$Q$30:$Q$43,MATCH($F232,'Faculties'!$B$30:$B$43,0))="","Cell will autofill based on response",INDEX('Faculties'!$Q$30:$Q$43,MATCH($F232,'Faculties'!$B$30:$B$43,0))),"N/A")</f>
        <v/>
      </c>
      <c r="J232" s="53">
        <f>IFERROR(IF(INDEX('Faculties'!$Q$50:$Q$63,MATCH($F232,'Faculties'!$B$50:$B$63,0))="","Cell will autofill based on response",INDEX('Faculties'!$Q$50:$Q$63,MATCH($F232,'Faculties'!$B$50:$B$63,0))),"N/A")</f>
        <v/>
      </c>
      <c r="K232" s="53">
        <f>IFERROR(IF(INDEX('Faculties'!$Q$70:$Q$83,MATCH($F232,'Faculties'!$B$70:$B$83,0))="","Cell will autofill based on response",INDEX('Faculties'!$Q$70:$Q$83,MATCH($F232,'Faculties'!$B$70:$B$83,0))),"N/A")</f>
        <v/>
      </c>
      <c r="L232" s="53">
        <f>IFERROR(IF(INDEX('CI&amp;S'!$Q$10:$Q$15,MATCH($F232,'CI&amp;S'!$B$10:$B$15,0))="","Cell will autofill based on response",INDEX('CI&amp;S'!$Q$10:$Q$15,MATCH($F232,'CI&amp;S'!$B$10:$B$15,0))),"N/A")</f>
        <v/>
      </c>
      <c r="M232" s="53">
        <f>IFERROR(IF(INDEX('CI&amp;S'!$Q$22:$Q$36,MATCH($F232,'CI&amp;S'!$B$22:$B$36,0))="","Cell will autofill based on response",INDEX('CI&amp;S'!$Q$22:$Q$36,MATCH($F232,'CI&amp;S'!$B$22:$B$36,0))),"N/A")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IFERROR(IF(INDEX('MRE'!$Q$10:$Q$15,MATCH($F232,'MRE'!$B$10:$B$15,0))="","Cell will autofill based on response",INDEX('MRE'!$Q$10:$Q$15,MATCH($F232,'MRE'!$B$10:$B$15,0))),"N/A")</f>
        <v/>
      </c>
      <c r="S232" s="53">
        <f>IFERROR(IF(INDEX('AC&amp;M'!$Q$10:$Q$14,MATCH($F232,'AC&amp;M'!$B$10:$B$14,0))="","Cell will autofill based on response",INDEX('AC&amp;M'!$Q$10:$Q$14,MATCH($F232,'AC&amp;M'!$B$10:$B$14,0))),"N/A")</f>
        <v/>
      </c>
      <c r="T232" s="53">
        <f>IFERROR(IF(INDEX('GCE'!$Q$10:$Q$12,MATCH($F232,'GCE'!$B$10:$B$12,0))="","Cell will autofill based on response",INDEX('GCE'!$Q$10:$Q$12,MATCH($F232,'GCE'!$B$10:$B$12,0))),"N/A")</f>
        <v/>
      </c>
      <c r="U232" s="53">
        <f>IFERROR(IF(INDEX('Education'!$Q$10:$Q$13,MATCH($F232,'Education'!$B$10:$B$13,0))="","Cell will autofill based on response",INDEX('Education'!$Q$10:$Q$13,MATCH($F232,'Education'!$B$10:$B$13,0))),"N/A")</f>
        <v/>
      </c>
      <c r="V232" s="53">
        <f>IFERROR(IF(INDEX('SaSS'!$Q$10:$Q$12,MATCH($F232,'SaSS'!$B$10:$B$12,0))="","Cell will autofill based on response",INDEX('SaSS'!$Q$10:$Q$12,MATCH($F232,'SaSS'!$B$10:$B$12,0))),"N/A")</f>
        <v/>
      </c>
      <c r="W232" s="53">
        <f>IFERROR(IF(INDEX('Indigenous'!$Q$10:$Q$11,MATCH($F232,'Indigenous'!$B$10:$B$11,0))="","Cell will autofill based on response",INDEX('Indigenous'!$Q$10:$Q$11,MATCH($F232,'Indigenous'!$B$10:$B$11,0))),"N/A")</f>
        <v/>
      </c>
      <c r="X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IFERROR(IF(INDEX('Faculties'!$L$10:$L$23,MATCH($F233,'Faculties'!$B$10:$B$23,0))="","Cell will autofill based on response",INDEX('Faculties'!$L$10:$L$23,MATCH($F233,'Faculties'!$B$10:$B$23,0))),"N/A")</f>
        <v/>
      </c>
      <c r="I233" s="53">
        <f>IFERROR(IF(INDEX('Faculties'!$L$30:$L$43,MATCH($F233,'Faculties'!$B$30:$B$43,0))="","Cell will autofill based on response",INDEX('Faculties'!$L$30:$L$43,MATCH($F233,'Faculties'!$B$30:$B$43,0))),"N/A")</f>
        <v/>
      </c>
      <c r="J233" s="53">
        <f>IFERROR(IF(INDEX('Faculties'!$L$50:$L$63,MATCH($F233,'Faculties'!$B$50:$B$63,0))="","Cell will autofill based on response",INDEX('Faculties'!$L$50:$L$63,MATCH($F233,'Faculties'!$B$50:$B$63,0))),"N/A")</f>
        <v/>
      </c>
      <c r="K233" s="53">
        <f>IFERROR(IF(INDEX('Faculties'!$L$70:$L$83,MATCH($F233,'Faculties'!$B$70:$B$83,0))="","Cell will autofill based on response",INDEX('Faculties'!$L$70:$L$83,MATCH($F233,'Faculties'!$B$70:$B$83,0))),"N/A")</f>
        <v/>
      </c>
      <c r="L233" s="53">
        <f>IFERROR(IF(INDEX('CI&amp;S'!$L$10:$L$15,MATCH($F233,'CI&amp;S'!$B$10:$B$15,0))="","Cell will autofill based on response",INDEX('CI&amp;S'!$L$10:$L$15,MATCH($F233,'CI&amp;S'!$B$10:$B$15,0))),"N/A")</f>
        <v/>
      </c>
      <c r="M233" s="53">
        <f>IFERROR(IF(INDEX('CI&amp;S'!$L$22:$L$36,MATCH($F233,'CI&amp;S'!$B$22:$B$36,0))="","Cell will autofill based on response",INDEX('CI&amp;S'!$L$22:$L$36,MATCH($F233,'CI&amp;S'!$B$22:$B$36,0))),"N/A")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IFERROR(IF(INDEX('MRE'!$L$10:$L$15,MATCH($F233,'MRE'!$B$10:$B$15,0))="","Cell will autofill based on response",INDEX('MRE'!$L$10:$L$15,MATCH($F233,'MRE'!$B$10:$B$15,0))),"N/A")</f>
        <v/>
      </c>
      <c r="S233" s="53">
        <f>IFERROR(IF(INDEX('AC&amp;M'!$L$10:$L$14,MATCH($F233,'AC&amp;M'!$B$10:$B$14,0))="","Cell will autofill based on response",INDEX('AC&amp;M'!$L$10:$L$14,MATCH($F233,'AC&amp;M'!$B$10:$B$14,0))),"N/A")</f>
        <v/>
      </c>
      <c r="T233" s="53">
        <f>IFERROR(IF(INDEX('GCE'!$L$10:$L$12,MATCH($F233,'GCE'!$B$10:$B$12,0))="","Cell will autofill based on response",INDEX('GCE'!$L$10:$L$12,MATCH($F233,'GCE'!$B$10:$B$12,0))),"N/A")</f>
        <v/>
      </c>
      <c r="U233" s="53">
        <f>IFERROR(IF(INDEX('Education'!$L$10:$L$13,MATCH($F233,'Education'!$B$10:$B$13,0))="","Cell will autofill based on response",INDEX('Education'!$L$10:$L$13,MATCH($F233,'Education'!$B$10:$B$13,0))),"N/A")</f>
        <v/>
      </c>
      <c r="V233" s="53">
        <f>IFERROR(IF(INDEX('SaSS'!$L$10:$L$12,MATCH($F233,'SaSS'!$B$10:$B$12,0))="","Cell will autofill based on response",INDEX('SaSS'!$L$10:$L$12,MATCH($F233,'SaSS'!$B$10:$B$12,0))),"N/A")</f>
        <v/>
      </c>
      <c r="W233" s="53">
        <f>IFERROR(IF(INDEX('Indigenous'!$L$10:$L$11,MATCH($F233,'Indigenous'!$B$10:$B$11,0))="","Cell will autofill based on response",INDEX('Indigenous'!$L$10:$L$11,MATCH($F233,'Indigenous'!$B$10:$B$11,0))),"N/A")</f>
        <v/>
      </c>
      <c r="X233" s="53">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4">
        <f>IF(AF233&gt;0,AE233/AF233,"No valid responses to date")</f>
        <v/>
      </c>
      <c r="AH233" s="10">
        <f>IF(ISNUMBER(AG233),INDEX(Lists!$G$2:$G$5,MATCH(ROUND(AG233,0),Lists!$H$2:$H$5,0)),"")</f>
        <v/>
      </c>
      <c r="AI233" s="55">
        <f>IF(AF233&gt;0,AD233/AF233,"")</f>
        <v/>
      </c>
      <c r="AJ233" s="55">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IFERROR(IF(INDEX('Faculties'!$M$10:$M$23,MATCH($F234,'Faculties'!$B$10:$B$23,0))="","Cell will autofill based on response",INDEX('Faculties'!$M$10:$M$23,MATCH($F234,'Faculties'!$B$10:$B$23,0))),"N/A")</f>
        <v/>
      </c>
      <c r="I234" s="53">
        <f>IFERROR(IF(INDEX('Faculties'!$M$30:$M$43,MATCH($F234,'Faculties'!$B$30:$B$43,0))="","Cell will autofill based on response",INDEX('Faculties'!$M$30:$M$43,MATCH($F234,'Faculties'!$B$30:$B$43,0))),"N/A")</f>
        <v/>
      </c>
      <c r="J234" s="53">
        <f>IFERROR(IF(INDEX('Faculties'!$M$50:$M$63,MATCH($F234,'Faculties'!$B$50:$B$63,0))="","Cell will autofill based on response",INDEX('Faculties'!$M$50:$M$63,MATCH($F234,'Faculties'!$B$50:$B$63,0))),"N/A")</f>
        <v/>
      </c>
      <c r="K234" s="53">
        <f>IFERROR(IF(INDEX('Faculties'!$M$70:$M$83,MATCH($F234,'Faculties'!$B$70:$B$83,0))="","Cell will autofill based on response",INDEX('Faculties'!$M$70:$M$83,MATCH($F234,'Faculties'!$B$70:$B$83,0))),"N/A")</f>
        <v/>
      </c>
      <c r="L234" s="53">
        <f>IFERROR(IF(INDEX('CI&amp;S'!$M$10:$M$15,MATCH($F234,'CI&amp;S'!$B$10:$B$15,0))="","Cell will autofill based on response",INDEX('CI&amp;S'!$M$10:$M$15,MATCH($F234,'CI&amp;S'!$B$10:$B$15,0))),"N/A")</f>
        <v/>
      </c>
      <c r="M234" s="53">
        <f>IFERROR(IF(INDEX('CI&amp;S'!$M$22:$M$36,MATCH($F234,'CI&amp;S'!$B$22:$B$36,0))="","Cell will autofill based on response",INDEX('CI&amp;S'!$M$22:$M$36,MATCH($F234,'CI&amp;S'!$B$22:$B$36,0))),"N/A")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IFERROR(IF(INDEX('MRE'!$M$10:$M$15,MATCH($F234,'MRE'!$B$10:$B$15,0))="","Cell will autofill based on response",INDEX('MRE'!$M$10:$M$15,MATCH($F234,'MRE'!$B$10:$B$15,0))),"N/A")</f>
        <v/>
      </c>
      <c r="S234" s="53">
        <f>IFERROR(IF(INDEX('AC&amp;M'!$M$10:$M$14,MATCH($F234,'AC&amp;M'!$B$10:$B$14,0))="","Cell will autofill based on response",INDEX('AC&amp;M'!$M$10:$M$14,MATCH($F234,'AC&amp;M'!$B$10:$B$14,0))),"N/A")</f>
        <v/>
      </c>
      <c r="T234" s="53">
        <f>IFERROR(IF(INDEX('GCE'!$M$10:$M$12,MATCH($F234,'GCE'!$B$10:$B$12,0))="","Cell will autofill based on response",INDEX('GCE'!$M$10:$M$12,MATCH($F234,'GCE'!$B$10:$B$12,0))),"N/A")</f>
        <v/>
      </c>
      <c r="U234" s="53">
        <f>IFERROR(IF(INDEX('Education'!$M$10:$M$13,MATCH($F234,'Education'!$B$10:$B$13,0))="","Cell will autofill based on response",INDEX('Education'!$M$10:$M$13,MATCH($F234,'Education'!$B$10:$B$13,0))),"N/A")</f>
        <v/>
      </c>
      <c r="V234" s="53">
        <f>IFERROR(IF(INDEX('SaSS'!$M$10:$M$12,MATCH($F234,'SaSS'!$B$10:$B$12,0))="","Cell will autofill based on response",INDEX('SaSS'!$M$10:$M$12,MATCH($F234,'SaSS'!$B$10:$B$12,0))),"N/A")</f>
        <v/>
      </c>
      <c r="W234" s="53">
        <f>IFERROR(IF(INDEX('Indigenous'!$M$10:$M$11,MATCH($F234,'Indigenous'!$B$10:$B$11,0))="","Cell will autofill based on response",INDEX('Indigenous'!$M$10:$M$11,MATCH($F234,'Indigenous'!$B$10:$B$11,0))),"N/A")</f>
        <v/>
      </c>
      <c r="X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IFERROR(IF(INDEX('Faculties'!$N$10:$N$23,MATCH($F235,'Faculties'!$B$10:$B$23,0))="","Cell will autofill based on response",INDEX('Faculties'!$N$10:$N$23,MATCH($F235,'Faculties'!$B$10:$B$23,0))),"N/A")</f>
        <v/>
      </c>
      <c r="I235" s="53">
        <f>IFERROR(IF(INDEX('Faculties'!$N$30:$N$43,MATCH($F235,'Faculties'!$B$30:$B$43,0))="","Cell will autofill based on response",INDEX('Faculties'!$N$30:$N$43,MATCH($F235,'Faculties'!$B$30:$B$43,0))),"N/A")</f>
        <v/>
      </c>
      <c r="J235" s="53">
        <f>IFERROR(IF(INDEX('Faculties'!$N$50:$N$63,MATCH($F235,'Faculties'!$B$50:$B$63,0))="","Cell will autofill based on response",INDEX('Faculties'!$N$50:$N$63,MATCH($F235,'Faculties'!$B$50:$B$63,0))),"N/A")</f>
        <v/>
      </c>
      <c r="K235" s="53">
        <f>IFERROR(IF(INDEX('Faculties'!$N$70:$N$83,MATCH($F235,'Faculties'!$B$70:$B$83,0))="","Cell will autofill based on response",INDEX('Faculties'!$N$70:$N$83,MATCH($F235,'Faculties'!$B$70:$B$83,0))),"N/A")</f>
        <v/>
      </c>
      <c r="L235" s="53">
        <f>IFERROR(IF(INDEX('CI&amp;S'!$N$10:$N$15,MATCH($F235,'CI&amp;S'!$B$10:$B$15,0))="","Cell will autofill based on response",INDEX('CI&amp;S'!$N$10:$N$15,MATCH($F235,'CI&amp;S'!$B$10:$B$15,0))),"N/A")</f>
        <v/>
      </c>
      <c r="M235" s="53">
        <f>IFERROR(IF(INDEX('CI&amp;S'!$N$22:$N$36,MATCH($F235,'CI&amp;S'!$B$22:$B$36,0))="","Cell will autofill based on response",INDEX('CI&amp;S'!$N$22:$N$36,MATCH($F235,'CI&amp;S'!$B$22:$B$36,0))),"N/A")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IFERROR(IF(INDEX('MRE'!$N$10:$N$15,MATCH($F235,'MRE'!$B$10:$B$15,0))="","Cell will autofill based on response",INDEX('MRE'!$N$10:$N$15,MATCH($F235,'MRE'!$B$10:$B$15,0))),"N/A")</f>
        <v/>
      </c>
      <c r="S235" s="53">
        <f>IFERROR(IF(INDEX('AC&amp;M'!$N$10:$N$14,MATCH($F235,'AC&amp;M'!$B$10:$B$14,0))="","Cell will autofill based on response",INDEX('AC&amp;M'!$N$10:$N$14,MATCH($F235,'AC&amp;M'!$B$10:$B$14,0))),"N/A")</f>
        <v/>
      </c>
      <c r="T235" s="53">
        <f>IFERROR(IF(INDEX('GCE'!$N$10:$N$12,MATCH($F235,'GCE'!$B$10:$B$12,0))="","Cell will autofill based on response",INDEX('GCE'!$N$10:$N$12,MATCH($F235,'GCE'!$B$10:$B$12,0))),"N/A")</f>
        <v/>
      </c>
      <c r="U235" s="53">
        <f>IFERROR(IF(INDEX('Education'!$N$10:$N$13,MATCH($F235,'Education'!$B$10:$B$13,0))="","Cell will autofill based on response",INDEX('Education'!$N$10:$N$13,MATCH($F235,'Education'!$B$10:$B$13,0))),"N/A")</f>
        <v/>
      </c>
      <c r="V235" s="53">
        <f>IFERROR(IF(INDEX('SaSS'!$N$10:$N$12,MATCH($F235,'SaSS'!$B$10:$B$12,0))="","Cell will autofill based on response",INDEX('SaSS'!$N$10:$N$12,MATCH($F235,'SaSS'!$B$10:$B$12,0))),"N/A")</f>
        <v/>
      </c>
      <c r="W235" s="53">
        <f>IFERROR(IF(INDEX('Indigenous'!$N$10:$N$11,MATCH($F235,'Indigenous'!$B$10:$B$11,0))="","Cell will autofill based on response",INDEX('Indigenous'!$N$10:$N$11,MATCH($F235,'Indigenous'!$B$10:$B$11,0))),"N/A")</f>
        <v/>
      </c>
      <c r="X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IFERROR(IF(INDEX('Faculties'!$O$10:$O$23,MATCH($F236,'Faculties'!$B$10:$B$23,0))="","Cell will autofill based on response",INDEX('Faculties'!$O$10:$O$23,MATCH($F236,'Faculties'!$B$10:$B$23,0))),"N/A")</f>
        <v/>
      </c>
      <c r="I236" s="53">
        <f>IFERROR(IF(INDEX('Faculties'!$O$30:$O$43,MATCH($F236,'Faculties'!$B$30:$B$43,0))="","Cell will autofill based on response",INDEX('Faculties'!$O$30:$O$43,MATCH($F236,'Faculties'!$B$30:$B$43,0))),"N/A")</f>
        <v/>
      </c>
      <c r="J236" s="53">
        <f>IFERROR(IF(INDEX('Faculties'!$O$50:$O$63,MATCH($F236,'Faculties'!$B$50:$B$63,0))="","Cell will autofill based on response",INDEX('Faculties'!$O$50:$O$63,MATCH($F236,'Faculties'!$B$50:$B$63,0))),"N/A")</f>
        <v/>
      </c>
      <c r="K236" s="53">
        <f>IFERROR(IF(INDEX('Faculties'!$O$70:$O$83,MATCH($F236,'Faculties'!$B$70:$B$83,0))="","Cell will autofill based on response",INDEX('Faculties'!$O$70:$O$83,MATCH($F236,'Faculties'!$B$70:$B$83,0))),"N/A")</f>
        <v/>
      </c>
      <c r="L236" s="53">
        <f>IFERROR(IF(INDEX('CI&amp;S'!$O$10:$O$15,MATCH($F236,'CI&amp;S'!$B$10:$B$15,0))="","Cell will autofill based on response",INDEX('CI&amp;S'!$O$10:$O$15,MATCH($F236,'CI&amp;S'!$B$10:$B$15,0))),"N/A")</f>
        <v/>
      </c>
      <c r="M236" s="53">
        <f>IFERROR(IF(INDEX('CI&amp;S'!$O$22:$O$36,MATCH($F236,'CI&amp;S'!$B$22:$B$36,0))="","Cell will autofill based on response",INDEX('CI&amp;S'!$O$22:$O$36,MATCH($F236,'CI&amp;S'!$B$22:$B$36,0))),"N/A")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IFERROR(IF(INDEX('MRE'!$O$10:$O$15,MATCH($F236,'MRE'!$B$10:$B$15,0))="","Cell will autofill based on response",INDEX('MRE'!$O$10:$O$15,MATCH($F236,'MRE'!$B$10:$B$15,0))),"N/A")</f>
        <v/>
      </c>
      <c r="S236" s="53">
        <f>IFERROR(IF(INDEX('AC&amp;M'!$O$10:$O$14,MATCH($F236,'AC&amp;M'!$B$10:$B$14,0))="","Cell will autofill based on response",INDEX('AC&amp;M'!$O$10:$O$14,MATCH($F236,'AC&amp;M'!$B$10:$B$14,0))),"N/A")</f>
        <v/>
      </c>
      <c r="T236" s="53">
        <f>IFERROR(IF(INDEX('GCE'!$O$10:$O$12,MATCH($F236,'GCE'!$B$10:$B$12,0))="","Cell will autofill based on response",INDEX('GCE'!$O$10:$O$12,MATCH($F236,'GCE'!$B$10:$B$12,0))),"N/A")</f>
        <v/>
      </c>
      <c r="U236" s="53">
        <f>IFERROR(IF(INDEX('Education'!$O$10:$O$13,MATCH($F236,'Education'!$B$10:$B$13,0))="","Cell will autofill based on response",INDEX('Education'!$O$10:$O$13,MATCH($F236,'Education'!$B$10:$B$13,0))),"N/A")</f>
        <v/>
      </c>
      <c r="V236" s="53">
        <f>IFERROR(IF(INDEX('SaSS'!$O$10:$O$12,MATCH($F236,'SaSS'!$B$10:$B$12,0))="","Cell will autofill based on response",INDEX('SaSS'!$O$10:$O$12,MATCH($F236,'SaSS'!$B$10:$B$12,0))),"N/A")</f>
        <v/>
      </c>
      <c r="W236" s="53">
        <f>IFERROR(IF(INDEX('Indigenous'!$O$10:$O$11,MATCH($F236,'Indigenous'!$B$10:$B$11,0))="","Cell will autofill based on response",INDEX('Indigenous'!$O$10:$O$11,MATCH($F236,'Indigenous'!$B$10:$B$11,0))),"N/A")</f>
        <v/>
      </c>
      <c r="X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IFERROR(IF(INDEX('Faculties'!$P$10:$P$23,MATCH($F237,'Faculties'!$B$10:$B$23,0))="","Cell will autofill based on response",INDEX('Faculties'!$P$10:$P$23,MATCH($F237,'Faculties'!$B$10:$B$23,0))),"N/A")</f>
        <v/>
      </c>
      <c r="I237" s="53">
        <f>IFERROR(IF(INDEX('Faculties'!$P$30:$P$43,MATCH($F237,'Faculties'!$B$30:$B$43,0))="","Cell will autofill based on response",INDEX('Faculties'!$P$30:$P$43,MATCH($F237,'Faculties'!$B$30:$B$43,0))),"N/A")</f>
        <v/>
      </c>
      <c r="J237" s="53">
        <f>IFERROR(IF(INDEX('Faculties'!$P$50:$P$63,MATCH($F237,'Faculties'!$B$50:$B$63,0))="","Cell will autofill based on response",INDEX('Faculties'!$P$50:$P$63,MATCH($F237,'Faculties'!$B$50:$B$63,0))),"N/A")</f>
        <v/>
      </c>
      <c r="K237" s="53">
        <f>IFERROR(IF(INDEX('Faculties'!$P$70:$P$83,MATCH($F237,'Faculties'!$B$70:$B$83,0))="","Cell will autofill based on response",INDEX('Faculties'!$P$70:$P$83,MATCH($F237,'Faculties'!$B$70:$B$83,0))),"N/A")</f>
        <v/>
      </c>
      <c r="L237" s="53">
        <f>IFERROR(IF(INDEX('CI&amp;S'!$P$10:$P$15,MATCH($F237,'CI&amp;S'!$B$10:$B$15,0))="","Cell will autofill based on response",INDEX('CI&amp;S'!$P$10:$P$15,MATCH($F237,'CI&amp;S'!$B$10:$B$15,0))),"N/A")</f>
        <v/>
      </c>
      <c r="M237" s="53">
        <f>IFERROR(IF(INDEX('CI&amp;S'!$P$22:$P$36,MATCH($F237,'CI&amp;S'!$B$22:$B$36,0))="","Cell will autofill based on response",INDEX('CI&amp;S'!$P$22:$P$36,MATCH($F237,'CI&amp;S'!$B$22:$B$36,0))),"N/A")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IFERROR(IF(INDEX('MRE'!$P$10:$P$15,MATCH($F237,'MRE'!$B$10:$B$15,0))="","Cell will autofill based on response",INDEX('MRE'!$P$10:$P$15,MATCH($F237,'MRE'!$B$10:$B$15,0))),"N/A")</f>
        <v/>
      </c>
      <c r="S237" s="53">
        <f>IFERROR(IF(INDEX('AC&amp;M'!$P$10:$P$14,MATCH($F237,'AC&amp;M'!$B$10:$B$14,0))="","Cell will autofill based on response",INDEX('AC&amp;M'!$P$10:$P$14,MATCH($F237,'AC&amp;M'!$B$10:$B$14,0))),"N/A")</f>
        <v/>
      </c>
      <c r="T237" s="53">
        <f>IFERROR(IF(INDEX('GCE'!$P$10:$P$12,MATCH($F237,'GCE'!$B$10:$B$12,0))="","Cell will autofill based on response",INDEX('GCE'!$P$10:$P$12,MATCH($F237,'GCE'!$B$10:$B$12,0))),"N/A")</f>
        <v/>
      </c>
      <c r="U237" s="53">
        <f>IFERROR(IF(INDEX('Education'!$P$10:$P$13,MATCH($F237,'Education'!$B$10:$B$13,0))="","Cell will autofill based on response",INDEX('Education'!$P$10:$P$13,MATCH($F237,'Education'!$B$10:$B$13,0))),"N/A")</f>
        <v/>
      </c>
      <c r="V237" s="53">
        <f>IFERROR(IF(INDEX('SaSS'!$P$10:$P$12,MATCH($F237,'SaSS'!$B$10:$B$12,0))="","Cell will autofill based on response",INDEX('SaSS'!$P$10:$P$12,MATCH($F237,'SaSS'!$B$10:$B$12,0))),"N/A")</f>
        <v/>
      </c>
      <c r="W237" s="53">
        <f>IFERROR(IF(INDEX('Indigenous'!$P$10:$P$11,MATCH($F237,'Indigenous'!$B$10:$B$11,0))="","Cell will autofill based on response",INDEX('Indigenous'!$P$10:$P$11,MATCH($F237,'Indigenous'!$B$10:$B$11,0))),"N/A")</f>
        <v/>
      </c>
      <c r="X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IFERROR(IF(INDEX('Faculties'!$Q$10:$Q$23,MATCH($F238,'Faculties'!$B$10:$B$23,0))="","Cell will autofill based on response",INDEX('Faculties'!$Q$10:$Q$23,MATCH($F238,'Faculties'!$B$10:$B$23,0))),"N/A")</f>
        <v/>
      </c>
      <c r="I238" s="53">
        <f>IFERROR(IF(INDEX('Faculties'!$Q$30:$Q$43,MATCH($F238,'Faculties'!$B$30:$B$43,0))="","Cell will autofill based on response",INDEX('Faculties'!$Q$30:$Q$43,MATCH($F238,'Faculties'!$B$30:$B$43,0))),"N/A")</f>
        <v/>
      </c>
      <c r="J238" s="53">
        <f>IFERROR(IF(INDEX('Faculties'!$Q$50:$Q$63,MATCH($F238,'Faculties'!$B$50:$B$63,0))="","Cell will autofill based on response",INDEX('Faculties'!$Q$50:$Q$63,MATCH($F238,'Faculties'!$B$50:$B$63,0))),"N/A")</f>
        <v/>
      </c>
      <c r="K238" s="53">
        <f>IFERROR(IF(INDEX('Faculties'!$Q$70:$Q$83,MATCH($F238,'Faculties'!$B$70:$B$83,0))="","Cell will autofill based on response",INDEX('Faculties'!$Q$70:$Q$83,MATCH($F238,'Faculties'!$B$70:$B$83,0))),"N/A")</f>
        <v/>
      </c>
      <c r="L238" s="53">
        <f>IFERROR(IF(INDEX('CI&amp;S'!$Q$10:$Q$15,MATCH($F238,'CI&amp;S'!$B$10:$B$15,0))="","Cell will autofill based on response",INDEX('CI&amp;S'!$Q$10:$Q$15,MATCH($F238,'CI&amp;S'!$B$10:$B$15,0))),"N/A")</f>
        <v/>
      </c>
      <c r="M238" s="53">
        <f>IFERROR(IF(INDEX('CI&amp;S'!$Q$22:$Q$36,MATCH($F238,'CI&amp;S'!$B$22:$B$36,0))="","Cell will autofill based on response",INDEX('CI&amp;S'!$Q$22:$Q$36,MATCH($F238,'CI&amp;S'!$B$22:$B$36,0))),"N/A")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IFERROR(IF(INDEX('MRE'!$Q$10:$Q$15,MATCH($F238,'MRE'!$B$10:$B$15,0))="","Cell will autofill based on response",INDEX('MRE'!$Q$10:$Q$15,MATCH($F238,'MRE'!$B$10:$B$15,0))),"N/A")</f>
        <v/>
      </c>
      <c r="S238" s="53">
        <f>IFERROR(IF(INDEX('AC&amp;M'!$Q$10:$Q$14,MATCH($F238,'AC&amp;M'!$B$10:$B$14,0))="","Cell will autofill based on response",INDEX('AC&amp;M'!$Q$10:$Q$14,MATCH($F238,'AC&amp;M'!$B$10:$B$14,0))),"N/A")</f>
        <v/>
      </c>
      <c r="T238" s="53">
        <f>IFERROR(IF(INDEX('GCE'!$Q$10:$Q$12,MATCH($F238,'GCE'!$B$10:$B$12,0))="","Cell will autofill based on response",INDEX('GCE'!$Q$10:$Q$12,MATCH($F238,'GCE'!$B$10:$B$12,0))),"N/A")</f>
        <v/>
      </c>
      <c r="U238" s="53">
        <f>IFERROR(IF(INDEX('Education'!$Q$10:$Q$13,MATCH($F238,'Education'!$B$10:$B$13,0))="","Cell will autofill based on response",INDEX('Education'!$Q$10:$Q$13,MATCH($F238,'Education'!$B$10:$B$13,0))),"N/A")</f>
        <v/>
      </c>
      <c r="V238" s="53">
        <f>IFERROR(IF(INDEX('SaSS'!$Q$10:$Q$12,MATCH($F238,'SaSS'!$B$10:$B$12,0))="","Cell will autofill based on response",INDEX('SaSS'!$Q$10:$Q$12,MATCH($F238,'SaSS'!$B$10:$B$12,0))),"N/A")</f>
        <v/>
      </c>
      <c r="W238" s="53">
        <f>IFERROR(IF(INDEX('Indigenous'!$Q$10:$Q$11,MATCH($F238,'Indigenous'!$B$10:$B$11,0))="","Cell will autofill based on response",INDEX('Indigenous'!$Q$10:$Q$11,MATCH($F238,'Indigenous'!$B$10:$B$11,0))),"N/A")</f>
        <v/>
      </c>
      <c r="X238" s="53">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AC&amp;M – Advancement, Communication and Marketing</t>
        </is>
      </c>
      <c r="O6" s="6" t="inlineStr">
        <is>
          <t>GCE – Global, Culture and Engagement</t>
        </is>
      </c>
      <c r="P6" s="6" t="inlineStr">
        <is>
          <t>Education – Chancellery Education</t>
        </is>
      </c>
      <c r="Q6" s="6" t="inlineStr">
        <is>
          <t>SaSS – Student and Scholarly Services</t>
        </is>
      </c>
      <c r="R6" s="6" t="inlineStr">
        <is>
          <t>Indigenous – Chancellery Indigenous</t>
        </is>
      </c>
      <c r="S6" s="6" t="inlineStr">
        <is>
          <t>Legal &amp; Risk – Risk &amp; resilience</t>
        </is>
      </c>
      <c r="T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56">
        <f>IF('A1. Data scoring'!T11&lt;&gt;"N/A","Yes","No")</f>
        <v/>
      </c>
      <c r="P7" s="56">
        <f>IF('A1. Data scoring'!U11&lt;&gt;"N/A","Yes","No")</f>
        <v/>
      </c>
      <c r="Q7" s="56">
        <f>IF('A1. Data scoring'!V11&lt;&gt;"N/A","Yes","No")</f>
        <v/>
      </c>
      <c r="R7" s="56">
        <f>IF('A1. Data scoring'!W11&lt;&gt;"N/A","Yes","No")</f>
        <v/>
      </c>
      <c r="S7" s="56">
        <f>IF('A1. Data scoring'!X11&lt;&gt;"N/A","Yes","No")</f>
        <v/>
      </c>
      <c r="T7" s="8">
        <f>COUNTIF(C7:S7,"Yes")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56">
        <f>IF('A1. Data scoring'!T17&lt;&gt;"N/A","Yes","No")</f>
        <v/>
      </c>
      <c r="P8" s="56">
        <f>IF('A1. Data scoring'!U17&lt;&gt;"N/A","Yes","No")</f>
        <v/>
      </c>
      <c r="Q8" s="56">
        <f>IF('A1. Data scoring'!V17&lt;&gt;"N/A","Yes","No")</f>
        <v/>
      </c>
      <c r="R8" s="56">
        <f>IF('A1. Data scoring'!W17&lt;&gt;"N/A","Yes","No")</f>
        <v/>
      </c>
      <c r="S8" s="56">
        <f>IF('A1. Data scoring'!X17&lt;&gt;"N/A","Yes","No")</f>
        <v/>
      </c>
      <c r="T8" s="8">
        <f>COUNTIF(C8:S8,"Yes")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56">
        <f>IF('A1. Data scoring'!T23&lt;&gt;"N/A","Yes","No")</f>
        <v/>
      </c>
      <c r="P9" s="56">
        <f>IF('A1. Data scoring'!U23&lt;&gt;"N/A","Yes","No")</f>
        <v/>
      </c>
      <c r="Q9" s="56">
        <f>IF('A1. Data scoring'!V23&lt;&gt;"N/A","Yes","No")</f>
        <v/>
      </c>
      <c r="R9" s="56">
        <f>IF('A1. Data scoring'!W23&lt;&gt;"N/A","Yes","No")</f>
        <v/>
      </c>
      <c r="S9" s="56">
        <f>IF('A1. Data scoring'!X23&lt;&gt;"N/A","Yes","No")</f>
        <v/>
      </c>
      <c r="T9" s="8">
        <f>COUNTIF(C9:S9,"Yes")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56">
        <f>IF('A1. Data scoring'!T29&lt;&gt;"N/A","Yes","No")</f>
        <v/>
      </c>
      <c r="P10" s="56">
        <f>IF('A1. Data scoring'!U29&lt;&gt;"N/A","Yes","No")</f>
        <v/>
      </c>
      <c r="Q10" s="56">
        <f>IF('A1. Data scoring'!V29&lt;&gt;"N/A","Yes","No")</f>
        <v/>
      </c>
      <c r="R10" s="56">
        <f>IF('A1. Data scoring'!W29&lt;&gt;"N/A","Yes","No")</f>
        <v/>
      </c>
      <c r="S10" s="56">
        <f>IF('A1. Data scoring'!X29&lt;&gt;"N/A","Yes","No")</f>
        <v/>
      </c>
      <c r="T10" s="8">
        <f>COUNTIF(C10:S10,"Yes")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56">
        <f>IF('A1. Data scoring'!T35&lt;&gt;"N/A","Yes","No")</f>
        <v/>
      </c>
      <c r="P11" s="56">
        <f>IF('A1. Data scoring'!U35&lt;&gt;"N/A","Yes","No")</f>
        <v/>
      </c>
      <c r="Q11" s="56">
        <f>IF('A1. Data scoring'!V35&lt;&gt;"N/A","Yes","No")</f>
        <v/>
      </c>
      <c r="R11" s="56">
        <f>IF('A1. Data scoring'!W35&lt;&gt;"N/A","Yes","No")</f>
        <v/>
      </c>
      <c r="S11" s="56">
        <f>IF('A1. Data scoring'!X35&lt;&gt;"N/A","Yes","No")</f>
        <v/>
      </c>
      <c r="T11" s="8">
        <f>COUNTIF(C11:S11,"Yes")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56">
        <f>IF('A1. Data scoring'!T41&lt;&gt;"N/A","Yes","No")</f>
        <v/>
      </c>
      <c r="P12" s="56">
        <f>IF('A1. Data scoring'!U41&lt;&gt;"N/A","Yes","No")</f>
        <v/>
      </c>
      <c r="Q12" s="56">
        <f>IF('A1. Data scoring'!V41&lt;&gt;"N/A","Yes","No")</f>
        <v/>
      </c>
      <c r="R12" s="56">
        <f>IF('A1. Data scoring'!W41&lt;&gt;"N/A","Yes","No")</f>
        <v/>
      </c>
      <c r="S12" s="56">
        <f>IF('A1. Data scoring'!X41&lt;&gt;"N/A","Yes","No")</f>
        <v/>
      </c>
      <c r="T12" s="8">
        <f>COUNTIF(C12:S12,"Yes")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56">
        <f>IF('A1. Data scoring'!T47&lt;&gt;"N/A","Yes","No")</f>
        <v/>
      </c>
      <c r="P13" s="56">
        <f>IF('A1. Data scoring'!U47&lt;&gt;"N/A","Yes","No")</f>
        <v/>
      </c>
      <c r="Q13" s="56">
        <f>IF('A1. Data scoring'!V47&lt;&gt;"N/A","Yes","No")</f>
        <v/>
      </c>
      <c r="R13" s="56">
        <f>IF('A1. Data scoring'!W47&lt;&gt;"N/A","Yes","No")</f>
        <v/>
      </c>
      <c r="S13" s="56">
        <f>IF('A1. Data scoring'!X47&lt;&gt;"N/A","Yes","No")</f>
        <v/>
      </c>
      <c r="T13" s="8">
        <f>COUNTIF(C13:S13,"Yes")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56">
        <f>IF('A1. Data scoring'!T53&lt;&gt;"N/A","Yes","No")</f>
        <v/>
      </c>
      <c r="P14" s="56">
        <f>IF('A1. Data scoring'!U53&lt;&gt;"N/A","Yes","No")</f>
        <v/>
      </c>
      <c r="Q14" s="56">
        <f>IF('A1. Data scoring'!V53&lt;&gt;"N/A","Yes","No")</f>
        <v/>
      </c>
      <c r="R14" s="56">
        <f>IF('A1. Data scoring'!W53&lt;&gt;"N/A","Yes","No")</f>
        <v/>
      </c>
      <c r="S14" s="56">
        <f>IF('A1. Data scoring'!X53&lt;&gt;"N/A","Yes","No")</f>
        <v/>
      </c>
      <c r="T14" s="8">
        <f>COUNTIF(C14:S14,"Yes")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56">
        <f>IF('A1. Data scoring'!T59&lt;&gt;"N/A","Yes","No")</f>
        <v/>
      </c>
      <c r="P15" s="56">
        <f>IF('A1. Data scoring'!U59&lt;&gt;"N/A","Yes","No")</f>
        <v/>
      </c>
      <c r="Q15" s="56">
        <f>IF('A1. Data scoring'!V59&lt;&gt;"N/A","Yes","No")</f>
        <v/>
      </c>
      <c r="R15" s="56">
        <f>IF('A1. Data scoring'!W59&lt;&gt;"N/A","Yes","No")</f>
        <v/>
      </c>
      <c r="S15" s="56">
        <f>IF('A1. Data scoring'!X59&lt;&gt;"N/A","Yes","No")</f>
        <v/>
      </c>
      <c r="T15" s="8">
        <f>COUNTIF(C15:S15,"Yes")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56">
        <f>IF('A1. Data scoring'!T65&lt;&gt;"N/A","Yes","No")</f>
        <v/>
      </c>
      <c r="P16" s="56">
        <f>IF('A1. Data scoring'!U65&lt;&gt;"N/A","Yes","No")</f>
        <v/>
      </c>
      <c r="Q16" s="56">
        <f>IF('A1. Data scoring'!V65&lt;&gt;"N/A","Yes","No")</f>
        <v/>
      </c>
      <c r="R16" s="56">
        <f>IF('A1. Data scoring'!W65&lt;&gt;"N/A","Yes","No")</f>
        <v/>
      </c>
      <c r="S16" s="56">
        <f>IF('A1. Data scoring'!X65&lt;&gt;"N/A","Yes","No")</f>
        <v/>
      </c>
      <c r="T16" s="8">
        <f>COUNTIF(C16:S16,"Yes")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56">
        <f>IF('A1. Data scoring'!T71&lt;&gt;"N/A","Yes","No")</f>
        <v/>
      </c>
      <c r="P17" s="56">
        <f>IF('A1. Data scoring'!U71&lt;&gt;"N/A","Yes","No")</f>
        <v/>
      </c>
      <c r="Q17" s="56">
        <f>IF('A1. Data scoring'!V71&lt;&gt;"N/A","Yes","No")</f>
        <v/>
      </c>
      <c r="R17" s="56">
        <f>IF('A1. Data scoring'!W71&lt;&gt;"N/A","Yes","No")</f>
        <v/>
      </c>
      <c r="S17" s="56">
        <f>IF('A1. Data scoring'!X71&lt;&gt;"N/A","Yes","No")</f>
        <v/>
      </c>
      <c r="T17" s="8">
        <f>COUNTIF(C17:S17,"Yes")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56">
        <f>IF('A1. Data scoring'!T77&lt;&gt;"N/A","Yes","No")</f>
        <v/>
      </c>
      <c r="P18" s="56">
        <f>IF('A1. Data scoring'!U77&lt;&gt;"N/A","Yes","No")</f>
        <v/>
      </c>
      <c r="Q18" s="56">
        <f>IF('A1. Data scoring'!V77&lt;&gt;"N/A","Yes","No")</f>
        <v/>
      </c>
      <c r="R18" s="56">
        <f>IF('A1. Data scoring'!W77&lt;&gt;"N/A","Yes","No")</f>
        <v/>
      </c>
      <c r="S18" s="56">
        <f>IF('A1. Data scoring'!X77&lt;&gt;"N/A","Yes","No")</f>
        <v/>
      </c>
      <c r="T18" s="8">
        <f>COUNTIF(C18:S18,"Yes")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56">
        <f>IF('A1. Data scoring'!T83&lt;&gt;"N/A","Yes","No")</f>
        <v/>
      </c>
      <c r="P19" s="56">
        <f>IF('A1. Data scoring'!U83&lt;&gt;"N/A","Yes","No")</f>
        <v/>
      </c>
      <c r="Q19" s="56">
        <f>IF('A1. Data scoring'!V83&lt;&gt;"N/A","Yes","No")</f>
        <v/>
      </c>
      <c r="R19" s="56">
        <f>IF('A1. Data scoring'!W83&lt;&gt;"N/A","Yes","No")</f>
        <v/>
      </c>
      <c r="S19" s="56">
        <f>IF('A1. Data scoring'!X83&lt;&gt;"N/A","Yes","No")</f>
        <v/>
      </c>
      <c r="T19" s="8">
        <f>COUNTIF(C19:S19,"Yes")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56">
        <f>IF('A1. Data scoring'!T89&lt;&gt;"N/A","Yes","No")</f>
        <v/>
      </c>
      <c r="P20" s="56">
        <f>IF('A1. Data scoring'!U89&lt;&gt;"N/A","Yes","No")</f>
        <v/>
      </c>
      <c r="Q20" s="56">
        <f>IF('A1. Data scoring'!V89&lt;&gt;"N/A","Yes","No")</f>
        <v/>
      </c>
      <c r="R20" s="56">
        <f>IF('A1. Data scoring'!W89&lt;&gt;"N/A","Yes","No")</f>
        <v/>
      </c>
      <c r="S20" s="56">
        <f>IF('A1. Data scoring'!X89&lt;&gt;"N/A","Yes","No")</f>
        <v/>
      </c>
      <c r="T20" s="8">
        <f>COUNTIF(C20:S20,"Yes")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56">
        <f>IF('A1. Data scoring'!T95&lt;&gt;"N/A","Yes","No")</f>
        <v/>
      </c>
      <c r="P21" s="56">
        <f>IF('A1. Data scoring'!U95&lt;&gt;"N/A","Yes","No")</f>
        <v/>
      </c>
      <c r="Q21" s="56">
        <f>IF('A1. Data scoring'!V95&lt;&gt;"N/A","Yes","No")</f>
        <v/>
      </c>
      <c r="R21" s="56">
        <f>IF('A1. Data scoring'!W95&lt;&gt;"N/A","Yes","No")</f>
        <v/>
      </c>
      <c r="S21" s="56">
        <f>IF('A1. Data scoring'!X95&lt;&gt;"N/A","Yes","No")</f>
        <v/>
      </c>
      <c r="T21" s="8">
        <f>COUNTIF(C21:S21,"Yes")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56">
        <f>IF('A1. Data scoring'!T101&lt;&gt;"N/A","Yes","No")</f>
        <v/>
      </c>
      <c r="P22" s="56">
        <f>IF('A1. Data scoring'!U101&lt;&gt;"N/A","Yes","No")</f>
        <v/>
      </c>
      <c r="Q22" s="56">
        <f>IF('A1. Data scoring'!V101&lt;&gt;"N/A","Yes","No")</f>
        <v/>
      </c>
      <c r="R22" s="56">
        <f>IF('A1. Data scoring'!W101&lt;&gt;"N/A","Yes","No")</f>
        <v/>
      </c>
      <c r="S22" s="56">
        <f>IF('A1. Data scoring'!X101&lt;&gt;"N/A","Yes","No")</f>
        <v/>
      </c>
      <c r="T22" s="8">
        <f>COUNTIF(C22:S22,"Yes")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56">
        <f>IF('A1. Data scoring'!T107&lt;&gt;"N/A","Yes","No")</f>
        <v/>
      </c>
      <c r="P23" s="56">
        <f>IF('A1. Data scoring'!U107&lt;&gt;"N/A","Yes","No")</f>
        <v/>
      </c>
      <c r="Q23" s="56">
        <f>IF('A1. Data scoring'!V107&lt;&gt;"N/A","Yes","No")</f>
        <v/>
      </c>
      <c r="R23" s="56">
        <f>IF('A1. Data scoring'!W107&lt;&gt;"N/A","Yes","No")</f>
        <v/>
      </c>
      <c r="S23" s="56">
        <f>IF('A1. Data scoring'!X107&lt;&gt;"N/A","Yes","No")</f>
        <v/>
      </c>
      <c r="T23" s="8">
        <f>COUNTIF(C23:S23,"Yes")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56">
        <f>IF('A1. Data scoring'!T113&lt;&gt;"N/A","Yes","No")</f>
        <v/>
      </c>
      <c r="P24" s="56">
        <f>IF('A1. Data scoring'!U113&lt;&gt;"N/A","Yes","No")</f>
        <v/>
      </c>
      <c r="Q24" s="56">
        <f>IF('A1. Data scoring'!V113&lt;&gt;"N/A","Yes","No")</f>
        <v/>
      </c>
      <c r="R24" s="56">
        <f>IF('A1. Data scoring'!W113&lt;&gt;"N/A","Yes","No")</f>
        <v/>
      </c>
      <c r="S24" s="56">
        <f>IF('A1. Data scoring'!X113&lt;&gt;"N/A","Yes","No")</f>
        <v/>
      </c>
      <c r="T24" s="8">
        <f>COUNTIF(C24:S24,"Yes")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56">
        <f>IF('A1. Data scoring'!T119&lt;&gt;"N/A","Yes","No")</f>
        <v/>
      </c>
      <c r="P25" s="56">
        <f>IF('A1. Data scoring'!U119&lt;&gt;"N/A","Yes","No")</f>
        <v/>
      </c>
      <c r="Q25" s="56">
        <f>IF('A1. Data scoring'!V119&lt;&gt;"N/A","Yes","No")</f>
        <v/>
      </c>
      <c r="R25" s="56">
        <f>IF('A1. Data scoring'!W119&lt;&gt;"N/A","Yes","No")</f>
        <v/>
      </c>
      <c r="S25" s="56">
        <f>IF('A1. Data scoring'!X119&lt;&gt;"N/A","Yes","No")</f>
        <v/>
      </c>
      <c r="T25" s="8">
        <f>COUNTIF(C25:S25,"Yes")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56">
        <f>IF('A1. Data scoring'!T125&lt;&gt;"N/A","Yes","No")</f>
        <v/>
      </c>
      <c r="P26" s="56">
        <f>IF('A1. Data scoring'!U125&lt;&gt;"N/A","Yes","No")</f>
        <v/>
      </c>
      <c r="Q26" s="56">
        <f>IF('A1. Data scoring'!V125&lt;&gt;"N/A","Yes","No")</f>
        <v/>
      </c>
      <c r="R26" s="56">
        <f>IF('A1. Data scoring'!W125&lt;&gt;"N/A","Yes","No")</f>
        <v/>
      </c>
      <c r="S26" s="56">
        <f>IF('A1. Data scoring'!X125&lt;&gt;"N/A","Yes","No")</f>
        <v/>
      </c>
      <c r="T26" s="8">
        <f>COUNTIF(C26:S26,"Yes")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56">
        <f>IF('A1. Data scoring'!T131&lt;&gt;"N/A","Yes","No")</f>
        <v/>
      </c>
      <c r="P27" s="56">
        <f>IF('A1. Data scoring'!U131&lt;&gt;"N/A","Yes","No")</f>
        <v/>
      </c>
      <c r="Q27" s="56">
        <f>IF('A1. Data scoring'!V131&lt;&gt;"N/A","Yes","No")</f>
        <v/>
      </c>
      <c r="R27" s="56">
        <f>IF('A1. Data scoring'!W131&lt;&gt;"N/A","Yes","No")</f>
        <v/>
      </c>
      <c r="S27" s="56">
        <f>IF('A1. Data scoring'!X131&lt;&gt;"N/A","Yes","No")</f>
        <v/>
      </c>
      <c r="T27" s="8">
        <f>COUNTIF(C27:S27,"Yes")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56">
        <f>IF('A1. Data scoring'!T137&lt;&gt;"N/A","Yes","No")</f>
        <v/>
      </c>
      <c r="P28" s="56">
        <f>IF('A1. Data scoring'!U137&lt;&gt;"N/A","Yes","No")</f>
        <v/>
      </c>
      <c r="Q28" s="56">
        <f>IF('A1. Data scoring'!V137&lt;&gt;"N/A","Yes","No")</f>
        <v/>
      </c>
      <c r="R28" s="56">
        <f>IF('A1. Data scoring'!W137&lt;&gt;"N/A","Yes","No")</f>
        <v/>
      </c>
      <c r="S28" s="56">
        <f>IF('A1. Data scoring'!X137&lt;&gt;"N/A","Yes","No")</f>
        <v/>
      </c>
      <c r="T28" s="8">
        <f>COUNTIF(C28:S28,"Yes")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56">
        <f>IF('A1. Data scoring'!T143&lt;&gt;"N/A","Yes","No")</f>
        <v/>
      </c>
      <c r="P29" s="56">
        <f>IF('A1. Data scoring'!U143&lt;&gt;"N/A","Yes","No")</f>
        <v/>
      </c>
      <c r="Q29" s="56">
        <f>IF('A1. Data scoring'!V143&lt;&gt;"N/A","Yes","No")</f>
        <v/>
      </c>
      <c r="R29" s="56">
        <f>IF('A1. Data scoring'!W143&lt;&gt;"N/A","Yes","No")</f>
        <v/>
      </c>
      <c r="S29" s="56">
        <f>IF('A1. Data scoring'!X143&lt;&gt;"N/A","Yes","No")</f>
        <v/>
      </c>
      <c r="T29" s="8">
        <f>COUNTIF(C29:S29,"Yes")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56">
        <f>IF('A1. Data scoring'!T149&lt;&gt;"N/A","Yes","No")</f>
        <v/>
      </c>
      <c r="P30" s="56">
        <f>IF('A1. Data scoring'!U149&lt;&gt;"N/A","Yes","No")</f>
        <v/>
      </c>
      <c r="Q30" s="56">
        <f>IF('A1. Data scoring'!V149&lt;&gt;"N/A","Yes","No")</f>
        <v/>
      </c>
      <c r="R30" s="56">
        <f>IF('A1. Data scoring'!W149&lt;&gt;"N/A","Yes","No")</f>
        <v/>
      </c>
      <c r="S30" s="56">
        <f>IF('A1. Data scoring'!X149&lt;&gt;"N/A","Yes","No")</f>
        <v/>
      </c>
      <c r="T30" s="8">
        <f>COUNTIF(C30:S30,"Yes")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56">
        <f>IF('A1. Data scoring'!T155&lt;&gt;"N/A","Yes","No")</f>
        <v/>
      </c>
      <c r="P31" s="56">
        <f>IF('A1. Data scoring'!U155&lt;&gt;"N/A","Yes","No")</f>
        <v/>
      </c>
      <c r="Q31" s="56">
        <f>IF('A1. Data scoring'!V155&lt;&gt;"N/A","Yes","No")</f>
        <v/>
      </c>
      <c r="R31" s="56">
        <f>IF('A1. Data scoring'!W155&lt;&gt;"N/A","Yes","No")</f>
        <v/>
      </c>
      <c r="S31" s="56">
        <f>IF('A1. Data scoring'!X155&lt;&gt;"N/A","Yes","No")</f>
        <v/>
      </c>
      <c r="T31" s="8">
        <f>COUNTIF(C31:S31,"Yes")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56">
        <f>IF('A1. Data scoring'!T161&lt;&gt;"N/A","Yes","No")</f>
        <v/>
      </c>
      <c r="P32" s="56">
        <f>IF('A1. Data scoring'!U161&lt;&gt;"N/A","Yes","No")</f>
        <v/>
      </c>
      <c r="Q32" s="56">
        <f>IF('A1. Data scoring'!V161&lt;&gt;"N/A","Yes","No")</f>
        <v/>
      </c>
      <c r="R32" s="56">
        <f>IF('A1. Data scoring'!W161&lt;&gt;"N/A","Yes","No")</f>
        <v/>
      </c>
      <c r="S32" s="56">
        <f>IF('A1. Data scoring'!X161&lt;&gt;"N/A","Yes","No")</f>
        <v/>
      </c>
      <c r="T32" s="8">
        <f>COUNTIF(C32:S32,"Yes")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56">
        <f>IF('A1. Data scoring'!T167&lt;&gt;"N/A","Yes","No")</f>
        <v/>
      </c>
      <c r="P33" s="56">
        <f>IF('A1. Data scoring'!U167&lt;&gt;"N/A","Yes","No")</f>
        <v/>
      </c>
      <c r="Q33" s="56">
        <f>IF('A1. Data scoring'!V167&lt;&gt;"N/A","Yes","No")</f>
        <v/>
      </c>
      <c r="R33" s="56">
        <f>IF('A1. Data scoring'!W167&lt;&gt;"N/A","Yes","No")</f>
        <v/>
      </c>
      <c r="S33" s="56">
        <f>IF('A1. Data scoring'!X167&lt;&gt;"N/A","Yes","No")</f>
        <v/>
      </c>
      <c r="T33" s="8">
        <f>COUNTIF(C33:S33,"Yes")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56">
        <f>IF('A1. Data scoring'!T173&lt;&gt;"N/A","Yes","No")</f>
        <v/>
      </c>
      <c r="P34" s="56">
        <f>IF('A1. Data scoring'!U173&lt;&gt;"N/A","Yes","No")</f>
        <v/>
      </c>
      <c r="Q34" s="56">
        <f>IF('A1. Data scoring'!V173&lt;&gt;"N/A","Yes","No")</f>
        <v/>
      </c>
      <c r="R34" s="56">
        <f>IF('A1. Data scoring'!W173&lt;&gt;"N/A","Yes","No")</f>
        <v/>
      </c>
      <c r="S34" s="56">
        <f>IF('A1. Data scoring'!X173&lt;&gt;"N/A","Yes","No")</f>
        <v/>
      </c>
      <c r="T34" s="8">
        <f>COUNTIF(C34:S34,"Yes")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56">
        <f>IF('A1. Data scoring'!T179&lt;&gt;"N/A","Yes","No")</f>
        <v/>
      </c>
      <c r="P35" s="56">
        <f>IF('A1. Data scoring'!U179&lt;&gt;"N/A","Yes","No")</f>
        <v/>
      </c>
      <c r="Q35" s="56">
        <f>IF('A1. Data scoring'!V179&lt;&gt;"N/A","Yes","No")</f>
        <v/>
      </c>
      <c r="R35" s="56">
        <f>IF('A1. Data scoring'!W179&lt;&gt;"N/A","Yes","No")</f>
        <v/>
      </c>
      <c r="S35" s="56">
        <f>IF('A1. Data scoring'!X179&lt;&gt;"N/A","Yes","No")</f>
        <v/>
      </c>
      <c r="T35" s="8">
        <f>COUNTIF(C35:S35,"Yes")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56">
        <f>IF('A1. Data scoring'!T185&lt;&gt;"N/A","Yes","No")</f>
        <v/>
      </c>
      <c r="P36" s="56">
        <f>IF('A1. Data scoring'!U185&lt;&gt;"N/A","Yes","No")</f>
        <v/>
      </c>
      <c r="Q36" s="56">
        <f>IF('A1. Data scoring'!V185&lt;&gt;"N/A","Yes","No")</f>
        <v/>
      </c>
      <c r="R36" s="56">
        <f>IF('A1. Data scoring'!W185&lt;&gt;"N/A","Yes","No")</f>
        <v/>
      </c>
      <c r="S36" s="56">
        <f>IF('A1. Data scoring'!X185&lt;&gt;"N/A","Yes","No")</f>
        <v/>
      </c>
      <c r="T36" s="8">
        <f>COUNTIF(C36:S36,"Yes")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56">
        <f>IF('A1. Data scoring'!T191&lt;&gt;"N/A","Yes","No")</f>
        <v/>
      </c>
      <c r="P37" s="56">
        <f>IF('A1. Data scoring'!U191&lt;&gt;"N/A","Yes","No")</f>
        <v/>
      </c>
      <c r="Q37" s="56">
        <f>IF('A1. Data scoring'!V191&lt;&gt;"N/A","Yes","No")</f>
        <v/>
      </c>
      <c r="R37" s="56">
        <f>IF('A1. Data scoring'!W191&lt;&gt;"N/A","Yes","No")</f>
        <v/>
      </c>
      <c r="S37" s="56">
        <f>IF('A1. Data scoring'!X191&lt;&gt;"N/A","Yes","No")</f>
        <v/>
      </c>
      <c r="T37" s="8">
        <f>COUNTIF(C37:S37,"Yes")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56">
        <f>IF('A1. Data scoring'!T197&lt;&gt;"N/A","Yes","No")</f>
        <v/>
      </c>
      <c r="P38" s="56">
        <f>IF('A1. Data scoring'!U197&lt;&gt;"N/A","Yes","No")</f>
        <v/>
      </c>
      <c r="Q38" s="56">
        <f>IF('A1. Data scoring'!V197&lt;&gt;"N/A","Yes","No")</f>
        <v/>
      </c>
      <c r="R38" s="56">
        <f>IF('A1. Data scoring'!W197&lt;&gt;"N/A","Yes","No")</f>
        <v/>
      </c>
      <c r="S38" s="56">
        <f>IF('A1. Data scoring'!X197&lt;&gt;"N/A","Yes","No")</f>
        <v/>
      </c>
      <c r="T38" s="8">
        <f>COUNTIF(C38:S38,"Yes")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56">
        <f>IF('A1. Data scoring'!T203&lt;&gt;"N/A","Yes","No")</f>
        <v/>
      </c>
      <c r="P39" s="56">
        <f>IF('A1. Data scoring'!U203&lt;&gt;"N/A","Yes","No")</f>
        <v/>
      </c>
      <c r="Q39" s="56">
        <f>IF('A1. Data scoring'!V203&lt;&gt;"N/A","Yes","No")</f>
        <v/>
      </c>
      <c r="R39" s="56">
        <f>IF('A1. Data scoring'!W203&lt;&gt;"N/A","Yes","No")</f>
        <v/>
      </c>
      <c r="S39" s="56">
        <f>IF('A1. Data scoring'!X203&lt;&gt;"N/A","Yes","No")</f>
        <v/>
      </c>
      <c r="T39" s="8">
        <f>COUNTIF(C39:S39,"Yes")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56">
        <f>IF('A1. Data scoring'!T209&lt;&gt;"N/A","Yes","No")</f>
        <v/>
      </c>
      <c r="P40" s="56">
        <f>IF('A1. Data scoring'!U209&lt;&gt;"N/A","Yes","No")</f>
        <v/>
      </c>
      <c r="Q40" s="56">
        <f>IF('A1. Data scoring'!V209&lt;&gt;"N/A","Yes","No")</f>
        <v/>
      </c>
      <c r="R40" s="56">
        <f>IF('A1. Data scoring'!W209&lt;&gt;"N/A","Yes","No")</f>
        <v/>
      </c>
      <c r="S40" s="56">
        <f>IF('A1. Data scoring'!X209&lt;&gt;"N/A","Yes","No")</f>
        <v/>
      </c>
      <c r="T40" s="8">
        <f>COUNTIF(C40:S40,"Yes")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56">
        <f>IF('A1. Data scoring'!T215&lt;&gt;"N/A","Yes","No")</f>
        <v/>
      </c>
      <c r="P41" s="56">
        <f>IF('A1. Data scoring'!U215&lt;&gt;"N/A","Yes","No")</f>
        <v/>
      </c>
      <c r="Q41" s="56">
        <f>IF('A1. Data scoring'!V215&lt;&gt;"N/A","Yes","No")</f>
        <v/>
      </c>
      <c r="R41" s="56">
        <f>IF('A1. Data scoring'!W215&lt;&gt;"N/A","Yes","No")</f>
        <v/>
      </c>
      <c r="S41" s="56">
        <f>IF('A1. Data scoring'!X215&lt;&gt;"N/A","Yes","No")</f>
        <v/>
      </c>
      <c r="T41" s="8">
        <f>COUNTIF(C41:S41,"Yes")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56">
        <f>IF('A1. Data scoring'!T221&lt;&gt;"N/A","Yes","No")</f>
        <v/>
      </c>
      <c r="P42" s="56">
        <f>IF('A1. Data scoring'!U221&lt;&gt;"N/A","Yes","No")</f>
        <v/>
      </c>
      <c r="Q42" s="56">
        <f>IF('A1. Data scoring'!V221&lt;&gt;"N/A","Yes","No")</f>
        <v/>
      </c>
      <c r="R42" s="56">
        <f>IF('A1. Data scoring'!W221&lt;&gt;"N/A","Yes","No")</f>
        <v/>
      </c>
      <c r="S42" s="56">
        <f>IF('A1. Data scoring'!X221&lt;&gt;"N/A","Yes","No")</f>
        <v/>
      </c>
      <c r="T42" s="8">
        <f>COUNTIF(C42:S42,"Yes")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56">
        <f>IF('A1. Data scoring'!T227&lt;&gt;"N/A","Yes","No")</f>
        <v/>
      </c>
      <c r="P43" s="56">
        <f>IF('A1. Data scoring'!U227&lt;&gt;"N/A","Yes","No")</f>
        <v/>
      </c>
      <c r="Q43" s="56">
        <f>IF('A1. Data scoring'!V227&lt;&gt;"N/A","Yes","No")</f>
        <v/>
      </c>
      <c r="R43" s="56">
        <f>IF('A1. Data scoring'!W227&lt;&gt;"N/A","Yes","No")</f>
        <v/>
      </c>
      <c r="S43" s="56">
        <f>IF('A1. Data scoring'!X227&lt;&gt;"N/A","Yes","No")</f>
        <v/>
      </c>
      <c r="T43" s="8">
        <f>COUNTIF(C43:S43,"Yes")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56">
        <f>IF('A1. Data scoring'!T233&lt;&gt;"N/A","Yes","No")</f>
        <v/>
      </c>
      <c r="P44" s="56">
        <f>IF('A1. Data scoring'!U233&lt;&gt;"N/A","Yes","No")</f>
        <v/>
      </c>
      <c r="Q44" s="56">
        <f>IF('A1. Data scoring'!V233&lt;&gt;"N/A","Yes","No")</f>
        <v/>
      </c>
      <c r="R44" s="56">
        <f>IF('A1. Data scoring'!W233&lt;&gt;"N/A","Yes","No")</f>
        <v/>
      </c>
      <c r="S44" s="56">
        <f>IF('A1. Data scoring'!X233&lt;&gt;"N/A","Yes","No")</f>
        <v/>
      </c>
      <c r="T44" s="8">
        <f>COUNTIF(C44:S44,"Yes")</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J8" s="57" t="inlineStr">
        <is>
          <t>Education – Chancellery Education</t>
        </is>
      </c>
      <c r="P8" s="58">
        <f>'A1. Data scoring'!AH11</f>
        <v/>
      </c>
      <c r="Q8" s="58">
        <f>'A1. Data scoring'!AK11</f>
        <v/>
      </c>
      <c r="R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J9" s="60">
        <f>'A1. Data scoring'!U11</f>
        <v/>
      </c>
      <c r="R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J10" s="60">
        <f>'A1. Data scoring'!U12</f>
        <v/>
      </c>
      <c r="R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J11" s="60">
        <f>'A1. Data scoring'!U13</f>
        <v/>
      </c>
      <c r="R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J12" s="60">
        <f>'A1. Data scoring'!U14</f>
        <v/>
      </c>
      <c r="R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J13" s="60">
        <f>'A1. Data scoring'!U15</f>
        <v/>
      </c>
      <c r="R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J14" s="60">
        <f>'A1. Data scoring'!U16</f>
        <v/>
      </c>
      <c r="R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J16" s="57" t="inlineStr">
        <is>
          <t>Education – Chancellery Education</t>
        </is>
      </c>
      <c r="P16" s="58">
        <f>'A1. Data scoring'!AH17</f>
        <v/>
      </c>
      <c r="Q16" s="58">
        <f>'A1. Data scoring'!AK17</f>
        <v/>
      </c>
      <c r="R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J17" s="60">
        <f>'A1. Data scoring'!U17</f>
        <v/>
      </c>
      <c r="R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J18" s="60">
        <f>'A1. Data scoring'!U18</f>
        <v/>
      </c>
      <c r="R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J19" s="60">
        <f>'A1. Data scoring'!U19</f>
        <v/>
      </c>
      <c r="R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J20" s="60">
        <f>'A1. Data scoring'!U20</f>
        <v/>
      </c>
      <c r="R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J21" s="60">
        <f>'A1. Data scoring'!U21</f>
        <v/>
      </c>
      <c r="R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J22" s="60">
        <f>'A1. Data scoring'!U22</f>
        <v/>
      </c>
      <c r="R22" s="62" t="n"/>
    </row>
    <row r="24">
      <c r="B24" s="7" t="inlineStr">
        <is>
          <t>EE1(c)</t>
        </is>
      </c>
      <c r="C24" s="51" t="inlineStr">
        <is>
          <t>Evidence of sustainability focused experiential and co curricular learning (eg Wattle Fellowship; Melbourne Plus)</t>
        </is>
      </c>
      <c r="D24" s="57" t="inlineStr">
        <is>
          <t>Unit</t>
        </is>
      </c>
      <c r="E24" s="57" t="inlineStr">
        <is>
          <t>CI&amp;S – Sustainability Strategy</t>
        </is>
      </c>
      <c r="F24" s="57" t="inlineStr">
        <is>
          <t>SaSS – Student and Scholarly Services</t>
        </is>
      </c>
      <c r="P24" s="58">
        <f>'A1. Data scoring'!AH23</f>
        <v/>
      </c>
      <c r="Q24" s="58">
        <f>'A1. Data scoring'!AK23</f>
        <v/>
      </c>
      <c r="R24" s="8" t="n"/>
    </row>
    <row r="25" ht="18" customHeight="1">
      <c r="B25" s="59" t="inlineStr">
        <is>
          <t>EE1(c)</t>
        </is>
      </c>
      <c r="D25" s="13" t="inlineStr">
        <is>
          <t>Confirm end-2026 target status</t>
        </is>
      </c>
      <c r="E25" s="60">
        <f>'A1. Data scoring'!M23</f>
        <v/>
      </c>
      <c r="F25" s="60">
        <f>'A1. Data scoring'!V23</f>
        <v/>
      </c>
      <c r="R25" s="61" t="n"/>
    </row>
    <row r="26" ht="60" customHeight="1">
      <c r="B26" s="59" t="inlineStr">
        <is>
          <t>EE1(c)</t>
        </is>
      </c>
      <c r="D26" s="13" t="inlineStr">
        <is>
          <t>OPTION 1:  Target-level reporting</t>
        </is>
      </c>
      <c r="E26" s="60">
        <f>'A1. Data scoring'!M24</f>
        <v/>
      </c>
      <c r="F26" s="60">
        <f>'A1. Data scoring'!V24</f>
        <v/>
      </c>
      <c r="R26" s="61" t="n"/>
    </row>
    <row r="27" ht="60" customHeight="1">
      <c r="B27" s="59" t="inlineStr">
        <is>
          <t>EE1(c)</t>
        </is>
      </c>
      <c r="D27" s="13" t="inlineStr">
        <is>
          <t>OPTION 2:  Indicator level reporting</t>
        </is>
      </c>
      <c r="E27" s="60">
        <f>'A1. Data scoring'!M25</f>
        <v/>
      </c>
      <c r="F27" s="60">
        <f>'A1. Data scoring'!V25</f>
        <v/>
      </c>
      <c r="R27" s="61" t="n"/>
    </row>
    <row r="28" ht="18" customHeight="1">
      <c r="B28" s="59" t="inlineStr">
        <is>
          <t>EE1(c)</t>
        </is>
      </c>
      <c r="D28" s="13" t="inlineStr">
        <is>
          <t>Supporting information/comments</t>
        </is>
      </c>
      <c r="E28" s="60">
        <f>'A1. Data scoring'!M26</f>
        <v/>
      </c>
      <c r="F28" s="60">
        <f>'A1. Data scoring'!V26</f>
        <v/>
      </c>
      <c r="R28" s="61" t="n"/>
    </row>
    <row r="29" ht="18" customHeight="1">
      <c r="B29" s="59" t="inlineStr">
        <is>
          <t>EE1(c)</t>
        </is>
      </c>
      <c r="D29" s="13" t="inlineStr">
        <is>
          <t>Data source and limitations</t>
        </is>
      </c>
      <c r="E29" s="60">
        <f>'A1. Data scoring'!M27</f>
        <v/>
      </c>
      <c r="F29" s="60">
        <f>'A1. Data scoring'!V27</f>
        <v/>
      </c>
      <c r="R29" s="61" t="n"/>
    </row>
    <row r="30" ht="18" customHeight="1">
      <c r="B30" s="59" t="inlineStr">
        <is>
          <t>EE1(c)</t>
        </is>
      </c>
      <c r="D30" s="13" t="inlineStr">
        <is>
          <t>Data owner confirms</t>
        </is>
      </c>
      <c r="E30" s="60">
        <f>'A1. Data scoring'!M28</f>
        <v/>
      </c>
      <c r="F30" s="60">
        <f>'A1. Data scoring'!V28</f>
        <v/>
      </c>
      <c r="R30" s="62" t="n"/>
    </row>
    <row r="32">
      <c r="B32" s="7" t="inlineStr">
        <is>
          <t>EE1(d)</t>
        </is>
      </c>
      <c r="C32" s="51" t="inlineStr">
        <is>
          <t>Alumni profiles demonstrating how graduates contribute to sustainability through their careers or communities.</t>
        </is>
      </c>
      <c r="D32" s="57" t="inlineStr">
        <is>
          <t>Unit</t>
        </is>
      </c>
      <c r="E32" s="57" t="inlineStr">
        <is>
          <t>SaSS – Student and Scholarly Services</t>
        </is>
      </c>
      <c r="P32" s="58">
        <f>'A1. Data scoring'!AH29</f>
        <v/>
      </c>
      <c r="Q32" s="58">
        <f>'A1. Data scoring'!AK29</f>
        <v/>
      </c>
      <c r="R32" s="8" t="n"/>
    </row>
    <row r="33" ht="18" customHeight="1">
      <c r="B33" s="59" t="inlineStr">
        <is>
          <t>EE1(d)</t>
        </is>
      </c>
      <c r="D33" s="13" t="inlineStr">
        <is>
          <t>Confirm end-2026 target status</t>
        </is>
      </c>
      <c r="E33" s="60">
        <f>'A1. Data scoring'!V29</f>
        <v/>
      </c>
      <c r="R33" s="61" t="n"/>
    </row>
    <row r="34" ht="60" customHeight="1">
      <c r="B34" s="59" t="inlineStr">
        <is>
          <t>EE1(d)</t>
        </is>
      </c>
      <c r="D34" s="13" t="inlineStr">
        <is>
          <t>OPTION 1:  Target-level reporting</t>
        </is>
      </c>
      <c r="E34" s="60">
        <f>'A1. Data scoring'!V30</f>
        <v/>
      </c>
      <c r="R34" s="61" t="n"/>
    </row>
    <row r="35" ht="60" customHeight="1">
      <c r="B35" s="59" t="inlineStr">
        <is>
          <t>EE1(d)</t>
        </is>
      </c>
      <c r="D35" s="13" t="inlineStr">
        <is>
          <t>OPTION 2:  Indicator level reporting</t>
        </is>
      </c>
      <c r="E35" s="60">
        <f>'A1. Data scoring'!V31</f>
        <v/>
      </c>
      <c r="R35" s="61" t="n"/>
    </row>
    <row r="36" ht="18" customHeight="1">
      <c r="B36" s="59" t="inlineStr">
        <is>
          <t>EE1(d)</t>
        </is>
      </c>
      <c r="D36" s="13" t="inlineStr">
        <is>
          <t>Supporting information/comments</t>
        </is>
      </c>
      <c r="E36" s="60">
        <f>'A1. Data scoring'!V32</f>
        <v/>
      </c>
      <c r="R36" s="61" t="n"/>
    </row>
    <row r="37" ht="18" customHeight="1">
      <c r="B37" s="59" t="inlineStr">
        <is>
          <t>EE1(d)</t>
        </is>
      </c>
      <c r="D37" s="13" t="inlineStr">
        <is>
          <t>Data source and limitations</t>
        </is>
      </c>
      <c r="E37" s="60">
        <f>'A1. Data scoring'!V33</f>
        <v/>
      </c>
      <c r="R37" s="61" t="n"/>
    </row>
    <row r="38" ht="18" customHeight="1">
      <c r="B38" s="59" t="inlineStr">
        <is>
          <t>EE1(d)</t>
        </is>
      </c>
      <c r="D38" s="13" t="inlineStr">
        <is>
          <t>Data owner confirms</t>
        </is>
      </c>
      <c r="E38" s="60">
        <f>'A1. Data scoring'!V34</f>
        <v/>
      </c>
      <c r="R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P40" s="58">
        <f>'A1. Data scoring'!AH35</f>
        <v/>
      </c>
      <c r="Q40" s="58">
        <f>'A1. Data scoring'!AK35</f>
        <v/>
      </c>
      <c r="R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R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R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R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R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R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R46" s="62" t="n"/>
    </row>
    <row r="48">
      <c r="B48" s="7" t="inlineStr">
        <is>
          <t>TR1(b)</t>
        </is>
      </c>
      <c r="C48" s="51" t="inlineStr">
        <is>
          <t>Evidence of institutional pathways that enable ongoing collaboration between academic and professional staff</t>
        </is>
      </c>
      <c r="D48" s="57" t="inlineStr">
        <is>
          <t>Unit</t>
        </is>
      </c>
      <c r="E48" s="57" t="inlineStr">
        <is>
          <t>ABP</t>
        </is>
      </c>
      <c r="F48" s="57" t="inlineStr">
        <is>
          <t>ARTS</t>
        </is>
      </c>
      <c r="G48" s="57" t="inlineStr">
        <is>
          <t>FBE</t>
        </is>
      </c>
      <c r="H48" s="57" t="inlineStr">
        <is>
          <t>SCI</t>
        </is>
      </c>
      <c r="P48" s="58">
        <f>'A1. Data scoring'!AH41</f>
        <v/>
      </c>
      <c r="Q48" s="58">
        <f>'A1. Data scoring'!AK41</f>
        <v/>
      </c>
      <c r="R48" s="8" t="n"/>
    </row>
    <row r="49" ht="18" customHeight="1">
      <c r="B49" s="59" t="inlineStr">
        <is>
          <t>TR1(b)</t>
        </is>
      </c>
      <c r="D49" s="13" t="inlineStr">
        <is>
          <t>Confirm end-2026 target status</t>
        </is>
      </c>
      <c r="E49" s="60">
        <f>'A1. Data scoring'!H41</f>
        <v/>
      </c>
      <c r="F49" s="60">
        <f>'A1. Data scoring'!I41</f>
        <v/>
      </c>
      <c r="G49" s="60">
        <f>'A1. Data scoring'!J41</f>
        <v/>
      </c>
      <c r="H49" s="60">
        <f>'A1. Data scoring'!K41</f>
        <v/>
      </c>
      <c r="R49" s="61" t="n"/>
    </row>
    <row r="50" ht="60" customHeight="1">
      <c r="B50" s="59" t="inlineStr">
        <is>
          <t>TR1(b)</t>
        </is>
      </c>
      <c r="D50" s="13" t="inlineStr">
        <is>
          <t>OPTION 1:  Target-level reporting</t>
        </is>
      </c>
      <c r="E50" s="60">
        <f>'A1. Data scoring'!H42</f>
        <v/>
      </c>
      <c r="F50" s="60">
        <f>'A1. Data scoring'!I42</f>
        <v/>
      </c>
      <c r="G50" s="60">
        <f>'A1. Data scoring'!J42</f>
        <v/>
      </c>
      <c r="H50" s="60">
        <f>'A1. Data scoring'!K42</f>
        <v/>
      </c>
      <c r="R50" s="61" t="n"/>
    </row>
    <row r="51" ht="60" customHeight="1">
      <c r="B51" s="59" t="inlineStr">
        <is>
          <t>TR1(b)</t>
        </is>
      </c>
      <c r="D51" s="13" t="inlineStr">
        <is>
          <t>OPTION 2:  Indicator level reporting</t>
        </is>
      </c>
      <c r="E51" s="60">
        <f>'A1. Data scoring'!H43</f>
        <v/>
      </c>
      <c r="F51" s="60">
        <f>'A1. Data scoring'!I43</f>
        <v/>
      </c>
      <c r="G51" s="60">
        <f>'A1. Data scoring'!J43</f>
        <v/>
      </c>
      <c r="H51" s="60">
        <f>'A1. Data scoring'!K43</f>
        <v/>
      </c>
      <c r="R51" s="61" t="n"/>
    </row>
    <row r="52" ht="18" customHeight="1">
      <c r="B52" s="59" t="inlineStr">
        <is>
          <t>TR1(b)</t>
        </is>
      </c>
      <c r="D52" s="13" t="inlineStr">
        <is>
          <t>Supporting information/comments</t>
        </is>
      </c>
      <c r="E52" s="60">
        <f>'A1. Data scoring'!H44</f>
        <v/>
      </c>
      <c r="F52" s="60">
        <f>'A1. Data scoring'!I44</f>
        <v/>
      </c>
      <c r="G52" s="60">
        <f>'A1. Data scoring'!J44</f>
        <v/>
      </c>
      <c r="H52" s="60">
        <f>'A1. Data scoring'!K44</f>
        <v/>
      </c>
      <c r="R52" s="61" t="n"/>
    </row>
    <row r="53" ht="18" customHeight="1">
      <c r="B53" s="59" t="inlineStr">
        <is>
          <t>TR1(b)</t>
        </is>
      </c>
      <c r="D53" s="13" t="inlineStr">
        <is>
          <t>Data source and limitations</t>
        </is>
      </c>
      <c r="E53" s="60">
        <f>'A1. Data scoring'!H45</f>
        <v/>
      </c>
      <c r="F53" s="60">
        <f>'A1. Data scoring'!I45</f>
        <v/>
      </c>
      <c r="G53" s="60">
        <f>'A1. Data scoring'!J45</f>
        <v/>
      </c>
      <c r="H53" s="60">
        <f>'A1. Data scoring'!K45</f>
        <v/>
      </c>
      <c r="R53" s="61" t="n"/>
    </row>
    <row r="54" ht="18" customHeight="1">
      <c r="B54" s="59" t="inlineStr">
        <is>
          <t>TR1(b)</t>
        </is>
      </c>
      <c r="D54" s="13" t="inlineStr">
        <is>
          <t>Data owner confirms</t>
        </is>
      </c>
      <c r="E54" s="60">
        <f>'A1. Data scoring'!H46</f>
        <v/>
      </c>
      <c r="F54" s="60">
        <f>'A1. Data scoring'!I46</f>
        <v/>
      </c>
      <c r="G54" s="60">
        <f>'A1. Data scoring'!J46</f>
        <v/>
      </c>
      <c r="H54" s="60">
        <f>'A1. Data scoring'!K46</f>
        <v/>
      </c>
      <c r="R54" s="62" t="n"/>
    </row>
    <row r="56">
      <c r="B56" s="7" t="inlineStr">
        <is>
          <t>TR1(c)</t>
        </is>
      </c>
      <c r="C56" s="51" t="inlineStr">
        <is>
          <t>Expert assessment of the quality, relevance and continuity of these collaborations</t>
        </is>
      </c>
      <c r="D56" s="57" t="inlineStr">
        <is>
          <t>Unit</t>
        </is>
      </c>
      <c r="E56" s="57" t="inlineStr">
        <is>
          <t>ABP</t>
        </is>
      </c>
      <c r="F56" s="57" t="inlineStr">
        <is>
          <t>ARTS</t>
        </is>
      </c>
      <c r="G56" s="57" t="inlineStr">
        <is>
          <t>FBE</t>
        </is>
      </c>
      <c r="H56" s="57" t="inlineStr">
        <is>
          <t>SCI</t>
        </is>
      </c>
      <c r="P56" s="58">
        <f>'A1. Data scoring'!AH47</f>
        <v/>
      </c>
      <c r="Q56" s="58">
        <f>'A1. Data scoring'!AK47</f>
        <v/>
      </c>
      <c r="R56" s="8" t="n"/>
    </row>
    <row r="57" ht="18" customHeight="1">
      <c r="B57" s="59" t="inlineStr">
        <is>
          <t>TR1(c)</t>
        </is>
      </c>
      <c r="D57" s="13" t="inlineStr">
        <is>
          <t>Confirm end-2026 target status</t>
        </is>
      </c>
      <c r="E57" s="60">
        <f>'A1. Data scoring'!H47</f>
        <v/>
      </c>
      <c r="F57" s="60">
        <f>'A1. Data scoring'!I47</f>
        <v/>
      </c>
      <c r="G57" s="60">
        <f>'A1. Data scoring'!J47</f>
        <v/>
      </c>
      <c r="H57" s="60">
        <f>'A1. Data scoring'!K47</f>
        <v/>
      </c>
      <c r="R57" s="61" t="n"/>
    </row>
    <row r="58" ht="60" customHeight="1">
      <c r="B58" s="59" t="inlineStr">
        <is>
          <t>TR1(c)</t>
        </is>
      </c>
      <c r="D58" s="13" t="inlineStr">
        <is>
          <t>OPTION 1:  Target-level reporting</t>
        </is>
      </c>
      <c r="E58" s="60">
        <f>'A1. Data scoring'!H48</f>
        <v/>
      </c>
      <c r="F58" s="60">
        <f>'A1. Data scoring'!I48</f>
        <v/>
      </c>
      <c r="G58" s="60">
        <f>'A1. Data scoring'!J48</f>
        <v/>
      </c>
      <c r="H58" s="60">
        <f>'A1. Data scoring'!K48</f>
        <v/>
      </c>
      <c r="R58" s="61" t="n"/>
    </row>
    <row r="59" ht="60" customHeight="1">
      <c r="B59" s="59" t="inlineStr">
        <is>
          <t>TR1(c)</t>
        </is>
      </c>
      <c r="D59" s="13" t="inlineStr">
        <is>
          <t>OPTION 2:  Indicator level reporting</t>
        </is>
      </c>
      <c r="E59" s="60">
        <f>'A1. Data scoring'!H49</f>
        <v/>
      </c>
      <c r="F59" s="60">
        <f>'A1. Data scoring'!I49</f>
        <v/>
      </c>
      <c r="G59" s="60">
        <f>'A1. Data scoring'!J49</f>
        <v/>
      </c>
      <c r="H59" s="60">
        <f>'A1. Data scoring'!K49</f>
        <v/>
      </c>
      <c r="R59" s="61" t="n"/>
    </row>
    <row r="60" ht="18" customHeight="1">
      <c r="B60" s="59" t="inlineStr">
        <is>
          <t>TR1(c)</t>
        </is>
      </c>
      <c r="D60" s="13" t="inlineStr">
        <is>
          <t>Supporting information/comments</t>
        </is>
      </c>
      <c r="E60" s="60">
        <f>'A1. Data scoring'!H50</f>
        <v/>
      </c>
      <c r="F60" s="60">
        <f>'A1. Data scoring'!I50</f>
        <v/>
      </c>
      <c r="G60" s="60">
        <f>'A1. Data scoring'!J50</f>
        <v/>
      </c>
      <c r="H60" s="60">
        <f>'A1. Data scoring'!K50</f>
        <v/>
      </c>
      <c r="R60" s="61" t="n"/>
    </row>
    <row r="61" ht="18" customHeight="1">
      <c r="B61" s="59" t="inlineStr">
        <is>
          <t>TR1(c)</t>
        </is>
      </c>
      <c r="D61" s="13" t="inlineStr">
        <is>
          <t>Data source and limitations</t>
        </is>
      </c>
      <c r="E61" s="60">
        <f>'A1. Data scoring'!H51</f>
        <v/>
      </c>
      <c r="F61" s="60">
        <f>'A1. Data scoring'!I51</f>
        <v/>
      </c>
      <c r="G61" s="60">
        <f>'A1. Data scoring'!J51</f>
        <v/>
      </c>
      <c r="H61" s="60">
        <f>'A1. Data scoring'!K51</f>
        <v/>
      </c>
      <c r="R61" s="61" t="n"/>
    </row>
    <row r="62" ht="18" customHeight="1">
      <c r="B62" s="59" t="inlineStr">
        <is>
          <t>TR1(c)</t>
        </is>
      </c>
      <c r="D62" s="13" t="inlineStr">
        <is>
          <t>Data owner confirms</t>
        </is>
      </c>
      <c r="E62" s="60">
        <f>'A1. Data scoring'!H52</f>
        <v/>
      </c>
      <c r="F62" s="60">
        <f>'A1. Data scoring'!I52</f>
        <v/>
      </c>
      <c r="G62" s="60">
        <f>'A1. Data scoring'!J52</f>
        <v/>
      </c>
      <c r="H62" s="60">
        <f>'A1. Data scoring'!K52</f>
        <v/>
      </c>
      <c r="R62" s="62" t="n"/>
    </row>
    <row r="64">
      <c r="B64" s="7" t="inlineStr">
        <is>
          <t>TR1(d)</t>
        </is>
      </c>
      <c r="C64" s="51" t="inlineStr">
        <is>
          <t>Periodic feedback from participants on the effectiveness and mutual benefit of collaboration mechanisms.</t>
        </is>
      </c>
      <c r="D64" s="57" t="inlineStr">
        <is>
          <t>Unit</t>
        </is>
      </c>
      <c r="E64" s="57" t="inlineStr">
        <is>
          <t>ABP</t>
        </is>
      </c>
      <c r="F64" s="57" t="inlineStr">
        <is>
          <t>ARTS</t>
        </is>
      </c>
      <c r="G64" s="57" t="inlineStr">
        <is>
          <t>FBE</t>
        </is>
      </c>
      <c r="H64" s="57" t="inlineStr">
        <is>
          <t>SCI</t>
        </is>
      </c>
      <c r="P64" s="58">
        <f>'A1. Data scoring'!AH53</f>
        <v/>
      </c>
      <c r="Q64" s="58">
        <f>'A1. Data scoring'!AK53</f>
        <v/>
      </c>
      <c r="R64" s="8" t="n"/>
    </row>
    <row r="65" ht="18" customHeight="1">
      <c r="B65" s="59" t="inlineStr">
        <is>
          <t>TR1(d)</t>
        </is>
      </c>
      <c r="D65" s="13" t="inlineStr">
        <is>
          <t>Confirm end-2026 target status</t>
        </is>
      </c>
      <c r="E65" s="60">
        <f>'A1. Data scoring'!H53</f>
        <v/>
      </c>
      <c r="F65" s="60">
        <f>'A1. Data scoring'!I53</f>
        <v/>
      </c>
      <c r="G65" s="60">
        <f>'A1. Data scoring'!J53</f>
        <v/>
      </c>
      <c r="H65" s="60">
        <f>'A1. Data scoring'!K53</f>
        <v/>
      </c>
      <c r="R65" s="61" t="n"/>
    </row>
    <row r="66" ht="60" customHeight="1">
      <c r="B66" s="59" t="inlineStr">
        <is>
          <t>TR1(d)</t>
        </is>
      </c>
      <c r="D66" s="13" t="inlineStr">
        <is>
          <t>OPTION 1:  Target-level reporting</t>
        </is>
      </c>
      <c r="E66" s="60">
        <f>'A1. Data scoring'!H54</f>
        <v/>
      </c>
      <c r="F66" s="60">
        <f>'A1. Data scoring'!I54</f>
        <v/>
      </c>
      <c r="G66" s="60">
        <f>'A1. Data scoring'!J54</f>
        <v/>
      </c>
      <c r="H66" s="60">
        <f>'A1. Data scoring'!K54</f>
        <v/>
      </c>
      <c r="R66" s="61" t="n"/>
    </row>
    <row r="67" ht="60" customHeight="1">
      <c r="B67" s="59" t="inlineStr">
        <is>
          <t>TR1(d)</t>
        </is>
      </c>
      <c r="D67" s="13" t="inlineStr">
        <is>
          <t>OPTION 2:  Indicator level reporting</t>
        </is>
      </c>
      <c r="E67" s="60">
        <f>'A1. Data scoring'!H55</f>
        <v/>
      </c>
      <c r="F67" s="60">
        <f>'A1. Data scoring'!I55</f>
        <v/>
      </c>
      <c r="G67" s="60">
        <f>'A1. Data scoring'!J55</f>
        <v/>
      </c>
      <c r="H67" s="60">
        <f>'A1. Data scoring'!K55</f>
        <v/>
      </c>
      <c r="R67" s="61" t="n"/>
    </row>
    <row r="68" ht="18" customHeight="1">
      <c r="B68" s="59" t="inlineStr">
        <is>
          <t>TR1(d)</t>
        </is>
      </c>
      <c r="D68" s="13" t="inlineStr">
        <is>
          <t>Supporting information/comments</t>
        </is>
      </c>
      <c r="E68" s="60">
        <f>'A1. Data scoring'!H56</f>
        <v/>
      </c>
      <c r="F68" s="60">
        <f>'A1. Data scoring'!I56</f>
        <v/>
      </c>
      <c r="G68" s="60">
        <f>'A1. Data scoring'!J56</f>
        <v/>
      </c>
      <c r="H68" s="60">
        <f>'A1. Data scoring'!K56</f>
        <v/>
      </c>
      <c r="R68" s="61" t="n"/>
    </row>
    <row r="69" ht="18" customHeight="1">
      <c r="B69" s="59" t="inlineStr">
        <is>
          <t>TR1(d)</t>
        </is>
      </c>
      <c r="D69" s="13" t="inlineStr">
        <is>
          <t>Data source and limitations</t>
        </is>
      </c>
      <c r="E69" s="60">
        <f>'A1. Data scoring'!H57</f>
        <v/>
      </c>
      <c r="F69" s="60">
        <f>'A1. Data scoring'!I57</f>
        <v/>
      </c>
      <c r="G69" s="60">
        <f>'A1. Data scoring'!J57</f>
        <v/>
      </c>
      <c r="H69" s="60">
        <f>'A1. Data scoring'!K57</f>
        <v/>
      </c>
      <c r="R69" s="61" t="n"/>
    </row>
    <row r="70" ht="18" customHeight="1">
      <c r="B70" s="59" t="inlineStr">
        <is>
          <t>TR1(d)</t>
        </is>
      </c>
      <c r="D70" s="13" t="inlineStr">
        <is>
          <t>Data owner confirms</t>
        </is>
      </c>
      <c r="E70" s="60">
        <f>'A1. Data scoring'!H58</f>
        <v/>
      </c>
      <c r="F70" s="60">
        <f>'A1. Data scoring'!I58</f>
        <v/>
      </c>
      <c r="G70" s="60">
        <f>'A1. Data scoring'!J58</f>
        <v/>
      </c>
      <c r="H70" s="60">
        <f>'A1. Data scoring'!K58</f>
        <v/>
      </c>
      <c r="R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I72" s="57" t="inlineStr">
        <is>
          <t>AC&amp;M – Advancement, Communication and Marketing</t>
        </is>
      </c>
      <c r="P72" s="58">
        <f>'A1. Data scoring'!AH59</f>
        <v/>
      </c>
      <c r="Q72" s="58">
        <f>'A1. Data scoring'!AK59</f>
        <v/>
      </c>
      <c r="R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I73" s="60">
        <f>'A1. Data scoring'!S59</f>
        <v/>
      </c>
      <c r="R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I74" s="60">
        <f>'A1. Data scoring'!S60</f>
        <v/>
      </c>
      <c r="R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I75" s="60">
        <f>'A1. Data scoring'!S61</f>
        <v/>
      </c>
      <c r="R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I76" s="60">
        <f>'A1. Data scoring'!S62</f>
        <v/>
      </c>
      <c r="R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I77" s="60">
        <f>'A1. Data scoring'!S63</f>
        <v/>
      </c>
      <c r="R77" s="61" t="n"/>
    </row>
    <row r="78" ht="18" customHeight="1">
      <c r="B78" s="59" t="inlineStr">
        <is>
          <t>TR2(a)</t>
        </is>
      </c>
      <c r="D78" s="13" t="inlineStr">
        <is>
          <t>Data owner confirms</t>
        </is>
      </c>
      <c r="E78" s="60">
        <f>'A1. Data scoring'!H64</f>
        <v/>
      </c>
      <c r="F78" s="60">
        <f>'A1. Data scoring'!I64</f>
        <v/>
      </c>
      <c r="G78" s="60">
        <f>'A1. Data scoring'!J64</f>
        <v/>
      </c>
      <c r="H78" s="60">
        <f>'A1. Data scoring'!K64</f>
        <v/>
      </c>
      <c r="I78" s="60">
        <f>'A1. Data scoring'!S64</f>
        <v/>
      </c>
      <c r="R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P80" s="58">
        <f>'A1. Data scoring'!AH65</f>
        <v/>
      </c>
      <c r="Q80" s="58">
        <f>'A1. Data scoring'!AK65</f>
        <v/>
      </c>
      <c r="R80" s="8" t="n"/>
    </row>
    <row r="81" ht="18" customHeight="1">
      <c r="B81" s="59" t="inlineStr">
        <is>
          <t>TR2(c)</t>
        </is>
      </c>
      <c r="D81" s="13" t="inlineStr">
        <is>
          <t>Confirm end-2026 target status</t>
        </is>
      </c>
      <c r="E81" s="60">
        <f>'A1. Data scoring'!R65</f>
        <v/>
      </c>
      <c r="R81" s="61" t="n"/>
    </row>
    <row r="82" ht="60" customHeight="1">
      <c r="B82" s="59" t="inlineStr">
        <is>
          <t>TR2(c)</t>
        </is>
      </c>
      <c r="D82" s="13" t="inlineStr">
        <is>
          <t>OPTION 1:  Target-level reporting</t>
        </is>
      </c>
      <c r="E82" s="60">
        <f>'A1. Data scoring'!R66</f>
        <v/>
      </c>
      <c r="R82" s="61" t="n"/>
    </row>
    <row r="83" ht="60" customHeight="1">
      <c r="B83" s="59" t="inlineStr">
        <is>
          <t>TR2(c)</t>
        </is>
      </c>
      <c r="D83" s="13" t="inlineStr">
        <is>
          <t>OPTION 2:  Indicator level reporting</t>
        </is>
      </c>
      <c r="E83" s="60">
        <f>'A1. Data scoring'!R67</f>
        <v/>
      </c>
      <c r="R83" s="61" t="n"/>
    </row>
    <row r="84" ht="18" customHeight="1">
      <c r="B84" s="59" t="inlineStr">
        <is>
          <t>TR2(c)</t>
        </is>
      </c>
      <c r="D84" s="13" t="inlineStr">
        <is>
          <t>Supporting information/comments</t>
        </is>
      </c>
      <c r="E84" s="60">
        <f>'A1. Data scoring'!R68</f>
        <v/>
      </c>
      <c r="R84" s="61" t="n"/>
    </row>
    <row r="85" ht="18" customHeight="1">
      <c r="B85" s="59" t="inlineStr">
        <is>
          <t>TR2(c)</t>
        </is>
      </c>
      <c r="D85" s="13" t="inlineStr">
        <is>
          <t>Data source and limitations</t>
        </is>
      </c>
      <c r="E85" s="60">
        <f>'A1. Data scoring'!R69</f>
        <v/>
      </c>
      <c r="R85" s="61" t="n"/>
    </row>
    <row r="86" ht="18" customHeight="1">
      <c r="B86" s="59" t="inlineStr">
        <is>
          <t>TR2(c)</t>
        </is>
      </c>
      <c r="D86" s="13" t="inlineStr">
        <is>
          <t>Data owner confirms</t>
        </is>
      </c>
      <c r="E86" s="60">
        <f>'A1. Data scoring'!R70</f>
        <v/>
      </c>
      <c r="R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P88" s="58">
        <f>'A1. Data scoring'!AH71</f>
        <v/>
      </c>
      <c r="Q88" s="58">
        <f>'A1. Data scoring'!AK71</f>
        <v/>
      </c>
      <c r="R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R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R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R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R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R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R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MRE – Research</t>
        </is>
      </c>
      <c r="P96" s="58">
        <f>'A1. Data scoring'!AH77</f>
        <v/>
      </c>
      <c r="Q96" s="58">
        <f>'A1. Data scoring'!AK77</f>
        <v/>
      </c>
      <c r="R96" s="8" t="n"/>
    </row>
    <row r="97" ht="18" customHeight="1">
      <c r="B97" s="59" t="inlineStr">
        <is>
          <t>TR3(a)</t>
        </is>
      </c>
      <c r="D97" s="13" t="inlineStr">
        <is>
          <t>Confirm end-2026 target status</t>
        </is>
      </c>
      <c r="E97" s="60">
        <f>'A1. Data scoring'!R77</f>
        <v/>
      </c>
      <c r="R97" s="61" t="n"/>
    </row>
    <row r="98" ht="60" customHeight="1">
      <c r="B98" s="59" t="inlineStr">
        <is>
          <t>TR3(a)</t>
        </is>
      </c>
      <c r="D98" s="13" t="inlineStr">
        <is>
          <t>OPTION 1:  Target-level reporting</t>
        </is>
      </c>
      <c r="E98" s="60">
        <f>'A1. Data scoring'!R78</f>
        <v/>
      </c>
      <c r="R98" s="61" t="n"/>
    </row>
    <row r="99" ht="60" customHeight="1">
      <c r="B99" s="59" t="inlineStr">
        <is>
          <t>TR3(a)</t>
        </is>
      </c>
      <c r="D99" s="13" t="inlineStr">
        <is>
          <t>OPTION 2:  Indicator level reporting</t>
        </is>
      </c>
      <c r="E99" s="60">
        <f>'A1. Data scoring'!R79</f>
        <v/>
      </c>
      <c r="R99" s="61" t="n"/>
    </row>
    <row r="100" ht="18" customHeight="1">
      <c r="B100" s="59" t="inlineStr">
        <is>
          <t>TR3(a)</t>
        </is>
      </c>
      <c r="D100" s="13" t="inlineStr">
        <is>
          <t>Supporting information/comments</t>
        </is>
      </c>
      <c r="E100" s="60">
        <f>'A1. Data scoring'!R80</f>
        <v/>
      </c>
      <c r="R100" s="61" t="n"/>
    </row>
    <row r="101" ht="18" customHeight="1">
      <c r="B101" s="59" t="inlineStr">
        <is>
          <t>TR3(a)</t>
        </is>
      </c>
      <c r="D101" s="13" t="inlineStr">
        <is>
          <t>Data source and limitations</t>
        </is>
      </c>
      <c r="E101" s="60">
        <f>'A1. Data scoring'!R81</f>
        <v/>
      </c>
      <c r="R101" s="61" t="n"/>
    </row>
    <row r="102" ht="18" customHeight="1">
      <c r="B102" s="59" t="inlineStr">
        <is>
          <t>TR3(a)</t>
        </is>
      </c>
      <c r="D102" s="13" t="inlineStr">
        <is>
          <t>Data owner confirms</t>
        </is>
      </c>
      <c r="E102" s="60">
        <f>'A1. Data scoring'!R82</f>
        <v/>
      </c>
      <c r="R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P104" s="58">
        <f>'A1. Data scoring'!AH83</f>
        <v/>
      </c>
      <c r="Q104" s="58">
        <f>'A1. Data scoring'!AK83</f>
        <v/>
      </c>
      <c r="R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R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R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R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R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R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R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MRE – Research</t>
        </is>
      </c>
      <c r="P112" s="58">
        <f>'A1. Data scoring'!AH89</f>
        <v/>
      </c>
      <c r="Q112" s="58">
        <f>'A1. Data scoring'!AK89</f>
        <v/>
      </c>
      <c r="R112" s="8" t="n"/>
    </row>
    <row r="113" ht="18" customHeight="1">
      <c r="B113" s="59" t="inlineStr">
        <is>
          <t>TR3(c)</t>
        </is>
      </c>
      <c r="D113" s="13" t="inlineStr">
        <is>
          <t>Confirm end-2026 target status</t>
        </is>
      </c>
      <c r="E113" s="60">
        <f>'A1. Data scoring'!R89</f>
        <v/>
      </c>
      <c r="R113" s="61" t="n"/>
    </row>
    <row r="114" ht="60" customHeight="1">
      <c r="B114" s="59" t="inlineStr">
        <is>
          <t>TR3(c)</t>
        </is>
      </c>
      <c r="D114" s="13" t="inlineStr">
        <is>
          <t>OPTION 1:  Target-level reporting</t>
        </is>
      </c>
      <c r="E114" s="60">
        <f>'A1. Data scoring'!R90</f>
        <v/>
      </c>
      <c r="R114" s="61" t="n"/>
    </row>
    <row r="115" ht="60" customHeight="1">
      <c r="B115" s="59" t="inlineStr">
        <is>
          <t>TR3(c)</t>
        </is>
      </c>
      <c r="D115" s="13" t="inlineStr">
        <is>
          <t>OPTION 2:  Indicator level reporting</t>
        </is>
      </c>
      <c r="E115" s="60">
        <f>'A1. Data scoring'!R91</f>
        <v/>
      </c>
      <c r="R115" s="61" t="n"/>
    </row>
    <row r="116" ht="18" customHeight="1">
      <c r="B116" s="59" t="inlineStr">
        <is>
          <t>TR3(c)</t>
        </is>
      </c>
      <c r="D116" s="13" t="inlineStr">
        <is>
          <t>Supporting information/comments</t>
        </is>
      </c>
      <c r="E116" s="60">
        <f>'A1. Data scoring'!R92</f>
        <v/>
      </c>
      <c r="R116" s="61" t="n"/>
    </row>
    <row r="117" ht="18" customHeight="1">
      <c r="B117" s="59" t="inlineStr">
        <is>
          <t>TR3(c)</t>
        </is>
      </c>
      <c r="D117" s="13" t="inlineStr">
        <is>
          <t>Data source and limitations</t>
        </is>
      </c>
      <c r="E117" s="60">
        <f>'A1. Data scoring'!R93</f>
        <v/>
      </c>
      <c r="R117" s="61" t="n"/>
    </row>
    <row r="118" ht="18" customHeight="1">
      <c r="B118" s="59" t="inlineStr">
        <is>
          <t>TR3(c)</t>
        </is>
      </c>
      <c r="D118" s="13" t="inlineStr">
        <is>
          <t>Data owner confirms</t>
        </is>
      </c>
      <c r="E118" s="60">
        <f>'A1. Data scoring'!R94</f>
        <v/>
      </c>
      <c r="R118" s="62" t="n"/>
    </row>
    <row r="120">
      <c r="B120" s="7" t="inlineStr">
        <is>
          <t>TR3(d)</t>
        </is>
      </c>
      <c r="C120" s="51" t="inlineStr">
        <is>
          <t>Expert assessment of progress in embedding sustainable research practices across the institution.</t>
        </is>
      </c>
      <c r="D120" s="57" t="inlineStr">
        <is>
          <t>Unit</t>
        </is>
      </c>
      <c r="E120" s="57" t="inlineStr">
        <is>
          <t>MRE – Research</t>
        </is>
      </c>
      <c r="P120" s="58">
        <f>'A1. Data scoring'!AH95</f>
        <v/>
      </c>
      <c r="Q120" s="58">
        <f>'A1. Data scoring'!AK95</f>
        <v/>
      </c>
      <c r="R120" s="8" t="n"/>
    </row>
    <row r="121" ht="18" customHeight="1">
      <c r="B121" s="59" t="inlineStr">
        <is>
          <t>TR3(d)</t>
        </is>
      </c>
      <c r="D121" s="13" t="inlineStr">
        <is>
          <t>Confirm end-2026 target status</t>
        </is>
      </c>
      <c r="E121" s="60">
        <f>'A1. Data scoring'!R95</f>
        <v/>
      </c>
      <c r="R121" s="61" t="n"/>
    </row>
    <row r="122" ht="60" customHeight="1">
      <c r="B122" s="59" t="inlineStr">
        <is>
          <t>TR3(d)</t>
        </is>
      </c>
      <c r="D122" s="13" t="inlineStr">
        <is>
          <t>OPTION 1:  Target-level reporting</t>
        </is>
      </c>
      <c r="E122" s="60">
        <f>'A1. Data scoring'!R96</f>
        <v/>
      </c>
      <c r="R122" s="61" t="n"/>
    </row>
    <row r="123" ht="60" customHeight="1">
      <c r="B123" s="59" t="inlineStr">
        <is>
          <t>TR3(d)</t>
        </is>
      </c>
      <c r="D123" s="13" t="inlineStr">
        <is>
          <t>OPTION 2:  Indicator level reporting</t>
        </is>
      </c>
      <c r="E123" s="60">
        <f>'A1. Data scoring'!R97</f>
        <v/>
      </c>
      <c r="R123" s="61" t="n"/>
    </row>
    <row r="124" ht="18" customHeight="1">
      <c r="B124" s="59" t="inlineStr">
        <is>
          <t>TR3(d)</t>
        </is>
      </c>
      <c r="D124" s="13" t="inlineStr">
        <is>
          <t>Supporting information/comments</t>
        </is>
      </c>
      <c r="E124" s="60">
        <f>'A1. Data scoring'!R98</f>
        <v/>
      </c>
      <c r="R124" s="61" t="n"/>
    </row>
    <row r="125" ht="18" customHeight="1">
      <c r="B125" s="59" t="inlineStr">
        <is>
          <t>TR3(d)</t>
        </is>
      </c>
      <c r="D125" s="13" t="inlineStr">
        <is>
          <t>Data source and limitations</t>
        </is>
      </c>
      <c r="E125" s="60">
        <f>'A1. Data scoring'!R99</f>
        <v/>
      </c>
      <c r="R125" s="61" t="n"/>
    </row>
    <row r="126" ht="18" customHeight="1">
      <c r="B126" s="59" t="inlineStr">
        <is>
          <t>TR3(d)</t>
        </is>
      </c>
      <c r="D126" s="13" t="inlineStr">
        <is>
          <t>Data owner confirms</t>
        </is>
      </c>
      <c r="E126" s="60">
        <f>'A1. Data scoring'!R100</f>
        <v/>
      </c>
      <c r="R126" s="62" t="n"/>
    </row>
    <row r="128">
      <c r="B128" s="7" t="inlineStr">
        <is>
          <t>CL1(c)</t>
        </is>
      </c>
      <c r="C128" s="51" t="inlineStr">
        <is>
          <t>Review of Climate Leadership targets by 2030.[2]</t>
        </is>
      </c>
      <c r="D128" s="57" t="inlineStr">
        <is>
          <t>Unit</t>
        </is>
      </c>
      <c r="E128" s="57" t="inlineStr">
        <is>
          <t>CI&amp;S – Sustainability Strategy</t>
        </is>
      </c>
      <c r="P128" s="58">
        <f>'A1. Data scoring'!AH101</f>
        <v/>
      </c>
      <c r="Q128" s="58">
        <f>'A1. Data scoring'!AK101</f>
        <v/>
      </c>
      <c r="R128" s="8" t="n"/>
    </row>
    <row r="129" ht="18" customHeight="1">
      <c r="B129" s="59" t="inlineStr">
        <is>
          <t>CL1(c)</t>
        </is>
      </c>
      <c r="D129" s="13" t="inlineStr">
        <is>
          <t>Confirm end-2026 target status</t>
        </is>
      </c>
      <c r="E129" s="60">
        <f>'A1. Data scoring'!M101</f>
        <v/>
      </c>
      <c r="R129" s="61" t="n"/>
    </row>
    <row r="130" ht="60" customHeight="1">
      <c r="B130" s="59" t="inlineStr">
        <is>
          <t>CL1(c)</t>
        </is>
      </c>
      <c r="D130" s="13" t="inlineStr">
        <is>
          <t>OPTION 1:  Target-level reporting</t>
        </is>
      </c>
      <c r="E130" s="60">
        <f>'A1. Data scoring'!M102</f>
        <v/>
      </c>
      <c r="R130" s="61" t="n"/>
    </row>
    <row r="131" ht="60" customHeight="1">
      <c r="B131" s="59" t="inlineStr">
        <is>
          <t>CL1(c)</t>
        </is>
      </c>
      <c r="D131" s="13" t="inlineStr">
        <is>
          <t>OPTION 2:  Indicator level reporting</t>
        </is>
      </c>
      <c r="E131" s="60">
        <f>'A1. Data scoring'!M103</f>
        <v/>
      </c>
      <c r="R131" s="61" t="n"/>
    </row>
    <row r="132" ht="18" customHeight="1">
      <c r="B132" s="59" t="inlineStr">
        <is>
          <t>CL1(c)</t>
        </is>
      </c>
      <c r="D132" s="13" t="inlineStr">
        <is>
          <t>Supporting information/comments</t>
        </is>
      </c>
      <c r="E132" s="60">
        <f>'A1. Data scoring'!M104</f>
        <v/>
      </c>
      <c r="R132" s="61" t="n"/>
    </row>
    <row r="133" ht="18" customHeight="1">
      <c r="B133" s="59" t="inlineStr">
        <is>
          <t>CL1(c)</t>
        </is>
      </c>
      <c r="D133" s="13" t="inlineStr">
        <is>
          <t>Data source and limitations</t>
        </is>
      </c>
      <c r="E133" s="60">
        <f>'A1. Data scoring'!M105</f>
        <v/>
      </c>
      <c r="R133" s="61" t="n"/>
    </row>
    <row r="134" ht="18" customHeight="1">
      <c r="B134" s="59" t="inlineStr">
        <is>
          <t>CL1(c)</t>
        </is>
      </c>
      <c r="D134" s="13" t="inlineStr">
        <is>
          <t>Data owner confirms</t>
        </is>
      </c>
      <c r="E134" s="60">
        <f>'A1. Data scoring'!M106</f>
        <v/>
      </c>
      <c r="R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AC&amp;M – Advancement, Communication and Marketing</t>
        </is>
      </c>
      <c r="P136" s="58">
        <f>'A1. Data scoring'!AH107</f>
        <v/>
      </c>
      <c r="Q136" s="58">
        <f>'A1. Data scoring'!AK107</f>
        <v/>
      </c>
      <c r="R136" s="8" t="n"/>
    </row>
    <row r="137" ht="18" customHeight="1">
      <c r="B137" s="59" t="inlineStr">
        <is>
          <t>CL2(a)</t>
        </is>
      </c>
      <c r="D137" s="13" t="inlineStr">
        <is>
          <t>Confirm end-2026 target status</t>
        </is>
      </c>
      <c r="E137" s="60">
        <f>'A1. Data scoring'!S107</f>
        <v/>
      </c>
      <c r="R137" s="61" t="n"/>
    </row>
    <row r="138" ht="60" customHeight="1">
      <c r="B138" s="59" t="inlineStr">
        <is>
          <t>CL2(a)</t>
        </is>
      </c>
      <c r="D138" s="13" t="inlineStr">
        <is>
          <t>OPTION 1:  Target-level reporting</t>
        </is>
      </c>
      <c r="E138" s="60">
        <f>'A1. Data scoring'!S108</f>
        <v/>
      </c>
      <c r="R138" s="61" t="n"/>
    </row>
    <row r="139" ht="60" customHeight="1">
      <c r="B139" s="59" t="inlineStr">
        <is>
          <t>CL2(a)</t>
        </is>
      </c>
      <c r="D139" s="13" t="inlineStr">
        <is>
          <t>OPTION 2:  Indicator level reporting</t>
        </is>
      </c>
      <c r="E139" s="60">
        <f>'A1. Data scoring'!S109</f>
        <v/>
      </c>
      <c r="R139" s="61" t="n"/>
    </row>
    <row r="140" ht="18" customHeight="1">
      <c r="B140" s="59" t="inlineStr">
        <is>
          <t>CL2(a)</t>
        </is>
      </c>
      <c r="D140" s="13" t="inlineStr">
        <is>
          <t>Supporting information/comments</t>
        </is>
      </c>
      <c r="E140" s="60">
        <f>'A1. Data scoring'!S110</f>
        <v/>
      </c>
      <c r="R140" s="61" t="n"/>
    </row>
    <row r="141" ht="18" customHeight="1">
      <c r="B141" s="59" t="inlineStr">
        <is>
          <t>CL2(a)</t>
        </is>
      </c>
      <c r="D141" s="13" t="inlineStr">
        <is>
          <t>Data source and limitations</t>
        </is>
      </c>
      <c r="E141" s="60">
        <f>'A1. Data scoring'!S111</f>
        <v/>
      </c>
      <c r="R141" s="61" t="n"/>
    </row>
    <row r="142" ht="18" customHeight="1">
      <c r="B142" s="59" t="inlineStr">
        <is>
          <t>CL2(a)</t>
        </is>
      </c>
      <c r="D142" s="13" t="inlineStr">
        <is>
          <t>Data owner confirms</t>
        </is>
      </c>
      <c r="E142" s="60">
        <f>'A1. Data scoring'!S112</f>
        <v/>
      </c>
      <c r="R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AC&amp;M – Advancement, Communication and Marketing</t>
        </is>
      </c>
      <c r="P144" s="58">
        <f>'A1. Data scoring'!AH113</f>
        <v/>
      </c>
      <c r="Q144" s="58">
        <f>'A1. Data scoring'!AK113</f>
        <v/>
      </c>
      <c r="R144" s="8" t="n"/>
    </row>
    <row r="145" ht="18" customHeight="1">
      <c r="B145" s="59" t="inlineStr">
        <is>
          <t>CL2(c)</t>
        </is>
      </c>
      <c r="D145" s="13" t="inlineStr">
        <is>
          <t>Confirm end-2026 target status</t>
        </is>
      </c>
      <c r="E145" s="60">
        <f>'A1. Data scoring'!S113</f>
        <v/>
      </c>
      <c r="R145" s="61" t="n"/>
    </row>
    <row r="146" ht="60" customHeight="1">
      <c r="B146" s="59" t="inlineStr">
        <is>
          <t>CL2(c)</t>
        </is>
      </c>
      <c r="D146" s="13" t="inlineStr">
        <is>
          <t>OPTION 1:  Target-level reporting</t>
        </is>
      </c>
      <c r="E146" s="60">
        <f>'A1. Data scoring'!S114</f>
        <v/>
      </c>
      <c r="R146" s="61" t="n"/>
    </row>
    <row r="147" ht="60" customHeight="1">
      <c r="B147" s="59" t="inlineStr">
        <is>
          <t>CL2(c)</t>
        </is>
      </c>
      <c r="D147" s="13" t="inlineStr">
        <is>
          <t>OPTION 2:  Indicator level reporting</t>
        </is>
      </c>
      <c r="E147" s="60">
        <f>'A1. Data scoring'!S115</f>
        <v/>
      </c>
      <c r="R147" s="61" t="n"/>
    </row>
    <row r="148" ht="18" customHeight="1">
      <c r="B148" s="59" t="inlineStr">
        <is>
          <t>CL2(c)</t>
        </is>
      </c>
      <c r="D148" s="13" t="inlineStr">
        <is>
          <t>Supporting information/comments</t>
        </is>
      </c>
      <c r="E148" s="60">
        <f>'A1. Data scoring'!S116</f>
        <v/>
      </c>
      <c r="R148" s="61" t="n"/>
    </row>
    <row r="149" ht="18" customHeight="1">
      <c r="B149" s="59" t="inlineStr">
        <is>
          <t>CL2(c)</t>
        </is>
      </c>
      <c r="D149" s="13" t="inlineStr">
        <is>
          <t>Data source and limitations</t>
        </is>
      </c>
      <c r="E149" s="60">
        <f>'A1. Data scoring'!S117</f>
        <v/>
      </c>
      <c r="R149" s="61" t="n"/>
    </row>
    <row r="150" ht="18" customHeight="1">
      <c r="B150" s="59" t="inlineStr">
        <is>
          <t>CL2(c)</t>
        </is>
      </c>
      <c r="D150" s="13" t="inlineStr">
        <is>
          <t>Data owner confirms</t>
        </is>
      </c>
      <c r="E150" s="60">
        <f>'A1. Data scoring'!S118</f>
        <v/>
      </c>
      <c r="R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P152" s="58">
        <f>'A1. Data scoring'!AH119</f>
        <v/>
      </c>
      <c r="Q152" s="58">
        <f>'A1. Data scoring'!AK119</f>
        <v/>
      </c>
      <c r="R152" s="8" t="n"/>
    </row>
    <row r="153" ht="18" customHeight="1">
      <c r="B153" s="59" t="inlineStr">
        <is>
          <t>CL3(a)</t>
        </is>
      </c>
      <c r="D153" s="13" t="inlineStr">
        <is>
          <t>Confirm end-2026 target status</t>
        </is>
      </c>
      <c r="E153" s="60">
        <f>'A1. Data scoring'!L119</f>
        <v/>
      </c>
      <c r="F153" s="60">
        <f>'A1. Data scoring'!X119</f>
        <v/>
      </c>
      <c r="R153" s="61" t="n"/>
    </row>
    <row r="154" ht="60" customHeight="1">
      <c r="B154" s="59" t="inlineStr">
        <is>
          <t>CL3(a)</t>
        </is>
      </c>
      <c r="D154" s="13" t="inlineStr">
        <is>
          <t>OPTION 1:  Target-level reporting</t>
        </is>
      </c>
      <c r="E154" s="60">
        <f>'A1. Data scoring'!L120</f>
        <v/>
      </c>
      <c r="F154" s="60">
        <f>'A1. Data scoring'!X120</f>
        <v/>
      </c>
      <c r="R154" s="61" t="n"/>
    </row>
    <row r="155" ht="60" customHeight="1">
      <c r="B155" s="59" t="inlineStr">
        <is>
          <t>CL3(a)</t>
        </is>
      </c>
      <c r="D155" s="13" t="inlineStr">
        <is>
          <t>OPTION 2:  Indicator level reporting</t>
        </is>
      </c>
      <c r="E155" s="60">
        <f>'A1. Data scoring'!L121</f>
        <v/>
      </c>
      <c r="F155" s="60">
        <f>'A1. Data scoring'!X121</f>
        <v/>
      </c>
      <c r="R155" s="61" t="n"/>
    </row>
    <row r="156" ht="18" customHeight="1">
      <c r="B156" s="59" t="inlineStr">
        <is>
          <t>CL3(a)</t>
        </is>
      </c>
      <c r="D156" s="13" t="inlineStr">
        <is>
          <t>Supporting information/comments</t>
        </is>
      </c>
      <c r="E156" s="60">
        <f>'A1. Data scoring'!L122</f>
        <v/>
      </c>
      <c r="F156" s="60">
        <f>'A1. Data scoring'!X122</f>
        <v/>
      </c>
      <c r="R156" s="61" t="n"/>
    </row>
    <row r="157" ht="18" customHeight="1">
      <c r="B157" s="59" t="inlineStr">
        <is>
          <t>CL3(a)</t>
        </is>
      </c>
      <c r="D157" s="13" t="inlineStr">
        <is>
          <t>Data source and limitations</t>
        </is>
      </c>
      <c r="E157" s="60">
        <f>'A1. Data scoring'!L123</f>
        <v/>
      </c>
      <c r="F157" s="60">
        <f>'A1. Data scoring'!X123</f>
        <v/>
      </c>
      <c r="R157" s="61" t="n"/>
    </row>
    <row r="158" ht="18" customHeight="1">
      <c r="B158" s="59" t="inlineStr">
        <is>
          <t>CL3(a)</t>
        </is>
      </c>
      <c r="D158" s="13" t="inlineStr">
        <is>
          <t>Data owner confirms</t>
        </is>
      </c>
      <c r="E158" s="60">
        <f>'A1. Data scoring'!L124</f>
        <v/>
      </c>
      <c r="F158" s="60">
        <f>'A1. Data scoring'!X124</f>
        <v/>
      </c>
      <c r="R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P160" s="58">
        <f>'A1. Data scoring'!AH125</f>
        <v/>
      </c>
      <c r="Q160" s="58">
        <f>'A1. Data scoring'!AK125</f>
        <v/>
      </c>
      <c r="R160" s="8" t="n"/>
    </row>
    <row r="161" ht="18" customHeight="1">
      <c r="B161" s="59" t="inlineStr">
        <is>
          <t>NB1(b)</t>
        </is>
      </c>
      <c r="D161" s="13" t="inlineStr">
        <is>
          <t>Confirm end-2026 target status</t>
        </is>
      </c>
      <c r="E161" s="60">
        <f>'A1. Data scoring'!P125</f>
        <v/>
      </c>
      <c r="R161" s="61" t="n"/>
    </row>
    <row r="162" ht="60" customHeight="1">
      <c r="B162" s="59" t="inlineStr">
        <is>
          <t>NB1(b)</t>
        </is>
      </c>
      <c r="D162" s="13" t="inlineStr">
        <is>
          <t>OPTION 1:  Target-level reporting</t>
        </is>
      </c>
      <c r="E162" s="60">
        <f>'A1. Data scoring'!P126</f>
        <v/>
      </c>
      <c r="R162" s="61" t="n"/>
    </row>
    <row r="163" ht="60" customHeight="1">
      <c r="B163" s="59" t="inlineStr">
        <is>
          <t>NB1(b)</t>
        </is>
      </c>
      <c r="D163" s="13" t="inlineStr">
        <is>
          <t>OPTION 2:  Indicator level reporting</t>
        </is>
      </c>
      <c r="E163" s="60">
        <f>'A1. Data scoring'!P127</f>
        <v/>
      </c>
      <c r="R163" s="61" t="n"/>
    </row>
    <row r="164" ht="18" customHeight="1">
      <c r="B164" s="59" t="inlineStr">
        <is>
          <t>NB1(b)</t>
        </is>
      </c>
      <c r="D164" s="13" t="inlineStr">
        <is>
          <t>Supporting information/comments</t>
        </is>
      </c>
      <c r="E164" s="60">
        <f>'A1. Data scoring'!P128</f>
        <v/>
      </c>
      <c r="R164" s="61" t="n"/>
    </row>
    <row r="165" ht="18" customHeight="1">
      <c r="B165" s="59" t="inlineStr">
        <is>
          <t>NB1(b)</t>
        </is>
      </c>
      <c r="D165" s="13" t="inlineStr">
        <is>
          <t>Data source and limitations</t>
        </is>
      </c>
      <c r="E165" s="60">
        <f>'A1. Data scoring'!P129</f>
        <v/>
      </c>
      <c r="R165" s="61" t="n"/>
    </row>
    <row r="166" ht="18" customHeight="1">
      <c r="B166" s="59" t="inlineStr">
        <is>
          <t>NB1(b)</t>
        </is>
      </c>
      <c r="D166" s="13" t="inlineStr">
        <is>
          <t>Data owner confirms</t>
        </is>
      </c>
      <c r="E166" s="60">
        <f>'A1. Data scoring'!P130</f>
        <v/>
      </c>
      <c r="R166" s="62" t="n"/>
    </row>
    <row r="168">
      <c r="B168" s="7" t="inlineStr">
        <is>
          <t>NB1(c)</t>
        </is>
      </c>
      <c r="C168" s="51" t="inlineStr">
        <is>
          <t>Defined quality measurement framework</t>
        </is>
      </c>
      <c r="D168" s="57" t="inlineStr">
        <is>
          <t>Unit</t>
        </is>
      </c>
      <c r="E168" s="57" t="inlineStr">
        <is>
          <t>ESG – Campus Operations &amp; Sustainability Delivery</t>
        </is>
      </c>
      <c r="P168" s="58">
        <f>'A1. Data scoring'!AH131</f>
        <v/>
      </c>
      <c r="Q168" s="58">
        <f>'A1. Data scoring'!AK131</f>
        <v/>
      </c>
      <c r="R168" s="8" t="n"/>
    </row>
    <row r="169" ht="18" customHeight="1">
      <c r="B169" s="59" t="inlineStr">
        <is>
          <t>NB1(c)</t>
        </is>
      </c>
      <c r="D169" s="13" t="inlineStr">
        <is>
          <t>Confirm end-2026 target status</t>
        </is>
      </c>
      <c r="E169" s="60">
        <f>'A1. Data scoring'!P131</f>
        <v/>
      </c>
      <c r="R169" s="61" t="n"/>
    </row>
    <row r="170" ht="60" customHeight="1">
      <c r="B170" s="59" t="inlineStr">
        <is>
          <t>NB1(c)</t>
        </is>
      </c>
      <c r="D170" s="13" t="inlineStr">
        <is>
          <t>OPTION 1:  Target-level reporting</t>
        </is>
      </c>
      <c r="E170" s="60">
        <f>'A1. Data scoring'!P132</f>
        <v/>
      </c>
      <c r="R170" s="61" t="n"/>
    </row>
    <row r="171" ht="60" customHeight="1">
      <c r="B171" s="59" t="inlineStr">
        <is>
          <t>NB1(c)</t>
        </is>
      </c>
      <c r="D171" s="13" t="inlineStr">
        <is>
          <t>OPTION 2:  Indicator level reporting</t>
        </is>
      </c>
      <c r="E171" s="60">
        <f>'A1. Data scoring'!P133</f>
        <v/>
      </c>
      <c r="R171" s="61" t="n"/>
    </row>
    <row r="172" ht="18" customHeight="1">
      <c r="B172" s="59" t="inlineStr">
        <is>
          <t>NB1(c)</t>
        </is>
      </c>
      <c r="D172" s="13" t="inlineStr">
        <is>
          <t>Supporting information/comments</t>
        </is>
      </c>
      <c r="E172" s="60">
        <f>'A1. Data scoring'!P134</f>
        <v/>
      </c>
      <c r="R172" s="61" t="n"/>
    </row>
    <row r="173" ht="18" customHeight="1">
      <c r="B173" s="59" t="inlineStr">
        <is>
          <t>NB1(c)</t>
        </is>
      </c>
      <c r="D173" s="13" t="inlineStr">
        <is>
          <t>Data source and limitations</t>
        </is>
      </c>
      <c r="E173" s="60">
        <f>'A1. Data scoring'!P135</f>
        <v/>
      </c>
      <c r="R173" s="61" t="n"/>
    </row>
    <row r="174" ht="18" customHeight="1">
      <c r="B174" s="59" t="inlineStr">
        <is>
          <t>NB1(c)</t>
        </is>
      </c>
      <c r="D174" s="13" t="inlineStr">
        <is>
          <t>Data owner confirms</t>
        </is>
      </c>
      <c r="E174" s="60">
        <f>'A1. Data scoring'!P136</f>
        <v/>
      </c>
      <c r="R174" s="62" t="n"/>
    </row>
    <row r="176">
      <c r="B176" s="7" t="inlineStr">
        <is>
          <t>NB1(d)</t>
        </is>
      </c>
      <c r="C176" s="51" t="inlineStr">
        <is>
          <t>Defined and quantified campus connectivity</t>
        </is>
      </c>
      <c r="D176" s="57" t="inlineStr">
        <is>
          <t>Unit</t>
        </is>
      </c>
      <c r="E176" s="57" t="inlineStr">
        <is>
          <t>ESG – Campus Operations &amp; Sustainability Delivery</t>
        </is>
      </c>
      <c r="P176" s="58">
        <f>'A1. Data scoring'!AH137</f>
        <v/>
      </c>
      <c r="Q176" s="58">
        <f>'A1. Data scoring'!AK137</f>
        <v/>
      </c>
      <c r="R176" s="8" t="n"/>
    </row>
    <row r="177" ht="18" customHeight="1">
      <c r="B177" s="59" t="inlineStr">
        <is>
          <t>NB1(d)</t>
        </is>
      </c>
      <c r="D177" s="13" t="inlineStr">
        <is>
          <t>Confirm end-2026 target status</t>
        </is>
      </c>
      <c r="E177" s="60">
        <f>'A1. Data scoring'!P137</f>
        <v/>
      </c>
      <c r="R177" s="61" t="n"/>
    </row>
    <row r="178" ht="60" customHeight="1">
      <c r="B178" s="59" t="inlineStr">
        <is>
          <t>NB1(d)</t>
        </is>
      </c>
      <c r="D178" s="13" t="inlineStr">
        <is>
          <t>OPTION 1:  Target-level reporting</t>
        </is>
      </c>
      <c r="E178" s="60">
        <f>'A1. Data scoring'!P138</f>
        <v/>
      </c>
      <c r="R178" s="61" t="n"/>
    </row>
    <row r="179" ht="60" customHeight="1">
      <c r="B179" s="59" t="inlineStr">
        <is>
          <t>NB1(d)</t>
        </is>
      </c>
      <c r="D179" s="13" t="inlineStr">
        <is>
          <t>OPTION 2:  Indicator level reporting</t>
        </is>
      </c>
      <c r="E179" s="60">
        <f>'A1. Data scoring'!P139</f>
        <v/>
      </c>
      <c r="R179" s="61" t="n"/>
    </row>
    <row r="180" ht="18" customHeight="1">
      <c r="B180" s="59" t="inlineStr">
        <is>
          <t>NB1(d)</t>
        </is>
      </c>
      <c r="D180" s="13" t="inlineStr">
        <is>
          <t>Supporting information/comments</t>
        </is>
      </c>
      <c r="E180" s="60">
        <f>'A1. Data scoring'!P140</f>
        <v/>
      </c>
      <c r="R180" s="61" t="n"/>
    </row>
    <row r="181" ht="18" customHeight="1">
      <c r="B181" s="59" t="inlineStr">
        <is>
          <t>NB1(d)</t>
        </is>
      </c>
      <c r="D181" s="13" t="inlineStr">
        <is>
          <t>Data source and limitations</t>
        </is>
      </c>
      <c r="E181" s="60">
        <f>'A1. Data scoring'!P141</f>
        <v/>
      </c>
      <c r="R181" s="61" t="n"/>
    </row>
    <row r="182" ht="18" customHeight="1">
      <c r="B182" s="59" t="inlineStr">
        <is>
          <t>NB1(d)</t>
        </is>
      </c>
      <c r="D182" s="13" t="inlineStr">
        <is>
          <t>Data owner confirms</t>
        </is>
      </c>
      <c r="E182" s="60">
        <f>'A1. Data scoring'!P142</f>
        <v/>
      </c>
      <c r="R182" s="62" t="n"/>
    </row>
    <row r="184">
      <c r="B184" s="7" t="inlineStr">
        <is>
          <t>NB2(a)</t>
        </is>
      </c>
      <c r="C184" s="51" t="inlineStr">
        <is>
          <t>Documented baseline nature footprint analysis</t>
        </is>
      </c>
      <c r="D184" s="57" t="inlineStr">
        <is>
          <t>Unit</t>
        </is>
      </c>
      <c r="E184" s="57" t="inlineStr">
        <is>
          <t>MRE – Research</t>
        </is>
      </c>
      <c r="P184" s="58">
        <f>'A1. Data scoring'!AH143</f>
        <v/>
      </c>
      <c r="Q184" s="58">
        <f>'A1. Data scoring'!AK143</f>
        <v/>
      </c>
      <c r="R184" s="8" t="n"/>
    </row>
    <row r="185" ht="18" customHeight="1">
      <c r="B185" s="59" t="inlineStr">
        <is>
          <t>NB2(a)</t>
        </is>
      </c>
      <c r="D185" s="13" t="inlineStr">
        <is>
          <t>Confirm end-2026 target status</t>
        </is>
      </c>
      <c r="E185" s="60">
        <f>'A1. Data scoring'!R143</f>
        <v/>
      </c>
      <c r="R185" s="61" t="n"/>
    </row>
    <row r="186" ht="60" customHeight="1">
      <c r="B186" s="59" t="inlineStr">
        <is>
          <t>NB2(a)</t>
        </is>
      </c>
      <c r="D186" s="13" t="inlineStr">
        <is>
          <t>OPTION 1:  Target-level reporting</t>
        </is>
      </c>
      <c r="E186" s="60">
        <f>'A1. Data scoring'!R144</f>
        <v/>
      </c>
      <c r="R186" s="61" t="n"/>
    </row>
    <row r="187" ht="60" customHeight="1">
      <c r="B187" s="59" t="inlineStr">
        <is>
          <t>NB2(a)</t>
        </is>
      </c>
      <c r="D187" s="13" t="inlineStr">
        <is>
          <t>OPTION 2:  Indicator level reporting</t>
        </is>
      </c>
      <c r="E187" s="60">
        <f>'A1. Data scoring'!R145</f>
        <v/>
      </c>
      <c r="R187" s="61" t="n"/>
    </row>
    <row r="188" ht="18" customHeight="1">
      <c r="B188" s="59" t="inlineStr">
        <is>
          <t>NB2(a)</t>
        </is>
      </c>
      <c r="D188" s="13" t="inlineStr">
        <is>
          <t>Supporting information/comments</t>
        </is>
      </c>
      <c r="E188" s="60">
        <f>'A1. Data scoring'!R146</f>
        <v/>
      </c>
      <c r="R188" s="61" t="n"/>
    </row>
    <row r="189" ht="18" customHeight="1">
      <c r="B189" s="59" t="inlineStr">
        <is>
          <t>NB2(a)</t>
        </is>
      </c>
      <c r="D189" s="13" t="inlineStr">
        <is>
          <t>Data source and limitations</t>
        </is>
      </c>
      <c r="E189" s="60">
        <f>'A1. Data scoring'!R147</f>
        <v/>
      </c>
      <c r="R189" s="61" t="n"/>
    </row>
    <row r="190" ht="18" customHeight="1">
      <c r="B190" s="59" t="inlineStr">
        <is>
          <t>NB2(a)</t>
        </is>
      </c>
      <c r="D190" s="13" t="inlineStr">
        <is>
          <t>Data owner confirms</t>
        </is>
      </c>
      <c r="E190" s="60">
        <f>'A1. Data scoring'!R148</f>
        <v/>
      </c>
      <c r="R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P192" s="58">
        <f>'A1. Data scoring'!AH149</f>
        <v/>
      </c>
      <c r="Q192" s="58">
        <f>'A1. Data scoring'!AK149</f>
        <v/>
      </c>
      <c r="R192" s="8" t="n"/>
    </row>
    <row r="193" ht="18" customHeight="1">
      <c r="B193" s="59" t="inlineStr">
        <is>
          <t>NB2(b)</t>
        </is>
      </c>
      <c r="D193" s="13" t="inlineStr">
        <is>
          <t>Confirm end-2026 target status</t>
        </is>
      </c>
      <c r="E193" s="60">
        <f>'A1. Data scoring'!P149</f>
        <v/>
      </c>
      <c r="R193" s="61" t="n"/>
    </row>
    <row r="194" ht="60" customHeight="1">
      <c r="B194" s="59" t="inlineStr">
        <is>
          <t>NB2(b)</t>
        </is>
      </c>
      <c r="D194" s="13" t="inlineStr">
        <is>
          <t>OPTION 1:  Target-level reporting</t>
        </is>
      </c>
      <c r="E194" s="60">
        <f>'A1. Data scoring'!P150</f>
        <v/>
      </c>
      <c r="R194" s="61" t="n"/>
    </row>
    <row r="195" ht="60" customHeight="1">
      <c r="B195" s="59" t="inlineStr">
        <is>
          <t>NB2(b)</t>
        </is>
      </c>
      <c r="D195" s="13" t="inlineStr">
        <is>
          <t>OPTION 2:  Indicator level reporting</t>
        </is>
      </c>
      <c r="E195" s="60">
        <f>'A1. Data scoring'!P151</f>
        <v/>
      </c>
      <c r="R195" s="61" t="n"/>
    </row>
    <row r="196" ht="18" customHeight="1">
      <c r="B196" s="59" t="inlineStr">
        <is>
          <t>NB2(b)</t>
        </is>
      </c>
      <c r="D196" s="13" t="inlineStr">
        <is>
          <t>Supporting information/comments</t>
        </is>
      </c>
      <c r="E196" s="60">
        <f>'A1. Data scoring'!P152</f>
        <v/>
      </c>
      <c r="R196" s="61" t="n"/>
    </row>
    <row r="197" ht="18" customHeight="1">
      <c r="B197" s="59" t="inlineStr">
        <is>
          <t>NB2(b)</t>
        </is>
      </c>
      <c r="D197" s="13" t="inlineStr">
        <is>
          <t>Data source and limitations</t>
        </is>
      </c>
      <c r="E197" s="60">
        <f>'A1. Data scoring'!P153</f>
        <v/>
      </c>
      <c r="R197" s="61" t="n"/>
    </row>
    <row r="198" ht="18" customHeight="1">
      <c r="B198" s="59" t="inlineStr">
        <is>
          <t>NB2(b)</t>
        </is>
      </c>
      <c r="D198" s="13" t="inlineStr">
        <is>
          <t>Data owner confirms</t>
        </is>
      </c>
      <c r="E198" s="60">
        <f>'A1. Data scoring'!P154</f>
        <v/>
      </c>
      <c r="R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P200" s="58">
        <f>'A1. Data scoring'!AH155</f>
        <v/>
      </c>
      <c r="Q200" s="58">
        <f>'A1. Data scoring'!AK155</f>
        <v/>
      </c>
      <c r="R200" s="8" t="n"/>
    </row>
    <row r="201" ht="18" customHeight="1">
      <c r="B201" s="59" t="inlineStr">
        <is>
          <t>NB2(c)</t>
        </is>
      </c>
      <c r="D201" s="13" t="inlineStr">
        <is>
          <t>Confirm end-2026 target status</t>
        </is>
      </c>
      <c r="E201" s="60">
        <f>'A1. Data scoring'!N155</f>
        <v/>
      </c>
      <c r="F201" s="60">
        <f>'A1. Data scoring'!P155</f>
        <v/>
      </c>
      <c r="R201" s="61" t="n"/>
    </row>
    <row r="202" ht="60" customHeight="1">
      <c r="B202" s="59" t="inlineStr">
        <is>
          <t>NB2(c)</t>
        </is>
      </c>
      <c r="D202" s="13" t="inlineStr">
        <is>
          <t>OPTION 1:  Target-level reporting</t>
        </is>
      </c>
      <c r="E202" s="60">
        <f>'A1. Data scoring'!N156</f>
        <v/>
      </c>
      <c r="F202" s="60">
        <f>'A1. Data scoring'!P156</f>
        <v/>
      </c>
      <c r="R202" s="61" t="n"/>
    </row>
    <row r="203" ht="60" customHeight="1">
      <c r="B203" s="59" t="inlineStr">
        <is>
          <t>NB2(c)</t>
        </is>
      </c>
      <c r="D203" s="13" t="inlineStr">
        <is>
          <t>OPTION 2:  Indicator level reporting</t>
        </is>
      </c>
      <c r="E203" s="60">
        <f>'A1. Data scoring'!N157</f>
        <v/>
      </c>
      <c r="F203" s="60">
        <f>'A1. Data scoring'!P157</f>
        <v/>
      </c>
      <c r="R203" s="61" t="n"/>
    </row>
    <row r="204" ht="18" customHeight="1">
      <c r="B204" s="59" t="inlineStr">
        <is>
          <t>NB2(c)</t>
        </is>
      </c>
      <c r="D204" s="13" t="inlineStr">
        <is>
          <t>Supporting information/comments</t>
        </is>
      </c>
      <c r="E204" s="60">
        <f>'A1. Data scoring'!N158</f>
        <v/>
      </c>
      <c r="F204" s="60">
        <f>'A1. Data scoring'!P158</f>
        <v/>
      </c>
      <c r="R204" s="61" t="n"/>
    </row>
    <row r="205" ht="18" customHeight="1">
      <c r="B205" s="59" t="inlineStr">
        <is>
          <t>NB2(c)</t>
        </is>
      </c>
      <c r="D205" s="13" t="inlineStr">
        <is>
          <t>Data source and limitations</t>
        </is>
      </c>
      <c r="E205" s="60">
        <f>'A1. Data scoring'!N159</f>
        <v/>
      </c>
      <c r="F205" s="60">
        <f>'A1. Data scoring'!P159</f>
        <v/>
      </c>
      <c r="R205" s="61" t="n"/>
    </row>
    <row r="206" ht="18" customHeight="1">
      <c r="B206" s="59" t="inlineStr">
        <is>
          <t>NB2(c)</t>
        </is>
      </c>
      <c r="D206" s="13" t="inlineStr">
        <is>
          <t>Data owner confirms</t>
        </is>
      </c>
      <c r="E206" s="60">
        <f>'A1. Data scoring'!N160</f>
        <v/>
      </c>
      <c r="F206" s="60">
        <f>'A1. Data scoring'!P160</f>
        <v/>
      </c>
      <c r="R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P208" s="58">
        <f>'A1. Data scoring'!AH161</f>
        <v/>
      </c>
      <c r="Q208" s="58">
        <f>'A1. Data scoring'!AK161</f>
        <v/>
      </c>
      <c r="R208" s="8" t="n"/>
    </row>
    <row r="209" ht="18" customHeight="1">
      <c r="B209" s="59" t="inlineStr">
        <is>
          <t>AI1(a)</t>
        </is>
      </c>
      <c r="D209" s="13" t="inlineStr">
        <is>
          <t>Confirm end-2026 target status</t>
        </is>
      </c>
      <c r="E209" s="60">
        <f>'A1. Data scoring'!M161</f>
        <v/>
      </c>
      <c r="F209" s="60">
        <f>'A1. Data scoring'!Q161</f>
        <v/>
      </c>
      <c r="R209" s="61" t="n"/>
    </row>
    <row r="210" ht="60" customHeight="1">
      <c r="B210" s="59" t="inlineStr">
        <is>
          <t>AI1(a)</t>
        </is>
      </c>
      <c r="D210" s="13" t="inlineStr">
        <is>
          <t>OPTION 1:  Target-level reporting</t>
        </is>
      </c>
      <c r="E210" s="60">
        <f>'A1. Data scoring'!M162</f>
        <v/>
      </c>
      <c r="F210" s="60">
        <f>'A1. Data scoring'!Q162</f>
        <v/>
      </c>
      <c r="R210" s="61" t="n"/>
    </row>
    <row r="211" ht="60" customHeight="1">
      <c r="B211" s="59" t="inlineStr">
        <is>
          <t>AI1(a)</t>
        </is>
      </c>
      <c r="D211" s="13" t="inlineStr">
        <is>
          <t>OPTION 2:  Indicator level reporting</t>
        </is>
      </c>
      <c r="E211" s="60">
        <f>'A1. Data scoring'!M163</f>
        <v/>
      </c>
      <c r="F211" s="60">
        <f>'A1. Data scoring'!Q163</f>
        <v/>
      </c>
      <c r="R211" s="61" t="n"/>
    </row>
    <row r="212" ht="18" customHeight="1">
      <c r="B212" s="59" t="inlineStr">
        <is>
          <t>AI1(a)</t>
        </is>
      </c>
      <c r="D212" s="13" t="inlineStr">
        <is>
          <t>Supporting information/comments</t>
        </is>
      </c>
      <c r="E212" s="60">
        <f>'A1. Data scoring'!M164</f>
        <v/>
      </c>
      <c r="F212" s="60">
        <f>'A1. Data scoring'!Q164</f>
        <v/>
      </c>
      <c r="R212" s="61" t="n"/>
    </row>
    <row r="213" ht="18" customHeight="1">
      <c r="B213" s="59" t="inlineStr">
        <is>
          <t>AI1(a)</t>
        </is>
      </c>
      <c r="D213" s="13" t="inlineStr">
        <is>
          <t>Data source and limitations</t>
        </is>
      </c>
      <c r="E213" s="60">
        <f>'A1. Data scoring'!M165</f>
        <v/>
      </c>
      <c r="F213" s="60">
        <f>'A1. Data scoring'!Q165</f>
        <v/>
      </c>
      <c r="R213" s="61" t="n"/>
    </row>
    <row r="214" ht="18" customHeight="1">
      <c r="B214" s="59" t="inlineStr">
        <is>
          <t>AI1(a)</t>
        </is>
      </c>
      <c r="D214" s="13" t="inlineStr">
        <is>
          <t>Data owner confirms</t>
        </is>
      </c>
      <c r="E214" s="60">
        <f>'A1. Data scoring'!M166</f>
        <v/>
      </c>
      <c r="F214" s="60">
        <f>'A1. Data scoring'!Q166</f>
        <v/>
      </c>
      <c r="R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P216" s="58">
        <f>'A1. Data scoring'!AH167</f>
        <v/>
      </c>
      <c r="Q216" s="58">
        <f>'A1. Data scoring'!AK167</f>
        <v/>
      </c>
      <c r="R216" s="8" t="n"/>
    </row>
    <row r="217" ht="18" customHeight="1">
      <c r="B217" s="59" t="inlineStr">
        <is>
          <t>AI1(b)</t>
        </is>
      </c>
      <c r="D217" s="13" t="inlineStr">
        <is>
          <t>Confirm end-2026 target status</t>
        </is>
      </c>
      <c r="E217" s="60">
        <f>'A1. Data scoring'!M167</f>
        <v/>
      </c>
      <c r="F217" s="60">
        <f>'A1. Data scoring'!Q167</f>
        <v/>
      </c>
      <c r="R217" s="61" t="n"/>
    </row>
    <row r="218" ht="60" customHeight="1">
      <c r="B218" s="59" t="inlineStr">
        <is>
          <t>AI1(b)</t>
        </is>
      </c>
      <c r="D218" s="13" t="inlineStr">
        <is>
          <t>OPTION 1:  Target-level reporting</t>
        </is>
      </c>
      <c r="E218" s="60">
        <f>'A1. Data scoring'!M168</f>
        <v/>
      </c>
      <c r="F218" s="60">
        <f>'A1. Data scoring'!Q168</f>
        <v/>
      </c>
      <c r="R218" s="61" t="n"/>
    </row>
    <row r="219" ht="60" customHeight="1">
      <c r="B219" s="59" t="inlineStr">
        <is>
          <t>AI1(b)</t>
        </is>
      </c>
      <c r="D219" s="13" t="inlineStr">
        <is>
          <t>OPTION 2:  Indicator level reporting</t>
        </is>
      </c>
      <c r="E219" s="60">
        <f>'A1. Data scoring'!M169</f>
        <v/>
      </c>
      <c r="F219" s="60">
        <f>'A1. Data scoring'!Q169</f>
        <v/>
      </c>
      <c r="R219" s="61" t="n"/>
    </row>
    <row r="220" ht="18" customHeight="1">
      <c r="B220" s="59" t="inlineStr">
        <is>
          <t>AI1(b)</t>
        </is>
      </c>
      <c r="D220" s="13" t="inlineStr">
        <is>
          <t>Supporting information/comments</t>
        </is>
      </c>
      <c r="E220" s="60">
        <f>'A1. Data scoring'!M170</f>
        <v/>
      </c>
      <c r="F220" s="60">
        <f>'A1. Data scoring'!Q170</f>
        <v/>
      </c>
      <c r="R220" s="61" t="n"/>
    </row>
    <row r="221" ht="18" customHeight="1">
      <c r="B221" s="59" t="inlineStr">
        <is>
          <t>AI1(b)</t>
        </is>
      </c>
      <c r="D221" s="13" t="inlineStr">
        <is>
          <t>Data source and limitations</t>
        </is>
      </c>
      <c r="E221" s="60">
        <f>'A1. Data scoring'!M171</f>
        <v/>
      </c>
      <c r="F221" s="60">
        <f>'A1. Data scoring'!Q171</f>
        <v/>
      </c>
      <c r="R221" s="61" t="n"/>
    </row>
    <row r="222" ht="18" customHeight="1">
      <c r="B222" s="59" t="inlineStr">
        <is>
          <t>AI1(b)</t>
        </is>
      </c>
      <c r="D222" s="13" t="inlineStr">
        <is>
          <t>Data owner confirms</t>
        </is>
      </c>
      <c r="E222" s="60">
        <f>'A1. Data scoring'!M172</f>
        <v/>
      </c>
      <c r="F222" s="60">
        <f>'A1. Data scoring'!Q172</f>
        <v/>
      </c>
      <c r="R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P224" s="58">
        <f>'A1. Data scoring'!AH173</f>
        <v/>
      </c>
      <c r="Q224" s="58">
        <f>'A1. Data scoring'!AK173</f>
        <v/>
      </c>
      <c r="R224" s="8" t="n"/>
    </row>
    <row r="225" ht="18" customHeight="1">
      <c r="B225" s="59" t="inlineStr">
        <is>
          <t>EI1(a)</t>
        </is>
      </c>
      <c r="D225" s="13" t="inlineStr">
        <is>
          <t>Confirm end-2026 target status</t>
        </is>
      </c>
      <c r="E225" s="60">
        <f>'A1. Data scoring'!L173</f>
        <v/>
      </c>
      <c r="R225" s="61" t="n"/>
    </row>
    <row r="226" ht="60" customHeight="1">
      <c r="B226" s="59" t="inlineStr">
        <is>
          <t>EI1(a)</t>
        </is>
      </c>
      <c r="D226" s="13" t="inlineStr">
        <is>
          <t>OPTION 1:  Target-level reporting</t>
        </is>
      </c>
      <c r="E226" s="60">
        <f>'A1. Data scoring'!L174</f>
        <v/>
      </c>
      <c r="R226" s="61" t="n"/>
    </row>
    <row r="227" ht="60" customHeight="1">
      <c r="B227" s="59" t="inlineStr">
        <is>
          <t>EI1(a)</t>
        </is>
      </c>
      <c r="D227" s="13" t="inlineStr">
        <is>
          <t>OPTION 2:  Indicator level reporting</t>
        </is>
      </c>
      <c r="E227" s="60">
        <f>'A1. Data scoring'!L175</f>
        <v/>
      </c>
      <c r="R227" s="61" t="n"/>
    </row>
    <row r="228" ht="18" customHeight="1">
      <c r="B228" s="59" t="inlineStr">
        <is>
          <t>EI1(a)</t>
        </is>
      </c>
      <c r="D228" s="13" t="inlineStr">
        <is>
          <t>Supporting information/comments</t>
        </is>
      </c>
      <c r="E228" s="60">
        <f>'A1. Data scoring'!L176</f>
        <v/>
      </c>
      <c r="R228" s="61" t="n"/>
    </row>
    <row r="229" ht="18" customHeight="1">
      <c r="B229" s="59" t="inlineStr">
        <is>
          <t>EI1(a)</t>
        </is>
      </c>
      <c r="D229" s="13" t="inlineStr">
        <is>
          <t>Data source and limitations</t>
        </is>
      </c>
      <c r="E229" s="60">
        <f>'A1. Data scoring'!L177</f>
        <v/>
      </c>
      <c r="R229" s="61" t="n"/>
    </row>
    <row r="230" ht="18" customHeight="1">
      <c r="B230" s="59" t="inlineStr">
        <is>
          <t>EI1(a)</t>
        </is>
      </c>
      <c r="D230" s="13" t="inlineStr">
        <is>
          <t>Data owner confirms</t>
        </is>
      </c>
      <c r="E230" s="60">
        <f>'A1. Data scoring'!L178</f>
        <v/>
      </c>
      <c r="R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P232" s="58">
        <f>'A1. Data scoring'!AH179</f>
        <v/>
      </c>
      <c r="Q232" s="58">
        <f>'A1. Data scoring'!AK179</f>
        <v/>
      </c>
      <c r="R232" s="8" t="n"/>
    </row>
    <row r="233" ht="18" customHeight="1">
      <c r="B233" s="59" t="inlineStr">
        <is>
          <t>EI1(b)</t>
        </is>
      </c>
      <c r="D233" s="13" t="inlineStr">
        <is>
          <t>Confirm end-2026 target status</t>
        </is>
      </c>
      <c r="E233" s="60">
        <f>'A1. Data scoring'!L179</f>
        <v/>
      </c>
      <c r="R233" s="61" t="n"/>
    </row>
    <row r="234" ht="60" customHeight="1">
      <c r="B234" s="59" t="inlineStr">
        <is>
          <t>EI1(b)</t>
        </is>
      </c>
      <c r="D234" s="13" t="inlineStr">
        <is>
          <t>OPTION 1:  Target-level reporting</t>
        </is>
      </c>
      <c r="E234" s="60">
        <f>'A1. Data scoring'!L180</f>
        <v/>
      </c>
      <c r="R234" s="61" t="n"/>
    </row>
    <row r="235" ht="60" customHeight="1">
      <c r="B235" s="59" t="inlineStr">
        <is>
          <t>EI1(b)</t>
        </is>
      </c>
      <c r="D235" s="13" t="inlineStr">
        <is>
          <t>OPTION 2:  Indicator level reporting</t>
        </is>
      </c>
      <c r="E235" s="60">
        <f>'A1. Data scoring'!L181</f>
        <v/>
      </c>
      <c r="R235" s="61" t="n"/>
    </row>
    <row r="236" ht="18" customHeight="1">
      <c r="B236" s="59" t="inlineStr">
        <is>
          <t>EI1(b)</t>
        </is>
      </c>
      <c r="D236" s="13" t="inlineStr">
        <is>
          <t>Supporting information/comments</t>
        </is>
      </c>
      <c r="E236" s="60">
        <f>'A1. Data scoring'!L182</f>
        <v/>
      </c>
      <c r="R236" s="61" t="n"/>
    </row>
    <row r="237" ht="18" customHeight="1">
      <c r="B237" s="59" t="inlineStr">
        <is>
          <t>EI1(b)</t>
        </is>
      </c>
      <c r="D237" s="13" t="inlineStr">
        <is>
          <t>Data source and limitations</t>
        </is>
      </c>
      <c r="E237" s="60">
        <f>'A1. Data scoring'!L183</f>
        <v/>
      </c>
      <c r="R237" s="61" t="n"/>
    </row>
    <row r="238" ht="18" customHeight="1">
      <c r="B238" s="59" t="inlineStr">
        <is>
          <t>EI1(b)</t>
        </is>
      </c>
      <c r="D238" s="13" t="inlineStr">
        <is>
          <t>Data owner confirms</t>
        </is>
      </c>
      <c r="E238" s="60">
        <f>'A1. Data scoring'!L184</f>
        <v/>
      </c>
      <c r="R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P240" s="58">
        <f>'A1. Data scoring'!AH185</f>
        <v/>
      </c>
      <c r="Q240" s="58">
        <f>'A1. Data scoring'!AK185</f>
        <v/>
      </c>
      <c r="R240" s="8" t="n"/>
    </row>
    <row r="241" ht="18" customHeight="1">
      <c r="B241" s="59" t="inlineStr">
        <is>
          <t>EI1(c)</t>
        </is>
      </c>
      <c r="D241" s="13" t="inlineStr">
        <is>
          <t>Confirm end-2026 target status</t>
        </is>
      </c>
      <c r="E241" s="60">
        <f>'A1. Data scoring'!L185</f>
        <v/>
      </c>
      <c r="R241" s="61" t="n"/>
    </row>
    <row r="242" ht="60" customHeight="1">
      <c r="B242" s="59" t="inlineStr">
        <is>
          <t>EI1(c)</t>
        </is>
      </c>
      <c r="D242" s="13" t="inlineStr">
        <is>
          <t>OPTION 1:  Target-level reporting</t>
        </is>
      </c>
      <c r="E242" s="60">
        <f>'A1. Data scoring'!L186</f>
        <v/>
      </c>
      <c r="R242" s="61" t="n"/>
    </row>
    <row r="243" ht="60" customHeight="1">
      <c r="B243" s="59" t="inlineStr">
        <is>
          <t>EI1(c)</t>
        </is>
      </c>
      <c r="D243" s="13" t="inlineStr">
        <is>
          <t>OPTION 2:  Indicator level reporting</t>
        </is>
      </c>
      <c r="E243" s="60">
        <f>'A1. Data scoring'!L187</f>
        <v/>
      </c>
      <c r="R243" s="61" t="n"/>
    </row>
    <row r="244" ht="18" customHeight="1">
      <c r="B244" s="59" t="inlineStr">
        <is>
          <t>EI1(c)</t>
        </is>
      </c>
      <c r="D244" s="13" t="inlineStr">
        <is>
          <t>Supporting information/comments</t>
        </is>
      </c>
      <c r="E244" s="60">
        <f>'A1. Data scoring'!L188</f>
        <v/>
      </c>
      <c r="R244" s="61" t="n"/>
    </row>
    <row r="245" ht="18" customHeight="1">
      <c r="B245" s="59" t="inlineStr">
        <is>
          <t>EI1(c)</t>
        </is>
      </c>
      <c r="D245" s="13" t="inlineStr">
        <is>
          <t>Data source and limitations</t>
        </is>
      </c>
      <c r="E245" s="60">
        <f>'A1. Data scoring'!L189</f>
        <v/>
      </c>
      <c r="R245" s="61" t="n"/>
    </row>
    <row r="246" ht="18" customHeight="1">
      <c r="B246" s="59" t="inlineStr">
        <is>
          <t>EI1(c)</t>
        </is>
      </c>
      <c r="D246" s="13" t="inlineStr">
        <is>
          <t>Data owner confirms</t>
        </is>
      </c>
      <c r="E246" s="60">
        <f>'A1. Data scoring'!L190</f>
        <v/>
      </c>
      <c r="R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P248" s="58">
        <f>'A1. Data scoring'!AH191</f>
        <v/>
      </c>
      <c r="Q248" s="58">
        <f>'A1. Data scoring'!AK191</f>
        <v/>
      </c>
      <c r="R248" s="8" t="n"/>
    </row>
    <row r="249" ht="18" customHeight="1">
      <c r="B249" s="59" t="inlineStr">
        <is>
          <t>EI1(d)</t>
        </is>
      </c>
      <c r="D249" s="13" t="inlineStr">
        <is>
          <t>Confirm end-2026 target status</t>
        </is>
      </c>
      <c r="E249" s="60">
        <f>'A1. Data scoring'!L191</f>
        <v/>
      </c>
      <c r="R249" s="61" t="n"/>
    </row>
    <row r="250" ht="60" customHeight="1">
      <c r="B250" s="59" t="inlineStr">
        <is>
          <t>EI1(d)</t>
        </is>
      </c>
      <c r="D250" s="13" t="inlineStr">
        <is>
          <t>OPTION 1:  Target-level reporting</t>
        </is>
      </c>
      <c r="E250" s="60">
        <f>'A1. Data scoring'!L192</f>
        <v/>
      </c>
      <c r="R250" s="61" t="n"/>
    </row>
    <row r="251" ht="60" customHeight="1">
      <c r="B251" s="59" t="inlineStr">
        <is>
          <t>EI1(d)</t>
        </is>
      </c>
      <c r="D251" s="13" t="inlineStr">
        <is>
          <t>OPTION 2:  Indicator level reporting</t>
        </is>
      </c>
      <c r="E251" s="60">
        <f>'A1. Data scoring'!L193</f>
        <v/>
      </c>
      <c r="R251" s="61" t="n"/>
    </row>
    <row r="252" ht="18" customHeight="1">
      <c r="B252" s="59" t="inlineStr">
        <is>
          <t>EI1(d)</t>
        </is>
      </c>
      <c r="D252" s="13" t="inlineStr">
        <is>
          <t>Supporting information/comments</t>
        </is>
      </c>
      <c r="E252" s="60">
        <f>'A1. Data scoring'!L194</f>
        <v/>
      </c>
      <c r="R252" s="61" t="n"/>
    </row>
    <row r="253" ht="18" customHeight="1">
      <c r="B253" s="59" t="inlineStr">
        <is>
          <t>EI1(d)</t>
        </is>
      </c>
      <c r="D253" s="13" t="inlineStr">
        <is>
          <t>Data source and limitations</t>
        </is>
      </c>
      <c r="E253" s="60">
        <f>'A1. Data scoring'!L195</f>
        <v/>
      </c>
      <c r="R253" s="61" t="n"/>
    </row>
    <row r="254" ht="18" customHeight="1">
      <c r="B254" s="59" t="inlineStr">
        <is>
          <t>EI1(d)</t>
        </is>
      </c>
      <c r="D254" s="13" t="inlineStr">
        <is>
          <t>Data owner confirms</t>
        </is>
      </c>
      <c r="E254" s="60">
        <f>'A1. Data scoring'!L196</f>
        <v/>
      </c>
      <c r="R254" s="62" t="n"/>
    </row>
    <row r="256">
      <c r="B256" s="7" t="inlineStr">
        <is>
          <t>RP1(a)</t>
        </is>
      </c>
      <c r="C256" s="51" t="inlineStr">
        <is>
          <t>Case studies of maturity improvement related to responsible procurement process and systems.</t>
        </is>
      </c>
      <c r="D256" s="57" t="inlineStr">
        <is>
          <t>Unit</t>
        </is>
      </c>
      <c r="E256" s="57" t="inlineStr">
        <is>
          <t>CFOG – Procurement</t>
        </is>
      </c>
      <c r="P256" s="58">
        <f>'A1. Data scoring'!AH197</f>
        <v/>
      </c>
      <c r="Q256" s="58">
        <f>'A1. Data scoring'!AK197</f>
        <v/>
      </c>
      <c r="R256" s="8" t="n"/>
    </row>
    <row r="257" ht="18" customHeight="1">
      <c r="B257" s="59" t="inlineStr">
        <is>
          <t>RP1(a)</t>
        </is>
      </c>
      <c r="D257" s="13" t="inlineStr">
        <is>
          <t>Confirm end-2026 target status</t>
        </is>
      </c>
      <c r="E257" s="60">
        <f>'A1. Data scoring'!N197</f>
        <v/>
      </c>
      <c r="R257" s="61" t="n"/>
    </row>
    <row r="258" ht="60" customHeight="1">
      <c r="B258" s="59" t="inlineStr">
        <is>
          <t>RP1(a)</t>
        </is>
      </c>
      <c r="D258" s="13" t="inlineStr">
        <is>
          <t>OPTION 1:  Target-level reporting</t>
        </is>
      </c>
      <c r="E258" s="60">
        <f>'A1. Data scoring'!N198</f>
        <v/>
      </c>
      <c r="R258" s="61" t="n"/>
    </row>
    <row r="259" ht="60" customHeight="1">
      <c r="B259" s="59" t="inlineStr">
        <is>
          <t>RP1(a)</t>
        </is>
      </c>
      <c r="D259" s="13" t="inlineStr">
        <is>
          <t>OPTION 2:  Indicator level reporting</t>
        </is>
      </c>
      <c r="E259" s="60">
        <f>'A1. Data scoring'!N199</f>
        <v/>
      </c>
      <c r="R259" s="61" t="n"/>
    </row>
    <row r="260" ht="18" customHeight="1">
      <c r="B260" s="59" t="inlineStr">
        <is>
          <t>RP1(a)</t>
        </is>
      </c>
      <c r="D260" s="13" t="inlineStr">
        <is>
          <t>Supporting information/comments</t>
        </is>
      </c>
      <c r="E260" s="60">
        <f>'A1. Data scoring'!N200</f>
        <v/>
      </c>
      <c r="R260" s="61" t="n"/>
    </row>
    <row r="261" ht="18" customHeight="1">
      <c r="B261" s="59" t="inlineStr">
        <is>
          <t>RP1(a)</t>
        </is>
      </c>
      <c r="D261" s="13" t="inlineStr">
        <is>
          <t>Data source and limitations</t>
        </is>
      </c>
      <c r="E261" s="60">
        <f>'A1. Data scoring'!N201</f>
        <v/>
      </c>
      <c r="R261" s="61" t="n"/>
    </row>
    <row r="262" ht="18" customHeight="1">
      <c r="B262" s="59" t="inlineStr">
        <is>
          <t>RP1(a)</t>
        </is>
      </c>
      <c r="D262" s="13" t="inlineStr">
        <is>
          <t>Data owner confirms</t>
        </is>
      </c>
      <c r="E262" s="60">
        <f>'A1. Data scoring'!N202</f>
        <v/>
      </c>
      <c r="R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P264" s="58">
        <f>'A1. Data scoring'!AH203</f>
        <v/>
      </c>
      <c r="Q264" s="58">
        <f>'A1. Data scoring'!AK203</f>
        <v/>
      </c>
      <c r="R264" s="8" t="n"/>
    </row>
    <row r="265" ht="18" customHeight="1">
      <c r="B265" s="59" t="inlineStr">
        <is>
          <t>MS1(a)</t>
        </is>
      </c>
      <c r="D265" s="13" t="inlineStr">
        <is>
          <t>Confirm end-2026 target status</t>
        </is>
      </c>
      <c r="E265" s="60">
        <f>'A1. Data scoring'!M203</f>
        <v/>
      </c>
      <c r="F265" s="60">
        <f>'A1. Data scoring'!N203</f>
        <v/>
      </c>
      <c r="R265" s="61" t="n"/>
    </row>
    <row r="266" ht="60" customHeight="1">
      <c r="B266" s="59" t="inlineStr">
        <is>
          <t>MS1(a)</t>
        </is>
      </c>
      <c r="D266" s="13" t="inlineStr">
        <is>
          <t>OPTION 1:  Target-level reporting</t>
        </is>
      </c>
      <c r="E266" s="60">
        <f>'A1. Data scoring'!M204</f>
        <v/>
      </c>
      <c r="F266" s="60">
        <f>'A1. Data scoring'!N204</f>
        <v/>
      </c>
      <c r="R266" s="61" t="n"/>
    </row>
    <row r="267" ht="60" customHeight="1">
      <c r="B267" s="59" t="inlineStr">
        <is>
          <t>MS1(a)</t>
        </is>
      </c>
      <c r="D267" s="13" t="inlineStr">
        <is>
          <t>OPTION 2:  Indicator level reporting</t>
        </is>
      </c>
      <c r="E267" s="60">
        <f>'A1. Data scoring'!M205</f>
        <v/>
      </c>
      <c r="F267" s="60">
        <f>'A1. Data scoring'!N205</f>
        <v/>
      </c>
      <c r="R267" s="61" t="n"/>
    </row>
    <row r="268" ht="18" customHeight="1">
      <c r="B268" s="59" t="inlineStr">
        <is>
          <t>MS1(a)</t>
        </is>
      </c>
      <c r="D268" s="13" t="inlineStr">
        <is>
          <t>Supporting information/comments</t>
        </is>
      </c>
      <c r="E268" s="60">
        <f>'A1. Data scoring'!M206</f>
        <v/>
      </c>
      <c r="F268" s="60">
        <f>'A1. Data scoring'!N206</f>
        <v/>
      </c>
      <c r="R268" s="61" t="n"/>
    </row>
    <row r="269" ht="18" customHeight="1">
      <c r="B269" s="59" t="inlineStr">
        <is>
          <t>MS1(a)</t>
        </is>
      </c>
      <c r="D269" s="13" t="inlineStr">
        <is>
          <t>Data source and limitations</t>
        </is>
      </c>
      <c r="E269" s="60">
        <f>'A1. Data scoring'!M207</f>
        <v/>
      </c>
      <c r="F269" s="60">
        <f>'A1. Data scoring'!N207</f>
        <v/>
      </c>
      <c r="R269" s="61" t="n"/>
    </row>
    <row r="270" ht="18" customHeight="1">
      <c r="B270" s="59" t="inlineStr">
        <is>
          <t>MS1(a)</t>
        </is>
      </c>
      <c r="D270" s="13" t="inlineStr">
        <is>
          <t>Data owner confirms</t>
        </is>
      </c>
      <c r="E270" s="60">
        <f>'A1. Data scoring'!M208</f>
        <v/>
      </c>
      <c r="F270" s="60">
        <f>'A1. Data scoring'!N208</f>
        <v/>
      </c>
      <c r="R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P272" s="58">
        <f>'A1. Data scoring'!AH209</f>
        <v/>
      </c>
      <c r="Q272" s="58">
        <f>'A1. Data scoring'!AK209</f>
        <v/>
      </c>
      <c r="R272" s="8" t="n"/>
    </row>
    <row r="273" ht="18" customHeight="1">
      <c r="B273" s="59" t="inlineStr">
        <is>
          <t>RI1(b)</t>
        </is>
      </c>
      <c r="D273" s="13" t="inlineStr">
        <is>
          <t>Confirm end-2026 target status</t>
        </is>
      </c>
      <c r="E273" s="60">
        <f>'A1. Data scoring'!M209</f>
        <v/>
      </c>
      <c r="F273" s="60">
        <f>'A1. Data scoring'!O209</f>
        <v/>
      </c>
      <c r="R273" s="61" t="n"/>
    </row>
    <row r="274" ht="60" customHeight="1">
      <c r="B274" s="59" t="inlineStr">
        <is>
          <t>RI1(b)</t>
        </is>
      </c>
      <c r="D274" s="13" t="inlineStr">
        <is>
          <t>OPTION 1:  Target-level reporting</t>
        </is>
      </c>
      <c r="E274" s="60">
        <f>'A1. Data scoring'!M210</f>
        <v/>
      </c>
      <c r="F274" s="60">
        <f>'A1. Data scoring'!O210</f>
        <v/>
      </c>
      <c r="R274" s="61" t="n"/>
    </row>
    <row r="275" ht="60" customHeight="1">
      <c r="B275" s="59" t="inlineStr">
        <is>
          <t>RI1(b)</t>
        </is>
      </c>
      <c r="D275" s="13" t="inlineStr">
        <is>
          <t>OPTION 2:  Indicator level reporting</t>
        </is>
      </c>
      <c r="E275" s="60">
        <f>'A1. Data scoring'!M211</f>
        <v/>
      </c>
      <c r="F275" s="60">
        <f>'A1. Data scoring'!O211</f>
        <v/>
      </c>
      <c r="R275" s="61" t="n"/>
    </row>
    <row r="276" ht="18" customHeight="1">
      <c r="B276" s="59" t="inlineStr">
        <is>
          <t>RI1(b)</t>
        </is>
      </c>
      <c r="D276" s="13" t="inlineStr">
        <is>
          <t>Supporting information/comments</t>
        </is>
      </c>
      <c r="E276" s="60">
        <f>'A1. Data scoring'!M212</f>
        <v/>
      </c>
      <c r="F276" s="60">
        <f>'A1. Data scoring'!O212</f>
        <v/>
      </c>
      <c r="R276" s="61" t="n"/>
    </row>
    <row r="277" ht="18" customHeight="1">
      <c r="B277" s="59" t="inlineStr">
        <is>
          <t>RI1(b)</t>
        </is>
      </c>
      <c r="D277" s="13" t="inlineStr">
        <is>
          <t>Data source and limitations</t>
        </is>
      </c>
      <c r="E277" s="60">
        <f>'A1. Data scoring'!M213</f>
        <v/>
      </c>
      <c r="F277" s="60">
        <f>'A1. Data scoring'!O213</f>
        <v/>
      </c>
      <c r="R277" s="61" t="n"/>
    </row>
    <row r="278" ht="18" customHeight="1">
      <c r="B278" s="59" t="inlineStr">
        <is>
          <t>RI1(b)</t>
        </is>
      </c>
      <c r="D278" s="13" t="inlineStr">
        <is>
          <t>Data owner confirms</t>
        </is>
      </c>
      <c r="E278" s="60">
        <f>'A1. Data scoring'!M214</f>
        <v/>
      </c>
      <c r="F278" s="60">
        <f>'A1. Data scoring'!O214</f>
        <v/>
      </c>
      <c r="R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I280" s="57" t="inlineStr">
        <is>
          <t>GCE – Global, Culture and Engagement</t>
        </is>
      </c>
      <c r="J280" s="57" t="inlineStr">
        <is>
          <t>Indigenous – Chancellery Indigenous</t>
        </is>
      </c>
      <c r="P280" s="58">
        <f>'A1. Data scoring'!AH215</f>
        <v/>
      </c>
      <c r="Q280" s="58">
        <f>'A1. Data scoring'!AK215</f>
        <v/>
      </c>
      <c r="R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I281" s="60">
        <f>'A1. Data scoring'!T215</f>
        <v/>
      </c>
      <c r="J281" s="60">
        <f>'A1. Data scoring'!W215</f>
        <v/>
      </c>
      <c r="R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I282" s="60">
        <f>'A1. Data scoring'!T216</f>
        <v/>
      </c>
      <c r="J282" s="60">
        <f>'A1. Data scoring'!W216</f>
        <v/>
      </c>
      <c r="R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I283" s="60">
        <f>'A1. Data scoring'!T217</f>
        <v/>
      </c>
      <c r="J283" s="60">
        <f>'A1. Data scoring'!W217</f>
        <v/>
      </c>
      <c r="R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I284" s="60">
        <f>'A1. Data scoring'!T218</f>
        <v/>
      </c>
      <c r="J284" s="60">
        <f>'A1. Data scoring'!W218</f>
        <v/>
      </c>
      <c r="R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I285" s="60">
        <f>'A1. Data scoring'!T219</f>
        <v/>
      </c>
      <c r="J285" s="60">
        <f>'A1. Data scoring'!W219</f>
        <v/>
      </c>
      <c r="R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I286" s="60">
        <f>'A1. Data scoring'!T220</f>
        <v/>
      </c>
      <c r="J286" s="60">
        <f>'A1. Data scoring'!W220</f>
        <v/>
      </c>
      <c r="R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P288" s="58">
        <f>'A1. Data scoring'!AH221</f>
        <v/>
      </c>
      <c r="Q288" s="58">
        <f>'A1. Data scoring'!AK221</f>
        <v/>
      </c>
      <c r="R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R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R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R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R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R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R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7" t="inlineStr">
        <is>
          <t>AC&amp;M – Advancement, Communication and Marketing</t>
        </is>
      </c>
      <c r="N296" s="57" t="inlineStr">
        <is>
          <t>GCE – Global, Culture and Engagement</t>
        </is>
      </c>
      <c r="O296" s="57" t="inlineStr">
        <is>
          <t>Education – Chancellery Education</t>
        </is>
      </c>
      <c r="P296" s="58">
        <f>'A1. Data scoring'!AH227</f>
        <v/>
      </c>
      <c r="Q296" s="58">
        <f>'A1. Data scoring'!AK227</f>
        <v/>
      </c>
      <c r="R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M297" s="60">
        <f>'A1. Data scoring'!S227</f>
        <v/>
      </c>
      <c r="N297" s="60">
        <f>'A1. Data scoring'!T227</f>
        <v/>
      </c>
      <c r="O297" s="60">
        <f>'A1. Data scoring'!U227</f>
        <v/>
      </c>
      <c r="R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M298" s="60">
        <f>'A1. Data scoring'!S228</f>
        <v/>
      </c>
      <c r="N298" s="60">
        <f>'A1. Data scoring'!T228</f>
        <v/>
      </c>
      <c r="O298" s="60">
        <f>'A1. Data scoring'!U228</f>
        <v/>
      </c>
      <c r="R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M299" s="60">
        <f>'A1. Data scoring'!S229</f>
        <v/>
      </c>
      <c r="N299" s="60">
        <f>'A1. Data scoring'!T229</f>
        <v/>
      </c>
      <c r="O299" s="60">
        <f>'A1. Data scoring'!U229</f>
        <v/>
      </c>
      <c r="R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M300" s="60">
        <f>'A1. Data scoring'!S230</f>
        <v/>
      </c>
      <c r="N300" s="60">
        <f>'A1. Data scoring'!T230</f>
        <v/>
      </c>
      <c r="O300" s="60">
        <f>'A1. Data scoring'!U230</f>
        <v/>
      </c>
      <c r="R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M301" s="60">
        <f>'A1. Data scoring'!S231</f>
        <v/>
      </c>
      <c r="N301" s="60">
        <f>'A1. Data scoring'!T231</f>
        <v/>
      </c>
      <c r="O301" s="60">
        <f>'A1. Data scoring'!U231</f>
        <v/>
      </c>
      <c r="R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M302" s="60">
        <f>'A1. Data scoring'!S232</f>
        <v/>
      </c>
      <c r="N302" s="60">
        <f>'A1. Data scoring'!T232</f>
        <v/>
      </c>
      <c r="O302" s="60">
        <f>'A1. Data scoring'!U232</f>
        <v/>
      </c>
      <c r="R302" s="62" t="n"/>
    </row>
    <row r="304">
      <c r="B304" s="7" t="inlineStr">
        <is>
          <t>EN1(d)</t>
        </is>
      </c>
      <c r="C304" s="51" t="inlineStr">
        <is>
          <t>Sustainability objectives integrated into governance and decision‑making processes, supported by transparent reporting.</t>
        </is>
      </c>
      <c r="D304" s="57" t="inlineStr">
        <is>
          <t>Unit</t>
        </is>
      </c>
      <c r="E304" s="57" t="inlineStr">
        <is>
          <t>ABP</t>
        </is>
      </c>
      <c r="F304" s="57" t="inlineStr">
        <is>
          <t>ARTS</t>
        </is>
      </c>
      <c r="G304" s="57" t="inlineStr">
        <is>
          <t>FBE</t>
        </is>
      </c>
      <c r="H304" s="57" t="inlineStr">
        <is>
          <t>SCI</t>
        </is>
      </c>
      <c r="I304" s="57" t="inlineStr">
        <is>
          <t>CI&amp;S – Sustainability Strategy</t>
        </is>
      </c>
      <c r="J304" s="57" t="inlineStr">
        <is>
          <t>CFOG – Procurement</t>
        </is>
      </c>
      <c r="K304" s="57" t="inlineStr">
        <is>
          <t>ESG – Campus Operations &amp; Sustainability Delivery</t>
        </is>
      </c>
      <c r="L304" s="57" t="inlineStr">
        <is>
          <t>CIOG – Responsible AI &amp; digital</t>
        </is>
      </c>
      <c r="P304" s="58">
        <f>'A1. Data scoring'!AH233</f>
        <v/>
      </c>
      <c r="Q304" s="58">
        <f>'A1. Data scoring'!AK233</f>
        <v/>
      </c>
      <c r="R304" s="8" t="n"/>
    </row>
    <row r="305" ht="18" customHeight="1">
      <c r="B305" s="59" t="inlineStr">
        <is>
          <t>EN1(d)</t>
        </is>
      </c>
      <c r="D305" s="13" t="inlineStr">
        <is>
          <t>Confirm end-2026 target status</t>
        </is>
      </c>
      <c r="E305" s="60">
        <f>'A1. Data scoring'!H233</f>
        <v/>
      </c>
      <c r="F305" s="60">
        <f>'A1. Data scoring'!I233</f>
        <v/>
      </c>
      <c r="G305" s="60">
        <f>'A1. Data scoring'!J233</f>
        <v/>
      </c>
      <c r="H305" s="60">
        <f>'A1. Data scoring'!K233</f>
        <v/>
      </c>
      <c r="I305" s="60">
        <f>'A1. Data scoring'!M233</f>
        <v/>
      </c>
      <c r="J305" s="60">
        <f>'A1. Data scoring'!N233</f>
        <v/>
      </c>
      <c r="K305" s="60">
        <f>'A1. Data scoring'!P233</f>
        <v/>
      </c>
      <c r="L305" s="60">
        <f>'A1. Data scoring'!Q233</f>
        <v/>
      </c>
      <c r="R305" s="61" t="n"/>
    </row>
    <row r="306" ht="60" customHeight="1">
      <c r="B306" s="59" t="inlineStr">
        <is>
          <t>EN1(d)</t>
        </is>
      </c>
      <c r="D306" s="13" t="inlineStr">
        <is>
          <t>OPTION 1:  Target-level reporting</t>
        </is>
      </c>
      <c r="E306" s="60">
        <f>'A1. Data scoring'!H234</f>
        <v/>
      </c>
      <c r="F306" s="60">
        <f>'A1. Data scoring'!I234</f>
        <v/>
      </c>
      <c r="G306" s="60">
        <f>'A1. Data scoring'!J234</f>
        <v/>
      </c>
      <c r="H306" s="60">
        <f>'A1. Data scoring'!K234</f>
        <v/>
      </c>
      <c r="I306" s="60">
        <f>'A1. Data scoring'!M234</f>
        <v/>
      </c>
      <c r="J306" s="60">
        <f>'A1. Data scoring'!N234</f>
        <v/>
      </c>
      <c r="K306" s="60">
        <f>'A1. Data scoring'!P234</f>
        <v/>
      </c>
      <c r="L306" s="60">
        <f>'A1. Data scoring'!Q234</f>
        <v/>
      </c>
      <c r="R306" s="61" t="n"/>
    </row>
    <row r="307" ht="60" customHeight="1">
      <c r="B307" s="59" t="inlineStr">
        <is>
          <t>EN1(d)</t>
        </is>
      </c>
      <c r="D307" s="13" t="inlineStr">
        <is>
          <t>OPTION 2:  Indicator level reporting</t>
        </is>
      </c>
      <c r="E307" s="60">
        <f>'A1. Data scoring'!H235</f>
        <v/>
      </c>
      <c r="F307" s="60">
        <f>'A1. Data scoring'!I235</f>
        <v/>
      </c>
      <c r="G307" s="60">
        <f>'A1. Data scoring'!J235</f>
        <v/>
      </c>
      <c r="H307" s="60">
        <f>'A1. Data scoring'!K235</f>
        <v/>
      </c>
      <c r="I307" s="60">
        <f>'A1. Data scoring'!M235</f>
        <v/>
      </c>
      <c r="J307" s="60">
        <f>'A1. Data scoring'!N235</f>
        <v/>
      </c>
      <c r="K307" s="60">
        <f>'A1. Data scoring'!P235</f>
        <v/>
      </c>
      <c r="L307" s="60">
        <f>'A1. Data scoring'!Q235</f>
        <v/>
      </c>
      <c r="R307" s="61" t="n"/>
    </row>
    <row r="308" ht="18" customHeight="1">
      <c r="B308" s="59" t="inlineStr">
        <is>
          <t>EN1(d)</t>
        </is>
      </c>
      <c r="D308" s="13" t="inlineStr">
        <is>
          <t>Supporting information/comments</t>
        </is>
      </c>
      <c r="E308" s="60">
        <f>'A1. Data scoring'!H236</f>
        <v/>
      </c>
      <c r="F308" s="60">
        <f>'A1. Data scoring'!I236</f>
        <v/>
      </c>
      <c r="G308" s="60">
        <f>'A1. Data scoring'!J236</f>
        <v/>
      </c>
      <c r="H308" s="60">
        <f>'A1. Data scoring'!K236</f>
        <v/>
      </c>
      <c r="I308" s="60">
        <f>'A1. Data scoring'!M236</f>
        <v/>
      </c>
      <c r="J308" s="60">
        <f>'A1. Data scoring'!N236</f>
        <v/>
      </c>
      <c r="K308" s="60">
        <f>'A1. Data scoring'!P236</f>
        <v/>
      </c>
      <c r="L308" s="60">
        <f>'A1. Data scoring'!Q236</f>
        <v/>
      </c>
      <c r="R308" s="61" t="n"/>
    </row>
    <row r="309" ht="18" customHeight="1">
      <c r="B309" s="59" t="inlineStr">
        <is>
          <t>EN1(d)</t>
        </is>
      </c>
      <c r="D309" s="13" t="inlineStr">
        <is>
          <t>Data source and limitations</t>
        </is>
      </c>
      <c r="E309" s="60">
        <f>'A1. Data scoring'!H237</f>
        <v/>
      </c>
      <c r="F309" s="60">
        <f>'A1. Data scoring'!I237</f>
        <v/>
      </c>
      <c r="G309" s="60">
        <f>'A1. Data scoring'!J237</f>
        <v/>
      </c>
      <c r="H309" s="60">
        <f>'A1. Data scoring'!K237</f>
        <v/>
      </c>
      <c r="I309" s="60">
        <f>'A1. Data scoring'!M237</f>
        <v/>
      </c>
      <c r="J309" s="60">
        <f>'A1. Data scoring'!N237</f>
        <v/>
      </c>
      <c r="K309" s="60">
        <f>'A1. Data scoring'!P237</f>
        <v/>
      </c>
      <c r="L309" s="60">
        <f>'A1. Data scoring'!Q237</f>
        <v/>
      </c>
      <c r="R309" s="61" t="n"/>
    </row>
    <row r="310" ht="18" customHeight="1">
      <c r="B310" s="59" t="inlineStr">
        <is>
          <t>EN1(d)</t>
        </is>
      </c>
      <c r="D310" s="13" t="inlineStr">
        <is>
          <t>Data owner confirms</t>
        </is>
      </c>
      <c r="E310" s="60">
        <f>'A1. Data scoring'!H238</f>
        <v/>
      </c>
      <c r="F310" s="60">
        <f>'A1. Data scoring'!I238</f>
        <v/>
      </c>
      <c r="G310" s="60">
        <f>'A1. Data scoring'!J238</f>
        <v/>
      </c>
      <c r="H310" s="60">
        <f>'A1. Data scoring'!K238</f>
        <v/>
      </c>
      <c r="I310" s="60">
        <f>'A1. Data scoring'!M238</f>
        <v/>
      </c>
      <c r="J310" s="60">
        <f>'A1. Data scoring'!N238</f>
        <v/>
      </c>
      <c r="K310" s="60">
        <f>'A1. Data scoring'!P238</f>
        <v/>
      </c>
      <c r="L310" s="60">
        <f>'A1. Data scoring'!Q238</f>
        <v/>
      </c>
      <c r="R310" s="62"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t="inlineStr">
        <is>
          <t>← select an indicator ref from the dropdown</t>
        </is>
      </c>
    </row>
    <row r="5" ht="45" customHeight="1">
      <c r="B5" s="64" t="inlineStr">
        <is>
          <t>Priority area</t>
        </is>
      </c>
      <c r="C5" s="65">
        <f>IFERROR(INDEX('1. Requirements matrix'!$D$6:$D$43,MATCH($C$4,'1. Requirements matrix'!$B$6:$B$43,0)),"")</f>
        <v/>
      </c>
    </row>
    <row r="6" ht="45" customHeight="1">
      <c r="B6" s="64" t="inlineStr">
        <is>
          <t>Target</t>
        </is>
      </c>
      <c r="C6" s="65">
        <f>IFERROR(INDEX('1. Requirements matrix'!$E$6:$E$43,MATCH($C$4,'1. Requirements matrix'!$B$6:$B$43,0)),"")</f>
        <v/>
      </c>
    </row>
    <row r="7" ht="45" customHeight="1">
      <c r="B7" s="64" t="inlineStr">
        <is>
          <t>Indicator</t>
        </is>
      </c>
      <c r="C7" s="65">
        <f>IFERROR(INDEX('1. Requirements matrix'!$F$6:$F$43,MATCH($C$4,'1. Requirements matrix'!$B$6:$B$43,0)),"")</f>
        <v/>
      </c>
    </row>
    <row r="8" ht="45" customHeight="1">
      <c r="B8" s="64" t="inlineStr">
        <is>
          <t>Reporting requirement</t>
        </is>
      </c>
      <c r="C8" s="65">
        <f>IFERROR(INDEX('1. Requirements matrix'!$G$6:$G$43,MATCH($C$4,'1. Requirements matrix'!$B$6:$B$43,0)),"")</f>
        <v/>
      </c>
    </row>
    <row r="9" ht="45" customHeight="1">
      <c r="B9" s="64" t="inlineStr">
        <is>
          <t>Request issued to</t>
        </is>
      </c>
      <c r="C9" s="65">
        <f>IFERROR(INDEX('1. Requirements matrix'!$I$6:$I$43,MATCH($C$4,'1. Requirements matrix'!$B$6:$B$43,0)),"")</f>
        <v/>
      </c>
    </row>
    <row r="11">
      <c r="B11" s="66" t="inlineStr">
        <is>
          <t>Target score (text)</t>
        </is>
      </c>
      <c r="D11" s="66" t="inlineStr">
        <is>
          <t>Threshold status (SR25 rule)</t>
        </is>
      </c>
      <c r="F11" s="66" t="inlineStr">
        <is>
          <t>% met</t>
        </is>
      </c>
      <c r="H11" s="66" t="inlineStr">
        <is>
          <t>Total valid responses</t>
        </is>
      </c>
      <c r="J11" s="66" t="inlineStr">
        <is>
          <t>Requested, no response received</t>
        </is>
      </c>
    </row>
    <row r="12">
      <c r="B12" s="67">
        <f>IFERROR(INDEX('A1. Data scoring'!$AH$11:$AH$238,MATCH($C$4&amp;"|"&amp;"Confirm end-2026 target status",'A1. Data scoring'!$A$11:$A$238,0)),"")</f>
        <v/>
      </c>
      <c r="D12" s="67">
        <f>IFERROR(INDEX('A1. Data scoring'!$AK$11:$AK$238,MATCH($C$4&amp;"|"&amp;"Confirm end-2026 target status",'A1. Data scoring'!$A$11:$A$238,0)),"")</f>
        <v/>
      </c>
      <c r="F12" s="68">
        <f>IFERROR(INDEX('A1. Data scoring'!$AI$11:$AI$238,MATCH($C$4&amp;"|"&amp;"Confirm end-2026 target status",'A1. Data scoring'!$A$11:$A$238,0)),"")</f>
        <v/>
      </c>
      <c r="H12" s="67">
        <f>IFERROR(INDEX('A1. Data scoring'!$AF$11:$AF$238,MATCH($C$4&amp;"|"&amp;"Confirm end-2026 target status",'A1. Data scoring'!$A$11:$A$238,0)),"")</f>
        <v/>
      </c>
      <c r="J12" s="67">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7" t="inlineStr">
        <is>
          <t>Requested?</t>
        </is>
      </c>
      <c r="C15" s="69">
        <f>IFERROR(INDEX('0.5 Target Check'!C$7:C$44,MATCH($C$4,'0.5 Target Check'!$B$7:$B$44,0)),"")</f>
        <v/>
      </c>
      <c r="D15" s="69">
        <f>IFERROR(INDEX('0.5 Target Check'!D$7:D$44,MATCH($C$4,'0.5 Target Check'!$B$7:$B$44,0)),"")</f>
        <v/>
      </c>
      <c r="E15" s="69">
        <f>IFERROR(INDEX('0.5 Target Check'!E$7:E$44,MATCH($C$4,'0.5 Target Check'!$B$7:$B$44,0)),"")</f>
        <v/>
      </c>
      <c r="F15" s="69">
        <f>IFERROR(INDEX('0.5 Target Check'!F$7:F$44,MATCH($C$4,'0.5 Target Check'!$B$7:$B$44,0)),"")</f>
        <v/>
      </c>
      <c r="G15" s="69">
        <f>IFERROR(INDEX('0.5 Target Check'!G$7:G$44,MATCH($C$4,'0.5 Target Check'!$B$7:$B$44,0)),"")</f>
        <v/>
      </c>
      <c r="H15" s="69">
        <f>IFERROR(INDEX('0.5 Target Check'!H$7:H$44,MATCH($C$4,'0.5 Target Check'!$B$7:$B$44,0)),"")</f>
        <v/>
      </c>
      <c r="I15" s="69">
        <f>IFERROR(INDEX('0.5 Target Check'!I$7:I$44,MATCH($C$4,'0.5 Target Check'!$B$7:$B$44,0)),"")</f>
        <v/>
      </c>
      <c r="J15" s="69">
        <f>IFERROR(INDEX('0.5 Target Check'!J$7:J$44,MATCH($C$4,'0.5 Target Check'!$B$7:$B$44,0)),"")</f>
        <v/>
      </c>
      <c r="K15" s="69">
        <f>IFERROR(INDEX('0.5 Target Check'!K$7:K$44,MATCH($C$4,'0.5 Target Check'!$B$7:$B$44,0)),"")</f>
        <v/>
      </c>
      <c r="L15" s="69">
        <f>IFERROR(INDEX('0.5 Target Check'!L$7:L$44,MATCH($C$4,'0.5 Target Check'!$B$7:$B$44,0)),"")</f>
        <v/>
      </c>
      <c r="M15" s="69">
        <f>IFERROR(INDEX('0.5 Target Check'!M$7:M$44,MATCH($C$4,'0.5 Target Check'!$B$7:$B$44,0)),"")</f>
        <v/>
      </c>
      <c r="N15" s="69">
        <f>IFERROR(INDEX('0.5 Target Check'!N$7:N$44,MATCH($C$4,'0.5 Target Check'!$B$7:$B$44,0)),"")</f>
        <v/>
      </c>
      <c r="O15" s="69">
        <f>IFERROR(INDEX('0.5 Target Check'!O$7:O$44,MATCH($C$4,'0.5 Target Check'!$B$7:$B$44,0)),"")</f>
        <v/>
      </c>
      <c r="P15" s="69">
        <f>IFERROR(INDEX('0.5 Target Check'!P$7:P$44,MATCH($C$4,'0.5 Target Check'!$B$7:$B$44,0)),"")</f>
        <v/>
      </c>
      <c r="Q15" s="69">
        <f>IFERROR(INDEX('0.5 Target Check'!Q$7:Q$44,MATCH($C$4,'0.5 Target Check'!$B$7:$B$44,0)),"")</f>
        <v/>
      </c>
      <c r="R15" s="69">
        <f>IFERROR(INDEX('0.5 Target Check'!R$7:R$44,MATCH($C$4,'0.5 Target Check'!$B$7:$B$44,0)),"")</f>
        <v/>
      </c>
      <c r="S15" s="69">
        <f>IFERROR(INDEX('0.5 Target Check'!S$7:S$44,MATCH($C$4,'0.5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TR1(b)</t>
        </is>
      </c>
      <c r="C9" s="8" t="inlineStr">
        <is>
          <t>Evidence of institutional pathways that enable ongoing collaboration between academic and professional staff</t>
        </is>
      </c>
      <c r="D9"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9" s="8" t="inlineStr">
        <is>
          <t>N/A – new indicator</t>
        </is>
      </c>
      <c r="G9" s="8" t="inlineStr">
        <is>
          <t>None (new indicator)</t>
        </is>
      </c>
    </row>
    <row r="10" ht="130" customHeight="1">
      <c r="B10" s="7" t="inlineStr">
        <is>
          <t>TR1(c)</t>
        </is>
      </c>
      <c r="C10" s="8" t="inlineStr">
        <is>
          <t>Expert assessment of the quality, relevance and continuity of these collaborations</t>
        </is>
      </c>
      <c r="D10"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0" s="8" t="inlineStr">
        <is>
          <t>For the collaborations described in TR1(a)–(b), please give a short assessment (a paragraph is sufficient) of their quality, relevance and continuity: are they ongoing, useful to the University's operational priorities, and producing outcomes?</t>
        </is>
      </c>
      <c r="F10" s="8" t="inlineStr">
        <is>
          <t>N/A – new indicator</t>
        </is>
      </c>
      <c r="G10" s="8" t="inlineStr">
        <is>
          <t>None (new indicator)</t>
        </is>
      </c>
    </row>
    <row r="11" ht="130" customHeight="1">
      <c r="B11" s="7" t="inlineStr">
        <is>
          <t>TR1(d)</t>
        </is>
      </c>
      <c r="C11" s="8" t="inlineStr">
        <is>
          <t>Periodic feedback from participants on the effectiveness and mutual benefit of collaboration mechanisms.</t>
        </is>
      </c>
      <c r="D11"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1" s="8" t="inlineStr">
        <is>
          <t>N/A – new indicator</t>
        </is>
      </c>
      <c r="G11" s="8" t="inlineStr">
        <is>
          <t>None (new indicator)</t>
        </is>
      </c>
    </row>
    <row r="12" ht="130" customHeight="1">
      <c r="B12" s="7" t="inlineStr">
        <is>
          <t>TR2(a)</t>
        </is>
      </c>
      <c r="C12" s="8" t="inlineStr">
        <is>
          <t>Evidence of sustainability-related research impact across diverse pathways, could include policy, industry, community, practice, cultural and institutional outcomes</t>
        </is>
      </c>
      <c r="D12"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2"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2" s="8" t="inlineStr">
        <is>
          <t>5b(i)</t>
        </is>
      </c>
      <c r="G12" s="8" t="inlineStr">
        <is>
          <t>Points to the faculty's end-2025 response and rating</t>
        </is>
      </c>
    </row>
    <row r="13" ht="130" customHeight="1">
      <c r="B13" s="7" t="inlineStr">
        <is>
          <t>TR2(d)</t>
        </is>
      </c>
      <c r="C13" s="8" t="inlineStr">
        <is>
          <t>Case-based evidence demonstrating how research has contributed to meaningful sustainability outcomes.</t>
        </is>
      </c>
      <c r="D13"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3"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3" s="8" t="inlineStr">
        <is>
          <t>5b(i)</t>
        </is>
      </c>
      <c r="G13" s="8" t="inlineStr">
        <is>
          <t>Points to the faculty's end-2025 response and rating</t>
        </is>
      </c>
    </row>
    <row r="14" ht="130" customHeight="1">
      <c r="B14" s="7" t="inlineStr">
        <is>
          <t>TR3(b)</t>
        </is>
      </c>
      <c r="C14" s="8" t="inlineStr">
        <is>
          <t>Demonstrated examples of more sustainable research practices in laboratories, fieldwork, procurement, travel or infrastructure use</t>
        </is>
      </c>
      <c r="D14"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4"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4" s="8" t="inlineStr">
        <is>
          <t>5c(ii)</t>
        </is>
      </c>
      <c r="G14" s="8" t="inlineStr">
        <is>
          <t>Points to the faculty's end-2025 response and rating</t>
        </is>
      </c>
    </row>
    <row r="15" ht="130" customHeight="1">
      <c r="B15" s="7" t="inlineStr">
        <is>
          <t>EN1(a)</t>
        </is>
      </c>
      <c r="C15" s="8" t="inlineStr">
        <is>
          <t>Evidence of sustainability outcomes informed by Indigenous knowledges</t>
        </is>
      </c>
      <c r="D15"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5"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5" s="8" t="inlineStr">
        <is>
          <t>6a</t>
        </is>
      </c>
      <c r="G15" s="8" t="inlineStr">
        <is>
          <t>Points to the faculty's end-2025 response and rating</t>
        </is>
      </c>
    </row>
    <row r="16" ht="130" customHeight="1">
      <c r="B16" s="7" t="inlineStr">
        <is>
          <t>EN1(b)</t>
        </is>
      </c>
      <c r="C16" s="8" t="inlineStr">
        <is>
          <t>Living laboratories enabling applied learning, research and operational sustainability outcomes</t>
        </is>
      </c>
      <c r="D16" s="8" t="inlineStr">
        <is>
          <t>Comment on living labs in the Faculty - outputs, outcomes, and impact</t>
        </is>
      </c>
      <c r="E16"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6" s="8" t="inlineStr">
        <is>
          <t>2a</t>
        </is>
      </c>
      <c r="G16" s="8" t="inlineStr">
        <is>
          <t>Points to the faculty's end-2025 response and rating</t>
        </is>
      </c>
    </row>
    <row r="17" ht="130" customHeight="1">
      <c r="B17" s="7" t="inlineStr">
        <is>
          <t>EN1(c)</t>
        </is>
      </c>
      <c r="C17" s="8" t="inlineStr">
        <is>
          <t>Coordinated internal engagement and external partnerships contributing to delivery of sustainability outcomes across priority areas.</t>
        </is>
      </c>
      <c r="D1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7"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7" s="8" t="inlineStr">
        <is>
          <t>3a(ii)</t>
        </is>
      </c>
      <c r="G17" s="8" t="inlineStr">
        <is>
          <t>Points to the faculty's end-2025 response and rating</t>
        </is>
      </c>
    </row>
    <row r="18" ht="130" customHeight="1">
      <c r="B18" s="7" t="inlineStr">
        <is>
          <t>EN1(d)</t>
        </is>
      </c>
      <c r="C18" s="8" t="inlineStr">
        <is>
          <t>Sustainability objectives integrated into governance and decision‑making processes, supported by transparent reporting.</t>
        </is>
      </c>
      <c r="D1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18"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18" s="8" t="inlineStr">
        <is>
          <t>N/A – new indicator</t>
        </is>
      </c>
      <c r="G18" s="8" t="inlineStr">
        <is>
          <t>None (new indicator)</t>
        </is>
      </c>
    </row>
  </sheetData>
  <mergeCells count="1">
    <mergeCell ref="B3:G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9" t="inlineStr">
        <is>
          <t>SST: primary priority area</t>
        </is>
      </c>
      <c r="J5" s="49" t="inlineStr">
        <is>
          <t>SST: secondary priority area</t>
        </is>
      </c>
      <c r="K5" s="49" t="inlineStr">
        <is>
          <t>SST: related S2030 indicator ref</t>
        </is>
      </c>
      <c r="L5" s="49" t="inlineStr">
        <is>
          <t>SST: use in report?</t>
        </is>
      </c>
      <c r="M5" s="49" t="inlineStr">
        <is>
          <t>SST: permission to publish?</t>
        </is>
      </c>
      <c r="N5" s="49" t="inlineStr">
        <is>
          <t>SST notes</t>
        </is>
      </c>
    </row>
    <row r="6" ht="60" customHeight="1">
      <c r="B6" s="7" t="inlineStr">
        <is>
          <t>ABP – Faculty of Architecture, Building and Planning</t>
        </is>
      </c>
      <c r="C6" s="51" t="n">
        <v>1</v>
      </c>
      <c r="D6" s="8" t="inlineStr"/>
      <c r="E6" s="8" t="inlineStr"/>
      <c r="F6" s="8" t="inlineStr"/>
      <c r="G6" s="8" t="inlineStr"/>
      <c r="H6" s="8" t="inlineStr"/>
      <c r="I6" s="8" t="inlineStr"/>
      <c r="J6" s="8" t="inlineStr"/>
      <c r="K6" s="8" t="inlineStr"/>
      <c r="L6" s="8" t="inlineStr"/>
      <c r="M6" s="8" t="inlineStr"/>
      <c r="N6" s="8" t="inlineStr"/>
    </row>
    <row r="7" ht="60" customHeight="1">
      <c r="B7" s="7" t="inlineStr"/>
      <c r="C7" s="51" t="n">
        <v>2</v>
      </c>
      <c r="D7" s="8" t="inlineStr"/>
      <c r="E7" s="8" t="inlineStr"/>
      <c r="F7" s="8" t="inlineStr"/>
      <c r="G7" s="8" t="inlineStr"/>
      <c r="H7" s="8" t="inlineStr"/>
      <c r="I7" s="8" t="inlineStr"/>
      <c r="J7" s="8" t="inlineStr"/>
      <c r="K7" s="8" t="inlineStr"/>
      <c r="L7" s="8" t="inlineStr"/>
      <c r="M7" s="8" t="inlineStr"/>
      <c r="N7" s="8" t="inlineStr"/>
    </row>
    <row r="8" ht="60" customHeight="1">
      <c r="B8" s="7" t="inlineStr"/>
      <c r="C8" s="51" t="n">
        <v>3</v>
      </c>
      <c r="D8" s="8" t="inlineStr"/>
      <c r="E8" s="8" t="inlineStr"/>
      <c r="F8" s="8" t="inlineStr"/>
      <c r="G8" s="8" t="inlineStr"/>
      <c r="H8" s="8" t="inlineStr"/>
      <c r="I8" s="8" t="inlineStr"/>
      <c r="J8" s="8" t="inlineStr"/>
      <c r="K8" s="8" t="inlineStr"/>
      <c r="L8" s="8" t="inlineStr"/>
      <c r="M8" s="8" t="inlineStr"/>
      <c r="N8" s="8" t="inlineStr"/>
    </row>
    <row r="9" ht="60" customHeight="1">
      <c r="B9" s="7" t="inlineStr">
        <is>
          <t>ARTS – Faculty of Arts</t>
        </is>
      </c>
      <c r="C9" s="51"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1"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1"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1"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1"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1"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1"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1"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1"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1"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1"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1"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1"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1"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1"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1"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1"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1"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1"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1"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1"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1"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1"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1"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1"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1"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1"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1"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1"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1"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1"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1"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1"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1"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1"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1"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1"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1"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1"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1"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1"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1"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5"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5"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5"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5" t="n">
        <v>46300</v>
      </c>
      <c r="D10" s="8" t="inlineStr">
        <is>
          <t>Faculty requests cut down after ABP walkthrough: EE1(a)+(c) merged; CL2(a)/(c) to AC&amp;M only; TR3(a)/(c)/(d) to MRE only;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5"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5"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5"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5"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5" t="n">
        <v>46300</v>
      </c>
      <c r="D15" s="8" t="inlineStr">
        <is>
          <t>Due dates are placeholders based on the SR26 approach timeline (stories early Dec; requests due January).</t>
        </is>
      </c>
      <c r="E15" s="8" t="inlineStr"/>
      <c r="F15" s="8" t="inlineStr">
        <is>
          <t>All</t>
        </is>
      </c>
      <c r="G15" s="8" t="inlineStr">
        <is>
          <t>TBC</t>
        </is>
      </c>
      <c r="H15" s="8" t="inlineStr">
        <is>
          <t>Confirm dates</t>
        </is>
      </c>
      <c r="I15" s="8" t="inlineStr">
        <is>
          <t>Open</t>
        </is>
      </c>
    </row>
    <row r="16">
      <c r="B16" s="8" t="n">
        <v>12</v>
      </c>
      <c r="C16" s="45"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Chased</t>
        </is>
      </c>
      <c r="E4" t="inlineStr">
        <is>
          <t>TBC</t>
        </is>
      </c>
      <c r="G4" t="inlineStr">
        <is>
          <t>Not met</t>
        </is>
      </c>
      <c r="H4" t="n">
        <v>1</v>
      </c>
      <c r="I4" t="n">
        <v>1</v>
      </c>
      <c r="L4" t="inlineStr">
        <is>
          <t>Climate leadership</t>
        </is>
      </c>
    </row>
    <row r="5">
      <c r="B5" t="inlineStr">
        <is>
          <t>Not met</t>
        </is>
      </c>
      <c r="D5" t="inlineStr">
        <is>
          <t>Support meeting</t>
        </is>
      </c>
      <c r="G5" t="inlineStr">
        <is>
          <t>Not yet started</t>
        </is>
      </c>
      <c r="H5" t="n">
        <v>0</v>
      </c>
      <c r="I5" t="n">
        <v>1</v>
      </c>
      <c r="L5" t="inlineStr">
        <is>
          <t>Nature and biodiversity</t>
        </is>
      </c>
    </row>
    <row r="6">
      <c r="B6" t="inlineStr">
        <is>
          <t>Not yet started</t>
        </is>
      </c>
      <c r="D6" t="inlineStr">
        <is>
          <t>Received</t>
        </is>
      </c>
      <c r="L6" t="inlineStr">
        <is>
          <t>Responsible AI</t>
        </is>
      </c>
    </row>
    <row r="7">
      <c r="B7" t="inlineStr">
        <is>
          <t>Not applicable</t>
        </is>
      </c>
      <c r="D7" t="inlineStr">
        <is>
          <t>Under review</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2026-10-06T04:35:24Z</dcterms:created>
  <dcterms:modified xmlns:dcterms="http://purl.org/dc/terms/" xmlns:xsi="http://www.w3.org/2001/XMLSchema-instance" xsi:type="dcterms:W3CDTF">2026-10-06T04:35:50Z</dcterms:modified>
</cp:coreProperties>
</file>