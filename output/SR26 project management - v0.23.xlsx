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d d mmm yyyy"/>
    <numFmt numFmtId="166" formatCode="d"/>
    <numFmt numFmtId="167" formatCode="dd/mm/yy"/>
  </numFmts>
  <fonts count="12">
    <font>
      <name val="Calibri"/>
      <family val="2"/>
      <color theme="1"/>
      <sz val="11"/>
      <scheme val="minor"/>
    </font>
    <font>
      <name val="Aptos"/>
      <b val="1"/>
      <color rgb="00FFFFFF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002060"/>
      <sz val="13"/>
    </font>
    <font>
      <name val="Aptos"/>
      <b val="1"/>
      <color rgb="00FFFFFF"/>
      <sz val="12"/>
    </font>
    <font>
      <name val="Aptos Narrow"/>
      <sz val="11"/>
    </font>
    <font>
      <name val="Aptos"/>
      <b val="1"/>
      <color rgb="00FFFFFF"/>
      <sz val="9"/>
    </font>
    <font>
      <name val="Aptos"/>
      <i val="1"/>
      <sz val="9"/>
    </font>
    <font>
      <name val="Aptos"/>
      <b val="1"/>
      <color rgb="00C00000"/>
    </font>
  </fonts>
  <fills count="8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F2F2F2"/>
      </patternFill>
    </fill>
    <fill>
      <patternFill patternType="solid">
        <fgColor rgb="00002060"/>
      </patternFill>
    </fill>
    <fill>
      <patternFill patternType="solid">
        <fgColor rgb="00156082"/>
      </patternFill>
    </fill>
    <fill>
      <patternFill patternType="solid">
        <fgColor rgb="00C1E4F5"/>
      </patternFill>
    </fill>
    <fill>
      <patternFill patternType="solid">
        <fgColor rgb="00000F46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hair">
        <color rgb="00BFBFBF"/>
      </left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7" borderId="0" pivotButton="0" quotePrefix="0" xfId="0"/>
    <xf numFmtId="0" fontId="1" fillId="7" borderId="0" applyAlignment="1" pivotButton="0" quotePrefix="0" xfId="0">
      <alignment vertical="center" indent="4"/>
    </xf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  <xf numFmtId="165" fontId="8" fillId="0" borderId="1" applyAlignment="1" pivotButton="0" quotePrefix="0" xfId="0">
      <alignment vertical="top" wrapText="1"/>
    </xf>
    <xf numFmtId="165" fontId="8" fillId="3" borderId="1" applyAlignment="1" pivotButton="0" quotePrefix="0" xfId="0">
      <alignment vertical="top" wrapText="1"/>
    </xf>
    <xf numFmtId="0" fontId="10" fillId="0" borderId="0" pivotButton="0" quotePrefix="0" xfId="0"/>
    <xf numFmtId="0" fontId="3" fillId="4" borderId="0" pivotButton="0" quotePrefix="0" xfId="0"/>
    <xf numFmtId="0" fontId="0" fillId="4" borderId="0" pivotButton="0" quotePrefix="0" xfId="0"/>
    <xf numFmtId="166" fontId="9" fillId="2" borderId="0" applyAlignment="1" pivotButton="0" quotePrefix="0" xfId="0">
      <alignment horizontal="center"/>
    </xf>
    <xf numFmtId="0" fontId="3" fillId="5" borderId="0" pivotButton="0" quotePrefix="0" xfId="0"/>
    <xf numFmtId="0" fontId="0" fillId="5" borderId="0" pivotButton="0" quotePrefix="0" xfId="0"/>
    <xf numFmtId="167" fontId="8" fillId="0" borderId="1" applyAlignment="1" pivotButton="0" quotePrefix="0" xfId="0">
      <alignment vertical="top" wrapText="1"/>
    </xf>
    <xf numFmtId="0" fontId="11" fillId="0" borderId="2" applyAlignment="1" pivotButton="0" quotePrefix="0" xfId="0">
      <alignment horizontal="center"/>
    </xf>
    <xf numFmtId="0" fontId="8" fillId="6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A9D18E"/>
        </patternFill>
      </fill>
    </dxf>
    <dxf>
      <fill>
        <patternFill patternType="solid">
          <fgColor rgb="004F81BD"/>
        </patternFill>
      </fill>
    </dxf>
    <dxf>
      <fill>
        <patternFill patternType="solid">
          <fgColor rgb="00D9D9D9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57150</colOff>
      <row>1</row>
      <rowOff>57150</rowOff>
    </from>
    <ext cx="609600" cy="609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P0. Project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7" customHeight="1">
      <c r="B4" s="3" t="inlineStr">
        <is>
          <t>1. Purpose</t>
        </is>
      </c>
    </row>
    <row r="5" ht="39" customHeight="1">
      <c r="B5" s="4" t="inlineStr">
        <is>
          <t>This workbook</t>
        </is>
      </c>
      <c r="C5" s="5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4" t="inlineStr">
        <is>
          <t>SR26 in one line</t>
        </is>
      </c>
      <c r="C6" s="5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3" t="inlineStr">
        <is>
          <t>2. Lessons from SR25 and actions for SR26</t>
        </is>
      </c>
    </row>
    <row r="9" ht="39" customHeight="1">
      <c r="B9" s="4" t="inlineStr">
        <is>
          <t>Keep tailored data requests</t>
        </is>
      </c>
      <c r="C9" s="5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4" t="inlineStr">
        <is>
          <t>Keep independent senior review</t>
        </is>
      </c>
      <c r="C10" s="5" t="inlineStr">
        <is>
          <t>Retain Target Status Review Group as the Sustainability Reporting Review Group (~15 Feb 2027).</t>
        </is>
      </c>
    </row>
    <row r="11" ht="39" customHeight="1">
      <c r="B11" s="4" t="inlineStr">
        <is>
          <t>Strengthen data controls</t>
        </is>
      </c>
      <c r="C11" s="5" t="inlineStr">
        <is>
          <t>Central Evidence register, data owner confirmation (columns Q–R on every request), data source records, Databook alignment.</t>
        </is>
      </c>
    </row>
    <row r="12" ht="39" customHeight="1">
      <c r="B12" s="4" t="inlineStr">
        <is>
          <t>Integrate with Annual Report</t>
        </is>
      </c>
      <c r="C12" s="5" t="inlineStr">
        <is>
          <t>Engage Annual Report team in October; shared dependency map; late operational data (Feb–Mar) on a later pathway.</t>
        </is>
      </c>
    </row>
    <row r="13" ht="22" customHeight="1">
      <c r="B13" s="4" t="inlineStr">
        <is>
          <t>Agree comms roles early</t>
        </is>
      </c>
      <c r="C13" s="5" t="inlineStr">
        <is>
          <t>RASCI with Strategic Communications, comms, digital and design at project start (P2).</t>
        </is>
      </c>
    </row>
    <row r="14" ht="39" customHeight="1">
      <c r="B14" s="4" t="inlineStr">
        <is>
          <t>Plan web and close from the outset</t>
        </is>
      </c>
      <c r="C14" s="5" t="inlineStr">
        <is>
          <t>Year-specific report URL, central landing page, analytics measures agreed before launch, formal retrospective (P3, P2).</t>
        </is>
      </c>
    </row>
    <row r="15" ht="39" customHeight="1">
      <c r="B15" s="4" t="inlineStr">
        <is>
          <t>Simpler project management</t>
        </is>
      </c>
      <c r="C15" s="5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4" t="inlineStr">
        <is>
          <t>Follow up non-approval</t>
        </is>
      </c>
      <c r="C16" s="5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3" t="inlineStr">
        <is>
          <t>3. How to use this workbook</t>
        </is>
      </c>
    </row>
    <row r="19" ht="56" customHeight="1">
      <c r="B19" s="4" t="inlineStr">
        <is>
          <t>Records management</t>
        </is>
      </c>
      <c r="C19" s="5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4" t="inlineStr">
        <is>
          <t>Responses</t>
        </is>
      </c>
      <c r="C20" s="5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4" t="inlineStr">
        <is>
          <t>Regenerating</t>
        </is>
      </c>
      <c r="C21" s="5" t="inlineStr">
        <is>
          <t>Templates are generated by build.py – update settings there to add faculties/units, then re-run.</t>
        </is>
      </c>
    </row>
    <row r="22"/>
    <row r="23" ht="27" customHeight="1">
      <c r="B23" s="3" t="inlineStr">
        <is>
          <t>4. Key reference documents</t>
        </is>
      </c>
    </row>
    <row r="24" ht="22" customHeight="1">
      <c r="B24" s="4" t="inlineStr">
        <is>
          <t>SR26 approach</t>
        </is>
      </c>
      <c r="C24" s="5" t="inlineStr">
        <is>
          <t>2026 Sustainability reporting approach &amp; target status assessment framework – DRAFT Sep 2026</t>
        </is>
      </c>
    </row>
    <row r="25" ht="56" customHeight="1">
      <c r="B25" s="4" t="inlineStr">
        <is>
          <t>SR25 documents</t>
        </is>
      </c>
      <c r="C25" s="5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4" t="inlineStr">
        <is>
          <t>Targets</t>
        </is>
      </c>
      <c r="C26" s="5" t="inlineStr">
        <is>
          <t>Sustainability 2030 Updated Targets (Not for distribution) – Qual and Quan worksheets</t>
        </is>
      </c>
    </row>
    <row r="27"/>
    <row r="28" ht="27" customHeight="1">
      <c r="B28" s="3" t="inlineStr">
        <is>
          <t>5. Team processes</t>
        </is>
      </c>
    </row>
    <row r="29" ht="22" customHeight="1">
      <c r="B29" s="4" t="inlineStr">
        <is>
          <t>Meetings</t>
        </is>
      </c>
      <c r="C29" s="5" t="inlineStr">
        <is>
          <t>Weekly production meeting (SST + comms/design); standing items: progress, blockers/escalation, decisions.</t>
        </is>
      </c>
    </row>
    <row r="30" ht="22" customHeight="1">
      <c r="B30" s="4" t="inlineStr">
        <is>
          <t>Communication</t>
        </is>
      </c>
      <c r="C30" s="5" t="inlineStr">
        <is>
          <t>Direct messages for individual tasks; group channel for shared updates.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P1. SR26 Project plan on a page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7" customHeight="1">
      <c r="B4" s="3" t="inlineStr">
        <is>
          <t>Project plan on a page</t>
        </is>
      </c>
    </row>
    <row r="5" ht="22" customHeight="1">
      <c r="B5" s="4" t="inlineStr">
        <is>
          <t>Version control</t>
        </is>
      </c>
      <c r="C5" s="5" t="inlineStr">
        <is>
          <t>DRAFT v0.23 – based on SR26 approach (Sep 2026)</t>
        </is>
      </c>
    </row>
    <row r="6" ht="39" customHeight="1">
      <c r="B6" s="4" t="inlineStr">
        <is>
          <t>Context</t>
        </is>
      </c>
      <c r="C6" s="5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4" t="inlineStr">
        <is>
          <t>Objectives / principles</t>
        </is>
      </c>
      <c r="C7" s="5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4" t="inlineStr">
        <is>
          <t>Reporting model</t>
        </is>
      </c>
      <c r="C8" s="5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4" t="inlineStr">
        <is>
          <t>Workstreams</t>
        </is>
      </c>
      <c r="C9" s="5" t="inlineStr">
        <is>
          <t>Governance • Data collection &amp; analysis (this workbook) • Content development • Communications &amp; web build</t>
        </is>
      </c>
    </row>
    <row r="10" ht="72" customHeight="1">
      <c r="B10" s="4" t="inlineStr">
        <is>
          <t>Key stakeholders</t>
        </is>
      </c>
      <c r="C10" s="5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4" t="inlineStr">
        <is>
          <t>Phases</t>
        </is>
      </c>
      <c r="C11" s="5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4" t="inlineStr">
        <is>
          <t>Outputs</t>
        </is>
      </c>
      <c r="C12" s="5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4" t="inlineStr">
        <is>
          <t>Success measures</t>
        </is>
      </c>
      <c r="C13" s="5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3" t="inlineStr">
        <is>
          <t>Key risks and controls</t>
        </is>
      </c>
    </row>
    <row r="16" ht="22" customHeight="1">
      <c r="B16" s="4" t="inlineStr">
        <is>
          <t>Full-year implication</t>
        </is>
      </c>
      <c r="C16" s="5" t="inlineStr">
        <is>
          <t>Report implies a full year of progress against targets launched 20 Oct → explicit transition-year framing.</t>
        </is>
      </c>
    </row>
    <row r="17" ht="39" customHeight="1">
      <c r="B17" s="4" t="inlineStr">
        <is>
          <t>Onerous requests</t>
        </is>
      </c>
      <c r="C17" s="5" t="inlineStr">
        <is>
          <t>Requests onerous or non-comparable → necessity and usability test; pilot templates; don't ask for data areas can't hold.</t>
        </is>
      </c>
    </row>
    <row r="18" ht="39" customHeight="1">
      <c r="B18" s="4" t="inlineStr">
        <is>
          <t>Databook overlap</t>
        </is>
      </c>
      <c r="C18" s="5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4" t="inlineStr">
        <is>
          <t>New working groups</t>
        </is>
      </c>
      <c r="C19" s="5" t="inlineStr">
        <is>
          <t>Asked to evidence delivery before established → maturity-based 2026 request.</t>
        </is>
      </c>
    </row>
    <row r="20" ht="22" customHeight="1">
      <c r="B20" s="4" t="inlineStr">
        <is>
          <t>Case studies dominate</t>
        </is>
      </c>
      <c r="C20" s="5" t="inlineStr">
        <is>
          <t>→ selection criteria: relevance, evidence, outcome, transferability, balance, permission.</t>
        </is>
      </c>
    </row>
    <row r="21" ht="22" customHeight="1">
      <c r="B21" s="4" t="inlineStr">
        <is>
          <t>Late responses</t>
        </is>
      </c>
      <c r="C21" s="5" t="inlineStr">
        <is>
          <t>→ issue requirements early, support meetings, senior sponsorship, escalate gaps.</t>
        </is>
      </c>
    </row>
    <row r="22" ht="22" customHeight="1">
      <c r="B22" s="4" t="inlineStr">
        <is>
          <t>Review group role</t>
        </is>
      </c>
      <c r="C22" s="5" t="inlineStr">
        <is>
          <t>Unclear without traffic lights → approve review criteria and decision rights in advance.</t>
        </is>
      </c>
    </row>
    <row r="23" ht="22" customHeight="1">
      <c r="B23" s="4" t="inlineStr">
        <is>
          <t>Annual Report divergence</t>
        </is>
      </c>
      <c r="C23" s="5" t="inlineStr">
        <is>
          <t>→ engage in October; shared dependency/data map; reconcile shared figures.</t>
        </is>
      </c>
    </row>
    <row r="24"/>
    <row r="25" ht="27" customHeight="1">
      <c r="B25" s="3" t="inlineStr">
        <is>
          <t>Decisions required (from SR26 approach)</t>
        </is>
      </c>
    </row>
    <row r="26" ht="22" customHeight="1">
      <c r="B26" s="4" t="inlineStr">
        <is>
          <t>1. Transition-year model</t>
        </is>
      </c>
      <c r="C26" s="5" t="inlineStr">
        <is>
          <t>Director, Sustainability – Approved (internal traffic lights: sub-decision)</t>
        </is>
      </c>
    </row>
    <row r="27" ht="39" customHeight="1">
      <c r="B27" s="4" t="inlineStr">
        <is>
          <t>2. Evidence &amp; engagement model</t>
        </is>
      </c>
      <c r="C27" s="5" t="inlineStr">
        <is>
          <t>Director, Sustainability – Pending (awaiting Stefanus' WIP)</t>
        </is>
      </c>
    </row>
    <row r="28" ht="39" customHeight="1">
      <c r="B28" s="4" t="inlineStr">
        <is>
          <t>3. Assurance &amp; governance pathway</t>
        </is>
      </c>
      <c r="C28" s="5" t="inlineStr">
        <is>
          <t>Director, Sustainability – Closed</t>
        </is>
      </c>
    </row>
    <row r="29" ht="39" customHeight="1">
      <c r="B29" s="4" t="inlineStr">
        <is>
          <t>4. Modern slavery timeline alignment</t>
        </is>
      </c>
      <c r="C29" s="5" t="inlineStr">
        <is>
          <t>Director, Sustainability (and Head of Procurement) – Open, watch item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showGridLines="0" workbookViewId="0">
      <selection pane="bottomLeft" activeCell="A1" sqref="A1"/>
    </sheetView>
  </sheetViews>
  <sheetFormatPr baseColWidth="8" defaultRowHeight="15"/>
  <cols>
    <col width="2" customWidth="1" min="1" max="1"/>
    <col width="50" customWidth="1" min="2" max="2"/>
    <col width="20" customWidth="1" min="3" max="3"/>
    <col width="14" customWidth="1" min="4" max="4"/>
    <col width="14" customWidth="1" min="5" max="5"/>
    <col width="15" customWidth="1" min="6" max="6"/>
    <col width="15" customWidth="1" min="7" max="7"/>
    <col width="15" customWidth="1" min="8" max="8"/>
    <col width="12" customWidth="1" min="9" max="9"/>
    <col width="12" customWidth="1" min="10" max="10"/>
    <col width="11" customWidth="1" min="11" max="11"/>
    <col width="14" customWidth="1" min="12" max="12"/>
    <col width="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58" customHeight="1">
      <c r="A2" s="1" t="n"/>
      <c r="B2" s="2" t="inlineStr">
        <is>
          <t>P2. Timeline, RASCI &amp; task register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2" customHeight="1">
      <c r="B3" s="6" t="inlineStr">
        <is>
          <t>Indicative dates from the SR26 approach. Governance paper deadlines drive the internal deadlines (leader review = papers due – 3 working days).</t>
        </is>
      </c>
    </row>
    <row r="4" ht="26" customHeight="1">
      <c r="B4" s="7" t="inlineStr">
        <is>
          <t>Governance paper deadlines (placeholders – confirm with governance offices; edit dates here and the Gantt updates)</t>
        </is>
      </c>
    </row>
    <row r="5" ht="78" customHeight="1">
      <c r="B5" s="8" t="inlineStr">
        <is>
          <t>Governance body</t>
        </is>
      </c>
      <c r="C5" s="8" t="inlineStr">
        <is>
          <t>Purpose</t>
        </is>
      </c>
      <c r="D5" s="8" t="inlineStr">
        <is>
          <t>Meeting</t>
        </is>
      </c>
      <c r="E5" s="8" t="inlineStr">
        <is>
          <t>Papers due</t>
        </is>
      </c>
      <c r="F5" s="8" t="inlineStr">
        <is>
          <t>To leaders for review (papers – 3 working days)</t>
        </is>
      </c>
      <c r="G5" s="8" t="inlineStr">
        <is>
          <t>Start paper (papers – 10 working days)</t>
        </is>
      </c>
      <c r="H5" s="8" t="inlineStr">
        <is>
          <t>Source of placeholder</t>
        </is>
      </c>
    </row>
    <row r="6" ht="56" customHeight="1">
      <c r="B6" s="9" t="inlineStr">
        <is>
          <t>Sustainability Reporting Review Group</t>
        </is>
      </c>
      <c r="C6" s="9" t="inlineStr">
        <is>
          <t>Review findings</t>
        </is>
      </c>
      <c r="D6" s="10" t="n">
        <v>46433</v>
      </c>
      <c r="E6" s="10" t="n">
        <v>46426</v>
      </c>
      <c r="F6" s="11">
        <f>WORKDAY(E6,-3)</f>
        <v/>
      </c>
      <c r="G6" s="11">
        <f>WORKDAY(E6,-10)</f>
        <v/>
      </c>
      <c r="H6" s="9" t="inlineStr">
        <is>
          <t>SR26 approach (~15 Feb); SR25 n/a</t>
        </is>
      </c>
    </row>
    <row r="7" ht="72" customHeight="1">
      <c r="B7" s="9" t="inlineStr">
        <is>
          <t>VCAG</t>
        </is>
      </c>
      <c r="C7" s="9" t="inlineStr">
        <is>
          <t>Notes Review Group findings</t>
        </is>
      </c>
      <c r="D7" s="10" t="n">
        <v>46434</v>
      </c>
      <c r="E7" s="10" t="n">
        <v>46428</v>
      </c>
      <c r="F7" s="11">
        <f>WORKDAY(E7,-3)</f>
        <v/>
      </c>
      <c r="G7" s="11">
        <f>WORKDAY(E7,-10)</f>
        <v/>
      </c>
      <c r="H7" s="9" t="inlineStr">
        <is>
          <t>SR26 approach; SR25: papers 14 Feb, meeting 17 Feb</t>
        </is>
      </c>
    </row>
    <row r="8" ht="39" customHeight="1">
      <c r="B8" s="9" t="inlineStr">
        <is>
          <t>Investment Management Committee</t>
        </is>
      </c>
      <c r="C8" s="9" t="inlineStr">
        <is>
          <t>Responsible investments section</t>
        </is>
      </c>
      <c r="D8" s="10" t="n">
        <v>46443</v>
      </c>
      <c r="E8" s="10" t="n">
        <v>46436</v>
      </c>
      <c r="F8" s="11">
        <f>WORKDAY(E8,-3)</f>
        <v/>
      </c>
      <c r="G8" s="11">
        <f>WORKDAY(E8,-10)</f>
        <v/>
      </c>
      <c r="H8" s="9" t="inlineStr">
        <is>
          <t>SR26 approach (TBC)</t>
        </is>
      </c>
    </row>
    <row r="9" ht="39" customHeight="1">
      <c r="B9" s="9" t="inlineStr">
        <is>
          <t>VCAG</t>
        </is>
      </c>
      <c r="C9" s="9" t="inlineStr">
        <is>
          <t>Notes full report</t>
        </is>
      </c>
      <c r="D9" s="10" t="n">
        <v>46448</v>
      </c>
      <c r="E9" s="10" t="n">
        <v>46443</v>
      </c>
      <c r="F9" s="11">
        <f>WORKDAY(E9,-3)</f>
        <v/>
      </c>
      <c r="G9" s="11">
        <f>WORKDAY(E9,-10)</f>
        <v/>
      </c>
      <c r="H9" s="9" t="inlineStr">
        <is>
          <t>SR26 approach (TBC)</t>
        </is>
      </c>
    </row>
    <row r="10" ht="72" customHeight="1">
      <c r="B10" s="9" t="inlineStr">
        <is>
          <t>University Executive</t>
        </is>
      </c>
      <c r="C10" s="9" t="inlineStr">
        <is>
          <t>Notes report</t>
        </is>
      </c>
      <c r="D10" s="10" t="n">
        <v>46471</v>
      </c>
      <c r="E10" s="10" t="n">
        <v>46458</v>
      </c>
      <c r="F10" s="11">
        <f>WORKDAY(E10,-3)</f>
        <v/>
      </c>
      <c r="G10" s="11">
        <f>WORKDAY(E10,-10)</f>
        <v/>
      </c>
      <c r="H10" s="9" t="inlineStr">
        <is>
          <t>SR26 approach; SR25: papers 17 Mar, meeting 27 Mar</t>
        </is>
      </c>
    </row>
    <row r="11" ht="56" customHeight="1">
      <c r="B11" s="9" t="inlineStr">
        <is>
          <t>University Council</t>
        </is>
      </c>
      <c r="C11" s="9" t="inlineStr">
        <is>
          <t>Approves report</t>
        </is>
      </c>
      <c r="D11" s="10" t="n">
        <v>46513</v>
      </c>
      <c r="E11" s="10" t="n">
        <v>46486</v>
      </c>
      <c r="F11" s="11">
        <f>WORKDAY(E11,-3)</f>
        <v/>
      </c>
      <c r="G11" s="11">
        <f>WORKDAY(E11,-10)</f>
        <v/>
      </c>
      <c r="H11" s="9" t="inlineStr">
        <is>
          <t>SR26 approach (~10 Apr); SR25: meeting 5 May</t>
        </is>
      </c>
    </row>
    <row r="12"/>
    <row r="13" ht="20" customHeight="1">
      <c r="N13" s="12" t="inlineStr">
        <is>
          <t>Week commencing (Mon) – bars fill from Start/End; ◆ = milestone; grey = Christmas shutdown; light blue = governance paper due</t>
        </is>
      </c>
    </row>
    <row r="14" ht="22" customHeight="1">
      <c r="N14" s="13" t="inlineStr">
        <is>
          <t>Oct 2026</t>
        </is>
      </c>
      <c r="O14" s="14" t="n"/>
      <c r="P14" s="14" t="n"/>
      <c r="Q14" s="14" t="n"/>
      <c r="R14" s="13" t="inlineStr">
        <is>
          <t>Nov</t>
        </is>
      </c>
      <c r="S14" s="14" t="n"/>
      <c r="T14" s="14" t="n"/>
      <c r="U14" s="14" t="n"/>
      <c r="V14" s="14" t="n"/>
      <c r="W14" s="13" t="inlineStr">
        <is>
          <t>Dec</t>
        </is>
      </c>
      <c r="X14" s="14" t="n"/>
      <c r="Y14" s="14" t="n"/>
      <c r="Z14" s="14" t="n"/>
      <c r="AA14" s="13" t="inlineStr">
        <is>
          <t>Jan 2027</t>
        </is>
      </c>
      <c r="AB14" s="14" t="n"/>
      <c r="AC14" s="14" t="n"/>
      <c r="AD14" s="14" t="n"/>
      <c r="AE14" s="13" t="inlineStr">
        <is>
          <t>Feb</t>
        </is>
      </c>
      <c r="AF14" s="14" t="n"/>
      <c r="AG14" s="14" t="n"/>
      <c r="AH14" s="14" t="n"/>
      <c r="AI14" s="13" t="inlineStr">
        <is>
          <t>Mar</t>
        </is>
      </c>
      <c r="AJ14" s="14" t="n"/>
      <c r="AK14" s="14" t="n"/>
      <c r="AL14" s="14" t="n"/>
      <c r="AM14" s="14" t="n"/>
      <c r="AN14" s="13" t="inlineStr">
        <is>
          <t>Apr</t>
        </is>
      </c>
      <c r="AO14" s="14" t="n"/>
      <c r="AP14" s="14" t="n"/>
      <c r="AQ14" s="14" t="n"/>
      <c r="AR14" s="13" t="inlineStr">
        <is>
          <t>May</t>
        </is>
      </c>
      <c r="AS14" s="14" t="n"/>
      <c r="AT14" s="14" t="n"/>
      <c r="AU14" s="14" t="n"/>
      <c r="AV14" s="14" t="n"/>
      <c r="AW14" s="13" t="inlineStr">
        <is>
          <t>Jun</t>
        </is>
      </c>
      <c r="AX14" s="14" t="n"/>
      <c r="AY14" s="14" t="n"/>
      <c r="AZ14" s="14" t="n"/>
      <c r="BA14" s="13" t="inlineStr">
        <is>
          <t>Jul</t>
        </is>
      </c>
    </row>
    <row r="15" ht="24" customHeight="1">
      <c r="B15" s="8" t="inlineStr">
        <is>
          <t>Phase / key activity</t>
        </is>
      </c>
      <c r="C15" s="8" t="inlineStr">
        <is>
          <t>Key milestone</t>
        </is>
      </c>
      <c r="D15" s="8" t="inlineStr">
        <is>
          <t>Start</t>
        </is>
      </c>
      <c r="E15" s="8" t="inlineStr">
        <is>
          <t>End</t>
        </is>
      </c>
      <c r="F15" s="8" t="inlineStr">
        <is>
          <t>When</t>
        </is>
      </c>
      <c r="G15" s="8" t="inlineStr">
        <is>
          <t>R</t>
        </is>
      </c>
      <c r="H15" s="8" t="inlineStr">
        <is>
          <t>A</t>
        </is>
      </c>
      <c r="I15" s="8" t="inlineStr">
        <is>
          <t>S</t>
        </is>
      </c>
      <c r="J15" s="8" t="inlineStr">
        <is>
          <t>C/I</t>
        </is>
      </c>
      <c r="K15" s="8" t="inlineStr">
        <is>
          <t>Priority</t>
        </is>
      </c>
      <c r="L15" s="8" t="inlineStr">
        <is>
          <t>Status</t>
        </is>
      </c>
      <c r="N15" s="15" t="n">
        <v>46300</v>
      </c>
      <c r="O15" s="15" t="n">
        <v>46307</v>
      </c>
      <c r="P15" s="15" t="n">
        <v>46314</v>
      </c>
      <c r="Q15" s="15" t="n">
        <v>46321</v>
      </c>
      <c r="R15" s="15" t="n">
        <v>46328</v>
      </c>
      <c r="S15" s="15" t="n">
        <v>46335</v>
      </c>
      <c r="T15" s="15" t="n">
        <v>46342</v>
      </c>
      <c r="U15" s="15" t="n">
        <v>46349</v>
      </c>
      <c r="V15" s="15" t="n">
        <v>46356</v>
      </c>
      <c r="W15" s="15" t="n">
        <v>46363</v>
      </c>
      <c r="X15" s="15" t="n">
        <v>46370</v>
      </c>
      <c r="Y15" s="15" t="n">
        <v>46377</v>
      </c>
      <c r="Z15" s="15" t="n">
        <v>46384</v>
      </c>
      <c r="AA15" s="15" t="n">
        <v>46391</v>
      </c>
      <c r="AB15" s="15" t="n">
        <v>46398</v>
      </c>
      <c r="AC15" s="15" t="n">
        <v>46405</v>
      </c>
      <c r="AD15" s="15" t="n">
        <v>46412</v>
      </c>
      <c r="AE15" s="15" t="n">
        <v>46419</v>
      </c>
      <c r="AF15" s="15" t="n">
        <v>46426</v>
      </c>
      <c r="AG15" s="15" t="n">
        <v>46433</v>
      </c>
      <c r="AH15" s="15" t="n">
        <v>46440</v>
      </c>
      <c r="AI15" s="15" t="n">
        <v>46447</v>
      </c>
      <c r="AJ15" s="15" t="n">
        <v>46454</v>
      </c>
      <c r="AK15" s="15" t="n">
        <v>46461</v>
      </c>
      <c r="AL15" s="15" t="n">
        <v>46468</v>
      </c>
      <c r="AM15" s="15" t="n">
        <v>46475</v>
      </c>
      <c r="AN15" s="15" t="n">
        <v>46482</v>
      </c>
      <c r="AO15" s="15" t="n">
        <v>46489</v>
      </c>
      <c r="AP15" s="15" t="n">
        <v>46496</v>
      </c>
      <c r="AQ15" s="15" t="n">
        <v>46503</v>
      </c>
      <c r="AR15" s="15" t="n">
        <v>46510</v>
      </c>
      <c r="AS15" s="15" t="n">
        <v>46517</v>
      </c>
      <c r="AT15" s="15" t="n">
        <v>46524</v>
      </c>
      <c r="AU15" s="15" t="n">
        <v>46531</v>
      </c>
      <c r="AV15" s="15" t="n">
        <v>46538</v>
      </c>
      <c r="AW15" s="15" t="n">
        <v>46545</v>
      </c>
      <c r="AX15" s="15" t="n">
        <v>46552</v>
      </c>
      <c r="AY15" s="15" t="n">
        <v>46559</v>
      </c>
      <c r="AZ15" s="15" t="n">
        <v>46566</v>
      </c>
      <c r="BA15" s="15" t="n">
        <v>46573</v>
      </c>
    </row>
    <row r="16" ht="22" customHeight="1">
      <c r="B16" s="16" t="inlineStr">
        <is>
          <t>Project set-up (Sep–Oct 2026)</t>
        </is>
      </c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</row>
    <row r="17" ht="39" customHeight="1">
      <c r="B17" s="9" t="inlineStr">
        <is>
          <t>Confirm scope, reporting model, governance pathway and decisions</t>
        </is>
      </c>
      <c r="C17" s="9" t="inlineStr">
        <is>
          <t>Decision log</t>
        </is>
      </c>
      <c r="D17" s="18" t="n">
        <v>46279</v>
      </c>
      <c r="E17" s="18" t="n">
        <v>46311</v>
      </c>
      <c r="F17" s="9">
        <f>TEXT(D17,"d mmm")&amp;IF(E17&lt;&gt;D17," – "&amp;TEXT(E17,"d mmm"),"")</f>
        <v/>
      </c>
      <c r="G17" s="9" t="inlineStr">
        <is>
          <t>SST</t>
        </is>
      </c>
      <c r="H17" s="9" t="inlineStr">
        <is>
          <t>Director, Sustainability</t>
        </is>
      </c>
      <c r="I17" s="9" t="inlineStr"/>
      <c r="J17" s="9" t="inlineStr">
        <is>
          <t>VCAG (I)</t>
        </is>
      </c>
      <c r="K17" s="9" t="inlineStr">
        <is>
          <t>High</t>
        </is>
      </c>
      <c r="L17" s="9" t="inlineStr">
        <is>
          <t>Not yet started</t>
        </is>
      </c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</row>
    <row r="18" ht="39" customHeight="1">
      <c r="B18" s="9" t="inlineStr">
        <is>
          <t>Project charter, schedule, RASCI, decision log, issues register</t>
        </is>
      </c>
      <c r="C18" s="9" t="inlineStr">
        <is>
          <t>Approved by Oct</t>
        </is>
      </c>
      <c r="D18" s="18" t="n">
        <v>46293</v>
      </c>
      <c r="E18" s="18" t="n">
        <v>46318</v>
      </c>
      <c r="F18" s="9">
        <f>TEXT(D18,"d mmm")&amp;IF(E18&lt;&gt;D18," – "&amp;TEXT(E18,"d mmm"),"")</f>
        <v/>
      </c>
      <c r="G18" s="9" t="inlineStr">
        <is>
          <t>SST</t>
        </is>
      </c>
      <c r="H18" s="9" t="inlineStr">
        <is>
          <t>Director, Sustainability</t>
        </is>
      </c>
      <c r="I18" s="9" t="inlineStr"/>
      <c r="J18" s="9" t="inlineStr">
        <is>
          <t>Comms, design</t>
        </is>
      </c>
      <c r="K18" s="9" t="inlineStr">
        <is>
          <t>High</t>
        </is>
      </c>
      <c r="L18" s="9" t="inlineStr">
        <is>
          <t>Not yet started</t>
        </is>
      </c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</row>
    <row r="19" ht="39" customHeight="1">
      <c r="B19" s="9" t="inlineStr">
        <is>
          <t>Map refreshed targets/indicators to Databook, systems, owners</t>
        </is>
      </c>
      <c r="C19" s="9" t="inlineStr">
        <is>
          <t>Requirements matrix</t>
        </is>
      </c>
      <c r="D19" s="18" t="n">
        <v>46286</v>
      </c>
      <c r="E19" s="18" t="n">
        <v>46311</v>
      </c>
      <c r="F19" s="9">
        <f>TEXT(D19,"d mmm")&amp;IF(E19&lt;&gt;D19," – "&amp;TEXT(E19,"d mmm"),"")</f>
        <v/>
      </c>
      <c r="G19" s="9" t="inlineStr">
        <is>
          <t>Stefanus</t>
        </is>
      </c>
      <c r="H19" s="9" t="inlineStr">
        <is>
          <t>Gerard Healey</t>
        </is>
      </c>
      <c r="I19" s="9" t="inlineStr">
        <is>
          <t>Rose</t>
        </is>
      </c>
      <c r="J19" s="9" t="inlineStr">
        <is>
          <t>Data owners</t>
        </is>
      </c>
      <c r="K19" s="9" t="inlineStr">
        <is>
          <t>High</t>
        </is>
      </c>
      <c r="L19" s="9" t="inlineStr">
        <is>
          <t>Not yet started</t>
        </is>
      </c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</row>
    <row r="20" ht="39" customHeight="1">
      <c r="B20" s="9" t="inlineStr">
        <is>
          <t>Confirm stakeholder structure (CGOP/CDEP) and owners (Gerard: resilience, estate)</t>
        </is>
      </c>
      <c r="C20" s="9" t="inlineStr">
        <is>
          <t>Stakeholder map</t>
        </is>
      </c>
      <c r="D20" s="18" t="n">
        <v>46300</v>
      </c>
      <c r="E20" s="18" t="n">
        <v>46311</v>
      </c>
      <c r="F20" s="9">
        <f>TEXT(D20,"d mmm")&amp;IF(E20&lt;&gt;D20," – "&amp;TEXT(E20,"d mmm"),"")</f>
        <v/>
      </c>
      <c r="G20" s="9" t="inlineStr">
        <is>
          <t>Stefanus</t>
        </is>
      </c>
      <c r="H20" s="9" t="inlineStr">
        <is>
          <t>Gerard Healey</t>
        </is>
      </c>
      <c r="I20" s="9" t="inlineStr"/>
      <c r="J20" s="9" t="inlineStr"/>
      <c r="K20" s="9" t="inlineStr">
        <is>
          <t>High</t>
        </is>
      </c>
      <c r="L20" s="9" t="inlineStr">
        <is>
          <t>Not yet started</t>
        </is>
      </c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</row>
    <row r="21" ht="39" customHeight="1">
      <c r="B21" s="9" t="inlineStr">
        <is>
          <t>Test request templates (ABP walkthrough) and Teams workbook links</t>
        </is>
      </c>
      <c r="C21" s="9" t="inlineStr">
        <is>
          <t>Templates and links tested</t>
        </is>
      </c>
      <c r="D21" s="18" t="n">
        <v>46307</v>
      </c>
      <c r="E21" s="18" t="n">
        <v>46325</v>
      </c>
      <c r="F21" s="9">
        <f>TEXT(D21,"d mmm")&amp;IF(E21&lt;&gt;D21," – "&amp;TEXT(E21,"d mmm"),"")</f>
        <v/>
      </c>
      <c r="G21" s="9" t="inlineStr">
        <is>
          <t>Stefanus</t>
        </is>
      </c>
      <c r="H21" s="9" t="inlineStr">
        <is>
          <t>Gerard Healey</t>
        </is>
      </c>
      <c r="I21" s="9" t="inlineStr"/>
      <c r="J21" s="9" t="inlineStr">
        <is>
          <t>ADs Sustainability</t>
        </is>
      </c>
      <c r="K21" s="9" t="inlineStr">
        <is>
          <t>High</t>
        </is>
      </c>
      <c r="L21" s="9" t="inlineStr">
        <is>
          <t>Not yet started</t>
        </is>
      </c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</row>
    <row r="22" ht="39" customHeight="1">
      <c r="B22" s="9" t="inlineStr">
        <is>
          <t>Approve Review Group criteria, decision rights, escalation pathway</t>
        </is>
      </c>
      <c r="C22" s="9" t="inlineStr">
        <is>
          <t>Before collection</t>
        </is>
      </c>
      <c r="D22" s="18" t="n">
        <v>46300</v>
      </c>
      <c r="E22" s="18" t="n">
        <v>46325</v>
      </c>
      <c r="F22" s="9">
        <f>TEXT(D22,"d mmm")&amp;IF(E22&lt;&gt;D22," – "&amp;TEXT(E22,"d mmm"),"")</f>
        <v/>
      </c>
      <c r="G22" s="9" t="inlineStr">
        <is>
          <t>SST</t>
        </is>
      </c>
      <c r="H22" s="9" t="inlineStr">
        <is>
          <t>Director, Sustainability</t>
        </is>
      </c>
      <c r="I22" s="9" t="inlineStr"/>
      <c r="J22" s="9" t="inlineStr">
        <is>
          <t>Review Group</t>
        </is>
      </c>
      <c r="K22" s="9" t="inlineStr">
        <is>
          <t>Medium</t>
        </is>
      </c>
      <c r="L22" s="9" t="inlineStr">
        <is>
          <t>Not yet started</t>
        </is>
      </c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</row>
    <row r="23" ht="22" customHeight="1">
      <c r="B23" s="16" t="inlineStr">
        <is>
          <t>Process design &amp; launch (Oct 2026)</t>
        </is>
      </c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</row>
    <row r="24" ht="39" customHeight="1">
      <c r="B24" s="9" t="inlineStr">
        <is>
          <t>Finalise templates and evidence register</t>
        </is>
      </c>
      <c r="C24" s="9" t="inlineStr">
        <is>
          <t>Templates final</t>
        </is>
      </c>
      <c r="D24" s="18" t="n">
        <v>46314</v>
      </c>
      <c r="E24" s="18" t="n">
        <v>46325</v>
      </c>
      <c r="F24" s="9">
        <f>TEXT(D24,"d mmm")&amp;IF(E24&lt;&gt;D24," – "&amp;TEXT(E24,"d mmm"),"")</f>
        <v/>
      </c>
      <c r="G24" s="9" t="inlineStr">
        <is>
          <t>Stefanus</t>
        </is>
      </c>
      <c r="H24" s="9" t="inlineStr">
        <is>
          <t>Gerard Healey</t>
        </is>
      </c>
      <c r="I24" s="9" t="inlineStr"/>
      <c r="J24" s="9" t="inlineStr"/>
      <c r="K24" s="9" t="inlineStr">
        <is>
          <t>High</t>
        </is>
      </c>
      <c r="L24" s="9" t="inlineStr">
        <is>
          <t>Not yet started</t>
        </is>
      </c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</row>
    <row r="25" ht="39" customHeight="1">
      <c r="B25" s="9" t="inlineStr">
        <is>
          <t>Coordinate with University Annual Report team (dependency map)</t>
        </is>
      </c>
      <c r="C25" s="9" t="inlineStr">
        <is>
          <t>Shared data map</t>
        </is>
      </c>
      <c r="D25" s="18" t="n">
        <v>46300</v>
      </c>
      <c r="E25" s="18" t="n">
        <v>46325</v>
      </c>
      <c r="F25" s="9">
        <f>TEXT(D25,"d mmm")&amp;IF(E25&lt;&gt;D25," – "&amp;TEXT(E25,"d mmm"),"")</f>
        <v/>
      </c>
      <c r="G25" s="9" t="inlineStr">
        <is>
          <t>SST</t>
        </is>
      </c>
      <c r="H25" s="9" t="inlineStr">
        <is>
          <t>Director, Sustainability</t>
        </is>
      </c>
      <c r="I25" s="9" t="inlineStr"/>
      <c r="J25" s="9" t="inlineStr">
        <is>
          <t>Annual Report team</t>
        </is>
      </c>
      <c r="K25" s="9" t="inlineStr">
        <is>
          <t>High</t>
        </is>
      </c>
      <c r="L25" s="9" t="inlineStr">
        <is>
          <t>Not yet started</t>
        </is>
      </c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</row>
    <row r="26" ht="39" customHeight="1">
      <c r="B26" s="9" t="inlineStr">
        <is>
          <t>Convene Strategic Comms, digital &amp; design; agree comms RASCI</t>
        </is>
      </c>
      <c r="C26" s="9" t="inlineStr">
        <is>
          <t>Kick-off</t>
        </is>
      </c>
      <c r="D26" s="18" t="n">
        <v>46300</v>
      </c>
      <c r="E26" s="18" t="n">
        <v>46318</v>
      </c>
      <c r="F26" s="9">
        <f>TEXT(D26,"d mmm")&amp;IF(E26&lt;&gt;D26," – "&amp;TEXT(E26,"d mmm"),"")</f>
        <v/>
      </c>
      <c r="G26" s="9" t="inlineStr">
        <is>
          <t>SST</t>
        </is>
      </c>
      <c r="H26" s="9" t="inlineStr">
        <is>
          <t>Director, Sustainability</t>
        </is>
      </c>
      <c r="I26" s="9" t="inlineStr">
        <is>
          <t>Strategic Comms</t>
        </is>
      </c>
      <c r="J26" s="9" t="inlineStr">
        <is>
          <t>Design, digital</t>
        </is>
      </c>
      <c r="K26" s="9" t="inlineStr">
        <is>
          <t>High</t>
        </is>
      </c>
      <c r="L26" s="9" t="inlineStr">
        <is>
          <t>Not yet started</t>
        </is>
      </c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</row>
    <row r="27" ht="39" customHeight="1">
      <c r="B27" s="9" t="inlineStr">
        <is>
          <t>Sustainability 2030 launch</t>
        </is>
      </c>
      <c r="C27" s="9" t="inlineStr">
        <is>
          <t>~20 Oct (TBC)</t>
        </is>
      </c>
      <c r="D27" s="18" t="n">
        <v>46315</v>
      </c>
      <c r="E27" s="18" t="n">
        <v>46315</v>
      </c>
      <c r="F27" s="9">
        <f>TEXT(D27,"d mmm")&amp;IF(E27&lt;&gt;D27," – "&amp;TEXT(E27,"d mmm"),"")</f>
        <v/>
      </c>
      <c r="G27" s="9" t="inlineStr"/>
      <c r="H27" s="9" t="inlineStr"/>
      <c r="I27" s="9" t="inlineStr"/>
      <c r="J27" s="9" t="inlineStr"/>
      <c r="K27" s="9" t="inlineStr">
        <is>
          <t>Milestone</t>
        </is>
      </c>
      <c r="L27" s="9" t="inlineStr">
        <is>
          <t>Not yet started</t>
        </is>
      </c>
      <c r="N27" s="19">
        <f>IF(AND(N$15+6&gt;=$D27,N$15&lt;=$E27),"◆","")</f>
        <v/>
      </c>
      <c r="O27" s="19">
        <f>IF(AND(O$15+6&gt;=$D27,O$15&lt;=$E27),"◆","")</f>
        <v/>
      </c>
      <c r="P27" s="19">
        <f>IF(AND(P$15+6&gt;=$D27,P$15&lt;=$E27),"◆","")</f>
        <v/>
      </c>
      <c r="Q27" s="19">
        <f>IF(AND(Q$15+6&gt;=$D27,Q$15&lt;=$E27),"◆","")</f>
        <v/>
      </c>
      <c r="R27" s="19">
        <f>IF(AND(R$15+6&gt;=$D27,R$15&lt;=$E27),"◆","")</f>
        <v/>
      </c>
      <c r="S27" s="19">
        <f>IF(AND(S$15+6&gt;=$D27,S$15&lt;=$E27),"◆","")</f>
        <v/>
      </c>
      <c r="T27" s="19">
        <f>IF(AND(T$15+6&gt;=$D27,T$15&lt;=$E27),"◆","")</f>
        <v/>
      </c>
      <c r="U27" s="19">
        <f>IF(AND(U$15+6&gt;=$D27,U$15&lt;=$E27),"◆","")</f>
        <v/>
      </c>
      <c r="V27" s="19">
        <f>IF(AND(V$15+6&gt;=$D27,V$15&lt;=$E27),"◆","")</f>
        <v/>
      </c>
      <c r="W27" s="19">
        <f>IF(AND(W$15+6&gt;=$D27,W$15&lt;=$E27),"◆","")</f>
        <v/>
      </c>
      <c r="X27" s="19">
        <f>IF(AND(X$15+6&gt;=$D27,X$15&lt;=$E27),"◆","")</f>
        <v/>
      </c>
      <c r="Y27" s="19">
        <f>IF(AND(Y$15+6&gt;=$D27,Y$15&lt;=$E27),"◆","")</f>
        <v/>
      </c>
      <c r="Z27" s="19">
        <f>IF(AND(Z$15+6&gt;=$D27,Z$15&lt;=$E27),"◆","")</f>
        <v/>
      </c>
      <c r="AA27" s="19">
        <f>IF(AND(AA$15+6&gt;=$D27,AA$15&lt;=$E27),"◆","")</f>
        <v/>
      </c>
      <c r="AB27" s="19">
        <f>IF(AND(AB$15+6&gt;=$D27,AB$15&lt;=$E27),"◆","")</f>
        <v/>
      </c>
      <c r="AC27" s="19">
        <f>IF(AND(AC$15+6&gt;=$D27,AC$15&lt;=$E27),"◆","")</f>
        <v/>
      </c>
      <c r="AD27" s="19">
        <f>IF(AND(AD$15+6&gt;=$D27,AD$15&lt;=$E27),"◆","")</f>
        <v/>
      </c>
      <c r="AE27" s="19">
        <f>IF(AND(AE$15+6&gt;=$D27,AE$15&lt;=$E27),"◆","")</f>
        <v/>
      </c>
      <c r="AF27" s="19">
        <f>IF(AND(AF$15+6&gt;=$D27,AF$15&lt;=$E27),"◆","")</f>
        <v/>
      </c>
      <c r="AG27" s="19">
        <f>IF(AND(AG$15+6&gt;=$D27,AG$15&lt;=$E27),"◆","")</f>
        <v/>
      </c>
      <c r="AH27" s="19">
        <f>IF(AND(AH$15+6&gt;=$D27,AH$15&lt;=$E27),"◆","")</f>
        <v/>
      </c>
      <c r="AI27" s="19">
        <f>IF(AND(AI$15+6&gt;=$D27,AI$15&lt;=$E27),"◆","")</f>
        <v/>
      </c>
      <c r="AJ27" s="19">
        <f>IF(AND(AJ$15+6&gt;=$D27,AJ$15&lt;=$E27),"◆","")</f>
        <v/>
      </c>
      <c r="AK27" s="19">
        <f>IF(AND(AK$15+6&gt;=$D27,AK$15&lt;=$E27),"◆","")</f>
        <v/>
      </c>
      <c r="AL27" s="19">
        <f>IF(AND(AL$15+6&gt;=$D27,AL$15&lt;=$E27),"◆","")</f>
        <v/>
      </c>
      <c r="AM27" s="19">
        <f>IF(AND(AM$15+6&gt;=$D27,AM$15&lt;=$E27),"◆","")</f>
        <v/>
      </c>
      <c r="AN27" s="19">
        <f>IF(AND(AN$15+6&gt;=$D27,AN$15&lt;=$E27),"◆","")</f>
        <v/>
      </c>
      <c r="AO27" s="19">
        <f>IF(AND(AO$15+6&gt;=$D27,AO$15&lt;=$E27),"◆","")</f>
        <v/>
      </c>
      <c r="AP27" s="19">
        <f>IF(AND(AP$15+6&gt;=$D27,AP$15&lt;=$E27),"◆","")</f>
        <v/>
      </c>
      <c r="AQ27" s="19">
        <f>IF(AND(AQ$15+6&gt;=$D27,AQ$15&lt;=$E27),"◆","")</f>
        <v/>
      </c>
      <c r="AR27" s="19">
        <f>IF(AND(AR$15+6&gt;=$D27,AR$15&lt;=$E27),"◆","")</f>
        <v/>
      </c>
      <c r="AS27" s="19">
        <f>IF(AND(AS$15+6&gt;=$D27,AS$15&lt;=$E27),"◆","")</f>
        <v/>
      </c>
      <c r="AT27" s="19">
        <f>IF(AND(AT$15+6&gt;=$D27,AT$15&lt;=$E27),"◆","")</f>
        <v/>
      </c>
      <c r="AU27" s="19">
        <f>IF(AND(AU$15+6&gt;=$D27,AU$15&lt;=$E27),"◆","")</f>
        <v/>
      </c>
      <c r="AV27" s="19">
        <f>IF(AND(AV$15+6&gt;=$D27,AV$15&lt;=$E27),"◆","")</f>
        <v/>
      </c>
      <c r="AW27" s="19">
        <f>IF(AND(AW$15+6&gt;=$D27,AW$15&lt;=$E27),"◆","")</f>
        <v/>
      </c>
      <c r="AX27" s="19">
        <f>IF(AND(AX$15+6&gt;=$D27,AX$15&lt;=$E27),"◆","")</f>
        <v/>
      </c>
      <c r="AY27" s="19">
        <f>IF(AND(AY$15+6&gt;=$D27,AY$15&lt;=$E27),"◆","")</f>
        <v/>
      </c>
      <c r="AZ27" s="19">
        <f>IF(AND(AZ$15+6&gt;=$D27,AZ$15&lt;=$E27),"◆","")</f>
        <v/>
      </c>
      <c r="BA27" s="19">
        <f>IF(AND(BA$15+6&gt;=$D27,BA$15&lt;=$E27),"◆","")</f>
        <v/>
      </c>
    </row>
    <row r="28" ht="39" customHeight="1">
      <c r="B28" s="9" t="inlineStr">
        <is>
          <t>Brief contributor groups / working groups (after launch)</t>
        </is>
      </c>
      <c r="C28" s="9" t="inlineStr"/>
      <c r="D28" s="18" t="n">
        <v>46315</v>
      </c>
      <c r="E28" s="18" t="n">
        <v>46332</v>
      </c>
      <c r="F28" s="9">
        <f>TEXT(D28,"d mmm")&amp;IF(E28&lt;&gt;D28," – "&amp;TEXT(E28,"d mmm"),"")</f>
        <v/>
      </c>
      <c r="G28" s="9" t="inlineStr">
        <is>
          <t>SST</t>
        </is>
      </c>
      <c r="H28" s="9" t="inlineStr"/>
      <c r="I28" s="9" t="inlineStr"/>
      <c r="J28" s="9" t="inlineStr">
        <is>
          <t>Working groups</t>
        </is>
      </c>
      <c r="K28" s="9" t="inlineStr">
        <is>
          <t>Medium</t>
        </is>
      </c>
      <c r="L28" s="9" t="inlineStr">
        <is>
          <t>Not yet started</t>
        </is>
      </c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</row>
    <row r="29" ht="39" customHeight="1">
      <c r="B29" s="9" t="inlineStr">
        <is>
          <t>Joint ADs Sustainability &amp; ADs T&amp;L session</t>
        </is>
      </c>
      <c r="C29" s="9" t="inlineStr">
        <is>
          <t>Structured prompt in advance</t>
        </is>
      </c>
      <c r="D29" s="18" t="n">
        <v>46314</v>
      </c>
      <c r="E29" s="18" t="n">
        <v>46325</v>
      </c>
      <c r="F29" s="9">
        <f>TEXT(D29,"d mmm")&amp;IF(E29&lt;&gt;D29," – "&amp;TEXT(E29,"d mmm"),"")</f>
        <v/>
      </c>
      <c r="G29" s="9" t="inlineStr">
        <is>
          <t>SST</t>
        </is>
      </c>
      <c r="H29" s="9" t="inlineStr"/>
      <c r="I29" s="9" t="inlineStr"/>
      <c r="J29" s="9" t="inlineStr">
        <is>
          <t>ADs</t>
        </is>
      </c>
      <c r="K29" s="9" t="inlineStr">
        <is>
          <t>Medium</t>
        </is>
      </c>
      <c r="L29" s="9" t="inlineStr">
        <is>
          <t>Not yet started</t>
        </is>
      </c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</row>
    <row r="30" ht="39" customHeight="1">
      <c r="B30" s="9" t="inlineStr">
        <is>
          <t>Early engagement: socialise requirements in existing meetings (esp. education-related)</t>
        </is>
      </c>
      <c r="C30" s="9" t="inlineStr">
        <is>
          <t>Stakeholder awareness</t>
        </is>
      </c>
      <c r="D30" s="18" t="n">
        <v>46321</v>
      </c>
      <c r="E30" s="18" t="n">
        <v>46325</v>
      </c>
      <c r="F30" s="9">
        <f>TEXT(D30,"d mmm")&amp;IF(E30&lt;&gt;D30," – "&amp;TEXT(E30,"d mmm"),"")</f>
        <v/>
      </c>
      <c r="G30" s="9" t="inlineStr">
        <is>
          <t>SST</t>
        </is>
      </c>
      <c r="H30" s="9" t="inlineStr"/>
      <c r="I30" s="9" t="inlineStr"/>
      <c r="J30" s="9" t="inlineStr">
        <is>
          <t>Faculties, central units</t>
        </is>
      </c>
      <c r="K30" s="9" t="inlineStr">
        <is>
          <t>High</t>
        </is>
      </c>
      <c r="L30" s="9" t="inlineStr">
        <is>
          <t>Not yet started</t>
        </is>
      </c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</row>
    <row r="31" ht="22" customHeight="1">
      <c r="B31" s="16" t="inlineStr">
        <is>
          <t>Collection &amp; evidence (Nov–Dec 2026)</t>
        </is>
      </c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</row>
    <row r="32" ht="39" customHeight="1">
      <c r="B32" s="9" t="inlineStr">
        <is>
          <t>Collection launch: issue tailored requests (separate workbook per faculty/unit)</t>
        </is>
      </c>
      <c r="C32" s="9" t="inlineStr">
        <is>
          <t>Requests formally issued</t>
        </is>
      </c>
      <c r="D32" s="18" t="n">
        <v>46328</v>
      </c>
      <c r="E32" s="18" t="n">
        <v>46332</v>
      </c>
      <c r="F32" s="9">
        <f>TEXT(D32,"d mmm")&amp;IF(E32&lt;&gt;D32," – "&amp;TEXT(E32,"d mmm"),"")</f>
        <v/>
      </c>
      <c r="G32" s="9" t="inlineStr">
        <is>
          <t>SST</t>
        </is>
      </c>
      <c r="H32" s="9" t="inlineStr">
        <is>
          <t>Director, Sustainability</t>
        </is>
      </c>
      <c r="I32" s="9" t="inlineStr">
        <is>
          <t>COO (sponsor)</t>
        </is>
      </c>
      <c r="J32" s="9" t="inlineStr"/>
      <c r="K32" s="9" t="inlineStr">
        <is>
          <t>High</t>
        </is>
      </c>
      <c r="L32" s="9" t="inlineStr">
        <is>
          <t>Not yet started</t>
        </is>
      </c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</row>
    <row r="33" ht="39" customHeight="1">
      <c r="B33" s="9" t="inlineStr">
        <is>
          <t>Collection period: stakeholders prepare responses and evidence</t>
        </is>
      </c>
      <c r="C33" s="9" t="inlineStr">
        <is>
          <t>Initial submission</t>
        </is>
      </c>
      <c r="D33" s="18" t="n">
        <v>46328</v>
      </c>
      <c r="E33" s="18" t="n">
        <v>46371</v>
      </c>
      <c r="F33" s="9">
        <f>TEXT(D33,"d mmm")&amp;IF(E33&lt;&gt;D33," – "&amp;TEXT(E33,"d mmm"),"")</f>
        <v/>
      </c>
      <c r="G33" s="9" t="inlineStr">
        <is>
          <t>Faculties, central units</t>
        </is>
      </c>
      <c r="H33" s="9" t="inlineStr"/>
      <c r="I33" s="9" t="inlineStr">
        <is>
          <t>SST</t>
        </is>
      </c>
      <c r="J33" s="9" t="inlineStr"/>
      <c r="K33" s="9" t="inlineStr">
        <is>
          <t>High</t>
        </is>
      </c>
      <c r="L33" s="9" t="inlineStr">
        <is>
          <t>Not yet started</t>
        </is>
      </c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</row>
    <row r="34" ht="39" customHeight="1">
      <c r="B34" s="9" t="inlineStr">
        <is>
          <t>SST answers questions and records clarifications centrally</t>
        </is>
      </c>
      <c r="C34" s="9" t="inlineStr">
        <is>
          <t>Clarifications log</t>
        </is>
      </c>
      <c r="D34" s="18" t="n">
        <v>46328</v>
      </c>
      <c r="E34" s="18" t="n">
        <v>46371</v>
      </c>
      <c r="F34" s="9">
        <f>TEXT(D34,"d mmm")&amp;IF(E34&lt;&gt;D34," – "&amp;TEXT(E34,"d mmm"),"")</f>
        <v/>
      </c>
      <c r="G34" s="9" t="inlineStr">
        <is>
          <t>SST</t>
        </is>
      </c>
      <c r="H34" s="9" t="inlineStr"/>
      <c r="I34" s="9" t="inlineStr"/>
      <c r="J34" s="9" t="inlineStr"/>
      <c r="K34" s="9" t="inlineStr">
        <is>
          <t>Medium</t>
        </is>
      </c>
      <c r="L34" s="9" t="inlineStr">
        <is>
          <t>Not yet started</t>
        </is>
      </c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</row>
    <row r="35" ht="39" customHeight="1">
      <c r="B35" s="9" t="inlineStr">
        <is>
          <t>Optional 1:1 meetings (on request)</t>
        </is>
      </c>
      <c r="C35" s="9" t="inlineStr"/>
      <c r="D35" s="18" t="n">
        <v>46328</v>
      </c>
      <c r="E35" s="18" t="n">
        <v>46371</v>
      </c>
      <c r="F35" s="9">
        <f>TEXT(D35,"d mmm")&amp;IF(E35&lt;&gt;D35," – "&amp;TEXT(E35,"d mmm"),"")</f>
        <v/>
      </c>
      <c r="G35" s="9" t="inlineStr">
        <is>
          <t>SST</t>
        </is>
      </c>
      <c r="H35" s="9" t="inlineStr"/>
      <c r="I35" s="9" t="inlineStr"/>
      <c r="J35" s="9" t="inlineStr">
        <is>
          <t>Data owners</t>
        </is>
      </c>
      <c r="K35" s="9" t="inlineStr">
        <is>
          <t>Medium</t>
        </is>
      </c>
      <c r="L35" s="9" t="inlineStr">
        <is>
          <t>Not yet started</t>
        </is>
      </c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</row>
    <row r="36" ht="39" customHeight="1">
      <c r="B36" s="9" t="inlineStr">
        <is>
          <t>Responses and highlighted stories due (Christmas shutdown)</t>
        </is>
      </c>
      <c r="C36" s="9" t="inlineStr">
        <is>
          <t>24 Dec</t>
        </is>
      </c>
      <c r="D36" s="18" t="n">
        <v>46380</v>
      </c>
      <c r="E36" s="18" t="n">
        <v>46380</v>
      </c>
      <c r="F36" s="9">
        <f>TEXT(D36,"d mmm")&amp;IF(E36&lt;&gt;D36," – "&amp;TEXT(E36,"d mmm"),"")</f>
        <v/>
      </c>
      <c r="G36" s="9" t="inlineStr"/>
      <c r="H36" s="9" t="inlineStr"/>
      <c r="I36" s="9" t="inlineStr"/>
      <c r="J36" s="9" t="inlineStr"/>
      <c r="K36" s="9" t="inlineStr">
        <is>
          <t>Milestone</t>
        </is>
      </c>
      <c r="L36" s="9" t="inlineStr">
        <is>
          <t>Not yet started</t>
        </is>
      </c>
      <c r="N36" s="19">
        <f>IF(AND(N$15+6&gt;=$D36,N$15&lt;=$E36),"◆","")</f>
        <v/>
      </c>
      <c r="O36" s="19">
        <f>IF(AND(O$15+6&gt;=$D36,O$15&lt;=$E36),"◆","")</f>
        <v/>
      </c>
      <c r="P36" s="19">
        <f>IF(AND(P$15+6&gt;=$D36,P$15&lt;=$E36),"◆","")</f>
        <v/>
      </c>
      <c r="Q36" s="19">
        <f>IF(AND(Q$15+6&gt;=$D36,Q$15&lt;=$E36),"◆","")</f>
        <v/>
      </c>
      <c r="R36" s="19">
        <f>IF(AND(R$15+6&gt;=$D36,R$15&lt;=$E36),"◆","")</f>
        <v/>
      </c>
      <c r="S36" s="19">
        <f>IF(AND(S$15+6&gt;=$D36,S$15&lt;=$E36),"◆","")</f>
        <v/>
      </c>
      <c r="T36" s="19">
        <f>IF(AND(T$15+6&gt;=$D36,T$15&lt;=$E36),"◆","")</f>
        <v/>
      </c>
      <c r="U36" s="19">
        <f>IF(AND(U$15+6&gt;=$D36,U$15&lt;=$E36),"◆","")</f>
        <v/>
      </c>
      <c r="V36" s="19">
        <f>IF(AND(V$15+6&gt;=$D36,V$15&lt;=$E36),"◆","")</f>
        <v/>
      </c>
      <c r="W36" s="19">
        <f>IF(AND(W$15+6&gt;=$D36,W$15&lt;=$E36),"◆","")</f>
        <v/>
      </c>
      <c r="X36" s="19">
        <f>IF(AND(X$15+6&gt;=$D36,X$15&lt;=$E36),"◆","")</f>
        <v/>
      </c>
      <c r="Y36" s="19">
        <f>IF(AND(Y$15+6&gt;=$D36,Y$15&lt;=$E36),"◆","")</f>
        <v/>
      </c>
      <c r="Z36" s="19">
        <f>IF(AND(Z$15+6&gt;=$D36,Z$15&lt;=$E36),"◆","")</f>
        <v/>
      </c>
      <c r="AA36" s="19">
        <f>IF(AND(AA$15+6&gt;=$D36,AA$15&lt;=$E36),"◆","")</f>
        <v/>
      </c>
      <c r="AB36" s="19">
        <f>IF(AND(AB$15+6&gt;=$D36,AB$15&lt;=$E36),"◆","")</f>
        <v/>
      </c>
      <c r="AC36" s="19">
        <f>IF(AND(AC$15+6&gt;=$D36,AC$15&lt;=$E36),"◆","")</f>
        <v/>
      </c>
      <c r="AD36" s="19">
        <f>IF(AND(AD$15+6&gt;=$D36,AD$15&lt;=$E36),"◆","")</f>
        <v/>
      </c>
      <c r="AE36" s="19">
        <f>IF(AND(AE$15+6&gt;=$D36,AE$15&lt;=$E36),"◆","")</f>
        <v/>
      </c>
      <c r="AF36" s="19">
        <f>IF(AND(AF$15+6&gt;=$D36,AF$15&lt;=$E36),"◆","")</f>
        <v/>
      </c>
      <c r="AG36" s="19">
        <f>IF(AND(AG$15+6&gt;=$D36,AG$15&lt;=$E36),"◆","")</f>
        <v/>
      </c>
      <c r="AH36" s="19">
        <f>IF(AND(AH$15+6&gt;=$D36,AH$15&lt;=$E36),"◆","")</f>
        <v/>
      </c>
      <c r="AI36" s="19">
        <f>IF(AND(AI$15+6&gt;=$D36,AI$15&lt;=$E36),"◆","")</f>
        <v/>
      </c>
      <c r="AJ36" s="19">
        <f>IF(AND(AJ$15+6&gt;=$D36,AJ$15&lt;=$E36),"◆","")</f>
        <v/>
      </c>
      <c r="AK36" s="19">
        <f>IF(AND(AK$15+6&gt;=$D36,AK$15&lt;=$E36),"◆","")</f>
        <v/>
      </c>
      <c r="AL36" s="19">
        <f>IF(AND(AL$15+6&gt;=$D36,AL$15&lt;=$E36),"◆","")</f>
        <v/>
      </c>
      <c r="AM36" s="19">
        <f>IF(AND(AM$15+6&gt;=$D36,AM$15&lt;=$E36),"◆","")</f>
        <v/>
      </c>
      <c r="AN36" s="19">
        <f>IF(AND(AN$15+6&gt;=$D36,AN$15&lt;=$E36),"◆","")</f>
        <v/>
      </c>
      <c r="AO36" s="19">
        <f>IF(AND(AO$15+6&gt;=$D36,AO$15&lt;=$E36),"◆","")</f>
        <v/>
      </c>
      <c r="AP36" s="19">
        <f>IF(AND(AP$15+6&gt;=$D36,AP$15&lt;=$E36),"◆","")</f>
        <v/>
      </c>
      <c r="AQ36" s="19">
        <f>IF(AND(AQ$15+6&gt;=$D36,AQ$15&lt;=$E36),"◆","")</f>
        <v/>
      </c>
      <c r="AR36" s="19">
        <f>IF(AND(AR$15+6&gt;=$D36,AR$15&lt;=$E36),"◆","")</f>
        <v/>
      </c>
      <c r="AS36" s="19">
        <f>IF(AND(AS$15+6&gt;=$D36,AS$15&lt;=$E36),"◆","")</f>
        <v/>
      </c>
      <c r="AT36" s="19">
        <f>IF(AND(AT$15+6&gt;=$D36,AT$15&lt;=$E36),"◆","")</f>
        <v/>
      </c>
      <c r="AU36" s="19">
        <f>IF(AND(AU$15+6&gt;=$D36,AU$15&lt;=$E36),"◆","")</f>
        <v/>
      </c>
      <c r="AV36" s="19">
        <f>IF(AND(AV$15+6&gt;=$D36,AV$15&lt;=$E36),"◆","")</f>
        <v/>
      </c>
      <c r="AW36" s="19">
        <f>IF(AND(AW$15+6&gt;=$D36,AW$15&lt;=$E36),"◆","")</f>
        <v/>
      </c>
      <c r="AX36" s="19">
        <f>IF(AND(AX$15+6&gt;=$D36,AX$15&lt;=$E36),"◆","")</f>
        <v/>
      </c>
      <c r="AY36" s="19">
        <f>IF(AND(AY$15+6&gt;=$D36,AY$15&lt;=$E36),"◆","")</f>
        <v/>
      </c>
      <c r="AZ36" s="19">
        <f>IF(AND(AZ$15+6&gt;=$D36,AZ$15&lt;=$E36),"◆","")</f>
        <v/>
      </c>
      <c r="BA36" s="19">
        <f>IF(AND(BA$15+6&gt;=$D36,BA$15&lt;=$E36),"◆","")</f>
        <v/>
      </c>
    </row>
    <row r="37" ht="22" customHeight="1">
      <c r="B37" s="16" t="inlineStr">
        <is>
          <t>Drafting, validation &amp; governance papers (Jan–May 2027)</t>
        </is>
      </c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</row>
    <row r="38" ht="39" customHeight="1">
      <c r="B38" s="9" t="inlineStr">
        <is>
          <t>First review: completeness and evidence quality</t>
        </is>
      </c>
      <c r="C38" s="9" t="inlineStr">
        <is>
          <t>First QA assessment</t>
        </is>
      </c>
      <c r="D38" s="18" t="n">
        <v>46391</v>
      </c>
      <c r="E38" s="18" t="n">
        <v>46395</v>
      </c>
      <c r="F38" s="9">
        <f>TEXT(D38,"d mmm")&amp;IF(E38&lt;&gt;D38," – "&amp;TEXT(E38,"d mmm"),"")</f>
        <v/>
      </c>
      <c r="G38" s="9" t="inlineStr">
        <is>
          <t>SST</t>
        </is>
      </c>
      <c r="H38" s="9" t="inlineStr"/>
      <c r="I38" s="9" t="inlineStr"/>
      <c r="J38" s="9" t="inlineStr"/>
      <c r="K38" s="9" t="inlineStr">
        <is>
          <t>High</t>
        </is>
      </c>
      <c r="L38" s="9" t="inlineStr">
        <is>
          <t>Not yet started</t>
        </is>
      </c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</row>
    <row r="39" ht="56" customHeight="1">
      <c r="B39" s="9" t="inlineStr">
        <is>
          <t>Targeted follow-up where evidence is incomplete, ambiguous or missing (no second broad request; ask availability)</t>
        </is>
      </c>
      <c r="C39" s="9" t="inlineStr">
        <is>
          <t>Resolved gaps</t>
        </is>
      </c>
      <c r="D39" s="18" t="n">
        <v>46391</v>
      </c>
      <c r="E39" s="18" t="n">
        <v>46402</v>
      </c>
      <c r="F39" s="9">
        <f>TEXT(D39,"d mmm")&amp;IF(E39&lt;&gt;D39," – "&amp;TEXT(E39,"d mmm"),"")</f>
        <v/>
      </c>
      <c r="G39" s="9" t="inlineStr">
        <is>
          <t>SST</t>
        </is>
      </c>
      <c r="H39" s="9" t="inlineStr"/>
      <c r="I39" s="9" t="inlineStr"/>
      <c r="J39" s="9" t="inlineStr">
        <is>
          <t>Data owners</t>
        </is>
      </c>
      <c r="K39" s="9" t="inlineStr">
        <is>
          <t>High</t>
        </is>
      </c>
      <c r="L39" s="9" t="inlineStr">
        <is>
          <t>Not yet started</t>
        </is>
      </c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</row>
    <row r="40" ht="39" customHeight="1">
      <c r="B40" s="9" t="inlineStr">
        <is>
          <t>Consolidation: finalise master, identify unresolved gaps, prepare drafting material</t>
        </is>
      </c>
      <c r="C40" s="9" t="inlineStr">
        <is>
          <t>Consolidated master spreadsheet</t>
        </is>
      </c>
      <c r="D40" s="18" t="n">
        <v>46405</v>
      </c>
      <c r="E40" s="18" t="n">
        <v>46409</v>
      </c>
      <c r="F40" s="9">
        <f>TEXT(D40,"d mmm")&amp;IF(E40&lt;&gt;D40," – "&amp;TEXT(E40,"d mmm"),"")</f>
        <v/>
      </c>
      <c r="G40" s="9" t="inlineStr">
        <is>
          <t>SST</t>
        </is>
      </c>
      <c r="H40" s="9" t="inlineStr">
        <is>
          <t>Director, Sustainability</t>
        </is>
      </c>
      <c r="I40" s="9" t="inlineStr"/>
      <c r="J40" s="9" t="inlineStr"/>
      <c r="K40" s="9" t="inlineStr">
        <is>
          <t>High</t>
        </is>
      </c>
      <c r="L40" s="9" t="inlineStr">
        <is>
          <t>Not yet started</t>
        </is>
      </c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</row>
    <row r="41" ht="39" customHeight="1">
      <c r="B41" s="9" t="inlineStr">
        <is>
          <t>Confirm final quantitative figures (Databook)</t>
        </is>
      </c>
      <c r="C41" s="9" t="inlineStr"/>
      <c r="D41" s="18" t="n">
        <v>46391</v>
      </c>
      <c r="E41" s="18" t="n">
        <v>46416</v>
      </c>
      <c r="F41" s="9">
        <f>TEXT(D41,"d mmm")&amp;IF(E41&lt;&gt;D41," – "&amp;TEXT(E41,"d mmm"),"")</f>
        <v/>
      </c>
      <c r="G41" s="9" t="inlineStr">
        <is>
          <t>SST</t>
        </is>
      </c>
      <c r="H41" s="9" t="inlineStr"/>
      <c r="I41" s="9" t="inlineStr">
        <is>
          <t>Data owners</t>
        </is>
      </c>
      <c r="J41" s="9" t="inlineStr"/>
      <c r="K41" s="9" t="inlineStr">
        <is>
          <t>High</t>
        </is>
      </c>
      <c r="L41" s="9" t="inlineStr">
        <is>
          <t>Not yet started</t>
        </is>
      </c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</row>
    <row r="42" ht="39" customHeight="1">
      <c r="B42" s="9" t="inlineStr">
        <is>
          <t>Review responses by indicator (A1 / T1 / T2) – no target status rating in 2026</t>
        </is>
      </c>
      <c r="C42" s="9" t="inlineStr"/>
      <c r="D42" s="18" t="n">
        <v>46405</v>
      </c>
      <c r="E42" s="18" t="n">
        <v>46416</v>
      </c>
      <c r="F42" s="9">
        <f>TEXT(D42,"d mmm")&amp;IF(E42&lt;&gt;D42," – "&amp;TEXT(E42,"d mmm"),"")</f>
        <v/>
      </c>
      <c r="G42" s="9" t="inlineStr">
        <is>
          <t>Rose (TBC)</t>
        </is>
      </c>
      <c r="H42" s="9" t="inlineStr">
        <is>
          <t>Director, Sustainability</t>
        </is>
      </c>
      <c r="I42" s="9" t="inlineStr">
        <is>
          <t>SST</t>
        </is>
      </c>
      <c r="J42" s="9" t="inlineStr"/>
      <c r="K42" s="9" t="inlineStr">
        <is>
          <t>High</t>
        </is>
      </c>
      <c r="L42" s="9" t="inlineStr">
        <is>
          <t>Not yet started</t>
        </is>
      </c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</row>
    <row r="43" ht="39" customHeight="1">
      <c r="B43" s="9" t="inlineStr">
        <is>
          <t>Drafting from consolidated master; full draft + issues paper</t>
        </is>
      </c>
      <c r="C43" s="9" t="inlineStr"/>
      <c r="D43" s="18" t="n">
        <v>46405</v>
      </c>
      <c r="E43" s="18" t="n">
        <v>46423</v>
      </c>
      <c r="F43" s="9">
        <f>TEXT(D43,"d mmm")&amp;IF(E43&lt;&gt;D43," – "&amp;TEXT(E43,"d mmm"),"")</f>
        <v/>
      </c>
      <c r="G43" s="9" t="inlineStr">
        <is>
          <t>SST</t>
        </is>
      </c>
      <c r="H43" s="9" t="inlineStr">
        <is>
          <t>Director, Sustainability</t>
        </is>
      </c>
      <c r="I43" s="9" t="inlineStr"/>
      <c r="J43" s="9" t="inlineStr"/>
      <c r="K43" s="9" t="inlineStr">
        <is>
          <t>High</t>
        </is>
      </c>
      <c r="L43" s="9" t="inlineStr">
        <is>
          <t>Not yet started</t>
        </is>
      </c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39" customHeight="1">
      <c r="B44" s="9" t="inlineStr">
        <is>
          <t>Prepare paper: Sustainability Reporting Review Group – review findings</t>
        </is>
      </c>
      <c r="C44" s="9" t="inlineStr">
        <is>
          <t>Draft → leaders</t>
        </is>
      </c>
      <c r="D44" s="18">
        <f>G6</f>
        <v/>
      </c>
      <c r="E44" s="18">
        <f>F6</f>
        <v/>
      </c>
      <c r="F44" s="9">
        <f>TEXT(D44,"d mmm")&amp;IF(E44&lt;&gt;D44," – "&amp;TEXT(E44,"d mmm"),"")</f>
        <v/>
      </c>
      <c r="G44" s="9" t="inlineStr">
        <is>
          <t>SST</t>
        </is>
      </c>
      <c r="H44" s="9" t="inlineStr">
        <is>
          <t>Director, Sustainability</t>
        </is>
      </c>
      <c r="I44" s="9" t="inlineStr"/>
      <c r="J44" s="9" t="inlineStr"/>
      <c r="K44" s="9" t="inlineStr">
        <is>
          <t>High</t>
        </is>
      </c>
      <c r="L44" s="9" t="inlineStr">
        <is>
          <t>Not yet started</t>
        </is>
      </c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</row>
    <row r="45" ht="39" customHeight="1">
      <c r="B45" s="9" t="inlineStr">
        <is>
          <t>Papers due: Sustainability Reporting Review Group – review findings</t>
        </is>
      </c>
      <c r="C45" s="9" t="inlineStr">
        <is>
          <t>Papers due</t>
        </is>
      </c>
      <c r="D45" s="18">
        <f>E6</f>
        <v/>
      </c>
      <c r="E45" s="18">
        <f>E6</f>
        <v/>
      </c>
      <c r="F45" s="9">
        <f>TEXT(D45,"d mmm")&amp;IF(E45&lt;&gt;D45," – "&amp;TEXT(E45,"d mmm"),"")</f>
        <v/>
      </c>
      <c r="G45" s="9" t="inlineStr">
        <is>
          <t>SST</t>
        </is>
      </c>
      <c r="H45" s="9" t="inlineStr"/>
      <c r="I45" s="9" t="inlineStr"/>
      <c r="J45" s="9" t="inlineStr"/>
      <c r="K45" s="9" t="inlineStr">
        <is>
          <t>Milestone</t>
        </is>
      </c>
      <c r="L45" s="9" t="inlineStr">
        <is>
          <t>Not yet started</t>
        </is>
      </c>
      <c r="N45" s="19">
        <f>IF(AND(N$15+6&gt;=$D45,N$15&lt;=$E45),"◆","")</f>
        <v/>
      </c>
      <c r="O45" s="19">
        <f>IF(AND(O$15+6&gt;=$D45,O$15&lt;=$E45),"◆","")</f>
        <v/>
      </c>
      <c r="P45" s="19">
        <f>IF(AND(P$15+6&gt;=$D45,P$15&lt;=$E45),"◆","")</f>
        <v/>
      </c>
      <c r="Q45" s="19">
        <f>IF(AND(Q$15+6&gt;=$D45,Q$15&lt;=$E45),"◆","")</f>
        <v/>
      </c>
      <c r="R45" s="19">
        <f>IF(AND(R$15+6&gt;=$D45,R$15&lt;=$E45),"◆","")</f>
        <v/>
      </c>
      <c r="S45" s="19">
        <f>IF(AND(S$15+6&gt;=$D45,S$15&lt;=$E45),"◆","")</f>
        <v/>
      </c>
      <c r="T45" s="19">
        <f>IF(AND(T$15+6&gt;=$D45,T$15&lt;=$E45),"◆","")</f>
        <v/>
      </c>
      <c r="U45" s="19">
        <f>IF(AND(U$15+6&gt;=$D45,U$15&lt;=$E45),"◆","")</f>
        <v/>
      </c>
      <c r="V45" s="19">
        <f>IF(AND(V$15+6&gt;=$D45,V$15&lt;=$E45),"◆","")</f>
        <v/>
      </c>
      <c r="W45" s="19">
        <f>IF(AND(W$15+6&gt;=$D45,W$15&lt;=$E45),"◆","")</f>
        <v/>
      </c>
      <c r="X45" s="19">
        <f>IF(AND(X$15+6&gt;=$D45,X$15&lt;=$E45),"◆","")</f>
        <v/>
      </c>
      <c r="Y45" s="19">
        <f>IF(AND(Y$15+6&gt;=$D45,Y$15&lt;=$E45),"◆","")</f>
        <v/>
      </c>
      <c r="Z45" s="19">
        <f>IF(AND(Z$15+6&gt;=$D45,Z$15&lt;=$E45),"◆","")</f>
        <v/>
      </c>
      <c r="AA45" s="19">
        <f>IF(AND(AA$15+6&gt;=$D45,AA$15&lt;=$E45),"◆","")</f>
        <v/>
      </c>
      <c r="AB45" s="19">
        <f>IF(AND(AB$15+6&gt;=$D45,AB$15&lt;=$E45),"◆","")</f>
        <v/>
      </c>
      <c r="AC45" s="19">
        <f>IF(AND(AC$15+6&gt;=$D45,AC$15&lt;=$E45),"◆","")</f>
        <v/>
      </c>
      <c r="AD45" s="19">
        <f>IF(AND(AD$15+6&gt;=$D45,AD$15&lt;=$E45),"◆","")</f>
        <v/>
      </c>
      <c r="AE45" s="19">
        <f>IF(AND(AE$15+6&gt;=$D45,AE$15&lt;=$E45),"◆","")</f>
        <v/>
      </c>
      <c r="AF45" s="19">
        <f>IF(AND(AF$15+6&gt;=$D45,AF$15&lt;=$E45),"◆","")</f>
        <v/>
      </c>
      <c r="AG45" s="19">
        <f>IF(AND(AG$15+6&gt;=$D45,AG$15&lt;=$E45),"◆","")</f>
        <v/>
      </c>
      <c r="AH45" s="19">
        <f>IF(AND(AH$15+6&gt;=$D45,AH$15&lt;=$E45),"◆","")</f>
        <v/>
      </c>
      <c r="AI45" s="19">
        <f>IF(AND(AI$15+6&gt;=$D45,AI$15&lt;=$E45),"◆","")</f>
        <v/>
      </c>
      <c r="AJ45" s="19">
        <f>IF(AND(AJ$15+6&gt;=$D45,AJ$15&lt;=$E45),"◆","")</f>
        <v/>
      </c>
      <c r="AK45" s="19">
        <f>IF(AND(AK$15+6&gt;=$D45,AK$15&lt;=$E45),"◆","")</f>
        <v/>
      </c>
      <c r="AL45" s="19">
        <f>IF(AND(AL$15+6&gt;=$D45,AL$15&lt;=$E45),"◆","")</f>
        <v/>
      </c>
      <c r="AM45" s="19">
        <f>IF(AND(AM$15+6&gt;=$D45,AM$15&lt;=$E45),"◆","")</f>
        <v/>
      </c>
      <c r="AN45" s="19">
        <f>IF(AND(AN$15+6&gt;=$D45,AN$15&lt;=$E45),"◆","")</f>
        <v/>
      </c>
      <c r="AO45" s="19">
        <f>IF(AND(AO$15+6&gt;=$D45,AO$15&lt;=$E45),"◆","")</f>
        <v/>
      </c>
      <c r="AP45" s="19">
        <f>IF(AND(AP$15+6&gt;=$D45,AP$15&lt;=$E45),"◆","")</f>
        <v/>
      </c>
      <c r="AQ45" s="19">
        <f>IF(AND(AQ$15+6&gt;=$D45,AQ$15&lt;=$E45),"◆","")</f>
        <v/>
      </c>
      <c r="AR45" s="19">
        <f>IF(AND(AR$15+6&gt;=$D45,AR$15&lt;=$E45),"◆","")</f>
        <v/>
      </c>
      <c r="AS45" s="19">
        <f>IF(AND(AS$15+6&gt;=$D45,AS$15&lt;=$E45),"◆","")</f>
        <v/>
      </c>
      <c r="AT45" s="19">
        <f>IF(AND(AT$15+6&gt;=$D45,AT$15&lt;=$E45),"◆","")</f>
        <v/>
      </c>
      <c r="AU45" s="19">
        <f>IF(AND(AU$15+6&gt;=$D45,AU$15&lt;=$E45),"◆","")</f>
        <v/>
      </c>
      <c r="AV45" s="19">
        <f>IF(AND(AV$15+6&gt;=$D45,AV$15&lt;=$E45),"◆","")</f>
        <v/>
      </c>
      <c r="AW45" s="19">
        <f>IF(AND(AW$15+6&gt;=$D45,AW$15&lt;=$E45),"◆","")</f>
        <v/>
      </c>
      <c r="AX45" s="19">
        <f>IF(AND(AX$15+6&gt;=$D45,AX$15&lt;=$E45),"◆","")</f>
        <v/>
      </c>
      <c r="AY45" s="19">
        <f>IF(AND(AY$15+6&gt;=$D45,AY$15&lt;=$E45),"◆","")</f>
        <v/>
      </c>
      <c r="AZ45" s="19">
        <f>IF(AND(AZ$15+6&gt;=$D45,AZ$15&lt;=$E45),"◆","")</f>
        <v/>
      </c>
      <c r="BA45" s="19">
        <f>IF(AND(BA$15+6&gt;=$D45,BA$15&lt;=$E45),"◆","")</f>
        <v/>
      </c>
    </row>
    <row r="46" ht="39" customHeight="1">
      <c r="B46" s="9" t="inlineStr">
        <is>
          <t>Meeting: Sustainability Reporting Review Group – review findings</t>
        </is>
      </c>
      <c r="C46" s="9" t="inlineStr">
        <is>
          <t>Meeting</t>
        </is>
      </c>
      <c r="D46" s="18">
        <f>D6</f>
        <v/>
      </c>
      <c r="E46" s="18">
        <f>D6</f>
        <v/>
      </c>
      <c r="F46" s="9">
        <f>TEXT(D46,"d mmm")&amp;IF(E46&lt;&gt;D46," – "&amp;TEXT(E46,"d mmm"),"")</f>
        <v/>
      </c>
      <c r="G46" s="9" t="inlineStr"/>
      <c r="H46" s="9" t="inlineStr"/>
      <c r="I46" s="9" t="inlineStr"/>
      <c r="J46" s="9" t="inlineStr"/>
      <c r="K46" s="9" t="inlineStr">
        <is>
          <t>Milestone</t>
        </is>
      </c>
      <c r="L46" s="9" t="inlineStr">
        <is>
          <t>Not yet started</t>
        </is>
      </c>
      <c r="N46" s="19">
        <f>IF(AND(N$15+6&gt;=$D46,N$15&lt;=$E46),"◆","")</f>
        <v/>
      </c>
      <c r="O46" s="19">
        <f>IF(AND(O$15+6&gt;=$D46,O$15&lt;=$E46),"◆","")</f>
        <v/>
      </c>
      <c r="P46" s="19">
        <f>IF(AND(P$15+6&gt;=$D46,P$15&lt;=$E46),"◆","")</f>
        <v/>
      </c>
      <c r="Q46" s="19">
        <f>IF(AND(Q$15+6&gt;=$D46,Q$15&lt;=$E46),"◆","")</f>
        <v/>
      </c>
      <c r="R46" s="19">
        <f>IF(AND(R$15+6&gt;=$D46,R$15&lt;=$E46),"◆","")</f>
        <v/>
      </c>
      <c r="S46" s="19">
        <f>IF(AND(S$15+6&gt;=$D46,S$15&lt;=$E46),"◆","")</f>
        <v/>
      </c>
      <c r="T46" s="19">
        <f>IF(AND(T$15+6&gt;=$D46,T$15&lt;=$E46),"◆","")</f>
        <v/>
      </c>
      <c r="U46" s="19">
        <f>IF(AND(U$15+6&gt;=$D46,U$15&lt;=$E46),"◆","")</f>
        <v/>
      </c>
      <c r="V46" s="19">
        <f>IF(AND(V$15+6&gt;=$D46,V$15&lt;=$E46),"◆","")</f>
        <v/>
      </c>
      <c r="W46" s="19">
        <f>IF(AND(W$15+6&gt;=$D46,W$15&lt;=$E46),"◆","")</f>
        <v/>
      </c>
      <c r="X46" s="19">
        <f>IF(AND(X$15+6&gt;=$D46,X$15&lt;=$E46),"◆","")</f>
        <v/>
      </c>
      <c r="Y46" s="19">
        <f>IF(AND(Y$15+6&gt;=$D46,Y$15&lt;=$E46),"◆","")</f>
        <v/>
      </c>
      <c r="Z46" s="19">
        <f>IF(AND(Z$15+6&gt;=$D46,Z$15&lt;=$E46),"◆","")</f>
        <v/>
      </c>
      <c r="AA46" s="19">
        <f>IF(AND(AA$15+6&gt;=$D46,AA$15&lt;=$E46),"◆","")</f>
        <v/>
      </c>
      <c r="AB46" s="19">
        <f>IF(AND(AB$15+6&gt;=$D46,AB$15&lt;=$E46),"◆","")</f>
        <v/>
      </c>
      <c r="AC46" s="19">
        <f>IF(AND(AC$15+6&gt;=$D46,AC$15&lt;=$E46),"◆","")</f>
        <v/>
      </c>
      <c r="AD46" s="19">
        <f>IF(AND(AD$15+6&gt;=$D46,AD$15&lt;=$E46),"◆","")</f>
        <v/>
      </c>
      <c r="AE46" s="19">
        <f>IF(AND(AE$15+6&gt;=$D46,AE$15&lt;=$E46),"◆","")</f>
        <v/>
      </c>
      <c r="AF46" s="19">
        <f>IF(AND(AF$15+6&gt;=$D46,AF$15&lt;=$E46),"◆","")</f>
        <v/>
      </c>
      <c r="AG46" s="19">
        <f>IF(AND(AG$15+6&gt;=$D46,AG$15&lt;=$E46),"◆","")</f>
        <v/>
      </c>
      <c r="AH46" s="19">
        <f>IF(AND(AH$15+6&gt;=$D46,AH$15&lt;=$E46),"◆","")</f>
        <v/>
      </c>
      <c r="AI46" s="19">
        <f>IF(AND(AI$15+6&gt;=$D46,AI$15&lt;=$E46),"◆","")</f>
        <v/>
      </c>
      <c r="AJ46" s="19">
        <f>IF(AND(AJ$15+6&gt;=$D46,AJ$15&lt;=$E46),"◆","")</f>
        <v/>
      </c>
      <c r="AK46" s="19">
        <f>IF(AND(AK$15+6&gt;=$D46,AK$15&lt;=$E46),"◆","")</f>
        <v/>
      </c>
      <c r="AL46" s="19">
        <f>IF(AND(AL$15+6&gt;=$D46,AL$15&lt;=$E46),"◆","")</f>
        <v/>
      </c>
      <c r="AM46" s="19">
        <f>IF(AND(AM$15+6&gt;=$D46,AM$15&lt;=$E46),"◆","")</f>
        <v/>
      </c>
      <c r="AN46" s="19">
        <f>IF(AND(AN$15+6&gt;=$D46,AN$15&lt;=$E46),"◆","")</f>
        <v/>
      </c>
      <c r="AO46" s="19">
        <f>IF(AND(AO$15+6&gt;=$D46,AO$15&lt;=$E46),"◆","")</f>
        <v/>
      </c>
      <c r="AP46" s="19">
        <f>IF(AND(AP$15+6&gt;=$D46,AP$15&lt;=$E46),"◆","")</f>
        <v/>
      </c>
      <c r="AQ46" s="19">
        <f>IF(AND(AQ$15+6&gt;=$D46,AQ$15&lt;=$E46),"◆","")</f>
        <v/>
      </c>
      <c r="AR46" s="19">
        <f>IF(AND(AR$15+6&gt;=$D46,AR$15&lt;=$E46),"◆","")</f>
        <v/>
      </c>
      <c r="AS46" s="19">
        <f>IF(AND(AS$15+6&gt;=$D46,AS$15&lt;=$E46),"◆","")</f>
        <v/>
      </c>
      <c r="AT46" s="19">
        <f>IF(AND(AT$15+6&gt;=$D46,AT$15&lt;=$E46),"◆","")</f>
        <v/>
      </c>
      <c r="AU46" s="19">
        <f>IF(AND(AU$15+6&gt;=$D46,AU$15&lt;=$E46),"◆","")</f>
        <v/>
      </c>
      <c r="AV46" s="19">
        <f>IF(AND(AV$15+6&gt;=$D46,AV$15&lt;=$E46),"◆","")</f>
        <v/>
      </c>
      <c r="AW46" s="19">
        <f>IF(AND(AW$15+6&gt;=$D46,AW$15&lt;=$E46),"◆","")</f>
        <v/>
      </c>
      <c r="AX46" s="19">
        <f>IF(AND(AX$15+6&gt;=$D46,AX$15&lt;=$E46),"◆","")</f>
        <v/>
      </c>
      <c r="AY46" s="19">
        <f>IF(AND(AY$15+6&gt;=$D46,AY$15&lt;=$E46),"◆","")</f>
        <v/>
      </c>
      <c r="AZ46" s="19">
        <f>IF(AND(AZ$15+6&gt;=$D46,AZ$15&lt;=$E46),"◆","")</f>
        <v/>
      </c>
      <c r="BA46" s="19">
        <f>IF(AND(BA$15+6&gt;=$D46,BA$15&lt;=$E46),"◆","")</f>
        <v/>
      </c>
    </row>
    <row r="47" ht="39" customHeight="1">
      <c r="B47" s="9" t="inlineStr">
        <is>
          <t>Prepare paper: VCAG – notes review group findings</t>
        </is>
      </c>
      <c r="C47" s="9" t="inlineStr">
        <is>
          <t>Draft → leaders</t>
        </is>
      </c>
      <c r="D47" s="18">
        <f>G7</f>
        <v/>
      </c>
      <c r="E47" s="18">
        <f>F7</f>
        <v/>
      </c>
      <c r="F47" s="9">
        <f>TEXT(D47,"d mmm")&amp;IF(E47&lt;&gt;D47," – "&amp;TEXT(E47,"d mmm"),"")</f>
        <v/>
      </c>
      <c r="G47" s="9" t="inlineStr">
        <is>
          <t>SST</t>
        </is>
      </c>
      <c r="H47" s="9" t="inlineStr">
        <is>
          <t>Director, Sustainability</t>
        </is>
      </c>
      <c r="I47" s="9" t="inlineStr"/>
      <c r="J47" s="9" t="inlineStr"/>
      <c r="K47" s="9" t="inlineStr">
        <is>
          <t>High</t>
        </is>
      </c>
      <c r="L47" s="9" t="inlineStr">
        <is>
          <t>Not yet started</t>
        </is>
      </c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</row>
    <row r="48" ht="39" customHeight="1">
      <c r="B48" s="9" t="inlineStr">
        <is>
          <t>Papers due: VCAG – notes review group findings</t>
        </is>
      </c>
      <c r="C48" s="9" t="inlineStr">
        <is>
          <t>Papers due</t>
        </is>
      </c>
      <c r="D48" s="18">
        <f>E7</f>
        <v/>
      </c>
      <c r="E48" s="18">
        <f>E7</f>
        <v/>
      </c>
      <c r="F48" s="9">
        <f>TEXT(D48,"d mmm")&amp;IF(E48&lt;&gt;D48," – "&amp;TEXT(E48,"d mmm"),"")</f>
        <v/>
      </c>
      <c r="G48" s="9" t="inlineStr">
        <is>
          <t>SST</t>
        </is>
      </c>
      <c r="H48" s="9" t="inlineStr"/>
      <c r="I48" s="9" t="inlineStr"/>
      <c r="J48" s="9" t="inlineStr"/>
      <c r="K48" s="9" t="inlineStr">
        <is>
          <t>Milestone</t>
        </is>
      </c>
      <c r="L48" s="9" t="inlineStr">
        <is>
          <t>Not yet started</t>
        </is>
      </c>
      <c r="N48" s="19">
        <f>IF(AND(N$15+6&gt;=$D48,N$15&lt;=$E48),"◆","")</f>
        <v/>
      </c>
      <c r="O48" s="19">
        <f>IF(AND(O$15+6&gt;=$D48,O$15&lt;=$E48),"◆","")</f>
        <v/>
      </c>
      <c r="P48" s="19">
        <f>IF(AND(P$15+6&gt;=$D48,P$15&lt;=$E48),"◆","")</f>
        <v/>
      </c>
      <c r="Q48" s="19">
        <f>IF(AND(Q$15+6&gt;=$D48,Q$15&lt;=$E48),"◆","")</f>
        <v/>
      </c>
      <c r="R48" s="19">
        <f>IF(AND(R$15+6&gt;=$D48,R$15&lt;=$E48),"◆","")</f>
        <v/>
      </c>
      <c r="S48" s="19">
        <f>IF(AND(S$15+6&gt;=$D48,S$15&lt;=$E48),"◆","")</f>
        <v/>
      </c>
      <c r="T48" s="19">
        <f>IF(AND(T$15+6&gt;=$D48,T$15&lt;=$E48),"◆","")</f>
        <v/>
      </c>
      <c r="U48" s="19">
        <f>IF(AND(U$15+6&gt;=$D48,U$15&lt;=$E48),"◆","")</f>
        <v/>
      </c>
      <c r="V48" s="19">
        <f>IF(AND(V$15+6&gt;=$D48,V$15&lt;=$E48),"◆","")</f>
        <v/>
      </c>
      <c r="W48" s="19">
        <f>IF(AND(W$15+6&gt;=$D48,W$15&lt;=$E48),"◆","")</f>
        <v/>
      </c>
      <c r="X48" s="19">
        <f>IF(AND(X$15+6&gt;=$D48,X$15&lt;=$E48),"◆","")</f>
        <v/>
      </c>
      <c r="Y48" s="19">
        <f>IF(AND(Y$15+6&gt;=$D48,Y$15&lt;=$E48),"◆","")</f>
        <v/>
      </c>
      <c r="Z48" s="19">
        <f>IF(AND(Z$15+6&gt;=$D48,Z$15&lt;=$E48),"◆","")</f>
        <v/>
      </c>
      <c r="AA48" s="19">
        <f>IF(AND(AA$15+6&gt;=$D48,AA$15&lt;=$E48),"◆","")</f>
        <v/>
      </c>
      <c r="AB48" s="19">
        <f>IF(AND(AB$15+6&gt;=$D48,AB$15&lt;=$E48),"◆","")</f>
        <v/>
      </c>
      <c r="AC48" s="19">
        <f>IF(AND(AC$15+6&gt;=$D48,AC$15&lt;=$E48),"◆","")</f>
        <v/>
      </c>
      <c r="AD48" s="19">
        <f>IF(AND(AD$15+6&gt;=$D48,AD$15&lt;=$E48),"◆","")</f>
        <v/>
      </c>
      <c r="AE48" s="19">
        <f>IF(AND(AE$15+6&gt;=$D48,AE$15&lt;=$E48),"◆","")</f>
        <v/>
      </c>
      <c r="AF48" s="19">
        <f>IF(AND(AF$15+6&gt;=$D48,AF$15&lt;=$E48),"◆","")</f>
        <v/>
      </c>
      <c r="AG48" s="19">
        <f>IF(AND(AG$15+6&gt;=$D48,AG$15&lt;=$E48),"◆","")</f>
        <v/>
      </c>
      <c r="AH48" s="19">
        <f>IF(AND(AH$15+6&gt;=$D48,AH$15&lt;=$E48),"◆","")</f>
        <v/>
      </c>
      <c r="AI48" s="19">
        <f>IF(AND(AI$15+6&gt;=$D48,AI$15&lt;=$E48),"◆","")</f>
        <v/>
      </c>
      <c r="AJ48" s="19">
        <f>IF(AND(AJ$15+6&gt;=$D48,AJ$15&lt;=$E48),"◆","")</f>
        <v/>
      </c>
      <c r="AK48" s="19">
        <f>IF(AND(AK$15+6&gt;=$D48,AK$15&lt;=$E48),"◆","")</f>
        <v/>
      </c>
      <c r="AL48" s="19">
        <f>IF(AND(AL$15+6&gt;=$D48,AL$15&lt;=$E48),"◆","")</f>
        <v/>
      </c>
      <c r="AM48" s="19">
        <f>IF(AND(AM$15+6&gt;=$D48,AM$15&lt;=$E48),"◆","")</f>
        <v/>
      </c>
      <c r="AN48" s="19">
        <f>IF(AND(AN$15+6&gt;=$D48,AN$15&lt;=$E48),"◆","")</f>
        <v/>
      </c>
      <c r="AO48" s="19">
        <f>IF(AND(AO$15+6&gt;=$D48,AO$15&lt;=$E48),"◆","")</f>
        <v/>
      </c>
      <c r="AP48" s="19">
        <f>IF(AND(AP$15+6&gt;=$D48,AP$15&lt;=$E48),"◆","")</f>
        <v/>
      </c>
      <c r="AQ48" s="19">
        <f>IF(AND(AQ$15+6&gt;=$D48,AQ$15&lt;=$E48),"◆","")</f>
        <v/>
      </c>
      <c r="AR48" s="19">
        <f>IF(AND(AR$15+6&gt;=$D48,AR$15&lt;=$E48),"◆","")</f>
        <v/>
      </c>
      <c r="AS48" s="19">
        <f>IF(AND(AS$15+6&gt;=$D48,AS$15&lt;=$E48),"◆","")</f>
        <v/>
      </c>
      <c r="AT48" s="19">
        <f>IF(AND(AT$15+6&gt;=$D48,AT$15&lt;=$E48),"◆","")</f>
        <v/>
      </c>
      <c r="AU48" s="19">
        <f>IF(AND(AU$15+6&gt;=$D48,AU$15&lt;=$E48),"◆","")</f>
        <v/>
      </c>
      <c r="AV48" s="19">
        <f>IF(AND(AV$15+6&gt;=$D48,AV$15&lt;=$E48),"◆","")</f>
        <v/>
      </c>
      <c r="AW48" s="19">
        <f>IF(AND(AW$15+6&gt;=$D48,AW$15&lt;=$E48),"◆","")</f>
        <v/>
      </c>
      <c r="AX48" s="19">
        <f>IF(AND(AX$15+6&gt;=$D48,AX$15&lt;=$E48),"◆","")</f>
        <v/>
      </c>
      <c r="AY48" s="19">
        <f>IF(AND(AY$15+6&gt;=$D48,AY$15&lt;=$E48),"◆","")</f>
        <v/>
      </c>
      <c r="AZ48" s="19">
        <f>IF(AND(AZ$15+6&gt;=$D48,AZ$15&lt;=$E48),"◆","")</f>
        <v/>
      </c>
      <c r="BA48" s="19">
        <f>IF(AND(BA$15+6&gt;=$D48,BA$15&lt;=$E48),"◆","")</f>
        <v/>
      </c>
    </row>
    <row r="49" ht="39" customHeight="1">
      <c r="B49" s="9" t="inlineStr">
        <is>
          <t>Meeting: VCAG – notes review group findings</t>
        </is>
      </c>
      <c r="C49" s="9" t="inlineStr">
        <is>
          <t>Meeting</t>
        </is>
      </c>
      <c r="D49" s="18">
        <f>D7</f>
        <v/>
      </c>
      <c r="E49" s="18">
        <f>D7</f>
        <v/>
      </c>
      <c r="F49" s="9">
        <f>TEXT(D49,"d mmm")&amp;IF(E49&lt;&gt;D49," – "&amp;TEXT(E49,"d mmm"),"")</f>
        <v/>
      </c>
      <c r="G49" s="9" t="inlineStr"/>
      <c r="H49" s="9" t="inlineStr"/>
      <c r="I49" s="9" t="inlineStr"/>
      <c r="J49" s="9" t="inlineStr"/>
      <c r="K49" s="9" t="inlineStr">
        <is>
          <t>Milestone</t>
        </is>
      </c>
      <c r="L49" s="9" t="inlineStr">
        <is>
          <t>Not yet started</t>
        </is>
      </c>
      <c r="N49" s="19">
        <f>IF(AND(N$15+6&gt;=$D49,N$15&lt;=$E49),"◆","")</f>
        <v/>
      </c>
      <c r="O49" s="19">
        <f>IF(AND(O$15+6&gt;=$D49,O$15&lt;=$E49),"◆","")</f>
        <v/>
      </c>
      <c r="P49" s="19">
        <f>IF(AND(P$15+6&gt;=$D49,P$15&lt;=$E49),"◆","")</f>
        <v/>
      </c>
      <c r="Q49" s="19">
        <f>IF(AND(Q$15+6&gt;=$D49,Q$15&lt;=$E49),"◆","")</f>
        <v/>
      </c>
      <c r="R49" s="19">
        <f>IF(AND(R$15+6&gt;=$D49,R$15&lt;=$E49),"◆","")</f>
        <v/>
      </c>
      <c r="S49" s="19">
        <f>IF(AND(S$15+6&gt;=$D49,S$15&lt;=$E49),"◆","")</f>
        <v/>
      </c>
      <c r="T49" s="19">
        <f>IF(AND(T$15+6&gt;=$D49,T$15&lt;=$E49),"◆","")</f>
        <v/>
      </c>
      <c r="U49" s="19">
        <f>IF(AND(U$15+6&gt;=$D49,U$15&lt;=$E49),"◆","")</f>
        <v/>
      </c>
      <c r="V49" s="19">
        <f>IF(AND(V$15+6&gt;=$D49,V$15&lt;=$E49),"◆","")</f>
        <v/>
      </c>
      <c r="W49" s="19">
        <f>IF(AND(W$15+6&gt;=$D49,W$15&lt;=$E49),"◆","")</f>
        <v/>
      </c>
      <c r="X49" s="19">
        <f>IF(AND(X$15+6&gt;=$D49,X$15&lt;=$E49),"◆","")</f>
        <v/>
      </c>
      <c r="Y49" s="19">
        <f>IF(AND(Y$15+6&gt;=$D49,Y$15&lt;=$E49),"◆","")</f>
        <v/>
      </c>
      <c r="Z49" s="19">
        <f>IF(AND(Z$15+6&gt;=$D49,Z$15&lt;=$E49),"◆","")</f>
        <v/>
      </c>
      <c r="AA49" s="19">
        <f>IF(AND(AA$15+6&gt;=$D49,AA$15&lt;=$E49),"◆","")</f>
        <v/>
      </c>
      <c r="AB49" s="19">
        <f>IF(AND(AB$15+6&gt;=$D49,AB$15&lt;=$E49),"◆","")</f>
        <v/>
      </c>
      <c r="AC49" s="19">
        <f>IF(AND(AC$15+6&gt;=$D49,AC$15&lt;=$E49),"◆","")</f>
        <v/>
      </c>
      <c r="AD49" s="19">
        <f>IF(AND(AD$15+6&gt;=$D49,AD$15&lt;=$E49),"◆","")</f>
        <v/>
      </c>
      <c r="AE49" s="19">
        <f>IF(AND(AE$15+6&gt;=$D49,AE$15&lt;=$E49),"◆","")</f>
        <v/>
      </c>
      <c r="AF49" s="19">
        <f>IF(AND(AF$15+6&gt;=$D49,AF$15&lt;=$E49),"◆","")</f>
        <v/>
      </c>
      <c r="AG49" s="19">
        <f>IF(AND(AG$15+6&gt;=$D49,AG$15&lt;=$E49),"◆","")</f>
        <v/>
      </c>
      <c r="AH49" s="19">
        <f>IF(AND(AH$15+6&gt;=$D49,AH$15&lt;=$E49),"◆","")</f>
        <v/>
      </c>
      <c r="AI49" s="19">
        <f>IF(AND(AI$15+6&gt;=$D49,AI$15&lt;=$E49),"◆","")</f>
        <v/>
      </c>
      <c r="AJ49" s="19">
        <f>IF(AND(AJ$15+6&gt;=$D49,AJ$15&lt;=$E49),"◆","")</f>
        <v/>
      </c>
      <c r="AK49" s="19">
        <f>IF(AND(AK$15+6&gt;=$D49,AK$15&lt;=$E49),"◆","")</f>
        <v/>
      </c>
      <c r="AL49" s="19">
        <f>IF(AND(AL$15+6&gt;=$D49,AL$15&lt;=$E49),"◆","")</f>
        <v/>
      </c>
      <c r="AM49" s="19">
        <f>IF(AND(AM$15+6&gt;=$D49,AM$15&lt;=$E49),"◆","")</f>
        <v/>
      </c>
      <c r="AN49" s="19">
        <f>IF(AND(AN$15+6&gt;=$D49,AN$15&lt;=$E49),"◆","")</f>
        <v/>
      </c>
      <c r="AO49" s="19">
        <f>IF(AND(AO$15+6&gt;=$D49,AO$15&lt;=$E49),"◆","")</f>
        <v/>
      </c>
      <c r="AP49" s="19">
        <f>IF(AND(AP$15+6&gt;=$D49,AP$15&lt;=$E49),"◆","")</f>
        <v/>
      </c>
      <c r="AQ49" s="19">
        <f>IF(AND(AQ$15+6&gt;=$D49,AQ$15&lt;=$E49),"◆","")</f>
        <v/>
      </c>
      <c r="AR49" s="19">
        <f>IF(AND(AR$15+6&gt;=$D49,AR$15&lt;=$E49),"◆","")</f>
        <v/>
      </c>
      <c r="AS49" s="19">
        <f>IF(AND(AS$15+6&gt;=$D49,AS$15&lt;=$E49),"◆","")</f>
        <v/>
      </c>
      <c r="AT49" s="19">
        <f>IF(AND(AT$15+6&gt;=$D49,AT$15&lt;=$E49),"◆","")</f>
        <v/>
      </c>
      <c r="AU49" s="19">
        <f>IF(AND(AU$15+6&gt;=$D49,AU$15&lt;=$E49),"◆","")</f>
        <v/>
      </c>
      <c r="AV49" s="19">
        <f>IF(AND(AV$15+6&gt;=$D49,AV$15&lt;=$E49),"◆","")</f>
        <v/>
      </c>
      <c r="AW49" s="19">
        <f>IF(AND(AW$15+6&gt;=$D49,AW$15&lt;=$E49),"◆","")</f>
        <v/>
      </c>
      <c r="AX49" s="19">
        <f>IF(AND(AX$15+6&gt;=$D49,AX$15&lt;=$E49),"◆","")</f>
        <v/>
      </c>
      <c r="AY49" s="19">
        <f>IF(AND(AY$15+6&gt;=$D49,AY$15&lt;=$E49),"◆","")</f>
        <v/>
      </c>
      <c r="AZ49" s="19">
        <f>IF(AND(AZ$15+6&gt;=$D49,AZ$15&lt;=$E49),"◆","")</f>
        <v/>
      </c>
      <c r="BA49" s="19">
        <f>IF(AND(BA$15+6&gt;=$D49,BA$15&lt;=$E49),"◆","")</f>
        <v/>
      </c>
    </row>
    <row r="50" ht="39" customHeight="1">
      <c r="B50" s="9" t="inlineStr">
        <is>
          <t>Prepare paper: Investment Management Committee – responsible investments section</t>
        </is>
      </c>
      <c r="C50" s="9" t="inlineStr">
        <is>
          <t>Draft → leaders</t>
        </is>
      </c>
      <c r="D50" s="18">
        <f>G8</f>
        <v/>
      </c>
      <c r="E50" s="18">
        <f>F8</f>
        <v/>
      </c>
      <c r="F50" s="9">
        <f>TEXT(D50,"d mmm")&amp;IF(E50&lt;&gt;D50," – "&amp;TEXT(E50,"d mmm"),"")</f>
        <v/>
      </c>
      <c r="G50" s="9" t="inlineStr">
        <is>
          <t>SST</t>
        </is>
      </c>
      <c r="H50" s="9" t="inlineStr">
        <is>
          <t>Director, Sustainability</t>
        </is>
      </c>
      <c r="I50" s="9" t="inlineStr"/>
      <c r="J50" s="9" t="inlineStr"/>
      <c r="K50" s="9" t="inlineStr">
        <is>
          <t>High</t>
        </is>
      </c>
      <c r="L50" s="9" t="inlineStr">
        <is>
          <t>Not yet started</t>
        </is>
      </c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</row>
    <row r="51" ht="39" customHeight="1">
      <c r="B51" s="9" t="inlineStr">
        <is>
          <t>Papers due: Investment Management Committee – responsible investments section</t>
        </is>
      </c>
      <c r="C51" s="9" t="inlineStr">
        <is>
          <t>Papers due</t>
        </is>
      </c>
      <c r="D51" s="18">
        <f>E8</f>
        <v/>
      </c>
      <c r="E51" s="18">
        <f>E8</f>
        <v/>
      </c>
      <c r="F51" s="9">
        <f>TEXT(D51,"d mmm")&amp;IF(E51&lt;&gt;D51," – "&amp;TEXT(E51,"d mmm"),"")</f>
        <v/>
      </c>
      <c r="G51" s="9" t="inlineStr">
        <is>
          <t>SST</t>
        </is>
      </c>
      <c r="H51" s="9" t="inlineStr"/>
      <c r="I51" s="9" t="inlineStr"/>
      <c r="J51" s="9" t="inlineStr"/>
      <c r="K51" s="9" t="inlineStr">
        <is>
          <t>Milestone</t>
        </is>
      </c>
      <c r="L51" s="9" t="inlineStr">
        <is>
          <t>Not yet started</t>
        </is>
      </c>
      <c r="N51" s="19">
        <f>IF(AND(N$15+6&gt;=$D51,N$15&lt;=$E51),"◆","")</f>
        <v/>
      </c>
      <c r="O51" s="19">
        <f>IF(AND(O$15+6&gt;=$D51,O$15&lt;=$E51),"◆","")</f>
        <v/>
      </c>
      <c r="P51" s="19">
        <f>IF(AND(P$15+6&gt;=$D51,P$15&lt;=$E51),"◆","")</f>
        <v/>
      </c>
      <c r="Q51" s="19">
        <f>IF(AND(Q$15+6&gt;=$D51,Q$15&lt;=$E51),"◆","")</f>
        <v/>
      </c>
      <c r="R51" s="19">
        <f>IF(AND(R$15+6&gt;=$D51,R$15&lt;=$E51),"◆","")</f>
        <v/>
      </c>
      <c r="S51" s="19">
        <f>IF(AND(S$15+6&gt;=$D51,S$15&lt;=$E51),"◆","")</f>
        <v/>
      </c>
      <c r="T51" s="19">
        <f>IF(AND(T$15+6&gt;=$D51,T$15&lt;=$E51),"◆","")</f>
        <v/>
      </c>
      <c r="U51" s="19">
        <f>IF(AND(U$15+6&gt;=$D51,U$15&lt;=$E51),"◆","")</f>
        <v/>
      </c>
      <c r="V51" s="19">
        <f>IF(AND(V$15+6&gt;=$D51,V$15&lt;=$E51),"◆","")</f>
        <v/>
      </c>
      <c r="W51" s="19">
        <f>IF(AND(W$15+6&gt;=$D51,W$15&lt;=$E51),"◆","")</f>
        <v/>
      </c>
      <c r="X51" s="19">
        <f>IF(AND(X$15+6&gt;=$D51,X$15&lt;=$E51),"◆","")</f>
        <v/>
      </c>
      <c r="Y51" s="19">
        <f>IF(AND(Y$15+6&gt;=$D51,Y$15&lt;=$E51),"◆","")</f>
        <v/>
      </c>
      <c r="Z51" s="19">
        <f>IF(AND(Z$15+6&gt;=$D51,Z$15&lt;=$E51),"◆","")</f>
        <v/>
      </c>
      <c r="AA51" s="19">
        <f>IF(AND(AA$15+6&gt;=$D51,AA$15&lt;=$E51),"◆","")</f>
        <v/>
      </c>
      <c r="AB51" s="19">
        <f>IF(AND(AB$15+6&gt;=$D51,AB$15&lt;=$E51),"◆","")</f>
        <v/>
      </c>
      <c r="AC51" s="19">
        <f>IF(AND(AC$15+6&gt;=$D51,AC$15&lt;=$E51),"◆","")</f>
        <v/>
      </c>
      <c r="AD51" s="19">
        <f>IF(AND(AD$15+6&gt;=$D51,AD$15&lt;=$E51),"◆","")</f>
        <v/>
      </c>
      <c r="AE51" s="19">
        <f>IF(AND(AE$15+6&gt;=$D51,AE$15&lt;=$E51),"◆","")</f>
        <v/>
      </c>
      <c r="AF51" s="19">
        <f>IF(AND(AF$15+6&gt;=$D51,AF$15&lt;=$E51),"◆","")</f>
        <v/>
      </c>
      <c r="AG51" s="19">
        <f>IF(AND(AG$15+6&gt;=$D51,AG$15&lt;=$E51),"◆","")</f>
        <v/>
      </c>
      <c r="AH51" s="19">
        <f>IF(AND(AH$15+6&gt;=$D51,AH$15&lt;=$E51),"◆","")</f>
        <v/>
      </c>
      <c r="AI51" s="19">
        <f>IF(AND(AI$15+6&gt;=$D51,AI$15&lt;=$E51),"◆","")</f>
        <v/>
      </c>
      <c r="AJ51" s="19">
        <f>IF(AND(AJ$15+6&gt;=$D51,AJ$15&lt;=$E51),"◆","")</f>
        <v/>
      </c>
      <c r="AK51" s="19">
        <f>IF(AND(AK$15+6&gt;=$D51,AK$15&lt;=$E51),"◆","")</f>
        <v/>
      </c>
      <c r="AL51" s="19">
        <f>IF(AND(AL$15+6&gt;=$D51,AL$15&lt;=$E51),"◆","")</f>
        <v/>
      </c>
      <c r="AM51" s="19">
        <f>IF(AND(AM$15+6&gt;=$D51,AM$15&lt;=$E51),"◆","")</f>
        <v/>
      </c>
      <c r="AN51" s="19">
        <f>IF(AND(AN$15+6&gt;=$D51,AN$15&lt;=$E51),"◆","")</f>
        <v/>
      </c>
      <c r="AO51" s="19">
        <f>IF(AND(AO$15+6&gt;=$D51,AO$15&lt;=$E51),"◆","")</f>
        <v/>
      </c>
      <c r="AP51" s="19">
        <f>IF(AND(AP$15+6&gt;=$D51,AP$15&lt;=$E51),"◆","")</f>
        <v/>
      </c>
      <c r="AQ51" s="19">
        <f>IF(AND(AQ$15+6&gt;=$D51,AQ$15&lt;=$E51),"◆","")</f>
        <v/>
      </c>
      <c r="AR51" s="19">
        <f>IF(AND(AR$15+6&gt;=$D51,AR$15&lt;=$E51),"◆","")</f>
        <v/>
      </c>
      <c r="AS51" s="19">
        <f>IF(AND(AS$15+6&gt;=$D51,AS$15&lt;=$E51),"◆","")</f>
        <v/>
      </c>
      <c r="AT51" s="19">
        <f>IF(AND(AT$15+6&gt;=$D51,AT$15&lt;=$E51),"◆","")</f>
        <v/>
      </c>
      <c r="AU51" s="19">
        <f>IF(AND(AU$15+6&gt;=$D51,AU$15&lt;=$E51),"◆","")</f>
        <v/>
      </c>
      <c r="AV51" s="19">
        <f>IF(AND(AV$15+6&gt;=$D51,AV$15&lt;=$E51),"◆","")</f>
        <v/>
      </c>
      <c r="AW51" s="19">
        <f>IF(AND(AW$15+6&gt;=$D51,AW$15&lt;=$E51),"◆","")</f>
        <v/>
      </c>
      <c r="AX51" s="19">
        <f>IF(AND(AX$15+6&gt;=$D51,AX$15&lt;=$E51),"◆","")</f>
        <v/>
      </c>
      <c r="AY51" s="19">
        <f>IF(AND(AY$15+6&gt;=$D51,AY$15&lt;=$E51),"◆","")</f>
        <v/>
      </c>
      <c r="AZ51" s="19">
        <f>IF(AND(AZ$15+6&gt;=$D51,AZ$15&lt;=$E51),"◆","")</f>
        <v/>
      </c>
      <c r="BA51" s="19">
        <f>IF(AND(BA$15+6&gt;=$D51,BA$15&lt;=$E51),"◆","")</f>
        <v/>
      </c>
    </row>
    <row r="52" ht="39" customHeight="1">
      <c r="B52" s="9" t="inlineStr">
        <is>
          <t>Meeting: Investment Management Committee – responsible investments section</t>
        </is>
      </c>
      <c r="C52" s="9" t="inlineStr">
        <is>
          <t>Meeting</t>
        </is>
      </c>
      <c r="D52" s="18">
        <f>D8</f>
        <v/>
      </c>
      <c r="E52" s="18">
        <f>D8</f>
        <v/>
      </c>
      <c r="F52" s="9">
        <f>TEXT(D52,"d mmm")&amp;IF(E52&lt;&gt;D52," – "&amp;TEXT(E52,"d mmm"),"")</f>
        <v/>
      </c>
      <c r="G52" s="9" t="inlineStr"/>
      <c r="H52" s="9" t="inlineStr"/>
      <c r="I52" s="9" t="inlineStr"/>
      <c r="J52" s="9" t="inlineStr"/>
      <c r="K52" s="9" t="inlineStr">
        <is>
          <t>Milestone</t>
        </is>
      </c>
      <c r="L52" s="9" t="inlineStr">
        <is>
          <t>Not yet started</t>
        </is>
      </c>
      <c r="N52" s="19">
        <f>IF(AND(N$15+6&gt;=$D52,N$15&lt;=$E52),"◆","")</f>
        <v/>
      </c>
      <c r="O52" s="19">
        <f>IF(AND(O$15+6&gt;=$D52,O$15&lt;=$E52),"◆","")</f>
        <v/>
      </c>
      <c r="P52" s="19">
        <f>IF(AND(P$15+6&gt;=$D52,P$15&lt;=$E52),"◆","")</f>
        <v/>
      </c>
      <c r="Q52" s="19">
        <f>IF(AND(Q$15+6&gt;=$D52,Q$15&lt;=$E52),"◆","")</f>
        <v/>
      </c>
      <c r="R52" s="19">
        <f>IF(AND(R$15+6&gt;=$D52,R$15&lt;=$E52),"◆","")</f>
        <v/>
      </c>
      <c r="S52" s="19">
        <f>IF(AND(S$15+6&gt;=$D52,S$15&lt;=$E52),"◆","")</f>
        <v/>
      </c>
      <c r="T52" s="19">
        <f>IF(AND(T$15+6&gt;=$D52,T$15&lt;=$E52),"◆","")</f>
        <v/>
      </c>
      <c r="U52" s="19">
        <f>IF(AND(U$15+6&gt;=$D52,U$15&lt;=$E52),"◆","")</f>
        <v/>
      </c>
      <c r="V52" s="19">
        <f>IF(AND(V$15+6&gt;=$D52,V$15&lt;=$E52),"◆","")</f>
        <v/>
      </c>
      <c r="W52" s="19">
        <f>IF(AND(W$15+6&gt;=$D52,W$15&lt;=$E52),"◆","")</f>
        <v/>
      </c>
      <c r="X52" s="19">
        <f>IF(AND(X$15+6&gt;=$D52,X$15&lt;=$E52),"◆","")</f>
        <v/>
      </c>
      <c r="Y52" s="19">
        <f>IF(AND(Y$15+6&gt;=$D52,Y$15&lt;=$E52),"◆","")</f>
        <v/>
      </c>
      <c r="Z52" s="19">
        <f>IF(AND(Z$15+6&gt;=$D52,Z$15&lt;=$E52),"◆","")</f>
        <v/>
      </c>
      <c r="AA52" s="19">
        <f>IF(AND(AA$15+6&gt;=$D52,AA$15&lt;=$E52),"◆","")</f>
        <v/>
      </c>
      <c r="AB52" s="19">
        <f>IF(AND(AB$15+6&gt;=$D52,AB$15&lt;=$E52),"◆","")</f>
        <v/>
      </c>
      <c r="AC52" s="19">
        <f>IF(AND(AC$15+6&gt;=$D52,AC$15&lt;=$E52),"◆","")</f>
        <v/>
      </c>
      <c r="AD52" s="19">
        <f>IF(AND(AD$15+6&gt;=$D52,AD$15&lt;=$E52),"◆","")</f>
        <v/>
      </c>
      <c r="AE52" s="19">
        <f>IF(AND(AE$15+6&gt;=$D52,AE$15&lt;=$E52),"◆","")</f>
        <v/>
      </c>
      <c r="AF52" s="19">
        <f>IF(AND(AF$15+6&gt;=$D52,AF$15&lt;=$E52),"◆","")</f>
        <v/>
      </c>
      <c r="AG52" s="19">
        <f>IF(AND(AG$15+6&gt;=$D52,AG$15&lt;=$E52),"◆","")</f>
        <v/>
      </c>
      <c r="AH52" s="19">
        <f>IF(AND(AH$15+6&gt;=$D52,AH$15&lt;=$E52),"◆","")</f>
        <v/>
      </c>
      <c r="AI52" s="19">
        <f>IF(AND(AI$15+6&gt;=$D52,AI$15&lt;=$E52),"◆","")</f>
        <v/>
      </c>
      <c r="AJ52" s="19">
        <f>IF(AND(AJ$15+6&gt;=$D52,AJ$15&lt;=$E52),"◆","")</f>
        <v/>
      </c>
      <c r="AK52" s="19">
        <f>IF(AND(AK$15+6&gt;=$D52,AK$15&lt;=$E52),"◆","")</f>
        <v/>
      </c>
      <c r="AL52" s="19">
        <f>IF(AND(AL$15+6&gt;=$D52,AL$15&lt;=$E52),"◆","")</f>
        <v/>
      </c>
      <c r="AM52" s="19">
        <f>IF(AND(AM$15+6&gt;=$D52,AM$15&lt;=$E52),"◆","")</f>
        <v/>
      </c>
      <c r="AN52" s="19">
        <f>IF(AND(AN$15+6&gt;=$D52,AN$15&lt;=$E52),"◆","")</f>
        <v/>
      </c>
      <c r="AO52" s="19">
        <f>IF(AND(AO$15+6&gt;=$D52,AO$15&lt;=$E52),"◆","")</f>
        <v/>
      </c>
      <c r="AP52" s="19">
        <f>IF(AND(AP$15+6&gt;=$D52,AP$15&lt;=$E52),"◆","")</f>
        <v/>
      </c>
      <c r="AQ52" s="19">
        <f>IF(AND(AQ$15+6&gt;=$D52,AQ$15&lt;=$E52),"◆","")</f>
        <v/>
      </c>
      <c r="AR52" s="19">
        <f>IF(AND(AR$15+6&gt;=$D52,AR$15&lt;=$E52),"◆","")</f>
        <v/>
      </c>
      <c r="AS52" s="19">
        <f>IF(AND(AS$15+6&gt;=$D52,AS$15&lt;=$E52),"◆","")</f>
        <v/>
      </c>
      <c r="AT52" s="19">
        <f>IF(AND(AT$15+6&gt;=$D52,AT$15&lt;=$E52),"◆","")</f>
        <v/>
      </c>
      <c r="AU52" s="19">
        <f>IF(AND(AU$15+6&gt;=$D52,AU$15&lt;=$E52),"◆","")</f>
        <v/>
      </c>
      <c r="AV52" s="19">
        <f>IF(AND(AV$15+6&gt;=$D52,AV$15&lt;=$E52),"◆","")</f>
        <v/>
      </c>
      <c r="AW52" s="19">
        <f>IF(AND(AW$15+6&gt;=$D52,AW$15&lt;=$E52),"◆","")</f>
        <v/>
      </c>
      <c r="AX52" s="19">
        <f>IF(AND(AX$15+6&gt;=$D52,AX$15&lt;=$E52),"◆","")</f>
        <v/>
      </c>
      <c r="AY52" s="19">
        <f>IF(AND(AY$15+6&gt;=$D52,AY$15&lt;=$E52),"◆","")</f>
        <v/>
      </c>
      <c r="AZ52" s="19">
        <f>IF(AND(AZ$15+6&gt;=$D52,AZ$15&lt;=$E52),"◆","")</f>
        <v/>
      </c>
      <c r="BA52" s="19">
        <f>IF(AND(BA$15+6&gt;=$D52,BA$15&lt;=$E52),"◆","")</f>
        <v/>
      </c>
    </row>
    <row r="53" ht="39" customHeight="1">
      <c r="B53" s="9" t="inlineStr">
        <is>
          <t>Prepare paper: VCAG – notes full report</t>
        </is>
      </c>
      <c r="C53" s="9" t="inlineStr">
        <is>
          <t>Draft → leaders</t>
        </is>
      </c>
      <c r="D53" s="18">
        <f>G9</f>
        <v/>
      </c>
      <c r="E53" s="18">
        <f>F9</f>
        <v/>
      </c>
      <c r="F53" s="9">
        <f>TEXT(D53,"d mmm")&amp;IF(E53&lt;&gt;D53," – "&amp;TEXT(E53,"d mmm"),"")</f>
        <v/>
      </c>
      <c r="G53" s="9" t="inlineStr">
        <is>
          <t>SST</t>
        </is>
      </c>
      <c r="H53" s="9" t="inlineStr">
        <is>
          <t>Director, Sustainability</t>
        </is>
      </c>
      <c r="I53" s="9" t="inlineStr"/>
      <c r="J53" s="9" t="inlineStr"/>
      <c r="K53" s="9" t="inlineStr">
        <is>
          <t>High</t>
        </is>
      </c>
      <c r="L53" s="9" t="inlineStr">
        <is>
          <t>Not yet started</t>
        </is>
      </c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</row>
    <row r="54" ht="39" customHeight="1">
      <c r="B54" s="9" t="inlineStr">
        <is>
          <t>Papers due: VCAG – notes full report</t>
        </is>
      </c>
      <c r="C54" s="9" t="inlineStr">
        <is>
          <t>Papers due</t>
        </is>
      </c>
      <c r="D54" s="18">
        <f>E9</f>
        <v/>
      </c>
      <c r="E54" s="18">
        <f>E9</f>
        <v/>
      </c>
      <c r="F54" s="9">
        <f>TEXT(D54,"d mmm")&amp;IF(E54&lt;&gt;D54," – "&amp;TEXT(E54,"d mmm"),"")</f>
        <v/>
      </c>
      <c r="G54" s="9" t="inlineStr">
        <is>
          <t>SST</t>
        </is>
      </c>
      <c r="H54" s="9" t="inlineStr"/>
      <c r="I54" s="9" t="inlineStr"/>
      <c r="J54" s="9" t="inlineStr"/>
      <c r="K54" s="9" t="inlineStr">
        <is>
          <t>Milestone</t>
        </is>
      </c>
      <c r="L54" s="9" t="inlineStr">
        <is>
          <t>Not yet started</t>
        </is>
      </c>
      <c r="N54" s="19">
        <f>IF(AND(N$15+6&gt;=$D54,N$15&lt;=$E54),"◆","")</f>
        <v/>
      </c>
      <c r="O54" s="19">
        <f>IF(AND(O$15+6&gt;=$D54,O$15&lt;=$E54),"◆","")</f>
        <v/>
      </c>
      <c r="P54" s="19">
        <f>IF(AND(P$15+6&gt;=$D54,P$15&lt;=$E54),"◆","")</f>
        <v/>
      </c>
      <c r="Q54" s="19">
        <f>IF(AND(Q$15+6&gt;=$D54,Q$15&lt;=$E54),"◆","")</f>
        <v/>
      </c>
      <c r="R54" s="19">
        <f>IF(AND(R$15+6&gt;=$D54,R$15&lt;=$E54),"◆","")</f>
        <v/>
      </c>
      <c r="S54" s="19">
        <f>IF(AND(S$15+6&gt;=$D54,S$15&lt;=$E54),"◆","")</f>
        <v/>
      </c>
      <c r="T54" s="19">
        <f>IF(AND(T$15+6&gt;=$D54,T$15&lt;=$E54),"◆","")</f>
        <v/>
      </c>
      <c r="U54" s="19">
        <f>IF(AND(U$15+6&gt;=$D54,U$15&lt;=$E54),"◆","")</f>
        <v/>
      </c>
      <c r="V54" s="19">
        <f>IF(AND(V$15+6&gt;=$D54,V$15&lt;=$E54),"◆","")</f>
        <v/>
      </c>
      <c r="W54" s="19">
        <f>IF(AND(W$15+6&gt;=$D54,W$15&lt;=$E54),"◆","")</f>
        <v/>
      </c>
      <c r="X54" s="19">
        <f>IF(AND(X$15+6&gt;=$D54,X$15&lt;=$E54),"◆","")</f>
        <v/>
      </c>
      <c r="Y54" s="19">
        <f>IF(AND(Y$15+6&gt;=$D54,Y$15&lt;=$E54),"◆","")</f>
        <v/>
      </c>
      <c r="Z54" s="19">
        <f>IF(AND(Z$15+6&gt;=$D54,Z$15&lt;=$E54),"◆","")</f>
        <v/>
      </c>
      <c r="AA54" s="19">
        <f>IF(AND(AA$15+6&gt;=$D54,AA$15&lt;=$E54),"◆","")</f>
        <v/>
      </c>
      <c r="AB54" s="19">
        <f>IF(AND(AB$15+6&gt;=$D54,AB$15&lt;=$E54),"◆","")</f>
        <v/>
      </c>
      <c r="AC54" s="19">
        <f>IF(AND(AC$15+6&gt;=$D54,AC$15&lt;=$E54),"◆","")</f>
        <v/>
      </c>
      <c r="AD54" s="19">
        <f>IF(AND(AD$15+6&gt;=$D54,AD$15&lt;=$E54),"◆","")</f>
        <v/>
      </c>
      <c r="AE54" s="19">
        <f>IF(AND(AE$15+6&gt;=$D54,AE$15&lt;=$E54),"◆","")</f>
        <v/>
      </c>
      <c r="AF54" s="19">
        <f>IF(AND(AF$15+6&gt;=$D54,AF$15&lt;=$E54),"◆","")</f>
        <v/>
      </c>
      <c r="AG54" s="19">
        <f>IF(AND(AG$15+6&gt;=$D54,AG$15&lt;=$E54),"◆","")</f>
        <v/>
      </c>
      <c r="AH54" s="19">
        <f>IF(AND(AH$15+6&gt;=$D54,AH$15&lt;=$E54),"◆","")</f>
        <v/>
      </c>
      <c r="AI54" s="19">
        <f>IF(AND(AI$15+6&gt;=$D54,AI$15&lt;=$E54),"◆","")</f>
        <v/>
      </c>
      <c r="AJ54" s="19">
        <f>IF(AND(AJ$15+6&gt;=$D54,AJ$15&lt;=$E54),"◆","")</f>
        <v/>
      </c>
      <c r="AK54" s="19">
        <f>IF(AND(AK$15+6&gt;=$D54,AK$15&lt;=$E54),"◆","")</f>
        <v/>
      </c>
      <c r="AL54" s="19">
        <f>IF(AND(AL$15+6&gt;=$D54,AL$15&lt;=$E54),"◆","")</f>
        <v/>
      </c>
      <c r="AM54" s="19">
        <f>IF(AND(AM$15+6&gt;=$D54,AM$15&lt;=$E54),"◆","")</f>
        <v/>
      </c>
      <c r="AN54" s="19">
        <f>IF(AND(AN$15+6&gt;=$D54,AN$15&lt;=$E54),"◆","")</f>
        <v/>
      </c>
      <c r="AO54" s="19">
        <f>IF(AND(AO$15+6&gt;=$D54,AO$15&lt;=$E54),"◆","")</f>
        <v/>
      </c>
      <c r="AP54" s="19">
        <f>IF(AND(AP$15+6&gt;=$D54,AP$15&lt;=$E54),"◆","")</f>
        <v/>
      </c>
      <c r="AQ54" s="19">
        <f>IF(AND(AQ$15+6&gt;=$D54,AQ$15&lt;=$E54),"◆","")</f>
        <v/>
      </c>
      <c r="AR54" s="19">
        <f>IF(AND(AR$15+6&gt;=$D54,AR$15&lt;=$E54),"◆","")</f>
        <v/>
      </c>
      <c r="AS54" s="19">
        <f>IF(AND(AS$15+6&gt;=$D54,AS$15&lt;=$E54),"◆","")</f>
        <v/>
      </c>
      <c r="AT54" s="19">
        <f>IF(AND(AT$15+6&gt;=$D54,AT$15&lt;=$E54),"◆","")</f>
        <v/>
      </c>
      <c r="AU54" s="19">
        <f>IF(AND(AU$15+6&gt;=$D54,AU$15&lt;=$E54),"◆","")</f>
        <v/>
      </c>
      <c r="AV54" s="19">
        <f>IF(AND(AV$15+6&gt;=$D54,AV$15&lt;=$E54),"◆","")</f>
        <v/>
      </c>
      <c r="AW54" s="19">
        <f>IF(AND(AW$15+6&gt;=$D54,AW$15&lt;=$E54),"◆","")</f>
        <v/>
      </c>
      <c r="AX54" s="19">
        <f>IF(AND(AX$15+6&gt;=$D54,AX$15&lt;=$E54),"◆","")</f>
        <v/>
      </c>
      <c r="AY54" s="19">
        <f>IF(AND(AY$15+6&gt;=$D54,AY$15&lt;=$E54),"◆","")</f>
        <v/>
      </c>
      <c r="AZ54" s="19">
        <f>IF(AND(AZ$15+6&gt;=$D54,AZ$15&lt;=$E54),"◆","")</f>
        <v/>
      </c>
      <c r="BA54" s="19">
        <f>IF(AND(BA$15+6&gt;=$D54,BA$15&lt;=$E54),"◆","")</f>
        <v/>
      </c>
    </row>
    <row r="55" ht="39" customHeight="1">
      <c r="B55" s="9" t="inlineStr">
        <is>
          <t>Meeting: VCAG – notes full report</t>
        </is>
      </c>
      <c r="C55" s="9" t="inlineStr">
        <is>
          <t>Meeting</t>
        </is>
      </c>
      <c r="D55" s="18">
        <f>D9</f>
        <v/>
      </c>
      <c r="E55" s="18">
        <f>D9</f>
        <v/>
      </c>
      <c r="F55" s="9">
        <f>TEXT(D55,"d mmm")&amp;IF(E55&lt;&gt;D55," – "&amp;TEXT(E55,"d mmm"),"")</f>
        <v/>
      </c>
      <c r="G55" s="9" t="inlineStr"/>
      <c r="H55" s="9" t="inlineStr"/>
      <c r="I55" s="9" t="inlineStr"/>
      <c r="J55" s="9" t="inlineStr"/>
      <c r="K55" s="9" t="inlineStr">
        <is>
          <t>Milestone</t>
        </is>
      </c>
      <c r="L55" s="9" t="inlineStr">
        <is>
          <t>Not yet started</t>
        </is>
      </c>
      <c r="N55" s="19">
        <f>IF(AND(N$15+6&gt;=$D55,N$15&lt;=$E55),"◆","")</f>
        <v/>
      </c>
      <c r="O55" s="19">
        <f>IF(AND(O$15+6&gt;=$D55,O$15&lt;=$E55),"◆","")</f>
        <v/>
      </c>
      <c r="P55" s="19">
        <f>IF(AND(P$15+6&gt;=$D55,P$15&lt;=$E55),"◆","")</f>
        <v/>
      </c>
      <c r="Q55" s="19">
        <f>IF(AND(Q$15+6&gt;=$D55,Q$15&lt;=$E55),"◆","")</f>
        <v/>
      </c>
      <c r="R55" s="19">
        <f>IF(AND(R$15+6&gt;=$D55,R$15&lt;=$E55),"◆","")</f>
        <v/>
      </c>
      <c r="S55" s="19">
        <f>IF(AND(S$15+6&gt;=$D55,S$15&lt;=$E55),"◆","")</f>
        <v/>
      </c>
      <c r="T55" s="19">
        <f>IF(AND(T$15+6&gt;=$D55,T$15&lt;=$E55),"◆","")</f>
        <v/>
      </c>
      <c r="U55" s="19">
        <f>IF(AND(U$15+6&gt;=$D55,U$15&lt;=$E55),"◆","")</f>
        <v/>
      </c>
      <c r="V55" s="19">
        <f>IF(AND(V$15+6&gt;=$D55,V$15&lt;=$E55),"◆","")</f>
        <v/>
      </c>
      <c r="W55" s="19">
        <f>IF(AND(W$15+6&gt;=$D55,W$15&lt;=$E55),"◆","")</f>
        <v/>
      </c>
      <c r="X55" s="19">
        <f>IF(AND(X$15+6&gt;=$D55,X$15&lt;=$E55),"◆","")</f>
        <v/>
      </c>
      <c r="Y55" s="19">
        <f>IF(AND(Y$15+6&gt;=$D55,Y$15&lt;=$E55),"◆","")</f>
        <v/>
      </c>
      <c r="Z55" s="19">
        <f>IF(AND(Z$15+6&gt;=$D55,Z$15&lt;=$E55),"◆","")</f>
        <v/>
      </c>
      <c r="AA55" s="19">
        <f>IF(AND(AA$15+6&gt;=$D55,AA$15&lt;=$E55),"◆","")</f>
        <v/>
      </c>
      <c r="AB55" s="19">
        <f>IF(AND(AB$15+6&gt;=$D55,AB$15&lt;=$E55),"◆","")</f>
        <v/>
      </c>
      <c r="AC55" s="19">
        <f>IF(AND(AC$15+6&gt;=$D55,AC$15&lt;=$E55),"◆","")</f>
        <v/>
      </c>
      <c r="AD55" s="19">
        <f>IF(AND(AD$15+6&gt;=$D55,AD$15&lt;=$E55),"◆","")</f>
        <v/>
      </c>
      <c r="AE55" s="19">
        <f>IF(AND(AE$15+6&gt;=$D55,AE$15&lt;=$E55),"◆","")</f>
        <v/>
      </c>
      <c r="AF55" s="19">
        <f>IF(AND(AF$15+6&gt;=$D55,AF$15&lt;=$E55),"◆","")</f>
        <v/>
      </c>
      <c r="AG55" s="19">
        <f>IF(AND(AG$15+6&gt;=$D55,AG$15&lt;=$E55),"◆","")</f>
        <v/>
      </c>
      <c r="AH55" s="19">
        <f>IF(AND(AH$15+6&gt;=$D55,AH$15&lt;=$E55),"◆","")</f>
        <v/>
      </c>
      <c r="AI55" s="19">
        <f>IF(AND(AI$15+6&gt;=$D55,AI$15&lt;=$E55),"◆","")</f>
        <v/>
      </c>
      <c r="AJ55" s="19">
        <f>IF(AND(AJ$15+6&gt;=$D55,AJ$15&lt;=$E55),"◆","")</f>
        <v/>
      </c>
      <c r="AK55" s="19">
        <f>IF(AND(AK$15+6&gt;=$D55,AK$15&lt;=$E55),"◆","")</f>
        <v/>
      </c>
      <c r="AL55" s="19">
        <f>IF(AND(AL$15+6&gt;=$D55,AL$15&lt;=$E55),"◆","")</f>
        <v/>
      </c>
      <c r="AM55" s="19">
        <f>IF(AND(AM$15+6&gt;=$D55,AM$15&lt;=$E55),"◆","")</f>
        <v/>
      </c>
      <c r="AN55" s="19">
        <f>IF(AND(AN$15+6&gt;=$D55,AN$15&lt;=$E55),"◆","")</f>
        <v/>
      </c>
      <c r="AO55" s="19">
        <f>IF(AND(AO$15+6&gt;=$D55,AO$15&lt;=$E55),"◆","")</f>
        <v/>
      </c>
      <c r="AP55" s="19">
        <f>IF(AND(AP$15+6&gt;=$D55,AP$15&lt;=$E55),"◆","")</f>
        <v/>
      </c>
      <c r="AQ55" s="19">
        <f>IF(AND(AQ$15+6&gt;=$D55,AQ$15&lt;=$E55),"◆","")</f>
        <v/>
      </c>
      <c r="AR55" s="19">
        <f>IF(AND(AR$15+6&gt;=$D55,AR$15&lt;=$E55),"◆","")</f>
        <v/>
      </c>
      <c r="AS55" s="19">
        <f>IF(AND(AS$15+6&gt;=$D55,AS$15&lt;=$E55),"◆","")</f>
        <v/>
      </c>
      <c r="AT55" s="19">
        <f>IF(AND(AT$15+6&gt;=$D55,AT$15&lt;=$E55),"◆","")</f>
        <v/>
      </c>
      <c r="AU55" s="19">
        <f>IF(AND(AU$15+6&gt;=$D55,AU$15&lt;=$E55),"◆","")</f>
        <v/>
      </c>
      <c r="AV55" s="19">
        <f>IF(AND(AV$15+6&gt;=$D55,AV$15&lt;=$E55),"◆","")</f>
        <v/>
      </c>
      <c r="AW55" s="19">
        <f>IF(AND(AW$15+6&gt;=$D55,AW$15&lt;=$E55),"◆","")</f>
        <v/>
      </c>
      <c r="AX55" s="19">
        <f>IF(AND(AX$15+6&gt;=$D55,AX$15&lt;=$E55),"◆","")</f>
        <v/>
      </c>
      <c r="AY55" s="19">
        <f>IF(AND(AY$15+6&gt;=$D55,AY$15&lt;=$E55),"◆","")</f>
        <v/>
      </c>
      <c r="AZ55" s="19">
        <f>IF(AND(AZ$15+6&gt;=$D55,AZ$15&lt;=$E55),"◆","")</f>
        <v/>
      </c>
      <c r="BA55" s="19">
        <f>IF(AND(BA$15+6&gt;=$D55,BA$15&lt;=$E55),"◆","")</f>
        <v/>
      </c>
    </row>
    <row r="56" ht="39" customHeight="1">
      <c r="B56" s="9" t="inlineStr">
        <is>
          <t>Prepare paper: University Executive – notes report</t>
        </is>
      </c>
      <c r="C56" s="9" t="inlineStr">
        <is>
          <t>Draft → leaders</t>
        </is>
      </c>
      <c r="D56" s="18">
        <f>G10</f>
        <v/>
      </c>
      <c r="E56" s="18">
        <f>F10</f>
        <v/>
      </c>
      <c r="F56" s="9">
        <f>TEXT(D56,"d mmm")&amp;IF(E56&lt;&gt;D56," – "&amp;TEXT(E56,"d mmm"),"")</f>
        <v/>
      </c>
      <c r="G56" s="9" t="inlineStr">
        <is>
          <t>SST</t>
        </is>
      </c>
      <c r="H56" s="9" t="inlineStr">
        <is>
          <t>Director, Sustainability</t>
        </is>
      </c>
      <c r="I56" s="9" t="inlineStr"/>
      <c r="J56" s="9" t="inlineStr"/>
      <c r="K56" s="9" t="inlineStr">
        <is>
          <t>High</t>
        </is>
      </c>
      <c r="L56" s="9" t="inlineStr">
        <is>
          <t>Not yet started</t>
        </is>
      </c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</row>
    <row r="57" ht="39" customHeight="1">
      <c r="B57" s="9" t="inlineStr">
        <is>
          <t>Papers due: University Executive – notes report</t>
        </is>
      </c>
      <c r="C57" s="9" t="inlineStr">
        <is>
          <t>Papers due</t>
        </is>
      </c>
      <c r="D57" s="18">
        <f>E10</f>
        <v/>
      </c>
      <c r="E57" s="18">
        <f>E10</f>
        <v/>
      </c>
      <c r="F57" s="9">
        <f>TEXT(D57,"d mmm")&amp;IF(E57&lt;&gt;D57," – "&amp;TEXT(E57,"d mmm"),"")</f>
        <v/>
      </c>
      <c r="G57" s="9" t="inlineStr">
        <is>
          <t>SST</t>
        </is>
      </c>
      <c r="H57" s="9" t="inlineStr"/>
      <c r="I57" s="9" t="inlineStr"/>
      <c r="J57" s="9" t="inlineStr"/>
      <c r="K57" s="9" t="inlineStr">
        <is>
          <t>Milestone</t>
        </is>
      </c>
      <c r="L57" s="9" t="inlineStr">
        <is>
          <t>Not yet started</t>
        </is>
      </c>
      <c r="N57" s="19">
        <f>IF(AND(N$15+6&gt;=$D57,N$15&lt;=$E57),"◆","")</f>
        <v/>
      </c>
      <c r="O57" s="19">
        <f>IF(AND(O$15+6&gt;=$D57,O$15&lt;=$E57),"◆","")</f>
        <v/>
      </c>
      <c r="P57" s="19">
        <f>IF(AND(P$15+6&gt;=$D57,P$15&lt;=$E57),"◆","")</f>
        <v/>
      </c>
      <c r="Q57" s="19">
        <f>IF(AND(Q$15+6&gt;=$D57,Q$15&lt;=$E57),"◆","")</f>
        <v/>
      </c>
      <c r="R57" s="19">
        <f>IF(AND(R$15+6&gt;=$D57,R$15&lt;=$E57),"◆","")</f>
        <v/>
      </c>
      <c r="S57" s="19">
        <f>IF(AND(S$15+6&gt;=$D57,S$15&lt;=$E57),"◆","")</f>
        <v/>
      </c>
      <c r="T57" s="19">
        <f>IF(AND(T$15+6&gt;=$D57,T$15&lt;=$E57),"◆","")</f>
        <v/>
      </c>
      <c r="U57" s="19">
        <f>IF(AND(U$15+6&gt;=$D57,U$15&lt;=$E57),"◆","")</f>
        <v/>
      </c>
      <c r="V57" s="19">
        <f>IF(AND(V$15+6&gt;=$D57,V$15&lt;=$E57),"◆","")</f>
        <v/>
      </c>
      <c r="W57" s="19">
        <f>IF(AND(W$15+6&gt;=$D57,W$15&lt;=$E57),"◆","")</f>
        <v/>
      </c>
      <c r="X57" s="19">
        <f>IF(AND(X$15+6&gt;=$D57,X$15&lt;=$E57),"◆","")</f>
        <v/>
      </c>
      <c r="Y57" s="19">
        <f>IF(AND(Y$15+6&gt;=$D57,Y$15&lt;=$E57),"◆","")</f>
        <v/>
      </c>
      <c r="Z57" s="19">
        <f>IF(AND(Z$15+6&gt;=$D57,Z$15&lt;=$E57),"◆","")</f>
        <v/>
      </c>
      <c r="AA57" s="19">
        <f>IF(AND(AA$15+6&gt;=$D57,AA$15&lt;=$E57),"◆","")</f>
        <v/>
      </c>
      <c r="AB57" s="19">
        <f>IF(AND(AB$15+6&gt;=$D57,AB$15&lt;=$E57),"◆","")</f>
        <v/>
      </c>
      <c r="AC57" s="19">
        <f>IF(AND(AC$15+6&gt;=$D57,AC$15&lt;=$E57),"◆","")</f>
        <v/>
      </c>
      <c r="AD57" s="19">
        <f>IF(AND(AD$15+6&gt;=$D57,AD$15&lt;=$E57),"◆","")</f>
        <v/>
      </c>
      <c r="AE57" s="19">
        <f>IF(AND(AE$15+6&gt;=$D57,AE$15&lt;=$E57),"◆","")</f>
        <v/>
      </c>
      <c r="AF57" s="19">
        <f>IF(AND(AF$15+6&gt;=$D57,AF$15&lt;=$E57),"◆","")</f>
        <v/>
      </c>
      <c r="AG57" s="19">
        <f>IF(AND(AG$15+6&gt;=$D57,AG$15&lt;=$E57),"◆","")</f>
        <v/>
      </c>
      <c r="AH57" s="19">
        <f>IF(AND(AH$15+6&gt;=$D57,AH$15&lt;=$E57),"◆","")</f>
        <v/>
      </c>
      <c r="AI57" s="19">
        <f>IF(AND(AI$15+6&gt;=$D57,AI$15&lt;=$E57),"◆","")</f>
        <v/>
      </c>
      <c r="AJ57" s="19">
        <f>IF(AND(AJ$15+6&gt;=$D57,AJ$15&lt;=$E57),"◆","")</f>
        <v/>
      </c>
      <c r="AK57" s="19">
        <f>IF(AND(AK$15+6&gt;=$D57,AK$15&lt;=$E57),"◆","")</f>
        <v/>
      </c>
      <c r="AL57" s="19">
        <f>IF(AND(AL$15+6&gt;=$D57,AL$15&lt;=$E57),"◆","")</f>
        <v/>
      </c>
      <c r="AM57" s="19">
        <f>IF(AND(AM$15+6&gt;=$D57,AM$15&lt;=$E57),"◆","")</f>
        <v/>
      </c>
      <c r="AN57" s="19">
        <f>IF(AND(AN$15+6&gt;=$D57,AN$15&lt;=$E57),"◆","")</f>
        <v/>
      </c>
      <c r="AO57" s="19">
        <f>IF(AND(AO$15+6&gt;=$D57,AO$15&lt;=$E57),"◆","")</f>
        <v/>
      </c>
      <c r="AP57" s="19">
        <f>IF(AND(AP$15+6&gt;=$D57,AP$15&lt;=$E57),"◆","")</f>
        <v/>
      </c>
      <c r="AQ57" s="19">
        <f>IF(AND(AQ$15+6&gt;=$D57,AQ$15&lt;=$E57),"◆","")</f>
        <v/>
      </c>
      <c r="AR57" s="19">
        <f>IF(AND(AR$15+6&gt;=$D57,AR$15&lt;=$E57),"◆","")</f>
        <v/>
      </c>
      <c r="AS57" s="19">
        <f>IF(AND(AS$15+6&gt;=$D57,AS$15&lt;=$E57),"◆","")</f>
        <v/>
      </c>
      <c r="AT57" s="19">
        <f>IF(AND(AT$15+6&gt;=$D57,AT$15&lt;=$E57),"◆","")</f>
        <v/>
      </c>
      <c r="AU57" s="19">
        <f>IF(AND(AU$15+6&gt;=$D57,AU$15&lt;=$E57),"◆","")</f>
        <v/>
      </c>
      <c r="AV57" s="19">
        <f>IF(AND(AV$15+6&gt;=$D57,AV$15&lt;=$E57),"◆","")</f>
        <v/>
      </c>
      <c r="AW57" s="19">
        <f>IF(AND(AW$15+6&gt;=$D57,AW$15&lt;=$E57),"◆","")</f>
        <v/>
      </c>
      <c r="AX57" s="19">
        <f>IF(AND(AX$15+6&gt;=$D57,AX$15&lt;=$E57),"◆","")</f>
        <v/>
      </c>
      <c r="AY57" s="19">
        <f>IF(AND(AY$15+6&gt;=$D57,AY$15&lt;=$E57),"◆","")</f>
        <v/>
      </c>
      <c r="AZ57" s="19">
        <f>IF(AND(AZ$15+6&gt;=$D57,AZ$15&lt;=$E57),"◆","")</f>
        <v/>
      </c>
      <c r="BA57" s="19">
        <f>IF(AND(BA$15+6&gt;=$D57,BA$15&lt;=$E57),"◆","")</f>
        <v/>
      </c>
    </row>
    <row r="58" ht="39" customHeight="1">
      <c r="B58" s="9" t="inlineStr">
        <is>
          <t>Meeting: University Executive – notes report</t>
        </is>
      </c>
      <c r="C58" s="9" t="inlineStr">
        <is>
          <t>Meeting</t>
        </is>
      </c>
      <c r="D58" s="18">
        <f>D10</f>
        <v/>
      </c>
      <c r="E58" s="18">
        <f>D10</f>
        <v/>
      </c>
      <c r="F58" s="9">
        <f>TEXT(D58,"d mmm")&amp;IF(E58&lt;&gt;D58," – "&amp;TEXT(E58,"d mmm"),"")</f>
        <v/>
      </c>
      <c r="G58" s="9" t="inlineStr"/>
      <c r="H58" s="9" t="inlineStr"/>
      <c r="I58" s="9" t="inlineStr"/>
      <c r="J58" s="9" t="inlineStr"/>
      <c r="K58" s="9" t="inlineStr">
        <is>
          <t>Milestone</t>
        </is>
      </c>
      <c r="L58" s="9" t="inlineStr">
        <is>
          <t>Not yet started</t>
        </is>
      </c>
      <c r="N58" s="19">
        <f>IF(AND(N$15+6&gt;=$D58,N$15&lt;=$E58),"◆","")</f>
        <v/>
      </c>
      <c r="O58" s="19">
        <f>IF(AND(O$15+6&gt;=$D58,O$15&lt;=$E58),"◆","")</f>
        <v/>
      </c>
      <c r="P58" s="19">
        <f>IF(AND(P$15+6&gt;=$D58,P$15&lt;=$E58),"◆","")</f>
        <v/>
      </c>
      <c r="Q58" s="19">
        <f>IF(AND(Q$15+6&gt;=$D58,Q$15&lt;=$E58),"◆","")</f>
        <v/>
      </c>
      <c r="R58" s="19">
        <f>IF(AND(R$15+6&gt;=$D58,R$15&lt;=$E58),"◆","")</f>
        <v/>
      </c>
      <c r="S58" s="19">
        <f>IF(AND(S$15+6&gt;=$D58,S$15&lt;=$E58),"◆","")</f>
        <v/>
      </c>
      <c r="T58" s="19">
        <f>IF(AND(T$15+6&gt;=$D58,T$15&lt;=$E58),"◆","")</f>
        <v/>
      </c>
      <c r="U58" s="19">
        <f>IF(AND(U$15+6&gt;=$D58,U$15&lt;=$E58),"◆","")</f>
        <v/>
      </c>
      <c r="V58" s="19">
        <f>IF(AND(V$15+6&gt;=$D58,V$15&lt;=$E58),"◆","")</f>
        <v/>
      </c>
      <c r="W58" s="19">
        <f>IF(AND(W$15+6&gt;=$D58,W$15&lt;=$E58),"◆","")</f>
        <v/>
      </c>
      <c r="X58" s="19">
        <f>IF(AND(X$15+6&gt;=$D58,X$15&lt;=$E58),"◆","")</f>
        <v/>
      </c>
      <c r="Y58" s="19">
        <f>IF(AND(Y$15+6&gt;=$D58,Y$15&lt;=$E58),"◆","")</f>
        <v/>
      </c>
      <c r="Z58" s="19">
        <f>IF(AND(Z$15+6&gt;=$D58,Z$15&lt;=$E58),"◆","")</f>
        <v/>
      </c>
      <c r="AA58" s="19">
        <f>IF(AND(AA$15+6&gt;=$D58,AA$15&lt;=$E58),"◆","")</f>
        <v/>
      </c>
      <c r="AB58" s="19">
        <f>IF(AND(AB$15+6&gt;=$D58,AB$15&lt;=$E58),"◆","")</f>
        <v/>
      </c>
      <c r="AC58" s="19">
        <f>IF(AND(AC$15+6&gt;=$D58,AC$15&lt;=$E58),"◆","")</f>
        <v/>
      </c>
      <c r="AD58" s="19">
        <f>IF(AND(AD$15+6&gt;=$D58,AD$15&lt;=$E58),"◆","")</f>
        <v/>
      </c>
      <c r="AE58" s="19">
        <f>IF(AND(AE$15+6&gt;=$D58,AE$15&lt;=$E58),"◆","")</f>
        <v/>
      </c>
      <c r="AF58" s="19">
        <f>IF(AND(AF$15+6&gt;=$D58,AF$15&lt;=$E58),"◆","")</f>
        <v/>
      </c>
      <c r="AG58" s="19">
        <f>IF(AND(AG$15+6&gt;=$D58,AG$15&lt;=$E58),"◆","")</f>
        <v/>
      </c>
      <c r="AH58" s="19">
        <f>IF(AND(AH$15+6&gt;=$D58,AH$15&lt;=$E58),"◆","")</f>
        <v/>
      </c>
      <c r="AI58" s="19">
        <f>IF(AND(AI$15+6&gt;=$D58,AI$15&lt;=$E58),"◆","")</f>
        <v/>
      </c>
      <c r="AJ58" s="19">
        <f>IF(AND(AJ$15+6&gt;=$D58,AJ$15&lt;=$E58),"◆","")</f>
        <v/>
      </c>
      <c r="AK58" s="19">
        <f>IF(AND(AK$15+6&gt;=$D58,AK$15&lt;=$E58),"◆","")</f>
        <v/>
      </c>
      <c r="AL58" s="19">
        <f>IF(AND(AL$15+6&gt;=$D58,AL$15&lt;=$E58),"◆","")</f>
        <v/>
      </c>
      <c r="AM58" s="19">
        <f>IF(AND(AM$15+6&gt;=$D58,AM$15&lt;=$E58),"◆","")</f>
        <v/>
      </c>
      <c r="AN58" s="19">
        <f>IF(AND(AN$15+6&gt;=$D58,AN$15&lt;=$E58),"◆","")</f>
        <v/>
      </c>
      <c r="AO58" s="19">
        <f>IF(AND(AO$15+6&gt;=$D58,AO$15&lt;=$E58),"◆","")</f>
        <v/>
      </c>
      <c r="AP58" s="19">
        <f>IF(AND(AP$15+6&gt;=$D58,AP$15&lt;=$E58),"◆","")</f>
        <v/>
      </c>
      <c r="AQ58" s="19">
        <f>IF(AND(AQ$15+6&gt;=$D58,AQ$15&lt;=$E58),"◆","")</f>
        <v/>
      </c>
      <c r="AR58" s="19">
        <f>IF(AND(AR$15+6&gt;=$D58,AR$15&lt;=$E58),"◆","")</f>
        <v/>
      </c>
      <c r="AS58" s="19">
        <f>IF(AND(AS$15+6&gt;=$D58,AS$15&lt;=$E58),"◆","")</f>
        <v/>
      </c>
      <c r="AT58" s="19">
        <f>IF(AND(AT$15+6&gt;=$D58,AT$15&lt;=$E58),"◆","")</f>
        <v/>
      </c>
      <c r="AU58" s="19">
        <f>IF(AND(AU$15+6&gt;=$D58,AU$15&lt;=$E58),"◆","")</f>
        <v/>
      </c>
      <c r="AV58" s="19">
        <f>IF(AND(AV$15+6&gt;=$D58,AV$15&lt;=$E58),"◆","")</f>
        <v/>
      </c>
      <c r="AW58" s="19">
        <f>IF(AND(AW$15+6&gt;=$D58,AW$15&lt;=$E58),"◆","")</f>
        <v/>
      </c>
      <c r="AX58" s="19">
        <f>IF(AND(AX$15+6&gt;=$D58,AX$15&lt;=$E58),"◆","")</f>
        <v/>
      </c>
      <c r="AY58" s="19">
        <f>IF(AND(AY$15+6&gt;=$D58,AY$15&lt;=$E58),"◆","")</f>
        <v/>
      </c>
      <c r="AZ58" s="19">
        <f>IF(AND(AZ$15+6&gt;=$D58,AZ$15&lt;=$E58),"◆","")</f>
        <v/>
      </c>
      <c r="BA58" s="19">
        <f>IF(AND(BA$15+6&gt;=$D58,BA$15&lt;=$E58),"◆","")</f>
        <v/>
      </c>
    </row>
    <row r="59" ht="39" customHeight="1">
      <c r="B59" s="9" t="inlineStr">
        <is>
          <t>Prepare paper: University Council – approves report</t>
        </is>
      </c>
      <c r="C59" s="9" t="inlineStr">
        <is>
          <t>Draft → leaders</t>
        </is>
      </c>
      <c r="D59" s="18">
        <f>G11</f>
        <v/>
      </c>
      <c r="E59" s="18">
        <f>F11</f>
        <v/>
      </c>
      <c r="F59" s="9">
        <f>TEXT(D59,"d mmm")&amp;IF(E59&lt;&gt;D59," – "&amp;TEXT(E59,"d mmm"),"")</f>
        <v/>
      </c>
      <c r="G59" s="9" t="inlineStr">
        <is>
          <t>SST</t>
        </is>
      </c>
      <c r="H59" s="9" t="inlineStr">
        <is>
          <t>Director, Sustainability</t>
        </is>
      </c>
      <c r="I59" s="9" t="inlineStr"/>
      <c r="J59" s="9" t="inlineStr"/>
      <c r="K59" s="9" t="inlineStr">
        <is>
          <t>High</t>
        </is>
      </c>
      <c r="L59" s="9" t="inlineStr">
        <is>
          <t>Not yet started</t>
        </is>
      </c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</row>
    <row r="60" ht="39" customHeight="1">
      <c r="B60" s="9" t="inlineStr">
        <is>
          <t>Papers due: University Council – approves report</t>
        </is>
      </c>
      <c r="C60" s="9" t="inlineStr">
        <is>
          <t>Papers due</t>
        </is>
      </c>
      <c r="D60" s="18">
        <f>E11</f>
        <v/>
      </c>
      <c r="E60" s="18">
        <f>E11</f>
        <v/>
      </c>
      <c r="F60" s="9">
        <f>TEXT(D60,"d mmm")&amp;IF(E60&lt;&gt;D60," – "&amp;TEXT(E60,"d mmm"),"")</f>
        <v/>
      </c>
      <c r="G60" s="9" t="inlineStr">
        <is>
          <t>SST</t>
        </is>
      </c>
      <c r="H60" s="9" t="inlineStr"/>
      <c r="I60" s="9" t="inlineStr"/>
      <c r="J60" s="9" t="inlineStr"/>
      <c r="K60" s="9" t="inlineStr">
        <is>
          <t>Milestone</t>
        </is>
      </c>
      <c r="L60" s="9" t="inlineStr">
        <is>
          <t>Not yet started</t>
        </is>
      </c>
      <c r="N60" s="19">
        <f>IF(AND(N$15+6&gt;=$D60,N$15&lt;=$E60),"◆","")</f>
        <v/>
      </c>
      <c r="O60" s="19">
        <f>IF(AND(O$15+6&gt;=$D60,O$15&lt;=$E60),"◆","")</f>
        <v/>
      </c>
      <c r="P60" s="19">
        <f>IF(AND(P$15+6&gt;=$D60,P$15&lt;=$E60),"◆","")</f>
        <v/>
      </c>
      <c r="Q60" s="19">
        <f>IF(AND(Q$15+6&gt;=$D60,Q$15&lt;=$E60),"◆","")</f>
        <v/>
      </c>
      <c r="R60" s="19">
        <f>IF(AND(R$15+6&gt;=$D60,R$15&lt;=$E60),"◆","")</f>
        <v/>
      </c>
      <c r="S60" s="19">
        <f>IF(AND(S$15+6&gt;=$D60,S$15&lt;=$E60),"◆","")</f>
        <v/>
      </c>
      <c r="T60" s="19">
        <f>IF(AND(T$15+6&gt;=$D60,T$15&lt;=$E60),"◆","")</f>
        <v/>
      </c>
      <c r="U60" s="19">
        <f>IF(AND(U$15+6&gt;=$D60,U$15&lt;=$E60),"◆","")</f>
        <v/>
      </c>
      <c r="V60" s="19">
        <f>IF(AND(V$15+6&gt;=$D60,V$15&lt;=$E60),"◆","")</f>
        <v/>
      </c>
      <c r="W60" s="19">
        <f>IF(AND(W$15+6&gt;=$D60,W$15&lt;=$E60),"◆","")</f>
        <v/>
      </c>
      <c r="X60" s="19">
        <f>IF(AND(X$15+6&gt;=$D60,X$15&lt;=$E60),"◆","")</f>
        <v/>
      </c>
      <c r="Y60" s="19">
        <f>IF(AND(Y$15+6&gt;=$D60,Y$15&lt;=$E60),"◆","")</f>
        <v/>
      </c>
      <c r="Z60" s="19">
        <f>IF(AND(Z$15+6&gt;=$D60,Z$15&lt;=$E60),"◆","")</f>
        <v/>
      </c>
      <c r="AA60" s="19">
        <f>IF(AND(AA$15+6&gt;=$D60,AA$15&lt;=$E60),"◆","")</f>
        <v/>
      </c>
      <c r="AB60" s="19">
        <f>IF(AND(AB$15+6&gt;=$D60,AB$15&lt;=$E60),"◆","")</f>
        <v/>
      </c>
      <c r="AC60" s="19">
        <f>IF(AND(AC$15+6&gt;=$D60,AC$15&lt;=$E60),"◆","")</f>
        <v/>
      </c>
      <c r="AD60" s="19">
        <f>IF(AND(AD$15+6&gt;=$D60,AD$15&lt;=$E60),"◆","")</f>
        <v/>
      </c>
      <c r="AE60" s="19">
        <f>IF(AND(AE$15+6&gt;=$D60,AE$15&lt;=$E60),"◆","")</f>
        <v/>
      </c>
      <c r="AF60" s="19">
        <f>IF(AND(AF$15+6&gt;=$D60,AF$15&lt;=$E60),"◆","")</f>
        <v/>
      </c>
      <c r="AG60" s="19">
        <f>IF(AND(AG$15+6&gt;=$D60,AG$15&lt;=$E60),"◆","")</f>
        <v/>
      </c>
      <c r="AH60" s="19">
        <f>IF(AND(AH$15+6&gt;=$D60,AH$15&lt;=$E60),"◆","")</f>
        <v/>
      </c>
      <c r="AI60" s="19">
        <f>IF(AND(AI$15+6&gt;=$D60,AI$15&lt;=$E60),"◆","")</f>
        <v/>
      </c>
      <c r="AJ60" s="19">
        <f>IF(AND(AJ$15+6&gt;=$D60,AJ$15&lt;=$E60),"◆","")</f>
        <v/>
      </c>
      <c r="AK60" s="19">
        <f>IF(AND(AK$15+6&gt;=$D60,AK$15&lt;=$E60),"◆","")</f>
        <v/>
      </c>
      <c r="AL60" s="19">
        <f>IF(AND(AL$15+6&gt;=$D60,AL$15&lt;=$E60),"◆","")</f>
        <v/>
      </c>
      <c r="AM60" s="19">
        <f>IF(AND(AM$15+6&gt;=$D60,AM$15&lt;=$E60),"◆","")</f>
        <v/>
      </c>
      <c r="AN60" s="19">
        <f>IF(AND(AN$15+6&gt;=$D60,AN$15&lt;=$E60),"◆","")</f>
        <v/>
      </c>
      <c r="AO60" s="19">
        <f>IF(AND(AO$15+6&gt;=$D60,AO$15&lt;=$E60),"◆","")</f>
        <v/>
      </c>
      <c r="AP60" s="19">
        <f>IF(AND(AP$15+6&gt;=$D60,AP$15&lt;=$E60),"◆","")</f>
        <v/>
      </c>
      <c r="AQ60" s="19">
        <f>IF(AND(AQ$15+6&gt;=$D60,AQ$15&lt;=$E60),"◆","")</f>
        <v/>
      </c>
      <c r="AR60" s="19">
        <f>IF(AND(AR$15+6&gt;=$D60,AR$15&lt;=$E60),"◆","")</f>
        <v/>
      </c>
      <c r="AS60" s="19">
        <f>IF(AND(AS$15+6&gt;=$D60,AS$15&lt;=$E60),"◆","")</f>
        <v/>
      </c>
      <c r="AT60" s="19">
        <f>IF(AND(AT$15+6&gt;=$D60,AT$15&lt;=$E60),"◆","")</f>
        <v/>
      </c>
      <c r="AU60" s="19">
        <f>IF(AND(AU$15+6&gt;=$D60,AU$15&lt;=$E60),"◆","")</f>
        <v/>
      </c>
      <c r="AV60" s="19">
        <f>IF(AND(AV$15+6&gt;=$D60,AV$15&lt;=$E60),"◆","")</f>
        <v/>
      </c>
      <c r="AW60" s="19">
        <f>IF(AND(AW$15+6&gt;=$D60,AW$15&lt;=$E60),"◆","")</f>
        <v/>
      </c>
      <c r="AX60" s="19">
        <f>IF(AND(AX$15+6&gt;=$D60,AX$15&lt;=$E60),"◆","")</f>
        <v/>
      </c>
      <c r="AY60" s="19">
        <f>IF(AND(AY$15+6&gt;=$D60,AY$15&lt;=$E60),"◆","")</f>
        <v/>
      </c>
      <c r="AZ60" s="19">
        <f>IF(AND(AZ$15+6&gt;=$D60,AZ$15&lt;=$E60),"◆","")</f>
        <v/>
      </c>
      <c r="BA60" s="19">
        <f>IF(AND(BA$15+6&gt;=$D60,BA$15&lt;=$E60),"◆","")</f>
        <v/>
      </c>
    </row>
    <row r="61" ht="39" customHeight="1">
      <c r="B61" s="9" t="inlineStr">
        <is>
          <t>Meeting: University Council – approves report</t>
        </is>
      </c>
      <c r="C61" s="9" t="inlineStr">
        <is>
          <t>Meeting</t>
        </is>
      </c>
      <c r="D61" s="18">
        <f>D11</f>
        <v/>
      </c>
      <c r="E61" s="18">
        <f>D11</f>
        <v/>
      </c>
      <c r="F61" s="9">
        <f>TEXT(D61,"d mmm")&amp;IF(E61&lt;&gt;D61," – "&amp;TEXT(E61,"d mmm"),"")</f>
        <v/>
      </c>
      <c r="G61" s="9" t="inlineStr"/>
      <c r="H61" s="9" t="inlineStr"/>
      <c r="I61" s="9" t="inlineStr"/>
      <c r="J61" s="9" t="inlineStr"/>
      <c r="K61" s="9" t="inlineStr">
        <is>
          <t>Milestone</t>
        </is>
      </c>
      <c r="L61" s="9" t="inlineStr">
        <is>
          <t>Not yet started</t>
        </is>
      </c>
      <c r="N61" s="19">
        <f>IF(AND(N$15+6&gt;=$D61,N$15&lt;=$E61),"◆","")</f>
        <v/>
      </c>
      <c r="O61" s="19">
        <f>IF(AND(O$15+6&gt;=$D61,O$15&lt;=$E61),"◆","")</f>
        <v/>
      </c>
      <c r="P61" s="19">
        <f>IF(AND(P$15+6&gt;=$D61,P$15&lt;=$E61),"◆","")</f>
        <v/>
      </c>
      <c r="Q61" s="19">
        <f>IF(AND(Q$15+6&gt;=$D61,Q$15&lt;=$E61),"◆","")</f>
        <v/>
      </c>
      <c r="R61" s="19">
        <f>IF(AND(R$15+6&gt;=$D61,R$15&lt;=$E61),"◆","")</f>
        <v/>
      </c>
      <c r="S61" s="19">
        <f>IF(AND(S$15+6&gt;=$D61,S$15&lt;=$E61),"◆","")</f>
        <v/>
      </c>
      <c r="T61" s="19">
        <f>IF(AND(T$15+6&gt;=$D61,T$15&lt;=$E61),"◆","")</f>
        <v/>
      </c>
      <c r="U61" s="19">
        <f>IF(AND(U$15+6&gt;=$D61,U$15&lt;=$E61),"◆","")</f>
        <v/>
      </c>
      <c r="V61" s="19">
        <f>IF(AND(V$15+6&gt;=$D61,V$15&lt;=$E61),"◆","")</f>
        <v/>
      </c>
      <c r="W61" s="19">
        <f>IF(AND(W$15+6&gt;=$D61,W$15&lt;=$E61),"◆","")</f>
        <v/>
      </c>
      <c r="X61" s="19">
        <f>IF(AND(X$15+6&gt;=$D61,X$15&lt;=$E61),"◆","")</f>
        <v/>
      </c>
      <c r="Y61" s="19">
        <f>IF(AND(Y$15+6&gt;=$D61,Y$15&lt;=$E61),"◆","")</f>
        <v/>
      </c>
      <c r="Z61" s="19">
        <f>IF(AND(Z$15+6&gt;=$D61,Z$15&lt;=$E61),"◆","")</f>
        <v/>
      </c>
      <c r="AA61" s="19">
        <f>IF(AND(AA$15+6&gt;=$D61,AA$15&lt;=$E61),"◆","")</f>
        <v/>
      </c>
      <c r="AB61" s="19">
        <f>IF(AND(AB$15+6&gt;=$D61,AB$15&lt;=$E61),"◆","")</f>
        <v/>
      </c>
      <c r="AC61" s="19">
        <f>IF(AND(AC$15+6&gt;=$D61,AC$15&lt;=$E61),"◆","")</f>
        <v/>
      </c>
      <c r="AD61" s="19">
        <f>IF(AND(AD$15+6&gt;=$D61,AD$15&lt;=$E61),"◆","")</f>
        <v/>
      </c>
      <c r="AE61" s="19">
        <f>IF(AND(AE$15+6&gt;=$D61,AE$15&lt;=$E61),"◆","")</f>
        <v/>
      </c>
      <c r="AF61" s="19">
        <f>IF(AND(AF$15+6&gt;=$D61,AF$15&lt;=$E61),"◆","")</f>
        <v/>
      </c>
      <c r="AG61" s="19">
        <f>IF(AND(AG$15+6&gt;=$D61,AG$15&lt;=$E61),"◆","")</f>
        <v/>
      </c>
      <c r="AH61" s="19">
        <f>IF(AND(AH$15+6&gt;=$D61,AH$15&lt;=$E61),"◆","")</f>
        <v/>
      </c>
      <c r="AI61" s="19">
        <f>IF(AND(AI$15+6&gt;=$D61,AI$15&lt;=$E61),"◆","")</f>
        <v/>
      </c>
      <c r="AJ61" s="19">
        <f>IF(AND(AJ$15+6&gt;=$D61,AJ$15&lt;=$E61),"◆","")</f>
        <v/>
      </c>
      <c r="AK61" s="19">
        <f>IF(AND(AK$15+6&gt;=$D61,AK$15&lt;=$E61),"◆","")</f>
        <v/>
      </c>
      <c r="AL61" s="19">
        <f>IF(AND(AL$15+6&gt;=$D61,AL$15&lt;=$E61),"◆","")</f>
        <v/>
      </c>
      <c r="AM61" s="19">
        <f>IF(AND(AM$15+6&gt;=$D61,AM$15&lt;=$E61),"◆","")</f>
        <v/>
      </c>
      <c r="AN61" s="19">
        <f>IF(AND(AN$15+6&gt;=$D61,AN$15&lt;=$E61),"◆","")</f>
        <v/>
      </c>
      <c r="AO61" s="19">
        <f>IF(AND(AO$15+6&gt;=$D61,AO$15&lt;=$E61),"◆","")</f>
        <v/>
      </c>
      <c r="AP61" s="19">
        <f>IF(AND(AP$15+6&gt;=$D61,AP$15&lt;=$E61),"◆","")</f>
        <v/>
      </c>
      <c r="AQ61" s="19">
        <f>IF(AND(AQ$15+6&gt;=$D61,AQ$15&lt;=$E61),"◆","")</f>
        <v/>
      </c>
      <c r="AR61" s="19">
        <f>IF(AND(AR$15+6&gt;=$D61,AR$15&lt;=$E61),"◆","")</f>
        <v/>
      </c>
      <c r="AS61" s="19">
        <f>IF(AND(AS$15+6&gt;=$D61,AS$15&lt;=$E61),"◆","")</f>
        <v/>
      </c>
      <c r="AT61" s="19">
        <f>IF(AND(AT$15+6&gt;=$D61,AT$15&lt;=$E61),"◆","")</f>
        <v/>
      </c>
      <c r="AU61" s="19">
        <f>IF(AND(AU$15+6&gt;=$D61,AU$15&lt;=$E61),"◆","")</f>
        <v/>
      </c>
      <c r="AV61" s="19">
        <f>IF(AND(AV$15+6&gt;=$D61,AV$15&lt;=$E61),"◆","")</f>
        <v/>
      </c>
      <c r="AW61" s="19">
        <f>IF(AND(AW$15+6&gt;=$D61,AW$15&lt;=$E61),"◆","")</f>
        <v/>
      </c>
      <c r="AX61" s="19">
        <f>IF(AND(AX$15+6&gt;=$D61,AX$15&lt;=$E61),"◆","")</f>
        <v/>
      </c>
      <c r="AY61" s="19">
        <f>IF(AND(AY$15+6&gt;=$D61,AY$15&lt;=$E61),"◆","")</f>
        <v/>
      </c>
      <c r="AZ61" s="19">
        <f>IF(AND(AZ$15+6&gt;=$D61,AZ$15&lt;=$E61),"◆","")</f>
        <v/>
      </c>
      <c r="BA61" s="19">
        <f>IF(AND(BA$15+6&gt;=$D61,BA$15&lt;=$E61),"◆","")</f>
        <v/>
      </c>
    </row>
    <row r="62" ht="22" customHeight="1">
      <c r="B62" s="16" t="inlineStr">
        <is>
          <t>Publication &amp; close-out (May–Jun 2027)</t>
        </is>
      </c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</row>
    <row r="63" ht="39" customHeight="1">
      <c r="B63" s="9" t="inlineStr">
        <is>
          <t>Web build; QA, accessibility and web checks; agree analytics measures</t>
        </is>
      </c>
      <c r="C63" s="9" t="inlineStr">
        <is>
          <t>Before launch</t>
        </is>
      </c>
      <c r="D63" s="18" t="n">
        <v>46447</v>
      </c>
      <c r="E63" s="18" t="n">
        <v>46535</v>
      </c>
      <c r="F63" s="9">
        <f>TEXT(D63,"d mmm")&amp;IF(E63&lt;&gt;D63," – "&amp;TEXT(E63,"d mmm"),"")</f>
        <v/>
      </c>
      <c r="G63" s="9" t="inlineStr">
        <is>
          <t>Comms/digital</t>
        </is>
      </c>
      <c r="H63" s="9" t="inlineStr"/>
      <c r="I63" s="9" t="inlineStr">
        <is>
          <t>SST</t>
        </is>
      </c>
      <c r="J63" s="9" t="inlineStr"/>
      <c r="K63" s="9" t="inlineStr">
        <is>
          <t>High</t>
        </is>
      </c>
      <c r="L63" s="9" t="inlineStr">
        <is>
          <t>Not yet started</t>
        </is>
      </c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</row>
    <row r="64" ht="39" customHeight="1">
      <c r="B64" s="9" t="inlineStr">
        <is>
          <t>Publish report (year-specific URL + landing page)</t>
        </is>
      </c>
      <c r="C64" s="9" t="inlineStr">
        <is>
          <t>June</t>
        </is>
      </c>
      <c r="D64" s="18" t="n">
        <v>46539</v>
      </c>
      <c r="E64" s="18" t="n">
        <v>46568</v>
      </c>
      <c r="F64" s="9">
        <f>TEXT(D64,"d mmm")&amp;IF(E64&lt;&gt;D64," – "&amp;TEXT(E64,"d mmm"),"")</f>
        <v/>
      </c>
      <c r="G64" s="9" t="inlineStr">
        <is>
          <t>Comms/digital</t>
        </is>
      </c>
      <c r="H64" s="9" t="inlineStr">
        <is>
          <t>Director, Sustainability</t>
        </is>
      </c>
      <c r="I64" s="9" t="inlineStr"/>
      <c r="J64" s="9" t="inlineStr"/>
      <c r="K64" s="9" t="inlineStr">
        <is>
          <t>Milestone</t>
        </is>
      </c>
      <c r="L64" s="9" t="inlineStr">
        <is>
          <t>Not yet started</t>
        </is>
      </c>
      <c r="N64" s="19">
        <f>IF(AND(N$15+6&gt;=$D64,N$15&lt;=$E64),"◆","")</f>
        <v/>
      </c>
      <c r="O64" s="19">
        <f>IF(AND(O$15+6&gt;=$D64,O$15&lt;=$E64),"◆","")</f>
        <v/>
      </c>
      <c r="P64" s="19">
        <f>IF(AND(P$15+6&gt;=$D64,P$15&lt;=$E64),"◆","")</f>
        <v/>
      </c>
      <c r="Q64" s="19">
        <f>IF(AND(Q$15+6&gt;=$D64,Q$15&lt;=$E64),"◆","")</f>
        <v/>
      </c>
      <c r="R64" s="19">
        <f>IF(AND(R$15+6&gt;=$D64,R$15&lt;=$E64),"◆","")</f>
        <v/>
      </c>
      <c r="S64" s="19">
        <f>IF(AND(S$15+6&gt;=$D64,S$15&lt;=$E64),"◆","")</f>
        <v/>
      </c>
      <c r="T64" s="19">
        <f>IF(AND(T$15+6&gt;=$D64,T$15&lt;=$E64),"◆","")</f>
        <v/>
      </c>
      <c r="U64" s="19">
        <f>IF(AND(U$15+6&gt;=$D64,U$15&lt;=$E64),"◆","")</f>
        <v/>
      </c>
      <c r="V64" s="19">
        <f>IF(AND(V$15+6&gt;=$D64,V$15&lt;=$E64),"◆","")</f>
        <v/>
      </c>
      <c r="W64" s="19">
        <f>IF(AND(W$15+6&gt;=$D64,W$15&lt;=$E64),"◆","")</f>
        <v/>
      </c>
      <c r="X64" s="19">
        <f>IF(AND(X$15+6&gt;=$D64,X$15&lt;=$E64),"◆","")</f>
        <v/>
      </c>
      <c r="Y64" s="19">
        <f>IF(AND(Y$15+6&gt;=$D64,Y$15&lt;=$E64),"◆","")</f>
        <v/>
      </c>
      <c r="Z64" s="19">
        <f>IF(AND(Z$15+6&gt;=$D64,Z$15&lt;=$E64),"◆","")</f>
        <v/>
      </c>
      <c r="AA64" s="19">
        <f>IF(AND(AA$15+6&gt;=$D64,AA$15&lt;=$E64),"◆","")</f>
        <v/>
      </c>
      <c r="AB64" s="19">
        <f>IF(AND(AB$15+6&gt;=$D64,AB$15&lt;=$E64),"◆","")</f>
        <v/>
      </c>
      <c r="AC64" s="19">
        <f>IF(AND(AC$15+6&gt;=$D64,AC$15&lt;=$E64),"◆","")</f>
        <v/>
      </c>
      <c r="AD64" s="19">
        <f>IF(AND(AD$15+6&gt;=$D64,AD$15&lt;=$E64),"◆","")</f>
        <v/>
      </c>
      <c r="AE64" s="19">
        <f>IF(AND(AE$15+6&gt;=$D64,AE$15&lt;=$E64),"◆","")</f>
        <v/>
      </c>
      <c r="AF64" s="19">
        <f>IF(AND(AF$15+6&gt;=$D64,AF$15&lt;=$E64),"◆","")</f>
        <v/>
      </c>
      <c r="AG64" s="19">
        <f>IF(AND(AG$15+6&gt;=$D64,AG$15&lt;=$E64),"◆","")</f>
        <v/>
      </c>
      <c r="AH64" s="19">
        <f>IF(AND(AH$15+6&gt;=$D64,AH$15&lt;=$E64),"◆","")</f>
        <v/>
      </c>
      <c r="AI64" s="19">
        <f>IF(AND(AI$15+6&gt;=$D64,AI$15&lt;=$E64),"◆","")</f>
        <v/>
      </c>
      <c r="AJ64" s="19">
        <f>IF(AND(AJ$15+6&gt;=$D64,AJ$15&lt;=$E64),"◆","")</f>
        <v/>
      </c>
      <c r="AK64" s="19">
        <f>IF(AND(AK$15+6&gt;=$D64,AK$15&lt;=$E64),"◆","")</f>
        <v/>
      </c>
      <c r="AL64" s="19">
        <f>IF(AND(AL$15+6&gt;=$D64,AL$15&lt;=$E64),"◆","")</f>
        <v/>
      </c>
      <c r="AM64" s="19">
        <f>IF(AND(AM$15+6&gt;=$D64,AM$15&lt;=$E64),"◆","")</f>
        <v/>
      </c>
      <c r="AN64" s="19">
        <f>IF(AND(AN$15+6&gt;=$D64,AN$15&lt;=$E64),"◆","")</f>
        <v/>
      </c>
      <c r="AO64" s="19">
        <f>IF(AND(AO$15+6&gt;=$D64,AO$15&lt;=$E64),"◆","")</f>
        <v/>
      </c>
      <c r="AP64" s="19">
        <f>IF(AND(AP$15+6&gt;=$D64,AP$15&lt;=$E64),"◆","")</f>
        <v/>
      </c>
      <c r="AQ64" s="19">
        <f>IF(AND(AQ$15+6&gt;=$D64,AQ$15&lt;=$E64),"◆","")</f>
        <v/>
      </c>
      <c r="AR64" s="19">
        <f>IF(AND(AR$15+6&gt;=$D64,AR$15&lt;=$E64),"◆","")</f>
        <v/>
      </c>
      <c r="AS64" s="19">
        <f>IF(AND(AS$15+6&gt;=$D64,AS$15&lt;=$E64),"◆","")</f>
        <v/>
      </c>
      <c r="AT64" s="19">
        <f>IF(AND(AT$15+6&gt;=$D64,AT$15&lt;=$E64),"◆","")</f>
        <v/>
      </c>
      <c r="AU64" s="19">
        <f>IF(AND(AU$15+6&gt;=$D64,AU$15&lt;=$E64),"◆","")</f>
        <v/>
      </c>
      <c r="AV64" s="19">
        <f>IF(AND(AV$15+6&gt;=$D64,AV$15&lt;=$E64),"◆","")</f>
        <v/>
      </c>
      <c r="AW64" s="19">
        <f>IF(AND(AW$15+6&gt;=$D64,AW$15&lt;=$E64),"◆","")</f>
        <v/>
      </c>
      <c r="AX64" s="19">
        <f>IF(AND(AX$15+6&gt;=$D64,AX$15&lt;=$E64),"◆","")</f>
        <v/>
      </c>
      <c r="AY64" s="19">
        <f>IF(AND(AY$15+6&gt;=$D64,AY$15&lt;=$E64),"◆","")</f>
        <v/>
      </c>
      <c r="AZ64" s="19">
        <f>IF(AND(AZ$15+6&gt;=$D64,AZ$15&lt;=$E64),"◆","")</f>
        <v/>
      </c>
      <c r="BA64" s="19">
        <f>IF(AND(BA$15+6&gt;=$D64,BA$15&lt;=$E64),"◆","")</f>
        <v/>
      </c>
    </row>
    <row r="65" ht="39" customHeight="1">
      <c r="B65" s="9" t="inlineStr">
        <is>
          <t>Monitor engagement; project retrospective; improvements for 2027 cycle</t>
        </is>
      </c>
      <c r="C65" s="9" t="inlineStr"/>
      <c r="D65" s="18" t="n">
        <v>46539</v>
      </c>
      <c r="E65" s="18" t="n">
        <v>46598</v>
      </c>
      <c r="F65" s="9">
        <f>TEXT(D65,"d mmm")&amp;IF(E65&lt;&gt;D65," – "&amp;TEXT(E65,"d mmm"),"")</f>
        <v/>
      </c>
      <c r="G65" s="9" t="inlineStr">
        <is>
          <t>SST</t>
        </is>
      </c>
      <c r="H65" s="9" t="inlineStr"/>
      <c r="I65" s="9" t="inlineStr">
        <is>
          <t>Comms, design</t>
        </is>
      </c>
      <c r="J65" s="9" t="inlineStr"/>
      <c r="K65" s="9" t="inlineStr">
        <is>
          <t>Medium</t>
        </is>
      </c>
      <c r="L65" s="9" t="inlineStr">
        <is>
          <t>Not yet started</t>
        </is>
      </c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</row>
  </sheetData>
  <conditionalFormatting sqref="N16:BA65">
    <cfRule type="expression" priority="1" dxfId="0" stopIfTrue="1">
      <formula>AND(AND($K16&lt;&gt;"Milestone",$D16&lt;&gt;"",N$15+6&gt;=$D16,N$15&lt;=$E16),$L16="Complete")</formula>
    </cfRule>
    <cfRule type="expression" priority="2" dxfId="1" stopIfTrue="1">
      <formula>AND($K16&lt;&gt;"Milestone",$D16&lt;&gt;"",N$15+6&gt;=$D16,N$15&lt;=$E16)</formula>
    </cfRule>
    <cfRule type="expression" priority="3" dxfId="2">
      <formula>AND(N$15&gt;=DATE(2026,12,21),N$15&lt;=DATE(2026,12,28))</formula>
    </cfRule>
    <cfRule type="expression" priority="4" dxfId="3">
      <formula>SUMPRODUCT(($E$6:$E$11&gt;=N$15)*($E$6:$E$11&lt;=N$15+6))&gt;0</formula>
    </cfRule>
  </conditionalFormatting>
  <conditionalFormatting sqref="N15:BA15">
    <cfRule type="expression" priority="5" dxfId="4">
      <formula>AND(TODAY()&gt;=N$15,TODAY()&lt;=N$15+6)</formula>
    </cfRule>
  </conditionalFormatting>
  <dataValidations count="1">
    <dataValidation sqref="L16:L65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P3. Comms + web build to-do list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8" t="inlineStr">
        <is>
          <t>Report component or page</t>
        </is>
      </c>
      <c r="C6" s="8" t="inlineStr">
        <is>
          <t>Case study/content name</t>
        </is>
      </c>
      <c r="D6" s="8" t="inlineStr">
        <is>
          <t>Lead</t>
        </is>
      </c>
      <c r="E6" s="8" t="inlineStr">
        <is>
          <t>Priority level</t>
        </is>
      </c>
      <c r="F6" s="8" t="inlineStr">
        <is>
          <t>Agreed deadline</t>
        </is>
      </c>
      <c r="G6" s="8" t="inlineStr">
        <is>
          <t>Action needed</t>
        </is>
      </c>
      <c r="H6" s="8" t="inlineStr">
        <is>
          <t>Details</t>
        </is>
      </c>
      <c r="I6" s="8" t="inlineStr">
        <is>
          <t>Complete? (Y/N)</t>
        </is>
      </c>
      <c r="J6" s="8" t="inlineStr">
        <is>
          <t>Updates/blockers/FYI</t>
        </is>
      </c>
    </row>
    <row r="7" ht="56" customHeight="1">
      <c r="B7" s="9" t="inlineStr">
        <is>
          <t>Web – whole report</t>
        </is>
      </c>
      <c r="C7" s="9" t="inlineStr">
        <is>
          <t>Year-specific report URL</t>
        </is>
      </c>
      <c r="D7" s="9" t="inlineStr">
        <is>
          <t>Comms/digital</t>
        </is>
      </c>
      <c r="E7" s="9" t="inlineStr">
        <is>
          <t>High</t>
        </is>
      </c>
      <c r="F7" s="9" t="inlineStr"/>
      <c r="G7" s="9" t="inlineStr">
        <is>
          <t>Set up</t>
        </is>
      </c>
      <c r="H7" s="9" t="inlineStr">
        <is>
          <t>Use a year-specific URL (e.g. /sustainabilityreport/2026) and retain the central reports landing page (SR25 lesson).</t>
        </is>
      </c>
      <c r="I7" s="9" t="inlineStr"/>
      <c r="J7" s="9" t="inlineStr"/>
    </row>
    <row r="8" ht="39" customHeight="1">
      <c r="B8" s="9" t="inlineStr">
        <is>
          <t>Web – whole report</t>
        </is>
      </c>
      <c r="C8" s="9" t="inlineStr">
        <is>
          <t>Analytics measures</t>
        </is>
      </c>
      <c r="D8" s="9" t="inlineStr">
        <is>
          <t>Comms/digital</t>
        </is>
      </c>
      <c r="E8" s="9" t="inlineStr">
        <is>
          <t>High</t>
        </is>
      </c>
      <c r="F8" s="9" t="inlineStr"/>
      <c r="G8" s="9" t="inlineStr">
        <is>
          <t>Agree before launch</t>
        </is>
      </c>
      <c r="H8" s="9" t="inlineStr">
        <is>
          <t>Agree web sessions, users and views measures before launch so project close can report them.</t>
        </is>
      </c>
      <c r="I8" s="9" t="inlineStr"/>
      <c r="J8" s="9" t="inlineStr"/>
    </row>
    <row r="9" ht="39" customHeight="1">
      <c r="B9" s="9" t="inlineStr">
        <is>
          <t>Web – whole report</t>
        </is>
      </c>
      <c r="C9" s="9" t="inlineStr">
        <is>
          <t>Accessibility &amp; reviewer workflow testing</t>
        </is>
      </c>
      <c r="D9" s="9" t="inlineStr">
        <is>
          <t>Comms/digital</t>
        </is>
      </c>
      <c r="E9" s="9" t="inlineStr">
        <is>
          <t>High</t>
        </is>
      </c>
      <c r="F9" s="9" t="inlineStr"/>
      <c r="G9" s="9" t="inlineStr">
        <is>
          <t>Test</t>
        </is>
      </c>
      <c r="H9" s="9" t="inlineStr">
        <is>
          <t>Navigation, links, mobile usability, accessibility, reviewer workflows – before governance approval.</t>
        </is>
      </c>
      <c r="I9" s="9" t="inlineStr"/>
      <c r="J9" s="9" t="inlineStr"/>
    </row>
    <row r="10" ht="39" customHeight="1">
      <c r="B10" s="9" t="inlineStr">
        <is>
          <t>Report introduction</t>
        </is>
      </c>
      <c r="C10" s="9" t="inlineStr">
        <is>
          <t>Transition-year framing</t>
        </is>
      </c>
      <c r="D10" s="9" t="inlineStr">
        <is>
          <t>SST</t>
        </is>
      </c>
      <c r="E10" s="9" t="inlineStr">
        <is>
          <t>High</t>
        </is>
      </c>
      <c r="F10" s="9" t="inlineStr"/>
      <c r="G10" s="9" t="inlineStr">
        <is>
          <t>Draft</t>
        </is>
      </c>
      <c r="H10" s="9" t="inlineStr">
        <is>
          <t>Explain former SP2030 vs Sustainability 2030 (launched ~20 Oct 2026).</t>
        </is>
      </c>
      <c r="I10" s="9" t="inlineStr"/>
      <c r="J10" s="9" t="inlineStr"/>
    </row>
    <row r="11" ht="39" customHeight="1">
      <c r="B11" s="9" t="inlineStr">
        <is>
          <t>Whole report</t>
        </is>
      </c>
      <c r="C11" s="9" t="inlineStr">
        <is>
          <t>Whole-report review</t>
        </is>
      </c>
      <c r="D11" s="9" t="inlineStr">
        <is>
          <t>Strategic Comms</t>
        </is>
      </c>
      <c r="E11" s="9" t="inlineStr">
        <is>
          <t>High</t>
        </is>
      </c>
      <c r="F11" s="9" t="inlineStr"/>
      <c r="G11" s="9" t="inlineStr">
        <is>
          <t>Schedule</t>
        </is>
      </c>
      <c r="H11" s="9" t="inlineStr">
        <is>
          <t>Schedule early enough for material changes.</t>
        </is>
      </c>
      <c r="I11" s="9" t="inlineStr"/>
      <c r="J11" s="9" t="inlineStr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</row>
    <row r="15"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</row>
    <row r="19"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</row>
    <row r="27"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</row>
    <row r="31"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</row>
    <row r="39"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</row>
    <row r="40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</row>
    <row r="42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</row>
    <row r="43"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</row>
    <row r="45"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</row>
    <row r="46"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</row>
    <row r="47"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</row>
    <row r="48"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</row>
    <row r="49"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</row>
    <row r="51"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</row>
    <row r="52"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</row>
    <row r="53"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</row>
    <row r="54"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</row>
    <row r="55"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</row>
    <row r="56"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</row>
    <row r="57"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</row>
    <row r="59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58" customHeight="1">
      <c r="A2" s="1" t="n"/>
      <c r="B2" s="2" t="inlineStr">
        <is>
          <t>P4. Content contributor checklist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8" t="inlineStr">
        <is>
          <t>Report section</t>
        </is>
      </c>
      <c r="C6" s="8" t="inlineStr">
        <is>
          <t>Case study</t>
        </is>
      </c>
      <c r="D6" s="8" t="inlineStr">
        <is>
          <t>Activity areas</t>
        </is>
      </c>
      <c r="E6" s="8" t="inlineStr">
        <is>
          <t>Review required? (Y/N)</t>
        </is>
      </c>
      <c r="F6" s="8" t="inlineStr">
        <is>
          <t>Content contributors</t>
        </is>
      </c>
      <c r="G6" s="8" t="inlineStr">
        <is>
          <t>Project team liaison</t>
        </is>
      </c>
      <c r="H6" s="8" t="inlineStr">
        <is>
          <t>Sent for review (date)</t>
        </is>
      </c>
      <c r="I6" s="8" t="inlineStr">
        <is>
          <t>Changes required? (Y/N)</t>
        </is>
      </c>
      <c r="J6" s="8" t="inlineStr">
        <is>
          <t>SR26 draft updated? (Y/N)</t>
        </is>
      </c>
      <c r="K6" s="8" t="inlineStr">
        <is>
          <t>SR26 website updated? (Y/N)</t>
        </is>
      </c>
      <c r="L6" s="8" t="inlineStr">
        <is>
          <t>Images shared? (Y/N)</t>
        </is>
      </c>
      <c r="M6" s="8" t="inlineStr">
        <is>
          <t>Image URL</t>
        </is>
      </c>
      <c r="N6" s="8" t="inlineStr">
        <is>
          <t>Known image gap</t>
        </is>
      </c>
      <c r="O6" s="8" t="inlineStr">
        <is>
          <t>Credit noted?</t>
        </is>
      </c>
      <c r="P6" s="8" t="inlineStr">
        <is>
          <t>Caption text</t>
        </is>
      </c>
      <c r="Q6" s="8" t="inlineStr">
        <is>
          <t>Permission to publish confirmed?</t>
        </is>
      </c>
      <c r="R6" s="8" t="inlineStr">
        <is>
          <t>Post-launch: send to</t>
        </is>
      </c>
      <c r="S6" s="8" t="inlineStr">
        <is>
          <t>CC</t>
        </is>
      </c>
      <c r="T6" s="8" t="inlineStr">
        <is>
          <t>Sent (date)</t>
        </is>
      </c>
      <c r="U6" s="8" t="inlineStr">
        <is>
          <t>Complete? (Y/N)</t>
        </is>
      </c>
    </row>
    <row r="7"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</row>
    <row r="10"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</row>
    <row r="12"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</row>
    <row r="13"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</row>
    <row r="15"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</row>
    <row r="16"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</row>
    <row r="17"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</row>
    <row r="18"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</row>
    <row r="19"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</row>
    <row r="20"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</row>
    <row r="21"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</row>
    <row r="22"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</row>
    <row r="23"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</row>
    <row r="24"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</row>
    <row r="25"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</row>
    <row r="26"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</row>
    <row r="27"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</row>
    <row r="28"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</row>
    <row r="29"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</row>
    <row r="30"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</row>
    <row r="31"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</row>
    <row r="32"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</row>
    <row r="33"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</row>
    <row r="34"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</row>
    <row r="35"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</row>
    <row r="36"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</row>
    <row r="37"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</row>
    <row r="38"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</row>
    <row r="40"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</row>
    <row r="41"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</row>
    <row r="42"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</row>
    <row r="43"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</row>
    <row r="44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</row>
    <row r="45"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</row>
    <row r="46"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</row>
    <row r="47"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</row>
    <row r="48"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</row>
    <row r="49"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</row>
    <row r="50"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</row>
    <row r="51"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</row>
    <row r="52"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</row>
    <row r="53"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</row>
    <row r="54"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</row>
    <row r="55"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</row>
    <row r="56"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</row>
    <row r="57"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</row>
    <row r="58"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</row>
    <row r="59"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</row>
    <row r="60"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</row>
    <row r="61"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</row>
    <row r="62"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</row>
    <row r="63"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</row>
    <row r="64"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</row>
    <row r="65"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</row>
    <row r="66"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58" customHeight="1">
      <c r="A2" s="1" t="n"/>
      <c r="B2" s="2" t="inlineStr">
        <is>
          <t>P5. SR26 page index (URLs)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/>
    <row r="4"/>
    <row r="5" ht="42" customHeight="1">
      <c r="B5" s="8" t="inlineStr">
        <is>
          <t>Ref</t>
        </is>
      </c>
      <c r="C5" s="8" t="inlineStr">
        <is>
          <t>Sustainability 2030 component</t>
        </is>
      </c>
      <c r="D5" s="8" t="inlineStr">
        <is>
          <t>Page name</t>
        </is>
      </c>
      <c r="E5" s="8" t="inlineStr">
        <is>
          <t>Story / case study</t>
        </is>
      </c>
      <c r="F5" s="8" t="inlineStr">
        <is>
          <t>SR26 link</t>
        </is>
      </c>
      <c r="G5" s="8" t="inlineStr">
        <is>
          <t>Page description</t>
        </is>
      </c>
      <c r="H5" s="8" t="inlineStr">
        <is>
          <t>Character count</t>
        </is>
      </c>
      <c r="I5" s="8" t="inlineStr">
        <is>
          <t>SR25 equivalent page</t>
        </is>
      </c>
    </row>
    <row r="6" ht="22" customHeight="1">
      <c r="B6" s="20" t="inlineStr">
        <is>
          <t>FM01</t>
        </is>
      </c>
      <c r="C6" s="9" t="inlineStr">
        <is>
          <t>N/A</t>
        </is>
      </c>
      <c r="D6" s="9" t="inlineStr">
        <is>
          <t>Landing page</t>
        </is>
      </c>
      <c r="E6" s="9" t="inlineStr"/>
      <c r="F6" s="9" t="inlineStr"/>
      <c r="G6" s="9" t="inlineStr"/>
      <c r="H6" s="9">
        <f>LEN(G6)</f>
        <v/>
      </c>
      <c r="I6" s="9" t="inlineStr"/>
    </row>
    <row r="7" ht="22" customHeight="1">
      <c r="B7" s="20" t="inlineStr">
        <is>
          <t>FM02</t>
        </is>
      </c>
      <c r="C7" s="9" t="inlineStr">
        <is>
          <t>N/A</t>
        </is>
      </c>
      <c r="D7" s="9" t="inlineStr">
        <is>
          <t>Overview (transition year)</t>
        </is>
      </c>
      <c r="E7" s="9" t="inlineStr"/>
      <c r="F7" s="9" t="inlineStr"/>
      <c r="G7" s="9" t="inlineStr"/>
      <c r="H7" s="9">
        <f>LEN(G7)</f>
        <v/>
      </c>
      <c r="I7" s="9" t="inlineStr"/>
    </row>
    <row r="8" ht="22" customHeight="1">
      <c r="B8" s="20" t="inlineStr">
        <is>
          <t>FM03</t>
        </is>
      </c>
      <c r="C8" s="9" t="inlineStr">
        <is>
          <t>N/A</t>
        </is>
      </c>
      <c r="D8" s="9" t="inlineStr">
        <is>
          <t>Our impact</t>
        </is>
      </c>
      <c r="E8" s="9" t="inlineStr"/>
      <c r="F8" s="9" t="inlineStr"/>
      <c r="G8" s="9" t="inlineStr"/>
      <c r="H8" s="9">
        <f>LEN(G8)</f>
        <v/>
      </c>
      <c r="I8" s="9" t="inlineStr"/>
    </row>
    <row r="9" ht="22" customHeight="1">
      <c r="B9" s="20" t="inlineStr">
        <is>
          <t>PA01</t>
        </is>
      </c>
      <c r="C9" s="9" t="inlineStr">
        <is>
          <t>Education and research</t>
        </is>
      </c>
      <c r="D9" s="9" t="inlineStr">
        <is>
          <t>Exceptional education</t>
        </is>
      </c>
      <c r="E9" s="9" t="inlineStr"/>
      <c r="F9" s="9" t="inlineStr"/>
      <c r="G9" s="9" t="inlineStr"/>
      <c r="H9" s="9">
        <f>LEN(G9)</f>
        <v/>
      </c>
      <c r="I9" s="9" t="inlineStr"/>
    </row>
    <row r="10" ht="22" customHeight="1">
      <c r="B10" s="20" t="inlineStr">
        <is>
          <t>PA02</t>
        </is>
      </c>
      <c r="C10" s="9" t="inlineStr">
        <is>
          <t>Education and research</t>
        </is>
      </c>
      <c r="D10" s="9" t="inlineStr">
        <is>
          <t>Transformational research</t>
        </is>
      </c>
      <c r="E10" s="9" t="inlineStr"/>
      <c r="F10" s="9" t="inlineStr"/>
      <c r="G10" s="9" t="inlineStr"/>
      <c r="H10" s="9">
        <f>LEN(G10)</f>
        <v/>
      </c>
      <c r="I10" s="9" t="inlineStr"/>
    </row>
    <row r="11" ht="22" customHeight="1">
      <c r="B11" s="20" t="inlineStr">
        <is>
          <t>PA03</t>
        </is>
      </c>
      <c r="C11" s="9" t="inlineStr">
        <is>
          <t>Sustainability leadership</t>
        </is>
      </c>
      <c r="D11" s="9" t="inlineStr">
        <is>
          <t>Climate leadership</t>
        </is>
      </c>
      <c r="E11" s="9" t="inlineStr"/>
      <c r="F11" s="9" t="inlineStr"/>
      <c r="G11" s="9" t="inlineStr"/>
      <c r="H11" s="9">
        <f>LEN(G11)</f>
        <v/>
      </c>
      <c r="I11" s="9" t="inlineStr"/>
    </row>
    <row r="12" ht="22" customHeight="1">
      <c r="B12" s="20" t="inlineStr">
        <is>
          <t>PA04</t>
        </is>
      </c>
      <c r="C12" s="9" t="inlineStr">
        <is>
          <t>Sustainability leadership</t>
        </is>
      </c>
      <c r="D12" s="9" t="inlineStr">
        <is>
          <t>Nature and biodiversity</t>
        </is>
      </c>
      <c r="E12" s="9" t="inlineStr"/>
      <c r="F12" s="9" t="inlineStr"/>
      <c r="G12" s="9" t="inlineStr"/>
      <c r="H12" s="9">
        <f>LEN(G12)</f>
        <v/>
      </c>
      <c r="I12" s="9" t="inlineStr"/>
    </row>
    <row r="13" ht="22" customHeight="1">
      <c r="B13" s="20" t="inlineStr">
        <is>
          <t>PA05</t>
        </is>
      </c>
      <c r="C13" s="9" t="inlineStr">
        <is>
          <t>Sustainability leadership</t>
        </is>
      </c>
      <c r="D13" s="9" t="inlineStr">
        <is>
          <t>Responsible AI</t>
        </is>
      </c>
      <c r="E13" s="9" t="inlineStr"/>
      <c r="F13" s="9" t="inlineStr"/>
      <c r="G13" s="9" t="inlineStr"/>
      <c r="H13" s="9">
        <f>LEN(G13)</f>
        <v/>
      </c>
      <c r="I13" s="9" t="inlineStr"/>
    </row>
    <row r="14" ht="22" customHeight="1">
      <c r="B14" s="20" t="inlineStr">
        <is>
          <t>PA06</t>
        </is>
      </c>
      <c r="C14" s="9" t="inlineStr">
        <is>
          <t>Resilient University</t>
        </is>
      </c>
      <c r="D14" s="9" t="inlineStr">
        <is>
          <t>Estate and infrastructure</t>
        </is>
      </c>
      <c r="E14" s="9" t="inlineStr"/>
      <c r="F14" s="9" t="inlineStr"/>
      <c r="G14" s="9" t="inlineStr"/>
      <c r="H14" s="9">
        <f>LEN(G14)</f>
        <v/>
      </c>
      <c r="I14" s="9" t="inlineStr"/>
    </row>
    <row r="15" ht="22" customHeight="1">
      <c r="B15" s="20" t="inlineStr">
        <is>
          <t>PA07</t>
        </is>
      </c>
      <c r="C15" s="9" t="inlineStr">
        <is>
          <t>Resilient University</t>
        </is>
      </c>
      <c r="D15" s="9" t="inlineStr">
        <is>
          <t>Circular economy</t>
        </is>
      </c>
      <c r="E15" s="9" t="inlineStr"/>
      <c r="F15" s="9" t="inlineStr"/>
      <c r="G15" s="9" t="inlineStr"/>
      <c r="H15" s="9">
        <f>LEN(G15)</f>
        <v/>
      </c>
      <c r="I15" s="9" t="inlineStr"/>
    </row>
    <row r="16" ht="22" customHeight="1">
      <c r="B16" s="20" t="inlineStr">
        <is>
          <t>PA08</t>
        </is>
      </c>
      <c r="C16" s="9" t="inlineStr">
        <is>
          <t>Resilient University</t>
        </is>
      </c>
      <c r="D16" s="9" t="inlineStr">
        <is>
          <t>Responsible procurement</t>
        </is>
      </c>
      <c r="E16" s="9" t="inlineStr"/>
      <c r="F16" s="9" t="inlineStr"/>
      <c r="G16" s="9" t="inlineStr"/>
      <c r="H16" s="9">
        <f>LEN(G16)</f>
        <v/>
      </c>
      <c r="I16" s="9" t="inlineStr"/>
    </row>
    <row r="17" ht="22" customHeight="1">
      <c r="B17" s="20" t="inlineStr">
        <is>
          <t>PA09</t>
        </is>
      </c>
      <c r="C17" s="9" t="inlineStr">
        <is>
          <t>Resilient University</t>
        </is>
      </c>
      <c r="D17" s="9" t="inlineStr">
        <is>
          <t>Modern slavery and human rights</t>
        </is>
      </c>
      <c r="E17" s="9" t="inlineStr"/>
      <c r="F17" s="9" t="inlineStr"/>
      <c r="G17" s="9" t="inlineStr"/>
      <c r="H17" s="9">
        <f>LEN(G17)</f>
        <v/>
      </c>
      <c r="I17" s="9" t="inlineStr"/>
    </row>
    <row r="18" ht="22" customHeight="1">
      <c r="B18" s="20" t="inlineStr">
        <is>
          <t>PA10</t>
        </is>
      </c>
      <c r="C18" s="9" t="inlineStr">
        <is>
          <t>Resilient University</t>
        </is>
      </c>
      <c r="D18" s="9" t="inlineStr">
        <is>
          <t>Responsible investments</t>
        </is>
      </c>
      <c r="E18" s="9" t="inlineStr"/>
      <c r="F18" s="9" t="inlineStr"/>
      <c r="G18" s="9" t="inlineStr"/>
      <c r="H18" s="9">
        <f>LEN(G18)</f>
        <v/>
      </c>
      <c r="I18" s="9" t="inlineStr"/>
    </row>
    <row r="19" ht="22" customHeight="1">
      <c r="B19" s="20" t="inlineStr">
        <is>
          <t>PA11</t>
        </is>
      </c>
      <c r="C19" s="9" t="inlineStr">
        <is>
          <t>Enablers</t>
        </is>
      </c>
      <c r="D19" s="9" t="inlineStr">
        <is>
          <t>Enablers</t>
        </is>
      </c>
      <c r="E19" s="9" t="inlineStr"/>
      <c r="F19" s="9" t="inlineStr"/>
      <c r="G19" s="9" t="inlineStr"/>
      <c r="H19" s="9">
        <f>LEN(G19)</f>
        <v/>
      </c>
      <c r="I19" s="9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2026-10-20T02:39:21Z</dcterms:created>
  <dcterms:modified xmlns:dcterms="http://purl.org/dc/terms/" xmlns:xsi="http://www.w3.org/2001/XMLSchema-instance" xsi:type="dcterms:W3CDTF">2026-10-20T02:39:22Z</dcterms:modified>
</cp:coreProperties>
</file>