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Read me" sheetId="1" state="visible" r:id="rId1"/>
    <sheet xmlns:r="http://schemas.openxmlformats.org/officeDocument/2006/relationships" name="1. Requirements matrix" sheetId="2" state="visible" r:id="rId2"/>
    <sheet xmlns:r="http://schemas.openxmlformats.org/officeDocument/2006/relationships" name="2. Quant coverage" sheetId="3" state="visible" r:id="rId3"/>
    <sheet xmlns:r="http://schemas.openxmlformats.org/officeDocument/2006/relationships" name="2b. Databook register" sheetId="4" state="visible" r:id="rId4"/>
    <sheet xmlns:r="http://schemas.openxmlformats.org/officeDocument/2006/relationships" name="3. Stakeholder map" sheetId="5" state="visible" r:id="rId5"/>
    <sheet xmlns:r="http://schemas.openxmlformats.org/officeDocument/2006/relationships" name="3b. RASCI matrix" sheetId="6" state="visible" r:id="rId6"/>
    <sheet xmlns:r="http://schemas.openxmlformats.org/officeDocument/2006/relationships" name="3c. RASCI triangulation" sheetId="7" state="visible" r:id="rId7"/>
    <sheet xmlns:r="http://schemas.openxmlformats.org/officeDocument/2006/relationships" name="4. Request tracker" sheetId="8" state="visible" r:id="rId8"/>
    <sheet xmlns:r="http://schemas.openxmlformats.org/officeDocument/2006/relationships" name="Faculties" sheetId="9" state="visible" r:id="rId9"/>
    <sheet xmlns:r="http://schemas.openxmlformats.org/officeDocument/2006/relationships" name="CI&amp;S" sheetId="10" state="visible" r:id="rId10"/>
    <sheet xmlns:r="http://schemas.openxmlformats.org/officeDocument/2006/relationships" name="CFOG" sheetId="11" state="visible" r:id="rId11"/>
    <sheet xmlns:r="http://schemas.openxmlformats.org/officeDocument/2006/relationships" name="ESG" sheetId="12" state="visible" r:id="rId12"/>
    <sheet xmlns:r="http://schemas.openxmlformats.org/officeDocument/2006/relationships" name="CIOG" sheetId="13" state="visible" r:id="rId13"/>
    <sheet xmlns:r="http://schemas.openxmlformats.org/officeDocument/2006/relationships" name="MRE" sheetId="14" state="visible" r:id="rId14"/>
    <sheet xmlns:r="http://schemas.openxmlformats.org/officeDocument/2006/relationships" name="AC&amp;M" sheetId="15" state="visible" r:id="rId15"/>
    <sheet xmlns:r="http://schemas.openxmlformats.org/officeDocument/2006/relationships" name="GCE" sheetId="16" state="visible" r:id="rId16"/>
    <sheet xmlns:r="http://schemas.openxmlformats.org/officeDocument/2006/relationships" name="Education" sheetId="17" state="visible" r:id="rId17"/>
    <sheet xmlns:r="http://schemas.openxmlformats.org/officeDocument/2006/relationships" name="SaSS" sheetId="18" state="visible" r:id="rId18"/>
    <sheet xmlns:r="http://schemas.openxmlformats.org/officeDocument/2006/relationships" name="Indigenous" sheetId="19" state="visible" r:id="rId19"/>
    <sheet xmlns:r="http://schemas.openxmlformats.org/officeDocument/2006/relationships" name="L&amp;R" sheetId="20" state="visible" r:id="rId20"/>
    <sheet xmlns:r="http://schemas.openxmlformats.org/officeDocument/2006/relationships" name="A1. Data scoring" sheetId="21" state="visible" r:id="rId21"/>
    <sheet xmlns:r="http://schemas.openxmlformats.org/officeDocument/2006/relationships" name="0.5 Target Check" sheetId="22" state="visible" r:id="rId22"/>
    <sheet xmlns:r="http://schemas.openxmlformats.org/officeDocument/2006/relationships" name="T1. Manual target review" sheetId="23" state="visible" r:id="rId23"/>
    <sheet xmlns:r="http://schemas.openxmlformats.org/officeDocument/2006/relationships" name="T2. Single target review" sheetId="24" state="visible" r:id="rId24"/>
    <sheet xmlns:r="http://schemas.openxmlformats.org/officeDocument/2006/relationships" name="Request wording log" sheetId="25" state="visible" r:id="rId25"/>
    <sheet xmlns:r="http://schemas.openxmlformats.org/officeDocument/2006/relationships" name="Highlighted stories" sheetId="26" state="visible" r:id="rId26"/>
    <sheet xmlns:r="http://schemas.openxmlformats.org/officeDocument/2006/relationships" name="Evidence register" sheetId="27" state="visible" r:id="rId27"/>
    <sheet xmlns:r="http://schemas.openxmlformats.org/officeDocument/2006/relationships" name="Issues log" sheetId="28" state="visible" r:id="rId28"/>
    <sheet xmlns:r="http://schemas.openxmlformats.org/officeDocument/2006/relationships" name="Lists" sheetId="29" state="hidden" r:id="rId29"/>
  </sheets>
  <definedNames>
    <definedName name="_xlnm._FilterDatabase" localSheetId="1" hidden="1">'1. Requirements matrix'!$B$5:$Q$43</definedName>
    <definedName name="_xlnm._FilterDatabase" localSheetId="2" hidden="1">'2. Quant coverage'!$B$5:$N$34</definedName>
    <definedName name="_xlnm._FilterDatabase" localSheetId="3" hidden="1">'2b. Databook register'!$B$5:$S$323</definedName>
    <definedName name="_xlnm._FilterDatabase" localSheetId="5" hidden="1">'3b. RASCI matrix'!$A$6:$AC$87</definedName>
    <definedName name="_xlnm._FilterDatabase" localSheetId="6" hidden="1">'3c. RASCI triangulation'!$B$5:$K$53</definedName>
    <definedName name="_xlnm._FilterDatabase" localSheetId="20" hidden="1">'A1. Data scoring'!$B$10:$AK$238</definedName>
    <definedName name="_xlnm._FilterDatabase" localSheetId="22" hidden="1">'T1. Manual target review'!$B$7:$R$312</definedName>
  </definedNames>
  <calcPr calcId="124519" fullCalcOnLoad="1"/>
</workbook>
</file>

<file path=xl/styles.xml><?xml version="1.0" encoding="utf-8"?>
<styleSheet xmlns="http://schemas.openxmlformats.org/spreadsheetml/2006/main">
  <numFmts count="3">
    <numFmt numFmtId="164" formatCode="#,##0.##"/>
    <numFmt numFmtId="165" formatCode="yyyy-mm-dd"/>
    <numFmt numFmtId="166" formatCode="dd/mm/yyyy"/>
  </numFmts>
  <fonts count="28">
    <font>
      <name val="Calibri"/>
      <family val="2"/>
      <color theme="1"/>
      <sz val="11"/>
      <scheme val="minor"/>
    </font>
    <font>
      <name val="Aptos"/>
      <color rgb="00002060"/>
    </font>
    <font>
      <name val="Arial"/>
      <sz val="11"/>
    </font>
    <font>
      <name val="Aptos"/>
      <b val="1"/>
      <color rgb="00002060"/>
      <sz val="22"/>
    </font>
    <font>
      <name val="Aptos"/>
      <b val="1"/>
      <color rgb="00FFFFFF"/>
    </font>
    <font>
      <name val="Aptos"/>
    </font>
    <font>
      <name val="Aptos"/>
      <b val="1"/>
      <color rgb="00FFFFFF"/>
      <sz val="12"/>
    </font>
    <font>
      <name val="Aptos Narrow"/>
      <b val="1"/>
      <sz val="11"/>
    </font>
    <font>
      <name val="Aptos Narrow"/>
      <sz val="11"/>
    </font>
    <font>
      <name val="Aptos"/>
      <i val="1"/>
    </font>
    <font>
      <name val="Aptos"/>
      <b val="1"/>
      <color rgb="00002060"/>
      <sz val="20"/>
    </font>
    <font>
      <name val="Aptos"/>
      <sz val="10"/>
    </font>
    <font>
      <name val="Aptos"/>
      <b val="1"/>
      <sz val="11"/>
    </font>
    <font>
      <name val="Aptos"/>
      <b val="1"/>
    </font>
    <font>
      <name val="Aptos"/>
      <b val="1"/>
      <sz val="10"/>
    </font>
    <font>
      <name val="Aptos Narrow"/>
      <sz val="10"/>
    </font>
    <font>
      <name val="Aptos"/>
      <b val="1"/>
      <color rgb="00002060"/>
      <sz val="14"/>
    </font>
    <font>
      <name val="Aptos"/>
      <b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i val="1"/>
      <sz val="9"/>
    </font>
    <font>
      <name val="Aptos Narrow"/>
      <color rgb="00808080"/>
      <sz val="9"/>
    </font>
    <font>
      <name val="Aptos"/>
      <b val="1"/>
      <sz val="14"/>
    </font>
    <font>
      <name val="Aptos"/>
      <b val="1"/>
      <color rgb="00C00000"/>
    </font>
    <font>
      <name val="Aptos"/>
      <b val="1"/>
      <color rgb="00002060"/>
      <sz val="13"/>
    </font>
  </fonts>
  <fills count="18">
    <fill>
      <patternFill/>
    </fill>
    <fill>
      <patternFill patternType="gray125"/>
    </fill>
    <fill>
      <patternFill patternType="solid">
        <fgColor rgb="000B3040"/>
      </patternFill>
    </fill>
    <fill>
      <patternFill patternType="solid">
        <fgColor rgb="00C1E4F5"/>
      </patternFill>
    </fill>
    <fill>
      <patternFill patternType="solid">
        <fgColor rgb="00E2EFDA"/>
      </patternFill>
    </fill>
    <fill>
      <patternFill patternType="solid">
        <fgColor rgb="00FFF2CC"/>
      </patternFill>
    </fill>
    <fill>
      <patternFill patternType="solid">
        <fgColor rgb="00F8CBAD"/>
      </patternFill>
    </fill>
    <fill>
      <patternFill patternType="solid">
        <fgColor rgb="00F2F2F2"/>
      </patternFill>
    </fill>
    <fill>
      <patternFill patternType="solid">
        <fgColor rgb="0000B050"/>
      </patternFill>
    </fill>
    <fill>
      <patternFill patternType="solid">
        <fgColor rgb="00FFFFFF"/>
      </patternFill>
    </fill>
    <fill>
      <patternFill patternType="solid">
        <fgColor rgb="00D9D9D9"/>
      </patternFill>
    </fill>
    <fill>
      <patternFill patternType="solid">
        <fgColor rgb="0092D050"/>
      </patternFill>
    </fill>
    <fill>
      <patternFill patternType="solid">
        <fgColor rgb="00C6EFCE"/>
      </patternFill>
    </fill>
    <fill>
      <patternFill patternType="solid">
        <fgColor rgb="00BDD7EE"/>
      </patternFill>
    </fill>
    <fill>
      <patternFill patternType="solid">
        <fgColor rgb="00FFEB9C"/>
      </patternFill>
    </fill>
    <fill>
      <patternFill patternType="solid">
        <fgColor rgb="00EDEDED"/>
      </patternFill>
    </fill>
    <fill>
      <patternFill patternType="solid">
        <fgColor rgb="00DDEBF7"/>
      </patternFill>
    </fill>
    <fill>
      <patternFill patternType="solid">
        <fgColor rgb="00FFC000"/>
      </patternFill>
    </fill>
  </fills>
  <borders count="6">
    <border>
      <left/>
      <right/>
      <top/>
      <bottom/>
      <diagonal/>
    </border>
    <border>
      <left style="thin">
        <color rgb="00808080"/>
      </left>
      <right style="thin">
        <color rgb="00808080"/>
      </right>
      <top style="thin">
        <color rgb="00808080"/>
      </top>
      <bottom style="thin">
        <color rgb="00808080"/>
      </bottom>
    </border>
    <border>
      <left style="thin">
        <color rgb="00808080"/>
      </left>
      <right/>
      <top/>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medium"/>
      <right style="medium"/>
      <top style="medium"/>
      <bottom style="medium"/>
    </border>
  </borders>
  <cellStyleXfs count="1">
    <xf numFmtId="0" fontId="0" fillId="0" borderId="0"/>
  </cellStyleXfs>
  <cellXfs count="7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2" borderId="1" applyAlignment="1" pivotButton="0" quotePrefix="0" xfId="0">
      <alignment horizontal="center" vertical="center" wrapText="1"/>
    </xf>
    <xf numFmtId="0" fontId="7" fillId="3" borderId="1" applyAlignment="1" pivotButton="0" quotePrefix="0" xfId="0">
      <alignment vertical="top" wrapText="1"/>
    </xf>
    <xf numFmtId="0" fontId="8" fillId="0" borderId="1" applyAlignment="1" pivotButton="0" quotePrefix="0" xfId="0">
      <alignment vertical="top" wrapText="1"/>
    </xf>
    <xf numFmtId="0" fontId="0" fillId="0" borderId="0" applyAlignment="1" pivotButton="0" quotePrefix="0" xfId="0">
      <alignment vertical="top" wrapText="1"/>
    </xf>
    <xf numFmtId="0" fontId="8" fillId="4"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7" fillId="0" borderId="1" applyAlignment="1" pivotButton="0" quotePrefix="0" xfId="0">
      <alignment vertical="top" wrapText="1"/>
    </xf>
    <xf numFmtId="164" fontId="8" fillId="0" borderId="1" applyAlignment="1" pivotButton="0" quotePrefix="0" xfId="0">
      <alignment vertical="top" wrapText="1"/>
    </xf>
    <xf numFmtId="164" fontId="8" fillId="5" borderId="1" applyAlignment="1" pivotButton="0" quotePrefix="0" xfId="0">
      <alignment vertical="top" wrapText="1"/>
    </xf>
    <xf numFmtId="0" fontId="7" fillId="7" borderId="1" applyAlignment="1" pivotButton="0" quotePrefix="0" xfId="0">
      <alignment vertical="top" wrapText="1"/>
    </xf>
    <xf numFmtId="164" fontId="7" fillId="7" borderId="1" applyAlignment="1" pivotButton="0" quotePrefix="0" xfId="0">
      <alignment vertical="top" wrapText="1"/>
    </xf>
    <xf numFmtId="0" fontId="8" fillId="0" borderId="1" applyAlignment="1" pivotButton="0" quotePrefix="0" xfId="0">
      <alignment vertical="top" wrapText="1" indent="2"/>
    </xf>
    <xf numFmtId="0" fontId="8" fillId="0" borderId="1" applyAlignment="1" pivotButton="0" quotePrefix="0" xfId="0">
      <alignment vertical="top" wrapText="1" indent="4"/>
    </xf>
    <xf numFmtId="0" fontId="9" fillId="0" borderId="0" pivotButton="0" quotePrefix="0" xfId="0"/>
    <xf numFmtId="0" fontId="10" fillId="0" borderId="0" pivotButton="0" quotePrefix="0" xfId="0"/>
    <xf numFmtId="0" fontId="11" fillId="0" borderId="1" applyAlignment="1" pivotButton="0" quotePrefix="0" xfId="0">
      <alignment horizontal="center" vertical="center" wrapText="1"/>
    </xf>
    <xf numFmtId="0" fontId="13" fillId="0" borderId="0" applyAlignment="1" pivotButton="0" quotePrefix="0" xfId="0">
      <alignment horizontal="center" vertical="center" wrapText="1"/>
    </xf>
    <xf numFmtId="0" fontId="12" fillId="8" borderId="1" applyAlignment="1" pivotButton="0" quotePrefix="0" xfId="0">
      <alignment horizontal="center" vertical="center" wrapText="1"/>
    </xf>
    <xf numFmtId="0" fontId="12" fillId="9" borderId="1" applyAlignment="1" pivotButton="0" quotePrefix="0" xfId="0">
      <alignment horizontal="center" vertical="center" wrapText="1"/>
    </xf>
    <xf numFmtId="0" fontId="13" fillId="10" borderId="0" pivotButton="0" quotePrefix="0" xfId="0"/>
    <xf numFmtId="0" fontId="13" fillId="7" borderId="0" pivotButton="0" quotePrefix="0" xfId="0"/>
    <xf numFmtId="0" fontId="14" fillId="0" borderId="0" applyAlignment="1" pivotButton="0" quotePrefix="0" xfId="0">
      <alignment vertical="top" wrapText="1"/>
    </xf>
    <xf numFmtId="0" fontId="15" fillId="0" borderId="1" applyAlignment="1" pivotButton="0" quotePrefix="0" xfId="0">
      <alignment vertical="top" wrapText="1"/>
    </xf>
    <xf numFmtId="0" fontId="15" fillId="0" borderId="1" applyAlignment="1" pivotButton="0" quotePrefix="0" xfId="0">
      <alignment horizontal="center" vertical="center" wrapText="1"/>
    </xf>
    <xf numFmtId="0" fontId="16" fillId="0" borderId="0" pivotButton="0" quotePrefix="0" xfId="0"/>
    <xf numFmtId="0" fontId="13" fillId="0" borderId="0" pivotButton="0" quotePrefix="0" xfId="0"/>
    <xf numFmtId="0" fontId="17" fillId="0" borderId="0" applyAlignment="1" pivotButton="0" quotePrefix="0" xfId="0">
      <alignment horizontal="center" vertical="center" wrapText="1"/>
    </xf>
    <xf numFmtId="0" fontId="0" fillId="11" borderId="0" pivotButton="0" quotePrefix="0" xfId="0"/>
    <xf numFmtId="0" fontId="0" fillId="0" borderId="0" applyAlignment="1" pivotButton="0" quotePrefix="0" xfId="0">
      <alignment horizontal="center" vertical="center" wrapText="1"/>
    </xf>
    <xf numFmtId="0" fontId="0" fillId="8" borderId="0" pivotButton="0" quotePrefix="0" xfId="0"/>
    <xf numFmtId="0" fontId="0" fillId="12" borderId="0" pivotButton="0" quotePrefix="0" xfId="0"/>
    <xf numFmtId="0" fontId="0" fillId="13" borderId="0" pivotButton="0" quotePrefix="0" xfId="0"/>
    <xf numFmtId="0" fontId="0" fillId="10" borderId="0" pivotButton="0" quotePrefix="0" xfId="0"/>
    <xf numFmtId="0" fontId="0" fillId="14" borderId="0" pivotButton="0" quotePrefix="0" xfId="0"/>
    <xf numFmtId="0" fontId="0" fillId="6" borderId="0" pivotButton="0" quotePrefix="0" xfId="0"/>
    <xf numFmtId="0" fontId="0" fillId="15" borderId="0" pivotButton="0" quotePrefix="0" xfId="0"/>
    <xf numFmtId="0" fontId="8" fillId="16" borderId="1" applyAlignment="1" pivotButton="0" quotePrefix="0" xfId="0">
      <alignment vertical="top" wrapText="1"/>
    </xf>
    <xf numFmtId="9" fontId="0" fillId="0" borderId="0" pivotButton="0" quotePrefix="0" xfId="0"/>
    <xf numFmtId="166" fontId="8" fillId="0" borderId="1" applyAlignment="1" pivotButton="0" quotePrefix="0" xfId="0">
      <alignment vertical="top" wrapText="1"/>
    </xf>
    <xf numFmtId="0" fontId="18" fillId="7" borderId="0" pivotButton="0" quotePrefix="0" xfId="0"/>
    <xf numFmtId="0" fontId="19" fillId="2" borderId="0" applyAlignment="1" pivotButton="0" quotePrefix="0" xfId="0">
      <alignment horizontal="center" vertical="center" wrapText="1"/>
    </xf>
    <xf numFmtId="0" fontId="20" fillId="17" borderId="0" applyAlignment="1" pivotButton="0" quotePrefix="0" xfId="0">
      <alignment horizontal="center" vertical="center" wrapText="1"/>
    </xf>
    <xf numFmtId="0" fontId="22" fillId="17" borderId="1" applyAlignment="1" pivotButton="0" quotePrefix="0" xfId="0">
      <alignment horizontal="center" vertical="center" wrapText="1"/>
    </xf>
    <xf numFmtId="0" fontId="21" fillId="7" borderId="1" applyAlignment="1" pivotButton="0" quotePrefix="0" xfId="0">
      <alignment horizontal="center" vertical="center" wrapText="1"/>
    </xf>
    <xf numFmtId="0" fontId="8" fillId="3" borderId="1" applyAlignment="1" pivotButton="0" quotePrefix="0" xfId="0">
      <alignment vertical="top" wrapText="1"/>
    </xf>
    <xf numFmtId="0" fontId="23" fillId="0" borderId="0" pivotButton="0" quotePrefix="0" xfId="0"/>
    <xf numFmtId="0" fontId="8" fillId="7" borderId="1" applyAlignment="1" pivotButton="0" quotePrefix="0" xfId="0">
      <alignment vertical="top"/>
    </xf>
    <xf numFmtId="2" fontId="8" fillId="4" borderId="1" applyAlignment="1" pivotButton="0" quotePrefix="0" xfId="0">
      <alignment vertical="top" wrapText="1"/>
    </xf>
    <xf numFmtId="9" fontId="8" fillId="4" borderId="1" applyAlignment="1" pivotButton="0" quotePrefix="0" xfId="0">
      <alignment vertical="top" wrapText="1"/>
    </xf>
    <xf numFmtId="0" fontId="8" fillId="0" borderId="1" applyAlignment="1" pivotButton="0" quotePrefix="0" xfId="0">
      <alignment horizontal="center" vertical="center" wrapText="1"/>
    </xf>
    <xf numFmtId="0" fontId="7" fillId="10" borderId="1" applyAlignment="1" pivotButton="0" quotePrefix="0" xfId="0">
      <alignment vertical="top" wrapText="1"/>
    </xf>
    <xf numFmtId="0" fontId="7" fillId="4" borderId="1" applyAlignment="1" pivotButton="0" quotePrefix="0" xfId="0">
      <alignment vertical="top" wrapText="1"/>
    </xf>
    <xf numFmtId="0" fontId="24" fillId="0" borderId="1" applyAlignment="1" pivotButton="0" quotePrefix="0" xfId="0">
      <alignment vertical="top" wrapText="1"/>
    </xf>
    <xf numFmtId="0" fontId="8" fillId="7" borderId="1" applyAlignment="1" pivotButton="0" quotePrefix="0" xfId="0">
      <alignment vertical="top" wrapText="1"/>
    </xf>
    <xf numFmtId="0" fontId="0" fillId="0" borderId="3" pivotButton="0" quotePrefix="0" xfId="0"/>
    <xf numFmtId="0" fontId="0" fillId="0" borderId="4" pivotButton="0" quotePrefix="0" xfId="0"/>
    <xf numFmtId="0" fontId="25" fillId="17" borderId="5" pivotButton="0" quotePrefix="0" xfId="0"/>
    <xf numFmtId="0" fontId="26" fillId="0" borderId="0" pivotButton="0" quotePrefix="0" xfId="0"/>
    <xf numFmtId="0" fontId="4" fillId="2" borderId="1" pivotButton="0" quotePrefix="0" xfId="0"/>
    <xf numFmtId="0" fontId="0" fillId="0" borderId="1" applyAlignment="1" pivotButton="0" quotePrefix="0" xfId="0">
      <alignment vertical="top" wrapText="1"/>
    </xf>
    <xf numFmtId="0" fontId="13" fillId="0" borderId="0" applyAlignment="1" pivotButton="0" quotePrefix="0" xfId="0">
      <alignment vertical="top" wrapText="1"/>
    </xf>
    <xf numFmtId="0" fontId="27" fillId="0" borderId="0" pivotButton="0" quotePrefix="0" xfId="0"/>
    <xf numFmtId="9" fontId="27" fillId="0" borderId="0" pivotButton="0" quotePrefix="0" xfId="0"/>
    <xf numFmtId="0" fontId="8" fillId="10" borderId="1" applyAlignment="1" pivotButton="0" quotePrefix="0" xfId="0">
      <alignment horizontal="center" vertical="center" wrapText="1"/>
    </xf>
  </cellXfs>
  <cellStyles count="1">
    <cellStyle name="Normal" xfId="0" builtinId="0" hidden="0"/>
  </cellStyles>
  <dxfs count="8">
    <dxf>
      <fill>
        <patternFill patternType="solid">
          <fgColor rgb="0000B050"/>
        </patternFill>
      </fill>
    </dxf>
    <dxf>
      <fill>
        <patternFill patternType="solid">
          <fgColor rgb="0092D050"/>
        </patternFill>
      </fill>
    </dxf>
    <dxf>
      <fill>
        <patternFill patternType="solid">
          <fgColor rgb="00C6EFCE"/>
        </patternFill>
      </fill>
    </dxf>
    <dxf>
      <fill>
        <patternFill patternType="solid">
          <fgColor rgb="00BDD7EE"/>
        </patternFill>
      </fill>
    </dxf>
    <dxf>
      <fill>
        <patternFill patternType="solid">
          <fgColor rgb="00D9D9D9"/>
        </patternFill>
      </fill>
    </dxf>
    <dxf>
      <fill>
        <patternFill patternType="solid">
          <fgColor rgb="00FFEB9C"/>
        </patternFill>
      </fill>
    </dxf>
    <dxf>
      <fill>
        <patternFill patternType="solid">
          <fgColor rgb="00F8CBAD"/>
        </patternFill>
      </fill>
    </dxf>
    <dxf>
      <fill>
        <patternFill patternType="solid">
          <fgColor rgb="00EDEDE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styles" Target="styles.xml" Id="rId30"/><Relationship Type="http://schemas.openxmlformats.org/officeDocument/2006/relationships/theme" Target="theme/theme1.xml" Id="rId3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4" customWidth="1" min="1" max="1"/>
    <col width="22" customWidth="1" min="2" max="2"/>
    <col width="120" customWidth="1" min="3" max="3"/>
  </cols>
  <sheetData>
    <row r="1">
      <c r="A1" s="1" t="inlineStr">
        <is>
          <t>↑</t>
        </is>
      </c>
      <c r="B1" s="2" t="inlineStr">
        <is>
          <t>SR26 data collection master spreadsheet</t>
        </is>
      </c>
    </row>
    <row r="2">
      <c r="B2" s="3" t="inlineStr">
        <is>
          <t>2026 Sustainability Report – data collection master</t>
        </is>
      </c>
    </row>
    <row r="4" ht="45" customHeight="1">
      <c r="B4" s="4" t="inlineStr">
        <is>
          <t>Purpose</t>
        </is>
      </c>
      <c r="C4" s="5" t="inlineStr">
        <is>
          <t>Central record of SR26 data requirements, owners, reporting requests, responses and evidence. Adapted from the 2025 end-year reporting master spreadsheet (V0.2) and the Sustainability 2030 updated targets (Qual and Quan worksheets).</t>
        </is>
      </c>
    </row>
    <row r="5" ht="30" customHeight="1">
      <c r="B5" s="4" t="inlineStr">
        <is>
          <t>Status</t>
        </is>
      </c>
      <c r="C5" s="5" t="inlineStr">
        <is>
          <t>DRAFT v0.9 – pilot with 4 faculties (ABP, ARTS, FBE, SCI) and 11 central units (CI&amp;S, CFOG, ESG, CIOG, MRE, AC&amp;M, GCE, Education, SaSS, Indigenous, L&amp;R).</t>
        </is>
      </c>
    </row>
    <row r="6" ht="60" customHeight="1">
      <c r="B6" s="4" t="inlineStr">
        <is>
          <t>Reporting approach</t>
        </is>
      </c>
      <c r="C6" s="5" t="inlineStr">
        <is>
          <t>Transition year: cover all of CY2026, distinguishing former Sustainability Plan 2030 activity from foundations and early actions after the Sustainability 2030 launch (~20 Oct 2026). Databook is the authoritative quantitative source. Target status (Met/Partially met/Not met) retained for now for internal management reporting – rating framework under review.</t>
        </is>
      </c>
    </row>
    <row r="7" ht="60" customHeight="1">
      <c r="B7" s="4" t="inlineStr">
        <is>
          <t>Key dates (TBC)</t>
        </is>
      </c>
      <c r="C7" s="5" t="inlineStr">
        <is>
          <t>Early engagement (existing meetings): w/c 26 Oct 2026 | Requests issued: W1 Nov (from 2 Nov) | Collection period incl. optional 1:1 meetings: 2 Nov – 15 Dec (6 weeks) | Responses and highlighted stories due: Tuesday 15 December 2026 | First review: W3 Dec | Targeted follow-up: W3–W4 Dec | Consolidated master: W4 Dec | Sustainability Reporting Review Group: ~15 Feb 2027 | VCAG: 16 Feb &amp; ~2 Mar 2027</t>
        </is>
      </c>
    </row>
    <row r="8" ht="465" customHeight="1">
      <c r="B8" s="4" t="inlineStr">
        <is>
          <t>Tabs</t>
        </is>
      </c>
      <c r="C8" s="5" t="inlineStr">
        <is>
          <t>1. Requirements matrix – every S2030 qualitative indicator, owner and request
2. Quant coverage – every quantitative indicator checked against the Databook draft, owner and action
2b. Databook register – every Databook data point with columns to confirm definition, source, owner
3. Stakeholder map – SR25 → SR26 unit mapping
3b. RASCI matrix – A/R/S/C/I roles per indicator and area (SR25 RASCI format), with counts
3c. RASCI triangulation – SR26 roles cross-checked against the SR25 RASCI, gaps flagged
4. Request tracker – sent/chased/received/confirmed status and response rate
Faculties / CI&amp;S / CFOG / ESG / CIOG / MRE / L&amp;R – consolidated responses (copy in from returned request workbooks; same layout)
Highlighted stories – consolidated optional stories and case-study shortlist
A1. Data scoring – auto-pulls every unit's responses per indicator and scores target status (SR25 method)
0.5 Target Check – which units were asked about each indicator
T1. Manual target review – every indicator with responses from the units asked, side by side, plus reviewer notes
T2. Single target review – pick an indicator and see all units' responses and the scored status
Request wording log – original S2030 wording vs tailored faculty request wording
Evidence register – source, evidence, limitations and owner confirmation for every material claim
Issues log – open questions, TBCs and decisions
Project management tabs (overview, plan, timeline, comms/web to-do, content checklist, page index) are in the separate 'SR26 project management' workbook</t>
        </is>
      </c>
    </row>
    <row r="9" ht="30" customHeight="1">
      <c r="B9" s="4" t="inlineStr">
        <is>
          <t>Refs</t>
        </is>
      </c>
      <c r="C9" s="5" t="inlineStr">
        <is>
          <t>Refs are new SR26 codes: priority-area code + target number + indicator letter (e.g. EE1(a) = Exceptional education, target 1, indicator a). 'Related SR25 ref' links to the closest SP2030 (2025) target where one exists.</t>
        </is>
      </c>
    </row>
    <row r="10" ht="30" customHeight="1">
      <c r="B10" s="4" t="inlineStr">
        <is>
          <t>Regenerating</t>
        </is>
      </c>
      <c r="C10" s="5" t="inlineStr">
        <is>
          <t>Workbooks are generated by build.py in the repository. Edit the settings at the top (due dates, pilot faculties, unit mapping) and re-run to produce request workbooks for additional faculties/units.</t>
        </is>
      </c>
    </row>
    <row r="11" ht="375" customHeight="1">
      <c r="B11" s="4" t="inlineStr">
        <is>
          <t>Version history</t>
        </is>
      </c>
      <c r="C11" s="5" t="inlineStr">
        <is>
          <t>v0.1: First draft: requirements matrix, pilot faculty and central-unit requests, tracker, evidence register.
v0.2: SR25-style faculty wording and 'How SST will use'; scoring/T1/T2 formulas; Legal &amp; Risk; project tabs; linked SR25 responses tab.
v0.3: Quantitative indicators separated: removed from requirements matrix; '2. Quant coverage' and '2b. Databook register' against the Databook draft; '4. Quantitative data' tab in central-unit requests.
v0.4: RASCI rebuilt to the SR25 standard ('3b. RASCI matrix'): indicator hierarchy, consolidated portfolios, SST contacts, A/R/S/C/I codes, summary counts.
v0.5: '3c. RASCI triangulation': each SR26 indicator compared with the SR25 RASCI (equivalent targets, translated areas), gaps and suggested actions.
v0.6: Chancellery units added following SR25 (ACM, CGCE, Chancellery Education, SASS, Chancellery Indigenous) with linked SR25 responses; cross-tab consistency check (check.py); Impact column added to Issues log (as SR25).
v0.7: Team review: Chancellery units as separate tabs (AC&amp;M, MRE, GCE, Education, SaSS, Indigenous); faculty requests cut down (ABP walkthrough) – EE1(a)+(c) merged, 'any examples' wording, alumni to SaSS, CL2(a)/(c) to AC&amp;M, TR3(a)/(c)/(d) to MRE; simpler evidence register; highlighted stories compiled per unit with SST priority-area columns; project tabs moved to a separate project workbook.
v0.8: TR1(b)–(d) to MRE only; EN1(d) removed from faculties (9 faculty questions); note on EE1(c) in T1/T2 that faculty answers sit under EE1(a).
v0.9: Team timeline applied: early engagement w/c 26 Oct; requests W1 Nov; due 15 Dec 2026 (responses and stories); first review W3 Dec; follow-up W3–W4 Dec; consolidation W4 Dec; CDSS as contact; optional 1:1 meetings; tracker statuses and project timeline updated.</t>
        </is>
      </c>
    </row>
    <row r="12" ht="30" customHeight="1">
      <c r="B12" s="4" t="inlineStr">
        <is>
          <t>Request wording</t>
        </is>
      </c>
      <c r="C12" s="5" t="inlineStr">
        <is>
          <t>Faculty requests are rewritten in the SR25 style and point to each faculty's end-2025 response (see Request wording log). Central-unit requests use the S2030 'Qual' worksheet wording as-is.</t>
        </is>
      </c>
    </row>
    <row r="13" ht="30" customHeight="1">
      <c r="B13" s="4" t="inlineStr">
        <is>
          <t>Formulas</t>
        </is>
      </c>
      <c r="C13" s="5" t="inlineStr">
        <is>
          <t>Responses must be pasted into the Faculties/central-unit tabs keeping the same rows – A1, 0.5 and T2 look them up by Ref. Do not insert rows inside a block; add new units by re-running build.py.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18" customWidth="1" min="4" max="4"/>
    <col width="40" customWidth="1" min="5" max="5"/>
    <col width="40" customWidth="1" min="6" max="6"/>
    <col width="50" customWidth="1" min="7" max="7"/>
    <col width="18" customWidth="1" min="8" max="8"/>
    <col width="22" customWidth="1" min="9" max="9"/>
    <col width="40" customWidth="1" min="10" max="10"/>
    <col width="11" customWidth="1" min="11" max="11"/>
    <col width="12" customWidth="1" min="12" max="12"/>
    <col width="30" customWidth="1" min="13" max="13"/>
    <col width="10" customWidth="1" min="14" max="14"/>
    <col width="18" customWidth="1" min="15" max="15"/>
    <col width="24" customWidth="1" min="16" max="16"/>
    <col width="12" customWidth="1" min="17" max="17"/>
  </cols>
  <sheetData>
    <row r="1">
      <c r="A1" s="1" t="inlineStr">
        <is>
          <t>↑</t>
        </is>
      </c>
      <c r="B1" s="2" t="inlineStr">
        <is>
          <t>End-2026 target status assessment and reporting</t>
        </is>
      </c>
    </row>
    <row r="2">
      <c r="B2" s="3" t="inlineStr">
        <is>
          <t>1. Requirements matrix (qualitative)</t>
        </is>
      </c>
    </row>
    <row r="5">
      <c r="B5" s="6" t="inlineStr">
        <is>
          <t>Ref</t>
        </is>
      </c>
      <c r="C5" s="6" t="inlineStr">
        <is>
          <t>Domain</t>
        </is>
      </c>
      <c r="D5" s="6" t="inlineStr">
        <is>
          <t>Priority area</t>
        </is>
      </c>
      <c r="E5" s="6" t="inlineStr">
        <is>
          <t>Target</t>
        </is>
      </c>
      <c r="F5" s="6" t="inlineStr">
        <is>
          <t>Indicator</t>
        </is>
      </c>
      <c r="G5" s="6" t="inlineStr">
        <is>
          <t>Reporting requirement (S2030 Qual sheet)</t>
        </is>
      </c>
      <c r="H5" s="6" t="inlineStr">
        <is>
          <t>Key stakeholders (S2030 sheet)</t>
        </is>
      </c>
      <c r="I5" s="6" t="inlineStr">
        <is>
          <t>SR26 request issued to</t>
        </is>
      </c>
      <c r="J5" s="6" t="inlineStr">
        <is>
          <t>Specific projects we are aware of (area &amp; person)</t>
        </is>
      </c>
      <c r="K5" s="6" t="inlineStr">
        <is>
          <t>Internal vs External</t>
        </is>
      </c>
      <c r="L5" s="6" t="inlineStr">
        <is>
          <t>Flag for continuous improvement</t>
        </is>
      </c>
      <c r="M5" s="6" t="inlineStr">
        <is>
          <t>Notes</t>
        </is>
      </c>
      <c r="N5" s="6" t="inlineStr">
        <is>
          <t>Related SR25 ref</t>
        </is>
      </c>
      <c r="O5" s="6" t="inlineStr">
        <is>
          <t>Channel</t>
        </is>
      </c>
      <c r="P5" s="6" t="inlineStr">
        <is>
          <t>Quantitative component</t>
        </is>
      </c>
      <c r="Q5" s="6" t="inlineStr">
        <is>
          <t>Owner confirmed?</t>
        </is>
      </c>
    </row>
    <row r="6" ht="90" customHeight="1">
      <c r="B6" s="7" t="inlineStr">
        <is>
          <t>EE1(a)</t>
        </is>
      </c>
      <c r="C6" s="8" t="inlineStr">
        <is>
          <t>Education and research</t>
        </is>
      </c>
      <c r="D6" s="8" t="inlineStr">
        <is>
          <t>Exceptional education</t>
        </is>
      </c>
      <c r="E6" s="8" t="inlineStr">
        <is>
          <t>Provide our students with learning experiences that help them build the knowledge, skills and relationships to lead change for sustainable societies.</t>
        </is>
      </c>
      <c r="F6" s="8" t="inlineStr">
        <is>
          <t>Evidence of innovative approaches to sustainability teaching and learning</t>
        </is>
      </c>
      <c r="G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H6" s="8" t="inlineStr">
        <is>
          <t>Faculties, CI&amp;S</t>
        </is>
      </c>
      <c r="I6" s="8" t="inlineStr">
        <is>
          <t>Faculties (pilot), CI&amp;S, Education</t>
        </is>
      </c>
      <c r="J6" s="8" t="inlineStr"/>
      <c r="K6" s="8" t="inlineStr">
        <is>
          <t>Both</t>
        </is>
      </c>
      <c r="L6" s="8" t="inlineStr">
        <is>
          <t>No</t>
        </is>
      </c>
      <c r="M6" s="8" t="inlineStr"/>
      <c r="N6" s="8" t="inlineStr">
        <is>
          <t>4a(ii)</t>
        </is>
      </c>
      <c r="O6" s="8" t="inlineStr">
        <is>
          <t>Tailored request</t>
        </is>
      </c>
      <c r="P6" s="8" t="inlineStr"/>
      <c r="Q6" s="8" t="inlineStr"/>
    </row>
    <row r="7" ht="90" customHeight="1">
      <c r="B7" s="7" t="inlineStr">
        <is>
          <t>EE1(b)</t>
        </is>
      </c>
      <c r="C7" s="8" t="inlineStr">
        <is>
          <t>Education and research</t>
        </is>
      </c>
      <c r="D7" s="8" t="inlineStr">
        <is>
          <t>Exceptional education</t>
        </is>
      </c>
      <c r="E7" s="8" t="inlineStr">
        <is>
          <t>Provide our students with learning experiences that help them build the knowledge, skills and relationships to lead change for sustainable societies.</t>
        </is>
      </c>
      <c r="F7" s="8" t="inlineStr">
        <is>
          <t>Pilots of possible approaches for understanding and developing students’ sustainability self-efficacy</t>
        </is>
      </c>
      <c r="G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H7" s="8" t="inlineStr">
        <is>
          <t>Faculties, CI&amp;S</t>
        </is>
      </c>
      <c r="I7" s="8" t="inlineStr">
        <is>
          <t>Faculties (pilot), CI&amp;S, Education</t>
        </is>
      </c>
      <c r="J7" s="8" t="inlineStr">
        <is>
          <t>* Living Lab project (case study): Personalising Sustainability Pathways for students - Sustainability Strengths Compass. Project lead: Dianne Vella Brodrick. Funded partly by the Campus Living Lab Accelerator Program (CLLAP) (SST)</t>
        </is>
      </c>
      <c r="K7" s="8" t="inlineStr">
        <is>
          <t>Both</t>
        </is>
      </c>
      <c r="L7" s="8" t="inlineStr">
        <is>
          <t>No</t>
        </is>
      </c>
      <c r="M7" s="8" t="inlineStr"/>
      <c r="N7" s="8" t="inlineStr"/>
      <c r="O7" s="8" t="inlineStr">
        <is>
          <t>Tailored request</t>
        </is>
      </c>
      <c r="P7" s="8" t="inlineStr"/>
      <c r="Q7" s="8" t="inlineStr"/>
    </row>
    <row r="8" ht="90" customHeight="1">
      <c r="B8" s="7" t="inlineStr">
        <is>
          <t>EE1(c)</t>
        </is>
      </c>
      <c r="C8" s="8" t="inlineStr">
        <is>
          <t>Education and research</t>
        </is>
      </c>
      <c r="D8" s="8" t="inlineStr">
        <is>
          <t>Exceptional education</t>
        </is>
      </c>
      <c r="E8" s="8" t="inlineStr">
        <is>
          <t>Provide our students with learning experiences that help them build the knowledge, skills and relationships to lead change for sustainable societies.</t>
        </is>
      </c>
      <c r="F8" s="8" t="inlineStr">
        <is>
          <t>Evidence of sustainability focused experiential and co curricular learning (eg Wattle Fellowship; Melbourne Plus)</t>
        </is>
      </c>
      <c r="G8"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H8" s="8" t="inlineStr">
        <is>
          <t>Faculties, CI&amp;S</t>
        </is>
      </c>
      <c r="I8" s="8" t="inlineStr">
        <is>
          <t>CI&amp;S, SaSS</t>
        </is>
      </c>
      <c r="J8" s="8" t="inlineStr">
        <is>
          <t>* Wattle Fellowship (Linh Do); Wattle Fellowship could provide case studies and have an annual report. 
* Student and Scholarly Services (SASS - Melbourne Plus - Jess Trevitt) - how would we frame the ask differently for these data owners since we already know they offer experiential/co-curriculuar learning? SASS and Melbourne Plus can provide number of completions of students in the Sustainability Advocacy stream, and case studies.</t>
        </is>
      </c>
      <c r="K8" s="8" t="inlineStr">
        <is>
          <t>Both</t>
        </is>
      </c>
      <c r="L8" s="8" t="inlineStr">
        <is>
          <t>No</t>
        </is>
      </c>
      <c r="M8" s="8" t="inlineStr"/>
      <c r="N8" s="8" t="inlineStr"/>
      <c r="O8" s="8" t="inlineStr">
        <is>
          <t>Tailored request</t>
        </is>
      </c>
      <c r="P8" s="8" t="inlineStr">
        <is>
          <t>Yes – Yes – data held (2023–2025); see 2. Quant coverage</t>
        </is>
      </c>
      <c r="Q8" s="8" t="inlineStr"/>
    </row>
    <row r="9" ht="90" customHeight="1">
      <c r="B9" s="7" t="inlineStr">
        <is>
          <t>EE1(d)</t>
        </is>
      </c>
      <c r="C9" s="8" t="inlineStr">
        <is>
          <t>Education and research</t>
        </is>
      </c>
      <c r="D9" s="8" t="inlineStr">
        <is>
          <t>Exceptional education</t>
        </is>
      </c>
      <c r="E9" s="8" t="inlineStr">
        <is>
          <t>Provide our students with learning experiences that help them build the knowledge, skills and relationships to lead change for sustainable societies.</t>
        </is>
      </c>
      <c r="F9" s="8" t="inlineStr">
        <is>
          <t>Alumni profiles demonstrating how graduates contribute to sustainability through their careers or communities.</t>
        </is>
      </c>
      <c r="G9" s="8"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H9" s="8" t="inlineStr">
        <is>
          <t>Faculties, CI&amp;S</t>
        </is>
      </c>
      <c r="I9" s="8" t="inlineStr">
        <is>
          <t>SaSS</t>
        </is>
      </c>
      <c r="J9" s="8" t="inlineStr"/>
      <c r="K9" s="8" t="inlineStr">
        <is>
          <t>Both</t>
        </is>
      </c>
      <c r="L9" s="8" t="inlineStr">
        <is>
          <t>No</t>
        </is>
      </c>
      <c r="M9" s="8" t="inlineStr"/>
      <c r="N9" s="8" t="inlineStr">
        <is>
          <t>4b(i)</t>
        </is>
      </c>
      <c r="O9" s="8" t="inlineStr">
        <is>
          <t>Tailored request</t>
        </is>
      </c>
      <c r="P9" s="8" t="inlineStr">
        <is>
          <t>Yes – Yes – metrics defined, no data yet; see 2. Quant coverage</t>
        </is>
      </c>
      <c r="Q9" s="8" t="inlineStr"/>
    </row>
    <row r="10" ht="90" customHeight="1">
      <c r="B10" s="7" t="inlineStr">
        <is>
          <t>TR1(a)</t>
        </is>
      </c>
      <c r="C10" s="8" t="inlineStr">
        <is>
          <t>Education and research</t>
        </is>
      </c>
      <c r="D10" s="8" t="inlineStr">
        <is>
          <t>Transformational research</t>
        </is>
      </c>
      <c r="E10" s="8" t="inlineStr">
        <is>
          <t>Utilise the expertise of the University’s researchers through mutually beneficial partnerships to help address the University’s operational sustainability challenges.</t>
        </is>
      </c>
      <c r="F10" s="8" t="inlineStr">
        <is>
          <t>Expert-reviewed evidence of researchers contributing to operational sustainability priorities through partnerships, advisory input, living labs, applied projects or decision-support</t>
        </is>
      </c>
      <c r="G10"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H10" s="8" t="inlineStr">
        <is>
          <t>Faculties, CI&amp;S</t>
        </is>
      </c>
      <c r="I10" s="8" t="inlineStr">
        <is>
          <t>Faculties (pilot), CI&amp;S</t>
        </is>
      </c>
      <c r="J10" s="8" t="inlineStr">
        <is>
          <t>MRE
Campus Living Lab Accelerator Program (CLLAP) case studies (CI&amp;S).
Also Enterprise Services Group - Campus Operations and Delivery (COD) might have collaborations we're not aware of (e.g. Rachael Miller)</t>
        </is>
      </c>
      <c r="K10" s="8" t="inlineStr">
        <is>
          <t>Both</t>
        </is>
      </c>
      <c r="L10" s="8" t="inlineStr">
        <is>
          <t>No</t>
        </is>
      </c>
      <c r="M10" s="8" t="inlineStr"/>
      <c r="N10" s="8" t="inlineStr">
        <is>
          <t>2a</t>
        </is>
      </c>
      <c r="O10" s="8" t="inlineStr">
        <is>
          <t>Tailored request</t>
        </is>
      </c>
      <c r="P10" s="8" t="inlineStr"/>
      <c r="Q10" s="8" t="inlineStr"/>
    </row>
    <row r="11" ht="90" customHeight="1">
      <c r="B11" s="7" t="inlineStr">
        <is>
          <t>TR1(b)</t>
        </is>
      </c>
      <c r="C11" s="8" t="inlineStr">
        <is>
          <t>Education and research</t>
        </is>
      </c>
      <c r="D11" s="8" t="inlineStr">
        <is>
          <t>Transformational research</t>
        </is>
      </c>
      <c r="E11" s="8" t="inlineStr">
        <is>
          <t>Utilise the expertise of the University’s researchers through mutually beneficial partnerships to help address the University’s operational sustainability challenges.</t>
        </is>
      </c>
      <c r="F11" s="8" t="inlineStr">
        <is>
          <t>Evidence of institutional pathways that enable ongoing collaboration between academic and professional staff</t>
        </is>
      </c>
      <c r="G11"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H11" s="8" t="inlineStr">
        <is>
          <t>Faculties</t>
        </is>
      </c>
      <c r="I11" s="8" t="inlineStr">
        <is>
          <t>MRE</t>
        </is>
      </c>
      <c r="J11" s="8" t="inlineStr">
        <is>
          <t>MRE</t>
        </is>
      </c>
      <c r="K11" s="8" t="inlineStr">
        <is>
          <t>Both</t>
        </is>
      </c>
      <c r="L11" s="8" t="inlineStr">
        <is>
          <t>No</t>
        </is>
      </c>
      <c r="M11" s="8" t="inlineStr"/>
      <c r="N11" s="8" t="inlineStr"/>
      <c r="O11" s="8" t="inlineStr">
        <is>
          <t>Tailored request</t>
        </is>
      </c>
      <c r="P11" s="8" t="inlineStr"/>
      <c r="Q11" s="8" t="inlineStr"/>
    </row>
    <row r="12" ht="90" customHeight="1">
      <c r="B12" s="7" t="inlineStr">
        <is>
          <t>TR1(c)</t>
        </is>
      </c>
      <c r="C12" s="8" t="inlineStr">
        <is>
          <t>Education and research</t>
        </is>
      </c>
      <c r="D12" s="8" t="inlineStr">
        <is>
          <t>Transformational research</t>
        </is>
      </c>
      <c r="E12" s="8" t="inlineStr">
        <is>
          <t>Utilise the expertise of the University’s researchers through mutually beneficial partnerships to help address the University’s operational sustainability challenges.</t>
        </is>
      </c>
      <c r="F12" s="8" t="inlineStr">
        <is>
          <t>Expert assessment of the quality, relevance and continuity of these collaborations</t>
        </is>
      </c>
      <c r="G12"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H12" s="8" t="inlineStr">
        <is>
          <t>Faculties</t>
        </is>
      </c>
      <c r="I12" s="8" t="inlineStr">
        <is>
          <t>MRE</t>
        </is>
      </c>
      <c r="J12" s="8" t="inlineStr">
        <is>
          <t>MRE</t>
        </is>
      </c>
      <c r="K12" s="8" t="inlineStr">
        <is>
          <t>Both</t>
        </is>
      </c>
      <c r="L12" s="8" t="inlineStr">
        <is>
          <t>No</t>
        </is>
      </c>
      <c r="M12" s="8" t="inlineStr"/>
      <c r="N12" s="8" t="inlineStr"/>
      <c r="O12" s="8" t="inlineStr">
        <is>
          <t>Tailored request</t>
        </is>
      </c>
      <c r="P12" s="8" t="inlineStr"/>
      <c r="Q12" s="8" t="inlineStr"/>
    </row>
    <row r="13" ht="90" customHeight="1">
      <c r="B13" s="7" t="inlineStr">
        <is>
          <t>TR1(d)</t>
        </is>
      </c>
      <c r="C13" s="8" t="inlineStr">
        <is>
          <t>Education and research</t>
        </is>
      </c>
      <c r="D13" s="8" t="inlineStr">
        <is>
          <t>Transformational research</t>
        </is>
      </c>
      <c r="E13" s="8" t="inlineStr">
        <is>
          <t>Utilise the expertise of the University’s researchers through mutually beneficial partnerships to help address the University’s operational sustainability challenges.</t>
        </is>
      </c>
      <c r="F13" s="8" t="inlineStr">
        <is>
          <t>Periodic feedback from participants on the effectiveness and mutual benefit of collaboration mechanisms.</t>
        </is>
      </c>
      <c r="G13"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H13" s="8" t="inlineStr">
        <is>
          <t>Faculties</t>
        </is>
      </c>
      <c r="I13" s="8" t="inlineStr">
        <is>
          <t>MRE</t>
        </is>
      </c>
      <c r="J13" s="8" t="inlineStr">
        <is>
          <t>MRE</t>
        </is>
      </c>
      <c r="K13" s="8" t="inlineStr">
        <is>
          <t>Both</t>
        </is>
      </c>
      <c r="L13" s="8" t="inlineStr">
        <is>
          <t>No</t>
        </is>
      </c>
      <c r="M13" s="8" t="inlineStr"/>
      <c r="N13" s="8" t="inlineStr"/>
      <c r="O13" s="8" t="inlineStr">
        <is>
          <t>Tailored request</t>
        </is>
      </c>
      <c r="P13" s="8" t="inlineStr"/>
      <c r="Q13" s="8" t="inlineStr"/>
    </row>
    <row r="14" ht="90" customHeight="1">
      <c r="B14" s="7" t="inlineStr">
        <is>
          <t>TR2(a)</t>
        </is>
      </c>
      <c r="C14" s="8" t="inlineStr">
        <is>
          <t>Education and research</t>
        </is>
      </c>
      <c r="D14" s="8" t="inlineStr">
        <is>
          <t>Transformational research</t>
        </is>
      </c>
      <c r="E14" s="8" t="inlineStr">
        <is>
          <t>Deliver high-quality research and partnerships that contribute to sustainability outcomes and demonstrable societal benefit.</t>
        </is>
      </c>
      <c r="F14" s="8" t="inlineStr">
        <is>
          <t>Evidence of sustainability-related research impact across diverse pathways, could include policy, industry, community, practice, cultural and institutional outcomes</t>
        </is>
      </c>
      <c r="G14"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H14" s="8" t="inlineStr">
        <is>
          <t>Faculties</t>
        </is>
      </c>
      <c r="I14" s="8" t="inlineStr">
        <is>
          <t>Faculties (pilot), AC&amp;M</t>
        </is>
      </c>
      <c r="J14" s="8" t="inlineStr">
        <is>
          <t>Melbourne Research and Enterprise (Nishi Raja-Stranger and Ivan Marusic) 
Strategic Communications - Research lead will be able to identify examples of impactful sustainability-related research; also Pursuit (may be via Strat Comms too)
Melbourne Climate Futures (Ben Neville, Beth Barber, Belle Workman) - MCF produce an annual impact report we could refer to.
Melbourne Biodiversity Insitute (Brendan Wintle, Alanta Colley, Rachel Morgain)
Possibly Melbourne Energy Institute.
MDHS Climate CATCH Lab and other specific research centres could be approached and asked about their impact, or we could flag specific research centres in faculty requests.</t>
        </is>
      </c>
      <c r="K14" s="8" t="inlineStr">
        <is>
          <t>Both</t>
        </is>
      </c>
      <c r="L14" s="8" t="inlineStr">
        <is>
          <t>No</t>
        </is>
      </c>
      <c r="M14" s="8" t="inlineStr"/>
      <c r="N14" s="8" t="inlineStr">
        <is>
          <t>5b(i)</t>
        </is>
      </c>
      <c r="O14" s="8" t="inlineStr">
        <is>
          <t>Tailored request</t>
        </is>
      </c>
      <c r="P14" s="8" t="inlineStr"/>
      <c r="Q14" s="8" t="inlineStr"/>
    </row>
    <row r="15" ht="90" customHeight="1">
      <c r="B15" s="7" t="inlineStr">
        <is>
          <t>TR2(c)</t>
        </is>
      </c>
      <c r="C15" s="8" t="inlineStr">
        <is>
          <t>Education and research</t>
        </is>
      </c>
      <c r="D15" s="8" t="inlineStr">
        <is>
          <t>Transformational research</t>
        </is>
      </c>
      <c r="E15" s="8" t="inlineStr">
        <is>
          <t>Deliver high-quality research and partnerships that contribute to sustainability outcomes and demonstrable societal benefit.</t>
        </is>
      </c>
      <c r="F15" s="8" t="inlineStr">
        <is>
          <t>Expert-reviewed summary of sustainability-related research outputs, outcomes and influence using available institutional evidence sources</t>
        </is>
      </c>
      <c r="G15" s="8" t="inlineStr">
        <is>
          <t>currently mapped to the SDGs using SciVal</t>
        </is>
      </c>
      <c r="H15" s="8" t="inlineStr">
        <is>
          <t>MRE</t>
        </is>
      </c>
      <c r="I15" s="8" t="inlineStr">
        <is>
          <t>MRE</t>
        </is>
      </c>
      <c r="J15" s="8" t="inlineStr"/>
      <c r="K15" s="8" t="inlineStr">
        <is>
          <t>Both</t>
        </is>
      </c>
      <c r="L15" s="8" t="inlineStr">
        <is>
          <t>No</t>
        </is>
      </c>
      <c r="M15" s="8" t="inlineStr"/>
      <c r="N15" s="8" t="inlineStr"/>
      <c r="O15" s="8" t="inlineStr">
        <is>
          <t>Tailored request</t>
        </is>
      </c>
      <c r="P15" s="8" t="inlineStr">
        <is>
          <t>Yes – Yes – data held (2025); see 2. Quant coverage</t>
        </is>
      </c>
      <c r="Q15" s="8" t="inlineStr"/>
    </row>
    <row r="16" ht="90" customHeight="1">
      <c r="B16" s="7" t="inlineStr">
        <is>
          <t>TR2(d)</t>
        </is>
      </c>
      <c r="C16" s="8" t="inlineStr">
        <is>
          <t>Education and research</t>
        </is>
      </c>
      <c r="D16" s="8" t="inlineStr">
        <is>
          <t>Transformational research</t>
        </is>
      </c>
      <c r="E16" s="8" t="inlineStr">
        <is>
          <t>Deliver high-quality research and partnerships that contribute to sustainability outcomes and demonstrable societal benefit.</t>
        </is>
      </c>
      <c r="F16" s="8" t="inlineStr">
        <is>
          <t>Case-based evidence demonstrating how research has contributed to meaningful sustainability outcomes.</t>
        </is>
      </c>
      <c r="G1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H16" s="8" t="inlineStr">
        <is>
          <t>Faculties, CI&amp;S</t>
        </is>
      </c>
      <c r="I16" s="8" t="inlineStr">
        <is>
          <t>Faculties (pilot), CI&amp;S</t>
        </is>
      </c>
      <c r="J16" s="8" t="inlineStr">
        <is>
          <t>Strategic Communications - Research lead will be able to identify examples of impactful sustainability-related research; also Pursuit (may be via Strat Comms too)
Melbourne Climate Futures (Ben Neville, Beth Barber, Belle Workman)
Melbourne Biodiversity Insitute (Brendan Wintle, Alanta Colley, Rachel Morgain)
Possibly Melbourne Energy Institute.</t>
        </is>
      </c>
      <c r="K16" s="8" t="inlineStr">
        <is>
          <t>Both</t>
        </is>
      </c>
      <c r="L16" s="8" t="inlineStr">
        <is>
          <t>No</t>
        </is>
      </c>
      <c r="M16" s="8" t="inlineStr"/>
      <c r="N16" s="8" t="inlineStr">
        <is>
          <t>5b(i)</t>
        </is>
      </c>
      <c r="O16" s="8" t="inlineStr">
        <is>
          <t>Tailored request</t>
        </is>
      </c>
      <c r="P16" s="8" t="inlineStr"/>
      <c r="Q16" s="8" t="inlineStr"/>
    </row>
    <row r="17" ht="90" customHeight="1">
      <c r="B17" s="7" t="inlineStr">
        <is>
          <t>TR3(a)</t>
        </is>
      </c>
      <c r="C17" s="8" t="inlineStr">
        <is>
          <t>Education and research</t>
        </is>
      </c>
      <c r="D17" s="8" t="inlineStr">
        <is>
          <t>Transformational research</t>
        </is>
      </c>
      <c r="E17" s="8" t="inlineStr">
        <is>
          <t>Embed sustainability within research systems, processes, capability and culture, so research is conducted responsibly, efficiently and with reduced environmental impact.</t>
        </is>
      </c>
      <c r="F17" s="8" t="inlineStr">
        <is>
          <t>Evidence that sustainability considerations are integrated into relevant research systems, planning processes, guidance, training, induction or support services</t>
        </is>
      </c>
      <c r="G17" s="8" t="inlineStr">
        <is>
          <t>Please describe how sustainability considerations are integrated into research systems, planning processes, guidance, training, induction or support services within your Faculty/Portfolio, could include examples of any new or improved processes.</t>
        </is>
      </c>
      <c r="H17" s="8" t="inlineStr">
        <is>
          <t>Faculties, CI&amp;S</t>
        </is>
      </c>
      <c r="I17" s="8" t="inlineStr">
        <is>
          <t>MRE</t>
        </is>
      </c>
      <c r="J17" s="8" t="inlineStr"/>
      <c r="K17" s="8" t="inlineStr">
        <is>
          <t>Both</t>
        </is>
      </c>
      <c r="L17" s="8" t="inlineStr">
        <is>
          <t>No</t>
        </is>
      </c>
      <c r="M17" s="8" t="inlineStr"/>
      <c r="N17" s="8" t="inlineStr">
        <is>
          <t>5c(ii)</t>
        </is>
      </c>
      <c r="O17" s="8" t="inlineStr">
        <is>
          <t>Tailored request</t>
        </is>
      </c>
      <c r="P17" s="8" t="inlineStr"/>
      <c r="Q17" s="8" t="inlineStr"/>
    </row>
    <row r="18" ht="90" customHeight="1">
      <c r="B18" s="7" t="inlineStr">
        <is>
          <t>TR3(b)</t>
        </is>
      </c>
      <c r="C18" s="8" t="inlineStr">
        <is>
          <t>Education and research</t>
        </is>
      </c>
      <c r="D18" s="8" t="inlineStr">
        <is>
          <t>Transformational research</t>
        </is>
      </c>
      <c r="E18" s="8" t="inlineStr">
        <is>
          <t>Embed sustainability within research systems, processes, capability and culture, so research is conducted responsibly, efficiently and with reduced environmental impact.</t>
        </is>
      </c>
      <c r="F18" s="8" t="inlineStr">
        <is>
          <t>Demonstrated examples of more sustainable research practices in laboratories, fieldwork, procurement, travel or infrastructure use</t>
        </is>
      </c>
      <c r="G18"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H18" s="8" t="inlineStr">
        <is>
          <t>Faculties, CI&amp;S, CFOG</t>
        </is>
      </c>
      <c r="I18" s="8" t="inlineStr">
        <is>
          <t>Faculties (pilot), CI&amp;S, CFOG</t>
        </is>
      </c>
      <c r="J18" s="8" t="inlineStr"/>
      <c r="K18" s="8" t="inlineStr">
        <is>
          <t>Both</t>
        </is>
      </c>
      <c r="L18" s="8" t="inlineStr">
        <is>
          <t>No</t>
        </is>
      </c>
      <c r="M18" s="8" t="inlineStr"/>
      <c r="N18" s="8" t="inlineStr">
        <is>
          <t>5c(ii)</t>
        </is>
      </c>
      <c r="O18" s="8" t="inlineStr">
        <is>
          <t>Tailored request</t>
        </is>
      </c>
      <c r="P18" s="8" t="inlineStr">
        <is>
          <t>Yes – Yes – metrics defined, no data yet; see 2. Quant coverage</t>
        </is>
      </c>
      <c r="Q18" s="8" t="inlineStr"/>
    </row>
    <row r="19" ht="90" customHeight="1">
      <c r="B19" s="7" t="inlineStr">
        <is>
          <t>TR3(c)</t>
        </is>
      </c>
      <c r="C19" s="8" t="inlineStr">
        <is>
          <t>Education and research</t>
        </is>
      </c>
      <c r="D19" s="8" t="inlineStr">
        <is>
          <t>Transformational research</t>
        </is>
      </c>
      <c r="E19" s="8" t="inlineStr">
        <is>
          <t>Embed sustainability within research systems, processes, capability and culture, so research is conducted responsibly, efficiently and with reduced environmental impact.</t>
        </is>
      </c>
      <c r="F19" s="8" t="inlineStr">
        <is>
          <t>Evidence of progress in sustainability-related research culture, capability and awareness, informed by periodic staff and graduate researcher surveys</t>
        </is>
      </c>
      <c r="G19"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H19" s="8" t="inlineStr">
        <is>
          <t>Faculties</t>
        </is>
      </c>
      <c r="I19" s="8" t="inlineStr">
        <is>
          <t>MRE</t>
        </is>
      </c>
      <c r="J19" s="8" t="inlineStr">
        <is>
          <t>Melbourne Research and Enterprise (Nishi Raja-Stranger; Ivan Marusic) - MRE will be a key reporter for all research targets.</t>
        </is>
      </c>
      <c r="K19" s="8" t="inlineStr">
        <is>
          <t>Both</t>
        </is>
      </c>
      <c r="L19" s="8" t="inlineStr">
        <is>
          <t>No</t>
        </is>
      </c>
      <c r="M19" s="8" t="inlineStr"/>
      <c r="N19" s="8" t="inlineStr"/>
      <c r="O19" s="8" t="inlineStr">
        <is>
          <t>Tailored request</t>
        </is>
      </c>
      <c r="P19" s="8" t="inlineStr"/>
      <c r="Q19" s="8" t="inlineStr"/>
    </row>
    <row r="20" ht="90" customHeight="1">
      <c r="B20" s="7" t="inlineStr">
        <is>
          <t>TR3(d)</t>
        </is>
      </c>
      <c r="C20" s="8" t="inlineStr">
        <is>
          <t>Education and research</t>
        </is>
      </c>
      <c r="D20" s="8" t="inlineStr">
        <is>
          <t>Transformational research</t>
        </is>
      </c>
      <c r="E20" s="8" t="inlineStr">
        <is>
          <t>Embed sustainability within research systems, processes, capability and culture, so research is conducted responsibly, efficiently and with reduced environmental impact.</t>
        </is>
      </c>
      <c r="F20" s="8" t="inlineStr">
        <is>
          <t>Expert assessment of progress in embedding sustainable research practices across the institution.</t>
        </is>
      </c>
      <c r="G20" s="8" t="inlineStr">
        <is>
          <t>Faculty/Portfolio’s assessment of progress in embedding sustainable research practices, highlighting areas of strong progress, remaining gaps and priority actions for further improvement.</t>
        </is>
      </c>
      <c r="H20" s="8" t="inlineStr">
        <is>
          <t>Faculties</t>
        </is>
      </c>
      <c r="I20" s="8" t="inlineStr">
        <is>
          <t>MRE</t>
        </is>
      </c>
      <c r="J20" s="8" t="inlineStr"/>
      <c r="K20" s="8" t="inlineStr">
        <is>
          <t>Both</t>
        </is>
      </c>
      <c r="L20" s="8" t="inlineStr">
        <is>
          <t>No</t>
        </is>
      </c>
      <c r="M20" s="8" t="inlineStr"/>
      <c r="N20" s="8" t="inlineStr"/>
      <c r="O20" s="8" t="inlineStr">
        <is>
          <t>Tailored request</t>
        </is>
      </c>
      <c r="P20" s="8" t="inlineStr"/>
      <c r="Q20" s="8" t="inlineStr"/>
    </row>
    <row r="21" ht="90" customHeight="1">
      <c r="B21" s="7" t="inlineStr">
        <is>
          <t>CL1(c)</t>
        </is>
      </c>
      <c r="C21" s="8" t="inlineStr">
        <is>
          <t>Sustainability leadership</t>
        </is>
      </c>
      <c r="D21" s="8" t="inlineStr">
        <is>
          <t>Climate leadership</t>
        </is>
      </c>
      <c r="E21" s="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F21" s="8" t="inlineStr">
        <is>
          <t>Review of Climate Leadership targets by 2030.[2]</t>
        </is>
      </c>
      <c r="G21" s="8" t="inlineStr"/>
      <c r="H21" s="8" t="inlineStr">
        <is>
          <t>CI&amp;S</t>
        </is>
      </c>
      <c r="I21" s="8" t="inlineStr">
        <is>
          <t>CI&amp;S</t>
        </is>
      </c>
      <c r="J21" s="8" t="inlineStr"/>
      <c r="K21" s="8" t="inlineStr">
        <is>
          <t>Both</t>
        </is>
      </c>
      <c r="L21" s="8" t="inlineStr">
        <is>
          <t>Yes</t>
        </is>
      </c>
      <c r="M21" s="8" t="inlineStr">
        <is>
          <t>Need to review again on 2030. The climate target itself is still two months old</t>
        </is>
      </c>
      <c r="N21" s="8" t="inlineStr"/>
      <c r="O21" s="8" t="inlineStr">
        <is>
          <t>Tailored request</t>
        </is>
      </c>
      <c r="P21" s="8" t="inlineStr">
        <is>
          <t>Yes – No; see 2. Quant coverage</t>
        </is>
      </c>
      <c r="Q21" s="8" t="inlineStr"/>
    </row>
    <row r="22" ht="90" customHeight="1">
      <c r="B22" s="7" t="inlineStr">
        <is>
          <t>CL2(a)</t>
        </is>
      </c>
      <c r="C22" s="8" t="inlineStr">
        <is>
          <t>Sustainability leadership</t>
        </is>
      </c>
      <c r="D22" s="8" t="inlineStr">
        <is>
          <t>Climate leadership</t>
        </is>
      </c>
      <c r="E22" s="8" t="inlineStr">
        <is>
          <t>Develop understanding of our research and education programs that contribute to accelerating global decarbonisation and our own climate transition.</t>
        </is>
      </c>
      <c r="F22" s="8" t="inlineStr">
        <is>
          <t>By 2028, develop and document institutional mapping of research and education activities that are designed to contribute to global decarbonisation</t>
        </is>
      </c>
      <c r="G22"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H22" s="8" t="inlineStr">
        <is>
          <t>Faculties, CI&amp;S</t>
        </is>
      </c>
      <c r="I22" s="8" t="inlineStr">
        <is>
          <t>AC&amp;M</t>
        </is>
      </c>
      <c r="J22" s="8" t="inlineStr"/>
      <c r="K22" s="8" t="inlineStr">
        <is>
          <t>Both</t>
        </is>
      </c>
      <c r="L22" s="8" t="inlineStr">
        <is>
          <t>No</t>
        </is>
      </c>
      <c r="M22" s="8" t="inlineStr"/>
      <c r="N22" s="8" t="inlineStr"/>
      <c r="O22" s="8" t="inlineStr">
        <is>
          <t>Tailored request</t>
        </is>
      </c>
      <c r="P22" s="8" t="inlineStr">
        <is>
          <t>Yes – Yes – metrics defined, no data yet; see 2. Quant coverage</t>
        </is>
      </c>
      <c r="Q22" s="8" t="inlineStr"/>
    </row>
    <row r="23" ht="90" customHeight="1">
      <c r="B23" s="7" t="inlineStr">
        <is>
          <t>CL2(c)</t>
        </is>
      </c>
      <c r="C23" s="8" t="inlineStr">
        <is>
          <t>Sustainability leadership</t>
        </is>
      </c>
      <c r="D23" s="8" t="inlineStr">
        <is>
          <t>Climate leadership</t>
        </is>
      </c>
      <c r="E23" s="8" t="inlineStr">
        <is>
          <t>Develop understanding of our research and education programs that contribute to accelerating global decarbonisation and our own climate transition.</t>
        </is>
      </c>
      <c r="F23" s="8" t="inlineStr">
        <is>
          <t>Ongoing communications that evidence the University’s climate action, research and learning to inform policy, sector and community decarbonisation efforts.</t>
        </is>
      </c>
      <c r="G23" s="8" t="inlineStr">
        <is>
          <t>List and describe communications from the faculty in terms of climate action, research and learning to inform policy, sector and community decarbonisation efforts</t>
        </is>
      </c>
      <c r="H23" s="8" t="inlineStr">
        <is>
          <t>Faculties,</t>
        </is>
      </c>
      <c r="I23" s="8" t="inlineStr">
        <is>
          <t>AC&amp;M</t>
        </is>
      </c>
      <c r="J23" s="8" t="inlineStr"/>
      <c r="K23" s="8" t="inlineStr">
        <is>
          <t>Both</t>
        </is>
      </c>
      <c r="L23" s="8" t="inlineStr">
        <is>
          <t>No</t>
        </is>
      </c>
      <c r="M23" s="8" t="inlineStr"/>
      <c r="N23" s="8" t="inlineStr"/>
      <c r="O23" s="8" t="inlineStr">
        <is>
          <t>Tailored request</t>
        </is>
      </c>
      <c r="P23" s="8" t="inlineStr">
        <is>
          <t>Yes – Yes – metrics defined, no data yet; see 2. Quant coverage</t>
        </is>
      </c>
      <c r="Q23" s="8" t="inlineStr"/>
    </row>
    <row r="24" ht="90" customHeight="1">
      <c r="B24" s="7" t="inlineStr">
        <is>
          <t>CL3(a)</t>
        </is>
      </c>
      <c r="C24" s="8" t="inlineStr">
        <is>
          <t>Sustainability leadership</t>
        </is>
      </c>
      <c r="D24" s="8" t="inlineStr">
        <is>
          <t>Climate leadership</t>
        </is>
      </c>
      <c r="E24" s="8" t="inlineStr">
        <is>
          <t>Reach and maintain high levels of climate-change resilience maturity</t>
        </is>
      </c>
      <c r="F24"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G24" s="8" t="inlineStr">
        <is>
          <t>Provide update of University maturity assesment. Include maturity ratings, key gaps and priority improvement actions.when available</t>
        </is>
      </c>
      <c r="H24" s="8" t="inlineStr">
        <is>
          <t>CI&amp;S</t>
        </is>
      </c>
      <c r="I24" s="8" t="inlineStr">
        <is>
          <t>CI&amp;S, L&amp;R</t>
        </is>
      </c>
      <c r="J24" s="8" t="inlineStr"/>
      <c r="K24" s="8" t="inlineStr">
        <is>
          <t>Both</t>
        </is>
      </c>
      <c r="L24" s="8" t="inlineStr">
        <is>
          <t>No</t>
        </is>
      </c>
      <c r="M24" s="8" t="inlineStr">
        <is>
          <t>Could check with Gerard. Gerard is the one who manage this indicator</t>
        </is>
      </c>
      <c r="N24" s="8" t="inlineStr"/>
      <c r="O24" s="8" t="inlineStr">
        <is>
          <t>Tailored request</t>
        </is>
      </c>
      <c r="P24" s="8" t="inlineStr">
        <is>
          <t>Yes – Yes – metrics defined, no data yet; see 2. Quant coverage</t>
        </is>
      </c>
      <c r="Q24" s="8" t="inlineStr"/>
    </row>
    <row r="25" ht="90" customHeight="1">
      <c r="B25" s="7" t="inlineStr">
        <is>
          <t>NB1(b)</t>
        </is>
      </c>
      <c r="C25" s="8" t="inlineStr">
        <is>
          <t>Sustainability leadership</t>
        </is>
      </c>
      <c r="D25" s="8" t="inlineStr">
        <is>
          <t>Nature and biodiversity</t>
        </is>
      </c>
      <c r="E25" s="8" t="inlineStr">
        <is>
          <t>Achieve an increase of biodiversity relative to defined baseline years for each campus.</t>
        </is>
      </c>
      <c r="F25" s="8" t="inlineStr">
        <is>
          <t>Size, health and diversity of remnant vegetation at the Dookie and Creswick campuses</t>
        </is>
      </c>
      <c r="G25" s="8" t="inlineStr"/>
      <c r="H25" s="8" t="inlineStr">
        <is>
          <t>Rachel</t>
        </is>
      </c>
      <c r="I25" s="8" t="inlineStr">
        <is>
          <t>ESG</t>
        </is>
      </c>
      <c r="J25" s="8" t="inlineStr"/>
      <c r="K25" s="8" t="inlineStr">
        <is>
          <t>Internal</t>
        </is>
      </c>
      <c r="L25" s="8" t="inlineStr">
        <is>
          <t>No</t>
        </is>
      </c>
      <c r="M25" s="8" t="inlineStr">
        <is>
          <t>Havent been previously disclose publicly</t>
        </is>
      </c>
      <c r="N25" s="8" t="inlineStr"/>
      <c r="O25" s="8" t="inlineStr">
        <is>
          <t>Tailored request</t>
        </is>
      </c>
      <c r="P25" s="8" t="inlineStr">
        <is>
          <t>Yes – No; see 2. Quant coverage</t>
        </is>
      </c>
      <c r="Q25" s="8" t="inlineStr"/>
    </row>
    <row r="26" ht="90" customHeight="1">
      <c r="B26" s="7" t="inlineStr">
        <is>
          <t>NB1(c)</t>
        </is>
      </c>
      <c r="C26" s="8" t="inlineStr">
        <is>
          <t>Sustainability leadership</t>
        </is>
      </c>
      <c r="D26" s="8" t="inlineStr">
        <is>
          <t>Nature and biodiversity</t>
        </is>
      </c>
      <c r="E26" s="8" t="inlineStr">
        <is>
          <t>Achieve an increase of biodiversity relative to defined baseline years for each campus.</t>
        </is>
      </c>
      <c r="F26" s="8" t="inlineStr">
        <is>
          <t>Defined quality measurement framework</t>
        </is>
      </c>
      <c r="G26" s="8" t="inlineStr"/>
      <c r="H26" s="8" t="inlineStr">
        <is>
          <t>ESG</t>
        </is>
      </c>
      <c r="I26" s="8" t="inlineStr">
        <is>
          <t>ESG</t>
        </is>
      </c>
      <c r="J26" s="8" t="inlineStr"/>
      <c r="K26" s="8" t="inlineStr">
        <is>
          <t>Both</t>
        </is>
      </c>
      <c r="L26" s="8" t="inlineStr">
        <is>
          <t>No</t>
        </is>
      </c>
      <c r="M26" s="8" t="inlineStr">
        <is>
          <t>Follow up with Rachel</t>
        </is>
      </c>
      <c r="N26" s="8" t="inlineStr"/>
      <c r="O26" s="8" t="inlineStr">
        <is>
          <t>Tailored request</t>
        </is>
      </c>
      <c r="P26" s="8" t="inlineStr">
        <is>
          <t>Yes – No; see 2. Quant coverage</t>
        </is>
      </c>
      <c r="Q26" s="8" t="inlineStr"/>
    </row>
    <row r="27" ht="90" customHeight="1">
      <c r="B27" s="7" t="inlineStr">
        <is>
          <t>NB1(d)</t>
        </is>
      </c>
      <c r="C27" s="8" t="inlineStr">
        <is>
          <t>Sustainability leadership</t>
        </is>
      </c>
      <c r="D27" s="8" t="inlineStr">
        <is>
          <t>Nature and biodiversity</t>
        </is>
      </c>
      <c r="E27" s="8" t="inlineStr">
        <is>
          <t>Achieve an increase of biodiversity relative to defined baseline years for each campus.</t>
        </is>
      </c>
      <c r="F27" s="8" t="inlineStr">
        <is>
          <t>Defined and quantified campus connectivity</t>
        </is>
      </c>
      <c r="G27" s="8" t="inlineStr">
        <is>
          <t>Please provide the current definition and quantified assessment of campus ecological connectivity, could include the methodology used, campuses covered, baseline or benchmark values, and any material change over the reporting period.</t>
        </is>
      </c>
      <c r="H27" s="8" t="inlineStr">
        <is>
          <t>ESG</t>
        </is>
      </c>
      <c r="I27" s="8" t="inlineStr">
        <is>
          <t>ESG</t>
        </is>
      </c>
      <c r="J27" s="8" t="inlineStr"/>
      <c r="K27" s="8" t="inlineStr">
        <is>
          <t>Both</t>
        </is>
      </c>
      <c r="L27" s="8" t="inlineStr">
        <is>
          <t>No</t>
        </is>
      </c>
      <c r="M27" s="8" t="inlineStr"/>
      <c r="N27" s="8" t="inlineStr"/>
      <c r="O27" s="8" t="inlineStr">
        <is>
          <t>Tailored request</t>
        </is>
      </c>
      <c r="P27" s="8" t="inlineStr">
        <is>
          <t>Yes – No; see 2. Quant coverage</t>
        </is>
      </c>
      <c r="Q27" s="8" t="inlineStr"/>
    </row>
    <row r="28" ht="90" customHeight="1">
      <c r="B28" s="7" t="inlineStr">
        <is>
          <t>NB2(a)</t>
        </is>
      </c>
      <c r="C28" s="8" t="inlineStr">
        <is>
          <t>Sustainability leadership</t>
        </is>
      </c>
      <c r="D28" s="8" t="inlineStr">
        <is>
          <t>Nature and biodiversity</t>
        </is>
      </c>
      <c r="E28" s="8" t="inlineStr">
        <is>
          <t>Improve our understanding of our supply chain impacts on nature.</t>
        </is>
      </c>
      <c r="F28" s="8" t="inlineStr">
        <is>
          <t>Documented baseline nature footprint analysis</t>
        </is>
      </c>
      <c r="G28" s="8" t="inlineStr">
        <is>
          <t>Impact Encore Measurement</t>
        </is>
      </c>
      <c r="H28" s="8" t="inlineStr">
        <is>
          <t>MBI</t>
        </is>
      </c>
      <c r="I28" s="8" t="inlineStr">
        <is>
          <t>MRE</t>
        </is>
      </c>
      <c r="J28" s="8" t="inlineStr"/>
      <c r="K28" s="8" t="inlineStr">
        <is>
          <t>Both</t>
        </is>
      </c>
      <c r="L28" s="8" t="inlineStr">
        <is>
          <t>No</t>
        </is>
      </c>
      <c r="M28" s="8" t="inlineStr"/>
      <c r="N28" s="8" t="inlineStr"/>
      <c r="O28" s="8" t="inlineStr">
        <is>
          <t>Tailored request</t>
        </is>
      </c>
      <c r="P28" s="8" t="inlineStr">
        <is>
          <t>Yes – Yes – metrics defined, no data yet; see 2. Quant coverage</t>
        </is>
      </c>
      <c r="Q28" s="8" t="inlineStr"/>
    </row>
    <row r="29" ht="90" customHeight="1">
      <c r="B29" s="7" t="inlineStr">
        <is>
          <t>NB2(b)</t>
        </is>
      </c>
      <c r="C29" s="8" t="inlineStr">
        <is>
          <t>Sustainability leadership</t>
        </is>
      </c>
      <c r="D29" s="8" t="inlineStr">
        <is>
          <t>Nature and biodiversity</t>
        </is>
      </c>
      <c r="E29" s="8" t="inlineStr">
        <is>
          <t>Improve our understanding of our supply chain impacts on nature.</t>
        </is>
      </c>
      <c r="F29" s="8" t="inlineStr">
        <is>
          <t>Evidence of established framework to monitor and track supply-chain nature impacts over time</t>
        </is>
      </c>
      <c r="G29" s="8" t="inlineStr">
        <is>
          <t>Please describe the framework established to monitor and track supply-chain impacts on nature over time, could include metrics, data sources, governance/ownership, reporting frequency and current implementation status.</t>
        </is>
      </c>
      <c r="H29" s="8" t="inlineStr">
        <is>
          <t>ESG</t>
        </is>
      </c>
      <c r="I29" s="8" t="inlineStr">
        <is>
          <t>ESG</t>
        </is>
      </c>
      <c r="J29" s="8" t="inlineStr">
        <is>
          <t>Melbourne Biodiversity Institute (MBI) - Brendan Wintle and August Wylynko</t>
        </is>
      </c>
      <c r="K29" s="8" t="inlineStr">
        <is>
          <t>Both</t>
        </is>
      </c>
      <c r="L29" s="8" t="inlineStr">
        <is>
          <t>No</t>
        </is>
      </c>
      <c r="M29" s="8" t="inlineStr"/>
      <c r="N29" s="8" t="inlineStr"/>
      <c r="O29" s="8" t="inlineStr">
        <is>
          <t>Tailored request</t>
        </is>
      </c>
      <c r="P29" s="8" t="inlineStr"/>
      <c r="Q29" s="8" t="inlineStr"/>
    </row>
    <row r="30" ht="90" customHeight="1">
      <c r="B30" s="7" t="inlineStr">
        <is>
          <t>NB2(c)</t>
        </is>
      </c>
      <c r="C30" s="8" t="inlineStr">
        <is>
          <t>Sustainability leadership</t>
        </is>
      </c>
      <c r="D30" s="8" t="inlineStr">
        <is>
          <t>Nature and biodiversity</t>
        </is>
      </c>
      <c r="E30" s="8" t="inlineStr">
        <is>
          <t>Improve our understanding of our supply chain impacts on nature.</t>
        </is>
      </c>
      <c r="F30" s="8" t="inlineStr">
        <is>
          <t>Evidence of prioritised high risk procurement categories or suppliers for nature impact management</t>
        </is>
      </c>
      <c r="G30" s="8" t="inlineStr">
        <is>
          <t>Please provide the prioritised high-risk procurement categories and/or suppliers identified for nature-impact management, could include the basis for prioritisation and any risk-management, engagement or mitigation actions undertaken or planned.</t>
        </is>
      </c>
      <c r="H30" s="8" t="inlineStr">
        <is>
          <t>ESG, CFOG</t>
        </is>
      </c>
      <c r="I30" s="8" t="inlineStr">
        <is>
          <t>CFOG, ESG</t>
        </is>
      </c>
      <c r="J30" s="8" t="inlineStr">
        <is>
          <t>MBI</t>
        </is>
      </c>
      <c r="K30" s="8" t="inlineStr">
        <is>
          <t>Both</t>
        </is>
      </c>
      <c r="L30" s="8" t="inlineStr">
        <is>
          <t>No</t>
        </is>
      </c>
      <c r="M30" s="8" t="inlineStr"/>
      <c r="N30" s="8" t="inlineStr"/>
      <c r="O30" s="8" t="inlineStr">
        <is>
          <t>Tailored request</t>
        </is>
      </c>
      <c r="P30" s="8" t="inlineStr"/>
      <c r="Q30" s="8" t="inlineStr"/>
    </row>
    <row r="31" ht="90" customHeight="1">
      <c r="B31" s="7" t="inlineStr">
        <is>
          <t>AI1(a)</t>
        </is>
      </c>
      <c r="C31" s="8" t="inlineStr">
        <is>
          <t>Sustainability leadership</t>
        </is>
      </c>
      <c r="D31" s="8" t="inlineStr">
        <is>
          <t>Responsible AI</t>
        </is>
      </c>
      <c r="E31" s="8" t="inlineStr">
        <is>
          <t>Improve understanding of our sustainability-related risks and opportunities of AI technologies by 2028.</t>
        </is>
      </c>
      <c r="F31" s="8" t="inlineStr">
        <is>
          <t>Established measurement of estimated operational impacts and opportunities (eg operational impacts could include energy, water, emissions and intensity measures)</t>
        </is>
      </c>
      <c r="G31" s="8" t="inlineStr"/>
      <c r="H31" s="8" t="inlineStr">
        <is>
          <t>CI&amp;S, CIOG</t>
        </is>
      </c>
      <c r="I31" s="8" t="inlineStr">
        <is>
          <t>CI&amp;S, CIOG</t>
        </is>
      </c>
      <c r="J31" s="8" t="inlineStr"/>
      <c r="K31" s="8" t="inlineStr">
        <is>
          <t>Both</t>
        </is>
      </c>
      <c r="L31" s="8" t="inlineStr">
        <is>
          <t>Yes</t>
        </is>
      </c>
      <c r="M31" s="8" t="inlineStr">
        <is>
          <t>Rose &amp; Sally currently actively managing this target and indicator. High level overview on 2026, will work on the detailed measurement next year</t>
        </is>
      </c>
      <c r="N31" s="8" t="inlineStr"/>
      <c r="O31" s="8" t="inlineStr">
        <is>
          <t>Tailored request</t>
        </is>
      </c>
      <c r="P31" s="8" t="inlineStr">
        <is>
          <t>Yes – No; see 2. Quant coverage</t>
        </is>
      </c>
      <c r="Q31" s="8" t="inlineStr"/>
    </row>
    <row r="32" ht="90" customHeight="1">
      <c r="B32" s="7" t="inlineStr">
        <is>
          <t>AI1(b)</t>
        </is>
      </c>
      <c r="C32" s="8" t="inlineStr">
        <is>
          <t>Sustainability leadership</t>
        </is>
      </c>
      <c r="D32" s="8" t="inlineStr">
        <is>
          <t>Responsible AI</t>
        </is>
      </c>
      <c r="E32" s="8" t="inlineStr">
        <is>
          <t>Improve understanding of our sustainability-related risks and opportunities of AI technologies by 2028.</t>
        </is>
      </c>
      <c r="F32" s="8" t="inlineStr">
        <is>
          <t>Case studies of sustainability and AI-related education, research and collaboration activities.</t>
        </is>
      </c>
      <c r="G32" s="8" t="inlineStr">
        <is>
          <t>Please provide case studies from your Faculty/Portfolio of sustainability and AI-related education, research or collaboration activities, describing the activity, participants or partners, sustainability issue addressed and key outcomes or lessons.</t>
        </is>
      </c>
      <c r="H32" s="8" t="inlineStr">
        <is>
          <t>CI&amp;S, CIOG</t>
        </is>
      </c>
      <c r="I32" s="8" t="inlineStr">
        <is>
          <t>CI&amp;S, CIOG</t>
        </is>
      </c>
      <c r="J32" s="8" t="inlineStr">
        <is>
          <t>AI Steering Committee - developing AI roadmap, which includes responsible AI as a key pillar.</t>
        </is>
      </c>
      <c r="K32" s="8" t="inlineStr">
        <is>
          <t>Both</t>
        </is>
      </c>
      <c r="L32" s="8" t="inlineStr">
        <is>
          <t>No</t>
        </is>
      </c>
      <c r="M32" s="8" t="inlineStr"/>
      <c r="N32" s="8" t="inlineStr"/>
      <c r="O32" s="8" t="inlineStr">
        <is>
          <t>Tailored request</t>
        </is>
      </c>
      <c r="P32" s="8" t="inlineStr"/>
      <c r="Q32" s="8" t="inlineStr"/>
    </row>
    <row r="33" ht="90" customHeight="1">
      <c r="B33" s="7" t="inlineStr">
        <is>
          <t>EI1(a)</t>
        </is>
      </c>
      <c r="C33" s="8" t="inlineStr">
        <is>
          <t>Resilient University</t>
        </is>
      </c>
      <c r="D33" s="8" t="inlineStr">
        <is>
          <t>Estate and infrastructure</t>
        </is>
      </c>
      <c r="E33" s="8" t="inlineStr">
        <is>
          <t>Integrate environmental sustainability in the way that the University achieves strategic and operational objectives for our estate and infrastructure.</t>
        </is>
      </c>
      <c r="F33" s="8" t="inlineStr">
        <is>
          <t>Evidence of increased maturity of estate and infrastructure planning, development and operations to support the other priority areas in Sustainability 2030</t>
        </is>
      </c>
      <c r="G33" s="8"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H33" s="8" t="inlineStr">
        <is>
          <t>CI&amp;S</t>
        </is>
      </c>
      <c r="I33" s="8" t="inlineStr">
        <is>
          <t>CI&amp;S</t>
        </is>
      </c>
      <c r="J33" s="8" t="inlineStr">
        <is>
          <t>CI&amp;S - Estate Planning and Development teams</t>
        </is>
      </c>
      <c r="K33" s="8" t="inlineStr">
        <is>
          <t>Both</t>
        </is>
      </c>
      <c r="L33" s="8" t="inlineStr">
        <is>
          <t>No</t>
        </is>
      </c>
      <c r="M33" s="8" t="inlineStr">
        <is>
          <t>Facilitated by Gerard</t>
        </is>
      </c>
      <c r="N33" s="8" t="inlineStr"/>
      <c r="O33" s="8" t="inlineStr">
        <is>
          <t>Tailored request</t>
        </is>
      </c>
      <c r="P33" s="8" t="inlineStr">
        <is>
          <t>Yes – No; see 2. Quant coverage</t>
        </is>
      </c>
      <c r="Q33" s="8" t="inlineStr"/>
    </row>
    <row r="34" ht="90" customHeight="1">
      <c r="B34" s="7" t="inlineStr">
        <is>
          <t>EI1(b)</t>
        </is>
      </c>
      <c r="C34" s="8" t="inlineStr">
        <is>
          <t>Resilient University</t>
        </is>
      </c>
      <c r="D34" s="8" t="inlineStr">
        <is>
          <t>Estate and infrastructure</t>
        </is>
      </c>
      <c r="E34" s="8" t="inlineStr">
        <is>
          <t>Integrate environmental sustainability in the way that the University achieves strategic and operational objectives for our estate and infrastructure.</t>
        </is>
      </c>
      <c r="F34" s="8" t="inlineStr">
        <is>
          <t>Estimated sustainability impacts of the University’s estate and infrastructure capital plan to inform progress towards emissions reduction targets and other priority areas (to the extent enabled by available information)</t>
        </is>
      </c>
      <c r="G34"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H34" s="8" t="inlineStr">
        <is>
          <t>CI&amp;S</t>
        </is>
      </c>
      <c r="I34" s="8" t="inlineStr">
        <is>
          <t>CI&amp;S</t>
        </is>
      </c>
      <c r="J34" s="8" t="inlineStr">
        <is>
          <t>CI&amp;S - Estate Planning and Development teams</t>
        </is>
      </c>
      <c r="K34" s="8" t="inlineStr">
        <is>
          <t>Both</t>
        </is>
      </c>
      <c r="L34" s="8" t="inlineStr">
        <is>
          <t>No</t>
        </is>
      </c>
      <c r="M34" s="8" t="inlineStr"/>
      <c r="N34" s="8" t="inlineStr"/>
      <c r="O34" s="8" t="inlineStr">
        <is>
          <t>Tailored request</t>
        </is>
      </c>
      <c r="P34" s="8" t="inlineStr">
        <is>
          <t>Yes – No; see 2. Quant coverage</t>
        </is>
      </c>
      <c r="Q34" s="8" t="inlineStr"/>
    </row>
    <row r="35" ht="90" customHeight="1">
      <c r="B35" s="7" t="inlineStr">
        <is>
          <t>EI1(c)</t>
        </is>
      </c>
      <c r="C35" s="8" t="inlineStr">
        <is>
          <t>Resilient University</t>
        </is>
      </c>
      <c r="D35" s="8" t="inlineStr">
        <is>
          <t>Estate and infrastructure</t>
        </is>
      </c>
      <c r="E35" s="8" t="inlineStr">
        <is>
          <t>Integrate environmental sustainability in the way that the University achieves strategic and operational objectives for our estate and infrastructure.</t>
        </is>
      </c>
      <c r="F35" s="8" t="inlineStr">
        <is>
          <t>Reporting on relevant activities and impacts for the University’s major estate and infrastructure projects and programs aligned with the other priority areas in Sustainability 2030</t>
        </is>
      </c>
      <c r="G35"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H35" s="8" t="inlineStr">
        <is>
          <t>CI&amp;S</t>
        </is>
      </c>
      <c r="I35" s="8" t="inlineStr">
        <is>
          <t>CI&amp;S</t>
        </is>
      </c>
      <c r="J35" s="8" t="inlineStr">
        <is>
          <t>CI&amp;S - Estate Planning and Development teams</t>
        </is>
      </c>
      <c r="K35" s="8" t="inlineStr">
        <is>
          <t>Both</t>
        </is>
      </c>
      <c r="L35" s="8" t="inlineStr">
        <is>
          <t>No</t>
        </is>
      </c>
      <c r="M35" s="8" t="inlineStr"/>
      <c r="N35" s="8" t="inlineStr"/>
      <c r="O35" s="8" t="inlineStr">
        <is>
          <t>Tailored request</t>
        </is>
      </c>
      <c r="P35" s="8" t="inlineStr">
        <is>
          <t>Yes – No; see 2. Quant coverage</t>
        </is>
      </c>
      <c r="Q35" s="8" t="inlineStr"/>
    </row>
    <row r="36" ht="90" customHeight="1">
      <c r="B36" s="7" t="inlineStr">
        <is>
          <t>EI1(d)</t>
        </is>
      </c>
      <c r="C36" s="8" t="inlineStr">
        <is>
          <t>Resilient University</t>
        </is>
      </c>
      <c r="D36" s="8" t="inlineStr">
        <is>
          <t>Estate and infrastructure</t>
        </is>
      </c>
      <c r="E36" s="8" t="inlineStr">
        <is>
          <t>Integrate environmental sustainability in the way that the University achieves strategic and operational objectives for our estate and infrastructure.</t>
        </is>
      </c>
      <c r="F36" s="8" t="inlineStr">
        <is>
          <t>Evidence of understanding and integration of Indigenous approaches to sustainability in estate planning and development programs and projects.</t>
        </is>
      </c>
      <c r="G36"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H36" s="8" t="inlineStr">
        <is>
          <t>CI&amp;S</t>
        </is>
      </c>
      <c r="I36" s="8" t="inlineStr">
        <is>
          <t>CI&amp;S</t>
        </is>
      </c>
      <c r="J36" s="8" t="inlineStr">
        <is>
          <t>CI&amp;S - Estate Planning and Development teams</t>
        </is>
      </c>
      <c r="K36" s="8" t="inlineStr">
        <is>
          <t>Both</t>
        </is>
      </c>
      <c r="L36" s="8" t="inlineStr">
        <is>
          <t>No</t>
        </is>
      </c>
      <c r="M36" s="8" t="inlineStr"/>
      <c r="N36" s="8" t="inlineStr"/>
      <c r="O36" s="8" t="inlineStr">
        <is>
          <t>Tailored request</t>
        </is>
      </c>
      <c r="P36" s="8" t="inlineStr"/>
      <c r="Q36" s="8" t="inlineStr"/>
    </row>
    <row r="37" ht="90" customHeight="1">
      <c r="B37" s="7" t="inlineStr">
        <is>
          <t>RP1(a)</t>
        </is>
      </c>
      <c r="C37" s="8" t="inlineStr">
        <is>
          <t>Resilient University</t>
        </is>
      </c>
      <c r="D37" s="8" t="inlineStr">
        <is>
          <t>Responsible procurement</t>
        </is>
      </c>
      <c r="E37" s="8" t="inlineStr">
        <is>
          <t>Strengthen our ethical and sustainable procurement approach.</t>
        </is>
      </c>
      <c r="F37" s="8" t="inlineStr">
        <is>
          <t>Case studies of maturity improvement related to responsible procurement process and systems.</t>
        </is>
      </c>
      <c r="G37" s="8" t="inlineStr">
        <is>
          <t>Maturity score if framework established; % procurement staff trained</t>
        </is>
      </c>
      <c r="H37" s="8" t="inlineStr"/>
      <c r="I37" s="8" t="inlineStr">
        <is>
          <t>CFOG</t>
        </is>
      </c>
      <c r="J37" s="8" t="inlineStr"/>
      <c r="K37" s="8" t="inlineStr">
        <is>
          <t>Both</t>
        </is>
      </c>
      <c r="L37" s="8" t="inlineStr">
        <is>
          <t>No</t>
        </is>
      </c>
      <c r="M37" s="8" t="inlineStr">
        <is>
          <t>Quantitative metrics could support qualitative case studies to demonstrate system/process improvements</t>
        </is>
      </c>
      <c r="N37" s="8" t="inlineStr"/>
      <c r="O37" s="8" t="inlineStr">
        <is>
          <t>Tailored request</t>
        </is>
      </c>
      <c r="P37" s="8" t="inlineStr">
        <is>
          <t>Yes – No; see 2. Quant coverage</t>
        </is>
      </c>
      <c r="Q37" s="8" t="inlineStr"/>
    </row>
    <row r="38" ht="90" customHeight="1">
      <c r="B38" s="7" t="inlineStr">
        <is>
          <t>MS1(a)</t>
        </is>
      </c>
      <c r="C38" s="8" t="inlineStr">
        <is>
          <t>Resilient University</t>
        </is>
      </c>
      <c r="D38" s="8" t="inlineStr">
        <is>
          <t>Modern slavery and human rights</t>
        </is>
      </c>
      <c r="E38" s="8" t="inlineStr">
        <is>
          <t>Manage our approach to modern slavery and human rights-related risks and opportunities.</t>
        </is>
      </c>
      <c r="F38" s="8" t="inlineStr">
        <is>
          <t>Annual progress reporting via the Modern Slavery Statement</t>
        </is>
      </c>
      <c r="G38" s="8" t="inlineStr">
        <is>
          <t>Annual Modern Slavery Statement, with case studies</t>
        </is>
      </c>
      <c r="H38" s="8" t="inlineStr">
        <is>
          <t>CFOG, CI&amp;S</t>
        </is>
      </c>
      <c r="I38" s="8" t="inlineStr">
        <is>
          <t>CI&amp;S, CFOG</t>
        </is>
      </c>
      <c r="J38" s="8" t="inlineStr">
        <is>
          <t>CFOG - Procurement; Modern Slavery Working Group (existing).</t>
        </is>
      </c>
      <c r="K38" s="8" t="inlineStr">
        <is>
          <t>External</t>
        </is>
      </c>
      <c r="L38" s="8" t="inlineStr">
        <is>
          <t>No</t>
        </is>
      </c>
      <c r="M38" s="8" t="inlineStr"/>
      <c r="N38" s="8" t="inlineStr"/>
      <c r="O38" s="8" t="inlineStr">
        <is>
          <t>Tailored request</t>
        </is>
      </c>
      <c r="P38" s="8" t="inlineStr"/>
      <c r="Q38" s="8" t="inlineStr"/>
    </row>
    <row r="39" ht="90" customHeight="1">
      <c r="B39" s="7" t="inlineStr">
        <is>
          <t>RI1(b)</t>
        </is>
      </c>
      <c r="C39" s="8" t="inlineStr">
        <is>
          <t>Resilient University</t>
        </is>
      </c>
      <c r="D39" s="8" t="inlineStr">
        <is>
          <t>Responsible investments</t>
        </is>
      </c>
      <c r="E39" s="8" t="inlineStr">
        <is>
          <t>Achieve net zero financed emissions for the University’s investment portfolio by 2050.</t>
        </is>
      </c>
      <c r="F39" s="8" t="inlineStr">
        <is>
          <t>Continuous improvement of the reporting of the University’s sustainability-related investment profile metrics, could include investment in climate mitigation and transition solutions, and compliance with related obligations (eg UNPRI).</t>
        </is>
      </c>
      <c r="G39" s="8" t="inlineStr">
        <is>
          <t>Report on relevant sustainability-related investment portfolio metrics and report on how the University has complied with its related obligations</t>
        </is>
      </c>
      <c r="H39" s="8" t="inlineStr">
        <is>
          <t>CFOG, CI&amp;S</t>
        </is>
      </c>
      <c r="I39" s="8" t="inlineStr">
        <is>
          <t>CI&amp;S, CFOG</t>
        </is>
      </c>
      <c r="J39" s="8" t="inlineStr"/>
      <c r="K39" s="8" t="inlineStr">
        <is>
          <t>Both</t>
        </is>
      </c>
      <c r="L39" s="8" t="inlineStr">
        <is>
          <t>No</t>
        </is>
      </c>
      <c r="M39" s="8" t="inlineStr"/>
      <c r="N39" s="8" t="inlineStr"/>
      <c r="O39" s="8" t="inlineStr">
        <is>
          <t>Tailored request</t>
        </is>
      </c>
      <c r="P39" s="8" t="inlineStr">
        <is>
          <t>Yes – Yes – data held (2023–2025); see 2. Quant coverage</t>
        </is>
      </c>
      <c r="Q39" s="8" t="inlineStr"/>
    </row>
    <row r="40" ht="90" customHeight="1">
      <c r="B40" s="7" t="inlineStr">
        <is>
          <t>EN1(a)</t>
        </is>
      </c>
      <c r="C40" s="8" t="inlineStr">
        <is>
          <t>Enablers</t>
        </is>
      </c>
      <c r="D40" s="8" t="inlineStr">
        <is>
          <t>Enablers</t>
        </is>
      </c>
      <c r="E40" s="8" t="inlineStr">
        <is>
          <t>Enablers</t>
        </is>
      </c>
      <c r="F40" s="8" t="inlineStr">
        <is>
          <t>Evidence of sustainability outcomes informed by Indigenous knowledges</t>
        </is>
      </c>
      <c r="G4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H40" s="8" t="inlineStr">
        <is>
          <t>Faculties</t>
        </is>
      </c>
      <c r="I40" s="8" t="inlineStr">
        <is>
          <t>Faculties (pilot), GCE, Indigenous</t>
        </is>
      </c>
      <c r="J40" s="8" t="inlineStr">
        <is>
          <t>For discussion - it would be good to chat about the nuances of this one</t>
        </is>
      </c>
      <c r="K40" s="8" t="inlineStr">
        <is>
          <t>Both</t>
        </is>
      </c>
      <c r="L40" s="8" t="inlineStr">
        <is>
          <t>No</t>
        </is>
      </c>
      <c r="M40" s="8" t="inlineStr"/>
      <c r="N40" s="8" t="inlineStr">
        <is>
          <t>6a</t>
        </is>
      </c>
      <c r="O40" s="8" t="inlineStr">
        <is>
          <t>Tailored request</t>
        </is>
      </c>
      <c r="P40" s="8" t="inlineStr"/>
      <c r="Q40" s="8" t="inlineStr"/>
    </row>
    <row r="41" ht="90" customHeight="1">
      <c r="B41" s="7" t="inlineStr">
        <is>
          <t>EN1(b)</t>
        </is>
      </c>
      <c r="C41" s="8" t="inlineStr">
        <is>
          <t>Enablers</t>
        </is>
      </c>
      <c r="D41" s="8" t="inlineStr">
        <is>
          <t>Enablers</t>
        </is>
      </c>
      <c r="E41" s="8" t="inlineStr">
        <is>
          <t>Enablers</t>
        </is>
      </c>
      <c r="F41" s="8" t="inlineStr">
        <is>
          <t>Living laboratories enabling applied learning, research and operational sustainability outcomes</t>
        </is>
      </c>
      <c r="G41" s="8" t="inlineStr">
        <is>
          <t>Comment on living labs in the Faculty - outputs, outcomes, and impact</t>
        </is>
      </c>
      <c r="H41" s="8" t="inlineStr">
        <is>
          <t>Faculties, CI&amp;S</t>
        </is>
      </c>
      <c r="I41" s="8" t="inlineStr">
        <is>
          <t>Faculties (pilot), CI&amp;S</t>
        </is>
      </c>
      <c r="J41" s="8" t="inlineStr">
        <is>
          <t>SST is a key data owner: Can report on projects and outcomes from the Campus Living Lab Accelerator Program. Also will gather case studies from individual projects (4)</t>
        </is>
      </c>
      <c r="K41" s="8" t="inlineStr">
        <is>
          <t>Both</t>
        </is>
      </c>
      <c r="L41" s="8" t="inlineStr">
        <is>
          <t>No</t>
        </is>
      </c>
      <c r="M41" s="8" t="inlineStr"/>
      <c r="N41" s="8" t="inlineStr">
        <is>
          <t>2a</t>
        </is>
      </c>
      <c r="O41" s="8" t="inlineStr">
        <is>
          <t>Tailored request</t>
        </is>
      </c>
      <c r="P41" s="8" t="inlineStr">
        <is>
          <t>Yes – Yes – metrics defined, no data yet; see 2. Quant coverage</t>
        </is>
      </c>
      <c r="Q41" s="8" t="inlineStr"/>
    </row>
    <row r="42" ht="90" customHeight="1">
      <c r="B42" s="7" t="inlineStr">
        <is>
          <t>EN1(c)</t>
        </is>
      </c>
      <c r="C42" s="8" t="inlineStr">
        <is>
          <t>Enablers</t>
        </is>
      </c>
      <c r="D42" s="8" t="inlineStr">
        <is>
          <t>Enablers</t>
        </is>
      </c>
      <c r="E42" s="8" t="inlineStr">
        <is>
          <t>Enablers</t>
        </is>
      </c>
      <c r="F42" s="8" t="inlineStr">
        <is>
          <t>Coordinated internal engagement and external partnerships contributing to delivery of sustainability outcomes across priority areas.</t>
        </is>
      </c>
      <c r="G4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H42" s="8" t="inlineStr">
        <is>
          <t>Faculties, CIOG, CFOG, CI&amp;S, ESG</t>
        </is>
      </c>
      <c r="I42" s="8" t="inlineStr">
        <is>
          <t>Faculties (pilot), CI&amp;S, CFOG, ESG, CIOG, AC&amp;M, GCE, Education</t>
        </is>
      </c>
      <c r="J42" s="8" t="inlineStr">
        <is>
          <t>Noting a gap - we used to collect data from Advancement on the number of sustainability-focused events and attendees. We don't have an indicator that captures that now but it would fit under Engagement and Partnerships. For discussion: Should we collect this data and find a place to report it? (Data owners: Advancement, Karl Brown)
The Global, Culture and Engagement team also provided us with case studies where sustainability is embedded in partnerships, or where students are engaging with sustainability in learning opportunities. They will have a case study this year about the winter school they ran which was focused on the SDGs. Main data owners/contacts: Charmaine Monteiro (Global); Padmini Sebastian (Engagement); also - we haven't engaged the 'Culture' part of GCE - should we engage them this year for case studies?</t>
        </is>
      </c>
      <c r="K42" s="8" t="inlineStr">
        <is>
          <t>Both</t>
        </is>
      </c>
      <c r="L42" s="8" t="inlineStr">
        <is>
          <t>No</t>
        </is>
      </c>
      <c r="M42" s="8" t="inlineStr"/>
      <c r="N42" s="8" t="inlineStr">
        <is>
          <t>3a(ii)</t>
        </is>
      </c>
      <c r="O42" s="8" t="inlineStr">
        <is>
          <t>Tailored request</t>
        </is>
      </c>
      <c r="P42" s="8" t="inlineStr"/>
      <c r="Q42" s="8" t="inlineStr"/>
    </row>
    <row r="43" ht="90" customHeight="1">
      <c r="B43" s="7" t="inlineStr">
        <is>
          <t>EN1(d)</t>
        </is>
      </c>
      <c r="C43" s="8" t="inlineStr">
        <is>
          <t>Enablers</t>
        </is>
      </c>
      <c r="D43" s="8" t="inlineStr">
        <is>
          <t>Enablers</t>
        </is>
      </c>
      <c r="E43" s="8" t="inlineStr">
        <is>
          <t>Enablers</t>
        </is>
      </c>
      <c r="F43" s="8" t="inlineStr">
        <is>
          <t>Sustainability objectives integrated into governance and decision‑making processes, supported by transparent reporting.</t>
        </is>
      </c>
      <c r="G4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H43" s="8" t="inlineStr">
        <is>
          <t>Faculties, CIOG, CFOG, CI&amp;S, ESG</t>
        </is>
      </c>
      <c r="I43" s="8" t="inlineStr">
        <is>
          <t>CI&amp;S, CFOG, ESG, CIOG</t>
        </is>
      </c>
      <c r="J43" s="8" t="inlineStr">
        <is>
          <t>Reporting working group set up - talking about potential alignment with ASRS in future. Collaboration of SST, FBE (Accounting) and the Finance team in CFOG. Sally is the key contact for more info.</t>
        </is>
      </c>
      <c r="K43" s="8" t="inlineStr">
        <is>
          <t>Both</t>
        </is>
      </c>
      <c r="L43" s="8" t="inlineStr">
        <is>
          <t>No</t>
        </is>
      </c>
      <c r="M43" s="8" t="inlineStr"/>
      <c r="N43" s="8" t="inlineStr"/>
      <c r="O43" s="8" t="inlineStr">
        <is>
          <t>Tailored request</t>
        </is>
      </c>
      <c r="P43" s="8" t="inlineStr"/>
      <c r="Q43" s="8" t="inlineStr"/>
    </row>
  </sheetData>
  <autoFilter ref="B5:Q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4"/>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cols>
    <col width="9" customWidth="1" min="2" max="2"/>
    <col width="18" customWidth="1" min="3" max="3"/>
    <col width="42" customWidth="1" min="4" max="4"/>
    <col width="24" customWidth="1" min="5" max="5"/>
    <col width="9" customWidth="1" min="6" max="6"/>
    <col width="40" customWidth="1" min="7" max="7"/>
    <col width="20" customWidth="1" min="8" max="8"/>
    <col width="10" customWidth="1" min="9" max="9"/>
    <col width="14" customWidth="1" min="10" max="10"/>
    <col width="46" customWidth="1" min="11" max="11"/>
    <col width="18" customWidth="1" min="12" max="12"/>
    <col width="13" customWidth="1" min="13" max="13"/>
    <col width="30" customWidth="1" min="14" max="14"/>
  </cols>
  <sheetData>
    <row r="1">
      <c r="A1" s="1" t="inlineStr">
        <is>
          <t>↑</t>
        </is>
      </c>
      <c r="B1" s="2" t="inlineStr">
        <is>
          <t>End-2026 target status assessment and reporting</t>
        </is>
      </c>
    </row>
    <row r="2">
      <c r="B2" s="3" t="inlineStr">
        <is>
          <t>2. Quantitative indicators – Databook coverage</t>
        </is>
      </c>
    </row>
    <row r="3" ht="45" customHeight="1">
      <c r="B3" s="9" t="inlineStr">
        <is>
          <t>The Sustainability Databook is the authoritative quantitative source (SR26 approach). Each quantitative indicator is checked against the Databook draft: figures held are confirmed by the owner; gaps are requested in Tab 4 of that owner's request. Faculties are not asked for quantitative data. Data points are listed in '2b. Databook register'.</t>
        </is>
      </c>
    </row>
    <row r="5">
      <c r="B5" s="6" t="inlineStr">
        <is>
          <t>Ref</t>
        </is>
      </c>
      <c r="C5" s="6" t="inlineStr">
        <is>
          <t>Priority area</t>
        </is>
      </c>
      <c r="D5" s="6" t="inlineStr">
        <is>
          <t>Indicator</t>
        </is>
      </c>
      <c r="E5" s="6" t="inlineStr">
        <is>
          <t>Type</t>
        </is>
      </c>
      <c r="F5" s="6" t="inlineStr">
        <is>
          <t>Quant? (Y/M)</t>
        </is>
      </c>
      <c r="G5" s="6" t="inlineStr">
        <is>
          <t>Suggested metric (Quan sheet)</t>
        </is>
      </c>
      <c r="H5" s="6" t="inlineStr">
        <is>
          <t>In Databook draft?</t>
        </is>
      </c>
      <c r="I5" s="6" t="inlineStr">
        <is>
          <t>No. of data points</t>
        </is>
      </c>
      <c r="J5" s="6" t="inlineStr">
        <is>
          <t>Suggested data owner</t>
        </is>
      </c>
      <c r="K5" s="6" t="inlineStr">
        <is>
          <t>Action</t>
        </is>
      </c>
      <c r="L5" s="6" t="inlineStr">
        <is>
          <t>Requested in</t>
        </is>
      </c>
      <c r="M5" s="6" t="inlineStr">
        <is>
          <t>Status</t>
        </is>
      </c>
      <c r="N5" s="6" t="inlineStr">
        <is>
          <t>Notes</t>
        </is>
      </c>
    </row>
    <row r="6" ht="75" customHeight="1">
      <c r="B6" s="7" t="inlineStr">
        <is>
          <t>EE1(c)</t>
        </is>
      </c>
      <c r="C6" s="8" t="inlineStr">
        <is>
          <t>Exceptional education</t>
        </is>
      </c>
      <c r="D6" s="8" t="inlineStr">
        <is>
          <t>Evidence of sustainability focused experiential and co curricular learning (eg Wattle Fellowship; Melbourne Plus)</t>
        </is>
      </c>
      <c r="E6" s="8" t="inlineStr">
        <is>
          <t>Mixed – narrative in requirements matrix; metric here</t>
        </is>
      </c>
      <c r="F6" s="8" t="inlineStr">
        <is>
          <t>M</t>
        </is>
      </c>
      <c r="G6" s="8" t="inlineStr">
        <is>
          <t>Number of experiential learning projects; number of participating students</t>
        </is>
      </c>
      <c r="H6" s="10" t="inlineStr">
        <is>
          <t>Yes – data held (2023–2025)</t>
        </is>
      </c>
      <c r="I6" s="8" t="n">
        <v>3</v>
      </c>
      <c r="J6" s="8" t="inlineStr">
        <is>
          <t>SaSS</t>
        </is>
      </c>
      <c r="K6" s="8" t="inlineStr">
        <is>
          <t>Owner confirms existing figures and provides CY2026 (provisional by 15 Dec, final Jan–Feb) – Tab 4 of owner's request</t>
        </is>
      </c>
      <c r="L6" s="8" t="inlineStr">
        <is>
          <t>SaSS request – Tab 4</t>
        </is>
      </c>
      <c r="M6" s="8" t="inlineStr">
        <is>
          <t>Not started</t>
        </is>
      </c>
      <c r="N6" s="8" t="inlineStr"/>
    </row>
    <row r="7" ht="75" customHeight="1">
      <c r="B7" s="7" t="inlineStr">
        <is>
          <t>EE1(d)</t>
        </is>
      </c>
      <c r="C7" s="8" t="inlineStr">
        <is>
          <t>Exceptional education</t>
        </is>
      </c>
      <c r="D7" s="8" t="inlineStr">
        <is>
          <t>Alumni profiles demonstrating how graduates contribute to sustainability through their careers or communities.</t>
        </is>
      </c>
      <c r="E7" s="8" t="inlineStr">
        <is>
          <t>Mixed – narrative in requirements matrix; metric here</t>
        </is>
      </c>
      <c r="F7" s="8" t="inlineStr">
        <is>
          <t>M</t>
        </is>
      </c>
      <c r="G7" s="8" t="inlineStr">
        <is>
          <t>Number of alumni that contribute to sustainability; % profiles demonstrating sustainability contribution; insights form different industries that influenced by alumni</t>
        </is>
      </c>
      <c r="H7" s="11" t="inlineStr">
        <is>
          <t>Yes – metrics defined, no data yet</t>
        </is>
      </c>
      <c r="I7" s="8" t="n">
        <v>2</v>
      </c>
      <c r="J7" s="8" t="inlineStr">
        <is>
          <t>SaSS</t>
        </is>
      </c>
      <c r="K7" s="8" t="inlineStr">
        <is>
          <t>Owner provides CY2026 (and earlier years if available) and confirms metric definition – Tab 4 of owner's request</t>
        </is>
      </c>
      <c r="L7" s="8" t="inlineStr">
        <is>
          <t>SaSS request – Tab 4</t>
        </is>
      </c>
      <c r="M7" s="8" t="inlineStr">
        <is>
          <t>Not started</t>
        </is>
      </c>
      <c r="N7" s="8" t="inlineStr"/>
    </row>
    <row r="8" ht="75" customHeight="1">
      <c r="B8" s="7" t="inlineStr">
        <is>
          <t>TR2(b)</t>
        </is>
      </c>
      <c r="C8" s="8" t="inlineStr">
        <is>
          <t>Transformational research</t>
        </is>
      </c>
      <c r="D8" s="8" t="inlineStr">
        <is>
          <t>Documented progress of relevant strategic initiatives, including Impact Accelerators</t>
        </is>
      </c>
      <c r="E8" s="8" t="inlineStr">
        <is>
          <t>Quantitative only – removed from requirements matrix</t>
        </is>
      </c>
      <c r="F8" s="8" t="inlineStr">
        <is>
          <t>Y</t>
        </is>
      </c>
      <c r="G8" s="8" t="inlineStr">
        <is>
          <t>Percentage of milestone completion rate to the set annual target of strategic initiatives; number of initiatives on track; number of initiatives delivered</t>
        </is>
      </c>
      <c r="H8" s="11" t="inlineStr">
        <is>
          <t>Yes – metrics defined, no data yet</t>
        </is>
      </c>
      <c r="I8" s="8" t="n">
        <v>5</v>
      </c>
      <c r="J8" s="8" t="inlineStr">
        <is>
          <t>MRE</t>
        </is>
      </c>
      <c r="K8" s="8" t="inlineStr">
        <is>
          <t>Owner provides CY2026 (and earlier years if available) and confirms metric definition – Tab 4 of owner's request</t>
        </is>
      </c>
      <c r="L8" s="8" t="inlineStr">
        <is>
          <t>MRE request – Tab 4</t>
        </is>
      </c>
      <c r="M8" s="8" t="inlineStr">
        <is>
          <t>Not started</t>
        </is>
      </c>
      <c r="N8" s="8" t="inlineStr"/>
    </row>
    <row r="9" ht="75" customHeight="1">
      <c r="B9" s="7" t="inlineStr">
        <is>
          <t>TR2(c)</t>
        </is>
      </c>
      <c r="C9" s="8" t="inlineStr">
        <is>
          <t>Transformational research</t>
        </is>
      </c>
      <c r="D9" s="8" t="inlineStr">
        <is>
          <t>Expert-reviewed summary of sustainability-related research outputs, outcomes and influence using available institutional evidence sources</t>
        </is>
      </c>
      <c r="E9" s="8" t="inlineStr">
        <is>
          <t>Mixed – narrative in requirements matrix; metric here</t>
        </is>
      </c>
      <c r="F9" s="8" t="inlineStr">
        <is>
          <t>Y</t>
        </is>
      </c>
      <c r="G9" s="8" t="inlineStr">
        <is>
          <t>currently mapped to the SDGs using SciVal, old metrics explorer (publication mapped to SDG whether they mentioned in mews, media, policy,etc),</t>
        </is>
      </c>
      <c r="H9" s="10" t="inlineStr">
        <is>
          <t>Yes – data held (2025)</t>
        </is>
      </c>
      <c r="I9" s="8" t="n">
        <v>86</v>
      </c>
      <c r="J9" s="8" t="inlineStr">
        <is>
          <t>MRE</t>
        </is>
      </c>
      <c r="K9" s="8" t="inlineStr">
        <is>
          <t>Owner confirms existing figures and provides CY2026 (provisional by 15 Dec, final Jan–Feb) – Tab 4 of owner's request</t>
        </is>
      </c>
      <c r="L9" s="8" t="inlineStr">
        <is>
          <t>MRE request – Tab 4</t>
        </is>
      </c>
      <c r="M9" s="8" t="inlineStr">
        <is>
          <t>Not started</t>
        </is>
      </c>
      <c r="N9" s="8" t="inlineStr"/>
    </row>
    <row r="10" ht="75" customHeight="1">
      <c r="B10" s="7" t="inlineStr">
        <is>
          <t>TR3(b)</t>
        </is>
      </c>
      <c r="C10" s="8" t="inlineStr">
        <is>
          <t>Transformational research</t>
        </is>
      </c>
      <c r="D10" s="8" t="inlineStr">
        <is>
          <t>Demonstrated examples of more sustainable research practices in laboratories, fieldwork, procurement, travel or infrastructure use</t>
        </is>
      </c>
      <c r="E10" s="8" t="inlineStr">
        <is>
          <t>Mixed – narrative in requirements matrix; metric here</t>
        </is>
      </c>
      <c r="F10" s="8" t="inlineStr">
        <is>
          <t>M</t>
        </is>
      </c>
      <c r="G10" s="8" t="inlineStr">
        <is>
          <t>Number of laboratories achieving green lab certification; number of new sustainable activity; number of sustainability fieldwork</t>
        </is>
      </c>
      <c r="H10" s="11" t="inlineStr">
        <is>
          <t>Yes – metrics defined, no data yet</t>
        </is>
      </c>
      <c r="I10" s="8" t="n">
        <v>3</v>
      </c>
      <c r="J10" s="8" t="inlineStr">
        <is>
          <t>MRE</t>
        </is>
      </c>
      <c r="K10" s="8" t="inlineStr">
        <is>
          <t>Owner provides CY2026 (and earlier years if available) and confirms metric definition – Tab 4 of owner's request</t>
        </is>
      </c>
      <c r="L10" s="8" t="inlineStr">
        <is>
          <t>MRE request – Tab 4</t>
        </is>
      </c>
      <c r="M10" s="8" t="inlineStr">
        <is>
          <t>Not started</t>
        </is>
      </c>
      <c r="N10" s="8" t="inlineStr"/>
    </row>
    <row r="11" ht="75" customHeight="1">
      <c r="B11" s="7" t="inlineStr">
        <is>
          <t>CL1(a)</t>
        </is>
      </c>
      <c r="C11" s="8" t="inlineStr">
        <is>
          <t>Climate leadership</t>
        </is>
      </c>
      <c r="D11" s="8" t="inlineStr">
        <is>
          <t>Annual Greenhouse Gas Inventory (including emissions scopes 1, 2 and 3) demonstrates carbon emission reductions, including maintaining procurement of 100% renewable electricity for all scope 2 sources[1]</t>
        </is>
      </c>
      <c r="E11" s="8" t="inlineStr">
        <is>
          <t>Quantitative only – removed from requirements matrix</t>
        </is>
      </c>
      <c r="F11" s="8" t="inlineStr">
        <is>
          <t>Y</t>
        </is>
      </c>
      <c r="G11" s="8" t="inlineStr">
        <is>
          <t>Total scope 1,2 and 3 emissions (tCO2-e); emissions by scope; % reduction from previous baseline; % renewable electircity produced</t>
        </is>
      </c>
      <c r="H11" s="10" t="inlineStr">
        <is>
          <t>Yes – data held (2023–2025)</t>
        </is>
      </c>
      <c r="I11" s="8" t="n">
        <v>78</v>
      </c>
      <c r="J11" s="8" t="inlineStr">
        <is>
          <t>ESG</t>
        </is>
      </c>
      <c r="K11" s="8" t="inlineStr">
        <is>
          <t>Owner confirms existing figures and provides CY2026 (provisional by 15 Dec, final Jan–Feb) – Tab 4 of owner's request</t>
        </is>
      </c>
      <c r="L11" s="8" t="inlineStr">
        <is>
          <t>ESG request – Tab 4</t>
        </is>
      </c>
      <c r="M11" s="8" t="inlineStr">
        <is>
          <t>Not started</t>
        </is>
      </c>
      <c r="N11" s="8" t="inlineStr"/>
    </row>
    <row r="12" ht="75" customHeight="1">
      <c r="B12" s="7" t="inlineStr">
        <is>
          <t>CL1(b)</t>
        </is>
      </c>
      <c r="C12" s="8" t="inlineStr">
        <is>
          <t>Climate leadership</t>
        </is>
      </c>
      <c r="D12" s="8" t="inlineStr">
        <is>
          <t>Development of Greenhouse Gas  intensity metrics</t>
        </is>
      </c>
      <c r="E12" s="8" t="inlineStr">
        <is>
          <t>Quantitative only – removed from requirements matrix</t>
        </is>
      </c>
      <c r="F12" s="8" t="inlineStr">
        <is>
          <t>Y</t>
        </is>
      </c>
      <c r="G12" s="8" t="inlineStr">
        <is>
          <t>Greenhouse gas emissions by FTE, EFTSL, and Gross floor area (https://www.unimelb.edu.au/sustainabilityreport/2025/data-tables#GHGe-scope)</t>
        </is>
      </c>
      <c r="H12" s="10" t="inlineStr">
        <is>
          <t>Yes – data held (2023–2025)</t>
        </is>
      </c>
      <c r="I12" s="8" t="n">
        <v>8</v>
      </c>
      <c r="J12" s="8" t="inlineStr">
        <is>
          <t>ESG</t>
        </is>
      </c>
      <c r="K12" s="8" t="inlineStr">
        <is>
          <t>Owner confirms existing figures and provides CY2026 (provisional by 15 Dec, final Jan–Feb) – Tab 4 of owner's request</t>
        </is>
      </c>
      <c r="L12" s="8" t="inlineStr">
        <is>
          <t>ESG request – Tab 4</t>
        </is>
      </c>
      <c r="M12" s="8" t="inlineStr">
        <is>
          <t>Not started</t>
        </is>
      </c>
      <c r="N12" s="8" t="inlineStr"/>
    </row>
    <row r="13" ht="75" customHeight="1">
      <c r="B13" s="7" t="inlineStr">
        <is>
          <t>CL1(c)</t>
        </is>
      </c>
      <c r="C13" s="8" t="inlineStr">
        <is>
          <t>Climate leadership</t>
        </is>
      </c>
      <c r="D13" s="8" t="inlineStr">
        <is>
          <t>Review of Climate Leadership targets by 2030.[2]</t>
        </is>
      </c>
      <c r="E13" s="8" t="inlineStr">
        <is>
          <t>Mixed – narrative in requirements matrix; metric here</t>
        </is>
      </c>
      <c r="F13" s="8" t="inlineStr">
        <is>
          <t>M</t>
        </is>
      </c>
      <c r="G13" s="8" t="inlineStr"/>
      <c r="H13" s="12" t="inlineStr">
        <is>
          <t>No</t>
        </is>
      </c>
      <c r="I13" s="8" t="n">
        <v>0</v>
      </c>
      <c r="J13" s="8" t="inlineStr">
        <is>
          <t>ESG</t>
        </is>
      </c>
      <c r="K13" s="8" t="inlineStr">
        <is>
          <t>Not in Databook – decide: add metric to Databook, or report this indicator qualitatively only</t>
        </is>
      </c>
      <c r="L13" s="8" t="inlineStr"/>
      <c r="M13" s="8" t="inlineStr">
        <is>
          <t>Not started</t>
        </is>
      </c>
      <c r="N13" s="8" t="inlineStr"/>
    </row>
    <row r="14" ht="75" customHeight="1">
      <c r="B14" s="7" t="inlineStr">
        <is>
          <t>CL2(a)</t>
        </is>
      </c>
      <c r="C14" s="8" t="inlineStr">
        <is>
          <t>Climate leadership</t>
        </is>
      </c>
      <c r="D14" s="8" t="inlineStr">
        <is>
          <t>By 2028, develop and document institutional mapping of research and education activities that are designed to contribute to global decarbonisation</t>
        </is>
      </c>
      <c r="E14" s="8" t="inlineStr">
        <is>
          <t>Mixed – narrative in requirements matrix; metric here</t>
        </is>
      </c>
      <c r="F14" s="8" t="inlineStr">
        <is>
          <t>M</t>
        </is>
      </c>
      <c r="G14" s="8" t="inlineStr">
        <is>
          <t>Number of relevant research projects/programs mapped; number of relevant subjects mapped</t>
        </is>
      </c>
      <c r="H14" s="11" t="inlineStr">
        <is>
          <t>Yes – metrics defined, no data yet</t>
        </is>
      </c>
      <c r="I14" s="8" t="n">
        <v>2</v>
      </c>
      <c r="J14" s="8" t="inlineStr">
        <is>
          <t>SST</t>
        </is>
      </c>
      <c r="K14" s="8" t="inlineStr">
        <is>
          <t>SST – compiled from faculty and CI&amp;S responses</t>
        </is>
      </c>
      <c r="L14" s="8" t="inlineStr"/>
      <c r="M14" s="8" t="inlineStr">
        <is>
          <t>Not started</t>
        </is>
      </c>
      <c r="N14" s="8" t="inlineStr"/>
    </row>
    <row r="15" ht="75" customHeight="1">
      <c r="B15" s="7" t="inlineStr">
        <is>
          <t>CL2(b)</t>
        </is>
      </c>
      <c r="C15" s="8" t="inlineStr">
        <is>
          <t>Climate leadership</t>
        </is>
      </c>
      <c r="D15" s="8" t="inlineStr">
        <is>
          <t>Prioritised pipeline of decarbonisation focused research and education opportunities aligned with University emissions reduction priorities from 2028</t>
        </is>
      </c>
      <c r="E15" s="8" t="inlineStr">
        <is>
          <t>Quantitative only – removed from requirements matrix</t>
        </is>
      </c>
      <c r="F15" s="8" t="inlineStr">
        <is>
          <t>Y</t>
        </is>
      </c>
      <c r="G15" s="8" t="inlineStr">
        <is>
          <t>Number of pipelined projects or research transitioned from opportunity to active per year</t>
        </is>
      </c>
      <c r="H15" s="11" t="inlineStr">
        <is>
          <t>Yes – metrics defined, no data yet</t>
        </is>
      </c>
      <c r="I15" s="8" t="n">
        <v>1</v>
      </c>
      <c r="J15" s="8" t="inlineStr">
        <is>
          <t>SST</t>
        </is>
      </c>
      <c r="K15" s="8" t="inlineStr">
        <is>
          <t>SST – compiled from faculty and CI&amp;S responses</t>
        </is>
      </c>
      <c r="L15" s="8" t="inlineStr"/>
      <c r="M15" s="8" t="inlineStr">
        <is>
          <t>Not started</t>
        </is>
      </c>
      <c r="N15" s="8" t="inlineStr"/>
    </row>
    <row r="16" ht="75" customHeight="1">
      <c r="B16" s="7" t="inlineStr">
        <is>
          <t>CL2(c)</t>
        </is>
      </c>
      <c r="C16" s="8" t="inlineStr">
        <is>
          <t>Climate leadership</t>
        </is>
      </c>
      <c r="D16" s="8" t="inlineStr">
        <is>
          <t>Ongoing communications that evidence the University’s climate action, research and learning to inform policy, sector and community decarbonisation efforts.</t>
        </is>
      </c>
      <c r="E16" s="8" t="inlineStr">
        <is>
          <t>Mixed – narrative in requirements matrix; metric here</t>
        </is>
      </c>
      <c r="F16" s="8" t="inlineStr">
        <is>
          <t>M</t>
        </is>
      </c>
      <c r="G16" s="8" t="inlineStr">
        <is>
          <t>Annual count of published documents, policy briefs, or public engagement events; number of policy/sector engagement; # views of communication material</t>
        </is>
      </c>
      <c r="H16" s="11" t="inlineStr">
        <is>
          <t>Yes – metrics defined, no data yet</t>
        </is>
      </c>
      <c r="I16" s="8" t="n">
        <v>2</v>
      </c>
      <c r="J16" s="8" t="inlineStr">
        <is>
          <t>SST</t>
        </is>
      </c>
      <c r="K16" s="8" t="inlineStr">
        <is>
          <t>SST – compiled from faculty and CI&amp;S responses</t>
        </is>
      </c>
      <c r="L16" s="8" t="inlineStr"/>
      <c r="M16" s="8" t="inlineStr">
        <is>
          <t>Not started</t>
        </is>
      </c>
      <c r="N16" s="8" t="inlineStr"/>
    </row>
    <row r="17" ht="75" customHeight="1">
      <c r="B17" s="7" t="inlineStr">
        <is>
          <t>CL3(a)</t>
        </is>
      </c>
      <c r="C17" s="8" t="inlineStr">
        <is>
          <t>Climate leadership</t>
        </is>
      </c>
      <c r="D17"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7" s="8" t="inlineStr">
        <is>
          <t>Mixed – narrative in requirements matrix; metric here</t>
        </is>
      </c>
      <c r="F17" s="8" t="inlineStr">
        <is>
          <t>M</t>
        </is>
      </c>
      <c r="G17" s="8" t="inlineStr">
        <is>
          <t>Maturity score by function; overall/average maturity score; % functions raching target maturity level</t>
        </is>
      </c>
      <c r="H17" s="11" t="inlineStr">
        <is>
          <t>Yes – metrics defined, no data yet</t>
        </is>
      </c>
      <c r="I17" s="8" t="n">
        <v>7</v>
      </c>
      <c r="J17" s="8" t="inlineStr">
        <is>
          <t>CI&amp;S</t>
        </is>
      </c>
      <c r="K17" s="8" t="inlineStr">
        <is>
          <t>Owner provides CY2026 (and earlier years if available) and confirms metric definition – Tab 4 of owner's request</t>
        </is>
      </c>
      <c r="L17" s="8" t="inlineStr">
        <is>
          <t>CI&amp;S request – Tab 4</t>
        </is>
      </c>
      <c r="M17" s="8" t="inlineStr">
        <is>
          <t>Not started</t>
        </is>
      </c>
      <c r="N17" s="8" t="inlineStr"/>
    </row>
    <row r="18" ht="75" customHeight="1">
      <c r="B18" s="7" t="inlineStr">
        <is>
          <t>NB1(a)</t>
        </is>
      </c>
      <c r="C18" s="8" t="inlineStr">
        <is>
          <t>Nature and biodiversity</t>
        </is>
      </c>
      <c r="D18" s="8" t="inlineStr">
        <is>
          <t>Monitoring of biodiversity metrics from the Biodiversity Baseline Data Project</t>
        </is>
      </c>
      <c r="E18" s="8" t="inlineStr">
        <is>
          <t>Quantitative only – removed from requirements matrix</t>
        </is>
      </c>
      <c r="F18" s="8" t="inlineStr">
        <is>
          <t>Y</t>
        </is>
      </c>
      <c r="G18" s="8" t="inlineStr">
        <is>
          <t>7 diversity metrics from https://sustainablecampus.unimelb.edu.au/biodiversity/biodiversity-baseline-data-project#main-content</t>
        </is>
      </c>
      <c r="H18" s="10" t="inlineStr">
        <is>
          <t>Yes – data held (2025)</t>
        </is>
      </c>
      <c r="I18" s="8" t="n">
        <v>63</v>
      </c>
      <c r="J18" s="8" t="inlineStr">
        <is>
          <t>ESG</t>
        </is>
      </c>
      <c r="K18" s="8" t="inlineStr">
        <is>
          <t>Owner confirms existing figures and provides CY2026 (provisional by 15 Dec, final Jan–Feb) – Tab 4 of owner's request</t>
        </is>
      </c>
      <c r="L18" s="8" t="inlineStr">
        <is>
          <t>ESG request – Tab 4</t>
        </is>
      </c>
      <c r="M18" s="8" t="inlineStr">
        <is>
          <t>Not started</t>
        </is>
      </c>
      <c r="N18" s="8" t="inlineStr"/>
    </row>
    <row r="19" ht="75" customHeight="1">
      <c r="B19" s="7" t="inlineStr">
        <is>
          <t>NB1(b)</t>
        </is>
      </c>
      <c r="C19" s="8" t="inlineStr">
        <is>
          <t>Nature and biodiversity</t>
        </is>
      </c>
      <c r="D19" s="8" t="inlineStr">
        <is>
          <t>Size, health and diversity of remnant vegetation at the Dookie and Creswick campuses</t>
        </is>
      </c>
      <c r="E19" s="8" t="inlineStr">
        <is>
          <t>Mixed – narrative in requirements matrix; metric here</t>
        </is>
      </c>
      <c r="F19" s="8" t="inlineStr">
        <is>
          <t>Y</t>
        </is>
      </c>
      <c r="G19" s="8" t="inlineStr"/>
      <c r="H19" s="12" t="inlineStr">
        <is>
          <t>No</t>
        </is>
      </c>
      <c r="I19" s="8" t="n">
        <v>0</v>
      </c>
      <c r="J19" s="8" t="inlineStr">
        <is>
          <t>ESG</t>
        </is>
      </c>
      <c r="K19" s="8" t="inlineStr">
        <is>
          <t>Not in Databook – decide: add metric to Databook, or report this indicator qualitatively only</t>
        </is>
      </c>
      <c r="L19" s="8" t="inlineStr"/>
      <c r="M19" s="8" t="inlineStr">
        <is>
          <t>Not started</t>
        </is>
      </c>
      <c r="N19" s="8" t="inlineStr"/>
    </row>
    <row r="20" ht="75" customHeight="1">
      <c r="B20" s="7" t="inlineStr">
        <is>
          <t>NB1(c)</t>
        </is>
      </c>
      <c r="C20" s="8" t="inlineStr">
        <is>
          <t>Nature and biodiversity</t>
        </is>
      </c>
      <c r="D20" s="8" t="inlineStr">
        <is>
          <t>Defined quality measurement framework</t>
        </is>
      </c>
      <c r="E20" s="8" t="inlineStr">
        <is>
          <t>Mixed – narrative in requirements matrix; metric here</t>
        </is>
      </c>
      <c r="F20" s="8" t="inlineStr">
        <is>
          <t>M</t>
        </is>
      </c>
      <c r="G20" s="8" t="inlineStr"/>
      <c r="H20" s="12" t="inlineStr">
        <is>
          <t>No</t>
        </is>
      </c>
      <c r="I20" s="8" t="n">
        <v>0</v>
      </c>
      <c r="J20" s="8" t="inlineStr">
        <is>
          <t>ESG</t>
        </is>
      </c>
      <c r="K20" s="8" t="inlineStr">
        <is>
          <t>Not in Databook – decide: add metric to Databook, or report this indicator qualitatively only</t>
        </is>
      </c>
      <c r="L20" s="8" t="inlineStr"/>
      <c r="M20" s="8" t="inlineStr">
        <is>
          <t>Not started</t>
        </is>
      </c>
      <c r="N20" s="8" t="inlineStr"/>
    </row>
    <row r="21" ht="75" customHeight="1">
      <c r="B21" s="7" t="inlineStr">
        <is>
          <t>NB1(d)</t>
        </is>
      </c>
      <c r="C21" s="8" t="inlineStr">
        <is>
          <t>Nature and biodiversity</t>
        </is>
      </c>
      <c r="D21" s="8" t="inlineStr">
        <is>
          <t>Defined and quantified campus connectivity</t>
        </is>
      </c>
      <c r="E21" s="8" t="inlineStr">
        <is>
          <t>Mixed – narrative in requirements matrix; metric here</t>
        </is>
      </c>
      <c r="F21" s="8" t="inlineStr">
        <is>
          <t>M</t>
        </is>
      </c>
      <c r="G21" s="8" t="inlineStr">
        <is>
          <t>Please provide the current definition and quantified assessment of campus ecological connectivity, could include the methodology used, campuses covered, baseline or benchmark values, and any material change over the reporting period.</t>
        </is>
      </c>
      <c r="H21" s="12" t="inlineStr">
        <is>
          <t>No</t>
        </is>
      </c>
      <c r="I21" s="8" t="n">
        <v>0</v>
      </c>
      <c r="J21" s="8" t="inlineStr">
        <is>
          <t>ESG</t>
        </is>
      </c>
      <c r="K21" s="8" t="inlineStr">
        <is>
          <t>Not in Databook – decide: add metric to Databook, or report this indicator qualitatively only</t>
        </is>
      </c>
      <c r="L21" s="8" t="inlineStr"/>
      <c r="M21" s="8" t="inlineStr">
        <is>
          <t>Not started</t>
        </is>
      </c>
      <c r="N21" s="8" t="inlineStr"/>
    </row>
    <row r="22" ht="75" customHeight="1">
      <c r="B22" s="7" t="inlineStr">
        <is>
          <t>NB2(a)</t>
        </is>
      </c>
      <c r="C22" s="8" t="inlineStr">
        <is>
          <t>Nature and biodiversity</t>
        </is>
      </c>
      <c r="D22" s="8" t="inlineStr">
        <is>
          <t>Documented baseline nature footprint analysis</t>
        </is>
      </c>
      <c r="E22" s="8" t="inlineStr">
        <is>
          <t>Mixed – narrative in requirements matrix; metric here</t>
        </is>
      </c>
      <c r="F22" s="8" t="inlineStr">
        <is>
          <t>Y</t>
        </is>
      </c>
      <c r="G22" s="8" t="inlineStr">
        <is>
          <t>Impact Encore Measurement</t>
        </is>
      </c>
      <c r="H22" s="11" t="inlineStr">
        <is>
          <t>Yes – metrics defined, no data yet</t>
        </is>
      </c>
      <c r="I22" s="8" t="n">
        <v>7</v>
      </c>
      <c r="J22" s="8" t="inlineStr">
        <is>
          <t>MRE</t>
        </is>
      </c>
      <c r="K22" s="8" t="inlineStr">
        <is>
          <t>Owner provides CY2026 (and earlier years if available) and confirms metric definition – Tab 4 of owner's request</t>
        </is>
      </c>
      <c r="L22" s="8" t="inlineStr">
        <is>
          <t>MRE request – Tab 4</t>
        </is>
      </c>
      <c r="M22" s="8" t="inlineStr">
        <is>
          <t>Not started</t>
        </is>
      </c>
      <c r="N22" s="8" t="inlineStr"/>
    </row>
    <row r="23" ht="75" customHeight="1">
      <c r="B23" s="7" t="inlineStr">
        <is>
          <t>AI1(a)</t>
        </is>
      </c>
      <c r="C23" s="8" t="inlineStr">
        <is>
          <t>Responsible AI</t>
        </is>
      </c>
      <c r="D23" s="8" t="inlineStr">
        <is>
          <t>Established measurement of estimated operational impacts and opportunities (eg operational impacts could include energy, water, emissions and intensity measures)</t>
        </is>
      </c>
      <c r="E23" s="8" t="inlineStr">
        <is>
          <t>Mixed – narrative in requirements matrix; metric here</t>
        </is>
      </c>
      <c r="F23" s="8" t="inlineStr">
        <is>
          <t>M</t>
        </is>
      </c>
      <c r="G23" s="8" t="inlineStr">
        <is>
          <t>Pending denominator</t>
        </is>
      </c>
      <c r="H23" s="12" t="inlineStr">
        <is>
          <t>No</t>
        </is>
      </c>
      <c r="I23" s="8" t="n">
        <v>0</v>
      </c>
      <c r="J23" s="8" t="inlineStr">
        <is>
          <t>CIOG</t>
        </is>
      </c>
      <c r="K23" s="8" t="inlineStr">
        <is>
          <t>Not in Databook – decide: add metric to Databook, or report this indicator qualitatively only</t>
        </is>
      </c>
      <c r="L23" s="8" t="inlineStr"/>
      <c r="M23" s="8" t="inlineStr">
        <is>
          <t>Not started</t>
        </is>
      </c>
      <c r="N23" s="8" t="inlineStr"/>
    </row>
    <row r="24" ht="75" customHeight="1">
      <c r="B24" s="7" t="inlineStr">
        <is>
          <t>EI1(a)</t>
        </is>
      </c>
      <c r="C24" s="8" t="inlineStr">
        <is>
          <t>Estate and infrastructure</t>
        </is>
      </c>
      <c r="D24" s="8" t="inlineStr">
        <is>
          <t>Evidence of increased maturity of estate and infrastructure planning, development and operations to support the other priority areas in Sustainability 2030</t>
        </is>
      </c>
      <c r="E24" s="8" t="inlineStr">
        <is>
          <t>Mixed – narrative in requirements matrix; metric here</t>
        </is>
      </c>
      <c r="F24" s="8" t="inlineStr">
        <is>
          <t>M</t>
        </is>
      </c>
      <c r="G24" s="8" t="inlineStr">
        <is>
          <t>qual, climate resilience?,</t>
        </is>
      </c>
      <c r="H24" s="12" t="inlineStr">
        <is>
          <t>No</t>
        </is>
      </c>
      <c r="I24" s="8" t="n">
        <v>0</v>
      </c>
      <c r="J24" s="8" t="inlineStr">
        <is>
          <t>CI&amp;S</t>
        </is>
      </c>
      <c r="K24" s="8" t="inlineStr">
        <is>
          <t>Not in Databook – decide: add metric to Databook, or report this indicator qualitatively only</t>
        </is>
      </c>
      <c r="L24" s="8" t="inlineStr"/>
      <c r="M24" s="8" t="inlineStr">
        <is>
          <t>Not started</t>
        </is>
      </c>
      <c r="N24" s="8" t="inlineStr"/>
    </row>
    <row r="25" ht="75" customHeight="1">
      <c r="B25" s="7" t="inlineStr">
        <is>
          <t>EI1(b)</t>
        </is>
      </c>
      <c r="C25" s="8" t="inlineStr">
        <is>
          <t>Estate and infrastructure</t>
        </is>
      </c>
      <c r="D25" s="8" t="inlineStr">
        <is>
          <t>Estimated sustainability impacts of the University’s estate and infrastructure capital plan to inform progress towards emissions reduction targets and other priority areas (to the extent enabled by available information)</t>
        </is>
      </c>
      <c r="E25" s="8" t="inlineStr">
        <is>
          <t>Mixed – narrative in requirements matrix; metric here</t>
        </is>
      </c>
      <c r="F25" s="8" t="inlineStr">
        <is>
          <t>M</t>
        </is>
      </c>
      <c r="G25" s="8" t="inlineStr">
        <is>
          <t>Forecast operational emission (tCO2-e); expected energy consumptions/savings; expected water impact; expected waste material impact; potential biodiversity impact</t>
        </is>
      </c>
      <c r="H25" s="12" t="inlineStr">
        <is>
          <t>No</t>
        </is>
      </c>
      <c r="I25" s="8" t="n">
        <v>0</v>
      </c>
      <c r="J25" s="8" t="inlineStr">
        <is>
          <t>CI&amp;S</t>
        </is>
      </c>
      <c r="K25" s="8" t="inlineStr">
        <is>
          <t>Not in Databook – decide: add metric to Databook, or report this indicator qualitatively only</t>
        </is>
      </c>
      <c r="L25" s="8" t="inlineStr"/>
      <c r="M25" s="8" t="inlineStr">
        <is>
          <t>Not started</t>
        </is>
      </c>
      <c r="N25" s="8" t="inlineStr"/>
    </row>
    <row r="26" ht="75" customHeight="1">
      <c r="B26" s="7" t="inlineStr">
        <is>
          <t>EI1(c)</t>
        </is>
      </c>
      <c r="C26" s="8" t="inlineStr">
        <is>
          <t>Estate and infrastructure</t>
        </is>
      </c>
      <c r="D26" s="8" t="inlineStr">
        <is>
          <t>Reporting on relevant activities and impacts for the University’s major estate and infrastructure projects and programs aligned with the other priority areas in Sustainability 2030</t>
        </is>
      </c>
      <c r="E26" s="8" t="inlineStr">
        <is>
          <t>Mixed – narrative in requirements matrix; metric here</t>
        </is>
      </c>
      <c r="F26" s="8" t="inlineStr">
        <is>
          <t>M</t>
        </is>
      </c>
      <c r="G26" s="8" t="inlineStr">
        <is>
          <t>case by case</t>
        </is>
      </c>
      <c r="H26" s="12" t="inlineStr">
        <is>
          <t>No</t>
        </is>
      </c>
      <c r="I26" s="8" t="n">
        <v>0</v>
      </c>
      <c r="J26" s="8" t="inlineStr">
        <is>
          <t>CI&amp;S</t>
        </is>
      </c>
      <c r="K26" s="8" t="inlineStr">
        <is>
          <t>Not in Databook – decide: add metric to Databook, or report this indicator qualitatively only</t>
        </is>
      </c>
      <c r="L26" s="8" t="inlineStr"/>
      <c r="M26" s="8" t="inlineStr">
        <is>
          <t>Not started</t>
        </is>
      </c>
      <c r="N26" s="8" t="inlineStr"/>
    </row>
    <row r="27" ht="75" customHeight="1">
      <c r="B27" s="7" t="inlineStr">
        <is>
          <t>CE1(a)</t>
        </is>
      </c>
      <c r="C27" s="8" t="inlineStr">
        <is>
          <t>Circular economy</t>
        </is>
      </c>
      <c r="D27" s="8" t="inlineStr">
        <is>
          <t>Comparison of year-to-year tonnes of waste (absolute).</t>
        </is>
      </c>
      <c r="E27" s="8" t="inlineStr">
        <is>
          <t>Quantitative only – removed from requirements matrix</t>
        </is>
      </c>
      <c r="F27" s="8" t="inlineStr">
        <is>
          <t>Y</t>
        </is>
      </c>
      <c r="G27" s="8" t="inlineStr">
        <is>
          <t>tonnes of waste; % change against previous baseline</t>
        </is>
      </c>
      <c r="H27" s="10" t="inlineStr">
        <is>
          <t>Yes – data held (2023–2025)</t>
        </is>
      </c>
      <c r="I27" s="8" t="n">
        <v>3</v>
      </c>
      <c r="J27" s="8" t="inlineStr">
        <is>
          <t>ESG</t>
        </is>
      </c>
      <c r="K27" s="8" t="inlineStr">
        <is>
          <t>Owner confirms existing figures and provides CY2026 (provisional by 15 Dec, final Jan–Feb) – Tab 4 of owner's request</t>
        </is>
      </c>
      <c r="L27" s="8" t="inlineStr">
        <is>
          <t>ESG request – Tab 4</t>
        </is>
      </c>
      <c r="M27" s="8" t="inlineStr">
        <is>
          <t>Not started</t>
        </is>
      </c>
      <c r="N27" s="8" t="inlineStr"/>
    </row>
    <row r="28" ht="75" customHeight="1">
      <c r="B28" s="7" t="inlineStr">
        <is>
          <t>CE2(a)</t>
        </is>
      </c>
      <c r="C28" s="8" t="inlineStr">
        <is>
          <t>Circular economy</t>
        </is>
      </c>
      <c r="D28" s="8" t="inlineStr">
        <is>
          <t>Comparison of year-to-year tonnes of recyclables (absolute).</t>
        </is>
      </c>
      <c r="E28" s="8" t="inlineStr">
        <is>
          <t>Quantitative only – removed from requirements matrix</t>
        </is>
      </c>
      <c r="F28" s="8" t="inlineStr">
        <is>
          <t>Y</t>
        </is>
      </c>
      <c r="G28" s="8" t="inlineStr">
        <is>
          <t>waste diversion rate; tonnes diverted from landfill; % change against previous baseline</t>
        </is>
      </c>
      <c r="H28" s="10" t="inlineStr">
        <is>
          <t>Yes – data held (2023–2025)</t>
        </is>
      </c>
      <c r="I28" s="8" t="n">
        <v>3</v>
      </c>
      <c r="J28" s="8" t="inlineStr">
        <is>
          <t>ESG</t>
        </is>
      </c>
      <c r="K28" s="8" t="inlineStr">
        <is>
          <t>Owner confirms existing figures and provides CY2026 (provisional by 15 Dec, final Jan–Feb) – Tab 4 of owner's request</t>
        </is>
      </c>
      <c r="L28" s="8" t="inlineStr">
        <is>
          <t>ESG request – Tab 4</t>
        </is>
      </c>
      <c r="M28" s="8" t="inlineStr">
        <is>
          <t>Not started</t>
        </is>
      </c>
      <c r="N28" s="8" t="inlineStr"/>
    </row>
    <row r="29" ht="75" customHeight="1">
      <c r="B29" s="7" t="inlineStr">
        <is>
          <t>RP1(a)</t>
        </is>
      </c>
      <c r="C29" s="8" t="inlineStr">
        <is>
          <t>Responsible procurement</t>
        </is>
      </c>
      <c r="D29" s="8" t="inlineStr">
        <is>
          <t>Case studies of maturity improvement related to responsible procurement process and systems.</t>
        </is>
      </c>
      <c r="E29" s="8" t="inlineStr">
        <is>
          <t>Mixed – narrative in requirements matrix; metric here</t>
        </is>
      </c>
      <c r="F29" s="8" t="inlineStr">
        <is>
          <t>Y</t>
        </is>
      </c>
      <c r="G29" s="8" t="inlineStr">
        <is>
          <t>Maturity score if framework established; % procurement staff trained</t>
        </is>
      </c>
      <c r="H29" s="12" t="inlineStr">
        <is>
          <t>No</t>
        </is>
      </c>
      <c r="I29" s="8" t="n">
        <v>0</v>
      </c>
      <c r="J29" s="8" t="inlineStr">
        <is>
          <t>CFOG</t>
        </is>
      </c>
      <c r="K29" s="8" t="inlineStr">
        <is>
          <t>Not in Databook – decide: add metric to Databook, or report this indicator qualitatively only</t>
        </is>
      </c>
      <c r="L29" s="8" t="inlineStr"/>
      <c r="M29" s="8" t="inlineStr">
        <is>
          <t>Not started</t>
        </is>
      </c>
      <c r="N29" s="8" t="inlineStr"/>
    </row>
    <row r="30" ht="75" customHeight="1">
      <c r="B30" s="7" t="inlineStr">
        <is>
          <t>RP2(a)</t>
        </is>
      </c>
      <c r="C30" s="8" t="inlineStr">
        <is>
          <t>Responsible procurement</t>
        </is>
      </c>
      <c r="D30" s="8" t="inlineStr">
        <is>
          <t>Percentage of Indigenous spend of total addressable procurement spend</t>
        </is>
      </c>
      <c r="E30" s="8" t="inlineStr">
        <is>
          <t>Quantitative only – removed from requirements matrix</t>
        </is>
      </c>
      <c r="F30" s="8" t="inlineStr">
        <is>
          <t>Y</t>
        </is>
      </c>
      <c r="G30" s="8" t="inlineStr">
        <is>
          <t>Percentage of Indigenous spend of total addressable procurement spend</t>
        </is>
      </c>
      <c r="H30" s="11" t="inlineStr">
        <is>
          <t>Yes – metrics defined, no data yet</t>
        </is>
      </c>
      <c r="I30" s="8" t="n">
        <v>3</v>
      </c>
      <c r="J30" s="8" t="inlineStr">
        <is>
          <t>CFOG</t>
        </is>
      </c>
      <c r="K30" s="8" t="inlineStr">
        <is>
          <t>Owner provides CY2026 (and earlier years if available) and confirms metric definition – Tab 4 of owner's request</t>
        </is>
      </c>
      <c r="L30" s="8" t="inlineStr">
        <is>
          <t>CFOG request – Tab 4</t>
        </is>
      </c>
      <c r="M30" s="8" t="inlineStr">
        <is>
          <t>Not started</t>
        </is>
      </c>
      <c r="N30" s="8" t="inlineStr"/>
    </row>
    <row r="31" ht="75" customHeight="1">
      <c r="B31" s="7" t="inlineStr">
        <is>
          <t>RP2(b)</t>
        </is>
      </c>
      <c r="C31" s="8" t="inlineStr">
        <is>
          <t>Responsible procurement</t>
        </is>
      </c>
      <c r="D31" s="8" t="inlineStr">
        <is>
          <t>Percentage of social spend of total addressable procurement spend.</t>
        </is>
      </c>
      <c r="E31" s="8" t="inlineStr">
        <is>
          <t>Quantitative only – removed from requirements matrix</t>
        </is>
      </c>
      <c r="F31" s="8" t="inlineStr">
        <is>
          <t>Y</t>
        </is>
      </c>
      <c r="G31" s="8" t="inlineStr">
        <is>
          <t>Percentage of social spend of total addressable procurement spend.</t>
        </is>
      </c>
      <c r="H31" s="11" t="inlineStr">
        <is>
          <t>Yes – metrics defined, no data yet</t>
        </is>
      </c>
      <c r="I31" s="8" t="n">
        <v>3</v>
      </c>
      <c r="J31" s="8" t="inlineStr">
        <is>
          <t>CFOG</t>
        </is>
      </c>
      <c r="K31" s="8" t="inlineStr">
        <is>
          <t>Owner provides CY2026 (and earlier years if available) and confirms metric definition – Tab 4 of owner's request</t>
        </is>
      </c>
      <c r="L31" s="8" t="inlineStr">
        <is>
          <t>CFOG request – Tab 4</t>
        </is>
      </c>
      <c r="M31" s="8" t="inlineStr">
        <is>
          <t>Not started</t>
        </is>
      </c>
      <c r="N31" s="8" t="inlineStr"/>
    </row>
    <row r="32" ht="75" customHeight="1">
      <c r="B32" s="7" t="inlineStr">
        <is>
          <t>RI1(a)</t>
        </is>
      </c>
      <c r="C32" s="8" t="inlineStr">
        <is>
          <t>Responsible investments</t>
        </is>
      </c>
      <c r="D32" s="8" t="inlineStr">
        <is>
          <t>Annual monitoring and reporting on the investment portfolio’s net zero transition progress, including tracking the percentage of assets under management (AUM) managed by investment managers aligned with (or committed to) net zero by 2050</t>
        </is>
      </c>
      <c r="E32" s="8" t="inlineStr">
        <is>
          <t>Quantitative only – removed from requirements matrix</t>
        </is>
      </c>
      <c r="F32" s="8" t="inlineStr">
        <is>
          <t>Y</t>
        </is>
      </c>
      <c r="G32" s="8" t="inlineStr">
        <is>
          <t>Percentage of AUM managed by investment managers aligned with net zero by 2050</t>
        </is>
      </c>
      <c r="H32" s="11" t="inlineStr">
        <is>
          <t>Yes – metrics defined, no data yet</t>
        </is>
      </c>
      <c r="I32" s="8" t="n">
        <v>3</v>
      </c>
      <c r="J32" s="8" t="inlineStr">
        <is>
          <t>CFOG</t>
        </is>
      </c>
      <c r="K32" s="8" t="inlineStr">
        <is>
          <t>Owner provides CY2026 (and earlier years if available) and confirms metric definition – Tab 4 of owner's request</t>
        </is>
      </c>
      <c r="L32" s="8" t="inlineStr">
        <is>
          <t>CFOG request – Tab 4</t>
        </is>
      </c>
      <c r="M32" s="8" t="inlineStr">
        <is>
          <t>Not started</t>
        </is>
      </c>
      <c r="N32" s="8" t="inlineStr"/>
    </row>
    <row r="33" ht="75" customHeight="1">
      <c r="B33" s="7" t="inlineStr">
        <is>
          <t>RI1(b)</t>
        </is>
      </c>
      <c r="C33" s="8" t="inlineStr">
        <is>
          <t>Responsible investments</t>
        </is>
      </c>
      <c r="D33" s="8" t="inlineStr">
        <is>
          <t>Continuous improvement of the reporting of the University’s sustainability-related investment profile metrics, could include investment in climate mitigation and transition solutions, and compliance with related obligations (eg UNPRI).</t>
        </is>
      </c>
      <c r="E33" s="8" t="inlineStr">
        <is>
          <t>Mixed – narrative in requirements matrix; metric here</t>
        </is>
      </c>
      <c r="F33" s="8" t="inlineStr">
        <is>
          <t>M</t>
        </is>
      </c>
      <c r="G33" s="8" t="inlineStr">
        <is>
          <t>$ and % AUM invested in climate/transition solution</t>
        </is>
      </c>
      <c r="H33" s="10" t="inlineStr">
        <is>
          <t>Yes – data held (2023–2025)</t>
        </is>
      </c>
      <c r="I33" s="8" t="n">
        <v>23</v>
      </c>
      <c r="J33" s="8" t="inlineStr">
        <is>
          <t>CFOG</t>
        </is>
      </c>
      <c r="K33" s="8" t="inlineStr">
        <is>
          <t>Owner confirms existing figures and provides CY2026 (provisional by 15 Dec, final Jan–Feb) – Tab 4 of owner's request</t>
        </is>
      </c>
      <c r="L33" s="8" t="inlineStr">
        <is>
          <t>CFOG request – Tab 4</t>
        </is>
      </c>
      <c r="M33" s="8" t="inlineStr">
        <is>
          <t>Not started</t>
        </is>
      </c>
      <c r="N33" s="8" t="inlineStr"/>
    </row>
    <row r="34" ht="75" customHeight="1">
      <c r="B34" s="7" t="inlineStr">
        <is>
          <t>EN1(b)</t>
        </is>
      </c>
      <c r="C34" s="8" t="inlineStr">
        <is>
          <t>Enablers</t>
        </is>
      </c>
      <c r="D34" s="8" t="inlineStr">
        <is>
          <t>Living laboratories enabling applied learning, research and operational sustainability outcomes</t>
        </is>
      </c>
      <c r="E34" s="8" t="inlineStr">
        <is>
          <t>Mixed – narrative in requirements matrix; metric here</t>
        </is>
      </c>
      <c r="F34" s="8" t="inlineStr">
        <is>
          <t>M</t>
        </is>
      </c>
      <c r="G34" s="8" t="inlineStr">
        <is>
          <t>Number of projects funded; $ project funding</t>
        </is>
      </c>
      <c r="H34" s="11" t="inlineStr">
        <is>
          <t>Yes – metrics defined, no data yet</t>
        </is>
      </c>
      <c r="I34" s="8" t="n">
        <v>2</v>
      </c>
      <c r="J34" s="8" t="inlineStr">
        <is>
          <t>CI&amp;S</t>
        </is>
      </c>
      <c r="K34" s="8" t="inlineStr">
        <is>
          <t>Owner provides CY2026 (and earlier years if available) and confirms metric definition – Tab 4 of owner's request</t>
        </is>
      </c>
      <c r="L34" s="8" t="inlineStr">
        <is>
          <t>CI&amp;S request – Tab 4</t>
        </is>
      </c>
      <c r="M34" s="8" t="inlineStr">
        <is>
          <t>Not started</t>
        </is>
      </c>
      <c r="N34" s="8" t="inlineStr"/>
    </row>
  </sheetData>
  <autoFilter ref="B5:N34"/>
  <mergeCells count="1">
    <mergeCell ref="B3:M3"/>
  </mergeCells>
  <dataValidations count="1">
    <dataValidation sqref="M6:M34" showDropDown="0" showInputMessage="0" showErrorMessage="0" allowBlank="1" errorTitle="Invalid entry" error="Please select from the dropdown" type="list">
      <formula1>"Not started,Requested,Received,Confirmed,Not required"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23"/>
  <sheetViews>
    <sheetView showGridLines="0" workbookViewId="0">
      <pane xSplit="5" ySplit="5" topLeftCell="F6" activePane="bottomRight" state="frozen"/>
      <selection pane="topRight"/>
      <selection pane="bottomLeft"/>
      <selection pane="bottomRight" activeCell="A1" sqref="A1"/>
    </sheetView>
  </sheetViews>
  <sheetFormatPr baseColWidth="8" defaultRowHeight="15"/>
  <cols>
    <col width="9" customWidth="1" min="2" max="2"/>
    <col width="16" customWidth="1" min="3" max="3"/>
    <col width="34" customWidth="1" min="4" max="4"/>
    <col width="40" customWidth="1" min="5" max="5"/>
    <col width="12" customWidth="1" min="6" max="6"/>
    <col width="11" customWidth="1" min="7" max="7"/>
    <col width="11" customWidth="1" min="8" max="8"/>
    <col width="11" customWidth="1" min="9" max="9"/>
    <col width="11" customWidth="1" min="10" max="10"/>
    <col width="11" customWidth="1" min="11" max="11"/>
    <col width="12" customWidth="1" min="12" max="12"/>
    <col width="10" customWidth="1" min="13" max="13"/>
    <col width="22" customWidth="1" min="14" max="14"/>
    <col width="18" customWidth="1" min="15" max="15"/>
    <col width="18" customWidth="1" min="16" max="16"/>
    <col width="24" customWidth="1" min="17" max="17"/>
    <col width="11" customWidth="1" min="18" max="18"/>
    <col width="13" customWidth="1" min="19" max="19"/>
  </cols>
  <sheetData>
    <row r="1">
      <c r="A1" s="1" t="inlineStr">
        <is>
          <t>↑</t>
        </is>
      </c>
      <c r="B1" s="2" t="inlineStr">
        <is>
          <t>End-2026 target status assessment and reporting</t>
        </is>
      </c>
    </row>
    <row r="2">
      <c r="B2" s="3" t="inlineStr">
        <is>
          <t>2b. Databook register (data points)</t>
        </is>
      </c>
    </row>
    <row r="3" ht="32" customHeight="1">
      <c r="B3" s="9" t="inlineStr">
        <is>
          <t>Every data point in the Databook draft. Baseline–CY2025 are copied from the draft for context. Complete the yellow columns as owners confirm figures (SR26 approach: definition, boundary, period, source, owner, quality note and confirmation for each figure).</t>
        </is>
      </c>
    </row>
    <row r="5">
      <c r="B5" s="6" t="inlineStr">
        <is>
          <t>Ref</t>
        </is>
      </c>
      <c r="C5" s="6" t="inlineStr">
        <is>
          <t>Priority area</t>
        </is>
      </c>
      <c r="D5" s="6" t="inlineStr">
        <is>
          <t>Indicator</t>
        </is>
      </c>
      <c r="E5" s="6" t="inlineStr">
        <is>
          <t>Metric</t>
        </is>
      </c>
      <c r="F5" s="6" t="inlineStr">
        <is>
          <t>Unit</t>
        </is>
      </c>
      <c r="G5" s="6" t="inlineStr">
        <is>
          <t>Baseline</t>
        </is>
      </c>
      <c r="H5" s="6" t="inlineStr">
        <is>
          <t>CY2023</t>
        </is>
      </c>
      <c r="I5" s="6" t="inlineStr">
        <is>
          <t>CY2024</t>
        </is>
      </c>
      <c r="J5" s="6" t="inlineStr">
        <is>
          <t>CY2025</t>
        </is>
      </c>
      <c r="K5" s="6" t="inlineStr">
        <is>
          <t>CY2026</t>
        </is>
      </c>
      <c r="L5" s="6" t="inlineStr">
        <is>
          <t>Data status</t>
        </is>
      </c>
      <c r="M5" s="6" t="inlineStr">
        <is>
          <t>Data owner</t>
        </is>
      </c>
      <c r="N5" s="6" t="inlineStr">
        <is>
          <t>Definition</t>
        </is>
      </c>
      <c r="O5" s="6" t="inlineStr">
        <is>
          <t>Reporting boundary</t>
        </is>
      </c>
      <c r="P5" s="6" t="inlineStr">
        <is>
          <t>Source system</t>
        </is>
      </c>
      <c r="Q5" s="6" t="inlineStr">
        <is>
          <t>Quality note / limitations</t>
        </is>
      </c>
      <c r="R5" s="6" t="inlineStr">
        <is>
          <t>Owner confirmed?</t>
        </is>
      </c>
      <c r="S5" s="6" t="inlineStr">
        <is>
          <t>Confirmation date</t>
        </is>
      </c>
    </row>
    <row r="6">
      <c r="B6" s="13" t="inlineStr">
        <is>
          <t>EE1(c)</t>
        </is>
      </c>
      <c r="C6" s="8" t="inlineStr">
        <is>
          <t>Exceptional Education</t>
        </is>
      </c>
      <c r="D6" s="8" t="inlineStr">
        <is>
          <t>Evidence of sustainability focused experiential and cocurricular learning</t>
        </is>
      </c>
      <c r="E6" s="8" t="inlineStr">
        <is>
          <t>Number of Co-curricular Learning</t>
        </is>
      </c>
      <c r="F6" s="8" t="inlineStr">
        <is>
          <t>#</t>
        </is>
      </c>
      <c r="G6" s="14" t="n"/>
      <c r="H6" s="14" t="n">
        <v>14</v>
      </c>
      <c r="I6" s="14" t="n">
        <v>22</v>
      </c>
      <c r="J6" s="14" t="n">
        <v>10</v>
      </c>
      <c r="K6" s="15" t="n"/>
      <c r="L6" s="8" t="inlineStr">
        <is>
          <t>Data held</t>
        </is>
      </c>
      <c r="M6" s="8" t="inlineStr">
        <is>
          <t>SaSS</t>
        </is>
      </c>
      <c r="N6" s="11" t="inlineStr"/>
      <c r="O6" s="11" t="inlineStr"/>
      <c r="P6" s="11" t="inlineStr"/>
      <c r="Q6" s="11" t="inlineStr"/>
      <c r="R6" s="11" t="inlineStr"/>
      <c r="S6" s="11" t="inlineStr"/>
    </row>
    <row r="7">
      <c r="B7" s="13" t="inlineStr">
        <is>
          <t>EE1(c)</t>
        </is>
      </c>
      <c r="C7" s="8" t="inlineStr"/>
      <c r="D7" s="8" t="inlineStr"/>
      <c r="E7" s="8" t="inlineStr">
        <is>
          <t>Number of Experiential Learning Projects</t>
        </is>
      </c>
      <c r="F7" s="8" t="inlineStr">
        <is>
          <t>#</t>
        </is>
      </c>
      <c r="G7" s="14" t="n"/>
      <c r="H7" s="14" t="n"/>
      <c r="I7" s="14" t="n"/>
      <c r="J7" s="14" t="n"/>
      <c r="K7" s="15" t="n"/>
      <c r="L7" s="8" t="inlineStr">
        <is>
          <t>No data yet</t>
        </is>
      </c>
      <c r="M7" s="8" t="inlineStr">
        <is>
          <t>SaSS</t>
        </is>
      </c>
      <c r="N7" s="11" t="inlineStr"/>
      <c r="O7" s="11" t="inlineStr"/>
      <c r="P7" s="11" t="inlineStr"/>
      <c r="Q7" s="11" t="inlineStr"/>
      <c r="R7" s="11" t="inlineStr"/>
      <c r="S7" s="11" t="inlineStr"/>
    </row>
    <row r="8">
      <c r="B8" s="13" t="inlineStr">
        <is>
          <t>EE1(c)</t>
        </is>
      </c>
      <c r="C8" s="8" t="inlineStr"/>
      <c r="D8" s="8" t="inlineStr"/>
      <c r="E8" s="8" t="inlineStr">
        <is>
          <t>Number of Participating Students</t>
        </is>
      </c>
      <c r="F8" s="8" t="inlineStr">
        <is>
          <t>#</t>
        </is>
      </c>
      <c r="G8" s="14" t="n"/>
      <c r="H8" s="14" t="n"/>
      <c r="I8" s="14" t="n"/>
      <c r="J8" s="14" t="n"/>
      <c r="K8" s="15" t="n"/>
      <c r="L8" s="8" t="inlineStr">
        <is>
          <t>No data yet</t>
        </is>
      </c>
      <c r="M8" s="8" t="inlineStr">
        <is>
          <t>SaSS</t>
        </is>
      </c>
      <c r="N8" s="11" t="inlineStr"/>
      <c r="O8" s="11" t="inlineStr"/>
      <c r="P8" s="11" t="inlineStr"/>
      <c r="Q8" s="11" t="inlineStr"/>
      <c r="R8" s="11" t="inlineStr"/>
      <c r="S8" s="11" t="inlineStr"/>
    </row>
    <row r="9">
      <c r="B9" s="13" t="inlineStr">
        <is>
          <t>EE1(d)</t>
        </is>
      </c>
      <c r="C9" s="8" t="inlineStr">
        <is>
          <t>Exceptional Education</t>
        </is>
      </c>
      <c r="D9" s="8" t="inlineStr">
        <is>
          <t>Alumni profiles demonstrating how graduates contribute to sustainability through their careers or communities</t>
        </is>
      </c>
      <c r="E9" s="8" t="inlineStr">
        <is>
          <t>Alumni that contribute to sustainability</t>
        </is>
      </c>
      <c r="F9" s="8" t="inlineStr">
        <is>
          <t>#</t>
        </is>
      </c>
      <c r="G9" s="14" t="n"/>
      <c r="H9" s="14" t="n"/>
      <c r="I9" s="14" t="n"/>
      <c r="J9" s="14" t="n"/>
      <c r="K9" s="15" t="n"/>
      <c r="L9" s="8" t="inlineStr">
        <is>
          <t>No data yet</t>
        </is>
      </c>
      <c r="M9" s="8" t="inlineStr">
        <is>
          <t>SaSS</t>
        </is>
      </c>
      <c r="N9" s="11" t="inlineStr"/>
      <c r="O9" s="11" t="inlineStr"/>
      <c r="P9" s="11" t="inlineStr"/>
      <c r="Q9" s="11" t="inlineStr"/>
      <c r="R9" s="11" t="inlineStr"/>
      <c r="S9" s="11" t="inlineStr"/>
    </row>
    <row r="10">
      <c r="B10" s="13" t="inlineStr">
        <is>
          <t>EE1(d)</t>
        </is>
      </c>
      <c r="C10" s="8" t="inlineStr"/>
      <c r="D10" s="8" t="inlineStr"/>
      <c r="E10" s="8" t="inlineStr">
        <is>
          <t>Alumni profiles demonstrating sustainability contribution</t>
        </is>
      </c>
      <c r="F10" s="8" t="inlineStr">
        <is>
          <t>%</t>
        </is>
      </c>
      <c r="G10" s="14" t="n"/>
      <c r="H10" s="14" t="n"/>
      <c r="I10" s="14" t="n"/>
      <c r="J10" s="14" t="n"/>
      <c r="K10" s="15" t="n"/>
      <c r="L10" s="8" t="inlineStr">
        <is>
          <t>No data yet</t>
        </is>
      </c>
      <c r="M10" s="8" t="inlineStr">
        <is>
          <t>SaSS</t>
        </is>
      </c>
      <c r="N10" s="11" t="inlineStr"/>
      <c r="O10" s="11" t="inlineStr"/>
      <c r="P10" s="11" t="inlineStr"/>
      <c r="Q10" s="11" t="inlineStr"/>
      <c r="R10" s="11" t="inlineStr"/>
      <c r="S10" s="11" t="inlineStr"/>
    </row>
    <row r="11">
      <c r="B11" s="16" t="inlineStr">
        <is>
          <t>TR2(b)</t>
        </is>
      </c>
      <c r="C11" s="16" t="inlineStr">
        <is>
          <t>Transformational Research</t>
        </is>
      </c>
      <c r="D11" s="16" t="inlineStr">
        <is>
          <t>Documented progress of relevant strategic initiatives, including Impact Accelerators</t>
        </is>
      </c>
      <c r="E11" s="16" t="inlineStr">
        <is>
          <t>Completion rate to the set annual target of strategic initiatives</t>
        </is>
      </c>
      <c r="F11" s="16" t="inlineStr"/>
      <c r="G11" s="17" t="n"/>
      <c r="H11" s="17" t="n"/>
      <c r="I11" s="17" t="n"/>
      <c r="J11" s="17" t="n"/>
      <c r="K11" s="17" t="n"/>
      <c r="L11" s="16" t="inlineStr"/>
      <c r="M11" s="16" t="inlineStr"/>
      <c r="N11" s="16" t="inlineStr"/>
      <c r="O11" s="16" t="inlineStr"/>
      <c r="P11" s="16" t="inlineStr"/>
      <c r="Q11" s="16" t="inlineStr"/>
      <c r="R11" s="16" t="inlineStr"/>
      <c r="S11" s="16" t="inlineStr"/>
    </row>
    <row r="12">
      <c r="B12" s="13" t="inlineStr">
        <is>
          <t>TR2(b)</t>
        </is>
      </c>
      <c r="C12" s="8" t="inlineStr"/>
      <c r="D12" s="8" t="inlineStr"/>
      <c r="E12" s="18" t="inlineStr">
        <is>
          <t>Impact Accelerators</t>
        </is>
      </c>
      <c r="F12" s="8" t="inlineStr">
        <is>
          <t>%</t>
        </is>
      </c>
      <c r="G12" s="14" t="n"/>
      <c r="H12" s="14" t="n"/>
      <c r="I12" s="14" t="n"/>
      <c r="J12" s="14" t="n"/>
      <c r="K12" s="15" t="n"/>
      <c r="L12" s="8" t="inlineStr">
        <is>
          <t>No data yet</t>
        </is>
      </c>
      <c r="M12" s="8" t="inlineStr">
        <is>
          <t>MRE</t>
        </is>
      </c>
      <c r="N12" s="11" t="inlineStr"/>
      <c r="O12" s="11" t="inlineStr"/>
      <c r="P12" s="11" t="inlineStr"/>
      <c r="Q12" s="11" t="inlineStr"/>
      <c r="R12" s="11" t="inlineStr"/>
      <c r="S12" s="11" t="inlineStr"/>
    </row>
    <row r="13">
      <c r="B13" s="13" t="inlineStr">
        <is>
          <t>TR2(b)</t>
        </is>
      </c>
      <c r="C13" s="8" t="inlineStr"/>
      <c r="D13" s="8" t="inlineStr"/>
      <c r="E13" s="18" t="inlineStr">
        <is>
          <t>Strategic Initiatives 2</t>
        </is>
      </c>
      <c r="F13" s="8" t="inlineStr">
        <is>
          <t>%</t>
        </is>
      </c>
      <c r="G13" s="14" t="n"/>
      <c r="H13" s="14" t="n"/>
      <c r="I13" s="14" t="n"/>
      <c r="J13" s="14" t="n"/>
      <c r="K13" s="15" t="n"/>
      <c r="L13" s="8" t="inlineStr">
        <is>
          <t>No data yet</t>
        </is>
      </c>
      <c r="M13" s="8" t="inlineStr">
        <is>
          <t>MRE</t>
        </is>
      </c>
      <c r="N13" s="11" t="inlineStr"/>
      <c r="O13" s="11" t="inlineStr"/>
      <c r="P13" s="11" t="inlineStr"/>
      <c r="Q13" s="11" t="inlineStr"/>
      <c r="R13" s="11" t="inlineStr"/>
      <c r="S13" s="11" t="inlineStr"/>
    </row>
    <row r="14">
      <c r="B14" s="13" t="inlineStr">
        <is>
          <t>TR2(b)</t>
        </is>
      </c>
      <c r="C14" s="8" t="inlineStr"/>
      <c r="D14" s="8" t="inlineStr"/>
      <c r="E14" s="18" t="inlineStr">
        <is>
          <t>Strategic Initiatives 3</t>
        </is>
      </c>
      <c r="F14" s="8" t="inlineStr">
        <is>
          <t>%</t>
        </is>
      </c>
      <c r="G14" s="14" t="n"/>
      <c r="H14" s="14" t="n"/>
      <c r="I14" s="14" t="n"/>
      <c r="J14" s="14" t="n"/>
      <c r="K14" s="15" t="n"/>
      <c r="L14" s="8" t="inlineStr">
        <is>
          <t>No data yet</t>
        </is>
      </c>
      <c r="M14" s="8" t="inlineStr">
        <is>
          <t>MRE</t>
        </is>
      </c>
      <c r="N14" s="11" t="inlineStr"/>
      <c r="O14" s="11" t="inlineStr"/>
      <c r="P14" s="11" t="inlineStr"/>
      <c r="Q14" s="11" t="inlineStr"/>
      <c r="R14" s="11" t="inlineStr"/>
      <c r="S14" s="11" t="inlineStr"/>
    </row>
    <row r="15">
      <c r="B15" s="13" t="inlineStr">
        <is>
          <t>TR2(b)</t>
        </is>
      </c>
      <c r="C15" s="8" t="inlineStr"/>
      <c r="D15" s="8" t="inlineStr"/>
      <c r="E15" s="8" t="inlineStr">
        <is>
          <t>Strategic Initiatives on track</t>
        </is>
      </c>
      <c r="F15" s="8" t="inlineStr">
        <is>
          <t>#</t>
        </is>
      </c>
      <c r="G15" s="14" t="n"/>
      <c r="H15" s="14" t="n"/>
      <c r="I15" s="14" t="n"/>
      <c r="J15" s="14" t="n"/>
      <c r="K15" s="15" t="n"/>
      <c r="L15" s="8" t="inlineStr">
        <is>
          <t>No data yet</t>
        </is>
      </c>
      <c r="M15" s="8" t="inlineStr">
        <is>
          <t>MRE</t>
        </is>
      </c>
      <c r="N15" s="11" t="inlineStr"/>
      <c r="O15" s="11" t="inlineStr"/>
      <c r="P15" s="11" t="inlineStr"/>
      <c r="Q15" s="11" t="inlineStr"/>
      <c r="R15" s="11" t="inlineStr"/>
      <c r="S15" s="11" t="inlineStr"/>
    </row>
    <row r="16">
      <c r="B16" s="13" t="inlineStr">
        <is>
          <t>TR2(b)</t>
        </is>
      </c>
      <c r="C16" s="8" t="inlineStr"/>
      <c r="D16" s="8" t="inlineStr"/>
      <c r="E16" s="8" t="inlineStr">
        <is>
          <t>Strategic Initiatives delivered</t>
        </is>
      </c>
      <c r="F16" s="8" t="inlineStr">
        <is>
          <t>#</t>
        </is>
      </c>
      <c r="G16" s="14" t="n"/>
      <c r="H16" s="14" t="n"/>
      <c r="I16" s="14" t="n"/>
      <c r="J16" s="14" t="n"/>
      <c r="K16" s="15" t="n"/>
      <c r="L16" s="8" t="inlineStr">
        <is>
          <t>No data yet</t>
        </is>
      </c>
      <c r="M16" s="8" t="inlineStr">
        <is>
          <t>MRE</t>
        </is>
      </c>
      <c r="N16" s="11" t="inlineStr"/>
      <c r="O16" s="11" t="inlineStr"/>
      <c r="P16" s="11" t="inlineStr"/>
      <c r="Q16" s="11" t="inlineStr"/>
      <c r="R16" s="11" t="inlineStr"/>
      <c r="S16" s="11" t="inlineStr"/>
    </row>
    <row r="17">
      <c r="B17" s="16" t="inlineStr">
        <is>
          <t>TR2(c)</t>
        </is>
      </c>
      <c r="C17" s="16" t="inlineStr">
        <is>
          <t>Transformational Research</t>
        </is>
      </c>
      <c r="D17" s="16" t="inlineStr">
        <is>
          <t>Expert-reviewed summary of sustainability-related research outputs, outcomes and influence using available institutional evidence sources</t>
        </is>
      </c>
      <c r="E17" s="16" t="inlineStr">
        <is>
          <t>SDG-related research outputs in the top 10% of citations</t>
        </is>
      </c>
      <c r="F17" s="16" t="inlineStr"/>
      <c r="G17" s="17" t="n"/>
      <c r="H17" s="17" t="n"/>
      <c r="I17" s="17" t="n"/>
      <c r="J17" s="17" t="n"/>
      <c r="K17" s="17" t="n"/>
      <c r="L17" s="16" t="inlineStr"/>
      <c r="M17" s="16" t="inlineStr"/>
      <c r="N17" s="16" t="inlineStr"/>
      <c r="O17" s="16" t="inlineStr"/>
      <c r="P17" s="16" t="inlineStr"/>
      <c r="Q17" s="16" t="inlineStr"/>
      <c r="R17" s="16" t="inlineStr"/>
      <c r="S17" s="16" t="inlineStr"/>
    </row>
    <row r="18">
      <c r="B18" s="13" t="inlineStr">
        <is>
          <t>TR2(c)</t>
        </is>
      </c>
      <c r="C18" s="8" t="inlineStr"/>
      <c r="D18" s="8" t="inlineStr"/>
      <c r="E18" s="18" t="inlineStr">
        <is>
          <t>SDG 1 - No Poverty</t>
        </is>
      </c>
      <c r="F18" s="8" t="inlineStr">
        <is>
          <t>#</t>
        </is>
      </c>
      <c r="G18" s="14" t="n"/>
      <c r="H18" s="14" t="n"/>
      <c r="I18" s="14" t="n"/>
      <c r="J18" s="14" t="n">
        <v>424</v>
      </c>
      <c r="K18" s="15" t="n"/>
      <c r="L18" s="8" t="inlineStr">
        <is>
          <t>Data held</t>
        </is>
      </c>
      <c r="M18" s="8" t="inlineStr">
        <is>
          <t>MRE</t>
        </is>
      </c>
      <c r="N18" s="11" t="inlineStr"/>
      <c r="O18" s="11" t="inlineStr"/>
      <c r="P18" s="11" t="inlineStr"/>
      <c r="Q18" s="11" t="inlineStr"/>
      <c r="R18" s="11" t="inlineStr"/>
      <c r="S18" s="11" t="inlineStr"/>
    </row>
    <row r="19">
      <c r="B19" s="13" t="inlineStr">
        <is>
          <t>TR2(c)</t>
        </is>
      </c>
      <c r="C19" s="8" t="inlineStr"/>
      <c r="D19" s="8" t="inlineStr"/>
      <c r="E19" s="18" t="inlineStr">
        <is>
          <t>SDG 2 - Zero Hunger</t>
        </is>
      </c>
      <c r="F19" s="8" t="inlineStr">
        <is>
          <t>#</t>
        </is>
      </c>
      <c r="G19" s="14" t="n"/>
      <c r="H19" s="14" t="n"/>
      <c r="I19" s="14" t="n"/>
      <c r="J19" s="14" t="n">
        <v>781</v>
      </c>
      <c r="K19" s="15" t="n"/>
      <c r="L19" s="8" t="inlineStr">
        <is>
          <t>Data held</t>
        </is>
      </c>
      <c r="M19" s="8" t="inlineStr">
        <is>
          <t>MRE</t>
        </is>
      </c>
      <c r="N19" s="11" t="inlineStr"/>
      <c r="O19" s="11" t="inlineStr"/>
      <c r="P19" s="11" t="inlineStr"/>
      <c r="Q19" s="11" t="inlineStr"/>
      <c r="R19" s="11" t="inlineStr"/>
      <c r="S19" s="11" t="inlineStr"/>
    </row>
    <row r="20">
      <c r="B20" s="13" t="inlineStr">
        <is>
          <t>TR2(c)</t>
        </is>
      </c>
      <c r="C20" s="8" t="inlineStr"/>
      <c r="D20" s="8" t="inlineStr"/>
      <c r="E20" s="18" t="inlineStr">
        <is>
          <t>SDG 3 - Good health and well-being</t>
        </is>
      </c>
      <c r="F20" s="8" t="inlineStr">
        <is>
          <t>#</t>
        </is>
      </c>
      <c r="G20" s="14" t="n"/>
      <c r="H20" s="14" t="n"/>
      <c r="I20" s="14" t="n"/>
      <c r="J20" s="14" t="n">
        <v>15195</v>
      </c>
      <c r="K20" s="15" t="n"/>
      <c r="L20" s="8" t="inlineStr">
        <is>
          <t>Data held</t>
        </is>
      </c>
      <c r="M20" s="8" t="inlineStr">
        <is>
          <t>MRE</t>
        </is>
      </c>
      <c r="N20" s="11" t="inlineStr"/>
      <c r="O20" s="11" t="inlineStr"/>
      <c r="P20" s="11" t="inlineStr"/>
      <c r="Q20" s="11" t="inlineStr"/>
      <c r="R20" s="11" t="inlineStr"/>
      <c r="S20" s="11" t="inlineStr"/>
    </row>
    <row r="21">
      <c r="B21" s="13" t="inlineStr">
        <is>
          <t>TR2(c)</t>
        </is>
      </c>
      <c r="C21" s="8" t="inlineStr"/>
      <c r="D21" s="8" t="inlineStr"/>
      <c r="E21" s="18" t="inlineStr">
        <is>
          <t>SDG 4 - Quality Education</t>
        </is>
      </c>
      <c r="F21" s="8" t="inlineStr">
        <is>
          <t>#</t>
        </is>
      </c>
      <c r="G21" s="14" t="n"/>
      <c r="H21" s="14" t="n"/>
      <c r="I21" s="14" t="n"/>
      <c r="J21" s="14" t="n">
        <v>1292</v>
      </c>
      <c r="K21" s="15" t="n"/>
      <c r="L21" s="8" t="inlineStr">
        <is>
          <t>Data held</t>
        </is>
      </c>
      <c r="M21" s="8" t="inlineStr">
        <is>
          <t>MRE</t>
        </is>
      </c>
      <c r="N21" s="11" t="inlineStr"/>
      <c r="O21" s="11" t="inlineStr"/>
      <c r="P21" s="11" t="inlineStr"/>
      <c r="Q21" s="11" t="inlineStr"/>
      <c r="R21" s="11" t="inlineStr"/>
      <c r="S21" s="11" t="inlineStr"/>
    </row>
    <row r="22">
      <c r="B22" s="13" t="inlineStr">
        <is>
          <t>TR2(c)</t>
        </is>
      </c>
      <c r="C22" s="8" t="inlineStr"/>
      <c r="D22" s="8" t="inlineStr"/>
      <c r="E22" s="18" t="inlineStr">
        <is>
          <t>SDG 5 - Gender Equality</t>
        </is>
      </c>
      <c r="F22" s="8" t="inlineStr">
        <is>
          <t>#</t>
        </is>
      </c>
      <c r="G22" s="14" t="n"/>
      <c r="H22" s="14" t="n"/>
      <c r="I22" s="14" t="n"/>
      <c r="J22" s="14" t="n">
        <v>1275</v>
      </c>
      <c r="K22" s="15" t="n"/>
      <c r="L22" s="8" t="inlineStr">
        <is>
          <t>Data held</t>
        </is>
      </c>
      <c r="M22" s="8" t="inlineStr">
        <is>
          <t>MRE</t>
        </is>
      </c>
      <c r="N22" s="11" t="inlineStr"/>
      <c r="O22" s="11" t="inlineStr"/>
      <c r="P22" s="11" t="inlineStr"/>
      <c r="Q22" s="11" t="inlineStr"/>
      <c r="R22" s="11" t="inlineStr"/>
      <c r="S22" s="11" t="inlineStr"/>
    </row>
    <row r="23">
      <c r="B23" s="13" t="inlineStr">
        <is>
          <t>TR2(c)</t>
        </is>
      </c>
      <c r="C23" s="8" t="inlineStr"/>
      <c r="D23" s="8" t="inlineStr"/>
      <c r="E23" s="18" t="inlineStr">
        <is>
          <t>SDG 6 - Clean water and sanitation</t>
        </is>
      </c>
      <c r="F23" s="8" t="inlineStr">
        <is>
          <t>#</t>
        </is>
      </c>
      <c r="G23" s="14" t="n"/>
      <c r="H23" s="14" t="n"/>
      <c r="I23" s="14" t="n"/>
      <c r="J23" s="14" t="n">
        <v>661</v>
      </c>
      <c r="K23" s="15" t="n"/>
      <c r="L23" s="8" t="inlineStr">
        <is>
          <t>Data held</t>
        </is>
      </c>
      <c r="M23" s="8" t="inlineStr">
        <is>
          <t>MRE</t>
        </is>
      </c>
      <c r="N23" s="11" t="inlineStr"/>
      <c r="O23" s="11" t="inlineStr"/>
      <c r="P23" s="11" t="inlineStr"/>
      <c r="Q23" s="11" t="inlineStr"/>
      <c r="R23" s="11" t="inlineStr"/>
      <c r="S23" s="11" t="inlineStr"/>
    </row>
    <row r="24">
      <c r="B24" s="13" t="inlineStr">
        <is>
          <t>TR2(c)</t>
        </is>
      </c>
      <c r="C24" s="8" t="inlineStr"/>
      <c r="D24" s="8" t="inlineStr"/>
      <c r="E24" s="18" t="inlineStr">
        <is>
          <t>SDG 7 - Affordable and clean energy</t>
        </is>
      </c>
      <c r="F24" s="8" t="inlineStr">
        <is>
          <t>#</t>
        </is>
      </c>
      <c r="G24" s="14" t="n"/>
      <c r="H24" s="14" t="n"/>
      <c r="I24" s="14" t="n"/>
      <c r="J24" s="14" t="n">
        <v>997</v>
      </c>
      <c r="K24" s="15" t="n"/>
      <c r="L24" s="8" t="inlineStr">
        <is>
          <t>Data held</t>
        </is>
      </c>
      <c r="M24" s="8" t="inlineStr">
        <is>
          <t>MRE</t>
        </is>
      </c>
      <c r="N24" s="11" t="inlineStr"/>
      <c r="O24" s="11" t="inlineStr"/>
      <c r="P24" s="11" t="inlineStr"/>
      <c r="Q24" s="11" t="inlineStr"/>
      <c r="R24" s="11" t="inlineStr"/>
      <c r="S24" s="11" t="inlineStr"/>
    </row>
    <row r="25">
      <c r="B25" s="13" t="inlineStr">
        <is>
          <t>TR2(c)</t>
        </is>
      </c>
      <c r="C25" s="8" t="inlineStr"/>
      <c r="D25" s="8" t="inlineStr"/>
      <c r="E25" s="18" t="inlineStr">
        <is>
          <t>SDG 8 - Decent work and economic growth</t>
        </is>
      </c>
      <c r="F25" s="8" t="inlineStr">
        <is>
          <t>#</t>
        </is>
      </c>
      <c r="G25" s="14" t="n"/>
      <c r="H25" s="14" t="n"/>
      <c r="I25" s="14" t="n"/>
      <c r="J25" s="14" t="n">
        <v>995</v>
      </c>
      <c r="K25" s="15" t="n"/>
      <c r="L25" s="8" t="inlineStr">
        <is>
          <t>Data held</t>
        </is>
      </c>
      <c r="M25" s="8" t="inlineStr">
        <is>
          <t>MRE</t>
        </is>
      </c>
      <c r="N25" s="11" t="inlineStr"/>
      <c r="O25" s="11" t="inlineStr"/>
      <c r="P25" s="11" t="inlineStr"/>
      <c r="Q25" s="11" t="inlineStr"/>
      <c r="R25" s="11" t="inlineStr"/>
      <c r="S25" s="11" t="inlineStr"/>
    </row>
    <row r="26">
      <c r="B26" s="13" t="inlineStr">
        <is>
          <t>TR2(c)</t>
        </is>
      </c>
      <c r="C26" s="8" t="inlineStr"/>
      <c r="D26" s="8" t="inlineStr"/>
      <c r="E26" s="18" t="inlineStr">
        <is>
          <t>SDG 9 - Industry, innovation and infrastructure</t>
        </is>
      </c>
      <c r="F26" s="8" t="inlineStr">
        <is>
          <t>#</t>
        </is>
      </c>
      <c r="G26" s="14" t="n"/>
      <c r="H26" s="14" t="n"/>
      <c r="I26" s="14" t="n"/>
      <c r="J26" s="14" t="n">
        <v>1457</v>
      </c>
      <c r="K26" s="15" t="n"/>
      <c r="L26" s="8" t="inlineStr">
        <is>
          <t>Data held</t>
        </is>
      </c>
      <c r="M26" s="8" t="inlineStr">
        <is>
          <t>MRE</t>
        </is>
      </c>
      <c r="N26" s="11" t="inlineStr"/>
      <c r="O26" s="11" t="inlineStr"/>
      <c r="P26" s="11" t="inlineStr"/>
      <c r="Q26" s="11" t="inlineStr"/>
      <c r="R26" s="11" t="inlineStr"/>
      <c r="S26" s="11" t="inlineStr"/>
    </row>
    <row r="27">
      <c r="B27" s="13" t="inlineStr">
        <is>
          <t>TR2(c)</t>
        </is>
      </c>
      <c r="C27" s="8" t="inlineStr"/>
      <c r="D27" s="8" t="inlineStr"/>
      <c r="E27" s="18" t="inlineStr">
        <is>
          <t>SDG 10 - Reduced inequality</t>
        </is>
      </c>
      <c r="F27" s="8" t="inlineStr">
        <is>
          <t>#</t>
        </is>
      </c>
      <c r="G27" s="14" t="n"/>
      <c r="H27" s="14" t="n"/>
      <c r="I27" s="14" t="n"/>
      <c r="J27" s="14" t="n">
        <v>1617</v>
      </c>
      <c r="K27" s="15" t="n"/>
      <c r="L27" s="8" t="inlineStr">
        <is>
          <t>Data held</t>
        </is>
      </c>
      <c r="M27" s="8" t="inlineStr">
        <is>
          <t>MRE</t>
        </is>
      </c>
      <c r="N27" s="11" t="inlineStr"/>
      <c r="O27" s="11" t="inlineStr"/>
      <c r="P27" s="11" t="inlineStr"/>
      <c r="Q27" s="11" t="inlineStr"/>
      <c r="R27" s="11" t="inlineStr"/>
      <c r="S27" s="11" t="inlineStr"/>
    </row>
    <row r="28">
      <c r="B28" s="13" t="inlineStr">
        <is>
          <t>TR2(c)</t>
        </is>
      </c>
      <c r="C28" s="8" t="inlineStr"/>
      <c r="D28" s="8" t="inlineStr"/>
      <c r="E28" s="18" t="inlineStr">
        <is>
          <t>SDG 11 - Sustainable cities and communities</t>
        </is>
      </c>
      <c r="F28" s="8" t="inlineStr">
        <is>
          <t>#</t>
        </is>
      </c>
      <c r="G28" s="14" t="n"/>
      <c r="H28" s="14" t="n"/>
      <c r="I28" s="14" t="n"/>
      <c r="J28" s="14" t="n">
        <v>1436</v>
      </c>
      <c r="K28" s="15" t="n"/>
      <c r="L28" s="8" t="inlineStr">
        <is>
          <t>Data held</t>
        </is>
      </c>
      <c r="M28" s="8" t="inlineStr">
        <is>
          <t>MRE</t>
        </is>
      </c>
      <c r="N28" s="11" t="inlineStr"/>
      <c r="O28" s="11" t="inlineStr"/>
      <c r="P28" s="11" t="inlineStr"/>
      <c r="Q28" s="11" t="inlineStr"/>
      <c r="R28" s="11" t="inlineStr"/>
      <c r="S28" s="11" t="inlineStr"/>
    </row>
    <row r="29">
      <c r="B29" s="13" t="inlineStr">
        <is>
          <t>TR2(c)</t>
        </is>
      </c>
      <c r="C29" s="8" t="inlineStr"/>
      <c r="D29" s="8" t="inlineStr"/>
      <c r="E29" s="18" t="inlineStr">
        <is>
          <t>SDG 12 - Responsible consumption and production</t>
        </is>
      </c>
      <c r="F29" s="8" t="inlineStr">
        <is>
          <t>#</t>
        </is>
      </c>
      <c r="G29" s="14" t="n"/>
      <c r="H29" s="14" t="n"/>
      <c r="I29" s="14" t="n"/>
      <c r="J29" s="14" t="n">
        <v>838</v>
      </c>
      <c r="K29" s="15" t="n"/>
      <c r="L29" s="8" t="inlineStr">
        <is>
          <t>Data held</t>
        </is>
      </c>
      <c r="M29" s="8" t="inlineStr">
        <is>
          <t>MRE</t>
        </is>
      </c>
      <c r="N29" s="11" t="inlineStr"/>
      <c r="O29" s="11" t="inlineStr"/>
      <c r="P29" s="11" t="inlineStr"/>
      <c r="Q29" s="11" t="inlineStr"/>
      <c r="R29" s="11" t="inlineStr"/>
      <c r="S29" s="11" t="inlineStr"/>
    </row>
    <row r="30">
      <c r="B30" s="13" t="inlineStr">
        <is>
          <t>TR2(c)</t>
        </is>
      </c>
      <c r="C30" s="8" t="inlineStr"/>
      <c r="D30" s="8" t="inlineStr"/>
      <c r="E30" s="18" t="inlineStr">
        <is>
          <t>SDG 13 - Climate action</t>
        </is>
      </c>
      <c r="F30" s="8" t="inlineStr">
        <is>
          <t>#</t>
        </is>
      </c>
      <c r="G30" s="14" t="n"/>
      <c r="H30" s="14" t="n"/>
      <c r="I30" s="14" t="n"/>
      <c r="J30" s="14" t="n">
        <v>1624</v>
      </c>
      <c r="K30" s="15" t="n"/>
      <c r="L30" s="8" t="inlineStr">
        <is>
          <t>Data held</t>
        </is>
      </c>
      <c r="M30" s="8" t="inlineStr">
        <is>
          <t>MRE</t>
        </is>
      </c>
      <c r="N30" s="11" t="inlineStr"/>
      <c r="O30" s="11" t="inlineStr"/>
      <c r="P30" s="11" t="inlineStr"/>
      <c r="Q30" s="11" t="inlineStr"/>
      <c r="R30" s="11" t="inlineStr"/>
      <c r="S30" s="11" t="inlineStr"/>
    </row>
    <row r="31">
      <c r="B31" s="13" t="inlineStr">
        <is>
          <t>TR2(c)</t>
        </is>
      </c>
      <c r="C31" s="8" t="inlineStr"/>
      <c r="D31" s="8" t="inlineStr"/>
      <c r="E31" s="18" t="inlineStr">
        <is>
          <t>SDG 14 - Life below water</t>
        </is>
      </c>
      <c r="F31" s="8" t="inlineStr">
        <is>
          <t>#</t>
        </is>
      </c>
      <c r="G31" s="14" t="n"/>
      <c r="H31" s="14" t="n"/>
      <c r="I31" s="14" t="n"/>
      <c r="J31" s="14" t="n">
        <v>442</v>
      </c>
      <c r="K31" s="15" t="n"/>
      <c r="L31" s="8" t="inlineStr">
        <is>
          <t>Data held</t>
        </is>
      </c>
      <c r="M31" s="8" t="inlineStr">
        <is>
          <t>MRE</t>
        </is>
      </c>
      <c r="N31" s="11" t="inlineStr"/>
      <c r="O31" s="11" t="inlineStr"/>
      <c r="P31" s="11" t="inlineStr"/>
      <c r="Q31" s="11" t="inlineStr"/>
      <c r="R31" s="11" t="inlineStr"/>
      <c r="S31" s="11" t="inlineStr"/>
    </row>
    <row r="32">
      <c r="B32" s="13" t="inlineStr">
        <is>
          <t>TR2(c)</t>
        </is>
      </c>
      <c r="C32" s="8" t="inlineStr"/>
      <c r="D32" s="8" t="inlineStr"/>
      <c r="E32" s="18" t="inlineStr">
        <is>
          <t>SDG 15 - Life on land</t>
        </is>
      </c>
      <c r="F32" s="8" t="inlineStr">
        <is>
          <t>#</t>
        </is>
      </c>
      <c r="G32" s="14" t="n"/>
      <c r="H32" s="14" t="n"/>
      <c r="I32" s="14" t="n"/>
      <c r="J32" s="14" t="n">
        <v>1015</v>
      </c>
      <c r="K32" s="15" t="n"/>
      <c r="L32" s="8" t="inlineStr">
        <is>
          <t>Data held</t>
        </is>
      </c>
      <c r="M32" s="8" t="inlineStr">
        <is>
          <t>MRE</t>
        </is>
      </c>
      <c r="N32" s="11" t="inlineStr"/>
      <c r="O32" s="11" t="inlineStr"/>
      <c r="P32" s="11" t="inlineStr"/>
      <c r="Q32" s="11" t="inlineStr"/>
      <c r="R32" s="11" t="inlineStr"/>
      <c r="S32" s="11" t="inlineStr"/>
    </row>
    <row r="33">
      <c r="B33" s="13" t="inlineStr">
        <is>
          <t>TR2(c)</t>
        </is>
      </c>
      <c r="C33" s="8" t="inlineStr"/>
      <c r="D33" s="8" t="inlineStr"/>
      <c r="E33" s="18" t="inlineStr">
        <is>
          <t>SDG 16 - Peace, justice and strong institutions</t>
        </is>
      </c>
      <c r="F33" s="8" t="inlineStr">
        <is>
          <t>#</t>
        </is>
      </c>
      <c r="G33" s="14" t="n"/>
      <c r="H33" s="14" t="n"/>
      <c r="I33" s="14" t="n"/>
      <c r="J33" s="14" t="n">
        <v>1681</v>
      </c>
      <c r="K33" s="15" t="n"/>
      <c r="L33" s="8" t="inlineStr">
        <is>
          <t>Data held</t>
        </is>
      </c>
      <c r="M33" s="8" t="inlineStr">
        <is>
          <t>MRE</t>
        </is>
      </c>
      <c r="N33" s="11" t="inlineStr"/>
      <c r="O33" s="11" t="inlineStr"/>
      <c r="P33" s="11" t="inlineStr"/>
      <c r="Q33" s="11" t="inlineStr"/>
      <c r="R33" s="11" t="inlineStr"/>
      <c r="S33" s="11" t="inlineStr"/>
    </row>
    <row r="34">
      <c r="B34" s="16" t="inlineStr">
        <is>
          <t>TR2(c)</t>
        </is>
      </c>
      <c r="C34" s="16" t="inlineStr"/>
      <c r="D34" s="16" t="inlineStr"/>
      <c r="E34" s="16" t="inlineStr">
        <is>
          <t>SDG-related research outputs in the top 10% of citations (Field-weighted)</t>
        </is>
      </c>
      <c r="F34" s="16" t="inlineStr"/>
      <c r="G34" s="17" t="n"/>
      <c r="H34" s="17" t="n"/>
      <c r="I34" s="17" t="n"/>
      <c r="J34" s="17" t="n"/>
      <c r="K34" s="17" t="n"/>
      <c r="L34" s="16" t="inlineStr"/>
      <c r="M34" s="16" t="inlineStr"/>
      <c r="N34" s="16" t="inlineStr"/>
      <c r="O34" s="16" t="inlineStr"/>
      <c r="P34" s="16" t="inlineStr"/>
      <c r="Q34" s="16" t="inlineStr"/>
      <c r="R34" s="16" t="inlineStr"/>
      <c r="S34" s="16" t="inlineStr"/>
    </row>
    <row r="35">
      <c r="B35" s="13" t="inlineStr">
        <is>
          <t>TR2(c)</t>
        </is>
      </c>
      <c r="C35" s="8" t="inlineStr"/>
      <c r="D35" s="8" t="inlineStr"/>
      <c r="E35" s="18" t="inlineStr">
        <is>
          <t>SDG 1 - No Poverty</t>
        </is>
      </c>
      <c r="F35" s="8" t="inlineStr">
        <is>
          <t>%</t>
        </is>
      </c>
      <c r="G35" s="14" t="n"/>
      <c r="H35" s="14" t="n"/>
      <c r="I35" s="14" t="n"/>
      <c r="J35" s="14" t="n">
        <v>20</v>
      </c>
      <c r="K35" s="15" t="n"/>
      <c r="L35" s="8" t="inlineStr">
        <is>
          <t>Data held</t>
        </is>
      </c>
      <c r="M35" s="8" t="inlineStr">
        <is>
          <t>MRE</t>
        </is>
      </c>
      <c r="N35" s="11" t="inlineStr"/>
      <c r="O35" s="11" t="inlineStr"/>
      <c r="P35" s="11" t="inlineStr"/>
      <c r="Q35" s="11" t="inlineStr"/>
      <c r="R35" s="11" t="inlineStr"/>
      <c r="S35" s="11" t="inlineStr"/>
    </row>
    <row r="36">
      <c r="B36" s="13" t="inlineStr">
        <is>
          <t>TR2(c)</t>
        </is>
      </c>
      <c r="C36" s="8" t="inlineStr"/>
      <c r="D36" s="8" t="inlineStr"/>
      <c r="E36" s="18" t="inlineStr">
        <is>
          <t>SDG 2 - Zero Hunger</t>
        </is>
      </c>
      <c r="F36" s="8" t="inlineStr">
        <is>
          <t>%</t>
        </is>
      </c>
      <c r="G36" s="14" t="n"/>
      <c r="H36" s="14" t="n"/>
      <c r="I36" s="14" t="n"/>
      <c r="J36" s="14" t="n">
        <v>19</v>
      </c>
      <c r="K36" s="15" t="n"/>
      <c r="L36" s="8" t="inlineStr">
        <is>
          <t>Data held</t>
        </is>
      </c>
      <c r="M36" s="8" t="inlineStr">
        <is>
          <t>MRE</t>
        </is>
      </c>
      <c r="N36" s="11" t="inlineStr"/>
      <c r="O36" s="11" t="inlineStr"/>
      <c r="P36" s="11" t="inlineStr"/>
      <c r="Q36" s="11" t="inlineStr"/>
      <c r="R36" s="11" t="inlineStr"/>
      <c r="S36" s="11" t="inlineStr"/>
    </row>
    <row r="37">
      <c r="B37" s="13" t="inlineStr">
        <is>
          <t>TR2(c)</t>
        </is>
      </c>
      <c r="C37" s="8" t="inlineStr"/>
      <c r="D37" s="8" t="inlineStr"/>
      <c r="E37" s="18" t="inlineStr">
        <is>
          <t>SDG 3 - Good health and well-being</t>
        </is>
      </c>
      <c r="F37" s="8" t="inlineStr">
        <is>
          <t>%</t>
        </is>
      </c>
      <c r="G37" s="14" t="n"/>
      <c r="H37" s="14" t="n"/>
      <c r="I37" s="14" t="n"/>
      <c r="J37" s="14" t="n">
        <v>20</v>
      </c>
      <c r="K37" s="15" t="n"/>
      <c r="L37" s="8" t="inlineStr">
        <is>
          <t>Data held</t>
        </is>
      </c>
      <c r="M37" s="8" t="inlineStr">
        <is>
          <t>MRE</t>
        </is>
      </c>
      <c r="N37" s="11" t="inlineStr"/>
      <c r="O37" s="11" t="inlineStr"/>
      <c r="P37" s="11" t="inlineStr"/>
      <c r="Q37" s="11" t="inlineStr"/>
      <c r="R37" s="11" t="inlineStr"/>
      <c r="S37" s="11" t="inlineStr"/>
    </row>
    <row r="38">
      <c r="B38" s="13" t="inlineStr">
        <is>
          <t>TR2(c)</t>
        </is>
      </c>
      <c r="C38" s="8" t="inlineStr"/>
      <c r="D38" s="8" t="inlineStr"/>
      <c r="E38" s="18" t="inlineStr">
        <is>
          <t>SDG 4 - Quality Education</t>
        </is>
      </c>
      <c r="F38" s="8" t="inlineStr">
        <is>
          <t>%</t>
        </is>
      </c>
      <c r="G38" s="14" t="n"/>
      <c r="H38" s="14" t="n"/>
      <c r="I38" s="14" t="n"/>
      <c r="J38" s="14" t="n">
        <v>19</v>
      </c>
      <c r="K38" s="15" t="n"/>
      <c r="L38" s="8" t="inlineStr">
        <is>
          <t>Data held</t>
        </is>
      </c>
      <c r="M38" s="8" t="inlineStr">
        <is>
          <t>MRE</t>
        </is>
      </c>
      <c r="N38" s="11" t="inlineStr"/>
      <c r="O38" s="11" t="inlineStr"/>
      <c r="P38" s="11" t="inlineStr"/>
      <c r="Q38" s="11" t="inlineStr"/>
      <c r="R38" s="11" t="inlineStr"/>
      <c r="S38" s="11" t="inlineStr"/>
    </row>
    <row r="39">
      <c r="B39" s="13" t="inlineStr">
        <is>
          <t>TR2(c)</t>
        </is>
      </c>
      <c r="C39" s="8" t="inlineStr"/>
      <c r="D39" s="8" t="inlineStr"/>
      <c r="E39" s="18" t="inlineStr">
        <is>
          <t>SDG 5 - Gender Equality</t>
        </is>
      </c>
      <c r="F39" s="8" t="inlineStr">
        <is>
          <t>%</t>
        </is>
      </c>
      <c r="G39" s="14" t="n"/>
      <c r="H39" s="14" t="n"/>
      <c r="I39" s="14" t="n"/>
      <c r="J39" s="14" t="n">
        <v>18</v>
      </c>
      <c r="K39" s="15" t="n"/>
      <c r="L39" s="8" t="inlineStr">
        <is>
          <t>Data held</t>
        </is>
      </c>
      <c r="M39" s="8" t="inlineStr">
        <is>
          <t>MRE</t>
        </is>
      </c>
      <c r="N39" s="11" t="inlineStr"/>
      <c r="O39" s="11" t="inlineStr"/>
      <c r="P39" s="11" t="inlineStr"/>
      <c r="Q39" s="11" t="inlineStr"/>
      <c r="R39" s="11" t="inlineStr"/>
      <c r="S39" s="11" t="inlineStr"/>
    </row>
    <row r="40">
      <c r="B40" s="13" t="inlineStr">
        <is>
          <t>TR2(c)</t>
        </is>
      </c>
      <c r="C40" s="8" t="inlineStr"/>
      <c r="D40" s="8" t="inlineStr"/>
      <c r="E40" s="18" t="inlineStr">
        <is>
          <t>SDG 6 - Clean water and sanitation</t>
        </is>
      </c>
      <c r="F40" s="8" t="inlineStr">
        <is>
          <t>%</t>
        </is>
      </c>
      <c r="G40" s="14" t="n"/>
      <c r="H40" s="14" t="n"/>
      <c r="I40" s="14" t="n"/>
      <c r="J40" s="14" t="n">
        <v>17</v>
      </c>
      <c r="K40" s="15" t="n"/>
      <c r="L40" s="8" t="inlineStr">
        <is>
          <t>Data held</t>
        </is>
      </c>
      <c r="M40" s="8" t="inlineStr">
        <is>
          <t>MRE</t>
        </is>
      </c>
      <c r="N40" s="11" t="inlineStr"/>
      <c r="O40" s="11" t="inlineStr"/>
      <c r="P40" s="11" t="inlineStr"/>
      <c r="Q40" s="11" t="inlineStr"/>
      <c r="R40" s="11" t="inlineStr"/>
      <c r="S40" s="11" t="inlineStr"/>
    </row>
    <row r="41">
      <c r="B41" s="13" t="inlineStr">
        <is>
          <t>TR2(c)</t>
        </is>
      </c>
      <c r="C41" s="8" t="inlineStr"/>
      <c r="D41" s="8" t="inlineStr"/>
      <c r="E41" s="18" t="inlineStr">
        <is>
          <t>SDG 7 - Affordable and clean energy</t>
        </is>
      </c>
      <c r="F41" s="8" t="inlineStr">
        <is>
          <t>%</t>
        </is>
      </c>
      <c r="G41" s="14" t="n"/>
      <c r="H41" s="14" t="n"/>
      <c r="I41" s="14" t="n"/>
      <c r="J41" s="14" t="n">
        <v>22</v>
      </c>
      <c r="K41" s="15" t="n"/>
      <c r="L41" s="8" t="inlineStr">
        <is>
          <t>Data held</t>
        </is>
      </c>
      <c r="M41" s="8" t="inlineStr">
        <is>
          <t>MRE</t>
        </is>
      </c>
      <c r="N41" s="11" t="inlineStr"/>
      <c r="O41" s="11" t="inlineStr"/>
      <c r="P41" s="11" t="inlineStr"/>
      <c r="Q41" s="11" t="inlineStr"/>
      <c r="R41" s="11" t="inlineStr"/>
      <c r="S41" s="11" t="inlineStr"/>
    </row>
    <row r="42">
      <c r="B42" s="13" t="inlineStr">
        <is>
          <t>TR2(c)</t>
        </is>
      </c>
      <c r="C42" s="8" t="inlineStr"/>
      <c r="D42" s="8" t="inlineStr"/>
      <c r="E42" s="18" t="inlineStr">
        <is>
          <t>SDG 8 - Decent work and economic growth</t>
        </is>
      </c>
      <c r="F42" s="8" t="inlineStr">
        <is>
          <t>%</t>
        </is>
      </c>
      <c r="G42" s="14" t="n"/>
      <c r="H42" s="14" t="n"/>
      <c r="I42" s="14" t="n"/>
      <c r="J42" s="14" t="n">
        <v>22</v>
      </c>
      <c r="K42" s="15" t="n"/>
      <c r="L42" s="8" t="inlineStr">
        <is>
          <t>Data held</t>
        </is>
      </c>
      <c r="M42" s="8" t="inlineStr">
        <is>
          <t>MRE</t>
        </is>
      </c>
      <c r="N42" s="11" t="inlineStr"/>
      <c r="O42" s="11" t="inlineStr"/>
      <c r="P42" s="11" t="inlineStr"/>
      <c r="Q42" s="11" t="inlineStr"/>
      <c r="R42" s="11" t="inlineStr"/>
      <c r="S42" s="11" t="inlineStr"/>
    </row>
    <row r="43">
      <c r="B43" s="13" t="inlineStr">
        <is>
          <t>TR2(c)</t>
        </is>
      </c>
      <c r="C43" s="8" t="inlineStr"/>
      <c r="D43" s="8" t="inlineStr"/>
      <c r="E43" s="18" t="inlineStr">
        <is>
          <t>SDG 9 - Industry, innovation and infrastructure</t>
        </is>
      </c>
      <c r="F43" s="8" t="inlineStr">
        <is>
          <t>%</t>
        </is>
      </c>
      <c r="G43" s="14" t="n"/>
      <c r="H43" s="14" t="n"/>
      <c r="I43" s="14" t="n"/>
      <c r="J43" s="14" t="n">
        <v>23</v>
      </c>
      <c r="K43" s="15" t="n"/>
      <c r="L43" s="8" t="inlineStr">
        <is>
          <t>Data held</t>
        </is>
      </c>
      <c r="M43" s="8" t="inlineStr">
        <is>
          <t>MRE</t>
        </is>
      </c>
      <c r="N43" s="11" t="inlineStr"/>
      <c r="O43" s="11" t="inlineStr"/>
      <c r="P43" s="11" t="inlineStr"/>
      <c r="Q43" s="11" t="inlineStr"/>
      <c r="R43" s="11" t="inlineStr"/>
      <c r="S43" s="11" t="inlineStr"/>
    </row>
    <row r="44">
      <c r="B44" s="13" t="inlineStr">
        <is>
          <t>TR2(c)</t>
        </is>
      </c>
      <c r="C44" s="8" t="inlineStr"/>
      <c r="D44" s="8" t="inlineStr"/>
      <c r="E44" s="18" t="inlineStr">
        <is>
          <t>SDG 10 - Reduced inequality</t>
        </is>
      </c>
      <c r="F44" s="8" t="inlineStr">
        <is>
          <t>%</t>
        </is>
      </c>
      <c r="G44" s="14" t="n"/>
      <c r="H44" s="14" t="n"/>
      <c r="I44" s="14" t="n"/>
      <c r="J44" s="14" t="n">
        <v>20</v>
      </c>
      <c r="K44" s="15" t="n"/>
      <c r="L44" s="8" t="inlineStr">
        <is>
          <t>Data held</t>
        </is>
      </c>
      <c r="M44" s="8" t="inlineStr">
        <is>
          <t>MRE</t>
        </is>
      </c>
      <c r="N44" s="11" t="inlineStr"/>
      <c r="O44" s="11" t="inlineStr"/>
      <c r="P44" s="11" t="inlineStr"/>
      <c r="Q44" s="11" t="inlineStr"/>
      <c r="R44" s="11" t="inlineStr"/>
      <c r="S44" s="11" t="inlineStr"/>
    </row>
    <row r="45">
      <c r="B45" s="13" t="inlineStr">
        <is>
          <t>TR2(c)</t>
        </is>
      </c>
      <c r="C45" s="8" t="inlineStr"/>
      <c r="D45" s="8" t="inlineStr"/>
      <c r="E45" s="18" t="inlineStr">
        <is>
          <t>SDG 11 - Sustainable cities and communities</t>
        </is>
      </c>
      <c r="F45" s="8" t="inlineStr">
        <is>
          <t>%</t>
        </is>
      </c>
      <c r="G45" s="14" t="n"/>
      <c r="H45" s="14" t="n"/>
      <c r="I45" s="14" t="n"/>
      <c r="J45" s="14" t="n">
        <v>20</v>
      </c>
      <c r="K45" s="15" t="n"/>
      <c r="L45" s="8" t="inlineStr">
        <is>
          <t>Data held</t>
        </is>
      </c>
      <c r="M45" s="8" t="inlineStr">
        <is>
          <t>MRE</t>
        </is>
      </c>
      <c r="N45" s="11" t="inlineStr"/>
      <c r="O45" s="11" t="inlineStr"/>
      <c r="P45" s="11" t="inlineStr"/>
      <c r="Q45" s="11" t="inlineStr"/>
      <c r="R45" s="11" t="inlineStr"/>
      <c r="S45" s="11" t="inlineStr"/>
    </row>
    <row r="46">
      <c r="B46" s="13" t="inlineStr">
        <is>
          <t>TR2(c)</t>
        </is>
      </c>
      <c r="C46" s="8" t="inlineStr"/>
      <c r="D46" s="8" t="inlineStr"/>
      <c r="E46" s="18" t="inlineStr">
        <is>
          <t>SDG 12 - Responsible consumption and production</t>
        </is>
      </c>
      <c r="F46" s="8" t="inlineStr">
        <is>
          <t>%</t>
        </is>
      </c>
      <c r="G46" s="14" t="n"/>
      <c r="H46" s="14" t="n"/>
      <c r="I46" s="14" t="n"/>
      <c r="J46" s="14" t="n">
        <v>20</v>
      </c>
      <c r="K46" s="15" t="n"/>
      <c r="L46" s="8" t="inlineStr">
        <is>
          <t>Data held</t>
        </is>
      </c>
      <c r="M46" s="8" t="inlineStr">
        <is>
          <t>MRE</t>
        </is>
      </c>
      <c r="N46" s="11" t="inlineStr"/>
      <c r="O46" s="11" t="inlineStr"/>
      <c r="P46" s="11" t="inlineStr"/>
      <c r="Q46" s="11" t="inlineStr"/>
      <c r="R46" s="11" t="inlineStr"/>
      <c r="S46" s="11" t="inlineStr"/>
    </row>
    <row r="47">
      <c r="B47" s="13" t="inlineStr">
        <is>
          <t>TR2(c)</t>
        </is>
      </c>
      <c r="C47" s="8" t="inlineStr"/>
      <c r="D47" s="8" t="inlineStr"/>
      <c r="E47" s="18" t="inlineStr">
        <is>
          <t>SDG 13 - Climate action</t>
        </is>
      </c>
      <c r="F47" s="8" t="inlineStr">
        <is>
          <t>%</t>
        </is>
      </c>
      <c r="G47" s="14" t="n"/>
      <c r="H47" s="14" t="n"/>
      <c r="I47" s="14" t="n"/>
      <c r="J47" s="14" t="n">
        <v>26</v>
      </c>
      <c r="K47" s="15" t="n"/>
      <c r="L47" s="8" t="inlineStr">
        <is>
          <t>Data held</t>
        </is>
      </c>
      <c r="M47" s="8" t="inlineStr">
        <is>
          <t>MRE</t>
        </is>
      </c>
      <c r="N47" s="11" t="inlineStr"/>
      <c r="O47" s="11" t="inlineStr"/>
      <c r="P47" s="11" t="inlineStr"/>
      <c r="Q47" s="11" t="inlineStr"/>
      <c r="R47" s="11" t="inlineStr"/>
      <c r="S47" s="11" t="inlineStr"/>
    </row>
    <row r="48">
      <c r="B48" s="13" t="inlineStr">
        <is>
          <t>TR2(c)</t>
        </is>
      </c>
      <c r="C48" s="8" t="inlineStr"/>
      <c r="D48" s="8" t="inlineStr"/>
      <c r="E48" s="18" t="inlineStr">
        <is>
          <t>SDG 14 - Life below water</t>
        </is>
      </c>
      <c r="F48" s="8" t="inlineStr">
        <is>
          <t>%</t>
        </is>
      </c>
      <c r="G48" s="14" t="n"/>
      <c r="H48" s="14" t="n"/>
      <c r="I48" s="14" t="n"/>
      <c r="J48" s="14" t="n">
        <v>20</v>
      </c>
      <c r="K48" s="15" t="n"/>
      <c r="L48" s="8" t="inlineStr">
        <is>
          <t>Data held</t>
        </is>
      </c>
      <c r="M48" s="8" t="inlineStr">
        <is>
          <t>MRE</t>
        </is>
      </c>
      <c r="N48" s="11" t="inlineStr"/>
      <c r="O48" s="11" t="inlineStr"/>
      <c r="P48" s="11" t="inlineStr"/>
      <c r="Q48" s="11" t="inlineStr"/>
      <c r="R48" s="11" t="inlineStr"/>
      <c r="S48" s="11" t="inlineStr"/>
    </row>
    <row r="49">
      <c r="B49" s="13" t="inlineStr">
        <is>
          <t>TR2(c)</t>
        </is>
      </c>
      <c r="C49" s="8" t="inlineStr"/>
      <c r="D49" s="8" t="inlineStr"/>
      <c r="E49" s="18" t="inlineStr">
        <is>
          <t>SDG 15 - Life on land</t>
        </is>
      </c>
      <c r="F49" s="8" t="inlineStr">
        <is>
          <t>%</t>
        </is>
      </c>
      <c r="G49" s="14" t="n"/>
      <c r="H49" s="14" t="n"/>
      <c r="I49" s="14" t="n"/>
      <c r="J49" s="14" t="n">
        <v>17</v>
      </c>
      <c r="K49" s="15" t="n"/>
      <c r="L49" s="8" t="inlineStr">
        <is>
          <t>Data held</t>
        </is>
      </c>
      <c r="M49" s="8" t="inlineStr">
        <is>
          <t>MRE</t>
        </is>
      </c>
      <c r="N49" s="11" t="inlineStr"/>
      <c r="O49" s="11" t="inlineStr"/>
      <c r="P49" s="11" t="inlineStr"/>
      <c r="Q49" s="11" t="inlineStr"/>
      <c r="R49" s="11" t="inlineStr"/>
      <c r="S49" s="11" t="inlineStr"/>
    </row>
    <row r="50">
      <c r="B50" s="13" t="inlineStr">
        <is>
          <t>TR2(c)</t>
        </is>
      </c>
      <c r="C50" s="8" t="inlineStr"/>
      <c r="D50" s="8" t="inlineStr"/>
      <c r="E50" s="18" t="inlineStr">
        <is>
          <t>SDG 16 - Peace, justice and strong institutions</t>
        </is>
      </c>
      <c r="F50" s="8" t="inlineStr">
        <is>
          <t>%</t>
        </is>
      </c>
      <c r="G50" s="14" t="n"/>
      <c r="H50" s="14" t="n"/>
      <c r="I50" s="14" t="n"/>
      <c r="J50" s="14" t="n">
        <v>20</v>
      </c>
      <c r="K50" s="15" t="n"/>
      <c r="L50" s="8" t="inlineStr">
        <is>
          <t>Data held</t>
        </is>
      </c>
      <c r="M50" s="8" t="inlineStr">
        <is>
          <t>MRE</t>
        </is>
      </c>
      <c r="N50" s="11" t="inlineStr"/>
      <c r="O50" s="11" t="inlineStr"/>
      <c r="P50" s="11" t="inlineStr"/>
      <c r="Q50" s="11" t="inlineStr"/>
      <c r="R50" s="11" t="inlineStr"/>
      <c r="S50" s="11" t="inlineStr"/>
    </row>
    <row r="51">
      <c r="B51" s="13" t="inlineStr">
        <is>
          <t>TR2(c)</t>
        </is>
      </c>
      <c r="C51" s="8" t="inlineStr"/>
      <c r="D51" s="8" t="inlineStr"/>
      <c r="E51" s="8" t="inlineStr">
        <is>
          <t>SDG-related research outputs mentioned in Patents</t>
        </is>
      </c>
      <c r="F51" s="8" t="inlineStr">
        <is>
          <t>#</t>
        </is>
      </c>
      <c r="G51" s="14" t="n"/>
      <c r="H51" s="14" t="n"/>
      <c r="I51" s="14" t="n"/>
      <c r="J51" s="14" t="n">
        <v>651</v>
      </c>
      <c r="K51" s="15" t="n"/>
      <c r="L51" s="8" t="inlineStr">
        <is>
          <t>Data held</t>
        </is>
      </c>
      <c r="M51" s="8" t="inlineStr">
        <is>
          <t>MRE</t>
        </is>
      </c>
      <c r="N51" s="11" t="inlineStr"/>
      <c r="O51" s="11" t="inlineStr"/>
      <c r="P51" s="11" t="inlineStr"/>
      <c r="Q51" s="11" t="inlineStr"/>
      <c r="R51" s="11" t="inlineStr"/>
      <c r="S51" s="11" t="inlineStr"/>
    </row>
    <row r="52">
      <c r="B52" s="13" t="inlineStr">
        <is>
          <t>TR2(c)</t>
        </is>
      </c>
      <c r="C52" s="8" t="inlineStr"/>
      <c r="D52" s="8" t="inlineStr"/>
      <c r="E52" s="18" t="inlineStr">
        <is>
          <t>SDG 1 - No Poverty</t>
        </is>
      </c>
      <c r="F52" s="8" t="inlineStr">
        <is>
          <t>#</t>
        </is>
      </c>
      <c r="G52" s="14" t="n"/>
      <c r="H52" s="14" t="n"/>
      <c r="I52" s="14" t="n"/>
      <c r="J52" s="14" t="n">
        <v>0</v>
      </c>
      <c r="K52" s="15" t="n"/>
      <c r="L52" s="8" t="inlineStr">
        <is>
          <t>Data held</t>
        </is>
      </c>
      <c r="M52" s="8" t="inlineStr">
        <is>
          <t>MRE</t>
        </is>
      </c>
      <c r="N52" s="11" t="inlineStr"/>
      <c r="O52" s="11" t="inlineStr"/>
      <c r="P52" s="11" t="inlineStr"/>
      <c r="Q52" s="11" t="inlineStr"/>
      <c r="R52" s="11" t="inlineStr"/>
      <c r="S52" s="11" t="inlineStr"/>
    </row>
    <row r="53">
      <c r="B53" s="13" t="inlineStr">
        <is>
          <t>TR2(c)</t>
        </is>
      </c>
      <c r="C53" s="8" t="inlineStr"/>
      <c r="D53" s="8" t="inlineStr"/>
      <c r="E53" s="18" t="inlineStr">
        <is>
          <t>SDG 2 - Zero Hunger</t>
        </is>
      </c>
      <c r="F53" s="8" t="inlineStr">
        <is>
          <t>#</t>
        </is>
      </c>
      <c r="G53" s="14" t="n"/>
      <c r="H53" s="14" t="n"/>
      <c r="I53" s="14" t="n"/>
      <c r="J53" s="14" t="n">
        <v>6</v>
      </c>
      <c r="K53" s="15" t="n"/>
      <c r="L53" s="8" t="inlineStr">
        <is>
          <t>Data held</t>
        </is>
      </c>
      <c r="M53" s="8" t="inlineStr">
        <is>
          <t>MRE</t>
        </is>
      </c>
      <c r="N53" s="11" t="inlineStr"/>
      <c r="O53" s="11" t="inlineStr"/>
      <c r="P53" s="11" t="inlineStr"/>
      <c r="Q53" s="11" t="inlineStr"/>
      <c r="R53" s="11" t="inlineStr"/>
      <c r="S53" s="11" t="inlineStr"/>
    </row>
    <row r="54">
      <c r="B54" s="13" t="inlineStr">
        <is>
          <t>TR2(c)</t>
        </is>
      </c>
      <c r="C54" s="8" t="inlineStr"/>
      <c r="D54" s="8" t="inlineStr"/>
      <c r="E54" s="18" t="inlineStr">
        <is>
          <t>SDG 3 - Good health and well-being</t>
        </is>
      </c>
      <c r="F54" s="8" t="inlineStr">
        <is>
          <t>#</t>
        </is>
      </c>
      <c r="G54" s="14" t="n"/>
      <c r="H54" s="14" t="n"/>
      <c r="I54" s="14" t="n"/>
      <c r="J54" s="14" t="n">
        <v>564</v>
      </c>
      <c r="K54" s="15" t="n"/>
      <c r="L54" s="8" t="inlineStr">
        <is>
          <t>Data held</t>
        </is>
      </c>
      <c r="M54" s="8" t="inlineStr">
        <is>
          <t>MRE</t>
        </is>
      </c>
      <c r="N54" s="11" t="inlineStr"/>
      <c r="O54" s="11" t="inlineStr"/>
      <c r="P54" s="11" t="inlineStr"/>
      <c r="Q54" s="11" t="inlineStr"/>
      <c r="R54" s="11" t="inlineStr"/>
      <c r="S54" s="11" t="inlineStr"/>
    </row>
    <row r="55">
      <c r="B55" s="13" t="inlineStr">
        <is>
          <t>TR2(c)</t>
        </is>
      </c>
      <c r="C55" s="8" t="inlineStr"/>
      <c r="D55" s="8" t="inlineStr"/>
      <c r="E55" s="18" t="inlineStr">
        <is>
          <t>SDG 4 - Quality Education</t>
        </is>
      </c>
      <c r="F55" s="8" t="inlineStr">
        <is>
          <t>#</t>
        </is>
      </c>
      <c r="G55" s="14" t="n"/>
      <c r="H55" s="14" t="n"/>
      <c r="I55" s="14" t="n"/>
      <c r="J55" s="14" t="n">
        <v>7</v>
      </c>
      <c r="K55" s="15" t="n"/>
      <c r="L55" s="8" t="inlineStr">
        <is>
          <t>Data held</t>
        </is>
      </c>
      <c r="M55" s="8" t="inlineStr">
        <is>
          <t>MRE</t>
        </is>
      </c>
      <c r="N55" s="11" t="inlineStr"/>
      <c r="O55" s="11" t="inlineStr"/>
      <c r="P55" s="11" t="inlineStr"/>
      <c r="Q55" s="11" t="inlineStr"/>
      <c r="R55" s="11" t="inlineStr"/>
      <c r="S55" s="11" t="inlineStr"/>
    </row>
    <row r="56">
      <c r="B56" s="13" t="inlineStr">
        <is>
          <t>TR2(c)</t>
        </is>
      </c>
      <c r="C56" s="8" t="inlineStr"/>
      <c r="D56" s="8" t="inlineStr"/>
      <c r="E56" s="18" t="inlineStr">
        <is>
          <t>SDG 5 - Gender Equality</t>
        </is>
      </c>
      <c r="F56" s="8" t="inlineStr">
        <is>
          <t>#</t>
        </is>
      </c>
      <c r="G56" s="14" t="n"/>
      <c r="H56" s="14" t="n"/>
      <c r="I56" s="14" t="n"/>
      <c r="J56" s="14" t="n">
        <v>0</v>
      </c>
      <c r="K56" s="15" t="n"/>
      <c r="L56" s="8" t="inlineStr">
        <is>
          <t>Data held</t>
        </is>
      </c>
      <c r="M56" s="8" t="inlineStr">
        <is>
          <t>MRE</t>
        </is>
      </c>
      <c r="N56" s="11" t="inlineStr"/>
      <c r="O56" s="11" t="inlineStr"/>
      <c r="P56" s="11" t="inlineStr"/>
      <c r="Q56" s="11" t="inlineStr"/>
      <c r="R56" s="11" t="inlineStr"/>
      <c r="S56" s="11" t="inlineStr"/>
    </row>
    <row r="57">
      <c r="B57" s="13" t="inlineStr">
        <is>
          <t>TR2(c)</t>
        </is>
      </c>
      <c r="C57" s="8" t="inlineStr"/>
      <c r="D57" s="8" t="inlineStr"/>
      <c r="E57" s="18" t="inlineStr">
        <is>
          <t>SDG 6 - Clean water and sanitation</t>
        </is>
      </c>
      <c r="F57" s="8" t="inlineStr">
        <is>
          <t>#</t>
        </is>
      </c>
      <c r="G57" s="14" t="n"/>
      <c r="H57" s="14" t="n"/>
      <c r="I57" s="14" t="n"/>
      <c r="J57" s="14" t="n">
        <v>1</v>
      </c>
      <c r="K57" s="15" t="n"/>
      <c r="L57" s="8" t="inlineStr">
        <is>
          <t>Data held</t>
        </is>
      </c>
      <c r="M57" s="8" t="inlineStr">
        <is>
          <t>MRE</t>
        </is>
      </c>
      <c r="N57" s="11" t="inlineStr"/>
      <c r="O57" s="11" t="inlineStr"/>
      <c r="P57" s="11" t="inlineStr"/>
      <c r="Q57" s="11" t="inlineStr"/>
      <c r="R57" s="11" t="inlineStr"/>
      <c r="S57" s="11" t="inlineStr"/>
    </row>
    <row r="58">
      <c r="B58" s="13" t="inlineStr">
        <is>
          <t>TR2(c)</t>
        </is>
      </c>
      <c r="C58" s="8" t="inlineStr"/>
      <c r="D58" s="8" t="inlineStr"/>
      <c r="E58" s="18" t="inlineStr">
        <is>
          <t>SDG 7 - Affordable and clean energy</t>
        </is>
      </c>
      <c r="F58" s="8" t="inlineStr">
        <is>
          <t>#</t>
        </is>
      </c>
      <c r="G58" s="14" t="n"/>
      <c r="H58" s="14" t="n"/>
      <c r="I58" s="14" t="n"/>
      <c r="J58" s="14" t="n">
        <v>34</v>
      </c>
      <c r="K58" s="15" t="n"/>
      <c r="L58" s="8" t="inlineStr">
        <is>
          <t>Data held</t>
        </is>
      </c>
      <c r="M58" s="8" t="inlineStr">
        <is>
          <t>MRE</t>
        </is>
      </c>
      <c r="N58" s="11" t="inlineStr"/>
      <c r="O58" s="11" t="inlineStr"/>
      <c r="P58" s="11" t="inlineStr"/>
      <c r="Q58" s="11" t="inlineStr"/>
      <c r="R58" s="11" t="inlineStr"/>
      <c r="S58" s="11" t="inlineStr"/>
    </row>
    <row r="59">
      <c r="B59" s="13" t="inlineStr">
        <is>
          <t>TR2(c)</t>
        </is>
      </c>
      <c r="C59" s="8" t="inlineStr"/>
      <c r="D59" s="8" t="inlineStr"/>
      <c r="E59" s="18" t="inlineStr">
        <is>
          <t>SDG 8 - Decent work and economic growth</t>
        </is>
      </c>
      <c r="F59" s="8" t="inlineStr">
        <is>
          <t>#</t>
        </is>
      </c>
      <c r="G59" s="14" t="n"/>
      <c r="H59" s="14" t="n"/>
      <c r="I59" s="14" t="n"/>
      <c r="J59" s="14" t="n">
        <v>0</v>
      </c>
      <c r="K59" s="15" t="n"/>
      <c r="L59" s="8" t="inlineStr">
        <is>
          <t>Data held</t>
        </is>
      </c>
      <c r="M59" s="8" t="inlineStr">
        <is>
          <t>MRE</t>
        </is>
      </c>
      <c r="N59" s="11" t="inlineStr"/>
      <c r="O59" s="11" t="inlineStr"/>
      <c r="P59" s="11" t="inlineStr"/>
      <c r="Q59" s="11" t="inlineStr"/>
      <c r="R59" s="11" t="inlineStr"/>
      <c r="S59" s="11" t="inlineStr"/>
    </row>
    <row r="60">
      <c r="B60" s="13" t="inlineStr">
        <is>
          <t>TR2(c)</t>
        </is>
      </c>
      <c r="C60" s="8" t="inlineStr"/>
      <c r="D60" s="8" t="inlineStr"/>
      <c r="E60" s="18" t="inlineStr">
        <is>
          <t>SDG 9 - Industry, innovation and infrastructure</t>
        </is>
      </c>
      <c r="F60" s="8" t="inlineStr">
        <is>
          <t>#</t>
        </is>
      </c>
      <c r="G60" s="14" t="n"/>
      <c r="H60" s="14" t="n"/>
      <c r="I60" s="14" t="n"/>
      <c r="J60" s="14" t="n">
        <v>1</v>
      </c>
      <c r="K60" s="15" t="n"/>
      <c r="L60" s="8" t="inlineStr">
        <is>
          <t>Data held</t>
        </is>
      </c>
      <c r="M60" s="8" t="inlineStr">
        <is>
          <t>MRE</t>
        </is>
      </c>
      <c r="N60" s="11" t="inlineStr"/>
      <c r="O60" s="11" t="inlineStr"/>
      <c r="P60" s="11" t="inlineStr"/>
      <c r="Q60" s="11" t="inlineStr"/>
      <c r="R60" s="11" t="inlineStr"/>
      <c r="S60" s="11" t="inlineStr"/>
    </row>
    <row r="61">
      <c r="B61" s="13" t="inlineStr">
        <is>
          <t>TR2(c)</t>
        </is>
      </c>
      <c r="C61" s="8" t="inlineStr"/>
      <c r="D61" s="8" t="inlineStr"/>
      <c r="E61" s="18" t="inlineStr">
        <is>
          <t>SDG 10 - Reduced inequality</t>
        </is>
      </c>
      <c r="F61" s="8" t="inlineStr">
        <is>
          <t>#</t>
        </is>
      </c>
      <c r="G61" s="14" t="n"/>
      <c r="H61" s="14" t="n"/>
      <c r="I61" s="14" t="n"/>
      <c r="J61" s="14" t="n">
        <v>1</v>
      </c>
      <c r="K61" s="15" t="n"/>
      <c r="L61" s="8" t="inlineStr">
        <is>
          <t>Data held</t>
        </is>
      </c>
      <c r="M61" s="8" t="inlineStr">
        <is>
          <t>MRE</t>
        </is>
      </c>
      <c r="N61" s="11" t="inlineStr"/>
      <c r="O61" s="11" t="inlineStr"/>
      <c r="P61" s="11" t="inlineStr"/>
      <c r="Q61" s="11" t="inlineStr"/>
      <c r="R61" s="11" t="inlineStr"/>
      <c r="S61" s="11" t="inlineStr"/>
    </row>
    <row r="62">
      <c r="B62" s="13" t="inlineStr">
        <is>
          <t>TR2(c)</t>
        </is>
      </c>
      <c r="C62" s="8" t="inlineStr"/>
      <c r="D62" s="8" t="inlineStr"/>
      <c r="E62" s="18" t="inlineStr">
        <is>
          <t>SDG 11 - Sustainable cities and communities</t>
        </is>
      </c>
      <c r="F62" s="8" t="inlineStr">
        <is>
          <t>#</t>
        </is>
      </c>
      <c r="G62" s="14" t="n"/>
      <c r="H62" s="14" t="n"/>
      <c r="I62" s="14" t="n"/>
      <c r="J62" s="14" t="n">
        <v>6</v>
      </c>
      <c r="K62" s="15" t="n"/>
      <c r="L62" s="8" t="inlineStr">
        <is>
          <t>Data held</t>
        </is>
      </c>
      <c r="M62" s="8" t="inlineStr">
        <is>
          <t>MRE</t>
        </is>
      </c>
      <c r="N62" s="11" t="inlineStr"/>
      <c r="O62" s="11" t="inlineStr"/>
      <c r="P62" s="11" t="inlineStr"/>
      <c r="Q62" s="11" t="inlineStr"/>
      <c r="R62" s="11" t="inlineStr"/>
      <c r="S62" s="11" t="inlineStr"/>
    </row>
    <row r="63">
      <c r="B63" s="13" t="inlineStr">
        <is>
          <t>TR2(c)</t>
        </is>
      </c>
      <c r="C63" s="8" t="inlineStr"/>
      <c r="D63" s="8" t="inlineStr"/>
      <c r="E63" s="18" t="inlineStr">
        <is>
          <t>SDG 12 - Responsible consumption and production</t>
        </is>
      </c>
      <c r="F63" s="8" t="inlineStr">
        <is>
          <t>#</t>
        </is>
      </c>
      <c r="G63" s="14" t="n"/>
      <c r="H63" s="14" t="n"/>
      <c r="I63" s="14" t="n"/>
      <c r="J63" s="14" t="n">
        <v>8</v>
      </c>
      <c r="K63" s="15" t="n"/>
      <c r="L63" s="8" t="inlineStr">
        <is>
          <t>Data held</t>
        </is>
      </c>
      <c r="M63" s="8" t="inlineStr">
        <is>
          <t>MRE</t>
        </is>
      </c>
      <c r="N63" s="11" t="inlineStr"/>
      <c r="O63" s="11" t="inlineStr"/>
      <c r="P63" s="11" t="inlineStr"/>
      <c r="Q63" s="11" t="inlineStr"/>
      <c r="R63" s="11" t="inlineStr"/>
      <c r="S63" s="11" t="inlineStr"/>
    </row>
    <row r="64">
      <c r="B64" s="13" t="inlineStr">
        <is>
          <t>TR2(c)</t>
        </is>
      </c>
      <c r="C64" s="8" t="inlineStr"/>
      <c r="D64" s="8" t="inlineStr"/>
      <c r="E64" s="18" t="inlineStr">
        <is>
          <t>SDG 13 - Climate action</t>
        </is>
      </c>
      <c r="F64" s="8" t="inlineStr">
        <is>
          <t>#</t>
        </is>
      </c>
      <c r="G64" s="14" t="n"/>
      <c r="H64" s="14" t="n"/>
      <c r="I64" s="14" t="n"/>
      <c r="J64" s="14" t="n">
        <v>15</v>
      </c>
      <c r="K64" s="15" t="n"/>
      <c r="L64" s="8" t="inlineStr">
        <is>
          <t>Data held</t>
        </is>
      </c>
      <c r="M64" s="8" t="inlineStr">
        <is>
          <t>MRE</t>
        </is>
      </c>
      <c r="N64" s="11" t="inlineStr"/>
      <c r="O64" s="11" t="inlineStr"/>
      <c r="P64" s="11" t="inlineStr"/>
      <c r="Q64" s="11" t="inlineStr"/>
      <c r="R64" s="11" t="inlineStr"/>
      <c r="S64" s="11" t="inlineStr"/>
    </row>
    <row r="65">
      <c r="B65" s="13" t="inlineStr">
        <is>
          <t>TR2(c)</t>
        </is>
      </c>
      <c r="C65" s="8" t="inlineStr"/>
      <c r="D65" s="8" t="inlineStr"/>
      <c r="E65" s="18" t="inlineStr">
        <is>
          <t>SDG 14 - Life below water</t>
        </is>
      </c>
      <c r="F65" s="8" t="inlineStr">
        <is>
          <t>#</t>
        </is>
      </c>
      <c r="G65" s="14" t="n"/>
      <c r="H65" s="14" t="n"/>
      <c r="I65" s="14" t="n"/>
      <c r="J65" s="14" t="n">
        <v>3</v>
      </c>
      <c r="K65" s="15" t="n"/>
      <c r="L65" s="8" t="inlineStr">
        <is>
          <t>Data held</t>
        </is>
      </c>
      <c r="M65" s="8" t="inlineStr">
        <is>
          <t>MRE</t>
        </is>
      </c>
      <c r="N65" s="11" t="inlineStr"/>
      <c r="O65" s="11" t="inlineStr"/>
      <c r="P65" s="11" t="inlineStr"/>
      <c r="Q65" s="11" t="inlineStr"/>
      <c r="R65" s="11" t="inlineStr"/>
      <c r="S65" s="11" t="inlineStr"/>
    </row>
    <row r="66">
      <c r="B66" s="13" t="inlineStr">
        <is>
          <t>TR2(c)</t>
        </is>
      </c>
      <c r="C66" s="8" t="inlineStr"/>
      <c r="D66" s="8" t="inlineStr"/>
      <c r="E66" s="18" t="inlineStr">
        <is>
          <t>SDG 15 - Life on land</t>
        </is>
      </c>
      <c r="F66" s="8" t="inlineStr">
        <is>
          <t>#</t>
        </is>
      </c>
      <c r="G66" s="14" t="n"/>
      <c r="H66" s="14" t="n"/>
      <c r="I66" s="14" t="n"/>
      <c r="J66" s="14" t="n">
        <v>5</v>
      </c>
      <c r="K66" s="15" t="n"/>
      <c r="L66" s="8" t="inlineStr">
        <is>
          <t>Data held</t>
        </is>
      </c>
      <c r="M66" s="8" t="inlineStr">
        <is>
          <t>MRE</t>
        </is>
      </c>
      <c r="N66" s="11" t="inlineStr"/>
      <c r="O66" s="11" t="inlineStr"/>
      <c r="P66" s="11" t="inlineStr"/>
      <c r="Q66" s="11" t="inlineStr"/>
      <c r="R66" s="11" t="inlineStr"/>
      <c r="S66" s="11" t="inlineStr"/>
    </row>
    <row r="67">
      <c r="B67" s="13" t="inlineStr">
        <is>
          <t>TR2(c)</t>
        </is>
      </c>
      <c r="C67" s="8" t="inlineStr"/>
      <c r="D67" s="8" t="inlineStr"/>
      <c r="E67" s="18" t="inlineStr">
        <is>
          <t>SDG 16 - Peace, justice and strong institutions</t>
        </is>
      </c>
      <c r="F67" s="8" t="inlineStr">
        <is>
          <t>#</t>
        </is>
      </c>
      <c r="G67" s="14" t="n"/>
      <c r="H67" s="14" t="n"/>
      <c r="I67" s="14" t="n"/>
      <c r="J67" s="14" t="n">
        <v>0</v>
      </c>
      <c r="K67" s="15" t="n"/>
      <c r="L67" s="8" t="inlineStr">
        <is>
          <t>Data held</t>
        </is>
      </c>
      <c r="M67" s="8" t="inlineStr">
        <is>
          <t>MRE</t>
        </is>
      </c>
      <c r="N67" s="11" t="inlineStr"/>
      <c r="O67" s="11" t="inlineStr"/>
      <c r="P67" s="11" t="inlineStr"/>
      <c r="Q67" s="11" t="inlineStr"/>
      <c r="R67" s="11" t="inlineStr"/>
      <c r="S67" s="11" t="inlineStr"/>
    </row>
    <row r="68">
      <c r="B68" s="13" t="inlineStr">
        <is>
          <t>TR2(c)</t>
        </is>
      </c>
      <c r="C68" s="8" t="inlineStr"/>
      <c r="D68" s="8" t="inlineStr"/>
      <c r="E68" s="18" t="inlineStr">
        <is>
          <t>SDG 17 - Partnerships</t>
        </is>
      </c>
      <c r="F68" s="8" t="inlineStr">
        <is>
          <t>#</t>
        </is>
      </c>
      <c r="G68" s="14" t="n"/>
      <c r="H68" s="14" t="n"/>
      <c r="I68" s="14" t="n"/>
      <c r="J68" s="14" t="n">
        <v>0</v>
      </c>
      <c r="K68" s="15" t="n"/>
      <c r="L68" s="8" t="inlineStr">
        <is>
          <t>Data held</t>
        </is>
      </c>
      <c r="M68" s="8" t="inlineStr">
        <is>
          <t>MRE</t>
        </is>
      </c>
      <c r="N68" s="11" t="inlineStr"/>
      <c r="O68" s="11" t="inlineStr"/>
      <c r="P68" s="11" t="inlineStr"/>
      <c r="Q68" s="11" t="inlineStr"/>
      <c r="R68" s="11" t="inlineStr"/>
      <c r="S68" s="11" t="inlineStr"/>
    </row>
    <row r="69">
      <c r="B69" s="13" t="inlineStr">
        <is>
          <t>TR2(c)</t>
        </is>
      </c>
      <c r="C69" s="8" t="inlineStr"/>
      <c r="D69" s="8" t="inlineStr"/>
      <c r="E69" s="8" t="inlineStr">
        <is>
          <t>SDG-related research outputs mentioned in Policy and related documents</t>
        </is>
      </c>
      <c r="F69" s="8" t="inlineStr">
        <is>
          <t>#</t>
        </is>
      </c>
      <c r="G69" s="14" t="n"/>
      <c r="H69" s="14" t="n"/>
      <c r="I69" s="14" t="n"/>
      <c r="J69" s="14" t="n">
        <v>1256</v>
      </c>
      <c r="K69" s="15" t="n"/>
      <c r="L69" s="8" t="inlineStr">
        <is>
          <t>Data held</t>
        </is>
      </c>
      <c r="M69" s="8" t="inlineStr">
        <is>
          <t>MRE</t>
        </is>
      </c>
      <c r="N69" s="11" t="inlineStr"/>
      <c r="O69" s="11" t="inlineStr"/>
      <c r="P69" s="11" t="inlineStr"/>
      <c r="Q69" s="11" t="inlineStr"/>
      <c r="R69" s="11" t="inlineStr"/>
      <c r="S69" s="11" t="inlineStr"/>
    </row>
    <row r="70">
      <c r="B70" s="13" t="inlineStr">
        <is>
          <t>TR2(c)</t>
        </is>
      </c>
      <c r="C70" s="8" t="inlineStr"/>
      <c r="D70" s="8" t="inlineStr"/>
      <c r="E70" s="18" t="inlineStr">
        <is>
          <t>SDG 1 - No Poverty</t>
        </is>
      </c>
      <c r="F70" s="8" t="inlineStr">
        <is>
          <t>#</t>
        </is>
      </c>
      <c r="G70" s="14" t="n"/>
      <c r="H70" s="14" t="n"/>
      <c r="I70" s="14" t="n"/>
      <c r="J70" s="14" t="n">
        <v>6</v>
      </c>
      <c r="K70" s="15" t="n"/>
      <c r="L70" s="8" t="inlineStr">
        <is>
          <t>Data held</t>
        </is>
      </c>
      <c r="M70" s="8" t="inlineStr">
        <is>
          <t>MRE</t>
        </is>
      </c>
      <c r="N70" s="11" t="inlineStr"/>
      <c r="O70" s="11" t="inlineStr"/>
      <c r="P70" s="11" t="inlineStr"/>
      <c r="Q70" s="11" t="inlineStr"/>
      <c r="R70" s="11" t="inlineStr"/>
      <c r="S70" s="11" t="inlineStr"/>
    </row>
    <row r="71">
      <c r="B71" s="13" t="inlineStr">
        <is>
          <t>TR2(c)</t>
        </is>
      </c>
      <c r="C71" s="8" t="inlineStr"/>
      <c r="D71" s="8" t="inlineStr"/>
      <c r="E71" s="18" t="inlineStr">
        <is>
          <t>SDG 2 - Zero Hunger</t>
        </is>
      </c>
      <c r="F71" s="8" t="inlineStr">
        <is>
          <t>#</t>
        </is>
      </c>
      <c r="G71" s="14" t="n"/>
      <c r="H71" s="14" t="n"/>
      <c r="I71" s="14" t="n"/>
      <c r="J71" s="14" t="n">
        <v>32</v>
      </c>
      <c r="K71" s="15" t="n"/>
      <c r="L71" s="8" t="inlineStr">
        <is>
          <t>Data held</t>
        </is>
      </c>
      <c r="M71" s="8" t="inlineStr">
        <is>
          <t>MRE</t>
        </is>
      </c>
      <c r="N71" s="11" t="inlineStr"/>
      <c r="O71" s="11" t="inlineStr"/>
      <c r="P71" s="11" t="inlineStr"/>
      <c r="Q71" s="11" t="inlineStr"/>
      <c r="R71" s="11" t="inlineStr"/>
      <c r="S71" s="11" t="inlineStr"/>
    </row>
    <row r="72">
      <c r="B72" s="13" t="inlineStr">
        <is>
          <t>TR2(c)</t>
        </is>
      </c>
      <c r="C72" s="8" t="inlineStr"/>
      <c r="D72" s="8" t="inlineStr"/>
      <c r="E72" s="18" t="inlineStr">
        <is>
          <t>SDG 3 - Good health and well-being</t>
        </is>
      </c>
      <c r="F72" s="8" t="inlineStr">
        <is>
          <t>#</t>
        </is>
      </c>
      <c r="G72" s="14" t="n"/>
      <c r="H72" s="14" t="n"/>
      <c r="I72" s="14" t="n"/>
      <c r="J72" s="14" t="n">
        <v>676</v>
      </c>
      <c r="K72" s="15" t="n"/>
      <c r="L72" s="8" t="inlineStr">
        <is>
          <t>Data held</t>
        </is>
      </c>
      <c r="M72" s="8" t="inlineStr">
        <is>
          <t>MRE</t>
        </is>
      </c>
      <c r="N72" s="11" t="inlineStr"/>
      <c r="O72" s="11" t="inlineStr"/>
      <c r="P72" s="11" t="inlineStr"/>
      <c r="Q72" s="11" t="inlineStr"/>
      <c r="R72" s="11" t="inlineStr"/>
      <c r="S72" s="11" t="inlineStr"/>
    </row>
    <row r="73">
      <c r="B73" s="13" t="inlineStr">
        <is>
          <t>TR2(c)</t>
        </is>
      </c>
      <c r="C73" s="8" t="inlineStr"/>
      <c r="D73" s="8" t="inlineStr"/>
      <c r="E73" s="18" t="inlineStr">
        <is>
          <t>SDG 4 - Quality Education</t>
        </is>
      </c>
      <c r="F73" s="8" t="inlineStr">
        <is>
          <t>#</t>
        </is>
      </c>
      <c r="G73" s="14" t="n"/>
      <c r="H73" s="14" t="n"/>
      <c r="I73" s="14" t="n"/>
      <c r="J73" s="14" t="n">
        <v>48</v>
      </c>
      <c r="K73" s="15" t="n"/>
      <c r="L73" s="8" t="inlineStr">
        <is>
          <t>Data held</t>
        </is>
      </c>
      <c r="M73" s="8" t="inlineStr">
        <is>
          <t>MRE</t>
        </is>
      </c>
      <c r="N73" s="11" t="inlineStr"/>
      <c r="O73" s="11" t="inlineStr"/>
      <c r="P73" s="11" t="inlineStr"/>
      <c r="Q73" s="11" t="inlineStr"/>
      <c r="R73" s="11" t="inlineStr"/>
      <c r="S73" s="11" t="inlineStr"/>
    </row>
    <row r="74">
      <c r="B74" s="13" t="inlineStr">
        <is>
          <t>TR2(c)</t>
        </is>
      </c>
      <c r="C74" s="8" t="inlineStr"/>
      <c r="D74" s="8" t="inlineStr"/>
      <c r="E74" s="18" t="inlineStr">
        <is>
          <t>SDG 5 - Gender Equality</t>
        </is>
      </c>
      <c r="F74" s="8" t="inlineStr">
        <is>
          <t>#</t>
        </is>
      </c>
      <c r="G74" s="14" t="n"/>
      <c r="H74" s="14" t="n"/>
      <c r="I74" s="14" t="n"/>
      <c r="J74" s="14" t="n">
        <v>30</v>
      </c>
      <c r="K74" s="15" t="n"/>
      <c r="L74" s="8" t="inlineStr">
        <is>
          <t>Data held</t>
        </is>
      </c>
      <c r="M74" s="8" t="inlineStr">
        <is>
          <t>MRE</t>
        </is>
      </c>
      <c r="N74" s="11" t="inlineStr"/>
      <c r="O74" s="11" t="inlineStr"/>
      <c r="P74" s="11" t="inlineStr"/>
      <c r="Q74" s="11" t="inlineStr"/>
      <c r="R74" s="11" t="inlineStr"/>
      <c r="S74" s="11" t="inlineStr"/>
    </row>
    <row r="75">
      <c r="B75" s="13" t="inlineStr">
        <is>
          <t>TR2(c)</t>
        </is>
      </c>
      <c r="C75" s="8" t="inlineStr"/>
      <c r="D75" s="8" t="inlineStr"/>
      <c r="E75" s="18" t="inlineStr">
        <is>
          <t>SDG 6 - Clean water and sanitation</t>
        </is>
      </c>
      <c r="F75" s="8" t="inlineStr">
        <is>
          <t>#</t>
        </is>
      </c>
      <c r="G75" s="14" t="n"/>
      <c r="H75" s="14" t="n"/>
      <c r="I75" s="14" t="n"/>
      <c r="J75" s="14" t="n">
        <v>32</v>
      </c>
      <c r="K75" s="15" t="n"/>
      <c r="L75" s="8" t="inlineStr">
        <is>
          <t>Data held</t>
        </is>
      </c>
      <c r="M75" s="8" t="inlineStr">
        <is>
          <t>MRE</t>
        </is>
      </c>
      <c r="N75" s="11" t="inlineStr"/>
      <c r="O75" s="11" t="inlineStr"/>
      <c r="P75" s="11" t="inlineStr"/>
      <c r="Q75" s="11" t="inlineStr"/>
      <c r="R75" s="11" t="inlineStr"/>
      <c r="S75" s="11" t="inlineStr"/>
    </row>
    <row r="76">
      <c r="B76" s="13" t="inlineStr">
        <is>
          <t>TR2(c)</t>
        </is>
      </c>
      <c r="C76" s="8" t="inlineStr"/>
      <c r="D76" s="8" t="inlineStr"/>
      <c r="E76" s="18" t="inlineStr">
        <is>
          <t>SDG 7 - Affordable and clean energy</t>
        </is>
      </c>
      <c r="F76" s="8" t="inlineStr">
        <is>
          <t>#</t>
        </is>
      </c>
      <c r="G76" s="14" t="n"/>
      <c r="H76" s="14" t="n"/>
      <c r="I76" s="14" t="n"/>
      <c r="J76" s="14" t="n">
        <v>12</v>
      </c>
      <c r="K76" s="15" t="n"/>
      <c r="L76" s="8" t="inlineStr">
        <is>
          <t>Data held</t>
        </is>
      </c>
      <c r="M76" s="8" t="inlineStr">
        <is>
          <t>MRE</t>
        </is>
      </c>
      <c r="N76" s="11" t="inlineStr"/>
      <c r="O76" s="11" t="inlineStr"/>
      <c r="P76" s="11" t="inlineStr"/>
      <c r="Q76" s="11" t="inlineStr"/>
      <c r="R76" s="11" t="inlineStr"/>
      <c r="S76" s="11" t="inlineStr"/>
    </row>
    <row r="77">
      <c r="B77" s="13" t="inlineStr">
        <is>
          <t>TR2(c)</t>
        </is>
      </c>
      <c r="C77" s="8" t="inlineStr"/>
      <c r="D77" s="8" t="inlineStr"/>
      <c r="E77" s="18" t="inlineStr">
        <is>
          <t>SDG 8 - Decent work and economic growth</t>
        </is>
      </c>
      <c r="F77" s="8" t="inlineStr">
        <is>
          <t>#</t>
        </is>
      </c>
      <c r="G77" s="14" t="n"/>
      <c r="H77" s="14" t="n"/>
      <c r="I77" s="14" t="n"/>
      <c r="J77" s="14" t="n">
        <v>31</v>
      </c>
      <c r="K77" s="15" t="n"/>
      <c r="L77" s="8" t="inlineStr">
        <is>
          <t>Data held</t>
        </is>
      </c>
      <c r="M77" s="8" t="inlineStr">
        <is>
          <t>MRE</t>
        </is>
      </c>
      <c r="N77" s="11" t="inlineStr"/>
      <c r="O77" s="11" t="inlineStr"/>
      <c r="P77" s="11" t="inlineStr"/>
      <c r="Q77" s="11" t="inlineStr"/>
      <c r="R77" s="11" t="inlineStr"/>
      <c r="S77" s="11" t="inlineStr"/>
    </row>
    <row r="78">
      <c r="B78" s="13" t="inlineStr">
        <is>
          <t>TR2(c)</t>
        </is>
      </c>
      <c r="C78" s="8" t="inlineStr"/>
      <c r="D78" s="8" t="inlineStr"/>
      <c r="E78" s="18" t="inlineStr">
        <is>
          <t>SDG 9 - Industry, innovation and infrastructure</t>
        </is>
      </c>
      <c r="F78" s="8" t="inlineStr">
        <is>
          <t>#</t>
        </is>
      </c>
      <c r="G78" s="14" t="n"/>
      <c r="H78" s="14" t="n"/>
      <c r="I78" s="14" t="n"/>
      <c r="J78" s="14" t="n">
        <v>1</v>
      </c>
      <c r="K78" s="15" t="n"/>
      <c r="L78" s="8" t="inlineStr">
        <is>
          <t>Data held</t>
        </is>
      </c>
      <c r="M78" s="8" t="inlineStr">
        <is>
          <t>MRE</t>
        </is>
      </c>
      <c r="N78" s="11" t="inlineStr"/>
      <c r="O78" s="11" t="inlineStr"/>
      <c r="P78" s="11" t="inlineStr"/>
      <c r="Q78" s="11" t="inlineStr"/>
      <c r="R78" s="11" t="inlineStr"/>
      <c r="S78" s="11" t="inlineStr"/>
    </row>
    <row r="79">
      <c r="B79" s="13" t="inlineStr">
        <is>
          <t>TR2(c)</t>
        </is>
      </c>
      <c r="C79" s="8" t="inlineStr"/>
      <c r="D79" s="8" t="inlineStr"/>
      <c r="E79" s="18" t="inlineStr">
        <is>
          <t>SDG 10 - Reduced inequality</t>
        </is>
      </c>
      <c r="F79" s="8" t="inlineStr">
        <is>
          <t>#</t>
        </is>
      </c>
      <c r="G79" s="14" t="n"/>
      <c r="H79" s="14" t="n"/>
      <c r="I79" s="14" t="n"/>
      <c r="J79" s="14" t="n">
        <v>29</v>
      </c>
      <c r="K79" s="15" t="n"/>
      <c r="L79" s="8" t="inlineStr">
        <is>
          <t>Data held</t>
        </is>
      </c>
      <c r="M79" s="8" t="inlineStr">
        <is>
          <t>MRE</t>
        </is>
      </c>
      <c r="N79" s="11" t="inlineStr"/>
      <c r="O79" s="11" t="inlineStr"/>
      <c r="P79" s="11" t="inlineStr"/>
      <c r="Q79" s="11" t="inlineStr"/>
      <c r="R79" s="11" t="inlineStr"/>
      <c r="S79" s="11" t="inlineStr"/>
    </row>
    <row r="80">
      <c r="B80" s="13" t="inlineStr">
        <is>
          <t>TR2(c)</t>
        </is>
      </c>
      <c r="C80" s="8" t="inlineStr"/>
      <c r="D80" s="8" t="inlineStr"/>
      <c r="E80" s="18" t="inlineStr">
        <is>
          <t>SDG 11 - Sustainable cities and communities</t>
        </is>
      </c>
      <c r="F80" s="8" t="inlineStr">
        <is>
          <t>#</t>
        </is>
      </c>
      <c r="G80" s="14" t="n"/>
      <c r="H80" s="14" t="n"/>
      <c r="I80" s="14" t="n"/>
      <c r="J80" s="14" t="n">
        <v>27</v>
      </c>
      <c r="K80" s="15" t="n"/>
      <c r="L80" s="8" t="inlineStr">
        <is>
          <t>Data held</t>
        </is>
      </c>
      <c r="M80" s="8" t="inlineStr">
        <is>
          <t>MRE</t>
        </is>
      </c>
      <c r="N80" s="11" t="inlineStr"/>
      <c r="O80" s="11" t="inlineStr"/>
      <c r="P80" s="11" t="inlineStr"/>
      <c r="Q80" s="11" t="inlineStr"/>
      <c r="R80" s="11" t="inlineStr"/>
      <c r="S80" s="11" t="inlineStr"/>
    </row>
    <row r="81">
      <c r="B81" s="13" t="inlineStr">
        <is>
          <t>TR2(c)</t>
        </is>
      </c>
      <c r="C81" s="8" t="inlineStr"/>
      <c r="D81" s="8" t="inlineStr"/>
      <c r="E81" s="18" t="inlineStr">
        <is>
          <t>SDG 12 - Responsible consumption and production</t>
        </is>
      </c>
      <c r="F81" s="8" t="inlineStr">
        <is>
          <t>#</t>
        </is>
      </c>
      <c r="G81" s="14" t="n"/>
      <c r="H81" s="14" t="n"/>
      <c r="I81" s="14" t="n"/>
      <c r="J81" s="14" t="n">
        <v>8</v>
      </c>
      <c r="K81" s="15" t="n"/>
      <c r="L81" s="8" t="inlineStr">
        <is>
          <t>Data held</t>
        </is>
      </c>
      <c r="M81" s="8" t="inlineStr">
        <is>
          <t>MRE</t>
        </is>
      </c>
      <c r="N81" s="11" t="inlineStr"/>
      <c r="O81" s="11" t="inlineStr"/>
      <c r="P81" s="11" t="inlineStr"/>
      <c r="Q81" s="11" t="inlineStr"/>
      <c r="R81" s="11" t="inlineStr"/>
      <c r="S81" s="11" t="inlineStr"/>
    </row>
    <row r="82">
      <c r="B82" s="13" t="inlineStr">
        <is>
          <t>TR2(c)</t>
        </is>
      </c>
      <c r="C82" s="8" t="inlineStr"/>
      <c r="D82" s="8" t="inlineStr"/>
      <c r="E82" s="18" t="inlineStr">
        <is>
          <t>SDG 13 - Climate action</t>
        </is>
      </c>
      <c r="F82" s="8" t="inlineStr">
        <is>
          <t>#</t>
        </is>
      </c>
      <c r="G82" s="14" t="n"/>
      <c r="H82" s="14" t="n"/>
      <c r="I82" s="14" t="n"/>
      <c r="J82" s="14" t="n">
        <v>193</v>
      </c>
      <c r="K82" s="15" t="n"/>
      <c r="L82" s="8" t="inlineStr">
        <is>
          <t>Data held</t>
        </is>
      </c>
      <c r="M82" s="8" t="inlineStr">
        <is>
          <t>MRE</t>
        </is>
      </c>
      <c r="N82" s="11" t="inlineStr"/>
      <c r="O82" s="11" t="inlineStr"/>
      <c r="P82" s="11" t="inlineStr"/>
      <c r="Q82" s="11" t="inlineStr"/>
      <c r="R82" s="11" t="inlineStr"/>
      <c r="S82" s="11" t="inlineStr"/>
    </row>
    <row r="83">
      <c r="B83" s="13" t="inlineStr">
        <is>
          <t>TR2(c)</t>
        </is>
      </c>
      <c r="C83" s="8" t="inlineStr"/>
      <c r="D83" s="8" t="inlineStr"/>
      <c r="E83" s="18" t="inlineStr">
        <is>
          <t>SDG 14 - Life below water</t>
        </is>
      </c>
      <c r="F83" s="8" t="inlineStr">
        <is>
          <t>#</t>
        </is>
      </c>
      <c r="G83" s="14" t="n"/>
      <c r="H83" s="14" t="n"/>
      <c r="I83" s="14" t="n"/>
      <c r="J83" s="14" t="n">
        <v>13</v>
      </c>
      <c r="K83" s="15" t="n"/>
      <c r="L83" s="8" t="inlineStr">
        <is>
          <t>Data held</t>
        </is>
      </c>
      <c r="M83" s="8" t="inlineStr">
        <is>
          <t>MRE</t>
        </is>
      </c>
      <c r="N83" s="11" t="inlineStr"/>
      <c r="O83" s="11" t="inlineStr"/>
      <c r="P83" s="11" t="inlineStr"/>
      <c r="Q83" s="11" t="inlineStr"/>
      <c r="R83" s="11" t="inlineStr"/>
      <c r="S83" s="11" t="inlineStr"/>
    </row>
    <row r="84">
      <c r="B84" s="13" t="inlineStr">
        <is>
          <t>TR2(c)</t>
        </is>
      </c>
      <c r="C84" s="8" t="inlineStr"/>
      <c r="D84" s="8" t="inlineStr"/>
      <c r="E84" s="18" t="inlineStr">
        <is>
          <t>SDG 15 - Life on land</t>
        </is>
      </c>
      <c r="F84" s="8" t="inlineStr">
        <is>
          <t>#</t>
        </is>
      </c>
      <c r="G84" s="14" t="n"/>
      <c r="H84" s="14" t="n"/>
      <c r="I84" s="14" t="n"/>
      <c r="J84" s="14" t="n">
        <v>65</v>
      </c>
      <c r="K84" s="15" t="n"/>
      <c r="L84" s="8" t="inlineStr">
        <is>
          <t>Data held</t>
        </is>
      </c>
      <c r="M84" s="8" t="inlineStr">
        <is>
          <t>MRE</t>
        </is>
      </c>
      <c r="N84" s="11" t="inlineStr"/>
      <c r="O84" s="11" t="inlineStr"/>
      <c r="P84" s="11" t="inlineStr"/>
      <c r="Q84" s="11" t="inlineStr"/>
      <c r="R84" s="11" t="inlineStr"/>
      <c r="S84" s="11" t="inlineStr"/>
    </row>
    <row r="85">
      <c r="B85" s="13" t="inlineStr">
        <is>
          <t>TR2(c)</t>
        </is>
      </c>
      <c r="C85" s="8" t="inlineStr"/>
      <c r="D85" s="8" t="inlineStr"/>
      <c r="E85" s="18" t="inlineStr">
        <is>
          <t>SDG 16 - Peace, justice and strong institutions</t>
        </is>
      </c>
      <c r="F85" s="8" t="inlineStr">
        <is>
          <t>#</t>
        </is>
      </c>
      <c r="G85" s="14" t="n"/>
      <c r="H85" s="14" t="n"/>
      <c r="I85" s="14" t="n"/>
      <c r="J85" s="14" t="n">
        <v>52</v>
      </c>
      <c r="K85" s="15" t="n"/>
      <c r="L85" s="8" t="inlineStr">
        <is>
          <t>Data held</t>
        </is>
      </c>
      <c r="M85" s="8" t="inlineStr">
        <is>
          <t>MRE</t>
        </is>
      </c>
      <c r="N85" s="11" t="inlineStr"/>
      <c r="O85" s="11" t="inlineStr"/>
      <c r="P85" s="11" t="inlineStr"/>
      <c r="Q85" s="11" t="inlineStr"/>
      <c r="R85" s="11" t="inlineStr"/>
      <c r="S85" s="11" t="inlineStr"/>
    </row>
    <row r="86">
      <c r="B86" s="13" t="inlineStr">
        <is>
          <t>TR2(c)</t>
        </is>
      </c>
      <c r="C86" s="8" t="inlineStr"/>
      <c r="D86" s="8" t="inlineStr"/>
      <c r="E86" s="18" t="inlineStr">
        <is>
          <t>SDG 17 - Partnerships</t>
        </is>
      </c>
      <c r="F86" s="8" t="inlineStr">
        <is>
          <t>#</t>
        </is>
      </c>
      <c r="G86" s="14" t="n"/>
      <c r="H86" s="14" t="n"/>
      <c r="I86" s="14" t="n"/>
      <c r="J86" s="14" t="n">
        <v>1</v>
      </c>
      <c r="K86" s="15" t="n"/>
      <c r="L86" s="8" t="inlineStr">
        <is>
          <t>Data held</t>
        </is>
      </c>
      <c r="M86" s="8" t="inlineStr">
        <is>
          <t>MRE</t>
        </is>
      </c>
      <c r="N86" s="11" t="inlineStr"/>
      <c r="O86" s="11" t="inlineStr"/>
      <c r="P86" s="11" t="inlineStr"/>
      <c r="Q86" s="11" t="inlineStr"/>
      <c r="R86" s="11" t="inlineStr"/>
      <c r="S86" s="11" t="inlineStr"/>
    </row>
    <row r="87">
      <c r="B87" s="13" t="inlineStr">
        <is>
          <t>TR2(c)</t>
        </is>
      </c>
      <c r="C87" s="8" t="inlineStr"/>
      <c r="D87" s="8" t="inlineStr"/>
      <c r="E87" s="8" t="inlineStr">
        <is>
          <t>SDG-related research outputs mentioned in News and Social Media</t>
        </is>
      </c>
      <c r="F87" s="8" t="inlineStr">
        <is>
          <t>#</t>
        </is>
      </c>
      <c r="G87" s="14" t="n"/>
      <c r="H87" s="14" t="n"/>
      <c r="I87" s="14" t="n"/>
      <c r="J87" s="14" t="n">
        <v>86993</v>
      </c>
      <c r="K87" s="15" t="n"/>
      <c r="L87" s="8" t="inlineStr">
        <is>
          <t>Data held</t>
        </is>
      </c>
      <c r="M87" s="8" t="inlineStr">
        <is>
          <t>MRE</t>
        </is>
      </c>
      <c r="N87" s="11" t="inlineStr"/>
      <c r="O87" s="11" t="inlineStr"/>
      <c r="P87" s="11" t="inlineStr"/>
      <c r="Q87" s="11" t="inlineStr"/>
      <c r="R87" s="11" t="inlineStr"/>
      <c r="S87" s="11" t="inlineStr"/>
    </row>
    <row r="88">
      <c r="B88" s="13" t="inlineStr">
        <is>
          <t>TR2(c)</t>
        </is>
      </c>
      <c r="C88" s="8" t="inlineStr"/>
      <c r="D88" s="8" t="inlineStr"/>
      <c r="E88" s="18" t="inlineStr">
        <is>
          <t>SDG 1 - No Poverty</t>
        </is>
      </c>
      <c r="F88" s="8" t="inlineStr">
        <is>
          <t>#</t>
        </is>
      </c>
      <c r="G88" s="14" t="n"/>
      <c r="H88" s="14" t="n"/>
      <c r="I88" s="14" t="n"/>
      <c r="J88" s="14" t="n">
        <v>17</v>
      </c>
      <c r="K88" s="15" t="n"/>
      <c r="L88" s="8" t="inlineStr">
        <is>
          <t>Data held</t>
        </is>
      </c>
      <c r="M88" s="8" t="inlineStr">
        <is>
          <t>MRE</t>
        </is>
      </c>
      <c r="N88" s="11" t="inlineStr"/>
      <c r="O88" s="11" t="inlineStr"/>
      <c r="P88" s="11" t="inlineStr"/>
      <c r="Q88" s="11" t="inlineStr"/>
      <c r="R88" s="11" t="inlineStr"/>
      <c r="S88" s="11" t="inlineStr"/>
    </row>
    <row r="89">
      <c r="B89" s="13" t="inlineStr">
        <is>
          <t>TR2(c)</t>
        </is>
      </c>
      <c r="C89" s="8" t="inlineStr"/>
      <c r="D89" s="8" t="inlineStr"/>
      <c r="E89" s="18" t="inlineStr">
        <is>
          <t>SDG 2 - Zero Hunger</t>
        </is>
      </c>
      <c r="F89" s="8" t="inlineStr">
        <is>
          <t>#</t>
        </is>
      </c>
      <c r="G89" s="14" t="n"/>
      <c r="H89" s="14" t="n"/>
      <c r="I89" s="14" t="n"/>
      <c r="J89" s="14" t="n">
        <v>731</v>
      </c>
      <c r="K89" s="15" t="n"/>
      <c r="L89" s="8" t="inlineStr">
        <is>
          <t>Data held</t>
        </is>
      </c>
      <c r="M89" s="8" t="inlineStr">
        <is>
          <t>MRE</t>
        </is>
      </c>
      <c r="N89" s="11" t="inlineStr"/>
      <c r="O89" s="11" t="inlineStr"/>
      <c r="P89" s="11" t="inlineStr"/>
      <c r="Q89" s="11" t="inlineStr"/>
      <c r="R89" s="11" t="inlineStr"/>
      <c r="S89" s="11" t="inlineStr"/>
    </row>
    <row r="90">
      <c r="B90" s="13" t="inlineStr">
        <is>
          <t>TR2(c)</t>
        </is>
      </c>
      <c r="C90" s="8" t="inlineStr"/>
      <c r="D90" s="8" t="inlineStr"/>
      <c r="E90" s="18" t="inlineStr">
        <is>
          <t>SDG 3 - Good health and well-being</t>
        </is>
      </c>
      <c r="F90" s="8" t="inlineStr">
        <is>
          <t>#</t>
        </is>
      </c>
      <c r="G90" s="14" t="n"/>
      <c r="H90" s="14" t="n"/>
      <c r="I90" s="14" t="n"/>
      <c r="J90" s="14" t="n">
        <v>55989</v>
      </c>
      <c r="K90" s="15" t="n"/>
      <c r="L90" s="8" t="inlineStr">
        <is>
          <t>Data held</t>
        </is>
      </c>
      <c r="M90" s="8" t="inlineStr">
        <is>
          <t>MRE</t>
        </is>
      </c>
      <c r="N90" s="11" t="inlineStr"/>
      <c r="O90" s="11" t="inlineStr"/>
      <c r="P90" s="11" t="inlineStr"/>
      <c r="Q90" s="11" t="inlineStr"/>
      <c r="R90" s="11" t="inlineStr"/>
      <c r="S90" s="11" t="inlineStr"/>
    </row>
    <row r="91">
      <c r="B91" s="13" t="inlineStr">
        <is>
          <t>TR2(c)</t>
        </is>
      </c>
      <c r="C91" s="8" t="inlineStr"/>
      <c r="D91" s="8" t="inlineStr"/>
      <c r="E91" s="18" t="inlineStr">
        <is>
          <t>SDG 4 - Quality Education</t>
        </is>
      </c>
      <c r="F91" s="8" t="inlineStr">
        <is>
          <t>#</t>
        </is>
      </c>
      <c r="G91" s="14" t="n"/>
      <c r="H91" s="14" t="n"/>
      <c r="I91" s="14" t="n"/>
      <c r="J91" s="14" t="n">
        <v>6263</v>
      </c>
      <c r="K91" s="15" t="n"/>
      <c r="L91" s="8" t="inlineStr">
        <is>
          <t>Data held</t>
        </is>
      </c>
      <c r="M91" s="8" t="inlineStr">
        <is>
          <t>MRE</t>
        </is>
      </c>
      <c r="N91" s="11" t="inlineStr"/>
      <c r="O91" s="11" t="inlineStr"/>
      <c r="P91" s="11" t="inlineStr"/>
      <c r="Q91" s="11" t="inlineStr"/>
      <c r="R91" s="11" t="inlineStr"/>
      <c r="S91" s="11" t="inlineStr"/>
    </row>
    <row r="92">
      <c r="B92" s="13" t="inlineStr">
        <is>
          <t>TR2(c)</t>
        </is>
      </c>
      <c r="C92" s="8" t="inlineStr"/>
      <c r="D92" s="8" t="inlineStr"/>
      <c r="E92" s="18" t="inlineStr">
        <is>
          <t>SDG 5 - Gender Equality</t>
        </is>
      </c>
      <c r="F92" s="8" t="inlineStr">
        <is>
          <t>#</t>
        </is>
      </c>
      <c r="G92" s="14" t="n"/>
      <c r="H92" s="14" t="n"/>
      <c r="I92" s="14" t="n"/>
      <c r="J92" s="14" t="n">
        <v>5286</v>
      </c>
      <c r="K92" s="15" t="n"/>
      <c r="L92" s="8" t="inlineStr">
        <is>
          <t>Data held</t>
        </is>
      </c>
      <c r="M92" s="8" t="inlineStr">
        <is>
          <t>MRE</t>
        </is>
      </c>
      <c r="N92" s="11" t="inlineStr"/>
      <c r="O92" s="11" t="inlineStr"/>
      <c r="P92" s="11" t="inlineStr"/>
      <c r="Q92" s="11" t="inlineStr"/>
      <c r="R92" s="11" t="inlineStr"/>
      <c r="S92" s="11" t="inlineStr"/>
    </row>
    <row r="93">
      <c r="B93" s="13" t="inlineStr">
        <is>
          <t>TR2(c)</t>
        </is>
      </c>
      <c r="C93" s="8" t="inlineStr"/>
      <c r="D93" s="8" t="inlineStr"/>
      <c r="E93" s="18" t="inlineStr">
        <is>
          <t>SDG 6 - Clean water and sanitation</t>
        </is>
      </c>
      <c r="F93" s="8" t="inlineStr">
        <is>
          <t>#</t>
        </is>
      </c>
      <c r="G93" s="14" t="n"/>
      <c r="H93" s="14" t="n"/>
      <c r="I93" s="14" t="n"/>
      <c r="J93" s="14" t="n">
        <v>248</v>
      </c>
      <c r="K93" s="15" t="n"/>
      <c r="L93" s="8" t="inlineStr">
        <is>
          <t>Data held</t>
        </is>
      </c>
      <c r="M93" s="8" t="inlineStr">
        <is>
          <t>MRE</t>
        </is>
      </c>
      <c r="N93" s="11" t="inlineStr"/>
      <c r="O93" s="11" t="inlineStr"/>
      <c r="P93" s="11" t="inlineStr"/>
      <c r="Q93" s="11" t="inlineStr"/>
      <c r="R93" s="11" t="inlineStr"/>
      <c r="S93" s="11" t="inlineStr"/>
    </row>
    <row r="94">
      <c r="B94" s="13" t="inlineStr">
        <is>
          <t>TR2(c)</t>
        </is>
      </c>
      <c r="C94" s="8" t="inlineStr"/>
      <c r="D94" s="8" t="inlineStr"/>
      <c r="E94" s="18" t="inlineStr">
        <is>
          <t>SDG 7 - Affordable and clean energy</t>
        </is>
      </c>
      <c r="F94" s="8" t="inlineStr">
        <is>
          <t>#</t>
        </is>
      </c>
      <c r="G94" s="14" t="n"/>
      <c r="H94" s="14" t="n"/>
      <c r="I94" s="14" t="n"/>
      <c r="J94" s="14" t="n">
        <v>1009</v>
      </c>
      <c r="K94" s="15" t="n"/>
      <c r="L94" s="8" t="inlineStr">
        <is>
          <t>Data held</t>
        </is>
      </c>
      <c r="M94" s="8" t="inlineStr">
        <is>
          <t>MRE</t>
        </is>
      </c>
      <c r="N94" s="11" t="inlineStr"/>
      <c r="O94" s="11" t="inlineStr"/>
      <c r="P94" s="11" t="inlineStr"/>
      <c r="Q94" s="11" t="inlineStr"/>
      <c r="R94" s="11" t="inlineStr"/>
      <c r="S94" s="11" t="inlineStr"/>
    </row>
    <row r="95">
      <c r="B95" s="13" t="inlineStr">
        <is>
          <t>TR2(c)</t>
        </is>
      </c>
      <c r="C95" s="8" t="inlineStr"/>
      <c r="D95" s="8" t="inlineStr"/>
      <c r="E95" s="18" t="inlineStr">
        <is>
          <t>SDG 8 - Decent work and economic growth</t>
        </is>
      </c>
      <c r="F95" s="8" t="inlineStr">
        <is>
          <t>#</t>
        </is>
      </c>
      <c r="G95" s="14" t="n"/>
      <c r="H95" s="14" t="n"/>
      <c r="I95" s="14" t="n"/>
      <c r="J95" s="14" t="n">
        <v>844</v>
      </c>
      <c r="K95" s="15" t="n"/>
      <c r="L95" s="8" t="inlineStr">
        <is>
          <t>Data held</t>
        </is>
      </c>
      <c r="M95" s="8" t="inlineStr">
        <is>
          <t>MRE</t>
        </is>
      </c>
      <c r="N95" s="11" t="inlineStr"/>
      <c r="O95" s="11" t="inlineStr"/>
      <c r="P95" s="11" t="inlineStr"/>
      <c r="Q95" s="11" t="inlineStr"/>
      <c r="R95" s="11" t="inlineStr"/>
      <c r="S95" s="11" t="inlineStr"/>
    </row>
    <row r="96">
      <c r="B96" s="13" t="inlineStr">
        <is>
          <t>TR2(c)</t>
        </is>
      </c>
      <c r="C96" s="8" t="inlineStr"/>
      <c r="D96" s="8" t="inlineStr"/>
      <c r="E96" s="18" t="inlineStr">
        <is>
          <t>SDG 9 - Industry, innovation and infrastructure</t>
        </is>
      </c>
      <c r="F96" s="8" t="inlineStr">
        <is>
          <t>#</t>
        </is>
      </c>
      <c r="G96" s="14" t="n"/>
      <c r="H96" s="14" t="n"/>
      <c r="I96" s="14" t="n"/>
      <c r="J96" s="14" t="n">
        <v>48</v>
      </c>
      <c r="K96" s="15" t="n"/>
      <c r="L96" s="8" t="inlineStr">
        <is>
          <t>Data held</t>
        </is>
      </c>
      <c r="M96" s="8" t="inlineStr">
        <is>
          <t>MRE</t>
        </is>
      </c>
      <c r="N96" s="11" t="inlineStr"/>
      <c r="O96" s="11" t="inlineStr"/>
      <c r="P96" s="11" t="inlineStr"/>
      <c r="Q96" s="11" t="inlineStr"/>
      <c r="R96" s="11" t="inlineStr"/>
      <c r="S96" s="11" t="inlineStr"/>
    </row>
    <row r="97">
      <c r="B97" s="13" t="inlineStr">
        <is>
          <t>TR2(c)</t>
        </is>
      </c>
      <c r="C97" s="8" t="inlineStr"/>
      <c r="D97" s="8" t="inlineStr"/>
      <c r="E97" s="18" t="inlineStr">
        <is>
          <t>SDG 10 - Reduced inequality</t>
        </is>
      </c>
      <c r="F97" s="8" t="inlineStr">
        <is>
          <t>#</t>
        </is>
      </c>
      <c r="G97" s="14" t="n"/>
      <c r="H97" s="14" t="n"/>
      <c r="I97" s="14" t="n"/>
      <c r="J97" s="14" t="n">
        <v>1032</v>
      </c>
      <c r="K97" s="15" t="n"/>
      <c r="L97" s="8" t="inlineStr">
        <is>
          <t>Data held</t>
        </is>
      </c>
      <c r="M97" s="8" t="inlineStr">
        <is>
          <t>MRE</t>
        </is>
      </c>
      <c r="N97" s="11" t="inlineStr"/>
      <c r="O97" s="11" t="inlineStr"/>
      <c r="P97" s="11" t="inlineStr"/>
      <c r="Q97" s="11" t="inlineStr"/>
      <c r="R97" s="11" t="inlineStr"/>
      <c r="S97" s="11" t="inlineStr"/>
    </row>
    <row r="98">
      <c r="B98" s="13" t="inlineStr">
        <is>
          <t>TR2(c)</t>
        </is>
      </c>
      <c r="C98" s="8" t="inlineStr"/>
      <c r="D98" s="8" t="inlineStr"/>
      <c r="E98" s="18" t="inlineStr">
        <is>
          <t>SDG 11 - Sustainable cities and communities</t>
        </is>
      </c>
      <c r="F98" s="8" t="inlineStr">
        <is>
          <t>#</t>
        </is>
      </c>
      <c r="G98" s="14" t="n"/>
      <c r="H98" s="14" t="n"/>
      <c r="I98" s="14" t="n"/>
      <c r="J98" s="14" t="n">
        <v>400</v>
      </c>
      <c r="K98" s="15" t="n"/>
      <c r="L98" s="8" t="inlineStr">
        <is>
          <t>Data held</t>
        </is>
      </c>
      <c r="M98" s="8" t="inlineStr">
        <is>
          <t>MRE</t>
        </is>
      </c>
      <c r="N98" s="11" t="inlineStr"/>
      <c r="O98" s="11" t="inlineStr"/>
      <c r="P98" s="11" t="inlineStr"/>
      <c r="Q98" s="11" t="inlineStr"/>
      <c r="R98" s="11" t="inlineStr"/>
      <c r="S98" s="11" t="inlineStr"/>
    </row>
    <row r="99">
      <c r="B99" s="13" t="inlineStr">
        <is>
          <t>TR2(c)</t>
        </is>
      </c>
      <c r="C99" s="8" t="inlineStr"/>
      <c r="D99" s="8" t="inlineStr"/>
      <c r="E99" s="18" t="inlineStr">
        <is>
          <t>SDG 12 - Responsible consumption and production</t>
        </is>
      </c>
      <c r="F99" s="8" t="inlineStr">
        <is>
          <t>#</t>
        </is>
      </c>
      <c r="G99" s="14" t="n"/>
      <c r="H99" s="14" t="n"/>
      <c r="I99" s="14" t="n"/>
      <c r="J99" s="14" t="n">
        <v>224</v>
      </c>
      <c r="K99" s="15" t="n"/>
      <c r="L99" s="8" t="inlineStr">
        <is>
          <t>Data held</t>
        </is>
      </c>
      <c r="M99" s="8" t="inlineStr">
        <is>
          <t>MRE</t>
        </is>
      </c>
      <c r="N99" s="11" t="inlineStr"/>
      <c r="O99" s="11" t="inlineStr"/>
      <c r="P99" s="11" t="inlineStr"/>
      <c r="Q99" s="11" t="inlineStr"/>
      <c r="R99" s="11" t="inlineStr"/>
      <c r="S99" s="11" t="inlineStr"/>
    </row>
    <row r="100">
      <c r="B100" s="13" t="inlineStr">
        <is>
          <t>TR2(c)</t>
        </is>
      </c>
      <c r="C100" s="8" t="inlineStr"/>
      <c r="D100" s="8" t="inlineStr"/>
      <c r="E100" s="18" t="inlineStr">
        <is>
          <t>SDG 13 - Climate action</t>
        </is>
      </c>
      <c r="F100" s="8" t="inlineStr">
        <is>
          <t>#</t>
        </is>
      </c>
      <c r="G100" s="14" t="n"/>
      <c r="H100" s="14" t="n"/>
      <c r="I100" s="14" t="n"/>
      <c r="J100" s="14" t="n">
        <v>9639</v>
      </c>
      <c r="K100" s="15" t="n"/>
      <c r="L100" s="8" t="inlineStr">
        <is>
          <t>Data held</t>
        </is>
      </c>
      <c r="M100" s="8" t="inlineStr">
        <is>
          <t>MRE</t>
        </is>
      </c>
      <c r="N100" s="11" t="inlineStr"/>
      <c r="O100" s="11" t="inlineStr"/>
      <c r="P100" s="11" t="inlineStr"/>
      <c r="Q100" s="11" t="inlineStr"/>
      <c r="R100" s="11" t="inlineStr"/>
      <c r="S100" s="11" t="inlineStr"/>
    </row>
    <row r="101">
      <c r="B101" s="13" t="inlineStr">
        <is>
          <t>TR2(c)</t>
        </is>
      </c>
      <c r="C101" s="8" t="inlineStr"/>
      <c r="D101" s="8" t="inlineStr"/>
      <c r="E101" s="18" t="inlineStr">
        <is>
          <t>SDG 14 - Life below water</t>
        </is>
      </c>
      <c r="F101" s="8" t="inlineStr">
        <is>
          <t>#</t>
        </is>
      </c>
      <c r="G101" s="14" t="n"/>
      <c r="H101" s="14" t="n"/>
      <c r="I101" s="14" t="n"/>
      <c r="J101" s="14" t="n">
        <v>1503</v>
      </c>
      <c r="K101" s="15" t="n"/>
      <c r="L101" s="8" t="inlineStr">
        <is>
          <t>Data held</t>
        </is>
      </c>
      <c r="M101" s="8" t="inlineStr">
        <is>
          <t>MRE</t>
        </is>
      </c>
      <c r="N101" s="11" t="inlineStr"/>
      <c r="O101" s="11" t="inlineStr"/>
      <c r="P101" s="11" t="inlineStr"/>
      <c r="Q101" s="11" t="inlineStr"/>
      <c r="R101" s="11" t="inlineStr"/>
      <c r="S101" s="11" t="inlineStr"/>
    </row>
    <row r="102">
      <c r="B102" s="13" t="inlineStr">
        <is>
          <t>TR2(c)</t>
        </is>
      </c>
      <c r="C102" s="8" t="inlineStr"/>
      <c r="D102" s="8" t="inlineStr"/>
      <c r="E102" s="18" t="inlineStr">
        <is>
          <t>SDG 15 - Life on land</t>
        </is>
      </c>
      <c r="F102" s="8" t="inlineStr">
        <is>
          <t>#</t>
        </is>
      </c>
      <c r="G102" s="14" t="n"/>
      <c r="H102" s="14" t="n"/>
      <c r="I102" s="14" t="n"/>
      <c r="J102" s="14" t="n">
        <v>2844</v>
      </c>
      <c r="K102" s="15" t="n"/>
      <c r="L102" s="8" t="inlineStr">
        <is>
          <t>Data held</t>
        </is>
      </c>
      <c r="M102" s="8" t="inlineStr">
        <is>
          <t>MRE</t>
        </is>
      </c>
      <c r="N102" s="11" t="inlineStr"/>
      <c r="O102" s="11" t="inlineStr"/>
      <c r="P102" s="11" t="inlineStr"/>
      <c r="Q102" s="11" t="inlineStr"/>
      <c r="R102" s="11" t="inlineStr"/>
      <c r="S102" s="11" t="inlineStr"/>
    </row>
    <row r="103">
      <c r="B103" s="13" t="inlineStr">
        <is>
          <t>TR2(c)</t>
        </is>
      </c>
      <c r="C103" s="8" t="inlineStr"/>
      <c r="D103" s="8" t="inlineStr"/>
      <c r="E103" s="18" t="inlineStr">
        <is>
          <t>SDG 16 - Peace, justice and strong institutions</t>
        </is>
      </c>
      <c r="F103" s="8" t="inlineStr">
        <is>
          <t>#</t>
        </is>
      </c>
      <c r="G103" s="14" t="n"/>
      <c r="H103" s="14" t="n"/>
      <c r="I103" s="14" t="n"/>
      <c r="J103" s="14" t="n">
        <v>916</v>
      </c>
      <c r="K103" s="15" t="n"/>
      <c r="L103" s="8" t="inlineStr">
        <is>
          <t>Data held</t>
        </is>
      </c>
      <c r="M103" s="8" t="inlineStr">
        <is>
          <t>MRE</t>
        </is>
      </c>
      <c r="N103" s="11" t="inlineStr"/>
      <c r="O103" s="11" t="inlineStr"/>
      <c r="P103" s="11" t="inlineStr"/>
      <c r="Q103" s="11" t="inlineStr"/>
      <c r="R103" s="11" t="inlineStr"/>
      <c r="S103" s="11" t="inlineStr"/>
    </row>
    <row r="104">
      <c r="B104" s="13" t="inlineStr">
        <is>
          <t>TR2(c)</t>
        </is>
      </c>
      <c r="C104" s="8" t="inlineStr"/>
      <c r="D104" s="8" t="inlineStr"/>
      <c r="E104" s="18" t="inlineStr">
        <is>
          <t>SDG 17 - Partnerships</t>
        </is>
      </c>
      <c r="F104" s="8" t="inlineStr">
        <is>
          <t>#</t>
        </is>
      </c>
      <c r="G104" s="14" t="n"/>
      <c r="H104" s="14" t="n"/>
      <c r="I104" s="14" t="n"/>
      <c r="J104" s="14" t="n">
        <v>0</v>
      </c>
      <c r="K104" s="15" t="n"/>
      <c r="L104" s="8" t="inlineStr">
        <is>
          <t>Data held</t>
        </is>
      </c>
      <c r="M104" s="8" t="inlineStr">
        <is>
          <t>MRE</t>
        </is>
      </c>
      <c r="N104" s="11" t="inlineStr"/>
      <c r="O104" s="11" t="inlineStr"/>
      <c r="P104" s="11" t="inlineStr"/>
      <c r="Q104" s="11" t="inlineStr"/>
      <c r="R104" s="11" t="inlineStr"/>
      <c r="S104" s="11" t="inlineStr"/>
    </row>
    <row r="105">
      <c r="B105" s="13" t="inlineStr">
        <is>
          <t>TR3(b)</t>
        </is>
      </c>
      <c r="C105" s="8" t="inlineStr">
        <is>
          <t>Transformational Research</t>
        </is>
      </c>
      <c r="D105" s="8" t="inlineStr">
        <is>
          <t>Demonstrated examples of more sustainable research practices in laboratories, fieldwork, procurement, travel or infrastructure use</t>
        </is>
      </c>
      <c r="E105" s="8" t="inlineStr">
        <is>
          <t>Laboratories achieveng Green Lab Ceritifcation</t>
        </is>
      </c>
      <c r="F105" s="8" t="inlineStr">
        <is>
          <t>#</t>
        </is>
      </c>
      <c r="G105" s="14" t="n"/>
      <c r="H105" s="14" t="n"/>
      <c r="I105" s="14" t="n"/>
      <c r="J105" s="14" t="n"/>
      <c r="K105" s="15" t="n"/>
      <c r="L105" s="8" t="inlineStr">
        <is>
          <t>No data yet</t>
        </is>
      </c>
      <c r="M105" s="8" t="inlineStr">
        <is>
          <t>MRE</t>
        </is>
      </c>
      <c r="N105" s="11" t="inlineStr"/>
      <c r="O105" s="11" t="inlineStr"/>
      <c r="P105" s="11" t="inlineStr"/>
      <c r="Q105" s="11" t="inlineStr"/>
      <c r="R105" s="11" t="inlineStr"/>
      <c r="S105" s="11" t="inlineStr"/>
    </row>
    <row r="106">
      <c r="B106" s="13" t="inlineStr">
        <is>
          <t>TR3(b)</t>
        </is>
      </c>
      <c r="C106" s="8" t="inlineStr"/>
      <c r="D106" s="8" t="inlineStr"/>
      <c r="E106" s="8" t="inlineStr">
        <is>
          <t>New Sustainable Activities</t>
        </is>
      </c>
      <c r="F106" s="8" t="inlineStr">
        <is>
          <t>#</t>
        </is>
      </c>
      <c r="G106" s="14" t="n"/>
      <c r="H106" s="14" t="n"/>
      <c r="I106" s="14" t="n"/>
      <c r="J106" s="14" t="n"/>
      <c r="K106" s="15" t="n"/>
      <c r="L106" s="8" t="inlineStr">
        <is>
          <t>No data yet</t>
        </is>
      </c>
      <c r="M106" s="8" t="inlineStr">
        <is>
          <t>MRE</t>
        </is>
      </c>
      <c r="N106" s="11" t="inlineStr"/>
      <c r="O106" s="11" t="inlineStr"/>
      <c r="P106" s="11" t="inlineStr"/>
      <c r="Q106" s="11" t="inlineStr"/>
      <c r="R106" s="11" t="inlineStr"/>
      <c r="S106" s="11" t="inlineStr"/>
    </row>
    <row r="107">
      <c r="B107" s="13" t="inlineStr">
        <is>
          <t>TR3(b)</t>
        </is>
      </c>
      <c r="C107" s="8" t="inlineStr"/>
      <c r="D107" s="8" t="inlineStr"/>
      <c r="E107" s="8" t="inlineStr">
        <is>
          <t>Sustainable Fieldworks</t>
        </is>
      </c>
      <c r="F107" s="8" t="inlineStr">
        <is>
          <t>#</t>
        </is>
      </c>
      <c r="G107" s="14" t="n"/>
      <c r="H107" s="14" t="n"/>
      <c r="I107" s="14" t="n"/>
      <c r="J107" s="14" t="n"/>
      <c r="K107" s="15" t="n"/>
      <c r="L107" s="8" t="inlineStr">
        <is>
          <t>No data yet</t>
        </is>
      </c>
      <c r="M107" s="8" t="inlineStr">
        <is>
          <t>MRE</t>
        </is>
      </c>
      <c r="N107" s="11" t="inlineStr"/>
      <c r="O107" s="11" t="inlineStr"/>
      <c r="P107" s="11" t="inlineStr"/>
      <c r="Q107" s="11" t="inlineStr"/>
      <c r="R107" s="11" t="inlineStr"/>
      <c r="S107" s="11" t="inlineStr"/>
    </row>
    <row r="108">
      <c r="B108" s="13" t="inlineStr">
        <is>
          <t>CL1(a)</t>
        </is>
      </c>
      <c r="C108" s="8" t="inlineStr">
        <is>
          <t>Climate Leadership</t>
        </is>
      </c>
      <c r="D108" s="8" t="inlineStr">
        <is>
          <t>Annual GHG Inventory demonstrateds carbon emission reductions, including maintaining procurement of 100% renewable electricities for all scope 2 sources</t>
        </is>
      </c>
      <c r="E108" s="8" t="inlineStr">
        <is>
          <t>Gross Total Greenhouse Gas Emissions</t>
        </is>
      </c>
      <c r="F108" s="8" t="inlineStr">
        <is>
          <t>tCO2e</t>
        </is>
      </c>
      <c r="G108" s="14" t="n"/>
      <c r="H108" s="14" t="n">
        <v>241128</v>
      </c>
      <c r="I108" s="14" t="n">
        <v>220239</v>
      </c>
      <c r="J108" s="14" t="n">
        <v>170705</v>
      </c>
      <c r="K108" s="15" t="n"/>
      <c r="L108" s="8" t="inlineStr">
        <is>
          <t>Data held</t>
        </is>
      </c>
      <c r="M108" s="8" t="inlineStr">
        <is>
          <t>ESG</t>
        </is>
      </c>
      <c r="N108" s="11" t="inlineStr"/>
      <c r="O108" s="11" t="inlineStr"/>
      <c r="P108" s="11" t="inlineStr"/>
      <c r="Q108" s="11" t="inlineStr"/>
      <c r="R108" s="11" t="inlineStr"/>
      <c r="S108" s="11" t="inlineStr"/>
    </row>
    <row r="109">
      <c r="B109" s="13" t="inlineStr">
        <is>
          <t>CL1(a)</t>
        </is>
      </c>
      <c r="C109" s="8" t="inlineStr"/>
      <c r="D109" s="8" t="inlineStr"/>
      <c r="E109" s="18" t="inlineStr">
        <is>
          <t>Direct Scope 1 emissions</t>
        </is>
      </c>
      <c r="F109" s="8" t="inlineStr">
        <is>
          <t>tCO2e</t>
        </is>
      </c>
      <c r="G109" s="14" t="n"/>
      <c r="H109" s="14" t="n">
        <v>16665</v>
      </c>
      <c r="I109" s="14" t="n">
        <v>15567</v>
      </c>
      <c r="J109" s="14" t="n">
        <v>16484.01</v>
      </c>
      <c r="K109" s="15" t="n"/>
      <c r="L109" s="8" t="inlineStr">
        <is>
          <t>Data held</t>
        </is>
      </c>
      <c r="M109" s="8" t="inlineStr">
        <is>
          <t>ESG</t>
        </is>
      </c>
      <c r="N109" s="11" t="inlineStr"/>
      <c r="O109" s="11" t="inlineStr"/>
      <c r="P109" s="11" t="inlineStr"/>
      <c r="Q109" s="11" t="inlineStr"/>
      <c r="R109" s="11" t="inlineStr"/>
      <c r="S109" s="11" t="inlineStr"/>
    </row>
    <row r="110">
      <c r="B110" s="13" t="inlineStr">
        <is>
          <t>CL1(a)</t>
        </is>
      </c>
      <c r="C110" s="8" t="inlineStr"/>
      <c r="D110" s="8" t="inlineStr"/>
      <c r="E110" s="19" t="inlineStr">
        <is>
          <t>Stationary energy (gaseous fuels)</t>
        </is>
      </c>
      <c r="F110" s="8" t="inlineStr">
        <is>
          <t>tCO2e</t>
        </is>
      </c>
      <c r="G110" s="14" t="n"/>
      <c r="H110" s="14" t="n">
        <v>14192</v>
      </c>
      <c r="I110" s="14" t="n">
        <v>13662</v>
      </c>
      <c r="J110" s="14" t="n">
        <v>13800</v>
      </c>
      <c r="K110" s="15" t="n"/>
      <c r="L110" s="8" t="inlineStr">
        <is>
          <t>Data held</t>
        </is>
      </c>
      <c r="M110" s="8" t="inlineStr">
        <is>
          <t>ESG</t>
        </is>
      </c>
      <c r="N110" s="11" t="inlineStr"/>
      <c r="O110" s="11" t="inlineStr"/>
      <c r="P110" s="11" t="inlineStr"/>
      <c r="Q110" s="11" t="inlineStr"/>
      <c r="R110" s="11" t="inlineStr"/>
      <c r="S110" s="11" t="inlineStr"/>
    </row>
    <row r="111">
      <c r="B111" s="13" t="inlineStr">
        <is>
          <t>CL1(a)</t>
        </is>
      </c>
      <c r="C111" s="8" t="inlineStr"/>
      <c r="D111" s="8" t="inlineStr"/>
      <c r="E111" s="19" t="inlineStr">
        <is>
          <t>Refrigerants</t>
        </is>
      </c>
      <c r="F111" s="8" t="inlineStr">
        <is>
          <t>tCO2e</t>
        </is>
      </c>
      <c r="G111" s="14" t="n"/>
      <c r="H111" s="14" t="n">
        <v>1928</v>
      </c>
      <c r="I111" s="14" t="n">
        <v>1531</v>
      </c>
      <c r="J111" s="14" t="n">
        <v>2244</v>
      </c>
      <c r="K111" s="15" t="n"/>
      <c r="L111" s="8" t="inlineStr">
        <is>
          <t>Data held</t>
        </is>
      </c>
      <c r="M111" s="8" t="inlineStr">
        <is>
          <t>ESG</t>
        </is>
      </c>
      <c r="N111" s="11" t="inlineStr"/>
      <c r="O111" s="11" t="inlineStr"/>
      <c r="P111" s="11" t="inlineStr"/>
      <c r="Q111" s="11" t="inlineStr"/>
      <c r="R111" s="11" t="inlineStr"/>
      <c r="S111" s="11" t="inlineStr"/>
    </row>
    <row r="112">
      <c r="B112" s="13" t="inlineStr">
        <is>
          <t>CL1(a)</t>
        </is>
      </c>
      <c r="C112" s="8" t="inlineStr"/>
      <c r="D112" s="8" t="inlineStr"/>
      <c r="E112" s="19" t="inlineStr">
        <is>
          <t>Transport (land and sea)</t>
        </is>
      </c>
      <c r="F112" s="8" t="inlineStr">
        <is>
          <t>tCO2e</t>
        </is>
      </c>
      <c r="G112" s="14" t="n"/>
      <c r="H112" s="14" t="n">
        <v>390</v>
      </c>
      <c r="I112" s="14" t="n">
        <v>344</v>
      </c>
      <c r="J112" s="14" t="n">
        <v>432</v>
      </c>
      <c r="K112" s="15" t="n"/>
      <c r="L112" s="8" t="inlineStr">
        <is>
          <t>Data held</t>
        </is>
      </c>
      <c r="M112" s="8" t="inlineStr">
        <is>
          <t>ESG</t>
        </is>
      </c>
      <c r="N112" s="11" t="inlineStr"/>
      <c r="O112" s="11" t="inlineStr"/>
      <c r="P112" s="11" t="inlineStr"/>
      <c r="Q112" s="11" t="inlineStr"/>
      <c r="R112" s="11" t="inlineStr"/>
      <c r="S112" s="11" t="inlineStr"/>
    </row>
    <row r="113">
      <c r="B113" s="13" t="inlineStr">
        <is>
          <t>CL1(a)</t>
        </is>
      </c>
      <c r="C113" s="8" t="inlineStr"/>
      <c r="D113" s="8" t="inlineStr"/>
      <c r="E113" s="19" t="inlineStr">
        <is>
          <t>Stationary energy (LPG)</t>
        </is>
      </c>
      <c r="F113" s="8" t="inlineStr">
        <is>
          <t>tCO2e</t>
        </is>
      </c>
      <c r="G113" s="14" t="n"/>
      <c r="H113" s="14" t="n">
        <v>156</v>
      </c>
      <c r="I113" s="14" t="n">
        <v>30</v>
      </c>
      <c r="J113" s="14" t="n">
        <v>0.01</v>
      </c>
      <c r="K113" s="15" t="n"/>
      <c r="L113" s="8" t="inlineStr">
        <is>
          <t>Data held</t>
        </is>
      </c>
      <c r="M113" s="8" t="inlineStr">
        <is>
          <t>ESG</t>
        </is>
      </c>
      <c r="N113" s="11" t="inlineStr"/>
      <c r="O113" s="11" t="inlineStr"/>
      <c r="P113" s="11" t="inlineStr"/>
      <c r="Q113" s="11" t="inlineStr"/>
      <c r="R113" s="11" t="inlineStr"/>
      <c r="S113" s="11" t="inlineStr"/>
    </row>
    <row r="114">
      <c r="B114" s="13" t="inlineStr">
        <is>
          <t>CL1(a)</t>
        </is>
      </c>
      <c r="C114" s="8" t="inlineStr"/>
      <c r="D114" s="8" t="inlineStr"/>
      <c r="E114" s="19" t="inlineStr">
        <is>
          <t>Electricity (Market-Based)</t>
        </is>
      </c>
      <c r="F114" s="8" t="inlineStr">
        <is>
          <t>tCO2e</t>
        </is>
      </c>
      <c r="G114" s="14" t="n"/>
      <c r="H114" s="14" t="n">
        <v>0</v>
      </c>
      <c r="I114" s="14" t="n">
        <v>0</v>
      </c>
      <c r="J114" s="14" t="n">
        <v>0</v>
      </c>
      <c r="K114" s="15" t="n"/>
      <c r="L114" s="8" t="inlineStr">
        <is>
          <t>Data held</t>
        </is>
      </c>
      <c r="M114" s="8" t="inlineStr">
        <is>
          <t>ESG</t>
        </is>
      </c>
      <c r="N114" s="11" t="inlineStr"/>
      <c r="O114" s="11" t="inlineStr"/>
      <c r="P114" s="11" t="inlineStr"/>
      <c r="Q114" s="11" t="inlineStr"/>
      <c r="R114" s="11" t="inlineStr"/>
      <c r="S114" s="11" t="inlineStr"/>
    </row>
    <row r="115">
      <c r="B115" s="13" t="inlineStr">
        <is>
          <t>CL1(a)</t>
        </is>
      </c>
      <c r="C115" s="8" t="inlineStr"/>
      <c r="D115" s="8" t="inlineStr"/>
      <c r="E115" s="19" t="inlineStr">
        <is>
          <t>Professional services</t>
        </is>
      </c>
      <c r="F115" s="8" t="inlineStr">
        <is>
          <t>tCO2e</t>
        </is>
      </c>
      <c r="G115" s="14" t="n"/>
      <c r="H115" s="14" t="n">
        <v>0</v>
      </c>
      <c r="I115" s="14" t="n">
        <v>0</v>
      </c>
      <c r="J115" s="14" t="n">
        <v>0</v>
      </c>
      <c r="K115" s="15" t="n"/>
      <c r="L115" s="8" t="inlineStr">
        <is>
          <t>Data held</t>
        </is>
      </c>
      <c r="M115" s="8" t="inlineStr">
        <is>
          <t>ESG</t>
        </is>
      </c>
      <c r="N115" s="11" t="inlineStr"/>
      <c r="O115" s="11" t="inlineStr"/>
      <c r="P115" s="11" t="inlineStr"/>
      <c r="Q115" s="11" t="inlineStr"/>
      <c r="R115" s="11" t="inlineStr"/>
      <c r="S115" s="11" t="inlineStr"/>
    </row>
    <row r="116">
      <c r="B116" s="13" t="inlineStr">
        <is>
          <t>CL1(a)</t>
        </is>
      </c>
      <c r="C116" s="8" t="inlineStr"/>
      <c r="D116" s="8" t="inlineStr"/>
      <c r="E116" s="19" t="inlineStr">
        <is>
          <t>Construction materials and services</t>
        </is>
      </c>
      <c r="F116" s="8" t="inlineStr">
        <is>
          <t>tCO2e</t>
        </is>
      </c>
      <c r="G116" s="14" t="n"/>
      <c r="H116" s="14" t="n">
        <v>0</v>
      </c>
      <c r="I116" s="14" t="n">
        <v>0</v>
      </c>
      <c r="J116" s="14" t="n">
        <v>0</v>
      </c>
      <c r="K116" s="15" t="n"/>
      <c r="L116" s="8" t="inlineStr">
        <is>
          <t>Data held</t>
        </is>
      </c>
      <c r="M116" s="8" t="inlineStr">
        <is>
          <t>ESG</t>
        </is>
      </c>
      <c r="N116" s="11" t="inlineStr"/>
      <c r="O116" s="11" t="inlineStr"/>
      <c r="P116" s="11" t="inlineStr"/>
      <c r="Q116" s="11" t="inlineStr"/>
      <c r="R116" s="11" t="inlineStr"/>
      <c r="S116" s="11" t="inlineStr"/>
    </row>
    <row r="117">
      <c r="B117" s="13" t="inlineStr">
        <is>
          <t>CL1(a)</t>
        </is>
      </c>
      <c r="C117" s="8" t="inlineStr"/>
      <c r="D117" s="8" t="inlineStr"/>
      <c r="E117" s="19" t="inlineStr">
        <is>
          <t>Transport (air travel)</t>
        </is>
      </c>
      <c r="F117" s="8" t="inlineStr">
        <is>
          <t>tCO2e</t>
        </is>
      </c>
      <c r="G117" s="14" t="n"/>
      <c r="H117" s="14" t="n">
        <v>0</v>
      </c>
      <c r="I117" s="14" t="n">
        <v>0</v>
      </c>
      <c r="J117" s="14" t="n">
        <v>8</v>
      </c>
      <c r="K117" s="15" t="n"/>
      <c r="L117" s="8" t="inlineStr">
        <is>
          <t>Data held</t>
        </is>
      </c>
      <c r="M117" s="8" t="inlineStr">
        <is>
          <t>ESG</t>
        </is>
      </c>
      <c r="N117" s="11" t="inlineStr"/>
      <c r="O117" s="11" t="inlineStr"/>
      <c r="P117" s="11" t="inlineStr"/>
      <c r="Q117" s="11" t="inlineStr"/>
      <c r="R117" s="11" t="inlineStr"/>
      <c r="S117" s="11" t="inlineStr"/>
    </row>
    <row r="118">
      <c r="B118" s="13" t="inlineStr">
        <is>
          <t>CL1(a)</t>
        </is>
      </c>
      <c r="C118" s="8" t="inlineStr"/>
      <c r="D118" s="8" t="inlineStr"/>
      <c r="E118" s="19" t="inlineStr">
        <is>
          <t>ICT services and equipment</t>
        </is>
      </c>
      <c r="F118" s="8" t="inlineStr">
        <is>
          <t>tCO2e</t>
        </is>
      </c>
      <c r="G118" s="14" t="n"/>
      <c r="H118" s="14" t="n">
        <v>0</v>
      </c>
      <c r="I118" s="14" t="n">
        <v>0</v>
      </c>
      <c r="J118" s="14" t="n">
        <v>0</v>
      </c>
      <c r="K118" s="15" t="n"/>
      <c r="L118" s="8" t="inlineStr">
        <is>
          <t>Data held</t>
        </is>
      </c>
      <c r="M118" s="8" t="inlineStr">
        <is>
          <t>ESG</t>
        </is>
      </c>
      <c r="N118" s="11" t="inlineStr"/>
      <c r="O118" s="11" t="inlineStr"/>
      <c r="P118" s="11" t="inlineStr"/>
      <c r="Q118" s="11" t="inlineStr"/>
      <c r="R118" s="11" t="inlineStr"/>
      <c r="S118" s="11" t="inlineStr"/>
    </row>
    <row r="119">
      <c r="B119" s="13" t="inlineStr">
        <is>
          <t>CL1(a)</t>
        </is>
      </c>
      <c r="C119" s="8" t="inlineStr"/>
      <c r="D119" s="8" t="inlineStr"/>
      <c r="E119" s="19" t="inlineStr">
        <is>
          <t>Products</t>
        </is>
      </c>
      <c r="F119" s="8" t="inlineStr">
        <is>
          <t>tCO2e</t>
        </is>
      </c>
      <c r="G119" s="14" t="n"/>
      <c r="H119" s="14" t="n">
        <v>0</v>
      </c>
      <c r="I119" s="14" t="n">
        <v>0</v>
      </c>
      <c r="J119" s="14" t="n">
        <v>0</v>
      </c>
      <c r="K119" s="15" t="n"/>
      <c r="L119" s="8" t="inlineStr">
        <is>
          <t>Data held</t>
        </is>
      </c>
      <c r="M119" s="8" t="inlineStr">
        <is>
          <t>ESG</t>
        </is>
      </c>
      <c r="N119" s="11" t="inlineStr"/>
      <c r="O119" s="11" t="inlineStr"/>
      <c r="P119" s="11" t="inlineStr"/>
      <c r="Q119" s="11" t="inlineStr"/>
      <c r="R119" s="11" t="inlineStr"/>
      <c r="S119" s="11" t="inlineStr"/>
    </row>
    <row r="120">
      <c r="B120" s="13" t="inlineStr">
        <is>
          <t>CL1(a)</t>
        </is>
      </c>
      <c r="C120" s="8" t="inlineStr"/>
      <c r="D120" s="8" t="inlineStr"/>
      <c r="E120" s="19" t="inlineStr">
        <is>
          <t>Food</t>
        </is>
      </c>
      <c r="F120" s="8" t="inlineStr">
        <is>
          <t>tCO2e</t>
        </is>
      </c>
      <c r="G120" s="14" t="n"/>
      <c r="H120" s="14" t="n">
        <v>0</v>
      </c>
      <c r="I120" s="14" t="n">
        <v>0</v>
      </c>
      <c r="J120" s="14" t="n">
        <v>0</v>
      </c>
      <c r="K120" s="15" t="n"/>
      <c r="L120" s="8" t="inlineStr">
        <is>
          <t>Data held</t>
        </is>
      </c>
      <c r="M120" s="8" t="inlineStr">
        <is>
          <t>ESG</t>
        </is>
      </c>
      <c r="N120" s="11" t="inlineStr"/>
      <c r="O120" s="11" t="inlineStr"/>
      <c r="P120" s="11" t="inlineStr"/>
      <c r="Q120" s="11" t="inlineStr"/>
      <c r="R120" s="11" t="inlineStr"/>
      <c r="S120" s="11" t="inlineStr"/>
    </row>
    <row r="121">
      <c r="B121" s="13" t="inlineStr">
        <is>
          <t>CL1(a)</t>
        </is>
      </c>
      <c r="C121" s="8" t="inlineStr"/>
      <c r="D121" s="8" t="inlineStr"/>
      <c r="E121" s="19" t="inlineStr">
        <is>
          <t>Office equipment and supplies</t>
        </is>
      </c>
      <c r="F121" s="8" t="inlineStr">
        <is>
          <t>tCO2e</t>
        </is>
      </c>
      <c r="G121" s="14" t="n"/>
      <c r="H121" s="14" t="n">
        <v>0</v>
      </c>
      <c r="I121" s="14" t="n">
        <v>0</v>
      </c>
      <c r="J121" s="14" t="n">
        <v>0</v>
      </c>
      <c r="K121" s="15" t="n"/>
      <c r="L121" s="8" t="inlineStr">
        <is>
          <t>Data held</t>
        </is>
      </c>
      <c r="M121" s="8" t="inlineStr">
        <is>
          <t>ESG</t>
        </is>
      </c>
      <c r="N121" s="11" t="inlineStr"/>
      <c r="O121" s="11" t="inlineStr"/>
      <c r="P121" s="11" t="inlineStr"/>
      <c r="Q121" s="11" t="inlineStr"/>
      <c r="R121" s="11" t="inlineStr"/>
      <c r="S121" s="11" t="inlineStr"/>
    </row>
    <row r="122">
      <c r="B122" s="13" t="inlineStr">
        <is>
          <t>CL1(a)</t>
        </is>
      </c>
      <c r="C122" s="8" t="inlineStr"/>
      <c r="D122" s="8" t="inlineStr"/>
      <c r="E122" s="19" t="inlineStr">
        <is>
          <t>Accommodation and facilities</t>
        </is>
      </c>
      <c r="F122" s="8" t="inlineStr">
        <is>
          <t>tCO2e</t>
        </is>
      </c>
      <c r="G122" s="14" t="n"/>
      <c r="H122" s="14" t="n">
        <v>0</v>
      </c>
      <c r="I122" s="14" t="n">
        <v>0</v>
      </c>
      <c r="J122" s="14" t="n">
        <v>0</v>
      </c>
      <c r="K122" s="15" t="n"/>
      <c r="L122" s="8" t="inlineStr">
        <is>
          <t>Data held</t>
        </is>
      </c>
      <c r="M122" s="8" t="inlineStr">
        <is>
          <t>ESG</t>
        </is>
      </c>
      <c r="N122" s="11" t="inlineStr"/>
      <c r="O122" s="11" t="inlineStr"/>
      <c r="P122" s="11" t="inlineStr"/>
      <c r="Q122" s="11" t="inlineStr"/>
      <c r="R122" s="11" t="inlineStr"/>
      <c r="S122" s="11" t="inlineStr"/>
    </row>
    <row r="123">
      <c r="B123" s="13" t="inlineStr">
        <is>
          <t>CL1(a)</t>
        </is>
      </c>
      <c r="C123" s="8" t="inlineStr"/>
      <c r="D123" s="8" t="inlineStr"/>
      <c r="E123" s="19" t="inlineStr">
        <is>
          <t>Working from home</t>
        </is>
      </c>
      <c r="F123" s="8" t="inlineStr">
        <is>
          <t>tCO2e</t>
        </is>
      </c>
      <c r="G123" s="14" t="n"/>
      <c r="H123" s="14" t="n">
        <v>0</v>
      </c>
      <c r="I123" s="14" t="n">
        <v>0</v>
      </c>
      <c r="J123" s="14" t="n">
        <v>0</v>
      </c>
      <c r="K123" s="15" t="n"/>
      <c r="L123" s="8" t="inlineStr">
        <is>
          <t>Data held</t>
        </is>
      </c>
      <c r="M123" s="8" t="inlineStr">
        <is>
          <t>ESG</t>
        </is>
      </c>
      <c r="N123" s="11" t="inlineStr"/>
      <c r="O123" s="11" t="inlineStr"/>
      <c r="P123" s="11" t="inlineStr"/>
      <c r="Q123" s="11" t="inlineStr"/>
      <c r="R123" s="11" t="inlineStr"/>
      <c r="S123" s="11" t="inlineStr"/>
    </row>
    <row r="124">
      <c r="B124" s="13" t="inlineStr">
        <is>
          <t>CL1(a)</t>
        </is>
      </c>
      <c r="C124" s="8" t="inlineStr"/>
      <c r="D124" s="8" t="inlineStr"/>
      <c r="E124" s="19" t="inlineStr">
        <is>
          <t>Waste</t>
        </is>
      </c>
      <c r="F124" s="8" t="inlineStr">
        <is>
          <t>tCO2e</t>
        </is>
      </c>
      <c r="G124" s="14" t="n"/>
      <c r="H124" s="14" t="n">
        <v>0</v>
      </c>
      <c r="I124" s="14" t="n">
        <v>0</v>
      </c>
      <c r="J124" s="14" t="n">
        <v>0</v>
      </c>
      <c r="K124" s="15" t="n"/>
      <c r="L124" s="8" t="inlineStr">
        <is>
          <t>Data held</t>
        </is>
      </c>
      <c r="M124" s="8" t="inlineStr">
        <is>
          <t>ESG</t>
        </is>
      </c>
      <c r="N124" s="11" t="inlineStr"/>
      <c r="O124" s="11" t="inlineStr"/>
      <c r="P124" s="11" t="inlineStr"/>
      <c r="Q124" s="11" t="inlineStr"/>
      <c r="R124" s="11" t="inlineStr"/>
      <c r="S124" s="11" t="inlineStr"/>
    </row>
    <row r="125">
      <c r="B125" s="13" t="inlineStr">
        <is>
          <t>CL1(a)</t>
        </is>
      </c>
      <c r="C125" s="8" t="inlineStr"/>
      <c r="D125" s="8" t="inlineStr"/>
      <c r="E125" s="19" t="inlineStr">
        <is>
          <t>Cleaning and chemicals</t>
        </is>
      </c>
      <c r="F125" s="8" t="inlineStr">
        <is>
          <t>tCO2e</t>
        </is>
      </c>
      <c r="G125" s="14" t="n"/>
      <c r="H125" s="14" t="n">
        <v>0</v>
      </c>
      <c r="I125" s="14" t="n">
        <v>0</v>
      </c>
      <c r="J125" s="14" t="n">
        <v>0</v>
      </c>
      <c r="K125" s="15" t="n"/>
      <c r="L125" s="8" t="inlineStr">
        <is>
          <t>Data held</t>
        </is>
      </c>
      <c r="M125" s="8" t="inlineStr">
        <is>
          <t>ESG</t>
        </is>
      </c>
      <c r="N125" s="11" t="inlineStr"/>
      <c r="O125" s="11" t="inlineStr"/>
      <c r="P125" s="11" t="inlineStr"/>
      <c r="Q125" s="11" t="inlineStr"/>
      <c r="R125" s="11" t="inlineStr"/>
      <c r="S125" s="11" t="inlineStr"/>
    </row>
    <row r="126">
      <c r="B126" s="13" t="inlineStr">
        <is>
          <t>CL1(a)</t>
        </is>
      </c>
      <c r="C126" s="8" t="inlineStr"/>
      <c r="D126" s="8" t="inlineStr"/>
      <c r="E126" s="19" t="inlineStr">
        <is>
          <t>Water</t>
        </is>
      </c>
      <c r="F126" s="8" t="inlineStr">
        <is>
          <t>tCO2e</t>
        </is>
      </c>
      <c r="G126" s="14" t="n"/>
      <c r="H126" s="14" t="n">
        <v>0</v>
      </c>
      <c r="I126" s="14" t="n">
        <v>0</v>
      </c>
      <c r="J126" s="14" t="n">
        <v>0</v>
      </c>
      <c r="K126" s="15" t="n"/>
      <c r="L126" s="8" t="inlineStr">
        <is>
          <t>Data held</t>
        </is>
      </c>
      <c r="M126" s="8" t="inlineStr">
        <is>
          <t>ESG</t>
        </is>
      </c>
      <c r="N126" s="11" t="inlineStr"/>
      <c r="O126" s="11" t="inlineStr"/>
      <c r="P126" s="11" t="inlineStr"/>
      <c r="Q126" s="11" t="inlineStr"/>
      <c r="R126" s="11" t="inlineStr"/>
      <c r="S126" s="11" t="inlineStr"/>
    </row>
    <row r="127">
      <c r="B127" s="13" t="inlineStr">
        <is>
          <t>CL1(a)</t>
        </is>
      </c>
      <c r="C127" s="8" t="inlineStr"/>
      <c r="D127" s="8" t="inlineStr"/>
      <c r="E127" s="19" t="inlineStr">
        <is>
          <t>Postage, courier and freight</t>
        </is>
      </c>
      <c r="F127" s="8" t="inlineStr">
        <is>
          <t>tCO2e</t>
        </is>
      </c>
      <c r="G127" s="14" t="n"/>
      <c r="H127" s="14" t="n">
        <v>0</v>
      </c>
      <c r="I127" s="14" t="n">
        <v>0</v>
      </c>
      <c r="J127" s="14" t="n">
        <v>0</v>
      </c>
      <c r="K127" s="15" t="n"/>
      <c r="L127" s="8" t="inlineStr">
        <is>
          <t>Data held</t>
        </is>
      </c>
      <c r="M127" s="8" t="inlineStr">
        <is>
          <t>ESG</t>
        </is>
      </c>
      <c r="N127" s="11" t="inlineStr"/>
      <c r="O127" s="11" t="inlineStr"/>
      <c r="P127" s="11" t="inlineStr"/>
      <c r="Q127" s="11" t="inlineStr"/>
      <c r="R127" s="11" t="inlineStr"/>
      <c r="S127" s="11" t="inlineStr"/>
    </row>
    <row r="128">
      <c r="B128" s="13" t="inlineStr">
        <is>
          <t>CL1(a)</t>
        </is>
      </c>
      <c r="C128" s="8" t="inlineStr"/>
      <c r="D128" s="8" t="inlineStr"/>
      <c r="E128" s="19" t="inlineStr">
        <is>
          <t>Machinery and vehicles</t>
        </is>
      </c>
      <c r="F128" s="8" t="inlineStr">
        <is>
          <t>tCO2e</t>
        </is>
      </c>
      <c r="G128" s="14" t="n"/>
      <c r="H128" s="14" t="n">
        <v>0</v>
      </c>
      <c r="I128" s="14" t="n">
        <v>0</v>
      </c>
      <c r="J128" s="14" t="n">
        <v>0</v>
      </c>
      <c r="K128" s="15" t="n"/>
      <c r="L128" s="8" t="inlineStr">
        <is>
          <t>Data held</t>
        </is>
      </c>
      <c r="M128" s="8" t="inlineStr">
        <is>
          <t>ESG</t>
        </is>
      </c>
      <c r="N128" s="11" t="inlineStr"/>
      <c r="O128" s="11" t="inlineStr"/>
      <c r="P128" s="11" t="inlineStr"/>
      <c r="Q128" s="11" t="inlineStr"/>
      <c r="R128" s="11" t="inlineStr"/>
      <c r="S128" s="11" t="inlineStr"/>
    </row>
    <row r="129">
      <c r="B129" s="13" t="inlineStr">
        <is>
          <t>CL1(a)</t>
        </is>
      </c>
      <c r="C129" s="8" t="inlineStr"/>
      <c r="D129" s="8" t="inlineStr"/>
      <c r="E129" s="19" t="inlineStr">
        <is>
          <t>Horticulture and agriculture</t>
        </is>
      </c>
      <c r="F129" s="8" t="inlineStr">
        <is>
          <t>tCO2e</t>
        </is>
      </c>
      <c r="G129" s="14" t="n"/>
      <c r="H129" s="14" t="n">
        <v>0</v>
      </c>
      <c r="I129" s="14" t="n">
        <v>0</v>
      </c>
      <c r="J129" s="14" t="n">
        <v>0</v>
      </c>
      <c r="K129" s="15" t="n"/>
      <c r="L129" s="8" t="inlineStr">
        <is>
          <t>Data held</t>
        </is>
      </c>
      <c r="M129" s="8" t="inlineStr">
        <is>
          <t>ESG</t>
        </is>
      </c>
      <c r="N129" s="11" t="inlineStr"/>
      <c r="O129" s="11" t="inlineStr"/>
      <c r="P129" s="11" t="inlineStr"/>
      <c r="Q129" s="11" t="inlineStr"/>
      <c r="R129" s="11" t="inlineStr"/>
      <c r="S129" s="11" t="inlineStr"/>
    </row>
    <row r="130">
      <c r="B130" s="13" t="inlineStr">
        <is>
          <t>CL1(a)</t>
        </is>
      </c>
      <c r="C130" s="8" t="inlineStr"/>
      <c r="D130" s="8" t="inlineStr"/>
      <c r="E130" s="19" t="inlineStr">
        <is>
          <t>Roads and landscape</t>
        </is>
      </c>
      <c r="F130" s="8" t="inlineStr">
        <is>
          <t>tCO2e</t>
        </is>
      </c>
      <c r="G130" s="14" t="n"/>
      <c r="H130" s="14" t="n">
        <v>0</v>
      </c>
      <c r="I130" s="14" t="n">
        <v>0</v>
      </c>
      <c r="J130" s="14" t="n">
        <v>0</v>
      </c>
      <c r="K130" s="15" t="n"/>
      <c r="L130" s="8" t="inlineStr">
        <is>
          <t>Data held</t>
        </is>
      </c>
      <c r="M130" s="8" t="inlineStr">
        <is>
          <t>ESG</t>
        </is>
      </c>
      <c r="N130" s="11" t="inlineStr"/>
      <c r="O130" s="11" t="inlineStr"/>
      <c r="P130" s="11" t="inlineStr"/>
      <c r="Q130" s="11" t="inlineStr"/>
      <c r="R130" s="11" t="inlineStr"/>
      <c r="S130" s="11" t="inlineStr"/>
    </row>
    <row r="131">
      <c r="B131" s="13" t="inlineStr">
        <is>
          <t>CL1(a)</t>
        </is>
      </c>
      <c r="C131" s="8" t="inlineStr"/>
      <c r="D131" s="8" t="inlineStr"/>
      <c r="E131" s="19" t="inlineStr">
        <is>
          <t>Other</t>
        </is>
      </c>
      <c r="F131" s="8" t="inlineStr">
        <is>
          <t>tCO2e</t>
        </is>
      </c>
      <c r="G131" s="14" t="n"/>
      <c r="H131" s="14" t="n">
        <v>0</v>
      </c>
      <c r="I131" s="14" t="n">
        <v>0</v>
      </c>
      <c r="J131" s="14" t="n">
        <v>0</v>
      </c>
      <c r="K131" s="15" t="n"/>
      <c r="L131" s="8" t="inlineStr">
        <is>
          <t>Data held</t>
        </is>
      </c>
      <c r="M131" s="8" t="inlineStr">
        <is>
          <t>ESG</t>
        </is>
      </c>
      <c r="N131" s="11" t="inlineStr"/>
      <c r="O131" s="11" t="inlineStr"/>
      <c r="P131" s="11" t="inlineStr"/>
      <c r="Q131" s="11" t="inlineStr"/>
      <c r="R131" s="11" t="inlineStr"/>
      <c r="S131" s="11" t="inlineStr"/>
    </row>
    <row r="132">
      <c r="B132" s="13" t="inlineStr">
        <is>
          <t>CL1(a)</t>
        </is>
      </c>
      <c r="C132" s="8" t="inlineStr"/>
      <c r="D132" s="8" t="inlineStr"/>
      <c r="E132" s="18" t="inlineStr">
        <is>
          <t>Indirect Scope 2 emissions</t>
        </is>
      </c>
      <c r="F132" s="8" t="inlineStr">
        <is>
          <t>tCO2e</t>
        </is>
      </c>
      <c r="G132" s="14" t="n"/>
      <c r="H132" s="14" t="n">
        <v>31414</v>
      </c>
      <c r="I132" s="14" t="n">
        <v>29098</v>
      </c>
      <c r="J132" s="14" t="n">
        <v>0</v>
      </c>
      <c r="K132" s="15" t="n"/>
      <c r="L132" s="8" t="inlineStr">
        <is>
          <t>Data held</t>
        </is>
      </c>
      <c r="M132" s="8" t="inlineStr">
        <is>
          <t>ESG</t>
        </is>
      </c>
      <c r="N132" s="11" t="inlineStr"/>
      <c r="O132" s="11" t="inlineStr"/>
      <c r="P132" s="11" t="inlineStr"/>
      <c r="Q132" s="11" t="inlineStr"/>
      <c r="R132" s="11" t="inlineStr"/>
      <c r="S132" s="11" t="inlineStr"/>
    </row>
    <row r="133">
      <c r="B133" s="13" t="inlineStr">
        <is>
          <t>CL1(a)</t>
        </is>
      </c>
      <c r="C133" s="8" t="inlineStr"/>
      <c r="D133" s="8" t="inlineStr"/>
      <c r="E133" s="19" t="inlineStr">
        <is>
          <t>Stationary energy (gaseous fuels)</t>
        </is>
      </c>
      <c r="F133" s="8" t="inlineStr">
        <is>
          <t>tCO2e</t>
        </is>
      </c>
      <c r="G133" s="14" t="n"/>
      <c r="H133" s="14" t="n">
        <v>0</v>
      </c>
      <c r="I133" s="14" t="n">
        <v>0</v>
      </c>
      <c r="J133" s="14" t="n">
        <v>0</v>
      </c>
      <c r="K133" s="15" t="n"/>
      <c r="L133" s="8" t="inlineStr">
        <is>
          <t>Data held</t>
        </is>
      </c>
      <c r="M133" s="8" t="inlineStr">
        <is>
          <t>ESG</t>
        </is>
      </c>
      <c r="N133" s="11" t="inlineStr"/>
      <c r="O133" s="11" t="inlineStr"/>
      <c r="P133" s="11" t="inlineStr"/>
      <c r="Q133" s="11" t="inlineStr"/>
      <c r="R133" s="11" t="inlineStr"/>
      <c r="S133" s="11" t="inlineStr"/>
    </row>
    <row r="134">
      <c r="B134" s="13" t="inlineStr">
        <is>
          <t>CL1(a)</t>
        </is>
      </c>
      <c r="C134" s="8" t="inlineStr"/>
      <c r="D134" s="8" t="inlineStr"/>
      <c r="E134" s="19" t="inlineStr">
        <is>
          <t>Refrigerants</t>
        </is>
      </c>
      <c r="F134" s="8" t="inlineStr">
        <is>
          <t>tCO2e</t>
        </is>
      </c>
      <c r="G134" s="14" t="n"/>
      <c r="H134" s="14" t="n">
        <v>0</v>
      </c>
      <c r="I134" s="14" t="n">
        <v>0</v>
      </c>
      <c r="J134" s="14" t="n">
        <v>0</v>
      </c>
      <c r="K134" s="15" t="n"/>
      <c r="L134" s="8" t="inlineStr">
        <is>
          <t>Data held</t>
        </is>
      </c>
      <c r="M134" s="8" t="inlineStr">
        <is>
          <t>ESG</t>
        </is>
      </c>
      <c r="N134" s="11" t="inlineStr"/>
      <c r="O134" s="11" t="inlineStr"/>
      <c r="P134" s="11" t="inlineStr"/>
      <c r="Q134" s="11" t="inlineStr"/>
      <c r="R134" s="11" t="inlineStr"/>
      <c r="S134" s="11" t="inlineStr"/>
    </row>
    <row r="135">
      <c r="B135" s="13" t="inlineStr">
        <is>
          <t>CL1(a)</t>
        </is>
      </c>
      <c r="C135" s="8" t="inlineStr"/>
      <c r="D135" s="8" t="inlineStr"/>
      <c r="E135" s="19" t="inlineStr">
        <is>
          <t>Transport (land and sea)</t>
        </is>
      </c>
      <c r="F135" s="8" t="inlineStr">
        <is>
          <t>tCO2e</t>
        </is>
      </c>
      <c r="G135" s="14" t="n"/>
      <c r="H135" s="14" t="n">
        <v>0</v>
      </c>
      <c r="I135" s="14" t="n">
        <v>0</v>
      </c>
      <c r="J135" s="14" t="n">
        <v>0</v>
      </c>
      <c r="K135" s="15" t="n"/>
      <c r="L135" s="8" t="inlineStr">
        <is>
          <t>Data held</t>
        </is>
      </c>
      <c r="M135" s="8" t="inlineStr">
        <is>
          <t>ESG</t>
        </is>
      </c>
      <c r="N135" s="11" t="inlineStr"/>
      <c r="O135" s="11" t="inlineStr"/>
      <c r="P135" s="11" t="inlineStr"/>
      <c r="Q135" s="11" t="inlineStr"/>
      <c r="R135" s="11" t="inlineStr"/>
      <c r="S135" s="11" t="inlineStr"/>
    </row>
    <row r="136">
      <c r="B136" s="13" t="inlineStr">
        <is>
          <t>CL1(a)</t>
        </is>
      </c>
      <c r="C136" s="8" t="inlineStr"/>
      <c r="D136" s="8" t="inlineStr"/>
      <c r="E136" s="19" t="inlineStr">
        <is>
          <t>Stationary energy (LPG)</t>
        </is>
      </c>
      <c r="F136" s="8" t="inlineStr">
        <is>
          <t>tCO2e</t>
        </is>
      </c>
      <c r="G136" s="14" t="n"/>
      <c r="H136" s="14" t="n">
        <v>0</v>
      </c>
      <c r="I136" s="14" t="n">
        <v>0</v>
      </c>
      <c r="J136" s="14" t="n">
        <v>0</v>
      </c>
      <c r="K136" s="15" t="n"/>
      <c r="L136" s="8" t="inlineStr">
        <is>
          <t>Data held</t>
        </is>
      </c>
      <c r="M136" s="8" t="inlineStr">
        <is>
          <t>ESG</t>
        </is>
      </c>
      <c r="N136" s="11" t="inlineStr"/>
      <c r="O136" s="11" t="inlineStr"/>
      <c r="P136" s="11" t="inlineStr"/>
      <c r="Q136" s="11" t="inlineStr"/>
      <c r="R136" s="11" t="inlineStr"/>
      <c r="S136" s="11" t="inlineStr"/>
    </row>
    <row r="137">
      <c r="B137" s="13" t="inlineStr">
        <is>
          <t>CL1(a)</t>
        </is>
      </c>
      <c r="C137" s="8" t="inlineStr"/>
      <c r="D137" s="8" t="inlineStr"/>
      <c r="E137" s="19" t="inlineStr">
        <is>
          <t>Electricity (Market-Based)</t>
        </is>
      </c>
      <c r="F137" s="8" t="inlineStr">
        <is>
          <t>tCO2e</t>
        </is>
      </c>
      <c r="G137" s="14" t="n"/>
      <c r="H137" s="14" t="n">
        <v>31414</v>
      </c>
      <c r="I137" s="14" t="n">
        <v>29098</v>
      </c>
      <c r="J137" s="14" t="n">
        <v>0</v>
      </c>
      <c r="K137" s="15" t="n"/>
      <c r="L137" s="8" t="inlineStr">
        <is>
          <t>Data held</t>
        </is>
      </c>
      <c r="M137" s="8" t="inlineStr">
        <is>
          <t>ESG</t>
        </is>
      </c>
      <c r="N137" s="11" t="inlineStr"/>
      <c r="O137" s="11" t="inlineStr"/>
      <c r="P137" s="11" t="inlineStr"/>
      <c r="Q137" s="11" t="inlineStr"/>
      <c r="R137" s="11" t="inlineStr"/>
      <c r="S137" s="11" t="inlineStr"/>
    </row>
    <row r="138">
      <c r="B138" s="13" t="inlineStr">
        <is>
          <t>CL1(a)</t>
        </is>
      </c>
      <c r="C138" s="8" t="inlineStr"/>
      <c r="D138" s="8" t="inlineStr"/>
      <c r="E138" s="19" t="inlineStr">
        <is>
          <t>Professional services</t>
        </is>
      </c>
      <c r="F138" s="8" t="inlineStr">
        <is>
          <t>tCO2e</t>
        </is>
      </c>
      <c r="G138" s="14" t="n"/>
      <c r="H138" s="14" t="n">
        <v>0</v>
      </c>
      <c r="I138" s="14" t="n">
        <v>0</v>
      </c>
      <c r="J138" s="14" t="n">
        <v>0</v>
      </c>
      <c r="K138" s="15" t="n"/>
      <c r="L138" s="8" t="inlineStr">
        <is>
          <t>Data held</t>
        </is>
      </c>
      <c r="M138" s="8" t="inlineStr">
        <is>
          <t>ESG</t>
        </is>
      </c>
      <c r="N138" s="11" t="inlineStr"/>
      <c r="O138" s="11" t="inlineStr"/>
      <c r="P138" s="11" t="inlineStr"/>
      <c r="Q138" s="11" t="inlineStr"/>
      <c r="R138" s="11" t="inlineStr"/>
      <c r="S138" s="11" t="inlineStr"/>
    </row>
    <row r="139">
      <c r="B139" s="13" t="inlineStr">
        <is>
          <t>CL1(a)</t>
        </is>
      </c>
      <c r="C139" s="8" t="inlineStr"/>
      <c r="D139" s="8" t="inlineStr"/>
      <c r="E139" s="19" t="inlineStr">
        <is>
          <t>Construction materials and services</t>
        </is>
      </c>
      <c r="F139" s="8" t="inlineStr">
        <is>
          <t>tCO2e</t>
        </is>
      </c>
      <c r="G139" s="14" t="n"/>
      <c r="H139" s="14" t="n">
        <v>0</v>
      </c>
      <c r="I139" s="14" t="n">
        <v>0</v>
      </c>
      <c r="J139" s="14" t="n">
        <v>0</v>
      </c>
      <c r="K139" s="15" t="n"/>
      <c r="L139" s="8" t="inlineStr">
        <is>
          <t>Data held</t>
        </is>
      </c>
      <c r="M139" s="8" t="inlineStr">
        <is>
          <t>ESG</t>
        </is>
      </c>
      <c r="N139" s="11" t="inlineStr"/>
      <c r="O139" s="11" t="inlineStr"/>
      <c r="P139" s="11" t="inlineStr"/>
      <c r="Q139" s="11" t="inlineStr"/>
      <c r="R139" s="11" t="inlineStr"/>
      <c r="S139" s="11" t="inlineStr"/>
    </row>
    <row r="140">
      <c r="B140" s="13" t="inlineStr">
        <is>
          <t>CL1(a)</t>
        </is>
      </c>
      <c r="C140" s="8" t="inlineStr"/>
      <c r="D140" s="8" t="inlineStr"/>
      <c r="E140" s="19" t="inlineStr">
        <is>
          <t>Transport (air travel)</t>
        </is>
      </c>
      <c r="F140" s="8" t="inlineStr">
        <is>
          <t>tCO2e</t>
        </is>
      </c>
      <c r="G140" s="14" t="n"/>
      <c r="H140" s="14" t="n">
        <v>0</v>
      </c>
      <c r="I140" s="14" t="n">
        <v>0</v>
      </c>
      <c r="J140" s="14" t="n">
        <v>0</v>
      </c>
      <c r="K140" s="15" t="n"/>
      <c r="L140" s="8" t="inlineStr">
        <is>
          <t>Data held</t>
        </is>
      </c>
      <c r="M140" s="8" t="inlineStr">
        <is>
          <t>ESG</t>
        </is>
      </c>
      <c r="N140" s="11" t="inlineStr"/>
      <c r="O140" s="11" t="inlineStr"/>
      <c r="P140" s="11" t="inlineStr"/>
      <c r="Q140" s="11" t="inlineStr"/>
      <c r="R140" s="11" t="inlineStr"/>
      <c r="S140" s="11" t="inlineStr"/>
    </row>
    <row r="141">
      <c r="B141" s="13" t="inlineStr">
        <is>
          <t>CL1(a)</t>
        </is>
      </c>
      <c r="C141" s="8" t="inlineStr"/>
      <c r="D141" s="8" t="inlineStr"/>
      <c r="E141" s="19" t="inlineStr">
        <is>
          <t>ICT services and equipment</t>
        </is>
      </c>
      <c r="F141" s="8" t="inlineStr">
        <is>
          <t>tCO2e</t>
        </is>
      </c>
      <c r="G141" s="14" t="n"/>
      <c r="H141" s="14" t="n">
        <v>0</v>
      </c>
      <c r="I141" s="14" t="n">
        <v>0</v>
      </c>
      <c r="J141" s="14" t="n">
        <v>0</v>
      </c>
      <c r="K141" s="15" t="n"/>
      <c r="L141" s="8" t="inlineStr">
        <is>
          <t>Data held</t>
        </is>
      </c>
      <c r="M141" s="8" t="inlineStr">
        <is>
          <t>ESG</t>
        </is>
      </c>
      <c r="N141" s="11" t="inlineStr"/>
      <c r="O141" s="11" t="inlineStr"/>
      <c r="P141" s="11" t="inlineStr"/>
      <c r="Q141" s="11" t="inlineStr"/>
      <c r="R141" s="11" t="inlineStr"/>
      <c r="S141" s="11" t="inlineStr"/>
    </row>
    <row r="142">
      <c r="B142" s="13" t="inlineStr">
        <is>
          <t>CL1(a)</t>
        </is>
      </c>
      <c r="C142" s="8" t="inlineStr"/>
      <c r="D142" s="8" t="inlineStr"/>
      <c r="E142" s="19" t="inlineStr">
        <is>
          <t>Products</t>
        </is>
      </c>
      <c r="F142" s="8" t="inlineStr">
        <is>
          <t>tCO2e</t>
        </is>
      </c>
      <c r="G142" s="14" t="n"/>
      <c r="H142" s="14" t="n">
        <v>0</v>
      </c>
      <c r="I142" s="14" t="n">
        <v>0</v>
      </c>
      <c r="J142" s="14" t="n">
        <v>0</v>
      </c>
      <c r="K142" s="15" t="n"/>
      <c r="L142" s="8" t="inlineStr">
        <is>
          <t>Data held</t>
        </is>
      </c>
      <c r="M142" s="8" t="inlineStr">
        <is>
          <t>ESG</t>
        </is>
      </c>
      <c r="N142" s="11" t="inlineStr"/>
      <c r="O142" s="11" t="inlineStr"/>
      <c r="P142" s="11" t="inlineStr"/>
      <c r="Q142" s="11" t="inlineStr"/>
      <c r="R142" s="11" t="inlineStr"/>
      <c r="S142" s="11" t="inlineStr"/>
    </row>
    <row r="143">
      <c r="B143" s="13" t="inlineStr">
        <is>
          <t>CL1(a)</t>
        </is>
      </c>
      <c r="C143" s="8" t="inlineStr"/>
      <c r="D143" s="8" t="inlineStr"/>
      <c r="E143" s="19" t="inlineStr">
        <is>
          <t>Food</t>
        </is>
      </c>
      <c r="F143" s="8" t="inlineStr">
        <is>
          <t>tCO2e</t>
        </is>
      </c>
      <c r="G143" s="14" t="n"/>
      <c r="H143" s="14" t="n">
        <v>0</v>
      </c>
      <c r="I143" s="14" t="n">
        <v>0</v>
      </c>
      <c r="J143" s="14" t="n">
        <v>0</v>
      </c>
      <c r="K143" s="15" t="n"/>
      <c r="L143" s="8" t="inlineStr">
        <is>
          <t>Data held</t>
        </is>
      </c>
      <c r="M143" s="8" t="inlineStr">
        <is>
          <t>ESG</t>
        </is>
      </c>
      <c r="N143" s="11" t="inlineStr"/>
      <c r="O143" s="11" t="inlineStr"/>
      <c r="P143" s="11" t="inlineStr"/>
      <c r="Q143" s="11" t="inlineStr"/>
      <c r="R143" s="11" t="inlineStr"/>
      <c r="S143" s="11" t="inlineStr"/>
    </row>
    <row r="144">
      <c r="B144" s="13" t="inlineStr">
        <is>
          <t>CL1(a)</t>
        </is>
      </c>
      <c r="C144" s="8" t="inlineStr"/>
      <c r="D144" s="8" t="inlineStr"/>
      <c r="E144" s="19" t="inlineStr">
        <is>
          <t>Office equipment and supplies</t>
        </is>
      </c>
      <c r="F144" s="8" t="inlineStr">
        <is>
          <t>tCO2e</t>
        </is>
      </c>
      <c r="G144" s="14" t="n"/>
      <c r="H144" s="14" t="n">
        <v>0</v>
      </c>
      <c r="I144" s="14" t="n">
        <v>0</v>
      </c>
      <c r="J144" s="14" t="n">
        <v>0</v>
      </c>
      <c r="K144" s="15" t="n"/>
      <c r="L144" s="8" t="inlineStr">
        <is>
          <t>Data held</t>
        </is>
      </c>
      <c r="M144" s="8" t="inlineStr">
        <is>
          <t>ESG</t>
        </is>
      </c>
      <c r="N144" s="11" t="inlineStr"/>
      <c r="O144" s="11" t="inlineStr"/>
      <c r="P144" s="11" t="inlineStr"/>
      <c r="Q144" s="11" t="inlineStr"/>
      <c r="R144" s="11" t="inlineStr"/>
      <c r="S144" s="11" t="inlineStr"/>
    </row>
    <row r="145">
      <c r="B145" s="13" t="inlineStr">
        <is>
          <t>CL1(a)</t>
        </is>
      </c>
      <c r="C145" s="8" t="inlineStr"/>
      <c r="D145" s="8" t="inlineStr"/>
      <c r="E145" s="19" t="inlineStr">
        <is>
          <t>Accommodation and facilities</t>
        </is>
      </c>
      <c r="F145" s="8" t="inlineStr">
        <is>
          <t>tCO2e</t>
        </is>
      </c>
      <c r="G145" s="14" t="n"/>
      <c r="H145" s="14" t="n">
        <v>0</v>
      </c>
      <c r="I145" s="14" t="n">
        <v>0</v>
      </c>
      <c r="J145" s="14" t="n">
        <v>0</v>
      </c>
      <c r="K145" s="15" t="n"/>
      <c r="L145" s="8" t="inlineStr">
        <is>
          <t>Data held</t>
        </is>
      </c>
      <c r="M145" s="8" t="inlineStr">
        <is>
          <t>ESG</t>
        </is>
      </c>
      <c r="N145" s="11" t="inlineStr"/>
      <c r="O145" s="11" t="inlineStr"/>
      <c r="P145" s="11" t="inlineStr"/>
      <c r="Q145" s="11" t="inlineStr"/>
      <c r="R145" s="11" t="inlineStr"/>
      <c r="S145" s="11" t="inlineStr"/>
    </row>
    <row r="146">
      <c r="B146" s="13" t="inlineStr">
        <is>
          <t>CL1(a)</t>
        </is>
      </c>
      <c r="C146" s="8" t="inlineStr"/>
      <c r="D146" s="8" t="inlineStr"/>
      <c r="E146" s="19" t="inlineStr">
        <is>
          <t>Working from home</t>
        </is>
      </c>
      <c r="F146" s="8" t="inlineStr">
        <is>
          <t>tCO2e</t>
        </is>
      </c>
      <c r="G146" s="14" t="n"/>
      <c r="H146" s="14" t="n">
        <v>0</v>
      </c>
      <c r="I146" s="14" t="n">
        <v>0</v>
      </c>
      <c r="J146" s="14" t="n">
        <v>0</v>
      </c>
      <c r="K146" s="15" t="n"/>
      <c r="L146" s="8" t="inlineStr">
        <is>
          <t>Data held</t>
        </is>
      </c>
      <c r="M146" s="8" t="inlineStr">
        <is>
          <t>ESG</t>
        </is>
      </c>
      <c r="N146" s="11" t="inlineStr"/>
      <c r="O146" s="11" t="inlineStr"/>
      <c r="P146" s="11" t="inlineStr"/>
      <c r="Q146" s="11" t="inlineStr"/>
      <c r="R146" s="11" t="inlineStr"/>
      <c r="S146" s="11" t="inlineStr"/>
    </row>
    <row r="147">
      <c r="B147" s="13" t="inlineStr">
        <is>
          <t>CL1(a)</t>
        </is>
      </c>
      <c r="C147" s="8" t="inlineStr"/>
      <c r="D147" s="8" t="inlineStr"/>
      <c r="E147" s="19" t="inlineStr">
        <is>
          <t>Waste</t>
        </is>
      </c>
      <c r="F147" s="8" t="inlineStr">
        <is>
          <t>tCO2e</t>
        </is>
      </c>
      <c r="G147" s="14" t="n"/>
      <c r="H147" s="14" t="n">
        <v>0</v>
      </c>
      <c r="I147" s="14" t="n">
        <v>0</v>
      </c>
      <c r="J147" s="14" t="n">
        <v>0</v>
      </c>
      <c r="K147" s="15" t="n"/>
      <c r="L147" s="8" t="inlineStr">
        <is>
          <t>Data held</t>
        </is>
      </c>
      <c r="M147" s="8" t="inlineStr">
        <is>
          <t>ESG</t>
        </is>
      </c>
      <c r="N147" s="11" t="inlineStr"/>
      <c r="O147" s="11" t="inlineStr"/>
      <c r="P147" s="11" t="inlineStr"/>
      <c r="Q147" s="11" t="inlineStr"/>
      <c r="R147" s="11" t="inlineStr"/>
      <c r="S147" s="11" t="inlineStr"/>
    </row>
    <row r="148">
      <c r="B148" s="13" t="inlineStr">
        <is>
          <t>CL1(a)</t>
        </is>
      </c>
      <c r="C148" s="8" t="inlineStr"/>
      <c r="D148" s="8" t="inlineStr"/>
      <c r="E148" s="19" t="inlineStr">
        <is>
          <t>Cleaning and chemicals</t>
        </is>
      </c>
      <c r="F148" s="8" t="inlineStr">
        <is>
          <t>tCO2e</t>
        </is>
      </c>
      <c r="G148" s="14" t="n"/>
      <c r="H148" s="14" t="n">
        <v>0</v>
      </c>
      <c r="I148" s="14" t="n">
        <v>0</v>
      </c>
      <c r="J148" s="14" t="n">
        <v>0</v>
      </c>
      <c r="K148" s="15" t="n"/>
      <c r="L148" s="8" t="inlineStr">
        <is>
          <t>Data held</t>
        </is>
      </c>
      <c r="M148" s="8" t="inlineStr">
        <is>
          <t>ESG</t>
        </is>
      </c>
      <c r="N148" s="11" t="inlineStr"/>
      <c r="O148" s="11" t="inlineStr"/>
      <c r="P148" s="11" t="inlineStr"/>
      <c r="Q148" s="11" t="inlineStr"/>
      <c r="R148" s="11" t="inlineStr"/>
      <c r="S148" s="11" t="inlineStr"/>
    </row>
    <row r="149">
      <c r="B149" s="13" t="inlineStr">
        <is>
          <t>CL1(a)</t>
        </is>
      </c>
      <c r="C149" s="8" t="inlineStr"/>
      <c r="D149" s="8" t="inlineStr"/>
      <c r="E149" s="19" t="inlineStr">
        <is>
          <t>Water</t>
        </is>
      </c>
      <c r="F149" s="8" t="inlineStr">
        <is>
          <t>tCO2e</t>
        </is>
      </c>
      <c r="G149" s="14" t="n"/>
      <c r="H149" s="14" t="n">
        <v>0</v>
      </c>
      <c r="I149" s="14" t="n">
        <v>0</v>
      </c>
      <c r="J149" s="14" t="n">
        <v>0</v>
      </c>
      <c r="K149" s="15" t="n"/>
      <c r="L149" s="8" t="inlineStr">
        <is>
          <t>Data held</t>
        </is>
      </c>
      <c r="M149" s="8" t="inlineStr">
        <is>
          <t>ESG</t>
        </is>
      </c>
      <c r="N149" s="11" t="inlineStr"/>
      <c r="O149" s="11" t="inlineStr"/>
      <c r="P149" s="11" t="inlineStr"/>
      <c r="Q149" s="11" t="inlineStr"/>
      <c r="R149" s="11" t="inlineStr"/>
      <c r="S149" s="11" t="inlineStr"/>
    </row>
    <row r="150">
      <c r="B150" s="13" t="inlineStr">
        <is>
          <t>CL1(a)</t>
        </is>
      </c>
      <c r="C150" s="8" t="inlineStr"/>
      <c r="D150" s="8" t="inlineStr"/>
      <c r="E150" s="19" t="inlineStr">
        <is>
          <t>Postage, courier and freight</t>
        </is>
      </c>
      <c r="F150" s="8" t="inlineStr">
        <is>
          <t>tCO2e</t>
        </is>
      </c>
      <c r="G150" s="14" t="n"/>
      <c r="H150" s="14" t="n">
        <v>0</v>
      </c>
      <c r="I150" s="14" t="n">
        <v>0</v>
      </c>
      <c r="J150" s="14" t="n">
        <v>0</v>
      </c>
      <c r="K150" s="15" t="n"/>
      <c r="L150" s="8" t="inlineStr">
        <is>
          <t>Data held</t>
        </is>
      </c>
      <c r="M150" s="8" t="inlineStr">
        <is>
          <t>ESG</t>
        </is>
      </c>
      <c r="N150" s="11" t="inlineStr"/>
      <c r="O150" s="11" t="inlineStr"/>
      <c r="P150" s="11" t="inlineStr"/>
      <c r="Q150" s="11" t="inlineStr"/>
      <c r="R150" s="11" t="inlineStr"/>
      <c r="S150" s="11" t="inlineStr"/>
    </row>
    <row r="151">
      <c r="B151" s="13" t="inlineStr">
        <is>
          <t>CL1(a)</t>
        </is>
      </c>
      <c r="C151" s="8" t="inlineStr"/>
      <c r="D151" s="8" t="inlineStr"/>
      <c r="E151" s="19" t="inlineStr">
        <is>
          <t>Machinery and vehicles</t>
        </is>
      </c>
      <c r="F151" s="8" t="inlineStr">
        <is>
          <t>tCO2e</t>
        </is>
      </c>
      <c r="G151" s="14" t="n"/>
      <c r="H151" s="14" t="n">
        <v>0</v>
      </c>
      <c r="I151" s="14" t="n">
        <v>0</v>
      </c>
      <c r="J151" s="14" t="n">
        <v>0</v>
      </c>
      <c r="K151" s="15" t="n"/>
      <c r="L151" s="8" t="inlineStr">
        <is>
          <t>Data held</t>
        </is>
      </c>
      <c r="M151" s="8" t="inlineStr">
        <is>
          <t>ESG</t>
        </is>
      </c>
      <c r="N151" s="11" t="inlineStr"/>
      <c r="O151" s="11" t="inlineStr"/>
      <c r="P151" s="11" t="inlineStr"/>
      <c r="Q151" s="11" t="inlineStr"/>
      <c r="R151" s="11" t="inlineStr"/>
      <c r="S151" s="11" t="inlineStr"/>
    </row>
    <row r="152">
      <c r="B152" s="13" t="inlineStr">
        <is>
          <t>CL1(a)</t>
        </is>
      </c>
      <c r="C152" s="8" t="inlineStr"/>
      <c r="D152" s="8" t="inlineStr"/>
      <c r="E152" s="19" t="inlineStr">
        <is>
          <t>Horticulture and agriculture</t>
        </is>
      </c>
      <c r="F152" s="8" t="inlineStr">
        <is>
          <t>tCO2e</t>
        </is>
      </c>
      <c r="G152" s="14" t="n"/>
      <c r="H152" s="14" t="n">
        <v>0</v>
      </c>
      <c r="I152" s="14" t="n">
        <v>0</v>
      </c>
      <c r="J152" s="14" t="n">
        <v>0</v>
      </c>
      <c r="K152" s="15" t="n"/>
      <c r="L152" s="8" t="inlineStr">
        <is>
          <t>Data held</t>
        </is>
      </c>
      <c r="M152" s="8" t="inlineStr">
        <is>
          <t>ESG</t>
        </is>
      </c>
      <c r="N152" s="11" t="inlineStr"/>
      <c r="O152" s="11" t="inlineStr"/>
      <c r="P152" s="11" t="inlineStr"/>
      <c r="Q152" s="11" t="inlineStr"/>
      <c r="R152" s="11" t="inlineStr"/>
      <c r="S152" s="11" t="inlineStr"/>
    </row>
    <row r="153">
      <c r="B153" s="13" t="inlineStr">
        <is>
          <t>CL1(a)</t>
        </is>
      </c>
      <c r="C153" s="8" t="inlineStr"/>
      <c r="D153" s="8" t="inlineStr"/>
      <c r="E153" s="19" t="inlineStr">
        <is>
          <t>Roads and landscape</t>
        </is>
      </c>
      <c r="F153" s="8" t="inlineStr">
        <is>
          <t>tCO2e</t>
        </is>
      </c>
      <c r="G153" s="14" t="n"/>
      <c r="H153" s="14" t="n">
        <v>0</v>
      </c>
      <c r="I153" s="14" t="n">
        <v>0</v>
      </c>
      <c r="J153" s="14" t="n">
        <v>0</v>
      </c>
      <c r="K153" s="15" t="n"/>
      <c r="L153" s="8" t="inlineStr">
        <is>
          <t>Data held</t>
        </is>
      </c>
      <c r="M153" s="8" t="inlineStr">
        <is>
          <t>ESG</t>
        </is>
      </c>
      <c r="N153" s="11" t="inlineStr"/>
      <c r="O153" s="11" t="inlineStr"/>
      <c r="P153" s="11" t="inlineStr"/>
      <c r="Q153" s="11" t="inlineStr"/>
      <c r="R153" s="11" t="inlineStr"/>
      <c r="S153" s="11" t="inlineStr"/>
    </row>
    <row r="154">
      <c r="B154" s="13" t="inlineStr">
        <is>
          <t>CL1(a)</t>
        </is>
      </c>
      <c r="C154" s="8" t="inlineStr"/>
      <c r="D154" s="8" t="inlineStr"/>
      <c r="E154" s="19" t="inlineStr">
        <is>
          <t>Other</t>
        </is>
      </c>
      <c r="F154" s="8" t="inlineStr">
        <is>
          <t>tCO2e</t>
        </is>
      </c>
      <c r="G154" s="14" t="n"/>
      <c r="H154" s="14" t="n">
        <v>0</v>
      </c>
      <c r="I154" s="14" t="n">
        <v>0</v>
      </c>
      <c r="J154" s="14" t="n">
        <v>0</v>
      </c>
      <c r="K154" s="15" t="n"/>
      <c r="L154" s="8" t="inlineStr">
        <is>
          <t>Data held</t>
        </is>
      </c>
      <c r="M154" s="8" t="inlineStr">
        <is>
          <t>ESG</t>
        </is>
      </c>
      <c r="N154" s="11" t="inlineStr"/>
      <c r="O154" s="11" t="inlineStr"/>
      <c r="P154" s="11" t="inlineStr"/>
      <c r="Q154" s="11" t="inlineStr"/>
      <c r="R154" s="11" t="inlineStr"/>
      <c r="S154" s="11" t="inlineStr"/>
    </row>
    <row r="155">
      <c r="B155" s="13" t="inlineStr">
        <is>
          <t>CL1(a)</t>
        </is>
      </c>
      <c r="C155" s="8" t="inlineStr"/>
      <c r="D155" s="8" t="inlineStr"/>
      <c r="E155" s="18" t="inlineStr">
        <is>
          <t>Indirect Scope 3 emissions</t>
        </is>
      </c>
      <c r="F155" s="8" t="inlineStr">
        <is>
          <t>tCO2e</t>
        </is>
      </c>
      <c r="G155" s="14" t="n"/>
      <c r="H155" s="14" t="n">
        <v>193049</v>
      </c>
      <c r="I155" s="14" t="n">
        <v>175574</v>
      </c>
      <c r="J155" s="14" t="n">
        <v>154222</v>
      </c>
      <c r="K155" s="15" t="n"/>
      <c r="L155" s="8" t="inlineStr">
        <is>
          <t>Data held</t>
        </is>
      </c>
      <c r="M155" s="8" t="inlineStr">
        <is>
          <t>ESG</t>
        </is>
      </c>
      <c r="N155" s="11" t="inlineStr"/>
      <c r="O155" s="11" t="inlineStr"/>
      <c r="P155" s="11" t="inlineStr"/>
      <c r="Q155" s="11" t="inlineStr"/>
      <c r="R155" s="11" t="inlineStr"/>
      <c r="S155" s="11" t="inlineStr"/>
    </row>
    <row r="156">
      <c r="B156" s="13" t="inlineStr">
        <is>
          <t>CL1(a)</t>
        </is>
      </c>
      <c r="C156" s="8" t="inlineStr"/>
      <c r="D156" s="8" t="inlineStr"/>
      <c r="E156" s="19" t="inlineStr">
        <is>
          <t>Stationary energy (gaseous fuels)</t>
        </is>
      </c>
      <c r="F156" s="8" t="inlineStr">
        <is>
          <t>tCO2e</t>
        </is>
      </c>
      <c r="G156" s="14" t="n"/>
      <c r="H156" s="14" t="n">
        <v>1102</v>
      </c>
      <c r="I156" s="14" t="n">
        <v>1061</v>
      </c>
      <c r="J156" s="14" t="n">
        <v>2315</v>
      </c>
      <c r="K156" s="15" t="n"/>
      <c r="L156" s="8" t="inlineStr">
        <is>
          <t>Data held</t>
        </is>
      </c>
      <c r="M156" s="8" t="inlineStr">
        <is>
          <t>ESG</t>
        </is>
      </c>
      <c r="N156" s="11" t="inlineStr"/>
      <c r="O156" s="11" t="inlineStr"/>
      <c r="P156" s="11" t="inlineStr"/>
      <c r="Q156" s="11" t="inlineStr"/>
      <c r="R156" s="11" t="inlineStr"/>
      <c r="S156" s="11" t="inlineStr"/>
    </row>
    <row r="157">
      <c r="B157" s="13" t="inlineStr">
        <is>
          <t>CL1(a)</t>
        </is>
      </c>
      <c r="C157" s="8" t="inlineStr"/>
      <c r="D157" s="8" t="inlineStr"/>
      <c r="E157" s="19" t="inlineStr">
        <is>
          <t>Refrigerants</t>
        </is>
      </c>
      <c r="F157" s="8" t="inlineStr">
        <is>
          <t>tCO2e</t>
        </is>
      </c>
      <c r="G157" s="14" t="n"/>
      <c r="H157" s="14" t="n"/>
      <c r="I157" s="14" t="n"/>
      <c r="J157" s="14" t="n">
        <v>80</v>
      </c>
      <c r="K157" s="15" t="n"/>
      <c r="L157" s="8" t="inlineStr">
        <is>
          <t>Data held</t>
        </is>
      </c>
      <c r="M157" s="8" t="inlineStr">
        <is>
          <t>ESG</t>
        </is>
      </c>
      <c r="N157" s="11" t="inlineStr"/>
      <c r="O157" s="11" t="inlineStr"/>
      <c r="P157" s="11" t="inlineStr"/>
      <c r="Q157" s="11" t="inlineStr"/>
      <c r="R157" s="11" t="inlineStr"/>
      <c r="S157" s="11" t="inlineStr"/>
    </row>
    <row r="158">
      <c r="B158" s="13" t="inlineStr">
        <is>
          <t>CL1(a)</t>
        </is>
      </c>
      <c r="C158" s="8" t="inlineStr"/>
      <c r="D158" s="8" t="inlineStr"/>
      <c r="E158" s="19" t="inlineStr">
        <is>
          <t>Transport (land and sea)</t>
        </is>
      </c>
      <c r="F158" s="8" t="inlineStr">
        <is>
          <t>tCO2e</t>
        </is>
      </c>
      <c r="G158" s="14" t="n"/>
      <c r="H158" s="14" t="n">
        <v>7394</v>
      </c>
      <c r="I158" s="14" t="n">
        <v>5564</v>
      </c>
      <c r="J158" s="14" t="n">
        <v>5461</v>
      </c>
      <c r="K158" s="15" t="n"/>
      <c r="L158" s="8" t="inlineStr">
        <is>
          <t>Data held</t>
        </is>
      </c>
      <c r="M158" s="8" t="inlineStr">
        <is>
          <t>ESG</t>
        </is>
      </c>
      <c r="N158" s="11" t="inlineStr"/>
      <c r="O158" s="11" t="inlineStr"/>
      <c r="P158" s="11" t="inlineStr"/>
      <c r="Q158" s="11" t="inlineStr"/>
      <c r="R158" s="11" t="inlineStr"/>
      <c r="S158" s="11" t="inlineStr"/>
    </row>
    <row r="159">
      <c r="B159" s="13" t="inlineStr">
        <is>
          <t>CL1(a)</t>
        </is>
      </c>
      <c r="C159" s="8" t="inlineStr"/>
      <c r="D159" s="8" t="inlineStr"/>
      <c r="E159" s="19" t="inlineStr">
        <is>
          <t>Stationary energy (LPG)</t>
        </is>
      </c>
      <c r="F159" s="8" t="inlineStr">
        <is>
          <t>tCO2e</t>
        </is>
      </c>
      <c r="G159" s="14" t="n"/>
      <c r="H159" s="14" t="n">
        <v>52</v>
      </c>
      <c r="I159" s="14" t="n">
        <v>10</v>
      </c>
      <c r="J159" s="14" t="n">
        <v>0</v>
      </c>
      <c r="K159" s="15" t="n"/>
      <c r="L159" s="8" t="inlineStr">
        <is>
          <t>Data held</t>
        </is>
      </c>
      <c r="M159" s="8" t="inlineStr">
        <is>
          <t>ESG</t>
        </is>
      </c>
      <c r="N159" s="11" t="inlineStr"/>
      <c r="O159" s="11" t="inlineStr"/>
      <c r="P159" s="11" t="inlineStr"/>
      <c r="Q159" s="11" t="inlineStr"/>
      <c r="R159" s="11" t="inlineStr"/>
      <c r="S159" s="11" t="inlineStr"/>
    </row>
    <row r="160">
      <c r="B160" s="13" t="inlineStr">
        <is>
          <t>CL1(a)</t>
        </is>
      </c>
      <c r="C160" s="8" t="inlineStr"/>
      <c r="D160" s="8" t="inlineStr"/>
      <c r="E160" s="19" t="inlineStr">
        <is>
          <t>Electricity (Market-Based)</t>
        </is>
      </c>
      <c r="F160" s="8" t="inlineStr">
        <is>
          <t>tCO2e</t>
        </is>
      </c>
      <c r="G160" s="14" t="n"/>
      <c r="H160" s="14" t="n">
        <v>3878</v>
      </c>
      <c r="I160" s="14" t="n">
        <v>3592</v>
      </c>
      <c r="J160" s="14" t="n">
        <v>4644</v>
      </c>
      <c r="K160" s="15" t="n"/>
      <c r="L160" s="8" t="inlineStr">
        <is>
          <t>Data held</t>
        </is>
      </c>
      <c r="M160" s="8" t="inlineStr">
        <is>
          <t>ESG</t>
        </is>
      </c>
      <c r="N160" s="11" t="inlineStr"/>
      <c r="O160" s="11" t="inlineStr"/>
      <c r="P160" s="11" t="inlineStr"/>
      <c r="Q160" s="11" t="inlineStr"/>
      <c r="R160" s="11" t="inlineStr"/>
      <c r="S160" s="11" t="inlineStr"/>
    </row>
    <row r="161">
      <c r="B161" s="13" t="inlineStr">
        <is>
          <t>CL1(a)</t>
        </is>
      </c>
      <c r="C161" s="8" t="inlineStr"/>
      <c r="D161" s="8" t="inlineStr"/>
      <c r="E161" s="19" t="inlineStr">
        <is>
          <t>Professional services</t>
        </is>
      </c>
      <c r="F161" s="8" t="inlineStr">
        <is>
          <t>tCO2e</t>
        </is>
      </c>
      <c r="G161" s="14" t="n"/>
      <c r="H161" s="14" t="n">
        <v>58053</v>
      </c>
      <c r="I161" s="14" t="n">
        <v>69377</v>
      </c>
      <c r="J161" s="14" t="n">
        <v>69347</v>
      </c>
      <c r="K161" s="15" t="n"/>
      <c r="L161" s="8" t="inlineStr">
        <is>
          <t>Data held</t>
        </is>
      </c>
      <c r="M161" s="8" t="inlineStr">
        <is>
          <t>ESG</t>
        </is>
      </c>
      <c r="N161" s="11" t="inlineStr"/>
      <c r="O161" s="11" t="inlineStr"/>
      <c r="P161" s="11" t="inlineStr"/>
      <c r="Q161" s="11" t="inlineStr"/>
      <c r="R161" s="11" t="inlineStr"/>
      <c r="S161" s="11" t="inlineStr"/>
    </row>
    <row r="162">
      <c r="B162" s="13" t="inlineStr">
        <is>
          <t>CL1(a)</t>
        </is>
      </c>
      <c r="C162" s="8" t="inlineStr"/>
      <c r="D162" s="8" t="inlineStr"/>
      <c r="E162" s="19" t="inlineStr">
        <is>
          <t>Construction materials and services</t>
        </is>
      </c>
      <c r="F162" s="8" t="inlineStr">
        <is>
          <t>tCO2e</t>
        </is>
      </c>
      <c r="G162" s="14" t="n"/>
      <c r="H162" s="14" t="n">
        <v>27169</v>
      </c>
      <c r="I162" s="14" t="n">
        <v>20601</v>
      </c>
      <c r="J162" s="14" t="n">
        <v>15830</v>
      </c>
      <c r="K162" s="15" t="n"/>
      <c r="L162" s="8" t="inlineStr">
        <is>
          <t>Data held</t>
        </is>
      </c>
      <c r="M162" s="8" t="inlineStr">
        <is>
          <t>ESG</t>
        </is>
      </c>
      <c r="N162" s="11" t="inlineStr"/>
      <c r="O162" s="11" t="inlineStr"/>
      <c r="P162" s="11" t="inlineStr"/>
      <c r="Q162" s="11" t="inlineStr"/>
      <c r="R162" s="11" t="inlineStr"/>
      <c r="S162" s="11" t="inlineStr"/>
    </row>
    <row r="163">
      <c r="B163" s="13" t="inlineStr">
        <is>
          <t>CL1(a)</t>
        </is>
      </c>
      <c r="C163" s="8" t="inlineStr"/>
      <c r="D163" s="8" t="inlineStr"/>
      <c r="E163" s="19" t="inlineStr">
        <is>
          <t>Transport (air travel)</t>
        </is>
      </c>
      <c r="F163" s="8" t="inlineStr">
        <is>
          <t>tCO2e</t>
        </is>
      </c>
      <c r="G163" s="14" t="n"/>
      <c r="H163" s="14" t="n">
        <v>33556</v>
      </c>
      <c r="I163" s="14" t="n">
        <v>22092</v>
      </c>
      <c r="J163" s="14" t="n">
        <v>20055</v>
      </c>
      <c r="K163" s="15" t="n"/>
      <c r="L163" s="8" t="inlineStr">
        <is>
          <t>Data held</t>
        </is>
      </c>
      <c r="M163" s="8" t="inlineStr">
        <is>
          <t>ESG</t>
        </is>
      </c>
      <c r="N163" s="11" t="inlineStr"/>
      <c r="O163" s="11" t="inlineStr"/>
      <c r="P163" s="11" t="inlineStr"/>
      <c r="Q163" s="11" t="inlineStr"/>
      <c r="R163" s="11" t="inlineStr"/>
      <c r="S163" s="11" t="inlineStr"/>
    </row>
    <row r="164">
      <c r="B164" s="13" t="inlineStr">
        <is>
          <t>CL1(a)</t>
        </is>
      </c>
      <c r="C164" s="8" t="inlineStr"/>
      <c r="D164" s="8" t="inlineStr"/>
      <c r="E164" s="19" t="inlineStr">
        <is>
          <t>ICT services and equipment</t>
        </is>
      </c>
      <c r="F164" s="8" t="inlineStr">
        <is>
          <t>tCO2e</t>
        </is>
      </c>
      <c r="G164" s="14" t="n"/>
      <c r="H164" s="14" t="n">
        <v>13849</v>
      </c>
      <c r="I164" s="14" t="n">
        <v>20458</v>
      </c>
      <c r="J164" s="14" t="n">
        <v>7239</v>
      </c>
      <c r="K164" s="15" t="n"/>
      <c r="L164" s="8" t="inlineStr">
        <is>
          <t>Data held</t>
        </is>
      </c>
      <c r="M164" s="8" t="inlineStr">
        <is>
          <t>ESG</t>
        </is>
      </c>
      <c r="N164" s="11" t="inlineStr"/>
      <c r="O164" s="11" t="inlineStr"/>
      <c r="P164" s="11" t="inlineStr"/>
      <c r="Q164" s="11" t="inlineStr"/>
      <c r="R164" s="11" t="inlineStr"/>
      <c r="S164" s="11" t="inlineStr"/>
    </row>
    <row r="165">
      <c r="B165" s="13" t="inlineStr">
        <is>
          <t>CL1(a)</t>
        </is>
      </c>
      <c r="C165" s="8" t="inlineStr"/>
      <c r="D165" s="8" t="inlineStr"/>
      <c r="E165" s="19" t="inlineStr">
        <is>
          <t>Products</t>
        </is>
      </c>
      <c r="F165" s="8" t="inlineStr">
        <is>
          <t>tCO2e</t>
        </is>
      </c>
      <c r="G165" s="14" t="n"/>
      <c r="H165" s="14" t="n">
        <v>12048</v>
      </c>
      <c r="I165" s="14" t="n">
        <v>11820</v>
      </c>
      <c r="J165" s="14" t="n">
        <v>8012</v>
      </c>
      <c r="K165" s="15" t="n"/>
      <c r="L165" s="8" t="inlineStr">
        <is>
          <t>Data held</t>
        </is>
      </c>
      <c r="M165" s="8" t="inlineStr">
        <is>
          <t>ESG</t>
        </is>
      </c>
      <c r="N165" s="11" t="inlineStr"/>
      <c r="O165" s="11" t="inlineStr"/>
      <c r="P165" s="11" t="inlineStr"/>
      <c r="Q165" s="11" t="inlineStr"/>
      <c r="R165" s="11" t="inlineStr"/>
      <c r="S165" s="11" t="inlineStr"/>
    </row>
    <row r="166">
      <c r="B166" s="13" t="inlineStr">
        <is>
          <t>CL1(a)</t>
        </is>
      </c>
      <c r="C166" s="8" t="inlineStr"/>
      <c r="D166" s="8" t="inlineStr"/>
      <c r="E166" s="19" t="inlineStr">
        <is>
          <t>Food</t>
        </is>
      </c>
      <c r="F166" s="8" t="inlineStr">
        <is>
          <t>tCO2e</t>
        </is>
      </c>
      <c r="G166" s="14" t="n"/>
      <c r="H166" s="14" t="n">
        <v>5769</v>
      </c>
      <c r="I166" s="14" t="n">
        <v>6203</v>
      </c>
      <c r="J166" s="14" t="n">
        <v>4055</v>
      </c>
      <c r="K166" s="15" t="n"/>
      <c r="L166" s="8" t="inlineStr">
        <is>
          <t>Data held</t>
        </is>
      </c>
      <c r="M166" s="8" t="inlineStr">
        <is>
          <t>ESG</t>
        </is>
      </c>
      <c r="N166" s="11" t="inlineStr"/>
      <c r="O166" s="11" t="inlineStr"/>
      <c r="P166" s="11" t="inlineStr"/>
      <c r="Q166" s="11" t="inlineStr"/>
      <c r="R166" s="11" t="inlineStr"/>
      <c r="S166" s="11" t="inlineStr"/>
    </row>
    <row r="167">
      <c r="B167" s="13" t="inlineStr">
        <is>
          <t>CL1(a)</t>
        </is>
      </c>
      <c r="C167" s="8" t="inlineStr"/>
      <c r="D167" s="8" t="inlineStr"/>
      <c r="E167" s="19" t="inlineStr">
        <is>
          <t>Office equipment and supplies</t>
        </is>
      </c>
      <c r="F167" s="8" t="inlineStr">
        <is>
          <t>tCO2e</t>
        </is>
      </c>
      <c r="G167" s="14" t="n"/>
      <c r="H167" s="14" t="n">
        <v>13961</v>
      </c>
      <c r="I167" s="14" t="n">
        <v>3893</v>
      </c>
      <c r="J167" s="14" t="n">
        <v>3536</v>
      </c>
      <c r="K167" s="15" t="n"/>
      <c r="L167" s="8" t="inlineStr">
        <is>
          <t>Data held</t>
        </is>
      </c>
      <c r="M167" s="8" t="inlineStr">
        <is>
          <t>ESG</t>
        </is>
      </c>
      <c r="N167" s="11" t="inlineStr"/>
      <c r="O167" s="11" t="inlineStr"/>
      <c r="P167" s="11" t="inlineStr"/>
      <c r="Q167" s="11" t="inlineStr"/>
      <c r="R167" s="11" t="inlineStr"/>
      <c r="S167" s="11" t="inlineStr"/>
    </row>
    <row r="168">
      <c r="B168" s="13" t="inlineStr">
        <is>
          <t>CL1(a)</t>
        </is>
      </c>
      <c r="C168" s="8" t="inlineStr"/>
      <c r="D168" s="8" t="inlineStr"/>
      <c r="E168" s="19" t="inlineStr">
        <is>
          <t>Accommodation and facilities</t>
        </is>
      </c>
      <c r="F168" s="8" t="inlineStr">
        <is>
          <t>tCO2e</t>
        </is>
      </c>
      <c r="G168" s="14" t="n"/>
      <c r="H168" s="14" t="n">
        <v>1649</v>
      </c>
      <c r="I168" s="14" t="n">
        <v>2412</v>
      </c>
      <c r="J168" s="14" t="n">
        <v>1552</v>
      </c>
      <c r="K168" s="15" t="n"/>
      <c r="L168" s="8" t="inlineStr">
        <is>
          <t>Data held</t>
        </is>
      </c>
      <c r="M168" s="8" t="inlineStr">
        <is>
          <t>ESG</t>
        </is>
      </c>
      <c r="N168" s="11" t="inlineStr"/>
      <c r="O168" s="11" t="inlineStr"/>
      <c r="P168" s="11" t="inlineStr"/>
      <c r="Q168" s="11" t="inlineStr"/>
      <c r="R168" s="11" t="inlineStr"/>
      <c r="S168" s="11" t="inlineStr"/>
    </row>
    <row r="169">
      <c r="B169" s="13" t="inlineStr">
        <is>
          <t>CL1(a)</t>
        </is>
      </c>
      <c r="C169" s="8" t="inlineStr"/>
      <c r="D169" s="8" t="inlineStr"/>
      <c r="E169" s="19" t="inlineStr">
        <is>
          <t>Working from home</t>
        </is>
      </c>
      <c r="F169" s="8" t="inlineStr">
        <is>
          <t>tCO2e</t>
        </is>
      </c>
      <c r="G169" s="14" t="n"/>
      <c r="H169" s="14" t="n">
        <v>3204</v>
      </c>
      <c r="I169" s="14" t="n">
        <v>2582</v>
      </c>
      <c r="J169" s="14" t="n">
        <v>2607</v>
      </c>
      <c r="K169" s="15" t="n"/>
      <c r="L169" s="8" t="inlineStr">
        <is>
          <t>Data held</t>
        </is>
      </c>
      <c r="M169" s="8" t="inlineStr">
        <is>
          <t>ESG</t>
        </is>
      </c>
      <c r="N169" s="11" t="inlineStr"/>
      <c r="O169" s="11" t="inlineStr"/>
      <c r="P169" s="11" t="inlineStr"/>
      <c r="Q169" s="11" t="inlineStr"/>
      <c r="R169" s="11" t="inlineStr"/>
      <c r="S169" s="11" t="inlineStr"/>
    </row>
    <row r="170">
      <c r="B170" s="13" t="inlineStr">
        <is>
          <t>CL1(a)</t>
        </is>
      </c>
      <c r="C170" s="8" t="inlineStr"/>
      <c r="D170" s="8" t="inlineStr"/>
      <c r="E170" s="19" t="inlineStr">
        <is>
          <t>Waste</t>
        </is>
      </c>
      <c r="F170" s="8" t="inlineStr">
        <is>
          <t>tCO2e</t>
        </is>
      </c>
      <c r="G170" s="14" t="n"/>
      <c r="H170" s="14" t="n">
        <v>2460</v>
      </c>
      <c r="I170" s="14" t="n">
        <v>2265</v>
      </c>
      <c r="J170" s="14" t="n">
        <v>2275</v>
      </c>
      <c r="K170" s="15" t="n"/>
      <c r="L170" s="8" t="inlineStr">
        <is>
          <t>Data held</t>
        </is>
      </c>
      <c r="M170" s="8" t="inlineStr">
        <is>
          <t>ESG</t>
        </is>
      </c>
      <c r="N170" s="11" t="inlineStr"/>
      <c r="O170" s="11" t="inlineStr"/>
      <c r="P170" s="11" t="inlineStr"/>
      <c r="Q170" s="11" t="inlineStr"/>
      <c r="R170" s="11" t="inlineStr"/>
      <c r="S170" s="11" t="inlineStr"/>
    </row>
    <row r="171">
      <c r="B171" s="13" t="inlineStr">
        <is>
          <t>CL1(a)</t>
        </is>
      </c>
      <c r="C171" s="8" t="inlineStr"/>
      <c r="D171" s="8" t="inlineStr"/>
      <c r="E171" s="19" t="inlineStr">
        <is>
          <t>Cleaning and chemicals</t>
        </is>
      </c>
      <c r="F171" s="8" t="inlineStr">
        <is>
          <t>tCO2e</t>
        </is>
      </c>
      <c r="G171" s="14" t="n"/>
      <c r="H171" s="14" t="n">
        <v>1995</v>
      </c>
      <c r="I171" s="14" t="n">
        <v>930</v>
      </c>
      <c r="J171" s="14" t="n">
        <v>1673</v>
      </c>
      <c r="K171" s="15" t="n"/>
      <c r="L171" s="8" t="inlineStr">
        <is>
          <t>Data held</t>
        </is>
      </c>
      <c r="M171" s="8" t="inlineStr">
        <is>
          <t>ESG</t>
        </is>
      </c>
      <c r="N171" s="11" t="inlineStr"/>
      <c r="O171" s="11" t="inlineStr"/>
      <c r="P171" s="11" t="inlineStr"/>
      <c r="Q171" s="11" t="inlineStr"/>
      <c r="R171" s="11" t="inlineStr"/>
      <c r="S171" s="11" t="inlineStr"/>
    </row>
    <row r="172">
      <c r="B172" s="13" t="inlineStr">
        <is>
          <t>CL1(a)</t>
        </is>
      </c>
      <c r="C172" s="8" t="inlineStr"/>
      <c r="D172" s="8" t="inlineStr"/>
      <c r="E172" s="19" t="inlineStr">
        <is>
          <t>Water</t>
        </is>
      </c>
      <c r="F172" s="8" t="inlineStr">
        <is>
          <t>tCO2e</t>
        </is>
      </c>
      <c r="G172" s="14" t="n"/>
      <c r="H172" s="14" t="n">
        <v>801</v>
      </c>
      <c r="I172" s="14" t="n">
        <v>1068</v>
      </c>
      <c r="J172" s="14" t="n">
        <v>1048</v>
      </c>
      <c r="K172" s="15" t="n"/>
      <c r="L172" s="8" t="inlineStr">
        <is>
          <t>Data held</t>
        </is>
      </c>
      <c r="M172" s="8" t="inlineStr">
        <is>
          <t>ESG</t>
        </is>
      </c>
      <c r="N172" s="11" t="inlineStr"/>
      <c r="O172" s="11" t="inlineStr"/>
      <c r="P172" s="11" t="inlineStr"/>
      <c r="Q172" s="11" t="inlineStr"/>
      <c r="R172" s="11" t="inlineStr"/>
      <c r="S172" s="11" t="inlineStr"/>
    </row>
    <row r="173">
      <c r="B173" s="13" t="inlineStr">
        <is>
          <t>CL1(a)</t>
        </is>
      </c>
      <c r="C173" s="8" t="inlineStr"/>
      <c r="D173" s="8" t="inlineStr"/>
      <c r="E173" s="19" t="inlineStr">
        <is>
          <t>Postage, courier and freight</t>
        </is>
      </c>
      <c r="F173" s="8" t="inlineStr">
        <is>
          <t>tCO2e</t>
        </is>
      </c>
      <c r="G173" s="14" t="n"/>
      <c r="H173" s="14" t="n">
        <v>791</v>
      </c>
      <c r="I173" s="14" t="n">
        <v>1138</v>
      </c>
      <c r="J173" s="14" t="n">
        <v>2320</v>
      </c>
      <c r="K173" s="15" t="n"/>
      <c r="L173" s="8" t="inlineStr">
        <is>
          <t>Data held</t>
        </is>
      </c>
      <c r="M173" s="8" t="inlineStr">
        <is>
          <t>ESG</t>
        </is>
      </c>
      <c r="N173" s="11" t="inlineStr"/>
      <c r="O173" s="11" t="inlineStr"/>
      <c r="P173" s="11" t="inlineStr"/>
      <c r="Q173" s="11" t="inlineStr"/>
      <c r="R173" s="11" t="inlineStr"/>
      <c r="S173" s="11" t="inlineStr"/>
    </row>
    <row r="174">
      <c r="B174" s="13" t="inlineStr">
        <is>
          <t>CL1(a)</t>
        </is>
      </c>
      <c r="C174" s="8" t="inlineStr"/>
      <c r="D174" s="8" t="inlineStr"/>
      <c r="E174" s="19" t="inlineStr">
        <is>
          <t>Machinery and vehicles</t>
        </is>
      </c>
      <c r="F174" s="8" t="inlineStr">
        <is>
          <t>tCO2e</t>
        </is>
      </c>
      <c r="G174" s="14" t="n"/>
      <c r="H174" s="14" t="n">
        <v>1142</v>
      </c>
      <c r="I174" s="14" t="n">
        <v>448</v>
      </c>
      <c r="J174" s="14" t="n">
        <v>1939</v>
      </c>
      <c r="K174" s="15" t="n"/>
      <c r="L174" s="8" t="inlineStr">
        <is>
          <t>Data held</t>
        </is>
      </c>
      <c r="M174" s="8" t="inlineStr">
        <is>
          <t>ESG</t>
        </is>
      </c>
      <c r="N174" s="11" t="inlineStr"/>
      <c r="O174" s="11" t="inlineStr"/>
      <c r="P174" s="11" t="inlineStr"/>
      <c r="Q174" s="11" t="inlineStr"/>
      <c r="R174" s="11" t="inlineStr"/>
      <c r="S174" s="11" t="inlineStr"/>
    </row>
    <row r="175">
      <c r="B175" s="13" t="inlineStr">
        <is>
          <t>CL1(a)</t>
        </is>
      </c>
      <c r="C175" s="8" t="inlineStr"/>
      <c r="D175" s="8" t="inlineStr"/>
      <c r="E175" s="19" t="inlineStr">
        <is>
          <t>Horticulture and agriculture</t>
        </is>
      </c>
      <c r="F175" s="8" t="inlineStr">
        <is>
          <t>tCO2e</t>
        </is>
      </c>
      <c r="G175" s="14" t="n"/>
      <c r="H175" s="14" t="n">
        <v>1682</v>
      </c>
      <c r="I175" s="14" t="n">
        <v>58</v>
      </c>
      <c r="J175" s="14" t="n">
        <v>314</v>
      </c>
      <c r="K175" s="15" t="n"/>
      <c r="L175" s="8" t="inlineStr">
        <is>
          <t>Data held</t>
        </is>
      </c>
      <c r="M175" s="8" t="inlineStr">
        <is>
          <t>ESG</t>
        </is>
      </c>
      <c r="N175" s="11" t="inlineStr"/>
      <c r="O175" s="11" t="inlineStr"/>
      <c r="P175" s="11" t="inlineStr"/>
      <c r="Q175" s="11" t="inlineStr"/>
      <c r="R175" s="11" t="inlineStr"/>
      <c r="S175" s="11" t="inlineStr"/>
    </row>
    <row r="176">
      <c r="B176" s="13" t="inlineStr">
        <is>
          <t>CL1(a)</t>
        </is>
      </c>
      <c r="C176" s="8" t="inlineStr"/>
      <c r="D176" s="8" t="inlineStr"/>
      <c r="E176" s="19" t="inlineStr">
        <is>
          <t>Roads and landscape</t>
        </is>
      </c>
      <c r="F176" s="8" t="inlineStr">
        <is>
          <t>tCO2e</t>
        </is>
      </c>
      <c r="G176" s="14" t="n"/>
      <c r="H176" s="14" t="n">
        <v>0</v>
      </c>
      <c r="I176" s="14" t="n">
        <v>0</v>
      </c>
      <c r="J176" s="14" t="n">
        <v>0</v>
      </c>
      <c r="K176" s="15" t="n"/>
      <c r="L176" s="8" t="inlineStr">
        <is>
          <t>Data held</t>
        </is>
      </c>
      <c r="M176" s="8" t="inlineStr">
        <is>
          <t>ESG</t>
        </is>
      </c>
      <c r="N176" s="11" t="inlineStr"/>
      <c r="O176" s="11" t="inlineStr"/>
      <c r="P176" s="11" t="inlineStr"/>
      <c r="Q176" s="11" t="inlineStr"/>
      <c r="R176" s="11" t="inlineStr"/>
      <c r="S176" s="11" t="inlineStr"/>
    </row>
    <row r="177">
      <c r="B177" s="13" t="inlineStr">
        <is>
          <t>CL1(a)</t>
        </is>
      </c>
      <c r="C177" s="8" t="inlineStr"/>
      <c r="D177" s="8" t="inlineStr"/>
      <c r="E177" s="19" t="inlineStr">
        <is>
          <t>Other</t>
        </is>
      </c>
      <c r="F177" s="8" t="inlineStr">
        <is>
          <t>tCO2e</t>
        </is>
      </c>
      <c r="G177" s="14" t="n"/>
      <c r="H177" s="14" t="n">
        <v>2492</v>
      </c>
      <c r="I177" s="14" t="n">
        <v>0</v>
      </c>
      <c r="J177" s="14" t="n">
        <v>0</v>
      </c>
      <c r="K177" s="15" t="n"/>
      <c r="L177" s="8" t="inlineStr">
        <is>
          <t>Data held</t>
        </is>
      </c>
      <c r="M177" s="8" t="inlineStr">
        <is>
          <t>ESG</t>
        </is>
      </c>
      <c r="N177" s="11" t="inlineStr"/>
      <c r="O177" s="11" t="inlineStr"/>
      <c r="P177" s="11" t="inlineStr"/>
      <c r="Q177" s="11" t="inlineStr"/>
      <c r="R177" s="11" t="inlineStr"/>
      <c r="S177" s="11" t="inlineStr"/>
    </row>
    <row r="178">
      <c r="B178" s="13" t="inlineStr">
        <is>
          <t>CL1(a)</t>
        </is>
      </c>
      <c r="C178" s="8" t="inlineStr"/>
      <c r="D178" s="8" t="inlineStr"/>
      <c r="E178" s="8" t="inlineStr">
        <is>
          <t>Total Carbon offsets</t>
        </is>
      </c>
      <c r="F178" s="8" t="inlineStr">
        <is>
          <t>tCO2e</t>
        </is>
      </c>
      <c r="G178" s="14" t="n"/>
      <c r="H178" s="14" t="n">
        <v>68852</v>
      </c>
      <c r="I178" s="14" t="n">
        <v>54782</v>
      </c>
      <c r="J178" s="14" t="n">
        <v>170705</v>
      </c>
      <c r="K178" s="15" t="n"/>
      <c r="L178" s="8" t="inlineStr">
        <is>
          <t>Data held</t>
        </is>
      </c>
      <c r="M178" s="8" t="inlineStr">
        <is>
          <t>ESG</t>
        </is>
      </c>
      <c r="N178" s="11" t="inlineStr"/>
      <c r="O178" s="11" t="inlineStr"/>
      <c r="P178" s="11" t="inlineStr"/>
      <c r="Q178" s="11" t="inlineStr"/>
      <c r="R178" s="11" t="inlineStr"/>
      <c r="S178" s="11" t="inlineStr"/>
    </row>
    <row r="179">
      <c r="B179" s="13" t="inlineStr">
        <is>
          <t>CL1(a)</t>
        </is>
      </c>
      <c r="C179" s="8" t="inlineStr"/>
      <c r="D179" s="8" t="inlineStr"/>
      <c r="E179" s="18" t="inlineStr">
        <is>
          <t>Carbon offsets for scope 1</t>
        </is>
      </c>
      <c r="F179" s="8" t="inlineStr">
        <is>
          <t>tCO2e</t>
        </is>
      </c>
      <c r="G179" s="14" t="n"/>
      <c r="H179" s="14" t="inlineStr">
        <is>
          <t>N/A</t>
        </is>
      </c>
      <c r="I179" s="14" t="inlineStr">
        <is>
          <t>N/A</t>
        </is>
      </c>
      <c r="J179" s="14" t="n">
        <v>16485</v>
      </c>
      <c r="K179" s="15" t="n"/>
      <c r="L179" s="8" t="inlineStr">
        <is>
          <t>Data held</t>
        </is>
      </c>
      <c r="M179" s="8" t="inlineStr">
        <is>
          <t>ESG</t>
        </is>
      </c>
      <c r="N179" s="11" t="inlineStr"/>
      <c r="O179" s="11" t="inlineStr"/>
      <c r="P179" s="11" t="inlineStr"/>
      <c r="Q179" s="11" t="inlineStr"/>
      <c r="R179" s="11" t="inlineStr"/>
      <c r="S179" s="11" t="inlineStr"/>
    </row>
    <row r="180">
      <c r="B180" s="13" t="inlineStr">
        <is>
          <t>CL1(a)</t>
        </is>
      </c>
      <c r="C180" s="8" t="inlineStr"/>
      <c r="D180" s="8" t="inlineStr"/>
      <c r="E180" s="18" t="inlineStr">
        <is>
          <t>Carbon offsets for scope 2</t>
        </is>
      </c>
      <c r="F180" s="8" t="inlineStr">
        <is>
          <t>tCO2e</t>
        </is>
      </c>
      <c r="G180" s="14" t="n"/>
      <c r="H180" s="14" t="inlineStr">
        <is>
          <t>N/A</t>
        </is>
      </c>
      <c r="I180" s="14" t="inlineStr">
        <is>
          <t>N/A</t>
        </is>
      </c>
      <c r="J180" s="14" t="n">
        <v>0</v>
      </c>
      <c r="K180" s="15" t="n"/>
      <c r="L180" s="8" t="inlineStr">
        <is>
          <t>Data held</t>
        </is>
      </c>
      <c r="M180" s="8" t="inlineStr">
        <is>
          <t>ESG</t>
        </is>
      </c>
      <c r="N180" s="11" t="inlineStr"/>
      <c r="O180" s="11" t="inlineStr"/>
      <c r="P180" s="11" t="inlineStr"/>
      <c r="Q180" s="11" t="inlineStr"/>
      <c r="R180" s="11" t="inlineStr"/>
      <c r="S180" s="11" t="inlineStr"/>
    </row>
    <row r="181">
      <c r="B181" s="13" t="inlineStr">
        <is>
          <t>CL1(a)</t>
        </is>
      </c>
      <c r="C181" s="8" t="inlineStr"/>
      <c r="D181" s="8" t="inlineStr"/>
      <c r="E181" s="18" t="inlineStr">
        <is>
          <t>Carbon offsets for scope 3</t>
        </is>
      </c>
      <c r="F181" s="8" t="inlineStr">
        <is>
          <t>tCO2e</t>
        </is>
      </c>
      <c r="G181" s="14" t="n"/>
      <c r="H181" s="14" t="inlineStr">
        <is>
          <t>N/A</t>
        </is>
      </c>
      <c r="I181" s="14" t="inlineStr">
        <is>
          <t>N/A</t>
        </is>
      </c>
      <c r="J181" s="14" t="n">
        <v>154220</v>
      </c>
      <c r="K181" s="15" t="n"/>
      <c r="L181" s="8" t="inlineStr">
        <is>
          <t>Data held</t>
        </is>
      </c>
      <c r="M181" s="8" t="inlineStr">
        <is>
          <t>ESG</t>
        </is>
      </c>
      <c r="N181" s="11" t="inlineStr"/>
      <c r="O181" s="11" t="inlineStr"/>
      <c r="P181" s="11" t="inlineStr"/>
      <c r="Q181" s="11" t="inlineStr"/>
      <c r="R181" s="11" t="inlineStr"/>
      <c r="S181" s="11" t="inlineStr"/>
    </row>
    <row r="182">
      <c r="B182" s="13" t="inlineStr">
        <is>
          <t>CL1(a)</t>
        </is>
      </c>
      <c r="C182" s="8" t="inlineStr"/>
      <c r="D182" s="8" t="inlineStr"/>
      <c r="E182" s="8" t="inlineStr">
        <is>
          <t>Net total emissions</t>
        </is>
      </c>
      <c r="F182" s="8" t="inlineStr">
        <is>
          <t>tCO2e</t>
        </is>
      </c>
      <c r="G182" s="14" t="n"/>
      <c r="H182" s="14" t="n">
        <v>172276</v>
      </c>
      <c r="I182" s="14" t="n">
        <v>165457</v>
      </c>
      <c r="J182" s="14" t="n">
        <v>0</v>
      </c>
      <c r="K182" s="15" t="n"/>
      <c r="L182" s="8" t="inlineStr">
        <is>
          <t>Data held</t>
        </is>
      </c>
      <c r="M182" s="8" t="inlineStr">
        <is>
          <t>ESG</t>
        </is>
      </c>
      <c r="N182" s="11" t="inlineStr"/>
      <c r="O182" s="11" t="inlineStr"/>
      <c r="P182" s="11" t="inlineStr"/>
      <c r="Q182" s="11" t="inlineStr"/>
      <c r="R182" s="11" t="inlineStr"/>
      <c r="S182" s="11" t="inlineStr"/>
    </row>
    <row r="183">
      <c r="B183" s="13" t="inlineStr">
        <is>
          <t>CL1(a)</t>
        </is>
      </c>
      <c r="C183" s="8" t="inlineStr"/>
      <c r="D183" s="8" t="inlineStr"/>
      <c r="E183" s="8" t="inlineStr">
        <is>
          <t>Total Electricity Usage</t>
        </is>
      </c>
      <c r="F183" s="8" t="inlineStr">
        <is>
          <t>MWh</t>
        </is>
      </c>
      <c r="G183" s="14" t="n"/>
      <c r="H183" s="14" t="n">
        <v>115156</v>
      </c>
      <c r="I183" s="14" t="n">
        <v>117811</v>
      </c>
      <c r="J183" s="14" t="n">
        <v>119826</v>
      </c>
      <c r="K183" s="15" t="n"/>
      <c r="L183" s="8" t="inlineStr">
        <is>
          <t>Data held</t>
        </is>
      </c>
      <c r="M183" s="8" t="inlineStr">
        <is>
          <t>ESG</t>
        </is>
      </c>
      <c r="N183" s="11" t="inlineStr"/>
      <c r="O183" s="11" t="inlineStr"/>
      <c r="P183" s="11" t="inlineStr"/>
      <c r="Q183" s="11" t="inlineStr"/>
      <c r="R183" s="11" t="inlineStr"/>
      <c r="S183" s="11" t="inlineStr"/>
    </row>
    <row r="184">
      <c r="B184" s="13" t="inlineStr">
        <is>
          <t>CL1(a)</t>
        </is>
      </c>
      <c r="C184" s="8" t="inlineStr"/>
      <c r="D184" s="8" t="inlineStr"/>
      <c r="E184" s="8" t="inlineStr">
        <is>
          <t>Total on-campus solar</t>
        </is>
      </c>
      <c r="F184" s="8" t="inlineStr">
        <is>
          <t>MWh</t>
        </is>
      </c>
      <c r="G184" s="14" t="n"/>
      <c r="H184" s="14" t="n">
        <v>3439</v>
      </c>
      <c r="I184" s="14" t="n">
        <v>3795</v>
      </c>
      <c r="J184" s="14" t="n">
        <v>3879</v>
      </c>
      <c r="K184" s="15" t="n"/>
      <c r="L184" s="8" t="inlineStr">
        <is>
          <t>Data held</t>
        </is>
      </c>
      <c r="M184" s="8" t="inlineStr">
        <is>
          <t>ESG</t>
        </is>
      </c>
      <c r="N184" s="11" t="inlineStr"/>
      <c r="O184" s="11" t="inlineStr"/>
      <c r="P184" s="11" t="inlineStr"/>
      <c r="Q184" s="11" t="inlineStr"/>
      <c r="R184" s="11" t="inlineStr"/>
      <c r="S184" s="11" t="inlineStr"/>
    </row>
    <row r="185">
      <c r="B185" s="13" t="inlineStr">
        <is>
          <t>CL1(a)</t>
        </is>
      </c>
      <c r="C185" s="8" t="inlineStr"/>
      <c r="D185" s="8" t="inlineStr"/>
      <c r="E185" s="8" t="inlineStr">
        <is>
          <t>Total grid (incl. affiliates)</t>
        </is>
      </c>
      <c r="F185" s="8" t="inlineStr">
        <is>
          <t>#</t>
        </is>
      </c>
      <c r="G185" s="14" t="n"/>
      <c r="H185" s="14" t="n">
        <v>111717</v>
      </c>
      <c r="I185" s="14" t="n">
        <v>114016</v>
      </c>
      <c r="J185" s="14" t="n">
        <v>115947</v>
      </c>
      <c r="K185" s="15" t="n"/>
      <c r="L185" s="8" t="inlineStr">
        <is>
          <t>Data held</t>
        </is>
      </c>
      <c r="M185" s="8" t="inlineStr">
        <is>
          <t>ESG</t>
        </is>
      </c>
      <c r="N185" s="11" t="inlineStr"/>
      <c r="O185" s="11" t="inlineStr"/>
      <c r="P185" s="11" t="inlineStr"/>
      <c r="Q185" s="11" t="inlineStr"/>
      <c r="R185" s="11" t="inlineStr"/>
      <c r="S185" s="11" t="inlineStr"/>
    </row>
    <row r="186">
      <c r="B186" s="13" t="inlineStr">
        <is>
          <t>CL1(b)</t>
        </is>
      </c>
      <c r="C186" s="8" t="inlineStr">
        <is>
          <t>Climate Leadership</t>
        </is>
      </c>
      <c r="D186" s="8" t="inlineStr">
        <is>
          <t>Development of Greenhouse Gas Intensity metrics</t>
        </is>
      </c>
      <c r="E186" s="8" t="inlineStr">
        <is>
          <t>Net emissions /m2 GFA</t>
        </is>
      </c>
      <c r="F186" s="8" t="inlineStr">
        <is>
          <t>tCO2e / m²</t>
        </is>
      </c>
      <c r="G186" s="14" t="n"/>
      <c r="H186" s="14" t="n">
        <v>0.17</v>
      </c>
      <c r="I186" s="14" t="n">
        <v>0.16</v>
      </c>
      <c r="J186" s="14" t="n">
        <v>0</v>
      </c>
      <c r="K186" s="15" t="n"/>
      <c r="L186" s="8" t="inlineStr">
        <is>
          <t>Data held</t>
        </is>
      </c>
      <c r="M186" s="8" t="inlineStr">
        <is>
          <t>ESG</t>
        </is>
      </c>
      <c r="N186" s="11" t="inlineStr"/>
      <c r="O186" s="11" t="inlineStr"/>
      <c r="P186" s="11" t="inlineStr"/>
      <c r="Q186" s="11" t="inlineStr"/>
      <c r="R186" s="11" t="inlineStr"/>
      <c r="S186" s="11" t="inlineStr"/>
    </row>
    <row r="187">
      <c r="B187" s="13" t="inlineStr">
        <is>
          <t>CL1(b)</t>
        </is>
      </c>
      <c r="C187" s="8" t="inlineStr"/>
      <c r="D187" s="8" t="inlineStr"/>
      <c r="E187" s="8" t="inlineStr">
        <is>
          <t>Net emissions /FTE</t>
        </is>
      </c>
      <c r="F187" s="8" t="inlineStr">
        <is>
          <t>tCO2e / FTE</t>
        </is>
      </c>
      <c r="G187" s="14" t="n"/>
      <c r="H187" s="14" t="n">
        <v>16.39</v>
      </c>
      <c r="I187" s="14" t="n">
        <v>14.96</v>
      </c>
      <c r="J187" s="14" t="n">
        <v>0</v>
      </c>
      <c r="K187" s="15" t="n"/>
      <c r="L187" s="8" t="inlineStr">
        <is>
          <t>Data held</t>
        </is>
      </c>
      <c r="M187" s="8" t="inlineStr">
        <is>
          <t>ESG</t>
        </is>
      </c>
      <c r="N187" s="11" t="inlineStr"/>
      <c r="O187" s="11" t="inlineStr"/>
      <c r="P187" s="11" t="inlineStr"/>
      <c r="Q187" s="11" t="inlineStr"/>
      <c r="R187" s="11" t="inlineStr"/>
      <c r="S187" s="11" t="inlineStr"/>
    </row>
    <row r="188">
      <c r="B188" s="13" t="inlineStr">
        <is>
          <t>CL1(b)</t>
        </is>
      </c>
      <c r="C188" s="8" t="inlineStr"/>
      <c r="D188" s="8" t="inlineStr"/>
      <c r="E188" s="8" t="inlineStr">
        <is>
          <t>Net emissions /EFTSL</t>
        </is>
      </c>
      <c r="F188" s="8" t="inlineStr">
        <is>
          <t>tCO2e / EFTSL</t>
        </is>
      </c>
      <c r="G188" s="14" t="n"/>
      <c r="H188" s="14" t="n">
        <v>3.19</v>
      </c>
      <c r="I188" s="14" t="n">
        <v>2.86</v>
      </c>
      <c r="J188" s="14" t="n">
        <v>0</v>
      </c>
      <c r="K188" s="15" t="n"/>
      <c r="L188" s="8" t="inlineStr">
        <is>
          <t>Data held</t>
        </is>
      </c>
      <c r="M188" s="8" t="inlineStr">
        <is>
          <t>ESG</t>
        </is>
      </c>
      <c r="N188" s="11" t="inlineStr"/>
      <c r="O188" s="11" t="inlineStr"/>
      <c r="P188" s="11" t="inlineStr"/>
      <c r="Q188" s="11" t="inlineStr"/>
      <c r="R188" s="11" t="inlineStr"/>
      <c r="S188" s="11" t="inlineStr"/>
    </row>
    <row r="189">
      <c r="B189" s="13" t="inlineStr">
        <is>
          <t>CL1(b)</t>
        </is>
      </c>
      <c r="C189" s="8" t="inlineStr"/>
      <c r="D189" s="8" t="inlineStr"/>
      <c r="E189" s="8" t="inlineStr">
        <is>
          <t>Net emissions /(FTE + EFTSL)</t>
        </is>
      </c>
      <c r="F189" s="8" t="inlineStr">
        <is>
          <t>tCO2e / (FTE + EFTSL)</t>
        </is>
      </c>
      <c r="G189" s="14" t="n"/>
      <c r="H189" s="14" t="n">
        <v>2.67</v>
      </c>
      <c r="I189" s="14" t="n">
        <v>2.4</v>
      </c>
      <c r="J189" s="14" t="n">
        <v>0</v>
      </c>
      <c r="K189" s="15" t="n"/>
      <c r="L189" s="8" t="inlineStr">
        <is>
          <t>Data held</t>
        </is>
      </c>
      <c r="M189" s="8" t="inlineStr">
        <is>
          <t>ESG</t>
        </is>
      </c>
      <c r="N189" s="11" t="inlineStr"/>
      <c r="O189" s="11" t="inlineStr"/>
      <c r="P189" s="11" t="inlineStr"/>
      <c r="Q189" s="11" t="inlineStr"/>
      <c r="R189" s="11" t="inlineStr"/>
      <c r="S189" s="11" t="inlineStr"/>
    </row>
    <row r="190">
      <c r="B190" s="13" t="inlineStr">
        <is>
          <t>CL1(b)</t>
        </is>
      </c>
      <c r="C190" s="8" t="inlineStr"/>
      <c r="D190" s="8" t="inlineStr"/>
      <c r="E190" s="8" t="inlineStr">
        <is>
          <t>Gross emissions /m2 GFA</t>
        </is>
      </c>
      <c r="F190" s="8" t="inlineStr">
        <is>
          <t>tCO2e / m²</t>
        </is>
      </c>
      <c r="G190" s="14" t="n"/>
      <c r="H190" s="14" t="n">
        <v>0.23</v>
      </c>
      <c r="I190" s="14" t="n">
        <v>0.21</v>
      </c>
      <c r="J190" s="14" t="n">
        <v>0.16</v>
      </c>
      <c r="K190" s="15" t="n"/>
      <c r="L190" s="8" t="inlineStr">
        <is>
          <t>Data held</t>
        </is>
      </c>
      <c r="M190" s="8" t="inlineStr">
        <is>
          <t>ESG</t>
        </is>
      </c>
      <c r="N190" s="11" t="inlineStr"/>
      <c r="O190" s="11" t="inlineStr"/>
      <c r="P190" s="11" t="inlineStr"/>
      <c r="Q190" s="11" t="inlineStr"/>
      <c r="R190" s="11" t="inlineStr"/>
      <c r="S190" s="11" t="inlineStr"/>
    </row>
    <row r="191">
      <c r="B191" s="13" t="inlineStr">
        <is>
          <t>CL1(b)</t>
        </is>
      </c>
      <c r="C191" s="8" t="inlineStr"/>
      <c r="D191" s="8" t="inlineStr"/>
      <c r="E191" s="8" t="inlineStr">
        <is>
          <t>Gross emissions /FTE</t>
        </is>
      </c>
      <c r="F191" s="8" t="inlineStr">
        <is>
          <t>tCO2e / FTE</t>
        </is>
      </c>
      <c r="G191" s="14" t="n"/>
      <c r="H191" s="14" t="n">
        <v>23.13</v>
      </c>
      <c r="I191" s="14" t="n">
        <v>19.91</v>
      </c>
      <c r="J191" s="14" t="n">
        <v>15.3</v>
      </c>
      <c r="K191" s="15" t="n"/>
      <c r="L191" s="8" t="inlineStr">
        <is>
          <t>Data held</t>
        </is>
      </c>
      <c r="M191" s="8" t="inlineStr">
        <is>
          <t>ESG</t>
        </is>
      </c>
      <c r="N191" s="11" t="inlineStr"/>
      <c r="O191" s="11" t="inlineStr"/>
      <c r="P191" s="11" t="inlineStr"/>
      <c r="Q191" s="11" t="inlineStr"/>
      <c r="R191" s="11" t="inlineStr"/>
      <c r="S191" s="11" t="inlineStr"/>
    </row>
    <row r="192">
      <c r="B192" s="13" t="inlineStr">
        <is>
          <t>CL1(b)</t>
        </is>
      </c>
      <c r="C192" s="8" t="inlineStr"/>
      <c r="D192" s="8" t="inlineStr"/>
      <c r="E192" s="8" t="inlineStr">
        <is>
          <t>Gross emissions /EFTSL</t>
        </is>
      </c>
      <c r="F192" s="8" t="inlineStr">
        <is>
          <t>tCO2e / EFTSL</t>
        </is>
      </c>
      <c r="G192" s="14" t="n"/>
      <c r="H192" s="14" t="n">
        <v>4.51</v>
      </c>
      <c r="I192" s="14" t="n">
        <v>3.8</v>
      </c>
      <c r="J192" s="14" t="n">
        <v>2.94</v>
      </c>
      <c r="K192" s="15" t="n"/>
      <c r="L192" s="8" t="inlineStr">
        <is>
          <t>Data held</t>
        </is>
      </c>
      <c r="M192" s="8" t="inlineStr">
        <is>
          <t>ESG</t>
        </is>
      </c>
      <c r="N192" s="11" t="inlineStr"/>
      <c r="O192" s="11" t="inlineStr"/>
      <c r="P192" s="11" t="inlineStr"/>
      <c r="Q192" s="11" t="inlineStr"/>
      <c r="R192" s="11" t="inlineStr"/>
      <c r="S192" s="11" t="inlineStr"/>
    </row>
    <row r="193">
      <c r="B193" s="13" t="inlineStr">
        <is>
          <t>CL1(b)</t>
        </is>
      </c>
      <c r="C193" s="8" t="inlineStr"/>
      <c r="D193" s="8" t="inlineStr"/>
      <c r="E193" s="8" t="inlineStr">
        <is>
          <t>Gross emissions /(FTE + EFTSL)</t>
        </is>
      </c>
      <c r="F193" s="8" t="inlineStr">
        <is>
          <t>tCO2e / (FTE + EFTSL)</t>
        </is>
      </c>
      <c r="G193" s="14" t="n"/>
      <c r="H193" s="14" t="n">
        <v>3.77</v>
      </c>
      <c r="I193" s="14" t="n">
        <v>3.19</v>
      </c>
      <c r="J193" s="14" t="n">
        <v>2.46</v>
      </c>
      <c r="K193" s="15" t="n"/>
      <c r="L193" s="8" t="inlineStr">
        <is>
          <t>Data held</t>
        </is>
      </c>
      <c r="M193" s="8" t="inlineStr">
        <is>
          <t>ESG</t>
        </is>
      </c>
      <c r="N193" s="11" t="inlineStr"/>
      <c r="O193" s="11" t="inlineStr"/>
      <c r="P193" s="11" t="inlineStr"/>
      <c r="Q193" s="11" t="inlineStr"/>
      <c r="R193" s="11" t="inlineStr"/>
      <c r="S193" s="11" t="inlineStr"/>
    </row>
    <row r="194">
      <c r="B194" s="13" t="inlineStr">
        <is>
          <t>CL2(a)</t>
        </is>
      </c>
      <c r="C194" s="8" t="inlineStr">
        <is>
          <t>Climate Leadership</t>
        </is>
      </c>
      <c r="D194" s="8" t="inlineStr">
        <is>
          <t>By 2028, develop and document institutional mapping of research and education activities that are designed to contribute to global decarbonisation</t>
        </is>
      </c>
      <c r="E194" s="8" t="inlineStr">
        <is>
          <t>Number of relevant research projects/programs mapped</t>
        </is>
      </c>
      <c r="F194" s="8" t="inlineStr">
        <is>
          <t>#</t>
        </is>
      </c>
      <c r="G194" s="14" t="n"/>
      <c r="H194" s="14" t="n"/>
      <c r="I194" s="14" t="n"/>
      <c r="J194" s="14" t="n"/>
      <c r="K194" s="15" t="n"/>
      <c r="L194" s="8" t="inlineStr">
        <is>
          <t>No data yet</t>
        </is>
      </c>
      <c r="M194" s="8" t="inlineStr">
        <is>
          <t>SST</t>
        </is>
      </c>
      <c r="N194" s="11" t="inlineStr"/>
      <c r="O194" s="11" t="inlineStr"/>
      <c r="P194" s="11" t="inlineStr"/>
      <c r="Q194" s="11" t="inlineStr"/>
      <c r="R194" s="11" t="inlineStr"/>
      <c r="S194" s="11" t="inlineStr"/>
    </row>
    <row r="195">
      <c r="B195" s="13" t="inlineStr">
        <is>
          <t>CL2(a)</t>
        </is>
      </c>
      <c r="C195" s="8" t="inlineStr"/>
      <c r="D195" s="8" t="inlineStr"/>
      <c r="E195" s="8" t="inlineStr">
        <is>
          <t>Number of relevant subjects mapped</t>
        </is>
      </c>
      <c r="F195" s="8" t="inlineStr">
        <is>
          <t>#</t>
        </is>
      </c>
      <c r="G195" s="14" t="n"/>
      <c r="H195" s="14" t="n"/>
      <c r="I195" s="14" t="n"/>
      <c r="J195" s="14" t="n"/>
      <c r="K195" s="15" t="n"/>
      <c r="L195" s="8" t="inlineStr">
        <is>
          <t>No data yet</t>
        </is>
      </c>
      <c r="M195" s="8" t="inlineStr">
        <is>
          <t>SST</t>
        </is>
      </c>
      <c r="N195" s="11" t="inlineStr"/>
      <c r="O195" s="11" t="inlineStr"/>
      <c r="P195" s="11" t="inlineStr"/>
      <c r="Q195" s="11" t="inlineStr"/>
      <c r="R195" s="11" t="inlineStr"/>
      <c r="S195" s="11" t="inlineStr"/>
    </row>
    <row r="196">
      <c r="B196" s="13" t="inlineStr">
        <is>
          <t>CL2(b)</t>
        </is>
      </c>
      <c r="C196" s="8" t="inlineStr">
        <is>
          <t>Climate Leadership</t>
        </is>
      </c>
      <c r="D196" s="8" t="inlineStr">
        <is>
          <t>Prioritised pipeline of decarbonisation focused research and education opportunities aligned with University emissions reduction priorities from 2028</t>
        </is>
      </c>
      <c r="E196" s="8" t="inlineStr">
        <is>
          <t>Number of pipelined projects or research transitioned from opportunity to active</t>
        </is>
      </c>
      <c r="F196" s="8" t="inlineStr">
        <is>
          <t>#</t>
        </is>
      </c>
      <c r="G196" s="14" t="n"/>
      <c r="H196" s="14" t="n"/>
      <c r="I196" s="14" t="n"/>
      <c r="J196" s="14" t="n"/>
      <c r="K196" s="15" t="n"/>
      <c r="L196" s="8" t="inlineStr">
        <is>
          <t>No data yet</t>
        </is>
      </c>
      <c r="M196" s="8" t="inlineStr">
        <is>
          <t>SST</t>
        </is>
      </c>
      <c r="N196" s="11" t="inlineStr"/>
      <c r="O196" s="11" t="inlineStr"/>
      <c r="P196" s="11" t="inlineStr"/>
      <c r="Q196" s="11" t="inlineStr"/>
      <c r="R196" s="11" t="inlineStr"/>
      <c r="S196" s="11" t="inlineStr"/>
    </row>
    <row r="197">
      <c r="B197" s="13" t="inlineStr">
        <is>
          <t>CL2(c)</t>
        </is>
      </c>
      <c r="C197" s="8" t="inlineStr">
        <is>
          <t>Climate Leadership</t>
        </is>
      </c>
      <c r="D197" s="8" t="inlineStr">
        <is>
          <t>Ongoing communications that evidence the university's climate action, research and learning to inform policy, sector and community decarbonisation efforts</t>
        </is>
      </c>
      <c r="E197" s="8" t="inlineStr">
        <is>
          <t>Published documents, policy brief, and public engagement events</t>
        </is>
      </c>
      <c r="F197" s="8" t="inlineStr">
        <is>
          <t>#</t>
        </is>
      </c>
      <c r="G197" s="14" t="n"/>
      <c r="H197" s="14" t="n"/>
      <c r="I197" s="14" t="n"/>
      <c r="J197" s="14" t="n"/>
      <c r="K197" s="15" t="n"/>
      <c r="L197" s="8" t="inlineStr">
        <is>
          <t>No data yet</t>
        </is>
      </c>
      <c r="M197" s="8" t="inlineStr">
        <is>
          <t>SST</t>
        </is>
      </c>
      <c r="N197" s="11" t="inlineStr"/>
      <c r="O197" s="11" t="inlineStr"/>
      <c r="P197" s="11" t="inlineStr"/>
      <c r="Q197" s="11" t="inlineStr"/>
      <c r="R197" s="11" t="inlineStr"/>
      <c r="S197" s="11" t="inlineStr"/>
    </row>
    <row r="198">
      <c r="B198" s="13" t="inlineStr">
        <is>
          <t>CL2(c)</t>
        </is>
      </c>
      <c r="C198" s="8" t="inlineStr"/>
      <c r="D198" s="8" t="inlineStr"/>
      <c r="E198" s="8" t="inlineStr">
        <is>
          <t>Views of communication material</t>
        </is>
      </c>
      <c r="F198" s="8" t="inlineStr">
        <is>
          <t>#</t>
        </is>
      </c>
      <c r="G198" s="14" t="n"/>
      <c r="H198" s="14" t="n"/>
      <c r="I198" s="14" t="n"/>
      <c r="J198" s="14" t="n"/>
      <c r="K198" s="15" t="n"/>
      <c r="L198" s="8" t="inlineStr">
        <is>
          <t>No data yet</t>
        </is>
      </c>
      <c r="M198" s="8" t="inlineStr">
        <is>
          <t>SST</t>
        </is>
      </c>
      <c r="N198" s="11" t="inlineStr"/>
      <c r="O198" s="11" t="inlineStr"/>
      <c r="P198" s="11" t="inlineStr"/>
      <c r="Q198" s="11" t="inlineStr"/>
      <c r="R198" s="11" t="inlineStr"/>
      <c r="S198" s="11" t="inlineStr"/>
    </row>
    <row r="199">
      <c r="B199" s="16" t="inlineStr">
        <is>
          <t>CL3(a)</t>
        </is>
      </c>
      <c r="C199" s="16" t="inlineStr">
        <is>
          <t>Climate Leadership</t>
        </is>
      </c>
      <c r="D199" s="16" t="inlineStr">
        <is>
          <t>Maturity assessment of the University's preparedness for climate-related impacts and capability to respond</t>
        </is>
      </c>
      <c r="E199" s="16" t="inlineStr">
        <is>
          <t>Average Total Maturity Score</t>
        </is>
      </c>
      <c r="F199" s="16" t="inlineStr"/>
      <c r="G199" s="17" t="n"/>
      <c r="H199" s="17" t="n"/>
      <c r="I199" s="17" t="n"/>
      <c r="J199" s="17" t="n"/>
      <c r="K199" s="17" t="n"/>
      <c r="L199" s="16" t="inlineStr"/>
      <c r="M199" s="16" t="inlineStr"/>
      <c r="N199" s="16" t="inlineStr"/>
      <c r="O199" s="16" t="inlineStr"/>
      <c r="P199" s="16" t="inlineStr"/>
      <c r="Q199" s="16" t="inlineStr"/>
      <c r="R199" s="16" t="inlineStr"/>
      <c r="S199" s="16" t="inlineStr"/>
    </row>
    <row r="200">
      <c r="B200" s="13" t="inlineStr">
        <is>
          <t>CL3(a)</t>
        </is>
      </c>
      <c r="C200" s="8" t="inlineStr"/>
      <c r="D200" s="8" t="inlineStr"/>
      <c r="E200" s="18" t="inlineStr">
        <is>
          <t>Maturitu Score - Governance and strategy</t>
        </is>
      </c>
      <c r="F200" s="8" t="inlineStr"/>
      <c r="G200" s="14" t="n"/>
      <c r="H200" s="14" t="n"/>
      <c r="I200" s="14" t="n"/>
      <c r="J200" s="14" t="n"/>
      <c r="K200" s="15" t="n"/>
      <c r="L200" s="8" t="inlineStr">
        <is>
          <t>No data yet</t>
        </is>
      </c>
      <c r="M200" s="8" t="inlineStr">
        <is>
          <t>CI&amp;S</t>
        </is>
      </c>
      <c r="N200" s="11" t="inlineStr"/>
      <c r="O200" s="11" t="inlineStr"/>
      <c r="P200" s="11" t="inlineStr"/>
      <c r="Q200" s="11" t="inlineStr"/>
      <c r="R200" s="11" t="inlineStr"/>
      <c r="S200" s="11" t="inlineStr"/>
    </row>
    <row r="201">
      <c r="B201" s="13" t="inlineStr">
        <is>
          <t>CL3(a)</t>
        </is>
      </c>
      <c r="C201" s="8" t="inlineStr"/>
      <c r="D201" s="8" t="inlineStr"/>
      <c r="E201" s="18" t="inlineStr">
        <is>
          <t>Maturity Score - Health and safety</t>
        </is>
      </c>
      <c r="F201" s="8" t="inlineStr"/>
      <c r="G201" s="14" t="n"/>
      <c r="H201" s="14" t="n"/>
      <c r="I201" s="14" t="n"/>
      <c r="J201" s="14" t="n"/>
      <c r="K201" s="15" t="n"/>
      <c r="L201" s="8" t="inlineStr">
        <is>
          <t>No data yet</t>
        </is>
      </c>
      <c r="M201" s="8" t="inlineStr">
        <is>
          <t>CI&amp;S</t>
        </is>
      </c>
      <c r="N201" s="11" t="inlineStr"/>
      <c r="O201" s="11" t="inlineStr"/>
      <c r="P201" s="11" t="inlineStr"/>
      <c r="Q201" s="11" t="inlineStr"/>
      <c r="R201" s="11" t="inlineStr"/>
      <c r="S201" s="11" t="inlineStr"/>
    </row>
    <row r="202">
      <c r="B202" s="13" t="inlineStr">
        <is>
          <t>CL3(a)</t>
        </is>
      </c>
      <c r="C202" s="8" t="inlineStr"/>
      <c r="D202" s="8" t="inlineStr"/>
      <c r="E202" s="18" t="inlineStr">
        <is>
          <t>Maturity Score - Business continuity</t>
        </is>
      </c>
      <c r="F202" s="8" t="inlineStr"/>
      <c r="G202" s="14" t="n"/>
      <c r="H202" s="14" t="n"/>
      <c r="I202" s="14" t="n"/>
      <c r="J202" s="14" t="n"/>
      <c r="K202" s="15" t="n"/>
      <c r="L202" s="8" t="inlineStr">
        <is>
          <t>No data yet</t>
        </is>
      </c>
      <c r="M202" s="8" t="inlineStr">
        <is>
          <t>CI&amp;S</t>
        </is>
      </c>
      <c r="N202" s="11" t="inlineStr"/>
      <c r="O202" s="11" t="inlineStr"/>
      <c r="P202" s="11" t="inlineStr"/>
      <c r="Q202" s="11" t="inlineStr"/>
      <c r="R202" s="11" t="inlineStr"/>
      <c r="S202" s="11" t="inlineStr"/>
    </row>
    <row r="203">
      <c r="B203" s="13" t="inlineStr">
        <is>
          <t>CL3(a)</t>
        </is>
      </c>
      <c r="C203" s="8" t="inlineStr"/>
      <c r="D203" s="8" t="inlineStr"/>
      <c r="E203" s="18" t="inlineStr">
        <is>
          <t>Maturity Score - Emergency management and critical incidence management</t>
        </is>
      </c>
      <c r="F203" s="8" t="inlineStr"/>
      <c r="G203" s="14" t="n"/>
      <c r="H203" s="14" t="n"/>
      <c r="I203" s="14" t="n"/>
      <c r="J203" s="14" t="n"/>
      <c r="K203" s="15" t="n"/>
      <c r="L203" s="8" t="inlineStr">
        <is>
          <t>No data yet</t>
        </is>
      </c>
      <c r="M203" s="8" t="inlineStr">
        <is>
          <t>CI&amp;S</t>
        </is>
      </c>
      <c r="N203" s="11" t="inlineStr"/>
      <c r="O203" s="11" t="inlineStr"/>
      <c r="P203" s="11" t="inlineStr"/>
      <c r="Q203" s="11" t="inlineStr"/>
      <c r="R203" s="11" t="inlineStr"/>
      <c r="S203" s="11" t="inlineStr"/>
    </row>
    <row r="204">
      <c r="B204" s="13" t="inlineStr">
        <is>
          <t>CL3(a)</t>
        </is>
      </c>
      <c r="C204" s="8" t="inlineStr"/>
      <c r="D204" s="8" t="inlineStr"/>
      <c r="E204" s="18" t="inlineStr">
        <is>
          <t>Maturity Score - Estate and buildings</t>
        </is>
      </c>
      <c r="F204" s="8" t="inlineStr"/>
      <c r="G204" s="14" t="n"/>
      <c r="H204" s="14" t="n"/>
      <c r="I204" s="14" t="n"/>
      <c r="J204" s="14" t="n"/>
      <c r="K204" s="15" t="n"/>
      <c r="L204" s="8" t="inlineStr">
        <is>
          <t>No data yet</t>
        </is>
      </c>
      <c r="M204" s="8" t="inlineStr">
        <is>
          <t>CI&amp;S</t>
        </is>
      </c>
      <c r="N204" s="11" t="inlineStr"/>
      <c r="O204" s="11" t="inlineStr"/>
      <c r="P204" s="11" t="inlineStr"/>
      <c r="Q204" s="11" t="inlineStr"/>
      <c r="R204" s="11" t="inlineStr"/>
      <c r="S204" s="11" t="inlineStr"/>
    </row>
    <row r="205">
      <c r="B205" s="13" t="inlineStr">
        <is>
          <t>CL3(a)</t>
        </is>
      </c>
      <c r="C205" s="8" t="inlineStr"/>
      <c r="D205" s="8" t="inlineStr"/>
      <c r="E205" s="18" t="inlineStr">
        <is>
          <t>Maturity Score - Water management</t>
        </is>
      </c>
      <c r="F205" s="8" t="inlineStr"/>
      <c r="G205" s="14" t="n"/>
      <c r="H205" s="14" t="n"/>
      <c r="I205" s="14" t="n"/>
      <c r="J205" s="14" t="n"/>
      <c r="K205" s="15" t="n"/>
      <c r="L205" s="8" t="inlineStr">
        <is>
          <t>No data yet</t>
        </is>
      </c>
      <c r="M205" s="8" t="inlineStr">
        <is>
          <t>CI&amp;S</t>
        </is>
      </c>
      <c r="N205" s="11" t="inlineStr"/>
      <c r="O205" s="11" t="inlineStr"/>
      <c r="P205" s="11" t="inlineStr"/>
      <c r="Q205" s="11" t="inlineStr"/>
      <c r="R205" s="11" t="inlineStr"/>
      <c r="S205" s="11" t="inlineStr"/>
    </row>
    <row r="206">
      <c r="B206" s="13" t="inlineStr">
        <is>
          <t>CL3(a)</t>
        </is>
      </c>
      <c r="C206" s="8" t="inlineStr"/>
      <c r="D206" s="8" t="inlineStr"/>
      <c r="E206" s="18" t="inlineStr">
        <is>
          <t>Maturity Score - Financial planning and reporting</t>
        </is>
      </c>
      <c r="F206" s="8" t="inlineStr"/>
      <c r="G206" s="14" t="n"/>
      <c r="H206" s="14" t="n"/>
      <c r="I206" s="14" t="n"/>
      <c r="J206" s="14" t="n"/>
      <c r="K206" s="15" t="n"/>
      <c r="L206" s="8" t="inlineStr">
        <is>
          <t>No data yet</t>
        </is>
      </c>
      <c r="M206" s="8" t="inlineStr">
        <is>
          <t>CI&amp;S</t>
        </is>
      </c>
      <c r="N206" s="11" t="inlineStr"/>
      <c r="O206" s="11" t="inlineStr"/>
      <c r="P206" s="11" t="inlineStr"/>
      <c r="Q206" s="11" t="inlineStr"/>
      <c r="R206" s="11" t="inlineStr"/>
      <c r="S206" s="11" t="inlineStr"/>
    </row>
    <row r="207">
      <c r="B207" s="16" t="inlineStr">
        <is>
          <t>NB1(a)</t>
        </is>
      </c>
      <c r="C207" s="16" t="inlineStr">
        <is>
          <t>Nature and Biodiversity</t>
        </is>
      </c>
      <c r="D207" s="16" t="inlineStr">
        <is>
          <t>Monitoring of biodiversity metrics from the Biodiversity Baseline Data Project</t>
        </is>
      </c>
      <c r="E207" s="16" t="inlineStr">
        <is>
          <t>Parkville biodiversity metrics</t>
        </is>
      </c>
      <c r="F207" s="16" t="inlineStr"/>
      <c r="G207" s="17" t="n"/>
      <c r="H207" s="17" t="n"/>
      <c r="I207" s="17" t="n"/>
      <c r="J207" s="17" t="n"/>
      <c r="K207" s="17" t="n"/>
      <c r="L207" s="16" t="inlineStr"/>
      <c r="M207" s="16" t="inlineStr"/>
      <c r="N207" s="16" t="inlineStr"/>
      <c r="O207" s="16" t="inlineStr"/>
      <c r="P207" s="16" t="inlineStr"/>
      <c r="Q207" s="16" t="inlineStr"/>
      <c r="R207" s="16" t="inlineStr"/>
      <c r="S207" s="16" t="inlineStr"/>
    </row>
    <row r="208">
      <c r="B208" s="13" t="inlineStr">
        <is>
          <t>NB1(a)</t>
        </is>
      </c>
      <c r="C208" s="8" t="inlineStr"/>
      <c r="D208" s="8" t="inlineStr"/>
      <c r="E208" s="18" t="inlineStr">
        <is>
          <t>Plantable area (2018 Baseline)</t>
        </is>
      </c>
      <c r="F208" s="8" t="inlineStr">
        <is>
          <t>%</t>
        </is>
      </c>
      <c r="G208" s="14" t="n">
        <v>16</v>
      </c>
      <c r="H208" s="14" t="n"/>
      <c r="I208" s="14" t="n"/>
      <c r="J208" s="14" t="n"/>
      <c r="K208" s="15" t="n"/>
      <c r="L208" s="8" t="inlineStr">
        <is>
          <t>Data held</t>
        </is>
      </c>
      <c r="M208" s="8" t="inlineStr">
        <is>
          <t>ESG</t>
        </is>
      </c>
      <c r="N208" s="11" t="inlineStr"/>
      <c r="O208" s="11" t="inlineStr"/>
      <c r="P208" s="11" t="inlineStr"/>
      <c r="Q208" s="11" t="inlineStr"/>
      <c r="R208" s="11" t="inlineStr"/>
      <c r="S208" s="11" t="inlineStr"/>
    </row>
    <row r="209">
      <c r="B209" s="13" t="inlineStr">
        <is>
          <t>NB1(a)</t>
        </is>
      </c>
      <c r="C209" s="8" t="inlineStr"/>
      <c r="D209" s="8" t="inlineStr"/>
      <c r="E209" s="18" t="inlineStr">
        <is>
          <t>Number of 'Areas of Significance' (2020 Baseline)</t>
        </is>
      </c>
      <c r="F209" s="8" t="inlineStr">
        <is>
          <t>#</t>
        </is>
      </c>
      <c r="G209" s="14" t="n">
        <v>70</v>
      </c>
      <c r="H209" s="14" t="n"/>
      <c r="I209" s="14" t="n"/>
      <c r="J209" s="14" t="n"/>
      <c r="K209" s="15" t="n"/>
      <c r="L209" s="8" t="inlineStr">
        <is>
          <t>Data held</t>
        </is>
      </c>
      <c r="M209" s="8" t="inlineStr">
        <is>
          <t>ESG</t>
        </is>
      </c>
      <c r="N209" s="11" t="inlineStr"/>
      <c r="O209" s="11" t="inlineStr"/>
      <c r="P209" s="11" t="inlineStr"/>
      <c r="Q209" s="11" t="inlineStr"/>
      <c r="R209" s="11" t="inlineStr"/>
      <c r="S209" s="11" t="inlineStr"/>
    </row>
    <row r="210">
      <c r="B210" s="13" t="inlineStr">
        <is>
          <t>NB1(a)</t>
        </is>
      </c>
      <c r="C210" s="8" t="inlineStr"/>
      <c r="D210" s="8" t="inlineStr"/>
      <c r="E210" s="18" t="inlineStr">
        <is>
          <t>Number of understorey plant species (2024 Baseline)</t>
        </is>
      </c>
      <c r="F210" s="8" t="inlineStr">
        <is>
          <t>#</t>
        </is>
      </c>
      <c r="G210" s="14" t="n">
        <v>2177</v>
      </c>
      <c r="H210" s="14" t="n"/>
      <c r="I210" s="14" t="n"/>
      <c r="J210" s="14" t="n"/>
      <c r="K210" s="15" t="n"/>
      <c r="L210" s="8" t="inlineStr">
        <is>
          <t>Data held</t>
        </is>
      </c>
      <c r="M210" s="8" t="inlineStr">
        <is>
          <t>ESG</t>
        </is>
      </c>
      <c r="N210" s="11" t="inlineStr"/>
      <c r="O210" s="11" t="inlineStr"/>
      <c r="P210" s="11" t="inlineStr"/>
      <c r="Q210" s="11" t="inlineStr"/>
      <c r="R210" s="11" t="inlineStr"/>
      <c r="S210" s="11" t="inlineStr"/>
    </row>
    <row r="211">
      <c r="B211" s="13" t="inlineStr">
        <is>
          <t>NB1(a)</t>
        </is>
      </c>
      <c r="C211" s="8" t="inlineStr"/>
      <c r="D211" s="8" t="inlineStr"/>
      <c r="E211" s="18" t="inlineStr">
        <is>
          <t>Number of trees (2004 Baseline)</t>
        </is>
      </c>
      <c r="F211" s="8" t="inlineStr">
        <is>
          <t>#</t>
        </is>
      </c>
      <c r="G211" s="14" t="n">
        <v>2802</v>
      </c>
      <c r="H211" s="14" t="n"/>
      <c r="I211" s="14" t="n"/>
      <c r="J211" s="14" t="n">
        <v>2240</v>
      </c>
      <c r="K211" s="15" t="n"/>
      <c r="L211" s="8" t="inlineStr">
        <is>
          <t>Data held</t>
        </is>
      </c>
      <c r="M211" s="8" t="inlineStr">
        <is>
          <t>ESG</t>
        </is>
      </c>
      <c r="N211" s="11" t="inlineStr"/>
      <c r="O211" s="11" t="inlineStr"/>
      <c r="P211" s="11" t="inlineStr"/>
      <c r="Q211" s="11" t="inlineStr"/>
      <c r="R211" s="11" t="inlineStr"/>
      <c r="S211" s="11" t="inlineStr"/>
    </row>
    <row r="212">
      <c r="B212" s="13" t="inlineStr">
        <is>
          <t>NB1(a)</t>
        </is>
      </c>
      <c r="C212" s="8" t="inlineStr"/>
      <c r="D212" s="8" t="inlineStr"/>
      <c r="E212" s="18" t="inlineStr">
        <is>
          <t>Number of trees species (2004 Baseline)</t>
        </is>
      </c>
      <c r="F212" s="8" t="inlineStr">
        <is>
          <t>#</t>
        </is>
      </c>
      <c r="G212" s="14" t="n">
        <v>300</v>
      </c>
      <c r="H212" s="14" t="n"/>
      <c r="I212" s="14" t="n"/>
      <c r="J212" s="14" t="n"/>
      <c r="K212" s="15" t="n"/>
      <c r="L212" s="8" t="inlineStr">
        <is>
          <t>Data held</t>
        </is>
      </c>
      <c r="M212" s="8" t="inlineStr">
        <is>
          <t>ESG</t>
        </is>
      </c>
      <c r="N212" s="11" t="inlineStr"/>
      <c r="O212" s="11" t="inlineStr"/>
      <c r="P212" s="11" t="inlineStr"/>
      <c r="Q212" s="11" t="inlineStr"/>
      <c r="R212" s="11" t="inlineStr"/>
      <c r="S212" s="11" t="inlineStr"/>
    </row>
    <row r="213">
      <c r="B213" s="13" t="inlineStr">
        <is>
          <t>NB1(a)</t>
        </is>
      </c>
      <c r="C213" s="8" t="inlineStr"/>
      <c r="D213" s="8" t="inlineStr"/>
      <c r="E213" s="18" t="inlineStr">
        <is>
          <t>Tree canopy cover area (2018 Baseline)</t>
        </is>
      </c>
      <c r="F213" s="8" t="inlineStr">
        <is>
          <t>%</t>
        </is>
      </c>
      <c r="G213" s="14" t="n">
        <v>20</v>
      </c>
      <c r="H213" s="14" t="n"/>
      <c r="I213" s="14" t="n"/>
      <c r="J213" s="14" t="n"/>
      <c r="K213" s="15" t="n"/>
      <c r="L213" s="8" t="inlineStr">
        <is>
          <t>Data held</t>
        </is>
      </c>
      <c r="M213" s="8" t="inlineStr">
        <is>
          <t>ESG</t>
        </is>
      </c>
      <c r="N213" s="11" t="inlineStr"/>
      <c r="O213" s="11" t="inlineStr"/>
      <c r="P213" s="11" t="inlineStr"/>
      <c r="Q213" s="11" t="inlineStr"/>
      <c r="R213" s="11" t="inlineStr"/>
      <c r="S213" s="11" t="inlineStr"/>
    </row>
    <row r="214">
      <c r="B214" s="13" t="inlineStr">
        <is>
          <t>NB1(a)</t>
        </is>
      </c>
      <c r="C214" s="8" t="inlineStr"/>
      <c r="D214" s="8" t="inlineStr"/>
      <c r="E214" s="18" t="inlineStr">
        <is>
          <t>Number of fauna &amp; fungi species (2020 Baseline)</t>
        </is>
      </c>
      <c r="F214" s="8" t="inlineStr">
        <is>
          <t>#</t>
        </is>
      </c>
      <c r="G214" s="14" t="n">
        <v>690</v>
      </c>
      <c r="H214" s="14" t="n"/>
      <c r="I214" s="14" t="n"/>
      <c r="J214" s="14" t="n"/>
      <c r="K214" s="15" t="n"/>
      <c r="L214" s="8" t="inlineStr">
        <is>
          <t>Data held</t>
        </is>
      </c>
      <c r="M214" s="8" t="inlineStr">
        <is>
          <t>ESG</t>
        </is>
      </c>
      <c r="N214" s="11" t="inlineStr"/>
      <c r="O214" s="11" t="inlineStr"/>
      <c r="P214" s="11" t="inlineStr"/>
      <c r="Q214" s="11" t="inlineStr"/>
      <c r="R214" s="11" t="inlineStr"/>
      <c r="S214" s="11" t="inlineStr"/>
    </row>
    <row r="215">
      <c r="B215" s="13" t="inlineStr">
        <is>
          <t>NB1(a)</t>
        </is>
      </c>
      <c r="C215" s="8" t="inlineStr"/>
      <c r="D215" s="8" t="inlineStr"/>
      <c r="E215" s="19" t="inlineStr">
        <is>
          <t>Number of fauna species</t>
        </is>
      </c>
      <c r="F215" s="8" t="inlineStr">
        <is>
          <t>#</t>
        </is>
      </c>
      <c r="G215" s="14" t="n">
        <v>663</v>
      </c>
      <c r="H215" s="14" t="n"/>
      <c r="I215" s="14" t="n"/>
      <c r="J215" s="14" t="n"/>
      <c r="K215" s="15" t="n"/>
      <c r="L215" s="8" t="inlineStr">
        <is>
          <t>Data held</t>
        </is>
      </c>
      <c r="M215" s="8" t="inlineStr">
        <is>
          <t>ESG</t>
        </is>
      </c>
      <c r="N215" s="11" t="inlineStr"/>
      <c r="O215" s="11" t="inlineStr"/>
      <c r="P215" s="11" t="inlineStr"/>
      <c r="Q215" s="11" t="inlineStr"/>
      <c r="R215" s="11" t="inlineStr"/>
      <c r="S215" s="11" t="inlineStr"/>
    </row>
    <row r="216">
      <c r="B216" s="13" t="inlineStr">
        <is>
          <t>NB1(a)</t>
        </is>
      </c>
      <c r="C216" s="8" t="inlineStr"/>
      <c r="D216" s="8" t="inlineStr"/>
      <c r="E216" s="19" t="inlineStr">
        <is>
          <t>Number of fungi species</t>
        </is>
      </c>
      <c r="F216" s="8" t="inlineStr">
        <is>
          <t>#</t>
        </is>
      </c>
      <c r="G216" s="14" t="n">
        <v>27</v>
      </c>
      <c r="H216" s="14" t="n"/>
      <c r="I216" s="14" t="n"/>
      <c r="J216" s="14" t="n"/>
      <c r="K216" s="15" t="n"/>
      <c r="L216" s="8" t="inlineStr">
        <is>
          <t>Data held</t>
        </is>
      </c>
      <c r="M216" s="8" t="inlineStr">
        <is>
          <t>ESG</t>
        </is>
      </c>
      <c r="N216" s="11" t="inlineStr"/>
      <c r="O216" s="11" t="inlineStr"/>
      <c r="P216" s="11" t="inlineStr"/>
      <c r="Q216" s="11" t="inlineStr"/>
      <c r="R216" s="11" t="inlineStr"/>
      <c r="S216" s="11" t="inlineStr"/>
    </row>
    <row r="217">
      <c r="B217" s="16" t="inlineStr">
        <is>
          <t>NB1(a)</t>
        </is>
      </c>
      <c r="C217" s="16" t="inlineStr"/>
      <c r="D217" s="16" t="inlineStr"/>
      <c r="E217" s="16" t="inlineStr">
        <is>
          <t>Southbank biodiversity metrics</t>
        </is>
      </c>
      <c r="F217" s="16" t="inlineStr"/>
      <c r="G217" s="17" t="n"/>
      <c r="H217" s="17" t="n"/>
      <c r="I217" s="17" t="n"/>
      <c r="J217" s="17" t="n"/>
      <c r="K217" s="17" t="n"/>
      <c r="L217" s="16" t="inlineStr"/>
      <c r="M217" s="16" t="inlineStr"/>
      <c r="N217" s="16" t="inlineStr"/>
      <c r="O217" s="16" t="inlineStr"/>
      <c r="P217" s="16" t="inlineStr"/>
      <c r="Q217" s="16" t="inlineStr"/>
      <c r="R217" s="16" t="inlineStr"/>
      <c r="S217" s="16" t="inlineStr"/>
    </row>
    <row r="218">
      <c r="B218" s="13" t="inlineStr">
        <is>
          <t>NB1(a)</t>
        </is>
      </c>
      <c r="C218" s="8" t="inlineStr"/>
      <c r="D218" s="8" t="inlineStr"/>
      <c r="E218" s="18" t="inlineStr">
        <is>
          <t>Plantable area (2024 Baseline)</t>
        </is>
      </c>
      <c r="F218" s="8" t="inlineStr">
        <is>
          <t>%</t>
        </is>
      </c>
      <c r="G218" s="14" t="n">
        <v>12</v>
      </c>
      <c r="H218" s="14" t="n"/>
      <c r="I218" s="14" t="n"/>
      <c r="J218" s="14" t="n"/>
      <c r="K218" s="15" t="n"/>
      <c r="L218" s="8" t="inlineStr">
        <is>
          <t>Data held</t>
        </is>
      </c>
      <c r="M218" s="8" t="inlineStr">
        <is>
          <t>ESG</t>
        </is>
      </c>
      <c r="N218" s="11" t="inlineStr"/>
      <c r="O218" s="11" t="inlineStr"/>
      <c r="P218" s="11" t="inlineStr"/>
      <c r="Q218" s="11" t="inlineStr"/>
      <c r="R218" s="11" t="inlineStr"/>
      <c r="S218" s="11" t="inlineStr"/>
    </row>
    <row r="219">
      <c r="B219" s="13" t="inlineStr">
        <is>
          <t>NB1(a)</t>
        </is>
      </c>
      <c r="C219" s="8" t="inlineStr"/>
      <c r="D219" s="8" t="inlineStr"/>
      <c r="E219" s="18" t="inlineStr">
        <is>
          <t>Number of 'Areas of Significance' (2020 Baseline)</t>
        </is>
      </c>
      <c r="F219" s="8" t="inlineStr">
        <is>
          <t>#</t>
        </is>
      </c>
      <c r="G219" s="14" t="n">
        <v>12</v>
      </c>
      <c r="H219" s="14" t="n"/>
      <c r="I219" s="14" t="n"/>
      <c r="J219" s="14" t="n"/>
      <c r="K219" s="15" t="n"/>
      <c r="L219" s="8" t="inlineStr">
        <is>
          <t>Data held</t>
        </is>
      </c>
      <c r="M219" s="8" t="inlineStr">
        <is>
          <t>ESG</t>
        </is>
      </c>
      <c r="N219" s="11" t="inlineStr"/>
      <c r="O219" s="11" t="inlineStr"/>
      <c r="P219" s="11" t="inlineStr"/>
      <c r="Q219" s="11" t="inlineStr"/>
      <c r="R219" s="11" t="inlineStr"/>
      <c r="S219" s="11" t="inlineStr"/>
    </row>
    <row r="220">
      <c r="B220" s="13" t="inlineStr">
        <is>
          <t>NB1(a)</t>
        </is>
      </c>
      <c r="C220" s="8" t="inlineStr"/>
      <c r="D220" s="8" t="inlineStr"/>
      <c r="E220" s="18" t="inlineStr">
        <is>
          <t>Number of understorey plant species (2024 Baseline)</t>
        </is>
      </c>
      <c r="F220" s="8" t="inlineStr">
        <is>
          <t>#</t>
        </is>
      </c>
      <c r="G220" s="14" t="n">
        <v>138</v>
      </c>
      <c r="H220" s="14" t="n"/>
      <c r="I220" s="14" t="n"/>
      <c r="J220" s="14" t="n"/>
      <c r="K220" s="15" t="n"/>
      <c r="L220" s="8" t="inlineStr">
        <is>
          <t>Data held</t>
        </is>
      </c>
      <c r="M220" s="8" t="inlineStr">
        <is>
          <t>ESG</t>
        </is>
      </c>
      <c r="N220" s="11" t="inlineStr"/>
      <c r="O220" s="11" t="inlineStr"/>
      <c r="P220" s="11" t="inlineStr"/>
      <c r="Q220" s="11" t="inlineStr"/>
      <c r="R220" s="11" t="inlineStr"/>
      <c r="S220" s="11" t="inlineStr"/>
    </row>
    <row r="221">
      <c r="B221" s="13" t="inlineStr">
        <is>
          <t>NB1(a)</t>
        </is>
      </c>
      <c r="C221" s="8" t="inlineStr"/>
      <c r="D221" s="8" t="inlineStr"/>
      <c r="E221" s="18" t="inlineStr">
        <is>
          <t>Number of trees (2016 Baseline)</t>
        </is>
      </c>
      <c r="F221" s="8" t="inlineStr">
        <is>
          <t>#</t>
        </is>
      </c>
      <c r="G221" s="14" t="n">
        <v>159</v>
      </c>
      <c r="H221" s="14" t="n"/>
      <c r="I221" s="14" t="n"/>
      <c r="J221" s="14" t="n">
        <v>146</v>
      </c>
      <c r="K221" s="15" t="n"/>
      <c r="L221" s="8" t="inlineStr">
        <is>
          <t>Data held</t>
        </is>
      </c>
      <c r="M221" s="8" t="inlineStr">
        <is>
          <t>ESG</t>
        </is>
      </c>
      <c r="N221" s="11" t="inlineStr"/>
      <c r="O221" s="11" t="inlineStr"/>
      <c r="P221" s="11" t="inlineStr"/>
      <c r="Q221" s="11" t="inlineStr"/>
      <c r="R221" s="11" t="inlineStr"/>
      <c r="S221" s="11" t="inlineStr"/>
    </row>
    <row r="222">
      <c r="B222" s="13" t="inlineStr">
        <is>
          <t>NB1(a)</t>
        </is>
      </c>
      <c r="C222" s="8" t="inlineStr"/>
      <c r="D222" s="8" t="inlineStr"/>
      <c r="E222" s="18" t="inlineStr">
        <is>
          <t>Number of trees species (2016 Baseline)</t>
        </is>
      </c>
      <c r="F222" s="8" t="inlineStr">
        <is>
          <t>#</t>
        </is>
      </c>
      <c r="G222" s="14" t="n">
        <v>40</v>
      </c>
      <c r="H222" s="14" t="n"/>
      <c r="I222" s="14" t="n"/>
      <c r="J222" s="14" t="n"/>
      <c r="K222" s="15" t="n"/>
      <c r="L222" s="8" t="inlineStr">
        <is>
          <t>Data held</t>
        </is>
      </c>
      <c r="M222" s="8" t="inlineStr">
        <is>
          <t>ESG</t>
        </is>
      </c>
      <c r="N222" s="11" t="inlineStr"/>
      <c r="O222" s="11" t="inlineStr"/>
      <c r="P222" s="11" t="inlineStr"/>
      <c r="Q222" s="11" t="inlineStr"/>
      <c r="R222" s="11" t="inlineStr"/>
      <c r="S222" s="11" t="inlineStr"/>
    </row>
    <row r="223">
      <c r="B223" s="13" t="inlineStr">
        <is>
          <t>NB1(a)</t>
        </is>
      </c>
      <c r="C223" s="8" t="inlineStr"/>
      <c r="D223" s="8" t="inlineStr"/>
      <c r="E223" s="18" t="inlineStr">
        <is>
          <t>Tree canopy cover area (2018 Baseline)</t>
        </is>
      </c>
      <c r="F223" s="8" t="inlineStr">
        <is>
          <t>%</t>
        </is>
      </c>
      <c r="G223" s="14" t="n">
        <v>14</v>
      </c>
      <c r="H223" s="14" t="n"/>
      <c r="I223" s="14" t="n"/>
      <c r="J223" s="14" t="n"/>
      <c r="K223" s="15" t="n"/>
      <c r="L223" s="8" t="inlineStr">
        <is>
          <t>Data held</t>
        </is>
      </c>
      <c r="M223" s="8" t="inlineStr">
        <is>
          <t>ESG</t>
        </is>
      </c>
      <c r="N223" s="11" t="inlineStr"/>
      <c r="O223" s="11" t="inlineStr"/>
      <c r="P223" s="11" t="inlineStr"/>
      <c r="Q223" s="11" t="inlineStr"/>
      <c r="R223" s="11" t="inlineStr"/>
      <c r="S223" s="11" t="inlineStr"/>
    </row>
    <row r="224">
      <c r="B224" s="13" t="inlineStr">
        <is>
          <t>NB1(a)</t>
        </is>
      </c>
      <c r="C224" s="8" t="inlineStr"/>
      <c r="D224" s="8" t="inlineStr"/>
      <c r="E224" s="18" t="inlineStr">
        <is>
          <t>Number of fauna &amp; fungi species (2020 Baseline)</t>
        </is>
      </c>
      <c r="F224" s="8" t="inlineStr">
        <is>
          <t>#</t>
        </is>
      </c>
      <c r="G224" s="14" t="n">
        <v>459</v>
      </c>
      <c r="H224" s="14" t="n"/>
      <c r="I224" s="14" t="n"/>
      <c r="J224" s="14" t="n"/>
      <c r="K224" s="15" t="n"/>
      <c r="L224" s="8" t="inlineStr">
        <is>
          <t>Data held</t>
        </is>
      </c>
      <c r="M224" s="8" t="inlineStr">
        <is>
          <t>ESG</t>
        </is>
      </c>
      <c r="N224" s="11" t="inlineStr"/>
      <c r="O224" s="11" t="inlineStr"/>
      <c r="P224" s="11" t="inlineStr"/>
      <c r="Q224" s="11" t="inlineStr"/>
      <c r="R224" s="11" t="inlineStr"/>
      <c r="S224" s="11" t="inlineStr"/>
    </row>
    <row r="225">
      <c r="B225" s="13" t="inlineStr">
        <is>
          <t>NB1(a)</t>
        </is>
      </c>
      <c r="C225" s="8" t="inlineStr"/>
      <c r="D225" s="8" t="inlineStr"/>
      <c r="E225" s="19" t="inlineStr">
        <is>
          <t>Number of fauna species</t>
        </is>
      </c>
      <c r="F225" s="8" t="inlineStr">
        <is>
          <t>#</t>
        </is>
      </c>
      <c r="G225" s="14" t="n">
        <v>430</v>
      </c>
      <c r="H225" s="14" t="n"/>
      <c r="I225" s="14" t="n"/>
      <c r="J225" s="14" t="n"/>
      <c r="K225" s="15" t="n"/>
      <c r="L225" s="8" t="inlineStr">
        <is>
          <t>Data held</t>
        </is>
      </c>
      <c r="M225" s="8" t="inlineStr">
        <is>
          <t>ESG</t>
        </is>
      </c>
      <c r="N225" s="11" t="inlineStr"/>
      <c r="O225" s="11" t="inlineStr"/>
      <c r="P225" s="11" t="inlineStr"/>
      <c r="Q225" s="11" t="inlineStr"/>
      <c r="R225" s="11" t="inlineStr"/>
      <c r="S225" s="11" t="inlineStr"/>
    </row>
    <row r="226">
      <c r="B226" s="13" t="inlineStr">
        <is>
          <t>NB1(a)</t>
        </is>
      </c>
      <c r="C226" s="8" t="inlineStr"/>
      <c r="D226" s="8" t="inlineStr"/>
      <c r="E226" s="19" t="inlineStr">
        <is>
          <t>Number of fungi species</t>
        </is>
      </c>
      <c r="F226" s="8" t="inlineStr">
        <is>
          <t>#</t>
        </is>
      </c>
      <c r="G226" s="14" t="n">
        <v>29</v>
      </c>
      <c r="H226" s="14" t="n"/>
      <c r="I226" s="14" t="n"/>
      <c r="J226" s="14" t="n"/>
      <c r="K226" s="15" t="n"/>
      <c r="L226" s="8" t="inlineStr">
        <is>
          <t>Data held</t>
        </is>
      </c>
      <c r="M226" s="8" t="inlineStr">
        <is>
          <t>ESG</t>
        </is>
      </c>
      <c r="N226" s="11" t="inlineStr"/>
      <c r="O226" s="11" t="inlineStr"/>
      <c r="P226" s="11" t="inlineStr"/>
      <c r="Q226" s="11" t="inlineStr"/>
      <c r="R226" s="11" t="inlineStr"/>
      <c r="S226" s="11" t="inlineStr"/>
    </row>
    <row r="227">
      <c r="B227" s="16" t="inlineStr">
        <is>
          <t>NB1(a)</t>
        </is>
      </c>
      <c r="C227" s="16" t="inlineStr"/>
      <c r="D227" s="16" t="inlineStr"/>
      <c r="E227" s="16" t="inlineStr">
        <is>
          <t>Burnley biodiversity metrics</t>
        </is>
      </c>
      <c r="F227" s="16" t="inlineStr"/>
      <c r="G227" s="17" t="n"/>
      <c r="H227" s="17" t="n"/>
      <c r="I227" s="17" t="n"/>
      <c r="J227" s="17" t="n"/>
      <c r="K227" s="17" t="n"/>
      <c r="L227" s="16" t="inlineStr"/>
      <c r="M227" s="16" t="inlineStr"/>
      <c r="N227" s="16" t="inlineStr"/>
      <c r="O227" s="16" t="inlineStr"/>
      <c r="P227" s="16" t="inlineStr"/>
      <c r="Q227" s="16" t="inlineStr"/>
      <c r="R227" s="16" t="inlineStr"/>
      <c r="S227" s="16" t="inlineStr"/>
    </row>
    <row r="228">
      <c r="B228" s="13" t="inlineStr">
        <is>
          <t>NB1(a)</t>
        </is>
      </c>
      <c r="C228" s="8" t="inlineStr"/>
      <c r="D228" s="8" t="inlineStr"/>
      <c r="E228" s="18" t="inlineStr">
        <is>
          <t>Plantable area (2024 Baseline)</t>
        </is>
      </c>
      <c r="F228" s="8" t="inlineStr">
        <is>
          <t>%</t>
        </is>
      </c>
      <c r="G228" s="14" t="n">
        <v>63</v>
      </c>
      <c r="H228" s="14" t="n"/>
      <c r="I228" s="14" t="n"/>
      <c r="J228" s="14" t="n"/>
      <c r="K228" s="15" t="n"/>
      <c r="L228" s="8" t="inlineStr">
        <is>
          <t>Data held</t>
        </is>
      </c>
      <c r="M228" s="8" t="inlineStr">
        <is>
          <t>ESG</t>
        </is>
      </c>
      <c r="N228" s="11" t="inlineStr"/>
      <c r="O228" s="11" t="inlineStr"/>
      <c r="P228" s="11" t="inlineStr"/>
      <c r="Q228" s="11" t="inlineStr"/>
      <c r="R228" s="11" t="inlineStr"/>
      <c r="S228" s="11" t="inlineStr"/>
    </row>
    <row r="229">
      <c r="B229" s="13" t="inlineStr">
        <is>
          <t>NB1(a)</t>
        </is>
      </c>
      <c r="C229" s="8" t="inlineStr"/>
      <c r="D229" s="8" t="inlineStr"/>
      <c r="E229" s="18" t="inlineStr">
        <is>
          <t>Number of 'Areas of Significance' (2020 Baseline)</t>
        </is>
      </c>
      <c r="F229" s="8" t="inlineStr">
        <is>
          <t>#</t>
        </is>
      </c>
      <c r="G229" s="14" t="n">
        <v>24</v>
      </c>
      <c r="H229" s="14" t="n"/>
      <c r="I229" s="14" t="n"/>
      <c r="J229" s="14" t="n"/>
      <c r="K229" s="15" t="n"/>
      <c r="L229" s="8" t="inlineStr">
        <is>
          <t>Data held</t>
        </is>
      </c>
      <c r="M229" s="8" t="inlineStr">
        <is>
          <t>ESG</t>
        </is>
      </c>
      <c r="N229" s="11" t="inlineStr"/>
      <c r="O229" s="11" t="inlineStr"/>
      <c r="P229" s="11" t="inlineStr"/>
      <c r="Q229" s="11" t="inlineStr"/>
      <c r="R229" s="11" t="inlineStr"/>
      <c r="S229" s="11" t="inlineStr"/>
    </row>
    <row r="230">
      <c r="B230" s="13" t="inlineStr">
        <is>
          <t>NB1(a)</t>
        </is>
      </c>
      <c r="C230" s="8" t="inlineStr"/>
      <c r="D230" s="8" t="inlineStr"/>
      <c r="E230" s="18" t="inlineStr">
        <is>
          <t>Number of understorey plant species (2024 Baseline)</t>
        </is>
      </c>
      <c r="F230" s="8" t="inlineStr">
        <is>
          <t>#</t>
        </is>
      </c>
      <c r="G230" s="14" t="n">
        <v>1644</v>
      </c>
      <c r="H230" s="14" t="n"/>
      <c r="I230" s="14" t="n"/>
      <c r="J230" s="14" t="n"/>
      <c r="K230" s="15" t="n"/>
      <c r="L230" s="8" t="inlineStr">
        <is>
          <t>Data held</t>
        </is>
      </c>
      <c r="M230" s="8" t="inlineStr">
        <is>
          <t>ESG</t>
        </is>
      </c>
      <c r="N230" s="11" t="inlineStr"/>
      <c r="O230" s="11" t="inlineStr"/>
      <c r="P230" s="11" t="inlineStr"/>
      <c r="Q230" s="11" t="inlineStr"/>
      <c r="R230" s="11" t="inlineStr"/>
      <c r="S230" s="11" t="inlineStr"/>
    </row>
    <row r="231">
      <c r="B231" s="13" t="inlineStr">
        <is>
          <t>NB1(a)</t>
        </is>
      </c>
      <c r="C231" s="8" t="inlineStr"/>
      <c r="D231" s="8" t="inlineStr"/>
      <c r="E231" s="18" t="inlineStr">
        <is>
          <t>Number of trees (2016 Baseline)</t>
        </is>
      </c>
      <c r="F231" s="8" t="inlineStr">
        <is>
          <t>#</t>
        </is>
      </c>
      <c r="G231" s="14" t="n">
        <v>777</v>
      </c>
      <c r="H231" s="14" t="n"/>
      <c r="I231" s="14" t="n"/>
      <c r="J231" s="14" t="n">
        <v>785</v>
      </c>
      <c r="K231" s="15" t="n"/>
      <c r="L231" s="8" t="inlineStr">
        <is>
          <t>Data held</t>
        </is>
      </c>
      <c r="M231" s="8" t="inlineStr">
        <is>
          <t>ESG</t>
        </is>
      </c>
      <c r="N231" s="11" t="inlineStr"/>
      <c r="O231" s="11" t="inlineStr"/>
      <c r="P231" s="11" t="inlineStr"/>
      <c r="Q231" s="11" t="inlineStr"/>
      <c r="R231" s="11" t="inlineStr"/>
      <c r="S231" s="11" t="inlineStr"/>
    </row>
    <row r="232">
      <c r="B232" s="13" t="inlineStr">
        <is>
          <t>NB1(a)</t>
        </is>
      </c>
      <c r="C232" s="8" t="inlineStr"/>
      <c r="D232" s="8" t="inlineStr"/>
      <c r="E232" s="18" t="inlineStr">
        <is>
          <t>Number of trees species (2016 Baseline)</t>
        </is>
      </c>
      <c r="F232" s="8" t="inlineStr">
        <is>
          <t>#</t>
        </is>
      </c>
      <c r="G232" s="14" t="n">
        <v>298</v>
      </c>
      <c r="H232" s="14" t="n"/>
      <c r="I232" s="14" t="n"/>
      <c r="J232" s="14" t="n"/>
      <c r="K232" s="15" t="n"/>
      <c r="L232" s="8" t="inlineStr">
        <is>
          <t>Data held</t>
        </is>
      </c>
      <c r="M232" s="8" t="inlineStr">
        <is>
          <t>ESG</t>
        </is>
      </c>
      <c r="N232" s="11" t="inlineStr"/>
      <c r="O232" s="11" t="inlineStr"/>
      <c r="P232" s="11" t="inlineStr"/>
      <c r="Q232" s="11" t="inlineStr"/>
      <c r="R232" s="11" t="inlineStr"/>
      <c r="S232" s="11" t="inlineStr"/>
    </row>
    <row r="233">
      <c r="B233" s="13" t="inlineStr">
        <is>
          <t>NB1(a)</t>
        </is>
      </c>
      <c r="C233" s="8" t="inlineStr"/>
      <c r="D233" s="8" t="inlineStr"/>
      <c r="E233" s="18" t="inlineStr">
        <is>
          <t>Tree canopy cover area (2019 Baseline)</t>
        </is>
      </c>
      <c r="F233" s="8" t="inlineStr">
        <is>
          <t>%</t>
        </is>
      </c>
      <c r="G233" s="14" t="n">
        <v>31</v>
      </c>
      <c r="H233" s="14" t="n"/>
      <c r="I233" s="14" t="n"/>
      <c r="J233" s="14" t="n"/>
      <c r="K233" s="15" t="n"/>
      <c r="L233" s="8" t="inlineStr">
        <is>
          <t>Data held</t>
        </is>
      </c>
      <c r="M233" s="8" t="inlineStr">
        <is>
          <t>ESG</t>
        </is>
      </c>
      <c r="N233" s="11" t="inlineStr"/>
      <c r="O233" s="11" t="inlineStr"/>
      <c r="P233" s="11" t="inlineStr"/>
      <c r="Q233" s="11" t="inlineStr"/>
      <c r="R233" s="11" t="inlineStr"/>
      <c r="S233" s="11" t="inlineStr"/>
    </row>
    <row r="234">
      <c r="B234" s="13" t="inlineStr">
        <is>
          <t>NB1(a)</t>
        </is>
      </c>
      <c r="C234" s="8" t="inlineStr"/>
      <c r="D234" s="8" t="inlineStr"/>
      <c r="E234" s="18" t="inlineStr">
        <is>
          <t>Number of fauna &amp; fungi species (2020 Baseline)</t>
        </is>
      </c>
      <c r="F234" s="8" t="inlineStr">
        <is>
          <t>#</t>
        </is>
      </c>
      <c r="G234" s="14" t="n">
        <v>183</v>
      </c>
      <c r="H234" s="14" t="n"/>
      <c r="I234" s="14" t="n"/>
      <c r="J234" s="14" t="n"/>
      <c r="K234" s="15" t="n"/>
      <c r="L234" s="8" t="inlineStr">
        <is>
          <t>Data held</t>
        </is>
      </c>
      <c r="M234" s="8" t="inlineStr">
        <is>
          <t>ESG</t>
        </is>
      </c>
      <c r="N234" s="11" t="inlineStr"/>
      <c r="O234" s="11" t="inlineStr"/>
      <c r="P234" s="11" t="inlineStr"/>
      <c r="Q234" s="11" t="inlineStr"/>
      <c r="R234" s="11" t="inlineStr"/>
      <c r="S234" s="11" t="inlineStr"/>
    </row>
    <row r="235">
      <c r="B235" s="13" t="inlineStr">
        <is>
          <t>NB1(a)</t>
        </is>
      </c>
      <c r="C235" s="8" t="inlineStr"/>
      <c r="D235" s="8" t="inlineStr"/>
      <c r="E235" s="19" t="inlineStr">
        <is>
          <t>Number of fauna species</t>
        </is>
      </c>
      <c r="F235" s="8" t="inlineStr">
        <is>
          <t>#</t>
        </is>
      </c>
      <c r="G235" s="14" t="n">
        <v>170</v>
      </c>
      <c r="H235" s="14" t="n"/>
      <c r="I235" s="14" t="n"/>
      <c r="J235" s="14" t="n"/>
      <c r="K235" s="15" t="n"/>
      <c r="L235" s="8" t="inlineStr">
        <is>
          <t>Data held</t>
        </is>
      </c>
      <c r="M235" s="8" t="inlineStr">
        <is>
          <t>ESG</t>
        </is>
      </c>
      <c r="N235" s="11" t="inlineStr"/>
      <c r="O235" s="11" t="inlineStr"/>
      <c r="P235" s="11" t="inlineStr"/>
      <c r="Q235" s="11" t="inlineStr"/>
      <c r="R235" s="11" t="inlineStr"/>
      <c r="S235" s="11" t="inlineStr"/>
    </row>
    <row r="236">
      <c r="B236" s="13" t="inlineStr">
        <is>
          <t>NB1(a)</t>
        </is>
      </c>
      <c r="C236" s="8" t="inlineStr"/>
      <c r="D236" s="8" t="inlineStr"/>
      <c r="E236" s="19" t="inlineStr">
        <is>
          <t>Number of fungi species</t>
        </is>
      </c>
      <c r="F236" s="8" t="inlineStr">
        <is>
          <t>#</t>
        </is>
      </c>
      <c r="G236" s="14" t="n">
        <v>13</v>
      </c>
      <c r="H236" s="14" t="n"/>
      <c r="I236" s="14" t="n"/>
      <c r="J236" s="14" t="n"/>
      <c r="K236" s="15" t="n"/>
      <c r="L236" s="8" t="inlineStr">
        <is>
          <t>Data held</t>
        </is>
      </c>
      <c r="M236" s="8" t="inlineStr">
        <is>
          <t>ESG</t>
        </is>
      </c>
      <c r="N236" s="11" t="inlineStr"/>
      <c r="O236" s="11" t="inlineStr"/>
      <c r="P236" s="11" t="inlineStr"/>
      <c r="Q236" s="11" t="inlineStr"/>
      <c r="R236" s="11" t="inlineStr"/>
      <c r="S236" s="11" t="inlineStr"/>
    </row>
    <row r="237">
      <c r="B237" s="16" t="inlineStr">
        <is>
          <t>NB1(a)</t>
        </is>
      </c>
      <c r="C237" s="16" t="inlineStr"/>
      <c r="D237" s="16" t="inlineStr"/>
      <c r="E237" s="16" t="inlineStr">
        <is>
          <t>Werribee biodiversity metrics</t>
        </is>
      </c>
      <c r="F237" s="16" t="inlineStr"/>
      <c r="G237" s="17" t="n"/>
      <c r="H237" s="17" t="n"/>
      <c r="I237" s="17" t="n"/>
      <c r="J237" s="17" t="n"/>
      <c r="K237" s="17" t="n"/>
      <c r="L237" s="16" t="inlineStr"/>
      <c r="M237" s="16" t="inlineStr"/>
      <c r="N237" s="16" t="inlineStr"/>
      <c r="O237" s="16" t="inlineStr"/>
      <c r="P237" s="16" t="inlineStr"/>
      <c r="Q237" s="16" t="inlineStr"/>
      <c r="R237" s="16" t="inlineStr"/>
      <c r="S237" s="16" t="inlineStr"/>
    </row>
    <row r="238">
      <c r="B238" s="13" t="inlineStr">
        <is>
          <t>NB1(a)</t>
        </is>
      </c>
      <c r="C238" s="8" t="inlineStr"/>
      <c r="D238" s="8" t="inlineStr"/>
      <c r="E238" s="18" t="inlineStr">
        <is>
          <t>Plantable area (2024 Baseline)</t>
        </is>
      </c>
      <c r="F238" s="8" t="inlineStr">
        <is>
          <t>%</t>
        </is>
      </c>
      <c r="G238" s="14" t="n">
        <v>68</v>
      </c>
      <c r="H238" s="14" t="n"/>
      <c r="I238" s="14" t="n"/>
      <c r="J238" s="14" t="n"/>
      <c r="K238" s="15" t="n"/>
      <c r="L238" s="8" t="inlineStr">
        <is>
          <t>Data held</t>
        </is>
      </c>
      <c r="M238" s="8" t="inlineStr">
        <is>
          <t>ESG</t>
        </is>
      </c>
      <c r="N238" s="11" t="inlineStr"/>
      <c r="O238" s="11" t="inlineStr"/>
      <c r="P238" s="11" t="inlineStr"/>
      <c r="Q238" s="11" t="inlineStr"/>
      <c r="R238" s="11" t="inlineStr"/>
      <c r="S238" s="11" t="inlineStr"/>
    </row>
    <row r="239">
      <c r="B239" s="13" t="inlineStr">
        <is>
          <t>NB1(a)</t>
        </is>
      </c>
      <c r="C239" s="8" t="inlineStr"/>
      <c r="D239" s="8" t="inlineStr"/>
      <c r="E239" s="18" t="inlineStr">
        <is>
          <t>Number of 'Areas of Significance' (2020 Baseline)</t>
        </is>
      </c>
      <c r="F239" s="8" t="inlineStr">
        <is>
          <t>#</t>
        </is>
      </c>
      <c r="G239" s="14" t="n">
        <v>10</v>
      </c>
      <c r="H239" s="14" t="n"/>
      <c r="I239" s="14" t="n"/>
      <c r="J239" s="14" t="n"/>
      <c r="K239" s="15" t="n"/>
      <c r="L239" s="8" t="inlineStr">
        <is>
          <t>Data held</t>
        </is>
      </c>
      <c r="M239" s="8" t="inlineStr">
        <is>
          <t>ESG</t>
        </is>
      </c>
      <c r="N239" s="11" t="inlineStr"/>
      <c r="O239" s="11" t="inlineStr"/>
      <c r="P239" s="11" t="inlineStr"/>
      <c r="Q239" s="11" t="inlineStr"/>
      <c r="R239" s="11" t="inlineStr"/>
      <c r="S239" s="11" t="inlineStr"/>
    </row>
    <row r="240">
      <c r="B240" s="13" t="inlineStr">
        <is>
          <t>NB1(a)</t>
        </is>
      </c>
      <c r="C240" s="8" t="inlineStr"/>
      <c r="D240" s="8" t="inlineStr"/>
      <c r="E240" s="18" t="inlineStr">
        <is>
          <t>Number of understorey plant species (2024 Baseline)</t>
        </is>
      </c>
      <c r="F240" s="8" t="inlineStr">
        <is>
          <t>#</t>
        </is>
      </c>
      <c r="G240" s="14" t="n">
        <v>209</v>
      </c>
      <c r="H240" s="14" t="n"/>
      <c r="I240" s="14" t="n"/>
      <c r="J240" s="14" t="n"/>
      <c r="K240" s="15" t="n"/>
      <c r="L240" s="8" t="inlineStr">
        <is>
          <t>Data held</t>
        </is>
      </c>
      <c r="M240" s="8" t="inlineStr">
        <is>
          <t>ESG</t>
        </is>
      </c>
      <c r="N240" s="11" t="inlineStr"/>
      <c r="O240" s="11" t="inlineStr"/>
      <c r="P240" s="11" t="inlineStr"/>
      <c r="Q240" s="11" t="inlineStr"/>
      <c r="R240" s="11" t="inlineStr"/>
      <c r="S240" s="11" t="inlineStr"/>
    </row>
    <row r="241">
      <c r="B241" s="13" t="inlineStr">
        <is>
          <t>NB1(a)</t>
        </is>
      </c>
      <c r="C241" s="8" t="inlineStr"/>
      <c r="D241" s="8" t="inlineStr"/>
      <c r="E241" s="18" t="inlineStr">
        <is>
          <t>Number of trees (2016 Baseline)</t>
        </is>
      </c>
      <c r="F241" s="8" t="inlineStr">
        <is>
          <t>#</t>
        </is>
      </c>
      <c r="G241" s="14" t="n">
        <v>2027</v>
      </c>
      <c r="H241" s="14" t="n"/>
      <c r="I241" s="14" t="n"/>
      <c r="J241" s="14" t="n">
        <v>1840</v>
      </c>
      <c r="K241" s="15" t="n"/>
      <c r="L241" s="8" t="inlineStr">
        <is>
          <t>Data held</t>
        </is>
      </c>
      <c r="M241" s="8" t="inlineStr">
        <is>
          <t>ESG</t>
        </is>
      </c>
      <c r="N241" s="11" t="inlineStr"/>
      <c r="O241" s="11" t="inlineStr"/>
      <c r="P241" s="11" t="inlineStr"/>
      <c r="Q241" s="11" t="inlineStr"/>
      <c r="R241" s="11" t="inlineStr"/>
      <c r="S241" s="11" t="inlineStr"/>
    </row>
    <row r="242">
      <c r="B242" s="13" t="inlineStr">
        <is>
          <t>NB1(a)</t>
        </is>
      </c>
      <c r="C242" s="8" t="inlineStr"/>
      <c r="D242" s="8" t="inlineStr"/>
      <c r="E242" s="18" t="inlineStr">
        <is>
          <t>Number of trees species (2016 Baseline)</t>
        </is>
      </c>
      <c r="F242" s="8" t="inlineStr">
        <is>
          <t>#</t>
        </is>
      </c>
      <c r="G242" s="14" t="n">
        <v>132</v>
      </c>
      <c r="H242" s="14" t="n"/>
      <c r="I242" s="14" t="n"/>
      <c r="J242" s="14" t="n"/>
      <c r="K242" s="15" t="n"/>
      <c r="L242" s="8" t="inlineStr">
        <is>
          <t>Data held</t>
        </is>
      </c>
      <c r="M242" s="8" t="inlineStr">
        <is>
          <t>ESG</t>
        </is>
      </c>
      <c r="N242" s="11" t="inlineStr"/>
      <c r="O242" s="11" t="inlineStr"/>
      <c r="P242" s="11" t="inlineStr"/>
      <c r="Q242" s="11" t="inlineStr"/>
      <c r="R242" s="11" t="inlineStr"/>
      <c r="S242" s="11" t="inlineStr"/>
    </row>
    <row r="243">
      <c r="B243" s="13" t="inlineStr">
        <is>
          <t>NB1(a)</t>
        </is>
      </c>
      <c r="C243" s="8" t="inlineStr"/>
      <c r="D243" s="8" t="inlineStr"/>
      <c r="E243" s="18" t="inlineStr">
        <is>
          <t>Tree canopy cover area (2018 Baseline)</t>
        </is>
      </c>
      <c r="F243" s="8" t="inlineStr">
        <is>
          <t>%</t>
        </is>
      </c>
      <c r="G243" s="14" t="n">
        <v>17</v>
      </c>
      <c r="H243" s="14" t="n"/>
      <c r="I243" s="14" t="n"/>
      <c r="J243" s="14" t="n"/>
      <c r="K243" s="15" t="n"/>
      <c r="L243" s="8" t="inlineStr">
        <is>
          <t>Data held</t>
        </is>
      </c>
      <c r="M243" s="8" t="inlineStr">
        <is>
          <t>ESG</t>
        </is>
      </c>
      <c r="N243" s="11" t="inlineStr"/>
      <c r="O243" s="11" t="inlineStr"/>
      <c r="P243" s="11" t="inlineStr"/>
      <c r="Q243" s="11" t="inlineStr"/>
      <c r="R243" s="11" t="inlineStr"/>
      <c r="S243" s="11" t="inlineStr"/>
    </row>
    <row r="244">
      <c r="B244" s="13" t="inlineStr">
        <is>
          <t>NB1(a)</t>
        </is>
      </c>
      <c r="C244" s="8" t="inlineStr"/>
      <c r="D244" s="8" t="inlineStr"/>
      <c r="E244" s="18" t="inlineStr">
        <is>
          <t>Number of fauna &amp; fungi species (2020 Baseline)</t>
        </is>
      </c>
      <c r="F244" s="8" t="inlineStr">
        <is>
          <t>#</t>
        </is>
      </c>
      <c r="G244" s="14" t="n">
        <v>26</v>
      </c>
      <c r="H244" s="14" t="n"/>
      <c r="I244" s="14" t="n"/>
      <c r="J244" s="14" t="n"/>
      <c r="K244" s="15" t="n"/>
      <c r="L244" s="8" t="inlineStr">
        <is>
          <t>Data held</t>
        </is>
      </c>
      <c r="M244" s="8" t="inlineStr">
        <is>
          <t>ESG</t>
        </is>
      </c>
      <c r="N244" s="11" t="inlineStr"/>
      <c r="O244" s="11" t="inlineStr"/>
      <c r="P244" s="11" t="inlineStr"/>
      <c r="Q244" s="11" t="inlineStr"/>
      <c r="R244" s="11" t="inlineStr"/>
      <c r="S244" s="11" t="inlineStr"/>
    </row>
    <row r="245">
      <c r="B245" s="13" t="inlineStr">
        <is>
          <t>NB1(a)</t>
        </is>
      </c>
      <c r="C245" s="8" t="inlineStr"/>
      <c r="D245" s="8" t="inlineStr"/>
      <c r="E245" s="19" t="inlineStr">
        <is>
          <t>Number of fauna species</t>
        </is>
      </c>
      <c r="F245" s="8" t="inlineStr">
        <is>
          <t>#</t>
        </is>
      </c>
      <c r="G245" s="14" t="n">
        <v>26</v>
      </c>
      <c r="H245" s="14" t="n"/>
      <c r="I245" s="14" t="n"/>
      <c r="J245" s="14" t="n"/>
      <c r="K245" s="15" t="n"/>
      <c r="L245" s="8" t="inlineStr">
        <is>
          <t>Data held</t>
        </is>
      </c>
      <c r="M245" s="8" t="inlineStr">
        <is>
          <t>ESG</t>
        </is>
      </c>
      <c r="N245" s="11" t="inlineStr"/>
      <c r="O245" s="11" t="inlineStr"/>
      <c r="P245" s="11" t="inlineStr"/>
      <c r="Q245" s="11" t="inlineStr"/>
      <c r="R245" s="11" t="inlineStr"/>
      <c r="S245" s="11" t="inlineStr"/>
    </row>
    <row r="246">
      <c r="B246" s="13" t="inlineStr">
        <is>
          <t>NB1(a)</t>
        </is>
      </c>
      <c r="C246" s="8" t="inlineStr"/>
      <c r="D246" s="8" t="inlineStr"/>
      <c r="E246" s="19" t="inlineStr">
        <is>
          <t>Number of fungi species</t>
        </is>
      </c>
      <c r="F246" s="8" t="inlineStr">
        <is>
          <t>#</t>
        </is>
      </c>
      <c r="G246" s="14" t="n">
        <v>0</v>
      </c>
      <c r="H246" s="14" t="n"/>
      <c r="I246" s="14" t="n"/>
      <c r="J246" s="14" t="n"/>
      <c r="K246" s="15" t="n"/>
      <c r="L246" s="8" t="inlineStr">
        <is>
          <t>Data held</t>
        </is>
      </c>
      <c r="M246" s="8" t="inlineStr">
        <is>
          <t>ESG</t>
        </is>
      </c>
      <c r="N246" s="11" t="inlineStr"/>
      <c r="O246" s="11" t="inlineStr"/>
      <c r="P246" s="11" t="inlineStr"/>
      <c r="Q246" s="11" t="inlineStr"/>
      <c r="R246" s="11" t="inlineStr"/>
      <c r="S246" s="11" t="inlineStr"/>
    </row>
    <row r="247">
      <c r="B247" s="16" t="inlineStr">
        <is>
          <t>NB1(a)</t>
        </is>
      </c>
      <c r="C247" s="16" t="inlineStr"/>
      <c r="D247" s="16" t="inlineStr"/>
      <c r="E247" s="16" t="inlineStr">
        <is>
          <t>Creswick biodiversity metrics</t>
        </is>
      </c>
      <c r="F247" s="16" t="inlineStr"/>
      <c r="G247" s="17" t="n"/>
      <c r="H247" s="17" t="n"/>
      <c r="I247" s="17" t="n"/>
      <c r="J247" s="17" t="n"/>
      <c r="K247" s="17" t="n"/>
      <c r="L247" s="16" t="inlineStr"/>
      <c r="M247" s="16" t="inlineStr"/>
      <c r="N247" s="16" t="inlineStr"/>
      <c r="O247" s="16" t="inlineStr"/>
      <c r="P247" s="16" t="inlineStr"/>
      <c r="Q247" s="16" t="inlineStr"/>
      <c r="R247" s="16" t="inlineStr"/>
      <c r="S247" s="16" t="inlineStr"/>
    </row>
    <row r="248">
      <c r="B248" s="13" t="inlineStr">
        <is>
          <t>NB1(a)</t>
        </is>
      </c>
      <c r="C248" s="8" t="inlineStr"/>
      <c r="D248" s="8" t="inlineStr"/>
      <c r="E248" s="18" t="inlineStr">
        <is>
          <t>Plantable area (2024 Baseline)</t>
        </is>
      </c>
      <c r="F248" s="8" t="inlineStr">
        <is>
          <t>%</t>
        </is>
      </c>
      <c r="G248" s="14" t="n">
        <v>76</v>
      </c>
      <c r="H248" s="14" t="n"/>
      <c r="I248" s="14" t="n"/>
      <c r="J248" s="14" t="n"/>
      <c r="K248" s="15" t="n"/>
      <c r="L248" s="8" t="inlineStr">
        <is>
          <t>Data held</t>
        </is>
      </c>
      <c r="M248" s="8" t="inlineStr">
        <is>
          <t>ESG</t>
        </is>
      </c>
      <c r="N248" s="11" t="inlineStr"/>
      <c r="O248" s="11" t="inlineStr"/>
      <c r="P248" s="11" t="inlineStr"/>
      <c r="Q248" s="11" t="inlineStr"/>
      <c r="R248" s="11" t="inlineStr"/>
      <c r="S248" s="11" t="inlineStr"/>
    </row>
    <row r="249">
      <c r="B249" s="13" t="inlineStr">
        <is>
          <t>NB1(a)</t>
        </is>
      </c>
      <c r="C249" s="8" t="inlineStr"/>
      <c r="D249" s="8" t="inlineStr"/>
      <c r="E249" s="18" t="inlineStr">
        <is>
          <t>Number of 'Areas of Significance' (2020 Baseline)</t>
        </is>
      </c>
      <c r="F249" s="8" t="inlineStr">
        <is>
          <t>#</t>
        </is>
      </c>
      <c r="G249" s="14" t="n">
        <v>15</v>
      </c>
      <c r="H249" s="14" t="n"/>
      <c r="I249" s="14" t="n"/>
      <c r="J249" s="14" t="n"/>
      <c r="K249" s="15" t="n"/>
      <c r="L249" s="8" t="inlineStr">
        <is>
          <t>Data held</t>
        </is>
      </c>
      <c r="M249" s="8" t="inlineStr">
        <is>
          <t>ESG</t>
        </is>
      </c>
      <c r="N249" s="11" t="inlineStr"/>
      <c r="O249" s="11" t="inlineStr"/>
      <c r="P249" s="11" t="inlineStr"/>
      <c r="Q249" s="11" t="inlineStr"/>
      <c r="R249" s="11" t="inlineStr"/>
      <c r="S249" s="11" t="inlineStr"/>
    </row>
    <row r="250">
      <c r="B250" s="13" t="inlineStr">
        <is>
          <t>NB1(a)</t>
        </is>
      </c>
      <c r="C250" s="8" t="inlineStr"/>
      <c r="D250" s="8" t="inlineStr"/>
      <c r="E250" s="18" t="inlineStr">
        <is>
          <t>Number of understorey plant species (2024 Baseline)</t>
        </is>
      </c>
      <c r="F250" s="8" t="inlineStr">
        <is>
          <t>#</t>
        </is>
      </c>
      <c r="G250" s="14" t="n">
        <v>114</v>
      </c>
      <c r="H250" s="14" t="n"/>
      <c r="I250" s="14" t="n"/>
      <c r="J250" s="14" t="n"/>
      <c r="K250" s="15" t="n"/>
      <c r="L250" s="8" t="inlineStr">
        <is>
          <t>Data held</t>
        </is>
      </c>
      <c r="M250" s="8" t="inlineStr">
        <is>
          <t>ESG</t>
        </is>
      </c>
      <c r="N250" s="11" t="inlineStr"/>
      <c r="O250" s="11" t="inlineStr"/>
      <c r="P250" s="11" t="inlineStr"/>
      <c r="Q250" s="11" t="inlineStr"/>
      <c r="R250" s="11" t="inlineStr"/>
      <c r="S250" s="11" t="inlineStr"/>
    </row>
    <row r="251">
      <c r="B251" s="13" t="inlineStr">
        <is>
          <t>NB1(a)</t>
        </is>
      </c>
      <c r="C251" s="8" t="inlineStr"/>
      <c r="D251" s="8" t="inlineStr"/>
      <c r="E251" s="18" t="inlineStr">
        <is>
          <t>Number of trees (2016 Baseline)</t>
        </is>
      </c>
      <c r="F251" s="8" t="inlineStr">
        <is>
          <t>#</t>
        </is>
      </c>
      <c r="G251" s="14" t="n">
        <v>1951</v>
      </c>
      <c r="H251" s="14" t="n"/>
      <c r="I251" s="14" t="n"/>
      <c r="J251" s="14" t="n">
        <v>2677</v>
      </c>
      <c r="K251" s="15" t="n"/>
      <c r="L251" s="8" t="inlineStr">
        <is>
          <t>Data held</t>
        </is>
      </c>
      <c r="M251" s="8" t="inlineStr">
        <is>
          <t>ESG</t>
        </is>
      </c>
      <c r="N251" s="11" t="inlineStr"/>
      <c r="O251" s="11" t="inlineStr"/>
      <c r="P251" s="11" t="inlineStr"/>
      <c r="Q251" s="11" t="inlineStr"/>
      <c r="R251" s="11" t="inlineStr"/>
      <c r="S251" s="11" t="inlineStr"/>
    </row>
    <row r="252">
      <c r="B252" s="13" t="inlineStr">
        <is>
          <t>NB1(a)</t>
        </is>
      </c>
      <c r="C252" s="8" t="inlineStr"/>
      <c r="D252" s="8" t="inlineStr"/>
      <c r="E252" s="18" t="inlineStr">
        <is>
          <t>Number of trees species (2016 Baseline)</t>
        </is>
      </c>
      <c r="F252" s="8" t="inlineStr">
        <is>
          <t>#</t>
        </is>
      </c>
      <c r="G252" s="14" t="n">
        <v>201</v>
      </c>
      <c r="H252" s="14" t="n"/>
      <c r="I252" s="14" t="n"/>
      <c r="J252" s="14" t="n"/>
      <c r="K252" s="15" t="n"/>
      <c r="L252" s="8" t="inlineStr">
        <is>
          <t>Data held</t>
        </is>
      </c>
      <c r="M252" s="8" t="inlineStr">
        <is>
          <t>ESG</t>
        </is>
      </c>
      <c r="N252" s="11" t="inlineStr"/>
      <c r="O252" s="11" t="inlineStr"/>
      <c r="P252" s="11" t="inlineStr"/>
      <c r="Q252" s="11" t="inlineStr"/>
      <c r="R252" s="11" t="inlineStr"/>
      <c r="S252" s="11" t="inlineStr"/>
    </row>
    <row r="253">
      <c r="B253" s="13" t="inlineStr">
        <is>
          <t>NB1(a)</t>
        </is>
      </c>
      <c r="C253" s="8" t="inlineStr"/>
      <c r="D253" s="8" t="inlineStr"/>
      <c r="E253" s="18" t="inlineStr">
        <is>
          <t>Tree canopy cover area (2010 Baseline)</t>
        </is>
      </c>
      <c r="F253" s="8" t="inlineStr">
        <is>
          <t>%</t>
        </is>
      </c>
      <c r="G253" s="14" t="n">
        <v>45</v>
      </c>
      <c r="H253" s="14" t="n"/>
      <c r="I253" s="14" t="n"/>
      <c r="J253" s="14" t="n"/>
      <c r="K253" s="15" t="n"/>
      <c r="L253" s="8" t="inlineStr">
        <is>
          <t>Data held</t>
        </is>
      </c>
      <c r="M253" s="8" t="inlineStr">
        <is>
          <t>ESG</t>
        </is>
      </c>
      <c r="N253" s="11" t="inlineStr"/>
      <c r="O253" s="11" t="inlineStr"/>
      <c r="P253" s="11" t="inlineStr"/>
      <c r="Q253" s="11" t="inlineStr"/>
      <c r="R253" s="11" t="inlineStr"/>
      <c r="S253" s="11" t="inlineStr"/>
    </row>
    <row r="254">
      <c r="B254" s="13" t="inlineStr">
        <is>
          <t>NB1(a)</t>
        </is>
      </c>
      <c r="C254" s="8" t="inlineStr"/>
      <c r="D254" s="8" t="inlineStr"/>
      <c r="E254" s="18" t="inlineStr">
        <is>
          <t>Number of fauna &amp; fungi species (2020 Baseline)</t>
        </is>
      </c>
      <c r="F254" s="8" t="inlineStr">
        <is>
          <t>#</t>
        </is>
      </c>
      <c r="G254" s="14" t="n">
        <v>140</v>
      </c>
      <c r="H254" s="14" t="n"/>
      <c r="I254" s="14" t="n"/>
      <c r="J254" s="14" t="n"/>
      <c r="K254" s="15" t="n"/>
      <c r="L254" s="8" t="inlineStr">
        <is>
          <t>Data held</t>
        </is>
      </c>
      <c r="M254" s="8" t="inlineStr">
        <is>
          <t>ESG</t>
        </is>
      </c>
      <c r="N254" s="11" t="inlineStr"/>
      <c r="O254" s="11" t="inlineStr"/>
      <c r="P254" s="11" t="inlineStr"/>
      <c r="Q254" s="11" t="inlineStr"/>
      <c r="R254" s="11" t="inlineStr"/>
      <c r="S254" s="11" t="inlineStr"/>
    </row>
    <row r="255">
      <c r="B255" s="13" t="inlineStr">
        <is>
          <t>NB1(a)</t>
        </is>
      </c>
      <c r="C255" s="8" t="inlineStr"/>
      <c r="D255" s="8" t="inlineStr"/>
      <c r="E255" s="19" t="inlineStr">
        <is>
          <t>Number of fauna species</t>
        </is>
      </c>
      <c r="F255" s="8" t="inlineStr">
        <is>
          <t>#</t>
        </is>
      </c>
      <c r="G255" s="14" t="n">
        <v>130</v>
      </c>
      <c r="H255" s="14" t="n"/>
      <c r="I255" s="14" t="n"/>
      <c r="J255" s="14" t="n"/>
      <c r="K255" s="15" t="n"/>
      <c r="L255" s="8" t="inlineStr">
        <is>
          <t>Data held</t>
        </is>
      </c>
      <c r="M255" s="8" t="inlineStr">
        <is>
          <t>ESG</t>
        </is>
      </c>
      <c r="N255" s="11" t="inlineStr"/>
      <c r="O255" s="11" t="inlineStr"/>
      <c r="P255" s="11" t="inlineStr"/>
      <c r="Q255" s="11" t="inlineStr"/>
      <c r="R255" s="11" t="inlineStr"/>
      <c r="S255" s="11" t="inlineStr"/>
    </row>
    <row r="256">
      <c r="B256" s="13" t="inlineStr">
        <is>
          <t>NB1(a)</t>
        </is>
      </c>
      <c r="C256" s="8" t="inlineStr"/>
      <c r="D256" s="8" t="inlineStr"/>
      <c r="E256" s="19" t="inlineStr">
        <is>
          <t>Number of fungi species</t>
        </is>
      </c>
      <c r="F256" s="8" t="inlineStr">
        <is>
          <t>#</t>
        </is>
      </c>
      <c r="G256" s="14" t="n">
        <v>10</v>
      </c>
      <c r="H256" s="14" t="n"/>
      <c r="I256" s="14" t="n"/>
      <c r="J256" s="14" t="n"/>
      <c r="K256" s="15" t="n"/>
      <c r="L256" s="8" t="inlineStr">
        <is>
          <t>Data held</t>
        </is>
      </c>
      <c r="M256" s="8" t="inlineStr">
        <is>
          <t>ESG</t>
        </is>
      </c>
      <c r="N256" s="11" t="inlineStr"/>
      <c r="O256" s="11" t="inlineStr"/>
      <c r="P256" s="11" t="inlineStr"/>
      <c r="Q256" s="11" t="inlineStr"/>
      <c r="R256" s="11" t="inlineStr"/>
      <c r="S256" s="11" t="inlineStr"/>
    </row>
    <row r="257">
      <c r="B257" s="16" t="inlineStr">
        <is>
          <t>NB1(a)</t>
        </is>
      </c>
      <c r="C257" s="16" t="inlineStr"/>
      <c r="D257" s="16" t="inlineStr"/>
      <c r="E257" s="16" t="inlineStr">
        <is>
          <t>Shepparton biodiversity metrics</t>
        </is>
      </c>
      <c r="F257" s="16" t="inlineStr"/>
      <c r="G257" s="17" t="n"/>
      <c r="H257" s="17" t="n"/>
      <c r="I257" s="17" t="n"/>
      <c r="J257" s="17" t="n"/>
      <c r="K257" s="17" t="n"/>
      <c r="L257" s="16" t="inlineStr"/>
      <c r="M257" s="16" t="inlineStr"/>
      <c r="N257" s="16" t="inlineStr"/>
      <c r="O257" s="16" t="inlineStr"/>
      <c r="P257" s="16" t="inlineStr"/>
      <c r="Q257" s="16" t="inlineStr"/>
      <c r="R257" s="16" t="inlineStr"/>
      <c r="S257" s="16" t="inlineStr"/>
    </row>
    <row r="258">
      <c r="B258" s="13" t="inlineStr">
        <is>
          <t>NB1(a)</t>
        </is>
      </c>
      <c r="C258" s="8" t="inlineStr"/>
      <c r="D258" s="8" t="inlineStr"/>
      <c r="E258" s="18" t="inlineStr">
        <is>
          <t>Plantable area (2020 Baseline)</t>
        </is>
      </c>
      <c r="F258" s="8" t="inlineStr">
        <is>
          <t>%</t>
        </is>
      </c>
      <c r="G258" s="14" t="n">
        <v>40</v>
      </c>
      <c r="H258" s="14" t="n"/>
      <c r="I258" s="14" t="n"/>
      <c r="J258" s="14" t="n"/>
      <c r="K258" s="15" t="n"/>
      <c r="L258" s="8" t="inlineStr">
        <is>
          <t>Data held</t>
        </is>
      </c>
      <c r="M258" s="8" t="inlineStr">
        <is>
          <t>ESG</t>
        </is>
      </c>
      <c r="N258" s="11" t="inlineStr"/>
      <c r="O258" s="11" t="inlineStr"/>
      <c r="P258" s="11" t="inlineStr"/>
      <c r="Q258" s="11" t="inlineStr"/>
      <c r="R258" s="11" t="inlineStr"/>
      <c r="S258" s="11" t="inlineStr"/>
    </row>
    <row r="259">
      <c r="B259" s="13" t="inlineStr">
        <is>
          <t>NB1(a)</t>
        </is>
      </c>
      <c r="C259" s="8" t="inlineStr"/>
      <c r="D259" s="8" t="inlineStr"/>
      <c r="E259" s="18" t="inlineStr">
        <is>
          <t>Number of 'Areas of Significance' (2020 Baseline)</t>
        </is>
      </c>
      <c r="F259" s="8" t="inlineStr">
        <is>
          <t>#</t>
        </is>
      </c>
      <c r="G259" s="14" t="n">
        <v>4</v>
      </c>
      <c r="H259" s="14" t="n"/>
      <c r="I259" s="14" t="n"/>
      <c r="J259" s="14" t="n"/>
      <c r="K259" s="15" t="n"/>
      <c r="L259" s="8" t="inlineStr">
        <is>
          <t>Data held</t>
        </is>
      </c>
      <c r="M259" s="8" t="inlineStr">
        <is>
          <t>ESG</t>
        </is>
      </c>
      <c r="N259" s="11" t="inlineStr"/>
      <c r="O259" s="11" t="inlineStr"/>
      <c r="P259" s="11" t="inlineStr"/>
      <c r="Q259" s="11" t="inlineStr"/>
      <c r="R259" s="11" t="inlineStr"/>
      <c r="S259" s="11" t="inlineStr"/>
    </row>
    <row r="260">
      <c r="B260" s="13" t="inlineStr">
        <is>
          <t>NB1(a)</t>
        </is>
      </c>
      <c r="C260" s="8" t="inlineStr"/>
      <c r="D260" s="8" t="inlineStr"/>
      <c r="E260" s="18" t="inlineStr">
        <is>
          <t>Number of understorey plant species (2024 Baseline)</t>
        </is>
      </c>
      <c r="F260" s="8" t="inlineStr">
        <is>
          <t>#</t>
        </is>
      </c>
      <c r="G260" s="14" t="n">
        <v>314</v>
      </c>
      <c r="H260" s="14" t="n"/>
      <c r="I260" s="14" t="n"/>
      <c r="J260" s="14" t="n"/>
      <c r="K260" s="15" t="n"/>
      <c r="L260" s="8" t="inlineStr">
        <is>
          <t>Data held</t>
        </is>
      </c>
      <c r="M260" s="8" t="inlineStr">
        <is>
          <t>ESG</t>
        </is>
      </c>
      <c r="N260" s="11" t="inlineStr"/>
      <c r="O260" s="11" t="inlineStr"/>
      <c r="P260" s="11" t="inlineStr"/>
      <c r="Q260" s="11" t="inlineStr"/>
      <c r="R260" s="11" t="inlineStr"/>
      <c r="S260" s="11" t="inlineStr"/>
    </row>
    <row r="261">
      <c r="B261" s="13" t="inlineStr">
        <is>
          <t>NB1(a)</t>
        </is>
      </c>
      <c r="C261" s="8" t="inlineStr"/>
      <c r="D261" s="8" t="inlineStr"/>
      <c r="E261" s="18" t="inlineStr">
        <is>
          <t>Number of trees (2010 Baseline)</t>
        </is>
      </c>
      <c r="F261" s="8" t="inlineStr">
        <is>
          <t>#</t>
        </is>
      </c>
      <c r="G261" s="14" t="n">
        <v>228</v>
      </c>
      <c r="H261" s="14" t="n"/>
      <c r="I261" s="14" t="n"/>
      <c r="J261" s="14" t="n">
        <v>227</v>
      </c>
      <c r="K261" s="15" t="n"/>
      <c r="L261" s="8" t="inlineStr">
        <is>
          <t>Data held</t>
        </is>
      </c>
      <c r="M261" s="8" t="inlineStr">
        <is>
          <t>ESG</t>
        </is>
      </c>
      <c r="N261" s="11" t="inlineStr"/>
      <c r="O261" s="11" t="inlineStr"/>
      <c r="P261" s="11" t="inlineStr"/>
      <c r="Q261" s="11" t="inlineStr"/>
      <c r="R261" s="11" t="inlineStr"/>
      <c r="S261" s="11" t="inlineStr"/>
    </row>
    <row r="262">
      <c r="B262" s="13" t="inlineStr">
        <is>
          <t>NB1(a)</t>
        </is>
      </c>
      <c r="C262" s="8" t="inlineStr"/>
      <c r="D262" s="8" t="inlineStr"/>
      <c r="E262" s="18" t="inlineStr">
        <is>
          <t>Number of trees species (2010 Baseline)</t>
        </is>
      </c>
      <c r="F262" s="8" t="inlineStr">
        <is>
          <t>#</t>
        </is>
      </c>
      <c r="G262" s="14" t="n">
        <v>45</v>
      </c>
      <c r="H262" s="14" t="n"/>
      <c r="I262" s="14" t="n"/>
      <c r="J262" s="14" t="n"/>
      <c r="K262" s="15" t="n"/>
      <c r="L262" s="8" t="inlineStr">
        <is>
          <t>Data held</t>
        </is>
      </c>
      <c r="M262" s="8" t="inlineStr">
        <is>
          <t>ESG</t>
        </is>
      </c>
      <c r="N262" s="11" t="inlineStr"/>
      <c r="O262" s="11" t="inlineStr"/>
      <c r="P262" s="11" t="inlineStr"/>
      <c r="Q262" s="11" t="inlineStr"/>
      <c r="R262" s="11" t="inlineStr"/>
      <c r="S262" s="11" t="inlineStr"/>
    </row>
    <row r="263">
      <c r="B263" s="13" t="inlineStr">
        <is>
          <t>NB1(a)</t>
        </is>
      </c>
      <c r="C263" s="8" t="inlineStr"/>
      <c r="D263" s="8" t="inlineStr"/>
      <c r="E263" s="18" t="inlineStr">
        <is>
          <t>Tree canopy cover area (2018 Baseline)</t>
        </is>
      </c>
      <c r="F263" s="8" t="inlineStr">
        <is>
          <t>%</t>
        </is>
      </c>
      <c r="G263" s="14" t="n">
        <v>14</v>
      </c>
      <c r="H263" s="14" t="n"/>
      <c r="I263" s="14" t="n"/>
      <c r="J263" s="14" t="n"/>
      <c r="K263" s="15" t="n"/>
      <c r="L263" s="8" t="inlineStr">
        <is>
          <t>Data held</t>
        </is>
      </c>
      <c r="M263" s="8" t="inlineStr">
        <is>
          <t>ESG</t>
        </is>
      </c>
      <c r="N263" s="11" t="inlineStr"/>
      <c r="O263" s="11" t="inlineStr"/>
      <c r="P263" s="11" t="inlineStr"/>
      <c r="Q263" s="11" t="inlineStr"/>
      <c r="R263" s="11" t="inlineStr"/>
      <c r="S263" s="11" t="inlineStr"/>
    </row>
    <row r="264">
      <c r="B264" s="13" t="inlineStr">
        <is>
          <t>NB1(a)</t>
        </is>
      </c>
      <c r="C264" s="8" t="inlineStr"/>
      <c r="D264" s="8" t="inlineStr"/>
      <c r="E264" s="18" t="inlineStr">
        <is>
          <t>Number of fauna &amp; fungi species (2020 Baseline)</t>
        </is>
      </c>
      <c r="F264" s="8" t="inlineStr">
        <is>
          <t>#</t>
        </is>
      </c>
      <c r="G264" s="14" t="n">
        <v>209</v>
      </c>
      <c r="H264" s="14" t="n"/>
      <c r="I264" s="14" t="n"/>
      <c r="J264" s="14" t="n"/>
      <c r="K264" s="15" t="n"/>
      <c r="L264" s="8" t="inlineStr">
        <is>
          <t>Data held</t>
        </is>
      </c>
      <c r="M264" s="8" t="inlineStr">
        <is>
          <t>ESG</t>
        </is>
      </c>
      <c r="N264" s="11" t="inlineStr"/>
      <c r="O264" s="11" t="inlineStr"/>
      <c r="P264" s="11" t="inlineStr"/>
      <c r="Q264" s="11" t="inlineStr"/>
      <c r="R264" s="11" t="inlineStr"/>
      <c r="S264" s="11" t="inlineStr"/>
    </row>
    <row r="265">
      <c r="B265" s="13" t="inlineStr">
        <is>
          <t>NB1(a)</t>
        </is>
      </c>
      <c r="C265" s="8" t="inlineStr"/>
      <c r="D265" s="8" t="inlineStr"/>
      <c r="E265" s="19" t="inlineStr">
        <is>
          <t>Number of fauna species</t>
        </is>
      </c>
      <c r="F265" s="8" t="inlineStr">
        <is>
          <t>#</t>
        </is>
      </c>
      <c r="G265" s="14" t="n">
        <v>206</v>
      </c>
      <c r="H265" s="14" t="n"/>
      <c r="I265" s="14" t="n"/>
      <c r="J265" s="14" t="n"/>
      <c r="K265" s="15" t="n"/>
      <c r="L265" s="8" t="inlineStr">
        <is>
          <t>Data held</t>
        </is>
      </c>
      <c r="M265" s="8" t="inlineStr">
        <is>
          <t>ESG</t>
        </is>
      </c>
      <c r="N265" s="11" t="inlineStr"/>
      <c r="O265" s="11" t="inlineStr"/>
      <c r="P265" s="11" t="inlineStr"/>
      <c r="Q265" s="11" t="inlineStr"/>
      <c r="R265" s="11" t="inlineStr"/>
      <c r="S265" s="11" t="inlineStr"/>
    </row>
    <row r="266">
      <c r="B266" s="13" t="inlineStr">
        <is>
          <t>NB1(a)</t>
        </is>
      </c>
      <c r="C266" s="8" t="inlineStr"/>
      <c r="D266" s="8" t="inlineStr"/>
      <c r="E266" s="19" t="inlineStr">
        <is>
          <t>Number of fungi species</t>
        </is>
      </c>
      <c r="F266" s="8" t="inlineStr">
        <is>
          <t>#</t>
        </is>
      </c>
      <c r="G266" s="14" t="n">
        <v>3</v>
      </c>
      <c r="H266" s="14" t="n"/>
      <c r="I266" s="14" t="n"/>
      <c r="J266" s="14" t="n"/>
      <c r="K266" s="15" t="n"/>
      <c r="L266" s="8" t="inlineStr">
        <is>
          <t>Data held</t>
        </is>
      </c>
      <c r="M266" s="8" t="inlineStr">
        <is>
          <t>ESG</t>
        </is>
      </c>
      <c r="N266" s="11" t="inlineStr"/>
      <c r="O266" s="11" t="inlineStr"/>
      <c r="P266" s="11" t="inlineStr"/>
      <c r="Q266" s="11" t="inlineStr"/>
      <c r="R266" s="11" t="inlineStr"/>
      <c r="S266" s="11" t="inlineStr"/>
    </row>
    <row r="267">
      <c r="B267" s="16" t="inlineStr">
        <is>
          <t>NB1(a)</t>
        </is>
      </c>
      <c r="C267" s="16" t="inlineStr"/>
      <c r="D267" s="16" t="inlineStr"/>
      <c r="E267" s="16" t="inlineStr">
        <is>
          <t>Dookie biodiversity metrics</t>
        </is>
      </c>
      <c r="F267" s="16" t="inlineStr"/>
      <c r="G267" s="17" t="n"/>
      <c r="H267" s="17" t="n"/>
      <c r="I267" s="17" t="n"/>
      <c r="J267" s="17" t="n"/>
      <c r="K267" s="17" t="n"/>
      <c r="L267" s="16" t="inlineStr"/>
      <c r="M267" s="16" t="inlineStr"/>
      <c r="N267" s="16" t="inlineStr"/>
      <c r="O267" s="16" t="inlineStr"/>
      <c r="P267" s="16" t="inlineStr"/>
      <c r="Q267" s="16" t="inlineStr"/>
      <c r="R267" s="16" t="inlineStr"/>
      <c r="S267" s="16" t="inlineStr"/>
    </row>
    <row r="268">
      <c r="B268" s="13" t="inlineStr">
        <is>
          <t>NB1(a)</t>
        </is>
      </c>
      <c r="C268" s="8" t="inlineStr"/>
      <c r="D268" s="8" t="inlineStr"/>
      <c r="E268" s="18" t="inlineStr">
        <is>
          <t>Plantable area (2024 Baseline)</t>
        </is>
      </c>
      <c r="F268" s="8" t="inlineStr">
        <is>
          <t>%</t>
        </is>
      </c>
      <c r="G268" s="14" t="n">
        <v>98</v>
      </c>
      <c r="H268" s="14" t="n"/>
      <c r="I268" s="14" t="n"/>
      <c r="J268" s="14" t="n"/>
      <c r="K268" s="15" t="n"/>
      <c r="L268" s="8" t="inlineStr">
        <is>
          <t>Data held</t>
        </is>
      </c>
      <c r="M268" s="8" t="inlineStr">
        <is>
          <t>ESG</t>
        </is>
      </c>
      <c r="N268" s="11" t="inlineStr"/>
      <c r="O268" s="11" t="inlineStr"/>
      <c r="P268" s="11" t="inlineStr"/>
      <c r="Q268" s="11" t="inlineStr"/>
      <c r="R268" s="11" t="inlineStr"/>
      <c r="S268" s="11" t="inlineStr"/>
    </row>
    <row r="269">
      <c r="B269" s="13" t="inlineStr">
        <is>
          <t>NB1(a)</t>
        </is>
      </c>
      <c r="C269" s="8" t="inlineStr"/>
      <c r="D269" s="8" t="inlineStr"/>
      <c r="E269" s="18" t="inlineStr">
        <is>
          <t>Number of 'Areas of Significance' (2020 Baseline)</t>
        </is>
      </c>
      <c r="F269" s="8" t="inlineStr">
        <is>
          <t>#</t>
        </is>
      </c>
      <c r="G269" s="14" t="n">
        <v>7</v>
      </c>
      <c r="H269" s="14" t="n"/>
      <c r="I269" s="14" t="n"/>
      <c r="J269" s="14" t="n"/>
      <c r="K269" s="15" t="n"/>
      <c r="L269" s="8" t="inlineStr">
        <is>
          <t>Data held</t>
        </is>
      </c>
      <c r="M269" s="8" t="inlineStr">
        <is>
          <t>ESG</t>
        </is>
      </c>
      <c r="N269" s="11" t="inlineStr"/>
      <c r="O269" s="11" t="inlineStr"/>
      <c r="P269" s="11" t="inlineStr"/>
      <c r="Q269" s="11" t="inlineStr"/>
      <c r="R269" s="11" t="inlineStr"/>
      <c r="S269" s="11" t="inlineStr"/>
    </row>
    <row r="270">
      <c r="B270" s="13" t="inlineStr">
        <is>
          <t>NB1(a)</t>
        </is>
      </c>
      <c r="C270" s="8" t="inlineStr"/>
      <c r="D270" s="8" t="inlineStr"/>
      <c r="E270" s="18" t="inlineStr">
        <is>
          <t>Number of understorey plant species (2024 Baseline)</t>
        </is>
      </c>
      <c r="F270" s="8" t="inlineStr">
        <is>
          <t>#</t>
        </is>
      </c>
      <c r="G270" s="14" t="n">
        <v>316</v>
      </c>
      <c r="H270" s="14" t="n"/>
      <c r="I270" s="14" t="n"/>
      <c r="J270" s="14" t="n"/>
      <c r="K270" s="15" t="n"/>
      <c r="L270" s="8" t="inlineStr">
        <is>
          <t>Data held</t>
        </is>
      </c>
      <c r="M270" s="8" t="inlineStr">
        <is>
          <t>ESG</t>
        </is>
      </c>
      <c r="N270" s="11" t="inlineStr"/>
      <c r="O270" s="11" t="inlineStr"/>
      <c r="P270" s="11" t="inlineStr"/>
      <c r="Q270" s="11" t="inlineStr"/>
      <c r="R270" s="11" t="inlineStr"/>
      <c r="S270" s="11" t="inlineStr"/>
    </row>
    <row r="271">
      <c r="B271" s="13" t="inlineStr">
        <is>
          <t>NB1(a)</t>
        </is>
      </c>
      <c r="C271" s="8" t="inlineStr"/>
      <c r="D271" s="8" t="inlineStr"/>
      <c r="E271" s="18" t="inlineStr">
        <is>
          <t>Number of trees (2016 Baseline)</t>
        </is>
      </c>
      <c r="F271" s="8" t="inlineStr">
        <is>
          <t>#</t>
        </is>
      </c>
      <c r="G271" s="14" t="n">
        <v>2974</v>
      </c>
      <c r="H271" s="14" t="n"/>
      <c r="I271" s="14" t="n"/>
      <c r="J271" s="14" t="n">
        <v>2753</v>
      </c>
      <c r="K271" s="15" t="n"/>
      <c r="L271" s="8" t="inlineStr">
        <is>
          <t>Data held</t>
        </is>
      </c>
      <c r="M271" s="8" t="inlineStr">
        <is>
          <t>ESG</t>
        </is>
      </c>
      <c r="N271" s="11" t="inlineStr"/>
      <c r="O271" s="11" t="inlineStr"/>
      <c r="P271" s="11" t="inlineStr"/>
      <c r="Q271" s="11" t="inlineStr"/>
      <c r="R271" s="11" t="inlineStr"/>
      <c r="S271" s="11" t="inlineStr"/>
    </row>
    <row r="272">
      <c r="B272" s="13" t="inlineStr">
        <is>
          <t>NB1(a)</t>
        </is>
      </c>
      <c r="C272" s="8" t="inlineStr"/>
      <c r="D272" s="8" t="inlineStr"/>
      <c r="E272" s="18" t="inlineStr">
        <is>
          <t>Number of trees species (2016 Baseline)</t>
        </is>
      </c>
      <c r="F272" s="8" t="inlineStr">
        <is>
          <t>#</t>
        </is>
      </c>
      <c r="G272" s="14" t="n">
        <v>202</v>
      </c>
      <c r="H272" s="14" t="n"/>
      <c r="I272" s="14" t="n"/>
      <c r="J272" s="14" t="n"/>
      <c r="K272" s="15" t="n"/>
      <c r="L272" s="8" t="inlineStr">
        <is>
          <t>Data held</t>
        </is>
      </c>
      <c r="M272" s="8" t="inlineStr">
        <is>
          <t>ESG</t>
        </is>
      </c>
      <c r="N272" s="11" t="inlineStr"/>
      <c r="O272" s="11" t="inlineStr"/>
      <c r="P272" s="11" t="inlineStr"/>
      <c r="Q272" s="11" t="inlineStr"/>
      <c r="R272" s="11" t="inlineStr"/>
      <c r="S272" s="11" t="inlineStr"/>
    </row>
    <row r="273">
      <c r="B273" s="13" t="inlineStr">
        <is>
          <t>NB1(a)</t>
        </is>
      </c>
      <c r="C273" s="8" t="inlineStr"/>
      <c r="D273" s="8" t="inlineStr"/>
      <c r="E273" s="18" t="inlineStr">
        <is>
          <t>Tree canopy cover area (2010 Baseline)</t>
        </is>
      </c>
      <c r="F273" s="8" t="inlineStr">
        <is>
          <t>%</t>
        </is>
      </c>
      <c r="G273" s="14" t="n">
        <v>12</v>
      </c>
      <c r="H273" s="14" t="n"/>
      <c r="I273" s="14" t="n"/>
      <c r="J273" s="14" t="n"/>
      <c r="K273" s="15" t="n"/>
      <c r="L273" s="8" t="inlineStr">
        <is>
          <t>Data held</t>
        </is>
      </c>
      <c r="M273" s="8" t="inlineStr">
        <is>
          <t>ESG</t>
        </is>
      </c>
      <c r="N273" s="11" t="inlineStr"/>
      <c r="O273" s="11" t="inlineStr"/>
      <c r="P273" s="11" t="inlineStr"/>
      <c r="Q273" s="11" t="inlineStr"/>
      <c r="R273" s="11" t="inlineStr"/>
      <c r="S273" s="11" t="inlineStr"/>
    </row>
    <row r="274">
      <c r="B274" s="13" t="inlineStr">
        <is>
          <t>NB1(a)</t>
        </is>
      </c>
      <c r="C274" s="8" t="inlineStr"/>
      <c r="D274" s="8" t="inlineStr"/>
      <c r="E274" s="18" t="inlineStr">
        <is>
          <t>Number of fauna &amp; fungi species (2020 Baseline)</t>
        </is>
      </c>
      <c r="F274" s="8" t="inlineStr">
        <is>
          <t>#</t>
        </is>
      </c>
      <c r="G274" s="14" t="n">
        <v>289</v>
      </c>
      <c r="H274" s="14" t="n"/>
      <c r="I274" s="14" t="n"/>
      <c r="J274" s="14" t="n"/>
      <c r="K274" s="15" t="n"/>
      <c r="L274" s="8" t="inlineStr">
        <is>
          <t>Data held</t>
        </is>
      </c>
      <c r="M274" s="8" t="inlineStr">
        <is>
          <t>ESG</t>
        </is>
      </c>
      <c r="N274" s="11" t="inlineStr"/>
      <c r="O274" s="11" t="inlineStr"/>
      <c r="P274" s="11" t="inlineStr"/>
      <c r="Q274" s="11" t="inlineStr"/>
      <c r="R274" s="11" t="inlineStr"/>
      <c r="S274" s="11" t="inlineStr"/>
    </row>
    <row r="275">
      <c r="B275" s="13" t="inlineStr">
        <is>
          <t>NB1(a)</t>
        </is>
      </c>
      <c r="C275" s="8" t="inlineStr"/>
      <c r="D275" s="8" t="inlineStr"/>
      <c r="E275" s="19" t="inlineStr">
        <is>
          <t>Number of fauna species</t>
        </is>
      </c>
      <c r="F275" s="8" t="inlineStr">
        <is>
          <t>#</t>
        </is>
      </c>
      <c r="G275" s="14" t="n">
        <v>288</v>
      </c>
      <c r="H275" s="14" t="n"/>
      <c r="I275" s="14" t="n"/>
      <c r="J275" s="14" t="n"/>
      <c r="K275" s="15" t="n"/>
      <c r="L275" s="8" t="inlineStr">
        <is>
          <t>Data held</t>
        </is>
      </c>
      <c r="M275" s="8" t="inlineStr">
        <is>
          <t>ESG</t>
        </is>
      </c>
      <c r="N275" s="11" t="inlineStr"/>
      <c r="O275" s="11" t="inlineStr"/>
      <c r="P275" s="11" t="inlineStr"/>
      <c r="Q275" s="11" t="inlineStr"/>
      <c r="R275" s="11" t="inlineStr"/>
      <c r="S275" s="11" t="inlineStr"/>
    </row>
    <row r="276">
      <c r="B276" s="13" t="inlineStr">
        <is>
          <t>NB1(a)</t>
        </is>
      </c>
      <c r="C276" s="8" t="inlineStr"/>
      <c r="D276" s="8" t="inlineStr"/>
      <c r="E276" s="19" t="inlineStr">
        <is>
          <t>Number of fungi species</t>
        </is>
      </c>
      <c r="F276" s="8" t="inlineStr">
        <is>
          <t>#</t>
        </is>
      </c>
      <c r="G276" s="14" t="n">
        <v>1</v>
      </c>
      <c r="H276" s="14" t="n"/>
      <c r="I276" s="14" t="n"/>
      <c r="J276" s="14" t="n"/>
      <c r="K276" s="15" t="n"/>
      <c r="L276" s="8" t="inlineStr">
        <is>
          <t>Data held</t>
        </is>
      </c>
      <c r="M276" s="8" t="inlineStr">
        <is>
          <t>ESG</t>
        </is>
      </c>
      <c r="N276" s="11" t="inlineStr"/>
      <c r="O276" s="11" t="inlineStr"/>
      <c r="P276" s="11" t="inlineStr"/>
      <c r="Q276" s="11" t="inlineStr"/>
      <c r="R276" s="11" t="inlineStr"/>
      <c r="S276" s="11" t="inlineStr"/>
    </row>
    <row r="277">
      <c r="B277" s="13" t="inlineStr">
        <is>
          <t>NB2(a)</t>
        </is>
      </c>
      <c r="C277" s="8" t="inlineStr">
        <is>
          <t>Nature and Biodiversity</t>
        </is>
      </c>
      <c r="D277" s="8" t="inlineStr">
        <is>
          <t>Documented baseline nature footprint analysis</t>
        </is>
      </c>
      <c r="E277" s="8" t="inlineStr">
        <is>
          <t>Freshwater eutrophication</t>
        </is>
      </c>
      <c r="F277" s="8" t="inlineStr">
        <is>
          <t>kg P eq</t>
        </is>
      </c>
      <c r="G277" s="14" t="n"/>
      <c r="H277" s="14" t="n"/>
      <c r="I277" s="14" t="n"/>
      <c r="J277" s="14" t="n"/>
      <c r="K277" s="15" t="n"/>
      <c r="L277" s="8" t="inlineStr">
        <is>
          <t>No data yet</t>
        </is>
      </c>
      <c r="M277" s="8" t="inlineStr">
        <is>
          <t>MRE</t>
        </is>
      </c>
      <c r="N277" s="11" t="inlineStr"/>
      <c r="O277" s="11" t="inlineStr"/>
      <c r="P277" s="11" t="inlineStr"/>
      <c r="Q277" s="11" t="inlineStr"/>
      <c r="R277" s="11" t="inlineStr"/>
      <c r="S277" s="11" t="inlineStr"/>
    </row>
    <row r="278">
      <c r="B278" s="13" t="inlineStr">
        <is>
          <t>NB2(a)</t>
        </is>
      </c>
      <c r="C278" s="8" t="inlineStr"/>
      <c r="D278" s="8" t="inlineStr"/>
      <c r="E278" s="8" t="inlineStr">
        <is>
          <t>Global warming</t>
        </is>
      </c>
      <c r="F278" s="8" t="inlineStr">
        <is>
          <t>kg CO2 eq</t>
        </is>
      </c>
      <c r="G278" s="14" t="n"/>
      <c r="H278" s="14" t="n"/>
      <c r="I278" s="14" t="n"/>
      <c r="J278" s="14" t="n"/>
      <c r="K278" s="15" t="n"/>
      <c r="L278" s="8" t="inlineStr">
        <is>
          <t>No data yet</t>
        </is>
      </c>
      <c r="M278" s="8" t="inlineStr">
        <is>
          <t>MRE</t>
        </is>
      </c>
      <c r="N278" s="11" t="inlineStr"/>
      <c r="O278" s="11" t="inlineStr"/>
      <c r="P278" s="11" t="inlineStr"/>
      <c r="Q278" s="11" t="inlineStr"/>
      <c r="R278" s="11" t="inlineStr"/>
      <c r="S278" s="11" t="inlineStr"/>
    </row>
    <row r="279">
      <c r="B279" s="13" t="inlineStr">
        <is>
          <t>NB2(a)</t>
        </is>
      </c>
      <c r="C279" s="8" t="inlineStr"/>
      <c r="D279" s="8" t="inlineStr"/>
      <c r="E279" s="8" t="inlineStr">
        <is>
          <t>Land use</t>
        </is>
      </c>
      <c r="F279" s="8" t="inlineStr">
        <is>
          <t>m²a crop eq</t>
        </is>
      </c>
      <c r="G279" s="14" t="n"/>
      <c r="H279" s="14" t="n"/>
      <c r="I279" s="14" t="n"/>
      <c r="J279" s="14" t="n"/>
      <c r="K279" s="15" t="n"/>
      <c r="L279" s="8" t="inlineStr">
        <is>
          <t>No data yet</t>
        </is>
      </c>
      <c r="M279" s="8" t="inlineStr">
        <is>
          <t>MRE</t>
        </is>
      </c>
      <c r="N279" s="11" t="inlineStr"/>
      <c r="O279" s="11" t="inlineStr"/>
      <c r="P279" s="11" t="inlineStr"/>
      <c r="Q279" s="11" t="inlineStr"/>
      <c r="R279" s="11" t="inlineStr"/>
      <c r="S279" s="11" t="inlineStr"/>
    </row>
    <row r="280">
      <c r="B280" s="13" t="inlineStr">
        <is>
          <t>NB2(a)</t>
        </is>
      </c>
      <c r="C280" s="8" t="inlineStr"/>
      <c r="D280" s="8" t="inlineStr"/>
      <c r="E280" s="8" t="inlineStr">
        <is>
          <t>Marine eutrophication</t>
        </is>
      </c>
      <c r="F280" s="8" t="inlineStr">
        <is>
          <t>kg N eq</t>
        </is>
      </c>
      <c r="G280" s="14" t="n"/>
      <c r="H280" s="14" t="n"/>
      <c r="I280" s="14" t="n"/>
      <c r="J280" s="14" t="n"/>
      <c r="K280" s="15" t="n"/>
      <c r="L280" s="8" t="inlineStr">
        <is>
          <t>No data yet</t>
        </is>
      </c>
      <c r="M280" s="8" t="inlineStr">
        <is>
          <t>MRE</t>
        </is>
      </c>
      <c r="N280" s="11" t="inlineStr"/>
      <c r="O280" s="11" t="inlineStr"/>
      <c r="P280" s="11" t="inlineStr"/>
      <c r="Q280" s="11" t="inlineStr"/>
      <c r="R280" s="11" t="inlineStr"/>
      <c r="S280" s="11" t="inlineStr"/>
    </row>
    <row r="281">
      <c r="B281" s="13" t="inlineStr">
        <is>
          <t>NB2(a)</t>
        </is>
      </c>
      <c r="C281" s="8" t="inlineStr"/>
      <c r="D281" s="8" t="inlineStr"/>
      <c r="E281" s="8" t="inlineStr">
        <is>
          <t>Photochemical ozone formation</t>
        </is>
      </c>
      <c r="F281" s="8" t="inlineStr">
        <is>
          <t>kg NOx eq</t>
        </is>
      </c>
      <c r="G281" s="14" t="n"/>
      <c r="H281" s="14" t="n"/>
      <c r="I281" s="14" t="n"/>
      <c r="J281" s="14" t="n"/>
      <c r="K281" s="15" t="n"/>
      <c r="L281" s="8" t="inlineStr">
        <is>
          <t>No data yet</t>
        </is>
      </c>
      <c r="M281" s="8" t="inlineStr">
        <is>
          <t>MRE</t>
        </is>
      </c>
      <c r="N281" s="11" t="inlineStr"/>
      <c r="O281" s="11" t="inlineStr"/>
      <c r="P281" s="11" t="inlineStr"/>
      <c r="Q281" s="11" t="inlineStr"/>
      <c r="R281" s="11" t="inlineStr"/>
      <c r="S281" s="11" t="inlineStr"/>
    </row>
    <row r="282">
      <c r="B282" s="13" t="inlineStr">
        <is>
          <t>NB2(a)</t>
        </is>
      </c>
      <c r="C282" s="8" t="inlineStr"/>
      <c r="D282" s="8" t="inlineStr"/>
      <c r="E282" s="8" t="inlineStr">
        <is>
          <t>Terrestrial acidification</t>
        </is>
      </c>
      <c r="F282" s="8" t="inlineStr">
        <is>
          <t>kg SO2 eq</t>
        </is>
      </c>
      <c r="G282" s="14" t="n"/>
      <c r="H282" s="14" t="n"/>
      <c r="I282" s="14" t="n"/>
      <c r="J282" s="14" t="n"/>
      <c r="K282" s="15" t="n"/>
      <c r="L282" s="8" t="inlineStr">
        <is>
          <t>No data yet</t>
        </is>
      </c>
      <c r="M282" s="8" t="inlineStr">
        <is>
          <t>MRE</t>
        </is>
      </c>
      <c r="N282" s="11" t="inlineStr"/>
      <c r="O282" s="11" t="inlineStr"/>
      <c r="P282" s="11" t="inlineStr"/>
      <c r="Q282" s="11" t="inlineStr"/>
      <c r="R282" s="11" t="inlineStr"/>
      <c r="S282" s="11" t="inlineStr"/>
    </row>
    <row r="283">
      <c r="B283" s="13" t="inlineStr">
        <is>
          <t>NB2(a)</t>
        </is>
      </c>
      <c r="C283" s="8" t="inlineStr"/>
      <c r="D283" s="8" t="inlineStr"/>
      <c r="E283" s="8" t="inlineStr">
        <is>
          <t>Water consumption</t>
        </is>
      </c>
      <c r="F283" s="8" t="inlineStr">
        <is>
          <t>m³</t>
        </is>
      </c>
      <c r="G283" s="14" t="n"/>
      <c r="H283" s="14" t="n"/>
      <c r="I283" s="14" t="n"/>
      <c r="J283" s="14" t="n"/>
      <c r="K283" s="15" t="n"/>
      <c r="L283" s="8" t="inlineStr">
        <is>
          <t>No data yet</t>
        </is>
      </c>
      <c r="M283" s="8" t="inlineStr">
        <is>
          <t>MRE</t>
        </is>
      </c>
      <c r="N283" s="11" t="inlineStr"/>
      <c r="O283" s="11" t="inlineStr"/>
      <c r="P283" s="11" t="inlineStr"/>
      <c r="Q283" s="11" t="inlineStr"/>
      <c r="R283" s="11" t="inlineStr"/>
      <c r="S283" s="11" t="inlineStr"/>
    </row>
    <row r="284">
      <c r="B284" s="13" t="inlineStr">
        <is>
          <t>CE1(a)</t>
        </is>
      </c>
      <c r="C284" s="8" t="inlineStr">
        <is>
          <t>Circular Economy</t>
        </is>
      </c>
      <c r="D284" s="8" t="inlineStr">
        <is>
          <t>Comparison of year-to-year tonnes of waste (absolute)</t>
        </is>
      </c>
      <c r="E284" s="8" t="inlineStr">
        <is>
          <t>Total waste to landfill (excl. demolition and construction waste)</t>
        </is>
      </c>
      <c r="F284" s="8" t="inlineStr">
        <is>
          <t>Tonnes</t>
        </is>
      </c>
      <c r="G284" s="14" t="n"/>
      <c r="H284" s="14" t="n">
        <v>1484</v>
      </c>
      <c r="I284" s="14" t="n">
        <v>1379</v>
      </c>
      <c r="J284" s="14" t="n">
        <v>1269</v>
      </c>
      <c r="K284" s="15" t="n"/>
      <c r="L284" s="8" t="inlineStr">
        <is>
          <t>Data held</t>
        </is>
      </c>
      <c r="M284" s="8" t="inlineStr">
        <is>
          <t>ESG</t>
        </is>
      </c>
      <c r="N284" s="11" t="inlineStr"/>
      <c r="O284" s="11" t="inlineStr"/>
      <c r="P284" s="11" t="inlineStr"/>
      <c r="Q284" s="11" t="inlineStr"/>
      <c r="R284" s="11" t="inlineStr"/>
      <c r="S284" s="11" t="inlineStr"/>
    </row>
    <row r="285">
      <c r="B285" s="13" t="inlineStr">
        <is>
          <t>CE1(a)</t>
        </is>
      </c>
      <c r="C285" s="8" t="inlineStr"/>
      <c r="D285" s="8" t="inlineStr"/>
      <c r="E285" s="8" t="inlineStr">
        <is>
          <t>Waste to landfill intensity</t>
        </is>
      </c>
      <c r="F285" s="8" t="inlineStr">
        <is>
          <t>KG/person</t>
        </is>
      </c>
      <c r="G285" s="14" t="n"/>
      <c r="H285" s="14" t="n">
        <v>22.6</v>
      </c>
      <c r="I285" s="14" t="n">
        <v>18.5</v>
      </c>
      <c r="J285" s="14" t="n">
        <v>18.3</v>
      </c>
      <c r="K285" s="15" t="n"/>
      <c r="L285" s="8" t="inlineStr">
        <is>
          <t>Data held</t>
        </is>
      </c>
      <c r="M285" s="8" t="inlineStr">
        <is>
          <t>ESG</t>
        </is>
      </c>
      <c r="N285" s="11" t="inlineStr"/>
      <c r="O285" s="11" t="inlineStr"/>
      <c r="P285" s="11" t="inlineStr"/>
      <c r="Q285" s="11" t="inlineStr"/>
      <c r="R285" s="11" t="inlineStr"/>
      <c r="S285" s="11" t="inlineStr"/>
    </row>
    <row r="286">
      <c r="B286" s="13" t="inlineStr">
        <is>
          <t>CE1(a)</t>
        </is>
      </c>
      <c r="C286" s="8" t="inlineStr"/>
      <c r="D286" s="8" t="inlineStr"/>
      <c r="E286" s="8" t="inlineStr">
        <is>
          <t>Changes in total waste to landfill YoY</t>
        </is>
      </c>
      <c r="F286" s="8" t="inlineStr">
        <is>
          <t>%</t>
        </is>
      </c>
      <c r="G286" s="14" t="n"/>
      <c r="H286" s="14" t="inlineStr">
        <is>
          <t>N/A</t>
        </is>
      </c>
      <c r="I286" s="14" t="n">
        <v>-7.075471698113208</v>
      </c>
      <c r="J286" s="14" t="n">
        <v>-7.976794778825235</v>
      </c>
      <c r="K286" s="15" t="n"/>
      <c r="L286" s="8" t="inlineStr">
        <is>
          <t>Data held</t>
        </is>
      </c>
      <c r="M286" s="8" t="inlineStr">
        <is>
          <t>ESG</t>
        </is>
      </c>
      <c r="N286" s="11" t="inlineStr"/>
      <c r="O286" s="11" t="inlineStr"/>
      <c r="P286" s="11" t="inlineStr"/>
      <c r="Q286" s="11" t="inlineStr"/>
      <c r="R286" s="11" t="inlineStr"/>
      <c r="S286" s="11" t="inlineStr"/>
    </row>
    <row r="287">
      <c r="B287" s="13" t="inlineStr">
        <is>
          <t>CE2(a)</t>
        </is>
      </c>
      <c r="C287" s="8" t="inlineStr">
        <is>
          <t>Circular Economy</t>
        </is>
      </c>
      <c r="D287" s="8" t="inlineStr">
        <is>
          <t>Comparison of year-to-year tonnes of recyclables (absolute)</t>
        </is>
      </c>
      <c r="E287" s="8" t="inlineStr">
        <is>
          <t>Total waste recycled</t>
        </is>
      </c>
      <c r="F287" s="8" t="inlineStr">
        <is>
          <t>Tonnes</t>
        </is>
      </c>
      <c r="G287" s="14" t="n"/>
      <c r="H287" s="14" t="n">
        <v>801</v>
      </c>
      <c r="I287" s="14" t="n">
        <v>762</v>
      </c>
      <c r="J287" s="14" t="n">
        <v>1511</v>
      </c>
      <c r="K287" s="15" t="n"/>
      <c r="L287" s="8" t="inlineStr">
        <is>
          <t>Data held</t>
        </is>
      </c>
      <c r="M287" s="8" t="inlineStr">
        <is>
          <t>ESG</t>
        </is>
      </c>
      <c r="N287" s="11" t="inlineStr"/>
      <c r="O287" s="11" t="inlineStr"/>
      <c r="P287" s="11" t="inlineStr"/>
      <c r="Q287" s="11" t="inlineStr"/>
      <c r="R287" s="11" t="inlineStr"/>
      <c r="S287" s="11" t="inlineStr"/>
    </row>
    <row r="288">
      <c r="B288" s="13" t="inlineStr">
        <is>
          <t>CE2(a)</t>
        </is>
      </c>
      <c r="C288" s="8" t="inlineStr"/>
      <c r="D288" s="8" t="inlineStr"/>
      <c r="E288" s="8" t="inlineStr">
        <is>
          <t>Changes in total waste recycled YoY</t>
        </is>
      </c>
      <c r="F288" s="8" t="inlineStr">
        <is>
          <t>%</t>
        </is>
      </c>
      <c r="G288" s="14" t="n"/>
      <c r="H288" s="14" t="inlineStr">
        <is>
          <t>N/A</t>
        </is>
      </c>
      <c r="I288" s="14" t="n">
        <v>-4.868913857677903</v>
      </c>
      <c r="J288" s="14" t="n">
        <v>98.29396325459318</v>
      </c>
      <c r="K288" s="15" t="n"/>
      <c r="L288" s="8" t="inlineStr">
        <is>
          <t>Data held</t>
        </is>
      </c>
      <c r="M288" s="8" t="inlineStr">
        <is>
          <t>ESG</t>
        </is>
      </c>
      <c r="N288" s="11" t="inlineStr"/>
      <c r="O288" s="11" t="inlineStr"/>
      <c r="P288" s="11" t="inlineStr"/>
      <c r="Q288" s="11" t="inlineStr"/>
      <c r="R288" s="11" t="inlineStr"/>
      <c r="S288" s="11" t="inlineStr"/>
    </row>
    <row r="289">
      <c r="B289" s="13" t="inlineStr">
        <is>
          <t>CE2(a)</t>
        </is>
      </c>
      <c r="C289" s="8" t="inlineStr"/>
      <c r="D289" s="8" t="inlineStr"/>
      <c r="E289" s="8" t="inlineStr">
        <is>
          <t>Changes in total waste recycled YoY compared to baseline</t>
        </is>
      </c>
      <c r="F289" s="8" t="inlineStr">
        <is>
          <t>%</t>
        </is>
      </c>
      <c r="G289" s="14" t="n"/>
      <c r="H289" s="14" t="inlineStr">
        <is>
          <t>N/A</t>
        </is>
      </c>
      <c r="I289" s="14" t="inlineStr">
        <is>
          <t>N/A</t>
        </is>
      </c>
      <c r="J289" s="14" t="inlineStr">
        <is>
          <t>N/A</t>
        </is>
      </c>
      <c r="K289" s="15" t="n"/>
      <c r="L289" s="8" t="inlineStr">
        <is>
          <t>No data yet</t>
        </is>
      </c>
      <c r="M289" s="8" t="inlineStr">
        <is>
          <t>ESG</t>
        </is>
      </c>
      <c r="N289" s="11" t="inlineStr"/>
      <c r="O289" s="11" t="inlineStr"/>
      <c r="P289" s="11" t="inlineStr"/>
      <c r="Q289" s="11" t="inlineStr"/>
      <c r="R289" s="11" t="inlineStr"/>
      <c r="S289" s="11" t="inlineStr"/>
    </row>
    <row r="290">
      <c r="B290" s="13" t="inlineStr">
        <is>
          <t>RP2(a)</t>
        </is>
      </c>
      <c r="C290" s="8" t="inlineStr">
        <is>
          <t>Responsible Procurement</t>
        </is>
      </c>
      <c r="D290" s="8" t="inlineStr">
        <is>
          <t>Percentage of Indigeneous spend of total addressable procurement spend</t>
        </is>
      </c>
      <c r="E290" s="8" t="inlineStr">
        <is>
          <t>Total procurement spending</t>
        </is>
      </c>
      <c r="F290" s="8" t="inlineStr">
        <is>
          <t>$</t>
        </is>
      </c>
      <c r="G290" s="14" t="n"/>
      <c r="H290" s="14" t="n"/>
      <c r="I290" s="14" t="n"/>
      <c r="J290" s="14" t="n"/>
      <c r="K290" s="15" t="n"/>
      <c r="L290" s="8" t="inlineStr">
        <is>
          <t>No data yet</t>
        </is>
      </c>
      <c r="M290" s="8" t="inlineStr">
        <is>
          <t>CFOG</t>
        </is>
      </c>
      <c r="N290" s="11" t="inlineStr"/>
      <c r="O290" s="11" t="inlineStr"/>
      <c r="P290" s="11" t="inlineStr"/>
      <c r="Q290" s="11" t="inlineStr"/>
      <c r="R290" s="11" t="inlineStr"/>
      <c r="S290" s="11" t="inlineStr"/>
    </row>
    <row r="291">
      <c r="B291" s="13" t="inlineStr">
        <is>
          <t>RP2(a)</t>
        </is>
      </c>
      <c r="C291" s="8" t="inlineStr"/>
      <c r="D291" s="8" t="inlineStr"/>
      <c r="E291" s="8" t="inlineStr">
        <is>
          <t>Total Indigeneous spending</t>
        </is>
      </c>
      <c r="F291" s="8" t="inlineStr">
        <is>
          <t>$</t>
        </is>
      </c>
      <c r="G291" s="14" t="n"/>
      <c r="H291" s="14" t="n"/>
      <c r="I291" s="14" t="n"/>
      <c r="J291" s="14" t="n"/>
      <c r="K291" s="15" t="n"/>
      <c r="L291" s="8" t="inlineStr">
        <is>
          <t>No data yet</t>
        </is>
      </c>
      <c r="M291" s="8" t="inlineStr">
        <is>
          <t>CFOG</t>
        </is>
      </c>
      <c r="N291" s="11" t="inlineStr"/>
      <c r="O291" s="11" t="inlineStr"/>
      <c r="P291" s="11" t="inlineStr"/>
      <c r="Q291" s="11" t="inlineStr"/>
      <c r="R291" s="11" t="inlineStr"/>
      <c r="S291" s="11" t="inlineStr"/>
    </row>
    <row r="292">
      <c r="B292" s="13" t="inlineStr">
        <is>
          <t>RP2(a)</t>
        </is>
      </c>
      <c r="C292" s="8" t="inlineStr"/>
      <c r="D292" s="8" t="inlineStr"/>
      <c r="E292" s="8" t="inlineStr">
        <is>
          <t>Percentage of Indigeneous spend of total addressable procurement spend</t>
        </is>
      </c>
      <c r="F292" s="8" t="inlineStr">
        <is>
          <t>%</t>
        </is>
      </c>
      <c r="G292" s="14" t="n"/>
      <c r="H292" s="14" t="n"/>
      <c r="I292" s="14" t="n"/>
      <c r="J292" s="14" t="n"/>
      <c r="K292" s="15" t="n"/>
      <c r="L292" s="8" t="inlineStr">
        <is>
          <t>No data yet</t>
        </is>
      </c>
      <c r="M292" s="8" t="inlineStr">
        <is>
          <t>CFOG</t>
        </is>
      </c>
      <c r="N292" s="11" t="inlineStr"/>
      <c r="O292" s="11" t="inlineStr"/>
      <c r="P292" s="11" t="inlineStr"/>
      <c r="Q292" s="11" t="inlineStr"/>
      <c r="R292" s="11" t="inlineStr"/>
      <c r="S292" s="11" t="inlineStr"/>
    </row>
    <row r="293">
      <c r="B293" s="13" t="inlineStr">
        <is>
          <t>RP2(b)</t>
        </is>
      </c>
      <c r="C293" s="8" t="inlineStr">
        <is>
          <t>Responsible Procurement</t>
        </is>
      </c>
      <c r="D293" s="8" t="inlineStr">
        <is>
          <t>Percentage of social spend of total addressable procurement spend</t>
        </is>
      </c>
      <c r="E293" s="8" t="inlineStr">
        <is>
          <t>Total procurement spending</t>
        </is>
      </c>
      <c r="F293" s="8" t="inlineStr">
        <is>
          <t>$</t>
        </is>
      </c>
      <c r="G293" s="14" t="n"/>
      <c r="H293" s="14" t="n"/>
      <c r="I293" s="14" t="n"/>
      <c r="J293" s="14" t="n"/>
      <c r="K293" s="15" t="n"/>
      <c r="L293" s="8" t="inlineStr">
        <is>
          <t>No data yet</t>
        </is>
      </c>
      <c r="M293" s="8" t="inlineStr">
        <is>
          <t>CFOG</t>
        </is>
      </c>
      <c r="N293" s="11" t="inlineStr"/>
      <c r="O293" s="11" t="inlineStr"/>
      <c r="P293" s="11" t="inlineStr"/>
      <c r="Q293" s="11" t="inlineStr"/>
      <c r="R293" s="11" t="inlineStr"/>
      <c r="S293" s="11" t="inlineStr"/>
    </row>
    <row r="294">
      <c r="B294" s="13" t="inlineStr">
        <is>
          <t>RP2(b)</t>
        </is>
      </c>
      <c r="C294" s="8" t="inlineStr"/>
      <c r="D294" s="8" t="inlineStr"/>
      <c r="E294" s="8" t="inlineStr">
        <is>
          <t>Total social spending</t>
        </is>
      </c>
      <c r="F294" s="8" t="inlineStr">
        <is>
          <t>$</t>
        </is>
      </c>
      <c r="G294" s="14" t="n"/>
      <c r="H294" s="14" t="n"/>
      <c r="I294" s="14" t="n"/>
      <c r="J294" s="14" t="n"/>
      <c r="K294" s="15" t="n"/>
      <c r="L294" s="8" t="inlineStr">
        <is>
          <t>No data yet</t>
        </is>
      </c>
      <c r="M294" s="8" t="inlineStr">
        <is>
          <t>CFOG</t>
        </is>
      </c>
      <c r="N294" s="11" t="inlineStr"/>
      <c r="O294" s="11" t="inlineStr"/>
      <c r="P294" s="11" t="inlineStr"/>
      <c r="Q294" s="11" t="inlineStr"/>
      <c r="R294" s="11" t="inlineStr"/>
      <c r="S294" s="11" t="inlineStr"/>
    </row>
    <row r="295">
      <c r="B295" s="13" t="inlineStr">
        <is>
          <t>RP2(b)</t>
        </is>
      </c>
      <c r="C295" s="8" t="inlineStr"/>
      <c r="D295" s="8" t="inlineStr"/>
      <c r="E295" s="8" t="inlineStr">
        <is>
          <t>Percentage of Indigeneous spend of total addressable procurement spend</t>
        </is>
      </c>
      <c r="F295" s="8" t="inlineStr">
        <is>
          <t>%</t>
        </is>
      </c>
      <c r="G295" s="14" t="n"/>
      <c r="H295" s="14" t="n"/>
      <c r="I295" s="14" t="n"/>
      <c r="J295" s="14" t="n"/>
      <c r="K295" s="15" t="n"/>
      <c r="L295" s="8" t="inlineStr">
        <is>
          <t>No data yet</t>
        </is>
      </c>
      <c r="M295" s="8" t="inlineStr">
        <is>
          <t>CFOG</t>
        </is>
      </c>
      <c r="N295" s="11" t="inlineStr"/>
      <c r="O295" s="11" t="inlineStr"/>
      <c r="P295" s="11" t="inlineStr"/>
      <c r="Q295" s="11" t="inlineStr"/>
      <c r="R295" s="11" t="inlineStr"/>
      <c r="S295" s="11" t="inlineStr"/>
    </row>
    <row r="296">
      <c r="B296" s="13" t="inlineStr">
        <is>
          <t>RI1(a)</t>
        </is>
      </c>
      <c r="C296" s="8" t="inlineStr">
        <is>
          <t>Responsible Investments</t>
        </is>
      </c>
      <c r="D296" s="8" t="inlineStr">
        <is>
          <t>Annual monitoring and reporting on the investment portfolio's net zero transition progress, including tracking the percentage of AUM managed by investment managers aligned with (or commited to net zero by 2050</t>
        </is>
      </c>
      <c r="E296" s="8" t="inlineStr">
        <is>
          <t>Total Asset Under Management (AUM)</t>
        </is>
      </c>
      <c r="F296" s="8" t="inlineStr">
        <is>
          <t>$</t>
        </is>
      </c>
      <c r="G296" s="14" t="n"/>
      <c r="H296" s="14" t="n"/>
      <c r="I296" s="14" t="n"/>
      <c r="J296" s="14" t="n"/>
      <c r="K296" s="15" t="n"/>
      <c r="L296" s="8" t="inlineStr">
        <is>
          <t>No data yet</t>
        </is>
      </c>
      <c r="M296" s="8" t="inlineStr">
        <is>
          <t>CFOG</t>
        </is>
      </c>
      <c r="N296" s="11" t="inlineStr"/>
      <c r="O296" s="11" t="inlineStr"/>
      <c r="P296" s="11" t="inlineStr"/>
      <c r="Q296" s="11" t="inlineStr"/>
      <c r="R296" s="11" t="inlineStr"/>
      <c r="S296" s="11" t="inlineStr"/>
    </row>
    <row r="297">
      <c r="B297" s="13" t="inlineStr">
        <is>
          <t>RI1(a)</t>
        </is>
      </c>
      <c r="C297" s="8" t="inlineStr"/>
      <c r="D297" s="8" t="inlineStr"/>
      <c r="E297" s="8" t="inlineStr">
        <is>
          <t>AUM managed by Investment Managers aligned with net zero commitment</t>
        </is>
      </c>
      <c r="F297" s="8" t="inlineStr">
        <is>
          <t>$</t>
        </is>
      </c>
      <c r="G297" s="14" t="n"/>
      <c r="H297" s="14" t="n"/>
      <c r="I297" s="14" t="n"/>
      <c r="J297" s="14" t="n"/>
      <c r="K297" s="15" t="n"/>
      <c r="L297" s="8" t="inlineStr">
        <is>
          <t>No data yet</t>
        </is>
      </c>
      <c r="M297" s="8" t="inlineStr">
        <is>
          <t>CFOG</t>
        </is>
      </c>
      <c r="N297" s="11" t="inlineStr"/>
      <c r="O297" s="11" t="inlineStr"/>
      <c r="P297" s="11" t="inlineStr"/>
      <c r="Q297" s="11" t="inlineStr"/>
      <c r="R297" s="11" t="inlineStr"/>
      <c r="S297" s="11" t="inlineStr"/>
    </row>
    <row r="298">
      <c r="B298" s="13" t="inlineStr">
        <is>
          <t>RI1(a)</t>
        </is>
      </c>
      <c r="C298" s="8" t="inlineStr"/>
      <c r="D298" s="8" t="inlineStr"/>
      <c r="E298" s="8" t="inlineStr">
        <is>
          <t>Percentage of AUM managed by Investment Managers aligned with net zero commitment</t>
        </is>
      </c>
      <c r="F298" s="8" t="inlineStr">
        <is>
          <t>%</t>
        </is>
      </c>
      <c r="G298" s="14" t="n"/>
      <c r="H298" s="14" t="n"/>
      <c r="I298" s="14" t="n"/>
      <c r="J298" s="14" t="n"/>
      <c r="K298" s="15" t="n"/>
      <c r="L298" s="8" t="inlineStr">
        <is>
          <t>No data yet</t>
        </is>
      </c>
      <c r="M298" s="8" t="inlineStr">
        <is>
          <t>CFOG</t>
        </is>
      </c>
      <c r="N298" s="11" t="inlineStr"/>
      <c r="O298" s="11" t="inlineStr"/>
      <c r="P298" s="11" t="inlineStr"/>
      <c r="Q298" s="11" t="inlineStr"/>
      <c r="R298" s="11" t="inlineStr"/>
      <c r="S298" s="11" t="inlineStr"/>
    </row>
    <row r="299">
      <c r="B299" s="13" t="inlineStr">
        <is>
          <t>RI1(b)</t>
        </is>
      </c>
      <c r="C299" s="8" t="inlineStr">
        <is>
          <t>Responsible Investments</t>
        </is>
      </c>
      <c r="D299" s="8" t="inlineStr">
        <is>
          <t>Continuous improvement of the reporting of the University's sustainability-related investment profile metrics, including investment in climate mitigation and transition solutions, and compliance with related obligations (e.g. UNPRI)</t>
        </is>
      </c>
      <c r="E299" s="8" t="inlineStr">
        <is>
          <t>Total Asset Under Management (AUM)</t>
        </is>
      </c>
      <c r="F299" s="8" t="inlineStr">
        <is>
          <t>$</t>
        </is>
      </c>
      <c r="G299" s="14" t="n"/>
      <c r="H299" s="14" t="n"/>
      <c r="I299" s="14" t="n"/>
      <c r="J299" s="14" t="n"/>
      <c r="K299" s="15" t="n"/>
      <c r="L299" s="8" t="inlineStr">
        <is>
          <t>No data yet</t>
        </is>
      </c>
      <c r="M299" s="8" t="inlineStr">
        <is>
          <t>CFOG</t>
        </is>
      </c>
      <c r="N299" s="11" t="inlineStr"/>
      <c r="O299" s="11" t="inlineStr"/>
      <c r="P299" s="11" t="inlineStr"/>
      <c r="Q299" s="11" t="inlineStr"/>
      <c r="R299" s="11" t="inlineStr"/>
      <c r="S299" s="11" t="inlineStr"/>
    </row>
    <row r="300">
      <c r="B300" s="13" t="inlineStr">
        <is>
          <t>RI1(b)</t>
        </is>
      </c>
      <c r="C300" s="8" t="inlineStr"/>
      <c r="D300" s="8" t="inlineStr"/>
      <c r="E300" s="8" t="inlineStr">
        <is>
          <t>AUM invested in climate/transition solution</t>
        </is>
      </c>
      <c r="F300" s="8" t="inlineStr">
        <is>
          <t>$</t>
        </is>
      </c>
      <c r="G300" s="14" t="n"/>
      <c r="H300" s="14" t="n"/>
      <c r="I300" s="14" t="n"/>
      <c r="J300" s="14" t="n"/>
      <c r="K300" s="15" t="n"/>
      <c r="L300" s="8" t="inlineStr">
        <is>
          <t>No data yet</t>
        </is>
      </c>
      <c r="M300" s="8" t="inlineStr">
        <is>
          <t>CFOG</t>
        </is>
      </c>
      <c r="N300" s="11" t="inlineStr"/>
      <c r="O300" s="11" t="inlineStr"/>
      <c r="P300" s="11" t="inlineStr"/>
      <c r="Q300" s="11" t="inlineStr"/>
      <c r="R300" s="11" t="inlineStr"/>
      <c r="S300" s="11" t="inlineStr"/>
    </row>
    <row r="301">
      <c r="B301" s="13" t="inlineStr">
        <is>
          <t>RI1(b)</t>
        </is>
      </c>
      <c r="C301" s="8" t="inlineStr"/>
      <c r="D301" s="8" t="inlineStr"/>
      <c r="E301" s="8" t="inlineStr">
        <is>
          <t>Percentage of AUM invested in climate/transition solution</t>
        </is>
      </c>
      <c r="F301" s="8" t="inlineStr">
        <is>
          <t>%</t>
        </is>
      </c>
      <c r="G301" s="14" t="n"/>
      <c r="H301" s="14" t="n"/>
      <c r="I301" s="14" t="n"/>
      <c r="J301" s="14" t="n"/>
      <c r="K301" s="15" t="n"/>
      <c r="L301" s="8" t="inlineStr">
        <is>
          <t>No data yet</t>
        </is>
      </c>
      <c r="M301" s="8" t="inlineStr">
        <is>
          <t>CFOG</t>
        </is>
      </c>
      <c r="N301" s="11" t="inlineStr"/>
      <c r="O301" s="11" t="inlineStr"/>
      <c r="P301" s="11" t="inlineStr"/>
      <c r="Q301" s="11" t="inlineStr"/>
      <c r="R301" s="11" t="inlineStr"/>
      <c r="S301" s="11" t="inlineStr"/>
    </row>
    <row r="302">
      <c r="B302" s="13" t="inlineStr">
        <is>
          <t>RI1(b)</t>
        </is>
      </c>
      <c r="C302" s="8" t="inlineStr"/>
      <c r="D302" s="8" t="inlineStr"/>
      <c r="E302" s="8" t="inlineStr">
        <is>
          <t>Estimated UoM absolute financed carbon emissions</t>
        </is>
      </c>
      <c r="F302" s="8" t="inlineStr">
        <is>
          <t>tCO2-e</t>
        </is>
      </c>
      <c r="G302" s="14" t="n"/>
      <c r="H302" s="14" t="n">
        <v>121733</v>
      </c>
      <c r="I302" s="14" t="n">
        <v>111919</v>
      </c>
      <c r="J302" s="14" t="n">
        <v>123381</v>
      </c>
      <c r="K302" s="15" t="n"/>
      <c r="L302" s="8" t="inlineStr">
        <is>
          <t>Data held</t>
        </is>
      </c>
      <c r="M302" s="8" t="inlineStr">
        <is>
          <t>CFOG</t>
        </is>
      </c>
      <c r="N302" s="11" t="inlineStr"/>
      <c r="O302" s="11" t="inlineStr"/>
      <c r="P302" s="11" t="inlineStr"/>
      <c r="Q302" s="11" t="inlineStr"/>
      <c r="R302" s="11" t="inlineStr"/>
      <c r="S302" s="11" t="inlineStr"/>
    </row>
    <row r="303">
      <c r="B303" s="13" t="inlineStr">
        <is>
          <t>RI1(b)</t>
        </is>
      </c>
      <c r="C303" s="8" t="inlineStr"/>
      <c r="D303" s="8" t="inlineStr"/>
      <c r="E303" s="18" t="inlineStr">
        <is>
          <t>Australian Equities</t>
        </is>
      </c>
      <c r="F303" s="8" t="inlineStr">
        <is>
          <t>tCO2-e</t>
        </is>
      </c>
      <c r="G303" s="14" t="n"/>
      <c r="H303" s="14" t="n">
        <v>101663</v>
      </c>
      <c r="I303" s="14" t="n">
        <v>82052</v>
      </c>
      <c r="J303" s="14" t="n">
        <v>57483</v>
      </c>
      <c r="K303" s="15" t="n"/>
      <c r="L303" s="8" t="inlineStr">
        <is>
          <t>Data held</t>
        </is>
      </c>
      <c r="M303" s="8" t="inlineStr">
        <is>
          <t>CFOG</t>
        </is>
      </c>
      <c r="N303" s="11" t="inlineStr"/>
      <c r="O303" s="11" t="inlineStr"/>
      <c r="P303" s="11" t="inlineStr"/>
      <c r="Q303" s="11" t="inlineStr"/>
      <c r="R303" s="11" t="inlineStr"/>
      <c r="S303" s="11" t="inlineStr"/>
    </row>
    <row r="304">
      <c r="B304" s="13" t="inlineStr">
        <is>
          <t>RI1(b)</t>
        </is>
      </c>
      <c r="C304" s="8" t="inlineStr"/>
      <c r="D304" s="8" t="inlineStr"/>
      <c r="E304" s="18" t="inlineStr">
        <is>
          <t>International Equities</t>
        </is>
      </c>
      <c r="F304" s="8" t="inlineStr">
        <is>
          <t>tCO2-e</t>
        </is>
      </c>
      <c r="G304" s="14" t="n"/>
      <c r="H304" s="14" t="n">
        <v>20070</v>
      </c>
      <c r="I304" s="14" t="n">
        <v>29867</v>
      </c>
      <c r="J304" s="14" t="n">
        <v>27910</v>
      </c>
      <c r="K304" s="15" t="n"/>
      <c r="L304" s="8" t="inlineStr">
        <is>
          <t>Data held</t>
        </is>
      </c>
      <c r="M304" s="8" t="inlineStr">
        <is>
          <t>CFOG</t>
        </is>
      </c>
      <c r="N304" s="11" t="inlineStr"/>
      <c r="O304" s="11" t="inlineStr"/>
      <c r="P304" s="11" t="inlineStr"/>
      <c r="Q304" s="11" t="inlineStr"/>
      <c r="R304" s="11" t="inlineStr"/>
      <c r="S304" s="11" t="inlineStr"/>
    </row>
    <row r="305">
      <c r="B305" s="13" t="inlineStr">
        <is>
          <t>RI1(b)</t>
        </is>
      </c>
      <c r="C305" s="8" t="inlineStr"/>
      <c r="D305" s="8" t="inlineStr"/>
      <c r="E305" s="18" t="inlineStr">
        <is>
          <t>Credit</t>
        </is>
      </c>
      <c r="F305" s="8" t="inlineStr">
        <is>
          <t>tCO2-e</t>
        </is>
      </c>
      <c r="G305" s="14" t="n"/>
      <c r="H305" s="14" t="inlineStr">
        <is>
          <t>N/A</t>
        </is>
      </c>
      <c r="I305" s="14" t="inlineStr">
        <is>
          <t>N/A</t>
        </is>
      </c>
      <c r="J305" s="14" t="n">
        <v>9312</v>
      </c>
      <c r="K305" s="15" t="n"/>
      <c r="L305" s="8" t="inlineStr">
        <is>
          <t>Data held</t>
        </is>
      </c>
      <c r="M305" s="8" t="inlineStr">
        <is>
          <t>CFOG</t>
        </is>
      </c>
      <c r="N305" s="11" t="inlineStr"/>
      <c r="O305" s="11" t="inlineStr"/>
      <c r="P305" s="11" t="inlineStr"/>
      <c r="Q305" s="11" t="inlineStr"/>
      <c r="R305" s="11" t="inlineStr"/>
      <c r="S305" s="11" t="inlineStr"/>
    </row>
    <row r="306">
      <c r="B306" s="13" t="inlineStr">
        <is>
          <t>RI1(b)</t>
        </is>
      </c>
      <c r="C306" s="8" t="inlineStr"/>
      <c r="D306" s="8" t="inlineStr"/>
      <c r="E306" s="18" t="inlineStr">
        <is>
          <t>Fixed Interest</t>
        </is>
      </c>
      <c r="F306" s="8" t="inlineStr">
        <is>
          <t>tCO2-e</t>
        </is>
      </c>
      <c r="G306" s="14" t="n"/>
      <c r="H306" s="14" t="inlineStr">
        <is>
          <t>N/A</t>
        </is>
      </c>
      <c r="I306" s="14" t="inlineStr">
        <is>
          <t>N/A</t>
        </is>
      </c>
      <c r="J306" s="14" t="n">
        <v>28676</v>
      </c>
      <c r="K306" s="15" t="n"/>
      <c r="L306" s="8" t="inlineStr">
        <is>
          <t>Data held</t>
        </is>
      </c>
      <c r="M306" s="8" t="inlineStr">
        <is>
          <t>CFOG</t>
        </is>
      </c>
      <c r="N306" s="11" t="inlineStr"/>
      <c r="O306" s="11" t="inlineStr"/>
      <c r="P306" s="11" t="inlineStr"/>
      <c r="Q306" s="11" t="inlineStr"/>
      <c r="R306" s="11" t="inlineStr"/>
      <c r="S306" s="11" t="inlineStr"/>
    </row>
    <row r="307">
      <c r="B307" s="13" t="inlineStr">
        <is>
          <t>RI1(b)</t>
        </is>
      </c>
      <c r="C307" s="8" t="inlineStr"/>
      <c r="D307" s="8" t="inlineStr"/>
      <c r="E307" s="8" t="inlineStr">
        <is>
          <t>Estimated UoM absolute financed carbon emissions intensity</t>
        </is>
      </c>
      <c r="F307" s="8" t="inlineStr">
        <is>
          <t>tCO2-e / AUD m invested</t>
        </is>
      </c>
      <c r="G307" s="14" t="n"/>
      <c r="H307" s="14" t="n">
        <v>55</v>
      </c>
      <c r="I307" s="14" t="n">
        <v>49</v>
      </c>
      <c r="J307" s="14" t="n">
        <v>38.2</v>
      </c>
      <c r="K307" s="15" t="n"/>
      <c r="L307" s="8" t="inlineStr">
        <is>
          <t>Data held</t>
        </is>
      </c>
      <c r="M307" s="8" t="inlineStr">
        <is>
          <t>CFOG</t>
        </is>
      </c>
      <c r="N307" s="11" t="inlineStr"/>
      <c r="O307" s="11" t="inlineStr"/>
      <c r="P307" s="11" t="inlineStr"/>
      <c r="Q307" s="11" t="inlineStr"/>
      <c r="R307" s="11" t="inlineStr"/>
      <c r="S307" s="11" t="inlineStr"/>
    </row>
    <row r="308">
      <c r="B308" s="13" t="inlineStr">
        <is>
          <t>RI1(b)</t>
        </is>
      </c>
      <c r="C308" s="8" t="inlineStr"/>
      <c r="D308" s="8" t="inlineStr"/>
      <c r="E308" s="18" t="inlineStr">
        <is>
          <t>Australian Equities</t>
        </is>
      </c>
      <c r="F308" s="8" t="inlineStr">
        <is>
          <t>tCO2-e / AUD m invested</t>
        </is>
      </c>
      <c r="G308" s="14" t="n"/>
      <c r="H308" s="14" t="n">
        <v>94</v>
      </c>
      <c r="I308" s="14" t="n">
        <v>72</v>
      </c>
      <c r="J308" s="14" t="n">
        <v>52.6</v>
      </c>
      <c r="K308" s="15" t="n"/>
      <c r="L308" s="8" t="inlineStr">
        <is>
          <t>Data held</t>
        </is>
      </c>
      <c r="M308" s="8" t="inlineStr">
        <is>
          <t>CFOG</t>
        </is>
      </c>
      <c r="N308" s="11" t="inlineStr"/>
      <c r="O308" s="11" t="inlineStr"/>
      <c r="P308" s="11" t="inlineStr"/>
      <c r="Q308" s="11" t="inlineStr"/>
      <c r="R308" s="11" t="inlineStr"/>
      <c r="S308" s="11" t="inlineStr"/>
    </row>
    <row r="309">
      <c r="B309" s="13" t="inlineStr">
        <is>
          <t>RI1(b)</t>
        </is>
      </c>
      <c r="C309" s="8" t="inlineStr"/>
      <c r="D309" s="8" t="inlineStr"/>
      <c r="E309" s="18" t="inlineStr">
        <is>
          <t>International Equities</t>
        </is>
      </c>
      <c r="F309" s="8" t="inlineStr">
        <is>
          <t>tCO2-e / AUD m invested</t>
        </is>
      </c>
      <c r="G309" s="14" t="n"/>
      <c r="H309" s="14" t="n">
        <v>18</v>
      </c>
      <c r="I309" s="14" t="n">
        <v>26</v>
      </c>
      <c r="J309" s="14" t="n">
        <v>23.4</v>
      </c>
      <c r="K309" s="15" t="n"/>
      <c r="L309" s="8" t="inlineStr">
        <is>
          <t>Data held</t>
        </is>
      </c>
      <c r="M309" s="8" t="inlineStr">
        <is>
          <t>CFOG</t>
        </is>
      </c>
      <c r="N309" s="11" t="inlineStr"/>
      <c r="O309" s="11" t="inlineStr"/>
      <c r="P309" s="11" t="inlineStr"/>
      <c r="Q309" s="11" t="inlineStr"/>
      <c r="R309" s="11" t="inlineStr"/>
      <c r="S309" s="11" t="inlineStr"/>
    </row>
    <row r="310">
      <c r="B310" s="13" t="inlineStr">
        <is>
          <t>RI1(b)</t>
        </is>
      </c>
      <c r="C310" s="8" t="inlineStr"/>
      <c r="D310" s="8" t="inlineStr"/>
      <c r="E310" s="18" t="inlineStr">
        <is>
          <t>Credit</t>
        </is>
      </c>
      <c r="F310" s="8" t="inlineStr">
        <is>
          <t>tCO2-e / AUD m invested</t>
        </is>
      </c>
      <c r="G310" s="14" t="n"/>
      <c r="H310" s="14" t="inlineStr">
        <is>
          <t>N/A</t>
        </is>
      </c>
      <c r="I310" s="14" t="inlineStr">
        <is>
          <t>N/A</t>
        </is>
      </c>
      <c r="J310" s="14" t="n">
        <v>43.1</v>
      </c>
      <c r="K310" s="15" t="n"/>
      <c r="L310" s="8" t="inlineStr">
        <is>
          <t>Data held</t>
        </is>
      </c>
      <c r="M310" s="8" t="inlineStr">
        <is>
          <t>CFOG</t>
        </is>
      </c>
      <c r="N310" s="11" t="inlineStr"/>
      <c r="O310" s="11" t="inlineStr"/>
      <c r="P310" s="11" t="inlineStr"/>
      <c r="Q310" s="11" t="inlineStr"/>
      <c r="R310" s="11" t="inlineStr"/>
      <c r="S310" s="11" t="inlineStr"/>
    </row>
    <row r="311">
      <c r="B311" s="13" t="inlineStr">
        <is>
          <t>RI1(b)</t>
        </is>
      </c>
      <c r="C311" s="8" t="inlineStr"/>
      <c r="D311" s="8" t="inlineStr"/>
      <c r="E311" s="18" t="inlineStr">
        <is>
          <t>Fixed Interest</t>
        </is>
      </c>
      <c r="F311" s="8" t="inlineStr">
        <is>
          <t>tCO2-e / AUD m invested</t>
        </is>
      </c>
      <c r="G311" s="14" t="n"/>
      <c r="H311" s="14" t="inlineStr">
        <is>
          <t>N/A</t>
        </is>
      </c>
      <c r="I311" s="14" t="inlineStr">
        <is>
          <t>N/A</t>
        </is>
      </c>
      <c r="J311" s="14" t="n">
        <v>54.3</v>
      </c>
      <c r="K311" s="15" t="n"/>
      <c r="L311" s="8" t="inlineStr">
        <is>
          <t>Data held</t>
        </is>
      </c>
      <c r="M311" s="8" t="inlineStr">
        <is>
          <t>CFOG</t>
        </is>
      </c>
      <c r="N311" s="11" t="inlineStr"/>
      <c r="O311" s="11" t="inlineStr"/>
      <c r="P311" s="11" t="inlineStr"/>
      <c r="Q311" s="11" t="inlineStr"/>
      <c r="R311" s="11" t="inlineStr"/>
      <c r="S311" s="11" t="inlineStr"/>
    </row>
    <row r="312">
      <c r="B312" s="13" t="inlineStr">
        <is>
          <t>RI1(b)</t>
        </is>
      </c>
      <c r="C312" s="8" t="inlineStr"/>
      <c r="D312" s="8" t="inlineStr"/>
      <c r="E312" s="8" t="inlineStr">
        <is>
          <t>Benchmark financed carbon emissions</t>
        </is>
      </c>
      <c r="F312" s="8" t="inlineStr">
        <is>
          <t>tCO2-e</t>
        </is>
      </c>
      <c r="G312" s="14" t="n"/>
      <c r="H312" s="14" t="n">
        <v>103250</v>
      </c>
      <c r="I312" s="14" t="n">
        <v>118609</v>
      </c>
      <c r="J312" s="14" t="n">
        <v>143399</v>
      </c>
      <c r="K312" s="15" t="n"/>
      <c r="L312" s="8" t="inlineStr">
        <is>
          <t>Data held</t>
        </is>
      </c>
      <c r="M312" s="8" t="inlineStr">
        <is>
          <t>CFOG</t>
        </is>
      </c>
      <c r="N312" s="11" t="inlineStr"/>
      <c r="O312" s="11" t="inlineStr"/>
      <c r="P312" s="11" t="inlineStr"/>
      <c r="Q312" s="11" t="inlineStr"/>
      <c r="R312" s="11" t="inlineStr"/>
      <c r="S312" s="11" t="inlineStr"/>
    </row>
    <row r="313">
      <c r="B313" s="13" t="inlineStr">
        <is>
          <t>RI1(b)</t>
        </is>
      </c>
      <c r="C313" s="8" t="inlineStr"/>
      <c r="D313" s="8" t="inlineStr"/>
      <c r="E313" s="18" t="inlineStr">
        <is>
          <t>Australian Equities</t>
        </is>
      </c>
      <c r="F313" s="8" t="inlineStr">
        <is>
          <t>tCO2-e</t>
        </is>
      </c>
      <c r="G313" s="14" t="n"/>
      <c r="H313" s="14" t="n">
        <v>62433</v>
      </c>
      <c r="I313" s="14" t="n">
        <v>76031</v>
      </c>
      <c r="J313" s="14" t="n">
        <v>49827</v>
      </c>
      <c r="K313" s="15" t="n"/>
      <c r="L313" s="8" t="inlineStr">
        <is>
          <t>Data held</t>
        </is>
      </c>
      <c r="M313" s="8" t="inlineStr">
        <is>
          <t>CFOG</t>
        </is>
      </c>
      <c r="N313" s="11" t="inlineStr"/>
      <c r="O313" s="11" t="inlineStr"/>
      <c r="P313" s="11" t="inlineStr"/>
      <c r="Q313" s="11" t="inlineStr"/>
      <c r="R313" s="11" t="inlineStr"/>
      <c r="S313" s="11" t="inlineStr"/>
    </row>
    <row r="314">
      <c r="B314" s="13" t="inlineStr">
        <is>
          <t>RI1(b)</t>
        </is>
      </c>
      <c r="C314" s="8" t="inlineStr"/>
      <c r="D314" s="8" t="inlineStr"/>
      <c r="E314" s="18" t="inlineStr">
        <is>
          <t>International Equities</t>
        </is>
      </c>
      <c r="F314" s="8" t="inlineStr">
        <is>
          <t>tCO2-e</t>
        </is>
      </c>
      <c r="G314" s="14" t="n"/>
      <c r="H314" s="14" t="n">
        <v>40817</v>
      </c>
      <c r="I314" s="14" t="n">
        <v>42578</v>
      </c>
      <c r="J314" s="14" t="n">
        <v>34989</v>
      </c>
      <c r="K314" s="15" t="n"/>
      <c r="L314" s="8" t="inlineStr">
        <is>
          <t>Data held</t>
        </is>
      </c>
      <c r="M314" s="8" t="inlineStr">
        <is>
          <t>CFOG</t>
        </is>
      </c>
      <c r="N314" s="11" t="inlineStr"/>
      <c r="O314" s="11" t="inlineStr"/>
      <c r="P314" s="11" t="inlineStr"/>
      <c r="Q314" s="11" t="inlineStr"/>
      <c r="R314" s="11" t="inlineStr"/>
      <c r="S314" s="11" t="inlineStr"/>
    </row>
    <row r="315">
      <c r="B315" s="13" t="inlineStr">
        <is>
          <t>RI1(b)</t>
        </is>
      </c>
      <c r="C315" s="8" t="inlineStr"/>
      <c r="D315" s="8" t="inlineStr"/>
      <c r="E315" s="18" t="inlineStr">
        <is>
          <t>Credit</t>
        </is>
      </c>
      <c r="F315" s="8" t="inlineStr">
        <is>
          <t>tCO2-e</t>
        </is>
      </c>
      <c r="G315" s="14" t="n"/>
      <c r="H315" s="14" t="inlineStr">
        <is>
          <t>N/A</t>
        </is>
      </c>
      <c r="I315" s="14" t="inlineStr">
        <is>
          <t>N/A</t>
        </is>
      </c>
      <c r="J315" s="14" t="inlineStr">
        <is>
          <t>N/A</t>
        </is>
      </c>
      <c r="K315" s="15" t="n"/>
      <c r="L315" s="8" t="inlineStr">
        <is>
          <t>No data yet</t>
        </is>
      </c>
      <c r="M315" s="8" t="inlineStr">
        <is>
          <t>CFOG</t>
        </is>
      </c>
      <c r="N315" s="11" t="inlineStr"/>
      <c r="O315" s="11" t="inlineStr"/>
      <c r="P315" s="11" t="inlineStr"/>
      <c r="Q315" s="11" t="inlineStr"/>
      <c r="R315" s="11" t="inlineStr"/>
      <c r="S315" s="11" t="inlineStr"/>
    </row>
    <row r="316">
      <c r="B316" s="13" t="inlineStr">
        <is>
          <t>RI1(b)</t>
        </is>
      </c>
      <c r="C316" s="8" t="inlineStr"/>
      <c r="D316" s="8" t="inlineStr"/>
      <c r="E316" s="18" t="inlineStr">
        <is>
          <t>Fixed Interest</t>
        </is>
      </c>
      <c r="F316" s="8" t="inlineStr">
        <is>
          <t>tCO2-e</t>
        </is>
      </c>
      <c r="G316" s="14" t="n"/>
      <c r="H316" s="14" t="inlineStr">
        <is>
          <t>N/A</t>
        </is>
      </c>
      <c r="I316" s="14" t="inlineStr">
        <is>
          <t>N/A</t>
        </is>
      </c>
      <c r="J316" s="14" t="n">
        <v>58583</v>
      </c>
      <c r="K316" s="15" t="n"/>
      <c r="L316" s="8" t="inlineStr">
        <is>
          <t>Data held</t>
        </is>
      </c>
      <c r="M316" s="8" t="inlineStr">
        <is>
          <t>CFOG</t>
        </is>
      </c>
      <c r="N316" s="11" t="inlineStr"/>
      <c r="O316" s="11" t="inlineStr"/>
      <c r="P316" s="11" t="inlineStr"/>
      <c r="Q316" s="11" t="inlineStr"/>
      <c r="R316" s="11" t="inlineStr"/>
      <c r="S316" s="11" t="inlineStr"/>
    </row>
    <row r="317">
      <c r="B317" s="13" t="inlineStr">
        <is>
          <t>RI1(b)</t>
        </is>
      </c>
      <c r="C317" s="8" t="inlineStr"/>
      <c r="D317" s="8" t="inlineStr"/>
      <c r="E317" s="8" t="inlineStr">
        <is>
          <t>Benchmark financed carbon emissions intensity</t>
        </is>
      </c>
      <c r="F317" s="8" t="inlineStr">
        <is>
          <t>tCO2-e / AUD m invested</t>
        </is>
      </c>
      <c r="G317" s="14" t="n"/>
      <c r="H317" s="14" t="n">
        <v>47</v>
      </c>
      <c r="I317" s="14" t="n">
        <v>51</v>
      </c>
      <c r="J317" s="14" t="n">
        <v>48.6</v>
      </c>
      <c r="K317" s="15" t="n"/>
      <c r="L317" s="8" t="inlineStr">
        <is>
          <t>Data held</t>
        </is>
      </c>
      <c r="M317" s="8" t="inlineStr">
        <is>
          <t>CFOG</t>
        </is>
      </c>
      <c r="N317" s="11" t="inlineStr"/>
      <c r="O317" s="11" t="inlineStr"/>
      <c r="P317" s="11" t="inlineStr"/>
      <c r="Q317" s="11" t="inlineStr"/>
      <c r="R317" s="11" t="inlineStr"/>
      <c r="S317" s="11" t="inlineStr"/>
    </row>
    <row r="318">
      <c r="B318" s="13" t="inlineStr">
        <is>
          <t>RI1(b)</t>
        </is>
      </c>
      <c r="C318" s="8" t="inlineStr"/>
      <c r="D318" s="8" t="inlineStr"/>
      <c r="E318" s="18" t="inlineStr">
        <is>
          <t>Australian Equities</t>
        </is>
      </c>
      <c r="F318" s="8" t="inlineStr">
        <is>
          <t>tCO2-e / AUD m invested</t>
        </is>
      </c>
      <c r="G318" s="14" t="n"/>
      <c r="H318" s="14" t="n">
        <v>58</v>
      </c>
      <c r="I318" s="14" t="n">
        <v>67</v>
      </c>
      <c r="J318" s="14" t="n">
        <v>45.6</v>
      </c>
      <c r="K318" s="15" t="n"/>
      <c r="L318" s="8" t="inlineStr">
        <is>
          <t>Data held</t>
        </is>
      </c>
      <c r="M318" s="8" t="inlineStr">
        <is>
          <t>CFOG</t>
        </is>
      </c>
      <c r="N318" s="11" t="inlineStr"/>
      <c r="O318" s="11" t="inlineStr"/>
      <c r="P318" s="11" t="inlineStr"/>
      <c r="Q318" s="11" t="inlineStr"/>
      <c r="R318" s="11" t="inlineStr"/>
      <c r="S318" s="11" t="inlineStr"/>
    </row>
    <row r="319">
      <c r="B319" s="13" t="inlineStr">
        <is>
          <t>RI1(b)</t>
        </is>
      </c>
      <c r="C319" s="8" t="inlineStr"/>
      <c r="D319" s="8" t="inlineStr"/>
      <c r="E319" s="18" t="inlineStr">
        <is>
          <t>International Equities</t>
        </is>
      </c>
      <c r="F319" s="8" t="inlineStr">
        <is>
          <t>tCO2-e / AUD m invested</t>
        </is>
      </c>
      <c r="G319" s="14" t="n"/>
      <c r="H319" s="14" t="n">
        <v>36</v>
      </c>
      <c r="I319" s="14" t="n">
        <v>37</v>
      </c>
      <c r="J319" s="14" t="n">
        <v>26</v>
      </c>
      <c r="K319" s="15" t="n"/>
      <c r="L319" s="8" t="inlineStr">
        <is>
          <t>Data held</t>
        </is>
      </c>
      <c r="M319" s="8" t="inlineStr">
        <is>
          <t>CFOG</t>
        </is>
      </c>
      <c r="N319" s="11" t="inlineStr"/>
      <c r="O319" s="11" t="inlineStr"/>
      <c r="P319" s="11" t="inlineStr"/>
      <c r="Q319" s="11" t="inlineStr"/>
      <c r="R319" s="11" t="inlineStr"/>
      <c r="S319" s="11" t="inlineStr"/>
    </row>
    <row r="320">
      <c r="B320" s="13" t="inlineStr">
        <is>
          <t>RI1(b)</t>
        </is>
      </c>
      <c r="C320" s="8" t="inlineStr"/>
      <c r="D320" s="8" t="inlineStr"/>
      <c r="E320" s="18" t="inlineStr">
        <is>
          <t>Credit</t>
        </is>
      </c>
      <c r="F320" s="8" t="inlineStr">
        <is>
          <t>tCO2-e / AUD m invested</t>
        </is>
      </c>
      <c r="G320" s="14" t="n"/>
      <c r="H320" s="14" t="inlineStr">
        <is>
          <t>N/A</t>
        </is>
      </c>
      <c r="I320" s="14" t="inlineStr">
        <is>
          <t>N/A</t>
        </is>
      </c>
      <c r="J320" s="14" t="inlineStr">
        <is>
          <t>N/A</t>
        </is>
      </c>
      <c r="K320" s="15" t="n"/>
      <c r="L320" s="8" t="inlineStr">
        <is>
          <t>No data yet</t>
        </is>
      </c>
      <c r="M320" s="8" t="inlineStr">
        <is>
          <t>CFOG</t>
        </is>
      </c>
      <c r="N320" s="11" t="inlineStr"/>
      <c r="O320" s="11" t="inlineStr"/>
      <c r="P320" s="11" t="inlineStr"/>
      <c r="Q320" s="11" t="inlineStr"/>
      <c r="R320" s="11" t="inlineStr"/>
      <c r="S320" s="11" t="inlineStr"/>
    </row>
    <row r="321">
      <c r="B321" s="13" t="inlineStr">
        <is>
          <t>RI1(b)</t>
        </is>
      </c>
      <c r="C321" s="8" t="inlineStr"/>
      <c r="D321" s="8" t="inlineStr"/>
      <c r="E321" s="18" t="inlineStr">
        <is>
          <t>Fixed Interest</t>
        </is>
      </c>
      <c r="F321" s="8" t="inlineStr">
        <is>
          <t>tCO2-e / AUD m invested</t>
        </is>
      </c>
      <c r="G321" s="14" t="n"/>
      <c r="H321" s="14" t="inlineStr">
        <is>
          <t>N/A</t>
        </is>
      </c>
      <c r="I321" s="14" t="inlineStr">
        <is>
          <t>N/A</t>
        </is>
      </c>
      <c r="J321" s="14" t="n">
        <v>112.9</v>
      </c>
      <c r="K321" s="15" t="n"/>
      <c r="L321" s="8" t="inlineStr">
        <is>
          <t>Data held</t>
        </is>
      </c>
      <c r="M321" s="8" t="inlineStr">
        <is>
          <t>CFOG</t>
        </is>
      </c>
      <c r="N321" s="11" t="inlineStr"/>
      <c r="O321" s="11" t="inlineStr"/>
      <c r="P321" s="11" t="inlineStr"/>
      <c r="Q321" s="11" t="inlineStr"/>
      <c r="R321" s="11" t="inlineStr"/>
      <c r="S321" s="11" t="inlineStr"/>
    </row>
    <row r="322">
      <c r="B322" s="13" t="inlineStr">
        <is>
          <t>EN1(b)</t>
        </is>
      </c>
      <c r="C322" s="8" t="inlineStr">
        <is>
          <t>Enablers</t>
        </is>
      </c>
      <c r="D322" s="8" t="inlineStr">
        <is>
          <t>Living laboratories enabling applied learning, research and operational sustainability outcomes</t>
        </is>
      </c>
      <c r="E322" s="8" t="inlineStr">
        <is>
          <t>Number of projects funded (CLLAP)</t>
        </is>
      </c>
      <c r="F322" s="8" t="inlineStr">
        <is>
          <t>#</t>
        </is>
      </c>
      <c r="G322" s="14" t="n"/>
      <c r="H322" s="14" t="n"/>
      <c r="I322" s="14" t="n"/>
      <c r="J322" s="14" t="n"/>
      <c r="K322" s="15" t="n"/>
      <c r="L322" s="8" t="inlineStr">
        <is>
          <t>No data yet</t>
        </is>
      </c>
      <c r="M322" s="8" t="inlineStr">
        <is>
          <t>CI&amp;S</t>
        </is>
      </c>
      <c r="N322" s="11" t="inlineStr"/>
      <c r="O322" s="11" t="inlineStr"/>
      <c r="P322" s="11" t="inlineStr"/>
      <c r="Q322" s="11" t="inlineStr"/>
      <c r="R322" s="11" t="inlineStr"/>
      <c r="S322" s="11" t="inlineStr"/>
    </row>
    <row r="323">
      <c r="B323" s="13" t="inlineStr">
        <is>
          <t>EN1(b)</t>
        </is>
      </c>
      <c r="C323" s="8" t="inlineStr"/>
      <c r="D323" s="8" t="inlineStr"/>
      <c r="E323" s="8" t="inlineStr">
        <is>
          <t>Total funding for projects</t>
        </is>
      </c>
      <c r="F323" s="8" t="inlineStr">
        <is>
          <t>$</t>
        </is>
      </c>
      <c r="G323" s="14" t="n"/>
      <c r="H323" s="14" t="n"/>
      <c r="I323" s="14" t="n"/>
      <c r="J323" s="14" t="n"/>
      <c r="K323" s="15" t="n"/>
      <c r="L323" s="8" t="inlineStr">
        <is>
          <t>No data yet</t>
        </is>
      </c>
      <c r="M323" s="8" t="inlineStr">
        <is>
          <t>CI&amp;S</t>
        </is>
      </c>
      <c r="N323" s="11" t="inlineStr"/>
      <c r="O323" s="11" t="inlineStr"/>
      <c r="P323" s="11" t="inlineStr"/>
      <c r="Q323" s="11" t="inlineStr"/>
      <c r="R323" s="11" t="inlineStr"/>
      <c r="S323" s="11" t="inlineStr"/>
    </row>
  </sheetData>
  <autoFilter ref="B5:S323"/>
  <mergeCells count="1">
    <mergeCell ref="B3:N3"/>
  </mergeCells>
  <dataValidations count="1">
    <dataValidation sqref="R6:R324"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5"/>
  <sheetViews>
    <sheetView showGridLines="0" workbookViewId="0">
      <selection activeCell="A1" sqref="A1"/>
    </sheetView>
  </sheetViews>
  <sheetFormatPr baseColWidth="8" defaultRowHeight="15"/>
  <cols>
    <col width="4" customWidth="1" min="1" max="1"/>
    <col width="14" customWidth="1" min="2" max="2"/>
    <col width="40" customWidth="1" min="3" max="3"/>
    <col width="44" customWidth="1" min="4" max="4"/>
    <col width="40" customWidth="1" min="5" max="5"/>
    <col width="18" customWidth="1" min="6" max="6"/>
    <col width="50" customWidth="1" min="7" max="7"/>
  </cols>
  <sheetData>
    <row r="1">
      <c r="A1" s="1" t="inlineStr">
        <is>
          <t>↑</t>
        </is>
      </c>
      <c r="B1" s="2" t="inlineStr">
        <is>
          <t>End-2026 target status assessment and reporting</t>
        </is>
      </c>
    </row>
    <row r="2">
      <c r="B2" s="3" t="inlineStr">
        <is>
          <t>3. Stakeholder map (SR25 → SR26)</t>
        </is>
      </c>
    </row>
    <row r="4">
      <c r="B4" s="6" t="inlineStr">
        <is>
          <t>SR26 unit</t>
        </is>
      </c>
      <c r="C4" s="6" t="inlineStr">
        <is>
          <t>SR26 full name</t>
        </is>
      </c>
      <c r="D4" s="6" t="inlineStr">
        <is>
          <t>SR25 equivalent (2025 master)</t>
        </is>
      </c>
      <c r="E4" s="6" t="inlineStr">
        <is>
          <t>Section / team</t>
        </is>
      </c>
      <c r="F4" s="6" t="inlineStr">
        <is>
          <t>Key contact</t>
        </is>
      </c>
      <c r="G4" s="6" t="inlineStr">
        <is>
          <t>Status / notes</t>
        </is>
      </c>
    </row>
    <row r="5">
      <c r="B5" s="8" t="inlineStr">
        <is>
          <t>Faculty</t>
        </is>
      </c>
      <c r="C5" s="8" t="inlineStr">
        <is>
          <t>Faculty of Architecture, Building and Planning</t>
        </is>
      </c>
      <c r="D5" s="8" t="inlineStr">
        <is>
          <t>Faculties tab – ABP</t>
        </is>
      </c>
      <c r="E5" s="8" t="inlineStr">
        <is>
          <t>Associate Dean Sustainability / faculty sustainability lead</t>
        </is>
      </c>
      <c r="F5" s="8" t="inlineStr">
        <is>
          <t>TBC</t>
        </is>
      </c>
      <c r="G5" s="8" t="inlineStr">
        <is>
          <t>Pilot faculty</t>
        </is>
      </c>
    </row>
    <row r="6">
      <c r="B6" s="8" t="inlineStr">
        <is>
          <t>Faculty</t>
        </is>
      </c>
      <c r="C6" s="8" t="inlineStr">
        <is>
          <t>Faculty of Arts</t>
        </is>
      </c>
      <c r="D6" s="8" t="inlineStr">
        <is>
          <t>Faculties tab – ARTS</t>
        </is>
      </c>
      <c r="E6" s="8" t="inlineStr">
        <is>
          <t>Associate Dean Sustainability / faculty sustainability lead</t>
        </is>
      </c>
      <c r="F6" s="8" t="inlineStr">
        <is>
          <t>TBC</t>
        </is>
      </c>
      <c r="G6" s="8" t="inlineStr">
        <is>
          <t>Pilot faculty</t>
        </is>
      </c>
    </row>
    <row r="7">
      <c r="B7" s="8" t="inlineStr">
        <is>
          <t>Faculty</t>
        </is>
      </c>
      <c r="C7" s="8" t="inlineStr">
        <is>
          <t>Faculty of Business and Economics</t>
        </is>
      </c>
      <c r="D7" s="8" t="inlineStr">
        <is>
          <t>Faculties tab – FBE</t>
        </is>
      </c>
      <c r="E7" s="8" t="inlineStr">
        <is>
          <t>Associate Dean Sustainability / faculty sustainability lead</t>
        </is>
      </c>
      <c r="F7" s="8" t="inlineStr">
        <is>
          <t>TBC</t>
        </is>
      </c>
      <c r="G7" s="8" t="inlineStr">
        <is>
          <t>Pilot faculty</t>
        </is>
      </c>
    </row>
    <row r="8">
      <c r="B8" s="8" t="inlineStr">
        <is>
          <t>Faculty</t>
        </is>
      </c>
      <c r="C8" s="8" t="inlineStr">
        <is>
          <t>Faculty of Science</t>
        </is>
      </c>
      <c r="D8" s="8" t="inlineStr">
        <is>
          <t>Faculties tab – SCI</t>
        </is>
      </c>
      <c r="E8" s="8" t="inlineStr">
        <is>
          <t>Associate Dean Sustainability / faculty sustainability lead</t>
        </is>
      </c>
      <c r="F8" s="8" t="inlineStr">
        <is>
          <t>TBC</t>
        </is>
      </c>
      <c r="G8" s="8" t="inlineStr">
        <is>
          <t>Pilot faculty</t>
        </is>
      </c>
    </row>
    <row r="9">
      <c r="B9" s="8" t="inlineStr">
        <is>
          <t>CI&amp;S</t>
        </is>
      </c>
      <c r="C9" s="8" t="inlineStr">
        <is>
          <t>Commercial, Infrastructure &amp; Sustainability (CI&amp;S)</t>
        </is>
      </c>
      <c r="D9" s="8" t="inlineStr">
        <is>
          <t>Corporate Development (CD Development &amp; Estate Planning teams; CD Sustainability Strategy)</t>
        </is>
      </c>
      <c r="E9" s="8" t="inlineStr">
        <is>
          <t>CI&amp;S – Estate Planning &amp; Development (TBC: confirm with Gerard)</t>
        </is>
      </c>
      <c r="F9" s="8" t="inlineStr">
        <is>
          <t>TBC</t>
        </is>
      </c>
      <c r="G9" s="8" t="inlineStr"/>
    </row>
    <row r="10">
      <c r="B10" s="8" t="inlineStr">
        <is>
          <t>CI&amp;S</t>
        </is>
      </c>
      <c r="C10" s="8" t="inlineStr">
        <is>
          <t>Commercial, Infrastructure &amp; Sustainability (CI&amp;S)</t>
        </is>
      </c>
      <c r="D10" s="8" t="inlineStr">
        <is>
          <t>Corporate Development (CD Development &amp; Estate Planning teams; CD Sustainability Strategy)</t>
        </is>
      </c>
      <c r="E10" s="8" t="inlineStr">
        <is>
          <t>CI&amp;S – Sustainability Strategy (incl. CLLAP)</t>
        </is>
      </c>
      <c r="F10" s="8" t="inlineStr">
        <is>
          <t>TBC</t>
        </is>
      </c>
      <c r="G10" s="8" t="inlineStr"/>
    </row>
    <row r="11">
      <c r="B11" s="8" t="inlineStr">
        <is>
          <t>CFOG</t>
        </is>
      </c>
      <c r="C11" s="8" t="inlineStr">
        <is>
          <t>Chief Finance Officer Group (CFOG)</t>
        </is>
      </c>
      <c r="D11" s="8" t="inlineStr">
        <is>
          <t>CFOG (Procurement; Accounting; Treasury &amp; Investments; Enterprise Portfolio &amp; Investments)</t>
        </is>
      </c>
      <c r="E11" s="8" t="inlineStr">
        <is>
          <t>CFOG – Procurement</t>
        </is>
      </c>
      <c r="F11" s="8" t="inlineStr">
        <is>
          <t>TBC</t>
        </is>
      </c>
      <c r="G11" s="8" t="inlineStr"/>
    </row>
    <row r="12">
      <c r="B12" s="8" t="inlineStr">
        <is>
          <t>CFOG</t>
        </is>
      </c>
      <c r="C12" s="8" t="inlineStr">
        <is>
          <t>Chief Finance Officer Group (CFOG)</t>
        </is>
      </c>
      <c r="D12" s="8" t="inlineStr">
        <is>
          <t>CFOG (Procurement; Accounting; Treasury &amp; Investments; Enterprise Portfolio &amp; Investments)</t>
        </is>
      </c>
      <c r="E12" s="8" t="inlineStr">
        <is>
          <t>CFOG – Treasury &amp; Investments</t>
        </is>
      </c>
      <c r="F12" s="8" t="inlineStr">
        <is>
          <t>TBC</t>
        </is>
      </c>
      <c r="G12" s="8" t="inlineStr"/>
    </row>
    <row r="13">
      <c r="B13" s="8" t="inlineStr">
        <is>
          <t>ESG</t>
        </is>
      </c>
      <c r="C13" s="8" t="inlineStr">
        <is>
          <t>Enterprise Services Group (ESG)</t>
        </is>
      </c>
      <c r="D13" s="8" t="inlineStr">
        <is>
          <t>Business Services – Sustainability Delivery (nature &amp; biodiversity, waste &amp; circular economy, part of quant. climate leadership)</t>
        </is>
      </c>
      <c r="E13" s="8" t="inlineStr">
        <is>
          <t>ESG – Campus Operations &amp; Sustainability Delivery</t>
        </is>
      </c>
      <c r="F13" s="8" t="inlineStr">
        <is>
          <t>TBC</t>
        </is>
      </c>
      <c r="G13" s="8" t="inlineStr"/>
    </row>
    <row r="14">
      <c r="B14" s="8" t="inlineStr">
        <is>
          <t>CIOG</t>
        </is>
      </c>
      <c r="C14" s="8" t="inlineStr">
        <is>
          <t>Chief Information Officer Group (CIOG)</t>
        </is>
      </c>
      <c r="D14" s="8" t="inlineStr">
        <is>
          <t>Business Services (AI – not requested in SR25)</t>
        </is>
      </c>
      <c r="E14" s="8" t="inlineStr">
        <is>
          <t>CIOG – Responsible AI &amp; digital</t>
        </is>
      </c>
      <c r="F14" s="8" t="inlineStr">
        <is>
          <t>TBC</t>
        </is>
      </c>
      <c r="G14" s="8" t="inlineStr"/>
    </row>
    <row r="15">
      <c r="B15" s="8" t="inlineStr">
        <is>
          <t>MRE</t>
        </is>
      </c>
      <c r="C15" s="8" t="inlineStr">
        <is>
          <t>Melbourne Research and Enterprise (MRE)</t>
        </is>
      </c>
      <c r="D15" s="8" t="inlineStr">
        <is>
          <t>Chancellery Research and Enterprise</t>
        </is>
      </c>
      <c r="E15" s="8" t="inlineStr">
        <is>
          <t>MRE – Research (incl. MBI – TBC)</t>
        </is>
      </c>
      <c r="F15" s="8" t="inlineStr">
        <is>
          <t>TBC</t>
        </is>
      </c>
      <c r="G15" s="8" t="inlineStr"/>
    </row>
    <row r="16">
      <c r="B16" s="8" t="inlineStr">
        <is>
          <t>AC&amp;M</t>
        </is>
      </c>
      <c r="C16" s="8" t="inlineStr">
        <is>
          <t>Advancement, Communication and Marketing (AC&amp;M)</t>
        </is>
      </c>
      <c r="D16" s="8" t="inlineStr">
        <is>
          <t>Chancellery – Advancement, Communications &amp; Marketing</t>
        </is>
      </c>
      <c r="E16" s="8" t="inlineStr">
        <is>
          <t>AC&amp;M – Advancement, Communication and Marketing</t>
        </is>
      </c>
      <c r="F16" s="8" t="inlineStr">
        <is>
          <t>TBC</t>
        </is>
      </c>
      <c r="G16" s="8" t="inlineStr"/>
    </row>
    <row r="17">
      <c r="B17" s="8" t="inlineStr">
        <is>
          <t>GCE</t>
        </is>
      </c>
      <c r="C17" s="8" t="inlineStr">
        <is>
          <t>Global, Culture and Engagement (GCE)</t>
        </is>
      </c>
      <c r="D17" s="8" t="inlineStr">
        <is>
          <t>Chancellery – Global, Culture and Engagement</t>
        </is>
      </c>
      <c r="E17" s="8" t="inlineStr">
        <is>
          <t>GCE – Global, Culture and Engagement</t>
        </is>
      </c>
      <c r="F17" s="8" t="inlineStr">
        <is>
          <t>TBC</t>
        </is>
      </c>
      <c r="G17" s="8" t="inlineStr"/>
    </row>
    <row r="18">
      <c r="B18" s="8" t="inlineStr">
        <is>
          <t>Education</t>
        </is>
      </c>
      <c r="C18" s="8" t="inlineStr">
        <is>
          <t>Chancellery Education</t>
        </is>
      </c>
      <c r="D18" s="8" t="inlineStr">
        <is>
          <t>Chancellery – Chancellery Education</t>
        </is>
      </c>
      <c r="E18" s="8" t="inlineStr">
        <is>
          <t>Education – Chancellery Education</t>
        </is>
      </c>
      <c r="F18" s="8" t="inlineStr">
        <is>
          <t>TBC</t>
        </is>
      </c>
      <c r="G18" s="8" t="inlineStr"/>
    </row>
    <row r="19">
      <c r="B19" s="8" t="inlineStr">
        <is>
          <t>SaSS</t>
        </is>
      </c>
      <c r="C19" s="8" t="inlineStr">
        <is>
          <t>Student and Scholarly Services (SaSS)</t>
        </is>
      </c>
      <c r="D19" s="8" t="inlineStr">
        <is>
          <t>Chancellery – Student and scholarly services</t>
        </is>
      </c>
      <c r="E19" s="8" t="inlineStr">
        <is>
          <t>SaSS – Student and Scholarly Services</t>
        </is>
      </c>
      <c r="F19" s="8" t="inlineStr">
        <is>
          <t>TBC</t>
        </is>
      </c>
      <c r="G19" s="8" t="inlineStr"/>
    </row>
    <row r="20">
      <c r="B20" s="8" t="inlineStr">
        <is>
          <t>Indigenous</t>
        </is>
      </c>
      <c r="C20" s="8" t="inlineStr">
        <is>
          <t>Chancellery Indigenous</t>
        </is>
      </c>
      <c r="D20" s="8" t="inlineStr">
        <is>
          <t>Chancellery – Chancellery Indigenous</t>
        </is>
      </c>
      <c r="E20" s="8" t="inlineStr">
        <is>
          <t>Indigenous – Chancellery Indigenous</t>
        </is>
      </c>
      <c r="F20" s="8" t="inlineStr">
        <is>
          <t>TBC</t>
        </is>
      </c>
      <c r="G20" s="8" t="inlineStr"/>
    </row>
    <row r="21">
      <c r="B21" s="8" t="inlineStr">
        <is>
          <t>L&amp;R</t>
        </is>
      </c>
      <c r="C21" s="8" t="inlineStr">
        <is>
          <t>Legal and Risk</t>
        </is>
      </c>
      <c r="D21" s="8" t="inlineStr">
        <is>
          <t>Legal and Risk</t>
        </is>
      </c>
      <c r="E21" s="8" t="inlineStr">
        <is>
          <t>Legal &amp; Risk – Risk &amp; resilience</t>
        </is>
      </c>
      <c r="F21" s="8" t="inlineStr">
        <is>
          <t>TBC</t>
        </is>
      </c>
      <c r="G21" s="8" t="inlineStr"/>
    </row>
    <row r="22">
      <c r="B22" s="8" t="inlineStr">
        <is>
          <t>TBC</t>
        </is>
      </c>
      <c r="C22" s="8" t="inlineStr">
        <is>
          <t>CGOP / CDEP / CDSS</t>
        </is>
      </c>
      <c r="D22" s="8" t="inlineStr">
        <is>
          <t>Not in SR25 master</t>
        </is>
      </c>
      <c r="E22" s="8" t="inlineStr">
        <is>
          <t>—</t>
        </is>
      </c>
      <c r="F22" s="8" t="inlineStr">
        <is>
          <t>TBC</t>
        </is>
      </c>
      <c r="G22" s="8" t="inlineStr">
        <is>
          <t>Structure changes TBC – confirm before requests are issued.</t>
        </is>
      </c>
    </row>
    <row r="25">
      <c r="B25" s="20" t="inlineStr">
        <is>
          <t>Who is responsible for each indicator: see '3b. RASCI matrix'.</t>
        </is>
      </c>
    </row>
  </sheetData>
  <pageMargins left="0.75" right="0.75" top="1" bottom="1" header="0.5" footer="0.5"/>
</worksheet>
</file>

<file path=xl/worksheets/sheet6.xml><?xml version="1.0" encoding="utf-8"?>
<worksheet xmlns="http://schemas.openxmlformats.org/spreadsheetml/2006/main">
  <sheetPr>
    <outlinePr summaryBelow="1" summaryRight="0"/>
    <pageSetUpPr/>
  </sheetPr>
  <dimension ref="A1:AC101"/>
  <sheetViews>
    <sheetView showGridLines="0" workbookViewId="0">
      <pane xSplit="8" ySplit="6" topLeftCell="I7" activePane="bottomRight" state="frozen"/>
      <selection pane="topRight"/>
      <selection pane="bottomLeft"/>
      <selection pane="bottomRight" activeCell="A1" sqref="A1"/>
    </sheetView>
  </sheetViews>
  <sheetFormatPr baseColWidth="8" defaultRowHeight="15"/>
  <cols>
    <col width="8" customWidth="1" min="1" max="1"/>
    <col width="9" customWidth="1" min="2" max="2"/>
    <col width="14" customWidth="1" min="3" max="3"/>
    <col width="16" customWidth="1" min="4" max="4"/>
    <col width="50" customWidth="1" min="5" max="5"/>
    <col width="12" customWidth="1" min="6" max="6"/>
    <col width="10" customWidth="1" min="7" max="7"/>
    <col width="4" customWidth="1" min="8" max="8"/>
    <col width="13" customWidth="1" min="9" max="9"/>
    <col outlineLevel="1" width="13" customWidth="1" min="10" max="10"/>
    <col outlineLevel="1" width="13" customWidth="1" min="11" max="11"/>
    <col outlineLevel="1" width="13" customWidth="1" min="12" max="12"/>
    <col outlineLevel="1" width="13" customWidth="1" min="13" max="13"/>
    <col width="13"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outlineLevel="1" width="13" customWidth="1" min="23" max="23"/>
    <col outlineLevel="1" width="13" customWidth="1" min="24" max="24"/>
    <col outlineLevel="1" width="13" customWidth="1" min="25" max="25"/>
    <col outlineLevel="1" width="13" customWidth="1" min="26" max="26"/>
    <col outlineLevel="1" width="13" customWidth="1" min="27" max="27"/>
    <col outlineLevel="1" width="13" customWidth="1" min="28" max="28"/>
    <col outlineLevel="1" width="13" customWidth="1" min="29" max="29"/>
  </cols>
  <sheetData>
    <row r="1">
      <c r="B1" s="21" t="inlineStr">
        <is>
          <t>Sustainability 2030 – SR26 reporting roles (RASCI)</t>
        </is>
      </c>
    </row>
    <row r="2" ht="48" customHeight="1">
      <c r="B2" s="9" t="inlineStr">
        <is>
          <t>Who is Accountable / Responsible / Support / Consulted / Informed for reporting each Sustainability 2030 indicator in SR26. Green columns are consolidated portfolios (click [+]/[–] above to show or hide their areas). Codes are pre-filled from the requests issued; edit with the dropdown. Accountable owners (A) are TBC – to confirm with the Director, Sustainability.</t>
        </is>
      </c>
    </row>
    <row r="3">
      <c r="H3" t="inlineStr">
        <is>
          <t>SST contact (SR25 – confirm) &gt;&gt;</t>
        </is>
      </c>
      <c r="I3" s="22" t="inlineStr">
        <is>
          <t>Director</t>
        </is>
      </c>
      <c r="J3" s="22" t="inlineStr">
        <is>
          <t>Gerard</t>
        </is>
      </c>
      <c r="K3" s="22" t="inlineStr">
        <is>
          <t>Rose</t>
        </is>
      </c>
      <c r="L3" s="22" t="inlineStr">
        <is>
          <t>Katie</t>
        </is>
      </c>
      <c r="M3" s="22" t="inlineStr">
        <is>
          <t>Katie</t>
        </is>
      </c>
      <c r="N3" s="22" t="inlineStr">
        <is>
          <t>Director</t>
        </is>
      </c>
      <c r="O3" s="22" t="inlineStr">
        <is>
          <t>Gerard and Davina</t>
        </is>
      </c>
      <c r="P3" s="22" t="inlineStr">
        <is>
          <t>Director</t>
        </is>
      </c>
      <c r="Q3" s="22" t="inlineStr">
        <is>
          <t>Chris</t>
        </is>
      </c>
      <c r="R3" s="22" t="inlineStr">
        <is>
          <t>Chris</t>
        </is>
      </c>
      <c r="S3" s="22" t="inlineStr">
        <is>
          <t>All</t>
        </is>
      </c>
      <c r="T3" s="22" t="inlineStr">
        <is>
          <t>TBC</t>
        </is>
      </c>
      <c r="U3" s="22" t="inlineStr">
        <is>
          <t>Gerard</t>
        </is>
      </c>
      <c r="V3" s="22" t="inlineStr">
        <is>
          <t>Director</t>
        </is>
      </c>
      <c r="W3" s="22" t="inlineStr">
        <is>
          <t>Director</t>
        </is>
      </c>
      <c r="X3" s="22" t="inlineStr">
        <is>
          <t>Rose</t>
        </is>
      </c>
      <c r="Y3" s="22" t="inlineStr">
        <is>
          <t>Gerard</t>
        </is>
      </c>
      <c r="Z3" s="22" t="inlineStr">
        <is>
          <t>Katie</t>
        </is>
      </c>
      <c r="AA3" s="22" t="inlineStr">
        <is>
          <t>Rose</t>
        </is>
      </c>
      <c r="AB3" s="22" t="inlineStr">
        <is>
          <t>Gerard</t>
        </is>
      </c>
      <c r="AC3" s="22" t="inlineStr">
        <is>
          <t>All</t>
        </is>
      </c>
    </row>
    <row r="4">
      <c r="H4" t="inlineStr">
        <is>
          <t>Portfolio / Faculty &gt;&gt;</t>
        </is>
      </c>
      <c r="I4" s="22" t="inlineStr">
        <is>
          <t>Faculty (consolidated)</t>
        </is>
      </c>
      <c r="J4" s="22" t="inlineStr">
        <is>
          <t>Faculty</t>
        </is>
      </c>
      <c r="K4" s="22" t="inlineStr">
        <is>
          <t>Faculty</t>
        </is>
      </c>
      <c r="L4" s="22" t="inlineStr">
        <is>
          <t>Faculty</t>
        </is>
      </c>
      <c r="M4" s="22" t="inlineStr">
        <is>
          <t>Faculty</t>
        </is>
      </c>
      <c r="N4" s="22" t="inlineStr">
        <is>
          <t>COO portfolio (consolidated)</t>
        </is>
      </c>
      <c r="O4" s="22" t="inlineStr">
        <is>
          <t>COO portfolio</t>
        </is>
      </c>
      <c r="P4" s="22" t="inlineStr">
        <is>
          <t>COO portfolio</t>
        </is>
      </c>
      <c r="Q4" s="22" t="inlineStr">
        <is>
          <t>COO portfolio</t>
        </is>
      </c>
      <c r="R4" s="22" t="inlineStr">
        <is>
          <t>COO portfolio</t>
        </is>
      </c>
      <c r="S4" s="22" t="inlineStr">
        <is>
          <t>COO portfolio</t>
        </is>
      </c>
      <c r="T4" s="22" t="inlineStr">
        <is>
          <t>COO portfolio</t>
        </is>
      </c>
      <c r="U4" s="22" t="inlineStr">
        <is>
          <t>COO portfolio</t>
        </is>
      </c>
      <c r="V4" s="22" t="inlineStr">
        <is>
          <t>Chancellery (consolidated)</t>
        </is>
      </c>
      <c r="W4" s="22" t="inlineStr">
        <is>
          <t>Chancellery</t>
        </is>
      </c>
      <c r="X4" s="22" t="inlineStr">
        <is>
          <t>Chancellery</t>
        </is>
      </c>
      <c r="Y4" s="22" t="inlineStr">
        <is>
          <t>Chancellery</t>
        </is>
      </c>
      <c r="Z4" s="22" t="inlineStr">
        <is>
          <t>Chancellery</t>
        </is>
      </c>
      <c r="AA4" s="22" t="inlineStr">
        <is>
          <t>Chancellery</t>
        </is>
      </c>
      <c r="AB4" s="22" t="inlineStr">
        <is>
          <t>Chancellery</t>
        </is>
      </c>
      <c r="AC4" s="22" t="inlineStr">
        <is>
          <t>Sustainability Strategy</t>
        </is>
      </c>
    </row>
    <row r="5">
      <c r="I5" s="23" t="inlineStr">
        <is>
          <t>Areas Accountable and/or Responsible for SR26 reporting (green = consolidated portfolio, white = individual area)</t>
        </is>
      </c>
    </row>
    <row r="6" ht="60" customHeight="1">
      <c r="A6" s="6" t="inlineStr">
        <is>
          <t>Number</t>
        </is>
      </c>
      <c r="B6" s="6" t="inlineStr">
        <is>
          <t>Category</t>
        </is>
      </c>
      <c r="C6" s="6" t="inlineStr">
        <is>
          <t>Domain</t>
        </is>
      </c>
      <c r="D6" s="6" t="inlineStr">
        <is>
          <t>Priority area</t>
        </is>
      </c>
      <c r="E6" s="6" t="inlineStr">
        <is>
          <t>Target / indicator</t>
        </is>
      </c>
      <c r="F6" s="6" t="inlineStr">
        <is>
          <t>Type</t>
        </is>
      </c>
      <c r="G6" s="6" t="inlineStr">
        <is>
          <t>Related SR25 ref</t>
        </is>
      </c>
      <c r="H6" s="6" t="inlineStr">
        <is>
          <t>Activity area &gt;&gt;</t>
        </is>
      </c>
      <c r="I6" s="24" t="inlineStr">
        <is>
          <t>Faculties – pilot (all)</t>
        </is>
      </c>
      <c r="J6" s="25" t="inlineStr">
        <is>
          <t>ABP – Architecture, Building and Planning</t>
        </is>
      </c>
      <c r="K6" s="25" t="inlineStr">
        <is>
          <t>ARTS – Arts</t>
        </is>
      </c>
      <c r="L6" s="25" t="inlineStr">
        <is>
          <t>FBE – Business and Economics</t>
        </is>
      </c>
      <c r="M6" s="25" t="inlineStr">
        <is>
          <t>SCI – Science</t>
        </is>
      </c>
      <c r="N6" s="24" t="inlineStr">
        <is>
          <t>COO portfolio (all)</t>
        </is>
      </c>
      <c r="O6" s="25" t="inlineStr">
        <is>
          <t>CI&amp;S – Estate Planning &amp; Development</t>
        </is>
      </c>
      <c r="P6" s="25" t="inlineStr">
        <is>
          <t>CI&amp;S – Sustainability Strategy</t>
        </is>
      </c>
      <c r="Q6" s="25" t="inlineStr">
        <is>
          <t>CFOG – Procurement</t>
        </is>
      </c>
      <c r="R6" s="25" t="inlineStr">
        <is>
          <t>CFOG – Treasury &amp; Investments</t>
        </is>
      </c>
      <c r="S6" s="25" t="inlineStr">
        <is>
          <t>ESG – Campus Operations &amp; Sustainability Delivery</t>
        </is>
      </c>
      <c r="T6" s="25" t="inlineStr">
        <is>
          <t>CIOG – Responsible AI &amp; digital</t>
        </is>
      </c>
      <c r="U6" s="25" t="inlineStr">
        <is>
          <t>Legal &amp; Risk – Risk &amp; resilience</t>
        </is>
      </c>
      <c r="V6" s="24" t="inlineStr">
        <is>
          <t>Chancellery (all)</t>
        </is>
      </c>
      <c r="W6" s="25" t="inlineStr">
        <is>
          <t>MRE – Research</t>
        </is>
      </c>
      <c r="X6" s="25" t="inlineStr">
        <is>
          <t>AC&amp;M – Advancement, Communication and Marketing</t>
        </is>
      </c>
      <c r="Y6" s="25" t="inlineStr">
        <is>
          <t>GCE – Global, Culture and Engagement</t>
        </is>
      </c>
      <c r="Z6" s="25" t="inlineStr">
        <is>
          <t>Education – Chancellery Education</t>
        </is>
      </c>
      <c r="AA6" s="25" t="inlineStr">
        <is>
          <t>SaSS – Student and Scholarly Services</t>
        </is>
      </c>
      <c r="AB6" s="25" t="inlineStr">
        <is>
          <t>Indigenous – Chancellery Indigenous</t>
        </is>
      </c>
      <c r="AC6" s="25" t="inlineStr">
        <is>
          <t>SST (compiles / Databook)</t>
        </is>
      </c>
    </row>
    <row r="7">
      <c r="A7" s="26" t="inlineStr">
        <is>
          <t>D1</t>
        </is>
      </c>
      <c r="B7" s="26" t="inlineStr">
        <is>
          <t>Domain</t>
        </is>
      </c>
      <c r="C7" s="26" t="inlineStr"/>
      <c r="D7" s="26" t="inlineStr"/>
      <c r="E7" s="26" t="inlineStr">
        <is>
          <t>Education and research</t>
        </is>
      </c>
      <c r="F7" s="26" t="n"/>
      <c r="G7" s="26" t="n"/>
      <c r="H7" s="26" t="n"/>
      <c r="I7" s="26" t="n"/>
      <c r="J7" s="26" t="n"/>
      <c r="K7" s="26" t="n"/>
      <c r="L7" s="26" t="n"/>
      <c r="M7" s="26" t="n"/>
      <c r="N7" s="26" t="n"/>
      <c r="O7" s="26" t="n"/>
      <c r="P7" s="26" t="n"/>
      <c r="Q7" s="26" t="n"/>
      <c r="R7" s="26" t="n"/>
      <c r="S7" s="26" t="n"/>
      <c r="T7" s="26" t="n"/>
      <c r="U7" s="26" t="n"/>
      <c r="V7" s="26" t="n"/>
      <c r="W7" s="26" t="n"/>
      <c r="X7" s="26" t="n"/>
      <c r="Y7" s="26" t="n"/>
      <c r="Z7" s="26" t="n"/>
      <c r="AA7" s="26" t="n"/>
      <c r="AB7" s="26" t="n"/>
      <c r="AC7" s="26" t="n"/>
    </row>
    <row r="8">
      <c r="A8" s="27" t="inlineStr">
        <is>
          <t>EE</t>
        </is>
      </c>
      <c r="B8" s="27" t="inlineStr">
        <is>
          <t>Priority</t>
        </is>
      </c>
      <c r="C8" s="27" t="inlineStr"/>
      <c r="D8" s="27" t="inlineStr"/>
      <c r="E8" s="27" t="inlineStr">
        <is>
          <t>Exceptional education</t>
        </is>
      </c>
      <c r="F8" s="27" t="n"/>
      <c r="G8" s="27" t="n"/>
      <c r="H8" s="27" t="n"/>
      <c r="I8" s="27" t="n"/>
      <c r="J8" s="27" t="n"/>
      <c r="K8" s="27" t="n"/>
      <c r="L8" s="27" t="n"/>
      <c r="M8" s="27" t="n"/>
      <c r="N8" s="27" t="n"/>
      <c r="O8" s="27" t="n"/>
      <c r="P8" s="27" t="n"/>
      <c r="Q8" s="27" t="n"/>
      <c r="R8" s="27" t="n"/>
      <c r="S8" s="27" t="n"/>
      <c r="T8" s="27" t="n"/>
      <c r="U8" s="27" t="n"/>
      <c r="V8" s="27" t="n"/>
      <c r="W8" s="27" t="n"/>
      <c r="X8" s="27" t="n"/>
      <c r="Y8" s="27" t="n"/>
      <c r="Z8" s="27" t="n"/>
      <c r="AA8" s="27" t="n"/>
      <c r="AB8" s="27" t="n"/>
      <c r="AC8" s="27" t="n"/>
    </row>
    <row r="9" ht="45" customHeight="1">
      <c r="A9" s="28" t="inlineStr">
        <is>
          <t>EE1</t>
        </is>
      </c>
      <c r="B9" s="28" t="inlineStr">
        <is>
          <t>Target</t>
        </is>
      </c>
      <c r="C9" s="28" t="inlineStr">
        <is>
          <t>Education and research</t>
        </is>
      </c>
      <c r="D9" s="28" t="inlineStr">
        <is>
          <t>Exceptional education</t>
        </is>
      </c>
      <c r="E9" s="28" t="inlineStr">
        <is>
          <t>Provide our students with learning experiences that help them build the knowledge, skills and relationships to lead change for sustainable societies.</t>
        </is>
      </c>
    </row>
    <row r="10" ht="42" customHeight="1">
      <c r="A10" s="29" t="inlineStr">
        <is>
          <t>EE1(a)</t>
        </is>
      </c>
      <c r="B10" s="29" t="inlineStr">
        <is>
          <t>Indicator</t>
        </is>
      </c>
      <c r="C10" s="29" t="inlineStr">
        <is>
          <t>Education and research</t>
        </is>
      </c>
      <c r="D10" s="29" t="inlineStr">
        <is>
          <t>Exceptional education</t>
        </is>
      </c>
      <c r="E10" s="29" t="inlineStr">
        <is>
          <t>Evidence of innovative approaches to sustainability teaching and learning</t>
        </is>
      </c>
      <c r="F10" s="29" t="inlineStr">
        <is>
          <t>Qualitative</t>
        </is>
      </c>
      <c r="G10" s="29" t="inlineStr">
        <is>
          <t>4a(ii)</t>
        </is>
      </c>
      <c r="I10" s="30" t="inlineStr">
        <is>
          <t>A and R</t>
        </is>
      </c>
      <c r="J10" s="30" t="inlineStr">
        <is>
          <t>R</t>
        </is>
      </c>
      <c r="K10" s="30" t="inlineStr">
        <is>
          <t>R</t>
        </is>
      </c>
      <c r="L10" s="30" t="inlineStr">
        <is>
          <t>R</t>
        </is>
      </c>
      <c r="M10" s="30" t="inlineStr">
        <is>
          <t>R</t>
        </is>
      </c>
      <c r="N10" s="30" t="inlineStr">
        <is>
          <t>A and R</t>
        </is>
      </c>
      <c r="O10" s="30" t="n"/>
      <c r="P10" s="30" t="inlineStr">
        <is>
          <t>R</t>
        </is>
      </c>
      <c r="Q10" s="30" t="n"/>
      <c r="R10" s="30" t="n"/>
      <c r="S10" s="30" t="n"/>
      <c r="T10" s="30" t="n"/>
      <c r="U10" s="30" t="n"/>
      <c r="V10" s="30" t="inlineStr">
        <is>
          <t>A and R</t>
        </is>
      </c>
      <c r="W10" s="30" t="n"/>
      <c r="X10" s="30" t="n"/>
      <c r="Y10" s="30" t="n"/>
      <c r="Z10" s="30" t="inlineStr">
        <is>
          <t>R</t>
        </is>
      </c>
      <c r="AA10" s="30" t="n"/>
      <c r="AB10" s="30" t="n"/>
      <c r="AC10" s="30" t="inlineStr">
        <is>
          <t>S</t>
        </is>
      </c>
    </row>
    <row r="11" ht="42" customHeight="1">
      <c r="A11" s="29" t="inlineStr">
        <is>
          <t>EE1(b)</t>
        </is>
      </c>
      <c r="B11" s="29" t="inlineStr">
        <is>
          <t>Indicator</t>
        </is>
      </c>
      <c r="C11" s="29" t="inlineStr">
        <is>
          <t>Education and research</t>
        </is>
      </c>
      <c r="D11" s="29" t="inlineStr">
        <is>
          <t>Exceptional education</t>
        </is>
      </c>
      <c r="E11" s="29" t="inlineStr">
        <is>
          <t>Pilots of possible approaches for understanding and developing students’ sustainability self-efficacy</t>
        </is>
      </c>
      <c r="F11" s="29" t="inlineStr">
        <is>
          <t>Qualitative</t>
        </is>
      </c>
      <c r="G11" s="29" t="inlineStr"/>
      <c r="I11" s="30" t="inlineStr">
        <is>
          <t>A and R</t>
        </is>
      </c>
      <c r="J11" s="30" t="inlineStr">
        <is>
          <t>R</t>
        </is>
      </c>
      <c r="K11" s="30" t="inlineStr">
        <is>
          <t>R</t>
        </is>
      </c>
      <c r="L11" s="30" t="inlineStr">
        <is>
          <t>R</t>
        </is>
      </c>
      <c r="M11" s="30" t="inlineStr">
        <is>
          <t>R</t>
        </is>
      </c>
      <c r="N11" s="30" t="inlineStr">
        <is>
          <t>A and R</t>
        </is>
      </c>
      <c r="O11" s="30" t="n"/>
      <c r="P11" s="30" t="inlineStr">
        <is>
          <t>R</t>
        </is>
      </c>
      <c r="Q11" s="30" t="n"/>
      <c r="R11" s="30" t="n"/>
      <c r="S11" s="30" t="n"/>
      <c r="T11" s="30" t="n"/>
      <c r="U11" s="30" t="n"/>
      <c r="V11" s="30" t="inlineStr">
        <is>
          <t>A and R</t>
        </is>
      </c>
      <c r="W11" s="30" t="n"/>
      <c r="X11" s="30" t="n"/>
      <c r="Y11" s="30" t="n"/>
      <c r="Z11" s="30" t="inlineStr">
        <is>
          <t>R</t>
        </is>
      </c>
      <c r="AA11" s="30" t="n"/>
      <c r="AB11" s="30" t="n"/>
      <c r="AC11" s="30" t="inlineStr">
        <is>
          <t>S</t>
        </is>
      </c>
    </row>
    <row r="12" ht="42" customHeight="1">
      <c r="A12" s="29" t="inlineStr">
        <is>
          <t>EE1(c)</t>
        </is>
      </c>
      <c r="B12" s="29" t="inlineStr">
        <is>
          <t>Indicator</t>
        </is>
      </c>
      <c r="C12" s="29" t="inlineStr">
        <is>
          <t>Education and research</t>
        </is>
      </c>
      <c r="D12" s="29" t="inlineStr">
        <is>
          <t>Exceptional education</t>
        </is>
      </c>
      <c r="E12" s="29" t="inlineStr">
        <is>
          <t>Evidence of sustainability focused experiential and co curricular learning (eg Wattle Fellowship; Melbourne Plus)</t>
        </is>
      </c>
      <c r="F12" s="29" t="inlineStr">
        <is>
          <t>Mixed</t>
        </is>
      </c>
      <c r="G12" s="29" t="inlineStr"/>
      <c r="I12" s="30" t="n"/>
      <c r="J12" s="30" t="n"/>
      <c r="K12" s="30" t="n"/>
      <c r="L12" s="30" t="n"/>
      <c r="M12" s="30" t="n"/>
      <c r="N12" s="30" t="inlineStr">
        <is>
          <t>A and R</t>
        </is>
      </c>
      <c r="O12" s="30" t="n"/>
      <c r="P12" s="30" t="inlineStr">
        <is>
          <t>R</t>
        </is>
      </c>
      <c r="Q12" s="30" t="n"/>
      <c r="R12" s="30" t="n"/>
      <c r="S12" s="30" t="n"/>
      <c r="T12" s="30" t="n"/>
      <c r="U12" s="30" t="n"/>
      <c r="V12" s="30" t="inlineStr">
        <is>
          <t>A and R</t>
        </is>
      </c>
      <c r="W12" s="30" t="n"/>
      <c r="X12" s="30" t="n"/>
      <c r="Y12" s="30" t="n"/>
      <c r="Z12" s="30" t="n"/>
      <c r="AA12" s="30" t="inlineStr">
        <is>
          <t>R</t>
        </is>
      </c>
      <c r="AB12" s="30" t="n"/>
      <c r="AC12" s="30" t="inlineStr">
        <is>
          <t>S</t>
        </is>
      </c>
    </row>
    <row r="13" ht="42" customHeight="1">
      <c r="A13" s="29" t="inlineStr">
        <is>
          <t>EE1(d)</t>
        </is>
      </c>
      <c r="B13" s="29" t="inlineStr">
        <is>
          <t>Indicator</t>
        </is>
      </c>
      <c r="C13" s="29" t="inlineStr">
        <is>
          <t>Education and research</t>
        </is>
      </c>
      <c r="D13" s="29" t="inlineStr">
        <is>
          <t>Exceptional education</t>
        </is>
      </c>
      <c r="E13" s="29" t="inlineStr">
        <is>
          <t>Alumni profiles demonstrating how graduates contribute to sustainability through their careers or communities.</t>
        </is>
      </c>
      <c r="F13" s="29" t="inlineStr">
        <is>
          <t>Mixed</t>
        </is>
      </c>
      <c r="G13" s="29" t="inlineStr">
        <is>
          <t>4b(i)</t>
        </is>
      </c>
      <c r="I13" s="30" t="n"/>
      <c r="J13" s="30" t="n"/>
      <c r="K13" s="30" t="n"/>
      <c r="L13" s="30" t="n"/>
      <c r="M13" s="30" t="n"/>
      <c r="N13" s="30" t="n"/>
      <c r="O13" s="30" t="n"/>
      <c r="P13" s="30" t="n"/>
      <c r="Q13" s="30" t="n"/>
      <c r="R13" s="30" t="n"/>
      <c r="S13" s="30" t="n"/>
      <c r="T13" s="30" t="n"/>
      <c r="U13" s="30" t="n"/>
      <c r="V13" s="30" t="inlineStr">
        <is>
          <t>A and R</t>
        </is>
      </c>
      <c r="W13" s="30" t="n"/>
      <c r="X13" s="30" t="n"/>
      <c r="Y13" s="30" t="n"/>
      <c r="Z13" s="30" t="n"/>
      <c r="AA13" s="30" t="inlineStr">
        <is>
          <t>R</t>
        </is>
      </c>
      <c r="AB13" s="30" t="n"/>
      <c r="AC13" s="30" t="inlineStr">
        <is>
          <t>S</t>
        </is>
      </c>
    </row>
    <row r="14">
      <c r="A14" s="27" t="inlineStr">
        <is>
          <t>TR</t>
        </is>
      </c>
      <c r="B14" s="27" t="inlineStr">
        <is>
          <t>Priority</t>
        </is>
      </c>
      <c r="C14" s="27" t="inlineStr"/>
      <c r="D14" s="27" t="inlineStr"/>
      <c r="E14" s="27" t="inlineStr">
        <is>
          <t>Transformational research</t>
        </is>
      </c>
      <c r="F14" s="27" t="n"/>
      <c r="G14" s="27" t="n"/>
      <c r="H14" s="27" t="n"/>
      <c r="I14" s="27" t="n"/>
      <c r="J14" s="27" t="n"/>
      <c r="K14" s="27" t="n"/>
      <c r="L14" s="27" t="n"/>
      <c r="M14" s="27" t="n"/>
      <c r="N14" s="27" t="n"/>
      <c r="O14" s="27" t="n"/>
      <c r="P14" s="27" t="n"/>
      <c r="Q14" s="27" t="n"/>
      <c r="R14" s="27" t="n"/>
      <c r="S14" s="27" t="n"/>
      <c r="T14" s="27" t="n"/>
      <c r="U14" s="27" t="n"/>
      <c r="V14" s="27" t="n"/>
      <c r="W14" s="27" t="n"/>
      <c r="X14" s="27" t="n"/>
      <c r="Y14" s="27" t="n"/>
      <c r="Z14" s="27" t="n"/>
      <c r="AA14" s="27" t="n"/>
      <c r="AB14" s="27" t="n"/>
      <c r="AC14" s="27" t="n"/>
    </row>
    <row r="15" ht="45" customHeight="1">
      <c r="A15" s="28" t="inlineStr">
        <is>
          <t>TR1</t>
        </is>
      </c>
      <c r="B15" s="28" t="inlineStr">
        <is>
          <t>Target</t>
        </is>
      </c>
      <c r="C15" s="28" t="inlineStr">
        <is>
          <t>Education and research</t>
        </is>
      </c>
      <c r="D15" s="28" t="inlineStr">
        <is>
          <t>Transformational research</t>
        </is>
      </c>
      <c r="E15" s="28" t="inlineStr">
        <is>
          <t>Utilise the expertise of the University’s researchers through mutually beneficial partnerships to help address the University’s operational sustainability challenges.</t>
        </is>
      </c>
    </row>
    <row r="16" ht="42" customHeight="1">
      <c r="A16" s="29" t="inlineStr">
        <is>
          <t>TR1(a)</t>
        </is>
      </c>
      <c r="B16" s="29" t="inlineStr">
        <is>
          <t>Indicator</t>
        </is>
      </c>
      <c r="C16" s="29" t="inlineStr">
        <is>
          <t>Education and research</t>
        </is>
      </c>
      <c r="D16" s="29" t="inlineStr">
        <is>
          <t>Transformational research</t>
        </is>
      </c>
      <c r="E16" s="29" t="inlineStr">
        <is>
          <t>Expert-reviewed evidence of researchers contributing to operational sustainability priorities through partnerships, advisory input, living labs, applied projects or decision-support</t>
        </is>
      </c>
      <c r="F16" s="29" t="inlineStr">
        <is>
          <t>Qualitative</t>
        </is>
      </c>
      <c r="G16" s="29" t="inlineStr">
        <is>
          <t>2a</t>
        </is>
      </c>
      <c r="I16" s="30" t="inlineStr">
        <is>
          <t>A and R</t>
        </is>
      </c>
      <c r="J16" s="30" t="inlineStr">
        <is>
          <t>R</t>
        </is>
      </c>
      <c r="K16" s="30" t="inlineStr">
        <is>
          <t>R</t>
        </is>
      </c>
      <c r="L16" s="30" t="inlineStr">
        <is>
          <t>R</t>
        </is>
      </c>
      <c r="M16" s="30" t="inlineStr">
        <is>
          <t>R</t>
        </is>
      </c>
      <c r="N16" s="30" t="inlineStr">
        <is>
          <t>A and R</t>
        </is>
      </c>
      <c r="O16" s="30" t="n"/>
      <c r="P16" s="30" t="inlineStr">
        <is>
          <t>R</t>
        </is>
      </c>
      <c r="Q16" s="30" t="n"/>
      <c r="R16" s="30" t="n"/>
      <c r="S16" s="30" t="n"/>
      <c r="T16" s="30" t="n"/>
      <c r="U16" s="30" t="n"/>
      <c r="V16" s="30" t="n"/>
      <c r="W16" s="30" t="n"/>
      <c r="X16" s="30" t="n"/>
      <c r="Y16" s="30" t="n"/>
      <c r="Z16" s="30" t="n"/>
      <c r="AA16" s="30" t="n"/>
      <c r="AB16" s="30" t="n"/>
      <c r="AC16" s="30" t="inlineStr">
        <is>
          <t>S</t>
        </is>
      </c>
    </row>
    <row r="17" ht="42" customHeight="1">
      <c r="A17" s="29" t="inlineStr">
        <is>
          <t>TR1(b)</t>
        </is>
      </c>
      <c r="B17" s="29" t="inlineStr">
        <is>
          <t>Indicator</t>
        </is>
      </c>
      <c r="C17" s="29" t="inlineStr">
        <is>
          <t>Education and research</t>
        </is>
      </c>
      <c r="D17" s="29" t="inlineStr">
        <is>
          <t>Transformational research</t>
        </is>
      </c>
      <c r="E17" s="29" t="inlineStr">
        <is>
          <t>Evidence of institutional pathways that enable ongoing collaboration between academic and professional staff</t>
        </is>
      </c>
      <c r="F17" s="29" t="inlineStr">
        <is>
          <t>Qualitative</t>
        </is>
      </c>
      <c r="G17" s="29" t="inlineStr"/>
      <c r="I17" s="30" t="n"/>
      <c r="J17" s="30" t="n"/>
      <c r="K17" s="30" t="n"/>
      <c r="L17" s="30" t="n"/>
      <c r="M17" s="30" t="n"/>
      <c r="N17" s="30" t="n"/>
      <c r="O17" s="30" t="n"/>
      <c r="P17" s="30" t="n"/>
      <c r="Q17" s="30" t="n"/>
      <c r="R17" s="30" t="n"/>
      <c r="S17" s="30" t="n"/>
      <c r="T17" s="30" t="n"/>
      <c r="U17" s="30" t="n"/>
      <c r="V17" s="30" t="inlineStr">
        <is>
          <t>A and R</t>
        </is>
      </c>
      <c r="W17" s="30" t="inlineStr">
        <is>
          <t>R</t>
        </is>
      </c>
      <c r="X17" s="30" t="n"/>
      <c r="Y17" s="30" t="n"/>
      <c r="Z17" s="30" t="n"/>
      <c r="AA17" s="30" t="n"/>
      <c r="AB17" s="30" t="n"/>
      <c r="AC17" s="30" t="inlineStr">
        <is>
          <t>S</t>
        </is>
      </c>
    </row>
    <row r="18" ht="42" customHeight="1">
      <c r="A18" s="29" t="inlineStr">
        <is>
          <t>TR1(c)</t>
        </is>
      </c>
      <c r="B18" s="29" t="inlineStr">
        <is>
          <t>Indicator</t>
        </is>
      </c>
      <c r="C18" s="29" t="inlineStr">
        <is>
          <t>Education and research</t>
        </is>
      </c>
      <c r="D18" s="29" t="inlineStr">
        <is>
          <t>Transformational research</t>
        </is>
      </c>
      <c r="E18" s="29" t="inlineStr">
        <is>
          <t>Expert assessment of the quality, relevance and continuity of these collaborations</t>
        </is>
      </c>
      <c r="F18" s="29" t="inlineStr">
        <is>
          <t>Qualitative</t>
        </is>
      </c>
      <c r="G18" s="29" t="inlineStr"/>
      <c r="I18" s="30" t="n"/>
      <c r="J18" s="30" t="n"/>
      <c r="K18" s="30" t="n"/>
      <c r="L18" s="30" t="n"/>
      <c r="M18" s="30" t="n"/>
      <c r="N18" s="30" t="n"/>
      <c r="O18" s="30" t="n"/>
      <c r="P18" s="30" t="n"/>
      <c r="Q18" s="30" t="n"/>
      <c r="R18" s="30" t="n"/>
      <c r="S18" s="30" t="n"/>
      <c r="T18" s="30" t="n"/>
      <c r="U18" s="30" t="n"/>
      <c r="V18" s="30" t="inlineStr">
        <is>
          <t>A and R</t>
        </is>
      </c>
      <c r="W18" s="30" t="inlineStr">
        <is>
          <t>R</t>
        </is>
      </c>
      <c r="X18" s="30" t="n"/>
      <c r="Y18" s="30" t="n"/>
      <c r="Z18" s="30" t="n"/>
      <c r="AA18" s="30" t="n"/>
      <c r="AB18" s="30" t="n"/>
      <c r="AC18" s="30" t="inlineStr">
        <is>
          <t>S</t>
        </is>
      </c>
    </row>
    <row r="19" ht="42" customHeight="1">
      <c r="A19" s="29" t="inlineStr">
        <is>
          <t>TR1(d)</t>
        </is>
      </c>
      <c r="B19" s="29" t="inlineStr">
        <is>
          <t>Indicator</t>
        </is>
      </c>
      <c r="C19" s="29" t="inlineStr">
        <is>
          <t>Education and research</t>
        </is>
      </c>
      <c r="D19" s="29" t="inlineStr">
        <is>
          <t>Transformational research</t>
        </is>
      </c>
      <c r="E19" s="29" t="inlineStr">
        <is>
          <t>Periodic feedback from participants on the effectiveness and mutual benefit of collaboration mechanisms.</t>
        </is>
      </c>
      <c r="F19" s="29" t="inlineStr">
        <is>
          <t>Qualitative</t>
        </is>
      </c>
      <c r="G19" s="29" t="inlineStr"/>
      <c r="I19" s="30" t="n"/>
      <c r="J19" s="30" t="n"/>
      <c r="K19" s="30" t="n"/>
      <c r="L19" s="30" t="n"/>
      <c r="M19" s="30" t="n"/>
      <c r="N19" s="30" t="n"/>
      <c r="O19" s="30" t="n"/>
      <c r="P19" s="30" t="n"/>
      <c r="Q19" s="30" t="n"/>
      <c r="R19" s="30" t="n"/>
      <c r="S19" s="30" t="n"/>
      <c r="T19" s="30" t="n"/>
      <c r="U19" s="30" t="n"/>
      <c r="V19" s="30" t="inlineStr">
        <is>
          <t>A and R</t>
        </is>
      </c>
      <c r="W19" s="30" t="inlineStr">
        <is>
          <t>R</t>
        </is>
      </c>
      <c r="X19" s="30" t="n"/>
      <c r="Y19" s="30" t="n"/>
      <c r="Z19" s="30" t="n"/>
      <c r="AA19" s="30" t="n"/>
      <c r="AB19" s="30" t="n"/>
      <c r="AC19" s="30" t="inlineStr">
        <is>
          <t>S</t>
        </is>
      </c>
    </row>
    <row r="20" ht="45" customHeight="1">
      <c r="A20" s="28" t="inlineStr">
        <is>
          <t>TR2</t>
        </is>
      </c>
      <c r="B20" s="28" t="inlineStr">
        <is>
          <t>Target</t>
        </is>
      </c>
      <c r="C20" s="28" t="inlineStr">
        <is>
          <t>Education and research</t>
        </is>
      </c>
      <c r="D20" s="28" t="inlineStr">
        <is>
          <t>Transformational research</t>
        </is>
      </c>
      <c r="E20" s="28" t="inlineStr">
        <is>
          <t>Deliver high-quality research and partnerships that contribute to sustainability outcomes and demonstrable societal benefit.</t>
        </is>
      </c>
    </row>
    <row r="21" ht="42" customHeight="1">
      <c r="A21" s="29" t="inlineStr">
        <is>
          <t>TR2(a)</t>
        </is>
      </c>
      <c r="B21" s="29" t="inlineStr">
        <is>
          <t>Indicator</t>
        </is>
      </c>
      <c r="C21" s="29" t="inlineStr">
        <is>
          <t>Education and research</t>
        </is>
      </c>
      <c r="D21" s="29" t="inlineStr">
        <is>
          <t>Transformational research</t>
        </is>
      </c>
      <c r="E21" s="29" t="inlineStr">
        <is>
          <t>Evidence of sustainability-related research impact across diverse pathways, could include policy, industry, community, practice, cultural and institutional outcomes</t>
        </is>
      </c>
      <c r="F21" s="29" t="inlineStr">
        <is>
          <t>Qualitative</t>
        </is>
      </c>
      <c r="G21" s="29" t="inlineStr">
        <is>
          <t>5b(i)</t>
        </is>
      </c>
      <c r="I21" s="30" t="inlineStr">
        <is>
          <t>A and R</t>
        </is>
      </c>
      <c r="J21" s="30" t="inlineStr">
        <is>
          <t>R</t>
        </is>
      </c>
      <c r="K21" s="30" t="inlineStr">
        <is>
          <t>R</t>
        </is>
      </c>
      <c r="L21" s="30" t="inlineStr">
        <is>
          <t>R</t>
        </is>
      </c>
      <c r="M21" s="30" t="inlineStr">
        <is>
          <t>R</t>
        </is>
      </c>
      <c r="N21" s="30" t="n"/>
      <c r="O21" s="30" t="n"/>
      <c r="P21" s="30" t="n"/>
      <c r="Q21" s="30" t="n"/>
      <c r="R21" s="30" t="n"/>
      <c r="S21" s="30" t="n"/>
      <c r="T21" s="30" t="n"/>
      <c r="U21" s="30" t="n"/>
      <c r="V21" s="30" t="inlineStr">
        <is>
          <t>A and R</t>
        </is>
      </c>
      <c r="W21" s="30" t="n"/>
      <c r="X21" s="30" t="inlineStr">
        <is>
          <t>R</t>
        </is>
      </c>
      <c r="Y21" s="30" t="n"/>
      <c r="Z21" s="30" t="n"/>
      <c r="AA21" s="30" t="n"/>
      <c r="AB21" s="30" t="n"/>
      <c r="AC21" s="30" t="inlineStr">
        <is>
          <t>S</t>
        </is>
      </c>
    </row>
    <row r="22" ht="42" customHeight="1">
      <c r="A22" s="29" t="inlineStr">
        <is>
          <t>TR2(b)</t>
        </is>
      </c>
      <c r="B22" s="29" t="inlineStr">
        <is>
          <t>Indicator</t>
        </is>
      </c>
      <c r="C22" s="29" t="inlineStr">
        <is>
          <t>Education and research</t>
        </is>
      </c>
      <c r="D22" s="29" t="inlineStr">
        <is>
          <t>Transformational research</t>
        </is>
      </c>
      <c r="E22" s="29" t="inlineStr">
        <is>
          <t>Documented progress of relevant strategic initiatives, including Impact Accelerators</t>
        </is>
      </c>
      <c r="F22" s="29" t="inlineStr">
        <is>
          <t>Quantitative</t>
        </is>
      </c>
      <c r="G22" s="29" t="inlineStr"/>
      <c r="I22" s="30" t="n"/>
      <c r="J22" s="30" t="n"/>
      <c r="K22" s="30" t="n"/>
      <c r="L22" s="30" t="n"/>
      <c r="M22" s="30" t="n"/>
      <c r="N22" s="30" t="n"/>
      <c r="O22" s="30" t="n"/>
      <c r="P22" s="30" t="n"/>
      <c r="Q22" s="30" t="n"/>
      <c r="R22" s="30" t="n"/>
      <c r="S22" s="30" t="n"/>
      <c r="T22" s="30" t="n"/>
      <c r="U22" s="30" t="n"/>
      <c r="V22" s="30" t="inlineStr">
        <is>
          <t>A and R</t>
        </is>
      </c>
      <c r="W22" s="30" t="inlineStr">
        <is>
          <t>R (quant)</t>
        </is>
      </c>
      <c r="X22" s="30" t="n"/>
      <c r="Y22" s="30" t="n"/>
      <c r="Z22" s="30" t="n"/>
      <c r="AA22" s="30" t="n"/>
      <c r="AB22" s="30" t="n"/>
      <c r="AC22" s="30" t="inlineStr">
        <is>
          <t>S</t>
        </is>
      </c>
    </row>
    <row r="23" ht="42" customHeight="1">
      <c r="A23" s="29" t="inlineStr">
        <is>
          <t>TR2(c)</t>
        </is>
      </c>
      <c r="B23" s="29" t="inlineStr">
        <is>
          <t>Indicator</t>
        </is>
      </c>
      <c r="C23" s="29" t="inlineStr">
        <is>
          <t>Education and research</t>
        </is>
      </c>
      <c r="D23" s="29" t="inlineStr">
        <is>
          <t>Transformational research</t>
        </is>
      </c>
      <c r="E23" s="29" t="inlineStr">
        <is>
          <t>Expert-reviewed summary of sustainability-related research outputs, outcomes and influence using available institutional evidence sources</t>
        </is>
      </c>
      <c r="F23" s="29" t="inlineStr">
        <is>
          <t>Mixed</t>
        </is>
      </c>
      <c r="G23" s="29" t="inlineStr"/>
      <c r="I23" s="30" t="n"/>
      <c r="J23" s="30" t="n"/>
      <c r="K23" s="30" t="n"/>
      <c r="L23" s="30" t="n"/>
      <c r="M23" s="30" t="n"/>
      <c r="N23" s="30" t="n"/>
      <c r="O23" s="30" t="n"/>
      <c r="P23" s="30" t="n"/>
      <c r="Q23" s="30" t="n"/>
      <c r="R23" s="30" t="n"/>
      <c r="S23" s="30" t="n"/>
      <c r="T23" s="30" t="n"/>
      <c r="U23" s="30" t="n"/>
      <c r="V23" s="30" t="inlineStr">
        <is>
          <t>A and R</t>
        </is>
      </c>
      <c r="W23" s="30" t="inlineStr">
        <is>
          <t>R</t>
        </is>
      </c>
      <c r="X23" s="30" t="n"/>
      <c r="Y23" s="30" t="n"/>
      <c r="Z23" s="30" t="n"/>
      <c r="AA23" s="30" t="n"/>
      <c r="AB23" s="30" t="n"/>
      <c r="AC23" s="30" t="inlineStr">
        <is>
          <t>S</t>
        </is>
      </c>
    </row>
    <row r="24" ht="42" customHeight="1">
      <c r="A24" s="29" t="inlineStr">
        <is>
          <t>TR2(d)</t>
        </is>
      </c>
      <c r="B24" s="29" t="inlineStr">
        <is>
          <t>Indicator</t>
        </is>
      </c>
      <c r="C24" s="29" t="inlineStr">
        <is>
          <t>Education and research</t>
        </is>
      </c>
      <c r="D24" s="29" t="inlineStr">
        <is>
          <t>Transformational research</t>
        </is>
      </c>
      <c r="E24" s="29" t="inlineStr">
        <is>
          <t>Case-based evidence demonstrating how research has contributed to meaningful sustainability outcomes.</t>
        </is>
      </c>
      <c r="F24" s="29" t="inlineStr">
        <is>
          <t>Qualitative</t>
        </is>
      </c>
      <c r="G24" s="29" t="inlineStr">
        <is>
          <t>5b(i)</t>
        </is>
      </c>
      <c r="I24" s="30" t="inlineStr">
        <is>
          <t>A and R</t>
        </is>
      </c>
      <c r="J24" s="30" t="inlineStr">
        <is>
          <t>R</t>
        </is>
      </c>
      <c r="K24" s="30" t="inlineStr">
        <is>
          <t>R</t>
        </is>
      </c>
      <c r="L24" s="30" t="inlineStr">
        <is>
          <t>R</t>
        </is>
      </c>
      <c r="M24" s="30" t="inlineStr">
        <is>
          <t>R</t>
        </is>
      </c>
      <c r="N24" s="30" t="inlineStr">
        <is>
          <t>A and R</t>
        </is>
      </c>
      <c r="O24" s="30" t="n"/>
      <c r="P24" s="30" t="inlineStr">
        <is>
          <t>R</t>
        </is>
      </c>
      <c r="Q24" s="30" t="n"/>
      <c r="R24" s="30" t="n"/>
      <c r="S24" s="30" t="n"/>
      <c r="T24" s="30" t="n"/>
      <c r="U24" s="30" t="n"/>
      <c r="V24" s="30" t="n"/>
      <c r="W24" s="30" t="n"/>
      <c r="X24" s="30" t="n"/>
      <c r="Y24" s="30" t="n"/>
      <c r="Z24" s="30" t="n"/>
      <c r="AA24" s="30" t="n"/>
      <c r="AB24" s="30" t="n"/>
      <c r="AC24" s="30" t="inlineStr">
        <is>
          <t>S</t>
        </is>
      </c>
    </row>
    <row r="25" ht="45" customHeight="1">
      <c r="A25" s="28" t="inlineStr">
        <is>
          <t>TR3</t>
        </is>
      </c>
      <c r="B25" s="28" t="inlineStr">
        <is>
          <t>Target</t>
        </is>
      </c>
      <c r="C25" s="28" t="inlineStr">
        <is>
          <t>Education and research</t>
        </is>
      </c>
      <c r="D25" s="28" t="inlineStr">
        <is>
          <t>Transformational research</t>
        </is>
      </c>
      <c r="E25" s="28" t="inlineStr">
        <is>
          <t>Embed sustainability within research systems, processes, capability and culture, so research is conducted responsibly, efficiently and with reduced environmental impact.</t>
        </is>
      </c>
    </row>
    <row r="26" ht="42" customHeight="1">
      <c r="A26" s="29" t="inlineStr">
        <is>
          <t>TR3(a)</t>
        </is>
      </c>
      <c r="B26" s="29" t="inlineStr">
        <is>
          <t>Indicator</t>
        </is>
      </c>
      <c r="C26" s="29" t="inlineStr">
        <is>
          <t>Education and research</t>
        </is>
      </c>
      <c r="D26" s="29" t="inlineStr">
        <is>
          <t>Transformational research</t>
        </is>
      </c>
      <c r="E26" s="29" t="inlineStr">
        <is>
          <t>Evidence that sustainability considerations are integrated into relevant research systems, planning processes, guidance, training, induction or support services</t>
        </is>
      </c>
      <c r="F26" s="29" t="inlineStr">
        <is>
          <t>Qualitative</t>
        </is>
      </c>
      <c r="G26" s="29" t="inlineStr">
        <is>
          <t>5c(ii)</t>
        </is>
      </c>
      <c r="I26" s="30" t="n"/>
      <c r="J26" s="30" t="n"/>
      <c r="K26" s="30" t="n"/>
      <c r="L26" s="30" t="n"/>
      <c r="M26" s="30" t="n"/>
      <c r="N26" s="30" t="n"/>
      <c r="O26" s="30" t="n"/>
      <c r="P26" s="30" t="n"/>
      <c r="Q26" s="30" t="n"/>
      <c r="R26" s="30" t="n"/>
      <c r="S26" s="30" t="n"/>
      <c r="T26" s="30" t="n"/>
      <c r="U26" s="30" t="n"/>
      <c r="V26" s="30" t="inlineStr">
        <is>
          <t>A and R</t>
        </is>
      </c>
      <c r="W26" s="30" t="inlineStr">
        <is>
          <t>R</t>
        </is>
      </c>
      <c r="X26" s="30" t="n"/>
      <c r="Y26" s="30" t="n"/>
      <c r="Z26" s="30" t="n"/>
      <c r="AA26" s="30" t="n"/>
      <c r="AB26" s="30" t="n"/>
      <c r="AC26" s="30" t="inlineStr">
        <is>
          <t>S</t>
        </is>
      </c>
    </row>
    <row r="27" ht="42" customHeight="1">
      <c r="A27" s="29" t="inlineStr">
        <is>
          <t>TR3(b)</t>
        </is>
      </c>
      <c r="B27" s="29" t="inlineStr">
        <is>
          <t>Indicator</t>
        </is>
      </c>
      <c r="C27" s="29" t="inlineStr">
        <is>
          <t>Education and research</t>
        </is>
      </c>
      <c r="D27" s="29" t="inlineStr">
        <is>
          <t>Transformational research</t>
        </is>
      </c>
      <c r="E27" s="29" t="inlineStr">
        <is>
          <t>Demonstrated examples of more sustainable research practices in laboratories, fieldwork, procurement, travel or infrastructure use</t>
        </is>
      </c>
      <c r="F27" s="29" t="inlineStr">
        <is>
          <t>Mixed</t>
        </is>
      </c>
      <c r="G27" s="29" t="inlineStr">
        <is>
          <t>5c(ii)</t>
        </is>
      </c>
      <c r="I27" s="30" t="inlineStr">
        <is>
          <t>A and R</t>
        </is>
      </c>
      <c r="J27" s="30" t="inlineStr">
        <is>
          <t>R</t>
        </is>
      </c>
      <c r="K27" s="30" t="inlineStr">
        <is>
          <t>R</t>
        </is>
      </c>
      <c r="L27" s="30" t="inlineStr">
        <is>
          <t>R</t>
        </is>
      </c>
      <c r="M27" s="30" t="inlineStr">
        <is>
          <t>R</t>
        </is>
      </c>
      <c r="N27" s="30" t="inlineStr">
        <is>
          <t>A and R</t>
        </is>
      </c>
      <c r="O27" s="30" t="n"/>
      <c r="P27" s="30" t="inlineStr">
        <is>
          <t>R</t>
        </is>
      </c>
      <c r="Q27" s="30" t="inlineStr">
        <is>
          <t>R</t>
        </is>
      </c>
      <c r="R27" s="30" t="n"/>
      <c r="S27" s="30" t="n"/>
      <c r="T27" s="30" t="n"/>
      <c r="U27" s="30" t="n"/>
      <c r="V27" s="30" t="inlineStr">
        <is>
          <t>A and R</t>
        </is>
      </c>
      <c r="W27" s="30" t="inlineStr">
        <is>
          <t>R (quant)</t>
        </is>
      </c>
      <c r="X27" s="30" t="n"/>
      <c r="Y27" s="30" t="n"/>
      <c r="Z27" s="30" t="n"/>
      <c r="AA27" s="30" t="n"/>
      <c r="AB27" s="30" t="n"/>
      <c r="AC27" s="30" t="inlineStr">
        <is>
          <t>S</t>
        </is>
      </c>
    </row>
    <row r="28" ht="42" customHeight="1">
      <c r="A28" s="29" t="inlineStr">
        <is>
          <t>TR3(c)</t>
        </is>
      </c>
      <c r="B28" s="29" t="inlineStr">
        <is>
          <t>Indicator</t>
        </is>
      </c>
      <c r="C28" s="29" t="inlineStr">
        <is>
          <t>Education and research</t>
        </is>
      </c>
      <c r="D28" s="29" t="inlineStr">
        <is>
          <t>Transformational research</t>
        </is>
      </c>
      <c r="E28" s="29" t="inlineStr">
        <is>
          <t>Evidence of progress in sustainability-related research culture, capability and awareness, informed by periodic staff and graduate researcher surveys</t>
        </is>
      </c>
      <c r="F28" s="29" t="inlineStr">
        <is>
          <t>Qualitative</t>
        </is>
      </c>
      <c r="G28" s="29" t="inlineStr"/>
      <c r="I28" s="30" t="n"/>
      <c r="J28" s="30" t="n"/>
      <c r="K28" s="30" t="n"/>
      <c r="L28" s="30" t="n"/>
      <c r="M28" s="30" t="n"/>
      <c r="N28" s="30" t="n"/>
      <c r="O28" s="30" t="n"/>
      <c r="P28" s="30" t="n"/>
      <c r="Q28" s="30" t="n"/>
      <c r="R28" s="30" t="n"/>
      <c r="S28" s="30" t="n"/>
      <c r="T28" s="30" t="n"/>
      <c r="U28" s="30" t="n"/>
      <c r="V28" s="30" t="inlineStr">
        <is>
          <t>A and R</t>
        </is>
      </c>
      <c r="W28" s="30" t="inlineStr">
        <is>
          <t>R</t>
        </is>
      </c>
      <c r="X28" s="30" t="n"/>
      <c r="Y28" s="30" t="n"/>
      <c r="Z28" s="30" t="n"/>
      <c r="AA28" s="30" t="n"/>
      <c r="AB28" s="30" t="n"/>
      <c r="AC28" s="30" t="inlineStr">
        <is>
          <t>S</t>
        </is>
      </c>
    </row>
    <row r="29" ht="42" customHeight="1">
      <c r="A29" s="29" t="inlineStr">
        <is>
          <t>TR3(d)</t>
        </is>
      </c>
      <c r="B29" s="29" t="inlineStr">
        <is>
          <t>Indicator</t>
        </is>
      </c>
      <c r="C29" s="29" t="inlineStr">
        <is>
          <t>Education and research</t>
        </is>
      </c>
      <c r="D29" s="29" t="inlineStr">
        <is>
          <t>Transformational research</t>
        </is>
      </c>
      <c r="E29" s="29" t="inlineStr">
        <is>
          <t>Expert assessment of progress in embedding sustainable research practices across the institution.</t>
        </is>
      </c>
      <c r="F29" s="29" t="inlineStr">
        <is>
          <t>Qualitative</t>
        </is>
      </c>
      <c r="G29" s="29" t="inlineStr"/>
      <c r="I29" s="30" t="n"/>
      <c r="J29" s="30" t="n"/>
      <c r="K29" s="30" t="n"/>
      <c r="L29" s="30" t="n"/>
      <c r="M29" s="30" t="n"/>
      <c r="N29" s="30" t="n"/>
      <c r="O29" s="30" t="n"/>
      <c r="P29" s="30" t="n"/>
      <c r="Q29" s="30" t="n"/>
      <c r="R29" s="30" t="n"/>
      <c r="S29" s="30" t="n"/>
      <c r="T29" s="30" t="n"/>
      <c r="U29" s="30" t="n"/>
      <c r="V29" s="30" t="inlineStr">
        <is>
          <t>A and R</t>
        </is>
      </c>
      <c r="W29" s="30" t="inlineStr">
        <is>
          <t>R</t>
        </is>
      </c>
      <c r="X29" s="30" t="n"/>
      <c r="Y29" s="30" t="n"/>
      <c r="Z29" s="30" t="n"/>
      <c r="AA29" s="30" t="n"/>
      <c r="AB29" s="30" t="n"/>
      <c r="AC29" s="30" t="inlineStr">
        <is>
          <t>S</t>
        </is>
      </c>
    </row>
    <row r="30">
      <c r="A30" s="26" t="inlineStr">
        <is>
          <t>D2</t>
        </is>
      </c>
      <c r="B30" s="26" t="inlineStr">
        <is>
          <t>Domain</t>
        </is>
      </c>
      <c r="C30" s="26" t="inlineStr"/>
      <c r="D30" s="26" t="inlineStr"/>
      <c r="E30" s="26" t="inlineStr">
        <is>
          <t>Sustainability leadership</t>
        </is>
      </c>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t="n"/>
      <c r="AA30" s="26" t="n"/>
      <c r="AB30" s="26" t="n"/>
      <c r="AC30" s="26" t="n"/>
    </row>
    <row r="31">
      <c r="A31" s="27" t="inlineStr">
        <is>
          <t>CL</t>
        </is>
      </c>
      <c r="B31" s="27" t="inlineStr">
        <is>
          <t>Priority</t>
        </is>
      </c>
      <c r="C31" s="27" t="inlineStr"/>
      <c r="D31" s="27" t="inlineStr"/>
      <c r="E31" s="27" t="inlineStr">
        <is>
          <t>Climate leadership</t>
        </is>
      </c>
      <c r="F31" s="27" t="n"/>
      <c r="G31" s="27" t="n"/>
      <c r="H31" s="27" t="n"/>
      <c r="I31" s="27" t="n"/>
      <c r="J31" s="27" t="n"/>
      <c r="K31" s="27" t="n"/>
      <c r="L31" s="27" t="n"/>
      <c r="M31" s="27" t="n"/>
      <c r="N31" s="27" t="n"/>
      <c r="O31" s="27" t="n"/>
      <c r="P31" s="27" t="n"/>
      <c r="Q31" s="27" t="n"/>
      <c r="R31" s="27" t="n"/>
      <c r="S31" s="27" t="n"/>
      <c r="T31" s="27" t="n"/>
      <c r="U31" s="27" t="n"/>
      <c r="V31" s="27" t="n"/>
      <c r="W31" s="27" t="n"/>
      <c r="X31" s="27" t="n"/>
      <c r="Y31" s="27" t="n"/>
      <c r="Z31" s="27" t="n"/>
      <c r="AA31" s="27" t="n"/>
      <c r="AB31" s="27" t="n"/>
      <c r="AC31" s="27" t="n"/>
    </row>
    <row r="32" ht="45" customHeight="1">
      <c r="A32" s="28" t="inlineStr">
        <is>
          <t>CL1</t>
        </is>
      </c>
      <c r="B32" s="28" t="inlineStr">
        <is>
          <t>Target</t>
        </is>
      </c>
      <c r="C32" s="28" t="inlineStr">
        <is>
          <t>Sustainability leadership</t>
        </is>
      </c>
      <c r="D32" s="28" t="inlineStr">
        <is>
          <t>Climate leadership</t>
        </is>
      </c>
      <c r="E32" s="28"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row>
    <row r="33" ht="42" customHeight="1">
      <c r="A33" s="29" t="inlineStr">
        <is>
          <t>CL1(a)</t>
        </is>
      </c>
      <c r="B33" s="29" t="inlineStr">
        <is>
          <t>Indicator</t>
        </is>
      </c>
      <c r="C33" s="29" t="inlineStr">
        <is>
          <t>Sustainability leadership</t>
        </is>
      </c>
      <c r="D33" s="29" t="inlineStr">
        <is>
          <t>Climate leadership</t>
        </is>
      </c>
      <c r="E33" s="29" t="inlineStr">
        <is>
          <t>Annual Greenhouse Gas Inventory (including emissions scopes 1, 2 and 3) demonstrates carbon emission reductions, including maintaining procurement of 100% renewable electricity for all scope 2 sources[1]</t>
        </is>
      </c>
      <c r="F33" s="29" t="inlineStr">
        <is>
          <t>Quantitative</t>
        </is>
      </c>
      <c r="G33" s="29" t="inlineStr"/>
      <c r="I33" s="30" t="n"/>
      <c r="J33" s="30" t="n"/>
      <c r="K33" s="30" t="n"/>
      <c r="L33" s="30" t="n"/>
      <c r="M33" s="30" t="n"/>
      <c r="N33" s="30" t="inlineStr">
        <is>
          <t>A and R</t>
        </is>
      </c>
      <c r="O33" s="30" t="n"/>
      <c r="P33" s="30" t="n"/>
      <c r="Q33" s="30" t="n"/>
      <c r="R33" s="30" t="n"/>
      <c r="S33" s="30" t="inlineStr">
        <is>
          <t>R (quant)</t>
        </is>
      </c>
      <c r="T33" s="30" t="n"/>
      <c r="U33" s="30" t="n"/>
      <c r="V33" s="30" t="n"/>
      <c r="W33" s="30" t="n"/>
      <c r="X33" s="30" t="n"/>
      <c r="Y33" s="30" t="n"/>
      <c r="Z33" s="30" t="n"/>
      <c r="AA33" s="30" t="n"/>
      <c r="AB33" s="30" t="n"/>
      <c r="AC33" s="30" t="inlineStr">
        <is>
          <t>S</t>
        </is>
      </c>
    </row>
    <row r="34" ht="42" customHeight="1">
      <c r="A34" s="29" t="inlineStr">
        <is>
          <t>CL1(b)</t>
        </is>
      </c>
      <c r="B34" s="29" t="inlineStr">
        <is>
          <t>Indicator</t>
        </is>
      </c>
      <c r="C34" s="29" t="inlineStr">
        <is>
          <t>Sustainability leadership</t>
        </is>
      </c>
      <c r="D34" s="29" t="inlineStr">
        <is>
          <t>Climate leadership</t>
        </is>
      </c>
      <c r="E34" s="29" t="inlineStr">
        <is>
          <t>Development of Greenhouse Gas  intensity metrics</t>
        </is>
      </c>
      <c r="F34" s="29" t="inlineStr">
        <is>
          <t>Quantitative</t>
        </is>
      </c>
      <c r="G34" s="29" t="inlineStr"/>
      <c r="I34" s="30" t="n"/>
      <c r="J34" s="30" t="n"/>
      <c r="K34" s="30" t="n"/>
      <c r="L34" s="30" t="n"/>
      <c r="M34" s="30" t="n"/>
      <c r="N34" s="30" t="inlineStr">
        <is>
          <t>A and R</t>
        </is>
      </c>
      <c r="O34" s="30" t="n"/>
      <c r="P34" s="30" t="n"/>
      <c r="Q34" s="30" t="n"/>
      <c r="R34" s="30" t="n"/>
      <c r="S34" s="30" t="inlineStr">
        <is>
          <t>R (quant)</t>
        </is>
      </c>
      <c r="T34" s="30" t="n"/>
      <c r="U34" s="30" t="n"/>
      <c r="V34" s="30" t="n"/>
      <c r="W34" s="30" t="n"/>
      <c r="X34" s="30" t="n"/>
      <c r="Y34" s="30" t="n"/>
      <c r="Z34" s="30" t="n"/>
      <c r="AA34" s="30" t="n"/>
      <c r="AB34" s="30" t="n"/>
      <c r="AC34" s="30" t="inlineStr">
        <is>
          <t>S</t>
        </is>
      </c>
    </row>
    <row r="35" ht="42" customHeight="1">
      <c r="A35" s="29" t="inlineStr">
        <is>
          <t>CL1(c)</t>
        </is>
      </c>
      <c r="B35" s="29" t="inlineStr">
        <is>
          <t>Indicator</t>
        </is>
      </c>
      <c r="C35" s="29" t="inlineStr">
        <is>
          <t>Sustainability leadership</t>
        </is>
      </c>
      <c r="D35" s="29" t="inlineStr">
        <is>
          <t>Climate leadership</t>
        </is>
      </c>
      <c r="E35" s="29" t="inlineStr">
        <is>
          <t>Review of Climate Leadership targets by 2030.[2]</t>
        </is>
      </c>
      <c r="F35" s="29" t="inlineStr">
        <is>
          <t>Mixed</t>
        </is>
      </c>
      <c r="G35" s="29" t="inlineStr"/>
      <c r="I35" s="30" t="n"/>
      <c r="J35" s="30" t="n"/>
      <c r="K35" s="30" t="n"/>
      <c r="L35" s="30" t="n"/>
      <c r="M35" s="30" t="n"/>
      <c r="N35" s="30" t="inlineStr">
        <is>
          <t>A and R</t>
        </is>
      </c>
      <c r="O35" s="30" t="n"/>
      <c r="P35" s="30" t="inlineStr">
        <is>
          <t>R</t>
        </is>
      </c>
      <c r="Q35" s="30" t="n"/>
      <c r="R35" s="30" t="n"/>
      <c r="S35" s="30" t="n"/>
      <c r="T35" s="30" t="n"/>
      <c r="U35" s="30" t="n"/>
      <c r="V35" s="30" t="n"/>
      <c r="W35" s="30" t="n"/>
      <c r="X35" s="30" t="n"/>
      <c r="Y35" s="30" t="n"/>
      <c r="Z35" s="30" t="n"/>
      <c r="AA35" s="30" t="n"/>
      <c r="AB35" s="30" t="n"/>
      <c r="AC35" s="30" t="inlineStr">
        <is>
          <t>S</t>
        </is>
      </c>
    </row>
    <row r="36" ht="45" customHeight="1">
      <c r="A36" s="28" t="inlineStr">
        <is>
          <t>CL2</t>
        </is>
      </c>
      <c r="B36" s="28" t="inlineStr">
        <is>
          <t>Target</t>
        </is>
      </c>
      <c r="C36" s="28" t="inlineStr">
        <is>
          <t>Sustainability leadership</t>
        </is>
      </c>
      <c r="D36" s="28" t="inlineStr">
        <is>
          <t>Climate leadership</t>
        </is>
      </c>
      <c r="E36" s="28" t="inlineStr">
        <is>
          <t>Develop understanding of our research and education programs that contribute to accelerating global decarbonisation and our own climate transition.</t>
        </is>
      </c>
    </row>
    <row r="37" ht="42" customHeight="1">
      <c r="A37" s="29" t="inlineStr">
        <is>
          <t>CL2(a)</t>
        </is>
      </c>
      <c r="B37" s="29" t="inlineStr">
        <is>
          <t>Indicator</t>
        </is>
      </c>
      <c r="C37" s="29" t="inlineStr">
        <is>
          <t>Sustainability leadership</t>
        </is>
      </c>
      <c r="D37" s="29" t="inlineStr">
        <is>
          <t>Climate leadership</t>
        </is>
      </c>
      <c r="E37" s="29" t="inlineStr">
        <is>
          <t>By 2028, develop and document institutional mapping of research and education activities that are designed to contribute to global decarbonisation</t>
        </is>
      </c>
      <c r="F37" s="29" t="inlineStr">
        <is>
          <t>Mixed</t>
        </is>
      </c>
      <c r="G37" s="29" t="inlineStr"/>
      <c r="I37" s="30" t="n"/>
      <c r="J37" s="30" t="n"/>
      <c r="K37" s="30" t="n"/>
      <c r="L37" s="30" t="n"/>
      <c r="M37" s="30" t="n"/>
      <c r="N37" s="30" t="n"/>
      <c r="O37" s="30" t="n"/>
      <c r="P37" s="30" t="n"/>
      <c r="Q37" s="30" t="n"/>
      <c r="R37" s="30" t="n"/>
      <c r="S37" s="30" t="n"/>
      <c r="T37" s="30" t="n"/>
      <c r="U37" s="30" t="n"/>
      <c r="V37" s="30" t="inlineStr">
        <is>
          <t>A and R</t>
        </is>
      </c>
      <c r="W37" s="30" t="n"/>
      <c r="X37" s="30" t="inlineStr">
        <is>
          <t>R</t>
        </is>
      </c>
      <c r="Y37" s="30" t="n"/>
      <c r="Z37" s="30" t="n"/>
      <c r="AA37" s="30" t="n"/>
      <c r="AB37" s="30" t="n"/>
      <c r="AC37" s="30" t="inlineStr">
        <is>
          <t>R (compile)</t>
        </is>
      </c>
    </row>
    <row r="38" ht="42" customHeight="1">
      <c r="A38" s="29" t="inlineStr">
        <is>
          <t>CL2(b)</t>
        </is>
      </c>
      <c r="B38" s="29" t="inlineStr">
        <is>
          <t>Indicator</t>
        </is>
      </c>
      <c r="C38" s="29" t="inlineStr">
        <is>
          <t>Sustainability leadership</t>
        </is>
      </c>
      <c r="D38" s="29" t="inlineStr">
        <is>
          <t>Climate leadership</t>
        </is>
      </c>
      <c r="E38" s="29" t="inlineStr">
        <is>
          <t>Prioritised pipeline of decarbonisation focused research and education opportunities aligned with University emissions reduction priorities from 2028</t>
        </is>
      </c>
      <c r="F38" s="29" t="inlineStr">
        <is>
          <t>Quantitative</t>
        </is>
      </c>
      <c r="G38" s="29" t="inlineStr"/>
      <c r="I38" s="30" t="n"/>
      <c r="J38" s="30" t="n"/>
      <c r="K38" s="30" t="n"/>
      <c r="L38" s="30" t="n"/>
      <c r="M38" s="30" t="n"/>
      <c r="N38" s="30" t="n"/>
      <c r="O38" s="30" t="n"/>
      <c r="P38" s="30" t="n"/>
      <c r="Q38" s="30" t="n"/>
      <c r="R38" s="30" t="n"/>
      <c r="S38" s="30" t="n"/>
      <c r="T38" s="30" t="n"/>
      <c r="U38" s="30" t="n"/>
      <c r="V38" s="30" t="n"/>
      <c r="W38" s="30" t="n"/>
      <c r="X38" s="30" t="n"/>
      <c r="Y38" s="30" t="n"/>
      <c r="Z38" s="30" t="n"/>
      <c r="AA38" s="30" t="n"/>
      <c r="AB38" s="30" t="n"/>
      <c r="AC38" s="30" t="inlineStr">
        <is>
          <t>R (compile)</t>
        </is>
      </c>
    </row>
    <row r="39" ht="42" customHeight="1">
      <c r="A39" s="29" t="inlineStr">
        <is>
          <t>CL2(c)</t>
        </is>
      </c>
      <c r="B39" s="29" t="inlineStr">
        <is>
          <t>Indicator</t>
        </is>
      </c>
      <c r="C39" s="29" t="inlineStr">
        <is>
          <t>Sustainability leadership</t>
        </is>
      </c>
      <c r="D39" s="29" t="inlineStr">
        <is>
          <t>Climate leadership</t>
        </is>
      </c>
      <c r="E39" s="29" t="inlineStr">
        <is>
          <t>Ongoing communications that evidence the University’s climate action, research and learning to inform policy, sector and community decarbonisation efforts.</t>
        </is>
      </c>
      <c r="F39" s="29" t="inlineStr">
        <is>
          <t>Mixed</t>
        </is>
      </c>
      <c r="G39" s="29" t="inlineStr"/>
      <c r="I39" s="30" t="n"/>
      <c r="J39" s="30" t="n"/>
      <c r="K39" s="30" t="n"/>
      <c r="L39" s="30" t="n"/>
      <c r="M39" s="30" t="n"/>
      <c r="N39" s="30" t="n"/>
      <c r="O39" s="30" t="n"/>
      <c r="P39" s="30" t="n"/>
      <c r="Q39" s="30" t="n"/>
      <c r="R39" s="30" t="n"/>
      <c r="S39" s="30" t="n"/>
      <c r="T39" s="30" t="n"/>
      <c r="U39" s="30" t="n"/>
      <c r="V39" s="30" t="inlineStr">
        <is>
          <t>A and R</t>
        </is>
      </c>
      <c r="W39" s="30" t="n"/>
      <c r="X39" s="30" t="inlineStr">
        <is>
          <t>R</t>
        </is>
      </c>
      <c r="Y39" s="30" t="n"/>
      <c r="Z39" s="30" t="n"/>
      <c r="AA39" s="30" t="n"/>
      <c r="AB39" s="30" t="n"/>
      <c r="AC39" s="30" t="inlineStr">
        <is>
          <t>R (compile)</t>
        </is>
      </c>
    </row>
    <row r="40" ht="45" customHeight="1">
      <c r="A40" s="28" t="inlineStr">
        <is>
          <t>CL3</t>
        </is>
      </c>
      <c r="B40" s="28" t="inlineStr">
        <is>
          <t>Target</t>
        </is>
      </c>
      <c r="C40" s="28" t="inlineStr">
        <is>
          <t>Sustainability leadership</t>
        </is>
      </c>
      <c r="D40" s="28" t="inlineStr">
        <is>
          <t>Climate leadership</t>
        </is>
      </c>
      <c r="E40" s="28" t="inlineStr">
        <is>
          <t>Reach and maintain high levels of climate-change resilience maturity</t>
        </is>
      </c>
    </row>
    <row r="41" ht="42" customHeight="1">
      <c r="A41" s="29" t="inlineStr">
        <is>
          <t>CL3(a)</t>
        </is>
      </c>
      <c r="B41" s="29" t="inlineStr">
        <is>
          <t>Indicator</t>
        </is>
      </c>
      <c r="C41" s="29" t="inlineStr">
        <is>
          <t>Sustainability leadership</t>
        </is>
      </c>
      <c r="D41" s="29" t="inlineStr">
        <is>
          <t>Climate leadership</t>
        </is>
      </c>
      <c r="E41" s="29"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41" s="29" t="inlineStr">
        <is>
          <t>Mixed</t>
        </is>
      </c>
      <c r="G41" s="29" t="inlineStr"/>
      <c r="I41" s="30" t="n"/>
      <c r="J41" s="30" t="n"/>
      <c r="K41" s="30" t="n"/>
      <c r="L41" s="30" t="n"/>
      <c r="M41" s="30" t="n"/>
      <c r="N41" s="30" t="inlineStr">
        <is>
          <t>A and R</t>
        </is>
      </c>
      <c r="O41" s="30" t="inlineStr">
        <is>
          <t>R</t>
        </is>
      </c>
      <c r="P41" s="30" t="n"/>
      <c r="Q41" s="30" t="n"/>
      <c r="R41" s="30" t="n"/>
      <c r="S41" s="30" t="n"/>
      <c r="T41" s="30" t="n"/>
      <c r="U41" s="30" t="inlineStr">
        <is>
          <t>R</t>
        </is>
      </c>
      <c r="V41" s="30" t="n"/>
      <c r="W41" s="30" t="n"/>
      <c r="X41" s="30" t="n"/>
      <c r="Y41" s="30" t="n"/>
      <c r="Z41" s="30" t="n"/>
      <c r="AA41" s="30" t="n"/>
      <c r="AB41" s="30" t="n"/>
      <c r="AC41" s="30" t="inlineStr">
        <is>
          <t>S</t>
        </is>
      </c>
    </row>
    <row r="42">
      <c r="A42" s="27" t="inlineStr">
        <is>
          <t>NB</t>
        </is>
      </c>
      <c r="B42" s="27" t="inlineStr">
        <is>
          <t>Priority</t>
        </is>
      </c>
      <c r="C42" s="27" t="inlineStr"/>
      <c r="D42" s="27" t="inlineStr"/>
      <c r="E42" s="27" t="inlineStr">
        <is>
          <t>Nature and biodiversity</t>
        </is>
      </c>
      <c r="F42" s="27" t="n"/>
      <c r="G42" s="27" t="n"/>
      <c r="H42" s="27" t="n"/>
      <c r="I42" s="27" t="n"/>
      <c r="J42" s="27" t="n"/>
      <c r="K42" s="27" t="n"/>
      <c r="L42" s="27" t="n"/>
      <c r="M42" s="27" t="n"/>
      <c r="N42" s="27" t="n"/>
      <c r="O42" s="27" t="n"/>
      <c r="P42" s="27" t="n"/>
      <c r="Q42" s="27" t="n"/>
      <c r="R42" s="27" t="n"/>
      <c r="S42" s="27" t="n"/>
      <c r="T42" s="27" t="n"/>
      <c r="U42" s="27" t="n"/>
      <c r="V42" s="27" t="n"/>
      <c r="W42" s="27" t="n"/>
      <c r="X42" s="27" t="n"/>
      <c r="Y42" s="27" t="n"/>
      <c r="Z42" s="27" t="n"/>
      <c r="AA42" s="27" t="n"/>
      <c r="AB42" s="27" t="n"/>
      <c r="AC42" s="27" t="n"/>
    </row>
    <row r="43" ht="45" customHeight="1">
      <c r="A43" s="28" t="inlineStr">
        <is>
          <t>NB1</t>
        </is>
      </c>
      <c r="B43" s="28" t="inlineStr">
        <is>
          <t>Target</t>
        </is>
      </c>
      <c r="C43" s="28" t="inlineStr">
        <is>
          <t>Sustainability leadership</t>
        </is>
      </c>
      <c r="D43" s="28" t="inlineStr">
        <is>
          <t>Nature and biodiversity</t>
        </is>
      </c>
      <c r="E43" s="28" t="inlineStr">
        <is>
          <t>Achieve an increase of biodiversity relative to defined baseline years for each campus.</t>
        </is>
      </c>
    </row>
    <row r="44" ht="42" customHeight="1">
      <c r="A44" s="29" t="inlineStr">
        <is>
          <t>NB1(a)</t>
        </is>
      </c>
      <c r="B44" s="29" t="inlineStr">
        <is>
          <t>Indicator</t>
        </is>
      </c>
      <c r="C44" s="29" t="inlineStr">
        <is>
          <t>Sustainability leadership</t>
        </is>
      </c>
      <c r="D44" s="29" t="inlineStr">
        <is>
          <t>Nature and biodiversity</t>
        </is>
      </c>
      <c r="E44" s="29" t="inlineStr">
        <is>
          <t>Monitoring of biodiversity metrics from the Biodiversity Baseline Data Project</t>
        </is>
      </c>
      <c r="F44" s="29" t="inlineStr">
        <is>
          <t>Quantitative</t>
        </is>
      </c>
      <c r="G44" s="29" t="inlineStr"/>
      <c r="I44" s="30" t="n"/>
      <c r="J44" s="30" t="n"/>
      <c r="K44" s="30" t="n"/>
      <c r="L44" s="30" t="n"/>
      <c r="M44" s="30" t="n"/>
      <c r="N44" s="30" t="inlineStr">
        <is>
          <t>A and R</t>
        </is>
      </c>
      <c r="O44" s="30" t="n"/>
      <c r="P44" s="30" t="n"/>
      <c r="Q44" s="30" t="n"/>
      <c r="R44" s="30" t="n"/>
      <c r="S44" s="30" t="inlineStr">
        <is>
          <t>R (quant)</t>
        </is>
      </c>
      <c r="T44" s="30" t="n"/>
      <c r="U44" s="30" t="n"/>
      <c r="V44" s="30" t="n"/>
      <c r="W44" s="30" t="n"/>
      <c r="X44" s="30" t="n"/>
      <c r="Y44" s="30" t="n"/>
      <c r="Z44" s="30" t="n"/>
      <c r="AA44" s="30" t="n"/>
      <c r="AB44" s="30" t="n"/>
      <c r="AC44" s="30" t="inlineStr">
        <is>
          <t>S</t>
        </is>
      </c>
    </row>
    <row r="45" ht="42" customHeight="1">
      <c r="A45" s="29" t="inlineStr">
        <is>
          <t>NB1(b)</t>
        </is>
      </c>
      <c r="B45" s="29" t="inlineStr">
        <is>
          <t>Indicator</t>
        </is>
      </c>
      <c r="C45" s="29" t="inlineStr">
        <is>
          <t>Sustainability leadership</t>
        </is>
      </c>
      <c r="D45" s="29" t="inlineStr">
        <is>
          <t>Nature and biodiversity</t>
        </is>
      </c>
      <c r="E45" s="29" t="inlineStr">
        <is>
          <t>Size, health and diversity of remnant vegetation at the Dookie and Creswick campuses</t>
        </is>
      </c>
      <c r="F45" s="29" t="inlineStr">
        <is>
          <t>Mixed</t>
        </is>
      </c>
      <c r="G45" s="29" t="inlineStr"/>
      <c r="I45" s="30" t="n"/>
      <c r="J45" s="30" t="n"/>
      <c r="K45" s="30" t="n"/>
      <c r="L45" s="30" t="n"/>
      <c r="M45" s="30" t="n"/>
      <c r="N45" s="30" t="inlineStr">
        <is>
          <t>A and R</t>
        </is>
      </c>
      <c r="O45" s="30" t="n"/>
      <c r="P45" s="30" t="n"/>
      <c r="Q45" s="30" t="n"/>
      <c r="R45" s="30" t="n"/>
      <c r="S45" s="30" t="inlineStr">
        <is>
          <t>R</t>
        </is>
      </c>
      <c r="T45" s="30" t="n"/>
      <c r="U45" s="30" t="n"/>
      <c r="V45" s="30" t="n"/>
      <c r="W45" s="30" t="n"/>
      <c r="X45" s="30" t="n"/>
      <c r="Y45" s="30" t="n"/>
      <c r="Z45" s="30" t="n"/>
      <c r="AA45" s="30" t="n"/>
      <c r="AB45" s="30" t="n"/>
      <c r="AC45" s="30" t="inlineStr">
        <is>
          <t>S</t>
        </is>
      </c>
    </row>
    <row r="46" ht="42" customHeight="1">
      <c r="A46" s="29" t="inlineStr">
        <is>
          <t>NB1(c)</t>
        </is>
      </c>
      <c r="B46" s="29" t="inlineStr">
        <is>
          <t>Indicator</t>
        </is>
      </c>
      <c r="C46" s="29" t="inlineStr">
        <is>
          <t>Sustainability leadership</t>
        </is>
      </c>
      <c r="D46" s="29" t="inlineStr">
        <is>
          <t>Nature and biodiversity</t>
        </is>
      </c>
      <c r="E46" s="29" t="inlineStr">
        <is>
          <t>Defined quality measurement framework</t>
        </is>
      </c>
      <c r="F46" s="29" t="inlineStr">
        <is>
          <t>Mixed</t>
        </is>
      </c>
      <c r="G46" s="29" t="inlineStr"/>
      <c r="I46" s="30" t="n"/>
      <c r="J46" s="30" t="n"/>
      <c r="K46" s="30" t="n"/>
      <c r="L46" s="30" t="n"/>
      <c r="M46" s="30" t="n"/>
      <c r="N46" s="30" t="inlineStr">
        <is>
          <t>A and R</t>
        </is>
      </c>
      <c r="O46" s="30" t="n"/>
      <c r="P46" s="30" t="n"/>
      <c r="Q46" s="30" t="n"/>
      <c r="R46" s="30" t="n"/>
      <c r="S46" s="30" t="inlineStr">
        <is>
          <t>R</t>
        </is>
      </c>
      <c r="T46" s="30" t="n"/>
      <c r="U46" s="30" t="n"/>
      <c r="V46" s="30" t="n"/>
      <c r="W46" s="30" t="n"/>
      <c r="X46" s="30" t="n"/>
      <c r="Y46" s="30" t="n"/>
      <c r="Z46" s="30" t="n"/>
      <c r="AA46" s="30" t="n"/>
      <c r="AB46" s="30" t="n"/>
      <c r="AC46" s="30" t="inlineStr">
        <is>
          <t>S</t>
        </is>
      </c>
    </row>
    <row r="47" ht="42" customHeight="1">
      <c r="A47" s="29" t="inlineStr">
        <is>
          <t>NB1(d)</t>
        </is>
      </c>
      <c r="B47" s="29" t="inlineStr">
        <is>
          <t>Indicator</t>
        </is>
      </c>
      <c r="C47" s="29" t="inlineStr">
        <is>
          <t>Sustainability leadership</t>
        </is>
      </c>
      <c r="D47" s="29" t="inlineStr">
        <is>
          <t>Nature and biodiversity</t>
        </is>
      </c>
      <c r="E47" s="29" t="inlineStr">
        <is>
          <t>Defined and quantified campus connectivity</t>
        </is>
      </c>
      <c r="F47" s="29" t="inlineStr">
        <is>
          <t>Mixed</t>
        </is>
      </c>
      <c r="G47" s="29" t="inlineStr"/>
      <c r="I47" s="30" t="n"/>
      <c r="J47" s="30" t="n"/>
      <c r="K47" s="30" t="n"/>
      <c r="L47" s="30" t="n"/>
      <c r="M47" s="30" t="n"/>
      <c r="N47" s="30" t="inlineStr">
        <is>
          <t>A and R</t>
        </is>
      </c>
      <c r="O47" s="30" t="n"/>
      <c r="P47" s="30" t="n"/>
      <c r="Q47" s="30" t="n"/>
      <c r="R47" s="30" t="n"/>
      <c r="S47" s="30" t="inlineStr">
        <is>
          <t>R</t>
        </is>
      </c>
      <c r="T47" s="30" t="n"/>
      <c r="U47" s="30" t="n"/>
      <c r="V47" s="30" t="n"/>
      <c r="W47" s="30" t="n"/>
      <c r="X47" s="30" t="n"/>
      <c r="Y47" s="30" t="n"/>
      <c r="Z47" s="30" t="n"/>
      <c r="AA47" s="30" t="n"/>
      <c r="AB47" s="30" t="n"/>
      <c r="AC47" s="30" t="inlineStr">
        <is>
          <t>S</t>
        </is>
      </c>
    </row>
    <row r="48" ht="45" customHeight="1">
      <c r="A48" s="28" t="inlineStr">
        <is>
          <t>NB2</t>
        </is>
      </c>
      <c r="B48" s="28" t="inlineStr">
        <is>
          <t>Target</t>
        </is>
      </c>
      <c r="C48" s="28" t="inlineStr">
        <is>
          <t>Sustainability leadership</t>
        </is>
      </c>
      <c r="D48" s="28" t="inlineStr">
        <is>
          <t>Nature and biodiversity</t>
        </is>
      </c>
      <c r="E48" s="28" t="inlineStr">
        <is>
          <t>Improve our understanding of our supply chain impacts on nature.</t>
        </is>
      </c>
    </row>
    <row r="49" ht="42" customHeight="1">
      <c r="A49" s="29" t="inlineStr">
        <is>
          <t>NB2(a)</t>
        </is>
      </c>
      <c r="B49" s="29" t="inlineStr">
        <is>
          <t>Indicator</t>
        </is>
      </c>
      <c r="C49" s="29" t="inlineStr">
        <is>
          <t>Sustainability leadership</t>
        </is>
      </c>
      <c r="D49" s="29" t="inlineStr">
        <is>
          <t>Nature and biodiversity</t>
        </is>
      </c>
      <c r="E49" s="29" t="inlineStr">
        <is>
          <t>Documented baseline nature footprint analysis</t>
        </is>
      </c>
      <c r="F49" s="29" t="inlineStr">
        <is>
          <t>Mixed</t>
        </is>
      </c>
      <c r="G49" s="29" t="inlineStr"/>
      <c r="I49" s="30" t="n"/>
      <c r="J49" s="30" t="n"/>
      <c r="K49" s="30" t="n"/>
      <c r="L49" s="30" t="n"/>
      <c r="M49" s="30" t="n"/>
      <c r="N49" s="30" t="n"/>
      <c r="O49" s="30" t="n"/>
      <c r="P49" s="30" t="n"/>
      <c r="Q49" s="30" t="n"/>
      <c r="R49" s="30" t="n"/>
      <c r="S49" s="30" t="n"/>
      <c r="T49" s="30" t="n"/>
      <c r="U49" s="30" t="n"/>
      <c r="V49" s="30" t="inlineStr">
        <is>
          <t>A and R</t>
        </is>
      </c>
      <c r="W49" s="30" t="inlineStr">
        <is>
          <t>R</t>
        </is>
      </c>
      <c r="X49" s="30" t="n"/>
      <c r="Y49" s="30" t="n"/>
      <c r="Z49" s="30" t="n"/>
      <c r="AA49" s="30" t="n"/>
      <c r="AB49" s="30" t="n"/>
      <c r="AC49" s="30" t="inlineStr">
        <is>
          <t>S</t>
        </is>
      </c>
    </row>
    <row r="50" ht="42" customHeight="1">
      <c r="A50" s="29" t="inlineStr">
        <is>
          <t>NB2(b)</t>
        </is>
      </c>
      <c r="B50" s="29" t="inlineStr">
        <is>
          <t>Indicator</t>
        </is>
      </c>
      <c r="C50" s="29" t="inlineStr">
        <is>
          <t>Sustainability leadership</t>
        </is>
      </c>
      <c r="D50" s="29" t="inlineStr">
        <is>
          <t>Nature and biodiversity</t>
        </is>
      </c>
      <c r="E50" s="29" t="inlineStr">
        <is>
          <t>Evidence of established framework to monitor and track supply-chain nature impacts over time</t>
        </is>
      </c>
      <c r="F50" s="29" t="inlineStr">
        <is>
          <t>Qualitative</t>
        </is>
      </c>
      <c r="G50" s="29" t="inlineStr"/>
      <c r="I50" s="30" t="n"/>
      <c r="J50" s="30" t="n"/>
      <c r="K50" s="30" t="n"/>
      <c r="L50" s="30" t="n"/>
      <c r="M50" s="30" t="n"/>
      <c r="N50" s="30" t="inlineStr">
        <is>
          <t>A and R</t>
        </is>
      </c>
      <c r="O50" s="30" t="n"/>
      <c r="P50" s="30" t="n"/>
      <c r="Q50" s="30" t="n"/>
      <c r="R50" s="30" t="n"/>
      <c r="S50" s="30" t="inlineStr">
        <is>
          <t>R</t>
        </is>
      </c>
      <c r="T50" s="30" t="n"/>
      <c r="U50" s="30" t="n"/>
      <c r="V50" s="30" t="n"/>
      <c r="W50" s="30" t="n"/>
      <c r="X50" s="30" t="n"/>
      <c r="Y50" s="30" t="n"/>
      <c r="Z50" s="30" t="n"/>
      <c r="AA50" s="30" t="n"/>
      <c r="AB50" s="30" t="n"/>
      <c r="AC50" s="30" t="inlineStr">
        <is>
          <t>S</t>
        </is>
      </c>
    </row>
    <row r="51" ht="42" customHeight="1">
      <c r="A51" s="29" t="inlineStr">
        <is>
          <t>NB2(c)</t>
        </is>
      </c>
      <c r="B51" s="29" t="inlineStr">
        <is>
          <t>Indicator</t>
        </is>
      </c>
      <c r="C51" s="29" t="inlineStr">
        <is>
          <t>Sustainability leadership</t>
        </is>
      </c>
      <c r="D51" s="29" t="inlineStr">
        <is>
          <t>Nature and biodiversity</t>
        </is>
      </c>
      <c r="E51" s="29" t="inlineStr">
        <is>
          <t>Evidence of prioritised high risk procurement categories or suppliers for nature impact management</t>
        </is>
      </c>
      <c r="F51" s="29" t="inlineStr">
        <is>
          <t>Qualitative</t>
        </is>
      </c>
      <c r="G51" s="29" t="inlineStr"/>
      <c r="I51" s="30" t="n"/>
      <c r="J51" s="30" t="n"/>
      <c r="K51" s="30" t="n"/>
      <c r="L51" s="30" t="n"/>
      <c r="M51" s="30" t="n"/>
      <c r="N51" s="30" t="inlineStr">
        <is>
          <t>A and R</t>
        </is>
      </c>
      <c r="O51" s="30" t="n"/>
      <c r="P51" s="30" t="n"/>
      <c r="Q51" s="30" t="inlineStr">
        <is>
          <t>R</t>
        </is>
      </c>
      <c r="R51" s="30" t="n"/>
      <c r="S51" s="30" t="inlineStr">
        <is>
          <t>R</t>
        </is>
      </c>
      <c r="T51" s="30" t="n"/>
      <c r="U51" s="30" t="n"/>
      <c r="V51" s="30" t="n"/>
      <c r="W51" s="30" t="n"/>
      <c r="X51" s="30" t="n"/>
      <c r="Y51" s="30" t="n"/>
      <c r="Z51" s="30" t="n"/>
      <c r="AA51" s="30" t="n"/>
      <c r="AB51" s="30" t="n"/>
      <c r="AC51" s="30" t="inlineStr">
        <is>
          <t>S</t>
        </is>
      </c>
    </row>
    <row r="52">
      <c r="A52" s="27" t="inlineStr">
        <is>
          <t>AI</t>
        </is>
      </c>
      <c r="B52" s="27" t="inlineStr">
        <is>
          <t>Priority</t>
        </is>
      </c>
      <c r="C52" s="27" t="inlineStr"/>
      <c r="D52" s="27" t="inlineStr"/>
      <c r="E52" s="27" t="inlineStr">
        <is>
          <t>Responsible AI</t>
        </is>
      </c>
      <c r="F52" s="27" t="n"/>
      <c r="G52" s="27" t="n"/>
      <c r="H52" s="27" t="n"/>
      <c r="I52" s="27" t="n"/>
      <c r="J52" s="27" t="n"/>
      <c r="K52" s="27" t="n"/>
      <c r="L52" s="27" t="n"/>
      <c r="M52" s="27" t="n"/>
      <c r="N52" s="27" t="n"/>
      <c r="O52" s="27" t="n"/>
      <c r="P52" s="27" t="n"/>
      <c r="Q52" s="27" t="n"/>
      <c r="R52" s="27" t="n"/>
      <c r="S52" s="27" t="n"/>
      <c r="T52" s="27" t="n"/>
      <c r="U52" s="27" t="n"/>
      <c r="V52" s="27" t="n"/>
      <c r="W52" s="27" t="n"/>
      <c r="X52" s="27" t="n"/>
      <c r="Y52" s="27" t="n"/>
      <c r="Z52" s="27" t="n"/>
      <c r="AA52" s="27" t="n"/>
      <c r="AB52" s="27" t="n"/>
      <c r="AC52" s="27" t="n"/>
    </row>
    <row r="53" ht="45" customHeight="1">
      <c r="A53" s="28" t="inlineStr">
        <is>
          <t>AI1</t>
        </is>
      </c>
      <c r="B53" s="28" t="inlineStr">
        <is>
          <t>Target</t>
        </is>
      </c>
      <c r="C53" s="28" t="inlineStr">
        <is>
          <t>Sustainability leadership</t>
        </is>
      </c>
      <c r="D53" s="28" t="inlineStr">
        <is>
          <t>Responsible AI</t>
        </is>
      </c>
      <c r="E53" s="28" t="inlineStr">
        <is>
          <t>Improve understanding of our sustainability-related risks and opportunities of AI technologies by 2028.</t>
        </is>
      </c>
    </row>
    <row r="54" ht="42" customHeight="1">
      <c r="A54" s="29" t="inlineStr">
        <is>
          <t>AI1(a)</t>
        </is>
      </c>
      <c r="B54" s="29" t="inlineStr">
        <is>
          <t>Indicator</t>
        </is>
      </c>
      <c r="C54" s="29" t="inlineStr">
        <is>
          <t>Sustainability leadership</t>
        </is>
      </c>
      <c r="D54" s="29" t="inlineStr">
        <is>
          <t>Responsible AI</t>
        </is>
      </c>
      <c r="E54" s="29" t="inlineStr">
        <is>
          <t>Established measurement of estimated operational impacts and opportunities (eg operational impacts could include energy, water, emissions and intensity measures)</t>
        </is>
      </c>
      <c r="F54" s="29" t="inlineStr">
        <is>
          <t>Mixed</t>
        </is>
      </c>
      <c r="G54" s="29" t="inlineStr"/>
      <c r="I54" s="30" t="n"/>
      <c r="J54" s="30" t="n"/>
      <c r="K54" s="30" t="n"/>
      <c r="L54" s="30" t="n"/>
      <c r="M54" s="30" t="n"/>
      <c r="N54" s="30" t="inlineStr">
        <is>
          <t>A and R</t>
        </is>
      </c>
      <c r="O54" s="30" t="n"/>
      <c r="P54" s="30" t="inlineStr">
        <is>
          <t>R</t>
        </is>
      </c>
      <c r="Q54" s="30" t="n"/>
      <c r="R54" s="30" t="n"/>
      <c r="S54" s="30" t="n"/>
      <c r="T54" s="30" t="inlineStr">
        <is>
          <t>R</t>
        </is>
      </c>
      <c r="U54" s="30" t="n"/>
      <c r="V54" s="30" t="n"/>
      <c r="W54" s="30" t="n"/>
      <c r="X54" s="30" t="n"/>
      <c r="Y54" s="30" t="n"/>
      <c r="Z54" s="30" t="n"/>
      <c r="AA54" s="30" t="n"/>
      <c r="AB54" s="30" t="n"/>
      <c r="AC54" s="30" t="inlineStr">
        <is>
          <t>S</t>
        </is>
      </c>
    </row>
    <row r="55" ht="42" customHeight="1">
      <c r="A55" s="29" t="inlineStr">
        <is>
          <t>AI1(b)</t>
        </is>
      </c>
      <c r="B55" s="29" t="inlineStr">
        <is>
          <t>Indicator</t>
        </is>
      </c>
      <c r="C55" s="29" t="inlineStr">
        <is>
          <t>Sustainability leadership</t>
        </is>
      </c>
      <c r="D55" s="29" t="inlineStr">
        <is>
          <t>Responsible AI</t>
        </is>
      </c>
      <c r="E55" s="29" t="inlineStr">
        <is>
          <t>Case studies of sustainability and AI-related education, research and collaboration activities.</t>
        </is>
      </c>
      <c r="F55" s="29" t="inlineStr">
        <is>
          <t>Qualitative</t>
        </is>
      </c>
      <c r="G55" s="29" t="inlineStr"/>
      <c r="I55" s="30" t="n"/>
      <c r="J55" s="30" t="n"/>
      <c r="K55" s="30" t="n"/>
      <c r="L55" s="30" t="n"/>
      <c r="M55" s="30" t="n"/>
      <c r="N55" s="30" t="inlineStr">
        <is>
          <t>A and R</t>
        </is>
      </c>
      <c r="O55" s="30" t="n"/>
      <c r="P55" s="30" t="inlineStr">
        <is>
          <t>R</t>
        </is>
      </c>
      <c r="Q55" s="30" t="n"/>
      <c r="R55" s="30" t="n"/>
      <c r="S55" s="30" t="n"/>
      <c r="T55" s="30" t="inlineStr">
        <is>
          <t>R</t>
        </is>
      </c>
      <c r="U55" s="30" t="n"/>
      <c r="V55" s="30" t="n"/>
      <c r="W55" s="30" t="n"/>
      <c r="X55" s="30" t="n"/>
      <c r="Y55" s="30" t="n"/>
      <c r="Z55" s="30" t="n"/>
      <c r="AA55" s="30" t="n"/>
      <c r="AB55" s="30" t="n"/>
      <c r="AC55" s="30" t="inlineStr">
        <is>
          <t>S</t>
        </is>
      </c>
    </row>
    <row r="56">
      <c r="A56" s="26" t="inlineStr">
        <is>
          <t>D3</t>
        </is>
      </c>
      <c r="B56" s="26" t="inlineStr">
        <is>
          <t>Domain</t>
        </is>
      </c>
      <c r="C56" s="26" t="inlineStr"/>
      <c r="D56" s="26" t="inlineStr"/>
      <c r="E56" s="26" t="inlineStr">
        <is>
          <t>Resilient University</t>
        </is>
      </c>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t="n"/>
      <c r="AA56" s="26" t="n"/>
      <c r="AB56" s="26" t="n"/>
      <c r="AC56" s="26" t="n"/>
    </row>
    <row r="57">
      <c r="A57" s="27" t="inlineStr">
        <is>
          <t>EI</t>
        </is>
      </c>
      <c r="B57" s="27" t="inlineStr">
        <is>
          <t>Priority</t>
        </is>
      </c>
      <c r="C57" s="27" t="inlineStr"/>
      <c r="D57" s="27" t="inlineStr"/>
      <c r="E57" s="27" t="inlineStr">
        <is>
          <t>Estate and infrastructure</t>
        </is>
      </c>
      <c r="F57" s="27" t="n"/>
      <c r="G57" s="27" t="n"/>
      <c r="H57" s="27" t="n"/>
      <c r="I57" s="27" t="n"/>
      <c r="J57" s="27" t="n"/>
      <c r="K57" s="27" t="n"/>
      <c r="L57" s="27" t="n"/>
      <c r="M57" s="27" t="n"/>
      <c r="N57" s="27" t="n"/>
      <c r="O57" s="27" t="n"/>
      <c r="P57" s="27" t="n"/>
      <c r="Q57" s="27" t="n"/>
      <c r="R57" s="27" t="n"/>
      <c r="S57" s="27" t="n"/>
      <c r="T57" s="27" t="n"/>
      <c r="U57" s="27" t="n"/>
      <c r="V57" s="27" t="n"/>
      <c r="W57" s="27" t="n"/>
      <c r="X57" s="27" t="n"/>
      <c r="Y57" s="27" t="n"/>
      <c r="Z57" s="27" t="n"/>
      <c r="AA57" s="27" t="n"/>
      <c r="AB57" s="27" t="n"/>
      <c r="AC57" s="27" t="n"/>
    </row>
    <row r="58" ht="45" customHeight="1">
      <c r="A58" s="28" t="inlineStr">
        <is>
          <t>EI1</t>
        </is>
      </c>
      <c r="B58" s="28" t="inlineStr">
        <is>
          <t>Target</t>
        </is>
      </c>
      <c r="C58" s="28" t="inlineStr">
        <is>
          <t>Resilient University</t>
        </is>
      </c>
      <c r="D58" s="28" t="inlineStr">
        <is>
          <t>Estate and infrastructure</t>
        </is>
      </c>
      <c r="E58" s="28" t="inlineStr">
        <is>
          <t>Integrate environmental sustainability in the way that the University achieves strategic and operational objectives for our estate and infrastructure.</t>
        </is>
      </c>
    </row>
    <row r="59" ht="42" customHeight="1">
      <c r="A59" s="29" t="inlineStr">
        <is>
          <t>EI1(a)</t>
        </is>
      </c>
      <c r="B59" s="29" t="inlineStr">
        <is>
          <t>Indicator</t>
        </is>
      </c>
      <c r="C59" s="29" t="inlineStr">
        <is>
          <t>Resilient University</t>
        </is>
      </c>
      <c r="D59" s="29" t="inlineStr">
        <is>
          <t>Estate and infrastructure</t>
        </is>
      </c>
      <c r="E59" s="29" t="inlineStr">
        <is>
          <t>Evidence of increased maturity of estate and infrastructure planning, development and operations to support the other priority areas in Sustainability 2030</t>
        </is>
      </c>
      <c r="F59" s="29" t="inlineStr">
        <is>
          <t>Mixed</t>
        </is>
      </c>
      <c r="G59" s="29" t="inlineStr"/>
      <c r="I59" s="30" t="n"/>
      <c r="J59" s="30" t="n"/>
      <c r="K59" s="30" t="n"/>
      <c r="L59" s="30" t="n"/>
      <c r="M59" s="30" t="n"/>
      <c r="N59" s="30" t="inlineStr">
        <is>
          <t>A and R</t>
        </is>
      </c>
      <c r="O59" s="30" t="inlineStr">
        <is>
          <t>R</t>
        </is>
      </c>
      <c r="P59" s="30" t="n"/>
      <c r="Q59" s="30" t="n"/>
      <c r="R59" s="30" t="n"/>
      <c r="S59" s="30" t="n"/>
      <c r="T59" s="30" t="n"/>
      <c r="U59" s="30" t="n"/>
      <c r="V59" s="30" t="n"/>
      <c r="W59" s="30" t="n"/>
      <c r="X59" s="30" t="n"/>
      <c r="Y59" s="30" t="n"/>
      <c r="Z59" s="30" t="n"/>
      <c r="AA59" s="30" t="n"/>
      <c r="AB59" s="30" t="n"/>
      <c r="AC59" s="30" t="inlineStr">
        <is>
          <t>S</t>
        </is>
      </c>
    </row>
    <row r="60" ht="42" customHeight="1">
      <c r="A60" s="29" t="inlineStr">
        <is>
          <t>EI1(b)</t>
        </is>
      </c>
      <c r="B60" s="29" t="inlineStr">
        <is>
          <t>Indicator</t>
        </is>
      </c>
      <c r="C60" s="29" t="inlineStr">
        <is>
          <t>Resilient University</t>
        </is>
      </c>
      <c r="D60" s="29" t="inlineStr">
        <is>
          <t>Estate and infrastructure</t>
        </is>
      </c>
      <c r="E60" s="29" t="inlineStr">
        <is>
          <t>Estimated sustainability impacts of the University’s estate and infrastructure capital plan to inform progress towards emissions reduction targets and other priority areas (to the extent enabled by available information)</t>
        </is>
      </c>
      <c r="F60" s="29" t="inlineStr">
        <is>
          <t>Mixed</t>
        </is>
      </c>
      <c r="G60" s="29" t="inlineStr"/>
      <c r="I60" s="30" t="n"/>
      <c r="J60" s="30" t="n"/>
      <c r="K60" s="30" t="n"/>
      <c r="L60" s="30" t="n"/>
      <c r="M60" s="30" t="n"/>
      <c r="N60" s="30" t="inlineStr">
        <is>
          <t>A and R</t>
        </is>
      </c>
      <c r="O60" s="30" t="inlineStr">
        <is>
          <t>R</t>
        </is>
      </c>
      <c r="P60" s="30" t="n"/>
      <c r="Q60" s="30" t="n"/>
      <c r="R60" s="30" t="n"/>
      <c r="S60" s="30" t="n"/>
      <c r="T60" s="30" t="n"/>
      <c r="U60" s="30" t="n"/>
      <c r="V60" s="30" t="n"/>
      <c r="W60" s="30" t="n"/>
      <c r="X60" s="30" t="n"/>
      <c r="Y60" s="30" t="n"/>
      <c r="Z60" s="30" t="n"/>
      <c r="AA60" s="30" t="n"/>
      <c r="AB60" s="30" t="n"/>
      <c r="AC60" s="30" t="inlineStr">
        <is>
          <t>S</t>
        </is>
      </c>
    </row>
    <row r="61" ht="42" customHeight="1">
      <c r="A61" s="29" t="inlineStr">
        <is>
          <t>EI1(c)</t>
        </is>
      </c>
      <c r="B61" s="29" t="inlineStr">
        <is>
          <t>Indicator</t>
        </is>
      </c>
      <c r="C61" s="29" t="inlineStr">
        <is>
          <t>Resilient University</t>
        </is>
      </c>
      <c r="D61" s="29" t="inlineStr">
        <is>
          <t>Estate and infrastructure</t>
        </is>
      </c>
      <c r="E61" s="29" t="inlineStr">
        <is>
          <t>Reporting on relevant activities and impacts for the University’s major estate and infrastructure projects and programs aligned with the other priority areas in Sustainability 2030</t>
        </is>
      </c>
      <c r="F61" s="29" t="inlineStr">
        <is>
          <t>Mixed</t>
        </is>
      </c>
      <c r="G61" s="29" t="inlineStr"/>
      <c r="I61" s="30" t="n"/>
      <c r="J61" s="30" t="n"/>
      <c r="K61" s="30" t="n"/>
      <c r="L61" s="30" t="n"/>
      <c r="M61" s="30" t="n"/>
      <c r="N61" s="30" t="inlineStr">
        <is>
          <t>A and R</t>
        </is>
      </c>
      <c r="O61" s="30" t="inlineStr">
        <is>
          <t>R</t>
        </is>
      </c>
      <c r="P61" s="30" t="n"/>
      <c r="Q61" s="30" t="n"/>
      <c r="R61" s="30" t="n"/>
      <c r="S61" s="30" t="n"/>
      <c r="T61" s="30" t="n"/>
      <c r="U61" s="30" t="n"/>
      <c r="V61" s="30" t="n"/>
      <c r="W61" s="30" t="n"/>
      <c r="X61" s="30" t="n"/>
      <c r="Y61" s="30" t="n"/>
      <c r="Z61" s="30" t="n"/>
      <c r="AA61" s="30" t="n"/>
      <c r="AB61" s="30" t="n"/>
      <c r="AC61" s="30" t="inlineStr">
        <is>
          <t>S</t>
        </is>
      </c>
    </row>
    <row r="62" ht="42" customHeight="1">
      <c r="A62" s="29" t="inlineStr">
        <is>
          <t>EI1(d)</t>
        </is>
      </c>
      <c r="B62" s="29" t="inlineStr">
        <is>
          <t>Indicator</t>
        </is>
      </c>
      <c r="C62" s="29" t="inlineStr">
        <is>
          <t>Resilient University</t>
        </is>
      </c>
      <c r="D62" s="29" t="inlineStr">
        <is>
          <t>Estate and infrastructure</t>
        </is>
      </c>
      <c r="E62" s="29" t="inlineStr">
        <is>
          <t>Evidence of understanding and integration of Indigenous approaches to sustainability in estate planning and development programs and projects.</t>
        </is>
      </c>
      <c r="F62" s="29" t="inlineStr">
        <is>
          <t>Qualitative</t>
        </is>
      </c>
      <c r="G62" s="29" t="inlineStr"/>
      <c r="I62" s="30" t="n"/>
      <c r="J62" s="30" t="n"/>
      <c r="K62" s="30" t="n"/>
      <c r="L62" s="30" t="n"/>
      <c r="M62" s="30" t="n"/>
      <c r="N62" s="30" t="inlineStr">
        <is>
          <t>A and R</t>
        </is>
      </c>
      <c r="O62" s="30" t="inlineStr">
        <is>
          <t>R</t>
        </is>
      </c>
      <c r="P62" s="30" t="n"/>
      <c r="Q62" s="30" t="n"/>
      <c r="R62" s="30" t="n"/>
      <c r="S62" s="30" t="n"/>
      <c r="T62" s="30" t="n"/>
      <c r="U62" s="30" t="n"/>
      <c r="V62" s="30" t="n"/>
      <c r="W62" s="30" t="n"/>
      <c r="X62" s="30" t="n"/>
      <c r="Y62" s="30" t="n"/>
      <c r="Z62" s="30" t="n"/>
      <c r="AA62" s="30" t="n"/>
      <c r="AB62" s="30" t="n"/>
      <c r="AC62" s="30" t="inlineStr">
        <is>
          <t>S</t>
        </is>
      </c>
    </row>
    <row r="63">
      <c r="A63" s="27" t="inlineStr">
        <is>
          <t>CE</t>
        </is>
      </c>
      <c r="B63" s="27" t="inlineStr">
        <is>
          <t>Priority</t>
        </is>
      </c>
      <c r="C63" s="27" t="inlineStr"/>
      <c r="D63" s="27" t="inlineStr"/>
      <c r="E63" s="27" t="inlineStr">
        <is>
          <t>Circular economy</t>
        </is>
      </c>
      <c r="F63" s="27" t="n"/>
      <c r="G63" s="27" t="n"/>
      <c r="H63" s="27" t="n"/>
      <c r="I63" s="27" t="n"/>
      <c r="J63" s="27" t="n"/>
      <c r="K63" s="27" t="n"/>
      <c r="L63" s="27" t="n"/>
      <c r="M63" s="27" t="n"/>
      <c r="N63" s="27" t="n"/>
      <c r="O63" s="27" t="n"/>
      <c r="P63" s="27" t="n"/>
      <c r="Q63" s="27" t="n"/>
      <c r="R63" s="27" t="n"/>
      <c r="S63" s="27" t="n"/>
      <c r="T63" s="27" t="n"/>
      <c r="U63" s="27" t="n"/>
      <c r="V63" s="27" t="n"/>
      <c r="W63" s="27" t="n"/>
      <c r="X63" s="27" t="n"/>
      <c r="Y63" s="27" t="n"/>
      <c r="Z63" s="27" t="n"/>
      <c r="AA63" s="27" t="n"/>
      <c r="AB63" s="27" t="n"/>
      <c r="AC63" s="27" t="n"/>
    </row>
    <row r="64" ht="45" customHeight="1">
      <c r="A64" s="28" t="inlineStr">
        <is>
          <t>CE1</t>
        </is>
      </c>
      <c r="B64" s="28" t="inlineStr">
        <is>
          <t>Target</t>
        </is>
      </c>
      <c r="C64" s="28" t="inlineStr">
        <is>
          <t>Resilient University</t>
        </is>
      </c>
      <c r="D64" s="28" t="inlineStr">
        <is>
          <t>Circular economy</t>
        </is>
      </c>
      <c r="E64" s="28" t="inlineStr">
        <is>
          <t>Reduce waste to landfill by 10% by CY2030 on the CY2025 baseline.</t>
        </is>
      </c>
    </row>
    <row r="65" ht="42" customHeight="1">
      <c r="A65" s="29" t="inlineStr">
        <is>
          <t>CE1(a)</t>
        </is>
      </c>
      <c r="B65" s="29" t="inlineStr">
        <is>
          <t>Indicator</t>
        </is>
      </c>
      <c r="C65" s="29" t="inlineStr">
        <is>
          <t>Resilient University</t>
        </is>
      </c>
      <c r="D65" s="29" t="inlineStr">
        <is>
          <t>Circular economy</t>
        </is>
      </c>
      <c r="E65" s="29" t="inlineStr">
        <is>
          <t>Comparison of year-to-year tonnes of waste (absolute).</t>
        </is>
      </c>
      <c r="F65" s="29" t="inlineStr">
        <is>
          <t>Quantitative</t>
        </is>
      </c>
      <c r="G65" s="29" t="inlineStr"/>
      <c r="I65" s="30" t="n"/>
      <c r="J65" s="30" t="n"/>
      <c r="K65" s="30" t="n"/>
      <c r="L65" s="30" t="n"/>
      <c r="M65" s="30" t="n"/>
      <c r="N65" s="30" t="inlineStr">
        <is>
          <t>A and R</t>
        </is>
      </c>
      <c r="O65" s="30" t="n"/>
      <c r="P65" s="30" t="n"/>
      <c r="Q65" s="30" t="n"/>
      <c r="R65" s="30" t="n"/>
      <c r="S65" s="30" t="inlineStr">
        <is>
          <t>R (quant)</t>
        </is>
      </c>
      <c r="T65" s="30" t="n"/>
      <c r="U65" s="30" t="n"/>
      <c r="V65" s="30" t="n"/>
      <c r="W65" s="30" t="n"/>
      <c r="X65" s="30" t="n"/>
      <c r="Y65" s="30" t="n"/>
      <c r="Z65" s="30" t="n"/>
      <c r="AA65" s="30" t="n"/>
      <c r="AB65" s="30" t="n"/>
      <c r="AC65" s="30" t="inlineStr">
        <is>
          <t>S</t>
        </is>
      </c>
    </row>
    <row r="66" ht="45" customHeight="1">
      <c r="A66" s="28" t="inlineStr">
        <is>
          <t>CE2</t>
        </is>
      </c>
      <c r="B66" s="28" t="inlineStr">
        <is>
          <t>Target</t>
        </is>
      </c>
      <c r="C66" s="28" t="inlineStr">
        <is>
          <t>Resilient University</t>
        </is>
      </c>
      <c r="D66" s="28" t="inlineStr">
        <is>
          <t>Circular economy</t>
        </is>
      </c>
      <c r="E66" s="28" t="inlineStr">
        <is>
          <t>Increase diversion of recyclable materials from landfill by 10% by CY2030 on the CY2025 baseline.</t>
        </is>
      </c>
    </row>
    <row r="67" ht="42" customHeight="1">
      <c r="A67" s="29" t="inlineStr">
        <is>
          <t>CE2(a)</t>
        </is>
      </c>
      <c r="B67" s="29" t="inlineStr">
        <is>
          <t>Indicator</t>
        </is>
      </c>
      <c r="C67" s="29" t="inlineStr">
        <is>
          <t>Resilient University</t>
        </is>
      </c>
      <c r="D67" s="29" t="inlineStr">
        <is>
          <t>Circular economy</t>
        </is>
      </c>
      <c r="E67" s="29" t="inlineStr">
        <is>
          <t>Comparison of year-to-year tonnes of recyclables (absolute).</t>
        </is>
      </c>
      <c r="F67" s="29" t="inlineStr">
        <is>
          <t>Quantitative</t>
        </is>
      </c>
      <c r="G67" s="29" t="inlineStr"/>
      <c r="I67" s="30" t="n"/>
      <c r="J67" s="30" t="n"/>
      <c r="K67" s="30" t="n"/>
      <c r="L67" s="30" t="n"/>
      <c r="M67" s="30" t="n"/>
      <c r="N67" s="30" t="inlineStr">
        <is>
          <t>A and R</t>
        </is>
      </c>
      <c r="O67" s="30" t="n"/>
      <c r="P67" s="30" t="n"/>
      <c r="Q67" s="30" t="n"/>
      <c r="R67" s="30" t="n"/>
      <c r="S67" s="30" t="inlineStr">
        <is>
          <t>R (quant)</t>
        </is>
      </c>
      <c r="T67" s="30" t="n"/>
      <c r="U67" s="30" t="n"/>
      <c r="V67" s="30" t="n"/>
      <c r="W67" s="30" t="n"/>
      <c r="X67" s="30" t="n"/>
      <c r="Y67" s="30" t="n"/>
      <c r="Z67" s="30" t="n"/>
      <c r="AA67" s="30" t="n"/>
      <c r="AB67" s="30" t="n"/>
      <c r="AC67" s="30" t="inlineStr">
        <is>
          <t>S</t>
        </is>
      </c>
    </row>
    <row r="68">
      <c r="A68" s="27" t="inlineStr">
        <is>
          <t>RP</t>
        </is>
      </c>
      <c r="B68" s="27" t="inlineStr">
        <is>
          <t>Priority</t>
        </is>
      </c>
      <c r="C68" s="27" t="inlineStr"/>
      <c r="D68" s="27" t="inlineStr"/>
      <c r="E68" s="27" t="inlineStr">
        <is>
          <t>Responsible procurement</t>
        </is>
      </c>
      <c r="F68" s="27" t="n"/>
      <c r="G68" s="27" t="n"/>
      <c r="H68" s="27" t="n"/>
      <c r="I68" s="27" t="n"/>
      <c r="J68" s="27" t="n"/>
      <c r="K68" s="27" t="n"/>
      <c r="L68" s="27" t="n"/>
      <c r="M68" s="27" t="n"/>
      <c r="N68" s="27" t="n"/>
      <c r="O68" s="27" t="n"/>
      <c r="P68" s="27" t="n"/>
      <c r="Q68" s="27" t="n"/>
      <c r="R68" s="27" t="n"/>
      <c r="S68" s="27" t="n"/>
      <c r="T68" s="27" t="n"/>
      <c r="U68" s="27" t="n"/>
      <c r="V68" s="27" t="n"/>
      <c r="W68" s="27" t="n"/>
      <c r="X68" s="27" t="n"/>
      <c r="Y68" s="27" t="n"/>
      <c r="Z68" s="27" t="n"/>
      <c r="AA68" s="27" t="n"/>
      <c r="AB68" s="27" t="n"/>
      <c r="AC68" s="27" t="n"/>
    </row>
    <row r="69" ht="45" customHeight="1">
      <c r="A69" s="28" t="inlineStr">
        <is>
          <t>RP1</t>
        </is>
      </c>
      <c r="B69" s="28" t="inlineStr">
        <is>
          <t>Target</t>
        </is>
      </c>
      <c r="C69" s="28" t="inlineStr">
        <is>
          <t>Resilient University</t>
        </is>
      </c>
      <c r="D69" s="28" t="inlineStr">
        <is>
          <t>Responsible procurement</t>
        </is>
      </c>
      <c r="E69" s="28" t="inlineStr">
        <is>
          <t>Strengthen our ethical and sustainable procurement approach.</t>
        </is>
      </c>
    </row>
    <row r="70" ht="42" customHeight="1">
      <c r="A70" s="29" t="inlineStr">
        <is>
          <t>RP1(a)</t>
        </is>
      </c>
      <c r="B70" s="29" t="inlineStr">
        <is>
          <t>Indicator</t>
        </is>
      </c>
      <c r="C70" s="29" t="inlineStr">
        <is>
          <t>Resilient University</t>
        </is>
      </c>
      <c r="D70" s="29" t="inlineStr">
        <is>
          <t>Responsible procurement</t>
        </is>
      </c>
      <c r="E70" s="29" t="inlineStr">
        <is>
          <t>Case studies of maturity improvement related to responsible procurement process and systems.</t>
        </is>
      </c>
      <c r="F70" s="29" t="inlineStr">
        <is>
          <t>Mixed</t>
        </is>
      </c>
      <c r="G70" s="29" t="inlineStr"/>
      <c r="I70" s="30" t="n"/>
      <c r="J70" s="30" t="n"/>
      <c r="K70" s="30" t="n"/>
      <c r="L70" s="30" t="n"/>
      <c r="M70" s="30" t="n"/>
      <c r="N70" s="30" t="inlineStr">
        <is>
          <t>A and R</t>
        </is>
      </c>
      <c r="O70" s="30" t="n"/>
      <c r="P70" s="30" t="n"/>
      <c r="Q70" s="30" t="inlineStr">
        <is>
          <t>R</t>
        </is>
      </c>
      <c r="R70" s="30" t="n"/>
      <c r="S70" s="30" t="n"/>
      <c r="T70" s="30" t="n"/>
      <c r="U70" s="30" t="n"/>
      <c r="V70" s="30" t="n"/>
      <c r="W70" s="30" t="n"/>
      <c r="X70" s="30" t="n"/>
      <c r="Y70" s="30" t="n"/>
      <c r="Z70" s="30" t="n"/>
      <c r="AA70" s="30" t="n"/>
      <c r="AB70" s="30" t="n"/>
      <c r="AC70" s="30" t="inlineStr">
        <is>
          <t>S</t>
        </is>
      </c>
    </row>
    <row r="71" ht="45" customHeight="1">
      <c r="A71" s="28" t="inlineStr">
        <is>
          <t>RP2</t>
        </is>
      </c>
      <c r="B71" s="28" t="inlineStr">
        <is>
          <t>Target</t>
        </is>
      </c>
      <c r="C71" s="28" t="inlineStr">
        <is>
          <t>Resilient University</t>
        </is>
      </c>
      <c r="D71" s="28" t="inlineStr">
        <is>
          <t>Responsible procurement</t>
        </is>
      </c>
      <c r="E71" s="28" t="inlineStr">
        <is>
          <t>Increase our Indigenous and social spend, reaching 3% Indigenous and 1% social spend of addressable procurement by 2030.</t>
        </is>
      </c>
    </row>
    <row r="72" ht="42" customHeight="1">
      <c r="A72" s="29" t="inlineStr">
        <is>
          <t>RP2(a)</t>
        </is>
      </c>
      <c r="B72" s="29" t="inlineStr">
        <is>
          <t>Indicator</t>
        </is>
      </c>
      <c r="C72" s="29" t="inlineStr">
        <is>
          <t>Resilient University</t>
        </is>
      </c>
      <c r="D72" s="29" t="inlineStr">
        <is>
          <t>Responsible procurement</t>
        </is>
      </c>
      <c r="E72" s="29" t="inlineStr">
        <is>
          <t>Percentage of Indigenous spend of total addressable procurement spend</t>
        </is>
      </c>
      <c r="F72" s="29" t="inlineStr">
        <is>
          <t>Quantitative</t>
        </is>
      </c>
      <c r="G72" s="29" t="inlineStr"/>
      <c r="I72" s="30" t="n"/>
      <c r="J72" s="30" t="n"/>
      <c r="K72" s="30" t="n"/>
      <c r="L72" s="30" t="n"/>
      <c r="M72" s="30" t="n"/>
      <c r="N72" s="30" t="inlineStr">
        <is>
          <t>A and R</t>
        </is>
      </c>
      <c r="O72" s="30" t="n"/>
      <c r="P72" s="30" t="n"/>
      <c r="Q72" s="30" t="inlineStr">
        <is>
          <t>R (quant)</t>
        </is>
      </c>
      <c r="R72" s="30" t="n"/>
      <c r="S72" s="30" t="n"/>
      <c r="T72" s="30" t="n"/>
      <c r="U72" s="30" t="n"/>
      <c r="V72" s="30" t="n"/>
      <c r="W72" s="30" t="n"/>
      <c r="X72" s="30" t="n"/>
      <c r="Y72" s="30" t="n"/>
      <c r="Z72" s="30" t="n"/>
      <c r="AA72" s="30" t="n"/>
      <c r="AB72" s="30" t="n"/>
      <c r="AC72" s="30" t="inlineStr">
        <is>
          <t>S</t>
        </is>
      </c>
    </row>
    <row r="73" ht="42" customHeight="1">
      <c r="A73" s="29" t="inlineStr">
        <is>
          <t>RP2(b)</t>
        </is>
      </c>
      <c r="B73" s="29" t="inlineStr">
        <is>
          <t>Indicator</t>
        </is>
      </c>
      <c r="C73" s="29" t="inlineStr">
        <is>
          <t>Resilient University</t>
        </is>
      </c>
      <c r="D73" s="29" t="inlineStr">
        <is>
          <t>Responsible procurement</t>
        </is>
      </c>
      <c r="E73" s="29" t="inlineStr">
        <is>
          <t>Percentage of social spend of total addressable procurement spend.</t>
        </is>
      </c>
      <c r="F73" s="29" t="inlineStr">
        <is>
          <t>Quantitative</t>
        </is>
      </c>
      <c r="G73" s="29" t="inlineStr"/>
      <c r="I73" s="30" t="n"/>
      <c r="J73" s="30" t="n"/>
      <c r="K73" s="30" t="n"/>
      <c r="L73" s="30" t="n"/>
      <c r="M73" s="30" t="n"/>
      <c r="N73" s="30" t="inlineStr">
        <is>
          <t>A and R</t>
        </is>
      </c>
      <c r="O73" s="30" t="n"/>
      <c r="P73" s="30" t="n"/>
      <c r="Q73" s="30" t="inlineStr">
        <is>
          <t>R (quant)</t>
        </is>
      </c>
      <c r="R73" s="30" t="n"/>
      <c r="S73" s="30" t="n"/>
      <c r="T73" s="30" t="n"/>
      <c r="U73" s="30" t="n"/>
      <c r="V73" s="30" t="n"/>
      <c r="W73" s="30" t="n"/>
      <c r="X73" s="30" t="n"/>
      <c r="Y73" s="30" t="n"/>
      <c r="Z73" s="30" t="n"/>
      <c r="AA73" s="30" t="n"/>
      <c r="AB73" s="30" t="n"/>
      <c r="AC73" s="30" t="inlineStr">
        <is>
          <t>S</t>
        </is>
      </c>
    </row>
    <row r="74">
      <c r="A74" s="27" t="inlineStr">
        <is>
          <t>MS</t>
        </is>
      </c>
      <c r="B74" s="27" t="inlineStr">
        <is>
          <t>Priority</t>
        </is>
      </c>
      <c r="C74" s="27" t="inlineStr"/>
      <c r="D74" s="27" t="inlineStr"/>
      <c r="E74" s="27" t="inlineStr">
        <is>
          <t>Modern slavery and human rights</t>
        </is>
      </c>
      <c r="F74" s="27" t="n"/>
      <c r="G74" s="27" t="n"/>
      <c r="H74" s="27" t="n"/>
      <c r="I74" s="27" t="n"/>
      <c r="J74" s="27" t="n"/>
      <c r="K74" s="27" t="n"/>
      <c r="L74" s="27" t="n"/>
      <c r="M74" s="27" t="n"/>
      <c r="N74" s="27" t="n"/>
      <c r="O74" s="27" t="n"/>
      <c r="P74" s="27" t="n"/>
      <c r="Q74" s="27" t="n"/>
      <c r="R74" s="27" t="n"/>
      <c r="S74" s="27" t="n"/>
      <c r="T74" s="27" t="n"/>
      <c r="U74" s="27" t="n"/>
      <c r="V74" s="27" t="n"/>
      <c r="W74" s="27" t="n"/>
      <c r="X74" s="27" t="n"/>
      <c r="Y74" s="27" t="n"/>
      <c r="Z74" s="27" t="n"/>
      <c r="AA74" s="27" t="n"/>
      <c r="AB74" s="27" t="n"/>
      <c r="AC74" s="27" t="n"/>
    </row>
    <row r="75" ht="45" customHeight="1">
      <c r="A75" s="28" t="inlineStr">
        <is>
          <t>MS1</t>
        </is>
      </c>
      <c r="B75" s="28" t="inlineStr">
        <is>
          <t>Target</t>
        </is>
      </c>
      <c r="C75" s="28" t="inlineStr">
        <is>
          <t>Resilient University</t>
        </is>
      </c>
      <c r="D75" s="28" t="inlineStr">
        <is>
          <t>Modern slavery and human rights</t>
        </is>
      </c>
      <c r="E75" s="28" t="inlineStr">
        <is>
          <t>Manage our approach to modern slavery and human rights-related risks and opportunities.</t>
        </is>
      </c>
    </row>
    <row r="76" ht="42" customHeight="1">
      <c r="A76" s="29" t="inlineStr">
        <is>
          <t>MS1(a)</t>
        </is>
      </c>
      <c r="B76" s="29" t="inlineStr">
        <is>
          <t>Indicator</t>
        </is>
      </c>
      <c r="C76" s="29" t="inlineStr">
        <is>
          <t>Resilient University</t>
        </is>
      </c>
      <c r="D76" s="29" t="inlineStr">
        <is>
          <t>Modern slavery and human rights</t>
        </is>
      </c>
      <c r="E76" s="29" t="inlineStr">
        <is>
          <t>Annual progress reporting via the Modern Slavery Statement</t>
        </is>
      </c>
      <c r="F76" s="29" t="inlineStr">
        <is>
          <t>Qualitative</t>
        </is>
      </c>
      <c r="G76" s="29" t="inlineStr"/>
      <c r="I76" s="30" t="n"/>
      <c r="J76" s="30" t="n"/>
      <c r="K76" s="30" t="n"/>
      <c r="L76" s="30" t="n"/>
      <c r="M76" s="30" t="n"/>
      <c r="N76" s="30" t="inlineStr">
        <is>
          <t>A and R</t>
        </is>
      </c>
      <c r="O76" s="30" t="n"/>
      <c r="P76" s="30" t="inlineStr">
        <is>
          <t>R</t>
        </is>
      </c>
      <c r="Q76" s="30" t="inlineStr">
        <is>
          <t>R</t>
        </is>
      </c>
      <c r="R76" s="30" t="n"/>
      <c r="S76" s="30" t="n"/>
      <c r="T76" s="30" t="n"/>
      <c r="U76" s="30" t="n"/>
      <c r="V76" s="30" t="n"/>
      <c r="W76" s="30" t="n"/>
      <c r="X76" s="30" t="n"/>
      <c r="Y76" s="30" t="n"/>
      <c r="Z76" s="30" t="n"/>
      <c r="AA76" s="30" t="n"/>
      <c r="AB76" s="30" t="n"/>
      <c r="AC76" s="30" t="inlineStr">
        <is>
          <t>S</t>
        </is>
      </c>
    </row>
    <row r="77">
      <c r="A77" s="27" t="inlineStr">
        <is>
          <t>RI</t>
        </is>
      </c>
      <c r="B77" s="27" t="inlineStr">
        <is>
          <t>Priority</t>
        </is>
      </c>
      <c r="C77" s="27" t="inlineStr"/>
      <c r="D77" s="27" t="inlineStr"/>
      <c r="E77" s="27" t="inlineStr">
        <is>
          <t>Responsible investments</t>
        </is>
      </c>
      <c r="F77" s="27" t="n"/>
      <c r="G77" s="27" t="n"/>
      <c r="H77" s="27" t="n"/>
      <c r="I77" s="27" t="n"/>
      <c r="J77" s="27" t="n"/>
      <c r="K77" s="27" t="n"/>
      <c r="L77" s="27" t="n"/>
      <c r="M77" s="27" t="n"/>
      <c r="N77" s="27" t="n"/>
      <c r="O77" s="27" t="n"/>
      <c r="P77" s="27" t="n"/>
      <c r="Q77" s="27" t="n"/>
      <c r="R77" s="27" t="n"/>
      <c r="S77" s="27" t="n"/>
      <c r="T77" s="27" t="n"/>
      <c r="U77" s="27" t="n"/>
      <c r="V77" s="27" t="n"/>
      <c r="W77" s="27" t="n"/>
      <c r="X77" s="27" t="n"/>
      <c r="Y77" s="27" t="n"/>
      <c r="Z77" s="27" t="n"/>
      <c r="AA77" s="27" t="n"/>
      <c r="AB77" s="27" t="n"/>
      <c r="AC77" s="27" t="n"/>
    </row>
    <row r="78" ht="45" customHeight="1">
      <c r="A78" s="28" t="inlineStr">
        <is>
          <t>RI1</t>
        </is>
      </c>
      <c r="B78" s="28" t="inlineStr">
        <is>
          <t>Target</t>
        </is>
      </c>
      <c r="C78" s="28" t="inlineStr">
        <is>
          <t>Resilient University</t>
        </is>
      </c>
      <c r="D78" s="28" t="inlineStr">
        <is>
          <t>Responsible investments</t>
        </is>
      </c>
      <c r="E78" s="28" t="inlineStr">
        <is>
          <t>Achieve net zero financed emissions for the University’s investment portfolio by 2050.</t>
        </is>
      </c>
    </row>
    <row r="79" ht="42" customHeight="1">
      <c r="A79" s="29" t="inlineStr">
        <is>
          <t>RI1(a)</t>
        </is>
      </c>
      <c r="B79" s="29" t="inlineStr">
        <is>
          <t>Indicator</t>
        </is>
      </c>
      <c r="C79" s="29" t="inlineStr">
        <is>
          <t>Resilient University</t>
        </is>
      </c>
      <c r="D79" s="29" t="inlineStr">
        <is>
          <t>Responsible investments</t>
        </is>
      </c>
      <c r="E79" s="29" t="inlineStr">
        <is>
          <t>Annual monitoring and reporting on the investment portfolio’s net zero transition progress, including tracking the percentage of assets under management (AUM) managed by investment managers aligned with (or committed to) net zero by 2050</t>
        </is>
      </c>
      <c r="F79" s="29" t="inlineStr">
        <is>
          <t>Quantitative</t>
        </is>
      </c>
      <c r="G79" s="29" t="inlineStr"/>
      <c r="I79" s="30" t="n"/>
      <c r="J79" s="30" t="n"/>
      <c r="K79" s="30" t="n"/>
      <c r="L79" s="30" t="n"/>
      <c r="M79" s="30" t="n"/>
      <c r="N79" s="30" t="inlineStr">
        <is>
          <t>A and R</t>
        </is>
      </c>
      <c r="O79" s="30" t="n"/>
      <c r="P79" s="30" t="n"/>
      <c r="Q79" s="30" t="n"/>
      <c r="R79" s="30" t="inlineStr">
        <is>
          <t>R (quant)</t>
        </is>
      </c>
      <c r="S79" s="30" t="n"/>
      <c r="T79" s="30" t="n"/>
      <c r="U79" s="30" t="n"/>
      <c r="V79" s="30" t="n"/>
      <c r="W79" s="30" t="n"/>
      <c r="X79" s="30" t="n"/>
      <c r="Y79" s="30" t="n"/>
      <c r="Z79" s="30" t="n"/>
      <c r="AA79" s="30" t="n"/>
      <c r="AB79" s="30" t="n"/>
      <c r="AC79" s="30" t="inlineStr">
        <is>
          <t>S</t>
        </is>
      </c>
    </row>
    <row r="80" ht="42" customHeight="1">
      <c r="A80" s="29" t="inlineStr">
        <is>
          <t>RI1(b)</t>
        </is>
      </c>
      <c r="B80" s="29" t="inlineStr">
        <is>
          <t>Indicator</t>
        </is>
      </c>
      <c r="C80" s="29" t="inlineStr">
        <is>
          <t>Resilient University</t>
        </is>
      </c>
      <c r="D80" s="29" t="inlineStr">
        <is>
          <t>Responsible investments</t>
        </is>
      </c>
      <c r="E80" s="29" t="inlineStr">
        <is>
          <t>Continuous improvement of the reporting of the University’s sustainability-related investment profile metrics, could include investment in climate mitigation and transition solutions, and compliance with related obligations (eg UNPRI).</t>
        </is>
      </c>
      <c r="F80" s="29" t="inlineStr">
        <is>
          <t>Mixed</t>
        </is>
      </c>
      <c r="G80" s="29" t="inlineStr"/>
      <c r="I80" s="30" t="n"/>
      <c r="J80" s="30" t="n"/>
      <c r="K80" s="30" t="n"/>
      <c r="L80" s="30" t="n"/>
      <c r="M80" s="30" t="n"/>
      <c r="N80" s="30" t="inlineStr">
        <is>
          <t>A and R</t>
        </is>
      </c>
      <c r="O80" s="30" t="n"/>
      <c r="P80" s="30" t="inlineStr">
        <is>
          <t>R</t>
        </is>
      </c>
      <c r="Q80" s="30" t="n"/>
      <c r="R80" s="30" t="inlineStr">
        <is>
          <t>R</t>
        </is>
      </c>
      <c r="S80" s="30" t="n"/>
      <c r="T80" s="30" t="n"/>
      <c r="U80" s="30" t="n"/>
      <c r="V80" s="30" t="n"/>
      <c r="W80" s="30" t="n"/>
      <c r="X80" s="30" t="n"/>
      <c r="Y80" s="30" t="n"/>
      <c r="Z80" s="30" t="n"/>
      <c r="AA80" s="30" t="n"/>
      <c r="AB80" s="30" t="n"/>
      <c r="AC80" s="30" t="inlineStr">
        <is>
          <t>S</t>
        </is>
      </c>
    </row>
    <row r="81">
      <c r="A81" s="26" t="inlineStr">
        <is>
          <t>D4</t>
        </is>
      </c>
      <c r="B81" s="26" t="inlineStr">
        <is>
          <t>Domain</t>
        </is>
      </c>
      <c r="C81" s="26" t="inlineStr"/>
      <c r="D81" s="26" t="inlineStr"/>
      <c r="E81" s="26" t="inlineStr">
        <is>
          <t>Enablers</t>
        </is>
      </c>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t="n"/>
      <c r="AA81" s="26" t="n"/>
      <c r="AB81" s="26" t="n"/>
      <c r="AC81" s="26" t="n"/>
    </row>
    <row r="82">
      <c r="A82" s="27" t="inlineStr">
        <is>
          <t>EN</t>
        </is>
      </c>
      <c r="B82" s="27" t="inlineStr">
        <is>
          <t>Priority</t>
        </is>
      </c>
      <c r="C82" s="27" t="inlineStr"/>
      <c r="D82" s="27" t="inlineStr"/>
      <c r="E82" s="27" t="inlineStr">
        <is>
          <t>Enablers</t>
        </is>
      </c>
      <c r="F82" s="27" t="n"/>
      <c r="G82" s="27" t="n"/>
      <c r="H82" s="27" t="n"/>
      <c r="I82" s="27" t="n"/>
      <c r="J82" s="27" t="n"/>
      <c r="K82" s="27" t="n"/>
      <c r="L82" s="27" t="n"/>
      <c r="M82" s="27" t="n"/>
      <c r="N82" s="27" t="n"/>
      <c r="O82" s="27" t="n"/>
      <c r="P82" s="27" t="n"/>
      <c r="Q82" s="27" t="n"/>
      <c r="R82" s="27" t="n"/>
      <c r="S82" s="27" t="n"/>
      <c r="T82" s="27" t="n"/>
      <c r="U82" s="27" t="n"/>
      <c r="V82" s="27" t="n"/>
      <c r="W82" s="27" t="n"/>
      <c r="X82" s="27" t="n"/>
      <c r="Y82" s="27" t="n"/>
      <c r="Z82" s="27" t="n"/>
      <c r="AA82" s="27" t="n"/>
      <c r="AB82" s="27" t="n"/>
      <c r="AC82" s="27" t="n"/>
    </row>
    <row r="83" ht="45" customHeight="1">
      <c r="A83" s="28" t="inlineStr">
        <is>
          <t>EN1</t>
        </is>
      </c>
      <c r="B83" s="28" t="inlineStr">
        <is>
          <t>Target</t>
        </is>
      </c>
      <c r="C83" s="28" t="inlineStr">
        <is>
          <t>Enablers</t>
        </is>
      </c>
      <c r="D83" s="28" t="inlineStr">
        <is>
          <t>Enablers</t>
        </is>
      </c>
      <c r="E83" s="28" t="inlineStr">
        <is>
          <t>Enablers</t>
        </is>
      </c>
    </row>
    <row r="84" ht="42" customHeight="1">
      <c r="A84" s="29" t="inlineStr">
        <is>
          <t>EN1(a)</t>
        </is>
      </c>
      <c r="B84" s="29" t="inlineStr">
        <is>
          <t>Indicator</t>
        </is>
      </c>
      <c r="C84" s="29" t="inlineStr">
        <is>
          <t>Enablers</t>
        </is>
      </c>
      <c r="D84" s="29" t="inlineStr">
        <is>
          <t>Enablers</t>
        </is>
      </c>
      <c r="E84" s="29" t="inlineStr">
        <is>
          <t>Evidence of sustainability outcomes informed by Indigenous knowledges</t>
        </is>
      </c>
      <c r="F84" s="29" t="inlineStr">
        <is>
          <t>Qualitative</t>
        </is>
      </c>
      <c r="G84" s="29" t="inlineStr">
        <is>
          <t>6a</t>
        </is>
      </c>
      <c r="I84" s="30" t="inlineStr">
        <is>
          <t>A and R</t>
        </is>
      </c>
      <c r="J84" s="30" t="inlineStr">
        <is>
          <t>R</t>
        </is>
      </c>
      <c r="K84" s="30" t="inlineStr">
        <is>
          <t>R</t>
        </is>
      </c>
      <c r="L84" s="30" t="inlineStr">
        <is>
          <t>R</t>
        </is>
      </c>
      <c r="M84" s="30" t="inlineStr">
        <is>
          <t>R</t>
        </is>
      </c>
      <c r="N84" s="30" t="n"/>
      <c r="O84" s="30" t="n"/>
      <c r="P84" s="30" t="n"/>
      <c r="Q84" s="30" t="n"/>
      <c r="R84" s="30" t="n"/>
      <c r="S84" s="30" t="n"/>
      <c r="T84" s="30" t="n"/>
      <c r="U84" s="30" t="n"/>
      <c r="V84" s="30" t="inlineStr">
        <is>
          <t>A and R</t>
        </is>
      </c>
      <c r="W84" s="30" t="n"/>
      <c r="X84" s="30" t="n"/>
      <c r="Y84" s="30" t="inlineStr">
        <is>
          <t>R</t>
        </is>
      </c>
      <c r="Z84" s="30" t="n"/>
      <c r="AA84" s="30" t="n"/>
      <c r="AB84" s="30" t="inlineStr">
        <is>
          <t>R</t>
        </is>
      </c>
      <c r="AC84" s="30" t="inlineStr">
        <is>
          <t>S</t>
        </is>
      </c>
    </row>
    <row r="85" ht="42" customHeight="1">
      <c r="A85" s="29" t="inlineStr">
        <is>
          <t>EN1(b)</t>
        </is>
      </c>
      <c r="B85" s="29" t="inlineStr">
        <is>
          <t>Indicator</t>
        </is>
      </c>
      <c r="C85" s="29" t="inlineStr">
        <is>
          <t>Enablers</t>
        </is>
      </c>
      <c r="D85" s="29" t="inlineStr">
        <is>
          <t>Enablers</t>
        </is>
      </c>
      <c r="E85" s="29" t="inlineStr">
        <is>
          <t>Living laboratories enabling applied learning, research and operational sustainability outcomes</t>
        </is>
      </c>
      <c r="F85" s="29" t="inlineStr">
        <is>
          <t>Mixed</t>
        </is>
      </c>
      <c r="G85" s="29" t="inlineStr">
        <is>
          <t>2a</t>
        </is>
      </c>
      <c r="I85" s="30" t="inlineStr">
        <is>
          <t>A and R</t>
        </is>
      </c>
      <c r="J85" s="30" t="inlineStr">
        <is>
          <t>R</t>
        </is>
      </c>
      <c r="K85" s="30" t="inlineStr">
        <is>
          <t>R</t>
        </is>
      </c>
      <c r="L85" s="30" t="inlineStr">
        <is>
          <t>R</t>
        </is>
      </c>
      <c r="M85" s="30" t="inlineStr">
        <is>
          <t>R</t>
        </is>
      </c>
      <c r="N85" s="30" t="inlineStr">
        <is>
          <t>A and R</t>
        </is>
      </c>
      <c r="O85" s="30" t="inlineStr">
        <is>
          <t>R (quant)</t>
        </is>
      </c>
      <c r="P85" s="30" t="inlineStr">
        <is>
          <t>R</t>
        </is>
      </c>
      <c r="Q85" s="30" t="n"/>
      <c r="R85" s="30" t="n"/>
      <c r="S85" s="30" t="n"/>
      <c r="T85" s="30" t="n"/>
      <c r="U85" s="30" t="n"/>
      <c r="V85" s="30" t="n"/>
      <c r="W85" s="30" t="n"/>
      <c r="X85" s="30" t="n"/>
      <c r="Y85" s="30" t="n"/>
      <c r="Z85" s="30" t="n"/>
      <c r="AA85" s="30" t="n"/>
      <c r="AB85" s="30" t="n"/>
      <c r="AC85" s="30" t="inlineStr">
        <is>
          <t>S</t>
        </is>
      </c>
    </row>
    <row r="86" ht="42" customHeight="1">
      <c r="A86" s="29" t="inlineStr">
        <is>
          <t>EN1(c)</t>
        </is>
      </c>
      <c r="B86" s="29" t="inlineStr">
        <is>
          <t>Indicator</t>
        </is>
      </c>
      <c r="C86" s="29" t="inlineStr">
        <is>
          <t>Enablers</t>
        </is>
      </c>
      <c r="D86" s="29" t="inlineStr">
        <is>
          <t>Enablers</t>
        </is>
      </c>
      <c r="E86" s="29" t="inlineStr">
        <is>
          <t>Coordinated internal engagement and external partnerships contributing to delivery of sustainability outcomes across priority areas.</t>
        </is>
      </c>
      <c r="F86" s="29" t="inlineStr">
        <is>
          <t>Qualitative</t>
        </is>
      </c>
      <c r="G86" s="29" t="inlineStr">
        <is>
          <t>3a(ii)</t>
        </is>
      </c>
      <c r="I86" s="30" t="inlineStr">
        <is>
          <t>A and R</t>
        </is>
      </c>
      <c r="J86" s="30" t="inlineStr">
        <is>
          <t>R</t>
        </is>
      </c>
      <c r="K86" s="30" t="inlineStr">
        <is>
          <t>R</t>
        </is>
      </c>
      <c r="L86" s="30" t="inlineStr">
        <is>
          <t>R</t>
        </is>
      </c>
      <c r="M86" s="30" t="inlineStr">
        <is>
          <t>R</t>
        </is>
      </c>
      <c r="N86" s="30" t="inlineStr">
        <is>
          <t>A and R</t>
        </is>
      </c>
      <c r="O86" s="30" t="n"/>
      <c r="P86" s="30" t="inlineStr">
        <is>
          <t>R</t>
        </is>
      </c>
      <c r="Q86" s="30" t="inlineStr">
        <is>
          <t>R</t>
        </is>
      </c>
      <c r="R86" s="30" t="n"/>
      <c r="S86" s="30" t="inlineStr">
        <is>
          <t>R</t>
        </is>
      </c>
      <c r="T86" s="30" t="inlineStr">
        <is>
          <t>R</t>
        </is>
      </c>
      <c r="U86" s="30" t="n"/>
      <c r="V86" s="30" t="inlineStr">
        <is>
          <t>A and R</t>
        </is>
      </c>
      <c r="W86" s="30" t="n"/>
      <c r="X86" s="30" t="inlineStr">
        <is>
          <t>R</t>
        </is>
      </c>
      <c r="Y86" s="30" t="inlineStr">
        <is>
          <t>R</t>
        </is>
      </c>
      <c r="Z86" s="30" t="inlineStr">
        <is>
          <t>R</t>
        </is>
      </c>
      <c r="AA86" s="30" t="n"/>
      <c r="AB86" s="30" t="n"/>
      <c r="AC86" s="30" t="inlineStr">
        <is>
          <t>S</t>
        </is>
      </c>
    </row>
    <row r="87" ht="42" customHeight="1">
      <c r="A87" s="29" t="inlineStr">
        <is>
          <t>EN1(d)</t>
        </is>
      </c>
      <c r="B87" s="29" t="inlineStr">
        <is>
          <t>Indicator</t>
        </is>
      </c>
      <c r="C87" s="29" t="inlineStr">
        <is>
          <t>Enablers</t>
        </is>
      </c>
      <c r="D87" s="29" t="inlineStr">
        <is>
          <t>Enablers</t>
        </is>
      </c>
      <c r="E87" s="29" t="inlineStr">
        <is>
          <t>Sustainability objectives integrated into governance and decision‑making processes, supported by transparent reporting.</t>
        </is>
      </c>
      <c r="F87" s="29" t="inlineStr">
        <is>
          <t>Qualitative</t>
        </is>
      </c>
      <c r="G87" s="29" t="inlineStr"/>
      <c r="I87" s="30" t="n"/>
      <c r="J87" s="30" t="n"/>
      <c r="K87" s="30" t="n"/>
      <c r="L87" s="30" t="n"/>
      <c r="M87" s="30" t="n"/>
      <c r="N87" s="30" t="inlineStr">
        <is>
          <t>A and R</t>
        </is>
      </c>
      <c r="O87" s="30" t="n"/>
      <c r="P87" s="30" t="inlineStr">
        <is>
          <t>R</t>
        </is>
      </c>
      <c r="Q87" s="30" t="inlineStr">
        <is>
          <t>R</t>
        </is>
      </c>
      <c r="R87" s="30" t="n"/>
      <c r="S87" s="30" t="inlineStr">
        <is>
          <t>R</t>
        </is>
      </c>
      <c r="T87" s="30" t="inlineStr">
        <is>
          <t>R</t>
        </is>
      </c>
      <c r="U87" s="30" t="n"/>
      <c r="V87" s="30" t="n"/>
      <c r="W87" s="30" t="n"/>
      <c r="X87" s="30" t="n"/>
      <c r="Y87" s="30" t="n"/>
      <c r="Z87" s="30" t="n"/>
      <c r="AA87" s="30" t="n"/>
      <c r="AB87" s="30" t="n"/>
      <c r="AC87" s="30" t="inlineStr">
        <is>
          <t>S</t>
        </is>
      </c>
    </row>
    <row r="89">
      <c r="E89" s="31" t="inlineStr">
        <is>
          <t>Summary</t>
        </is>
      </c>
    </row>
    <row r="90" ht="45" customHeight="1">
      <c r="E90" s="32" t="inlineStr">
        <is>
          <t>Area &gt;&gt;</t>
        </is>
      </c>
      <c r="I90" s="33">
        <f>I6</f>
        <v/>
      </c>
      <c r="J90" s="33">
        <f>J6</f>
        <v/>
      </c>
      <c r="K90" s="33">
        <f>K6</f>
        <v/>
      </c>
      <c r="L90" s="33">
        <f>L6</f>
        <v/>
      </c>
      <c r="M90" s="33">
        <f>M6</f>
        <v/>
      </c>
      <c r="N90" s="33">
        <f>N6</f>
        <v/>
      </c>
      <c r="O90" s="33">
        <f>O6</f>
        <v/>
      </c>
      <c r="P90" s="33">
        <f>P6</f>
        <v/>
      </c>
      <c r="Q90" s="33">
        <f>Q6</f>
        <v/>
      </c>
      <c r="R90" s="33">
        <f>R6</f>
        <v/>
      </c>
      <c r="S90" s="33">
        <f>S6</f>
        <v/>
      </c>
      <c r="T90" s="33">
        <f>T6</f>
        <v/>
      </c>
      <c r="U90" s="33">
        <f>U6</f>
        <v/>
      </c>
      <c r="V90" s="33">
        <f>V6</f>
        <v/>
      </c>
      <c r="W90" s="33">
        <f>W6</f>
        <v/>
      </c>
      <c r="X90" s="33">
        <f>X6</f>
        <v/>
      </c>
      <c r="Y90" s="33">
        <f>Y6</f>
        <v/>
      </c>
      <c r="Z90" s="33">
        <f>Z6</f>
        <v/>
      </c>
      <c r="AA90" s="33">
        <f>AA6</f>
        <v/>
      </c>
      <c r="AB90" s="33">
        <f>AB6</f>
        <v/>
      </c>
      <c r="AC90" s="33">
        <f>AC6</f>
        <v/>
      </c>
    </row>
    <row r="91">
      <c r="E91" t="inlineStr">
        <is>
          <t>Accountable</t>
        </is>
      </c>
      <c r="F91" s="34" t="inlineStr">
        <is>
          <t>A</t>
        </is>
      </c>
      <c r="I91" s="35">
        <f>COUNTIF(I10:I87,$F91)</f>
        <v/>
      </c>
      <c r="J91" s="35">
        <f>COUNTIF(J10:J87,$F91)</f>
        <v/>
      </c>
      <c r="K91" s="35">
        <f>COUNTIF(K10:K87,$F91)</f>
        <v/>
      </c>
      <c r="L91" s="35">
        <f>COUNTIF(L10:L87,$F91)</f>
        <v/>
      </c>
      <c r="M91" s="35">
        <f>COUNTIF(M10:M87,$F91)</f>
        <v/>
      </c>
      <c r="N91" s="35">
        <f>COUNTIF(N10:N87,$F91)</f>
        <v/>
      </c>
      <c r="O91" s="35">
        <f>COUNTIF(O10:O87,$F91)</f>
        <v/>
      </c>
      <c r="P91" s="35">
        <f>COUNTIF(P10:P87,$F91)</f>
        <v/>
      </c>
      <c r="Q91" s="35">
        <f>COUNTIF(Q10:Q87,$F91)</f>
        <v/>
      </c>
      <c r="R91" s="35">
        <f>COUNTIF(R10:R87,$F91)</f>
        <v/>
      </c>
      <c r="S91" s="35">
        <f>COUNTIF(S10:S87,$F91)</f>
        <v/>
      </c>
      <c r="T91" s="35">
        <f>COUNTIF(T10:T87,$F91)</f>
        <v/>
      </c>
      <c r="U91" s="35">
        <f>COUNTIF(U10:U87,$F91)</f>
        <v/>
      </c>
      <c r="V91" s="35">
        <f>COUNTIF(V10:V87,$F91)</f>
        <v/>
      </c>
      <c r="W91" s="35">
        <f>COUNTIF(W10:W87,$F91)</f>
        <v/>
      </c>
      <c r="X91" s="35">
        <f>COUNTIF(X10:X87,$F91)</f>
        <v/>
      </c>
      <c r="Y91" s="35">
        <f>COUNTIF(Y10:Y87,$F91)</f>
        <v/>
      </c>
      <c r="Z91" s="35">
        <f>COUNTIF(Z10:Z87,$F91)</f>
        <v/>
      </c>
      <c r="AA91" s="35">
        <f>COUNTIF(AA10:AA87,$F91)</f>
        <v/>
      </c>
      <c r="AB91" s="35">
        <f>COUNTIF(AB10:AB87,$F91)</f>
        <v/>
      </c>
      <c r="AC91" s="35">
        <f>COUNTIF(AC10:AC87,$F91)</f>
        <v/>
      </c>
    </row>
    <row r="92">
      <c r="E92" t="inlineStr">
        <is>
          <t>Accountable and Responsible</t>
        </is>
      </c>
      <c r="F92" s="36" t="inlineStr">
        <is>
          <t>A and R</t>
        </is>
      </c>
      <c r="I92" s="35">
        <f>COUNTIF(I10:I87,$F92)</f>
        <v/>
      </c>
      <c r="J92" s="35">
        <f>COUNTIF(J10:J87,$F92)</f>
        <v/>
      </c>
      <c r="K92" s="35">
        <f>COUNTIF(K10:K87,$F92)</f>
        <v/>
      </c>
      <c r="L92" s="35">
        <f>COUNTIF(L10:L87,$F92)</f>
        <v/>
      </c>
      <c r="M92" s="35">
        <f>COUNTIF(M10:M87,$F92)</f>
        <v/>
      </c>
      <c r="N92" s="35">
        <f>COUNTIF(N10:N87,$F92)</f>
        <v/>
      </c>
      <c r="O92" s="35">
        <f>COUNTIF(O10:O87,$F92)</f>
        <v/>
      </c>
      <c r="P92" s="35">
        <f>COUNTIF(P10:P87,$F92)</f>
        <v/>
      </c>
      <c r="Q92" s="35">
        <f>COUNTIF(Q10:Q87,$F92)</f>
        <v/>
      </c>
      <c r="R92" s="35">
        <f>COUNTIF(R10:R87,$F92)</f>
        <v/>
      </c>
      <c r="S92" s="35">
        <f>COUNTIF(S10:S87,$F92)</f>
        <v/>
      </c>
      <c r="T92" s="35">
        <f>COUNTIF(T10:T87,$F92)</f>
        <v/>
      </c>
      <c r="U92" s="35">
        <f>COUNTIF(U10:U87,$F92)</f>
        <v/>
      </c>
      <c r="V92" s="35">
        <f>COUNTIF(V10:V87,$F92)</f>
        <v/>
      </c>
      <c r="W92" s="35">
        <f>COUNTIF(W10:W87,$F92)</f>
        <v/>
      </c>
      <c r="X92" s="35">
        <f>COUNTIF(X10:X87,$F92)</f>
        <v/>
      </c>
      <c r="Y92" s="35">
        <f>COUNTIF(Y10:Y87,$F92)</f>
        <v/>
      </c>
      <c r="Z92" s="35">
        <f>COUNTIF(Z10:Z87,$F92)</f>
        <v/>
      </c>
      <c r="AA92" s="35">
        <f>COUNTIF(AA10:AA87,$F92)</f>
        <v/>
      </c>
      <c r="AB92" s="35">
        <f>COUNTIF(AB10:AB87,$F92)</f>
        <v/>
      </c>
      <c r="AC92" s="35">
        <f>COUNTIF(AC10:AC87,$F92)</f>
        <v/>
      </c>
    </row>
    <row r="93">
      <c r="E93" t="inlineStr">
        <is>
          <t>Responsible – narrative request</t>
        </is>
      </c>
      <c r="F93" s="37" t="inlineStr">
        <is>
          <t>R</t>
        </is>
      </c>
      <c r="I93" s="35">
        <f>COUNTIF(I10:I87,$F93)</f>
        <v/>
      </c>
      <c r="J93" s="35">
        <f>COUNTIF(J10:J87,$F93)</f>
        <v/>
      </c>
      <c r="K93" s="35">
        <f>COUNTIF(K10:K87,$F93)</f>
        <v/>
      </c>
      <c r="L93" s="35">
        <f>COUNTIF(L10:L87,$F93)</f>
        <v/>
      </c>
      <c r="M93" s="35">
        <f>COUNTIF(M10:M87,$F93)</f>
        <v/>
      </c>
      <c r="N93" s="35">
        <f>COUNTIF(N10:N87,$F93)</f>
        <v/>
      </c>
      <c r="O93" s="35">
        <f>COUNTIF(O10:O87,$F93)</f>
        <v/>
      </c>
      <c r="P93" s="35">
        <f>COUNTIF(P10:P87,$F93)</f>
        <v/>
      </c>
      <c r="Q93" s="35">
        <f>COUNTIF(Q10:Q87,$F93)</f>
        <v/>
      </c>
      <c r="R93" s="35">
        <f>COUNTIF(R10:R87,$F93)</f>
        <v/>
      </c>
      <c r="S93" s="35">
        <f>COUNTIF(S10:S87,$F93)</f>
        <v/>
      </c>
      <c r="T93" s="35">
        <f>COUNTIF(T10:T87,$F93)</f>
        <v/>
      </c>
      <c r="U93" s="35">
        <f>COUNTIF(U10:U87,$F93)</f>
        <v/>
      </c>
      <c r="V93" s="35">
        <f>COUNTIF(V10:V87,$F93)</f>
        <v/>
      </c>
      <c r="W93" s="35">
        <f>COUNTIF(W10:W87,$F93)</f>
        <v/>
      </c>
      <c r="X93" s="35">
        <f>COUNTIF(X10:X87,$F93)</f>
        <v/>
      </c>
      <c r="Y93" s="35">
        <f>COUNTIF(Y10:Y87,$F93)</f>
        <v/>
      </c>
      <c r="Z93" s="35">
        <f>COUNTIF(Z10:Z87,$F93)</f>
        <v/>
      </c>
      <c r="AA93" s="35">
        <f>COUNTIF(AA10:AA87,$F93)</f>
        <v/>
      </c>
      <c r="AB93" s="35">
        <f>COUNTIF(AB10:AB87,$F93)</f>
        <v/>
      </c>
      <c r="AC93" s="35">
        <f>COUNTIF(AC10:AC87,$F93)</f>
        <v/>
      </c>
    </row>
    <row r="94">
      <c r="E94" t="inlineStr">
        <is>
          <t>Responsible – figures for the Databook (Tab 4)</t>
        </is>
      </c>
      <c r="F94" s="38" t="inlineStr">
        <is>
          <t>R (quant)</t>
        </is>
      </c>
      <c r="I94" s="35">
        <f>COUNTIF(I10:I87,$F94)</f>
        <v/>
      </c>
      <c r="J94" s="35">
        <f>COUNTIF(J10:J87,$F94)</f>
        <v/>
      </c>
      <c r="K94" s="35">
        <f>COUNTIF(K10:K87,$F94)</f>
        <v/>
      </c>
      <c r="L94" s="35">
        <f>COUNTIF(L10:L87,$F94)</f>
        <v/>
      </c>
      <c r="M94" s="35">
        <f>COUNTIF(M10:M87,$F94)</f>
        <v/>
      </c>
      <c r="N94" s="35">
        <f>COUNTIF(N10:N87,$F94)</f>
        <v/>
      </c>
      <c r="O94" s="35">
        <f>COUNTIF(O10:O87,$F94)</f>
        <v/>
      </c>
      <c r="P94" s="35">
        <f>COUNTIF(P10:P87,$F94)</f>
        <v/>
      </c>
      <c r="Q94" s="35">
        <f>COUNTIF(Q10:Q87,$F94)</f>
        <v/>
      </c>
      <c r="R94" s="35">
        <f>COUNTIF(R10:R87,$F94)</f>
        <v/>
      </c>
      <c r="S94" s="35">
        <f>COUNTIF(S10:S87,$F94)</f>
        <v/>
      </c>
      <c r="T94" s="35">
        <f>COUNTIF(T10:T87,$F94)</f>
        <v/>
      </c>
      <c r="U94" s="35">
        <f>COUNTIF(U10:U87,$F94)</f>
        <v/>
      </c>
      <c r="V94" s="35">
        <f>COUNTIF(V10:V87,$F94)</f>
        <v/>
      </c>
      <c r="W94" s="35">
        <f>COUNTIF(W10:W87,$F94)</f>
        <v/>
      </c>
      <c r="X94" s="35">
        <f>COUNTIF(X10:X87,$F94)</f>
        <v/>
      </c>
      <c r="Y94" s="35">
        <f>COUNTIF(Y10:Y87,$F94)</f>
        <v/>
      </c>
      <c r="Z94" s="35">
        <f>COUNTIF(Z10:Z87,$F94)</f>
        <v/>
      </c>
      <c r="AA94" s="35">
        <f>COUNTIF(AA10:AA87,$F94)</f>
        <v/>
      </c>
      <c r="AB94" s="35">
        <f>COUNTIF(AB10:AB87,$F94)</f>
        <v/>
      </c>
      <c r="AC94" s="35">
        <f>COUNTIF(AC10:AC87,$F94)</f>
        <v/>
      </c>
    </row>
    <row r="95">
      <c r="E95" t="inlineStr">
        <is>
          <t>SST compiles from other responses / no request</t>
        </is>
      </c>
      <c r="F95" s="39" t="inlineStr">
        <is>
          <t>R (compile)</t>
        </is>
      </c>
      <c r="I95" s="35">
        <f>COUNTIF(I10:I87,$F95)</f>
        <v/>
      </c>
      <c r="J95" s="35">
        <f>COUNTIF(J10:J87,$F95)</f>
        <v/>
      </c>
      <c r="K95" s="35">
        <f>COUNTIF(K10:K87,$F95)</f>
        <v/>
      </c>
      <c r="L95" s="35">
        <f>COUNTIF(L10:L87,$F95)</f>
        <v/>
      </c>
      <c r="M95" s="35">
        <f>COUNTIF(M10:M87,$F95)</f>
        <v/>
      </c>
      <c r="N95" s="35">
        <f>COUNTIF(N10:N87,$F95)</f>
        <v/>
      </c>
      <c r="O95" s="35">
        <f>COUNTIF(O10:O87,$F95)</f>
        <v/>
      </c>
      <c r="P95" s="35">
        <f>COUNTIF(P10:P87,$F95)</f>
        <v/>
      </c>
      <c r="Q95" s="35">
        <f>COUNTIF(Q10:Q87,$F95)</f>
        <v/>
      </c>
      <c r="R95" s="35">
        <f>COUNTIF(R10:R87,$F95)</f>
        <v/>
      </c>
      <c r="S95" s="35">
        <f>COUNTIF(S10:S87,$F95)</f>
        <v/>
      </c>
      <c r="T95" s="35">
        <f>COUNTIF(T10:T87,$F95)</f>
        <v/>
      </c>
      <c r="U95" s="35">
        <f>COUNTIF(U10:U87,$F95)</f>
        <v/>
      </c>
      <c r="V95" s="35">
        <f>COUNTIF(V10:V87,$F95)</f>
        <v/>
      </c>
      <c r="W95" s="35">
        <f>COUNTIF(W10:W87,$F95)</f>
        <v/>
      </c>
      <c r="X95" s="35">
        <f>COUNTIF(X10:X87,$F95)</f>
        <v/>
      </c>
      <c r="Y95" s="35">
        <f>COUNTIF(Y10:Y87,$F95)</f>
        <v/>
      </c>
      <c r="Z95" s="35">
        <f>COUNTIF(Z10:Z87,$F95)</f>
        <v/>
      </c>
      <c r="AA95" s="35">
        <f>COUNTIF(AA10:AA87,$F95)</f>
        <v/>
      </c>
      <c r="AB95" s="35">
        <f>COUNTIF(AB10:AB87,$F95)</f>
        <v/>
      </c>
      <c r="AC95" s="35">
        <f>COUNTIF(AC10:AC87,$F95)</f>
        <v/>
      </c>
    </row>
    <row r="96">
      <c r="E96" t="inlineStr">
        <is>
          <t>Support</t>
        </is>
      </c>
      <c r="F96" s="40" t="inlineStr">
        <is>
          <t>S</t>
        </is>
      </c>
      <c r="I96" s="35">
        <f>COUNTIF(I10:I87,$F96)</f>
        <v/>
      </c>
      <c r="J96" s="35">
        <f>COUNTIF(J10:J87,$F96)</f>
        <v/>
      </c>
      <c r="K96" s="35">
        <f>COUNTIF(K10:K87,$F96)</f>
        <v/>
      </c>
      <c r="L96" s="35">
        <f>COUNTIF(L10:L87,$F96)</f>
        <v/>
      </c>
      <c r="M96" s="35">
        <f>COUNTIF(M10:M87,$F96)</f>
        <v/>
      </c>
      <c r="N96" s="35">
        <f>COUNTIF(N10:N87,$F96)</f>
        <v/>
      </c>
      <c r="O96" s="35">
        <f>COUNTIF(O10:O87,$F96)</f>
        <v/>
      </c>
      <c r="P96" s="35">
        <f>COUNTIF(P10:P87,$F96)</f>
        <v/>
      </c>
      <c r="Q96" s="35">
        <f>COUNTIF(Q10:Q87,$F96)</f>
        <v/>
      </c>
      <c r="R96" s="35">
        <f>COUNTIF(R10:R87,$F96)</f>
        <v/>
      </c>
      <c r="S96" s="35">
        <f>COUNTIF(S10:S87,$F96)</f>
        <v/>
      </c>
      <c r="T96" s="35">
        <f>COUNTIF(T10:T87,$F96)</f>
        <v/>
      </c>
      <c r="U96" s="35">
        <f>COUNTIF(U10:U87,$F96)</f>
        <v/>
      </c>
      <c r="V96" s="35">
        <f>COUNTIF(V10:V87,$F96)</f>
        <v/>
      </c>
      <c r="W96" s="35">
        <f>COUNTIF(W10:W87,$F96)</f>
        <v/>
      </c>
      <c r="X96" s="35">
        <f>COUNTIF(X10:X87,$F96)</f>
        <v/>
      </c>
      <c r="Y96" s="35">
        <f>COUNTIF(Y10:Y87,$F96)</f>
        <v/>
      </c>
      <c r="Z96" s="35">
        <f>COUNTIF(Z10:Z87,$F96)</f>
        <v/>
      </c>
      <c r="AA96" s="35">
        <f>COUNTIF(AA10:AA87,$F96)</f>
        <v/>
      </c>
      <c r="AB96" s="35">
        <f>COUNTIF(AB10:AB87,$F96)</f>
        <v/>
      </c>
      <c r="AC96" s="35">
        <f>COUNTIF(AC10:AC87,$F96)</f>
        <v/>
      </c>
    </row>
    <row r="97">
      <c r="E97" t="inlineStr">
        <is>
          <t>Consulted</t>
        </is>
      </c>
      <c r="F97" s="41" t="inlineStr">
        <is>
          <t>C</t>
        </is>
      </c>
      <c r="I97" s="35">
        <f>COUNTIF(I10:I87,$F97)</f>
        <v/>
      </c>
      <c r="J97" s="35">
        <f>COUNTIF(J10:J87,$F97)</f>
        <v/>
      </c>
      <c r="K97" s="35">
        <f>COUNTIF(K10:K87,$F97)</f>
        <v/>
      </c>
      <c r="L97" s="35">
        <f>COUNTIF(L10:L87,$F97)</f>
        <v/>
      </c>
      <c r="M97" s="35">
        <f>COUNTIF(M10:M87,$F97)</f>
        <v/>
      </c>
      <c r="N97" s="35">
        <f>COUNTIF(N10:N87,$F97)</f>
        <v/>
      </c>
      <c r="O97" s="35">
        <f>COUNTIF(O10:O87,$F97)</f>
        <v/>
      </c>
      <c r="P97" s="35">
        <f>COUNTIF(P10:P87,$F97)</f>
        <v/>
      </c>
      <c r="Q97" s="35">
        <f>COUNTIF(Q10:Q87,$F97)</f>
        <v/>
      </c>
      <c r="R97" s="35">
        <f>COUNTIF(R10:R87,$F97)</f>
        <v/>
      </c>
      <c r="S97" s="35">
        <f>COUNTIF(S10:S87,$F97)</f>
        <v/>
      </c>
      <c r="T97" s="35">
        <f>COUNTIF(T10:T87,$F97)</f>
        <v/>
      </c>
      <c r="U97" s="35">
        <f>COUNTIF(U10:U87,$F97)</f>
        <v/>
      </c>
      <c r="V97" s="35">
        <f>COUNTIF(V10:V87,$F97)</f>
        <v/>
      </c>
      <c r="W97" s="35">
        <f>COUNTIF(W10:W87,$F97)</f>
        <v/>
      </c>
      <c r="X97" s="35">
        <f>COUNTIF(X10:X87,$F97)</f>
        <v/>
      </c>
      <c r="Y97" s="35">
        <f>COUNTIF(Y10:Y87,$F97)</f>
        <v/>
      </c>
      <c r="Z97" s="35">
        <f>COUNTIF(Z10:Z87,$F97)</f>
        <v/>
      </c>
      <c r="AA97" s="35">
        <f>COUNTIF(AA10:AA87,$F97)</f>
        <v/>
      </c>
      <c r="AB97" s="35">
        <f>COUNTIF(AB10:AB87,$F97)</f>
        <v/>
      </c>
      <c r="AC97" s="35">
        <f>COUNTIF(AC10:AC87,$F97)</f>
        <v/>
      </c>
    </row>
    <row r="98">
      <c r="E98" t="inlineStr">
        <is>
          <t>Informed</t>
        </is>
      </c>
      <c r="F98" s="42" t="inlineStr">
        <is>
          <t>I</t>
        </is>
      </c>
      <c r="I98" s="35">
        <f>COUNTIF(I10:I87,$F98)</f>
        <v/>
      </c>
      <c r="J98" s="35">
        <f>COUNTIF(J10:J87,$F98)</f>
        <v/>
      </c>
      <c r="K98" s="35">
        <f>COUNTIF(K10:K87,$F98)</f>
        <v/>
      </c>
      <c r="L98" s="35">
        <f>COUNTIF(L10:L87,$F98)</f>
        <v/>
      </c>
      <c r="M98" s="35">
        <f>COUNTIF(M10:M87,$F98)</f>
        <v/>
      </c>
      <c r="N98" s="35">
        <f>COUNTIF(N10:N87,$F98)</f>
        <v/>
      </c>
      <c r="O98" s="35">
        <f>COUNTIF(O10:O87,$F98)</f>
        <v/>
      </c>
      <c r="P98" s="35">
        <f>COUNTIF(P10:P87,$F98)</f>
        <v/>
      </c>
      <c r="Q98" s="35">
        <f>COUNTIF(Q10:Q87,$F98)</f>
        <v/>
      </c>
      <c r="R98" s="35">
        <f>COUNTIF(R10:R87,$F98)</f>
        <v/>
      </c>
      <c r="S98" s="35">
        <f>COUNTIF(S10:S87,$F98)</f>
        <v/>
      </c>
      <c r="T98" s="35">
        <f>COUNTIF(T10:T87,$F98)</f>
        <v/>
      </c>
      <c r="U98" s="35">
        <f>COUNTIF(U10:U87,$F98)</f>
        <v/>
      </c>
      <c r="V98" s="35">
        <f>COUNTIF(V10:V87,$F98)</f>
        <v/>
      </c>
      <c r="W98" s="35">
        <f>COUNTIF(W10:W87,$F98)</f>
        <v/>
      </c>
      <c r="X98" s="35">
        <f>COUNTIF(X10:X87,$F98)</f>
        <v/>
      </c>
      <c r="Y98" s="35">
        <f>COUNTIF(Y10:Y87,$F98)</f>
        <v/>
      </c>
      <c r="Z98" s="35">
        <f>COUNTIF(Z10:Z87,$F98)</f>
        <v/>
      </c>
      <c r="AA98" s="35">
        <f>COUNTIF(AA10:AA87,$F98)</f>
        <v/>
      </c>
      <c r="AB98" s="35">
        <f>COUNTIF(AB10:AB87,$F98)</f>
        <v/>
      </c>
      <c r="AC98" s="35">
        <f>COUNTIF(AC10:AC87,$F98)</f>
        <v/>
      </c>
    </row>
    <row r="99">
      <c r="E99" s="32" t="inlineStr">
        <is>
          <t>Total A</t>
        </is>
      </c>
      <c r="I99" s="23">
        <f>I91+I92</f>
        <v/>
      </c>
      <c r="J99" s="23">
        <f>J91+J92</f>
        <v/>
      </c>
      <c r="K99" s="23">
        <f>K91+K92</f>
        <v/>
      </c>
      <c r="L99" s="23">
        <f>L91+L92</f>
        <v/>
      </c>
      <c r="M99" s="23">
        <f>M91+M92</f>
        <v/>
      </c>
      <c r="N99" s="23">
        <f>N91+N92</f>
        <v/>
      </c>
      <c r="O99" s="23">
        <f>O91+O92</f>
        <v/>
      </c>
      <c r="P99" s="23">
        <f>P91+P92</f>
        <v/>
      </c>
      <c r="Q99" s="23">
        <f>Q91+Q92</f>
        <v/>
      </c>
      <c r="R99" s="23">
        <f>R91+R92</f>
        <v/>
      </c>
      <c r="S99" s="23">
        <f>S91+S92</f>
        <v/>
      </c>
      <c r="T99" s="23">
        <f>T91+T92</f>
        <v/>
      </c>
      <c r="U99" s="23">
        <f>U91+U92</f>
        <v/>
      </c>
      <c r="V99" s="23">
        <f>V91+V92</f>
        <v/>
      </c>
      <c r="W99" s="23">
        <f>W91+W92</f>
        <v/>
      </c>
      <c r="X99" s="23">
        <f>X91+X92</f>
        <v/>
      </c>
      <c r="Y99" s="23">
        <f>Y91+Y92</f>
        <v/>
      </c>
      <c r="Z99" s="23">
        <f>Z91+Z92</f>
        <v/>
      </c>
      <c r="AA99" s="23">
        <f>AA91+AA92</f>
        <v/>
      </c>
      <c r="AB99" s="23">
        <f>AB91+AB92</f>
        <v/>
      </c>
      <c r="AC99" s="23">
        <f>AC91+AC92</f>
        <v/>
      </c>
    </row>
    <row r="100">
      <c r="E100" s="32" t="inlineStr">
        <is>
          <t>Total R (all types)</t>
        </is>
      </c>
      <c r="I100" s="23">
        <f>I92+I93+I94+I95</f>
        <v/>
      </c>
      <c r="J100" s="23">
        <f>J92+J93+J94+J95</f>
        <v/>
      </c>
      <c r="K100" s="23">
        <f>K92+K93+K94+K95</f>
        <v/>
      </c>
      <c r="L100" s="23">
        <f>L92+L93+L94+L95</f>
        <v/>
      </c>
      <c r="M100" s="23">
        <f>M92+M93+M94+M95</f>
        <v/>
      </c>
      <c r="N100" s="23">
        <f>N92+N93+N94+N95</f>
        <v/>
      </c>
      <c r="O100" s="23">
        <f>O92+O93+O94+O95</f>
        <v/>
      </c>
      <c r="P100" s="23">
        <f>P92+P93+P94+P95</f>
        <v/>
      </c>
      <c r="Q100" s="23">
        <f>Q92+Q93+Q94+Q95</f>
        <v/>
      </c>
      <c r="R100" s="23">
        <f>R92+R93+R94+R95</f>
        <v/>
      </c>
      <c r="S100" s="23">
        <f>S92+S93+S94+S95</f>
        <v/>
      </c>
      <c r="T100" s="23">
        <f>T92+T93+T94+T95</f>
        <v/>
      </c>
      <c r="U100" s="23">
        <f>U92+U93+U94+U95</f>
        <v/>
      </c>
      <c r="V100" s="23">
        <f>V92+V93+V94+V95</f>
        <v/>
      </c>
      <c r="W100" s="23">
        <f>W92+W93+W94+W95</f>
        <v/>
      </c>
      <c r="X100" s="23">
        <f>X92+X93+X94+X95</f>
        <v/>
      </c>
      <c r="Y100" s="23">
        <f>Y92+Y93+Y94+Y95</f>
        <v/>
      </c>
      <c r="Z100" s="23">
        <f>Z92+Z93+Z94+Z95</f>
        <v/>
      </c>
      <c r="AA100" s="23">
        <f>AA92+AA93+AA94+AA95</f>
        <v/>
      </c>
      <c r="AB100" s="23">
        <f>AB92+AB93+AB94+AB95</f>
        <v/>
      </c>
      <c r="AC100" s="23">
        <f>AC92+AC93+AC94+AC95</f>
        <v/>
      </c>
    </row>
    <row r="101">
      <c r="E101" s="32" t="inlineStr">
        <is>
          <t>Total indicators involved</t>
        </is>
      </c>
      <c r="I101" s="23">
        <f>SUM(I91:I98)</f>
        <v/>
      </c>
      <c r="J101" s="23">
        <f>SUM(J91:J98)</f>
        <v/>
      </c>
      <c r="K101" s="23">
        <f>SUM(K91:K98)</f>
        <v/>
      </c>
      <c r="L101" s="23">
        <f>SUM(L91:L98)</f>
        <v/>
      </c>
      <c r="M101" s="23">
        <f>SUM(M91:M98)</f>
        <v/>
      </c>
      <c r="N101" s="23">
        <f>SUM(N91:N98)</f>
        <v/>
      </c>
      <c r="O101" s="23">
        <f>SUM(O91:O98)</f>
        <v/>
      </c>
      <c r="P101" s="23">
        <f>SUM(P91:P98)</f>
        <v/>
      </c>
      <c r="Q101" s="23">
        <f>SUM(Q91:Q98)</f>
        <v/>
      </c>
      <c r="R101" s="23">
        <f>SUM(R91:R98)</f>
        <v/>
      </c>
      <c r="S101" s="23">
        <f>SUM(S91:S98)</f>
        <v/>
      </c>
      <c r="T101" s="23">
        <f>SUM(T91:T98)</f>
        <v/>
      </c>
      <c r="U101" s="23">
        <f>SUM(U91:U98)</f>
        <v/>
      </c>
      <c r="V101" s="23">
        <f>SUM(V91:V98)</f>
        <v/>
      </c>
      <c r="W101" s="23">
        <f>SUM(W91:W98)</f>
        <v/>
      </c>
      <c r="X101" s="23">
        <f>SUM(X91:X98)</f>
        <v/>
      </c>
      <c r="Y101" s="23">
        <f>SUM(Y91:Y98)</f>
        <v/>
      </c>
      <c r="Z101" s="23">
        <f>SUM(Z91:Z98)</f>
        <v/>
      </c>
      <c r="AA101" s="23">
        <f>SUM(AA91:AA98)</f>
        <v/>
      </c>
      <c r="AB101" s="23">
        <f>SUM(AB91:AB98)</f>
        <v/>
      </c>
      <c r="AC101" s="23">
        <f>SUM(AC91:AC98)</f>
        <v/>
      </c>
    </row>
  </sheetData>
  <autoFilter ref="A6:AC87"/>
  <mergeCells count="2">
    <mergeCell ref="B2:G2"/>
    <mergeCell ref="I5:AC5"/>
  </mergeCells>
  <conditionalFormatting sqref="I10:AC87">
    <cfRule type="expression" priority="1" dxfId="0">
      <formula>EXACT(I10,"A and R")</formula>
    </cfRule>
    <cfRule type="expression" priority="2" dxfId="1">
      <formula>EXACT(I10,"A")</formula>
    </cfRule>
    <cfRule type="expression" priority="3" dxfId="2">
      <formula>EXACT(I10,"R")</formula>
    </cfRule>
    <cfRule type="expression" priority="4" dxfId="3">
      <formula>EXACT(I10,"R (quant)")</formula>
    </cfRule>
    <cfRule type="expression" priority="5" dxfId="4">
      <formula>EXACT(I10,"R (compile)")</formula>
    </cfRule>
    <cfRule type="expression" priority="6" dxfId="5">
      <formula>EXACT(I10,"S")</formula>
    </cfRule>
    <cfRule type="expression" priority="7" dxfId="6">
      <formula>EXACT(I10,"C")</formula>
    </cfRule>
    <cfRule type="expression" priority="8" dxfId="7">
      <formula>EXACT(I10,"I")</formula>
    </cfRule>
  </conditionalFormatting>
  <dataValidations count="1">
    <dataValidation sqref="I10:AC87" showDropDown="0" showInputMessage="0" showErrorMessage="0" allowBlank="1" errorTitle="Invalid entry" error="Please select from the dropdown" type="list">
      <formula1>"A,A and R,R,R (quant),R (compile),S,C,I"</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9" customWidth="1" min="2" max="2"/>
    <col width="36" customWidth="1" min="3" max="3"/>
    <col width="30" customWidth="1" min="4" max="4"/>
    <col width="36" customWidth="1" min="5" max="5"/>
    <col width="30" customWidth="1" min="6" max="6"/>
    <col width="22" customWidth="1" min="7" max="7"/>
    <col width="26" customWidth="1" min="8" max="8"/>
    <col width="22" customWidth="1" min="9" max="9"/>
    <col width="38" customWidth="1" min="10" max="10"/>
    <col width="26" customWidth="1" min="11" max="11"/>
  </cols>
  <sheetData>
    <row r="1">
      <c r="A1" s="1" t="inlineStr">
        <is>
          <t>↑</t>
        </is>
      </c>
      <c r="B1" s="2" t="inlineStr">
        <is>
          <t>End-2026 target status assessment and reporting</t>
        </is>
      </c>
    </row>
    <row r="2">
      <c r="B2" s="3" t="inlineStr">
        <is>
          <t>3c. RASCI triangulation (SR25 → SR26)</t>
        </is>
      </c>
    </row>
    <row r="3" ht="60" customHeight="1">
      <c r="B3" s="9" t="inlineStr">
        <is>
          <t>Cross-check of the SR26 RASCI (3b) against the SR25 RASCI. Each SR26 indicator is mapped to its equivalent SR25 target(s) (judgement – see column D); SR25 areas are translated to the SR26 structure. 'SR25 only' flags an area that held a responsibility in SR25 but has no SR26 role – check whether it should be asked, consulted or informed. Non-pilot faculties are excluded from gaps (pilot only). SR26 codes are not changed by this tab.</t>
        </is>
      </c>
    </row>
    <row r="5">
      <c r="B5" s="6" t="inlineStr">
        <is>
          <t>Ref</t>
        </is>
      </c>
      <c r="C5" s="6" t="inlineStr">
        <is>
          <t>Indicator</t>
        </is>
      </c>
      <c r="D5" s="6" t="inlineStr">
        <is>
          <t>Equivalent SR25 target(s)</t>
        </is>
      </c>
      <c r="E5" s="6" t="inlineStr">
        <is>
          <t>SR25 responsibilities (translated to SR26 areas)</t>
        </is>
      </c>
      <c r="F5" s="6" t="inlineStr">
        <is>
          <t>SR26 responsibilities (3b)</t>
        </is>
      </c>
      <c r="G5" s="6" t="inlineStr">
        <is>
          <t>In both</t>
        </is>
      </c>
      <c r="H5" s="6" t="inlineStr">
        <is>
          <t>SR25 only – check</t>
        </is>
      </c>
      <c r="I5" s="6" t="inlineStr">
        <is>
          <t>New in SR26</t>
        </is>
      </c>
      <c r="J5" s="6" t="inlineStr">
        <is>
          <t>Suggested action</t>
        </is>
      </c>
      <c r="K5" s="6" t="inlineStr">
        <is>
          <t>Decision / notes</t>
        </is>
      </c>
    </row>
    <row r="6" ht="98" customHeight="1">
      <c r="B6" s="7" t="inlineStr">
        <is>
          <t>EE1(a)</t>
        </is>
      </c>
      <c r="C6" s="8" t="inlineStr">
        <is>
          <t>Evidence of innovative approaches to sustainability teaching and learning</t>
        </is>
      </c>
      <c r="D6" s="8" t="inlineStr">
        <is>
          <t>4a – Sustainability is integrated into curriculum to an extent that conscie</t>
        </is>
      </c>
      <c r="E6" s="8" t="inlineStr">
        <is>
          <t>ABP – Architecture, Building and Planning: A and R
ARTS – Arts: A and R
Education – Chancellery Education: A and R
FBE – Business and Economics: A and R
⚠ Academic Board: Support
SCI – Science: A and R
SaSS – Student and Scholarly Services: Support</t>
        </is>
      </c>
      <c r="F6" s="8" t="inlineStr">
        <is>
          <t>ABP – Architecture, Building and Planning: R
ARTS – Arts: R
CI&amp;S – Sustainability Strategy: R
Education – Chancellery Education: R
FBE – Business and Economics: R
SCI – Science: R</t>
        </is>
      </c>
      <c r="G6" s="8" t="inlineStr">
        <is>
          <t>ABP – Architecture, Building and Planning
ARTS – Arts
Education – Chancellery Education
FBE – Business and Economics
SCI – Science</t>
        </is>
      </c>
      <c r="H6" s="8" t="inlineStr"/>
      <c r="I6" s="43" t="inlineStr">
        <is>
          <t>CI&amp;S – Sustainability Strategy</t>
        </is>
      </c>
      <c r="J6" s="8" t="inlineStr">
        <is>
          <t>Consistent with SR25. New areas added in SR26.</t>
        </is>
      </c>
      <c r="K6" s="8" t="inlineStr"/>
    </row>
    <row r="7" ht="84" customHeight="1">
      <c r="B7" s="7" t="inlineStr">
        <is>
          <t>EE1(b)</t>
        </is>
      </c>
      <c r="C7" s="8" t="inlineStr">
        <is>
          <t>Pilots of possible approaches for understanding and developing students’ sustainability self-efficacy</t>
        </is>
      </c>
      <c r="D7" s="8" t="inlineStr">
        <is>
          <t>4b – Graduates have increased capabilities to shape, lead and succeed in th</t>
        </is>
      </c>
      <c r="E7" s="8" t="inlineStr">
        <is>
          <t>ABP – Architecture, Building and Planning: A and R
ARTS – Arts: A and R
Education – Chancellery Education: A and R
FBE – Business and Economics: A and R
SCI – Science: A and R</t>
        </is>
      </c>
      <c r="F7" s="8" t="inlineStr">
        <is>
          <t>ABP – Architecture, Building and Planning: R
ARTS – Arts: R
CI&amp;S – Sustainability Strategy: R
Education – Chancellery Education: R
FBE – Business and Economics: R
SCI – Science: R</t>
        </is>
      </c>
      <c r="G7" s="8" t="inlineStr">
        <is>
          <t>ABP – Architecture, Building and Planning
ARTS – Arts
Education – Chancellery Education
FBE – Business and Economics
SCI – Science</t>
        </is>
      </c>
      <c r="H7" s="8" t="inlineStr"/>
      <c r="I7" s="43" t="inlineStr">
        <is>
          <t>CI&amp;S – Sustainability Strategy</t>
        </is>
      </c>
      <c r="J7" s="8" t="inlineStr">
        <is>
          <t>Consistent with SR25. New areas added in SR26.</t>
        </is>
      </c>
      <c r="K7" s="8" t="inlineStr"/>
    </row>
    <row r="8" ht="84" customHeight="1">
      <c r="B8" s="7" t="inlineStr">
        <is>
          <t>EE1(c)</t>
        </is>
      </c>
      <c r="C8" s="8" t="inlineStr">
        <is>
          <t>Evidence of sustainability focused experiential and co curricular learning (eg Wattle Fellowship; Melbourne Plus)</t>
        </is>
      </c>
      <c r="D8" s="8" t="inlineStr">
        <is>
          <t>3c – The University offers a suite of student-centered, formal and non-form</t>
        </is>
      </c>
      <c r="E8" s="8" t="inlineStr">
        <is>
          <t>ABP – Architecture, Building and Planning: A and R
ARTS – Arts: A and R
ESG – Campus Operations &amp; Sustainability Delivery: R
FBE – Business and Economics: A and R
SCI – Science: A and R
SaSS – Student and Scholarly Services: R</t>
        </is>
      </c>
      <c r="F8" s="8" t="inlineStr">
        <is>
          <t>CI&amp;S – Sustainability Strategy: R
SaSS – Student and Scholarly Services: R</t>
        </is>
      </c>
      <c r="G8" s="8" t="inlineStr">
        <is>
          <t>SaSS – Student and Scholarly Services</t>
        </is>
      </c>
      <c r="H8" s="12" t="inlineStr">
        <is>
          <t>ABP – Architecture, Building and Planning
ARTS – Arts
ESG – Campus Operations &amp; Sustainability Delivery
FBE – Business and Economics
SCI – Science</t>
        </is>
      </c>
      <c r="I8" s="43" t="inlineStr">
        <is>
          <t>CI&amp;S – Sustainability Strategy</t>
        </is>
      </c>
      <c r="J8" s="8" t="inlineStr">
        <is>
          <t>Team decision (v0.7): for faculties, covered by the merged EE1(a) question.</t>
        </is>
      </c>
      <c r="K8" s="8" t="inlineStr"/>
    </row>
    <row r="9" ht="84" customHeight="1">
      <c r="B9" s="7" t="inlineStr">
        <is>
          <t>EE1(d)</t>
        </is>
      </c>
      <c r="C9" s="8" t="inlineStr">
        <is>
          <t>Alumni profiles demonstrating how graduates contribute to sustainability through their careers or communities.</t>
        </is>
      </c>
      <c r="D9" s="8" t="inlineStr">
        <is>
          <t>4b – Graduates have increased capabilities to shape, lead and succeed in th
3e – The University has increased its engagement with alumni regarding sust</t>
        </is>
      </c>
      <c r="E9" s="8" t="inlineStr">
        <is>
          <t>ABP – Architecture, Building and Planning: A and R
AC&amp;M – Advancement, Communication and Marketing: A and R
ARTS – Arts: A and R
Education – Chancellery Education: A and R
FBE – Business and Economics: A and R
SCI – Science: A and R</t>
        </is>
      </c>
      <c r="F9" s="8" t="inlineStr">
        <is>
          <t>SaSS – Student and Scholarly Services: R</t>
        </is>
      </c>
      <c r="G9" s="8" t="inlineStr"/>
      <c r="H9" s="12" t="inlineStr">
        <is>
          <t>ABP – Architecture, Building and Planning
AC&amp;M – Advancement, Communication and Marketing
ARTS – Arts
Education – Chancellery Education
FBE – Business and Economics
SCI – Science</t>
        </is>
      </c>
      <c r="I9" s="43" t="inlineStr">
        <is>
          <t>SaSS – Student and Scholarly Services</t>
        </is>
      </c>
      <c r="J9" s="8" t="inlineStr">
        <is>
          <t>Team decision (v0.7): asked of SaSS only.</t>
        </is>
      </c>
      <c r="K9" s="8" t="inlineStr"/>
    </row>
    <row r="10" ht="140" customHeight="1">
      <c r="B10" s="7" t="inlineStr">
        <is>
          <t>TR1(a)</t>
        </is>
      </c>
      <c r="C10" s="8" t="inlineStr">
        <is>
          <t>Expert-reviewed evidence of researchers contributing to operational sustainability priorities through partnerships, advisory input, living labs, applied projects or decision-support</t>
        </is>
      </c>
      <c r="D10" s="8" t="inlineStr">
        <is>
          <t xml:space="preserve">5a – Sustainability research is integrated with campus operations and plann
2a – The University has curated living labs covering the priority areas of </t>
        </is>
      </c>
      <c r="E10"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0" s="8" t="inlineStr">
        <is>
          <t>ABP – Architecture, Building and Planning: R
ARTS – Arts: R
CI&amp;S – Sustainability Strategy: R
FBE – Business and Economics: R
SCI – Science: R</t>
        </is>
      </c>
      <c r="G10" s="8" t="inlineStr">
        <is>
          <t>ABP – Architecture, Building and Planning
ARTS – Arts
CI&amp;S – Sustainability Strategy
FBE – Business and Economics
SCI – Science</t>
        </is>
      </c>
      <c r="H10" s="12" t="inlineStr">
        <is>
          <t>CFOG – Procurement
ESG – Campus Operations &amp; Sustainability Delivery
MRE – Research
Not in SR26: CFOG Finance</t>
        </is>
      </c>
      <c r="I10" s="8" t="inlineStr"/>
      <c r="J10" s="8" t="inlineStr">
        <is>
          <t>Check why CFOG, ESG, MRE is not asked (was responsible in SR25); Consider request or 'C/I' for CFOG Finance.</t>
        </is>
      </c>
      <c r="K10" s="8" t="inlineStr"/>
    </row>
    <row r="11" ht="140" customHeight="1">
      <c r="B11" s="7" t="inlineStr">
        <is>
          <t>TR1(b)</t>
        </is>
      </c>
      <c r="C11" s="8" t="inlineStr">
        <is>
          <t>Evidence of institutional pathways that enable ongoing collaboration between academic and professional staff</t>
        </is>
      </c>
      <c r="D11" s="8" t="inlineStr">
        <is>
          <t>5a – Sustainability research is integrated with campus operations and plann</t>
        </is>
      </c>
      <c r="E11"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1" s="8" t="inlineStr">
        <is>
          <t>MRE – Research: R</t>
        </is>
      </c>
      <c r="G11" s="8" t="inlineStr">
        <is>
          <t>MRE – Research</t>
        </is>
      </c>
      <c r="H11" s="12" t="inlineStr">
        <is>
          <t>ABP – Architecture, Building and Planning
ARTS – Arts
CFOG – Procurement
CI&amp;S – Sustainability Strategy
ESG – Campus Operations &amp; Sustainability Delivery
FBE – Business and Economics
Not in SR26: CFOG Finance
SCI – Science</t>
        </is>
      </c>
      <c r="I11" s="8" t="inlineStr"/>
      <c r="J11" s="8" t="inlineStr">
        <is>
          <t>Team decision (v0.7): asked of MRE only.</t>
        </is>
      </c>
      <c r="K11" s="8" t="inlineStr"/>
    </row>
    <row r="12" ht="140" customHeight="1">
      <c r="B12" s="7" t="inlineStr">
        <is>
          <t>TR1(c)</t>
        </is>
      </c>
      <c r="C12" s="8" t="inlineStr">
        <is>
          <t>Expert assessment of the quality, relevance and continuity of these collaborations</t>
        </is>
      </c>
      <c r="D12" s="8" t="inlineStr">
        <is>
          <t>5a – Sustainability research is integrated with campus operations and plann</t>
        </is>
      </c>
      <c r="E12"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2" s="8" t="inlineStr">
        <is>
          <t>MRE – Research: R</t>
        </is>
      </c>
      <c r="G12" s="8" t="inlineStr">
        <is>
          <t>MRE – Research</t>
        </is>
      </c>
      <c r="H12" s="12" t="inlineStr">
        <is>
          <t>ABP – Architecture, Building and Planning
ARTS – Arts
CFOG – Procurement
CI&amp;S – Sustainability Strategy
ESG – Campus Operations &amp; Sustainability Delivery
FBE – Business and Economics
Not in SR26: CFOG Finance
SCI – Science</t>
        </is>
      </c>
      <c r="I12" s="8" t="inlineStr"/>
      <c r="J12" s="8" t="inlineStr">
        <is>
          <t>Team decision (v0.7): asked of MRE only.</t>
        </is>
      </c>
      <c r="K12" s="8" t="inlineStr"/>
    </row>
    <row r="13" ht="140" customHeight="1">
      <c r="B13" s="7" t="inlineStr">
        <is>
          <t>TR1(d)</t>
        </is>
      </c>
      <c r="C13" s="8" t="inlineStr">
        <is>
          <t>Periodic feedback from participants on the effectiveness and mutual benefit of collaboration mechanisms.</t>
        </is>
      </c>
      <c r="D13" s="8" t="inlineStr">
        <is>
          <t>5a – Sustainability research is integrated with campus operations and plann</t>
        </is>
      </c>
      <c r="E13" s="8" t="inlineStr">
        <is>
          <t>ABP – Architecture, Building and Planning: R
ARTS – Arts: R
CFOG – Procurement: R
CI&amp;S – Sustainability Strategy: A
ESG – Campus Operations &amp; Sustainability Delivery: R
FBE – Business and Economics: R
MRE – Research: R
⚠ CFOG Finance: R
⚠ RIC: Support
SCI – Science: R</t>
        </is>
      </c>
      <c r="F13" s="8" t="inlineStr">
        <is>
          <t>MRE – Research: R</t>
        </is>
      </c>
      <c r="G13" s="8" t="inlineStr">
        <is>
          <t>MRE – Research</t>
        </is>
      </c>
      <c r="H13" s="12" t="inlineStr">
        <is>
          <t>ABP – Architecture, Building and Planning
ARTS – Arts
CFOG – Procurement
CI&amp;S – Sustainability Strategy
ESG – Campus Operations &amp; Sustainability Delivery
FBE – Business and Economics
Not in SR26: CFOG Finance
SCI – Science</t>
        </is>
      </c>
      <c r="I13" s="8" t="inlineStr"/>
      <c r="J13" s="8" t="inlineStr">
        <is>
          <t>Team decision (v0.7): asked of MRE only.</t>
        </is>
      </c>
      <c r="K13" s="8" t="inlineStr"/>
    </row>
    <row r="14" ht="84" customHeight="1">
      <c r="B14" s="7" t="inlineStr">
        <is>
          <t>TR2(a)</t>
        </is>
      </c>
      <c r="C14" s="8" t="inlineStr">
        <is>
          <t>Evidence of sustainability-related research impact across diverse pathways, could include policy, industry, community, practice, cultural and institutional outcomes</t>
        </is>
      </c>
      <c r="D14" s="8" t="inlineStr">
        <is>
          <t>5b – The highest quality research is conducted that contributes to knowledg</t>
        </is>
      </c>
      <c r="E14" s="8" t="inlineStr">
        <is>
          <t>ABP – Architecture, Building and Planning: A and R
ARTS – Arts: A and R
FBE – Business and Economics: A and R
MRE – Research: R
⚠ RIC: R
SCI – Science: A and R</t>
        </is>
      </c>
      <c r="F14" s="8" t="inlineStr">
        <is>
          <t>ABP – Architecture, Building and Planning: R
AC&amp;M – Advancement, Communication and Marketing: R
ARTS – Arts: R
FBE – Business and Economics: R
SCI – Science: R</t>
        </is>
      </c>
      <c r="G14" s="8" t="inlineStr">
        <is>
          <t>ABP – Architecture, Building and Planning
ARTS – Arts
FBE – Business and Economics
SCI – Science</t>
        </is>
      </c>
      <c r="H14" s="12" t="inlineStr">
        <is>
          <t>MRE – Research
Not in SR26: RIC</t>
        </is>
      </c>
      <c r="I14" s="43" t="inlineStr">
        <is>
          <t>AC&amp;M – Advancement, Communication and Marketing</t>
        </is>
      </c>
      <c r="J14" s="8" t="inlineStr">
        <is>
          <t>Check why MRE is not asked (was responsible in SR25); Consider request or 'C/I' for RIC.</t>
        </is>
      </c>
      <c r="K14" s="8" t="inlineStr"/>
    </row>
    <row r="15" ht="84" customHeight="1">
      <c r="B15" s="7" t="inlineStr">
        <is>
          <t>TR2(b)</t>
        </is>
      </c>
      <c r="C15" s="8" t="inlineStr">
        <is>
          <t>Documented progress of relevant strategic initiatives, including Impact Accelerators</t>
        </is>
      </c>
      <c r="D15" s="8" t="inlineStr">
        <is>
          <t>5b – The highest quality research is conducted that contributes to knowledg</t>
        </is>
      </c>
      <c r="E15" s="8" t="inlineStr">
        <is>
          <t>ABP – Architecture, Building and Planning: A and R
ARTS – Arts: A and R
FBE – Business and Economics: A and R
MRE – Research: R
⚠ RIC: R
SCI – Science: A and R</t>
        </is>
      </c>
      <c r="F15" s="8" t="inlineStr">
        <is>
          <t>MRE – Research: R (quant)</t>
        </is>
      </c>
      <c r="G15" s="8" t="inlineStr">
        <is>
          <t>MRE – Research</t>
        </is>
      </c>
      <c r="H15" s="12" t="inlineStr">
        <is>
          <t>ABP – Architecture, Building and Planning
ARTS – Arts
FBE – Business and Economics
Not in SR26: RIC
SCI – Science</t>
        </is>
      </c>
      <c r="I15" s="8" t="inlineStr"/>
      <c r="J15" s="8" t="inlineStr">
        <is>
          <t>Check why ABP, ARTS, FBE, SCI is not asked (was responsible in SR25); Consider request or 'C/I' for RIC.</t>
        </is>
      </c>
      <c r="K15" s="8" t="inlineStr"/>
    </row>
    <row r="16" ht="84" customHeight="1">
      <c r="B16" s="7" t="inlineStr">
        <is>
          <t>TR2(c)</t>
        </is>
      </c>
      <c r="C16" s="8" t="inlineStr">
        <is>
          <t>Expert-reviewed summary of sustainability-related research outputs, outcomes and influence using available institutional evidence sources</t>
        </is>
      </c>
      <c r="D16" s="8" t="inlineStr">
        <is>
          <t>5b – The highest quality research is conducted that contributes to knowledg</t>
        </is>
      </c>
      <c r="E16" s="8" t="inlineStr">
        <is>
          <t>ABP – Architecture, Building and Planning: A and R
ARTS – Arts: A and R
FBE – Business and Economics: A and R
MRE – Research: R
⚠ RIC: R
SCI – Science: A and R</t>
        </is>
      </c>
      <c r="F16" s="8" t="inlineStr">
        <is>
          <t>MRE – Research: R</t>
        </is>
      </c>
      <c r="G16" s="8" t="inlineStr">
        <is>
          <t>MRE – Research</t>
        </is>
      </c>
      <c r="H16" s="12" t="inlineStr">
        <is>
          <t>ABP – Architecture, Building and Planning
ARTS – Arts
FBE – Business and Economics
Not in SR26: RIC
SCI – Science</t>
        </is>
      </c>
      <c r="I16" s="8" t="inlineStr"/>
      <c r="J16" s="8" t="inlineStr">
        <is>
          <t>Check why ABP, ARTS, FBE, SCI is not asked (was responsible in SR25); Consider request or 'C/I' for RIC.</t>
        </is>
      </c>
      <c r="K16" s="8" t="inlineStr"/>
    </row>
    <row r="17" ht="84" customHeight="1">
      <c r="B17" s="7" t="inlineStr">
        <is>
          <t>TR2(d)</t>
        </is>
      </c>
      <c r="C17" s="8" t="inlineStr">
        <is>
          <t>Case-based evidence demonstrating how research has contributed to meaningful sustainability outcomes.</t>
        </is>
      </c>
      <c r="D17" s="8" t="inlineStr">
        <is>
          <t>5b – The highest quality research is conducted that contributes to knowledg</t>
        </is>
      </c>
      <c r="E17" s="8" t="inlineStr">
        <is>
          <t>ABP – Architecture, Building and Planning: A and R
ARTS – Arts: A and R
FBE – Business and Economics: A and R
MRE – Research: R
⚠ RIC: R
SCI – Science: A and R</t>
        </is>
      </c>
      <c r="F17" s="8" t="inlineStr">
        <is>
          <t>ABP – Architecture, Building and Planning: R
ARTS – Arts: R
CI&amp;S – Sustainability Strategy: R
FBE – Business and Economics: R
SCI – Science: R</t>
        </is>
      </c>
      <c r="G17" s="8" t="inlineStr">
        <is>
          <t>ABP – Architecture, Building and Planning
ARTS – Arts
FBE – Business and Economics
SCI – Science</t>
        </is>
      </c>
      <c r="H17" s="12" t="inlineStr">
        <is>
          <t>MRE – Research
Not in SR26: RIC</t>
        </is>
      </c>
      <c r="I17" s="43" t="inlineStr">
        <is>
          <t>CI&amp;S – Sustainability Strategy</t>
        </is>
      </c>
      <c r="J17" s="8" t="inlineStr">
        <is>
          <t>Check why MRE is not asked (was responsible in SR25); Consider request or 'C/I' for RIC.</t>
        </is>
      </c>
      <c r="K17" s="8" t="inlineStr"/>
    </row>
    <row r="18" ht="84" customHeight="1">
      <c r="B18" s="7" t="inlineStr">
        <is>
          <t>TR3(a)</t>
        </is>
      </c>
      <c r="C18" s="8" t="inlineStr">
        <is>
          <t>Evidence that sustainability considerations are integrated into relevant research systems, planning processes, guidance, training, induction or support services</t>
        </is>
      </c>
      <c r="D18" s="8" t="inlineStr">
        <is>
          <t xml:space="preserve">5c – Researchers make considered decisions on the sustainability impact of </t>
        </is>
      </c>
      <c r="E18" s="8" t="inlineStr">
        <is>
          <t>ABP – Architecture, Building and Planning: R
ARTS – Arts: R
FBE – Business and Economics: R
MRE – Research: A
⚠ RIC: A and R
SCI – Science: R</t>
        </is>
      </c>
      <c r="F18" s="8" t="inlineStr">
        <is>
          <t>MRE – Research: R</t>
        </is>
      </c>
      <c r="G18" s="8" t="inlineStr">
        <is>
          <t>MRE – Research</t>
        </is>
      </c>
      <c r="H18" s="12" t="inlineStr">
        <is>
          <t>ABP – Architecture, Building and Planning
ARTS – Arts
FBE – Business and Economics
Not in SR26: RIC
SCI – Science</t>
        </is>
      </c>
      <c r="I18" s="8" t="inlineStr"/>
      <c r="J18" s="8" t="inlineStr">
        <is>
          <t>Team decision (v0.7): asked of MRE only.</t>
        </is>
      </c>
      <c r="K18" s="8" t="inlineStr"/>
    </row>
    <row r="19" ht="98" customHeight="1">
      <c r="B19" s="7" t="inlineStr">
        <is>
          <t>TR3(b)</t>
        </is>
      </c>
      <c r="C19" s="8" t="inlineStr">
        <is>
          <t>Demonstrated examples of more sustainable research practices in laboratories, fieldwork, procurement, travel or infrastructure use</t>
        </is>
      </c>
      <c r="D19" s="8" t="inlineStr">
        <is>
          <t xml:space="preserve">5c – Researchers make considered decisions on the sustainability impact of </t>
        </is>
      </c>
      <c r="E19" s="8" t="inlineStr">
        <is>
          <t>ABP – Architecture, Building and Planning: R
ARTS – Arts: R
FBE – Business and Economics: R
MRE – Research: A
⚠ RIC: A and R
SCI – Science: R</t>
        </is>
      </c>
      <c r="F19" s="8" t="inlineStr">
        <is>
          <t>ABP – Architecture, Building and Planning: R
ARTS – Arts: R
CFOG – Procurement: R
CI&amp;S – Sustainability Strategy: R
FBE – Business and Economics: R
MRE – Research: R (quant)
SCI – Science: R</t>
        </is>
      </c>
      <c r="G19" s="8" t="inlineStr">
        <is>
          <t>ABP – Architecture, Building and Planning
ARTS – Arts
FBE – Business and Economics
MRE – Research
SCI – Science</t>
        </is>
      </c>
      <c r="H19" s="12" t="inlineStr">
        <is>
          <t>Not in SR26: RIC</t>
        </is>
      </c>
      <c r="I19" s="43" t="inlineStr">
        <is>
          <t>CFOG – Procurement
CI&amp;S – Sustainability Strategy</t>
        </is>
      </c>
      <c r="J19" s="8" t="inlineStr">
        <is>
          <t>Consider request or 'C/I' for RIC.</t>
        </is>
      </c>
      <c r="K19" s="8" t="inlineStr"/>
    </row>
    <row r="20" ht="112" customHeight="1">
      <c r="B20" s="7" t="inlineStr">
        <is>
          <t>TR3(c)</t>
        </is>
      </c>
      <c r="C20" s="8" t="inlineStr">
        <is>
          <t>Evidence of progress in sustainability-related research culture, capability and awareness, informed by periodic staff and graduate researcher surveys</t>
        </is>
      </c>
      <c r="D20" s="8" t="inlineStr">
        <is>
          <t xml:space="preserve">5c – Researchers make considered decisions on the sustainability impact of 
3d – Academic and professional staff have increased their participation in </t>
        </is>
      </c>
      <c r="E20" s="8" t="inlineStr">
        <is>
          <t>ABP – Architecture, Building and Planning: R
ARTS – Arts: R
ESG – Campus Operations &amp; Sustainability Delivery: A
Education – Chancellery Education: A and R
FBE – Business and Economics: R
MRE – Research: A
⚠ RIC: A and R
SCI – Science: R</t>
        </is>
      </c>
      <c r="F20" s="8" t="inlineStr">
        <is>
          <t>MRE – Research: R</t>
        </is>
      </c>
      <c r="G20" s="8" t="inlineStr">
        <is>
          <t>MRE – Research</t>
        </is>
      </c>
      <c r="H20" s="12" t="inlineStr">
        <is>
          <t>ABP – Architecture, Building and Planning
ARTS – Arts
ESG – Campus Operations &amp; Sustainability Delivery
Education – Chancellery Education
FBE – Business and Economics
Not in SR26: RIC
SCI – Science</t>
        </is>
      </c>
      <c r="I20" s="8" t="inlineStr"/>
      <c r="J20" s="8" t="inlineStr">
        <is>
          <t>Team decision (v0.7): asked of MRE only.</t>
        </is>
      </c>
      <c r="K20" s="8" t="inlineStr"/>
    </row>
    <row r="21" ht="84" customHeight="1">
      <c r="B21" s="7" t="inlineStr">
        <is>
          <t>TR3(d)</t>
        </is>
      </c>
      <c r="C21" s="8" t="inlineStr">
        <is>
          <t>Expert assessment of progress in embedding sustainable research practices across the institution.</t>
        </is>
      </c>
      <c r="D21" s="8" t="inlineStr">
        <is>
          <t xml:space="preserve">5c – Researchers make considered decisions on the sustainability impact of </t>
        </is>
      </c>
      <c r="E21" s="8" t="inlineStr">
        <is>
          <t>ABP – Architecture, Building and Planning: R
ARTS – Arts: R
FBE – Business and Economics: R
MRE – Research: A
⚠ RIC: A and R
SCI – Science: R</t>
        </is>
      </c>
      <c r="F21" s="8" t="inlineStr">
        <is>
          <t>MRE – Research: R</t>
        </is>
      </c>
      <c r="G21" s="8" t="inlineStr">
        <is>
          <t>MRE – Research</t>
        </is>
      </c>
      <c r="H21" s="12" t="inlineStr">
        <is>
          <t>ABP – Architecture, Building and Planning
ARTS – Arts
FBE – Business and Economics
Not in SR26: RIC
SCI – Science</t>
        </is>
      </c>
      <c r="I21" s="8" t="inlineStr"/>
      <c r="J21" s="8" t="inlineStr">
        <is>
          <t>Team decision (v0.7): asked of MRE only.</t>
        </is>
      </c>
      <c r="K21" s="8" t="inlineStr"/>
    </row>
    <row r="22" ht="196" customHeight="1">
      <c r="B22" s="7" t="inlineStr">
        <is>
          <t>CL1(a)</t>
        </is>
      </c>
      <c r="C22" s="8" t="inlineStr">
        <is>
          <t>Annual Greenhouse Gas Inventory (including emissions scopes 1, 2 and 3) demonstrates carbon emission reductions, including maintaining procurement of 100% renewable electricity for all scope 2 sources[1]</t>
        </is>
      </c>
      <c r="D22" s="8" t="inlineStr">
        <is>
          <t>1a – The University is certified carbon neutral by 2025</t>
        </is>
      </c>
      <c r="E22"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2" s="8" t="inlineStr">
        <is>
          <t>ESG – Campus Operations &amp; Sustainability Delivery: R (quant)</t>
        </is>
      </c>
      <c r="G22" s="8" t="inlineStr">
        <is>
          <t>ESG – Campus Operations &amp; Sustainability Delivery</t>
        </is>
      </c>
      <c r="H22" s="12" t="inlineStr">
        <is>
          <t>ABP – Architecture, Building and Planning
ARTS – Arts
CFOG – Procurement
CFOG – Treasury &amp; Investments
CI&amp;S – Sustainability Strategy
Education – Chancellery Education
FBE – Business and Economics
GCE – Global, Culture and Engagement
Indigenous – Chancellery Indigenous
MRE – Research
Not in SR26: CFOG Finance
Not in SR26: People strategy
SCI – Science</t>
        </is>
      </c>
      <c r="I22" s="8" t="inlineStr"/>
      <c r="J22" s="8" t="inlineStr">
        <is>
          <t>Check why ABP, ARTS, CFOG, CFOG, CI&amp;S, Education, FBE, GCE, Indigenous, MRE, SCI is not asked (was responsible in SR25); Consider request or 'C/I' for CFOG Finance, People strategy.</t>
        </is>
      </c>
      <c r="K22" s="8" t="inlineStr"/>
    </row>
    <row r="23" ht="196" customHeight="1">
      <c r="B23" s="7" t="inlineStr">
        <is>
          <t>CL1(b)</t>
        </is>
      </c>
      <c r="C23" s="8" t="inlineStr">
        <is>
          <t>Development of Greenhouse Gas  intensity metrics</t>
        </is>
      </c>
      <c r="D23" s="8" t="inlineStr">
        <is>
          <t>1a – The University is certified carbon neutral by 2025</t>
        </is>
      </c>
      <c r="E23"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3" s="8" t="inlineStr">
        <is>
          <t>ESG – Campus Operations &amp; Sustainability Delivery: R (quant)</t>
        </is>
      </c>
      <c r="G23" s="8" t="inlineStr">
        <is>
          <t>ESG – Campus Operations &amp; Sustainability Delivery</t>
        </is>
      </c>
      <c r="H23" s="12" t="inlineStr">
        <is>
          <t>ABP – Architecture, Building and Planning
ARTS – Arts
CFOG – Procurement
CFOG – Treasury &amp; Investments
CI&amp;S – Sustainability Strategy
Education – Chancellery Education
FBE – Business and Economics
GCE – Global, Culture and Engagement
Indigenous – Chancellery Indigenous
MRE – Research
Not in SR26: CFOG Finance
Not in SR26: People strategy
SCI – Science</t>
        </is>
      </c>
      <c r="I23" s="8" t="inlineStr"/>
      <c r="J23" s="8" t="inlineStr">
        <is>
          <t>Check why ABP, ARTS, CFOG, CFOG, CI&amp;S, Education, FBE, GCE, Indigenous, MRE, SCI is not asked (was responsible in SR25); Consider request or 'C/I' for CFOG Finance, People strategy.</t>
        </is>
      </c>
      <c r="K23" s="8" t="inlineStr"/>
    </row>
    <row r="24" ht="196" customHeight="1">
      <c r="B24" s="7" t="inlineStr">
        <is>
          <t>CL1(c)</t>
        </is>
      </c>
      <c r="C24" s="8" t="inlineStr">
        <is>
          <t>Review of Climate Leadership targets by 2030.[2]</t>
        </is>
      </c>
      <c r="D24" s="8" t="inlineStr">
        <is>
          <t>1a – The University is certified carbon neutral by 2025
1b – The University has achieved climate positive status by 2030</t>
        </is>
      </c>
      <c r="E24" s="8" t="inlineStr">
        <is>
          <t>ABP – Architecture, Building and Planning: R
ARTS – Arts: R
CFOG – Procurement: R
CFOG – Treasury &amp; Investments: R
CI&amp;S – Sustainability Strategy: A and R
ESG – Campus Operations &amp; Sustainability Delivery: R
Education – Chancellery Education: R (air travel)
FBE – Business and Economics: R
GCE – Global, Culture and Engagement: R (air travel)
Indigenous – Chancellery Indigenous: R (air travel)
MRE – Research: R (air travel)
⚠ CFOG Finance: R
⚠ People strategy: R (air travel)
SCI – Science: R</t>
        </is>
      </c>
      <c r="F24" s="8" t="inlineStr">
        <is>
          <t>CI&amp;S – Sustainability Strategy: R</t>
        </is>
      </c>
      <c r="G24" s="8" t="inlineStr">
        <is>
          <t>CI&amp;S – Sustainability Strategy</t>
        </is>
      </c>
      <c r="H24" s="12" t="inlineStr">
        <is>
          <t>ABP – Architecture, Building and Planning
ARTS – Arts
CFOG – Procurement
CFOG – Treasury &amp; Investments
ESG – Campus Operations &amp; Sustainability Delivery
Education – Chancellery Education
FBE – Business and Economics
GCE – Global, Culture and Engagement
Indigenous – Chancellery Indigenous
MRE – Research
Not in SR26: CFOG Finance
Not in SR26: People strategy
SCI – Science</t>
        </is>
      </c>
      <c r="I24" s="8" t="inlineStr"/>
      <c r="J24" s="8" t="inlineStr">
        <is>
          <t>Check why ABP, ARTS, CFOG, CFOG, ESG, Education, FBE, GCE, Indigenous, MRE, SCI is not asked (was responsible in SR25); Consider request or 'C/I' for CFOG Finance, People strategy.</t>
        </is>
      </c>
      <c r="K24" s="8" t="inlineStr"/>
    </row>
    <row r="25" ht="70" customHeight="1">
      <c r="B25" s="7" t="inlineStr">
        <is>
          <t>CL2(a)</t>
        </is>
      </c>
      <c r="C25" s="8" t="inlineStr">
        <is>
          <t>By 2028, develop and document institutional mapping of research and education activities that are designed to contribute to global decarbonisation</t>
        </is>
      </c>
      <c r="D25" s="8" t="inlineStr">
        <is>
          <t>1b – The University has achieved climate positive status by 2030</t>
        </is>
      </c>
      <c r="E25" s="8" t="inlineStr">
        <is>
          <t>ABP – Architecture, Building and Planning: R
ARTS – Arts: R
FBE – Business and Economics: R
MRE – Research: Support
SCI – Science: R</t>
        </is>
      </c>
      <c r="F25" s="8" t="inlineStr">
        <is>
          <t>AC&amp;M – Advancement, Communication and Marketing: R</t>
        </is>
      </c>
      <c r="G25" s="8" t="inlineStr"/>
      <c r="H25" s="12" t="inlineStr">
        <is>
          <t>ABP – Architecture, Building and Planning
ARTS – Arts
FBE – Business and Economics
SCI – Science</t>
        </is>
      </c>
      <c r="I25" s="43" t="inlineStr">
        <is>
          <t>AC&amp;M – Advancement, Communication and Marketing</t>
        </is>
      </c>
      <c r="J25" s="8" t="inlineStr">
        <is>
          <t>Team decision (v0.7): asked of AC&amp;M only.</t>
        </is>
      </c>
      <c r="K25" s="8" t="inlineStr"/>
    </row>
    <row r="26" ht="70" customHeight="1">
      <c r="B26" s="7" t="inlineStr">
        <is>
          <t>CL2(b)</t>
        </is>
      </c>
      <c r="C26" s="8" t="inlineStr">
        <is>
          <t>Prioritised pipeline of decarbonisation focused research and education opportunities aligned with University emissions reduction priorities from 2028</t>
        </is>
      </c>
      <c r="D26" s="8" t="inlineStr">
        <is>
          <t>1b – The University has achieved climate positive status by 2030</t>
        </is>
      </c>
      <c r="E26" s="8" t="inlineStr">
        <is>
          <t>ABP – Architecture, Building and Planning: R
ARTS – Arts: R
FBE – Business and Economics: R
MRE – Research: Support
SCI – Science: R</t>
        </is>
      </c>
      <c r="F26" s="8" t="inlineStr">
        <is>
          <t>SST compiles</t>
        </is>
      </c>
      <c r="G26" s="8" t="inlineStr"/>
      <c r="H26" s="12" t="inlineStr">
        <is>
          <t>ABP – Architecture, Building and Planning
ARTS – Arts
FBE – Business and Economics
SCI – Science</t>
        </is>
      </c>
      <c r="I26" s="8" t="inlineStr"/>
      <c r="J26" s="8" t="inlineStr">
        <is>
          <t>Check why ABP, ARTS, FBE, SCI is not asked (was responsible in SR25).</t>
        </is>
      </c>
      <c r="K26" s="8" t="inlineStr"/>
    </row>
    <row r="27" ht="70" customHeight="1">
      <c r="B27" s="7" t="inlineStr">
        <is>
          <t>CL2(c)</t>
        </is>
      </c>
      <c r="C27" s="8" t="inlineStr">
        <is>
          <t>Ongoing communications that evidence the University’s climate action, research and learning to inform policy, sector and community decarbonisation efforts.</t>
        </is>
      </c>
      <c r="D27" s="8" t="inlineStr">
        <is>
          <t>1b – The University has achieved climate positive status by 2030</t>
        </is>
      </c>
      <c r="E27" s="8" t="inlineStr">
        <is>
          <t>ABP – Architecture, Building and Planning: R
ARTS – Arts: R
FBE – Business and Economics: R
MRE – Research: Support
SCI – Science: R</t>
        </is>
      </c>
      <c r="F27" s="8" t="inlineStr">
        <is>
          <t>AC&amp;M – Advancement, Communication and Marketing: R</t>
        </is>
      </c>
      <c r="G27" s="8" t="inlineStr"/>
      <c r="H27" s="12" t="inlineStr">
        <is>
          <t>ABP – Architecture, Building and Planning
ARTS – Arts
FBE – Business and Economics
SCI – Science</t>
        </is>
      </c>
      <c r="I27" s="43" t="inlineStr">
        <is>
          <t>AC&amp;M – Advancement, Communication and Marketing</t>
        </is>
      </c>
      <c r="J27" s="8" t="inlineStr">
        <is>
          <t>Team decision (v0.7): asked of AC&amp;M only.</t>
        </is>
      </c>
      <c r="K27" s="8" t="inlineStr"/>
    </row>
    <row r="28" ht="98" customHeight="1">
      <c r="B28" s="7" t="inlineStr">
        <is>
          <t>CL3(a)</t>
        </is>
      </c>
      <c r="C28" s="8"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28" s="8" t="inlineStr">
        <is>
          <t>8a – The University reaches and maintains a 'high' climate change preparedn</t>
        </is>
      </c>
      <c r="E28" s="8" t="inlineStr">
        <is>
          <t>CFOG – Procurement: R
CI&amp;S – Estate Planning &amp; Development: R
CI&amp;S – Sustainability Strategy: A and R
ESG – Campus Operations &amp; Sustainability Delivery: R
Legal &amp; Risk – Risk &amp; resilience: Support
⚠ CFOG Finance: R
⚠ EPMO &amp; investment office: R</t>
        </is>
      </c>
      <c r="F28" s="8" t="inlineStr">
        <is>
          <t>CI&amp;S – Estate Planning &amp; Development: R
Legal &amp; Risk – Risk &amp; resilience: R</t>
        </is>
      </c>
      <c r="G28" s="8" t="inlineStr">
        <is>
          <t>CI&amp;S – Estate Planning &amp; Development</t>
        </is>
      </c>
      <c r="H28" s="12" t="inlineStr">
        <is>
          <t>CFOG – Procurement
CI&amp;S – Sustainability Strategy
ESG – Campus Operations &amp; Sustainability Delivery
Not in SR26: CFOG Finance
Not in SR26: EPMO &amp; investment office</t>
        </is>
      </c>
      <c r="I28" s="8" t="inlineStr"/>
      <c r="J28" s="8" t="inlineStr">
        <is>
          <t>Check why CFOG, CI&amp;S, ESG is not asked (was responsible in SR25); Consider request or 'C/I' for CFOG Finance, EPMO &amp; investment office.</t>
        </is>
      </c>
      <c r="K28" s="8" t="inlineStr"/>
    </row>
    <row r="29" ht="60" customHeight="1">
      <c r="B29" s="7" t="inlineStr">
        <is>
          <t>NB1(a)</t>
        </is>
      </c>
      <c r="C29" s="8" t="inlineStr">
        <is>
          <t>Monitoring of biodiversity metrics from the Biodiversity Baseline Data Project</t>
        </is>
      </c>
      <c r="D29" s="8" t="inlineStr">
        <is>
          <t>9a – Each campus achieves no net loss of biodiversity relative to defined b
9b – Each campus achieves an increase of biodiversity relative to defined b</t>
        </is>
      </c>
      <c r="E29" s="8" t="inlineStr">
        <is>
          <t>CI&amp;S – Estate Planning &amp; Development: R
ESG – Campus Operations &amp; Sustainability Delivery: A and R</t>
        </is>
      </c>
      <c r="F29" s="8" t="inlineStr">
        <is>
          <t>ESG – Campus Operations &amp; Sustainability Delivery: R (quant)</t>
        </is>
      </c>
      <c r="G29" s="8" t="inlineStr">
        <is>
          <t>ESG – Campus Operations &amp; Sustainability Delivery</t>
        </is>
      </c>
      <c r="H29" s="12" t="inlineStr">
        <is>
          <t>CI&amp;S – Estate Planning &amp; Development</t>
        </is>
      </c>
      <c r="I29" s="8" t="inlineStr"/>
      <c r="J29" s="8" t="inlineStr">
        <is>
          <t>Check why CI&amp;S is not asked (was responsible in SR25).</t>
        </is>
      </c>
      <c r="K29" s="8" t="inlineStr"/>
    </row>
    <row r="30" ht="60" customHeight="1">
      <c r="B30" s="7" t="inlineStr">
        <is>
          <t>NB1(b)</t>
        </is>
      </c>
      <c r="C30" s="8" t="inlineStr">
        <is>
          <t>Size, health and diversity of remnant vegetation at the Dookie and Creswick campuses</t>
        </is>
      </c>
      <c r="D30" s="8" t="inlineStr">
        <is>
          <t>9a – Each campus achieves no net loss of biodiversity relative to defined b</t>
        </is>
      </c>
      <c r="E30" s="8" t="inlineStr">
        <is>
          <t>CI&amp;S – Estate Planning &amp; Development: R
ESG – Campus Operations &amp; Sustainability Delivery: A and R</t>
        </is>
      </c>
      <c r="F30" s="8" t="inlineStr">
        <is>
          <t>ESG – Campus Operations &amp; Sustainability Delivery: R</t>
        </is>
      </c>
      <c r="G30" s="8" t="inlineStr">
        <is>
          <t>ESG – Campus Operations &amp; Sustainability Delivery</t>
        </is>
      </c>
      <c r="H30" s="12" t="inlineStr">
        <is>
          <t>CI&amp;S – Estate Planning &amp; Development</t>
        </is>
      </c>
      <c r="I30" s="8" t="inlineStr"/>
      <c r="J30" s="8" t="inlineStr">
        <is>
          <t>Check why CI&amp;S is not asked (was responsible in SR25).</t>
        </is>
      </c>
      <c r="K30" s="8" t="inlineStr"/>
    </row>
    <row r="31" ht="60" customHeight="1">
      <c r="B31" s="7" t="inlineStr">
        <is>
          <t>NB1(c)</t>
        </is>
      </c>
      <c r="C31" s="8" t="inlineStr">
        <is>
          <t>Defined quality measurement framework</t>
        </is>
      </c>
      <c r="D31" s="8" t="inlineStr">
        <is>
          <t>9b – Each campus achieves an increase of biodiversity relative to defined b</t>
        </is>
      </c>
      <c r="E31" s="8" t="inlineStr">
        <is>
          <t>CI&amp;S – Estate Planning &amp; Development: R
ESG – Campus Operations &amp; Sustainability Delivery: A and R</t>
        </is>
      </c>
      <c r="F31" s="8" t="inlineStr">
        <is>
          <t>ESG – Campus Operations &amp; Sustainability Delivery: R</t>
        </is>
      </c>
      <c r="G31" s="8" t="inlineStr">
        <is>
          <t>ESG – Campus Operations &amp; Sustainability Delivery</t>
        </is>
      </c>
      <c r="H31" s="12" t="inlineStr">
        <is>
          <t>CI&amp;S – Estate Planning &amp; Development</t>
        </is>
      </c>
      <c r="I31" s="8" t="inlineStr"/>
      <c r="J31" s="8" t="inlineStr">
        <is>
          <t>Check why CI&amp;S is not asked (was responsible in SR25).</t>
        </is>
      </c>
      <c r="K31" s="8" t="inlineStr"/>
    </row>
    <row r="32" ht="60" customHeight="1">
      <c r="B32" s="7" t="inlineStr">
        <is>
          <t>NB1(d)</t>
        </is>
      </c>
      <c r="C32" s="8" t="inlineStr">
        <is>
          <t>Defined and quantified campus connectivity</t>
        </is>
      </c>
      <c r="D32" s="8" t="inlineStr">
        <is>
          <t>9b – Each campus achieves an increase of biodiversity relative to defined b</t>
        </is>
      </c>
      <c r="E32" s="8" t="inlineStr">
        <is>
          <t>CI&amp;S – Estate Planning &amp; Development: R
ESG – Campus Operations &amp; Sustainability Delivery: A and R</t>
        </is>
      </c>
      <c r="F32" s="8" t="inlineStr">
        <is>
          <t>ESG – Campus Operations &amp; Sustainability Delivery: R</t>
        </is>
      </c>
      <c r="G32" s="8" t="inlineStr">
        <is>
          <t>ESG – Campus Operations &amp; Sustainability Delivery</t>
        </is>
      </c>
      <c r="H32" s="12" t="inlineStr">
        <is>
          <t>CI&amp;S – Estate Planning &amp; Development</t>
        </is>
      </c>
      <c r="I32" s="8" t="inlineStr"/>
      <c r="J32" s="8" t="inlineStr">
        <is>
          <t>Check why CI&amp;S is not asked (was responsible in SR25).</t>
        </is>
      </c>
      <c r="K32" s="8" t="inlineStr"/>
    </row>
    <row r="33" ht="60" customHeight="1">
      <c r="B33" s="7" t="inlineStr">
        <is>
          <t>NB2(a)</t>
        </is>
      </c>
      <c r="C33" s="8" t="inlineStr">
        <is>
          <t>Documented baseline nature footprint analysis</t>
        </is>
      </c>
      <c r="D33" s="8" t="inlineStr">
        <is>
          <t xml:space="preserve">11c – The University has principles for ethical and sustainable consumption </t>
        </is>
      </c>
      <c r="E33" s="8" t="inlineStr">
        <is>
          <t>CFOG – Procurement: A and R
CI&amp;S – Sustainability Strategy: Support
ESG – Campus Operations &amp; Sustainability Delivery: A and R</t>
        </is>
      </c>
      <c r="F33" s="8" t="inlineStr">
        <is>
          <t>MRE – Research: R</t>
        </is>
      </c>
      <c r="G33" s="8" t="inlineStr"/>
      <c r="H33" s="12" t="inlineStr">
        <is>
          <t>CFOG – Procurement
ESG – Campus Operations &amp; Sustainability Delivery</t>
        </is>
      </c>
      <c r="I33" s="43" t="inlineStr">
        <is>
          <t>MRE – Research</t>
        </is>
      </c>
      <c r="J33" s="8" t="inlineStr">
        <is>
          <t>Check why CFOG, ESG is not asked (was responsible in SR25).</t>
        </is>
      </c>
      <c r="K33" s="8" t="inlineStr"/>
    </row>
    <row r="34" ht="60" customHeight="1">
      <c r="B34" s="7" t="inlineStr">
        <is>
          <t>NB2(b)</t>
        </is>
      </c>
      <c r="C34" s="8" t="inlineStr">
        <is>
          <t>Evidence of established framework to monitor and track supply-chain nature impacts over time</t>
        </is>
      </c>
      <c r="D34" s="8" t="inlineStr">
        <is>
          <t xml:space="preserve">11c – The University has principles for ethical and sustainable consumption </t>
        </is>
      </c>
      <c r="E34" s="8" t="inlineStr">
        <is>
          <t>CFOG – Procurement: A and R
CI&amp;S – Sustainability Strategy: Support
ESG – Campus Operations &amp; Sustainability Delivery: A and R</t>
        </is>
      </c>
      <c r="F34" s="8" t="inlineStr">
        <is>
          <t>ESG – Campus Operations &amp; Sustainability Delivery: R</t>
        </is>
      </c>
      <c r="G34" s="8" t="inlineStr">
        <is>
          <t>ESG – Campus Operations &amp; Sustainability Delivery</t>
        </is>
      </c>
      <c r="H34" s="12" t="inlineStr">
        <is>
          <t>CFOG – Procurement</t>
        </is>
      </c>
      <c r="I34" s="8" t="inlineStr"/>
      <c r="J34" s="8" t="inlineStr">
        <is>
          <t>Check why CFOG is not asked (was responsible in SR25).</t>
        </is>
      </c>
      <c r="K34" s="8" t="inlineStr"/>
    </row>
    <row r="35" ht="60" customHeight="1">
      <c r="B35" s="7" t="inlineStr">
        <is>
          <t>NB2(c)</t>
        </is>
      </c>
      <c r="C35" s="8" t="inlineStr">
        <is>
          <t>Evidence of prioritised high risk procurement categories or suppliers for nature impact management</t>
        </is>
      </c>
      <c r="D35" s="8" t="inlineStr">
        <is>
          <t xml:space="preserve">11c – The University has principles for ethical and sustainable consumption </t>
        </is>
      </c>
      <c r="E35" s="8" t="inlineStr">
        <is>
          <t>CFOG – Procurement: A and R
CI&amp;S – Sustainability Strategy: Support
ESG – Campus Operations &amp; Sustainability Delivery: A and R</t>
        </is>
      </c>
      <c r="F35" s="8" t="inlineStr">
        <is>
          <t>CFOG – Procurement: R
ESG – Campus Operations &amp; Sustainability Delivery: R</t>
        </is>
      </c>
      <c r="G35" s="8" t="inlineStr">
        <is>
          <t>CFOG – Procurement
ESG – Campus Operations &amp; Sustainability Delivery</t>
        </is>
      </c>
      <c r="H35" s="8" t="inlineStr"/>
      <c r="I35" s="8" t="inlineStr"/>
      <c r="J35" s="8" t="inlineStr">
        <is>
          <t>Consistent with SR25.</t>
        </is>
      </c>
      <c r="K35" s="8" t="inlineStr"/>
    </row>
    <row r="36" ht="60" customHeight="1">
      <c r="B36" s="7" t="inlineStr">
        <is>
          <t>AI1(a)</t>
        </is>
      </c>
      <c r="C36" s="8" t="inlineStr">
        <is>
          <t>Established measurement of estimated operational impacts and opportunities (eg operational impacts could include energy, water, emissions and intensity measures)</t>
        </is>
      </c>
      <c r="D36" s="8" t="inlineStr">
        <is>
          <t>None (new in Sustainability 2030)</t>
        </is>
      </c>
      <c r="E36" s="8" t="inlineStr">
        <is>
          <t>–</t>
        </is>
      </c>
      <c r="F36" s="8" t="inlineStr">
        <is>
          <t>CI&amp;S – Sustainability Strategy: R
CIOG – Responsible AI &amp; digital: R</t>
        </is>
      </c>
      <c r="G36" s="8" t="inlineStr"/>
      <c r="H36" s="8" t="inlineStr"/>
      <c r="I36" s="43" t="inlineStr">
        <is>
          <t>CI&amp;S – Sustainability Strategy
CIOG – Responsible AI &amp; digital</t>
        </is>
      </c>
      <c r="J36" s="8" t="inlineStr">
        <is>
          <t>New indicator – no SR25 equivalent; SR26 roles stand.</t>
        </is>
      </c>
      <c r="K36" s="8" t="inlineStr"/>
    </row>
    <row r="37" ht="60" customHeight="1">
      <c r="B37" s="7" t="inlineStr">
        <is>
          <t>AI1(b)</t>
        </is>
      </c>
      <c r="C37" s="8" t="inlineStr">
        <is>
          <t>Case studies of sustainability and AI-related education, research and collaboration activities.</t>
        </is>
      </c>
      <c r="D37" s="8" t="inlineStr">
        <is>
          <t>None (new in Sustainability 2030)</t>
        </is>
      </c>
      <c r="E37" s="8" t="inlineStr">
        <is>
          <t>–</t>
        </is>
      </c>
      <c r="F37" s="8" t="inlineStr">
        <is>
          <t>CI&amp;S – Sustainability Strategy: R
CIOG – Responsible AI &amp; digital: R</t>
        </is>
      </c>
      <c r="G37" s="8" t="inlineStr"/>
      <c r="H37" s="8" t="inlineStr"/>
      <c r="I37" s="43" t="inlineStr">
        <is>
          <t>CI&amp;S – Sustainability Strategy
CIOG – Responsible AI &amp; digital</t>
        </is>
      </c>
      <c r="J37" s="8" t="inlineStr">
        <is>
          <t>New indicator – no SR25 equivalent; SR26 roles stand.</t>
        </is>
      </c>
      <c r="K37" s="8" t="inlineStr"/>
    </row>
    <row r="38" ht="154" customHeight="1">
      <c r="B38" s="7" t="inlineStr">
        <is>
          <t>EI1(a)</t>
        </is>
      </c>
      <c r="C38" s="8" t="inlineStr">
        <is>
          <t>Evidence of increased maturity of estate and infrastructure planning, development and operations to support the other priority areas in Sustainability 2030</t>
        </is>
      </c>
      <c r="D38" s="8" t="inlineStr">
        <is>
          <t>7b – The University has led or influenced discussions with precinct partner
8a – The University reaches and maintains a 'high' climate change preparedn</t>
        </is>
      </c>
      <c r="E38" s="8" t="inlineStr">
        <is>
          <t>ABP – Architecture, Building and Planning: Faculty specific
ARTS – Arts: Faculty specific
CFOG – Procurement: R
CI&amp;S – Estate Planning &amp; Development: A and R
CI&amp;S – Sustainability Strategy: A and R
ESG – Campus Operations &amp; Sustainability Delivery: R
FBE – Business and Economics: Faculty specific
Legal &amp; Risk – Risk &amp; resilience: Support
⚠ CFOG Finance: R
⚠ EPMO &amp; investment office: R
SCI – Science: Faculty specific</t>
        </is>
      </c>
      <c r="F38" s="8" t="inlineStr">
        <is>
          <t>CI&amp;S – Estate Planning &amp; Development: R</t>
        </is>
      </c>
      <c r="G38" s="8" t="inlineStr">
        <is>
          <t>CI&amp;S – Estate Planning &amp; Development</t>
        </is>
      </c>
      <c r="H38" s="12" t="inlineStr">
        <is>
          <t>CFOG – Procurement
CI&amp;S – Sustainability Strategy
ESG – Campus Operations &amp; Sustainability Delivery
Not in SR26: CFOG Finance
Not in SR26: EPMO &amp; investment office</t>
        </is>
      </c>
      <c r="I38" s="8" t="inlineStr"/>
      <c r="J38" s="8" t="inlineStr">
        <is>
          <t>Check why CFOG, CI&amp;S, ESG is not asked (was responsible in SR25); Consider request or 'C/I' for CFOG Finance, EPMO &amp; investment office.</t>
        </is>
      </c>
      <c r="K38" s="8" t="inlineStr"/>
    </row>
    <row r="39" ht="84" customHeight="1">
      <c r="B39" s="7" t="inlineStr">
        <is>
          <t>EI1(b)</t>
        </is>
      </c>
      <c r="C39" s="8" t="inlineStr">
        <is>
          <t>Estimated sustainability impacts of the University’s estate and infrastructure capital plan to inform progress towards emissions reduction targets and other priority areas (to the extent enabled by available information)</t>
        </is>
      </c>
      <c r="D39" s="8" t="inlineStr">
        <is>
          <t>7b – The University has led or influenced discussions with precinct partner</t>
        </is>
      </c>
      <c r="E39"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39" s="8" t="inlineStr">
        <is>
          <t>CI&amp;S – Estate Planning &amp; Development: R</t>
        </is>
      </c>
      <c r="G39" s="8" t="inlineStr">
        <is>
          <t>CI&amp;S – Estate Planning &amp; Development</t>
        </is>
      </c>
      <c r="H39" s="8" t="inlineStr"/>
      <c r="I39" s="8" t="inlineStr"/>
      <c r="J39" s="8" t="inlineStr">
        <is>
          <t>Consistent with SR25.</t>
        </is>
      </c>
      <c r="K39" s="8" t="inlineStr"/>
    </row>
    <row r="40" ht="84" customHeight="1">
      <c r="B40" s="7" t="inlineStr">
        <is>
          <t>EI1(c)</t>
        </is>
      </c>
      <c r="C40" s="8" t="inlineStr">
        <is>
          <t>Reporting on relevant activities and impacts for the University’s major estate and infrastructure projects and programs aligned with the other priority areas in Sustainability 2030</t>
        </is>
      </c>
      <c r="D40" s="8" t="inlineStr">
        <is>
          <t>7b – The University has led or influenced discussions with precinct partner</t>
        </is>
      </c>
      <c r="E40" s="8" t="inlineStr">
        <is>
          <t>ABP – Architecture, Building and Planning: Faculty specific
ARTS – Arts: Faculty specific
CI&amp;S – Estate Planning &amp; Development: A and R
ESG – Campus Operations &amp; Sustainability Delivery: Support
FBE – Business and Economics: Faculty specific
SCI – Science: Faculty specific</t>
        </is>
      </c>
      <c r="F40" s="8" t="inlineStr">
        <is>
          <t>CI&amp;S – Estate Planning &amp; Development: R</t>
        </is>
      </c>
      <c r="G40" s="8" t="inlineStr">
        <is>
          <t>CI&amp;S – Estate Planning &amp; Development</t>
        </is>
      </c>
      <c r="H40" s="8" t="inlineStr"/>
      <c r="I40" s="8" t="inlineStr"/>
      <c r="J40" s="8" t="inlineStr">
        <is>
          <t>Consistent with SR25.</t>
        </is>
      </c>
      <c r="K40" s="8" t="inlineStr"/>
    </row>
    <row r="41" ht="112" customHeight="1">
      <c r="B41" s="7" t="inlineStr">
        <is>
          <t>EI1(d)</t>
        </is>
      </c>
      <c r="C41" s="8" t="inlineStr">
        <is>
          <t>Evidence of understanding and integration of Indigenous approaches to sustainability in estate planning and development programs and projects.</t>
        </is>
      </c>
      <c r="D41" s="8" t="inlineStr">
        <is>
          <t>7b – The University has led or influenced discussions with precinct partner
6a – The University has an increased understanding of sustainability from a</t>
        </is>
      </c>
      <c r="E41" s="8" t="inlineStr">
        <is>
          <t>ABP – Architecture, Building and Planning: Faculty specific
ARTS – Arts: Faculty specific
CI&amp;S – Estate Planning &amp; Development: A and R
ESG – Campus Operations &amp; Sustainability Delivery: Support
FBE – Business and Economics: Faculty specific
GCE – Global, Culture and Engagement: R
Indigenous – Chancellery Indigenous: A and R
SCI – Science: Faculty specific</t>
        </is>
      </c>
      <c r="F41" s="8" t="inlineStr">
        <is>
          <t>CI&amp;S – Estate Planning &amp; Development: R</t>
        </is>
      </c>
      <c r="G41" s="8" t="inlineStr">
        <is>
          <t>CI&amp;S – Estate Planning &amp; Development</t>
        </is>
      </c>
      <c r="H41" s="12" t="inlineStr">
        <is>
          <t>GCE – Global, Culture and Engagement
Indigenous – Chancellery Indigenous</t>
        </is>
      </c>
      <c r="I41" s="8" t="inlineStr"/>
      <c r="J41" s="8" t="inlineStr">
        <is>
          <t>Check why GCE, Indigenous is not asked (was responsible in SR25).</t>
        </is>
      </c>
      <c r="K41" s="8" t="inlineStr"/>
    </row>
    <row r="42" ht="60" customHeight="1">
      <c r="B42" s="7" t="inlineStr">
        <is>
          <t>CE1(a)</t>
        </is>
      </c>
      <c r="C42" s="8" t="inlineStr">
        <is>
          <t>Comparison of year-to-year tonnes of waste (absolute).</t>
        </is>
      </c>
      <c r="D42" s="8" t="inlineStr">
        <is>
          <t>11a – The University has reduced waste to landfill to 10kg per person</t>
        </is>
      </c>
      <c r="E42" s="8" t="inlineStr">
        <is>
          <t>CFOG – Procurement: Support (proc)
CI&amp;S – Estate Planning &amp; Development: R
ESG – Campus Operations &amp; Sustainability Delivery: A and R</t>
        </is>
      </c>
      <c r="F42" s="8" t="inlineStr">
        <is>
          <t>ESG – Campus Operations &amp; Sustainability Delivery: R (quant)</t>
        </is>
      </c>
      <c r="G42" s="8" t="inlineStr">
        <is>
          <t>ESG – Campus Operations &amp; Sustainability Delivery</t>
        </is>
      </c>
      <c r="H42" s="12" t="inlineStr">
        <is>
          <t>CI&amp;S – Estate Planning &amp; Development</t>
        </is>
      </c>
      <c r="I42" s="8" t="inlineStr"/>
      <c r="J42" s="8" t="inlineStr">
        <is>
          <t>Check why CI&amp;S is not asked (was responsible in SR25).</t>
        </is>
      </c>
      <c r="K42" s="8" t="inlineStr"/>
    </row>
    <row r="43" ht="60" customHeight="1">
      <c r="B43" s="7" t="inlineStr">
        <is>
          <t>CE2(a)</t>
        </is>
      </c>
      <c r="C43" s="8" t="inlineStr">
        <is>
          <t>Comparison of year-to-year tonnes of recyclables (absolute).</t>
        </is>
      </c>
      <c r="D43" s="8" t="inlineStr">
        <is>
          <t>11a – The University has reduced waste to landfill to 10kg per person
11b – The University has reduced the flow and improved the circularity of ma</t>
        </is>
      </c>
      <c r="E43" s="8" t="inlineStr">
        <is>
          <t>CFOG – Procurement: A and R
CI&amp;S – Estate Planning &amp; Development: R
ESG – Campus Operations &amp; Sustainability Delivery: A and R</t>
        </is>
      </c>
      <c r="F43" s="8" t="inlineStr">
        <is>
          <t>ESG – Campus Operations &amp; Sustainability Delivery: R (quant)</t>
        </is>
      </c>
      <c r="G43" s="8" t="inlineStr">
        <is>
          <t>ESG – Campus Operations &amp; Sustainability Delivery</t>
        </is>
      </c>
      <c r="H43" s="12" t="inlineStr">
        <is>
          <t>CFOG – Procurement
CI&amp;S – Estate Planning &amp; Development</t>
        </is>
      </c>
      <c r="I43" s="8" t="inlineStr"/>
      <c r="J43" s="8" t="inlineStr">
        <is>
          <t>Check why CFOG, CI&amp;S is not asked (was responsible in SR25).</t>
        </is>
      </c>
      <c r="K43" s="8" t="inlineStr"/>
    </row>
    <row r="44" ht="60" customHeight="1">
      <c r="B44" s="7" t="inlineStr">
        <is>
          <t>RP1(a)</t>
        </is>
      </c>
      <c r="C44" s="8" t="inlineStr">
        <is>
          <t>Case studies of maturity improvement related to responsible procurement process and systems.</t>
        </is>
      </c>
      <c r="D44" s="8" t="inlineStr">
        <is>
          <t xml:space="preserve">11c – The University has principles for ethical and sustainable consumption </t>
        </is>
      </c>
      <c r="E44" s="8" t="inlineStr">
        <is>
          <t>CFOG – Procurement: A and R
CI&amp;S – Sustainability Strategy: Support
ESG – Campus Operations &amp; Sustainability Delivery: A and R</t>
        </is>
      </c>
      <c r="F44" s="8" t="inlineStr">
        <is>
          <t>CFOG – Procurement: R</t>
        </is>
      </c>
      <c r="G44" s="8" t="inlineStr">
        <is>
          <t>CFOG – Procurement</t>
        </is>
      </c>
      <c r="H44" s="12" t="inlineStr">
        <is>
          <t>ESG – Campus Operations &amp; Sustainability Delivery</t>
        </is>
      </c>
      <c r="I44" s="8" t="inlineStr"/>
      <c r="J44" s="8" t="inlineStr">
        <is>
          <t>Check why ESG is not asked (was responsible in SR25).</t>
        </is>
      </c>
      <c r="K44" s="8" t="inlineStr"/>
    </row>
    <row r="45" ht="60" customHeight="1">
      <c r="B45" s="7" t="inlineStr">
        <is>
          <t>RP2(a)</t>
        </is>
      </c>
      <c r="C45" s="8" t="inlineStr">
        <is>
          <t>Percentage of Indigenous spend of total addressable procurement spend</t>
        </is>
      </c>
      <c r="D45" s="8" t="inlineStr">
        <is>
          <t>11d – The University tracks spend with social and Indigenous suppliers, sett</t>
        </is>
      </c>
      <c r="E45" s="8" t="inlineStr">
        <is>
          <t>CFOG – Procurement: A and R</t>
        </is>
      </c>
      <c r="F45" s="8" t="inlineStr">
        <is>
          <t>CFOG – Procurement: R (quant)</t>
        </is>
      </c>
      <c r="G45" s="8" t="inlineStr">
        <is>
          <t>CFOG – Procurement</t>
        </is>
      </c>
      <c r="H45" s="8" t="inlineStr"/>
      <c r="I45" s="8" t="inlineStr"/>
      <c r="J45" s="8" t="inlineStr">
        <is>
          <t>Consistent with SR25.</t>
        </is>
      </c>
      <c r="K45" s="8" t="inlineStr"/>
    </row>
    <row r="46" ht="60" customHeight="1">
      <c r="B46" s="7" t="inlineStr">
        <is>
          <t>RP2(b)</t>
        </is>
      </c>
      <c r="C46" s="8" t="inlineStr">
        <is>
          <t>Percentage of social spend of total addressable procurement spend.</t>
        </is>
      </c>
      <c r="D46" s="8" t="inlineStr">
        <is>
          <t>11d – The University tracks spend with social and Indigenous suppliers, sett</t>
        </is>
      </c>
      <c r="E46" s="8" t="inlineStr">
        <is>
          <t>CFOG – Procurement: A and R</t>
        </is>
      </c>
      <c r="F46" s="8" t="inlineStr">
        <is>
          <t>CFOG – Procurement: R (quant)</t>
        </is>
      </c>
      <c r="G46" s="8" t="inlineStr">
        <is>
          <t>CFOG – Procurement</t>
        </is>
      </c>
      <c r="H46" s="8" t="inlineStr"/>
      <c r="I46" s="8" t="inlineStr"/>
      <c r="J46" s="8" t="inlineStr">
        <is>
          <t>Consistent with SR25.</t>
        </is>
      </c>
      <c r="K46" s="8" t="inlineStr"/>
    </row>
    <row r="47" ht="60" customHeight="1">
      <c r="B47" s="7" t="inlineStr">
        <is>
          <t>MS1(a)</t>
        </is>
      </c>
      <c r="C47" s="8" t="inlineStr">
        <is>
          <t>Annual progress reporting via the Modern Slavery Statement</t>
        </is>
      </c>
      <c r="D47" s="8" t="inlineStr">
        <is>
          <t xml:space="preserve">11c – The University has principles for ethical and sustainable consumption </t>
        </is>
      </c>
      <c r="E47" s="8" t="inlineStr">
        <is>
          <t>CFOG – Procurement: A and R
CI&amp;S – Sustainability Strategy: Support
ESG – Campus Operations &amp; Sustainability Delivery: A and R</t>
        </is>
      </c>
      <c r="F47" s="8" t="inlineStr">
        <is>
          <t>CFOG – Procurement: R
CI&amp;S – Sustainability Strategy: R</t>
        </is>
      </c>
      <c r="G47" s="8" t="inlineStr">
        <is>
          <t>CFOG – Procurement</t>
        </is>
      </c>
      <c r="H47" s="12" t="inlineStr">
        <is>
          <t>ESG – Campus Operations &amp; Sustainability Delivery</t>
        </is>
      </c>
      <c r="I47" s="8" t="inlineStr"/>
      <c r="J47" s="8" t="inlineStr">
        <is>
          <t>Check why ESG is not asked (was responsible in SR25).</t>
        </is>
      </c>
      <c r="K47" s="8" t="inlineStr"/>
    </row>
    <row r="48" ht="60" customHeight="1">
      <c r="B48" s="7" t="inlineStr">
        <is>
          <t>RI1(a)</t>
        </is>
      </c>
      <c r="C48" s="8" t="inlineStr">
        <is>
          <t>Annual monitoring and reporting on the investment portfolio’s net zero transition progress, including tracking the percentage of assets under management (AUM) managed by investment managers aligned with (or committed to) net zero by 2050</t>
        </is>
      </c>
      <c r="D48" s="8" t="inlineStr">
        <is>
          <t>12a – The University’s investment portfolio will be included in our commitme</t>
        </is>
      </c>
      <c r="E48" s="8" t="inlineStr">
        <is>
          <t>CFOG – Treasury &amp; Investments: A and R
CI&amp;S – Sustainability Strategy: R</t>
        </is>
      </c>
      <c r="F48" s="8" t="inlineStr">
        <is>
          <t>CFOG – Treasury &amp; Investments: R (quant)</t>
        </is>
      </c>
      <c r="G48" s="8" t="inlineStr">
        <is>
          <t>CFOG – Treasury &amp; Investments</t>
        </is>
      </c>
      <c r="H48" s="12" t="inlineStr">
        <is>
          <t>CI&amp;S – Sustainability Strategy</t>
        </is>
      </c>
      <c r="I48" s="8" t="inlineStr"/>
      <c r="J48" s="8" t="inlineStr">
        <is>
          <t>Check why CI&amp;S is not asked (was responsible in SR25).</t>
        </is>
      </c>
      <c r="K48" s="8" t="inlineStr"/>
    </row>
    <row r="49" ht="60" customHeight="1">
      <c r="B49" s="7" t="inlineStr">
        <is>
          <t>RI1(b)</t>
        </is>
      </c>
      <c r="C49" s="8" t="inlineStr">
        <is>
          <t>Continuous improvement of the reporting of the University’s sustainability-related investment profile metrics, could include investment in climate mitigation and transition solutions, and compliance with related obligations (eg UNPRI).</t>
        </is>
      </c>
      <c r="D49" s="8" t="inlineStr">
        <is>
          <t>12b – Enhanced transparent reporting of the University’s investment portfoli</t>
        </is>
      </c>
      <c r="E49" s="8" t="inlineStr">
        <is>
          <t>CFOG – Treasury &amp; Investments: A and R
CI&amp;S – Sustainability Strategy: R</t>
        </is>
      </c>
      <c r="F49" s="8" t="inlineStr">
        <is>
          <t>CFOG – Treasury &amp; Investments: R
CI&amp;S – Sustainability Strategy: R</t>
        </is>
      </c>
      <c r="G49" s="8" t="inlineStr">
        <is>
          <t>CFOG – Treasury &amp; Investments
CI&amp;S – Sustainability Strategy</t>
        </is>
      </c>
      <c r="H49" s="8" t="inlineStr"/>
      <c r="I49" s="8" t="inlineStr"/>
      <c r="J49" s="8" t="inlineStr">
        <is>
          <t>Consistent with SR25.</t>
        </is>
      </c>
      <c r="K49" s="8" t="inlineStr"/>
    </row>
    <row r="50" ht="84" customHeight="1">
      <c r="B50" s="7" t="inlineStr">
        <is>
          <t>EN1(a)</t>
        </is>
      </c>
      <c r="C50" s="8" t="inlineStr">
        <is>
          <t>Evidence of sustainability outcomes informed by Indigenous knowledges</t>
        </is>
      </c>
      <c r="D50" s="8" t="inlineStr">
        <is>
          <t>6a – The University has an increased understanding of sustainability from a</t>
        </is>
      </c>
      <c r="E50" s="8" t="inlineStr">
        <is>
          <t>GCE – Global, Culture and Engagement: R
Indigenous – Chancellery Indigenous: A and R</t>
        </is>
      </c>
      <c r="F50" s="8" t="inlineStr">
        <is>
          <t>ABP – Architecture, Building and Planning: R
ARTS – Arts: R
FBE – Business and Economics: R
GCE – Global, Culture and Engagement: R
Indigenous – Chancellery Indigenous: R
SCI – Science: R</t>
        </is>
      </c>
      <c r="G50" s="8" t="inlineStr">
        <is>
          <t>GCE – Global, Culture and Engagement
Indigenous – Chancellery Indigenous</t>
        </is>
      </c>
      <c r="H50" s="8" t="inlineStr"/>
      <c r="I50" s="43" t="inlineStr">
        <is>
          <t>ABP – Architecture, Building and Planning
ARTS – Arts
FBE – Business and Economics
SCI – Science</t>
        </is>
      </c>
      <c r="J50" s="8" t="inlineStr">
        <is>
          <t>Consistent with SR25. New areas added in SR26.</t>
        </is>
      </c>
      <c r="K50" s="8" t="inlineStr"/>
    </row>
    <row r="51" ht="112" customHeight="1">
      <c r="B51" s="7" t="inlineStr">
        <is>
          <t>EN1(b)</t>
        </is>
      </c>
      <c r="C51" s="8" t="inlineStr">
        <is>
          <t>Living laboratories enabling applied learning, research and operational sustainability outcomes</t>
        </is>
      </c>
      <c r="D51" s="8" t="inlineStr">
        <is>
          <t xml:space="preserve">2a – The University has curated living labs covering the priority areas of </t>
        </is>
      </c>
      <c r="E51" s="8" t="inlineStr">
        <is>
          <t>ABP – Architecture, Building and Planning: R
ARTS – Arts: R
CFOG – Procurement: R
CI&amp;S – Sustainability Strategy: A and R
ESG – Campus Operations &amp; Sustainability Delivery: R
FBE – Business and Economics: R
⚠ CFOG Finance: R
SCI – Science: R</t>
        </is>
      </c>
      <c r="F51" s="8" t="inlineStr">
        <is>
          <t>ABP – Architecture, Building and Planning: R
ARTS – Arts: R
CI&amp;S – Estate Planning &amp; Development: R (quant)
CI&amp;S – Sustainability Strategy: R
FBE – Business and Economics: R
SCI – Science: R</t>
        </is>
      </c>
      <c r="G51" s="8" t="inlineStr">
        <is>
          <t>ABP – Architecture, Building and Planning
ARTS – Arts
CI&amp;S – Sustainability Strategy
FBE – Business and Economics
SCI – Science</t>
        </is>
      </c>
      <c r="H51" s="12" t="inlineStr">
        <is>
          <t>CFOG – Procurement
ESG – Campus Operations &amp; Sustainability Delivery
Not in SR26: CFOG Finance</t>
        </is>
      </c>
      <c r="I51" s="43" t="inlineStr">
        <is>
          <t>CI&amp;S – Estate Planning &amp; Development</t>
        </is>
      </c>
      <c r="J51" s="8" t="inlineStr">
        <is>
          <t>Check why CFOG, ESG is not asked (was responsible in SR25); Consider request or 'C/I' for CFOG Finance.</t>
        </is>
      </c>
      <c r="K51" s="8" t="inlineStr"/>
    </row>
    <row r="52" ht="154" customHeight="1">
      <c r="B52" s="7" t="inlineStr">
        <is>
          <t>EN1(c)</t>
        </is>
      </c>
      <c r="C52" s="8" t="inlineStr">
        <is>
          <t>Coordinated internal engagement and external partnerships contributing to delivery of sustainability outcomes across priority areas.</t>
        </is>
      </c>
      <c r="D52" s="8" t="inlineStr">
        <is>
          <t>7a – The University’s community partnerships demonstrate localised and co-c
7c – The University is playing a leading and convening role on sustainabili
3a – The University's Academic Divisions and portfolios support and learn f</t>
        </is>
      </c>
      <c r="E52" s="8" t="inlineStr">
        <is>
          <t>ABP – Architecture, Building and Planning: R
ARTS – Arts: R
ESG – Campus Operations &amp; Sustainability Delivery: Support
Education – Chancellery Education: A
FBE – Business and Economics: R
GCE – Global, Culture and Engagement: A and R
⚠ Academic Board: Support
SCI – Science: R</t>
        </is>
      </c>
      <c r="F52" s="8" t="inlineStr">
        <is>
          <t>ABP – Architecture, Building and Planning: R
AC&amp;M – Advancement, Communication and Marketing: R
ARTS – Arts: R
CFOG – Procurement: R
CI&amp;S – Sustainability Strategy: R
CIOG – Responsible AI &amp; digital: R
ESG – Campus Operations &amp; Sustainability Delivery: R
Education – Chancellery Education: R
FBE – Business and Economics: R
GCE – Global, Culture and Engagement: R
SCI – Science: R</t>
        </is>
      </c>
      <c r="G52" s="8" t="inlineStr">
        <is>
          <t>ABP – Architecture, Building and Planning
ARTS – Arts
Education – Chancellery Education
FBE – Business and Economics
GCE – Global, Culture and Engagement
SCI – Science</t>
        </is>
      </c>
      <c r="H52" s="8" t="inlineStr"/>
      <c r="I52" s="43" t="inlineStr">
        <is>
          <t>AC&amp;M – Advancement, Communication and Marketing
CFOG – Procurement
CI&amp;S – Sustainability Strategy
CIOG – Responsible AI &amp; digital</t>
        </is>
      </c>
      <c r="J52" s="8" t="inlineStr">
        <is>
          <t>Consistent with SR25. New areas added in SR26.</t>
        </is>
      </c>
      <c r="K52" s="8" t="inlineStr"/>
    </row>
    <row r="53" ht="84" customHeight="1">
      <c r="B53" s="7" t="inlineStr">
        <is>
          <t>EN1(d)</t>
        </is>
      </c>
      <c r="C53" s="8" t="inlineStr">
        <is>
          <t>Sustainability objectives integrated into governance and decision‑making processes, supported by transparent reporting.</t>
        </is>
      </c>
      <c r="D53" s="8" t="inlineStr">
        <is>
          <t>3a – The University's Academic Divisions and portfolios support and learn f</t>
        </is>
      </c>
      <c r="E53" s="8" t="inlineStr">
        <is>
          <t>ABP – Architecture, Building and Planning: R
ARTS – Arts: R
Education – Chancellery Education: A
FBE – Business and Economics: R
⚠ Academic Board: Support
SCI – Science: R</t>
        </is>
      </c>
      <c r="F53" s="8" t="inlineStr">
        <is>
          <t>CFOG – Procurement: R
CI&amp;S – Sustainability Strategy: R
CIOG – Responsible AI &amp; digital: R
ESG – Campus Operations &amp; Sustainability Delivery: R</t>
        </is>
      </c>
      <c r="G53" s="8" t="inlineStr"/>
      <c r="H53" s="12" t="inlineStr">
        <is>
          <t>ABP – Architecture, Building and Planning
ARTS – Arts
Education – Chancellery Education
FBE – Business and Economics
SCI – Science</t>
        </is>
      </c>
      <c r="I53" s="43" t="inlineStr">
        <is>
          <t>CFOG – Procurement
CI&amp;S – Sustainability Strategy
CIOG – Responsible AI &amp; digital
ESG – Campus Operations &amp; Sustainability Delivery</t>
        </is>
      </c>
      <c r="J53" s="8" t="inlineStr">
        <is>
          <t>Team decision (v0.8): not asked of faculties; central units keep it.</t>
        </is>
      </c>
      <c r="K53" s="8" t="inlineStr"/>
    </row>
    <row r="56">
      <c r="B56" s="31" t="inlineStr">
        <is>
          <t>SR25 areas with responsibilities but no SR26 role (number of indicators)</t>
        </is>
      </c>
    </row>
    <row r="57">
      <c r="B57" s="6" t="inlineStr">
        <is>
          <t>Area</t>
        </is>
      </c>
      <c r="C57" s="6" t="inlineStr">
        <is>
          <t>Indicators</t>
        </is>
      </c>
      <c r="D57" s="6" t="inlineStr">
        <is>
          <t>In SR26 structure?</t>
        </is>
      </c>
    </row>
    <row r="58">
      <c r="B58" s="8" t="inlineStr">
        <is>
          <t>ABP – Architecture, Building and Planning</t>
        </is>
      </c>
      <c r="C58" s="8" t="n">
        <v>17</v>
      </c>
      <c r="D58" s="8" t="inlineStr">
        <is>
          <t>Yes – check</t>
        </is>
      </c>
    </row>
    <row r="59">
      <c r="B59" s="8" t="inlineStr">
        <is>
          <t>ARTS – Arts</t>
        </is>
      </c>
      <c r="C59" s="8" t="n">
        <v>17</v>
      </c>
      <c r="D59" s="8" t="inlineStr">
        <is>
          <t>Yes – check</t>
        </is>
      </c>
    </row>
    <row r="60">
      <c r="B60" s="8" t="inlineStr">
        <is>
          <t>FBE – Business and Economics</t>
        </is>
      </c>
      <c r="C60" s="8" t="n">
        <v>17</v>
      </c>
      <c r="D60" s="8" t="inlineStr">
        <is>
          <t>Yes – check</t>
        </is>
      </c>
    </row>
    <row r="61">
      <c r="B61" s="8" t="inlineStr">
        <is>
          <t>SCI – Science</t>
        </is>
      </c>
      <c r="C61" s="8" t="n">
        <v>17</v>
      </c>
      <c r="D61" s="8" t="inlineStr">
        <is>
          <t>Yes – check</t>
        </is>
      </c>
    </row>
    <row r="62">
      <c r="B62" s="8" t="inlineStr">
        <is>
          <t>ESG – Campus Operations &amp; Sustainability Delivery</t>
        </is>
      </c>
      <c r="C62" s="8" t="n">
        <v>13</v>
      </c>
      <c r="D62" s="8" t="inlineStr">
        <is>
          <t>Yes – check</t>
        </is>
      </c>
    </row>
    <row r="63">
      <c r="B63" s="8" t="inlineStr">
        <is>
          <t>CFOG – Procurement</t>
        </is>
      </c>
      <c r="C63" s="8" t="n">
        <v>13</v>
      </c>
      <c r="D63" s="8" t="inlineStr">
        <is>
          <t>Yes – check</t>
        </is>
      </c>
    </row>
    <row r="64">
      <c r="B64" s="8" t="inlineStr">
        <is>
          <t>CFOG Finance</t>
        </is>
      </c>
      <c r="C64" s="8" t="n">
        <v>10</v>
      </c>
      <c r="D64" s="8" t="inlineStr">
        <is>
          <t>No – no SR26 request</t>
        </is>
      </c>
    </row>
    <row r="65">
      <c r="B65" s="8" t="inlineStr">
        <is>
          <t>CI&amp;S – Sustainability Strategy</t>
        </is>
      </c>
      <c r="C65" s="8" t="n">
        <v>8</v>
      </c>
      <c r="D65" s="8" t="inlineStr">
        <is>
          <t>Yes – check</t>
        </is>
      </c>
    </row>
    <row r="66">
      <c r="B66" s="8" t="inlineStr">
        <is>
          <t>RIC</t>
        </is>
      </c>
      <c r="C66" s="8" t="n">
        <v>8</v>
      </c>
      <c r="D66" s="8" t="inlineStr">
        <is>
          <t>No – no SR26 request</t>
        </is>
      </c>
    </row>
    <row r="67">
      <c r="B67" s="8" t="inlineStr">
        <is>
          <t>Education – Chancellery Education</t>
        </is>
      </c>
      <c r="C67" s="8" t="n">
        <v>6</v>
      </c>
      <c r="D67" s="8" t="inlineStr">
        <is>
          <t>Yes – check</t>
        </is>
      </c>
    </row>
    <row r="68">
      <c r="B68" s="8" t="inlineStr">
        <is>
          <t>MRE – Research</t>
        </is>
      </c>
      <c r="C68" s="8" t="n">
        <v>6</v>
      </c>
      <c r="D68" s="8" t="inlineStr">
        <is>
          <t>Yes – check</t>
        </is>
      </c>
    </row>
    <row r="69">
      <c r="B69" s="8" t="inlineStr">
        <is>
          <t>CI&amp;S – Estate Planning &amp; Development</t>
        </is>
      </c>
      <c r="C69" s="8" t="n">
        <v>6</v>
      </c>
      <c r="D69" s="8" t="inlineStr">
        <is>
          <t>Yes – check</t>
        </is>
      </c>
    </row>
    <row r="70">
      <c r="B70" s="8" t="inlineStr">
        <is>
          <t>GCE – Global, Culture and Engagement</t>
        </is>
      </c>
      <c r="C70" s="8" t="n">
        <v>4</v>
      </c>
      <c r="D70" s="8" t="inlineStr">
        <is>
          <t>Yes – check</t>
        </is>
      </c>
    </row>
    <row r="71">
      <c r="B71" s="8" t="inlineStr">
        <is>
          <t>Indigenous – Chancellery Indigenous</t>
        </is>
      </c>
      <c r="C71" s="8" t="n">
        <v>4</v>
      </c>
      <c r="D71" s="8" t="inlineStr">
        <is>
          <t>Yes – check</t>
        </is>
      </c>
    </row>
    <row r="72">
      <c r="B72" s="8" t="inlineStr">
        <is>
          <t>CFOG – Treasury &amp; Investments</t>
        </is>
      </c>
      <c r="C72" s="8" t="n">
        <v>3</v>
      </c>
      <c r="D72" s="8" t="inlineStr">
        <is>
          <t>Yes – check</t>
        </is>
      </c>
    </row>
    <row r="73">
      <c r="B73" s="8" t="inlineStr">
        <is>
          <t>People strategy</t>
        </is>
      </c>
      <c r="C73" s="8" t="n">
        <v>3</v>
      </c>
      <c r="D73" s="8" t="inlineStr">
        <is>
          <t>No – no SR26 request</t>
        </is>
      </c>
    </row>
    <row r="74">
      <c r="B74" s="8" t="inlineStr">
        <is>
          <t>EPMO &amp; investment office</t>
        </is>
      </c>
      <c r="C74" s="8" t="n">
        <v>2</v>
      </c>
      <c r="D74" s="8" t="inlineStr">
        <is>
          <t>No – no SR26 request</t>
        </is>
      </c>
    </row>
    <row r="75">
      <c r="B75" s="8" t="inlineStr">
        <is>
          <t>AC&amp;M – Advancement, Communication and Marketing</t>
        </is>
      </c>
      <c r="C75" s="8" t="n">
        <v>1</v>
      </c>
      <c r="D75" s="8" t="inlineStr">
        <is>
          <t>Yes – check</t>
        </is>
      </c>
    </row>
  </sheetData>
  <autoFilter ref="B5:K53"/>
  <mergeCells count="1">
    <mergeCell ref="B3:J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26"/>
  <sheetViews>
    <sheetView showGridLines="0" workbookViewId="0">
      <pane xSplit="4" ySplit="9" topLeftCell="E10" activePane="bottomRight" state="frozen"/>
      <selection pane="topRight"/>
      <selection pane="bottomLeft"/>
      <selection pane="bottomRight" activeCell="A1" sqref="A1"/>
    </sheetView>
  </sheetViews>
  <sheetFormatPr baseColWidth="8" defaultRowHeight="15"/>
  <cols>
    <col width="4" customWidth="1" min="1" max="1"/>
    <col width="6" customWidth="1" min="2" max="2"/>
    <col width="10" customWidth="1" min="3" max="3"/>
    <col width="46" customWidth="1" min="4" max="4"/>
    <col width="16" customWidth="1" min="5" max="5"/>
    <col width="12" customWidth="1" min="6" max="6"/>
    <col width="44" customWidth="1" min="7" max="7"/>
    <col width="12" customWidth="1" min="8" max="8"/>
    <col width="12" customWidth="1" min="9" max="9"/>
    <col width="12" customWidth="1" min="10" max="10"/>
    <col width="16" customWidth="1" min="11" max="11"/>
    <col width="14" customWidth="1" min="12" max="12"/>
    <col width="12" customWidth="1" min="13" max="13"/>
    <col width="16" customWidth="1" min="14" max="14"/>
    <col width="10" customWidth="1" min="15" max="15"/>
    <col width="40" customWidth="1" min="16" max="16"/>
  </cols>
  <sheetData>
    <row r="1">
      <c r="A1" s="1" t="inlineStr">
        <is>
          <t>↑</t>
        </is>
      </c>
      <c r="B1" s="2" t="inlineStr">
        <is>
          <t>End-2026 target status assessment and reporting</t>
        </is>
      </c>
    </row>
    <row r="2">
      <c r="B2" s="3" t="inlineStr">
        <is>
          <t>4. Request tracker</t>
        </is>
      </c>
    </row>
    <row r="4">
      <c r="B4" s="31" t="inlineStr">
        <is>
          <t>Summary</t>
        </is>
      </c>
    </row>
    <row r="5">
      <c r="C5" s="32" t="inlineStr">
        <is>
          <t>Not sent</t>
        </is>
      </c>
      <c r="E5" s="32" t="inlineStr">
        <is>
          <t>Sent</t>
        </is>
      </c>
      <c r="G5" s="32" t="inlineStr">
        <is>
          <t>1:1 meeting</t>
        </is>
      </c>
      <c r="I5" s="32" t="inlineStr">
        <is>
          <t>Received</t>
        </is>
      </c>
      <c r="L5" s="32" t="inlineStr">
        <is>
          <t>Response rate</t>
        </is>
      </c>
      <c r="N5" s="32" t="inlineStr">
        <is>
          <t>Owner confirmed</t>
        </is>
      </c>
    </row>
    <row r="6">
      <c r="C6">
        <f>COUNTIF($N$10:$N$26,"Not sent")</f>
        <v/>
      </c>
      <c r="E6">
        <f>COUNTIF($N$10:$N$26,"Sent")</f>
        <v/>
      </c>
      <c r="G6">
        <f>COUNTIF($N$10:$N$26,"1:1 meeting")</f>
        <v/>
      </c>
      <c r="I6">
        <f>COUNTIF($N$10:$N$26,"Received")</f>
        <v/>
      </c>
      <c r="L6" s="44">
        <f>IFERROR((COUNTIF($N$10:$N$26,"Received")+COUNTIF($N$10:$N$26,"Under review")+COUNTIF($N$10:$N$26,"Complete"))/(COUNTA($N$10:$N$26)-COUNTIF($N$10:$N$26,"Not required")),0)</f>
        <v/>
      </c>
      <c r="N6">
        <f>COUNTIF($M$10:$M$26,"Yes")&amp;" / "&amp;COUNTA($C$10:$C$26)</f>
        <v/>
      </c>
    </row>
    <row r="7">
      <c r="C7" s="32" t="inlineStr">
        <is>
          <t>First review</t>
        </is>
      </c>
      <c r="E7" s="32" t="inlineStr">
        <is>
          <t>Follow-up</t>
        </is>
      </c>
      <c r="G7" s="32" t="inlineStr">
        <is>
          <t>Complete</t>
        </is>
      </c>
      <c r="I7" s="32" t="inlineStr">
        <is>
          <t>Not required</t>
        </is>
      </c>
    </row>
    <row r="8">
      <c r="C8">
        <f>COUNTIF($N$10:$N$26,"First review")</f>
        <v/>
      </c>
      <c r="E8">
        <f>COUNTIF($N$10:$N$26,"Follow-up")</f>
        <v/>
      </c>
      <c r="G8">
        <f>COUNTIF($N$10:$N$26,"Complete")</f>
        <v/>
      </c>
      <c r="I8">
        <f>COUNTIF($N$10:$N$26,"Not required")</f>
        <v/>
      </c>
    </row>
    <row r="9">
      <c r="B9" s="6" t="inlineStr">
        <is>
          <t>#</t>
        </is>
      </c>
      <c r="C9" s="6" t="inlineStr">
        <is>
          <t>Group</t>
        </is>
      </c>
      <c r="D9" s="6" t="inlineStr">
        <is>
          <t>Unit / section</t>
        </is>
      </c>
      <c r="E9" s="6" t="inlineStr">
        <is>
          <t>Key contact</t>
        </is>
      </c>
      <c r="F9" s="6" t="inlineStr">
        <is>
          <t>No. of indicators requested</t>
        </is>
      </c>
      <c r="G9" s="6" t="inlineStr">
        <is>
          <t>Request workbook</t>
        </is>
      </c>
      <c r="H9" s="6" t="inlineStr">
        <is>
          <t>Date sent</t>
        </is>
      </c>
      <c r="I9" s="6" t="inlineStr">
        <is>
          <t>Due date</t>
        </is>
      </c>
      <c r="J9" s="6" t="inlineStr">
        <is>
          <t>Reminder date</t>
        </is>
      </c>
      <c r="K9" s="6" t="inlineStr">
        <is>
          <t>Optional 1:1 meeting (date)</t>
        </is>
      </c>
      <c r="L9" s="6" t="inlineStr">
        <is>
          <t>Response received</t>
        </is>
      </c>
      <c r="M9" s="6" t="inlineStr">
        <is>
          <t>Owner confirmed</t>
        </is>
      </c>
      <c r="N9" s="6" t="inlineStr">
        <is>
          <t>Status</t>
        </is>
      </c>
      <c r="O9" s="6" t="inlineStr">
        <is>
          <t>Days overdue</t>
        </is>
      </c>
      <c r="P9" s="6" t="inlineStr">
        <is>
          <t>Notes / follow-up</t>
        </is>
      </c>
    </row>
    <row r="10">
      <c r="B10" s="8" t="inlineStr">
        <is>
          <t>F1</t>
        </is>
      </c>
      <c r="C10" s="8" t="inlineStr">
        <is>
          <t>Faculty</t>
        </is>
      </c>
      <c r="D10" s="8" t="inlineStr">
        <is>
          <t>ABP – Faculty of Architecture, Building and Planning</t>
        </is>
      </c>
      <c r="E10" s="8" t="inlineStr">
        <is>
          <t>TBC</t>
        </is>
      </c>
      <c r="F10" s="8" t="n">
        <v>9</v>
      </c>
      <c r="G10" s="8" t="inlineStr">
        <is>
          <t>ABP - end-2026 sustainability reporting request - v0.9.xlsx</t>
        </is>
      </c>
      <c r="H10" s="45" t="n"/>
      <c r="I10" s="45" t="n">
        <v>46371</v>
      </c>
      <c r="J10" s="45">
        <f>IF(I10="","",I10-7)</f>
        <v/>
      </c>
      <c r="K10" s="8" t="inlineStr"/>
      <c r="L10" s="45" t="n"/>
      <c r="M10" s="8" t="inlineStr"/>
      <c r="N10" s="8" t="inlineStr">
        <is>
          <t>Not sent</t>
        </is>
      </c>
      <c r="O10" s="8">
        <f>IF(OR(I10="",L10&lt;&gt;""),"",MAX(0,TODAY()-I10))</f>
        <v/>
      </c>
      <c r="P10" s="8" t="inlineStr"/>
    </row>
    <row r="11">
      <c r="B11" s="8" t="inlineStr">
        <is>
          <t>F2</t>
        </is>
      </c>
      <c r="C11" s="8" t="inlineStr">
        <is>
          <t>Faculty</t>
        </is>
      </c>
      <c r="D11" s="8" t="inlineStr">
        <is>
          <t>ARTS – Faculty of Arts</t>
        </is>
      </c>
      <c r="E11" s="8" t="inlineStr">
        <is>
          <t>TBC</t>
        </is>
      </c>
      <c r="F11" s="8" t="n">
        <v>9</v>
      </c>
      <c r="G11" s="8" t="inlineStr">
        <is>
          <t>ARTS - end-2026 sustainability reporting request - v0.9.xlsx</t>
        </is>
      </c>
      <c r="H11" s="45" t="n"/>
      <c r="I11" s="45" t="n">
        <v>46371</v>
      </c>
      <c r="J11" s="45">
        <f>IF(I11="","",I11-7)</f>
        <v/>
      </c>
      <c r="K11" s="8" t="inlineStr"/>
      <c r="L11" s="45" t="n"/>
      <c r="M11" s="8" t="inlineStr"/>
      <c r="N11" s="8" t="inlineStr">
        <is>
          <t>Not sent</t>
        </is>
      </c>
      <c r="O11" s="8">
        <f>IF(OR(I11="",L11&lt;&gt;""),"",MAX(0,TODAY()-I11))</f>
        <v/>
      </c>
      <c r="P11" s="8" t="inlineStr"/>
    </row>
    <row r="12">
      <c r="B12" s="8" t="inlineStr">
        <is>
          <t>F3</t>
        </is>
      </c>
      <c r="C12" s="8" t="inlineStr">
        <is>
          <t>Faculty</t>
        </is>
      </c>
      <c r="D12" s="8" t="inlineStr">
        <is>
          <t>FBE – Faculty of Business and Economics</t>
        </is>
      </c>
      <c r="E12" s="8" t="inlineStr">
        <is>
          <t>TBC</t>
        </is>
      </c>
      <c r="F12" s="8" t="n">
        <v>9</v>
      </c>
      <c r="G12" s="8" t="inlineStr">
        <is>
          <t>FBE - end-2026 sustainability reporting request - v0.9.xlsx</t>
        </is>
      </c>
      <c r="H12" s="45" t="n"/>
      <c r="I12" s="45" t="n">
        <v>46371</v>
      </c>
      <c r="J12" s="45">
        <f>IF(I12="","",I12-7)</f>
        <v/>
      </c>
      <c r="K12" s="8" t="inlineStr"/>
      <c r="L12" s="45" t="n"/>
      <c r="M12" s="8" t="inlineStr"/>
      <c r="N12" s="8" t="inlineStr">
        <is>
          <t>Not sent</t>
        </is>
      </c>
      <c r="O12" s="8">
        <f>IF(OR(I12="",L12&lt;&gt;""),"",MAX(0,TODAY()-I12))</f>
        <v/>
      </c>
      <c r="P12" s="8" t="inlineStr"/>
    </row>
    <row r="13">
      <c r="B13" s="8" t="inlineStr">
        <is>
          <t>F4</t>
        </is>
      </c>
      <c r="C13" s="8" t="inlineStr">
        <is>
          <t>Faculty</t>
        </is>
      </c>
      <c r="D13" s="8" t="inlineStr">
        <is>
          <t>SCI – Faculty of Science</t>
        </is>
      </c>
      <c r="E13" s="8" t="inlineStr">
        <is>
          <t>TBC</t>
        </is>
      </c>
      <c r="F13" s="8" t="n">
        <v>9</v>
      </c>
      <c r="G13" s="8" t="inlineStr">
        <is>
          <t>SCI - end-2026 sustainability reporting request - v0.9.xlsx</t>
        </is>
      </c>
      <c r="H13" s="45" t="n"/>
      <c r="I13" s="45" t="n">
        <v>46371</v>
      </c>
      <c r="J13" s="45">
        <f>IF(I13="","",I13-7)</f>
        <v/>
      </c>
      <c r="K13" s="8" t="inlineStr"/>
      <c r="L13" s="45" t="n"/>
      <c r="M13" s="8" t="inlineStr"/>
      <c r="N13" s="8" t="inlineStr">
        <is>
          <t>Not sent</t>
        </is>
      </c>
      <c r="O13" s="8">
        <f>IF(OR(I13="",L13&lt;&gt;""),"",MAX(0,TODAY()-I13))</f>
        <v/>
      </c>
      <c r="P13" s="8" t="inlineStr"/>
    </row>
    <row r="14">
      <c r="B14" s="8" t="inlineStr">
        <is>
          <t>C1</t>
        </is>
      </c>
      <c r="C14" s="8" t="inlineStr">
        <is>
          <t>Central</t>
        </is>
      </c>
      <c r="D14" s="8" t="inlineStr">
        <is>
          <t>CI&amp;S – Estate Planning &amp; Development (TBC: confirm with Gerard)</t>
        </is>
      </c>
      <c r="E14" s="8" t="inlineStr">
        <is>
          <t>TBC</t>
        </is>
      </c>
      <c r="F14" s="8" t="n">
        <v>5</v>
      </c>
      <c r="G14" s="8" t="inlineStr">
        <is>
          <t>CIandS - end-2026 sustainability reporting request - v0.9.xlsx</t>
        </is>
      </c>
      <c r="H14" s="45" t="n"/>
      <c r="I14" s="45" t="n">
        <v>46371</v>
      </c>
      <c r="J14" s="45">
        <f>IF(I14="","",I14-7)</f>
        <v/>
      </c>
      <c r="K14" s="8" t="inlineStr"/>
      <c r="L14" s="45" t="n"/>
      <c r="M14" s="8" t="inlineStr"/>
      <c r="N14" s="8" t="inlineStr">
        <is>
          <t>Not sent</t>
        </is>
      </c>
      <c r="O14" s="8">
        <f>IF(OR(I14="",L14&lt;&gt;""),"",MAX(0,TODAY()-I14))</f>
        <v/>
      </c>
      <c r="P14" s="8" t="inlineStr"/>
    </row>
    <row r="15">
      <c r="B15" s="8" t="inlineStr">
        <is>
          <t>C2</t>
        </is>
      </c>
      <c r="C15" s="8" t="inlineStr">
        <is>
          <t>Central</t>
        </is>
      </c>
      <c r="D15" s="8" t="inlineStr">
        <is>
          <t>CI&amp;S – Sustainability Strategy (incl. CLLAP)</t>
        </is>
      </c>
      <c r="E15" s="8" t="inlineStr">
        <is>
          <t>TBC</t>
        </is>
      </c>
      <c r="F15" s="8" t="n">
        <v>14</v>
      </c>
      <c r="G15" s="8" t="inlineStr">
        <is>
          <t>CIandS - end-2026 sustainability reporting request - v0.9.xlsx</t>
        </is>
      </c>
      <c r="H15" s="45" t="n"/>
      <c r="I15" s="45" t="n">
        <v>46371</v>
      </c>
      <c r="J15" s="45">
        <f>IF(I15="","",I15-7)</f>
        <v/>
      </c>
      <c r="K15" s="8" t="inlineStr"/>
      <c r="L15" s="45" t="n"/>
      <c r="M15" s="8" t="inlineStr"/>
      <c r="N15" s="8" t="inlineStr">
        <is>
          <t>Not sent</t>
        </is>
      </c>
      <c r="O15" s="8">
        <f>IF(OR(I15="",L15&lt;&gt;""),"",MAX(0,TODAY()-I15))</f>
        <v/>
      </c>
      <c r="P15" s="8" t="inlineStr"/>
    </row>
    <row r="16">
      <c r="B16" s="8" t="inlineStr">
        <is>
          <t>C3</t>
        </is>
      </c>
      <c r="C16" s="8" t="inlineStr">
        <is>
          <t>Central</t>
        </is>
      </c>
      <c r="D16" s="8" t="inlineStr">
        <is>
          <t>CFOG – Procurement</t>
        </is>
      </c>
      <c r="E16" s="8" t="inlineStr">
        <is>
          <t>TBC</t>
        </is>
      </c>
      <c r="F16" s="8" t="n">
        <v>6</v>
      </c>
      <c r="G16" s="8" t="inlineStr">
        <is>
          <t>CFOG - end-2026 sustainability reporting request - v0.9.xlsx</t>
        </is>
      </c>
      <c r="H16" s="45" t="n"/>
      <c r="I16" s="45" t="n">
        <v>46371</v>
      </c>
      <c r="J16" s="45">
        <f>IF(I16="","",I16-7)</f>
        <v/>
      </c>
      <c r="K16" s="8" t="inlineStr"/>
      <c r="L16" s="45" t="n"/>
      <c r="M16" s="8" t="inlineStr"/>
      <c r="N16" s="8" t="inlineStr">
        <is>
          <t>Not sent</t>
        </is>
      </c>
      <c r="O16" s="8">
        <f>IF(OR(I16="",L16&lt;&gt;""),"",MAX(0,TODAY()-I16))</f>
        <v/>
      </c>
      <c r="P16" s="8" t="inlineStr"/>
    </row>
    <row r="17">
      <c r="B17" s="8" t="inlineStr">
        <is>
          <t>C4</t>
        </is>
      </c>
      <c r="C17" s="8" t="inlineStr">
        <is>
          <t>Central</t>
        </is>
      </c>
      <c r="D17" s="8" t="inlineStr">
        <is>
          <t>CFOG – Treasury &amp; Investments</t>
        </is>
      </c>
      <c r="E17" s="8" t="inlineStr">
        <is>
          <t>TBC</t>
        </is>
      </c>
      <c r="F17" s="8" t="n">
        <v>1</v>
      </c>
      <c r="G17" s="8" t="inlineStr">
        <is>
          <t>CFOG - end-2026 sustainability reporting request - v0.9.xlsx</t>
        </is>
      </c>
      <c r="H17" s="45" t="n"/>
      <c r="I17" s="45" t="n">
        <v>46371</v>
      </c>
      <c r="J17" s="45">
        <f>IF(I17="","",I17-7)</f>
        <v/>
      </c>
      <c r="K17" s="8" t="inlineStr"/>
      <c r="L17" s="45" t="n"/>
      <c r="M17" s="8" t="inlineStr"/>
      <c r="N17" s="8" t="inlineStr">
        <is>
          <t>Not sent</t>
        </is>
      </c>
      <c r="O17" s="8">
        <f>IF(OR(I17="",L17&lt;&gt;""),"",MAX(0,TODAY()-I17))</f>
        <v/>
      </c>
      <c r="P17" s="8" t="inlineStr"/>
    </row>
    <row r="18">
      <c r="B18" s="8" t="inlineStr">
        <is>
          <t>C5</t>
        </is>
      </c>
      <c r="C18" s="8" t="inlineStr">
        <is>
          <t>Central</t>
        </is>
      </c>
      <c r="D18" s="8" t="inlineStr">
        <is>
          <t>ESG – Campus Operations &amp; Sustainability Delivery</t>
        </is>
      </c>
      <c r="E18" s="8" t="inlineStr">
        <is>
          <t>TBC</t>
        </is>
      </c>
      <c r="F18" s="8" t="n">
        <v>7</v>
      </c>
      <c r="G18" s="8" t="inlineStr">
        <is>
          <t>ESG - end-2026 sustainability reporting request - v0.9.xlsx</t>
        </is>
      </c>
      <c r="H18" s="45" t="n"/>
      <c r="I18" s="45" t="n">
        <v>46371</v>
      </c>
      <c r="J18" s="45">
        <f>IF(I18="","",I18-7)</f>
        <v/>
      </c>
      <c r="K18" s="8" t="inlineStr"/>
      <c r="L18" s="45" t="n"/>
      <c r="M18" s="8" t="inlineStr"/>
      <c r="N18" s="8" t="inlineStr">
        <is>
          <t>Not sent</t>
        </is>
      </c>
      <c r="O18" s="8">
        <f>IF(OR(I18="",L18&lt;&gt;""),"",MAX(0,TODAY()-I18))</f>
        <v/>
      </c>
      <c r="P18" s="8" t="inlineStr"/>
    </row>
    <row r="19">
      <c r="B19" s="8" t="inlineStr">
        <is>
          <t>C6</t>
        </is>
      </c>
      <c r="C19" s="8" t="inlineStr">
        <is>
          <t>Central</t>
        </is>
      </c>
      <c r="D19" s="8" t="inlineStr">
        <is>
          <t>CIOG – Responsible AI &amp; digital</t>
        </is>
      </c>
      <c r="E19" s="8" t="inlineStr">
        <is>
          <t>TBC</t>
        </is>
      </c>
      <c r="F19" s="8" t="n">
        <v>4</v>
      </c>
      <c r="G19" s="8" t="inlineStr">
        <is>
          <t>CIOG - end-2026 sustainability reporting request - v0.9.xlsx</t>
        </is>
      </c>
      <c r="H19" s="45" t="n"/>
      <c r="I19" s="45" t="n">
        <v>46371</v>
      </c>
      <c r="J19" s="45">
        <f>IF(I19="","",I19-7)</f>
        <v/>
      </c>
      <c r="K19" s="8" t="inlineStr"/>
      <c r="L19" s="45" t="n"/>
      <c r="M19" s="8" t="inlineStr"/>
      <c r="N19" s="8" t="inlineStr">
        <is>
          <t>Not sent</t>
        </is>
      </c>
      <c r="O19" s="8">
        <f>IF(OR(I19="",L19&lt;&gt;""),"",MAX(0,TODAY()-I19))</f>
        <v/>
      </c>
      <c r="P19" s="8" t="inlineStr"/>
    </row>
    <row r="20">
      <c r="B20" s="8" t="inlineStr">
        <is>
          <t>C7</t>
        </is>
      </c>
      <c r="C20" s="8" t="inlineStr">
        <is>
          <t>Central</t>
        </is>
      </c>
      <c r="D20" s="8" t="inlineStr">
        <is>
          <t>MRE – Research (incl. MBI – TBC)</t>
        </is>
      </c>
      <c r="E20" s="8" t="inlineStr">
        <is>
          <t>TBC</t>
        </is>
      </c>
      <c r="F20" s="8" t="n">
        <v>8</v>
      </c>
      <c r="G20" s="8" t="inlineStr">
        <is>
          <t>MRE - end-2026 sustainability reporting request - v0.9.xlsx</t>
        </is>
      </c>
      <c r="H20" s="45" t="n"/>
      <c r="I20" s="45" t="n">
        <v>46371</v>
      </c>
      <c r="J20" s="45">
        <f>IF(I20="","",I20-7)</f>
        <v/>
      </c>
      <c r="K20" s="8" t="inlineStr"/>
      <c r="L20" s="45" t="n"/>
      <c r="M20" s="8" t="inlineStr"/>
      <c r="N20" s="8" t="inlineStr">
        <is>
          <t>Not sent</t>
        </is>
      </c>
      <c r="O20" s="8">
        <f>IF(OR(I20="",L20&lt;&gt;""),"",MAX(0,TODAY()-I20))</f>
        <v/>
      </c>
      <c r="P20" s="8" t="inlineStr"/>
    </row>
    <row r="21">
      <c r="B21" s="8" t="inlineStr">
        <is>
          <t>C8</t>
        </is>
      </c>
      <c r="C21" s="8" t="inlineStr">
        <is>
          <t>Central</t>
        </is>
      </c>
      <c r="D21" s="8" t="inlineStr">
        <is>
          <t>AC&amp;M – Advancement, Communication and Marketing</t>
        </is>
      </c>
      <c r="E21" s="8" t="inlineStr">
        <is>
          <t>TBC</t>
        </is>
      </c>
      <c r="F21" s="8" t="n">
        <v>4</v>
      </c>
      <c r="G21" s="8" t="inlineStr">
        <is>
          <t>ACM - end-2026 sustainability reporting request - v0.9.xlsx</t>
        </is>
      </c>
      <c r="H21" s="45" t="n"/>
      <c r="I21" s="45" t="n">
        <v>46371</v>
      </c>
      <c r="J21" s="45">
        <f>IF(I21="","",I21-7)</f>
        <v/>
      </c>
      <c r="K21" s="8" t="inlineStr"/>
      <c r="L21" s="45" t="n"/>
      <c r="M21" s="8" t="inlineStr"/>
      <c r="N21" s="8" t="inlineStr">
        <is>
          <t>Not sent</t>
        </is>
      </c>
      <c r="O21" s="8">
        <f>IF(OR(I21="",L21&lt;&gt;""),"",MAX(0,TODAY()-I21))</f>
        <v/>
      </c>
      <c r="P21" s="8" t="inlineStr"/>
    </row>
    <row r="22">
      <c r="B22" s="8" t="inlineStr">
        <is>
          <t>C9</t>
        </is>
      </c>
      <c r="C22" s="8" t="inlineStr">
        <is>
          <t>Central</t>
        </is>
      </c>
      <c r="D22" s="8" t="inlineStr">
        <is>
          <t>GCE – Global, Culture and Engagement</t>
        </is>
      </c>
      <c r="E22" s="8" t="inlineStr">
        <is>
          <t>TBC</t>
        </is>
      </c>
      <c r="F22" s="8" t="n">
        <v>2</v>
      </c>
      <c r="G22" s="8" t="inlineStr">
        <is>
          <t>GCE - end-2026 sustainability reporting request - v0.9.xlsx</t>
        </is>
      </c>
      <c r="H22" s="45" t="n"/>
      <c r="I22" s="45" t="n">
        <v>46371</v>
      </c>
      <c r="J22" s="45">
        <f>IF(I22="","",I22-7)</f>
        <v/>
      </c>
      <c r="K22" s="8" t="inlineStr"/>
      <c r="L22" s="45" t="n"/>
      <c r="M22" s="8" t="inlineStr"/>
      <c r="N22" s="8" t="inlineStr">
        <is>
          <t>Not sent</t>
        </is>
      </c>
      <c r="O22" s="8">
        <f>IF(OR(I22="",L22&lt;&gt;""),"",MAX(0,TODAY()-I22))</f>
        <v/>
      </c>
      <c r="P22" s="8" t="inlineStr"/>
    </row>
    <row r="23">
      <c r="B23" s="8" t="inlineStr">
        <is>
          <t>C10</t>
        </is>
      </c>
      <c r="C23" s="8" t="inlineStr">
        <is>
          <t>Central</t>
        </is>
      </c>
      <c r="D23" s="8" t="inlineStr">
        <is>
          <t>Education – Chancellery Education</t>
        </is>
      </c>
      <c r="E23" s="8" t="inlineStr">
        <is>
          <t>TBC</t>
        </is>
      </c>
      <c r="F23" s="8" t="n">
        <v>3</v>
      </c>
      <c r="G23" s="8" t="inlineStr">
        <is>
          <t>Education - end-2026 sustainability reporting request - v0.9.xlsx</t>
        </is>
      </c>
      <c r="H23" s="45" t="n"/>
      <c r="I23" s="45" t="n">
        <v>46371</v>
      </c>
      <c r="J23" s="45">
        <f>IF(I23="","",I23-7)</f>
        <v/>
      </c>
      <c r="K23" s="8" t="inlineStr"/>
      <c r="L23" s="45" t="n"/>
      <c r="M23" s="8" t="inlineStr"/>
      <c r="N23" s="8" t="inlineStr">
        <is>
          <t>Not sent</t>
        </is>
      </c>
      <c r="O23" s="8">
        <f>IF(OR(I23="",L23&lt;&gt;""),"",MAX(0,TODAY()-I23))</f>
        <v/>
      </c>
      <c r="P23" s="8" t="inlineStr"/>
    </row>
    <row r="24">
      <c r="B24" s="8" t="inlineStr">
        <is>
          <t>C11</t>
        </is>
      </c>
      <c r="C24" s="8" t="inlineStr">
        <is>
          <t>Central</t>
        </is>
      </c>
      <c r="D24" s="8" t="inlineStr">
        <is>
          <t>SaSS – Student and Scholarly Services</t>
        </is>
      </c>
      <c r="E24" s="8" t="inlineStr">
        <is>
          <t>TBC</t>
        </is>
      </c>
      <c r="F24" s="8" t="n">
        <v>2</v>
      </c>
      <c r="G24" s="8" t="inlineStr">
        <is>
          <t>SaSS - end-2026 sustainability reporting request - v0.9.xlsx</t>
        </is>
      </c>
      <c r="H24" s="45" t="n"/>
      <c r="I24" s="45" t="n">
        <v>46371</v>
      </c>
      <c r="J24" s="45">
        <f>IF(I24="","",I24-7)</f>
        <v/>
      </c>
      <c r="K24" s="8" t="inlineStr"/>
      <c r="L24" s="45" t="n"/>
      <c r="M24" s="8" t="inlineStr"/>
      <c r="N24" s="8" t="inlineStr">
        <is>
          <t>Not sent</t>
        </is>
      </c>
      <c r="O24" s="8">
        <f>IF(OR(I24="",L24&lt;&gt;""),"",MAX(0,TODAY()-I24))</f>
        <v/>
      </c>
      <c r="P24" s="8" t="inlineStr"/>
    </row>
    <row r="25">
      <c r="B25" s="8" t="inlineStr">
        <is>
          <t>C12</t>
        </is>
      </c>
      <c r="C25" s="8" t="inlineStr">
        <is>
          <t>Central</t>
        </is>
      </c>
      <c r="D25" s="8" t="inlineStr">
        <is>
          <t>Indigenous – Chancellery Indigenous</t>
        </is>
      </c>
      <c r="E25" s="8" t="inlineStr">
        <is>
          <t>TBC</t>
        </is>
      </c>
      <c r="F25" s="8" t="n">
        <v>1</v>
      </c>
      <c r="G25" s="8" t="inlineStr">
        <is>
          <t>Indigenous - end-2026 sustainability reporting request - v0.9.xlsx</t>
        </is>
      </c>
      <c r="H25" s="45" t="n"/>
      <c r="I25" s="45" t="n">
        <v>46371</v>
      </c>
      <c r="J25" s="45">
        <f>IF(I25="","",I25-7)</f>
        <v/>
      </c>
      <c r="K25" s="8" t="inlineStr"/>
      <c r="L25" s="45" t="n"/>
      <c r="M25" s="8" t="inlineStr"/>
      <c r="N25" s="8" t="inlineStr">
        <is>
          <t>Not sent</t>
        </is>
      </c>
      <c r="O25" s="8">
        <f>IF(OR(I25="",L25&lt;&gt;""),"",MAX(0,TODAY()-I25))</f>
        <v/>
      </c>
      <c r="P25" s="8" t="inlineStr"/>
    </row>
    <row r="26">
      <c r="B26" s="8" t="inlineStr">
        <is>
          <t>C13</t>
        </is>
      </c>
      <c r="C26" s="8" t="inlineStr">
        <is>
          <t>Central</t>
        </is>
      </c>
      <c r="D26" s="8" t="inlineStr">
        <is>
          <t>Legal &amp; Risk – Risk &amp; resilience</t>
        </is>
      </c>
      <c r="E26" s="8" t="inlineStr">
        <is>
          <t>TBC</t>
        </is>
      </c>
      <c r="F26" s="8" t="n">
        <v>1</v>
      </c>
      <c r="G26" s="8" t="inlineStr">
        <is>
          <t>LandR - end-2026 sustainability reporting request - v0.9.xlsx</t>
        </is>
      </c>
      <c r="H26" s="45" t="n"/>
      <c r="I26" s="45" t="n">
        <v>46371</v>
      </c>
      <c r="J26" s="45">
        <f>IF(I26="","",I26-7)</f>
        <v/>
      </c>
      <c r="K26" s="8" t="inlineStr"/>
      <c r="L26" s="45" t="n"/>
      <c r="M26" s="8" t="inlineStr"/>
      <c r="N26" s="8" t="inlineStr">
        <is>
          <t>Not sent</t>
        </is>
      </c>
      <c r="O26" s="8">
        <f>IF(OR(I26="",L26&lt;&gt;""),"",MAX(0,TODAY()-I26))</f>
        <v/>
      </c>
      <c r="P26" s="8" t="inlineStr"/>
    </row>
  </sheetData>
  <dataValidations count="2">
    <dataValidation sqref="N10:N26" showDropDown="0" showInputMessage="0" showErrorMessage="0" allowBlank="1" errorTitle="Invalid entry" error="Please select from the dropdown" type="list">
      <formula1>=Lists!$D$2:$D$9</formula1>
    </dataValidation>
    <dataValidation sqref="M10:M26"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0"/>
    <pageSetUpPr/>
  </sheetPr>
  <dimension ref="A1:R6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Faculties</t>
        </is>
      </c>
    </row>
    <row r="3">
      <c r="B3" s="20" t="inlineStr">
        <is>
          <t>Consolidated responses – paste from returned request workbooks (identical column layout). Click [+] above Columns H–K for end-2025 responses.</t>
        </is>
      </c>
    </row>
    <row r="5">
      <c r="B5" s="46" t="inlineStr">
        <is>
          <t>1.1  ABP – Faculty of Architecture, Building and Planning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Partially met</t>
        </is>
      </c>
      <c r="J10" s="8" t="inlineStr">
        <is>
          <t>The Faculty has continued to make substantial and discipline-wide progress in embedding sustainability into the curriculum in ways that extend well beyond baseline requirements, ensuring that students critically engage with both the beneficial and harmful impacts of the built environment on environmental and human systems.
A central mechanism for this work in 2025 has been the forward planning and strategic renewal of all Master’s programs across the Faculty, led by Professor Dan Hill under the Designing Futures strategy. This process goes beyond incremental subject updates and instead focuses on holistic program-level reform, explicitly positioning sustainability as a core organising principle rather than an add-on topic.
In practice, this has involved structured, discipline-specific workshops bringing together all academic staff within each program to reflect on:
- the current state of sustainability integration across subjects,
- emerging societal, environmental and industry challenges,
- the skills and capabilities graduates will require to respond responsibly and effectively,
- how sustainability is communicated, scaffolded and reinforced across the program.
A recent example is the Master of Construction Management, where a half-day, facilitated workshop brought together the full academic teaching team to collectively review the program’s direction. Guided by Professor Hill, the session examined course narratives, subject sequencing, learning outcomes and focus areas, with particular attention to how issues such as embodied carbon, circular construction, climate risk, systems thinking and ethical responsibility are integrated throughout the degree. The outcome of this process is a clearer, more coherent approach to sustainability that is embedded across core and specialist subjects, rather than confined to standalone units.
Complementing this program-level work, the Faculty has continued the development of two new sustainability-focused subjects—one at undergraduate level and one at graduate level—both designed to foster interdisciplinary, applied engagement with climate and sustainability challenges. Ongoing curriculum mapping across programs further supports this effort by identifying sustainability-rich learning pathways and informing both subject development and student advising.
Together, these initiatives demonstrate a deliberate and sustained commitment to embedding sustainability deeply and coherently across the curriculum, ensuring that graduates across all disciplines develop a critical understanding of the environmental and human systems they shape through professional practice.</t>
        </is>
      </c>
      <c r="K10" s="8" t="inlineStr"/>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TR1(a)</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Expert-reviewed evidence of researchers contributing to operational sustainability priorities through partnerships, advisory input, living labs, applied projects or decision-support</t>
        </is>
      </c>
      <c r="F12"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2" s="8" t="inlineStr">
        <is>
          <t>We will report on examples of researchers helping solve the University's own operational sustainability challenges, alongside CLLAP projects reported by CI&amp;S, and share them with operational teams to identify further collaboration.</t>
        </is>
      </c>
      <c r="H12" s="8" t="inlineStr">
        <is>
          <t>2a</t>
        </is>
      </c>
      <c r="I12" s="8" t="inlineStr">
        <is>
          <t>Met or exceeded</t>
        </is>
      </c>
      <c r="J12"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2" s="8" t="inlineStr"/>
      <c r="L12" s="8" t="n"/>
      <c r="M12" s="8" t="n"/>
      <c r="N12" s="8" t="n"/>
      <c r="O12" s="8" t="n"/>
      <c r="P12" s="8" t="n"/>
      <c r="Q12" s="8" t="n"/>
      <c r="R12" s="8" t="n"/>
    </row>
    <row r="13" ht="150" customHeight="1">
      <c r="B13" s="7" t="inlineStr">
        <is>
          <t>TR2(a)</t>
        </is>
      </c>
      <c r="C13" s="51" t="inlineStr">
        <is>
          <t>Transformational research</t>
        </is>
      </c>
      <c r="D13" s="51" t="inlineStr">
        <is>
          <t>Deliver high-quality research and partnerships that contribute to sustainability outcomes and demonstrable societal benefit.</t>
        </is>
      </c>
      <c r="E13" s="51" t="inlineStr">
        <is>
          <t>Evidence of sustainability-related research impact across diverse pathways, could include policy, industry, community, practice, cultural and institutional outcomes</t>
        </is>
      </c>
      <c r="F13"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3" s="8" t="inlineStr">
        <is>
          <t>We will collate research impact examples across faculties to show the breadth of sustainability-related research impact in the Transformational research section of the 2026 Sustainability Report, complementing University-wide metrics from MRE.</t>
        </is>
      </c>
      <c r="H13" s="8" t="inlineStr">
        <is>
          <t>5b(i)</t>
        </is>
      </c>
      <c r="I13" s="8" t="inlineStr">
        <is>
          <t>Met or exceeded</t>
        </is>
      </c>
      <c r="J13"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3" s="8" t="inlineStr">
        <is>
          <t>www.beyondepic.io</t>
        </is>
      </c>
      <c r="L13" s="8" t="n"/>
      <c r="M13" s="8" t="n"/>
      <c r="N13" s="8" t="n"/>
      <c r="O13" s="8" t="n"/>
      <c r="P13" s="8" t="n"/>
      <c r="Q13" s="8" t="n"/>
      <c r="R13" s="8" t="n"/>
    </row>
    <row r="14" ht="150" customHeight="1">
      <c r="B14" s="7" t="inlineStr">
        <is>
          <t>TR2(d)</t>
        </is>
      </c>
      <c r="C14" s="51" t="inlineStr">
        <is>
          <t>Transformational research</t>
        </is>
      </c>
      <c r="D14" s="51" t="inlineStr">
        <is>
          <t>Deliver high-quality research and partnerships that contribute to sustainability outcomes and demonstrable societal benefit.</t>
        </is>
      </c>
      <c r="E14" s="51" t="inlineStr">
        <is>
          <t>Case-based evidence demonstrating how research has contributed to meaningful sustainability outcomes.</t>
        </is>
      </c>
      <c r="F14"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14" s="8" t="inlineStr">
        <is>
          <t>We will select the strongest examples to develop as full research case studies for the 2026 Sustainability Report (we may contact you for more detail and images).</t>
        </is>
      </c>
      <c r="H14" s="8" t="inlineStr">
        <is>
          <t>5b(i)</t>
        </is>
      </c>
      <c r="I14" s="8" t="inlineStr">
        <is>
          <t>Met or exceeded</t>
        </is>
      </c>
      <c r="J14" s="8" t="inlineStr">
        <is>
          <t>The Faculty continues to be a national and international leader in sustainability research across the built environment, supported by a diverse ecosystem of specialist research hubs, laboratories, and collaborative initiatives. Together, these centres span disciplinary and interdisciplinary research, linking fundamental inquiry with applied outcomes that inform practice, policy, and industry transformation.
Sustainability-, climate-, and environment-focused research institutes and hubs within the Faculty include:
- Melbourne Centre for Cities – urban governance, policy innovation, and climate-responsive city-making
- InfUr – Informal Urbanism Research Hub – environmental justice, resilience, and community-led urbanism
- Transport, Health and Urban Design (THUD) – healthy and sustainable cities through mobility and planning research
- Urban Ecology and Design Lab (UED Lab) – ecological design strategies, biodiversity, and nature-based solutions
- Sustainable and Healthy Environments (SHE) Lab – materials, thermal comfort, indoor environmental quality, and health–environment linkages
- The Retrofit Lab – decarbonisation of existing building stock, circular design, and retrofit decision-making
- Advanced Digital Design + Fabrication – sustainable construction, digital materials, and low-carbon manufacturing
These research hubs collectively contribute to advancing knowledge across design, planning, construction, and policy, while also creating pathways for translation into real-world impact.
A flagship example of the Faculty’s research impact in 2025 is Beyond EPiC, a research-led spin-off emerging from long-standing work within the Faculty on life cycle assessment (LCA), embodied carbon, and environmental performance of the built environment.
Beyond EPiC provides a clear example of how the Faculty’s sustainability research translates into action and impact at scale. Emerging directly from decades of peer-reviewed research at the University of Melbourne, Beyond EPiC develops environmental data, digital tools, and applied insights that help architects, engineers, planners, developers, and policymakers make evidence-based decisions across the built environment.
Grounded in internationally recognised hybrid life cycle assessment (LCA) methodologies, Beyond EPiC transforms complex environmental research into clear, consistent, and actionable intelligence—maintaining scientific rigour while enabling real-world application. This approach exemplifies the Faculty’s ethos of where science meets the design of buildings and cities.
A key research impact in 2025 has been direct policy influence. Beyond EPiC’s embodied carbon data underpins the BASIX Materials Index used by the New South Wales Government for residential development applications. Every project lodged under BASIX must report embodied emissions using these coefficients, making Beyond EPiC’s research a core component of the state’s environmental compliance framework.
Since this integration, tens of thousands of homes have been designed and certified using Beyond EPiC data, driving lower-impact material choices and design optimisation at scale. This represents a significant shift from sustainability research as advisory input to sustainability research as embedded policy infrastructure, shaping decisions across an entire construction sector.
Beyond EPiC’s impact extends beyond regulation. Its tools and datasets support industry training, consulting, and early-stage design decision-making, enabling practitioners to compare materials, optimise assemblies, and understand embodied carbon trade-offs in ways that were previously inaccessible. This creates a continuous feedback loop between research, teaching, practice, and policy—ensuring that academic inquiry remains responsive to real-world constraints while raising the baseline of environmental accountability.
As such, Beyond EPiC exemplifies the Faculty’s model of sustainability research impact: scientifically rigorous, trusted by government, used at scale, and capable of shaping policy, professional practice, and environmental outcomes simultaneously.</t>
        </is>
      </c>
      <c r="K14" s="8" t="inlineStr">
        <is>
          <t>www.beyondepic.io</t>
        </is>
      </c>
      <c r="L14" s="8" t="n"/>
      <c r="M14" s="8" t="n"/>
      <c r="N14" s="8" t="n"/>
      <c r="O14" s="8" t="n"/>
      <c r="P14" s="8" t="n"/>
      <c r="Q14" s="8" t="n"/>
      <c r="R14" s="8" t="n"/>
    </row>
    <row r="15" ht="150" customHeight="1">
      <c r="B15" s="7" t="inlineStr">
        <is>
          <t>TR3(b)</t>
        </is>
      </c>
      <c r="C15" s="51" t="inlineStr">
        <is>
          <t>Transformational research</t>
        </is>
      </c>
      <c r="D15" s="51" t="inlineStr">
        <is>
          <t>Embed sustainability within research systems, processes, capability and culture, so research is conducted responsibly, efficiently and with reduced environmental impact.</t>
        </is>
      </c>
      <c r="E15" s="51" t="inlineStr">
        <is>
          <t>Demonstrated examples of more sustainable research practices in laboratories, fieldwork, procurement, travel or infrastructure use</t>
        </is>
      </c>
      <c r="F15"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15" s="8" t="inlineStr">
        <is>
          <t>We will report on ways the University is making research practices more sustainable in the 2026 Sustainability Report, and share practical examples (e.g. green labs) across faculties.</t>
        </is>
      </c>
      <c r="H15" s="8" t="inlineStr">
        <is>
          <t>5c(ii)</t>
        </is>
      </c>
      <c r="I15" s="8" t="inlineStr">
        <is>
          <t>Partially met</t>
        </is>
      </c>
      <c r="J15" s="8" t="inlineStr">
        <is>
          <t>The Faculty has taken deliberate and strategic steps in 2025 to strengthen how sustainability considerations shape research practices and activities. This has focused on making sustainability explicit, visible, and rewarded within the Faculty’s research culture, while building the foundations for longer-term embedding across disciplines.
A major development has been the introduction of formal recognition and incentive mechanisms that foreground sustainability in research excellence. The ABP Sustainability Award, embedded within the Faculty’s Engagement, Culture, Innovation, and Impact awards program, recognises academic and professional staff who demonstrate leadership in integrating sustainability into research practices. By celebrating approaches such as life cycle thinking, low-carbon methodologies, resource efficiency, and collaborative research models, the award signals that sustainability is a core dimension of research quality and impact within ABP.
This cultural shift is reinforced through the ABP Sustainability Grants Program, which supports staff-led projects that actively trial new ways of embedding sustainability into research, teaching, and operational contexts. Grant criteria encourage interdisciplinary collaboration and require applicants to engage directly with the environmental implications of their activities—supporting experimentation, documentation, and knowledge-sharing around more sustainable research practices.
In parallel, Faculty researchers continue to advance methodological leadership that enables more sustainable decision-making in research and practice. Work on hybrid life cycle assessment (LCA), embodied carbon accounting, and environmental benchmarking—particularly through collaborations with Beyond EPiC—has expanded the tools available to researchers, industry, and government to measure and reduce environmental impacts. These methods increasingly inform how research questions are framed, evaluated, and translated into policy and practice.
Together, these initiatives reflect a maturing research culture in which sustainability is increasingly normalised, recognised, and actively shaped through incentives, methods, and shared expectations. While this work will continue to evolve and scale, 2025 represents a clear step change in positioning sustainability as a defining feature of responsible research practice within the Faculty.</t>
        </is>
      </c>
      <c r="K15" s="8" t="inlineStr"/>
      <c r="L15" s="8" t="n"/>
      <c r="M15" s="8" t="n"/>
      <c r="N15" s="8" t="n"/>
      <c r="O15" s="8" t="n"/>
      <c r="P15" s="8" t="n"/>
      <c r="Q15" s="8" t="n"/>
      <c r="R15" s="8" t="n"/>
    </row>
    <row r="16" ht="150" customHeight="1">
      <c r="B16" s="7" t="inlineStr">
        <is>
          <t>EN1(a)</t>
        </is>
      </c>
      <c r="C16" s="51" t="inlineStr">
        <is>
          <t>Enablers</t>
        </is>
      </c>
      <c r="D16" s="51" t="inlineStr">
        <is>
          <t>Enablers</t>
        </is>
      </c>
      <c r="E16" s="51" t="inlineStr">
        <is>
          <t>Evidence of sustainability outcomes informed by Indigenous knowledges</t>
        </is>
      </c>
      <c r="F16" s="8" t="inlineStr">
        <is>
          <t>In end-2025 reporting your faculty reported on the related SP2030 target 6a and rated it 'Met or exceeded'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16" s="8" t="inlineStr">
        <is>
          <t>We will report on the ways Indigenous knowledges inform sustainability activities across the University, and develop selected examples into case studies with appropriate permissions.</t>
        </is>
      </c>
      <c r="H16" s="8" t="inlineStr">
        <is>
          <t>6a</t>
        </is>
      </c>
      <c r="I16" s="8" t="inlineStr">
        <is>
          <t>Met or exceeded</t>
        </is>
      </c>
      <c r="J16" s="8" t="inlineStr">
        <is>
          <t>In 2025, the Faculty has continued to deepen its engagement with sustainability through Indigenous-led and co-created learning, research, and partnerships, strengthening understanding of sustainability as a Country-centred, relational, and long-term responsibility rather than a purely technical or extractive concept.
A major development is the award of an ARC Linkage Project: Co-designing Housing for First Nations Prosperity, which will commence in 2026. This project represents a significant example of sustainability research grounded in First Nations leadership, knowledge, and lived experience, operating at the intersection of architecture, housing policy, economics, and Indigenous wellbeing.
Led by Associate Professor Rory Hyde and a multidisciplinary team across architecture, public health, policy and design, the project is being co-developed with First Nations organisations and partners in Shepparton, Victoria, including the Kaiela Institute, Beyond Housing, and VACCHO, alongside industry and government partners. The research places First Nations knowledge, lore, and priorities at the centre of housing design and delivery, challenging conventional Western models that have historically failed to meet cultural, social, and environmental needs.
Sustainability in this project is understood holistically: as cultural continuity, social connection, climate resilience, economic viability, and care for Country. Through participatory co-design and strategic design methods, the project will produce a design catalogue and investment model that enables the delivery of housing that is affordable, culturally appropriate, climate-responsive, and socially sustaining. These outcomes directly address the Closing the Gap agenda while also offering transferable insights for broader housing challenges nationally.
Complementing this work, the Faculty continues to support longstanding Indigenous-led collaborations such as Professor Alex Felson’s project on the Great Birrarung Parklands, developed in partnership with the Wurundjeri Woi Wurrung Cultural Heritage Aboriginal Corporation, the Birrarung Council, and other stakeholders. This project brings Indigenous knowledge and climate science together to explore future scenarios for the Yarra River corridor, modelling two-way learning that informs long-term ecological stewardship, governance, and design.
Indigenous perspectives on sustainability are also embedded across teaching and learning in the Faculty, particularly within architecture, landscape architecture, and urban planning studios. These studios engage students with questions of Country, custodianship, and cultural practice, often in dialogue with Indigenous collaborators, reinforcing sustainability as a relational and ethical practice rather than a purely technical one.
Collectively, these initiatives demonstrate that the Faculty’s approach to sustainability is increasingly shaped through Indigenous-led knowledge systems, reciprocal learning, and co-creation, contributing to more just, culturally grounded, and enduring sustainability outcomes across education, research, and practice.</t>
        </is>
      </c>
      <c r="K16" s="8" t="inlineStr"/>
      <c r="L16" s="8" t="n"/>
      <c r="M16" s="8" t="n"/>
      <c r="N16" s="8" t="n"/>
      <c r="O16" s="8" t="n"/>
      <c r="P16" s="8" t="n"/>
      <c r="Q16" s="8" t="n"/>
      <c r="R16" s="8" t="n"/>
    </row>
    <row r="17" ht="150" customHeight="1">
      <c r="B17" s="7" t="inlineStr">
        <is>
          <t>EN1(b)</t>
        </is>
      </c>
      <c r="C17" s="51" t="inlineStr">
        <is>
          <t>Enablers</t>
        </is>
      </c>
      <c r="D17" s="51" t="inlineStr">
        <is>
          <t>Enablers</t>
        </is>
      </c>
      <c r="E17" s="51" t="inlineStr">
        <is>
          <t>Living laboratories enabling applied learning, research and operational sustainability outcomes</t>
        </is>
      </c>
      <c r="F17"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17" s="8" t="inlineStr">
        <is>
          <t>We will share examples of sustainability-related living labs from across the University in the 2026 Sustainability Report, alongside CLLAP projects reported by CI&amp;S.</t>
        </is>
      </c>
      <c r="H17" s="8" t="inlineStr">
        <is>
          <t>2a</t>
        </is>
      </c>
      <c r="I17" s="8" t="inlineStr">
        <is>
          <t>Met or exceeded</t>
        </is>
      </c>
      <c r="J17" s="8" t="inlineStr">
        <is>
          <t>Across 2025, the Faculty of Architecture, Building and Planning has significantly strengthened and formalised its Living Labs approach, building on progress reported at mid-year and embedding sustainability experimentation as a core mode of practice across teaching, research, and operations.
A major development in the second half of 2025 was the establishment of the ABP Sustainability Grant. This new internal funding scheme provides up to $10,000 annually to catalyse staff-led, cross-disciplinary sustainability initiatives that operate as Living Labs within the Faculty. The scheme supports projects that use real faculty contexts—spaces, systems, practices, and communities—as testbeds for sustainability innovation, with strong encouragement for student involvement, particularly graduate researchers.
The Sustainability Grant marks a shift from ad hoc Living Lab activity toward a curated, faculty-wide framework that empowers staff to design, trial, and document practical sustainability interventions. The inaugural funding round attracted multiple applications from across disciplines and professional areas, and a formal selection process is currently underway, demonstrating strong engagement and appetite for Living Lab activity within ABP.
In parallel, the Faculty has continued to develop and refine larger-scale Living Lab concepts at the precinct level. While the delivery of the Fishermans Bend campus project has been postponed, the Faculty remains committed to a Living Lab approach and has retained and further clarified the conceptual and methodological groundwork. This positions the Faculty to rapidly mobilise Living Lab activities once the project recommences, ensuring that sustainability, circularity, and environmental performance are embedded from the earliest stages of planning and development.
Collectively, these initiatives demonstrate that ABP is not only contributing to the University’s Living Labs agenda, but actively curating, resourcing, and governing Living Labs as a sustained and scalable approach to sustainability action.
A flagship example of the Faculty’s Living Labs approach in 2025 is the Interactive Campus Material and Carbon Atlas, which reached completion during the year. Funded through the Learning and Teaching Initiative (LTI), the project brought together academic staff, professional colleagues, and students to map and analyse the material stock and embodied carbon of selected University buildings.
The Atlas has been developed as an interactive digital tool that enables users to explore building-level data, including construction materials, embodied carbon intensities, and potential opportunities for material reuse and circularity. Importantly, the project moves beyond retrospective analysis: the underlying framework enables forward projection of material requirements and carbon implications under different development and renewal scenarios.
As such, the Atlas demonstrates the value of a Living Lab that directly integrates sustainability research with campus operations. It provides a practical decision-support tool with clear relevance for estate planning, capital works prioritisation, and long-term carbon reduction strategies.
With the research and development phase now complete, the Faculty is committed to working with University stakeholders to present the tool to relevant professional teams and explore pathways for embedding it into institutional planning and sustainability processes. This next phase reflects the Faculty’s intent to ensure that Living Lab outputs translate into operational insight and long-term impact, rather than remaining standalone research artefacts.
Together with the newly established ABP Sustainability Grant, the Interactive Campus Material and Carbon Atlas illustrates how the Faculty is operationalising Living Labs across scales—from grassroots initiatives to faculty-wide decision-support infrastructure.</t>
        </is>
      </c>
      <c r="K17" s="8" t="inlineStr"/>
      <c r="L17" s="8" t="n"/>
      <c r="M17" s="8" t="n"/>
      <c r="N17" s="8" t="n"/>
      <c r="O17" s="8" t="n"/>
      <c r="P17" s="8" t="n"/>
      <c r="Q17" s="8" t="n"/>
      <c r="R17" s="8" t="n"/>
    </row>
    <row r="18" ht="150" customHeight="1">
      <c r="B18" s="7" t="inlineStr">
        <is>
          <t>EN1(c)</t>
        </is>
      </c>
      <c r="C18" s="51" t="inlineStr">
        <is>
          <t>Enablers</t>
        </is>
      </c>
      <c r="D18" s="51" t="inlineStr">
        <is>
          <t>Enablers</t>
        </is>
      </c>
      <c r="E18" s="51" t="inlineStr">
        <is>
          <t>Coordinated internal engagement and external partnerships contributing to delivery of sustainability outcomes across priority areas.</t>
        </is>
      </c>
      <c r="F18"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18" s="8" t="inlineStr">
        <is>
          <t>We will report on internal engagement and partnerships contributing to Sustainability 2030 outcomes, and update our record of sustainability-focused communities of practice and contacts across the University.</t>
        </is>
      </c>
      <c r="H18" s="8" t="inlineStr">
        <is>
          <t>3a(ii)</t>
        </is>
      </c>
      <c r="I18" s="8" t="inlineStr">
        <is>
          <t>Met or exceeded</t>
        </is>
      </c>
      <c r="J18" s="8" t="inlineStr">
        <is>
          <t>In 2025, ABP continued to support sustainability-focused communities of practice that enable staff to learn from one another and embed sustainability across formal, non-formal, and informal learning contexts. These communities operate through a combination of structured forums, shared initiatives, and recognition mechanisms that make sustainability practice visible, valued, and transferable across the Faculty.
Core to this ecosystem is the Faculty’s Climate Action Group, which continues to provide a cross-disciplinary forum for peer learning, curriculum coordination, and shared reflection on sustainability pedagogy and practice. The Group has supported sustained collaboration across academic and professional staff and has played a key role in aligning Faculty initiatives with University sustainability priorities.
In 2025, the Faculty also played a leading role in hosting the Architectural Science Association (ASA) Conference, which focused strongly on sustainability, environmental performance, and design-led research. The conference was the largest attended in the 60-year history of the organisation, bringing together academics, practitioners, and industry partners from across Australia and the region. It provided a major platform for knowledge exchange on sustainability-focused teaching, research, and practice, and significantly strengthened both intra- and inter-institutional communities of practice.
Complementing these collaborative forums, the Faculty introduced the ABP Sustainability Award as a mechanism for amplifying and connecting sustainability practice across teaching, research, operations, and Faculty culture. Together, these initiatives demonstrate a mature and multi-layered approach to building sustainability-focused communities of practice—combining regular peer engagement, high-impact knowledge exchange, and recognition of exemplary work to support ongoing learning and leadership in sustainability.
Introduced in 2025, the ABP Sustainability Award functions as a Faculty-wide community-of-practice mechanism by recognising, showcasing, and disseminating exemplary sustainability initiatives led by academic and professional staff. Rather than operating solely as an individual award, the scheme is designed to surface transferable practices and create shared reference points for sustainability leadership across ABP.
The Award recognises excellence across a broad set of criteria, including innovation and leadership, collaboration and engagement, measurable environmental outcomes, integration of sustainability into teaching and learning, influence on policy and professional practice, and contributions to a culture of sustainability within the Faculty. Eligible initiatives span teaching, research, operations, and cultural change, reflecting the diverse ways sustainability is embedded across ABP.
By highlighting concrete examples of effective practice—such as projects that reduce environmental footprints, embed circularity into learning environments, or foster cross-disciplinary collaboration—the Award enables staff to learn from peers and adapt successful approaches within their own contexts. The selection process, chaired by the Assistant Dean (Sustainability) and involving senior Faculty leadership and staff representatives, further reinforces shared standards and collective ownership of sustainability goals.
In this way, the Sustainability Award complements more formal communities of practice by creating a visible, Faculty-wide platform for knowledge sharing, inspiration, and peer learning. It supports sustainability not only as a technical or curricular concern, but as a shared professional and cultural endeavour.</t>
        </is>
      </c>
      <c r="K18" s="8" t="inlineStr"/>
      <c r="L18" s="8" t="n"/>
      <c r="M18" s="8" t="n"/>
      <c r="N18" s="8" t="n"/>
      <c r="O18" s="8" t="n"/>
      <c r="P18" s="8" t="n"/>
      <c r="Q18" s="8" t="n"/>
      <c r="R18" s="8" t="n"/>
    </row>
    <row r="19"/>
    <row r="21">
      <c r="B21" s="46" t="inlineStr">
        <is>
          <t>1.2  ARTS – Faculty of Arts</t>
        </is>
      </c>
    </row>
    <row r="23">
      <c r="C23" s="47" t="inlineStr">
        <is>
          <t>Sustainability 2030 target and indicator</t>
        </is>
      </c>
      <c r="H23" s="47" t="inlineStr">
        <is>
          <t>End-2025 reporting (click the ref to see your full SR25 response; [+] above expands a summary)</t>
        </is>
      </c>
      <c r="L23" s="48" t="inlineStr">
        <is>
          <t>End-2026 reporting (PLEASE COMPLETE THIS SECTION)</t>
        </is>
      </c>
    </row>
    <row r="24">
      <c r="B24" s="6" t="inlineStr">
        <is>
          <t>Ref</t>
        </is>
      </c>
      <c r="C24" s="6" t="inlineStr">
        <is>
          <t>Priority area</t>
        </is>
      </c>
      <c r="D24" s="6" t="inlineStr">
        <is>
          <t>Sustainability 2030 target</t>
        </is>
      </c>
      <c r="E24" s="6" t="inlineStr">
        <is>
          <t>Indicator</t>
        </is>
      </c>
      <c r="F24" s="6" t="inlineStr">
        <is>
          <t>2026 Reporting request</t>
        </is>
      </c>
      <c r="G24" s="6" t="inlineStr">
        <is>
          <t>How SST will use this data</t>
        </is>
      </c>
      <c r="H24" s="6" t="inlineStr">
        <is>
          <t>Related SR25 ref</t>
        </is>
      </c>
      <c r="I24" s="6" t="inlineStr">
        <is>
          <t>End-2025 confirmed status</t>
        </is>
      </c>
      <c r="J24" s="6" t="inlineStr">
        <is>
          <t>End-2025 reporting response</t>
        </is>
      </c>
      <c r="K24" s="6" t="inlineStr">
        <is>
          <t>Links and supporting information</t>
        </is>
      </c>
      <c r="L24" s="49" t="inlineStr">
        <is>
          <t>Confirm end-2026 target status</t>
        </is>
      </c>
      <c r="M24" s="49" t="inlineStr">
        <is>
          <t>OPTION 1:  Target-level reporting (Column D)</t>
        </is>
      </c>
      <c r="N24" s="49" t="inlineStr">
        <is>
          <t>OPTION 2:  Indicator level reporting (Column E/F)</t>
        </is>
      </c>
      <c r="O24" s="49" t="inlineStr">
        <is>
          <t>Supporting information/comments</t>
        </is>
      </c>
      <c r="P24" s="49" t="inlineStr">
        <is>
          <t>Data source and limitations</t>
        </is>
      </c>
      <c r="Q24" s="49" t="inlineStr">
        <is>
          <t>Data owner confirms information is accurate</t>
        </is>
      </c>
      <c r="R24" s="49" t="inlineStr">
        <is>
          <t>Confirmed by (name, role, date)</t>
        </is>
      </c>
    </row>
    <row r="25">
      <c r="B25" s="50" t="inlineStr"/>
      <c r="C25" s="50" t="inlineStr"/>
      <c r="D25" s="50" t="inlineStr"/>
      <c r="E25" s="50" t="inlineStr"/>
      <c r="F25" s="50" t="inlineStr"/>
      <c r="G25" s="50" t="inlineStr"/>
      <c r="H25" s="50" t="inlineStr"/>
      <c r="I25" s="50" t="inlineStr"/>
      <c r="J25" s="50" t="inlineStr"/>
      <c r="K25" s="50" t="inlineStr"/>
      <c r="L25" s="50" t="inlineStr">
        <is>
          <t>(Met or exceeded; partially met; not met; not yet started)</t>
        </is>
      </c>
      <c r="M25" s="50" t="inlineStr">
        <is>
          <t>Provide further evidence of target status assessment in the form of:
A general update on activities in relation to the overarching target (Column D)</t>
        </is>
      </c>
      <c r="N25" s="50" t="inlineStr">
        <is>
          <t>Provide further evidence of target status assessment in the form of:
Data and commentary in direct response to the reporting request (Column F)</t>
        </is>
      </c>
      <c r="O25" s="50" t="inlineStr">
        <is>
          <t>Provide any additional information to support the target status assessment (e.g. links, images, rationale for selection of target status)</t>
        </is>
      </c>
      <c r="P25" s="50" t="inlineStr">
        <is>
          <t>Where did this information come from (system, report, survey, person)? Note any gaps or limitations.</t>
        </is>
      </c>
      <c r="Q25" s="50" t="inlineStr">
        <is>
          <t>Select 'Yes' to confirm the information provided is accurate and can be used for reporting</t>
        </is>
      </c>
      <c r="R25" s="50" t="inlineStr">
        <is>
          <t>Name, role and date of the person confirming</t>
        </is>
      </c>
    </row>
    <row r="26" ht="150" customHeight="1">
      <c r="B26" s="7" t="inlineStr">
        <is>
          <t>EE1(a)</t>
        </is>
      </c>
      <c r="C26" s="51" t="inlineStr">
        <is>
          <t>Exceptional education</t>
        </is>
      </c>
      <c r="D26" s="51" t="inlineStr">
        <is>
          <t>Provide our students with learning experiences that help them build the knowledge, skills and relationships to lead change for sustainable societies.</t>
        </is>
      </c>
      <c r="E26" s="51" t="inlineStr">
        <is>
          <t>Evidence of innovative approaches to sustainability teaching and learning</t>
        </is>
      </c>
      <c r="F26"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26"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6" s="8" t="inlineStr">
        <is>
          <t>4a(ii)</t>
        </is>
      </c>
      <c r="I26" s="8" t="inlineStr">
        <is>
          <t>Partially met</t>
        </is>
      </c>
      <c r="J26" s="8"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26" s="8" t="inlineStr"/>
      <c r="L26" s="8" t="n"/>
      <c r="M26" s="8" t="n"/>
      <c r="N26" s="8" t="n"/>
      <c r="O26" s="8" t="n"/>
      <c r="P26" s="8" t="n"/>
      <c r="Q26" s="8" t="n"/>
      <c r="R26" s="8" t="n"/>
    </row>
    <row r="27" ht="150" customHeight="1">
      <c r="B27" s="7" t="inlineStr">
        <is>
          <t>EE1(b)</t>
        </is>
      </c>
      <c r="C27" s="51" t="inlineStr">
        <is>
          <t>Exceptional education</t>
        </is>
      </c>
      <c r="D27" s="51" t="inlineStr">
        <is>
          <t>Provide our students with learning experiences that help them build the knowledge, skills and relationships to lead change for sustainable societies.</t>
        </is>
      </c>
      <c r="E27" s="51" t="inlineStr">
        <is>
          <t>Pilots of possible approaches for understanding and developing students’ sustainability self-efficacy</t>
        </is>
      </c>
      <c r="F2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27" s="8" t="inlineStr">
        <is>
          <t>This is a new indicator. We will use responses to establish a baseline of how (and whether) faculties are understanding student sustainability self-efficacy, and report on early pilots in the 2026 Sustainability Report. A nil response is useful to us.</t>
        </is>
      </c>
      <c r="H27" s="8" t="inlineStr">
        <is>
          <t>N/A – new indicator</t>
        </is>
      </c>
      <c r="I27" s="8" t="inlineStr"/>
      <c r="J27" s="8" t="inlineStr"/>
      <c r="K27" s="8" t="inlineStr"/>
      <c r="L27" s="8" t="n"/>
      <c r="M27" s="8" t="n"/>
      <c r="N27" s="8" t="n"/>
      <c r="O27" s="8" t="n"/>
      <c r="P27" s="8" t="n"/>
      <c r="Q27" s="8" t="n"/>
      <c r="R27" s="8" t="n"/>
    </row>
    <row r="28" ht="150" customHeight="1">
      <c r="B28" s="7" t="inlineStr">
        <is>
          <t>TR1(a)</t>
        </is>
      </c>
      <c r="C28" s="51" t="inlineStr">
        <is>
          <t>Transformational research</t>
        </is>
      </c>
      <c r="D28" s="51" t="inlineStr">
        <is>
          <t>Utilise the expertise of the University’s researchers through mutually beneficial partnerships to help address the University’s operational sustainability challenges.</t>
        </is>
      </c>
      <c r="E28" s="51" t="inlineStr">
        <is>
          <t>Expert-reviewed evidence of researchers contributing to operational sustainability priorities through partnerships, advisory input, living labs, applied projects or decision-support</t>
        </is>
      </c>
      <c r="F28" s="8" t="inlineStr">
        <is>
          <t>In end-2025 reporting your faculty reported on the related SP2030 target 2a and rated it 'Met or exceeded'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28" s="8" t="inlineStr">
        <is>
          <t>We will report on examples of researchers helping solve the University's own operational sustainability challenges, alongside CLLAP projects reported by CI&amp;S, and share them with operational teams to identify further collaboration.</t>
        </is>
      </c>
      <c r="H28" s="8" t="inlineStr">
        <is>
          <t>2a</t>
        </is>
      </c>
      <c r="I28" s="8" t="inlineStr">
        <is>
          <t>Met or exceeded</t>
        </is>
      </c>
      <c r="J28" s="8" t="inlineStr">
        <is>
          <t>See attached report. (RH note: Saved in responses folder)</t>
        </is>
      </c>
      <c r="K28" s="8" t="inlineStr">
        <is>
          <t>Draft report on the Living Lab project is here: Report John Medley Living Lab Project FINAL.docx</t>
        </is>
      </c>
      <c r="L28" s="8" t="n"/>
      <c r="M28" s="8" t="n"/>
      <c r="N28" s="8" t="n"/>
      <c r="O28" s="8" t="n"/>
      <c r="P28" s="8" t="n"/>
      <c r="Q28" s="8" t="n"/>
      <c r="R28" s="8" t="n"/>
    </row>
    <row r="29" ht="150" customHeight="1">
      <c r="B29" s="7" t="inlineStr">
        <is>
          <t>TR2(a)</t>
        </is>
      </c>
      <c r="C29" s="51" t="inlineStr">
        <is>
          <t>Transformational research</t>
        </is>
      </c>
      <c r="D29" s="51" t="inlineStr">
        <is>
          <t>Deliver high-quality research and partnerships that contribute to sustainability outcomes and demonstrable societal benefit.</t>
        </is>
      </c>
      <c r="E29" s="51" t="inlineStr">
        <is>
          <t>Evidence of sustainability-related research impact across diverse pathways, could include policy, industry, community, practice, cultural and institutional outcomes</t>
        </is>
      </c>
      <c r="F29"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29" s="8" t="inlineStr">
        <is>
          <t>We will collate research impact examples across faculties to show the breadth of sustainability-related research impact in the Transformational research section of the 2026 Sustainability Report, complementing University-wide metrics from MRE.</t>
        </is>
      </c>
      <c r="H29" s="8" t="inlineStr">
        <is>
          <t>5b(i)</t>
        </is>
      </c>
      <c r="I29" s="8" t="inlineStr">
        <is>
          <t>Met or exceeded</t>
        </is>
      </c>
      <c r="J29" s="8" t="inlineStr">
        <is>
          <t>In addition to the matters listed at mid-2025, the Ass Dean joined the Board of MBI and hosted a major showcase of MBI activities to Arts Faculty researchers which boosted involvement in the BDI's researech clusters</t>
        </is>
      </c>
      <c r="K29" s="8" t="inlineStr"/>
      <c r="L29" s="8" t="n"/>
      <c r="M29" s="8" t="n"/>
      <c r="N29" s="8" t="n"/>
      <c r="O29" s="8" t="n"/>
      <c r="P29" s="8" t="n"/>
      <c r="Q29" s="8" t="n"/>
      <c r="R29" s="8" t="n"/>
    </row>
    <row r="30" ht="150" customHeight="1">
      <c r="B30" s="7" t="inlineStr">
        <is>
          <t>TR2(d)</t>
        </is>
      </c>
      <c r="C30" s="51" t="inlineStr">
        <is>
          <t>Transformational research</t>
        </is>
      </c>
      <c r="D30" s="51" t="inlineStr">
        <is>
          <t>Deliver high-quality research and partnerships that contribute to sustainability outcomes and demonstrable societal benefit.</t>
        </is>
      </c>
      <c r="E30" s="51" t="inlineStr">
        <is>
          <t>Case-based evidence demonstrating how research has contributed to meaningful sustainability outcomes.</t>
        </is>
      </c>
      <c r="F30"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30" s="8" t="inlineStr">
        <is>
          <t>We will select the strongest examples to develop as full research case studies for the 2026 Sustainability Report (we may contact you for more detail and images).</t>
        </is>
      </c>
      <c r="H30" s="8" t="inlineStr">
        <is>
          <t>5b(i)</t>
        </is>
      </c>
      <c r="I30" s="8" t="inlineStr">
        <is>
          <t>Met or exceeded</t>
        </is>
      </c>
      <c r="J30" s="8" t="inlineStr">
        <is>
          <t>In addition to the matters listed at mid-2025, the Ass Dean joined the Board of MBI and hosted a major showcase of MBI activities to Arts Faculty researchers which boosted involvement in the BDI's researech clusters</t>
        </is>
      </c>
      <c r="K30" s="8" t="inlineStr"/>
      <c r="L30" s="8" t="n"/>
      <c r="M30" s="8" t="n"/>
      <c r="N30" s="8" t="n"/>
      <c r="O30" s="8" t="n"/>
      <c r="P30" s="8" t="n"/>
      <c r="Q30" s="8" t="n"/>
      <c r="R30" s="8" t="n"/>
    </row>
    <row r="31" ht="150" customHeight="1">
      <c r="B31" s="7" t="inlineStr">
        <is>
          <t>TR3(b)</t>
        </is>
      </c>
      <c r="C31" s="51" t="inlineStr">
        <is>
          <t>Transformational research</t>
        </is>
      </c>
      <c r="D31" s="51" t="inlineStr">
        <is>
          <t>Embed sustainability within research systems, processes, capability and culture, so research is conducted responsibly, efficiently and with reduced environmental impact.</t>
        </is>
      </c>
      <c r="E31" s="51" t="inlineStr">
        <is>
          <t>Demonstrated examples of more sustainable research practices in laboratories, fieldwork, procurement, travel or infrastructure use</t>
        </is>
      </c>
      <c r="F31" s="8" t="inlineStr">
        <is>
          <t>In end-2025 reporting your faculty reported on the related SP2030 target 5c(ii) and rated it 'Not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31" s="8" t="inlineStr">
        <is>
          <t>We will report on ways the University is making research practices more sustainable in the 2026 Sustainability Report, and share practical examples (e.g. green labs) across faculties.</t>
        </is>
      </c>
      <c r="H31" s="8" t="inlineStr">
        <is>
          <t>5c(ii)</t>
        </is>
      </c>
      <c r="I31" s="8" t="inlineStr">
        <is>
          <t>Not met</t>
        </is>
      </c>
      <c r="J31" s="8" t="inlineStr">
        <is>
          <t>This needs more specific attention
In general terms, the Faculty has focused on reducing air travel, the major environmental impact of our research activity.</t>
        </is>
      </c>
      <c r="K31" s="8" t="inlineStr"/>
      <c r="L31" s="8" t="n"/>
      <c r="M31" s="8" t="n"/>
      <c r="N31" s="8" t="n"/>
      <c r="O31" s="8" t="n"/>
      <c r="P31" s="8" t="n"/>
      <c r="Q31" s="8" t="n"/>
      <c r="R31" s="8" t="n"/>
    </row>
    <row r="32" ht="150" customHeight="1">
      <c r="B32" s="7" t="inlineStr">
        <is>
          <t>EN1(a)</t>
        </is>
      </c>
      <c r="C32" s="51" t="inlineStr">
        <is>
          <t>Enablers</t>
        </is>
      </c>
      <c r="D32" s="51" t="inlineStr">
        <is>
          <t>Enablers</t>
        </is>
      </c>
      <c r="E32" s="51" t="inlineStr">
        <is>
          <t>Evidence of sustainability outcomes informed by Indigenous knowledges</t>
        </is>
      </c>
      <c r="F32"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32" s="8" t="inlineStr">
        <is>
          <t>We will report on the ways Indigenous knowledges inform sustainability activities across the University, and develop selected examples into case studies with appropriate permissions.</t>
        </is>
      </c>
      <c r="H32" s="8" t="inlineStr">
        <is>
          <t>6a</t>
        </is>
      </c>
      <c r="I32" s="8" t="inlineStr">
        <is>
          <t>Partially met</t>
        </is>
      </c>
      <c r="J32" s="8"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In end-2025 reporting your faculty reported on the related SP2030 target 2a and rated it 'Met or exceeded'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33" s="8" t="inlineStr">
        <is>
          <t>We will share examples of sustainability-related living labs from across the University in the 2026 Sustainability Report, alongside CLLAP projects reported by CI&amp;S.</t>
        </is>
      </c>
      <c r="H33" s="8" t="inlineStr">
        <is>
          <t>2a</t>
        </is>
      </c>
      <c r="I33" s="8" t="inlineStr">
        <is>
          <t>Met or exceeded</t>
        </is>
      </c>
      <c r="J33" s="8" t="inlineStr">
        <is>
          <t>See attached report. (RH note: Saved in responses folder)</t>
        </is>
      </c>
      <c r="K33" s="8" t="inlineStr">
        <is>
          <t>Draft report on the Living Lab project is here: Report John Medley Living Lab Project FINAL.docx</t>
        </is>
      </c>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34" s="8" t="inlineStr">
        <is>
          <t>We will report on internal engagement and partnerships contributing to Sustainability 2030 outcomes, and update our record of sustainability-focused communities of practice and contacts across the University.</t>
        </is>
      </c>
      <c r="H34" s="8" t="inlineStr">
        <is>
          <t>3a(ii)</t>
        </is>
      </c>
      <c r="I34" s="8" t="inlineStr">
        <is>
          <t>Partially met</t>
        </is>
      </c>
      <c r="J34" s="8"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34" s="8" t="inlineStr"/>
      <c r="L34" s="8" t="n"/>
      <c r="M34" s="8" t="n"/>
      <c r="N34" s="8" t="n"/>
      <c r="O34" s="8" t="n"/>
      <c r="P34" s="8" t="n"/>
      <c r="Q34" s="8" t="n"/>
      <c r="R34" s="8" t="n"/>
    </row>
    <row r="35"/>
    <row r="37">
      <c r="B37" s="46" t="inlineStr">
        <is>
          <t>1.3  FBE – Faculty of Business and Economics</t>
        </is>
      </c>
    </row>
    <row r="39">
      <c r="C39" s="47" t="inlineStr">
        <is>
          <t>Sustainability 2030 target and indicator</t>
        </is>
      </c>
      <c r="H39" s="47" t="inlineStr">
        <is>
          <t>End-2025 reporting (click the ref to see your full SR25 response; [+] above expands a summary)</t>
        </is>
      </c>
      <c r="L39" s="48" t="inlineStr">
        <is>
          <t>End-2026 reporting (PLEASE COMPLETE THIS SECTION)</t>
        </is>
      </c>
    </row>
    <row r="40">
      <c r="B40" s="6" t="inlineStr">
        <is>
          <t>Ref</t>
        </is>
      </c>
      <c r="C40" s="6" t="inlineStr">
        <is>
          <t>Priority area</t>
        </is>
      </c>
      <c r="D40" s="6" t="inlineStr">
        <is>
          <t>Sustainability 2030 target</t>
        </is>
      </c>
      <c r="E40" s="6" t="inlineStr">
        <is>
          <t>Indicator</t>
        </is>
      </c>
      <c r="F40" s="6" t="inlineStr">
        <is>
          <t>2026 Reporting request</t>
        </is>
      </c>
      <c r="G40" s="6" t="inlineStr">
        <is>
          <t>How SST will use this data</t>
        </is>
      </c>
      <c r="H40" s="6" t="inlineStr">
        <is>
          <t>Related SR25 ref</t>
        </is>
      </c>
      <c r="I40" s="6" t="inlineStr">
        <is>
          <t>End-2025 confirmed status</t>
        </is>
      </c>
      <c r="J40" s="6" t="inlineStr">
        <is>
          <t>End-2025 reporting response</t>
        </is>
      </c>
      <c r="K40" s="6" t="inlineStr">
        <is>
          <t>Links and supporting information</t>
        </is>
      </c>
      <c r="L40" s="49" t="inlineStr">
        <is>
          <t>Confirm end-2026 target status</t>
        </is>
      </c>
      <c r="M40" s="49" t="inlineStr">
        <is>
          <t>OPTION 1:  Target-level reporting (Column D)</t>
        </is>
      </c>
      <c r="N40" s="49" t="inlineStr">
        <is>
          <t>OPTION 2:  Indicator level reporting (Column E/F)</t>
        </is>
      </c>
      <c r="O40" s="49" t="inlineStr">
        <is>
          <t>Supporting information/comments</t>
        </is>
      </c>
      <c r="P40" s="49" t="inlineStr">
        <is>
          <t>Data source and limitations</t>
        </is>
      </c>
      <c r="Q40" s="49" t="inlineStr">
        <is>
          <t>Data owner confirms information is accurate</t>
        </is>
      </c>
      <c r="R40" s="49" t="inlineStr">
        <is>
          <t>Confirmed by (name, role, date)</t>
        </is>
      </c>
    </row>
    <row r="41">
      <c r="B41" s="50" t="inlineStr"/>
      <c r="C41" s="50" t="inlineStr"/>
      <c r="D41" s="50" t="inlineStr"/>
      <c r="E41" s="50" t="inlineStr"/>
      <c r="F41" s="50" t="inlineStr"/>
      <c r="G41" s="50" t="inlineStr"/>
      <c r="H41" s="50" t="inlineStr"/>
      <c r="I41" s="50" t="inlineStr"/>
      <c r="J41" s="50" t="inlineStr"/>
      <c r="K41" s="50" t="inlineStr"/>
      <c r="L41" s="50" t="inlineStr">
        <is>
          <t>(Met or exceeded; partially met; not met; not yet started)</t>
        </is>
      </c>
      <c r="M41" s="50" t="inlineStr">
        <is>
          <t>Provide further evidence of target status assessment in the form of:
A general update on activities in relation to the overarching target (Column D)</t>
        </is>
      </c>
      <c r="N41" s="50" t="inlineStr">
        <is>
          <t>Provide further evidence of target status assessment in the form of:
Data and commentary in direct response to the reporting request (Column F)</t>
        </is>
      </c>
      <c r="O41" s="50" t="inlineStr">
        <is>
          <t>Provide any additional information to support the target status assessment (e.g. links, images, rationale for selection of target status)</t>
        </is>
      </c>
      <c r="P41" s="50" t="inlineStr">
        <is>
          <t>Where did this information come from (system, report, survey, person)? Note any gaps or limitations.</t>
        </is>
      </c>
      <c r="Q41" s="50" t="inlineStr">
        <is>
          <t>Select 'Yes' to confirm the information provided is accurate and can be used for reporting</t>
        </is>
      </c>
      <c r="R41" s="50" t="inlineStr">
        <is>
          <t>Name, role and date of the person confirming</t>
        </is>
      </c>
    </row>
    <row r="42" ht="150" customHeight="1">
      <c r="B42" s="7" t="inlineStr">
        <is>
          <t>EE1(a)</t>
        </is>
      </c>
      <c r="C42" s="51" t="inlineStr">
        <is>
          <t>Exceptional education</t>
        </is>
      </c>
      <c r="D42" s="51" t="inlineStr">
        <is>
          <t>Provide our students with learning experiences that help them build the knowledge, skills and relationships to lead change for sustainable societies.</t>
        </is>
      </c>
      <c r="E42" s="51" t="inlineStr">
        <is>
          <t>Evidence of innovative approaches to sustainability teaching and learning</t>
        </is>
      </c>
      <c r="F42" s="8" t="inlineStr">
        <is>
          <t>In end-2025 reporting your faculty reported on the related SP2030 target 4a(ii) and rated it 'Partially met'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4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42" s="8" t="inlineStr">
        <is>
          <t>4a(ii)</t>
        </is>
      </c>
      <c r="I42" s="8" t="inlineStr">
        <is>
          <t>Partially met</t>
        </is>
      </c>
      <c r="J42" s="8" t="inlineStr">
        <is>
          <t>The refresh of the Bachelor of Commerce BCOM refresh included explicitly embedding sustainability in course level learning outcomes, major level learning outcomes, and is now a specialisation (Ethics and Sustainability) available to students across all majors. 
See also Sust teaching case study p2</t>
        </is>
      </c>
      <c r="K42" s="8" t="inlineStr"/>
      <c r="L42" s="8" t="n"/>
      <c r="M42" s="8" t="n"/>
      <c r="N42" s="8" t="n"/>
      <c r="O42" s="8" t="n"/>
      <c r="P42" s="8" t="n"/>
      <c r="Q42" s="8" t="n"/>
      <c r="R42" s="8" t="n"/>
    </row>
    <row r="43" ht="150" customHeight="1">
      <c r="B43" s="7" t="inlineStr">
        <is>
          <t>EE1(b)</t>
        </is>
      </c>
      <c r="C43" s="51" t="inlineStr">
        <is>
          <t>Exceptional education</t>
        </is>
      </c>
      <c r="D43" s="51" t="inlineStr">
        <is>
          <t>Provide our students with learning experiences that help them build the knowledge, skills and relationships to lead change for sustainable societies.</t>
        </is>
      </c>
      <c r="E43" s="51" t="inlineStr">
        <is>
          <t>Pilots of possible approaches for understanding and developing students’ sustainability self-efficacy</t>
        </is>
      </c>
      <c r="F43"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43" s="8" t="inlineStr">
        <is>
          <t>This is a new indicator. We will use responses to establish a baseline of how (and whether) faculties are understanding student sustainability self-efficacy, and report on early pilots in the 2026 Sustainability Report. A nil response is useful to us.</t>
        </is>
      </c>
      <c r="H43" s="8" t="inlineStr">
        <is>
          <t>N/A – new indicator</t>
        </is>
      </c>
      <c r="I43" s="8" t="inlineStr"/>
      <c r="J43" s="8" t="inlineStr"/>
      <c r="K43" s="8" t="inlineStr"/>
      <c r="L43" s="8" t="n"/>
      <c r="M43" s="8" t="n"/>
      <c r="N43" s="8" t="n"/>
      <c r="O43" s="8" t="n"/>
      <c r="P43" s="8" t="n"/>
      <c r="Q43" s="8" t="n"/>
      <c r="R43" s="8" t="n"/>
    </row>
    <row r="44" ht="150" customHeight="1">
      <c r="B44" s="7" t="inlineStr">
        <is>
          <t>TR1(a)</t>
        </is>
      </c>
      <c r="C44" s="51" t="inlineStr">
        <is>
          <t>Transformational research</t>
        </is>
      </c>
      <c r="D44" s="51" t="inlineStr">
        <is>
          <t>Utilise the expertise of the University’s researchers through mutually beneficial partnerships to help address the University’s operational sustainability challenges.</t>
        </is>
      </c>
      <c r="E44" s="51" t="inlineStr">
        <is>
          <t>Expert-reviewed evidence of researchers contributing to operational sustainability priorities through partnerships, advisory input, living labs, applied projects or decision-support</t>
        </is>
      </c>
      <c r="F44"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44" s="8" t="inlineStr">
        <is>
          <t>We will report on examples of researchers helping solve the University's own operational sustainability challenges, alongside CLLAP projects reported by CI&amp;S, and share them with operational teams to identify further collaboration.</t>
        </is>
      </c>
      <c r="H44" s="8" t="inlineStr">
        <is>
          <t>2a</t>
        </is>
      </c>
      <c r="I44" s="8" t="inlineStr">
        <is>
          <t>Partially met</t>
        </is>
      </c>
      <c r="J44" s="8" t="inlineStr">
        <is>
          <t>CLLAP report on University Investor Stewardship provided separately</t>
        </is>
      </c>
      <c r="K44" s="8" t="inlineStr"/>
      <c r="L44" s="8" t="n"/>
      <c r="M44" s="8" t="n"/>
      <c r="N44" s="8" t="n"/>
      <c r="O44" s="8" t="n"/>
      <c r="P44" s="8" t="n"/>
      <c r="Q44" s="8" t="n"/>
      <c r="R44" s="8" t="n"/>
    </row>
    <row r="45" ht="150" customHeight="1">
      <c r="B45" s="7" t="inlineStr">
        <is>
          <t>TR2(a)</t>
        </is>
      </c>
      <c r="C45" s="51" t="inlineStr">
        <is>
          <t>Transformational research</t>
        </is>
      </c>
      <c r="D45" s="51" t="inlineStr">
        <is>
          <t>Deliver high-quality research and partnerships that contribute to sustainability outcomes and demonstrable societal benefit.</t>
        </is>
      </c>
      <c r="E45" s="51" t="inlineStr">
        <is>
          <t>Evidence of sustainability-related research impact across diverse pathways, could include policy, industry, community, practice, cultural and institutional outcomes</t>
        </is>
      </c>
      <c r="F45" s="8" t="inlineStr">
        <is>
          <t>In end-2025 reporting your faculty reported on the related SP2030 target 5b(i) and rated it 'Partially met'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45" s="8" t="inlineStr">
        <is>
          <t>We will collate research impact examples across faculties to show the breadth of sustainability-related research impact in the Transformational research section of the 2026 Sustainability Report, complementing University-wide metrics from MRE.</t>
        </is>
      </c>
      <c r="H45" s="8" t="inlineStr">
        <is>
          <t>5b(i)</t>
        </is>
      </c>
      <c r="I45" s="8" t="inlineStr">
        <is>
          <t>Partially met</t>
        </is>
      </c>
      <c r="J45"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5" s="8" t="inlineStr">
        <is>
          <t>https://fbe.unimelb.edu.au/research/our-research-at-a-glance</t>
        </is>
      </c>
      <c r="L45" s="8" t="n"/>
      <c r="M45" s="8" t="n"/>
      <c r="N45" s="8" t="n"/>
      <c r="O45" s="8" t="n"/>
      <c r="P45" s="8" t="n"/>
      <c r="Q45" s="8" t="n"/>
      <c r="R45" s="8" t="n"/>
    </row>
    <row r="46" ht="150" customHeight="1">
      <c r="B46" s="7" t="inlineStr">
        <is>
          <t>TR2(d)</t>
        </is>
      </c>
      <c r="C46" s="51" t="inlineStr">
        <is>
          <t>Transformational research</t>
        </is>
      </c>
      <c r="D46" s="51" t="inlineStr">
        <is>
          <t>Deliver high-quality research and partnerships that contribute to sustainability outcomes and demonstrable societal benefit.</t>
        </is>
      </c>
      <c r="E46" s="51" t="inlineStr">
        <is>
          <t>Case-based evidence demonstrating how research has contributed to meaningful sustainability outcomes.</t>
        </is>
      </c>
      <c r="F46" s="8" t="inlineStr">
        <is>
          <t>In end-2025 reporting your faculty reported on the related SP2030 target 5b(i) and rated it 'Partially met'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46" s="8" t="inlineStr">
        <is>
          <t>We will select the strongest examples to develop as full research case studies for the 2026 Sustainability Report (we may contact you for more detail and images).</t>
        </is>
      </c>
      <c r="H46" s="8" t="inlineStr">
        <is>
          <t>5b(i)</t>
        </is>
      </c>
      <c r="I46" s="8" t="inlineStr">
        <is>
          <t>Partially met</t>
        </is>
      </c>
      <c r="J46" s="8" t="inlineStr">
        <is>
          <t>Several departments have completed high quality sustainability-focused research, which includes papers published in peer reviwed research journals and a range of commissioned research for diverse industry partners including the national accounting standard setting body, which focus on a range of sustainability-related topics.
See M&amp;M Sust Research Hub case study p2</t>
        </is>
      </c>
      <c r="K46" s="8" t="inlineStr">
        <is>
          <t>https://fbe.unimelb.edu.au/research/our-research-at-a-glance</t>
        </is>
      </c>
      <c r="L46" s="8" t="n"/>
      <c r="M46" s="8" t="n"/>
      <c r="N46" s="8" t="n"/>
      <c r="O46" s="8" t="n"/>
      <c r="P46" s="8" t="n"/>
      <c r="Q46" s="8" t="n"/>
      <c r="R46" s="8" t="n"/>
    </row>
    <row r="47" ht="150" customHeight="1">
      <c r="B47" s="7" t="inlineStr">
        <is>
          <t>TR3(b)</t>
        </is>
      </c>
      <c r="C47" s="51" t="inlineStr">
        <is>
          <t>Transformational research</t>
        </is>
      </c>
      <c r="D47" s="51" t="inlineStr">
        <is>
          <t>Embed sustainability within research systems, processes, capability and culture, so research is conducted responsibly, efficiently and with reduced environmental impact.</t>
        </is>
      </c>
      <c r="E47" s="51" t="inlineStr">
        <is>
          <t>Demonstrated examples of more sustainable research practices in laboratories, fieldwork, procurement, travel or infrastructure use</t>
        </is>
      </c>
      <c r="F47"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47" s="8" t="inlineStr">
        <is>
          <t>We will report on ways the University is making research practices more sustainable in the 2026 Sustainability Report, and share practical examples (e.g. green labs) across faculties.</t>
        </is>
      </c>
      <c r="H47" s="8" t="inlineStr">
        <is>
          <t>5c(ii)</t>
        </is>
      </c>
      <c r="I47" s="8" t="inlineStr">
        <is>
          <t>Partially met</t>
        </is>
      </c>
      <c r="J47" s="8" t="inlineStr">
        <is>
          <t>The Department of Management &amp; Marketing Sustainable Research Hub is leading on 'Graduate Researcher Training for Sustainability-Related Research'. Equipping the next generation of researchers with the interdisciplinary and transdisciplinary knowledge and skills, and systems thinking competencies that enables them to recognize and pursue complex sustainability problems in their research, and to recognize the potential impact of their research on sustainability concerns. Development of these capabilities includes curriculum design, experiential learning opportunities, research ethics protocols, and institutional support needed to foster impactful sustainability research. (Also see case study p2)</t>
        </is>
      </c>
      <c r="K47" s="8" t="inlineStr">
        <is>
          <t>https://fbe.unimelb.edu.au/managementmarketing/research/the-sustainability-hub</t>
        </is>
      </c>
      <c r="L47" s="8" t="n"/>
      <c r="M47" s="8" t="n"/>
      <c r="N47" s="8" t="n"/>
      <c r="O47" s="8" t="n"/>
      <c r="P47" s="8" t="n"/>
      <c r="Q47" s="8" t="n"/>
      <c r="R47" s="8" t="n"/>
    </row>
    <row r="48" ht="150" customHeight="1">
      <c r="B48" s="7" t="inlineStr">
        <is>
          <t>EN1(a)</t>
        </is>
      </c>
      <c r="C48" s="51" t="inlineStr">
        <is>
          <t>Enablers</t>
        </is>
      </c>
      <c r="D48" s="51" t="inlineStr">
        <is>
          <t>Enablers</t>
        </is>
      </c>
      <c r="E48" s="51" t="inlineStr">
        <is>
          <t>Evidence of sustainability outcomes informed by Indigenous knowledges</t>
        </is>
      </c>
      <c r="F48"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48" s="8" t="inlineStr">
        <is>
          <t>We will report on the ways Indigenous knowledges inform sustainability activities across the University, and develop selected examples into case studies with appropriate permissions.</t>
        </is>
      </c>
      <c r="H48" s="8" t="inlineStr">
        <is>
          <t>6a</t>
        </is>
      </c>
      <c r="I48" s="8" t="inlineStr">
        <is>
          <t>Partially met</t>
        </is>
      </c>
      <c r="J48" s="8" t="inlineStr">
        <is>
          <t>The Dilin Duwa Centre for Indigenous Business Leadership is developing research, teaching and engagement programs to enhance the economic skill base of Indigenous Australians, including through entrepreneurship, jobs and procurement. 
The Mabo Centre works to support Traditional Owners achieve successful Native Title outcomes for their communities through research, training, excahange and acceleration.
PhD student Caleb Adams' cross disciplinary thesis topic is 'Understanding and Unlocking Financial Capital: Empowering First Nations Leadership in and for a Green Economy'</t>
        </is>
      </c>
      <c r="K48" s="8" t="inlineStr">
        <is>
          <t>https://dilinduwa.com.au/
https://mabocentre.com/</t>
        </is>
      </c>
      <c r="L48" s="8" t="n"/>
      <c r="M48" s="8" t="n"/>
      <c r="N48" s="8" t="n"/>
      <c r="O48" s="8" t="n"/>
      <c r="P48" s="8" t="n"/>
      <c r="Q48" s="8" t="n"/>
      <c r="R48" s="8" t="n"/>
    </row>
    <row r="49" ht="150" customHeight="1">
      <c r="B49" s="7" t="inlineStr">
        <is>
          <t>EN1(b)</t>
        </is>
      </c>
      <c r="C49" s="51" t="inlineStr">
        <is>
          <t>Enablers</t>
        </is>
      </c>
      <c r="D49" s="51" t="inlineStr">
        <is>
          <t>Enablers</t>
        </is>
      </c>
      <c r="E49" s="51" t="inlineStr">
        <is>
          <t>Living laboratories enabling applied learning, research and operational sustainability outcomes</t>
        </is>
      </c>
      <c r="F49"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49" s="8" t="inlineStr">
        <is>
          <t>We will share examples of sustainability-related living labs from across the University in the 2026 Sustainability Report, alongside CLLAP projects reported by CI&amp;S.</t>
        </is>
      </c>
      <c r="H49" s="8" t="inlineStr">
        <is>
          <t>2a</t>
        </is>
      </c>
      <c r="I49" s="8" t="inlineStr">
        <is>
          <t>Partially met</t>
        </is>
      </c>
      <c r="J49" s="8" t="inlineStr">
        <is>
          <t>CLLAP report on University Investor Stewardship provided separately</t>
        </is>
      </c>
      <c r="K49" s="8" t="inlineStr"/>
      <c r="L49" s="8" t="n"/>
      <c r="M49" s="8" t="n"/>
      <c r="N49" s="8" t="n"/>
      <c r="O49" s="8" t="n"/>
      <c r="P49" s="8" t="n"/>
      <c r="Q49" s="8" t="n"/>
      <c r="R49" s="8" t="n"/>
    </row>
    <row r="50" ht="150" customHeight="1">
      <c r="B50" s="7" t="inlineStr">
        <is>
          <t>EN1(c)</t>
        </is>
      </c>
      <c r="C50" s="51" t="inlineStr">
        <is>
          <t>Enablers</t>
        </is>
      </c>
      <c r="D50" s="51" t="inlineStr">
        <is>
          <t>Enablers</t>
        </is>
      </c>
      <c r="E50" s="51" t="inlineStr">
        <is>
          <t>Coordinated internal engagement and external partnerships contributing to delivery of sustainability outcomes across priority areas.</t>
        </is>
      </c>
      <c r="F50" s="8" t="inlineStr">
        <is>
          <t>In end-2025 reporting your faculty reported on the related SP2030 target 3a(ii) and rated it 'Partially met'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50" s="8" t="inlineStr">
        <is>
          <t>We will report on internal engagement and partnerships contributing to Sustainability 2030 outcomes, and update our record of sustainability-focused communities of practice and contacts across the University.</t>
        </is>
      </c>
      <c r="H50" s="8" t="inlineStr">
        <is>
          <t>3a(ii)</t>
        </is>
      </c>
      <c r="I50" s="8" t="inlineStr">
        <is>
          <t>Partially met</t>
        </is>
      </c>
      <c r="J50" s="8" t="inlineStr">
        <is>
          <t>The Faculty leads many cross department events and workshops to further sustainability knowledge and integration. For example, FBE faciliating the Shared Value Project exec ed for the 3rd time in 2025 as well as the SVP summit in 2025 at Melbourne Connect. FBE is deepening its relationship with SVP - which will provide a key highly visable and impactful  pathway to embedding sustsinability and shared value into teaching as well  offering myriad research opportunities. 
The Faculty led a University research engagement event - the Sustainable Finance Futures Forum - on September 17 within Sustainability Week. The event was attended by approximately 80 people from industry and the University community. It featured a keynote by Director of the University's Sustainable Finance Hub, Simon O'Connor, followed by an industry panel and then workshop session on climate scenario analyses led by A/Prof Ben Neville</t>
        </is>
      </c>
      <c r="K50" s="8" t="inlineStr"/>
      <c r="L50" s="8" t="n"/>
      <c r="M50" s="8" t="n"/>
      <c r="N50" s="8" t="n"/>
      <c r="O50" s="8" t="n"/>
      <c r="P50" s="8" t="n"/>
      <c r="Q50" s="8" t="n"/>
      <c r="R50" s="8" t="n"/>
    </row>
    <row r="51"/>
    <row r="53">
      <c r="B53" s="46" t="inlineStr">
        <is>
          <t>1.4  SCI – Faculty of Science</t>
        </is>
      </c>
    </row>
    <row r="55">
      <c r="C55" s="47" t="inlineStr">
        <is>
          <t>Sustainability 2030 target and indicator</t>
        </is>
      </c>
      <c r="H55" s="47" t="inlineStr">
        <is>
          <t>End-2025 reporting (click the ref to see your full SR25 response; [+] above expands a summary)</t>
        </is>
      </c>
      <c r="L55" s="48" t="inlineStr">
        <is>
          <t>End-2026 reporting (PLEASE COMPLETE THIS SECTION)</t>
        </is>
      </c>
    </row>
    <row r="56">
      <c r="B56" s="6" t="inlineStr">
        <is>
          <t>Ref</t>
        </is>
      </c>
      <c r="C56" s="6" t="inlineStr">
        <is>
          <t>Priority area</t>
        </is>
      </c>
      <c r="D56" s="6" t="inlineStr">
        <is>
          <t>Sustainability 2030 target</t>
        </is>
      </c>
      <c r="E56" s="6" t="inlineStr">
        <is>
          <t>Indicator</t>
        </is>
      </c>
      <c r="F56" s="6" t="inlineStr">
        <is>
          <t>2026 Reporting request</t>
        </is>
      </c>
      <c r="G56" s="6" t="inlineStr">
        <is>
          <t>How SST will use this data</t>
        </is>
      </c>
      <c r="H56" s="6" t="inlineStr">
        <is>
          <t>Related SR25 ref</t>
        </is>
      </c>
      <c r="I56" s="6" t="inlineStr">
        <is>
          <t>End-2025 confirmed status</t>
        </is>
      </c>
      <c r="J56" s="6" t="inlineStr">
        <is>
          <t>End-2025 reporting response</t>
        </is>
      </c>
      <c r="K56" s="6" t="inlineStr">
        <is>
          <t>Links and supporting information</t>
        </is>
      </c>
      <c r="L56" s="49" t="inlineStr">
        <is>
          <t>Confirm end-2026 target status</t>
        </is>
      </c>
      <c r="M56" s="49" t="inlineStr">
        <is>
          <t>OPTION 1:  Target-level reporting (Column D)</t>
        </is>
      </c>
      <c r="N56" s="49" t="inlineStr">
        <is>
          <t>OPTION 2:  Indicator level reporting (Column E/F)</t>
        </is>
      </c>
      <c r="O56" s="49" t="inlineStr">
        <is>
          <t>Supporting information/comments</t>
        </is>
      </c>
      <c r="P56" s="49" t="inlineStr">
        <is>
          <t>Data source and limitations</t>
        </is>
      </c>
      <c r="Q56" s="49" t="inlineStr">
        <is>
          <t>Data owner confirms information is accurate</t>
        </is>
      </c>
      <c r="R56" s="49" t="inlineStr">
        <is>
          <t>Confirmed by (name, role, date)</t>
        </is>
      </c>
    </row>
    <row r="57">
      <c r="B57" s="50" t="inlineStr"/>
      <c r="C57" s="50" t="inlineStr"/>
      <c r="D57" s="50" t="inlineStr"/>
      <c r="E57" s="50" t="inlineStr"/>
      <c r="F57" s="50" t="inlineStr"/>
      <c r="G57" s="50" t="inlineStr"/>
      <c r="H57" s="50" t="inlineStr"/>
      <c r="I57" s="50" t="inlineStr"/>
      <c r="J57" s="50" t="inlineStr"/>
      <c r="K57" s="50" t="inlineStr"/>
      <c r="L57" s="50" t="inlineStr">
        <is>
          <t>(Met or exceeded; partially met; not met; not yet started)</t>
        </is>
      </c>
      <c r="M57" s="50" t="inlineStr">
        <is>
          <t>Provide further evidence of target status assessment in the form of:
A general update on activities in relation to the overarching target (Column D)</t>
        </is>
      </c>
      <c r="N57" s="50" t="inlineStr">
        <is>
          <t>Provide further evidence of target status assessment in the form of:
Data and commentary in direct response to the reporting request (Column F)</t>
        </is>
      </c>
      <c r="O57" s="50" t="inlineStr">
        <is>
          <t>Provide any additional information to support the target status assessment (e.g. links, images, rationale for selection of target status)</t>
        </is>
      </c>
      <c r="P57" s="50" t="inlineStr">
        <is>
          <t>Where did this information come from (system, report, survey, person)? Note any gaps or limitations.</t>
        </is>
      </c>
      <c r="Q57" s="50" t="inlineStr">
        <is>
          <t>Select 'Yes' to confirm the information provided is accurate and can be used for reporting</t>
        </is>
      </c>
      <c r="R57" s="50" t="inlineStr">
        <is>
          <t>Name, role and date of the person confirming</t>
        </is>
      </c>
    </row>
    <row r="58" ht="150" customHeight="1">
      <c r="B58" s="7" t="inlineStr">
        <is>
          <t>EE1(a)</t>
        </is>
      </c>
      <c r="C58" s="51" t="inlineStr">
        <is>
          <t>Exceptional education</t>
        </is>
      </c>
      <c r="D58" s="51" t="inlineStr">
        <is>
          <t>Provide our students with learning experiences that help them build the knowledge, skills and relationships to lead change for sustainable societies.</t>
        </is>
      </c>
      <c r="E58" s="51" t="inlineStr">
        <is>
          <t>Evidence of innovative approaches to sustainability teaching and learning</t>
        </is>
      </c>
      <c r="F58" s="8" t="inlineStr">
        <is>
          <t>In end-2025 reporting your faculty reported on the related SP2030 target 4a(ii) and rated it 'Met or exceeded' (see Column J – click [+] above Columns I–K).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58"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58" s="8" t="inlineStr">
        <is>
          <t>4a(ii)</t>
        </is>
      </c>
      <c r="I58" s="8" t="inlineStr">
        <is>
          <t>Met or exceeded</t>
        </is>
      </c>
      <c r="J58" s="8"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58" s="8" t="inlineStr"/>
      <c r="L58" s="8" t="n"/>
      <c r="M58" s="8" t="n"/>
      <c r="N58" s="8" t="n"/>
      <c r="O58" s="8" t="n"/>
      <c r="P58" s="8" t="n"/>
      <c r="Q58" s="8" t="n"/>
      <c r="R58" s="8" t="n"/>
    </row>
    <row r="59" ht="150" customHeight="1">
      <c r="B59" s="7" t="inlineStr">
        <is>
          <t>EE1(b)</t>
        </is>
      </c>
      <c r="C59" s="51" t="inlineStr">
        <is>
          <t>Exceptional education</t>
        </is>
      </c>
      <c r="D59" s="51" t="inlineStr">
        <is>
          <t>Provide our students with learning experiences that help them build the knowledge, skills and relationships to lead change for sustainable societies.</t>
        </is>
      </c>
      <c r="E59" s="51" t="inlineStr">
        <is>
          <t>Pilots of possible approaches for understanding and developing students’ sustainability self-efficacy</t>
        </is>
      </c>
      <c r="F59"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59" s="8" t="inlineStr">
        <is>
          <t>This is a new indicator. We will use responses to establish a baseline of how (and whether) faculties are understanding student sustainability self-efficacy, and report on early pilots in the 2026 Sustainability Report. A nil response is useful to us.</t>
        </is>
      </c>
      <c r="H59" s="8" t="inlineStr">
        <is>
          <t>N/A – new indicator</t>
        </is>
      </c>
      <c r="I59" s="8" t="inlineStr"/>
      <c r="J59" s="8" t="inlineStr"/>
      <c r="K59" s="8" t="inlineStr"/>
      <c r="L59" s="8" t="n"/>
      <c r="M59" s="8" t="n"/>
      <c r="N59" s="8" t="n"/>
      <c r="O59" s="8" t="n"/>
      <c r="P59" s="8" t="n"/>
      <c r="Q59" s="8" t="n"/>
      <c r="R59" s="8" t="n"/>
    </row>
    <row r="60" ht="150" customHeight="1">
      <c r="B60" s="7" t="inlineStr">
        <is>
          <t>TR1(a)</t>
        </is>
      </c>
      <c r="C60" s="51" t="inlineStr">
        <is>
          <t>Transformational research</t>
        </is>
      </c>
      <c r="D60" s="51" t="inlineStr">
        <is>
          <t>Utilise the expertise of the University’s researchers through mutually beneficial partnerships to help address the University’s operational sustainability challenges.</t>
        </is>
      </c>
      <c r="E60" s="51" t="inlineStr">
        <is>
          <t>Expert-reviewed evidence of researchers contributing to operational sustainability priorities through partnerships, advisory input, living labs, applied projects or decision-support</t>
        </is>
      </c>
      <c r="F60" s="8" t="inlineStr">
        <is>
          <t>In end-2025 reporting your faculty reported on the related SP2030 target 2a and rated it 'Partially met' (see Column J – click [+] above Columns I–K).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60" s="8" t="inlineStr">
        <is>
          <t>We will report on examples of researchers helping solve the University's own operational sustainability challenges, alongside CLLAP projects reported by CI&amp;S, and share them with operational teams to identify further collaboration.</t>
        </is>
      </c>
      <c r="H60" s="8" t="inlineStr">
        <is>
          <t>2a</t>
        </is>
      </c>
      <c r="I60" s="8" t="inlineStr">
        <is>
          <t>Partially met</t>
        </is>
      </c>
      <c r="J60"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0" s="8" t="inlineStr">
        <is>
          <t>https://www.unimelb.edu.au/newsroom/news/2024/october/native-harvest-cookbook-aims-to-put-indigenous-food-in-every-aussie-kitchen
https://theconversation.com/we-planted-two-woody-meadows-a-decade-ago-to-see-what-would-thrive-now-the-concept-is-popular-across-australia-269611</t>
        </is>
      </c>
      <c r="L60" s="8" t="n"/>
      <c r="M60" s="8" t="n"/>
      <c r="N60" s="8" t="n"/>
      <c r="O60" s="8" t="n"/>
      <c r="P60" s="8" t="n"/>
      <c r="Q60" s="8" t="n"/>
      <c r="R60" s="8" t="n"/>
    </row>
    <row r="61" ht="150" customHeight="1">
      <c r="B61" s="7" t="inlineStr">
        <is>
          <t>TR2(a)</t>
        </is>
      </c>
      <c r="C61" s="51" t="inlineStr">
        <is>
          <t>Transformational research</t>
        </is>
      </c>
      <c r="D61" s="51" t="inlineStr">
        <is>
          <t>Deliver high-quality research and partnerships that contribute to sustainability outcomes and demonstrable societal benefit.</t>
        </is>
      </c>
      <c r="E61" s="51" t="inlineStr">
        <is>
          <t>Evidence of sustainability-related research impact across diverse pathways, could include policy, industry, community, practice, cultural and institutional outcomes</t>
        </is>
      </c>
      <c r="F61" s="8" t="inlineStr">
        <is>
          <t>In end-2025 reporting your faculty reported on the related SP2030 target 5b(i) and rated it 'Met or exceeded' (see Column J – click [+] above Columns I–K).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61" s="8" t="inlineStr">
        <is>
          <t>We will collate research impact examples across faculties to show the breadth of sustainability-related research impact in the Transformational research section of the 2026 Sustainability Report, complementing University-wide metrics from MRE.</t>
        </is>
      </c>
      <c r="H61" s="8" t="inlineStr">
        <is>
          <t>5b(i)</t>
        </is>
      </c>
      <c r="I61" s="8" t="inlineStr">
        <is>
          <t>Met or exceeded</t>
        </is>
      </c>
      <c r="J61"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1" s="8" t="inlineStr"/>
      <c r="L61" s="8" t="n"/>
      <c r="M61" s="8" t="n"/>
      <c r="N61" s="8" t="n"/>
      <c r="O61" s="8" t="n"/>
      <c r="P61" s="8" t="n"/>
      <c r="Q61" s="8" t="n"/>
      <c r="R61" s="8" t="n"/>
    </row>
    <row r="62" ht="150" customHeight="1">
      <c r="B62" s="7" t="inlineStr">
        <is>
          <t>TR2(d)</t>
        </is>
      </c>
      <c r="C62" s="51" t="inlineStr">
        <is>
          <t>Transformational research</t>
        </is>
      </c>
      <c r="D62" s="51" t="inlineStr">
        <is>
          <t>Deliver high-quality research and partnerships that contribute to sustainability outcomes and demonstrable societal benefit.</t>
        </is>
      </c>
      <c r="E62" s="51" t="inlineStr">
        <is>
          <t>Case-based evidence demonstrating how research has contributed to meaningful sustainability outcomes.</t>
        </is>
      </c>
      <c r="F62" s="8" t="inlineStr">
        <is>
          <t>In end-2025 reporting your faculty reported on the related SP2030 target 5b(i) and rated it 'Met or exceeded' (see Column J – click [+] above Columns I–K).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62" s="8" t="inlineStr">
        <is>
          <t>We will select the strongest examples to develop as full research case studies for the 2026 Sustainability Report (we may contact you for more detail and images).</t>
        </is>
      </c>
      <c r="H62" s="8" t="inlineStr">
        <is>
          <t>5b(i)</t>
        </is>
      </c>
      <c r="I62" s="8" t="inlineStr">
        <is>
          <t>Met or exceeded</t>
        </is>
      </c>
      <c r="J62" s="8"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62" s="8" t="inlineStr"/>
      <c r="L62" s="8" t="n"/>
      <c r="M62" s="8" t="n"/>
      <c r="N62" s="8" t="n"/>
      <c r="O62" s="8" t="n"/>
      <c r="P62" s="8" t="n"/>
      <c r="Q62" s="8" t="n"/>
      <c r="R62" s="8" t="n"/>
    </row>
    <row r="63" ht="150" customHeight="1">
      <c r="B63" s="7" t="inlineStr">
        <is>
          <t>TR3(b)</t>
        </is>
      </c>
      <c r="C63" s="51" t="inlineStr">
        <is>
          <t>Transformational research</t>
        </is>
      </c>
      <c r="D63" s="51" t="inlineStr">
        <is>
          <t>Embed sustainability within research systems, processes, capability and culture, so research is conducted responsibly, efficiently and with reduced environmental impact.</t>
        </is>
      </c>
      <c r="E63" s="51" t="inlineStr">
        <is>
          <t>Demonstrated examples of more sustainable research practices in laboratories, fieldwork, procurement, travel or infrastructure use</t>
        </is>
      </c>
      <c r="F63" s="8" t="inlineStr">
        <is>
          <t>In end-2025 reporting your faculty reported on the related SP2030 target 5c(ii) and rated it 'Partially met' (see Column J – click [+] above Columns I–K).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63" s="8" t="inlineStr">
        <is>
          <t>We will report on ways the University is making research practices more sustainable in the 2026 Sustainability Report, and share practical examples (e.g. green labs) across faculties.</t>
        </is>
      </c>
      <c r="H63" s="8" t="inlineStr">
        <is>
          <t>5c(ii)</t>
        </is>
      </c>
      <c r="I63" s="8" t="inlineStr">
        <is>
          <t>Partially met</t>
        </is>
      </c>
      <c r="J63" s="8"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63" s="8" t="inlineStr"/>
      <c r="L63" s="8" t="n"/>
      <c r="M63" s="8" t="n"/>
      <c r="N63" s="8" t="n"/>
      <c r="O63" s="8" t="n"/>
      <c r="P63" s="8" t="n"/>
      <c r="Q63" s="8" t="n"/>
      <c r="R63" s="8" t="n"/>
    </row>
    <row r="64" ht="150" customHeight="1">
      <c r="B64" s="7" t="inlineStr">
        <is>
          <t>EN1(a)</t>
        </is>
      </c>
      <c r="C64" s="51" t="inlineStr">
        <is>
          <t>Enablers</t>
        </is>
      </c>
      <c r="D64" s="51" t="inlineStr">
        <is>
          <t>Enablers</t>
        </is>
      </c>
      <c r="E64" s="51" t="inlineStr">
        <is>
          <t>Evidence of sustainability outcomes informed by Indigenous knowledges</t>
        </is>
      </c>
      <c r="F64" s="8" t="inlineStr">
        <is>
          <t>In end-2025 reporting your faculty reported on the related SP2030 target 6a and rated it 'Partially met' (see Column J – click [+] above Columns I–K).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64" s="8" t="inlineStr">
        <is>
          <t>We will report on the ways Indigenous knowledges inform sustainability activities across the University, and develop selected examples into case studies with appropriate permissions.</t>
        </is>
      </c>
      <c r="H64" s="8" t="inlineStr">
        <is>
          <t>6a</t>
        </is>
      </c>
      <c r="I64" s="8" t="inlineStr">
        <is>
          <t>Partially met</t>
        </is>
      </c>
      <c r="J64" s="8"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64" s="8" t="inlineStr"/>
      <c r="L64" s="8" t="n"/>
      <c r="M64" s="8" t="n"/>
      <c r="N64" s="8" t="n"/>
      <c r="O64" s="8" t="n"/>
      <c r="P64" s="8" t="n"/>
      <c r="Q64" s="8" t="n"/>
      <c r="R64" s="8" t="n"/>
    </row>
    <row r="65" ht="150" customHeight="1">
      <c r="B65" s="7" t="inlineStr">
        <is>
          <t>EN1(b)</t>
        </is>
      </c>
      <c r="C65" s="51" t="inlineStr">
        <is>
          <t>Enablers</t>
        </is>
      </c>
      <c r="D65" s="51" t="inlineStr">
        <is>
          <t>Enablers</t>
        </is>
      </c>
      <c r="E65" s="51" t="inlineStr">
        <is>
          <t>Living laboratories enabling applied learning, research and operational sustainability outcomes</t>
        </is>
      </c>
      <c r="F65" s="8" t="inlineStr">
        <is>
          <t>In end-2025 reporting your faculty reported on the related SP2030 target 2a and rated it 'Partially met' (see Column J – click [+] above Columns I–K).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65" s="8" t="inlineStr">
        <is>
          <t>We will share examples of sustainability-related living labs from across the University in the 2026 Sustainability Report, alongside CLLAP projects reported by CI&amp;S.</t>
        </is>
      </c>
      <c r="H65" s="8" t="inlineStr">
        <is>
          <t>2a</t>
        </is>
      </c>
      <c r="I65" s="8" t="inlineStr">
        <is>
          <t>Partially met</t>
        </is>
      </c>
      <c r="J65" s="8"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65" s="8" t="inlineStr">
        <is>
          <t>https://www.unimelb.edu.au/newsroom/news/2024/october/native-harvest-cookbook-aims-to-put-indigenous-food-in-every-aussie-kitchen
https://theconversation.com/we-planted-two-woody-meadows-a-decade-ago-to-see-what-would-thrive-now-the-concept-is-popular-across-australia-269611</t>
        </is>
      </c>
      <c r="L65" s="8" t="n"/>
      <c r="M65" s="8" t="n"/>
      <c r="N65" s="8" t="n"/>
      <c r="O65" s="8" t="n"/>
      <c r="P65" s="8" t="n"/>
      <c r="Q65" s="8" t="n"/>
      <c r="R65" s="8" t="n"/>
    </row>
    <row r="66" ht="150" customHeight="1">
      <c r="B66" s="7" t="inlineStr">
        <is>
          <t>EN1(c)</t>
        </is>
      </c>
      <c r="C66" s="51" t="inlineStr">
        <is>
          <t>Enablers</t>
        </is>
      </c>
      <c r="D66" s="51" t="inlineStr">
        <is>
          <t>Enablers</t>
        </is>
      </c>
      <c r="E66" s="51" t="inlineStr">
        <is>
          <t>Coordinated internal engagement and external partnerships contributing to delivery of sustainability outcomes across priority areas.</t>
        </is>
      </c>
      <c r="F66" s="8" t="inlineStr">
        <is>
          <t>In end-2025 reporting your faculty reported on the related SP2030 target 3a(ii) and rated it 'Met or exceeded' (see Column J – click [+] above Columns I–K).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66" s="8" t="inlineStr">
        <is>
          <t>We will report on internal engagement and partnerships contributing to Sustainability 2030 outcomes, and update our record of sustainability-focused communities of practice and contacts across the University.</t>
        </is>
      </c>
      <c r="H66" s="8" t="inlineStr">
        <is>
          <t>3a(ii)</t>
        </is>
      </c>
      <c r="I66" s="8" t="inlineStr">
        <is>
          <t>Met or exceeded</t>
        </is>
      </c>
      <c r="J66" s="8"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66" s="8" t="inlineStr"/>
      <c r="L66" s="8" t="n"/>
      <c r="M66" s="8" t="n"/>
      <c r="N66" s="8" t="n"/>
      <c r="O66" s="8" t="n"/>
      <c r="P66" s="8" t="n"/>
      <c r="Q66" s="8" t="n"/>
      <c r="R66" s="8" t="n"/>
    </row>
    <row r="67"/>
  </sheetData>
  <mergeCells count="12">
    <mergeCell ref="H55:K55"/>
    <mergeCell ref="C7:G7"/>
    <mergeCell ref="L23:R23"/>
    <mergeCell ref="L39:R39"/>
    <mergeCell ref="H39:K39"/>
    <mergeCell ref="L55:R55"/>
    <mergeCell ref="C55:G55"/>
    <mergeCell ref="L7:R7"/>
    <mergeCell ref="H7:K7"/>
    <mergeCell ref="C23:G23"/>
    <mergeCell ref="C39:G39"/>
    <mergeCell ref="H23:K23"/>
  </mergeCells>
  <dataValidations count="8">
    <dataValidation sqref="L10:L18" showDropDown="0" showInputMessage="0" showErrorMessage="0" allowBlank="1" errorTitle="Invalid entry" error="Please select from the dropdown" type="list">
      <formula1>=Lists!$B$3:$B$7</formula1>
    </dataValidation>
    <dataValidation sqref="Q10:Q18" showDropDown="0" showInputMessage="0" showErrorMessage="0" allowBlank="1" errorTitle="Invalid entry" error="Please select from the dropdown" type="list">
      <formula1>=Lists!$C$2:$C$4</formula1>
    </dataValidation>
    <dataValidation sqref="L26:L34" showDropDown="0" showInputMessage="0" showErrorMessage="0" allowBlank="1" errorTitle="Invalid entry" error="Please select from the dropdown" type="list">
      <formula1>=Lists!$B$3:$B$7</formula1>
    </dataValidation>
    <dataValidation sqref="Q26:Q34" showDropDown="0" showInputMessage="0" showErrorMessage="0" allowBlank="1" errorTitle="Invalid entry" error="Please select from the dropdown" type="list">
      <formula1>=Lists!$C$2:$C$4</formula1>
    </dataValidation>
    <dataValidation sqref="L42:L50" showDropDown="0" showInputMessage="0" showErrorMessage="0" allowBlank="1" errorTitle="Invalid entry" error="Please select from the dropdown" type="list">
      <formula1>=Lists!$B$3:$B$7</formula1>
    </dataValidation>
    <dataValidation sqref="Q42:Q50" showDropDown="0" showInputMessage="0" showErrorMessage="0" allowBlank="1" errorTitle="Invalid entry" error="Please select from the dropdown" type="list">
      <formula1>=Lists!$C$2:$C$4</formula1>
    </dataValidation>
    <dataValidation sqref="L58:L66" showDropDown="0" showInputMessage="0" showErrorMessage="0" allowBlank="1" errorTitle="Invalid entry" error="Please select from the dropdown" type="list">
      <formula1>=Lists!$B$3:$B$7</formula1>
    </dataValidation>
    <dataValidation sqref="Q58:Q6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0"/>
    <pageSetUpPr/>
  </sheetPr>
  <dimension ref="A1:R36"/>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Commercial, Infrastructure &amp; Sustainability (CI&amp;S)</t>
        </is>
      </c>
    </row>
    <row r="3">
      <c r="B3" s="20" t="inlineStr">
        <is>
          <t>Consolidated responses – paste from returned request workbooks (identical column layout). Click [+] above Columns H–K for end-2025 responses.</t>
        </is>
      </c>
    </row>
    <row r="5">
      <c r="B5" s="46" t="inlineStr">
        <is>
          <t>1.1  CI&amp;S – Estate Planning &amp; Development (TBC: confirm with Gerard)</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We did not receive an end-2025 response for the related SP2030 target 8a(i), so please include any relevant activity from across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Partially met</t>
        </is>
      </c>
      <c r="J10" s="8" t="inlineStr"/>
      <c r="K10" s="8" t="inlineStr"/>
      <c r="L10" s="8" t="n"/>
      <c r="M10" s="8" t="n"/>
      <c r="N10" s="8" t="n"/>
      <c r="O10" s="8" t="n"/>
      <c r="P10" s="8" t="n"/>
      <c r="Q10" s="8" t="n"/>
      <c r="R10" s="8" t="n"/>
    </row>
    <row r="11" ht="150" customHeight="1">
      <c r="B11" s="7" t="inlineStr">
        <is>
          <t>EI1(a)</t>
        </is>
      </c>
      <c r="C11" s="51" t="inlineStr">
        <is>
          <t>Estate and infrastructure</t>
        </is>
      </c>
      <c r="D11" s="51" t="inlineStr">
        <is>
          <t>Integrate environmental sustainability in the way that the University achieves strategic and operational objectives for our estate and infrastructure.</t>
        </is>
      </c>
      <c r="E11" s="51" t="inlineStr">
        <is>
          <t>Evidence of increased maturity of estate and infrastructure planning, development and operations to support the other priority areas in Sustainability 2030</t>
        </is>
      </c>
      <c r="F11" s="8" t="inlineStr">
        <is>
          <t>We did not receive an end-2025 response for the related SP2030 target 7b, so please include any relevant activity from across 2026.
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G11" s="8" t="inlineStr">
        <is>
          <t>We will use case study evidence to show how sustainability maturity is increasing in estate and infrastructure planning, development and operations in the 2026 Sustainability Report.</t>
        </is>
      </c>
      <c r="H11" s="8" t="inlineStr">
        <is>
          <t>7b</t>
        </is>
      </c>
      <c r="I11" s="8" t="inlineStr"/>
      <c r="J11" s="8" t="inlineStr"/>
      <c r="K11" s="8" t="inlineStr"/>
      <c r="L11" s="8" t="n"/>
      <c r="M11" s="8" t="n"/>
      <c r="N11" s="8" t="n"/>
      <c r="O11" s="8" t="n"/>
      <c r="P11" s="8" t="n"/>
      <c r="Q11" s="8" t="n"/>
      <c r="R11" s="8" t="n"/>
    </row>
    <row r="12" ht="150" customHeight="1">
      <c r="B12" s="7" t="inlineStr">
        <is>
          <t>EI1(b)</t>
        </is>
      </c>
      <c r="C12" s="51" t="inlineStr">
        <is>
          <t>Estate and infrastructure</t>
        </is>
      </c>
      <c r="D12" s="51" t="inlineStr">
        <is>
          <t>Integrate environmental sustainability in the way that the University achieves strategic and operational objectives for our estate and infrastructure.</t>
        </is>
      </c>
      <c r="E12" s="51" t="inlineStr">
        <is>
          <t>Estimated sustainability impacts of the University’s estate and infrastructure capital plan to inform progress towards emissions reduction targets and other priority areas (to the extent enabled by available information)</t>
        </is>
      </c>
      <c r="F12" s="8"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G12" s="8" t="inlineStr">
        <is>
          <t>We will use estimated sustainability impacts of the capital plan to inform progress reporting towards the emissions reduction target and other priority areas (to the extent information is available).</t>
        </is>
      </c>
      <c r="H12" s="8" t="inlineStr">
        <is>
          <t>N/A – new indicator</t>
        </is>
      </c>
      <c r="I12" s="8" t="inlineStr"/>
      <c r="J12" s="8" t="inlineStr"/>
      <c r="K12" s="8" t="inlineStr"/>
      <c r="L12" s="8" t="n"/>
      <c r="M12" s="8" t="n"/>
      <c r="N12" s="8" t="n"/>
      <c r="O12" s="8" t="n"/>
      <c r="P12" s="8" t="n"/>
      <c r="Q12" s="8" t="n"/>
      <c r="R12" s="8" t="n"/>
    </row>
    <row r="13" ht="150" customHeight="1">
      <c r="B13" s="7" t="inlineStr">
        <is>
          <t>EI1(c)</t>
        </is>
      </c>
      <c r="C13" s="51" t="inlineStr">
        <is>
          <t>Estate and infrastructure</t>
        </is>
      </c>
      <c r="D13" s="51" t="inlineStr">
        <is>
          <t>Integrate environmental sustainability in the way that the University achieves strategic and operational objectives for our estate and infrastructure.</t>
        </is>
      </c>
      <c r="E13" s="51" t="inlineStr">
        <is>
          <t>Reporting on relevant activities and impacts for the University’s major estate and infrastructure projects and programs aligned with the other priority areas in Sustainability 2030</t>
        </is>
      </c>
      <c r="F13" s="8"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G13" s="8" t="inlineStr">
        <is>
          <t>We will report on sustainability activities and impacts of major estate and infrastructure projects and programs in the Estate and infrastructure section of the 2026 Sustainability Report.</t>
        </is>
      </c>
      <c r="H13" s="8" t="inlineStr">
        <is>
          <t>N/A – new indicator</t>
        </is>
      </c>
      <c r="I13" s="8" t="inlineStr"/>
      <c r="J13" s="8" t="inlineStr"/>
      <c r="K13" s="8" t="inlineStr"/>
      <c r="L13" s="8" t="n"/>
      <c r="M13" s="8" t="n"/>
      <c r="N13" s="8" t="n"/>
      <c r="O13" s="8" t="n"/>
      <c r="P13" s="8" t="n"/>
      <c r="Q13" s="8" t="n"/>
      <c r="R13" s="8" t="n"/>
    </row>
    <row r="14" ht="150" customHeight="1">
      <c r="B14" s="7" t="inlineStr">
        <is>
          <t>EI1(d)</t>
        </is>
      </c>
      <c r="C14" s="51" t="inlineStr">
        <is>
          <t>Estate and infrastructure</t>
        </is>
      </c>
      <c r="D14" s="51" t="inlineStr">
        <is>
          <t>Integrate environmental sustainability in the way that the University achieves strategic and operational objectives for our estate and infrastructure.</t>
        </is>
      </c>
      <c r="E14" s="51" t="inlineStr">
        <is>
          <t>Evidence of understanding and integration of Indigenous approaches to sustainability in estate planning and development programs and projects.</t>
        </is>
      </c>
      <c r="F14" s="8"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G14" s="8" t="inlineStr">
        <is>
          <t>We will report on how Indigenous approaches to sustainability are informing estate planning and development, with examples where permission to share is confirmed.</t>
        </is>
      </c>
      <c r="H14" s="8" t="inlineStr">
        <is>
          <t>N/A – new indicator</t>
        </is>
      </c>
      <c r="I14" s="8" t="inlineStr"/>
      <c r="J14" s="8" t="inlineStr"/>
      <c r="K14" s="8" t="inlineStr"/>
      <c r="L14" s="8" t="n"/>
      <c r="M14" s="8" t="n"/>
      <c r="N14" s="8" t="n"/>
      <c r="O14" s="8" t="n"/>
      <c r="P14" s="8" t="n"/>
      <c r="Q14" s="8" t="n"/>
      <c r="R14" s="8" t="n"/>
    </row>
    <row r="15"/>
    <row r="17">
      <c r="B17" s="46" t="inlineStr">
        <is>
          <t>1.2  CI&amp;S – Sustainability Strategy (incl. CLLAP)</t>
        </is>
      </c>
    </row>
    <row r="19">
      <c r="C19" s="47" t="inlineStr">
        <is>
          <t>Sustainability 2030 target and indicator</t>
        </is>
      </c>
      <c r="H19" s="47" t="inlineStr">
        <is>
          <t>End-2025 reporting (click the ref to see your full SR25 response; [+] above expands a summary)</t>
        </is>
      </c>
      <c r="L19" s="48" t="inlineStr">
        <is>
          <t>End-2026 reporting (PLEASE COMPLETE THIS SECTION)</t>
        </is>
      </c>
    </row>
    <row r="20">
      <c r="B20" s="6" t="inlineStr">
        <is>
          <t>Ref</t>
        </is>
      </c>
      <c r="C20" s="6" t="inlineStr">
        <is>
          <t>Priority area</t>
        </is>
      </c>
      <c r="D20" s="6" t="inlineStr">
        <is>
          <t>Sustainability 2030 target</t>
        </is>
      </c>
      <c r="E20" s="6" t="inlineStr">
        <is>
          <t>Indicator</t>
        </is>
      </c>
      <c r="F20" s="6" t="inlineStr">
        <is>
          <t>2026 Reporting request</t>
        </is>
      </c>
      <c r="G20" s="6" t="inlineStr">
        <is>
          <t>How SST will use this data</t>
        </is>
      </c>
      <c r="H20" s="6" t="inlineStr">
        <is>
          <t>Related SR25 ref</t>
        </is>
      </c>
      <c r="I20" s="6" t="inlineStr">
        <is>
          <t>End-2025 confirmed status</t>
        </is>
      </c>
      <c r="J20" s="6" t="inlineStr">
        <is>
          <t>End-2025 reporting response</t>
        </is>
      </c>
      <c r="K20" s="6" t="inlineStr">
        <is>
          <t>Links and supporting information</t>
        </is>
      </c>
      <c r="L20" s="49" t="inlineStr">
        <is>
          <t>Confirm end-2026 target status</t>
        </is>
      </c>
      <c r="M20" s="49" t="inlineStr">
        <is>
          <t>OPTION 1:  Target-level reporting (Column D)</t>
        </is>
      </c>
      <c r="N20" s="49" t="inlineStr">
        <is>
          <t>OPTION 2:  Indicator level reporting (Column E/F)</t>
        </is>
      </c>
      <c r="O20" s="49" t="inlineStr">
        <is>
          <t>Supporting information/comments</t>
        </is>
      </c>
      <c r="P20" s="49" t="inlineStr">
        <is>
          <t>Data source and limitations</t>
        </is>
      </c>
      <c r="Q20" s="49" t="inlineStr">
        <is>
          <t>Data owner confirms information is accurate</t>
        </is>
      </c>
      <c r="R20" s="49" t="inlineStr">
        <is>
          <t>Confirmed by (name, role, date)</t>
        </is>
      </c>
    </row>
    <row r="21">
      <c r="B21" s="50" t="inlineStr"/>
      <c r="C21" s="50" t="inlineStr"/>
      <c r="D21" s="50" t="inlineStr"/>
      <c r="E21" s="50" t="inlineStr"/>
      <c r="F21" s="50" t="inlineStr"/>
      <c r="G21" s="50" t="inlineStr"/>
      <c r="H21" s="50" t="inlineStr"/>
      <c r="I21" s="50" t="inlineStr"/>
      <c r="J21" s="50" t="inlineStr"/>
      <c r="K21" s="50" t="inlineStr"/>
      <c r="L21" s="50" t="inlineStr">
        <is>
          <t>(Met or exceeded; partially met; not met; not yet started)</t>
        </is>
      </c>
      <c r="M21" s="50" t="inlineStr">
        <is>
          <t>Provide further evidence of target status assessment in the form of:
A general update on activities in relation to the overarching target (Column D)</t>
        </is>
      </c>
      <c r="N21" s="50" t="inlineStr">
        <is>
          <t>Provide further evidence of target status assessment in the form of:
Data and commentary in direct response to the reporting request (Column F)</t>
        </is>
      </c>
      <c r="O21" s="50" t="inlineStr">
        <is>
          <t>Provide any additional information to support the target status assessment (e.g. links, images, rationale for selection of target status)</t>
        </is>
      </c>
      <c r="P21" s="50" t="inlineStr">
        <is>
          <t>Where did this information come from (system, report, survey, person)? Note any gaps or limitations.</t>
        </is>
      </c>
      <c r="Q21" s="50" t="inlineStr">
        <is>
          <t>Select 'Yes' to confirm the information provided is accurate and can be used for reporting</t>
        </is>
      </c>
      <c r="R21" s="50" t="inlineStr">
        <is>
          <t>Name, role and date of the person confirming</t>
        </is>
      </c>
    </row>
    <row r="22" ht="150" customHeight="1">
      <c r="B22" s="7" t="inlineStr">
        <is>
          <t>EE1(a)</t>
        </is>
      </c>
      <c r="C22" s="51" t="inlineStr">
        <is>
          <t>Exceptional education</t>
        </is>
      </c>
      <c r="D22" s="51" t="inlineStr">
        <is>
          <t>Provide our students with learning experiences that help them build the knowledge, skills and relationships to lead change for sustainable societies.</t>
        </is>
      </c>
      <c r="E22" s="51" t="inlineStr">
        <is>
          <t>Evidence of innovative approaches to sustainability teaching and learning</t>
        </is>
      </c>
      <c r="F22"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22"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22" s="8" t="inlineStr">
        <is>
          <t>N/A – new indicator</t>
        </is>
      </c>
      <c r="I22" s="8" t="inlineStr"/>
      <c r="J22" s="8" t="inlineStr"/>
      <c r="K22" s="8" t="inlineStr"/>
      <c r="L22" s="8" t="n"/>
      <c r="M22" s="8" t="n"/>
      <c r="N22" s="8" t="n"/>
      <c r="O22" s="8" t="n"/>
      <c r="P22" s="8" t="n"/>
      <c r="Q22" s="8" t="n"/>
      <c r="R22" s="8" t="n"/>
    </row>
    <row r="23" ht="150" customHeight="1">
      <c r="B23" s="7" t="inlineStr">
        <is>
          <t>EE1(b)</t>
        </is>
      </c>
      <c r="C23" s="51" t="inlineStr">
        <is>
          <t>Exceptional education</t>
        </is>
      </c>
      <c r="D23" s="51" t="inlineStr">
        <is>
          <t>Provide our students with learning experiences that help them build the knowledge, skills and relationships to lead change for sustainable societies.</t>
        </is>
      </c>
      <c r="E23" s="51" t="inlineStr">
        <is>
          <t>Pilots of possible approaches for understanding and developing students’ sustainability self-efficacy</t>
        </is>
      </c>
      <c r="F23"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23" s="8" t="inlineStr">
        <is>
          <t>This is a new indicator. We will use responses to establish a baseline of how (and whether) faculties are understanding student sustainability self-efficacy, and report on early pilots in the 2026 Sustainability Report. A nil response is useful to us.</t>
        </is>
      </c>
      <c r="H23" s="8" t="inlineStr">
        <is>
          <t>N/A – new indicator</t>
        </is>
      </c>
      <c r="I23" s="8" t="inlineStr"/>
      <c r="J23" s="8" t="inlineStr"/>
      <c r="K23" s="8" t="inlineStr"/>
      <c r="L23" s="8" t="n"/>
      <c r="M23" s="8" t="n"/>
      <c r="N23" s="8" t="n"/>
      <c r="O23" s="8" t="n"/>
      <c r="P23" s="8" t="n"/>
      <c r="Q23" s="8" t="n"/>
      <c r="R23" s="8" t="n"/>
    </row>
    <row r="24" ht="150" customHeight="1">
      <c r="B24" s="7" t="inlineStr">
        <is>
          <t>EE1(c)</t>
        </is>
      </c>
      <c r="C24" s="51" t="inlineStr">
        <is>
          <t>Exceptional education</t>
        </is>
      </c>
      <c r="D24" s="51" t="inlineStr">
        <is>
          <t>Provide our students with learning experiences that help them build the knowledge, skills and relationships to lead change for sustainable societies.</t>
        </is>
      </c>
      <c r="E24" s="51" t="inlineStr">
        <is>
          <t>Evidence of sustainability focused experiential and co curricular learning (eg Wattle Fellowship; Melbourne Plus)</t>
        </is>
      </c>
      <c r="F24" s="8"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24" s="8" t="inlineStr">
        <is>
          <t>We will combine faculty examples with central Wattle Fellowship and Melbourne Plus data to report on the range and reach of sustainability-focused experiential and co-curricular learning across the University.</t>
        </is>
      </c>
      <c r="H24" s="8" t="inlineStr">
        <is>
          <t>N/A – new indicator</t>
        </is>
      </c>
      <c r="I24" s="8" t="inlineStr"/>
      <c r="J24" s="8" t="inlineStr"/>
      <c r="K24" s="8" t="inlineStr"/>
      <c r="L24" s="8" t="n"/>
      <c r="M24" s="8" t="n"/>
      <c r="N24" s="8" t="n"/>
      <c r="O24" s="8" t="n"/>
      <c r="P24" s="8" t="n"/>
      <c r="Q24" s="8" t="n"/>
      <c r="R24" s="8" t="n"/>
    </row>
    <row r="25" ht="150" customHeight="1">
      <c r="B25" s="7" t="inlineStr">
        <is>
          <t>TR1(a)</t>
        </is>
      </c>
      <c r="C25" s="51" t="inlineStr">
        <is>
          <t>Transformational research</t>
        </is>
      </c>
      <c r="D25" s="51" t="inlineStr">
        <is>
          <t>Utilise the expertise of the University’s researchers through mutually beneficial partnerships to help address the University’s operational sustainability challenges.</t>
        </is>
      </c>
      <c r="E25" s="51" t="inlineStr">
        <is>
          <t>Expert-reviewed evidence of researchers contributing to operational sustainability priorities through partnerships, advisory input, living labs, applied projects or decision-support</t>
        </is>
      </c>
      <c r="F25" s="8" t="inlineStr">
        <is>
          <t>In end-2025 reporting your area reported on the related SP2030 target 5a(ii) and rated it 'Partially met' (see Column J – click [+] above Columns I–K). Please build on this rather than repeating it, focusing on what is new in 2026.
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G25" s="8" t="inlineStr">
        <is>
          <t>We will report on examples of researchers helping solve the University's own operational sustainability challenges, alongside CLLAP projects reported by CI&amp;S, and share them with operational teams to identify further collaboration.</t>
        </is>
      </c>
      <c r="H25" s="8" t="inlineStr">
        <is>
          <t>5a(ii)</t>
        </is>
      </c>
      <c r="I25" s="8" t="inlineStr">
        <is>
          <t>Partially met</t>
        </is>
      </c>
      <c r="J25" s="8" t="inlineStr">
        <is>
          <t>Tangible improvement in some areas, but not all (haven't done ASRS, for example).</t>
        </is>
      </c>
      <c r="K25" s="8" t="inlineStr"/>
      <c r="L25" s="8" t="n"/>
      <c r="M25" s="8" t="n"/>
      <c r="N25" s="8" t="n"/>
      <c r="O25" s="8" t="n"/>
      <c r="P25" s="8" t="n"/>
      <c r="Q25" s="8" t="n"/>
      <c r="R25" s="8" t="n"/>
    </row>
    <row r="26" ht="150" customHeight="1">
      <c r="B26" s="7" t="inlineStr">
        <is>
          <t>TR2(d)</t>
        </is>
      </c>
      <c r="C26" s="51" t="inlineStr">
        <is>
          <t>Transformational research</t>
        </is>
      </c>
      <c r="D26" s="51" t="inlineStr">
        <is>
          <t>Deliver high-quality research and partnerships that contribute to sustainability outcomes and demonstrable societal benefit.</t>
        </is>
      </c>
      <c r="E26" s="51" t="inlineStr">
        <is>
          <t>Case-based evidence demonstrating how research has contributed to meaningful sustainability outcomes.</t>
        </is>
      </c>
      <c r="F26"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G26" s="8" t="inlineStr">
        <is>
          <t>We will select the strongest examples to develop as full research case studies for the 2026 Sustainability Report (we may contact you for more detail and images).</t>
        </is>
      </c>
      <c r="H26" s="8" t="inlineStr">
        <is>
          <t>N/A – new indicator</t>
        </is>
      </c>
      <c r="I26" s="8" t="inlineStr"/>
      <c r="J26" s="8" t="inlineStr"/>
      <c r="K26" s="8" t="inlineStr"/>
      <c r="L26" s="8" t="n"/>
      <c r="M26" s="8" t="n"/>
      <c r="N26" s="8" t="n"/>
      <c r="O26" s="8" t="n"/>
      <c r="P26" s="8" t="n"/>
      <c r="Q26" s="8" t="n"/>
      <c r="R26" s="8" t="n"/>
    </row>
    <row r="27" ht="150" customHeight="1">
      <c r="B27" s="7" t="inlineStr">
        <is>
          <t>TR3(b)</t>
        </is>
      </c>
      <c r="C27" s="51" t="inlineStr">
        <is>
          <t>Transformational research</t>
        </is>
      </c>
      <c r="D27" s="51" t="inlineStr">
        <is>
          <t>Embed sustainability within research systems, processes, capability and culture, so research is conducted responsibly, efficiently and with reduced environmental impact.</t>
        </is>
      </c>
      <c r="E27" s="51" t="inlineStr">
        <is>
          <t>Demonstrated examples of more sustainable research practices in laboratories, fieldwork, procurement, travel or infrastructure use</t>
        </is>
      </c>
      <c r="F27"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27" s="8" t="inlineStr">
        <is>
          <t>We will report on ways the University is making research practices more sustainable in the 2026 Sustainability Report, and share practical examples (e.g. green labs) across faculties.</t>
        </is>
      </c>
      <c r="H27" s="8" t="inlineStr">
        <is>
          <t>N/A – new indicator</t>
        </is>
      </c>
      <c r="I27" s="8" t="inlineStr"/>
      <c r="J27" s="8" t="inlineStr"/>
      <c r="K27" s="8" t="inlineStr"/>
      <c r="L27" s="8" t="n"/>
      <c r="M27" s="8" t="n"/>
      <c r="N27" s="8" t="n"/>
      <c r="O27" s="8" t="n"/>
      <c r="P27" s="8" t="n"/>
      <c r="Q27" s="8" t="n"/>
      <c r="R27" s="8" t="n"/>
    </row>
    <row r="28" ht="150" customHeight="1">
      <c r="B28" s="7" t="inlineStr">
        <is>
          <t>CL1(c)</t>
        </is>
      </c>
      <c r="C28" s="51" t="inlineStr">
        <is>
          <t>Climate leadership</t>
        </is>
      </c>
      <c r="D28" s="51" t="inlineStr">
        <is>
          <t>Achieve net zero emissions by 2050:
Interim target
Reduce emissions by 20% across all emissions scopes by CY2030 on the CY2023 re-baseline  including:
•	Scopes 1 and 2: 66% reduction 
•	Scope 3: 12% reduction.
Long-term target
Reduce emissions by 90% across all emissions scopes by CY2050 on the CY2023 re-baseline and invest in carbon removal credits for residual emissions from hard-to-abate sources (up to 10%).</t>
        </is>
      </c>
      <c r="E28" s="51" t="inlineStr">
        <is>
          <t>Review of Climate Leadership targets by 2030.[2]</t>
        </is>
      </c>
      <c r="F28" s="8" t="inlineStr">
        <is>
          <t>(Reporting request TBC)</t>
        </is>
      </c>
      <c r="G28" s="8" t="inlineStr">
        <is>
          <t>For internal planning: we will record the status of the planned review of Climate Leadership targets (due by 2030).</t>
        </is>
      </c>
      <c r="H28" s="8" t="inlineStr">
        <is>
          <t>N/A – new indicator</t>
        </is>
      </c>
      <c r="I28" s="8" t="inlineStr"/>
      <c r="J28" s="8" t="inlineStr"/>
      <c r="K28" s="8" t="inlineStr"/>
      <c r="L28" s="8" t="n"/>
      <c r="M28" s="8" t="n"/>
      <c r="N28" s="8" t="n"/>
      <c r="O28" s="8" t="n"/>
      <c r="P28" s="8" t="n"/>
      <c r="Q28" s="8" t="n"/>
      <c r="R28" s="8" t="n"/>
    </row>
    <row r="29" ht="150" customHeight="1">
      <c r="B29" s="7" t="inlineStr">
        <is>
          <t>AI1(a)</t>
        </is>
      </c>
      <c r="C29" s="51" t="inlineStr">
        <is>
          <t>Responsible AI</t>
        </is>
      </c>
      <c r="D29" s="51" t="inlineStr">
        <is>
          <t>Improve understanding of our sustainability-related risks and opportunities of AI technologies by 2028.</t>
        </is>
      </c>
      <c r="E29" s="51" t="inlineStr">
        <is>
          <t>Established measurement of estimated operational impacts and opportunities (eg operational impacts could include energy, water, emissions and intensity measures)</t>
        </is>
      </c>
      <c r="F29" s="8" t="inlineStr">
        <is>
          <t>(Reporting request TBC)</t>
        </is>
      </c>
      <c r="G29" s="8" t="inlineStr">
        <is>
          <t>We will provide a high-level overview of AI's estimated operational impacts and opportunities in 2026, ahead of more detailed measurement from 2027.</t>
        </is>
      </c>
      <c r="H29" s="8" t="inlineStr">
        <is>
          <t>N/A – new indicator</t>
        </is>
      </c>
      <c r="I29" s="8" t="inlineStr"/>
      <c r="J29" s="8" t="inlineStr"/>
      <c r="K29" s="8" t="inlineStr"/>
      <c r="L29" s="8" t="n"/>
      <c r="M29" s="8" t="n"/>
      <c r="N29" s="8" t="n"/>
      <c r="O29" s="8" t="n"/>
      <c r="P29" s="8" t="n"/>
      <c r="Q29" s="8" t="n"/>
      <c r="R29" s="8" t="n"/>
    </row>
    <row r="30" ht="150" customHeight="1">
      <c r="B30" s="7" t="inlineStr">
        <is>
          <t>AI1(b)</t>
        </is>
      </c>
      <c r="C30" s="51" t="inlineStr">
        <is>
          <t>Responsible AI</t>
        </is>
      </c>
      <c r="D30" s="51" t="inlineStr">
        <is>
          <t>Improve understanding of our sustainability-related risks and opportunities of AI technologies by 2028.</t>
        </is>
      </c>
      <c r="E30" s="51" t="inlineStr">
        <is>
          <t>Case studies of sustainability and AI-related education, research and collaboration activities.</t>
        </is>
      </c>
      <c r="F30" s="8" t="inlineStr">
        <is>
          <t>Please provide case studies from your Faculty/Portfolio of sustainability and AI-related education, research or collaboration activities, describing the activity, participants or partners, sustainability issue addressed and key outcomes or lessons.</t>
        </is>
      </c>
      <c r="G30" s="8" t="inlineStr">
        <is>
          <t>We will select examples of sustainability and AI-related education, research and collaboration as case studies for the new Responsible AI section of the 2026 Sustainability Report.</t>
        </is>
      </c>
      <c r="H30" s="8" t="inlineStr">
        <is>
          <t>N/A – new indicator</t>
        </is>
      </c>
      <c r="I30" s="8" t="inlineStr"/>
      <c r="J30" s="8" t="inlineStr"/>
      <c r="K30" s="8" t="inlineStr"/>
      <c r="L30" s="8" t="n"/>
      <c r="M30" s="8" t="n"/>
      <c r="N30" s="8" t="n"/>
      <c r="O30" s="8" t="n"/>
      <c r="P30" s="8" t="n"/>
      <c r="Q30" s="8" t="n"/>
      <c r="R30" s="8" t="n"/>
    </row>
    <row r="31" ht="150" customHeight="1">
      <c r="B31" s="7" t="inlineStr">
        <is>
          <t>MS1(a)</t>
        </is>
      </c>
      <c r="C31" s="51" t="inlineStr">
        <is>
          <t>Modern slavery and human rights</t>
        </is>
      </c>
      <c r="D31" s="51" t="inlineStr">
        <is>
          <t>Manage our approach to modern slavery and human rights-related risks and opportunities.</t>
        </is>
      </c>
      <c r="E31" s="51" t="inlineStr">
        <is>
          <t>Annual progress reporting via the Modern Slavery Statement</t>
        </is>
      </c>
      <c r="F31" s="8" t="inlineStr">
        <is>
          <t>We did not receive an end-2025 response for the related SP2030 target 11c(ii), so please include any relevant activity from across 2026.
Annual Modern Slavery Statement, with case studies</t>
        </is>
      </c>
      <c r="G31" s="8" t="inlineStr">
        <is>
          <t>We will draw on the annual Modern Slavery Statement and case studies to report on the University's approach to modern slavery and human rights risks (timing to be aligned with the Statement).</t>
        </is>
      </c>
      <c r="H31" s="8" t="inlineStr">
        <is>
          <t>11c(ii)</t>
        </is>
      </c>
      <c r="I31" s="8" t="inlineStr"/>
      <c r="J31" s="8" t="inlineStr"/>
      <c r="K31" s="8" t="inlineStr"/>
      <c r="L31" s="8" t="n"/>
      <c r="M31" s="8" t="n"/>
      <c r="N31" s="8" t="n"/>
      <c r="O31" s="8" t="n"/>
      <c r="P31" s="8" t="n"/>
      <c r="Q31" s="8" t="n"/>
      <c r="R31" s="8" t="n"/>
    </row>
    <row r="32" ht="150" customHeight="1">
      <c r="B32" s="7" t="inlineStr">
        <is>
          <t>RI1(b)</t>
        </is>
      </c>
      <c r="C32" s="51" t="inlineStr">
        <is>
          <t>Responsible investments</t>
        </is>
      </c>
      <c r="D32" s="51" t="inlineStr">
        <is>
          <t>Achieve net zero financed emissions for the University’s investment portfolio by 2050.</t>
        </is>
      </c>
      <c r="E32" s="51" t="inlineStr">
        <is>
          <t>Continuous improvement of the reporting of the University’s sustainability-related investment profile metrics, could include investment in climate mitigation and transition solutions, and compliance with related obligations (eg UNPRI).</t>
        </is>
      </c>
      <c r="F32" s="8" t="inlineStr">
        <is>
          <t>We did not receive an end-2025 response for the related SP2030 target 12b(i), so please include any relevant activity from across 2026.
Report on relevant sustainability-related investment portfolio metrics and report on how the University has complied with its related obligations</t>
        </is>
      </c>
      <c r="G32" s="8" t="inlineStr">
        <is>
          <t>We will report on sustainability-related investment portfolio metrics and the University's compliance with related obligations (e.g. UNPRI) in the Responsible investments section of the 2026 Sustainability Report.</t>
        </is>
      </c>
      <c r="H32" s="8" t="inlineStr">
        <is>
          <t>12b(i)</t>
        </is>
      </c>
      <c r="I32" s="8" t="inlineStr"/>
      <c r="J32" s="8" t="inlineStr"/>
      <c r="K32" s="8" t="inlineStr"/>
      <c r="L32" s="8" t="n"/>
      <c r="M32" s="8" t="n"/>
      <c r="N32" s="8" t="n"/>
      <c r="O32" s="8" t="n"/>
      <c r="P32" s="8" t="n"/>
      <c r="Q32" s="8" t="n"/>
      <c r="R32" s="8" t="n"/>
    </row>
    <row r="33" ht="150" customHeight="1">
      <c r="B33" s="7" t="inlineStr">
        <is>
          <t>EN1(b)</t>
        </is>
      </c>
      <c r="C33" s="51" t="inlineStr">
        <is>
          <t>Enablers</t>
        </is>
      </c>
      <c r="D33" s="51" t="inlineStr">
        <is>
          <t>Enablers</t>
        </is>
      </c>
      <c r="E33" s="51" t="inlineStr">
        <is>
          <t>Living laboratories enabling applied learning, research and operational sustainability outcomes</t>
        </is>
      </c>
      <c r="F33" s="8" t="inlineStr">
        <is>
          <t>We did not receive an end-2025 response for the related SP2030 target 2a, so please include any relevant activity from across 2026.
Please comment on sustainability-related living labs in your area – their activities, outputs, outcomes and impact.</t>
        </is>
      </c>
      <c r="G33" s="8" t="inlineStr">
        <is>
          <t>We will share examples of sustainability-related living labs from across the University in the 2026 Sustainability Report, alongside CLLAP projects reported by CI&amp;S.</t>
        </is>
      </c>
      <c r="H33" s="8" t="inlineStr">
        <is>
          <t>2a</t>
        </is>
      </c>
      <c r="I33" s="8" t="inlineStr"/>
      <c r="J33" s="8" t="inlineStr"/>
      <c r="K33" s="8" t="inlineStr"/>
      <c r="L33" s="8" t="n"/>
      <c r="M33" s="8" t="n"/>
      <c r="N33" s="8" t="n"/>
      <c r="O33" s="8" t="n"/>
      <c r="P33" s="8" t="n"/>
      <c r="Q33" s="8" t="n"/>
      <c r="R33" s="8" t="n"/>
    </row>
    <row r="34" ht="150" customHeight="1">
      <c r="B34" s="7" t="inlineStr">
        <is>
          <t>EN1(c)</t>
        </is>
      </c>
      <c r="C34" s="51" t="inlineStr">
        <is>
          <t>Enablers</t>
        </is>
      </c>
      <c r="D34" s="51" t="inlineStr">
        <is>
          <t>Enablers</t>
        </is>
      </c>
      <c r="E34" s="51" t="inlineStr">
        <is>
          <t>Coordinated internal engagement and external partnerships contributing to delivery of sustainability outcomes across priority areas.</t>
        </is>
      </c>
      <c r="F3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34" s="8" t="inlineStr">
        <is>
          <t>We will report on internal engagement and partnerships contributing to Sustainability 2030 outcomes, and update our record of sustainability-focused communities of practice and contacts across the University.</t>
        </is>
      </c>
      <c r="H34" s="8" t="inlineStr">
        <is>
          <t>N/A – new indicator</t>
        </is>
      </c>
      <c r="I34" s="8" t="inlineStr"/>
      <c r="J34" s="8" t="inlineStr"/>
      <c r="K34" s="8" t="inlineStr"/>
      <c r="L34" s="8" t="n"/>
      <c r="M34" s="8" t="n"/>
      <c r="N34" s="8" t="n"/>
      <c r="O34" s="8" t="n"/>
      <c r="P34" s="8" t="n"/>
      <c r="Q34" s="8" t="n"/>
      <c r="R34" s="8" t="n"/>
    </row>
    <row r="35" ht="150" customHeight="1">
      <c r="B35" s="7" t="inlineStr">
        <is>
          <t>EN1(d)</t>
        </is>
      </c>
      <c r="C35" s="51" t="inlineStr">
        <is>
          <t>Enablers</t>
        </is>
      </c>
      <c r="D35" s="51" t="inlineStr">
        <is>
          <t>Enablers</t>
        </is>
      </c>
      <c r="E35" s="51" t="inlineStr">
        <is>
          <t>Sustainability objectives integrated into governance and decision‑making processes, supported by transparent reporting.</t>
        </is>
      </c>
      <c r="F3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35" s="8" t="inlineStr">
        <is>
          <t>We will report on how sustainability is integrated into governance and decision-making across faculties and portfolios, and use responses as a baseline for the governance enabler from 2027.</t>
        </is>
      </c>
      <c r="H35" s="8" t="inlineStr">
        <is>
          <t>N/A – new indicator</t>
        </is>
      </c>
      <c r="I35" s="8" t="inlineStr"/>
      <c r="J35" s="8" t="inlineStr"/>
      <c r="K35" s="8" t="inlineStr"/>
      <c r="L35" s="8" t="n"/>
      <c r="M35" s="8" t="n"/>
      <c r="N35" s="8" t="n"/>
      <c r="O35" s="8" t="n"/>
      <c r="P35" s="8" t="n"/>
      <c r="Q35" s="8" t="n"/>
      <c r="R35" s="8" t="n"/>
    </row>
    <row r="36"/>
  </sheetData>
  <mergeCells count="6">
    <mergeCell ref="C7:G7"/>
    <mergeCell ref="L19:R19"/>
    <mergeCell ref="C19:G19"/>
    <mergeCell ref="L7:R7"/>
    <mergeCell ref="H7:K7"/>
    <mergeCell ref="H19:K19"/>
  </mergeCells>
  <dataValidations count="4">
    <dataValidation sqref="L10:L14" showDropDown="0" showInputMessage="0" showErrorMessage="0" allowBlank="1" errorTitle="Invalid entry" error="Please select from the dropdown" type="list">
      <formula1>=Lists!$B$3:$B$7</formula1>
    </dataValidation>
    <dataValidation sqref="Q10:Q14" showDropDown="0" showInputMessage="0" showErrorMessage="0" allowBlank="1" errorTitle="Invalid entry" error="Please select from the dropdown" type="list">
      <formula1>=Lists!$C$2:$C$4</formula1>
    </dataValidation>
    <dataValidation sqref="L22:L35" showDropDown="0" showInputMessage="0" showErrorMessage="0" allowBlank="1" errorTitle="Invalid entry" error="Please select from the dropdown" type="list">
      <formula1>=Lists!$B$3:$B$7</formula1>
    </dataValidation>
    <dataValidation sqref="Q22:Q35"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0"/>
    <pageSetUpPr/>
  </sheetPr>
  <dimension ref="A1:R2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Finance Officer Group (CFOG)</t>
        </is>
      </c>
    </row>
    <row r="3">
      <c r="B3" s="20" t="inlineStr">
        <is>
          <t>Consolidated responses – paste from returned request workbooks (identical column layout). Click [+] above Columns H–K for end-2025 responses.</t>
        </is>
      </c>
    </row>
    <row r="5">
      <c r="B5" s="46" t="inlineStr">
        <is>
          <t>1.1  CFOG – Procurement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TR3(b)</t>
        </is>
      </c>
      <c r="C10" s="51" t="inlineStr">
        <is>
          <t>Transformational research</t>
        </is>
      </c>
      <c r="D10" s="51" t="inlineStr">
        <is>
          <t>Embed sustainability within research systems, processes, capability and culture, so research is conducted responsibly, efficiently and with reduced environmental impact.</t>
        </is>
      </c>
      <c r="E10" s="51" t="inlineStr">
        <is>
          <t>Demonstrated examples of more sustainable research practices in laboratories, fieldwork, procurement, travel or infrastructure use</t>
        </is>
      </c>
      <c r="F10"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0" s="8" t="inlineStr">
        <is>
          <t>We will report on ways the University is making research practices more sustainable in the 2026 Sustainability Report, and share practical examples (e.g. green labs) across faculties.</t>
        </is>
      </c>
      <c r="H10" s="8" t="inlineStr">
        <is>
          <t>N/A – new indicator</t>
        </is>
      </c>
      <c r="I10" s="8" t="inlineStr"/>
      <c r="J10" s="8" t="inlineStr"/>
      <c r="K10" s="8" t="inlineStr"/>
      <c r="L10" s="8" t="n"/>
      <c r="M10" s="8" t="n"/>
      <c r="N10" s="8" t="n"/>
      <c r="O10" s="8" t="n"/>
      <c r="P10" s="8" t="n"/>
      <c r="Q10" s="8" t="n"/>
      <c r="R10" s="8" t="n"/>
    </row>
    <row r="11" ht="150" customHeight="1">
      <c r="B11" s="7" t="inlineStr">
        <is>
          <t>NB2(c)</t>
        </is>
      </c>
      <c r="C11" s="51" t="inlineStr">
        <is>
          <t>Nature and biodiversity</t>
        </is>
      </c>
      <c r="D11" s="51" t="inlineStr">
        <is>
          <t>Improve our understanding of our supply chain impacts on nature.</t>
        </is>
      </c>
      <c r="E11" s="51" t="inlineStr">
        <is>
          <t>Evidence of prioritised high risk procurement categories or suppliers for nature impact management</t>
        </is>
      </c>
      <c r="F11" s="8" t="inlineStr">
        <is>
          <t>Please provide the prioritised high-risk procurement categories and/or suppliers identified for nature-impact management, could include the basis for prioritisation and any risk-management, engagement or mitigation actions undertaken or planned.</t>
        </is>
      </c>
      <c r="G11" s="8" t="inlineStr">
        <is>
          <t>We will report on the high-risk procurement categories or suppliers prioritised for nature-impact management, and related actions, in the 2026 Sustainability Report.</t>
        </is>
      </c>
      <c r="H11" s="8" t="inlineStr">
        <is>
          <t>N/A – new indicator</t>
        </is>
      </c>
      <c r="I11" s="8" t="inlineStr"/>
      <c r="J11" s="8" t="inlineStr"/>
      <c r="K11" s="8" t="inlineStr"/>
      <c r="L11" s="8" t="n"/>
      <c r="M11" s="8" t="n"/>
      <c r="N11" s="8" t="n"/>
      <c r="O11" s="8" t="n"/>
      <c r="P11" s="8" t="n"/>
      <c r="Q11" s="8" t="n"/>
      <c r="R11" s="8" t="n"/>
    </row>
    <row r="12" ht="150" customHeight="1">
      <c r="B12" s="7" t="inlineStr">
        <is>
          <t>RP1(a)</t>
        </is>
      </c>
      <c r="C12" s="51" t="inlineStr">
        <is>
          <t>Responsible procurement</t>
        </is>
      </c>
      <c r="D12" s="51" t="inlineStr">
        <is>
          <t>Strengthen our ethical and sustainable procurement approach.</t>
        </is>
      </c>
      <c r="E12" s="51" t="inlineStr">
        <is>
          <t>Case studies of maturity improvement related to responsible procurement process and systems.</t>
        </is>
      </c>
      <c r="F12" s="8" t="inlineStr">
        <is>
          <t>In end-2025 reporting your area reported on the related SP2030 target 11c(iii) and rated it 'Met or exceeded' (see Column J – click [+] above Columns I–K). Please build on this rather than repeating it, focusing on what is new in 2026.
Maturity score if framework established; % procurement staff trained</t>
        </is>
      </c>
      <c r="G12" s="8" t="inlineStr">
        <is>
          <t>We will use case studies (and any maturity score or training data) to show improvement in responsible procurement processes and systems in the 2026 Sustainability Report.</t>
        </is>
      </c>
      <c r="H12" s="8" t="inlineStr">
        <is>
          <t>11c(iii)</t>
        </is>
      </c>
      <c r="I12" s="8" t="inlineStr">
        <is>
          <t>Met or exceeded</t>
        </is>
      </c>
      <c r="J12" s="8"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2" s="8" t="inlineStr"/>
      <c r="L12" s="8" t="n"/>
      <c r="M12" s="8" t="n"/>
      <c r="N12" s="8" t="n"/>
      <c r="O12" s="8" t="n"/>
      <c r="P12" s="8" t="n"/>
      <c r="Q12" s="8" t="n"/>
      <c r="R12" s="8" t="n"/>
    </row>
    <row r="13" ht="150" customHeight="1">
      <c r="B13" s="7" t="inlineStr">
        <is>
          <t>MS1(a)</t>
        </is>
      </c>
      <c r="C13" s="51" t="inlineStr">
        <is>
          <t>Modern slavery and human rights</t>
        </is>
      </c>
      <c r="D13" s="51" t="inlineStr">
        <is>
          <t>Manage our approach to modern slavery and human rights-related risks and opportunities.</t>
        </is>
      </c>
      <c r="E13" s="51" t="inlineStr">
        <is>
          <t>Annual progress reporting via the Modern Slavery Statement</t>
        </is>
      </c>
      <c r="F13" s="8" t="inlineStr">
        <is>
          <t>In end-2025 reporting your area reported on the related SP2030 target 11c(i) and rated it 'Met or exceeded' (see Column J – click [+] above Columns I–K). Please build on this rather than repeating it, focusing on what is new in 2026.
Annual Modern Slavery Statement, with case studies</t>
        </is>
      </c>
      <c r="G13" s="8" t="inlineStr">
        <is>
          <t>We will draw on the annual Modern Slavery Statement and case studies to report on the University's approach to modern slavery and human rights risks (timing to be aligned with the Statement).</t>
        </is>
      </c>
      <c r="H13" s="8" t="inlineStr">
        <is>
          <t>11c(i)</t>
        </is>
      </c>
      <c r="I13" s="8" t="inlineStr">
        <is>
          <t>Met or exceeded</t>
        </is>
      </c>
      <c r="J13" s="8"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3" s="8" t="inlineStr"/>
      <c r="L13" s="8" t="n"/>
      <c r="M13" s="8" t="n"/>
      <c r="N13" s="8" t="n"/>
      <c r="O13" s="8" t="n"/>
      <c r="P13" s="8" t="n"/>
      <c r="Q13" s="8" t="n"/>
      <c r="R13" s="8" t="n"/>
    </row>
    <row r="14" ht="150" customHeight="1">
      <c r="B14" s="7" t="inlineStr">
        <is>
          <t>EN1(c)</t>
        </is>
      </c>
      <c r="C14" s="51" t="inlineStr">
        <is>
          <t>Enablers</t>
        </is>
      </c>
      <c r="D14" s="51" t="inlineStr">
        <is>
          <t>Enablers</t>
        </is>
      </c>
      <c r="E14" s="51" t="inlineStr">
        <is>
          <t>Coordinated internal engagement and external partnerships contributing to delivery of sustainability outcomes across priority areas.</t>
        </is>
      </c>
      <c r="F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4" s="8" t="inlineStr">
        <is>
          <t>We will report on internal engagement and partnerships contributing to Sustainability 2030 outcomes, and update our record of sustainability-focused communities of practice and contacts across the University.</t>
        </is>
      </c>
      <c r="H14" s="8" t="inlineStr">
        <is>
          <t>N/A – new indicator</t>
        </is>
      </c>
      <c r="I14" s="8" t="inlineStr"/>
      <c r="J14" s="8" t="inlineStr"/>
      <c r="K14" s="8" t="inlineStr"/>
      <c r="L14" s="8" t="n"/>
      <c r="M14" s="8" t="n"/>
      <c r="N14" s="8" t="n"/>
      <c r="O14" s="8" t="n"/>
      <c r="P14" s="8" t="n"/>
      <c r="Q14" s="8" t="n"/>
      <c r="R14" s="8" t="n"/>
    </row>
    <row r="15" ht="150" customHeight="1">
      <c r="B15" s="7" t="inlineStr">
        <is>
          <t>EN1(d)</t>
        </is>
      </c>
      <c r="C15" s="51" t="inlineStr">
        <is>
          <t>Enablers</t>
        </is>
      </c>
      <c r="D15" s="51" t="inlineStr">
        <is>
          <t>Enablers</t>
        </is>
      </c>
      <c r="E15" s="51" t="inlineStr">
        <is>
          <t>Sustainability objectives integrated into governance and decision‑making processes, supported by transparent reporting.</t>
        </is>
      </c>
      <c r="F15"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5" s="8" t="inlineStr">
        <is>
          <t>We will report on how sustainability is integrated into governance and decision-making across faculties and portfolios, and use responses as a baseline for the governance enabler from 2027.</t>
        </is>
      </c>
      <c r="H15" s="8" t="inlineStr">
        <is>
          <t>N/A – new indicator</t>
        </is>
      </c>
      <c r="I15" s="8" t="inlineStr"/>
      <c r="J15" s="8" t="inlineStr"/>
      <c r="K15" s="8" t="inlineStr"/>
      <c r="L15" s="8" t="n"/>
      <c r="M15" s="8" t="n"/>
      <c r="N15" s="8" t="n"/>
      <c r="O15" s="8" t="n"/>
      <c r="P15" s="8" t="n"/>
      <c r="Q15" s="8" t="n"/>
      <c r="R15" s="8" t="n"/>
    </row>
    <row r="16"/>
    <row r="18">
      <c r="B18" s="46" t="inlineStr">
        <is>
          <t>1.2  CFOG – Treasury &amp; Investments</t>
        </is>
      </c>
    </row>
    <row r="20">
      <c r="C20" s="47" t="inlineStr">
        <is>
          <t>Sustainability 2030 target and indicator</t>
        </is>
      </c>
      <c r="H20" s="47" t="inlineStr">
        <is>
          <t>End-2025 reporting (click the ref to see your full SR25 response; [+] above expands a summary)</t>
        </is>
      </c>
      <c r="L20" s="48" t="inlineStr">
        <is>
          <t>End-2026 reporting (PLEASE COMPLETE THIS SECTION)</t>
        </is>
      </c>
    </row>
    <row r="21">
      <c r="B21" s="6" t="inlineStr">
        <is>
          <t>Ref</t>
        </is>
      </c>
      <c r="C21" s="6" t="inlineStr">
        <is>
          <t>Priority area</t>
        </is>
      </c>
      <c r="D21" s="6" t="inlineStr">
        <is>
          <t>Sustainability 2030 target</t>
        </is>
      </c>
      <c r="E21" s="6" t="inlineStr">
        <is>
          <t>Indicator</t>
        </is>
      </c>
      <c r="F21" s="6" t="inlineStr">
        <is>
          <t>2026 Reporting request</t>
        </is>
      </c>
      <c r="G21" s="6" t="inlineStr">
        <is>
          <t>How SST will use this data</t>
        </is>
      </c>
      <c r="H21" s="6" t="inlineStr">
        <is>
          <t>Related SR25 ref</t>
        </is>
      </c>
      <c r="I21" s="6" t="inlineStr">
        <is>
          <t>End-2025 confirmed status</t>
        </is>
      </c>
      <c r="J21" s="6" t="inlineStr">
        <is>
          <t>End-2025 reporting response</t>
        </is>
      </c>
      <c r="K21" s="6" t="inlineStr">
        <is>
          <t>Links and supporting information</t>
        </is>
      </c>
      <c r="L21" s="49" t="inlineStr">
        <is>
          <t>Confirm end-2026 target status</t>
        </is>
      </c>
      <c r="M21" s="49" t="inlineStr">
        <is>
          <t>OPTION 1:  Target-level reporting (Column D)</t>
        </is>
      </c>
      <c r="N21" s="49" t="inlineStr">
        <is>
          <t>OPTION 2:  Indicator level reporting (Column E/F)</t>
        </is>
      </c>
      <c r="O21" s="49" t="inlineStr">
        <is>
          <t>Supporting information/comments</t>
        </is>
      </c>
      <c r="P21" s="49" t="inlineStr">
        <is>
          <t>Data source and limitations</t>
        </is>
      </c>
      <c r="Q21" s="49" t="inlineStr">
        <is>
          <t>Data owner confirms information is accurate</t>
        </is>
      </c>
      <c r="R21" s="49" t="inlineStr">
        <is>
          <t>Confirmed by (name, role, date)</t>
        </is>
      </c>
    </row>
    <row r="22">
      <c r="B22" s="50" t="inlineStr"/>
      <c r="C22" s="50" t="inlineStr"/>
      <c r="D22" s="50" t="inlineStr"/>
      <c r="E22" s="50" t="inlineStr"/>
      <c r="F22" s="50" t="inlineStr"/>
      <c r="G22" s="50" t="inlineStr"/>
      <c r="H22" s="50" t="inlineStr"/>
      <c r="I22" s="50" t="inlineStr"/>
      <c r="J22" s="50" t="inlineStr"/>
      <c r="K22" s="50" t="inlineStr"/>
      <c r="L22" s="50" t="inlineStr">
        <is>
          <t>(Met or exceeded; partially met; not met; not yet started)</t>
        </is>
      </c>
      <c r="M22" s="50" t="inlineStr">
        <is>
          <t>Provide further evidence of target status assessment in the form of:
A general update on activities in relation to the overarching target (Column D)</t>
        </is>
      </c>
      <c r="N22" s="50" t="inlineStr">
        <is>
          <t>Provide further evidence of target status assessment in the form of:
Data and commentary in direct response to the reporting request (Column F)</t>
        </is>
      </c>
      <c r="O22" s="50" t="inlineStr">
        <is>
          <t>Provide any additional information to support the target status assessment (e.g. links, images, rationale for selection of target status)</t>
        </is>
      </c>
      <c r="P22" s="50" t="inlineStr">
        <is>
          <t>Where did this information come from (system, report, survey, person)? Note any gaps or limitations.</t>
        </is>
      </c>
      <c r="Q22" s="50" t="inlineStr">
        <is>
          <t>Select 'Yes' to confirm the information provided is accurate and can be used for reporting</t>
        </is>
      </c>
      <c r="R22" s="50" t="inlineStr">
        <is>
          <t>Name, role and date of the person confirming</t>
        </is>
      </c>
    </row>
    <row r="23" ht="150" customHeight="1">
      <c r="B23" s="7" t="inlineStr">
        <is>
          <t>RI1(b)</t>
        </is>
      </c>
      <c r="C23" s="51" t="inlineStr">
        <is>
          <t>Responsible investments</t>
        </is>
      </c>
      <c r="D23" s="51" t="inlineStr">
        <is>
          <t>Achieve net zero financed emissions for the University’s investment portfolio by 2050.</t>
        </is>
      </c>
      <c r="E23" s="51" t="inlineStr">
        <is>
          <t>Continuous improvement of the reporting of the University’s sustainability-related investment profile metrics, could include investment in climate mitigation and transition solutions, and compliance with related obligations (eg UNPRI).</t>
        </is>
      </c>
      <c r="F23" s="8" t="inlineStr">
        <is>
          <t>In end-2025 reporting your area reported on the related SP2030 target 12b(i) and rated it 'Met or exceeded' (see Column J – click [+] above Columns I–K). Please build on this rather than repeating it, focusing on what is new in 2026.
Report on relevant sustainability-related investment portfolio metrics and report on how the University has complied with its related obligations</t>
        </is>
      </c>
      <c r="G23" s="8" t="inlineStr">
        <is>
          <t>We will report on sustainability-related investment portfolio metrics and the University's compliance with related obligations (e.g. UNPRI) in the Responsible investments section of the 2026 Sustainability Report.</t>
        </is>
      </c>
      <c r="H23" s="8" t="inlineStr">
        <is>
          <t>12b(i)</t>
        </is>
      </c>
      <c r="I23" s="8" t="inlineStr">
        <is>
          <t>Met or exceeded</t>
        </is>
      </c>
      <c r="J23" s="8"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3" s="8" t="inlineStr"/>
      <c r="L23" s="8" t="n"/>
      <c r="M23" s="8" t="n"/>
      <c r="N23" s="8" t="n"/>
      <c r="O23" s="8" t="n"/>
      <c r="P23" s="8" t="n"/>
      <c r="Q23" s="8" t="n"/>
      <c r="R23" s="8" t="n"/>
    </row>
    <row r="24"/>
  </sheetData>
  <mergeCells count="6">
    <mergeCell ref="C7:G7"/>
    <mergeCell ref="C20:G20"/>
    <mergeCell ref="H20:K20"/>
    <mergeCell ref="L7:R7"/>
    <mergeCell ref="H7:K7"/>
    <mergeCell ref="L20:R20"/>
  </mergeCells>
  <dataValidations count="4">
    <dataValidation sqref="L10:L15" showDropDown="0" showInputMessage="0" showErrorMessage="0" allowBlank="1" errorTitle="Invalid entry" error="Please select from the dropdown" type="list">
      <formula1>=Lists!$B$3:$B$7</formula1>
    </dataValidation>
    <dataValidation sqref="Q10:Q15" showDropDown="0" showInputMessage="0" showErrorMessage="0" allowBlank="1" errorTitle="Invalid entry" error="Please select from the dropdown" type="list">
      <formula1>=Lists!$C$2:$C$4</formula1>
    </dataValidation>
    <dataValidation sqref="L23" showDropDown="0" showInputMessage="0" showErrorMessage="0" allowBlank="1" errorTitle="Invalid entry" error="Please select from the dropdown" type="list">
      <formula1>=Lists!$B$3:$B$7</formula1>
    </dataValidation>
    <dataValidation sqref="Q2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Enterprise Services Group (ESG)</t>
        </is>
      </c>
    </row>
    <row r="3">
      <c r="B3" s="20" t="inlineStr">
        <is>
          <t>Consolidated responses – paste from returned request workbooks (identical column layout). Click [+] above Columns H–K for end-2025 responses.</t>
        </is>
      </c>
    </row>
    <row r="5">
      <c r="B5" s="46" t="inlineStr">
        <is>
          <t>1.1  ESG – Campus Operations &amp; Sustainability Delivery</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NB1(b)</t>
        </is>
      </c>
      <c r="C10" s="51" t="inlineStr">
        <is>
          <t>Nature and biodiversity</t>
        </is>
      </c>
      <c r="D10" s="51" t="inlineStr">
        <is>
          <t>Achieve an increase of biodiversity relative to defined baseline years for each campus.</t>
        </is>
      </c>
      <c r="E10" s="51" t="inlineStr">
        <is>
          <t>Size, health and diversity of remnant vegetation at the Dookie and Creswick campuses</t>
        </is>
      </c>
      <c r="F10" s="8" t="inlineStr">
        <is>
          <t>In end-2025 reporting your area reported on the related SP2030 target 9a(ii) and rated it 'Not met' (see Column J – click [+] above Columns I–K). Please build on this rather than repeating it, focusing on what is new in 2026.
(Reporting request TBC)</t>
        </is>
      </c>
      <c r="G10" s="8" t="inlineStr">
        <is>
          <t>For internal management reporting only: we will track the size, health and diversity of remnant vegetation at Dookie and Creswick. This information will not be published.</t>
        </is>
      </c>
      <c r="H10" s="8" t="inlineStr">
        <is>
          <t>9a(ii)</t>
        </is>
      </c>
      <c r="I10" s="8" t="inlineStr">
        <is>
          <t>Not met</t>
        </is>
      </c>
      <c r="J10" s="8" t="inlineStr">
        <is>
          <t>Dookie Bush Block Living Lab (case study)
Creswick Vegetation Assessment Capstone Project,  (case study)</t>
        </is>
      </c>
      <c r="K10" s="8" t="inlineStr">
        <is>
          <t>https://unimelbcloud.sharepoint.com/:w:/r/teams/Sustainability/Shared%20Documents/General/Governance/Reporting/2026/2025%20Sustainability%20Report/Biodiversity.docx?d=w7b85fae81d704587910e1e9320a6bf31&amp;csf=1&amp;web=1&amp;e=GCfji1</t>
        </is>
      </c>
      <c r="L10" s="8" t="n"/>
      <c r="M10" s="8" t="n"/>
      <c r="N10" s="8" t="n"/>
      <c r="O10" s="8" t="n"/>
      <c r="P10" s="8" t="n"/>
      <c r="Q10" s="8" t="n"/>
      <c r="R10" s="8" t="n"/>
    </row>
    <row r="11" ht="150" customHeight="1">
      <c r="B11" s="7" t="inlineStr">
        <is>
          <t>NB1(c)</t>
        </is>
      </c>
      <c r="C11" s="51" t="inlineStr">
        <is>
          <t>Nature and biodiversity</t>
        </is>
      </c>
      <c r="D11" s="51" t="inlineStr">
        <is>
          <t>Achieve an increase of biodiversity relative to defined baseline years for each campus.</t>
        </is>
      </c>
      <c r="E11" s="51" t="inlineStr">
        <is>
          <t>Defined quality measurement framework</t>
        </is>
      </c>
      <c r="F11" s="8" t="inlineStr">
        <is>
          <t>In end-2025 reporting your area reported on the related SP2030 target 9a(i) and rated it 'Not met' (see Column J – click [+] above Columns I–K). Please build on this rather than repeating it, focusing on what is new in 2026.
(Reporting request TBC)</t>
        </is>
      </c>
      <c r="G11" s="8" t="inlineStr">
        <is>
          <t>We will report progress on developing the biodiversity quality measurement framework, which will underpin how the biodiversity target is assessed from 2027.</t>
        </is>
      </c>
      <c r="H11" s="8" t="inlineStr">
        <is>
          <t>9a(i)</t>
        </is>
      </c>
      <c r="I11" s="8" t="inlineStr">
        <is>
          <t>Not met</t>
        </is>
      </c>
      <c r="J11" s="8" t="inlineStr">
        <is>
          <t>Two out of seven metrics have achieved net-gain across all campuses. 
Tree Planting Program: 161 trees were planted across three campuses. 
Dookie Community Planting Day, 79 volunteers planted 142 tube stock.</t>
        </is>
      </c>
      <c r="K11" s="8" t="inlineStr">
        <is>
          <t>https://unimelbcloud.sharepoint.com/:w:/r/teams/Sustainability/Shared%20Documents/General/Governance/Reporting/2026/2025%20Sustainability%20Report/Biodiversity.docx?d=w7b85fae81d704587910e1e9320a6bf31&amp;csf=1&amp;web=1&amp;e=GCfji1</t>
        </is>
      </c>
      <c r="L11" s="8" t="n"/>
      <c r="M11" s="8" t="n"/>
      <c r="N11" s="8" t="n"/>
      <c r="O11" s="8" t="n"/>
      <c r="P11" s="8" t="n"/>
      <c r="Q11" s="8" t="n"/>
      <c r="R11" s="8" t="n"/>
    </row>
    <row r="12" ht="150" customHeight="1">
      <c r="B12" s="7" t="inlineStr">
        <is>
          <t>NB1(d)</t>
        </is>
      </c>
      <c r="C12" s="51" t="inlineStr">
        <is>
          <t>Nature and biodiversity</t>
        </is>
      </c>
      <c r="D12" s="51" t="inlineStr">
        <is>
          <t>Achieve an increase of biodiversity relative to defined baseline years for each campus.</t>
        </is>
      </c>
      <c r="E12" s="51" t="inlineStr">
        <is>
          <t>Defined and quantified campus connectivity</t>
        </is>
      </c>
      <c r="F12" s="8" t="inlineStr">
        <is>
          <t>We did not receive an end-2025 response for the related SP2030 target 9b(i), so please include any relevant activity from across 2026.
Please provide the current definition and quantified assessment of campus ecological connectivity, could include the methodology used, campuses covered, baseline or benchmark values, and any material change over the reporting period.</t>
        </is>
      </c>
      <c r="G12" s="8" t="inlineStr">
        <is>
          <t>We will report the definition and baseline for campus ecological connectivity in the 2026 Sustainability Report, to support future tracking against the biodiversity target.</t>
        </is>
      </c>
      <c r="H12" s="8" t="inlineStr">
        <is>
          <t>9b(i)</t>
        </is>
      </c>
      <c r="I12" s="8" t="inlineStr">
        <is>
          <t>Not yet started</t>
        </is>
      </c>
      <c r="J12" s="8" t="inlineStr"/>
      <c r="K12" s="8" t="inlineStr"/>
      <c r="L12" s="8" t="n"/>
      <c r="M12" s="8" t="n"/>
      <c r="N12" s="8" t="n"/>
      <c r="O12" s="8" t="n"/>
      <c r="P12" s="8" t="n"/>
      <c r="Q12" s="8" t="n"/>
      <c r="R12" s="8" t="n"/>
    </row>
    <row r="13" ht="150" customHeight="1">
      <c r="B13" s="7" t="inlineStr">
        <is>
          <t>NB2(b)</t>
        </is>
      </c>
      <c r="C13" s="51" t="inlineStr">
        <is>
          <t>Nature and biodiversity</t>
        </is>
      </c>
      <c r="D13" s="51" t="inlineStr">
        <is>
          <t>Improve our understanding of our supply chain impacts on nature.</t>
        </is>
      </c>
      <c r="E13" s="51" t="inlineStr">
        <is>
          <t>Evidence of established framework to monitor and track supply-chain nature impacts over time</t>
        </is>
      </c>
      <c r="F13" s="8" t="inlineStr">
        <is>
          <t>Please describe the framework established to monitor and track supply-chain impacts on nature over time, could include metrics, data sources, governance/ownership, reporting frequency and current implementation status.</t>
        </is>
      </c>
      <c r="G13" s="8" t="inlineStr">
        <is>
          <t>We will describe the framework for monitoring supply-chain nature impacts, and use it to plan how this target is reported from 2027.</t>
        </is>
      </c>
      <c r="H13" s="8" t="inlineStr">
        <is>
          <t>N/A – new indicator</t>
        </is>
      </c>
      <c r="I13" s="8" t="inlineStr"/>
      <c r="J13" s="8" t="inlineStr"/>
      <c r="K13" s="8" t="inlineStr"/>
      <c r="L13" s="8" t="n"/>
      <c r="M13" s="8" t="n"/>
      <c r="N13" s="8" t="n"/>
      <c r="O13" s="8" t="n"/>
      <c r="P13" s="8" t="n"/>
      <c r="Q13" s="8" t="n"/>
      <c r="R13" s="8" t="n"/>
    </row>
    <row r="14" ht="150" customHeight="1">
      <c r="B14" s="7" t="inlineStr">
        <is>
          <t>NB2(c)</t>
        </is>
      </c>
      <c r="C14" s="51" t="inlineStr">
        <is>
          <t>Nature and biodiversity</t>
        </is>
      </c>
      <c r="D14" s="51" t="inlineStr">
        <is>
          <t>Improve our understanding of our supply chain impacts on nature.</t>
        </is>
      </c>
      <c r="E14" s="51" t="inlineStr">
        <is>
          <t>Evidence of prioritised high risk procurement categories or suppliers for nature impact management</t>
        </is>
      </c>
      <c r="F14" s="8" t="inlineStr">
        <is>
          <t>Please provide the prioritised high-risk procurement categories and/or suppliers identified for nature-impact management, could include the basis for prioritisation and any risk-management, engagement or mitigation actions undertaken or planned.</t>
        </is>
      </c>
      <c r="G14" s="8" t="inlineStr">
        <is>
          <t>We will report on the high-risk procurement categories or suppliers prioritised for nature-impact management, and related actions, in the 2026 Sustainability Report.</t>
        </is>
      </c>
      <c r="H14" s="8" t="inlineStr">
        <is>
          <t>N/A – new indicator</t>
        </is>
      </c>
      <c r="I14" s="8" t="inlineStr"/>
      <c r="J14" s="8" t="inlineStr"/>
      <c r="K14" s="8" t="inlineStr"/>
      <c r="L14" s="8" t="n"/>
      <c r="M14" s="8" t="n"/>
      <c r="N14" s="8" t="n"/>
      <c r="O14" s="8" t="n"/>
      <c r="P14" s="8" t="n"/>
      <c r="Q14" s="8" t="n"/>
      <c r="R14" s="8" t="n"/>
    </row>
    <row r="15" ht="150" customHeight="1">
      <c r="B15" s="7" t="inlineStr">
        <is>
          <t>EN1(c)</t>
        </is>
      </c>
      <c r="C15" s="51" t="inlineStr">
        <is>
          <t>Enablers</t>
        </is>
      </c>
      <c r="D15" s="51" t="inlineStr">
        <is>
          <t>Enablers</t>
        </is>
      </c>
      <c r="E15" s="51" t="inlineStr">
        <is>
          <t>Coordinated internal engagement and external partnerships contributing to delivery of sustainability outcomes across priority areas.</t>
        </is>
      </c>
      <c r="F15" s="8" t="inlineStr">
        <is>
          <t>In end-2025 reporting your area reported on the related SP2030 target 7a and rated it 'Partially met'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5" s="8" t="inlineStr">
        <is>
          <t>We will report on internal engagement and partnerships contributing to Sustainability 2030 outcomes, and update our record of sustainability-focused communities of practice and contacts across the University.</t>
        </is>
      </c>
      <c r="H15" s="8" t="inlineStr">
        <is>
          <t>7a</t>
        </is>
      </c>
      <c r="I15" s="8" t="inlineStr">
        <is>
          <t>Partially met</t>
        </is>
      </c>
      <c r="J15" s="8" t="inlineStr">
        <is>
          <t>National Reconciliation Week 2025 – Partnering for Country and community</t>
        </is>
      </c>
      <c r="K15" s="8" t="inlineStr"/>
      <c r="L15" s="8" t="n"/>
      <c r="M15" s="8" t="n"/>
      <c r="N15" s="8" t="n"/>
      <c r="O15" s="8" t="n"/>
      <c r="P15" s="8" t="n"/>
      <c r="Q15" s="8" t="n"/>
      <c r="R15" s="8" t="n"/>
    </row>
    <row r="16" ht="150" customHeight="1">
      <c r="B16" s="7" t="inlineStr">
        <is>
          <t>EN1(d)</t>
        </is>
      </c>
      <c r="C16" s="51" t="inlineStr">
        <is>
          <t>Enablers</t>
        </is>
      </c>
      <c r="D16" s="51" t="inlineStr">
        <is>
          <t>Enablers</t>
        </is>
      </c>
      <c r="E16" s="51" t="inlineStr">
        <is>
          <t>Sustainability objectives integrated into governance and decision‑making processes, supported by transparent reporting.</t>
        </is>
      </c>
      <c r="F16"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6" s="8" t="inlineStr">
        <is>
          <t>We will report on how sustainability is integrated into governance and decision-making across faculties and portfolios, and use responses as a baseline for the governance enabler from 2027.</t>
        </is>
      </c>
      <c r="H16" s="8" t="inlineStr">
        <is>
          <t>N/A – new indicator</t>
        </is>
      </c>
      <c r="I16" s="8" t="inlineStr"/>
      <c r="J16" s="8" t="inlineStr"/>
      <c r="K16" s="8" t="inlineStr"/>
      <c r="L16" s="8" t="n"/>
      <c r="M16" s="8" t="n"/>
      <c r="N16" s="8" t="n"/>
      <c r="O16" s="8" t="n"/>
      <c r="P16" s="8" t="n"/>
      <c r="Q16" s="8" t="n"/>
      <c r="R16" s="8" t="n"/>
    </row>
    <row r="17"/>
  </sheetData>
  <mergeCells count="3">
    <mergeCell ref="C7:G7"/>
    <mergeCell ref="L7:R7"/>
    <mergeCell ref="H7:K7"/>
  </mergeCells>
  <dataValidations count="2">
    <dataValidation sqref="L10:L16" showDropDown="0" showInputMessage="0" showErrorMessage="0" allowBlank="1" errorTitle="Invalid entry" error="Please select from the dropdown" type="list">
      <formula1>=Lists!$B$3:$B$7</formula1>
    </dataValidation>
    <dataValidation sqref="Q10:Q16"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Chief Information Officer Group (CIOG)</t>
        </is>
      </c>
    </row>
    <row r="3">
      <c r="B3" s="20" t="inlineStr">
        <is>
          <t>Consolidated responses – paste from returned request workbooks (identical column layout). Click [+] above Columns H–K for end-2025 responses.</t>
        </is>
      </c>
    </row>
    <row r="5">
      <c r="B5" s="46" t="inlineStr">
        <is>
          <t>1.1  CIOG – Responsible AI &amp; digital</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AI1(a)</t>
        </is>
      </c>
      <c r="C10" s="51" t="inlineStr">
        <is>
          <t>Responsible AI</t>
        </is>
      </c>
      <c r="D10" s="51" t="inlineStr">
        <is>
          <t>Improve understanding of our sustainability-related risks and opportunities of AI technologies by 2028.</t>
        </is>
      </c>
      <c r="E10" s="51" t="inlineStr">
        <is>
          <t>Established measurement of estimated operational impacts and opportunities (eg operational impacts could include energy, water, emissions and intensity measures)</t>
        </is>
      </c>
      <c r="F10" s="8" t="inlineStr">
        <is>
          <t>(Reporting request TBC)</t>
        </is>
      </c>
      <c r="G10" s="8" t="inlineStr">
        <is>
          <t>We will provide a high-level overview of AI's estimated operational impacts and opportunities in 2026, ahead of more detailed measurement from 2027.</t>
        </is>
      </c>
      <c r="H10" s="8" t="inlineStr"/>
      <c r="I10" s="8" t="inlineStr"/>
      <c r="J10" s="8" t="inlineStr"/>
      <c r="K10" s="8" t="inlineStr"/>
      <c r="L10" s="8" t="n"/>
      <c r="M10" s="8" t="n"/>
      <c r="N10" s="8" t="n"/>
      <c r="O10" s="8" t="n"/>
      <c r="P10" s="8" t="n"/>
      <c r="Q10" s="8" t="n"/>
      <c r="R10" s="8" t="n"/>
    </row>
    <row r="11" ht="150" customHeight="1">
      <c r="B11" s="7" t="inlineStr">
        <is>
          <t>AI1(b)</t>
        </is>
      </c>
      <c r="C11" s="51" t="inlineStr">
        <is>
          <t>Responsible AI</t>
        </is>
      </c>
      <c r="D11" s="51" t="inlineStr">
        <is>
          <t>Improve understanding of our sustainability-related risks and opportunities of AI technologies by 2028.</t>
        </is>
      </c>
      <c r="E11" s="51" t="inlineStr">
        <is>
          <t>Case studies of sustainability and AI-related education, research and collaboration activities.</t>
        </is>
      </c>
      <c r="F11" s="8" t="inlineStr">
        <is>
          <t>Please provide case studies from your Faculty/Portfolio of sustainability and AI-related education, research or collaboration activities, describing the activity, participants or partners, sustainability issue addressed and key outcomes or lessons.</t>
        </is>
      </c>
      <c r="G11" s="8" t="inlineStr">
        <is>
          <t>We will select examples of sustainability and AI-related education, research and collaboration as case studies for the new Responsible AI section of the 2026 Sustainability Report.</t>
        </is>
      </c>
      <c r="H11" s="8" t="inlineStr"/>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c r="I12" s="8" t="inlineStr"/>
      <c r="J12" s="8" t="inlineStr"/>
      <c r="K12" s="8" t="inlineStr"/>
      <c r="L12" s="8" t="n"/>
      <c r="M12" s="8" t="n"/>
      <c r="N12" s="8" t="n"/>
      <c r="O12" s="8" t="n"/>
      <c r="P12" s="8" t="n"/>
      <c r="Q12" s="8" t="n"/>
      <c r="R12" s="8" t="n"/>
    </row>
    <row r="13" ht="150" customHeight="1">
      <c r="B13" s="7" t="inlineStr">
        <is>
          <t>EN1(d)</t>
        </is>
      </c>
      <c r="C13" s="51" t="inlineStr">
        <is>
          <t>Enablers</t>
        </is>
      </c>
      <c r="D13" s="51" t="inlineStr">
        <is>
          <t>Enablers</t>
        </is>
      </c>
      <c r="E13" s="51" t="inlineStr">
        <is>
          <t>Sustainability objectives integrated into governance and decision‑making processes, supported by transparent reporting.</t>
        </is>
      </c>
      <c r="F13" s="8"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13" s="8" t="inlineStr">
        <is>
          <t>We will report on how sustainability is integrated into governance and decision-making across faculties and portfolios, and use responses as a baseline for the governance enabler from 2027.</t>
        </is>
      </c>
      <c r="H13" s="8" t="inlineStr"/>
      <c r="I13" s="8" t="inlineStr"/>
      <c r="J13" s="8" t="inlineStr"/>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0"/>
    <pageSetUpPr/>
  </sheetPr>
  <dimension ref="A1:R18"/>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Melbourne Research and Enterprise (MRE)</t>
        </is>
      </c>
    </row>
    <row r="3">
      <c r="B3" s="20" t="inlineStr">
        <is>
          <t>Consolidated responses – paste from returned request workbooks (identical column layout). Click [+] above Columns H–K for end-2025 responses.</t>
        </is>
      </c>
    </row>
    <row r="5">
      <c r="B5" s="46" t="inlineStr">
        <is>
          <t>1.1  MRE – Research (incl. MBI – TBC)</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TR1(b)</t>
        </is>
      </c>
      <c r="C10" s="51" t="inlineStr">
        <is>
          <t>Transformational research</t>
        </is>
      </c>
      <c r="D10" s="51" t="inlineStr">
        <is>
          <t>Utilise the expertise of the University’s researchers through mutually beneficial partnerships to help address the University’s operational sustainability challenges.</t>
        </is>
      </c>
      <c r="E10" s="51" t="inlineStr">
        <is>
          <t>Evidence of institutional pathways that enable ongoing collaboration between academic and professional staff</t>
        </is>
      </c>
      <c r="F10" s="8"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G10" s="8" t="inlineStr">
        <is>
          <t>We will map existing academic–professional collaboration mechanisms across faculties to establish a baseline for this new indicator and identify models other faculties could adopt.</t>
        </is>
      </c>
      <c r="H10" s="8" t="inlineStr">
        <is>
          <t>N/A – new indicator</t>
        </is>
      </c>
      <c r="I10" s="8" t="inlineStr"/>
      <c r="J10" s="8" t="inlineStr"/>
      <c r="K10" s="8" t="inlineStr"/>
      <c r="L10" s="8" t="n"/>
      <c r="M10" s="8" t="n"/>
      <c r="N10" s="8" t="n"/>
      <c r="O10" s="8" t="n"/>
      <c r="P10" s="8" t="n"/>
      <c r="Q10" s="8" t="n"/>
      <c r="R10" s="8" t="n"/>
    </row>
    <row r="11" ht="150" customHeight="1">
      <c r="B11" s="7" t="inlineStr">
        <is>
          <t>TR1(c)</t>
        </is>
      </c>
      <c r="C11" s="51" t="inlineStr">
        <is>
          <t>Transformational research</t>
        </is>
      </c>
      <c r="D11" s="51" t="inlineStr">
        <is>
          <t>Utilise the expertise of the University’s researchers through mutually beneficial partnerships to help address the University’s operational sustainability challenges.</t>
        </is>
      </c>
      <c r="E11" s="51" t="inlineStr">
        <is>
          <t>Expert assessment of the quality, relevance and continuity of these collaborations</t>
        </is>
      </c>
      <c r="F11" s="8"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G11" s="8" t="inlineStr">
        <is>
          <t>We will use your assessment to describe the quality and continuity of research–operations collaboration in the 2026 report, and as baseline evidence for the interim target status assessment from 2027.</t>
        </is>
      </c>
      <c r="H11" s="8" t="inlineStr">
        <is>
          <t>N/A – new indicator</t>
        </is>
      </c>
      <c r="I11" s="8" t="inlineStr"/>
      <c r="J11" s="8" t="inlineStr"/>
      <c r="K11" s="8" t="inlineStr"/>
      <c r="L11" s="8" t="n"/>
      <c r="M11" s="8" t="n"/>
      <c r="N11" s="8" t="n"/>
      <c r="O11" s="8" t="n"/>
      <c r="P11" s="8" t="n"/>
      <c r="Q11" s="8" t="n"/>
      <c r="R11" s="8" t="n"/>
    </row>
    <row r="12" ht="150" customHeight="1">
      <c r="B12" s="7" t="inlineStr">
        <is>
          <t>TR1(d)</t>
        </is>
      </c>
      <c r="C12" s="51" t="inlineStr">
        <is>
          <t>Transformational research</t>
        </is>
      </c>
      <c r="D12" s="51" t="inlineStr">
        <is>
          <t>Utilise the expertise of the University’s researchers through mutually beneficial partnerships to help address the University’s operational sustainability challenges.</t>
        </is>
      </c>
      <c r="E12" s="51" t="inlineStr">
        <is>
          <t>Periodic feedback from participants on the effectiveness and mutual benefit of collaboration mechanisms.</t>
        </is>
      </c>
      <c r="F12" s="8" t="inlineStr">
        <is>
          <t>Please provide any participant feedback or other evidence from your Faculty/Portfolio on the effectiveness and mutual benefit of collaboration mechanisms between researchers and operational teams, could include key findings and any improvements identified.</t>
        </is>
      </c>
      <c r="G12" s="8" t="inlineStr">
        <is>
          <t>We will use any feedback to understand whether collaboration mechanisms are working and to inform improvements. Where none has been collected, this helps us plan how to gather feedback from 2027.</t>
        </is>
      </c>
      <c r="H12" s="8" t="inlineStr">
        <is>
          <t>N/A – new indicator</t>
        </is>
      </c>
      <c r="I12" s="8" t="inlineStr"/>
      <c r="J12" s="8" t="inlineStr"/>
      <c r="K12" s="8" t="inlineStr"/>
      <c r="L12" s="8" t="n"/>
      <c r="M12" s="8" t="n"/>
      <c r="N12" s="8" t="n"/>
      <c r="O12" s="8" t="n"/>
      <c r="P12" s="8" t="n"/>
      <c r="Q12" s="8" t="n"/>
      <c r="R12" s="8" t="n"/>
    </row>
    <row r="13" ht="150" customHeight="1">
      <c r="B13" s="7" t="inlineStr">
        <is>
          <t>TR2(c)</t>
        </is>
      </c>
      <c r="C13" s="51" t="inlineStr">
        <is>
          <t>Transformational research</t>
        </is>
      </c>
      <c r="D13" s="51" t="inlineStr">
        <is>
          <t>Deliver high-quality research and partnerships that contribute to sustainability outcomes and demonstrable societal benefit.</t>
        </is>
      </c>
      <c r="E13" s="51" t="inlineStr">
        <is>
          <t>Expert-reviewed summary of sustainability-related research outputs, outcomes and influence using available institutional evidence sources</t>
        </is>
      </c>
      <c r="F13" s="8" t="inlineStr">
        <is>
          <t>In end-2025 reporting your area reported on the related SP2030 target 5b(iii) and rated it 'Met or exceeded' (see Column J – click [+] above Columns I–K). Please build on this rather than repeating it, focusing on what is new in 2026.
currently mapped to the SDGs using SciVal</t>
        </is>
      </c>
      <c r="G13" s="8" t="inlineStr">
        <is>
          <t>We will use institutional research output data (e.g. SDG-mapped publications via SciVal) to provide the University-wide quantitative picture of sustainability-related research in the 2026 Sustainability Report.</t>
        </is>
      </c>
      <c r="H13" s="8" t="inlineStr">
        <is>
          <t>5b(iii)</t>
        </is>
      </c>
      <c r="I13" s="8" t="inlineStr">
        <is>
          <t>Met or exceeded</t>
        </is>
      </c>
      <c r="J13" s="8" t="inlineStr">
        <is>
          <t>The University’s research outputs continue to be extensively mentioned in patents, policy, news and social media.</t>
        </is>
      </c>
      <c r="K13" s="8" t="inlineStr"/>
      <c r="L13" s="8" t="n"/>
      <c r="M13" s="8" t="n"/>
      <c r="N13" s="8" t="n"/>
      <c r="O13" s="8" t="n"/>
      <c r="P13" s="8" t="n"/>
      <c r="Q13" s="8" t="n"/>
      <c r="R13" s="8" t="n"/>
    </row>
    <row r="14" ht="150" customHeight="1">
      <c r="B14" s="7" t="inlineStr">
        <is>
          <t>TR3(a)</t>
        </is>
      </c>
      <c r="C14" s="51" t="inlineStr">
        <is>
          <t>Transformational research</t>
        </is>
      </c>
      <c r="D14" s="51" t="inlineStr">
        <is>
          <t>Embed sustainability within research systems, processes, capability and culture, so research is conducted responsibly, efficiently and with reduced environmental impact.</t>
        </is>
      </c>
      <c r="E14" s="51" t="inlineStr">
        <is>
          <t>Evidence that sustainability considerations are integrated into relevant research systems, planning processes, guidance, training, induction or support services</t>
        </is>
      </c>
      <c r="F14" s="8" t="inlineStr">
        <is>
          <t>In end-2025 reporting your area reported on the related SP2030 target 5c(i) and rated it 'Partially met' (see Column J – click [+] above Columns I–K). Please build on this rather than repeating it, focusing on what is new in 2026.
Please describe how sustainability considerations are integrated into research systems, planning processes, guidance, training, induction or support services within your Faculty/Portfolio, could include examples of any new or improved processes.</t>
        </is>
      </c>
      <c r="G14" s="8" t="inlineStr">
        <is>
          <t>We will report on how sustainability is being built into research systems and support across the University, and use responses to establish a baseline for this new target.</t>
        </is>
      </c>
      <c r="H14" s="8" t="inlineStr">
        <is>
          <t>5c(i)</t>
        </is>
      </c>
      <c r="I14" s="8" t="inlineStr">
        <is>
          <t>Partially met</t>
        </is>
      </c>
      <c r="J14" s="8" t="inlineStr">
        <is>
          <t>We continue to encourage all researchers at the University to consider the impacts of their research, including in relation to sustainability through the Research in a Publicly Spirited University, and Openness Transparency agenda in the new Research Strategy.</t>
        </is>
      </c>
      <c r="K14" s="8" t="inlineStr"/>
      <c r="L14" s="8" t="n"/>
      <c r="M14" s="8" t="n"/>
      <c r="N14" s="8" t="n"/>
      <c r="O14" s="8" t="n"/>
      <c r="P14" s="8" t="n"/>
      <c r="Q14" s="8" t="n"/>
      <c r="R14" s="8" t="n"/>
    </row>
    <row r="15" ht="150" customHeight="1">
      <c r="B15" s="7" t="inlineStr">
        <is>
          <t>TR3(c)</t>
        </is>
      </c>
      <c r="C15" s="51" t="inlineStr">
        <is>
          <t>Transformational research</t>
        </is>
      </c>
      <c r="D15" s="51" t="inlineStr">
        <is>
          <t>Embed sustainability within research systems, processes, capability and culture, so research is conducted responsibly, efficiently and with reduced environmental impact.</t>
        </is>
      </c>
      <c r="E15" s="51" t="inlineStr">
        <is>
          <t>Evidence of progress in sustainability-related research culture, capability and awareness, informed by periodic staff and graduate researcher surveys</t>
        </is>
      </c>
      <c r="F15" s="8"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G15" s="8" t="inlineStr">
        <is>
          <t>We will use any survey or capability data to describe changes in sustainability-related research culture. Where no evidence exists, this helps us plan University-wide measurement (e.g. staff and graduate researcher surveys) from 2027.</t>
        </is>
      </c>
      <c r="H15" s="8" t="inlineStr">
        <is>
          <t>N/A – new indicator</t>
        </is>
      </c>
      <c r="I15" s="8" t="inlineStr"/>
      <c r="J15" s="8" t="inlineStr"/>
      <c r="K15" s="8" t="inlineStr"/>
      <c r="L15" s="8" t="n"/>
      <c r="M15" s="8" t="n"/>
      <c r="N15" s="8" t="n"/>
      <c r="O15" s="8" t="n"/>
      <c r="P15" s="8" t="n"/>
      <c r="Q15" s="8" t="n"/>
      <c r="R15" s="8" t="n"/>
    </row>
    <row r="16" ht="150" customHeight="1">
      <c r="B16" s="7" t="inlineStr">
        <is>
          <t>TR3(d)</t>
        </is>
      </c>
      <c r="C16" s="51" t="inlineStr">
        <is>
          <t>Transformational research</t>
        </is>
      </c>
      <c r="D16" s="51" t="inlineStr">
        <is>
          <t>Embed sustainability within research systems, processes, capability and culture, so research is conducted responsibly, efficiently and with reduced environmental impact.</t>
        </is>
      </c>
      <c r="E16" s="51" t="inlineStr">
        <is>
          <t>Expert assessment of progress in embedding sustainable research practices across the institution.</t>
        </is>
      </c>
      <c r="F16" s="8" t="inlineStr">
        <is>
          <t>Faculty/Portfolio’s assessment of progress in embedding sustainable research practices, highlighting areas of strong progress, remaining gaps and priority actions for further improvement.</t>
        </is>
      </c>
      <c r="G16" s="8" t="inlineStr">
        <is>
          <t>We will use faculty self-assessments to identify strengths, gaps and priority actions in embedding sustainable research practices, to inform internal management reporting and the Transformational research working group.</t>
        </is>
      </c>
      <c r="H16" s="8" t="inlineStr">
        <is>
          <t>N/A – new indicator</t>
        </is>
      </c>
      <c r="I16" s="8" t="inlineStr"/>
      <c r="J16" s="8" t="inlineStr"/>
      <c r="K16" s="8" t="inlineStr"/>
      <c r="L16" s="8" t="n"/>
      <c r="M16" s="8" t="n"/>
      <c r="N16" s="8" t="n"/>
      <c r="O16" s="8" t="n"/>
      <c r="P16" s="8" t="n"/>
      <c r="Q16" s="8" t="n"/>
      <c r="R16" s="8" t="n"/>
    </row>
    <row r="17" ht="150" customHeight="1">
      <c r="B17" s="7" t="inlineStr">
        <is>
          <t>NB2(a)</t>
        </is>
      </c>
      <c r="C17" s="51" t="inlineStr">
        <is>
          <t>Nature and biodiversity</t>
        </is>
      </c>
      <c r="D17" s="51" t="inlineStr">
        <is>
          <t>Improve our understanding of our supply chain impacts on nature.</t>
        </is>
      </c>
      <c r="E17" s="51" t="inlineStr">
        <is>
          <t>Documented baseline nature footprint analysis</t>
        </is>
      </c>
      <c r="F17" s="8" t="inlineStr">
        <is>
          <t>Impact Encore Measurement</t>
        </is>
      </c>
      <c r="G17" s="8" t="inlineStr">
        <is>
          <t>We will report on the baseline nature footprint of the University's supply chain in the Nature and biodiversity section of the 2026 Sustainability Report.</t>
        </is>
      </c>
      <c r="H17" s="8" t="inlineStr">
        <is>
          <t>N/A – new indicator</t>
        </is>
      </c>
      <c r="I17" s="8" t="inlineStr"/>
      <c r="J17" s="8" t="inlineStr"/>
      <c r="K17" s="8" t="inlineStr"/>
      <c r="L17" s="8" t="n"/>
      <c r="M17" s="8" t="n"/>
      <c r="N17" s="8" t="n"/>
      <c r="O17" s="8" t="n"/>
      <c r="P17" s="8" t="n"/>
      <c r="Q17" s="8" t="n"/>
      <c r="R17" s="8" t="n"/>
    </row>
    <row r="18"/>
  </sheetData>
  <mergeCells count="3">
    <mergeCell ref="C7:G7"/>
    <mergeCell ref="L7:R7"/>
    <mergeCell ref="H7:K7"/>
  </mergeCells>
  <dataValidations count="2">
    <dataValidation sqref="L10:L17" showDropDown="0" showInputMessage="0" showErrorMessage="0" allowBlank="1" errorTitle="Invalid entry" error="Please select from the dropdown" type="list">
      <formula1>=Lists!$B$3:$B$7</formula1>
    </dataValidation>
    <dataValidation sqref="Q10:Q17"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0"/>
    <pageSetUpPr/>
  </sheetPr>
  <dimension ref="A1:R14"/>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Advancement, Communication and Marketing (AC&amp;M)</t>
        </is>
      </c>
    </row>
    <row r="3">
      <c r="B3" s="20" t="inlineStr">
        <is>
          <t>Consolidated responses – paste from returned request workbooks (identical column layout). Click [+] above Columns H–K for end-2025 responses.</t>
        </is>
      </c>
    </row>
    <row r="5">
      <c r="B5" s="46" t="inlineStr">
        <is>
          <t>1.1  AC&amp;M – Advancement, Communication and Marketing</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TR2(a)</t>
        </is>
      </c>
      <c r="C10" s="51" t="inlineStr">
        <is>
          <t>Transformational research</t>
        </is>
      </c>
      <c r="D10" s="51" t="inlineStr">
        <is>
          <t>Deliver high-quality research and partnerships that contribute to sustainability outcomes and demonstrable societal benefit.</t>
        </is>
      </c>
      <c r="E10" s="51" t="inlineStr">
        <is>
          <t>Evidence of sustainability-related research impact across diverse pathways, could include policy, industry, community, practice, cultural and institutional outcomes</t>
        </is>
      </c>
      <c r="F10" s="8" t="inlineStr">
        <is>
          <t>In end-2025 reporting your area reported on the related SP2030 target 5b(ii) and rated it 'Met or exceeded' (see Column J – click [+] above Columns I–K). Please build on this rather than repeating it, focusing on what is new in 2026.
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G10" s="8" t="inlineStr">
        <is>
          <t>We will collate research impact examples across faculties to show the breadth of sustainability-related research impact in the Transformational research section of the 2026 Sustainability Report, complementing University-wide metrics from MRE.</t>
        </is>
      </c>
      <c r="H10" s="8" t="inlineStr">
        <is>
          <t>5b(ii)</t>
        </is>
      </c>
      <c r="I10" s="8" t="inlineStr">
        <is>
          <t>Met or exceeded</t>
        </is>
      </c>
      <c r="J10"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0"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0" s="8" t="n"/>
      <c r="M10" s="8" t="n"/>
      <c r="N10" s="8" t="n"/>
      <c r="O10" s="8" t="n"/>
      <c r="P10" s="8" t="n"/>
      <c r="Q10" s="8" t="n"/>
      <c r="R10" s="8" t="n"/>
    </row>
    <row r="11" ht="150" customHeight="1">
      <c r="B11" s="7" t="inlineStr">
        <is>
          <t>CL2(a)</t>
        </is>
      </c>
      <c r="C11" s="51" t="inlineStr">
        <is>
          <t>Climate leadership</t>
        </is>
      </c>
      <c r="D11" s="51" t="inlineStr">
        <is>
          <t>Develop understanding of our research and education programs that contribute to accelerating global decarbonisation and our own climate transition.</t>
        </is>
      </c>
      <c r="E11" s="51" t="inlineStr">
        <is>
          <t>By 2028, develop and document institutional mapping of research and education activities that are designed to contribute to global decarbonisation</t>
        </is>
      </c>
      <c r="F11" s="8"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G11" s="8" t="inlineStr">
        <is>
          <t>We will use these examples to show how the University communicates climate research and learning to external audiences, and as an input to the institutional decarbonisation research and education mapping due by 2028.</t>
        </is>
      </c>
      <c r="H11" s="8" t="inlineStr">
        <is>
          <t>N/A – new indicator</t>
        </is>
      </c>
      <c r="I11" s="8" t="inlineStr"/>
      <c r="J11" s="8" t="inlineStr"/>
      <c r="K11" s="8" t="inlineStr"/>
      <c r="L11" s="8" t="n"/>
      <c r="M11" s="8" t="n"/>
      <c r="N11" s="8" t="n"/>
      <c r="O11" s="8" t="n"/>
      <c r="P11" s="8" t="n"/>
      <c r="Q11" s="8" t="n"/>
      <c r="R11" s="8" t="n"/>
    </row>
    <row r="12" ht="150" customHeight="1">
      <c r="B12" s="7" t="inlineStr">
        <is>
          <t>CL2(c)</t>
        </is>
      </c>
      <c r="C12" s="51" t="inlineStr">
        <is>
          <t>Climate leadership</t>
        </is>
      </c>
      <c r="D12" s="51" t="inlineStr">
        <is>
          <t>Develop understanding of our research and education programs that contribute to accelerating global decarbonisation and our own climate transition.</t>
        </is>
      </c>
      <c r="E12" s="51" t="inlineStr">
        <is>
          <t>Ongoing communications that evidence the University’s climate action, research and learning to inform policy, sector and community decarbonisation efforts.</t>
        </is>
      </c>
      <c r="F12" s="8" t="inlineStr">
        <is>
          <t>In end-2025 reporting your area reported on the related SP2030 target 5b(ii) and rated it 'Met or exceeded' (see Column J – click [+] above Columns I–K). Please build on this rather than repeating it, focusing on what is new in 2026.
List and describe communications from the faculty in terms of climate action, research and learning to inform policy, sector and community decarbonisation efforts</t>
        </is>
      </c>
      <c r="G12" s="8" t="inlineStr">
        <is>
          <t>We will report on the University's ongoing climate communications in the Climate leadership section of the 2026 Sustainability Report, alongside contributions from Melbourne Climate Futures and the Melbourne Energy Institute.</t>
        </is>
      </c>
      <c r="H12" s="8" t="inlineStr">
        <is>
          <t>5b(ii)</t>
        </is>
      </c>
      <c r="I12" s="8" t="inlineStr">
        <is>
          <t>Met or exceeded</t>
        </is>
      </c>
      <c r="J12" s="8" t="inlineStr">
        <is>
          <t>https://pursuit.unimelb.edu.au/articles/the-worlds-most-powerful-ocean-current-could-slow-by-2050
In July 2025, the University launched its new research strategy, Advancing Research 2030: Excellence for Impact. This strategy introduced a new research impact accelerator, Climate sustainability and ecosystem health, to enable focus and partnership on research helping to address climate change and sustainability challenges. This theme was highlighted at the University’s inaugural Open Day 2025 ‘Research at Melbourne’ pavilion, which featured research on Indigenous water rights, Corroboree frog conservation and a multimedia bushfire simulation called ‘Flashover’. 
In 2025, the University published 32 media releases on sustainability initiatives, activities and research outcomes. Pursuit, the University’s research storytelling site, published 55 sustainability stories generating almost 500,000 engagements, while the University’s main social media channels received over two million impressions, 113,000 engagements and 57,000 link clicks on sustainability-related posts. 
Major sustainability stories included our researchers’ leadership at the Conference of the Parties (COP30) climate conference, the possible breakdown of the Antarctic circumpolar current, the mental health benefits of nature prescriptions, and the carbon footprint of pharmaceutical companies. 
But our biggest story of the year was the awarding of the Nobel Prize in Chemistry to Professor Richard Robson for the development of metal-organic frameworks, a new class of materials that could be crucial to the energy revolution and a low-carbon future.</t>
        </is>
      </c>
      <c r="K12" s="8" t="inlineStr">
        <is>
          <t xml:space="preserve">
https://research.unimelb.edu.au/strengths/advancing-research-2030-excellence-for-impact
https://www.unimelb.edu.au/newsroom/news/2025/october/professor-richard-robson-wins-nobel-prize-in-chemistry
https://www.unimelb.edu.au/newsroom/news/2025/november/cop30-climate-pledges-favour-land-based-carbon-removal-over-emission-cuts
https://www.unimelb.edu.au/newsroom/news/2025/november/university-of-melbourne-researchers-attend-cop30
https://www.unimelb.edu.au/newsroom/news/2025/april/scientists-map-the-genome-of-australias-most-iconic-and-endangered-frog
https://finearts-music.unimelb.edu.au/about-us/news/multimedia-artwork-provides-unique-insights-into-bushfires
https://pursuit.unimelb.edu.au/articles/Nature-prescriptions-deliver-mental-health-benefits-worth-more-than-four-times-their-cost
https://pursuit.unimelb.edu.au/articles/australias-largest-pharmaceutical-companies-need-to-do-more-to-reduce-their-carbon-footprint</t>
        </is>
      </c>
      <c r="L12" s="8" t="n"/>
      <c r="M12" s="8" t="n"/>
      <c r="N12" s="8" t="n"/>
      <c r="O12" s="8" t="n"/>
      <c r="P12" s="8" t="n"/>
      <c r="Q12" s="8" t="n"/>
      <c r="R12" s="8" t="n"/>
    </row>
    <row r="13" ht="150" customHeight="1">
      <c r="B13" s="7" t="inlineStr">
        <is>
          <t>EN1(c)</t>
        </is>
      </c>
      <c r="C13" s="51" t="inlineStr">
        <is>
          <t>Enablers</t>
        </is>
      </c>
      <c r="D13" s="51" t="inlineStr">
        <is>
          <t>Enablers</t>
        </is>
      </c>
      <c r="E13" s="51" t="inlineStr">
        <is>
          <t>Coordinated internal engagement and external partnerships contributing to delivery of sustainability outcomes across priority areas.</t>
        </is>
      </c>
      <c r="F13" s="8" t="inlineStr">
        <is>
          <t>In end-2025 reporting your area reported on the related SP2030 target 3e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3" s="8" t="inlineStr">
        <is>
          <t>We will report on internal engagement and partnerships contributing to Sustainability 2030 outcomes, and update our record of sustainability-focused communities of practice and contacts across the University.</t>
        </is>
      </c>
      <c r="H13" s="8" t="inlineStr">
        <is>
          <t>3e</t>
        </is>
      </c>
      <c r="I13" s="8" t="inlineStr">
        <is>
          <t>Met or exceeded</t>
        </is>
      </c>
      <c r="J13" s="8" t="inlineStr">
        <is>
          <t>A total of 1,947 alumni have attended one or more of the 70 climate or sustainability-related events so far this year, a small increase over the 2024 total.  Overall alumni engagement has declined slightly from last year, and so this result is encouraging.  Additional focus on impact in this space has been incorporated into the strategic planning activities for 2026 with the hopes of further widening and deepening engagement.</t>
        </is>
      </c>
      <c r="K13" s="8" t="inlineStr"/>
      <c r="L13" s="8" t="n"/>
      <c r="M13" s="8" t="n"/>
      <c r="N13" s="8" t="n"/>
      <c r="O13" s="8" t="n"/>
      <c r="P13" s="8" t="n"/>
      <c r="Q13" s="8" t="n"/>
      <c r="R13" s="8" t="n"/>
    </row>
    <row r="14"/>
  </sheetData>
  <mergeCells count="3">
    <mergeCell ref="C7:G7"/>
    <mergeCell ref="L7:R7"/>
    <mergeCell ref="H7:K7"/>
  </mergeCells>
  <dataValidations count="2">
    <dataValidation sqref="L10:L13" showDropDown="0" showInputMessage="0" showErrorMessage="0" allowBlank="1" errorTitle="Invalid entry" error="Please select from the dropdown" type="list">
      <formula1>=Lists!$B$3:$B$7</formula1>
    </dataValidation>
    <dataValidation sqref="Q10:Q13"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Global, Culture and Engagement (GCE)</t>
        </is>
      </c>
    </row>
    <row r="3">
      <c r="B3" s="20" t="inlineStr">
        <is>
          <t>Consolidated responses – paste from returned request workbooks (identical column layout). Click [+] above Columns H–K for end-2025 responses.</t>
        </is>
      </c>
    </row>
    <row r="5">
      <c r="B5" s="46" t="inlineStr">
        <is>
          <t>1.1  GCE – Global, Culture and Engagement</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N/A – new indicator</t>
        </is>
      </c>
      <c r="I10" s="8" t="inlineStr"/>
      <c r="J10" s="8" t="inlineStr"/>
      <c r="K10" s="8" t="inlineStr"/>
      <c r="L10" s="8" t="n"/>
      <c r="M10" s="8" t="n"/>
      <c r="N10" s="8" t="n"/>
      <c r="O10" s="8" t="n"/>
      <c r="P10" s="8" t="n"/>
      <c r="Q10" s="8" t="n"/>
      <c r="R10" s="8" t="n"/>
    </row>
    <row r="11" ht="150" customHeight="1">
      <c r="B11" s="7" t="inlineStr">
        <is>
          <t>EN1(c)</t>
        </is>
      </c>
      <c r="C11" s="51" t="inlineStr">
        <is>
          <t>Enablers</t>
        </is>
      </c>
      <c r="D11" s="51" t="inlineStr">
        <is>
          <t>Enablers</t>
        </is>
      </c>
      <c r="E11" s="51" t="inlineStr">
        <is>
          <t>Coordinated internal engagement and external partnerships contributing to delivery of sustainability outcomes across priority areas.</t>
        </is>
      </c>
      <c r="F11" s="8" t="inlineStr">
        <is>
          <t>In end-2025 reporting your area reported on the related SP2030 target 7c(ii) and rated it 'Met or exceeded' (see Column J – click [+] above Columns I–K).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1" s="8" t="inlineStr">
        <is>
          <t>We will report on internal engagement and partnerships contributing to Sustainability 2030 outcomes, and update our record of sustainability-focused communities of practice and contacts across the University.</t>
        </is>
      </c>
      <c r="H11" s="8" t="inlineStr">
        <is>
          <t>7c(ii)</t>
        </is>
      </c>
      <c r="I11" s="8" t="inlineStr">
        <is>
          <t>Met or exceeded</t>
        </is>
      </c>
      <c r="J11" s="8"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1" s="8"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0"/>
    <pageSetUpPr/>
  </sheetPr>
  <dimension ref="A1:R13"/>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Education</t>
        </is>
      </c>
    </row>
    <row r="3">
      <c r="B3" s="20" t="inlineStr">
        <is>
          <t>Consolidated responses – paste from returned request workbooks (identical column layout). Click [+] above Columns H–K for end-2025 responses.</t>
        </is>
      </c>
    </row>
    <row r="5">
      <c r="B5" s="46" t="inlineStr">
        <is>
          <t>1.1  Education – Chancellery Education</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EE1(a)</t>
        </is>
      </c>
      <c r="C10" s="51" t="inlineStr">
        <is>
          <t>Exceptional education</t>
        </is>
      </c>
      <c r="D10" s="51" t="inlineStr">
        <is>
          <t>Provide our students with learning experiences that help them build the knowledge, skills and relationships to lead change for sustainable societies.</t>
        </is>
      </c>
      <c r="E10" s="51" t="inlineStr">
        <is>
          <t>Evidence of innovative approaches to sustainability teaching and learning</t>
        </is>
      </c>
      <c r="F10" s="8" t="inlineStr">
        <is>
          <t>In end-2025 reporting your area reported on the related SP2030 target 4a(ii) and rated it 'Not yet started' (see Column J – click [+] above Columns I–K). Please build on this rather than repeating it, focusing on what is new in 2026.
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G10" s="8"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0" s="8" t="inlineStr">
        <is>
          <t>4a(ii)</t>
        </is>
      </c>
      <c r="I10" s="8" t="inlineStr">
        <is>
          <t>Not yet started</t>
        </is>
      </c>
      <c r="J10" s="8" t="inlineStr">
        <is>
          <t>The Joining Melbourne Module on sustainability is available to all commencing undergraduate students, and several Discovery subjects (completed by all commencing undergraduate students) embed sustainability themes. Work on embedded sustainability within the curriculum is underway at the faculty-level despite the unfunded nature of the sustainability touchstone work planned within ASE.</t>
        </is>
      </c>
      <c r="K10" s="8" t="inlineStr">
        <is>
          <t>As per mid-2025: this is unfunded (including new curriculum management system). Faculties are pursuing this but central efforts are on hold.</t>
        </is>
      </c>
      <c r="L10" s="8" t="n"/>
      <c r="M10" s="8" t="n"/>
      <c r="N10" s="8" t="n"/>
      <c r="O10" s="8" t="n"/>
      <c r="P10" s="8" t="n"/>
      <c r="Q10" s="8" t="n"/>
      <c r="R10" s="8" t="n"/>
    </row>
    <row r="11" ht="150" customHeight="1">
      <c r="B11" s="7" t="inlineStr">
        <is>
          <t>EE1(b)</t>
        </is>
      </c>
      <c r="C11" s="51" t="inlineStr">
        <is>
          <t>Exceptional education</t>
        </is>
      </c>
      <c r="D11" s="51" t="inlineStr">
        <is>
          <t>Provide our students with learning experiences that help them build the knowledge, skills and relationships to lead change for sustainable societies.</t>
        </is>
      </c>
      <c r="E11" s="51" t="inlineStr">
        <is>
          <t>Pilots of possible approaches for understanding and developing students’ sustainability self-efficacy</t>
        </is>
      </c>
      <c r="F11"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G11" s="8" t="inlineStr">
        <is>
          <t>This is a new indicator. We will use responses to establish a baseline of how (and whether) faculties are understanding student sustainability self-efficacy, and report on early pilots in the 2026 Sustainability Report. A nil response is useful to us.</t>
        </is>
      </c>
      <c r="H11" s="8" t="inlineStr">
        <is>
          <t>N/A – new indicator</t>
        </is>
      </c>
      <c r="I11" s="8" t="inlineStr"/>
      <c r="J11" s="8" t="inlineStr"/>
      <c r="K11" s="8" t="inlineStr"/>
      <c r="L11" s="8" t="n"/>
      <c r="M11" s="8" t="n"/>
      <c r="N11" s="8" t="n"/>
      <c r="O11" s="8" t="n"/>
      <c r="P11" s="8" t="n"/>
      <c r="Q11" s="8" t="n"/>
      <c r="R11" s="8" t="n"/>
    </row>
    <row r="12" ht="150" customHeight="1">
      <c r="B12" s="7" t="inlineStr">
        <is>
          <t>EN1(c)</t>
        </is>
      </c>
      <c r="C12" s="51" t="inlineStr">
        <is>
          <t>Enablers</t>
        </is>
      </c>
      <c r="D12" s="51" t="inlineStr">
        <is>
          <t>Enablers</t>
        </is>
      </c>
      <c r="E12" s="51" t="inlineStr">
        <is>
          <t>Coordinated internal engagement and external partnerships contributing to delivery of sustainability outcomes across priority areas.</t>
        </is>
      </c>
      <c r="F12" s="8" t="inlineStr">
        <is>
          <t>We did not receive an end-2025 response for the related SP2030 target 3a(ii), so please include any relevant activity from across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2" s="8" t="inlineStr">
        <is>
          <t>We will report on internal engagement and partnerships contributing to Sustainability 2030 outcomes, and update our record of sustainability-focused communities of practice and contacts across the University.</t>
        </is>
      </c>
      <c r="H12" s="8" t="inlineStr">
        <is>
          <t>3a(ii)</t>
        </is>
      </c>
      <c r="I12" s="8" t="inlineStr"/>
      <c r="J12" s="8" t="inlineStr"/>
      <c r="K12" s="8" t="inlineStr">
        <is>
          <t>As per mid-2025: this is not relevant to Ed portfolio. Suggest removing.</t>
        </is>
      </c>
      <c r="L12" s="8" t="n"/>
      <c r="M12" s="8" t="n"/>
      <c r="N12" s="8" t="n"/>
      <c r="O12" s="8" t="n"/>
      <c r="P12" s="8" t="n"/>
      <c r="Q12" s="8" t="n"/>
      <c r="R12" s="8" t="n"/>
    </row>
    <row r="13"/>
  </sheetData>
  <mergeCells count="3">
    <mergeCell ref="C7:G7"/>
    <mergeCell ref="L7:R7"/>
    <mergeCell ref="H7:K7"/>
  </mergeCells>
  <dataValidations count="2">
    <dataValidation sqref="L10:L12" showDropDown="0" showInputMessage="0" showErrorMessage="0" allowBlank="1" errorTitle="Invalid entry" error="Please select from the dropdown" type="list">
      <formula1>=Lists!$B$3:$B$7</formula1>
    </dataValidation>
    <dataValidation sqref="Q10:Q12"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0"/>
    <pageSetUpPr/>
  </sheetPr>
  <dimension ref="A1:R12"/>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Student and Scholarly Services (SaSS)</t>
        </is>
      </c>
    </row>
    <row r="3">
      <c r="B3" s="20" t="inlineStr">
        <is>
          <t>Consolidated responses – paste from returned request workbooks (identical column layout). Click [+] above Columns H–K for end-2025 responses.</t>
        </is>
      </c>
    </row>
    <row r="5">
      <c r="B5" s="46" t="inlineStr">
        <is>
          <t>1.1  SaSS – Student and Scholarly Services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EE1(c)</t>
        </is>
      </c>
      <c r="C10" s="51" t="inlineStr">
        <is>
          <t>Exceptional education</t>
        </is>
      </c>
      <c r="D10" s="51" t="inlineStr">
        <is>
          <t>Provide our students with learning experiences that help them build the knowledge, skills and relationships to lead change for sustainable societies.</t>
        </is>
      </c>
      <c r="E10" s="51" t="inlineStr">
        <is>
          <t>Evidence of sustainability focused experiential and co curricular learning (eg Wattle Fellowship; Melbourne Plus)</t>
        </is>
      </c>
      <c r="F10" s="8" t="inlineStr">
        <is>
          <t>In end-2025 reporting your area reported on the related SP2030 target 3b(vii) and rated it 'Met or exceeded' (see Column J – click [+] above Columns I–K). Please build on this rather than repeating it, focusing on what is new in 2026.
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G10" s="8" t="inlineStr">
        <is>
          <t>We will combine faculty examples with central Wattle Fellowship and Melbourne Plus data to report on the range and reach of sustainability-focused experiential and co-curricular learning across the University.</t>
        </is>
      </c>
      <c r="H10" s="8" t="inlineStr">
        <is>
          <t>3b(vii)</t>
        </is>
      </c>
      <c r="I10" s="8" t="inlineStr">
        <is>
          <t>Met or exceeded</t>
        </is>
      </c>
      <c r="J10" s="8" t="inlineStr">
        <is>
          <t>Number of student particpation in a sustainability activity in 2025: 466 (14% increase YTY from 2024).
Number of total credentials released for Sustainability Advocacy in 2025: 297 (29% increase YTY from 2024)</t>
        </is>
      </c>
      <c r="K10" s="8" t="inlineStr">
        <is>
          <t>See also case studies on Melbourne Plus in the Chanc. Ed. SASS spreadsheet.</t>
        </is>
      </c>
      <c r="L10" s="8" t="n"/>
      <c r="M10" s="8" t="n"/>
      <c r="N10" s="8" t="n"/>
      <c r="O10" s="8" t="n"/>
      <c r="P10" s="8" t="n"/>
      <c r="Q10" s="8" t="n"/>
      <c r="R10" s="8" t="n"/>
    </row>
    <row r="11" ht="150" customHeight="1">
      <c r="B11" s="7" t="inlineStr">
        <is>
          <t>EE1(d)</t>
        </is>
      </c>
      <c r="C11" s="51" t="inlineStr">
        <is>
          <t>Exceptional education</t>
        </is>
      </c>
      <c r="D11" s="51" t="inlineStr">
        <is>
          <t>Provide our students with learning experiences that help them build the knowledge, skills and relationships to lead change for sustainable societies.</t>
        </is>
      </c>
      <c r="E11" s="51" t="inlineStr">
        <is>
          <t>Alumni profiles demonstrating how graduates contribute to sustainability through their careers or communities.</t>
        </is>
      </c>
      <c r="F11" s="8" t="inlineStr">
        <is>
          <t>In end-2025 reporting your area reported on the related SP2030 target 3b(ii) and rated it 'Met or exceeded' (see Column J – click [+] above Columns I–K). Please build on this rather than repeating it, focusing on what is new in 2026.
Can you list any notable alumni working in sustainability? (Name, course and graduating year, a short summary and a link to a profile if available; please note whether consent to be featured is likely.)</t>
        </is>
      </c>
      <c r="G11" s="8" t="inlineStr">
        <is>
          <t>We will use nominated alumni to develop short graduate profiles for the 2026 Sustainability Report (subject to consent), and record any faculty approaches to tracking graduate outcomes to inform how this indicator is measured from 2027.</t>
        </is>
      </c>
      <c r="H11" s="8" t="inlineStr">
        <is>
          <t>3b(ii)</t>
        </is>
      </c>
      <c r="I11" s="8" t="inlineStr">
        <is>
          <t>Met or exceeded</t>
        </is>
      </c>
      <c r="J11" s="8" t="inlineStr">
        <is>
          <t>A sustainability approach is taken at large scale student events, including MCCs, Exams &amp; Grads (no takeaway containers, reusable cutlery and plates (partnering with Green My Plate), water refill stations etc). The previously printed graduation ceremony program was converted to a digital offering in 2025. 
The team are reviewing the process of testamur creation to reduce waste from templates becoming superseded when updates are made to signatories. 
Digital signage was used for examination venue entrances reducing wasted printed materials, and the continued adoption of digital exam types reduces the volume of exam papers printed.
Campus Canteen
Sustainability remained a strong focus across event delivery and Campus Canteen operations throughout 2025, with significant progress made in reducing waste and embedding more environmentally conscious practices across campus. At major student events, we expanded the use of Green My Plate, ensuring all events attracting more than 1,000 students utilised their reusable plate service. This included Discover Unimelb events such as Moon Festival (1,800 participants) and Diwali (1,450 participants), further reducing single‑use packaging and landfill.
Within the Campus Canteen, the Choose to Reuse program saw strong engagement. At Parkville, 901 kg of landfill was saved through the use of reusable crockery across the year. Students continued to show a strong preference for dining together on campus, with 75% of all meals served as dine‑in. Out of 80,070 meals sold, this equates to approximately 60,053 meals consumed using reusable crockery. These patterns reflect students valuing both sustainability and shared social meal experiences.
In Semester 2, the team continued to broaden its sustainability efforts by trialling options for students to bring their own food containers, with activation timed during Sustainability Week to drive awareness and participation. These trials provided valuable insights into operational feasibility and student appetite for extended low‑waste initiatives.
Collectively these efforts demonstrate meaningful progress in reducing landfill, strengthening sustainable event practices, and embedding reuse behaviours across the University community."
"Collateral
Scholarly Services have updated the design of print Library Guides to remove the date and reduce the need to re-print annually (~5000 per year). We have chosen to update old versions manually so they can be used instead of discarded. Supplies for student workshops have been purchased second-hand where possible – including lego for ABP Library events. For a staff activity, we re-purposed outdated student calendars.
Exams
The Semester 1 Conversion of Written Exams to Digital Exams demonstrates the impact of collaboration between TLI and EG in delivering measurable sustainability outcomes. By embedding digital-first practices in assessment operations, this joint project has already saved 125,000 printed pages and nearly 5,000 sittings from paper use.
Building projects: 
Sustainability is a core principle of the Special Collections Project, informing all proposed works across the Baillieu Library. It underpins decisions relating to the design, form, and function of every element of the redevelopment. As part of this commitment, Project Net Zero has been engaged to proactively divert surplus furniture and fittings from landfill through repurposing, reuse, and donation to community organisations. "
Refer to the 2 tabs for detailed information:SASS- UCRL detail (mid-2025) &amp; SASS - UCRL detail (end-2025) 
"Forms
The Health service has reduced the use of patient forms in 2025 by 75% through increased and better use of EMR and appointment systems (BP/Automed) implemented in 2024. Documents are saved to the central Health Service drive and are then emailed (encrypted) to the patients. Practitioners are not yet fully utilising the emailing function on BP, this will be addressed in 2026. We are continuing e-Faxing testing and we expect that it will be fully operational by Quarter 2 2026, this has been delayed as there have been university network issues preventing implementation. 
Events
All events led by the Health Promotion Program adopt a sustainability-focused approach. This includes eliminating disposable giveaways, using the Choose to Reuse service (reusable cups, plates, and cutlery), and engaging suppliers approved through the Sustainable Event Guidelines. Reusable signage and QR codes have replaced printed collateral to further reduce waste.
As part of Sustainability Week 2025, the Health Promotion Program delivered a range of events, including music therapy sessions in the System Gardens, sustainable cooking workshops, and a panel discussion exploring pressing sustainability issues and their impact on health and wellbeing"
"MU Sport joined SASS in October 2025 and is currently in a transitional phase, with a new strategic plan, partnership roadmap and people plan all due for delivery by the end of February 2026. As such, there was limited capacity to fully engage with and implement the SASS sustainability initiatives into large scale events in 2025 as these had all been fully scoped and planned prior to cutting over into SASS. 
Sustainability is a key consideration in shaping the future plans for MU Sport and will guide the planning and delivery of large scale sporting events in 2026 and beyond."
"All onshore Future Students activities on campus have an active sustainable focus. This embedded practice is front of mind for the team across Future Students, and we are looking to formalise a checklist in our Future Students Activities Plan. 
We're reducing general waste, printing less, limiting ""gimmicky"" or one-use merchandise and when catering, preference vendors who have environmentally sustainable practices or use food trucks where food is made to order. 
We have met our 2025 target by shifting 100% of eligible on‑campus events to food vouchers instead of catering, reducing food waste while meeting required vendor minimums."</t>
        </is>
      </c>
      <c r="K11" s="8" t="inlineStr">
        <is>
          <t>See details in Chancellery Ed. (SASS) spreadsheet, including data on sustainability-themed event participation in UOM managed student accommodation</t>
        </is>
      </c>
      <c r="L11" s="8" t="n"/>
      <c r="M11" s="8" t="n"/>
      <c r="N11" s="8" t="n"/>
      <c r="O11" s="8" t="n"/>
      <c r="P11" s="8" t="n"/>
      <c r="Q11" s="8" t="n"/>
      <c r="R11" s="8" t="n"/>
    </row>
    <row r="12"/>
  </sheetData>
  <mergeCells count="3">
    <mergeCell ref="C7:G7"/>
    <mergeCell ref="L7:R7"/>
    <mergeCell ref="H7:K7"/>
  </mergeCells>
  <dataValidations count="2">
    <dataValidation sqref="L10:L11" showDropDown="0" showInputMessage="0" showErrorMessage="0" allowBlank="1" errorTitle="Invalid entry" error="Please select from the dropdown" type="list">
      <formula1>=Lists!$B$3:$B$7</formula1>
    </dataValidation>
    <dataValidation sqref="Q10:Q11"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Chancellery Indigenous</t>
        </is>
      </c>
    </row>
    <row r="3">
      <c r="B3" s="20" t="inlineStr">
        <is>
          <t>Consolidated responses – paste from returned request workbooks (identical column layout). Click [+] above Columns H–K for end-2025 responses.</t>
        </is>
      </c>
    </row>
    <row r="5">
      <c r="B5" s="46" t="inlineStr">
        <is>
          <t>1.1  Indigenous – Chancellery Indigenous</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EN1(a)</t>
        </is>
      </c>
      <c r="C10" s="51" t="inlineStr">
        <is>
          <t>Enablers</t>
        </is>
      </c>
      <c r="D10" s="51" t="inlineStr">
        <is>
          <t>Enablers</t>
        </is>
      </c>
      <c r="E10" s="51" t="inlineStr">
        <is>
          <t>Evidence of sustainability outcomes informed by Indigenous knowledges</t>
        </is>
      </c>
      <c r="F10" s="8" t="inlineStr">
        <is>
          <t>We did not receive an end-2025 response for the related SP2030 target 6a, so please include any relevant activity from across 2026.
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0" s="8" t="inlineStr">
        <is>
          <t>We will report on the ways Indigenous knowledges inform sustainability activities across the University, and develop selected examples into case studies with appropriate permissions.</t>
        </is>
      </c>
      <c r="H10" s="8" t="inlineStr">
        <is>
          <t>6a</t>
        </is>
      </c>
      <c r="I10" s="8" t="inlineStr"/>
      <c r="J10" s="8" t="inlineStr"/>
      <c r="K10" s="8" t="inlineStr"/>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0"/>
    <pageSetUpPr/>
  </sheetPr>
  <dimension ref="A1:R11"/>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Legal and Risk</t>
        </is>
      </c>
    </row>
    <row r="3">
      <c r="B3" s="20" t="inlineStr">
        <is>
          <t>Consolidated responses – paste from returned request workbooks (identical column layout). Click [+] above Columns H–K for end-2025 responses.</t>
        </is>
      </c>
    </row>
    <row r="5">
      <c r="B5" s="46" t="inlineStr">
        <is>
          <t>1.1  Legal &amp; Risk – Risk &amp; resilience</t>
        </is>
      </c>
    </row>
    <row r="7">
      <c r="C7" s="47" t="inlineStr">
        <is>
          <t>Sustainability 2030 target and indicator</t>
        </is>
      </c>
      <c r="H7" s="47" t="inlineStr">
        <is>
          <t>End-2025 reporting (click the ref to see your full SR25 response; [+] above expands a summary)</t>
        </is>
      </c>
      <c r="L7" s="48" t="inlineStr">
        <is>
          <t>End-2026 reporting (PLEASE COMPLETE THIS SECTION)</t>
        </is>
      </c>
    </row>
    <row r="8">
      <c r="B8" s="6" t="inlineStr">
        <is>
          <t>Ref</t>
        </is>
      </c>
      <c r="C8" s="6" t="inlineStr">
        <is>
          <t>Priority area</t>
        </is>
      </c>
      <c r="D8" s="6" t="inlineStr">
        <is>
          <t>Sustainability 2030 target</t>
        </is>
      </c>
      <c r="E8" s="6" t="inlineStr">
        <is>
          <t>Indicator</t>
        </is>
      </c>
      <c r="F8" s="6" t="inlineStr">
        <is>
          <t>2026 Reporting request</t>
        </is>
      </c>
      <c r="G8" s="6" t="inlineStr">
        <is>
          <t>How SST will use this data</t>
        </is>
      </c>
      <c r="H8" s="6" t="inlineStr">
        <is>
          <t>Related SR25 ref</t>
        </is>
      </c>
      <c r="I8" s="6" t="inlineStr">
        <is>
          <t>End-2025 confirmed status</t>
        </is>
      </c>
      <c r="J8" s="6" t="inlineStr">
        <is>
          <t>End-2025 reporting response</t>
        </is>
      </c>
      <c r="K8" s="6" t="inlineStr">
        <is>
          <t>Links and supporting information</t>
        </is>
      </c>
      <c r="L8" s="49" t="inlineStr">
        <is>
          <t>Confirm end-2026 target status</t>
        </is>
      </c>
      <c r="M8" s="49" t="inlineStr">
        <is>
          <t>OPTION 1:  Target-level reporting (Column D)</t>
        </is>
      </c>
      <c r="N8" s="49" t="inlineStr">
        <is>
          <t>OPTION 2:  Indicator level reporting (Column E/F)</t>
        </is>
      </c>
      <c r="O8" s="49" t="inlineStr">
        <is>
          <t>Supporting information/comments</t>
        </is>
      </c>
      <c r="P8" s="49" t="inlineStr">
        <is>
          <t>Data source and limitations</t>
        </is>
      </c>
      <c r="Q8" s="49" t="inlineStr">
        <is>
          <t>Data owner confirms information is accurate</t>
        </is>
      </c>
      <c r="R8" s="49" t="inlineStr">
        <is>
          <t>Confirmed by (name, role, date)</t>
        </is>
      </c>
    </row>
    <row r="9">
      <c r="B9" s="50" t="inlineStr"/>
      <c r="C9" s="50" t="inlineStr"/>
      <c r="D9" s="50" t="inlineStr"/>
      <c r="E9" s="50" t="inlineStr"/>
      <c r="F9" s="50" t="inlineStr"/>
      <c r="G9" s="50" t="inlineStr"/>
      <c r="H9" s="50" t="inlineStr"/>
      <c r="I9" s="50" t="inlineStr"/>
      <c r="J9" s="50" t="inlineStr"/>
      <c r="K9" s="50" t="inlineStr"/>
      <c r="L9" s="50" t="inlineStr">
        <is>
          <t>(Met or exceeded; partially met; not met; not yet started)</t>
        </is>
      </c>
      <c r="M9" s="50" t="inlineStr">
        <is>
          <t>Provide further evidence of target status assessment in the form of:
A general update on activities in relation to the overarching target (Column D)</t>
        </is>
      </c>
      <c r="N9" s="50" t="inlineStr">
        <is>
          <t>Provide further evidence of target status assessment in the form of:
Data and commentary in direct response to the reporting request (Column F)</t>
        </is>
      </c>
      <c r="O9" s="50" t="inlineStr">
        <is>
          <t>Provide any additional information to support the target status assessment (e.g. links, images, rationale for selection of target status)</t>
        </is>
      </c>
      <c r="P9" s="50" t="inlineStr">
        <is>
          <t>Where did this information come from (system, report, survey, person)? Note any gaps or limitations.</t>
        </is>
      </c>
      <c r="Q9" s="50" t="inlineStr">
        <is>
          <t>Select 'Yes' to confirm the information provided is accurate and can be used for reporting</t>
        </is>
      </c>
      <c r="R9" s="50" t="inlineStr">
        <is>
          <t>Name, role and date of the person confirming</t>
        </is>
      </c>
    </row>
    <row r="10" ht="150" customHeight="1">
      <c r="B10" s="7" t="inlineStr">
        <is>
          <t>CL3(a)</t>
        </is>
      </c>
      <c r="C10" s="51" t="inlineStr">
        <is>
          <t>Climate leadership</t>
        </is>
      </c>
      <c r="D10" s="51" t="inlineStr">
        <is>
          <t>Reach and maintain high levels of climate-change resilience maturity</t>
        </is>
      </c>
      <c r="E10"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0" s="8" t="inlineStr">
        <is>
          <t>In end-2025 reporting your area reported on the related SP2030 target 8a(i) and rated it 'Met or exceeded' (see Column J – click [+] above Columns I–K). Please build on this rather than repeating it, focusing on what is new in 2026.
Provide update of University maturity assesment. Include maturity ratings, key gaps and priority improvement actions.when available</t>
        </is>
      </c>
      <c r="G10" s="8" t="inlineStr">
        <is>
          <t>We will report the University's climate-change resilience maturity rating, key gaps and priority actions in the 2026 Sustainability Report (building on the Climate Change Preparedness Framework assessment reported in 2025).</t>
        </is>
      </c>
      <c r="H10" s="8" t="inlineStr">
        <is>
          <t>8a(i)</t>
        </is>
      </c>
      <c r="I10" s="8" t="inlineStr">
        <is>
          <t>Met or exceeded</t>
        </is>
      </c>
      <c r="J10" s="8"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0" s="8" t="inlineStr">
        <is>
          <t>All University risks including Risk 16 Climate Change were presented to RMCC and ARC in Nov 25 for their oversight.
There will be a risk presentation of Risk 16 Climate Change at RMCC Meeting 1 in Feb 2026.</t>
        </is>
      </c>
      <c r="L10" s="8" t="n"/>
      <c r="M10" s="8" t="n"/>
      <c r="N10" s="8" t="n"/>
      <c r="O10" s="8" t="n"/>
      <c r="P10" s="8" t="n"/>
      <c r="Q10" s="8" t="n"/>
      <c r="R10" s="8" t="n"/>
    </row>
    <row r="11"/>
  </sheetData>
  <mergeCells count="3">
    <mergeCell ref="C7:G7"/>
    <mergeCell ref="L7:R7"/>
    <mergeCell ref="H7:K7"/>
  </mergeCells>
  <dataValidations count="2">
    <dataValidation sqref="L10" showDropDown="0" showInputMessage="0" showErrorMessage="0" allowBlank="1" errorTitle="Invalid entry" error="Please select from the dropdown" type="list">
      <formula1>=Lists!$B$3:$B$7</formula1>
    </dataValidation>
    <dataValidation sqref="Q10" showDropDown="0" showInputMessage="0" showErrorMessage="0" allowBlank="1" errorTitle="Invalid entry" error="Please select from the dropdown" type="list">
      <formula1>=Lists!$C$2:$C$4</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K238"/>
  <sheetViews>
    <sheetView showGridLines="0" workbookViewId="0">
      <pane xSplit="7" ySplit="10" topLeftCell="H11" activePane="bottomRight" state="frozen"/>
      <selection pane="topRight"/>
      <selection pane="bottomLeft"/>
      <selection pane="bottomRight" activeCell="A1" sqref="A1"/>
    </sheetView>
  </sheetViews>
  <sheetFormatPr baseColWidth="8" defaultRowHeight="15"/>
  <cols>
    <col hidden="1" width="13" customWidth="1" min="1" max="1"/>
    <col width="9" customWidth="1" min="2" max="2"/>
    <col width="16" customWidth="1" min="3" max="3"/>
    <col width="36" customWidth="1" min="4" max="4"/>
    <col width="36" customWidth="1" min="5" max="5"/>
    <col width="9" customWidth="1" min="6" max="6"/>
    <col width="3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s>
  <sheetData>
    <row r="1">
      <c r="A1" s="1" t="inlineStr">
        <is>
          <t>↑</t>
        </is>
      </c>
      <c r="B1" s="2" t="inlineStr">
        <is>
          <t>End-2026 target status assessment and reporting</t>
        </is>
      </c>
    </row>
    <row r="2">
      <c r="B2" s="3" t="inlineStr">
        <is>
          <t>A1. Data scoring summary tab</t>
        </is>
      </c>
    </row>
    <row r="4">
      <c r="C4" s="32" t="inlineStr">
        <is>
          <t>Description</t>
        </is>
      </c>
      <c r="D4" s="9" t="inlineStr">
        <is>
          <t>Pulls every unit's end-2026 response for each indicator from the Faculties and central-unit tabs (do not type in the grey cells). 'N/A' = not requested from that unit. Status is scored Met or exceeded = 3, Partially met = 2, Not met = 1, Not yet started = 0 (as SR25). Threshold status applies the SR25 final assessment rule: &gt;75% 'met' = Met or exceeded; 50–75% 'met' or 'partially met' = Partially met; otherwise Not met.</t>
        </is>
      </c>
    </row>
    <row r="5"/>
    <row r="6"/>
    <row r="9">
      <c r="H9" s="52" t="inlineStr">
        <is>
          <t>Faculty</t>
        </is>
      </c>
      <c r="I9" s="52" t="inlineStr">
        <is>
          <t>Faculty</t>
        </is>
      </c>
      <c r="J9" s="52" t="inlineStr">
        <is>
          <t>Faculty</t>
        </is>
      </c>
      <c r="K9" s="52" t="inlineStr">
        <is>
          <t>Faculty</t>
        </is>
      </c>
      <c r="L9" s="52" t="inlineStr">
        <is>
          <t>Central</t>
        </is>
      </c>
      <c r="M9" s="52" t="inlineStr">
        <is>
          <t>Central</t>
        </is>
      </c>
      <c r="N9" s="52" t="inlineStr">
        <is>
          <t>Central</t>
        </is>
      </c>
      <c r="O9" s="52" t="inlineStr">
        <is>
          <t>Central</t>
        </is>
      </c>
      <c r="P9" s="52" t="inlineStr">
        <is>
          <t>Central</t>
        </is>
      </c>
      <c r="Q9" s="52" t="inlineStr">
        <is>
          <t>Central</t>
        </is>
      </c>
      <c r="R9" s="52" t="inlineStr">
        <is>
          <t>Central</t>
        </is>
      </c>
      <c r="S9" s="52" t="inlineStr">
        <is>
          <t>Central</t>
        </is>
      </c>
      <c r="T9" s="52" t="inlineStr">
        <is>
          <t>Central</t>
        </is>
      </c>
      <c r="U9" s="52" t="inlineStr">
        <is>
          <t>Central</t>
        </is>
      </c>
      <c r="V9" s="52" t="inlineStr">
        <is>
          <t>Central</t>
        </is>
      </c>
      <c r="W9" s="52" t="inlineStr">
        <is>
          <t>Central</t>
        </is>
      </c>
      <c r="X9" s="52" t="inlineStr">
        <is>
          <t>Central</t>
        </is>
      </c>
    </row>
    <row r="10">
      <c r="B10" s="6" t="inlineStr">
        <is>
          <t>Ref.</t>
        </is>
      </c>
      <c r="C10" s="6" t="inlineStr">
        <is>
          <t>Priority area</t>
        </is>
      </c>
      <c r="D10" s="6" t="inlineStr">
        <is>
          <t>Indicator</t>
        </is>
      </c>
      <c r="E10" s="6" t="inlineStr">
        <is>
          <t>Reporting requirement</t>
        </is>
      </c>
      <c r="F10" s="6" t="inlineStr">
        <is>
          <t>Target code</t>
        </is>
      </c>
      <c r="G10" s="6" t="inlineStr">
        <is>
          <t>Target progress</t>
        </is>
      </c>
      <c r="H10" s="6" t="inlineStr">
        <is>
          <t>ABP</t>
        </is>
      </c>
      <c r="I10" s="6" t="inlineStr">
        <is>
          <t>ARTS</t>
        </is>
      </c>
      <c r="J10" s="6" t="inlineStr">
        <is>
          <t>FBE</t>
        </is>
      </c>
      <c r="K10" s="6" t="inlineStr">
        <is>
          <t>SCI</t>
        </is>
      </c>
      <c r="L10" s="6" t="inlineStr">
        <is>
          <t>CI&amp;S – Estate Planning &amp; Development</t>
        </is>
      </c>
      <c r="M10" s="6" t="inlineStr">
        <is>
          <t>CI&amp;S – Sustainability Strategy</t>
        </is>
      </c>
      <c r="N10" s="6" t="inlineStr">
        <is>
          <t>CFOG – Procurement</t>
        </is>
      </c>
      <c r="O10" s="6" t="inlineStr">
        <is>
          <t>CFOG – Treasury &amp; Investments</t>
        </is>
      </c>
      <c r="P10" s="6" t="inlineStr">
        <is>
          <t>ESG – Campus Operations &amp; Sustainability Delivery</t>
        </is>
      </c>
      <c r="Q10" s="6" t="inlineStr">
        <is>
          <t>CIOG – Responsible AI &amp; digital</t>
        </is>
      </c>
      <c r="R10" s="6" t="inlineStr">
        <is>
          <t>MRE – Research</t>
        </is>
      </c>
      <c r="S10" s="6" t="inlineStr">
        <is>
          <t>AC&amp;M – Advancement, Communication and Marketing</t>
        </is>
      </c>
      <c r="T10" s="6" t="inlineStr">
        <is>
          <t>GCE – Global, Culture and Engagement</t>
        </is>
      </c>
      <c r="U10" s="6" t="inlineStr">
        <is>
          <t>Education – Chancellery Education</t>
        </is>
      </c>
      <c r="V10" s="6" t="inlineStr">
        <is>
          <t>SaSS – Student and Scholarly Services</t>
        </is>
      </c>
      <c r="W10" s="6" t="inlineStr">
        <is>
          <t>Indigenous – Chancellery Indigenous</t>
        </is>
      </c>
      <c r="X10" s="6" t="inlineStr">
        <is>
          <t>Legal &amp; Risk – Risk &amp; resilience</t>
        </is>
      </c>
      <c r="Y10" s="6" t="n"/>
      <c r="Z10" s="6" t="inlineStr">
        <is>
          <t>Requested, no response received</t>
        </is>
      </c>
      <c r="AA10" s="6" t="inlineStr">
        <is>
          <t>Not yet started</t>
        </is>
      </c>
      <c r="AB10" s="6" t="inlineStr">
        <is>
          <t>Not met</t>
        </is>
      </c>
      <c r="AC10" s="6" t="inlineStr">
        <is>
          <t>Partially met</t>
        </is>
      </c>
      <c r="AD10" s="6" t="inlineStr">
        <is>
          <t>Met or exceeded</t>
        </is>
      </c>
      <c r="AE10" s="6" t="inlineStr">
        <is>
          <t>Total score</t>
        </is>
      </c>
      <c r="AF10" s="6" t="inlineStr">
        <is>
          <t>Total valid responses</t>
        </is>
      </c>
      <c r="AG10" s="6" t="inlineStr">
        <is>
          <t>Target score (average)</t>
        </is>
      </c>
      <c r="AH10" s="6" t="inlineStr">
        <is>
          <t>Target score (text)</t>
        </is>
      </c>
      <c r="AI10" s="6" t="inlineStr">
        <is>
          <t>% met</t>
        </is>
      </c>
      <c r="AJ10" s="6" t="inlineStr">
        <is>
          <t>% met or partially met</t>
        </is>
      </c>
      <c r="AK10" s="6" t="inlineStr">
        <is>
          <t>Threshold status (SR25 rule)</t>
        </is>
      </c>
    </row>
    <row r="11">
      <c r="A11">
        <f>F11&amp;"|"&amp;G11</f>
        <v/>
      </c>
      <c r="B11" s="7" t="inlineStr">
        <is>
          <t>EE1(a)</t>
        </is>
      </c>
      <c r="C11" s="51" t="inlineStr">
        <is>
          <t>Exceptional education</t>
        </is>
      </c>
      <c r="D11" s="51" t="inlineStr">
        <is>
          <t>Evidence of innovative approaches to sustainability teaching and learning</t>
        </is>
      </c>
      <c r="E11" s="51"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F11" s="51" t="inlineStr">
        <is>
          <t>EE1(a)</t>
        </is>
      </c>
      <c r="G11" s="51" t="inlineStr">
        <is>
          <t>Confirm end-2026 target status</t>
        </is>
      </c>
      <c r="H11" s="53">
        <f>IFERROR(IF(INDEX('Faculties'!$L$10:$L$19,MATCH($F11,'Faculties'!$B$10:$B$19,0))="","Cell will autofill based on response",INDEX('Faculties'!$L$10:$L$19,MATCH($F11,'Faculties'!$B$10:$B$19,0))),"N/A")</f>
        <v/>
      </c>
      <c r="I11" s="53">
        <f>IFERROR(IF(INDEX('Faculties'!$L$26:$L$35,MATCH($F11,'Faculties'!$B$26:$B$35,0))="","Cell will autofill based on response",INDEX('Faculties'!$L$26:$L$35,MATCH($F11,'Faculties'!$B$26:$B$35,0))),"N/A")</f>
        <v/>
      </c>
      <c r="J11" s="53">
        <f>IFERROR(IF(INDEX('Faculties'!$L$42:$L$51,MATCH($F11,'Faculties'!$B$42:$B$51,0))="","Cell will autofill based on response",INDEX('Faculties'!$L$42:$L$51,MATCH($F11,'Faculties'!$B$42:$B$51,0))),"N/A")</f>
        <v/>
      </c>
      <c r="K11" s="53">
        <f>IFERROR(IF(INDEX('Faculties'!$L$58:$L$67,MATCH($F11,'Faculties'!$B$58:$B$67,0))="","Cell will autofill based on response",INDEX('Faculties'!$L$58:$L$67,MATCH($F11,'Faculties'!$B$58:$B$67,0))),"N/A")</f>
        <v/>
      </c>
      <c r="L11" s="53">
        <f>IFERROR(IF(INDEX('CI&amp;S'!$L$10:$L$15,MATCH($F11,'CI&amp;S'!$B$10:$B$15,0))="","Cell will autofill based on response",INDEX('CI&amp;S'!$L$10:$L$15,MATCH($F11,'CI&amp;S'!$B$10:$B$15,0))),"N/A")</f>
        <v/>
      </c>
      <c r="M11" s="53">
        <f>IFERROR(IF(INDEX('CI&amp;S'!$L$22:$L$36,MATCH($F11,'CI&amp;S'!$B$22:$B$36,0))="","Cell will autofill based on response",INDEX('CI&amp;S'!$L$22:$L$36,MATCH($F11,'CI&amp;S'!$B$22:$B$36,0))),"N/A")</f>
        <v/>
      </c>
      <c r="N11" s="53">
        <f>IFERROR(IF(INDEX('CFOG'!$L$10:$L$16,MATCH($F11,'CFOG'!$B$10:$B$16,0))="","Cell will autofill based on response",INDEX('CFOG'!$L$10:$L$16,MATCH($F11,'CFOG'!$B$10:$B$16,0))),"N/A")</f>
        <v/>
      </c>
      <c r="O11" s="53">
        <f>IFERROR(IF(INDEX('CFOG'!$L$23:$L$24,MATCH($F11,'CFOG'!$B$23:$B$24,0))="","Cell will autofill based on response",INDEX('CFOG'!$L$23:$L$24,MATCH($F11,'CFOG'!$B$23:$B$24,0))),"N/A")</f>
        <v/>
      </c>
      <c r="P11" s="53">
        <f>IFERROR(IF(INDEX('ESG'!$L$10:$L$17,MATCH($F11,'ESG'!$B$10:$B$17,0))="","Cell will autofill based on response",INDEX('ESG'!$L$10:$L$17,MATCH($F11,'ESG'!$B$10:$B$17,0))),"N/A")</f>
        <v/>
      </c>
      <c r="Q11" s="53">
        <f>IFERROR(IF(INDEX('CIOG'!$L$10:$L$14,MATCH($F11,'CIOG'!$B$10:$B$14,0))="","Cell will autofill based on response",INDEX('CIOG'!$L$10:$L$14,MATCH($F11,'CIOG'!$B$10:$B$14,0))),"N/A")</f>
        <v/>
      </c>
      <c r="R11" s="53">
        <f>IFERROR(IF(INDEX('MRE'!$L$10:$L$18,MATCH($F11,'MRE'!$B$10:$B$18,0))="","Cell will autofill based on response",INDEX('MRE'!$L$10:$L$18,MATCH($F11,'MRE'!$B$10:$B$18,0))),"N/A")</f>
        <v/>
      </c>
      <c r="S11" s="53">
        <f>IFERROR(IF(INDEX('AC&amp;M'!$L$10:$L$14,MATCH($F11,'AC&amp;M'!$B$10:$B$14,0))="","Cell will autofill based on response",INDEX('AC&amp;M'!$L$10:$L$14,MATCH($F11,'AC&amp;M'!$B$10:$B$14,0))),"N/A")</f>
        <v/>
      </c>
      <c r="T11" s="53">
        <f>IFERROR(IF(INDEX('GCE'!$L$10:$L$12,MATCH($F11,'GCE'!$B$10:$B$12,0))="","Cell will autofill based on response",INDEX('GCE'!$L$10:$L$12,MATCH($F11,'GCE'!$B$10:$B$12,0))),"N/A")</f>
        <v/>
      </c>
      <c r="U11" s="53">
        <f>IFERROR(IF(INDEX('Education'!$L$10:$L$13,MATCH($F11,'Education'!$B$10:$B$13,0))="","Cell will autofill based on response",INDEX('Education'!$L$10:$L$13,MATCH($F11,'Education'!$B$10:$B$13,0))),"N/A")</f>
        <v/>
      </c>
      <c r="V11" s="53">
        <f>IFERROR(IF(INDEX('SaSS'!$L$10:$L$12,MATCH($F11,'SaSS'!$B$10:$B$12,0))="","Cell will autofill based on response",INDEX('SaSS'!$L$10:$L$12,MATCH($F11,'SaSS'!$B$10:$B$12,0))),"N/A")</f>
        <v/>
      </c>
      <c r="W11" s="53">
        <f>IFERROR(IF(INDEX('Indigenous'!$L$10:$L$11,MATCH($F11,'Indigenous'!$B$10:$B$11,0))="","Cell will autofill based on response",INDEX('Indigenous'!$L$10:$L$11,MATCH($F11,'Indigenous'!$B$10:$B$11,0))),"N/A")</f>
        <v/>
      </c>
      <c r="X11" s="53">
        <f>IFERROR(IF(INDEX('L&amp;R'!$L$10:$L$11,MATCH($F11,'L&amp;R'!$B$10:$B$11,0))="","Cell will autofill based on response",INDEX('L&amp;R'!$L$10:$L$11,MATCH($F11,'L&amp;R'!$B$10:$B$11,0))),"N/A")</f>
        <v/>
      </c>
      <c r="Z11" s="10">
        <f>COUNTIF($H11:$X11,"Cell will autofill based on response")</f>
        <v/>
      </c>
      <c r="AA11" s="10">
        <f>COUNTIF($H11:$X11,"Not yet started")</f>
        <v/>
      </c>
      <c r="AB11" s="10">
        <f>COUNTIF($H11:$X11,"Not met")</f>
        <v/>
      </c>
      <c r="AC11" s="10">
        <f>COUNTIF($H11:$X11,"Partially met")</f>
        <v/>
      </c>
      <c r="AD11" s="10">
        <f>COUNTIF($H11:$X11,"Met or exceeded")</f>
        <v/>
      </c>
      <c r="AE11" s="10">
        <f>3*AD11+2*AC11+AB11</f>
        <v/>
      </c>
      <c r="AF11" s="10">
        <f>AD11+AC11+AB11+AA11</f>
        <v/>
      </c>
      <c r="AG11" s="54">
        <f>IF(AF11&gt;0,AE11/AF11,"No valid responses to date")</f>
        <v/>
      </c>
      <c r="AH11" s="10">
        <f>IF(ISNUMBER(AG11),INDEX(Lists!$G$2:$G$5,MATCH(ROUND(AG11,0),Lists!$H$2:$H$5,0)),"")</f>
        <v/>
      </c>
      <c r="AI11" s="55">
        <f>IF(AF11&gt;0,AD11/AF11,"")</f>
        <v/>
      </c>
      <c r="AJ11" s="55">
        <f>IF(AF11&gt;0,(AD11+AC11)/AF11,"")</f>
        <v/>
      </c>
      <c r="AK11" s="10">
        <f>IF(AF11=0,"",IF(AI11&gt;0.75,"Met or exceeded",IF(AJ11&gt;=0.5,"Partially met","Not met")))</f>
        <v/>
      </c>
    </row>
    <row r="12">
      <c r="A12">
        <f>F12&amp;"|"&amp;G12</f>
        <v/>
      </c>
      <c r="B12" s="13" t="inlineStr"/>
      <c r="C12" s="8" t="inlineStr"/>
      <c r="D12" s="8" t="inlineStr"/>
      <c r="E12" s="8" t="inlineStr"/>
      <c r="F12" s="8" t="inlineStr">
        <is>
          <t>EE1(a)</t>
        </is>
      </c>
      <c r="G12" s="8" t="inlineStr">
        <is>
          <t>OPTION 1:  Target-level reporting</t>
        </is>
      </c>
      <c r="H12" s="53">
        <f>IFERROR(IF(INDEX('Faculties'!$M$10:$M$19,MATCH($F12,'Faculties'!$B$10:$B$19,0))="","Cell will autofill based on response",INDEX('Faculties'!$M$10:$M$19,MATCH($F12,'Faculties'!$B$10:$B$19,0))),"N/A")</f>
        <v/>
      </c>
      <c r="I12" s="53">
        <f>IFERROR(IF(INDEX('Faculties'!$M$26:$M$35,MATCH($F12,'Faculties'!$B$26:$B$35,0))="","Cell will autofill based on response",INDEX('Faculties'!$M$26:$M$35,MATCH($F12,'Faculties'!$B$26:$B$35,0))),"N/A")</f>
        <v/>
      </c>
      <c r="J12" s="53">
        <f>IFERROR(IF(INDEX('Faculties'!$M$42:$M$51,MATCH($F12,'Faculties'!$B$42:$B$51,0))="","Cell will autofill based on response",INDEX('Faculties'!$M$42:$M$51,MATCH($F12,'Faculties'!$B$42:$B$51,0))),"N/A")</f>
        <v/>
      </c>
      <c r="K12" s="53">
        <f>IFERROR(IF(INDEX('Faculties'!$M$58:$M$67,MATCH($F12,'Faculties'!$B$58:$B$67,0))="","Cell will autofill based on response",INDEX('Faculties'!$M$58:$M$67,MATCH($F12,'Faculties'!$B$58:$B$67,0))),"N/A")</f>
        <v/>
      </c>
      <c r="L12" s="53">
        <f>IFERROR(IF(INDEX('CI&amp;S'!$M$10:$M$15,MATCH($F12,'CI&amp;S'!$B$10:$B$15,0))="","Cell will autofill based on response",INDEX('CI&amp;S'!$M$10:$M$15,MATCH($F12,'CI&amp;S'!$B$10:$B$15,0))),"N/A")</f>
        <v/>
      </c>
      <c r="M12" s="53">
        <f>IFERROR(IF(INDEX('CI&amp;S'!$M$22:$M$36,MATCH($F12,'CI&amp;S'!$B$22:$B$36,0))="","Cell will autofill based on response",INDEX('CI&amp;S'!$M$22:$M$36,MATCH($F12,'CI&amp;S'!$B$22:$B$36,0))),"N/A")</f>
        <v/>
      </c>
      <c r="N12" s="53">
        <f>IFERROR(IF(INDEX('CFOG'!$M$10:$M$16,MATCH($F12,'CFOG'!$B$10:$B$16,0))="","Cell will autofill based on response",INDEX('CFOG'!$M$10:$M$16,MATCH($F12,'CFOG'!$B$10:$B$16,0))),"N/A")</f>
        <v/>
      </c>
      <c r="O12" s="53">
        <f>IFERROR(IF(INDEX('CFOG'!$M$23:$M$24,MATCH($F12,'CFOG'!$B$23:$B$24,0))="","Cell will autofill based on response",INDEX('CFOG'!$M$23:$M$24,MATCH($F12,'CFOG'!$B$23:$B$24,0))),"N/A")</f>
        <v/>
      </c>
      <c r="P12" s="53">
        <f>IFERROR(IF(INDEX('ESG'!$M$10:$M$17,MATCH($F12,'ESG'!$B$10:$B$17,0))="","Cell will autofill based on response",INDEX('ESG'!$M$10:$M$17,MATCH($F12,'ESG'!$B$10:$B$17,0))),"N/A")</f>
        <v/>
      </c>
      <c r="Q12" s="53">
        <f>IFERROR(IF(INDEX('CIOG'!$M$10:$M$14,MATCH($F12,'CIOG'!$B$10:$B$14,0))="","Cell will autofill based on response",INDEX('CIOG'!$M$10:$M$14,MATCH($F12,'CIOG'!$B$10:$B$14,0))),"N/A")</f>
        <v/>
      </c>
      <c r="R12" s="53">
        <f>IFERROR(IF(INDEX('MRE'!$M$10:$M$18,MATCH($F12,'MRE'!$B$10:$B$18,0))="","Cell will autofill based on response",INDEX('MRE'!$M$10:$M$18,MATCH($F12,'MRE'!$B$10:$B$18,0))),"N/A")</f>
        <v/>
      </c>
      <c r="S12" s="53">
        <f>IFERROR(IF(INDEX('AC&amp;M'!$M$10:$M$14,MATCH($F12,'AC&amp;M'!$B$10:$B$14,0))="","Cell will autofill based on response",INDEX('AC&amp;M'!$M$10:$M$14,MATCH($F12,'AC&amp;M'!$B$10:$B$14,0))),"N/A")</f>
        <v/>
      </c>
      <c r="T12" s="53">
        <f>IFERROR(IF(INDEX('GCE'!$M$10:$M$12,MATCH($F12,'GCE'!$B$10:$B$12,0))="","Cell will autofill based on response",INDEX('GCE'!$M$10:$M$12,MATCH($F12,'GCE'!$B$10:$B$12,0))),"N/A")</f>
        <v/>
      </c>
      <c r="U12" s="53">
        <f>IFERROR(IF(INDEX('Education'!$M$10:$M$13,MATCH($F12,'Education'!$B$10:$B$13,0))="","Cell will autofill based on response",INDEX('Education'!$M$10:$M$13,MATCH($F12,'Education'!$B$10:$B$13,0))),"N/A")</f>
        <v/>
      </c>
      <c r="V12" s="53">
        <f>IFERROR(IF(INDEX('SaSS'!$M$10:$M$12,MATCH($F12,'SaSS'!$B$10:$B$12,0))="","Cell will autofill based on response",INDEX('SaSS'!$M$10:$M$12,MATCH($F12,'SaSS'!$B$10:$B$12,0))),"N/A")</f>
        <v/>
      </c>
      <c r="W12" s="53">
        <f>IFERROR(IF(INDEX('Indigenous'!$M$10:$M$11,MATCH($F12,'Indigenous'!$B$10:$B$11,0))="","Cell will autofill based on response",INDEX('Indigenous'!$M$10:$M$11,MATCH($F12,'Indigenous'!$B$10:$B$11,0))),"N/A")</f>
        <v/>
      </c>
      <c r="X12" s="53">
        <f>IFERROR(IF(INDEX('L&amp;R'!$M$10:$M$11,MATCH($F12,'L&amp;R'!$B$10:$B$11,0))="","Cell will autofill based on response",INDEX('L&amp;R'!$M$10:$M$11,MATCH($F12,'L&amp;R'!$B$10:$B$11,0))),"N/A")</f>
        <v/>
      </c>
    </row>
    <row r="13">
      <c r="A13">
        <f>F13&amp;"|"&amp;G13</f>
        <v/>
      </c>
      <c r="B13" s="13" t="inlineStr"/>
      <c r="C13" s="8" t="inlineStr"/>
      <c r="D13" s="8" t="inlineStr"/>
      <c r="E13" s="8" t="inlineStr"/>
      <c r="F13" s="8" t="inlineStr">
        <is>
          <t>EE1(a)</t>
        </is>
      </c>
      <c r="G13" s="8" t="inlineStr">
        <is>
          <t>OPTION 2:  Indicator level reporting</t>
        </is>
      </c>
      <c r="H13" s="53">
        <f>IFERROR(IF(INDEX('Faculties'!$N$10:$N$19,MATCH($F13,'Faculties'!$B$10:$B$19,0))="","Cell will autofill based on response",INDEX('Faculties'!$N$10:$N$19,MATCH($F13,'Faculties'!$B$10:$B$19,0))),"N/A")</f>
        <v/>
      </c>
      <c r="I13" s="53">
        <f>IFERROR(IF(INDEX('Faculties'!$N$26:$N$35,MATCH($F13,'Faculties'!$B$26:$B$35,0))="","Cell will autofill based on response",INDEX('Faculties'!$N$26:$N$35,MATCH($F13,'Faculties'!$B$26:$B$35,0))),"N/A")</f>
        <v/>
      </c>
      <c r="J13" s="53">
        <f>IFERROR(IF(INDEX('Faculties'!$N$42:$N$51,MATCH($F13,'Faculties'!$B$42:$B$51,0))="","Cell will autofill based on response",INDEX('Faculties'!$N$42:$N$51,MATCH($F13,'Faculties'!$B$42:$B$51,0))),"N/A")</f>
        <v/>
      </c>
      <c r="K13" s="53">
        <f>IFERROR(IF(INDEX('Faculties'!$N$58:$N$67,MATCH($F13,'Faculties'!$B$58:$B$67,0))="","Cell will autofill based on response",INDEX('Faculties'!$N$58:$N$67,MATCH($F13,'Faculties'!$B$58:$B$67,0))),"N/A")</f>
        <v/>
      </c>
      <c r="L13" s="53">
        <f>IFERROR(IF(INDEX('CI&amp;S'!$N$10:$N$15,MATCH($F13,'CI&amp;S'!$B$10:$B$15,0))="","Cell will autofill based on response",INDEX('CI&amp;S'!$N$10:$N$15,MATCH($F13,'CI&amp;S'!$B$10:$B$15,0))),"N/A")</f>
        <v/>
      </c>
      <c r="M13" s="53">
        <f>IFERROR(IF(INDEX('CI&amp;S'!$N$22:$N$36,MATCH($F13,'CI&amp;S'!$B$22:$B$36,0))="","Cell will autofill based on response",INDEX('CI&amp;S'!$N$22:$N$36,MATCH($F13,'CI&amp;S'!$B$22:$B$36,0))),"N/A")</f>
        <v/>
      </c>
      <c r="N13" s="53">
        <f>IFERROR(IF(INDEX('CFOG'!$N$10:$N$16,MATCH($F13,'CFOG'!$B$10:$B$16,0))="","Cell will autofill based on response",INDEX('CFOG'!$N$10:$N$16,MATCH($F13,'CFOG'!$B$10:$B$16,0))),"N/A")</f>
        <v/>
      </c>
      <c r="O13" s="53">
        <f>IFERROR(IF(INDEX('CFOG'!$N$23:$N$24,MATCH($F13,'CFOG'!$B$23:$B$24,0))="","Cell will autofill based on response",INDEX('CFOG'!$N$23:$N$24,MATCH($F13,'CFOG'!$B$23:$B$24,0))),"N/A")</f>
        <v/>
      </c>
      <c r="P13" s="53">
        <f>IFERROR(IF(INDEX('ESG'!$N$10:$N$17,MATCH($F13,'ESG'!$B$10:$B$17,0))="","Cell will autofill based on response",INDEX('ESG'!$N$10:$N$17,MATCH($F13,'ESG'!$B$10:$B$17,0))),"N/A")</f>
        <v/>
      </c>
      <c r="Q13" s="53">
        <f>IFERROR(IF(INDEX('CIOG'!$N$10:$N$14,MATCH($F13,'CIOG'!$B$10:$B$14,0))="","Cell will autofill based on response",INDEX('CIOG'!$N$10:$N$14,MATCH($F13,'CIOG'!$B$10:$B$14,0))),"N/A")</f>
        <v/>
      </c>
      <c r="R13" s="53">
        <f>IFERROR(IF(INDEX('MRE'!$N$10:$N$18,MATCH($F13,'MRE'!$B$10:$B$18,0))="","Cell will autofill based on response",INDEX('MRE'!$N$10:$N$18,MATCH($F13,'MRE'!$B$10:$B$18,0))),"N/A")</f>
        <v/>
      </c>
      <c r="S13" s="53">
        <f>IFERROR(IF(INDEX('AC&amp;M'!$N$10:$N$14,MATCH($F13,'AC&amp;M'!$B$10:$B$14,0))="","Cell will autofill based on response",INDEX('AC&amp;M'!$N$10:$N$14,MATCH($F13,'AC&amp;M'!$B$10:$B$14,0))),"N/A")</f>
        <v/>
      </c>
      <c r="T13" s="53">
        <f>IFERROR(IF(INDEX('GCE'!$N$10:$N$12,MATCH($F13,'GCE'!$B$10:$B$12,0))="","Cell will autofill based on response",INDEX('GCE'!$N$10:$N$12,MATCH($F13,'GCE'!$B$10:$B$12,0))),"N/A")</f>
        <v/>
      </c>
      <c r="U13" s="53">
        <f>IFERROR(IF(INDEX('Education'!$N$10:$N$13,MATCH($F13,'Education'!$B$10:$B$13,0))="","Cell will autofill based on response",INDEX('Education'!$N$10:$N$13,MATCH($F13,'Education'!$B$10:$B$13,0))),"N/A")</f>
        <v/>
      </c>
      <c r="V13" s="53">
        <f>IFERROR(IF(INDEX('SaSS'!$N$10:$N$12,MATCH($F13,'SaSS'!$B$10:$B$12,0))="","Cell will autofill based on response",INDEX('SaSS'!$N$10:$N$12,MATCH($F13,'SaSS'!$B$10:$B$12,0))),"N/A")</f>
        <v/>
      </c>
      <c r="W13" s="53">
        <f>IFERROR(IF(INDEX('Indigenous'!$N$10:$N$11,MATCH($F13,'Indigenous'!$B$10:$B$11,0))="","Cell will autofill based on response",INDEX('Indigenous'!$N$10:$N$11,MATCH($F13,'Indigenous'!$B$10:$B$11,0))),"N/A")</f>
        <v/>
      </c>
      <c r="X13" s="53">
        <f>IFERROR(IF(INDEX('L&amp;R'!$N$10:$N$11,MATCH($F13,'L&amp;R'!$B$10:$B$11,0))="","Cell will autofill based on response",INDEX('L&amp;R'!$N$10:$N$11,MATCH($F13,'L&amp;R'!$B$10:$B$11,0))),"N/A")</f>
        <v/>
      </c>
    </row>
    <row r="14">
      <c r="A14">
        <f>F14&amp;"|"&amp;G14</f>
        <v/>
      </c>
      <c r="B14" s="13" t="inlineStr"/>
      <c r="C14" s="8" t="inlineStr"/>
      <c r="D14" s="8" t="inlineStr"/>
      <c r="E14" s="8" t="inlineStr"/>
      <c r="F14" s="8" t="inlineStr">
        <is>
          <t>EE1(a)</t>
        </is>
      </c>
      <c r="G14" s="8" t="inlineStr">
        <is>
          <t>Supporting information/comments</t>
        </is>
      </c>
      <c r="H14" s="53">
        <f>IFERROR(IF(INDEX('Faculties'!$O$10:$O$19,MATCH($F14,'Faculties'!$B$10:$B$19,0))="","Cell will autofill based on response",INDEX('Faculties'!$O$10:$O$19,MATCH($F14,'Faculties'!$B$10:$B$19,0))),"N/A")</f>
        <v/>
      </c>
      <c r="I14" s="53">
        <f>IFERROR(IF(INDEX('Faculties'!$O$26:$O$35,MATCH($F14,'Faculties'!$B$26:$B$35,0))="","Cell will autofill based on response",INDEX('Faculties'!$O$26:$O$35,MATCH($F14,'Faculties'!$B$26:$B$35,0))),"N/A")</f>
        <v/>
      </c>
      <c r="J14" s="53">
        <f>IFERROR(IF(INDEX('Faculties'!$O$42:$O$51,MATCH($F14,'Faculties'!$B$42:$B$51,0))="","Cell will autofill based on response",INDEX('Faculties'!$O$42:$O$51,MATCH($F14,'Faculties'!$B$42:$B$51,0))),"N/A")</f>
        <v/>
      </c>
      <c r="K14" s="53">
        <f>IFERROR(IF(INDEX('Faculties'!$O$58:$O$67,MATCH($F14,'Faculties'!$B$58:$B$67,0))="","Cell will autofill based on response",INDEX('Faculties'!$O$58:$O$67,MATCH($F14,'Faculties'!$B$58:$B$67,0))),"N/A")</f>
        <v/>
      </c>
      <c r="L14" s="53">
        <f>IFERROR(IF(INDEX('CI&amp;S'!$O$10:$O$15,MATCH($F14,'CI&amp;S'!$B$10:$B$15,0))="","Cell will autofill based on response",INDEX('CI&amp;S'!$O$10:$O$15,MATCH($F14,'CI&amp;S'!$B$10:$B$15,0))),"N/A")</f>
        <v/>
      </c>
      <c r="M14" s="53">
        <f>IFERROR(IF(INDEX('CI&amp;S'!$O$22:$O$36,MATCH($F14,'CI&amp;S'!$B$22:$B$36,0))="","Cell will autofill based on response",INDEX('CI&amp;S'!$O$22:$O$36,MATCH($F14,'CI&amp;S'!$B$22:$B$36,0))),"N/A")</f>
        <v/>
      </c>
      <c r="N14" s="53">
        <f>IFERROR(IF(INDEX('CFOG'!$O$10:$O$16,MATCH($F14,'CFOG'!$B$10:$B$16,0))="","Cell will autofill based on response",INDEX('CFOG'!$O$10:$O$16,MATCH($F14,'CFOG'!$B$10:$B$16,0))),"N/A")</f>
        <v/>
      </c>
      <c r="O14" s="53">
        <f>IFERROR(IF(INDEX('CFOG'!$O$23:$O$24,MATCH($F14,'CFOG'!$B$23:$B$24,0))="","Cell will autofill based on response",INDEX('CFOG'!$O$23:$O$24,MATCH($F14,'CFOG'!$B$23:$B$24,0))),"N/A")</f>
        <v/>
      </c>
      <c r="P14" s="53">
        <f>IFERROR(IF(INDEX('ESG'!$O$10:$O$17,MATCH($F14,'ESG'!$B$10:$B$17,0))="","Cell will autofill based on response",INDEX('ESG'!$O$10:$O$17,MATCH($F14,'ESG'!$B$10:$B$17,0))),"N/A")</f>
        <v/>
      </c>
      <c r="Q14" s="53">
        <f>IFERROR(IF(INDEX('CIOG'!$O$10:$O$14,MATCH($F14,'CIOG'!$B$10:$B$14,0))="","Cell will autofill based on response",INDEX('CIOG'!$O$10:$O$14,MATCH($F14,'CIOG'!$B$10:$B$14,0))),"N/A")</f>
        <v/>
      </c>
      <c r="R14" s="53">
        <f>IFERROR(IF(INDEX('MRE'!$O$10:$O$18,MATCH($F14,'MRE'!$B$10:$B$18,0))="","Cell will autofill based on response",INDEX('MRE'!$O$10:$O$18,MATCH($F14,'MRE'!$B$10:$B$18,0))),"N/A")</f>
        <v/>
      </c>
      <c r="S14" s="53">
        <f>IFERROR(IF(INDEX('AC&amp;M'!$O$10:$O$14,MATCH($F14,'AC&amp;M'!$B$10:$B$14,0))="","Cell will autofill based on response",INDEX('AC&amp;M'!$O$10:$O$14,MATCH($F14,'AC&amp;M'!$B$10:$B$14,0))),"N/A")</f>
        <v/>
      </c>
      <c r="T14" s="53">
        <f>IFERROR(IF(INDEX('GCE'!$O$10:$O$12,MATCH($F14,'GCE'!$B$10:$B$12,0))="","Cell will autofill based on response",INDEX('GCE'!$O$10:$O$12,MATCH($F14,'GCE'!$B$10:$B$12,0))),"N/A")</f>
        <v/>
      </c>
      <c r="U14" s="53">
        <f>IFERROR(IF(INDEX('Education'!$O$10:$O$13,MATCH($F14,'Education'!$B$10:$B$13,0))="","Cell will autofill based on response",INDEX('Education'!$O$10:$O$13,MATCH($F14,'Education'!$B$10:$B$13,0))),"N/A")</f>
        <v/>
      </c>
      <c r="V14" s="53">
        <f>IFERROR(IF(INDEX('SaSS'!$O$10:$O$12,MATCH($F14,'SaSS'!$B$10:$B$12,0))="","Cell will autofill based on response",INDEX('SaSS'!$O$10:$O$12,MATCH($F14,'SaSS'!$B$10:$B$12,0))),"N/A")</f>
        <v/>
      </c>
      <c r="W14" s="53">
        <f>IFERROR(IF(INDEX('Indigenous'!$O$10:$O$11,MATCH($F14,'Indigenous'!$B$10:$B$11,0))="","Cell will autofill based on response",INDEX('Indigenous'!$O$10:$O$11,MATCH($F14,'Indigenous'!$B$10:$B$11,0))),"N/A")</f>
        <v/>
      </c>
      <c r="X14" s="53">
        <f>IFERROR(IF(INDEX('L&amp;R'!$O$10:$O$11,MATCH($F14,'L&amp;R'!$B$10:$B$11,0))="","Cell will autofill based on response",INDEX('L&amp;R'!$O$10:$O$11,MATCH($F14,'L&amp;R'!$B$10:$B$11,0))),"N/A")</f>
        <v/>
      </c>
    </row>
    <row r="15">
      <c r="A15">
        <f>F15&amp;"|"&amp;G15</f>
        <v/>
      </c>
      <c r="B15" s="13" t="inlineStr"/>
      <c r="C15" s="8" t="inlineStr"/>
      <c r="D15" s="8" t="inlineStr"/>
      <c r="E15" s="8" t="inlineStr"/>
      <c r="F15" s="8" t="inlineStr">
        <is>
          <t>EE1(a)</t>
        </is>
      </c>
      <c r="G15" s="8" t="inlineStr">
        <is>
          <t>Data source and limitations</t>
        </is>
      </c>
      <c r="H15" s="53">
        <f>IFERROR(IF(INDEX('Faculties'!$P$10:$P$19,MATCH($F15,'Faculties'!$B$10:$B$19,0))="","Cell will autofill based on response",INDEX('Faculties'!$P$10:$P$19,MATCH($F15,'Faculties'!$B$10:$B$19,0))),"N/A")</f>
        <v/>
      </c>
      <c r="I15" s="53">
        <f>IFERROR(IF(INDEX('Faculties'!$P$26:$P$35,MATCH($F15,'Faculties'!$B$26:$B$35,0))="","Cell will autofill based on response",INDEX('Faculties'!$P$26:$P$35,MATCH($F15,'Faculties'!$B$26:$B$35,0))),"N/A")</f>
        <v/>
      </c>
      <c r="J15" s="53">
        <f>IFERROR(IF(INDEX('Faculties'!$P$42:$P$51,MATCH($F15,'Faculties'!$B$42:$B$51,0))="","Cell will autofill based on response",INDEX('Faculties'!$P$42:$P$51,MATCH($F15,'Faculties'!$B$42:$B$51,0))),"N/A")</f>
        <v/>
      </c>
      <c r="K15" s="53">
        <f>IFERROR(IF(INDEX('Faculties'!$P$58:$P$67,MATCH($F15,'Faculties'!$B$58:$B$67,0))="","Cell will autofill based on response",INDEX('Faculties'!$P$58:$P$67,MATCH($F15,'Faculties'!$B$58:$B$67,0))),"N/A")</f>
        <v/>
      </c>
      <c r="L15" s="53">
        <f>IFERROR(IF(INDEX('CI&amp;S'!$P$10:$P$15,MATCH($F15,'CI&amp;S'!$B$10:$B$15,0))="","Cell will autofill based on response",INDEX('CI&amp;S'!$P$10:$P$15,MATCH($F15,'CI&amp;S'!$B$10:$B$15,0))),"N/A")</f>
        <v/>
      </c>
      <c r="M15" s="53">
        <f>IFERROR(IF(INDEX('CI&amp;S'!$P$22:$P$36,MATCH($F15,'CI&amp;S'!$B$22:$B$36,0))="","Cell will autofill based on response",INDEX('CI&amp;S'!$P$22:$P$36,MATCH($F15,'CI&amp;S'!$B$22:$B$36,0))),"N/A")</f>
        <v/>
      </c>
      <c r="N15" s="53">
        <f>IFERROR(IF(INDEX('CFOG'!$P$10:$P$16,MATCH($F15,'CFOG'!$B$10:$B$16,0))="","Cell will autofill based on response",INDEX('CFOG'!$P$10:$P$16,MATCH($F15,'CFOG'!$B$10:$B$16,0))),"N/A")</f>
        <v/>
      </c>
      <c r="O15" s="53">
        <f>IFERROR(IF(INDEX('CFOG'!$P$23:$P$24,MATCH($F15,'CFOG'!$B$23:$B$24,0))="","Cell will autofill based on response",INDEX('CFOG'!$P$23:$P$24,MATCH($F15,'CFOG'!$B$23:$B$24,0))),"N/A")</f>
        <v/>
      </c>
      <c r="P15" s="53">
        <f>IFERROR(IF(INDEX('ESG'!$P$10:$P$17,MATCH($F15,'ESG'!$B$10:$B$17,0))="","Cell will autofill based on response",INDEX('ESG'!$P$10:$P$17,MATCH($F15,'ESG'!$B$10:$B$17,0))),"N/A")</f>
        <v/>
      </c>
      <c r="Q15" s="53">
        <f>IFERROR(IF(INDEX('CIOG'!$P$10:$P$14,MATCH($F15,'CIOG'!$B$10:$B$14,0))="","Cell will autofill based on response",INDEX('CIOG'!$P$10:$P$14,MATCH($F15,'CIOG'!$B$10:$B$14,0))),"N/A")</f>
        <v/>
      </c>
      <c r="R15" s="53">
        <f>IFERROR(IF(INDEX('MRE'!$P$10:$P$18,MATCH($F15,'MRE'!$B$10:$B$18,0))="","Cell will autofill based on response",INDEX('MRE'!$P$10:$P$18,MATCH($F15,'MRE'!$B$10:$B$18,0))),"N/A")</f>
        <v/>
      </c>
      <c r="S15" s="53">
        <f>IFERROR(IF(INDEX('AC&amp;M'!$P$10:$P$14,MATCH($F15,'AC&amp;M'!$B$10:$B$14,0))="","Cell will autofill based on response",INDEX('AC&amp;M'!$P$10:$P$14,MATCH($F15,'AC&amp;M'!$B$10:$B$14,0))),"N/A")</f>
        <v/>
      </c>
      <c r="T15" s="53">
        <f>IFERROR(IF(INDEX('GCE'!$P$10:$P$12,MATCH($F15,'GCE'!$B$10:$B$12,0))="","Cell will autofill based on response",INDEX('GCE'!$P$10:$P$12,MATCH($F15,'GCE'!$B$10:$B$12,0))),"N/A")</f>
        <v/>
      </c>
      <c r="U15" s="53">
        <f>IFERROR(IF(INDEX('Education'!$P$10:$P$13,MATCH($F15,'Education'!$B$10:$B$13,0))="","Cell will autofill based on response",INDEX('Education'!$P$10:$P$13,MATCH($F15,'Education'!$B$10:$B$13,0))),"N/A")</f>
        <v/>
      </c>
      <c r="V15" s="53">
        <f>IFERROR(IF(INDEX('SaSS'!$P$10:$P$12,MATCH($F15,'SaSS'!$B$10:$B$12,0))="","Cell will autofill based on response",INDEX('SaSS'!$P$10:$P$12,MATCH($F15,'SaSS'!$B$10:$B$12,0))),"N/A")</f>
        <v/>
      </c>
      <c r="W15" s="53">
        <f>IFERROR(IF(INDEX('Indigenous'!$P$10:$P$11,MATCH($F15,'Indigenous'!$B$10:$B$11,0))="","Cell will autofill based on response",INDEX('Indigenous'!$P$10:$P$11,MATCH($F15,'Indigenous'!$B$10:$B$11,0))),"N/A")</f>
        <v/>
      </c>
      <c r="X15" s="53">
        <f>IFERROR(IF(INDEX('L&amp;R'!$P$10:$P$11,MATCH($F15,'L&amp;R'!$B$10:$B$11,0))="","Cell will autofill based on response",INDEX('L&amp;R'!$P$10:$P$11,MATCH($F15,'L&amp;R'!$B$10:$B$11,0))),"N/A")</f>
        <v/>
      </c>
    </row>
    <row r="16">
      <c r="A16">
        <f>F16&amp;"|"&amp;G16</f>
        <v/>
      </c>
      <c r="B16" s="13" t="inlineStr"/>
      <c r="C16" s="8" t="inlineStr"/>
      <c r="D16" s="8" t="inlineStr"/>
      <c r="E16" s="8" t="inlineStr"/>
      <c r="F16" s="8" t="inlineStr">
        <is>
          <t>EE1(a)</t>
        </is>
      </c>
      <c r="G16" s="8" t="inlineStr">
        <is>
          <t>Data owner confirms</t>
        </is>
      </c>
      <c r="H16" s="53">
        <f>IFERROR(IF(INDEX('Faculties'!$Q$10:$Q$19,MATCH($F16,'Faculties'!$B$10:$B$19,0))="","Cell will autofill based on response",INDEX('Faculties'!$Q$10:$Q$19,MATCH($F16,'Faculties'!$B$10:$B$19,0))),"N/A")</f>
        <v/>
      </c>
      <c r="I16" s="53">
        <f>IFERROR(IF(INDEX('Faculties'!$Q$26:$Q$35,MATCH($F16,'Faculties'!$B$26:$B$35,0))="","Cell will autofill based on response",INDEX('Faculties'!$Q$26:$Q$35,MATCH($F16,'Faculties'!$B$26:$B$35,0))),"N/A")</f>
        <v/>
      </c>
      <c r="J16" s="53">
        <f>IFERROR(IF(INDEX('Faculties'!$Q$42:$Q$51,MATCH($F16,'Faculties'!$B$42:$B$51,0))="","Cell will autofill based on response",INDEX('Faculties'!$Q$42:$Q$51,MATCH($F16,'Faculties'!$B$42:$B$51,0))),"N/A")</f>
        <v/>
      </c>
      <c r="K16" s="53">
        <f>IFERROR(IF(INDEX('Faculties'!$Q$58:$Q$67,MATCH($F16,'Faculties'!$B$58:$B$67,0))="","Cell will autofill based on response",INDEX('Faculties'!$Q$58:$Q$67,MATCH($F16,'Faculties'!$B$58:$B$67,0))),"N/A")</f>
        <v/>
      </c>
      <c r="L16" s="53">
        <f>IFERROR(IF(INDEX('CI&amp;S'!$Q$10:$Q$15,MATCH($F16,'CI&amp;S'!$B$10:$B$15,0))="","Cell will autofill based on response",INDEX('CI&amp;S'!$Q$10:$Q$15,MATCH($F16,'CI&amp;S'!$B$10:$B$15,0))),"N/A")</f>
        <v/>
      </c>
      <c r="M16" s="53">
        <f>IFERROR(IF(INDEX('CI&amp;S'!$Q$22:$Q$36,MATCH($F16,'CI&amp;S'!$B$22:$B$36,0))="","Cell will autofill based on response",INDEX('CI&amp;S'!$Q$22:$Q$36,MATCH($F16,'CI&amp;S'!$B$22:$B$36,0))),"N/A")</f>
        <v/>
      </c>
      <c r="N16" s="53">
        <f>IFERROR(IF(INDEX('CFOG'!$Q$10:$Q$16,MATCH($F16,'CFOG'!$B$10:$B$16,0))="","Cell will autofill based on response",INDEX('CFOG'!$Q$10:$Q$16,MATCH($F16,'CFOG'!$B$10:$B$16,0))),"N/A")</f>
        <v/>
      </c>
      <c r="O16" s="53">
        <f>IFERROR(IF(INDEX('CFOG'!$Q$23:$Q$24,MATCH($F16,'CFOG'!$B$23:$B$24,0))="","Cell will autofill based on response",INDEX('CFOG'!$Q$23:$Q$24,MATCH($F16,'CFOG'!$B$23:$B$24,0))),"N/A")</f>
        <v/>
      </c>
      <c r="P16" s="53">
        <f>IFERROR(IF(INDEX('ESG'!$Q$10:$Q$17,MATCH($F16,'ESG'!$B$10:$B$17,0))="","Cell will autofill based on response",INDEX('ESG'!$Q$10:$Q$17,MATCH($F16,'ESG'!$B$10:$B$17,0))),"N/A")</f>
        <v/>
      </c>
      <c r="Q16" s="53">
        <f>IFERROR(IF(INDEX('CIOG'!$Q$10:$Q$14,MATCH($F16,'CIOG'!$B$10:$B$14,0))="","Cell will autofill based on response",INDEX('CIOG'!$Q$10:$Q$14,MATCH($F16,'CIOG'!$B$10:$B$14,0))),"N/A")</f>
        <v/>
      </c>
      <c r="R16" s="53">
        <f>IFERROR(IF(INDEX('MRE'!$Q$10:$Q$18,MATCH($F16,'MRE'!$B$10:$B$18,0))="","Cell will autofill based on response",INDEX('MRE'!$Q$10:$Q$18,MATCH($F16,'MRE'!$B$10:$B$18,0))),"N/A")</f>
        <v/>
      </c>
      <c r="S16" s="53">
        <f>IFERROR(IF(INDEX('AC&amp;M'!$Q$10:$Q$14,MATCH($F16,'AC&amp;M'!$B$10:$B$14,0))="","Cell will autofill based on response",INDEX('AC&amp;M'!$Q$10:$Q$14,MATCH($F16,'AC&amp;M'!$B$10:$B$14,0))),"N/A")</f>
        <v/>
      </c>
      <c r="T16" s="53">
        <f>IFERROR(IF(INDEX('GCE'!$Q$10:$Q$12,MATCH($F16,'GCE'!$B$10:$B$12,0))="","Cell will autofill based on response",INDEX('GCE'!$Q$10:$Q$12,MATCH($F16,'GCE'!$B$10:$B$12,0))),"N/A")</f>
        <v/>
      </c>
      <c r="U16" s="53">
        <f>IFERROR(IF(INDEX('Education'!$Q$10:$Q$13,MATCH($F16,'Education'!$B$10:$B$13,0))="","Cell will autofill based on response",INDEX('Education'!$Q$10:$Q$13,MATCH($F16,'Education'!$B$10:$B$13,0))),"N/A")</f>
        <v/>
      </c>
      <c r="V16" s="53">
        <f>IFERROR(IF(INDEX('SaSS'!$Q$10:$Q$12,MATCH($F16,'SaSS'!$B$10:$B$12,0))="","Cell will autofill based on response",INDEX('SaSS'!$Q$10:$Q$12,MATCH($F16,'SaSS'!$B$10:$B$12,0))),"N/A")</f>
        <v/>
      </c>
      <c r="W16" s="53">
        <f>IFERROR(IF(INDEX('Indigenous'!$Q$10:$Q$11,MATCH($F16,'Indigenous'!$B$10:$B$11,0))="","Cell will autofill based on response",INDEX('Indigenous'!$Q$10:$Q$11,MATCH($F16,'Indigenous'!$B$10:$B$11,0))),"N/A")</f>
        <v/>
      </c>
      <c r="X16" s="53">
        <f>IFERROR(IF(INDEX('L&amp;R'!$Q$10:$Q$11,MATCH($F16,'L&amp;R'!$B$10:$B$11,0))="","Cell will autofill based on response",INDEX('L&amp;R'!$Q$10:$Q$11,MATCH($F16,'L&amp;R'!$B$10:$B$11,0))),"N/A")</f>
        <v/>
      </c>
    </row>
    <row r="17">
      <c r="A17">
        <f>F17&amp;"|"&amp;G17</f>
        <v/>
      </c>
      <c r="B17" s="7" t="inlineStr">
        <is>
          <t>EE1(b)</t>
        </is>
      </c>
      <c r="C17" s="51" t="inlineStr">
        <is>
          <t>Exceptional education</t>
        </is>
      </c>
      <c r="D17" s="51" t="inlineStr">
        <is>
          <t>Pilots of possible approaches for understanding and developing students’ sustainability self-efficacy</t>
        </is>
      </c>
      <c r="E17" s="51"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F17" s="51" t="inlineStr">
        <is>
          <t>EE1(b)</t>
        </is>
      </c>
      <c r="G17" s="51" t="inlineStr">
        <is>
          <t>Confirm end-2026 target status</t>
        </is>
      </c>
      <c r="H17" s="53">
        <f>IFERROR(IF(INDEX('Faculties'!$L$10:$L$19,MATCH($F17,'Faculties'!$B$10:$B$19,0))="","Cell will autofill based on response",INDEX('Faculties'!$L$10:$L$19,MATCH($F17,'Faculties'!$B$10:$B$19,0))),"N/A")</f>
        <v/>
      </c>
      <c r="I17" s="53">
        <f>IFERROR(IF(INDEX('Faculties'!$L$26:$L$35,MATCH($F17,'Faculties'!$B$26:$B$35,0))="","Cell will autofill based on response",INDEX('Faculties'!$L$26:$L$35,MATCH($F17,'Faculties'!$B$26:$B$35,0))),"N/A")</f>
        <v/>
      </c>
      <c r="J17" s="53">
        <f>IFERROR(IF(INDEX('Faculties'!$L$42:$L$51,MATCH($F17,'Faculties'!$B$42:$B$51,0))="","Cell will autofill based on response",INDEX('Faculties'!$L$42:$L$51,MATCH($F17,'Faculties'!$B$42:$B$51,0))),"N/A")</f>
        <v/>
      </c>
      <c r="K17" s="53">
        <f>IFERROR(IF(INDEX('Faculties'!$L$58:$L$67,MATCH($F17,'Faculties'!$B$58:$B$67,0))="","Cell will autofill based on response",INDEX('Faculties'!$L$58:$L$67,MATCH($F17,'Faculties'!$B$58:$B$67,0))),"N/A")</f>
        <v/>
      </c>
      <c r="L17" s="53">
        <f>IFERROR(IF(INDEX('CI&amp;S'!$L$10:$L$15,MATCH($F17,'CI&amp;S'!$B$10:$B$15,0))="","Cell will autofill based on response",INDEX('CI&amp;S'!$L$10:$L$15,MATCH($F17,'CI&amp;S'!$B$10:$B$15,0))),"N/A")</f>
        <v/>
      </c>
      <c r="M17" s="53">
        <f>IFERROR(IF(INDEX('CI&amp;S'!$L$22:$L$36,MATCH($F17,'CI&amp;S'!$B$22:$B$36,0))="","Cell will autofill based on response",INDEX('CI&amp;S'!$L$22:$L$36,MATCH($F17,'CI&amp;S'!$B$22:$B$36,0))),"N/A")</f>
        <v/>
      </c>
      <c r="N17" s="53">
        <f>IFERROR(IF(INDEX('CFOG'!$L$10:$L$16,MATCH($F17,'CFOG'!$B$10:$B$16,0))="","Cell will autofill based on response",INDEX('CFOG'!$L$10:$L$16,MATCH($F17,'CFOG'!$B$10:$B$16,0))),"N/A")</f>
        <v/>
      </c>
      <c r="O17" s="53">
        <f>IFERROR(IF(INDEX('CFOG'!$L$23:$L$24,MATCH($F17,'CFOG'!$B$23:$B$24,0))="","Cell will autofill based on response",INDEX('CFOG'!$L$23:$L$24,MATCH($F17,'CFOG'!$B$23:$B$24,0))),"N/A")</f>
        <v/>
      </c>
      <c r="P17" s="53">
        <f>IFERROR(IF(INDEX('ESG'!$L$10:$L$17,MATCH($F17,'ESG'!$B$10:$B$17,0))="","Cell will autofill based on response",INDEX('ESG'!$L$10:$L$17,MATCH($F17,'ESG'!$B$10:$B$17,0))),"N/A")</f>
        <v/>
      </c>
      <c r="Q17" s="53">
        <f>IFERROR(IF(INDEX('CIOG'!$L$10:$L$14,MATCH($F17,'CIOG'!$B$10:$B$14,0))="","Cell will autofill based on response",INDEX('CIOG'!$L$10:$L$14,MATCH($F17,'CIOG'!$B$10:$B$14,0))),"N/A")</f>
        <v/>
      </c>
      <c r="R17" s="53">
        <f>IFERROR(IF(INDEX('MRE'!$L$10:$L$18,MATCH($F17,'MRE'!$B$10:$B$18,0))="","Cell will autofill based on response",INDEX('MRE'!$L$10:$L$18,MATCH($F17,'MRE'!$B$10:$B$18,0))),"N/A")</f>
        <v/>
      </c>
      <c r="S17" s="53">
        <f>IFERROR(IF(INDEX('AC&amp;M'!$L$10:$L$14,MATCH($F17,'AC&amp;M'!$B$10:$B$14,0))="","Cell will autofill based on response",INDEX('AC&amp;M'!$L$10:$L$14,MATCH($F17,'AC&amp;M'!$B$10:$B$14,0))),"N/A")</f>
        <v/>
      </c>
      <c r="T17" s="53">
        <f>IFERROR(IF(INDEX('GCE'!$L$10:$L$12,MATCH($F17,'GCE'!$B$10:$B$12,0))="","Cell will autofill based on response",INDEX('GCE'!$L$10:$L$12,MATCH($F17,'GCE'!$B$10:$B$12,0))),"N/A")</f>
        <v/>
      </c>
      <c r="U17" s="53">
        <f>IFERROR(IF(INDEX('Education'!$L$10:$L$13,MATCH($F17,'Education'!$B$10:$B$13,0))="","Cell will autofill based on response",INDEX('Education'!$L$10:$L$13,MATCH($F17,'Education'!$B$10:$B$13,0))),"N/A")</f>
        <v/>
      </c>
      <c r="V17" s="53">
        <f>IFERROR(IF(INDEX('SaSS'!$L$10:$L$12,MATCH($F17,'SaSS'!$B$10:$B$12,0))="","Cell will autofill based on response",INDEX('SaSS'!$L$10:$L$12,MATCH($F17,'SaSS'!$B$10:$B$12,0))),"N/A")</f>
        <v/>
      </c>
      <c r="W17" s="53">
        <f>IFERROR(IF(INDEX('Indigenous'!$L$10:$L$11,MATCH($F17,'Indigenous'!$B$10:$B$11,0))="","Cell will autofill based on response",INDEX('Indigenous'!$L$10:$L$11,MATCH($F17,'Indigenous'!$B$10:$B$11,0))),"N/A")</f>
        <v/>
      </c>
      <c r="X17" s="53">
        <f>IFERROR(IF(INDEX('L&amp;R'!$L$10:$L$11,MATCH($F17,'L&amp;R'!$B$10:$B$11,0))="","Cell will autofill based on response",INDEX('L&amp;R'!$L$10:$L$11,MATCH($F17,'L&amp;R'!$B$10:$B$11,0))),"N/A")</f>
        <v/>
      </c>
      <c r="Z17" s="10">
        <f>COUNTIF($H17:$X17,"Cell will autofill based on response")</f>
        <v/>
      </c>
      <c r="AA17" s="10">
        <f>COUNTIF($H17:$X17,"Not yet started")</f>
        <v/>
      </c>
      <c r="AB17" s="10">
        <f>COUNTIF($H17:$X17,"Not met")</f>
        <v/>
      </c>
      <c r="AC17" s="10">
        <f>COUNTIF($H17:$X17,"Partially met")</f>
        <v/>
      </c>
      <c r="AD17" s="10">
        <f>COUNTIF($H17:$X17,"Met or exceeded")</f>
        <v/>
      </c>
      <c r="AE17" s="10">
        <f>3*AD17+2*AC17+AB17</f>
        <v/>
      </c>
      <c r="AF17" s="10">
        <f>AD17+AC17+AB17+AA17</f>
        <v/>
      </c>
      <c r="AG17" s="54">
        <f>IF(AF17&gt;0,AE17/AF17,"No valid responses to date")</f>
        <v/>
      </c>
      <c r="AH17" s="10">
        <f>IF(ISNUMBER(AG17),INDEX(Lists!$G$2:$G$5,MATCH(ROUND(AG17,0),Lists!$H$2:$H$5,0)),"")</f>
        <v/>
      </c>
      <c r="AI17" s="55">
        <f>IF(AF17&gt;0,AD17/AF17,"")</f>
        <v/>
      </c>
      <c r="AJ17" s="55">
        <f>IF(AF17&gt;0,(AD17+AC17)/AF17,"")</f>
        <v/>
      </c>
      <c r="AK17" s="10">
        <f>IF(AF17=0,"",IF(AI17&gt;0.75,"Met or exceeded",IF(AJ17&gt;=0.5,"Partially met","Not met")))</f>
        <v/>
      </c>
    </row>
    <row r="18">
      <c r="A18">
        <f>F18&amp;"|"&amp;G18</f>
        <v/>
      </c>
      <c r="B18" s="13" t="inlineStr"/>
      <c r="C18" s="8" t="inlineStr"/>
      <c r="D18" s="8" t="inlineStr"/>
      <c r="E18" s="8" t="inlineStr"/>
      <c r="F18" s="8" t="inlineStr">
        <is>
          <t>EE1(b)</t>
        </is>
      </c>
      <c r="G18" s="8" t="inlineStr">
        <is>
          <t>OPTION 1:  Target-level reporting</t>
        </is>
      </c>
      <c r="H18" s="53">
        <f>IFERROR(IF(INDEX('Faculties'!$M$10:$M$19,MATCH($F18,'Faculties'!$B$10:$B$19,0))="","Cell will autofill based on response",INDEX('Faculties'!$M$10:$M$19,MATCH($F18,'Faculties'!$B$10:$B$19,0))),"N/A")</f>
        <v/>
      </c>
      <c r="I18" s="53">
        <f>IFERROR(IF(INDEX('Faculties'!$M$26:$M$35,MATCH($F18,'Faculties'!$B$26:$B$35,0))="","Cell will autofill based on response",INDEX('Faculties'!$M$26:$M$35,MATCH($F18,'Faculties'!$B$26:$B$35,0))),"N/A")</f>
        <v/>
      </c>
      <c r="J18" s="53">
        <f>IFERROR(IF(INDEX('Faculties'!$M$42:$M$51,MATCH($F18,'Faculties'!$B$42:$B$51,0))="","Cell will autofill based on response",INDEX('Faculties'!$M$42:$M$51,MATCH($F18,'Faculties'!$B$42:$B$51,0))),"N/A")</f>
        <v/>
      </c>
      <c r="K18" s="53">
        <f>IFERROR(IF(INDEX('Faculties'!$M$58:$M$67,MATCH($F18,'Faculties'!$B$58:$B$67,0))="","Cell will autofill based on response",INDEX('Faculties'!$M$58:$M$67,MATCH($F18,'Faculties'!$B$58:$B$67,0))),"N/A")</f>
        <v/>
      </c>
      <c r="L18" s="53">
        <f>IFERROR(IF(INDEX('CI&amp;S'!$M$10:$M$15,MATCH($F18,'CI&amp;S'!$B$10:$B$15,0))="","Cell will autofill based on response",INDEX('CI&amp;S'!$M$10:$M$15,MATCH($F18,'CI&amp;S'!$B$10:$B$15,0))),"N/A")</f>
        <v/>
      </c>
      <c r="M18" s="53">
        <f>IFERROR(IF(INDEX('CI&amp;S'!$M$22:$M$36,MATCH($F18,'CI&amp;S'!$B$22:$B$36,0))="","Cell will autofill based on response",INDEX('CI&amp;S'!$M$22:$M$36,MATCH($F18,'CI&amp;S'!$B$22:$B$36,0))),"N/A")</f>
        <v/>
      </c>
      <c r="N18" s="53">
        <f>IFERROR(IF(INDEX('CFOG'!$M$10:$M$16,MATCH($F18,'CFOG'!$B$10:$B$16,0))="","Cell will autofill based on response",INDEX('CFOG'!$M$10:$M$16,MATCH($F18,'CFOG'!$B$10:$B$16,0))),"N/A")</f>
        <v/>
      </c>
      <c r="O18" s="53">
        <f>IFERROR(IF(INDEX('CFOG'!$M$23:$M$24,MATCH($F18,'CFOG'!$B$23:$B$24,0))="","Cell will autofill based on response",INDEX('CFOG'!$M$23:$M$24,MATCH($F18,'CFOG'!$B$23:$B$24,0))),"N/A")</f>
        <v/>
      </c>
      <c r="P18" s="53">
        <f>IFERROR(IF(INDEX('ESG'!$M$10:$M$17,MATCH($F18,'ESG'!$B$10:$B$17,0))="","Cell will autofill based on response",INDEX('ESG'!$M$10:$M$17,MATCH($F18,'ESG'!$B$10:$B$17,0))),"N/A")</f>
        <v/>
      </c>
      <c r="Q18" s="53">
        <f>IFERROR(IF(INDEX('CIOG'!$M$10:$M$14,MATCH($F18,'CIOG'!$B$10:$B$14,0))="","Cell will autofill based on response",INDEX('CIOG'!$M$10:$M$14,MATCH($F18,'CIOG'!$B$10:$B$14,0))),"N/A")</f>
        <v/>
      </c>
      <c r="R18" s="53">
        <f>IFERROR(IF(INDEX('MRE'!$M$10:$M$18,MATCH($F18,'MRE'!$B$10:$B$18,0))="","Cell will autofill based on response",INDEX('MRE'!$M$10:$M$18,MATCH($F18,'MRE'!$B$10:$B$18,0))),"N/A")</f>
        <v/>
      </c>
      <c r="S18" s="53">
        <f>IFERROR(IF(INDEX('AC&amp;M'!$M$10:$M$14,MATCH($F18,'AC&amp;M'!$B$10:$B$14,0))="","Cell will autofill based on response",INDEX('AC&amp;M'!$M$10:$M$14,MATCH($F18,'AC&amp;M'!$B$10:$B$14,0))),"N/A")</f>
        <v/>
      </c>
      <c r="T18" s="53">
        <f>IFERROR(IF(INDEX('GCE'!$M$10:$M$12,MATCH($F18,'GCE'!$B$10:$B$12,0))="","Cell will autofill based on response",INDEX('GCE'!$M$10:$M$12,MATCH($F18,'GCE'!$B$10:$B$12,0))),"N/A")</f>
        <v/>
      </c>
      <c r="U18" s="53">
        <f>IFERROR(IF(INDEX('Education'!$M$10:$M$13,MATCH($F18,'Education'!$B$10:$B$13,0))="","Cell will autofill based on response",INDEX('Education'!$M$10:$M$13,MATCH($F18,'Education'!$B$10:$B$13,0))),"N/A")</f>
        <v/>
      </c>
      <c r="V18" s="53">
        <f>IFERROR(IF(INDEX('SaSS'!$M$10:$M$12,MATCH($F18,'SaSS'!$B$10:$B$12,0))="","Cell will autofill based on response",INDEX('SaSS'!$M$10:$M$12,MATCH($F18,'SaSS'!$B$10:$B$12,0))),"N/A")</f>
        <v/>
      </c>
      <c r="W18" s="53">
        <f>IFERROR(IF(INDEX('Indigenous'!$M$10:$M$11,MATCH($F18,'Indigenous'!$B$10:$B$11,0))="","Cell will autofill based on response",INDEX('Indigenous'!$M$10:$M$11,MATCH($F18,'Indigenous'!$B$10:$B$11,0))),"N/A")</f>
        <v/>
      </c>
      <c r="X18" s="53">
        <f>IFERROR(IF(INDEX('L&amp;R'!$M$10:$M$11,MATCH($F18,'L&amp;R'!$B$10:$B$11,0))="","Cell will autofill based on response",INDEX('L&amp;R'!$M$10:$M$11,MATCH($F18,'L&amp;R'!$B$10:$B$11,0))),"N/A")</f>
        <v/>
      </c>
    </row>
    <row r="19">
      <c r="A19">
        <f>F19&amp;"|"&amp;G19</f>
        <v/>
      </c>
      <c r="B19" s="13" t="inlineStr"/>
      <c r="C19" s="8" t="inlineStr"/>
      <c r="D19" s="8" t="inlineStr"/>
      <c r="E19" s="8" t="inlineStr"/>
      <c r="F19" s="8" t="inlineStr">
        <is>
          <t>EE1(b)</t>
        </is>
      </c>
      <c r="G19" s="8" t="inlineStr">
        <is>
          <t>OPTION 2:  Indicator level reporting</t>
        </is>
      </c>
      <c r="H19" s="53">
        <f>IFERROR(IF(INDEX('Faculties'!$N$10:$N$19,MATCH($F19,'Faculties'!$B$10:$B$19,0))="","Cell will autofill based on response",INDEX('Faculties'!$N$10:$N$19,MATCH($F19,'Faculties'!$B$10:$B$19,0))),"N/A")</f>
        <v/>
      </c>
      <c r="I19" s="53">
        <f>IFERROR(IF(INDEX('Faculties'!$N$26:$N$35,MATCH($F19,'Faculties'!$B$26:$B$35,0))="","Cell will autofill based on response",INDEX('Faculties'!$N$26:$N$35,MATCH($F19,'Faculties'!$B$26:$B$35,0))),"N/A")</f>
        <v/>
      </c>
      <c r="J19" s="53">
        <f>IFERROR(IF(INDEX('Faculties'!$N$42:$N$51,MATCH($F19,'Faculties'!$B$42:$B$51,0))="","Cell will autofill based on response",INDEX('Faculties'!$N$42:$N$51,MATCH($F19,'Faculties'!$B$42:$B$51,0))),"N/A")</f>
        <v/>
      </c>
      <c r="K19" s="53">
        <f>IFERROR(IF(INDEX('Faculties'!$N$58:$N$67,MATCH($F19,'Faculties'!$B$58:$B$67,0))="","Cell will autofill based on response",INDEX('Faculties'!$N$58:$N$67,MATCH($F19,'Faculties'!$B$58:$B$67,0))),"N/A")</f>
        <v/>
      </c>
      <c r="L19" s="53">
        <f>IFERROR(IF(INDEX('CI&amp;S'!$N$10:$N$15,MATCH($F19,'CI&amp;S'!$B$10:$B$15,0))="","Cell will autofill based on response",INDEX('CI&amp;S'!$N$10:$N$15,MATCH($F19,'CI&amp;S'!$B$10:$B$15,0))),"N/A")</f>
        <v/>
      </c>
      <c r="M19" s="53">
        <f>IFERROR(IF(INDEX('CI&amp;S'!$N$22:$N$36,MATCH($F19,'CI&amp;S'!$B$22:$B$36,0))="","Cell will autofill based on response",INDEX('CI&amp;S'!$N$22:$N$36,MATCH($F19,'CI&amp;S'!$B$22:$B$36,0))),"N/A")</f>
        <v/>
      </c>
      <c r="N19" s="53">
        <f>IFERROR(IF(INDEX('CFOG'!$N$10:$N$16,MATCH($F19,'CFOG'!$B$10:$B$16,0))="","Cell will autofill based on response",INDEX('CFOG'!$N$10:$N$16,MATCH($F19,'CFOG'!$B$10:$B$16,0))),"N/A")</f>
        <v/>
      </c>
      <c r="O19" s="53">
        <f>IFERROR(IF(INDEX('CFOG'!$N$23:$N$24,MATCH($F19,'CFOG'!$B$23:$B$24,0))="","Cell will autofill based on response",INDEX('CFOG'!$N$23:$N$24,MATCH($F19,'CFOG'!$B$23:$B$24,0))),"N/A")</f>
        <v/>
      </c>
      <c r="P19" s="53">
        <f>IFERROR(IF(INDEX('ESG'!$N$10:$N$17,MATCH($F19,'ESG'!$B$10:$B$17,0))="","Cell will autofill based on response",INDEX('ESG'!$N$10:$N$17,MATCH($F19,'ESG'!$B$10:$B$17,0))),"N/A")</f>
        <v/>
      </c>
      <c r="Q19" s="53">
        <f>IFERROR(IF(INDEX('CIOG'!$N$10:$N$14,MATCH($F19,'CIOG'!$B$10:$B$14,0))="","Cell will autofill based on response",INDEX('CIOG'!$N$10:$N$14,MATCH($F19,'CIOG'!$B$10:$B$14,0))),"N/A")</f>
        <v/>
      </c>
      <c r="R19" s="53">
        <f>IFERROR(IF(INDEX('MRE'!$N$10:$N$18,MATCH($F19,'MRE'!$B$10:$B$18,0))="","Cell will autofill based on response",INDEX('MRE'!$N$10:$N$18,MATCH($F19,'MRE'!$B$10:$B$18,0))),"N/A")</f>
        <v/>
      </c>
      <c r="S19" s="53">
        <f>IFERROR(IF(INDEX('AC&amp;M'!$N$10:$N$14,MATCH($F19,'AC&amp;M'!$B$10:$B$14,0))="","Cell will autofill based on response",INDEX('AC&amp;M'!$N$10:$N$14,MATCH($F19,'AC&amp;M'!$B$10:$B$14,0))),"N/A")</f>
        <v/>
      </c>
      <c r="T19" s="53">
        <f>IFERROR(IF(INDEX('GCE'!$N$10:$N$12,MATCH($F19,'GCE'!$B$10:$B$12,0))="","Cell will autofill based on response",INDEX('GCE'!$N$10:$N$12,MATCH($F19,'GCE'!$B$10:$B$12,0))),"N/A")</f>
        <v/>
      </c>
      <c r="U19" s="53">
        <f>IFERROR(IF(INDEX('Education'!$N$10:$N$13,MATCH($F19,'Education'!$B$10:$B$13,0))="","Cell will autofill based on response",INDEX('Education'!$N$10:$N$13,MATCH($F19,'Education'!$B$10:$B$13,0))),"N/A")</f>
        <v/>
      </c>
      <c r="V19" s="53">
        <f>IFERROR(IF(INDEX('SaSS'!$N$10:$N$12,MATCH($F19,'SaSS'!$B$10:$B$12,0))="","Cell will autofill based on response",INDEX('SaSS'!$N$10:$N$12,MATCH($F19,'SaSS'!$B$10:$B$12,0))),"N/A")</f>
        <v/>
      </c>
      <c r="W19" s="53">
        <f>IFERROR(IF(INDEX('Indigenous'!$N$10:$N$11,MATCH($F19,'Indigenous'!$B$10:$B$11,0))="","Cell will autofill based on response",INDEX('Indigenous'!$N$10:$N$11,MATCH($F19,'Indigenous'!$B$10:$B$11,0))),"N/A")</f>
        <v/>
      </c>
      <c r="X19" s="53">
        <f>IFERROR(IF(INDEX('L&amp;R'!$N$10:$N$11,MATCH($F19,'L&amp;R'!$B$10:$B$11,0))="","Cell will autofill based on response",INDEX('L&amp;R'!$N$10:$N$11,MATCH($F19,'L&amp;R'!$B$10:$B$11,0))),"N/A")</f>
        <v/>
      </c>
    </row>
    <row r="20">
      <c r="A20">
        <f>F20&amp;"|"&amp;G20</f>
        <v/>
      </c>
      <c r="B20" s="13" t="inlineStr"/>
      <c r="C20" s="8" t="inlineStr"/>
      <c r="D20" s="8" t="inlineStr"/>
      <c r="E20" s="8" t="inlineStr"/>
      <c r="F20" s="8" t="inlineStr">
        <is>
          <t>EE1(b)</t>
        </is>
      </c>
      <c r="G20" s="8" t="inlineStr">
        <is>
          <t>Supporting information/comments</t>
        </is>
      </c>
      <c r="H20" s="53">
        <f>IFERROR(IF(INDEX('Faculties'!$O$10:$O$19,MATCH($F20,'Faculties'!$B$10:$B$19,0))="","Cell will autofill based on response",INDEX('Faculties'!$O$10:$O$19,MATCH($F20,'Faculties'!$B$10:$B$19,0))),"N/A")</f>
        <v/>
      </c>
      <c r="I20" s="53">
        <f>IFERROR(IF(INDEX('Faculties'!$O$26:$O$35,MATCH($F20,'Faculties'!$B$26:$B$35,0))="","Cell will autofill based on response",INDEX('Faculties'!$O$26:$O$35,MATCH($F20,'Faculties'!$B$26:$B$35,0))),"N/A")</f>
        <v/>
      </c>
      <c r="J20" s="53">
        <f>IFERROR(IF(INDEX('Faculties'!$O$42:$O$51,MATCH($F20,'Faculties'!$B$42:$B$51,0))="","Cell will autofill based on response",INDEX('Faculties'!$O$42:$O$51,MATCH($F20,'Faculties'!$B$42:$B$51,0))),"N/A")</f>
        <v/>
      </c>
      <c r="K20" s="53">
        <f>IFERROR(IF(INDEX('Faculties'!$O$58:$O$67,MATCH($F20,'Faculties'!$B$58:$B$67,0))="","Cell will autofill based on response",INDEX('Faculties'!$O$58:$O$67,MATCH($F20,'Faculties'!$B$58:$B$67,0))),"N/A")</f>
        <v/>
      </c>
      <c r="L20" s="53">
        <f>IFERROR(IF(INDEX('CI&amp;S'!$O$10:$O$15,MATCH($F20,'CI&amp;S'!$B$10:$B$15,0))="","Cell will autofill based on response",INDEX('CI&amp;S'!$O$10:$O$15,MATCH($F20,'CI&amp;S'!$B$10:$B$15,0))),"N/A")</f>
        <v/>
      </c>
      <c r="M20" s="53">
        <f>IFERROR(IF(INDEX('CI&amp;S'!$O$22:$O$36,MATCH($F20,'CI&amp;S'!$B$22:$B$36,0))="","Cell will autofill based on response",INDEX('CI&amp;S'!$O$22:$O$36,MATCH($F20,'CI&amp;S'!$B$22:$B$36,0))),"N/A")</f>
        <v/>
      </c>
      <c r="N20" s="53">
        <f>IFERROR(IF(INDEX('CFOG'!$O$10:$O$16,MATCH($F20,'CFOG'!$B$10:$B$16,0))="","Cell will autofill based on response",INDEX('CFOG'!$O$10:$O$16,MATCH($F20,'CFOG'!$B$10:$B$16,0))),"N/A")</f>
        <v/>
      </c>
      <c r="O20" s="53">
        <f>IFERROR(IF(INDEX('CFOG'!$O$23:$O$24,MATCH($F20,'CFOG'!$B$23:$B$24,0))="","Cell will autofill based on response",INDEX('CFOG'!$O$23:$O$24,MATCH($F20,'CFOG'!$B$23:$B$24,0))),"N/A")</f>
        <v/>
      </c>
      <c r="P20" s="53">
        <f>IFERROR(IF(INDEX('ESG'!$O$10:$O$17,MATCH($F20,'ESG'!$B$10:$B$17,0))="","Cell will autofill based on response",INDEX('ESG'!$O$10:$O$17,MATCH($F20,'ESG'!$B$10:$B$17,0))),"N/A")</f>
        <v/>
      </c>
      <c r="Q20" s="53">
        <f>IFERROR(IF(INDEX('CIOG'!$O$10:$O$14,MATCH($F20,'CIOG'!$B$10:$B$14,0))="","Cell will autofill based on response",INDEX('CIOG'!$O$10:$O$14,MATCH($F20,'CIOG'!$B$10:$B$14,0))),"N/A")</f>
        <v/>
      </c>
      <c r="R20" s="53">
        <f>IFERROR(IF(INDEX('MRE'!$O$10:$O$18,MATCH($F20,'MRE'!$B$10:$B$18,0))="","Cell will autofill based on response",INDEX('MRE'!$O$10:$O$18,MATCH($F20,'MRE'!$B$10:$B$18,0))),"N/A")</f>
        <v/>
      </c>
      <c r="S20" s="53">
        <f>IFERROR(IF(INDEX('AC&amp;M'!$O$10:$O$14,MATCH($F20,'AC&amp;M'!$B$10:$B$14,0))="","Cell will autofill based on response",INDEX('AC&amp;M'!$O$10:$O$14,MATCH($F20,'AC&amp;M'!$B$10:$B$14,0))),"N/A")</f>
        <v/>
      </c>
      <c r="T20" s="53">
        <f>IFERROR(IF(INDEX('GCE'!$O$10:$O$12,MATCH($F20,'GCE'!$B$10:$B$12,0))="","Cell will autofill based on response",INDEX('GCE'!$O$10:$O$12,MATCH($F20,'GCE'!$B$10:$B$12,0))),"N/A")</f>
        <v/>
      </c>
      <c r="U20" s="53">
        <f>IFERROR(IF(INDEX('Education'!$O$10:$O$13,MATCH($F20,'Education'!$B$10:$B$13,0))="","Cell will autofill based on response",INDEX('Education'!$O$10:$O$13,MATCH($F20,'Education'!$B$10:$B$13,0))),"N/A")</f>
        <v/>
      </c>
      <c r="V20" s="53">
        <f>IFERROR(IF(INDEX('SaSS'!$O$10:$O$12,MATCH($F20,'SaSS'!$B$10:$B$12,0))="","Cell will autofill based on response",INDEX('SaSS'!$O$10:$O$12,MATCH($F20,'SaSS'!$B$10:$B$12,0))),"N/A")</f>
        <v/>
      </c>
      <c r="W20" s="53">
        <f>IFERROR(IF(INDEX('Indigenous'!$O$10:$O$11,MATCH($F20,'Indigenous'!$B$10:$B$11,0))="","Cell will autofill based on response",INDEX('Indigenous'!$O$10:$O$11,MATCH($F20,'Indigenous'!$B$10:$B$11,0))),"N/A")</f>
        <v/>
      </c>
      <c r="X20" s="53">
        <f>IFERROR(IF(INDEX('L&amp;R'!$O$10:$O$11,MATCH($F20,'L&amp;R'!$B$10:$B$11,0))="","Cell will autofill based on response",INDEX('L&amp;R'!$O$10:$O$11,MATCH($F20,'L&amp;R'!$B$10:$B$11,0))),"N/A")</f>
        <v/>
      </c>
    </row>
    <row r="21">
      <c r="A21">
        <f>F21&amp;"|"&amp;G21</f>
        <v/>
      </c>
      <c r="B21" s="13" t="inlineStr"/>
      <c r="C21" s="8" t="inlineStr"/>
      <c r="D21" s="8" t="inlineStr"/>
      <c r="E21" s="8" t="inlineStr"/>
      <c r="F21" s="8" t="inlineStr">
        <is>
          <t>EE1(b)</t>
        </is>
      </c>
      <c r="G21" s="8" t="inlineStr">
        <is>
          <t>Data source and limitations</t>
        </is>
      </c>
      <c r="H21" s="53">
        <f>IFERROR(IF(INDEX('Faculties'!$P$10:$P$19,MATCH($F21,'Faculties'!$B$10:$B$19,0))="","Cell will autofill based on response",INDEX('Faculties'!$P$10:$P$19,MATCH($F21,'Faculties'!$B$10:$B$19,0))),"N/A")</f>
        <v/>
      </c>
      <c r="I21" s="53">
        <f>IFERROR(IF(INDEX('Faculties'!$P$26:$P$35,MATCH($F21,'Faculties'!$B$26:$B$35,0))="","Cell will autofill based on response",INDEX('Faculties'!$P$26:$P$35,MATCH($F21,'Faculties'!$B$26:$B$35,0))),"N/A")</f>
        <v/>
      </c>
      <c r="J21" s="53">
        <f>IFERROR(IF(INDEX('Faculties'!$P$42:$P$51,MATCH($F21,'Faculties'!$B$42:$B$51,0))="","Cell will autofill based on response",INDEX('Faculties'!$P$42:$P$51,MATCH($F21,'Faculties'!$B$42:$B$51,0))),"N/A")</f>
        <v/>
      </c>
      <c r="K21" s="53">
        <f>IFERROR(IF(INDEX('Faculties'!$P$58:$P$67,MATCH($F21,'Faculties'!$B$58:$B$67,0))="","Cell will autofill based on response",INDEX('Faculties'!$P$58:$P$67,MATCH($F21,'Faculties'!$B$58:$B$67,0))),"N/A")</f>
        <v/>
      </c>
      <c r="L21" s="53">
        <f>IFERROR(IF(INDEX('CI&amp;S'!$P$10:$P$15,MATCH($F21,'CI&amp;S'!$B$10:$B$15,0))="","Cell will autofill based on response",INDEX('CI&amp;S'!$P$10:$P$15,MATCH($F21,'CI&amp;S'!$B$10:$B$15,0))),"N/A")</f>
        <v/>
      </c>
      <c r="M21" s="53">
        <f>IFERROR(IF(INDEX('CI&amp;S'!$P$22:$P$36,MATCH($F21,'CI&amp;S'!$B$22:$B$36,0))="","Cell will autofill based on response",INDEX('CI&amp;S'!$P$22:$P$36,MATCH($F21,'CI&amp;S'!$B$22:$B$36,0))),"N/A")</f>
        <v/>
      </c>
      <c r="N21" s="53">
        <f>IFERROR(IF(INDEX('CFOG'!$P$10:$P$16,MATCH($F21,'CFOG'!$B$10:$B$16,0))="","Cell will autofill based on response",INDEX('CFOG'!$P$10:$P$16,MATCH($F21,'CFOG'!$B$10:$B$16,0))),"N/A")</f>
        <v/>
      </c>
      <c r="O21" s="53">
        <f>IFERROR(IF(INDEX('CFOG'!$P$23:$P$24,MATCH($F21,'CFOG'!$B$23:$B$24,0))="","Cell will autofill based on response",INDEX('CFOG'!$P$23:$P$24,MATCH($F21,'CFOG'!$B$23:$B$24,0))),"N/A")</f>
        <v/>
      </c>
      <c r="P21" s="53">
        <f>IFERROR(IF(INDEX('ESG'!$P$10:$P$17,MATCH($F21,'ESG'!$B$10:$B$17,0))="","Cell will autofill based on response",INDEX('ESG'!$P$10:$P$17,MATCH($F21,'ESG'!$B$10:$B$17,0))),"N/A")</f>
        <v/>
      </c>
      <c r="Q21" s="53">
        <f>IFERROR(IF(INDEX('CIOG'!$P$10:$P$14,MATCH($F21,'CIOG'!$B$10:$B$14,0))="","Cell will autofill based on response",INDEX('CIOG'!$P$10:$P$14,MATCH($F21,'CIOG'!$B$10:$B$14,0))),"N/A")</f>
        <v/>
      </c>
      <c r="R21" s="53">
        <f>IFERROR(IF(INDEX('MRE'!$P$10:$P$18,MATCH($F21,'MRE'!$B$10:$B$18,0))="","Cell will autofill based on response",INDEX('MRE'!$P$10:$P$18,MATCH($F21,'MRE'!$B$10:$B$18,0))),"N/A")</f>
        <v/>
      </c>
      <c r="S21" s="53">
        <f>IFERROR(IF(INDEX('AC&amp;M'!$P$10:$P$14,MATCH($F21,'AC&amp;M'!$B$10:$B$14,0))="","Cell will autofill based on response",INDEX('AC&amp;M'!$P$10:$P$14,MATCH($F21,'AC&amp;M'!$B$10:$B$14,0))),"N/A")</f>
        <v/>
      </c>
      <c r="T21" s="53">
        <f>IFERROR(IF(INDEX('GCE'!$P$10:$P$12,MATCH($F21,'GCE'!$B$10:$B$12,0))="","Cell will autofill based on response",INDEX('GCE'!$P$10:$P$12,MATCH($F21,'GCE'!$B$10:$B$12,0))),"N/A")</f>
        <v/>
      </c>
      <c r="U21" s="53">
        <f>IFERROR(IF(INDEX('Education'!$P$10:$P$13,MATCH($F21,'Education'!$B$10:$B$13,0))="","Cell will autofill based on response",INDEX('Education'!$P$10:$P$13,MATCH($F21,'Education'!$B$10:$B$13,0))),"N/A")</f>
        <v/>
      </c>
      <c r="V21" s="53">
        <f>IFERROR(IF(INDEX('SaSS'!$P$10:$P$12,MATCH($F21,'SaSS'!$B$10:$B$12,0))="","Cell will autofill based on response",INDEX('SaSS'!$P$10:$P$12,MATCH($F21,'SaSS'!$B$10:$B$12,0))),"N/A")</f>
        <v/>
      </c>
      <c r="W21" s="53">
        <f>IFERROR(IF(INDEX('Indigenous'!$P$10:$P$11,MATCH($F21,'Indigenous'!$B$10:$B$11,0))="","Cell will autofill based on response",INDEX('Indigenous'!$P$10:$P$11,MATCH($F21,'Indigenous'!$B$10:$B$11,0))),"N/A")</f>
        <v/>
      </c>
      <c r="X21" s="53">
        <f>IFERROR(IF(INDEX('L&amp;R'!$P$10:$P$11,MATCH($F21,'L&amp;R'!$B$10:$B$11,0))="","Cell will autofill based on response",INDEX('L&amp;R'!$P$10:$P$11,MATCH($F21,'L&amp;R'!$B$10:$B$11,0))),"N/A")</f>
        <v/>
      </c>
    </row>
    <row r="22">
      <c r="A22">
        <f>F22&amp;"|"&amp;G22</f>
        <v/>
      </c>
      <c r="B22" s="13" t="inlineStr"/>
      <c r="C22" s="8" t="inlineStr"/>
      <c r="D22" s="8" t="inlineStr"/>
      <c r="E22" s="8" t="inlineStr"/>
      <c r="F22" s="8" t="inlineStr">
        <is>
          <t>EE1(b)</t>
        </is>
      </c>
      <c r="G22" s="8" t="inlineStr">
        <is>
          <t>Data owner confirms</t>
        </is>
      </c>
      <c r="H22" s="53">
        <f>IFERROR(IF(INDEX('Faculties'!$Q$10:$Q$19,MATCH($F22,'Faculties'!$B$10:$B$19,0))="","Cell will autofill based on response",INDEX('Faculties'!$Q$10:$Q$19,MATCH($F22,'Faculties'!$B$10:$B$19,0))),"N/A")</f>
        <v/>
      </c>
      <c r="I22" s="53">
        <f>IFERROR(IF(INDEX('Faculties'!$Q$26:$Q$35,MATCH($F22,'Faculties'!$B$26:$B$35,0))="","Cell will autofill based on response",INDEX('Faculties'!$Q$26:$Q$35,MATCH($F22,'Faculties'!$B$26:$B$35,0))),"N/A")</f>
        <v/>
      </c>
      <c r="J22" s="53">
        <f>IFERROR(IF(INDEX('Faculties'!$Q$42:$Q$51,MATCH($F22,'Faculties'!$B$42:$B$51,0))="","Cell will autofill based on response",INDEX('Faculties'!$Q$42:$Q$51,MATCH($F22,'Faculties'!$B$42:$B$51,0))),"N/A")</f>
        <v/>
      </c>
      <c r="K22" s="53">
        <f>IFERROR(IF(INDEX('Faculties'!$Q$58:$Q$67,MATCH($F22,'Faculties'!$B$58:$B$67,0))="","Cell will autofill based on response",INDEX('Faculties'!$Q$58:$Q$67,MATCH($F22,'Faculties'!$B$58:$B$67,0))),"N/A")</f>
        <v/>
      </c>
      <c r="L22" s="53">
        <f>IFERROR(IF(INDEX('CI&amp;S'!$Q$10:$Q$15,MATCH($F22,'CI&amp;S'!$B$10:$B$15,0))="","Cell will autofill based on response",INDEX('CI&amp;S'!$Q$10:$Q$15,MATCH($F22,'CI&amp;S'!$B$10:$B$15,0))),"N/A")</f>
        <v/>
      </c>
      <c r="M22" s="53">
        <f>IFERROR(IF(INDEX('CI&amp;S'!$Q$22:$Q$36,MATCH($F22,'CI&amp;S'!$B$22:$B$36,0))="","Cell will autofill based on response",INDEX('CI&amp;S'!$Q$22:$Q$36,MATCH($F22,'CI&amp;S'!$B$22:$B$36,0))),"N/A")</f>
        <v/>
      </c>
      <c r="N22" s="53">
        <f>IFERROR(IF(INDEX('CFOG'!$Q$10:$Q$16,MATCH($F22,'CFOG'!$B$10:$B$16,0))="","Cell will autofill based on response",INDEX('CFOG'!$Q$10:$Q$16,MATCH($F22,'CFOG'!$B$10:$B$16,0))),"N/A")</f>
        <v/>
      </c>
      <c r="O22" s="53">
        <f>IFERROR(IF(INDEX('CFOG'!$Q$23:$Q$24,MATCH($F22,'CFOG'!$B$23:$B$24,0))="","Cell will autofill based on response",INDEX('CFOG'!$Q$23:$Q$24,MATCH($F22,'CFOG'!$B$23:$B$24,0))),"N/A")</f>
        <v/>
      </c>
      <c r="P22" s="53">
        <f>IFERROR(IF(INDEX('ESG'!$Q$10:$Q$17,MATCH($F22,'ESG'!$B$10:$B$17,0))="","Cell will autofill based on response",INDEX('ESG'!$Q$10:$Q$17,MATCH($F22,'ESG'!$B$10:$B$17,0))),"N/A")</f>
        <v/>
      </c>
      <c r="Q22" s="53">
        <f>IFERROR(IF(INDEX('CIOG'!$Q$10:$Q$14,MATCH($F22,'CIOG'!$B$10:$B$14,0))="","Cell will autofill based on response",INDEX('CIOG'!$Q$10:$Q$14,MATCH($F22,'CIOG'!$B$10:$B$14,0))),"N/A")</f>
        <v/>
      </c>
      <c r="R22" s="53">
        <f>IFERROR(IF(INDEX('MRE'!$Q$10:$Q$18,MATCH($F22,'MRE'!$B$10:$B$18,0))="","Cell will autofill based on response",INDEX('MRE'!$Q$10:$Q$18,MATCH($F22,'MRE'!$B$10:$B$18,0))),"N/A")</f>
        <v/>
      </c>
      <c r="S22" s="53">
        <f>IFERROR(IF(INDEX('AC&amp;M'!$Q$10:$Q$14,MATCH($F22,'AC&amp;M'!$B$10:$B$14,0))="","Cell will autofill based on response",INDEX('AC&amp;M'!$Q$10:$Q$14,MATCH($F22,'AC&amp;M'!$B$10:$B$14,0))),"N/A")</f>
        <v/>
      </c>
      <c r="T22" s="53">
        <f>IFERROR(IF(INDEX('GCE'!$Q$10:$Q$12,MATCH($F22,'GCE'!$B$10:$B$12,0))="","Cell will autofill based on response",INDEX('GCE'!$Q$10:$Q$12,MATCH($F22,'GCE'!$B$10:$B$12,0))),"N/A")</f>
        <v/>
      </c>
      <c r="U22" s="53">
        <f>IFERROR(IF(INDEX('Education'!$Q$10:$Q$13,MATCH($F22,'Education'!$B$10:$B$13,0))="","Cell will autofill based on response",INDEX('Education'!$Q$10:$Q$13,MATCH($F22,'Education'!$B$10:$B$13,0))),"N/A")</f>
        <v/>
      </c>
      <c r="V22" s="53">
        <f>IFERROR(IF(INDEX('SaSS'!$Q$10:$Q$12,MATCH($F22,'SaSS'!$B$10:$B$12,0))="","Cell will autofill based on response",INDEX('SaSS'!$Q$10:$Q$12,MATCH($F22,'SaSS'!$B$10:$B$12,0))),"N/A")</f>
        <v/>
      </c>
      <c r="W22" s="53">
        <f>IFERROR(IF(INDEX('Indigenous'!$Q$10:$Q$11,MATCH($F22,'Indigenous'!$B$10:$B$11,0))="","Cell will autofill based on response",INDEX('Indigenous'!$Q$10:$Q$11,MATCH($F22,'Indigenous'!$B$10:$B$11,0))),"N/A")</f>
        <v/>
      </c>
      <c r="X22" s="53">
        <f>IFERROR(IF(INDEX('L&amp;R'!$Q$10:$Q$11,MATCH($F22,'L&amp;R'!$B$10:$B$11,0))="","Cell will autofill based on response",INDEX('L&amp;R'!$Q$10:$Q$11,MATCH($F22,'L&amp;R'!$B$10:$B$11,0))),"N/A")</f>
        <v/>
      </c>
    </row>
    <row r="23">
      <c r="A23">
        <f>F23&amp;"|"&amp;G23</f>
        <v/>
      </c>
      <c r="B23" s="7" t="inlineStr">
        <is>
          <t>EE1(c)</t>
        </is>
      </c>
      <c r="C23" s="51" t="inlineStr">
        <is>
          <t>Exceptional education</t>
        </is>
      </c>
      <c r="D23" s="51" t="inlineStr">
        <is>
          <t>Evidence of sustainability focused experiential and co curricular learning (eg Wattle Fellowship; Melbourne Plus)</t>
        </is>
      </c>
      <c r="E23" s="51" t="inlineStr">
        <is>
          <t>Please provide examples of sustainability-focused experiential or co-curricular learning offered or supported by your Faculty/Portfolio (e.g. Wattle Fellowship, Melbourne Plus or similar), could include participation where available and a brief description of the learning experience and outcomes.</t>
        </is>
      </c>
      <c r="F23" s="51" t="inlineStr">
        <is>
          <t>EE1(c)</t>
        </is>
      </c>
      <c r="G23" s="51" t="inlineStr">
        <is>
          <t>Confirm end-2026 target status</t>
        </is>
      </c>
      <c r="H23" s="53">
        <f>IFERROR(IF(INDEX('Faculties'!$L$10:$L$19,MATCH($F23,'Faculties'!$B$10:$B$19,0))="","Cell will autofill based on response",INDEX('Faculties'!$L$10:$L$19,MATCH($F23,'Faculties'!$B$10:$B$19,0))),"N/A")</f>
        <v/>
      </c>
      <c r="I23" s="53">
        <f>IFERROR(IF(INDEX('Faculties'!$L$26:$L$35,MATCH($F23,'Faculties'!$B$26:$B$35,0))="","Cell will autofill based on response",INDEX('Faculties'!$L$26:$L$35,MATCH($F23,'Faculties'!$B$26:$B$35,0))),"N/A")</f>
        <v/>
      </c>
      <c r="J23" s="53">
        <f>IFERROR(IF(INDEX('Faculties'!$L$42:$L$51,MATCH($F23,'Faculties'!$B$42:$B$51,0))="","Cell will autofill based on response",INDEX('Faculties'!$L$42:$L$51,MATCH($F23,'Faculties'!$B$42:$B$51,0))),"N/A")</f>
        <v/>
      </c>
      <c r="K23" s="53">
        <f>IFERROR(IF(INDEX('Faculties'!$L$58:$L$67,MATCH($F23,'Faculties'!$B$58:$B$67,0))="","Cell will autofill based on response",INDEX('Faculties'!$L$58:$L$67,MATCH($F23,'Faculties'!$B$58:$B$67,0))),"N/A")</f>
        <v/>
      </c>
      <c r="L23" s="53">
        <f>IFERROR(IF(INDEX('CI&amp;S'!$L$10:$L$15,MATCH($F23,'CI&amp;S'!$B$10:$B$15,0))="","Cell will autofill based on response",INDEX('CI&amp;S'!$L$10:$L$15,MATCH($F23,'CI&amp;S'!$B$10:$B$15,0))),"N/A")</f>
        <v/>
      </c>
      <c r="M23" s="53">
        <f>IFERROR(IF(INDEX('CI&amp;S'!$L$22:$L$36,MATCH($F23,'CI&amp;S'!$B$22:$B$36,0))="","Cell will autofill based on response",INDEX('CI&amp;S'!$L$22:$L$36,MATCH($F23,'CI&amp;S'!$B$22:$B$36,0))),"N/A")</f>
        <v/>
      </c>
      <c r="N23" s="53">
        <f>IFERROR(IF(INDEX('CFOG'!$L$10:$L$16,MATCH($F23,'CFOG'!$B$10:$B$16,0))="","Cell will autofill based on response",INDEX('CFOG'!$L$10:$L$16,MATCH($F23,'CFOG'!$B$10:$B$16,0))),"N/A")</f>
        <v/>
      </c>
      <c r="O23" s="53">
        <f>IFERROR(IF(INDEX('CFOG'!$L$23:$L$24,MATCH($F23,'CFOG'!$B$23:$B$24,0))="","Cell will autofill based on response",INDEX('CFOG'!$L$23:$L$24,MATCH($F23,'CFOG'!$B$23:$B$24,0))),"N/A")</f>
        <v/>
      </c>
      <c r="P23" s="53">
        <f>IFERROR(IF(INDEX('ESG'!$L$10:$L$17,MATCH($F23,'ESG'!$B$10:$B$17,0))="","Cell will autofill based on response",INDEX('ESG'!$L$10:$L$17,MATCH($F23,'ESG'!$B$10:$B$17,0))),"N/A")</f>
        <v/>
      </c>
      <c r="Q23" s="53">
        <f>IFERROR(IF(INDEX('CIOG'!$L$10:$L$14,MATCH($F23,'CIOG'!$B$10:$B$14,0))="","Cell will autofill based on response",INDEX('CIOG'!$L$10:$L$14,MATCH($F23,'CIOG'!$B$10:$B$14,0))),"N/A")</f>
        <v/>
      </c>
      <c r="R23" s="53">
        <f>IFERROR(IF(INDEX('MRE'!$L$10:$L$18,MATCH($F23,'MRE'!$B$10:$B$18,0))="","Cell will autofill based on response",INDEX('MRE'!$L$10:$L$18,MATCH($F23,'MRE'!$B$10:$B$18,0))),"N/A")</f>
        <v/>
      </c>
      <c r="S23" s="53">
        <f>IFERROR(IF(INDEX('AC&amp;M'!$L$10:$L$14,MATCH($F23,'AC&amp;M'!$B$10:$B$14,0))="","Cell will autofill based on response",INDEX('AC&amp;M'!$L$10:$L$14,MATCH($F23,'AC&amp;M'!$B$10:$B$14,0))),"N/A")</f>
        <v/>
      </c>
      <c r="T23" s="53">
        <f>IFERROR(IF(INDEX('GCE'!$L$10:$L$12,MATCH($F23,'GCE'!$B$10:$B$12,0))="","Cell will autofill based on response",INDEX('GCE'!$L$10:$L$12,MATCH($F23,'GCE'!$B$10:$B$12,0))),"N/A")</f>
        <v/>
      </c>
      <c r="U23" s="53">
        <f>IFERROR(IF(INDEX('Education'!$L$10:$L$13,MATCH($F23,'Education'!$B$10:$B$13,0))="","Cell will autofill based on response",INDEX('Education'!$L$10:$L$13,MATCH($F23,'Education'!$B$10:$B$13,0))),"N/A")</f>
        <v/>
      </c>
      <c r="V23" s="53">
        <f>IFERROR(IF(INDEX('SaSS'!$L$10:$L$12,MATCH($F23,'SaSS'!$B$10:$B$12,0))="","Cell will autofill based on response",INDEX('SaSS'!$L$10:$L$12,MATCH($F23,'SaSS'!$B$10:$B$12,0))),"N/A")</f>
        <v/>
      </c>
      <c r="W23" s="53">
        <f>IFERROR(IF(INDEX('Indigenous'!$L$10:$L$11,MATCH($F23,'Indigenous'!$B$10:$B$11,0))="","Cell will autofill based on response",INDEX('Indigenous'!$L$10:$L$11,MATCH($F23,'Indigenous'!$B$10:$B$11,0))),"N/A")</f>
        <v/>
      </c>
      <c r="X23" s="53">
        <f>IFERROR(IF(INDEX('L&amp;R'!$L$10:$L$11,MATCH($F23,'L&amp;R'!$B$10:$B$11,0))="","Cell will autofill based on response",INDEX('L&amp;R'!$L$10:$L$11,MATCH($F23,'L&amp;R'!$B$10:$B$11,0))),"N/A")</f>
        <v/>
      </c>
      <c r="Z23" s="10">
        <f>COUNTIF($H23:$X23,"Cell will autofill based on response")</f>
        <v/>
      </c>
      <c r="AA23" s="10">
        <f>COUNTIF($H23:$X23,"Not yet started")</f>
        <v/>
      </c>
      <c r="AB23" s="10">
        <f>COUNTIF($H23:$X23,"Not met")</f>
        <v/>
      </c>
      <c r="AC23" s="10">
        <f>COUNTIF($H23:$X23,"Partially met")</f>
        <v/>
      </c>
      <c r="AD23" s="10">
        <f>COUNTIF($H23:$X23,"Met or exceeded")</f>
        <v/>
      </c>
      <c r="AE23" s="10">
        <f>3*AD23+2*AC23+AB23</f>
        <v/>
      </c>
      <c r="AF23" s="10">
        <f>AD23+AC23+AB23+AA23</f>
        <v/>
      </c>
      <c r="AG23" s="54">
        <f>IF(AF23&gt;0,AE23/AF23,"No valid responses to date")</f>
        <v/>
      </c>
      <c r="AH23" s="10">
        <f>IF(ISNUMBER(AG23),INDEX(Lists!$G$2:$G$5,MATCH(ROUND(AG23,0),Lists!$H$2:$H$5,0)),"")</f>
        <v/>
      </c>
      <c r="AI23" s="55">
        <f>IF(AF23&gt;0,AD23/AF23,"")</f>
        <v/>
      </c>
      <c r="AJ23" s="55">
        <f>IF(AF23&gt;0,(AD23+AC23)/AF23,"")</f>
        <v/>
      </c>
      <c r="AK23" s="10">
        <f>IF(AF23=0,"",IF(AI23&gt;0.75,"Met or exceeded",IF(AJ23&gt;=0.5,"Partially met","Not met")))</f>
        <v/>
      </c>
    </row>
    <row r="24">
      <c r="A24">
        <f>F24&amp;"|"&amp;G24</f>
        <v/>
      </c>
      <c r="B24" s="13" t="inlineStr"/>
      <c r="C24" s="8" t="inlineStr"/>
      <c r="D24" s="8" t="inlineStr"/>
      <c r="E24" s="8" t="inlineStr"/>
      <c r="F24" s="8" t="inlineStr">
        <is>
          <t>EE1(c)</t>
        </is>
      </c>
      <c r="G24" s="8" t="inlineStr">
        <is>
          <t>OPTION 1:  Target-level reporting</t>
        </is>
      </c>
      <c r="H24" s="53">
        <f>IFERROR(IF(INDEX('Faculties'!$M$10:$M$19,MATCH($F24,'Faculties'!$B$10:$B$19,0))="","Cell will autofill based on response",INDEX('Faculties'!$M$10:$M$19,MATCH($F24,'Faculties'!$B$10:$B$19,0))),"N/A")</f>
        <v/>
      </c>
      <c r="I24" s="53">
        <f>IFERROR(IF(INDEX('Faculties'!$M$26:$M$35,MATCH($F24,'Faculties'!$B$26:$B$35,0))="","Cell will autofill based on response",INDEX('Faculties'!$M$26:$M$35,MATCH($F24,'Faculties'!$B$26:$B$35,0))),"N/A")</f>
        <v/>
      </c>
      <c r="J24" s="53">
        <f>IFERROR(IF(INDEX('Faculties'!$M$42:$M$51,MATCH($F24,'Faculties'!$B$42:$B$51,0))="","Cell will autofill based on response",INDEX('Faculties'!$M$42:$M$51,MATCH($F24,'Faculties'!$B$42:$B$51,0))),"N/A")</f>
        <v/>
      </c>
      <c r="K24" s="53">
        <f>IFERROR(IF(INDEX('Faculties'!$M$58:$M$67,MATCH($F24,'Faculties'!$B$58:$B$67,0))="","Cell will autofill based on response",INDEX('Faculties'!$M$58:$M$67,MATCH($F24,'Faculties'!$B$58:$B$67,0))),"N/A")</f>
        <v/>
      </c>
      <c r="L24" s="53">
        <f>IFERROR(IF(INDEX('CI&amp;S'!$M$10:$M$15,MATCH($F24,'CI&amp;S'!$B$10:$B$15,0))="","Cell will autofill based on response",INDEX('CI&amp;S'!$M$10:$M$15,MATCH($F24,'CI&amp;S'!$B$10:$B$15,0))),"N/A")</f>
        <v/>
      </c>
      <c r="M24" s="53">
        <f>IFERROR(IF(INDEX('CI&amp;S'!$M$22:$M$36,MATCH($F24,'CI&amp;S'!$B$22:$B$36,0))="","Cell will autofill based on response",INDEX('CI&amp;S'!$M$22:$M$36,MATCH($F24,'CI&amp;S'!$B$22:$B$36,0))),"N/A")</f>
        <v/>
      </c>
      <c r="N24" s="53">
        <f>IFERROR(IF(INDEX('CFOG'!$M$10:$M$16,MATCH($F24,'CFOG'!$B$10:$B$16,0))="","Cell will autofill based on response",INDEX('CFOG'!$M$10:$M$16,MATCH($F24,'CFOG'!$B$10:$B$16,0))),"N/A")</f>
        <v/>
      </c>
      <c r="O24" s="53">
        <f>IFERROR(IF(INDEX('CFOG'!$M$23:$M$24,MATCH($F24,'CFOG'!$B$23:$B$24,0))="","Cell will autofill based on response",INDEX('CFOG'!$M$23:$M$24,MATCH($F24,'CFOG'!$B$23:$B$24,0))),"N/A")</f>
        <v/>
      </c>
      <c r="P24" s="53">
        <f>IFERROR(IF(INDEX('ESG'!$M$10:$M$17,MATCH($F24,'ESG'!$B$10:$B$17,0))="","Cell will autofill based on response",INDEX('ESG'!$M$10:$M$17,MATCH($F24,'ESG'!$B$10:$B$17,0))),"N/A")</f>
        <v/>
      </c>
      <c r="Q24" s="53">
        <f>IFERROR(IF(INDEX('CIOG'!$M$10:$M$14,MATCH($F24,'CIOG'!$B$10:$B$14,0))="","Cell will autofill based on response",INDEX('CIOG'!$M$10:$M$14,MATCH($F24,'CIOG'!$B$10:$B$14,0))),"N/A")</f>
        <v/>
      </c>
      <c r="R24" s="53">
        <f>IFERROR(IF(INDEX('MRE'!$M$10:$M$18,MATCH($F24,'MRE'!$B$10:$B$18,0))="","Cell will autofill based on response",INDEX('MRE'!$M$10:$M$18,MATCH($F24,'MRE'!$B$10:$B$18,0))),"N/A")</f>
        <v/>
      </c>
      <c r="S24" s="53">
        <f>IFERROR(IF(INDEX('AC&amp;M'!$M$10:$M$14,MATCH($F24,'AC&amp;M'!$B$10:$B$14,0))="","Cell will autofill based on response",INDEX('AC&amp;M'!$M$10:$M$14,MATCH($F24,'AC&amp;M'!$B$10:$B$14,0))),"N/A")</f>
        <v/>
      </c>
      <c r="T24" s="53">
        <f>IFERROR(IF(INDEX('GCE'!$M$10:$M$12,MATCH($F24,'GCE'!$B$10:$B$12,0))="","Cell will autofill based on response",INDEX('GCE'!$M$10:$M$12,MATCH($F24,'GCE'!$B$10:$B$12,0))),"N/A")</f>
        <v/>
      </c>
      <c r="U24" s="53">
        <f>IFERROR(IF(INDEX('Education'!$M$10:$M$13,MATCH($F24,'Education'!$B$10:$B$13,0))="","Cell will autofill based on response",INDEX('Education'!$M$10:$M$13,MATCH($F24,'Education'!$B$10:$B$13,0))),"N/A")</f>
        <v/>
      </c>
      <c r="V24" s="53">
        <f>IFERROR(IF(INDEX('SaSS'!$M$10:$M$12,MATCH($F24,'SaSS'!$B$10:$B$12,0))="","Cell will autofill based on response",INDEX('SaSS'!$M$10:$M$12,MATCH($F24,'SaSS'!$B$10:$B$12,0))),"N/A")</f>
        <v/>
      </c>
      <c r="W24" s="53">
        <f>IFERROR(IF(INDEX('Indigenous'!$M$10:$M$11,MATCH($F24,'Indigenous'!$B$10:$B$11,0))="","Cell will autofill based on response",INDEX('Indigenous'!$M$10:$M$11,MATCH($F24,'Indigenous'!$B$10:$B$11,0))),"N/A")</f>
        <v/>
      </c>
      <c r="X24" s="53">
        <f>IFERROR(IF(INDEX('L&amp;R'!$M$10:$M$11,MATCH($F24,'L&amp;R'!$B$10:$B$11,0))="","Cell will autofill based on response",INDEX('L&amp;R'!$M$10:$M$11,MATCH($F24,'L&amp;R'!$B$10:$B$11,0))),"N/A")</f>
        <v/>
      </c>
    </row>
    <row r="25">
      <c r="A25">
        <f>F25&amp;"|"&amp;G25</f>
        <v/>
      </c>
      <c r="B25" s="13" t="inlineStr"/>
      <c r="C25" s="8" t="inlineStr"/>
      <c r="D25" s="8" t="inlineStr"/>
      <c r="E25" s="8" t="inlineStr"/>
      <c r="F25" s="8" t="inlineStr">
        <is>
          <t>EE1(c)</t>
        </is>
      </c>
      <c r="G25" s="8" t="inlineStr">
        <is>
          <t>OPTION 2:  Indicator level reporting</t>
        </is>
      </c>
      <c r="H25" s="53">
        <f>IFERROR(IF(INDEX('Faculties'!$N$10:$N$19,MATCH($F25,'Faculties'!$B$10:$B$19,0))="","Cell will autofill based on response",INDEX('Faculties'!$N$10:$N$19,MATCH($F25,'Faculties'!$B$10:$B$19,0))),"N/A")</f>
        <v/>
      </c>
      <c r="I25" s="53">
        <f>IFERROR(IF(INDEX('Faculties'!$N$26:$N$35,MATCH($F25,'Faculties'!$B$26:$B$35,0))="","Cell will autofill based on response",INDEX('Faculties'!$N$26:$N$35,MATCH($F25,'Faculties'!$B$26:$B$35,0))),"N/A")</f>
        <v/>
      </c>
      <c r="J25" s="53">
        <f>IFERROR(IF(INDEX('Faculties'!$N$42:$N$51,MATCH($F25,'Faculties'!$B$42:$B$51,0))="","Cell will autofill based on response",INDEX('Faculties'!$N$42:$N$51,MATCH($F25,'Faculties'!$B$42:$B$51,0))),"N/A")</f>
        <v/>
      </c>
      <c r="K25" s="53">
        <f>IFERROR(IF(INDEX('Faculties'!$N$58:$N$67,MATCH($F25,'Faculties'!$B$58:$B$67,0))="","Cell will autofill based on response",INDEX('Faculties'!$N$58:$N$67,MATCH($F25,'Faculties'!$B$58:$B$67,0))),"N/A")</f>
        <v/>
      </c>
      <c r="L25" s="53">
        <f>IFERROR(IF(INDEX('CI&amp;S'!$N$10:$N$15,MATCH($F25,'CI&amp;S'!$B$10:$B$15,0))="","Cell will autofill based on response",INDEX('CI&amp;S'!$N$10:$N$15,MATCH($F25,'CI&amp;S'!$B$10:$B$15,0))),"N/A")</f>
        <v/>
      </c>
      <c r="M25" s="53">
        <f>IFERROR(IF(INDEX('CI&amp;S'!$N$22:$N$36,MATCH($F25,'CI&amp;S'!$B$22:$B$36,0))="","Cell will autofill based on response",INDEX('CI&amp;S'!$N$22:$N$36,MATCH($F25,'CI&amp;S'!$B$22:$B$36,0))),"N/A")</f>
        <v/>
      </c>
      <c r="N25" s="53">
        <f>IFERROR(IF(INDEX('CFOG'!$N$10:$N$16,MATCH($F25,'CFOG'!$B$10:$B$16,0))="","Cell will autofill based on response",INDEX('CFOG'!$N$10:$N$16,MATCH($F25,'CFOG'!$B$10:$B$16,0))),"N/A")</f>
        <v/>
      </c>
      <c r="O25" s="53">
        <f>IFERROR(IF(INDEX('CFOG'!$N$23:$N$24,MATCH($F25,'CFOG'!$B$23:$B$24,0))="","Cell will autofill based on response",INDEX('CFOG'!$N$23:$N$24,MATCH($F25,'CFOG'!$B$23:$B$24,0))),"N/A")</f>
        <v/>
      </c>
      <c r="P25" s="53">
        <f>IFERROR(IF(INDEX('ESG'!$N$10:$N$17,MATCH($F25,'ESG'!$B$10:$B$17,0))="","Cell will autofill based on response",INDEX('ESG'!$N$10:$N$17,MATCH($F25,'ESG'!$B$10:$B$17,0))),"N/A")</f>
        <v/>
      </c>
      <c r="Q25" s="53">
        <f>IFERROR(IF(INDEX('CIOG'!$N$10:$N$14,MATCH($F25,'CIOG'!$B$10:$B$14,0))="","Cell will autofill based on response",INDEX('CIOG'!$N$10:$N$14,MATCH($F25,'CIOG'!$B$10:$B$14,0))),"N/A")</f>
        <v/>
      </c>
      <c r="R25" s="53">
        <f>IFERROR(IF(INDEX('MRE'!$N$10:$N$18,MATCH($F25,'MRE'!$B$10:$B$18,0))="","Cell will autofill based on response",INDEX('MRE'!$N$10:$N$18,MATCH($F25,'MRE'!$B$10:$B$18,0))),"N/A")</f>
        <v/>
      </c>
      <c r="S25" s="53">
        <f>IFERROR(IF(INDEX('AC&amp;M'!$N$10:$N$14,MATCH($F25,'AC&amp;M'!$B$10:$B$14,0))="","Cell will autofill based on response",INDEX('AC&amp;M'!$N$10:$N$14,MATCH($F25,'AC&amp;M'!$B$10:$B$14,0))),"N/A")</f>
        <v/>
      </c>
      <c r="T25" s="53">
        <f>IFERROR(IF(INDEX('GCE'!$N$10:$N$12,MATCH($F25,'GCE'!$B$10:$B$12,0))="","Cell will autofill based on response",INDEX('GCE'!$N$10:$N$12,MATCH($F25,'GCE'!$B$10:$B$12,0))),"N/A")</f>
        <v/>
      </c>
      <c r="U25" s="53">
        <f>IFERROR(IF(INDEX('Education'!$N$10:$N$13,MATCH($F25,'Education'!$B$10:$B$13,0))="","Cell will autofill based on response",INDEX('Education'!$N$10:$N$13,MATCH($F25,'Education'!$B$10:$B$13,0))),"N/A")</f>
        <v/>
      </c>
      <c r="V25" s="53">
        <f>IFERROR(IF(INDEX('SaSS'!$N$10:$N$12,MATCH($F25,'SaSS'!$B$10:$B$12,0))="","Cell will autofill based on response",INDEX('SaSS'!$N$10:$N$12,MATCH($F25,'SaSS'!$B$10:$B$12,0))),"N/A")</f>
        <v/>
      </c>
      <c r="W25" s="53">
        <f>IFERROR(IF(INDEX('Indigenous'!$N$10:$N$11,MATCH($F25,'Indigenous'!$B$10:$B$11,0))="","Cell will autofill based on response",INDEX('Indigenous'!$N$10:$N$11,MATCH($F25,'Indigenous'!$B$10:$B$11,0))),"N/A")</f>
        <v/>
      </c>
      <c r="X25" s="53">
        <f>IFERROR(IF(INDEX('L&amp;R'!$N$10:$N$11,MATCH($F25,'L&amp;R'!$B$10:$B$11,0))="","Cell will autofill based on response",INDEX('L&amp;R'!$N$10:$N$11,MATCH($F25,'L&amp;R'!$B$10:$B$11,0))),"N/A")</f>
        <v/>
      </c>
    </row>
    <row r="26">
      <c r="A26">
        <f>F26&amp;"|"&amp;G26</f>
        <v/>
      </c>
      <c r="B26" s="13" t="inlineStr"/>
      <c r="C26" s="8" t="inlineStr"/>
      <c r="D26" s="8" t="inlineStr"/>
      <c r="E26" s="8" t="inlineStr"/>
      <c r="F26" s="8" t="inlineStr">
        <is>
          <t>EE1(c)</t>
        </is>
      </c>
      <c r="G26" s="8" t="inlineStr">
        <is>
          <t>Supporting information/comments</t>
        </is>
      </c>
      <c r="H26" s="53">
        <f>IFERROR(IF(INDEX('Faculties'!$O$10:$O$19,MATCH($F26,'Faculties'!$B$10:$B$19,0))="","Cell will autofill based on response",INDEX('Faculties'!$O$10:$O$19,MATCH($F26,'Faculties'!$B$10:$B$19,0))),"N/A")</f>
        <v/>
      </c>
      <c r="I26" s="53">
        <f>IFERROR(IF(INDEX('Faculties'!$O$26:$O$35,MATCH($F26,'Faculties'!$B$26:$B$35,0))="","Cell will autofill based on response",INDEX('Faculties'!$O$26:$O$35,MATCH($F26,'Faculties'!$B$26:$B$35,0))),"N/A")</f>
        <v/>
      </c>
      <c r="J26" s="53">
        <f>IFERROR(IF(INDEX('Faculties'!$O$42:$O$51,MATCH($F26,'Faculties'!$B$42:$B$51,0))="","Cell will autofill based on response",INDEX('Faculties'!$O$42:$O$51,MATCH($F26,'Faculties'!$B$42:$B$51,0))),"N/A")</f>
        <v/>
      </c>
      <c r="K26" s="53">
        <f>IFERROR(IF(INDEX('Faculties'!$O$58:$O$67,MATCH($F26,'Faculties'!$B$58:$B$67,0))="","Cell will autofill based on response",INDEX('Faculties'!$O$58:$O$67,MATCH($F26,'Faculties'!$B$58:$B$67,0))),"N/A")</f>
        <v/>
      </c>
      <c r="L26" s="53">
        <f>IFERROR(IF(INDEX('CI&amp;S'!$O$10:$O$15,MATCH($F26,'CI&amp;S'!$B$10:$B$15,0))="","Cell will autofill based on response",INDEX('CI&amp;S'!$O$10:$O$15,MATCH($F26,'CI&amp;S'!$B$10:$B$15,0))),"N/A")</f>
        <v/>
      </c>
      <c r="M26" s="53">
        <f>IFERROR(IF(INDEX('CI&amp;S'!$O$22:$O$36,MATCH($F26,'CI&amp;S'!$B$22:$B$36,0))="","Cell will autofill based on response",INDEX('CI&amp;S'!$O$22:$O$36,MATCH($F26,'CI&amp;S'!$B$22:$B$36,0))),"N/A")</f>
        <v/>
      </c>
      <c r="N26" s="53">
        <f>IFERROR(IF(INDEX('CFOG'!$O$10:$O$16,MATCH($F26,'CFOG'!$B$10:$B$16,0))="","Cell will autofill based on response",INDEX('CFOG'!$O$10:$O$16,MATCH($F26,'CFOG'!$B$10:$B$16,0))),"N/A")</f>
        <v/>
      </c>
      <c r="O26" s="53">
        <f>IFERROR(IF(INDEX('CFOG'!$O$23:$O$24,MATCH($F26,'CFOG'!$B$23:$B$24,0))="","Cell will autofill based on response",INDEX('CFOG'!$O$23:$O$24,MATCH($F26,'CFOG'!$B$23:$B$24,0))),"N/A")</f>
        <v/>
      </c>
      <c r="P26" s="53">
        <f>IFERROR(IF(INDEX('ESG'!$O$10:$O$17,MATCH($F26,'ESG'!$B$10:$B$17,0))="","Cell will autofill based on response",INDEX('ESG'!$O$10:$O$17,MATCH($F26,'ESG'!$B$10:$B$17,0))),"N/A")</f>
        <v/>
      </c>
      <c r="Q26" s="53">
        <f>IFERROR(IF(INDEX('CIOG'!$O$10:$O$14,MATCH($F26,'CIOG'!$B$10:$B$14,0))="","Cell will autofill based on response",INDEX('CIOG'!$O$10:$O$14,MATCH($F26,'CIOG'!$B$10:$B$14,0))),"N/A")</f>
        <v/>
      </c>
      <c r="R26" s="53">
        <f>IFERROR(IF(INDEX('MRE'!$O$10:$O$18,MATCH($F26,'MRE'!$B$10:$B$18,0))="","Cell will autofill based on response",INDEX('MRE'!$O$10:$O$18,MATCH($F26,'MRE'!$B$10:$B$18,0))),"N/A")</f>
        <v/>
      </c>
      <c r="S26" s="53">
        <f>IFERROR(IF(INDEX('AC&amp;M'!$O$10:$O$14,MATCH($F26,'AC&amp;M'!$B$10:$B$14,0))="","Cell will autofill based on response",INDEX('AC&amp;M'!$O$10:$O$14,MATCH($F26,'AC&amp;M'!$B$10:$B$14,0))),"N/A")</f>
        <v/>
      </c>
      <c r="T26" s="53">
        <f>IFERROR(IF(INDEX('GCE'!$O$10:$O$12,MATCH($F26,'GCE'!$B$10:$B$12,0))="","Cell will autofill based on response",INDEX('GCE'!$O$10:$O$12,MATCH($F26,'GCE'!$B$10:$B$12,0))),"N/A")</f>
        <v/>
      </c>
      <c r="U26" s="53">
        <f>IFERROR(IF(INDEX('Education'!$O$10:$O$13,MATCH($F26,'Education'!$B$10:$B$13,0))="","Cell will autofill based on response",INDEX('Education'!$O$10:$O$13,MATCH($F26,'Education'!$B$10:$B$13,0))),"N/A")</f>
        <v/>
      </c>
      <c r="V26" s="53">
        <f>IFERROR(IF(INDEX('SaSS'!$O$10:$O$12,MATCH($F26,'SaSS'!$B$10:$B$12,0))="","Cell will autofill based on response",INDEX('SaSS'!$O$10:$O$12,MATCH($F26,'SaSS'!$B$10:$B$12,0))),"N/A")</f>
        <v/>
      </c>
      <c r="W26" s="53">
        <f>IFERROR(IF(INDEX('Indigenous'!$O$10:$O$11,MATCH($F26,'Indigenous'!$B$10:$B$11,0))="","Cell will autofill based on response",INDEX('Indigenous'!$O$10:$O$11,MATCH($F26,'Indigenous'!$B$10:$B$11,0))),"N/A")</f>
        <v/>
      </c>
      <c r="X26" s="53">
        <f>IFERROR(IF(INDEX('L&amp;R'!$O$10:$O$11,MATCH($F26,'L&amp;R'!$B$10:$B$11,0))="","Cell will autofill based on response",INDEX('L&amp;R'!$O$10:$O$11,MATCH($F26,'L&amp;R'!$B$10:$B$11,0))),"N/A")</f>
        <v/>
      </c>
    </row>
    <row r="27">
      <c r="A27">
        <f>F27&amp;"|"&amp;G27</f>
        <v/>
      </c>
      <c r="B27" s="13" t="inlineStr"/>
      <c r="C27" s="8" t="inlineStr"/>
      <c r="D27" s="8" t="inlineStr"/>
      <c r="E27" s="8" t="inlineStr"/>
      <c r="F27" s="8" t="inlineStr">
        <is>
          <t>EE1(c)</t>
        </is>
      </c>
      <c r="G27" s="8" t="inlineStr">
        <is>
          <t>Data source and limitations</t>
        </is>
      </c>
      <c r="H27" s="53">
        <f>IFERROR(IF(INDEX('Faculties'!$P$10:$P$19,MATCH($F27,'Faculties'!$B$10:$B$19,0))="","Cell will autofill based on response",INDEX('Faculties'!$P$10:$P$19,MATCH($F27,'Faculties'!$B$10:$B$19,0))),"N/A")</f>
        <v/>
      </c>
      <c r="I27" s="53">
        <f>IFERROR(IF(INDEX('Faculties'!$P$26:$P$35,MATCH($F27,'Faculties'!$B$26:$B$35,0))="","Cell will autofill based on response",INDEX('Faculties'!$P$26:$P$35,MATCH($F27,'Faculties'!$B$26:$B$35,0))),"N/A")</f>
        <v/>
      </c>
      <c r="J27" s="53">
        <f>IFERROR(IF(INDEX('Faculties'!$P$42:$P$51,MATCH($F27,'Faculties'!$B$42:$B$51,0))="","Cell will autofill based on response",INDEX('Faculties'!$P$42:$P$51,MATCH($F27,'Faculties'!$B$42:$B$51,0))),"N/A")</f>
        <v/>
      </c>
      <c r="K27" s="53">
        <f>IFERROR(IF(INDEX('Faculties'!$P$58:$P$67,MATCH($F27,'Faculties'!$B$58:$B$67,0))="","Cell will autofill based on response",INDEX('Faculties'!$P$58:$P$67,MATCH($F27,'Faculties'!$B$58:$B$67,0))),"N/A")</f>
        <v/>
      </c>
      <c r="L27" s="53">
        <f>IFERROR(IF(INDEX('CI&amp;S'!$P$10:$P$15,MATCH($F27,'CI&amp;S'!$B$10:$B$15,0))="","Cell will autofill based on response",INDEX('CI&amp;S'!$P$10:$P$15,MATCH($F27,'CI&amp;S'!$B$10:$B$15,0))),"N/A")</f>
        <v/>
      </c>
      <c r="M27" s="53">
        <f>IFERROR(IF(INDEX('CI&amp;S'!$P$22:$P$36,MATCH($F27,'CI&amp;S'!$B$22:$B$36,0))="","Cell will autofill based on response",INDEX('CI&amp;S'!$P$22:$P$36,MATCH($F27,'CI&amp;S'!$B$22:$B$36,0))),"N/A")</f>
        <v/>
      </c>
      <c r="N27" s="53">
        <f>IFERROR(IF(INDEX('CFOG'!$P$10:$P$16,MATCH($F27,'CFOG'!$B$10:$B$16,0))="","Cell will autofill based on response",INDEX('CFOG'!$P$10:$P$16,MATCH($F27,'CFOG'!$B$10:$B$16,0))),"N/A")</f>
        <v/>
      </c>
      <c r="O27" s="53">
        <f>IFERROR(IF(INDEX('CFOG'!$P$23:$P$24,MATCH($F27,'CFOG'!$B$23:$B$24,0))="","Cell will autofill based on response",INDEX('CFOG'!$P$23:$P$24,MATCH($F27,'CFOG'!$B$23:$B$24,0))),"N/A")</f>
        <v/>
      </c>
      <c r="P27" s="53">
        <f>IFERROR(IF(INDEX('ESG'!$P$10:$P$17,MATCH($F27,'ESG'!$B$10:$B$17,0))="","Cell will autofill based on response",INDEX('ESG'!$P$10:$P$17,MATCH($F27,'ESG'!$B$10:$B$17,0))),"N/A")</f>
        <v/>
      </c>
      <c r="Q27" s="53">
        <f>IFERROR(IF(INDEX('CIOG'!$P$10:$P$14,MATCH($F27,'CIOG'!$B$10:$B$14,0))="","Cell will autofill based on response",INDEX('CIOG'!$P$10:$P$14,MATCH($F27,'CIOG'!$B$10:$B$14,0))),"N/A")</f>
        <v/>
      </c>
      <c r="R27" s="53">
        <f>IFERROR(IF(INDEX('MRE'!$P$10:$P$18,MATCH($F27,'MRE'!$B$10:$B$18,0))="","Cell will autofill based on response",INDEX('MRE'!$P$10:$P$18,MATCH($F27,'MRE'!$B$10:$B$18,0))),"N/A")</f>
        <v/>
      </c>
      <c r="S27" s="53">
        <f>IFERROR(IF(INDEX('AC&amp;M'!$P$10:$P$14,MATCH($F27,'AC&amp;M'!$B$10:$B$14,0))="","Cell will autofill based on response",INDEX('AC&amp;M'!$P$10:$P$14,MATCH($F27,'AC&amp;M'!$B$10:$B$14,0))),"N/A")</f>
        <v/>
      </c>
      <c r="T27" s="53">
        <f>IFERROR(IF(INDEX('GCE'!$P$10:$P$12,MATCH($F27,'GCE'!$B$10:$B$12,0))="","Cell will autofill based on response",INDEX('GCE'!$P$10:$P$12,MATCH($F27,'GCE'!$B$10:$B$12,0))),"N/A")</f>
        <v/>
      </c>
      <c r="U27" s="53">
        <f>IFERROR(IF(INDEX('Education'!$P$10:$P$13,MATCH($F27,'Education'!$B$10:$B$13,0))="","Cell will autofill based on response",INDEX('Education'!$P$10:$P$13,MATCH($F27,'Education'!$B$10:$B$13,0))),"N/A")</f>
        <v/>
      </c>
      <c r="V27" s="53">
        <f>IFERROR(IF(INDEX('SaSS'!$P$10:$P$12,MATCH($F27,'SaSS'!$B$10:$B$12,0))="","Cell will autofill based on response",INDEX('SaSS'!$P$10:$P$12,MATCH($F27,'SaSS'!$B$10:$B$12,0))),"N/A")</f>
        <v/>
      </c>
      <c r="W27" s="53">
        <f>IFERROR(IF(INDEX('Indigenous'!$P$10:$P$11,MATCH($F27,'Indigenous'!$B$10:$B$11,0))="","Cell will autofill based on response",INDEX('Indigenous'!$P$10:$P$11,MATCH($F27,'Indigenous'!$B$10:$B$11,0))),"N/A")</f>
        <v/>
      </c>
      <c r="X27" s="53">
        <f>IFERROR(IF(INDEX('L&amp;R'!$P$10:$P$11,MATCH($F27,'L&amp;R'!$B$10:$B$11,0))="","Cell will autofill based on response",INDEX('L&amp;R'!$P$10:$P$11,MATCH($F27,'L&amp;R'!$B$10:$B$11,0))),"N/A")</f>
        <v/>
      </c>
    </row>
    <row r="28">
      <c r="A28">
        <f>F28&amp;"|"&amp;G28</f>
        <v/>
      </c>
      <c r="B28" s="13" t="inlineStr"/>
      <c r="C28" s="8" t="inlineStr"/>
      <c r="D28" s="8" t="inlineStr"/>
      <c r="E28" s="8" t="inlineStr"/>
      <c r="F28" s="8" t="inlineStr">
        <is>
          <t>EE1(c)</t>
        </is>
      </c>
      <c r="G28" s="8" t="inlineStr">
        <is>
          <t>Data owner confirms</t>
        </is>
      </c>
      <c r="H28" s="53">
        <f>IFERROR(IF(INDEX('Faculties'!$Q$10:$Q$19,MATCH($F28,'Faculties'!$B$10:$B$19,0))="","Cell will autofill based on response",INDEX('Faculties'!$Q$10:$Q$19,MATCH($F28,'Faculties'!$B$10:$B$19,0))),"N/A")</f>
        <v/>
      </c>
      <c r="I28" s="53">
        <f>IFERROR(IF(INDEX('Faculties'!$Q$26:$Q$35,MATCH($F28,'Faculties'!$B$26:$B$35,0))="","Cell will autofill based on response",INDEX('Faculties'!$Q$26:$Q$35,MATCH($F28,'Faculties'!$B$26:$B$35,0))),"N/A")</f>
        <v/>
      </c>
      <c r="J28" s="53">
        <f>IFERROR(IF(INDEX('Faculties'!$Q$42:$Q$51,MATCH($F28,'Faculties'!$B$42:$B$51,0))="","Cell will autofill based on response",INDEX('Faculties'!$Q$42:$Q$51,MATCH($F28,'Faculties'!$B$42:$B$51,0))),"N/A")</f>
        <v/>
      </c>
      <c r="K28" s="53">
        <f>IFERROR(IF(INDEX('Faculties'!$Q$58:$Q$67,MATCH($F28,'Faculties'!$B$58:$B$67,0))="","Cell will autofill based on response",INDEX('Faculties'!$Q$58:$Q$67,MATCH($F28,'Faculties'!$B$58:$B$67,0))),"N/A")</f>
        <v/>
      </c>
      <c r="L28" s="53">
        <f>IFERROR(IF(INDEX('CI&amp;S'!$Q$10:$Q$15,MATCH($F28,'CI&amp;S'!$B$10:$B$15,0))="","Cell will autofill based on response",INDEX('CI&amp;S'!$Q$10:$Q$15,MATCH($F28,'CI&amp;S'!$B$10:$B$15,0))),"N/A")</f>
        <v/>
      </c>
      <c r="M28" s="53">
        <f>IFERROR(IF(INDEX('CI&amp;S'!$Q$22:$Q$36,MATCH($F28,'CI&amp;S'!$B$22:$B$36,0))="","Cell will autofill based on response",INDEX('CI&amp;S'!$Q$22:$Q$36,MATCH($F28,'CI&amp;S'!$B$22:$B$36,0))),"N/A")</f>
        <v/>
      </c>
      <c r="N28" s="53">
        <f>IFERROR(IF(INDEX('CFOG'!$Q$10:$Q$16,MATCH($F28,'CFOG'!$B$10:$B$16,0))="","Cell will autofill based on response",INDEX('CFOG'!$Q$10:$Q$16,MATCH($F28,'CFOG'!$B$10:$B$16,0))),"N/A")</f>
        <v/>
      </c>
      <c r="O28" s="53">
        <f>IFERROR(IF(INDEX('CFOG'!$Q$23:$Q$24,MATCH($F28,'CFOG'!$B$23:$B$24,0))="","Cell will autofill based on response",INDEX('CFOG'!$Q$23:$Q$24,MATCH($F28,'CFOG'!$B$23:$B$24,0))),"N/A")</f>
        <v/>
      </c>
      <c r="P28" s="53">
        <f>IFERROR(IF(INDEX('ESG'!$Q$10:$Q$17,MATCH($F28,'ESG'!$B$10:$B$17,0))="","Cell will autofill based on response",INDEX('ESG'!$Q$10:$Q$17,MATCH($F28,'ESG'!$B$10:$B$17,0))),"N/A")</f>
        <v/>
      </c>
      <c r="Q28" s="53">
        <f>IFERROR(IF(INDEX('CIOG'!$Q$10:$Q$14,MATCH($F28,'CIOG'!$B$10:$B$14,0))="","Cell will autofill based on response",INDEX('CIOG'!$Q$10:$Q$14,MATCH($F28,'CIOG'!$B$10:$B$14,0))),"N/A")</f>
        <v/>
      </c>
      <c r="R28" s="53">
        <f>IFERROR(IF(INDEX('MRE'!$Q$10:$Q$18,MATCH($F28,'MRE'!$B$10:$B$18,0))="","Cell will autofill based on response",INDEX('MRE'!$Q$10:$Q$18,MATCH($F28,'MRE'!$B$10:$B$18,0))),"N/A")</f>
        <v/>
      </c>
      <c r="S28" s="53">
        <f>IFERROR(IF(INDEX('AC&amp;M'!$Q$10:$Q$14,MATCH($F28,'AC&amp;M'!$B$10:$B$14,0))="","Cell will autofill based on response",INDEX('AC&amp;M'!$Q$10:$Q$14,MATCH($F28,'AC&amp;M'!$B$10:$B$14,0))),"N/A")</f>
        <v/>
      </c>
      <c r="T28" s="53">
        <f>IFERROR(IF(INDEX('GCE'!$Q$10:$Q$12,MATCH($F28,'GCE'!$B$10:$B$12,0))="","Cell will autofill based on response",INDEX('GCE'!$Q$10:$Q$12,MATCH($F28,'GCE'!$B$10:$B$12,0))),"N/A")</f>
        <v/>
      </c>
      <c r="U28" s="53">
        <f>IFERROR(IF(INDEX('Education'!$Q$10:$Q$13,MATCH($F28,'Education'!$B$10:$B$13,0))="","Cell will autofill based on response",INDEX('Education'!$Q$10:$Q$13,MATCH($F28,'Education'!$B$10:$B$13,0))),"N/A")</f>
        <v/>
      </c>
      <c r="V28" s="53">
        <f>IFERROR(IF(INDEX('SaSS'!$Q$10:$Q$12,MATCH($F28,'SaSS'!$B$10:$B$12,0))="","Cell will autofill based on response",INDEX('SaSS'!$Q$10:$Q$12,MATCH($F28,'SaSS'!$B$10:$B$12,0))),"N/A")</f>
        <v/>
      </c>
      <c r="W28" s="53">
        <f>IFERROR(IF(INDEX('Indigenous'!$Q$10:$Q$11,MATCH($F28,'Indigenous'!$B$10:$B$11,0))="","Cell will autofill based on response",INDEX('Indigenous'!$Q$10:$Q$11,MATCH($F28,'Indigenous'!$B$10:$B$11,0))),"N/A")</f>
        <v/>
      </c>
      <c r="X28" s="53">
        <f>IFERROR(IF(INDEX('L&amp;R'!$Q$10:$Q$11,MATCH($F28,'L&amp;R'!$B$10:$B$11,0))="","Cell will autofill based on response",INDEX('L&amp;R'!$Q$10:$Q$11,MATCH($F28,'L&amp;R'!$B$10:$B$11,0))),"N/A")</f>
        <v/>
      </c>
    </row>
    <row r="29">
      <c r="A29">
        <f>F29&amp;"|"&amp;G29</f>
        <v/>
      </c>
      <c r="B29" s="7" t="inlineStr">
        <is>
          <t>EE1(d)</t>
        </is>
      </c>
      <c r="C29" s="51" t="inlineStr">
        <is>
          <t>Exceptional education</t>
        </is>
      </c>
      <c r="D29" s="51" t="inlineStr">
        <is>
          <t>Alumni profiles demonstrating how graduates contribute to sustainability through their careers or communities.</t>
        </is>
      </c>
      <c r="E29" s="51" t="inlineStr">
        <is>
          <t>Please provide examples or profiles of graduates or alumni from your Faculty who demonstrate how they apply sustainability knowledge, skills or capabilities through their careers, communities or other activities. Where available, include any evidence used by the Faculty to understand graduate outcomes related to sustainability.</t>
        </is>
      </c>
      <c r="F29" s="51" t="inlineStr">
        <is>
          <t>EE1(d)</t>
        </is>
      </c>
      <c r="G29" s="51" t="inlineStr">
        <is>
          <t>Confirm end-2026 target status</t>
        </is>
      </c>
      <c r="H29" s="53">
        <f>IFERROR(IF(INDEX('Faculties'!$L$10:$L$19,MATCH($F29,'Faculties'!$B$10:$B$19,0))="","Cell will autofill based on response",INDEX('Faculties'!$L$10:$L$19,MATCH($F29,'Faculties'!$B$10:$B$19,0))),"N/A")</f>
        <v/>
      </c>
      <c r="I29" s="53">
        <f>IFERROR(IF(INDEX('Faculties'!$L$26:$L$35,MATCH($F29,'Faculties'!$B$26:$B$35,0))="","Cell will autofill based on response",INDEX('Faculties'!$L$26:$L$35,MATCH($F29,'Faculties'!$B$26:$B$35,0))),"N/A")</f>
        <v/>
      </c>
      <c r="J29" s="53">
        <f>IFERROR(IF(INDEX('Faculties'!$L$42:$L$51,MATCH($F29,'Faculties'!$B$42:$B$51,0))="","Cell will autofill based on response",INDEX('Faculties'!$L$42:$L$51,MATCH($F29,'Faculties'!$B$42:$B$51,0))),"N/A")</f>
        <v/>
      </c>
      <c r="K29" s="53">
        <f>IFERROR(IF(INDEX('Faculties'!$L$58:$L$67,MATCH($F29,'Faculties'!$B$58:$B$67,0))="","Cell will autofill based on response",INDEX('Faculties'!$L$58:$L$67,MATCH($F29,'Faculties'!$B$58:$B$67,0))),"N/A")</f>
        <v/>
      </c>
      <c r="L29" s="53">
        <f>IFERROR(IF(INDEX('CI&amp;S'!$L$10:$L$15,MATCH($F29,'CI&amp;S'!$B$10:$B$15,0))="","Cell will autofill based on response",INDEX('CI&amp;S'!$L$10:$L$15,MATCH($F29,'CI&amp;S'!$B$10:$B$15,0))),"N/A")</f>
        <v/>
      </c>
      <c r="M29" s="53">
        <f>IFERROR(IF(INDEX('CI&amp;S'!$L$22:$L$36,MATCH($F29,'CI&amp;S'!$B$22:$B$36,0))="","Cell will autofill based on response",INDEX('CI&amp;S'!$L$22:$L$36,MATCH($F29,'CI&amp;S'!$B$22:$B$36,0))),"N/A")</f>
        <v/>
      </c>
      <c r="N29" s="53">
        <f>IFERROR(IF(INDEX('CFOG'!$L$10:$L$16,MATCH($F29,'CFOG'!$B$10:$B$16,0))="","Cell will autofill based on response",INDEX('CFOG'!$L$10:$L$16,MATCH($F29,'CFOG'!$B$10:$B$16,0))),"N/A")</f>
        <v/>
      </c>
      <c r="O29" s="53">
        <f>IFERROR(IF(INDEX('CFOG'!$L$23:$L$24,MATCH($F29,'CFOG'!$B$23:$B$24,0))="","Cell will autofill based on response",INDEX('CFOG'!$L$23:$L$24,MATCH($F29,'CFOG'!$B$23:$B$24,0))),"N/A")</f>
        <v/>
      </c>
      <c r="P29" s="53">
        <f>IFERROR(IF(INDEX('ESG'!$L$10:$L$17,MATCH($F29,'ESG'!$B$10:$B$17,0))="","Cell will autofill based on response",INDEX('ESG'!$L$10:$L$17,MATCH($F29,'ESG'!$B$10:$B$17,0))),"N/A")</f>
        <v/>
      </c>
      <c r="Q29" s="53">
        <f>IFERROR(IF(INDEX('CIOG'!$L$10:$L$14,MATCH($F29,'CIOG'!$B$10:$B$14,0))="","Cell will autofill based on response",INDEX('CIOG'!$L$10:$L$14,MATCH($F29,'CIOG'!$B$10:$B$14,0))),"N/A")</f>
        <v/>
      </c>
      <c r="R29" s="53">
        <f>IFERROR(IF(INDEX('MRE'!$L$10:$L$18,MATCH($F29,'MRE'!$B$10:$B$18,0))="","Cell will autofill based on response",INDEX('MRE'!$L$10:$L$18,MATCH($F29,'MRE'!$B$10:$B$18,0))),"N/A")</f>
        <v/>
      </c>
      <c r="S29" s="53">
        <f>IFERROR(IF(INDEX('AC&amp;M'!$L$10:$L$14,MATCH($F29,'AC&amp;M'!$B$10:$B$14,0))="","Cell will autofill based on response",INDEX('AC&amp;M'!$L$10:$L$14,MATCH($F29,'AC&amp;M'!$B$10:$B$14,0))),"N/A")</f>
        <v/>
      </c>
      <c r="T29" s="53">
        <f>IFERROR(IF(INDEX('GCE'!$L$10:$L$12,MATCH($F29,'GCE'!$B$10:$B$12,0))="","Cell will autofill based on response",INDEX('GCE'!$L$10:$L$12,MATCH($F29,'GCE'!$B$10:$B$12,0))),"N/A")</f>
        <v/>
      </c>
      <c r="U29" s="53">
        <f>IFERROR(IF(INDEX('Education'!$L$10:$L$13,MATCH($F29,'Education'!$B$10:$B$13,0))="","Cell will autofill based on response",INDEX('Education'!$L$10:$L$13,MATCH($F29,'Education'!$B$10:$B$13,0))),"N/A")</f>
        <v/>
      </c>
      <c r="V29" s="53">
        <f>IFERROR(IF(INDEX('SaSS'!$L$10:$L$12,MATCH($F29,'SaSS'!$B$10:$B$12,0))="","Cell will autofill based on response",INDEX('SaSS'!$L$10:$L$12,MATCH($F29,'SaSS'!$B$10:$B$12,0))),"N/A")</f>
        <v/>
      </c>
      <c r="W29" s="53">
        <f>IFERROR(IF(INDEX('Indigenous'!$L$10:$L$11,MATCH($F29,'Indigenous'!$B$10:$B$11,0))="","Cell will autofill based on response",INDEX('Indigenous'!$L$10:$L$11,MATCH($F29,'Indigenous'!$B$10:$B$11,0))),"N/A")</f>
        <v/>
      </c>
      <c r="X29" s="53">
        <f>IFERROR(IF(INDEX('L&amp;R'!$L$10:$L$11,MATCH($F29,'L&amp;R'!$B$10:$B$11,0))="","Cell will autofill based on response",INDEX('L&amp;R'!$L$10:$L$11,MATCH($F29,'L&amp;R'!$B$10:$B$11,0))),"N/A")</f>
        <v/>
      </c>
      <c r="Z29" s="10">
        <f>COUNTIF($H29:$X29,"Cell will autofill based on response")</f>
        <v/>
      </c>
      <c r="AA29" s="10">
        <f>COUNTIF($H29:$X29,"Not yet started")</f>
        <v/>
      </c>
      <c r="AB29" s="10">
        <f>COUNTIF($H29:$X29,"Not met")</f>
        <v/>
      </c>
      <c r="AC29" s="10">
        <f>COUNTIF($H29:$X29,"Partially met")</f>
        <v/>
      </c>
      <c r="AD29" s="10">
        <f>COUNTIF($H29:$X29,"Met or exceeded")</f>
        <v/>
      </c>
      <c r="AE29" s="10">
        <f>3*AD29+2*AC29+AB29</f>
        <v/>
      </c>
      <c r="AF29" s="10">
        <f>AD29+AC29+AB29+AA29</f>
        <v/>
      </c>
      <c r="AG29" s="54">
        <f>IF(AF29&gt;0,AE29/AF29,"No valid responses to date")</f>
        <v/>
      </c>
      <c r="AH29" s="10">
        <f>IF(ISNUMBER(AG29),INDEX(Lists!$G$2:$G$5,MATCH(ROUND(AG29,0),Lists!$H$2:$H$5,0)),"")</f>
        <v/>
      </c>
      <c r="AI29" s="55">
        <f>IF(AF29&gt;0,AD29/AF29,"")</f>
        <v/>
      </c>
      <c r="AJ29" s="55">
        <f>IF(AF29&gt;0,(AD29+AC29)/AF29,"")</f>
        <v/>
      </c>
      <c r="AK29" s="10">
        <f>IF(AF29=0,"",IF(AI29&gt;0.75,"Met or exceeded",IF(AJ29&gt;=0.5,"Partially met","Not met")))</f>
        <v/>
      </c>
    </row>
    <row r="30">
      <c r="A30">
        <f>F30&amp;"|"&amp;G30</f>
        <v/>
      </c>
      <c r="B30" s="13" t="inlineStr"/>
      <c r="C30" s="8" t="inlineStr"/>
      <c r="D30" s="8" t="inlineStr"/>
      <c r="E30" s="8" t="inlineStr"/>
      <c r="F30" s="8" t="inlineStr">
        <is>
          <t>EE1(d)</t>
        </is>
      </c>
      <c r="G30" s="8" t="inlineStr">
        <is>
          <t>OPTION 1:  Target-level reporting</t>
        </is>
      </c>
      <c r="H30" s="53">
        <f>IFERROR(IF(INDEX('Faculties'!$M$10:$M$19,MATCH($F30,'Faculties'!$B$10:$B$19,0))="","Cell will autofill based on response",INDEX('Faculties'!$M$10:$M$19,MATCH($F30,'Faculties'!$B$10:$B$19,0))),"N/A")</f>
        <v/>
      </c>
      <c r="I30" s="53">
        <f>IFERROR(IF(INDEX('Faculties'!$M$26:$M$35,MATCH($F30,'Faculties'!$B$26:$B$35,0))="","Cell will autofill based on response",INDEX('Faculties'!$M$26:$M$35,MATCH($F30,'Faculties'!$B$26:$B$35,0))),"N/A")</f>
        <v/>
      </c>
      <c r="J30" s="53">
        <f>IFERROR(IF(INDEX('Faculties'!$M$42:$M$51,MATCH($F30,'Faculties'!$B$42:$B$51,0))="","Cell will autofill based on response",INDEX('Faculties'!$M$42:$M$51,MATCH($F30,'Faculties'!$B$42:$B$51,0))),"N/A")</f>
        <v/>
      </c>
      <c r="K30" s="53">
        <f>IFERROR(IF(INDEX('Faculties'!$M$58:$M$67,MATCH($F30,'Faculties'!$B$58:$B$67,0))="","Cell will autofill based on response",INDEX('Faculties'!$M$58:$M$67,MATCH($F30,'Faculties'!$B$58:$B$67,0))),"N/A")</f>
        <v/>
      </c>
      <c r="L30" s="53">
        <f>IFERROR(IF(INDEX('CI&amp;S'!$M$10:$M$15,MATCH($F30,'CI&amp;S'!$B$10:$B$15,0))="","Cell will autofill based on response",INDEX('CI&amp;S'!$M$10:$M$15,MATCH($F30,'CI&amp;S'!$B$10:$B$15,0))),"N/A")</f>
        <v/>
      </c>
      <c r="M30" s="53">
        <f>IFERROR(IF(INDEX('CI&amp;S'!$M$22:$M$36,MATCH($F30,'CI&amp;S'!$B$22:$B$36,0))="","Cell will autofill based on response",INDEX('CI&amp;S'!$M$22:$M$36,MATCH($F30,'CI&amp;S'!$B$22:$B$36,0))),"N/A")</f>
        <v/>
      </c>
      <c r="N30" s="53">
        <f>IFERROR(IF(INDEX('CFOG'!$M$10:$M$16,MATCH($F30,'CFOG'!$B$10:$B$16,0))="","Cell will autofill based on response",INDEX('CFOG'!$M$10:$M$16,MATCH($F30,'CFOG'!$B$10:$B$16,0))),"N/A")</f>
        <v/>
      </c>
      <c r="O30" s="53">
        <f>IFERROR(IF(INDEX('CFOG'!$M$23:$M$24,MATCH($F30,'CFOG'!$B$23:$B$24,0))="","Cell will autofill based on response",INDEX('CFOG'!$M$23:$M$24,MATCH($F30,'CFOG'!$B$23:$B$24,0))),"N/A")</f>
        <v/>
      </c>
      <c r="P30" s="53">
        <f>IFERROR(IF(INDEX('ESG'!$M$10:$M$17,MATCH($F30,'ESG'!$B$10:$B$17,0))="","Cell will autofill based on response",INDEX('ESG'!$M$10:$M$17,MATCH($F30,'ESG'!$B$10:$B$17,0))),"N/A")</f>
        <v/>
      </c>
      <c r="Q30" s="53">
        <f>IFERROR(IF(INDEX('CIOG'!$M$10:$M$14,MATCH($F30,'CIOG'!$B$10:$B$14,0))="","Cell will autofill based on response",INDEX('CIOG'!$M$10:$M$14,MATCH($F30,'CIOG'!$B$10:$B$14,0))),"N/A")</f>
        <v/>
      </c>
      <c r="R30" s="53">
        <f>IFERROR(IF(INDEX('MRE'!$M$10:$M$18,MATCH($F30,'MRE'!$B$10:$B$18,0))="","Cell will autofill based on response",INDEX('MRE'!$M$10:$M$18,MATCH($F30,'MRE'!$B$10:$B$18,0))),"N/A")</f>
        <v/>
      </c>
      <c r="S30" s="53">
        <f>IFERROR(IF(INDEX('AC&amp;M'!$M$10:$M$14,MATCH($F30,'AC&amp;M'!$B$10:$B$14,0))="","Cell will autofill based on response",INDEX('AC&amp;M'!$M$10:$M$14,MATCH($F30,'AC&amp;M'!$B$10:$B$14,0))),"N/A")</f>
        <v/>
      </c>
      <c r="T30" s="53">
        <f>IFERROR(IF(INDEX('GCE'!$M$10:$M$12,MATCH($F30,'GCE'!$B$10:$B$12,0))="","Cell will autofill based on response",INDEX('GCE'!$M$10:$M$12,MATCH($F30,'GCE'!$B$10:$B$12,0))),"N/A")</f>
        <v/>
      </c>
      <c r="U30" s="53">
        <f>IFERROR(IF(INDEX('Education'!$M$10:$M$13,MATCH($F30,'Education'!$B$10:$B$13,0))="","Cell will autofill based on response",INDEX('Education'!$M$10:$M$13,MATCH($F30,'Education'!$B$10:$B$13,0))),"N/A")</f>
        <v/>
      </c>
      <c r="V30" s="53">
        <f>IFERROR(IF(INDEX('SaSS'!$M$10:$M$12,MATCH($F30,'SaSS'!$B$10:$B$12,0))="","Cell will autofill based on response",INDEX('SaSS'!$M$10:$M$12,MATCH($F30,'SaSS'!$B$10:$B$12,0))),"N/A")</f>
        <v/>
      </c>
      <c r="W30" s="53">
        <f>IFERROR(IF(INDEX('Indigenous'!$M$10:$M$11,MATCH($F30,'Indigenous'!$B$10:$B$11,0))="","Cell will autofill based on response",INDEX('Indigenous'!$M$10:$M$11,MATCH($F30,'Indigenous'!$B$10:$B$11,0))),"N/A")</f>
        <v/>
      </c>
      <c r="X30" s="53">
        <f>IFERROR(IF(INDEX('L&amp;R'!$M$10:$M$11,MATCH($F30,'L&amp;R'!$B$10:$B$11,0))="","Cell will autofill based on response",INDEX('L&amp;R'!$M$10:$M$11,MATCH($F30,'L&amp;R'!$B$10:$B$11,0))),"N/A")</f>
        <v/>
      </c>
    </row>
    <row r="31">
      <c r="A31">
        <f>F31&amp;"|"&amp;G31</f>
        <v/>
      </c>
      <c r="B31" s="13" t="inlineStr"/>
      <c r="C31" s="8" t="inlineStr"/>
      <c r="D31" s="8" t="inlineStr"/>
      <c r="E31" s="8" t="inlineStr"/>
      <c r="F31" s="8" t="inlineStr">
        <is>
          <t>EE1(d)</t>
        </is>
      </c>
      <c r="G31" s="8" t="inlineStr">
        <is>
          <t>OPTION 2:  Indicator level reporting</t>
        </is>
      </c>
      <c r="H31" s="53">
        <f>IFERROR(IF(INDEX('Faculties'!$N$10:$N$19,MATCH($F31,'Faculties'!$B$10:$B$19,0))="","Cell will autofill based on response",INDEX('Faculties'!$N$10:$N$19,MATCH($F31,'Faculties'!$B$10:$B$19,0))),"N/A")</f>
        <v/>
      </c>
      <c r="I31" s="53">
        <f>IFERROR(IF(INDEX('Faculties'!$N$26:$N$35,MATCH($F31,'Faculties'!$B$26:$B$35,0))="","Cell will autofill based on response",INDEX('Faculties'!$N$26:$N$35,MATCH($F31,'Faculties'!$B$26:$B$35,0))),"N/A")</f>
        <v/>
      </c>
      <c r="J31" s="53">
        <f>IFERROR(IF(INDEX('Faculties'!$N$42:$N$51,MATCH($F31,'Faculties'!$B$42:$B$51,0))="","Cell will autofill based on response",INDEX('Faculties'!$N$42:$N$51,MATCH($F31,'Faculties'!$B$42:$B$51,0))),"N/A")</f>
        <v/>
      </c>
      <c r="K31" s="53">
        <f>IFERROR(IF(INDEX('Faculties'!$N$58:$N$67,MATCH($F31,'Faculties'!$B$58:$B$67,0))="","Cell will autofill based on response",INDEX('Faculties'!$N$58:$N$67,MATCH($F31,'Faculties'!$B$58:$B$67,0))),"N/A")</f>
        <v/>
      </c>
      <c r="L31" s="53">
        <f>IFERROR(IF(INDEX('CI&amp;S'!$N$10:$N$15,MATCH($F31,'CI&amp;S'!$B$10:$B$15,0))="","Cell will autofill based on response",INDEX('CI&amp;S'!$N$10:$N$15,MATCH($F31,'CI&amp;S'!$B$10:$B$15,0))),"N/A")</f>
        <v/>
      </c>
      <c r="M31" s="53">
        <f>IFERROR(IF(INDEX('CI&amp;S'!$N$22:$N$36,MATCH($F31,'CI&amp;S'!$B$22:$B$36,0))="","Cell will autofill based on response",INDEX('CI&amp;S'!$N$22:$N$36,MATCH($F31,'CI&amp;S'!$B$22:$B$36,0))),"N/A")</f>
        <v/>
      </c>
      <c r="N31" s="53">
        <f>IFERROR(IF(INDEX('CFOG'!$N$10:$N$16,MATCH($F31,'CFOG'!$B$10:$B$16,0))="","Cell will autofill based on response",INDEX('CFOG'!$N$10:$N$16,MATCH($F31,'CFOG'!$B$10:$B$16,0))),"N/A")</f>
        <v/>
      </c>
      <c r="O31" s="53">
        <f>IFERROR(IF(INDEX('CFOG'!$N$23:$N$24,MATCH($F31,'CFOG'!$B$23:$B$24,0))="","Cell will autofill based on response",INDEX('CFOG'!$N$23:$N$24,MATCH($F31,'CFOG'!$B$23:$B$24,0))),"N/A")</f>
        <v/>
      </c>
      <c r="P31" s="53">
        <f>IFERROR(IF(INDEX('ESG'!$N$10:$N$17,MATCH($F31,'ESG'!$B$10:$B$17,0))="","Cell will autofill based on response",INDEX('ESG'!$N$10:$N$17,MATCH($F31,'ESG'!$B$10:$B$17,0))),"N/A")</f>
        <v/>
      </c>
      <c r="Q31" s="53">
        <f>IFERROR(IF(INDEX('CIOG'!$N$10:$N$14,MATCH($F31,'CIOG'!$B$10:$B$14,0))="","Cell will autofill based on response",INDEX('CIOG'!$N$10:$N$14,MATCH($F31,'CIOG'!$B$10:$B$14,0))),"N/A")</f>
        <v/>
      </c>
      <c r="R31" s="53">
        <f>IFERROR(IF(INDEX('MRE'!$N$10:$N$18,MATCH($F31,'MRE'!$B$10:$B$18,0))="","Cell will autofill based on response",INDEX('MRE'!$N$10:$N$18,MATCH($F31,'MRE'!$B$10:$B$18,0))),"N/A")</f>
        <v/>
      </c>
      <c r="S31" s="53">
        <f>IFERROR(IF(INDEX('AC&amp;M'!$N$10:$N$14,MATCH($F31,'AC&amp;M'!$B$10:$B$14,0))="","Cell will autofill based on response",INDEX('AC&amp;M'!$N$10:$N$14,MATCH($F31,'AC&amp;M'!$B$10:$B$14,0))),"N/A")</f>
        <v/>
      </c>
      <c r="T31" s="53">
        <f>IFERROR(IF(INDEX('GCE'!$N$10:$N$12,MATCH($F31,'GCE'!$B$10:$B$12,0))="","Cell will autofill based on response",INDEX('GCE'!$N$10:$N$12,MATCH($F31,'GCE'!$B$10:$B$12,0))),"N/A")</f>
        <v/>
      </c>
      <c r="U31" s="53">
        <f>IFERROR(IF(INDEX('Education'!$N$10:$N$13,MATCH($F31,'Education'!$B$10:$B$13,0))="","Cell will autofill based on response",INDEX('Education'!$N$10:$N$13,MATCH($F31,'Education'!$B$10:$B$13,0))),"N/A")</f>
        <v/>
      </c>
      <c r="V31" s="53">
        <f>IFERROR(IF(INDEX('SaSS'!$N$10:$N$12,MATCH($F31,'SaSS'!$B$10:$B$12,0))="","Cell will autofill based on response",INDEX('SaSS'!$N$10:$N$12,MATCH($F31,'SaSS'!$B$10:$B$12,0))),"N/A")</f>
        <v/>
      </c>
      <c r="W31" s="53">
        <f>IFERROR(IF(INDEX('Indigenous'!$N$10:$N$11,MATCH($F31,'Indigenous'!$B$10:$B$11,0))="","Cell will autofill based on response",INDEX('Indigenous'!$N$10:$N$11,MATCH($F31,'Indigenous'!$B$10:$B$11,0))),"N/A")</f>
        <v/>
      </c>
      <c r="X31" s="53">
        <f>IFERROR(IF(INDEX('L&amp;R'!$N$10:$N$11,MATCH($F31,'L&amp;R'!$B$10:$B$11,0))="","Cell will autofill based on response",INDEX('L&amp;R'!$N$10:$N$11,MATCH($F31,'L&amp;R'!$B$10:$B$11,0))),"N/A")</f>
        <v/>
      </c>
    </row>
    <row r="32">
      <c r="A32">
        <f>F32&amp;"|"&amp;G32</f>
        <v/>
      </c>
      <c r="B32" s="13" t="inlineStr"/>
      <c r="C32" s="8" t="inlineStr"/>
      <c r="D32" s="8" t="inlineStr"/>
      <c r="E32" s="8" t="inlineStr"/>
      <c r="F32" s="8" t="inlineStr">
        <is>
          <t>EE1(d)</t>
        </is>
      </c>
      <c r="G32" s="8" t="inlineStr">
        <is>
          <t>Supporting information/comments</t>
        </is>
      </c>
      <c r="H32" s="53">
        <f>IFERROR(IF(INDEX('Faculties'!$O$10:$O$19,MATCH($F32,'Faculties'!$B$10:$B$19,0))="","Cell will autofill based on response",INDEX('Faculties'!$O$10:$O$19,MATCH($F32,'Faculties'!$B$10:$B$19,0))),"N/A")</f>
        <v/>
      </c>
      <c r="I32" s="53">
        <f>IFERROR(IF(INDEX('Faculties'!$O$26:$O$35,MATCH($F32,'Faculties'!$B$26:$B$35,0))="","Cell will autofill based on response",INDEX('Faculties'!$O$26:$O$35,MATCH($F32,'Faculties'!$B$26:$B$35,0))),"N/A")</f>
        <v/>
      </c>
      <c r="J32" s="53">
        <f>IFERROR(IF(INDEX('Faculties'!$O$42:$O$51,MATCH($F32,'Faculties'!$B$42:$B$51,0))="","Cell will autofill based on response",INDEX('Faculties'!$O$42:$O$51,MATCH($F32,'Faculties'!$B$42:$B$51,0))),"N/A")</f>
        <v/>
      </c>
      <c r="K32" s="53">
        <f>IFERROR(IF(INDEX('Faculties'!$O$58:$O$67,MATCH($F32,'Faculties'!$B$58:$B$67,0))="","Cell will autofill based on response",INDEX('Faculties'!$O$58:$O$67,MATCH($F32,'Faculties'!$B$58:$B$67,0))),"N/A")</f>
        <v/>
      </c>
      <c r="L32" s="53">
        <f>IFERROR(IF(INDEX('CI&amp;S'!$O$10:$O$15,MATCH($F32,'CI&amp;S'!$B$10:$B$15,0))="","Cell will autofill based on response",INDEX('CI&amp;S'!$O$10:$O$15,MATCH($F32,'CI&amp;S'!$B$10:$B$15,0))),"N/A")</f>
        <v/>
      </c>
      <c r="M32" s="53">
        <f>IFERROR(IF(INDEX('CI&amp;S'!$O$22:$O$36,MATCH($F32,'CI&amp;S'!$B$22:$B$36,0))="","Cell will autofill based on response",INDEX('CI&amp;S'!$O$22:$O$36,MATCH($F32,'CI&amp;S'!$B$22:$B$36,0))),"N/A")</f>
        <v/>
      </c>
      <c r="N32" s="53">
        <f>IFERROR(IF(INDEX('CFOG'!$O$10:$O$16,MATCH($F32,'CFOG'!$B$10:$B$16,0))="","Cell will autofill based on response",INDEX('CFOG'!$O$10:$O$16,MATCH($F32,'CFOG'!$B$10:$B$16,0))),"N/A")</f>
        <v/>
      </c>
      <c r="O32" s="53">
        <f>IFERROR(IF(INDEX('CFOG'!$O$23:$O$24,MATCH($F32,'CFOG'!$B$23:$B$24,0))="","Cell will autofill based on response",INDEX('CFOG'!$O$23:$O$24,MATCH($F32,'CFOG'!$B$23:$B$24,0))),"N/A")</f>
        <v/>
      </c>
      <c r="P32" s="53">
        <f>IFERROR(IF(INDEX('ESG'!$O$10:$O$17,MATCH($F32,'ESG'!$B$10:$B$17,0))="","Cell will autofill based on response",INDEX('ESG'!$O$10:$O$17,MATCH($F32,'ESG'!$B$10:$B$17,0))),"N/A")</f>
        <v/>
      </c>
      <c r="Q32" s="53">
        <f>IFERROR(IF(INDEX('CIOG'!$O$10:$O$14,MATCH($F32,'CIOG'!$B$10:$B$14,0))="","Cell will autofill based on response",INDEX('CIOG'!$O$10:$O$14,MATCH($F32,'CIOG'!$B$10:$B$14,0))),"N/A")</f>
        <v/>
      </c>
      <c r="R32" s="53">
        <f>IFERROR(IF(INDEX('MRE'!$O$10:$O$18,MATCH($F32,'MRE'!$B$10:$B$18,0))="","Cell will autofill based on response",INDEX('MRE'!$O$10:$O$18,MATCH($F32,'MRE'!$B$10:$B$18,0))),"N/A")</f>
        <v/>
      </c>
      <c r="S32" s="53">
        <f>IFERROR(IF(INDEX('AC&amp;M'!$O$10:$O$14,MATCH($F32,'AC&amp;M'!$B$10:$B$14,0))="","Cell will autofill based on response",INDEX('AC&amp;M'!$O$10:$O$14,MATCH($F32,'AC&amp;M'!$B$10:$B$14,0))),"N/A")</f>
        <v/>
      </c>
      <c r="T32" s="53">
        <f>IFERROR(IF(INDEX('GCE'!$O$10:$O$12,MATCH($F32,'GCE'!$B$10:$B$12,0))="","Cell will autofill based on response",INDEX('GCE'!$O$10:$O$12,MATCH($F32,'GCE'!$B$10:$B$12,0))),"N/A")</f>
        <v/>
      </c>
      <c r="U32" s="53">
        <f>IFERROR(IF(INDEX('Education'!$O$10:$O$13,MATCH($F32,'Education'!$B$10:$B$13,0))="","Cell will autofill based on response",INDEX('Education'!$O$10:$O$13,MATCH($F32,'Education'!$B$10:$B$13,0))),"N/A")</f>
        <v/>
      </c>
      <c r="V32" s="53">
        <f>IFERROR(IF(INDEX('SaSS'!$O$10:$O$12,MATCH($F32,'SaSS'!$B$10:$B$12,0))="","Cell will autofill based on response",INDEX('SaSS'!$O$10:$O$12,MATCH($F32,'SaSS'!$B$10:$B$12,0))),"N/A")</f>
        <v/>
      </c>
      <c r="W32" s="53">
        <f>IFERROR(IF(INDEX('Indigenous'!$O$10:$O$11,MATCH($F32,'Indigenous'!$B$10:$B$11,0))="","Cell will autofill based on response",INDEX('Indigenous'!$O$10:$O$11,MATCH($F32,'Indigenous'!$B$10:$B$11,0))),"N/A")</f>
        <v/>
      </c>
      <c r="X32" s="53">
        <f>IFERROR(IF(INDEX('L&amp;R'!$O$10:$O$11,MATCH($F32,'L&amp;R'!$B$10:$B$11,0))="","Cell will autofill based on response",INDEX('L&amp;R'!$O$10:$O$11,MATCH($F32,'L&amp;R'!$B$10:$B$11,0))),"N/A")</f>
        <v/>
      </c>
    </row>
    <row r="33">
      <c r="A33">
        <f>F33&amp;"|"&amp;G33</f>
        <v/>
      </c>
      <c r="B33" s="13" t="inlineStr"/>
      <c r="C33" s="8" t="inlineStr"/>
      <c r="D33" s="8" t="inlineStr"/>
      <c r="E33" s="8" t="inlineStr"/>
      <c r="F33" s="8" t="inlineStr">
        <is>
          <t>EE1(d)</t>
        </is>
      </c>
      <c r="G33" s="8" t="inlineStr">
        <is>
          <t>Data source and limitations</t>
        </is>
      </c>
      <c r="H33" s="53">
        <f>IFERROR(IF(INDEX('Faculties'!$P$10:$P$19,MATCH($F33,'Faculties'!$B$10:$B$19,0))="","Cell will autofill based on response",INDEX('Faculties'!$P$10:$P$19,MATCH($F33,'Faculties'!$B$10:$B$19,0))),"N/A")</f>
        <v/>
      </c>
      <c r="I33" s="53">
        <f>IFERROR(IF(INDEX('Faculties'!$P$26:$P$35,MATCH($F33,'Faculties'!$B$26:$B$35,0))="","Cell will autofill based on response",INDEX('Faculties'!$P$26:$P$35,MATCH($F33,'Faculties'!$B$26:$B$35,0))),"N/A")</f>
        <v/>
      </c>
      <c r="J33" s="53">
        <f>IFERROR(IF(INDEX('Faculties'!$P$42:$P$51,MATCH($F33,'Faculties'!$B$42:$B$51,0))="","Cell will autofill based on response",INDEX('Faculties'!$P$42:$P$51,MATCH($F33,'Faculties'!$B$42:$B$51,0))),"N/A")</f>
        <v/>
      </c>
      <c r="K33" s="53">
        <f>IFERROR(IF(INDEX('Faculties'!$P$58:$P$67,MATCH($F33,'Faculties'!$B$58:$B$67,0))="","Cell will autofill based on response",INDEX('Faculties'!$P$58:$P$67,MATCH($F33,'Faculties'!$B$58:$B$67,0))),"N/A")</f>
        <v/>
      </c>
      <c r="L33" s="53">
        <f>IFERROR(IF(INDEX('CI&amp;S'!$P$10:$P$15,MATCH($F33,'CI&amp;S'!$B$10:$B$15,0))="","Cell will autofill based on response",INDEX('CI&amp;S'!$P$10:$P$15,MATCH($F33,'CI&amp;S'!$B$10:$B$15,0))),"N/A")</f>
        <v/>
      </c>
      <c r="M33" s="53">
        <f>IFERROR(IF(INDEX('CI&amp;S'!$P$22:$P$36,MATCH($F33,'CI&amp;S'!$B$22:$B$36,0))="","Cell will autofill based on response",INDEX('CI&amp;S'!$P$22:$P$36,MATCH($F33,'CI&amp;S'!$B$22:$B$36,0))),"N/A")</f>
        <v/>
      </c>
      <c r="N33" s="53">
        <f>IFERROR(IF(INDEX('CFOG'!$P$10:$P$16,MATCH($F33,'CFOG'!$B$10:$B$16,0))="","Cell will autofill based on response",INDEX('CFOG'!$P$10:$P$16,MATCH($F33,'CFOG'!$B$10:$B$16,0))),"N/A")</f>
        <v/>
      </c>
      <c r="O33" s="53">
        <f>IFERROR(IF(INDEX('CFOG'!$P$23:$P$24,MATCH($F33,'CFOG'!$B$23:$B$24,0))="","Cell will autofill based on response",INDEX('CFOG'!$P$23:$P$24,MATCH($F33,'CFOG'!$B$23:$B$24,0))),"N/A")</f>
        <v/>
      </c>
      <c r="P33" s="53">
        <f>IFERROR(IF(INDEX('ESG'!$P$10:$P$17,MATCH($F33,'ESG'!$B$10:$B$17,0))="","Cell will autofill based on response",INDEX('ESG'!$P$10:$P$17,MATCH($F33,'ESG'!$B$10:$B$17,0))),"N/A")</f>
        <v/>
      </c>
      <c r="Q33" s="53">
        <f>IFERROR(IF(INDEX('CIOG'!$P$10:$P$14,MATCH($F33,'CIOG'!$B$10:$B$14,0))="","Cell will autofill based on response",INDEX('CIOG'!$P$10:$P$14,MATCH($F33,'CIOG'!$B$10:$B$14,0))),"N/A")</f>
        <v/>
      </c>
      <c r="R33" s="53">
        <f>IFERROR(IF(INDEX('MRE'!$P$10:$P$18,MATCH($F33,'MRE'!$B$10:$B$18,0))="","Cell will autofill based on response",INDEX('MRE'!$P$10:$P$18,MATCH($F33,'MRE'!$B$10:$B$18,0))),"N/A")</f>
        <v/>
      </c>
      <c r="S33" s="53">
        <f>IFERROR(IF(INDEX('AC&amp;M'!$P$10:$P$14,MATCH($F33,'AC&amp;M'!$B$10:$B$14,0))="","Cell will autofill based on response",INDEX('AC&amp;M'!$P$10:$P$14,MATCH($F33,'AC&amp;M'!$B$10:$B$14,0))),"N/A")</f>
        <v/>
      </c>
      <c r="T33" s="53">
        <f>IFERROR(IF(INDEX('GCE'!$P$10:$P$12,MATCH($F33,'GCE'!$B$10:$B$12,0))="","Cell will autofill based on response",INDEX('GCE'!$P$10:$P$12,MATCH($F33,'GCE'!$B$10:$B$12,0))),"N/A")</f>
        <v/>
      </c>
      <c r="U33" s="53">
        <f>IFERROR(IF(INDEX('Education'!$P$10:$P$13,MATCH($F33,'Education'!$B$10:$B$13,0))="","Cell will autofill based on response",INDEX('Education'!$P$10:$P$13,MATCH($F33,'Education'!$B$10:$B$13,0))),"N/A")</f>
        <v/>
      </c>
      <c r="V33" s="53">
        <f>IFERROR(IF(INDEX('SaSS'!$P$10:$P$12,MATCH($F33,'SaSS'!$B$10:$B$12,0))="","Cell will autofill based on response",INDEX('SaSS'!$P$10:$P$12,MATCH($F33,'SaSS'!$B$10:$B$12,0))),"N/A")</f>
        <v/>
      </c>
      <c r="W33" s="53">
        <f>IFERROR(IF(INDEX('Indigenous'!$P$10:$P$11,MATCH($F33,'Indigenous'!$B$10:$B$11,0))="","Cell will autofill based on response",INDEX('Indigenous'!$P$10:$P$11,MATCH($F33,'Indigenous'!$B$10:$B$11,0))),"N/A")</f>
        <v/>
      </c>
      <c r="X33" s="53">
        <f>IFERROR(IF(INDEX('L&amp;R'!$P$10:$P$11,MATCH($F33,'L&amp;R'!$B$10:$B$11,0))="","Cell will autofill based on response",INDEX('L&amp;R'!$P$10:$P$11,MATCH($F33,'L&amp;R'!$B$10:$B$11,0))),"N/A")</f>
        <v/>
      </c>
    </row>
    <row r="34">
      <c r="A34">
        <f>F34&amp;"|"&amp;G34</f>
        <v/>
      </c>
      <c r="B34" s="13" t="inlineStr"/>
      <c r="C34" s="8" t="inlineStr"/>
      <c r="D34" s="8" t="inlineStr"/>
      <c r="E34" s="8" t="inlineStr"/>
      <c r="F34" s="8" t="inlineStr">
        <is>
          <t>EE1(d)</t>
        </is>
      </c>
      <c r="G34" s="8" t="inlineStr">
        <is>
          <t>Data owner confirms</t>
        </is>
      </c>
      <c r="H34" s="53">
        <f>IFERROR(IF(INDEX('Faculties'!$Q$10:$Q$19,MATCH($F34,'Faculties'!$B$10:$B$19,0))="","Cell will autofill based on response",INDEX('Faculties'!$Q$10:$Q$19,MATCH($F34,'Faculties'!$B$10:$B$19,0))),"N/A")</f>
        <v/>
      </c>
      <c r="I34" s="53">
        <f>IFERROR(IF(INDEX('Faculties'!$Q$26:$Q$35,MATCH($F34,'Faculties'!$B$26:$B$35,0))="","Cell will autofill based on response",INDEX('Faculties'!$Q$26:$Q$35,MATCH($F34,'Faculties'!$B$26:$B$35,0))),"N/A")</f>
        <v/>
      </c>
      <c r="J34" s="53">
        <f>IFERROR(IF(INDEX('Faculties'!$Q$42:$Q$51,MATCH($F34,'Faculties'!$B$42:$B$51,0))="","Cell will autofill based on response",INDEX('Faculties'!$Q$42:$Q$51,MATCH($F34,'Faculties'!$B$42:$B$51,0))),"N/A")</f>
        <v/>
      </c>
      <c r="K34" s="53">
        <f>IFERROR(IF(INDEX('Faculties'!$Q$58:$Q$67,MATCH($F34,'Faculties'!$B$58:$B$67,0))="","Cell will autofill based on response",INDEX('Faculties'!$Q$58:$Q$67,MATCH($F34,'Faculties'!$B$58:$B$67,0))),"N/A")</f>
        <v/>
      </c>
      <c r="L34" s="53">
        <f>IFERROR(IF(INDEX('CI&amp;S'!$Q$10:$Q$15,MATCH($F34,'CI&amp;S'!$B$10:$B$15,0))="","Cell will autofill based on response",INDEX('CI&amp;S'!$Q$10:$Q$15,MATCH($F34,'CI&amp;S'!$B$10:$B$15,0))),"N/A")</f>
        <v/>
      </c>
      <c r="M34" s="53">
        <f>IFERROR(IF(INDEX('CI&amp;S'!$Q$22:$Q$36,MATCH($F34,'CI&amp;S'!$B$22:$B$36,0))="","Cell will autofill based on response",INDEX('CI&amp;S'!$Q$22:$Q$36,MATCH($F34,'CI&amp;S'!$B$22:$B$36,0))),"N/A")</f>
        <v/>
      </c>
      <c r="N34" s="53">
        <f>IFERROR(IF(INDEX('CFOG'!$Q$10:$Q$16,MATCH($F34,'CFOG'!$B$10:$B$16,0))="","Cell will autofill based on response",INDEX('CFOG'!$Q$10:$Q$16,MATCH($F34,'CFOG'!$B$10:$B$16,0))),"N/A")</f>
        <v/>
      </c>
      <c r="O34" s="53">
        <f>IFERROR(IF(INDEX('CFOG'!$Q$23:$Q$24,MATCH($F34,'CFOG'!$B$23:$B$24,0))="","Cell will autofill based on response",INDEX('CFOG'!$Q$23:$Q$24,MATCH($F34,'CFOG'!$B$23:$B$24,0))),"N/A")</f>
        <v/>
      </c>
      <c r="P34" s="53">
        <f>IFERROR(IF(INDEX('ESG'!$Q$10:$Q$17,MATCH($F34,'ESG'!$B$10:$B$17,0))="","Cell will autofill based on response",INDEX('ESG'!$Q$10:$Q$17,MATCH($F34,'ESG'!$B$10:$B$17,0))),"N/A")</f>
        <v/>
      </c>
      <c r="Q34" s="53">
        <f>IFERROR(IF(INDEX('CIOG'!$Q$10:$Q$14,MATCH($F34,'CIOG'!$B$10:$B$14,0))="","Cell will autofill based on response",INDEX('CIOG'!$Q$10:$Q$14,MATCH($F34,'CIOG'!$B$10:$B$14,0))),"N/A")</f>
        <v/>
      </c>
      <c r="R34" s="53">
        <f>IFERROR(IF(INDEX('MRE'!$Q$10:$Q$18,MATCH($F34,'MRE'!$B$10:$B$18,0))="","Cell will autofill based on response",INDEX('MRE'!$Q$10:$Q$18,MATCH($F34,'MRE'!$B$10:$B$18,0))),"N/A")</f>
        <v/>
      </c>
      <c r="S34" s="53">
        <f>IFERROR(IF(INDEX('AC&amp;M'!$Q$10:$Q$14,MATCH($F34,'AC&amp;M'!$B$10:$B$14,0))="","Cell will autofill based on response",INDEX('AC&amp;M'!$Q$10:$Q$14,MATCH($F34,'AC&amp;M'!$B$10:$B$14,0))),"N/A")</f>
        <v/>
      </c>
      <c r="T34" s="53">
        <f>IFERROR(IF(INDEX('GCE'!$Q$10:$Q$12,MATCH($F34,'GCE'!$B$10:$B$12,0))="","Cell will autofill based on response",INDEX('GCE'!$Q$10:$Q$12,MATCH($F34,'GCE'!$B$10:$B$12,0))),"N/A")</f>
        <v/>
      </c>
      <c r="U34" s="53">
        <f>IFERROR(IF(INDEX('Education'!$Q$10:$Q$13,MATCH($F34,'Education'!$B$10:$B$13,0))="","Cell will autofill based on response",INDEX('Education'!$Q$10:$Q$13,MATCH($F34,'Education'!$B$10:$B$13,0))),"N/A")</f>
        <v/>
      </c>
      <c r="V34" s="53">
        <f>IFERROR(IF(INDEX('SaSS'!$Q$10:$Q$12,MATCH($F34,'SaSS'!$B$10:$B$12,0))="","Cell will autofill based on response",INDEX('SaSS'!$Q$10:$Q$12,MATCH($F34,'SaSS'!$B$10:$B$12,0))),"N/A")</f>
        <v/>
      </c>
      <c r="W34" s="53">
        <f>IFERROR(IF(INDEX('Indigenous'!$Q$10:$Q$11,MATCH($F34,'Indigenous'!$B$10:$B$11,0))="","Cell will autofill based on response",INDEX('Indigenous'!$Q$10:$Q$11,MATCH($F34,'Indigenous'!$B$10:$B$11,0))),"N/A")</f>
        <v/>
      </c>
      <c r="X34" s="53">
        <f>IFERROR(IF(INDEX('L&amp;R'!$Q$10:$Q$11,MATCH($F34,'L&amp;R'!$B$10:$B$11,0))="","Cell will autofill based on response",INDEX('L&amp;R'!$Q$10:$Q$11,MATCH($F34,'L&amp;R'!$B$10:$B$11,0))),"N/A")</f>
        <v/>
      </c>
    </row>
    <row r="35">
      <c r="A35">
        <f>F35&amp;"|"&amp;G35</f>
        <v/>
      </c>
      <c r="B35" s="7" t="inlineStr">
        <is>
          <t>TR1(a)</t>
        </is>
      </c>
      <c r="C35" s="51" t="inlineStr">
        <is>
          <t>Transformational research</t>
        </is>
      </c>
      <c r="D35" s="51" t="inlineStr">
        <is>
          <t>Expert-reviewed evidence of researchers contributing to operational sustainability priorities through partnerships, advisory input, living labs, applied projects or decision-support</t>
        </is>
      </c>
      <c r="E35" s="51"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F35" s="51" t="inlineStr">
        <is>
          <t>TR1(a)</t>
        </is>
      </c>
      <c r="G35" s="51" t="inlineStr">
        <is>
          <t>Confirm end-2026 target status</t>
        </is>
      </c>
      <c r="H35" s="53">
        <f>IFERROR(IF(INDEX('Faculties'!$L$10:$L$19,MATCH($F35,'Faculties'!$B$10:$B$19,0))="","Cell will autofill based on response",INDEX('Faculties'!$L$10:$L$19,MATCH($F35,'Faculties'!$B$10:$B$19,0))),"N/A")</f>
        <v/>
      </c>
      <c r="I35" s="53">
        <f>IFERROR(IF(INDEX('Faculties'!$L$26:$L$35,MATCH($F35,'Faculties'!$B$26:$B$35,0))="","Cell will autofill based on response",INDEX('Faculties'!$L$26:$L$35,MATCH($F35,'Faculties'!$B$26:$B$35,0))),"N/A")</f>
        <v/>
      </c>
      <c r="J35" s="53">
        <f>IFERROR(IF(INDEX('Faculties'!$L$42:$L$51,MATCH($F35,'Faculties'!$B$42:$B$51,0))="","Cell will autofill based on response",INDEX('Faculties'!$L$42:$L$51,MATCH($F35,'Faculties'!$B$42:$B$51,0))),"N/A")</f>
        <v/>
      </c>
      <c r="K35" s="53">
        <f>IFERROR(IF(INDEX('Faculties'!$L$58:$L$67,MATCH($F35,'Faculties'!$B$58:$B$67,0))="","Cell will autofill based on response",INDEX('Faculties'!$L$58:$L$67,MATCH($F35,'Faculties'!$B$58:$B$67,0))),"N/A")</f>
        <v/>
      </c>
      <c r="L35" s="53">
        <f>IFERROR(IF(INDEX('CI&amp;S'!$L$10:$L$15,MATCH($F35,'CI&amp;S'!$B$10:$B$15,0))="","Cell will autofill based on response",INDEX('CI&amp;S'!$L$10:$L$15,MATCH($F35,'CI&amp;S'!$B$10:$B$15,0))),"N/A")</f>
        <v/>
      </c>
      <c r="M35" s="53">
        <f>IFERROR(IF(INDEX('CI&amp;S'!$L$22:$L$36,MATCH($F35,'CI&amp;S'!$B$22:$B$36,0))="","Cell will autofill based on response",INDEX('CI&amp;S'!$L$22:$L$36,MATCH($F35,'CI&amp;S'!$B$22:$B$36,0))),"N/A")</f>
        <v/>
      </c>
      <c r="N35" s="53">
        <f>IFERROR(IF(INDEX('CFOG'!$L$10:$L$16,MATCH($F35,'CFOG'!$B$10:$B$16,0))="","Cell will autofill based on response",INDEX('CFOG'!$L$10:$L$16,MATCH($F35,'CFOG'!$B$10:$B$16,0))),"N/A")</f>
        <v/>
      </c>
      <c r="O35" s="53">
        <f>IFERROR(IF(INDEX('CFOG'!$L$23:$L$24,MATCH($F35,'CFOG'!$B$23:$B$24,0))="","Cell will autofill based on response",INDEX('CFOG'!$L$23:$L$24,MATCH($F35,'CFOG'!$B$23:$B$24,0))),"N/A")</f>
        <v/>
      </c>
      <c r="P35" s="53">
        <f>IFERROR(IF(INDEX('ESG'!$L$10:$L$17,MATCH($F35,'ESG'!$B$10:$B$17,0))="","Cell will autofill based on response",INDEX('ESG'!$L$10:$L$17,MATCH($F35,'ESG'!$B$10:$B$17,0))),"N/A")</f>
        <v/>
      </c>
      <c r="Q35" s="53">
        <f>IFERROR(IF(INDEX('CIOG'!$L$10:$L$14,MATCH($F35,'CIOG'!$B$10:$B$14,0))="","Cell will autofill based on response",INDEX('CIOG'!$L$10:$L$14,MATCH($F35,'CIOG'!$B$10:$B$14,0))),"N/A")</f>
        <v/>
      </c>
      <c r="R35" s="53">
        <f>IFERROR(IF(INDEX('MRE'!$L$10:$L$18,MATCH($F35,'MRE'!$B$10:$B$18,0))="","Cell will autofill based on response",INDEX('MRE'!$L$10:$L$18,MATCH($F35,'MRE'!$B$10:$B$18,0))),"N/A")</f>
        <v/>
      </c>
      <c r="S35" s="53">
        <f>IFERROR(IF(INDEX('AC&amp;M'!$L$10:$L$14,MATCH($F35,'AC&amp;M'!$B$10:$B$14,0))="","Cell will autofill based on response",INDEX('AC&amp;M'!$L$10:$L$14,MATCH($F35,'AC&amp;M'!$B$10:$B$14,0))),"N/A")</f>
        <v/>
      </c>
      <c r="T35" s="53">
        <f>IFERROR(IF(INDEX('GCE'!$L$10:$L$12,MATCH($F35,'GCE'!$B$10:$B$12,0))="","Cell will autofill based on response",INDEX('GCE'!$L$10:$L$12,MATCH($F35,'GCE'!$B$10:$B$12,0))),"N/A")</f>
        <v/>
      </c>
      <c r="U35" s="53">
        <f>IFERROR(IF(INDEX('Education'!$L$10:$L$13,MATCH($F35,'Education'!$B$10:$B$13,0))="","Cell will autofill based on response",INDEX('Education'!$L$10:$L$13,MATCH($F35,'Education'!$B$10:$B$13,0))),"N/A")</f>
        <v/>
      </c>
      <c r="V35" s="53">
        <f>IFERROR(IF(INDEX('SaSS'!$L$10:$L$12,MATCH($F35,'SaSS'!$B$10:$B$12,0))="","Cell will autofill based on response",INDEX('SaSS'!$L$10:$L$12,MATCH($F35,'SaSS'!$B$10:$B$12,0))),"N/A")</f>
        <v/>
      </c>
      <c r="W35" s="53">
        <f>IFERROR(IF(INDEX('Indigenous'!$L$10:$L$11,MATCH($F35,'Indigenous'!$B$10:$B$11,0))="","Cell will autofill based on response",INDEX('Indigenous'!$L$10:$L$11,MATCH($F35,'Indigenous'!$B$10:$B$11,0))),"N/A")</f>
        <v/>
      </c>
      <c r="X35" s="53">
        <f>IFERROR(IF(INDEX('L&amp;R'!$L$10:$L$11,MATCH($F35,'L&amp;R'!$B$10:$B$11,0))="","Cell will autofill based on response",INDEX('L&amp;R'!$L$10:$L$11,MATCH($F35,'L&amp;R'!$B$10:$B$11,0))),"N/A")</f>
        <v/>
      </c>
      <c r="Z35" s="10">
        <f>COUNTIF($H35:$X35,"Cell will autofill based on response")</f>
        <v/>
      </c>
      <c r="AA35" s="10">
        <f>COUNTIF($H35:$X35,"Not yet started")</f>
        <v/>
      </c>
      <c r="AB35" s="10">
        <f>COUNTIF($H35:$X35,"Not met")</f>
        <v/>
      </c>
      <c r="AC35" s="10">
        <f>COUNTIF($H35:$X35,"Partially met")</f>
        <v/>
      </c>
      <c r="AD35" s="10">
        <f>COUNTIF($H35:$X35,"Met or exceeded")</f>
        <v/>
      </c>
      <c r="AE35" s="10">
        <f>3*AD35+2*AC35+AB35</f>
        <v/>
      </c>
      <c r="AF35" s="10">
        <f>AD35+AC35+AB35+AA35</f>
        <v/>
      </c>
      <c r="AG35" s="54">
        <f>IF(AF35&gt;0,AE35/AF35,"No valid responses to date")</f>
        <v/>
      </c>
      <c r="AH35" s="10">
        <f>IF(ISNUMBER(AG35),INDEX(Lists!$G$2:$G$5,MATCH(ROUND(AG35,0),Lists!$H$2:$H$5,0)),"")</f>
        <v/>
      </c>
      <c r="AI35" s="55">
        <f>IF(AF35&gt;0,AD35/AF35,"")</f>
        <v/>
      </c>
      <c r="AJ35" s="55">
        <f>IF(AF35&gt;0,(AD35+AC35)/AF35,"")</f>
        <v/>
      </c>
      <c r="AK35" s="10">
        <f>IF(AF35=0,"",IF(AI35&gt;0.75,"Met or exceeded",IF(AJ35&gt;=0.5,"Partially met","Not met")))</f>
        <v/>
      </c>
    </row>
    <row r="36">
      <c r="A36">
        <f>F36&amp;"|"&amp;G36</f>
        <v/>
      </c>
      <c r="B36" s="13" t="inlineStr"/>
      <c r="C36" s="8" t="inlineStr"/>
      <c r="D36" s="8" t="inlineStr"/>
      <c r="E36" s="8" t="inlineStr"/>
      <c r="F36" s="8" t="inlineStr">
        <is>
          <t>TR1(a)</t>
        </is>
      </c>
      <c r="G36" s="8" t="inlineStr">
        <is>
          <t>OPTION 1:  Target-level reporting</t>
        </is>
      </c>
      <c r="H36" s="53">
        <f>IFERROR(IF(INDEX('Faculties'!$M$10:$M$19,MATCH($F36,'Faculties'!$B$10:$B$19,0))="","Cell will autofill based on response",INDEX('Faculties'!$M$10:$M$19,MATCH($F36,'Faculties'!$B$10:$B$19,0))),"N/A")</f>
        <v/>
      </c>
      <c r="I36" s="53">
        <f>IFERROR(IF(INDEX('Faculties'!$M$26:$M$35,MATCH($F36,'Faculties'!$B$26:$B$35,0))="","Cell will autofill based on response",INDEX('Faculties'!$M$26:$M$35,MATCH($F36,'Faculties'!$B$26:$B$35,0))),"N/A")</f>
        <v/>
      </c>
      <c r="J36" s="53">
        <f>IFERROR(IF(INDEX('Faculties'!$M$42:$M$51,MATCH($F36,'Faculties'!$B$42:$B$51,0))="","Cell will autofill based on response",INDEX('Faculties'!$M$42:$M$51,MATCH($F36,'Faculties'!$B$42:$B$51,0))),"N/A")</f>
        <v/>
      </c>
      <c r="K36" s="53">
        <f>IFERROR(IF(INDEX('Faculties'!$M$58:$M$67,MATCH($F36,'Faculties'!$B$58:$B$67,0))="","Cell will autofill based on response",INDEX('Faculties'!$M$58:$M$67,MATCH($F36,'Faculties'!$B$58:$B$67,0))),"N/A")</f>
        <v/>
      </c>
      <c r="L36" s="53">
        <f>IFERROR(IF(INDEX('CI&amp;S'!$M$10:$M$15,MATCH($F36,'CI&amp;S'!$B$10:$B$15,0))="","Cell will autofill based on response",INDEX('CI&amp;S'!$M$10:$M$15,MATCH($F36,'CI&amp;S'!$B$10:$B$15,0))),"N/A")</f>
        <v/>
      </c>
      <c r="M36" s="53">
        <f>IFERROR(IF(INDEX('CI&amp;S'!$M$22:$M$36,MATCH($F36,'CI&amp;S'!$B$22:$B$36,0))="","Cell will autofill based on response",INDEX('CI&amp;S'!$M$22:$M$36,MATCH($F36,'CI&amp;S'!$B$22:$B$36,0))),"N/A")</f>
        <v/>
      </c>
      <c r="N36" s="53">
        <f>IFERROR(IF(INDEX('CFOG'!$M$10:$M$16,MATCH($F36,'CFOG'!$B$10:$B$16,0))="","Cell will autofill based on response",INDEX('CFOG'!$M$10:$M$16,MATCH($F36,'CFOG'!$B$10:$B$16,0))),"N/A")</f>
        <v/>
      </c>
      <c r="O36" s="53">
        <f>IFERROR(IF(INDEX('CFOG'!$M$23:$M$24,MATCH($F36,'CFOG'!$B$23:$B$24,0))="","Cell will autofill based on response",INDEX('CFOG'!$M$23:$M$24,MATCH($F36,'CFOG'!$B$23:$B$24,0))),"N/A")</f>
        <v/>
      </c>
      <c r="P36" s="53">
        <f>IFERROR(IF(INDEX('ESG'!$M$10:$M$17,MATCH($F36,'ESG'!$B$10:$B$17,0))="","Cell will autofill based on response",INDEX('ESG'!$M$10:$M$17,MATCH($F36,'ESG'!$B$10:$B$17,0))),"N/A")</f>
        <v/>
      </c>
      <c r="Q36" s="53">
        <f>IFERROR(IF(INDEX('CIOG'!$M$10:$M$14,MATCH($F36,'CIOG'!$B$10:$B$14,0))="","Cell will autofill based on response",INDEX('CIOG'!$M$10:$M$14,MATCH($F36,'CIOG'!$B$10:$B$14,0))),"N/A")</f>
        <v/>
      </c>
      <c r="R36" s="53">
        <f>IFERROR(IF(INDEX('MRE'!$M$10:$M$18,MATCH($F36,'MRE'!$B$10:$B$18,0))="","Cell will autofill based on response",INDEX('MRE'!$M$10:$M$18,MATCH($F36,'MRE'!$B$10:$B$18,0))),"N/A")</f>
        <v/>
      </c>
      <c r="S36" s="53">
        <f>IFERROR(IF(INDEX('AC&amp;M'!$M$10:$M$14,MATCH($F36,'AC&amp;M'!$B$10:$B$14,0))="","Cell will autofill based on response",INDEX('AC&amp;M'!$M$10:$M$14,MATCH($F36,'AC&amp;M'!$B$10:$B$14,0))),"N/A")</f>
        <v/>
      </c>
      <c r="T36" s="53">
        <f>IFERROR(IF(INDEX('GCE'!$M$10:$M$12,MATCH($F36,'GCE'!$B$10:$B$12,0))="","Cell will autofill based on response",INDEX('GCE'!$M$10:$M$12,MATCH($F36,'GCE'!$B$10:$B$12,0))),"N/A")</f>
        <v/>
      </c>
      <c r="U36" s="53">
        <f>IFERROR(IF(INDEX('Education'!$M$10:$M$13,MATCH($F36,'Education'!$B$10:$B$13,0))="","Cell will autofill based on response",INDEX('Education'!$M$10:$M$13,MATCH($F36,'Education'!$B$10:$B$13,0))),"N/A")</f>
        <v/>
      </c>
      <c r="V36" s="53">
        <f>IFERROR(IF(INDEX('SaSS'!$M$10:$M$12,MATCH($F36,'SaSS'!$B$10:$B$12,0))="","Cell will autofill based on response",INDEX('SaSS'!$M$10:$M$12,MATCH($F36,'SaSS'!$B$10:$B$12,0))),"N/A")</f>
        <v/>
      </c>
      <c r="W36" s="53">
        <f>IFERROR(IF(INDEX('Indigenous'!$M$10:$M$11,MATCH($F36,'Indigenous'!$B$10:$B$11,0))="","Cell will autofill based on response",INDEX('Indigenous'!$M$10:$M$11,MATCH($F36,'Indigenous'!$B$10:$B$11,0))),"N/A")</f>
        <v/>
      </c>
      <c r="X36" s="53">
        <f>IFERROR(IF(INDEX('L&amp;R'!$M$10:$M$11,MATCH($F36,'L&amp;R'!$B$10:$B$11,0))="","Cell will autofill based on response",INDEX('L&amp;R'!$M$10:$M$11,MATCH($F36,'L&amp;R'!$B$10:$B$11,0))),"N/A")</f>
        <v/>
      </c>
    </row>
    <row r="37">
      <c r="A37">
        <f>F37&amp;"|"&amp;G37</f>
        <v/>
      </c>
      <c r="B37" s="13" t="inlineStr"/>
      <c r="C37" s="8" t="inlineStr"/>
      <c r="D37" s="8" t="inlineStr"/>
      <c r="E37" s="8" t="inlineStr"/>
      <c r="F37" s="8" t="inlineStr">
        <is>
          <t>TR1(a)</t>
        </is>
      </c>
      <c r="G37" s="8" t="inlineStr">
        <is>
          <t>OPTION 2:  Indicator level reporting</t>
        </is>
      </c>
      <c r="H37" s="53">
        <f>IFERROR(IF(INDEX('Faculties'!$N$10:$N$19,MATCH($F37,'Faculties'!$B$10:$B$19,0))="","Cell will autofill based on response",INDEX('Faculties'!$N$10:$N$19,MATCH($F37,'Faculties'!$B$10:$B$19,0))),"N/A")</f>
        <v/>
      </c>
      <c r="I37" s="53">
        <f>IFERROR(IF(INDEX('Faculties'!$N$26:$N$35,MATCH($F37,'Faculties'!$B$26:$B$35,0))="","Cell will autofill based on response",INDEX('Faculties'!$N$26:$N$35,MATCH($F37,'Faculties'!$B$26:$B$35,0))),"N/A")</f>
        <v/>
      </c>
      <c r="J37" s="53">
        <f>IFERROR(IF(INDEX('Faculties'!$N$42:$N$51,MATCH($F37,'Faculties'!$B$42:$B$51,0))="","Cell will autofill based on response",INDEX('Faculties'!$N$42:$N$51,MATCH($F37,'Faculties'!$B$42:$B$51,0))),"N/A")</f>
        <v/>
      </c>
      <c r="K37" s="53">
        <f>IFERROR(IF(INDEX('Faculties'!$N$58:$N$67,MATCH($F37,'Faculties'!$B$58:$B$67,0))="","Cell will autofill based on response",INDEX('Faculties'!$N$58:$N$67,MATCH($F37,'Faculties'!$B$58:$B$67,0))),"N/A")</f>
        <v/>
      </c>
      <c r="L37" s="53">
        <f>IFERROR(IF(INDEX('CI&amp;S'!$N$10:$N$15,MATCH($F37,'CI&amp;S'!$B$10:$B$15,0))="","Cell will autofill based on response",INDEX('CI&amp;S'!$N$10:$N$15,MATCH($F37,'CI&amp;S'!$B$10:$B$15,0))),"N/A")</f>
        <v/>
      </c>
      <c r="M37" s="53">
        <f>IFERROR(IF(INDEX('CI&amp;S'!$N$22:$N$36,MATCH($F37,'CI&amp;S'!$B$22:$B$36,0))="","Cell will autofill based on response",INDEX('CI&amp;S'!$N$22:$N$36,MATCH($F37,'CI&amp;S'!$B$22:$B$36,0))),"N/A")</f>
        <v/>
      </c>
      <c r="N37" s="53">
        <f>IFERROR(IF(INDEX('CFOG'!$N$10:$N$16,MATCH($F37,'CFOG'!$B$10:$B$16,0))="","Cell will autofill based on response",INDEX('CFOG'!$N$10:$N$16,MATCH($F37,'CFOG'!$B$10:$B$16,0))),"N/A")</f>
        <v/>
      </c>
      <c r="O37" s="53">
        <f>IFERROR(IF(INDEX('CFOG'!$N$23:$N$24,MATCH($F37,'CFOG'!$B$23:$B$24,0))="","Cell will autofill based on response",INDEX('CFOG'!$N$23:$N$24,MATCH($F37,'CFOG'!$B$23:$B$24,0))),"N/A")</f>
        <v/>
      </c>
      <c r="P37" s="53">
        <f>IFERROR(IF(INDEX('ESG'!$N$10:$N$17,MATCH($F37,'ESG'!$B$10:$B$17,0))="","Cell will autofill based on response",INDEX('ESG'!$N$10:$N$17,MATCH($F37,'ESG'!$B$10:$B$17,0))),"N/A")</f>
        <v/>
      </c>
      <c r="Q37" s="53">
        <f>IFERROR(IF(INDEX('CIOG'!$N$10:$N$14,MATCH($F37,'CIOG'!$B$10:$B$14,0))="","Cell will autofill based on response",INDEX('CIOG'!$N$10:$N$14,MATCH($F37,'CIOG'!$B$10:$B$14,0))),"N/A")</f>
        <v/>
      </c>
      <c r="R37" s="53">
        <f>IFERROR(IF(INDEX('MRE'!$N$10:$N$18,MATCH($F37,'MRE'!$B$10:$B$18,0))="","Cell will autofill based on response",INDEX('MRE'!$N$10:$N$18,MATCH($F37,'MRE'!$B$10:$B$18,0))),"N/A")</f>
        <v/>
      </c>
      <c r="S37" s="53">
        <f>IFERROR(IF(INDEX('AC&amp;M'!$N$10:$N$14,MATCH($F37,'AC&amp;M'!$B$10:$B$14,0))="","Cell will autofill based on response",INDEX('AC&amp;M'!$N$10:$N$14,MATCH($F37,'AC&amp;M'!$B$10:$B$14,0))),"N/A")</f>
        <v/>
      </c>
      <c r="T37" s="53">
        <f>IFERROR(IF(INDEX('GCE'!$N$10:$N$12,MATCH($F37,'GCE'!$B$10:$B$12,0))="","Cell will autofill based on response",INDEX('GCE'!$N$10:$N$12,MATCH($F37,'GCE'!$B$10:$B$12,0))),"N/A")</f>
        <v/>
      </c>
      <c r="U37" s="53">
        <f>IFERROR(IF(INDEX('Education'!$N$10:$N$13,MATCH($F37,'Education'!$B$10:$B$13,0))="","Cell will autofill based on response",INDEX('Education'!$N$10:$N$13,MATCH($F37,'Education'!$B$10:$B$13,0))),"N/A")</f>
        <v/>
      </c>
      <c r="V37" s="53">
        <f>IFERROR(IF(INDEX('SaSS'!$N$10:$N$12,MATCH($F37,'SaSS'!$B$10:$B$12,0))="","Cell will autofill based on response",INDEX('SaSS'!$N$10:$N$12,MATCH($F37,'SaSS'!$B$10:$B$12,0))),"N/A")</f>
        <v/>
      </c>
      <c r="W37" s="53">
        <f>IFERROR(IF(INDEX('Indigenous'!$N$10:$N$11,MATCH($F37,'Indigenous'!$B$10:$B$11,0))="","Cell will autofill based on response",INDEX('Indigenous'!$N$10:$N$11,MATCH($F37,'Indigenous'!$B$10:$B$11,0))),"N/A")</f>
        <v/>
      </c>
      <c r="X37" s="53">
        <f>IFERROR(IF(INDEX('L&amp;R'!$N$10:$N$11,MATCH($F37,'L&amp;R'!$B$10:$B$11,0))="","Cell will autofill based on response",INDEX('L&amp;R'!$N$10:$N$11,MATCH($F37,'L&amp;R'!$B$10:$B$11,0))),"N/A")</f>
        <v/>
      </c>
    </row>
    <row r="38">
      <c r="A38">
        <f>F38&amp;"|"&amp;G38</f>
        <v/>
      </c>
      <c r="B38" s="13" t="inlineStr"/>
      <c r="C38" s="8" t="inlineStr"/>
      <c r="D38" s="8" t="inlineStr"/>
      <c r="E38" s="8" t="inlineStr"/>
      <c r="F38" s="8" t="inlineStr">
        <is>
          <t>TR1(a)</t>
        </is>
      </c>
      <c r="G38" s="8" t="inlineStr">
        <is>
          <t>Supporting information/comments</t>
        </is>
      </c>
      <c r="H38" s="53">
        <f>IFERROR(IF(INDEX('Faculties'!$O$10:$O$19,MATCH($F38,'Faculties'!$B$10:$B$19,0))="","Cell will autofill based on response",INDEX('Faculties'!$O$10:$O$19,MATCH($F38,'Faculties'!$B$10:$B$19,0))),"N/A")</f>
        <v/>
      </c>
      <c r="I38" s="53">
        <f>IFERROR(IF(INDEX('Faculties'!$O$26:$O$35,MATCH($F38,'Faculties'!$B$26:$B$35,0))="","Cell will autofill based on response",INDEX('Faculties'!$O$26:$O$35,MATCH($F38,'Faculties'!$B$26:$B$35,0))),"N/A")</f>
        <v/>
      </c>
      <c r="J38" s="53">
        <f>IFERROR(IF(INDEX('Faculties'!$O$42:$O$51,MATCH($F38,'Faculties'!$B$42:$B$51,0))="","Cell will autofill based on response",INDEX('Faculties'!$O$42:$O$51,MATCH($F38,'Faculties'!$B$42:$B$51,0))),"N/A")</f>
        <v/>
      </c>
      <c r="K38" s="53">
        <f>IFERROR(IF(INDEX('Faculties'!$O$58:$O$67,MATCH($F38,'Faculties'!$B$58:$B$67,0))="","Cell will autofill based on response",INDEX('Faculties'!$O$58:$O$67,MATCH($F38,'Faculties'!$B$58:$B$67,0))),"N/A")</f>
        <v/>
      </c>
      <c r="L38" s="53">
        <f>IFERROR(IF(INDEX('CI&amp;S'!$O$10:$O$15,MATCH($F38,'CI&amp;S'!$B$10:$B$15,0))="","Cell will autofill based on response",INDEX('CI&amp;S'!$O$10:$O$15,MATCH($F38,'CI&amp;S'!$B$10:$B$15,0))),"N/A")</f>
        <v/>
      </c>
      <c r="M38" s="53">
        <f>IFERROR(IF(INDEX('CI&amp;S'!$O$22:$O$36,MATCH($F38,'CI&amp;S'!$B$22:$B$36,0))="","Cell will autofill based on response",INDEX('CI&amp;S'!$O$22:$O$36,MATCH($F38,'CI&amp;S'!$B$22:$B$36,0))),"N/A")</f>
        <v/>
      </c>
      <c r="N38" s="53">
        <f>IFERROR(IF(INDEX('CFOG'!$O$10:$O$16,MATCH($F38,'CFOG'!$B$10:$B$16,0))="","Cell will autofill based on response",INDEX('CFOG'!$O$10:$O$16,MATCH($F38,'CFOG'!$B$10:$B$16,0))),"N/A")</f>
        <v/>
      </c>
      <c r="O38" s="53">
        <f>IFERROR(IF(INDEX('CFOG'!$O$23:$O$24,MATCH($F38,'CFOG'!$B$23:$B$24,0))="","Cell will autofill based on response",INDEX('CFOG'!$O$23:$O$24,MATCH($F38,'CFOG'!$B$23:$B$24,0))),"N/A")</f>
        <v/>
      </c>
      <c r="P38" s="53">
        <f>IFERROR(IF(INDEX('ESG'!$O$10:$O$17,MATCH($F38,'ESG'!$B$10:$B$17,0))="","Cell will autofill based on response",INDEX('ESG'!$O$10:$O$17,MATCH($F38,'ESG'!$B$10:$B$17,0))),"N/A")</f>
        <v/>
      </c>
      <c r="Q38" s="53">
        <f>IFERROR(IF(INDEX('CIOG'!$O$10:$O$14,MATCH($F38,'CIOG'!$B$10:$B$14,0))="","Cell will autofill based on response",INDEX('CIOG'!$O$10:$O$14,MATCH($F38,'CIOG'!$B$10:$B$14,0))),"N/A")</f>
        <v/>
      </c>
      <c r="R38" s="53">
        <f>IFERROR(IF(INDEX('MRE'!$O$10:$O$18,MATCH($F38,'MRE'!$B$10:$B$18,0))="","Cell will autofill based on response",INDEX('MRE'!$O$10:$O$18,MATCH($F38,'MRE'!$B$10:$B$18,0))),"N/A")</f>
        <v/>
      </c>
      <c r="S38" s="53">
        <f>IFERROR(IF(INDEX('AC&amp;M'!$O$10:$O$14,MATCH($F38,'AC&amp;M'!$B$10:$B$14,0))="","Cell will autofill based on response",INDEX('AC&amp;M'!$O$10:$O$14,MATCH($F38,'AC&amp;M'!$B$10:$B$14,0))),"N/A")</f>
        <v/>
      </c>
      <c r="T38" s="53">
        <f>IFERROR(IF(INDEX('GCE'!$O$10:$O$12,MATCH($F38,'GCE'!$B$10:$B$12,0))="","Cell will autofill based on response",INDEX('GCE'!$O$10:$O$12,MATCH($F38,'GCE'!$B$10:$B$12,0))),"N/A")</f>
        <v/>
      </c>
      <c r="U38" s="53">
        <f>IFERROR(IF(INDEX('Education'!$O$10:$O$13,MATCH($F38,'Education'!$B$10:$B$13,0))="","Cell will autofill based on response",INDEX('Education'!$O$10:$O$13,MATCH($F38,'Education'!$B$10:$B$13,0))),"N/A")</f>
        <v/>
      </c>
      <c r="V38" s="53">
        <f>IFERROR(IF(INDEX('SaSS'!$O$10:$O$12,MATCH($F38,'SaSS'!$B$10:$B$12,0))="","Cell will autofill based on response",INDEX('SaSS'!$O$10:$O$12,MATCH($F38,'SaSS'!$B$10:$B$12,0))),"N/A")</f>
        <v/>
      </c>
      <c r="W38" s="53">
        <f>IFERROR(IF(INDEX('Indigenous'!$O$10:$O$11,MATCH($F38,'Indigenous'!$B$10:$B$11,0))="","Cell will autofill based on response",INDEX('Indigenous'!$O$10:$O$11,MATCH($F38,'Indigenous'!$B$10:$B$11,0))),"N/A")</f>
        <v/>
      </c>
      <c r="X38" s="53">
        <f>IFERROR(IF(INDEX('L&amp;R'!$O$10:$O$11,MATCH($F38,'L&amp;R'!$B$10:$B$11,0))="","Cell will autofill based on response",INDEX('L&amp;R'!$O$10:$O$11,MATCH($F38,'L&amp;R'!$B$10:$B$11,0))),"N/A")</f>
        <v/>
      </c>
    </row>
    <row r="39">
      <c r="A39">
        <f>F39&amp;"|"&amp;G39</f>
        <v/>
      </c>
      <c r="B39" s="13" t="inlineStr"/>
      <c r="C39" s="8" t="inlineStr"/>
      <c r="D39" s="8" t="inlineStr"/>
      <c r="E39" s="8" t="inlineStr"/>
      <c r="F39" s="8" t="inlineStr">
        <is>
          <t>TR1(a)</t>
        </is>
      </c>
      <c r="G39" s="8" t="inlineStr">
        <is>
          <t>Data source and limitations</t>
        </is>
      </c>
      <c r="H39" s="53">
        <f>IFERROR(IF(INDEX('Faculties'!$P$10:$P$19,MATCH($F39,'Faculties'!$B$10:$B$19,0))="","Cell will autofill based on response",INDEX('Faculties'!$P$10:$P$19,MATCH($F39,'Faculties'!$B$10:$B$19,0))),"N/A")</f>
        <v/>
      </c>
      <c r="I39" s="53">
        <f>IFERROR(IF(INDEX('Faculties'!$P$26:$P$35,MATCH($F39,'Faculties'!$B$26:$B$35,0))="","Cell will autofill based on response",INDEX('Faculties'!$P$26:$P$35,MATCH($F39,'Faculties'!$B$26:$B$35,0))),"N/A")</f>
        <v/>
      </c>
      <c r="J39" s="53">
        <f>IFERROR(IF(INDEX('Faculties'!$P$42:$P$51,MATCH($F39,'Faculties'!$B$42:$B$51,0))="","Cell will autofill based on response",INDEX('Faculties'!$P$42:$P$51,MATCH($F39,'Faculties'!$B$42:$B$51,0))),"N/A")</f>
        <v/>
      </c>
      <c r="K39" s="53">
        <f>IFERROR(IF(INDEX('Faculties'!$P$58:$P$67,MATCH($F39,'Faculties'!$B$58:$B$67,0))="","Cell will autofill based on response",INDEX('Faculties'!$P$58:$P$67,MATCH($F39,'Faculties'!$B$58:$B$67,0))),"N/A")</f>
        <v/>
      </c>
      <c r="L39" s="53">
        <f>IFERROR(IF(INDEX('CI&amp;S'!$P$10:$P$15,MATCH($F39,'CI&amp;S'!$B$10:$B$15,0))="","Cell will autofill based on response",INDEX('CI&amp;S'!$P$10:$P$15,MATCH($F39,'CI&amp;S'!$B$10:$B$15,0))),"N/A")</f>
        <v/>
      </c>
      <c r="M39" s="53">
        <f>IFERROR(IF(INDEX('CI&amp;S'!$P$22:$P$36,MATCH($F39,'CI&amp;S'!$B$22:$B$36,0))="","Cell will autofill based on response",INDEX('CI&amp;S'!$P$22:$P$36,MATCH($F39,'CI&amp;S'!$B$22:$B$36,0))),"N/A")</f>
        <v/>
      </c>
      <c r="N39" s="53">
        <f>IFERROR(IF(INDEX('CFOG'!$P$10:$P$16,MATCH($F39,'CFOG'!$B$10:$B$16,0))="","Cell will autofill based on response",INDEX('CFOG'!$P$10:$P$16,MATCH($F39,'CFOG'!$B$10:$B$16,0))),"N/A")</f>
        <v/>
      </c>
      <c r="O39" s="53">
        <f>IFERROR(IF(INDEX('CFOG'!$P$23:$P$24,MATCH($F39,'CFOG'!$B$23:$B$24,0))="","Cell will autofill based on response",INDEX('CFOG'!$P$23:$P$24,MATCH($F39,'CFOG'!$B$23:$B$24,0))),"N/A")</f>
        <v/>
      </c>
      <c r="P39" s="53">
        <f>IFERROR(IF(INDEX('ESG'!$P$10:$P$17,MATCH($F39,'ESG'!$B$10:$B$17,0))="","Cell will autofill based on response",INDEX('ESG'!$P$10:$P$17,MATCH($F39,'ESG'!$B$10:$B$17,0))),"N/A")</f>
        <v/>
      </c>
      <c r="Q39" s="53">
        <f>IFERROR(IF(INDEX('CIOG'!$P$10:$P$14,MATCH($F39,'CIOG'!$B$10:$B$14,0))="","Cell will autofill based on response",INDEX('CIOG'!$P$10:$P$14,MATCH($F39,'CIOG'!$B$10:$B$14,0))),"N/A")</f>
        <v/>
      </c>
      <c r="R39" s="53">
        <f>IFERROR(IF(INDEX('MRE'!$P$10:$P$18,MATCH($F39,'MRE'!$B$10:$B$18,0))="","Cell will autofill based on response",INDEX('MRE'!$P$10:$P$18,MATCH($F39,'MRE'!$B$10:$B$18,0))),"N/A")</f>
        <v/>
      </c>
      <c r="S39" s="53">
        <f>IFERROR(IF(INDEX('AC&amp;M'!$P$10:$P$14,MATCH($F39,'AC&amp;M'!$B$10:$B$14,0))="","Cell will autofill based on response",INDEX('AC&amp;M'!$P$10:$P$14,MATCH($F39,'AC&amp;M'!$B$10:$B$14,0))),"N/A")</f>
        <v/>
      </c>
      <c r="T39" s="53">
        <f>IFERROR(IF(INDEX('GCE'!$P$10:$P$12,MATCH($F39,'GCE'!$B$10:$B$12,0))="","Cell will autofill based on response",INDEX('GCE'!$P$10:$P$12,MATCH($F39,'GCE'!$B$10:$B$12,0))),"N/A")</f>
        <v/>
      </c>
      <c r="U39" s="53">
        <f>IFERROR(IF(INDEX('Education'!$P$10:$P$13,MATCH($F39,'Education'!$B$10:$B$13,0))="","Cell will autofill based on response",INDEX('Education'!$P$10:$P$13,MATCH($F39,'Education'!$B$10:$B$13,0))),"N/A")</f>
        <v/>
      </c>
      <c r="V39" s="53">
        <f>IFERROR(IF(INDEX('SaSS'!$P$10:$P$12,MATCH($F39,'SaSS'!$B$10:$B$12,0))="","Cell will autofill based on response",INDEX('SaSS'!$P$10:$P$12,MATCH($F39,'SaSS'!$B$10:$B$12,0))),"N/A")</f>
        <v/>
      </c>
      <c r="W39" s="53">
        <f>IFERROR(IF(INDEX('Indigenous'!$P$10:$P$11,MATCH($F39,'Indigenous'!$B$10:$B$11,0))="","Cell will autofill based on response",INDEX('Indigenous'!$P$10:$P$11,MATCH($F39,'Indigenous'!$B$10:$B$11,0))),"N/A")</f>
        <v/>
      </c>
      <c r="X39" s="53">
        <f>IFERROR(IF(INDEX('L&amp;R'!$P$10:$P$11,MATCH($F39,'L&amp;R'!$B$10:$B$11,0))="","Cell will autofill based on response",INDEX('L&amp;R'!$P$10:$P$11,MATCH($F39,'L&amp;R'!$B$10:$B$11,0))),"N/A")</f>
        <v/>
      </c>
    </row>
    <row r="40">
      <c r="A40">
        <f>F40&amp;"|"&amp;G40</f>
        <v/>
      </c>
      <c r="B40" s="13" t="inlineStr"/>
      <c r="C40" s="8" t="inlineStr"/>
      <c r="D40" s="8" t="inlineStr"/>
      <c r="E40" s="8" t="inlineStr"/>
      <c r="F40" s="8" t="inlineStr">
        <is>
          <t>TR1(a)</t>
        </is>
      </c>
      <c r="G40" s="8" t="inlineStr">
        <is>
          <t>Data owner confirms</t>
        </is>
      </c>
      <c r="H40" s="53">
        <f>IFERROR(IF(INDEX('Faculties'!$Q$10:$Q$19,MATCH($F40,'Faculties'!$B$10:$B$19,0))="","Cell will autofill based on response",INDEX('Faculties'!$Q$10:$Q$19,MATCH($F40,'Faculties'!$B$10:$B$19,0))),"N/A")</f>
        <v/>
      </c>
      <c r="I40" s="53">
        <f>IFERROR(IF(INDEX('Faculties'!$Q$26:$Q$35,MATCH($F40,'Faculties'!$B$26:$B$35,0))="","Cell will autofill based on response",INDEX('Faculties'!$Q$26:$Q$35,MATCH($F40,'Faculties'!$B$26:$B$35,0))),"N/A")</f>
        <v/>
      </c>
      <c r="J40" s="53">
        <f>IFERROR(IF(INDEX('Faculties'!$Q$42:$Q$51,MATCH($F40,'Faculties'!$B$42:$B$51,0))="","Cell will autofill based on response",INDEX('Faculties'!$Q$42:$Q$51,MATCH($F40,'Faculties'!$B$42:$B$51,0))),"N/A")</f>
        <v/>
      </c>
      <c r="K40" s="53">
        <f>IFERROR(IF(INDEX('Faculties'!$Q$58:$Q$67,MATCH($F40,'Faculties'!$B$58:$B$67,0))="","Cell will autofill based on response",INDEX('Faculties'!$Q$58:$Q$67,MATCH($F40,'Faculties'!$B$58:$B$67,0))),"N/A")</f>
        <v/>
      </c>
      <c r="L40" s="53">
        <f>IFERROR(IF(INDEX('CI&amp;S'!$Q$10:$Q$15,MATCH($F40,'CI&amp;S'!$B$10:$B$15,0))="","Cell will autofill based on response",INDEX('CI&amp;S'!$Q$10:$Q$15,MATCH($F40,'CI&amp;S'!$B$10:$B$15,0))),"N/A")</f>
        <v/>
      </c>
      <c r="M40" s="53">
        <f>IFERROR(IF(INDEX('CI&amp;S'!$Q$22:$Q$36,MATCH($F40,'CI&amp;S'!$B$22:$B$36,0))="","Cell will autofill based on response",INDEX('CI&amp;S'!$Q$22:$Q$36,MATCH($F40,'CI&amp;S'!$B$22:$B$36,0))),"N/A")</f>
        <v/>
      </c>
      <c r="N40" s="53">
        <f>IFERROR(IF(INDEX('CFOG'!$Q$10:$Q$16,MATCH($F40,'CFOG'!$B$10:$B$16,0))="","Cell will autofill based on response",INDEX('CFOG'!$Q$10:$Q$16,MATCH($F40,'CFOG'!$B$10:$B$16,0))),"N/A")</f>
        <v/>
      </c>
      <c r="O40" s="53">
        <f>IFERROR(IF(INDEX('CFOG'!$Q$23:$Q$24,MATCH($F40,'CFOG'!$B$23:$B$24,0))="","Cell will autofill based on response",INDEX('CFOG'!$Q$23:$Q$24,MATCH($F40,'CFOG'!$B$23:$B$24,0))),"N/A")</f>
        <v/>
      </c>
      <c r="P40" s="53">
        <f>IFERROR(IF(INDEX('ESG'!$Q$10:$Q$17,MATCH($F40,'ESG'!$B$10:$B$17,0))="","Cell will autofill based on response",INDEX('ESG'!$Q$10:$Q$17,MATCH($F40,'ESG'!$B$10:$B$17,0))),"N/A")</f>
        <v/>
      </c>
      <c r="Q40" s="53">
        <f>IFERROR(IF(INDEX('CIOG'!$Q$10:$Q$14,MATCH($F40,'CIOG'!$B$10:$B$14,0))="","Cell will autofill based on response",INDEX('CIOG'!$Q$10:$Q$14,MATCH($F40,'CIOG'!$B$10:$B$14,0))),"N/A")</f>
        <v/>
      </c>
      <c r="R40" s="53">
        <f>IFERROR(IF(INDEX('MRE'!$Q$10:$Q$18,MATCH($F40,'MRE'!$B$10:$B$18,0))="","Cell will autofill based on response",INDEX('MRE'!$Q$10:$Q$18,MATCH($F40,'MRE'!$B$10:$B$18,0))),"N/A")</f>
        <v/>
      </c>
      <c r="S40" s="53">
        <f>IFERROR(IF(INDEX('AC&amp;M'!$Q$10:$Q$14,MATCH($F40,'AC&amp;M'!$B$10:$B$14,0))="","Cell will autofill based on response",INDEX('AC&amp;M'!$Q$10:$Q$14,MATCH($F40,'AC&amp;M'!$B$10:$B$14,0))),"N/A")</f>
        <v/>
      </c>
      <c r="T40" s="53">
        <f>IFERROR(IF(INDEX('GCE'!$Q$10:$Q$12,MATCH($F40,'GCE'!$B$10:$B$12,0))="","Cell will autofill based on response",INDEX('GCE'!$Q$10:$Q$12,MATCH($F40,'GCE'!$B$10:$B$12,0))),"N/A")</f>
        <v/>
      </c>
      <c r="U40" s="53">
        <f>IFERROR(IF(INDEX('Education'!$Q$10:$Q$13,MATCH($F40,'Education'!$B$10:$B$13,0))="","Cell will autofill based on response",INDEX('Education'!$Q$10:$Q$13,MATCH($F40,'Education'!$B$10:$B$13,0))),"N/A")</f>
        <v/>
      </c>
      <c r="V40" s="53">
        <f>IFERROR(IF(INDEX('SaSS'!$Q$10:$Q$12,MATCH($F40,'SaSS'!$B$10:$B$12,0))="","Cell will autofill based on response",INDEX('SaSS'!$Q$10:$Q$12,MATCH($F40,'SaSS'!$B$10:$B$12,0))),"N/A")</f>
        <v/>
      </c>
      <c r="W40" s="53">
        <f>IFERROR(IF(INDEX('Indigenous'!$Q$10:$Q$11,MATCH($F40,'Indigenous'!$B$10:$B$11,0))="","Cell will autofill based on response",INDEX('Indigenous'!$Q$10:$Q$11,MATCH($F40,'Indigenous'!$B$10:$B$11,0))),"N/A")</f>
        <v/>
      </c>
      <c r="X40" s="53">
        <f>IFERROR(IF(INDEX('L&amp;R'!$Q$10:$Q$11,MATCH($F40,'L&amp;R'!$B$10:$B$11,0))="","Cell will autofill based on response",INDEX('L&amp;R'!$Q$10:$Q$11,MATCH($F40,'L&amp;R'!$B$10:$B$11,0))),"N/A")</f>
        <v/>
      </c>
    </row>
    <row r="41">
      <c r="A41">
        <f>F41&amp;"|"&amp;G41</f>
        <v/>
      </c>
      <c r="B41" s="7" t="inlineStr">
        <is>
          <t>TR1(b)</t>
        </is>
      </c>
      <c r="C41" s="51" t="inlineStr">
        <is>
          <t>Transformational research</t>
        </is>
      </c>
      <c r="D41" s="51" t="inlineStr">
        <is>
          <t>Evidence of institutional pathways that enable ongoing collaboration between academic and professional staff</t>
        </is>
      </c>
      <c r="E41" s="51" t="inlineStr">
        <is>
          <t>Please describe any pathways, mechanisms or processes within your Faculty/Portfolio that enable ongoing collaboration between academic and professional staff on operational sustainability challenges, could include formal programs, governance arrangements, funding mechanisms or coordination channels.</t>
        </is>
      </c>
      <c r="F41" s="51" t="inlineStr">
        <is>
          <t>TR1(b)</t>
        </is>
      </c>
      <c r="G41" s="51" t="inlineStr">
        <is>
          <t>Confirm end-2026 target status</t>
        </is>
      </c>
      <c r="H41" s="53">
        <f>IFERROR(IF(INDEX('Faculties'!$L$10:$L$19,MATCH($F41,'Faculties'!$B$10:$B$19,0))="","Cell will autofill based on response",INDEX('Faculties'!$L$10:$L$19,MATCH($F41,'Faculties'!$B$10:$B$19,0))),"N/A")</f>
        <v/>
      </c>
      <c r="I41" s="53">
        <f>IFERROR(IF(INDEX('Faculties'!$L$26:$L$35,MATCH($F41,'Faculties'!$B$26:$B$35,0))="","Cell will autofill based on response",INDEX('Faculties'!$L$26:$L$35,MATCH($F41,'Faculties'!$B$26:$B$35,0))),"N/A")</f>
        <v/>
      </c>
      <c r="J41" s="53">
        <f>IFERROR(IF(INDEX('Faculties'!$L$42:$L$51,MATCH($F41,'Faculties'!$B$42:$B$51,0))="","Cell will autofill based on response",INDEX('Faculties'!$L$42:$L$51,MATCH($F41,'Faculties'!$B$42:$B$51,0))),"N/A")</f>
        <v/>
      </c>
      <c r="K41" s="53">
        <f>IFERROR(IF(INDEX('Faculties'!$L$58:$L$67,MATCH($F41,'Faculties'!$B$58:$B$67,0))="","Cell will autofill based on response",INDEX('Faculties'!$L$58:$L$67,MATCH($F41,'Faculties'!$B$58:$B$67,0))),"N/A")</f>
        <v/>
      </c>
      <c r="L41" s="53">
        <f>IFERROR(IF(INDEX('CI&amp;S'!$L$10:$L$15,MATCH($F41,'CI&amp;S'!$B$10:$B$15,0))="","Cell will autofill based on response",INDEX('CI&amp;S'!$L$10:$L$15,MATCH($F41,'CI&amp;S'!$B$10:$B$15,0))),"N/A")</f>
        <v/>
      </c>
      <c r="M41" s="53">
        <f>IFERROR(IF(INDEX('CI&amp;S'!$L$22:$L$36,MATCH($F41,'CI&amp;S'!$B$22:$B$36,0))="","Cell will autofill based on response",INDEX('CI&amp;S'!$L$22:$L$36,MATCH($F41,'CI&amp;S'!$B$22:$B$36,0))),"N/A")</f>
        <v/>
      </c>
      <c r="N41" s="53">
        <f>IFERROR(IF(INDEX('CFOG'!$L$10:$L$16,MATCH($F41,'CFOG'!$B$10:$B$16,0))="","Cell will autofill based on response",INDEX('CFOG'!$L$10:$L$16,MATCH($F41,'CFOG'!$B$10:$B$16,0))),"N/A")</f>
        <v/>
      </c>
      <c r="O41" s="53">
        <f>IFERROR(IF(INDEX('CFOG'!$L$23:$L$24,MATCH($F41,'CFOG'!$B$23:$B$24,0))="","Cell will autofill based on response",INDEX('CFOG'!$L$23:$L$24,MATCH($F41,'CFOG'!$B$23:$B$24,0))),"N/A")</f>
        <v/>
      </c>
      <c r="P41" s="53">
        <f>IFERROR(IF(INDEX('ESG'!$L$10:$L$17,MATCH($F41,'ESG'!$B$10:$B$17,0))="","Cell will autofill based on response",INDEX('ESG'!$L$10:$L$17,MATCH($F41,'ESG'!$B$10:$B$17,0))),"N/A")</f>
        <v/>
      </c>
      <c r="Q41" s="53">
        <f>IFERROR(IF(INDEX('CIOG'!$L$10:$L$14,MATCH($F41,'CIOG'!$B$10:$B$14,0))="","Cell will autofill based on response",INDEX('CIOG'!$L$10:$L$14,MATCH($F41,'CIOG'!$B$10:$B$14,0))),"N/A")</f>
        <v/>
      </c>
      <c r="R41" s="53">
        <f>IFERROR(IF(INDEX('MRE'!$L$10:$L$18,MATCH($F41,'MRE'!$B$10:$B$18,0))="","Cell will autofill based on response",INDEX('MRE'!$L$10:$L$18,MATCH($F41,'MRE'!$B$10:$B$18,0))),"N/A")</f>
        <v/>
      </c>
      <c r="S41" s="53">
        <f>IFERROR(IF(INDEX('AC&amp;M'!$L$10:$L$14,MATCH($F41,'AC&amp;M'!$B$10:$B$14,0))="","Cell will autofill based on response",INDEX('AC&amp;M'!$L$10:$L$14,MATCH($F41,'AC&amp;M'!$B$10:$B$14,0))),"N/A")</f>
        <v/>
      </c>
      <c r="T41" s="53">
        <f>IFERROR(IF(INDEX('GCE'!$L$10:$L$12,MATCH($F41,'GCE'!$B$10:$B$12,0))="","Cell will autofill based on response",INDEX('GCE'!$L$10:$L$12,MATCH($F41,'GCE'!$B$10:$B$12,0))),"N/A")</f>
        <v/>
      </c>
      <c r="U41" s="53">
        <f>IFERROR(IF(INDEX('Education'!$L$10:$L$13,MATCH($F41,'Education'!$B$10:$B$13,0))="","Cell will autofill based on response",INDEX('Education'!$L$10:$L$13,MATCH($F41,'Education'!$B$10:$B$13,0))),"N/A")</f>
        <v/>
      </c>
      <c r="V41" s="53">
        <f>IFERROR(IF(INDEX('SaSS'!$L$10:$L$12,MATCH($F41,'SaSS'!$B$10:$B$12,0))="","Cell will autofill based on response",INDEX('SaSS'!$L$10:$L$12,MATCH($F41,'SaSS'!$B$10:$B$12,0))),"N/A")</f>
        <v/>
      </c>
      <c r="W41" s="53">
        <f>IFERROR(IF(INDEX('Indigenous'!$L$10:$L$11,MATCH($F41,'Indigenous'!$B$10:$B$11,0))="","Cell will autofill based on response",INDEX('Indigenous'!$L$10:$L$11,MATCH($F41,'Indigenous'!$B$10:$B$11,0))),"N/A")</f>
        <v/>
      </c>
      <c r="X41" s="53">
        <f>IFERROR(IF(INDEX('L&amp;R'!$L$10:$L$11,MATCH($F41,'L&amp;R'!$B$10:$B$11,0))="","Cell will autofill based on response",INDEX('L&amp;R'!$L$10:$L$11,MATCH($F41,'L&amp;R'!$B$10:$B$11,0))),"N/A")</f>
        <v/>
      </c>
      <c r="Z41" s="10">
        <f>COUNTIF($H41:$X41,"Cell will autofill based on response")</f>
        <v/>
      </c>
      <c r="AA41" s="10">
        <f>COUNTIF($H41:$X41,"Not yet started")</f>
        <v/>
      </c>
      <c r="AB41" s="10">
        <f>COUNTIF($H41:$X41,"Not met")</f>
        <v/>
      </c>
      <c r="AC41" s="10">
        <f>COUNTIF($H41:$X41,"Partially met")</f>
        <v/>
      </c>
      <c r="AD41" s="10">
        <f>COUNTIF($H41:$X41,"Met or exceeded")</f>
        <v/>
      </c>
      <c r="AE41" s="10">
        <f>3*AD41+2*AC41+AB41</f>
        <v/>
      </c>
      <c r="AF41" s="10">
        <f>AD41+AC41+AB41+AA41</f>
        <v/>
      </c>
      <c r="AG41" s="54">
        <f>IF(AF41&gt;0,AE41/AF41,"No valid responses to date")</f>
        <v/>
      </c>
      <c r="AH41" s="10">
        <f>IF(ISNUMBER(AG41),INDEX(Lists!$G$2:$G$5,MATCH(ROUND(AG41,0),Lists!$H$2:$H$5,0)),"")</f>
        <v/>
      </c>
      <c r="AI41" s="55">
        <f>IF(AF41&gt;0,AD41/AF41,"")</f>
        <v/>
      </c>
      <c r="AJ41" s="55">
        <f>IF(AF41&gt;0,(AD41+AC41)/AF41,"")</f>
        <v/>
      </c>
      <c r="AK41" s="10">
        <f>IF(AF41=0,"",IF(AI41&gt;0.75,"Met or exceeded",IF(AJ41&gt;=0.5,"Partially met","Not met")))</f>
        <v/>
      </c>
    </row>
    <row r="42">
      <c r="A42">
        <f>F42&amp;"|"&amp;G42</f>
        <v/>
      </c>
      <c r="B42" s="13" t="inlineStr"/>
      <c r="C42" s="8" t="inlineStr"/>
      <c r="D42" s="8" t="inlineStr"/>
      <c r="E42" s="8" t="inlineStr"/>
      <c r="F42" s="8" t="inlineStr">
        <is>
          <t>TR1(b)</t>
        </is>
      </c>
      <c r="G42" s="8" t="inlineStr">
        <is>
          <t>OPTION 1:  Target-level reporting</t>
        </is>
      </c>
      <c r="H42" s="53">
        <f>IFERROR(IF(INDEX('Faculties'!$M$10:$M$19,MATCH($F42,'Faculties'!$B$10:$B$19,0))="","Cell will autofill based on response",INDEX('Faculties'!$M$10:$M$19,MATCH($F42,'Faculties'!$B$10:$B$19,0))),"N/A")</f>
        <v/>
      </c>
      <c r="I42" s="53">
        <f>IFERROR(IF(INDEX('Faculties'!$M$26:$M$35,MATCH($F42,'Faculties'!$B$26:$B$35,0))="","Cell will autofill based on response",INDEX('Faculties'!$M$26:$M$35,MATCH($F42,'Faculties'!$B$26:$B$35,0))),"N/A")</f>
        <v/>
      </c>
      <c r="J42" s="53">
        <f>IFERROR(IF(INDEX('Faculties'!$M$42:$M$51,MATCH($F42,'Faculties'!$B$42:$B$51,0))="","Cell will autofill based on response",INDEX('Faculties'!$M$42:$M$51,MATCH($F42,'Faculties'!$B$42:$B$51,0))),"N/A")</f>
        <v/>
      </c>
      <c r="K42" s="53">
        <f>IFERROR(IF(INDEX('Faculties'!$M$58:$M$67,MATCH($F42,'Faculties'!$B$58:$B$67,0))="","Cell will autofill based on response",INDEX('Faculties'!$M$58:$M$67,MATCH($F42,'Faculties'!$B$58:$B$67,0))),"N/A")</f>
        <v/>
      </c>
      <c r="L42" s="53">
        <f>IFERROR(IF(INDEX('CI&amp;S'!$M$10:$M$15,MATCH($F42,'CI&amp;S'!$B$10:$B$15,0))="","Cell will autofill based on response",INDEX('CI&amp;S'!$M$10:$M$15,MATCH($F42,'CI&amp;S'!$B$10:$B$15,0))),"N/A")</f>
        <v/>
      </c>
      <c r="M42" s="53">
        <f>IFERROR(IF(INDEX('CI&amp;S'!$M$22:$M$36,MATCH($F42,'CI&amp;S'!$B$22:$B$36,0))="","Cell will autofill based on response",INDEX('CI&amp;S'!$M$22:$M$36,MATCH($F42,'CI&amp;S'!$B$22:$B$36,0))),"N/A")</f>
        <v/>
      </c>
      <c r="N42" s="53">
        <f>IFERROR(IF(INDEX('CFOG'!$M$10:$M$16,MATCH($F42,'CFOG'!$B$10:$B$16,0))="","Cell will autofill based on response",INDEX('CFOG'!$M$10:$M$16,MATCH($F42,'CFOG'!$B$10:$B$16,0))),"N/A")</f>
        <v/>
      </c>
      <c r="O42" s="53">
        <f>IFERROR(IF(INDEX('CFOG'!$M$23:$M$24,MATCH($F42,'CFOG'!$B$23:$B$24,0))="","Cell will autofill based on response",INDEX('CFOG'!$M$23:$M$24,MATCH($F42,'CFOG'!$B$23:$B$24,0))),"N/A")</f>
        <v/>
      </c>
      <c r="P42" s="53">
        <f>IFERROR(IF(INDEX('ESG'!$M$10:$M$17,MATCH($F42,'ESG'!$B$10:$B$17,0))="","Cell will autofill based on response",INDEX('ESG'!$M$10:$M$17,MATCH($F42,'ESG'!$B$10:$B$17,0))),"N/A")</f>
        <v/>
      </c>
      <c r="Q42" s="53">
        <f>IFERROR(IF(INDEX('CIOG'!$M$10:$M$14,MATCH($F42,'CIOG'!$B$10:$B$14,0))="","Cell will autofill based on response",INDEX('CIOG'!$M$10:$M$14,MATCH($F42,'CIOG'!$B$10:$B$14,0))),"N/A")</f>
        <v/>
      </c>
      <c r="R42" s="53">
        <f>IFERROR(IF(INDEX('MRE'!$M$10:$M$18,MATCH($F42,'MRE'!$B$10:$B$18,0))="","Cell will autofill based on response",INDEX('MRE'!$M$10:$M$18,MATCH($F42,'MRE'!$B$10:$B$18,0))),"N/A")</f>
        <v/>
      </c>
      <c r="S42" s="53">
        <f>IFERROR(IF(INDEX('AC&amp;M'!$M$10:$M$14,MATCH($F42,'AC&amp;M'!$B$10:$B$14,0))="","Cell will autofill based on response",INDEX('AC&amp;M'!$M$10:$M$14,MATCH($F42,'AC&amp;M'!$B$10:$B$14,0))),"N/A")</f>
        <v/>
      </c>
      <c r="T42" s="53">
        <f>IFERROR(IF(INDEX('GCE'!$M$10:$M$12,MATCH($F42,'GCE'!$B$10:$B$12,0))="","Cell will autofill based on response",INDEX('GCE'!$M$10:$M$12,MATCH($F42,'GCE'!$B$10:$B$12,0))),"N/A")</f>
        <v/>
      </c>
      <c r="U42" s="53">
        <f>IFERROR(IF(INDEX('Education'!$M$10:$M$13,MATCH($F42,'Education'!$B$10:$B$13,0))="","Cell will autofill based on response",INDEX('Education'!$M$10:$M$13,MATCH($F42,'Education'!$B$10:$B$13,0))),"N/A")</f>
        <v/>
      </c>
      <c r="V42" s="53">
        <f>IFERROR(IF(INDEX('SaSS'!$M$10:$M$12,MATCH($F42,'SaSS'!$B$10:$B$12,0))="","Cell will autofill based on response",INDEX('SaSS'!$M$10:$M$12,MATCH($F42,'SaSS'!$B$10:$B$12,0))),"N/A")</f>
        <v/>
      </c>
      <c r="W42" s="53">
        <f>IFERROR(IF(INDEX('Indigenous'!$M$10:$M$11,MATCH($F42,'Indigenous'!$B$10:$B$11,0))="","Cell will autofill based on response",INDEX('Indigenous'!$M$10:$M$11,MATCH($F42,'Indigenous'!$B$10:$B$11,0))),"N/A")</f>
        <v/>
      </c>
      <c r="X42" s="53">
        <f>IFERROR(IF(INDEX('L&amp;R'!$M$10:$M$11,MATCH($F42,'L&amp;R'!$B$10:$B$11,0))="","Cell will autofill based on response",INDEX('L&amp;R'!$M$10:$M$11,MATCH($F42,'L&amp;R'!$B$10:$B$11,0))),"N/A")</f>
        <v/>
      </c>
    </row>
    <row r="43">
      <c r="A43">
        <f>F43&amp;"|"&amp;G43</f>
        <v/>
      </c>
      <c r="B43" s="13" t="inlineStr"/>
      <c r="C43" s="8" t="inlineStr"/>
      <c r="D43" s="8" t="inlineStr"/>
      <c r="E43" s="8" t="inlineStr"/>
      <c r="F43" s="8" t="inlineStr">
        <is>
          <t>TR1(b)</t>
        </is>
      </c>
      <c r="G43" s="8" t="inlineStr">
        <is>
          <t>OPTION 2:  Indicator level reporting</t>
        </is>
      </c>
      <c r="H43" s="53">
        <f>IFERROR(IF(INDEX('Faculties'!$N$10:$N$19,MATCH($F43,'Faculties'!$B$10:$B$19,0))="","Cell will autofill based on response",INDEX('Faculties'!$N$10:$N$19,MATCH($F43,'Faculties'!$B$10:$B$19,0))),"N/A")</f>
        <v/>
      </c>
      <c r="I43" s="53">
        <f>IFERROR(IF(INDEX('Faculties'!$N$26:$N$35,MATCH($F43,'Faculties'!$B$26:$B$35,0))="","Cell will autofill based on response",INDEX('Faculties'!$N$26:$N$35,MATCH($F43,'Faculties'!$B$26:$B$35,0))),"N/A")</f>
        <v/>
      </c>
      <c r="J43" s="53">
        <f>IFERROR(IF(INDEX('Faculties'!$N$42:$N$51,MATCH($F43,'Faculties'!$B$42:$B$51,0))="","Cell will autofill based on response",INDEX('Faculties'!$N$42:$N$51,MATCH($F43,'Faculties'!$B$42:$B$51,0))),"N/A")</f>
        <v/>
      </c>
      <c r="K43" s="53">
        <f>IFERROR(IF(INDEX('Faculties'!$N$58:$N$67,MATCH($F43,'Faculties'!$B$58:$B$67,0))="","Cell will autofill based on response",INDEX('Faculties'!$N$58:$N$67,MATCH($F43,'Faculties'!$B$58:$B$67,0))),"N/A")</f>
        <v/>
      </c>
      <c r="L43" s="53">
        <f>IFERROR(IF(INDEX('CI&amp;S'!$N$10:$N$15,MATCH($F43,'CI&amp;S'!$B$10:$B$15,0))="","Cell will autofill based on response",INDEX('CI&amp;S'!$N$10:$N$15,MATCH($F43,'CI&amp;S'!$B$10:$B$15,0))),"N/A")</f>
        <v/>
      </c>
      <c r="M43" s="53">
        <f>IFERROR(IF(INDEX('CI&amp;S'!$N$22:$N$36,MATCH($F43,'CI&amp;S'!$B$22:$B$36,0))="","Cell will autofill based on response",INDEX('CI&amp;S'!$N$22:$N$36,MATCH($F43,'CI&amp;S'!$B$22:$B$36,0))),"N/A")</f>
        <v/>
      </c>
      <c r="N43" s="53">
        <f>IFERROR(IF(INDEX('CFOG'!$N$10:$N$16,MATCH($F43,'CFOG'!$B$10:$B$16,0))="","Cell will autofill based on response",INDEX('CFOG'!$N$10:$N$16,MATCH($F43,'CFOG'!$B$10:$B$16,0))),"N/A")</f>
        <v/>
      </c>
      <c r="O43" s="53">
        <f>IFERROR(IF(INDEX('CFOG'!$N$23:$N$24,MATCH($F43,'CFOG'!$B$23:$B$24,0))="","Cell will autofill based on response",INDEX('CFOG'!$N$23:$N$24,MATCH($F43,'CFOG'!$B$23:$B$24,0))),"N/A")</f>
        <v/>
      </c>
      <c r="P43" s="53">
        <f>IFERROR(IF(INDEX('ESG'!$N$10:$N$17,MATCH($F43,'ESG'!$B$10:$B$17,0))="","Cell will autofill based on response",INDEX('ESG'!$N$10:$N$17,MATCH($F43,'ESG'!$B$10:$B$17,0))),"N/A")</f>
        <v/>
      </c>
      <c r="Q43" s="53">
        <f>IFERROR(IF(INDEX('CIOG'!$N$10:$N$14,MATCH($F43,'CIOG'!$B$10:$B$14,0))="","Cell will autofill based on response",INDEX('CIOG'!$N$10:$N$14,MATCH($F43,'CIOG'!$B$10:$B$14,0))),"N/A")</f>
        <v/>
      </c>
      <c r="R43" s="53">
        <f>IFERROR(IF(INDEX('MRE'!$N$10:$N$18,MATCH($F43,'MRE'!$B$10:$B$18,0))="","Cell will autofill based on response",INDEX('MRE'!$N$10:$N$18,MATCH($F43,'MRE'!$B$10:$B$18,0))),"N/A")</f>
        <v/>
      </c>
      <c r="S43" s="53">
        <f>IFERROR(IF(INDEX('AC&amp;M'!$N$10:$N$14,MATCH($F43,'AC&amp;M'!$B$10:$B$14,0))="","Cell will autofill based on response",INDEX('AC&amp;M'!$N$10:$N$14,MATCH($F43,'AC&amp;M'!$B$10:$B$14,0))),"N/A")</f>
        <v/>
      </c>
      <c r="T43" s="53">
        <f>IFERROR(IF(INDEX('GCE'!$N$10:$N$12,MATCH($F43,'GCE'!$B$10:$B$12,0))="","Cell will autofill based on response",INDEX('GCE'!$N$10:$N$12,MATCH($F43,'GCE'!$B$10:$B$12,0))),"N/A")</f>
        <v/>
      </c>
      <c r="U43" s="53">
        <f>IFERROR(IF(INDEX('Education'!$N$10:$N$13,MATCH($F43,'Education'!$B$10:$B$13,0))="","Cell will autofill based on response",INDEX('Education'!$N$10:$N$13,MATCH($F43,'Education'!$B$10:$B$13,0))),"N/A")</f>
        <v/>
      </c>
      <c r="V43" s="53">
        <f>IFERROR(IF(INDEX('SaSS'!$N$10:$N$12,MATCH($F43,'SaSS'!$B$10:$B$12,0))="","Cell will autofill based on response",INDEX('SaSS'!$N$10:$N$12,MATCH($F43,'SaSS'!$B$10:$B$12,0))),"N/A")</f>
        <v/>
      </c>
      <c r="W43" s="53">
        <f>IFERROR(IF(INDEX('Indigenous'!$N$10:$N$11,MATCH($F43,'Indigenous'!$B$10:$B$11,0))="","Cell will autofill based on response",INDEX('Indigenous'!$N$10:$N$11,MATCH($F43,'Indigenous'!$B$10:$B$11,0))),"N/A")</f>
        <v/>
      </c>
      <c r="X43" s="53">
        <f>IFERROR(IF(INDEX('L&amp;R'!$N$10:$N$11,MATCH($F43,'L&amp;R'!$B$10:$B$11,0))="","Cell will autofill based on response",INDEX('L&amp;R'!$N$10:$N$11,MATCH($F43,'L&amp;R'!$B$10:$B$11,0))),"N/A")</f>
        <v/>
      </c>
    </row>
    <row r="44">
      <c r="A44">
        <f>F44&amp;"|"&amp;G44</f>
        <v/>
      </c>
      <c r="B44" s="13" t="inlineStr"/>
      <c r="C44" s="8" t="inlineStr"/>
      <c r="D44" s="8" t="inlineStr"/>
      <c r="E44" s="8" t="inlineStr"/>
      <c r="F44" s="8" t="inlineStr">
        <is>
          <t>TR1(b)</t>
        </is>
      </c>
      <c r="G44" s="8" t="inlineStr">
        <is>
          <t>Supporting information/comments</t>
        </is>
      </c>
      <c r="H44" s="53">
        <f>IFERROR(IF(INDEX('Faculties'!$O$10:$O$19,MATCH($F44,'Faculties'!$B$10:$B$19,0))="","Cell will autofill based on response",INDEX('Faculties'!$O$10:$O$19,MATCH($F44,'Faculties'!$B$10:$B$19,0))),"N/A")</f>
        <v/>
      </c>
      <c r="I44" s="53">
        <f>IFERROR(IF(INDEX('Faculties'!$O$26:$O$35,MATCH($F44,'Faculties'!$B$26:$B$35,0))="","Cell will autofill based on response",INDEX('Faculties'!$O$26:$O$35,MATCH($F44,'Faculties'!$B$26:$B$35,0))),"N/A")</f>
        <v/>
      </c>
      <c r="J44" s="53">
        <f>IFERROR(IF(INDEX('Faculties'!$O$42:$O$51,MATCH($F44,'Faculties'!$B$42:$B$51,0))="","Cell will autofill based on response",INDEX('Faculties'!$O$42:$O$51,MATCH($F44,'Faculties'!$B$42:$B$51,0))),"N/A")</f>
        <v/>
      </c>
      <c r="K44" s="53">
        <f>IFERROR(IF(INDEX('Faculties'!$O$58:$O$67,MATCH($F44,'Faculties'!$B$58:$B$67,0))="","Cell will autofill based on response",INDEX('Faculties'!$O$58:$O$67,MATCH($F44,'Faculties'!$B$58:$B$67,0))),"N/A")</f>
        <v/>
      </c>
      <c r="L44" s="53">
        <f>IFERROR(IF(INDEX('CI&amp;S'!$O$10:$O$15,MATCH($F44,'CI&amp;S'!$B$10:$B$15,0))="","Cell will autofill based on response",INDEX('CI&amp;S'!$O$10:$O$15,MATCH($F44,'CI&amp;S'!$B$10:$B$15,0))),"N/A")</f>
        <v/>
      </c>
      <c r="M44" s="53">
        <f>IFERROR(IF(INDEX('CI&amp;S'!$O$22:$O$36,MATCH($F44,'CI&amp;S'!$B$22:$B$36,0))="","Cell will autofill based on response",INDEX('CI&amp;S'!$O$22:$O$36,MATCH($F44,'CI&amp;S'!$B$22:$B$36,0))),"N/A")</f>
        <v/>
      </c>
      <c r="N44" s="53">
        <f>IFERROR(IF(INDEX('CFOG'!$O$10:$O$16,MATCH($F44,'CFOG'!$B$10:$B$16,0))="","Cell will autofill based on response",INDEX('CFOG'!$O$10:$O$16,MATCH($F44,'CFOG'!$B$10:$B$16,0))),"N/A")</f>
        <v/>
      </c>
      <c r="O44" s="53">
        <f>IFERROR(IF(INDEX('CFOG'!$O$23:$O$24,MATCH($F44,'CFOG'!$B$23:$B$24,0))="","Cell will autofill based on response",INDEX('CFOG'!$O$23:$O$24,MATCH($F44,'CFOG'!$B$23:$B$24,0))),"N/A")</f>
        <v/>
      </c>
      <c r="P44" s="53">
        <f>IFERROR(IF(INDEX('ESG'!$O$10:$O$17,MATCH($F44,'ESG'!$B$10:$B$17,0))="","Cell will autofill based on response",INDEX('ESG'!$O$10:$O$17,MATCH($F44,'ESG'!$B$10:$B$17,0))),"N/A")</f>
        <v/>
      </c>
      <c r="Q44" s="53">
        <f>IFERROR(IF(INDEX('CIOG'!$O$10:$O$14,MATCH($F44,'CIOG'!$B$10:$B$14,0))="","Cell will autofill based on response",INDEX('CIOG'!$O$10:$O$14,MATCH($F44,'CIOG'!$B$10:$B$14,0))),"N/A")</f>
        <v/>
      </c>
      <c r="R44" s="53">
        <f>IFERROR(IF(INDEX('MRE'!$O$10:$O$18,MATCH($F44,'MRE'!$B$10:$B$18,0))="","Cell will autofill based on response",INDEX('MRE'!$O$10:$O$18,MATCH($F44,'MRE'!$B$10:$B$18,0))),"N/A")</f>
        <v/>
      </c>
      <c r="S44" s="53">
        <f>IFERROR(IF(INDEX('AC&amp;M'!$O$10:$O$14,MATCH($F44,'AC&amp;M'!$B$10:$B$14,0))="","Cell will autofill based on response",INDEX('AC&amp;M'!$O$10:$O$14,MATCH($F44,'AC&amp;M'!$B$10:$B$14,0))),"N/A")</f>
        <v/>
      </c>
      <c r="T44" s="53">
        <f>IFERROR(IF(INDEX('GCE'!$O$10:$O$12,MATCH($F44,'GCE'!$B$10:$B$12,0))="","Cell will autofill based on response",INDEX('GCE'!$O$10:$O$12,MATCH($F44,'GCE'!$B$10:$B$12,0))),"N/A")</f>
        <v/>
      </c>
      <c r="U44" s="53">
        <f>IFERROR(IF(INDEX('Education'!$O$10:$O$13,MATCH($F44,'Education'!$B$10:$B$13,0))="","Cell will autofill based on response",INDEX('Education'!$O$10:$O$13,MATCH($F44,'Education'!$B$10:$B$13,0))),"N/A")</f>
        <v/>
      </c>
      <c r="V44" s="53">
        <f>IFERROR(IF(INDEX('SaSS'!$O$10:$O$12,MATCH($F44,'SaSS'!$B$10:$B$12,0))="","Cell will autofill based on response",INDEX('SaSS'!$O$10:$O$12,MATCH($F44,'SaSS'!$B$10:$B$12,0))),"N/A")</f>
        <v/>
      </c>
      <c r="W44" s="53">
        <f>IFERROR(IF(INDEX('Indigenous'!$O$10:$O$11,MATCH($F44,'Indigenous'!$B$10:$B$11,0))="","Cell will autofill based on response",INDEX('Indigenous'!$O$10:$O$11,MATCH($F44,'Indigenous'!$B$10:$B$11,0))),"N/A")</f>
        <v/>
      </c>
      <c r="X44" s="53">
        <f>IFERROR(IF(INDEX('L&amp;R'!$O$10:$O$11,MATCH($F44,'L&amp;R'!$B$10:$B$11,0))="","Cell will autofill based on response",INDEX('L&amp;R'!$O$10:$O$11,MATCH($F44,'L&amp;R'!$B$10:$B$11,0))),"N/A")</f>
        <v/>
      </c>
    </row>
    <row r="45">
      <c r="A45">
        <f>F45&amp;"|"&amp;G45</f>
        <v/>
      </c>
      <c r="B45" s="13" t="inlineStr"/>
      <c r="C45" s="8" t="inlineStr"/>
      <c r="D45" s="8" t="inlineStr"/>
      <c r="E45" s="8" t="inlineStr"/>
      <c r="F45" s="8" t="inlineStr">
        <is>
          <t>TR1(b)</t>
        </is>
      </c>
      <c r="G45" s="8" t="inlineStr">
        <is>
          <t>Data source and limitations</t>
        </is>
      </c>
      <c r="H45" s="53">
        <f>IFERROR(IF(INDEX('Faculties'!$P$10:$P$19,MATCH($F45,'Faculties'!$B$10:$B$19,0))="","Cell will autofill based on response",INDEX('Faculties'!$P$10:$P$19,MATCH($F45,'Faculties'!$B$10:$B$19,0))),"N/A")</f>
        <v/>
      </c>
      <c r="I45" s="53">
        <f>IFERROR(IF(INDEX('Faculties'!$P$26:$P$35,MATCH($F45,'Faculties'!$B$26:$B$35,0))="","Cell will autofill based on response",INDEX('Faculties'!$P$26:$P$35,MATCH($F45,'Faculties'!$B$26:$B$35,0))),"N/A")</f>
        <v/>
      </c>
      <c r="J45" s="53">
        <f>IFERROR(IF(INDEX('Faculties'!$P$42:$P$51,MATCH($F45,'Faculties'!$B$42:$B$51,0))="","Cell will autofill based on response",INDEX('Faculties'!$P$42:$P$51,MATCH($F45,'Faculties'!$B$42:$B$51,0))),"N/A")</f>
        <v/>
      </c>
      <c r="K45" s="53">
        <f>IFERROR(IF(INDEX('Faculties'!$P$58:$P$67,MATCH($F45,'Faculties'!$B$58:$B$67,0))="","Cell will autofill based on response",INDEX('Faculties'!$P$58:$P$67,MATCH($F45,'Faculties'!$B$58:$B$67,0))),"N/A")</f>
        <v/>
      </c>
      <c r="L45" s="53">
        <f>IFERROR(IF(INDEX('CI&amp;S'!$P$10:$P$15,MATCH($F45,'CI&amp;S'!$B$10:$B$15,0))="","Cell will autofill based on response",INDEX('CI&amp;S'!$P$10:$P$15,MATCH($F45,'CI&amp;S'!$B$10:$B$15,0))),"N/A")</f>
        <v/>
      </c>
      <c r="M45" s="53">
        <f>IFERROR(IF(INDEX('CI&amp;S'!$P$22:$P$36,MATCH($F45,'CI&amp;S'!$B$22:$B$36,0))="","Cell will autofill based on response",INDEX('CI&amp;S'!$P$22:$P$36,MATCH($F45,'CI&amp;S'!$B$22:$B$36,0))),"N/A")</f>
        <v/>
      </c>
      <c r="N45" s="53">
        <f>IFERROR(IF(INDEX('CFOG'!$P$10:$P$16,MATCH($F45,'CFOG'!$B$10:$B$16,0))="","Cell will autofill based on response",INDEX('CFOG'!$P$10:$P$16,MATCH($F45,'CFOG'!$B$10:$B$16,0))),"N/A")</f>
        <v/>
      </c>
      <c r="O45" s="53">
        <f>IFERROR(IF(INDEX('CFOG'!$P$23:$P$24,MATCH($F45,'CFOG'!$B$23:$B$24,0))="","Cell will autofill based on response",INDEX('CFOG'!$P$23:$P$24,MATCH($F45,'CFOG'!$B$23:$B$24,0))),"N/A")</f>
        <v/>
      </c>
      <c r="P45" s="53">
        <f>IFERROR(IF(INDEX('ESG'!$P$10:$P$17,MATCH($F45,'ESG'!$B$10:$B$17,0))="","Cell will autofill based on response",INDEX('ESG'!$P$10:$P$17,MATCH($F45,'ESG'!$B$10:$B$17,0))),"N/A")</f>
        <v/>
      </c>
      <c r="Q45" s="53">
        <f>IFERROR(IF(INDEX('CIOG'!$P$10:$P$14,MATCH($F45,'CIOG'!$B$10:$B$14,0))="","Cell will autofill based on response",INDEX('CIOG'!$P$10:$P$14,MATCH($F45,'CIOG'!$B$10:$B$14,0))),"N/A")</f>
        <v/>
      </c>
      <c r="R45" s="53">
        <f>IFERROR(IF(INDEX('MRE'!$P$10:$P$18,MATCH($F45,'MRE'!$B$10:$B$18,0))="","Cell will autofill based on response",INDEX('MRE'!$P$10:$P$18,MATCH($F45,'MRE'!$B$10:$B$18,0))),"N/A")</f>
        <v/>
      </c>
      <c r="S45" s="53">
        <f>IFERROR(IF(INDEX('AC&amp;M'!$P$10:$P$14,MATCH($F45,'AC&amp;M'!$B$10:$B$14,0))="","Cell will autofill based on response",INDEX('AC&amp;M'!$P$10:$P$14,MATCH($F45,'AC&amp;M'!$B$10:$B$14,0))),"N/A")</f>
        <v/>
      </c>
      <c r="T45" s="53">
        <f>IFERROR(IF(INDEX('GCE'!$P$10:$P$12,MATCH($F45,'GCE'!$B$10:$B$12,0))="","Cell will autofill based on response",INDEX('GCE'!$P$10:$P$12,MATCH($F45,'GCE'!$B$10:$B$12,0))),"N/A")</f>
        <v/>
      </c>
      <c r="U45" s="53">
        <f>IFERROR(IF(INDEX('Education'!$P$10:$P$13,MATCH($F45,'Education'!$B$10:$B$13,0))="","Cell will autofill based on response",INDEX('Education'!$P$10:$P$13,MATCH($F45,'Education'!$B$10:$B$13,0))),"N/A")</f>
        <v/>
      </c>
      <c r="V45" s="53">
        <f>IFERROR(IF(INDEX('SaSS'!$P$10:$P$12,MATCH($F45,'SaSS'!$B$10:$B$12,0))="","Cell will autofill based on response",INDEX('SaSS'!$P$10:$P$12,MATCH($F45,'SaSS'!$B$10:$B$12,0))),"N/A")</f>
        <v/>
      </c>
      <c r="W45" s="53">
        <f>IFERROR(IF(INDEX('Indigenous'!$P$10:$P$11,MATCH($F45,'Indigenous'!$B$10:$B$11,0))="","Cell will autofill based on response",INDEX('Indigenous'!$P$10:$P$11,MATCH($F45,'Indigenous'!$B$10:$B$11,0))),"N/A")</f>
        <v/>
      </c>
      <c r="X45" s="53">
        <f>IFERROR(IF(INDEX('L&amp;R'!$P$10:$P$11,MATCH($F45,'L&amp;R'!$B$10:$B$11,0))="","Cell will autofill based on response",INDEX('L&amp;R'!$P$10:$P$11,MATCH($F45,'L&amp;R'!$B$10:$B$11,0))),"N/A")</f>
        <v/>
      </c>
    </row>
    <row r="46">
      <c r="A46">
        <f>F46&amp;"|"&amp;G46</f>
        <v/>
      </c>
      <c r="B46" s="13" t="inlineStr"/>
      <c r="C46" s="8" t="inlineStr"/>
      <c r="D46" s="8" t="inlineStr"/>
      <c r="E46" s="8" t="inlineStr"/>
      <c r="F46" s="8" t="inlineStr">
        <is>
          <t>TR1(b)</t>
        </is>
      </c>
      <c r="G46" s="8" t="inlineStr">
        <is>
          <t>Data owner confirms</t>
        </is>
      </c>
      <c r="H46" s="53">
        <f>IFERROR(IF(INDEX('Faculties'!$Q$10:$Q$19,MATCH($F46,'Faculties'!$B$10:$B$19,0))="","Cell will autofill based on response",INDEX('Faculties'!$Q$10:$Q$19,MATCH($F46,'Faculties'!$B$10:$B$19,0))),"N/A")</f>
        <v/>
      </c>
      <c r="I46" s="53">
        <f>IFERROR(IF(INDEX('Faculties'!$Q$26:$Q$35,MATCH($F46,'Faculties'!$B$26:$B$35,0))="","Cell will autofill based on response",INDEX('Faculties'!$Q$26:$Q$35,MATCH($F46,'Faculties'!$B$26:$B$35,0))),"N/A")</f>
        <v/>
      </c>
      <c r="J46" s="53">
        <f>IFERROR(IF(INDEX('Faculties'!$Q$42:$Q$51,MATCH($F46,'Faculties'!$B$42:$B$51,0))="","Cell will autofill based on response",INDEX('Faculties'!$Q$42:$Q$51,MATCH($F46,'Faculties'!$B$42:$B$51,0))),"N/A")</f>
        <v/>
      </c>
      <c r="K46" s="53">
        <f>IFERROR(IF(INDEX('Faculties'!$Q$58:$Q$67,MATCH($F46,'Faculties'!$B$58:$B$67,0))="","Cell will autofill based on response",INDEX('Faculties'!$Q$58:$Q$67,MATCH($F46,'Faculties'!$B$58:$B$67,0))),"N/A")</f>
        <v/>
      </c>
      <c r="L46" s="53">
        <f>IFERROR(IF(INDEX('CI&amp;S'!$Q$10:$Q$15,MATCH($F46,'CI&amp;S'!$B$10:$B$15,0))="","Cell will autofill based on response",INDEX('CI&amp;S'!$Q$10:$Q$15,MATCH($F46,'CI&amp;S'!$B$10:$B$15,0))),"N/A")</f>
        <v/>
      </c>
      <c r="M46" s="53">
        <f>IFERROR(IF(INDEX('CI&amp;S'!$Q$22:$Q$36,MATCH($F46,'CI&amp;S'!$B$22:$B$36,0))="","Cell will autofill based on response",INDEX('CI&amp;S'!$Q$22:$Q$36,MATCH($F46,'CI&amp;S'!$B$22:$B$36,0))),"N/A")</f>
        <v/>
      </c>
      <c r="N46" s="53">
        <f>IFERROR(IF(INDEX('CFOG'!$Q$10:$Q$16,MATCH($F46,'CFOG'!$B$10:$B$16,0))="","Cell will autofill based on response",INDEX('CFOG'!$Q$10:$Q$16,MATCH($F46,'CFOG'!$B$10:$B$16,0))),"N/A")</f>
        <v/>
      </c>
      <c r="O46" s="53">
        <f>IFERROR(IF(INDEX('CFOG'!$Q$23:$Q$24,MATCH($F46,'CFOG'!$B$23:$B$24,0))="","Cell will autofill based on response",INDEX('CFOG'!$Q$23:$Q$24,MATCH($F46,'CFOG'!$B$23:$B$24,0))),"N/A")</f>
        <v/>
      </c>
      <c r="P46" s="53">
        <f>IFERROR(IF(INDEX('ESG'!$Q$10:$Q$17,MATCH($F46,'ESG'!$B$10:$B$17,0))="","Cell will autofill based on response",INDEX('ESG'!$Q$10:$Q$17,MATCH($F46,'ESG'!$B$10:$B$17,0))),"N/A")</f>
        <v/>
      </c>
      <c r="Q46" s="53">
        <f>IFERROR(IF(INDEX('CIOG'!$Q$10:$Q$14,MATCH($F46,'CIOG'!$B$10:$B$14,0))="","Cell will autofill based on response",INDEX('CIOG'!$Q$10:$Q$14,MATCH($F46,'CIOG'!$B$10:$B$14,0))),"N/A")</f>
        <v/>
      </c>
      <c r="R46" s="53">
        <f>IFERROR(IF(INDEX('MRE'!$Q$10:$Q$18,MATCH($F46,'MRE'!$B$10:$B$18,0))="","Cell will autofill based on response",INDEX('MRE'!$Q$10:$Q$18,MATCH($F46,'MRE'!$B$10:$B$18,0))),"N/A")</f>
        <v/>
      </c>
      <c r="S46" s="53">
        <f>IFERROR(IF(INDEX('AC&amp;M'!$Q$10:$Q$14,MATCH($F46,'AC&amp;M'!$B$10:$B$14,0))="","Cell will autofill based on response",INDEX('AC&amp;M'!$Q$10:$Q$14,MATCH($F46,'AC&amp;M'!$B$10:$B$14,0))),"N/A")</f>
        <v/>
      </c>
      <c r="T46" s="53">
        <f>IFERROR(IF(INDEX('GCE'!$Q$10:$Q$12,MATCH($F46,'GCE'!$B$10:$B$12,0))="","Cell will autofill based on response",INDEX('GCE'!$Q$10:$Q$12,MATCH($F46,'GCE'!$B$10:$B$12,0))),"N/A")</f>
        <v/>
      </c>
      <c r="U46" s="53">
        <f>IFERROR(IF(INDEX('Education'!$Q$10:$Q$13,MATCH($F46,'Education'!$B$10:$B$13,0))="","Cell will autofill based on response",INDEX('Education'!$Q$10:$Q$13,MATCH($F46,'Education'!$B$10:$B$13,0))),"N/A")</f>
        <v/>
      </c>
      <c r="V46" s="53">
        <f>IFERROR(IF(INDEX('SaSS'!$Q$10:$Q$12,MATCH($F46,'SaSS'!$B$10:$B$12,0))="","Cell will autofill based on response",INDEX('SaSS'!$Q$10:$Q$12,MATCH($F46,'SaSS'!$B$10:$B$12,0))),"N/A")</f>
        <v/>
      </c>
      <c r="W46" s="53">
        <f>IFERROR(IF(INDEX('Indigenous'!$Q$10:$Q$11,MATCH($F46,'Indigenous'!$B$10:$B$11,0))="","Cell will autofill based on response",INDEX('Indigenous'!$Q$10:$Q$11,MATCH($F46,'Indigenous'!$B$10:$B$11,0))),"N/A")</f>
        <v/>
      </c>
      <c r="X46" s="53">
        <f>IFERROR(IF(INDEX('L&amp;R'!$Q$10:$Q$11,MATCH($F46,'L&amp;R'!$B$10:$B$11,0))="","Cell will autofill based on response",INDEX('L&amp;R'!$Q$10:$Q$11,MATCH($F46,'L&amp;R'!$B$10:$B$11,0))),"N/A")</f>
        <v/>
      </c>
    </row>
    <row r="47">
      <c r="A47">
        <f>F47&amp;"|"&amp;G47</f>
        <v/>
      </c>
      <c r="B47" s="7" t="inlineStr">
        <is>
          <t>TR1(c)</t>
        </is>
      </c>
      <c r="C47" s="51" t="inlineStr">
        <is>
          <t>Transformational research</t>
        </is>
      </c>
      <c r="D47" s="51" t="inlineStr">
        <is>
          <t>Expert assessment of the quality, relevance and continuity of these collaborations</t>
        </is>
      </c>
      <c r="E47" s="51" t="inlineStr">
        <is>
          <t>Please provide an assessment of the quality, relevance and continuity of sustainability-related collaborations involving your Faculty/Portfolio, could include evidence of whether collaborations are sustained, useful to operational priorities and producing relevant outcomes.</t>
        </is>
      </c>
      <c r="F47" s="51" t="inlineStr">
        <is>
          <t>TR1(c)</t>
        </is>
      </c>
      <c r="G47" s="51" t="inlineStr">
        <is>
          <t>Confirm end-2026 target status</t>
        </is>
      </c>
      <c r="H47" s="53">
        <f>IFERROR(IF(INDEX('Faculties'!$L$10:$L$19,MATCH($F47,'Faculties'!$B$10:$B$19,0))="","Cell will autofill based on response",INDEX('Faculties'!$L$10:$L$19,MATCH($F47,'Faculties'!$B$10:$B$19,0))),"N/A")</f>
        <v/>
      </c>
      <c r="I47" s="53">
        <f>IFERROR(IF(INDEX('Faculties'!$L$26:$L$35,MATCH($F47,'Faculties'!$B$26:$B$35,0))="","Cell will autofill based on response",INDEX('Faculties'!$L$26:$L$35,MATCH($F47,'Faculties'!$B$26:$B$35,0))),"N/A")</f>
        <v/>
      </c>
      <c r="J47" s="53">
        <f>IFERROR(IF(INDEX('Faculties'!$L$42:$L$51,MATCH($F47,'Faculties'!$B$42:$B$51,0))="","Cell will autofill based on response",INDEX('Faculties'!$L$42:$L$51,MATCH($F47,'Faculties'!$B$42:$B$51,0))),"N/A")</f>
        <v/>
      </c>
      <c r="K47" s="53">
        <f>IFERROR(IF(INDEX('Faculties'!$L$58:$L$67,MATCH($F47,'Faculties'!$B$58:$B$67,0))="","Cell will autofill based on response",INDEX('Faculties'!$L$58:$L$67,MATCH($F47,'Faculties'!$B$58:$B$67,0))),"N/A")</f>
        <v/>
      </c>
      <c r="L47" s="53">
        <f>IFERROR(IF(INDEX('CI&amp;S'!$L$10:$L$15,MATCH($F47,'CI&amp;S'!$B$10:$B$15,0))="","Cell will autofill based on response",INDEX('CI&amp;S'!$L$10:$L$15,MATCH($F47,'CI&amp;S'!$B$10:$B$15,0))),"N/A")</f>
        <v/>
      </c>
      <c r="M47" s="53">
        <f>IFERROR(IF(INDEX('CI&amp;S'!$L$22:$L$36,MATCH($F47,'CI&amp;S'!$B$22:$B$36,0))="","Cell will autofill based on response",INDEX('CI&amp;S'!$L$22:$L$36,MATCH($F47,'CI&amp;S'!$B$22:$B$36,0))),"N/A")</f>
        <v/>
      </c>
      <c r="N47" s="53">
        <f>IFERROR(IF(INDEX('CFOG'!$L$10:$L$16,MATCH($F47,'CFOG'!$B$10:$B$16,0))="","Cell will autofill based on response",INDEX('CFOG'!$L$10:$L$16,MATCH($F47,'CFOG'!$B$10:$B$16,0))),"N/A")</f>
        <v/>
      </c>
      <c r="O47" s="53">
        <f>IFERROR(IF(INDEX('CFOG'!$L$23:$L$24,MATCH($F47,'CFOG'!$B$23:$B$24,0))="","Cell will autofill based on response",INDEX('CFOG'!$L$23:$L$24,MATCH($F47,'CFOG'!$B$23:$B$24,0))),"N/A")</f>
        <v/>
      </c>
      <c r="P47" s="53">
        <f>IFERROR(IF(INDEX('ESG'!$L$10:$L$17,MATCH($F47,'ESG'!$B$10:$B$17,0))="","Cell will autofill based on response",INDEX('ESG'!$L$10:$L$17,MATCH($F47,'ESG'!$B$10:$B$17,0))),"N/A")</f>
        <v/>
      </c>
      <c r="Q47" s="53">
        <f>IFERROR(IF(INDEX('CIOG'!$L$10:$L$14,MATCH($F47,'CIOG'!$B$10:$B$14,0))="","Cell will autofill based on response",INDEX('CIOG'!$L$10:$L$14,MATCH($F47,'CIOG'!$B$10:$B$14,0))),"N/A")</f>
        <v/>
      </c>
      <c r="R47" s="53">
        <f>IFERROR(IF(INDEX('MRE'!$L$10:$L$18,MATCH($F47,'MRE'!$B$10:$B$18,0))="","Cell will autofill based on response",INDEX('MRE'!$L$10:$L$18,MATCH($F47,'MRE'!$B$10:$B$18,0))),"N/A")</f>
        <v/>
      </c>
      <c r="S47" s="53">
        <f>IFERROR(IF(INDEX('AC&amp;M'!$L$10:$L$14,MATCH($F47,'AC&amp;M'!$B$10:$B$14,0))="","Cell will autofill based on response",INDEX('AC&amp;M'!$L$10:$L$14,MATCH($F47,'AC&amp;M'!$B$10:$B$14,0))),"N/A")</f>
        <v/>
      </c>
      <c r="T47" s="53">
        <f>IFERROR(IF(INDEX('GCE'!$L$10:$L$12,MATCH($F47,'GCE'!$B$10:$B$12,0))="","Cell will autofill based on response",INDEX('GCE'!$L$10:$L$12,MATCH($F47,'GCE'!$B$10:$B$12,0))),"N/A")</f>
        <v/>
      </c>
      <c r="U47" s="53">
        <f>IFERROR(IF(INDEX('Education'!$L$10:$L$13,MATCH($F47,'Education'!$B$10:$B$13,0))="","Cell will autofill based on response",INDEX('Education'!$L$10:$L$13,MATCH($F47,'Education'!$B$10:$B$13,0))),"N/A")</f>
        <v/>
      </c>
      <c r="V47" s="53">
        <f>IFERROR(IF(INDEX('SaSS'!$L$10:$L$12,MATCH($F47,'SaSS'!$B$10:$B$12,0))="","Cell will autofill based on response",INDEX('SaSS'!$L$10:$L$12,MATCH($F47,'SaSS'!$B$10:$B$12,0))),"N/A")</f>
        <v/>
      </c>
      <c r="W47" s="53">
        <f>IFERROR(IF(INDEX('Indigenous'!$L$10:$L$11,MATCH($F47,'Indigenous'!$B$10:$B$11,0))="","Cell will autofill based on response",INDEX('Indigenous'!$L$10:$L$11,MATCH($F47,'Indigenous'!$B$10:$B$11,0))),"N/A")</f>
        <v/>
      </c>
      <c r="X47" s="53">
        <f>IFERROR(IF(INDEX('L&amp;R'!$L$10:$L$11,MATCH($F47,'L&amp;R'!$B$10:$B$11,0))="","Cell will autofill based on response",INDEX('L&amp;R'!$L$10:$L$11,MATCH($F47,'L&amp;R'!$B$10:$B$11,0))),"N/A")</f>
        <v/>
      </c>
      <c r="Z47" s="10">
        <f>COUNTIF($H47:$X47,"Cell will autofill based on response")</f>
        <v/>
      </c>
      <c r="AA47" s="10">
        <f>COUNTIF($H47:$X47,"Not yet started")</f>
        <v/>
      </c>
      <c r="AB47" s="10">
        <f>COUNTIF($H47:$X47,"Not met")</f>
        <v/>
      </c>
      <c r="AC47" s="10">
        <f>COUNTIF($H47:$X47,"Partially met")</f>
        <v/>
      </c>
      <c r="AD47" s="10">
        <f>COUNTIF($H47:$X47,"Met or exceeded")</f>
        <v/>
      </c>
      <c r="AE47" s="10">
        <f>3*AD47+2*AC47+AB47</f>
        <v/>
      </c>
      <c r="AF47" s="10">
        <f>AD47+AC47+AB47+AA47</f>
        <v/>
      </c>
      <c r="AG47" s="54">
        <f>IF(AF47&gt;0,AE47/AF47,"No valid responses to date")</f>
        <v/>
      </c>
      <c r="AH47" s="10">
        <f>IF(ISNUMBER(AG47),INDEX(Lists!$G$2:$G$5,MATCH(ROUND(AG47,0),Lists!$H$2:$H$5,0)),"")</f>
        <v/>
      </c>
      <c r="AI47" s="55">
        <f>IF(AF47&gt;0,AD47/AF47,"")</f>
        <v/>
      </c>
      <c r="AJ47" s="55">
        <f>IF(AF47&gt;0,(AD47+AC47)/AF47,"")</f>
        <v/>
      </c>
      <c r="AK47" s="10">
        <f>IF(AF47=0,"",IF(AI47&gt;0.75,"Met or exceeded",IF(AJ47&gt;=0.5,"Partially met","Not met")))</f>
        <v/>
      </c>
    </row>
    <row r="48">
      <c r="A48">
        <f>F48&amp;"|"&amp;G48</f>
        <v/>
      </c>
      <c r="B48" s="13" t="inlineStr"/>
      <c r="C48" s="8" t="inlineStr"/>
      <c r="D48" s="8" t="inlineStr"/>
      <c r="E48" s="8" t="inlineStr"/>
      <c r="F48" s="8" t="inlineStr">
        <is>
          <t>TR1(c)</t>
        </is>
      </c>
      <c r="G48" s="8" t="inlineStr">
        <is>
          <t>OPTION 1:  Target-level reporting</t>
        </is>
      </c>
      <c r="H48" s="53">
        <f>IFERROR(IF(INDEX('Faculties'!$M$10:$M$19,MATCH($F48,'Faculties'!$B$10:$B$19,0))="","Cell will autofill based on response",INDEX('Faculties'!$M$10:$M$19,MATCH($F48,'Faculties'!$B$10:$B$19,0))),"N/A")</f>
        <v/>
      </c>
      <c r="I48" s="53">
        <f>IFERROR(IF(INDEX('Faculties'!$M$26:$M$35,MATCH($F48,'Faculties'!$B$26:$B$35,0))="","Cell will autofill based on response",INDEX('Faculties'!$M$26:$M$35,MATCH($F48,'Faculties'!$B$26:$B$35,0))),"N/A")</f>
        <v/>
      </c>
      <c r="J48" s="53">
        <f>IFERROR(IF(INDEX('Faculties'!$M$42:$M$51,MATCH($F48,'Faculties'!$B$42:$B$51,0))="","Cell will autofill based on response",INDEX('Faculties'!$M$42:$M$51,MATCH($F48,'Faculties'!$B$42:$B$51,0))),"N/A")</f>
        <v/>
      </c>
      <c r="K48" s="53">
        <f>IFERROR(IF(INDEX('Faculties'!$M$58:$M$67,MATCH($F48,'Faculties'!$B$58:$B$67,0))="","Cell will autofill based on response",INDEX('Faculties'!$M$58:$M$67,MATCH($F48,'Faculties'!$B$58:$B$67,0))),"N/A")</f>
        <v/>
      </c>
      <c r="L48" s="53">
        <f>IFERROR(IF(INDEX('CI&amp;S'!$M$10:$M$15,MATCH($F48,'CI&amp;S'!$B$10:$B$15,0))="","Cell will autofill based on response",INDEX('CI&amp;S'!$M$10:$M$15,MATCH($F48,'CI&amp;S'!$B$10:$B$15,0))),"N/A")</f>
        <v/>
      </c>
      <c r="M48" s="53">
        <f>IFERROR(IF(INDEX('CI&amp;S'!$M$22:$M$36,MATCH($F48,'CI&amp;S'!$B$22:$B$36,0))="","Cell will autofill based on response",INDEX('CI&amp;S'!$M$22:$M$36,MATCH($F48,'CI&amp;S'!$B$22:$B$36,0))),"N/A")</f>
        <v/>
      </c>
      <c r="N48" s="53">
        <f>IFERROR(IF(INDEX('CFOG'!$M$10:$M$16,MATCH($F48,'CFOG'!$B$10:$B$16,0))="","Cell will autofill based on response",INDEX('CFOG'!$M$10:$M$16,MATCH($F48,'CFOG'!$B$10:$B$16,0))),"N/A")</f>
        <v/>
      </c>
      <c r="O48" s="53">
        <f>IFERROR(IF(INDEX('CFOG'!$M$23:$M$24,MATCH($F48,'CFOG'!$B$23:$B$24,0))="","Cell will autofill based on response",INDEX('CFOG'!$M$23:$M$24,MATCH($F48,'CFOG'!$B$23:$B$24,0))),"N/A")</f>
        <v/>
      </c>
      <c r="P48" s="53">
        <f>IFERROR(IF(INDEX('ESG'!$M$10:$M$17,MATCH($F48,'ESG'!$B$10:$B$17,0))="","Cell will autofill based on response",INDEX('ESG'!$M$10:$M$17,MATCH($F48,'ESG'!$B$10:$B$17,0))),"N/A")</f>
        <v/>
      </c>
      <c r="Q48" s="53">
        <f>IFERROR(IF(INDEX('CIOG'!$M$10:$M$14,MATCH($F48,'CIOG'!$B$10:$B$14,0))="","Cell will autofill based on response",INDEX('CIOG'!$M$10:$M$14,MATCH($F48,'CIOG'!$B$10:$B$14,0))),"N/A")</f>
        <v/>
      </c>
      <c r="R48" s="53">
        <f>IFERROR(IF(INDEX('MRE'!$M$10:$M$18,MATCH($F48,'MRE'!$B$10:$B$18,0))="","Cell will autofill based on response",INDEX('MRE'!$M$10:$M$18,MATCH($F48,'MRE'!$B$10:$B$18,0))),"N/A")</f>
        <v/>
      </c>
      <c r="S48" s="53">
        <f>IFERROR(IF(INDEX('AC&amp;M'!$M$10:$M$14,MATCH($F48,'AC&amp;M'!$B$10:$B$14,0))="","Cell will autofill based on response",INDEX('AC&amp;M'!$M$10:$M$14,MATCH($F48,'AC&amp;M'!$B$10:$B$14,0))),"N/A")</f>
        <v/>
      </c>
      <c r="T48" s="53">
        <f>IFERROR(IF(INDEX('GCE'!$M$10:$M$12,MATCH($F48,'GCE'!$B$10:$B$12,0))="","Cell will autofill based on response",INDEX('GCE'!$M$10:$M$12,MATCH($F48,'GCE'!$B$10:$B$12,0))),"N/A")</f>
        <v/>
      </c>
      <c r="U48" s="53">
        <f>IFERROR(IF(INDEX('Education'!$M$10:$M$13,MATCH($F48,'Education'!$B$10:$B$13,0))="","Cell will autofill based on response",INDEX('Education'!$M$10:$M$13,MATCH($F48,'Education'!$B$10:$B$13,0))),"N/A")</f>
        <v/>
      </c>
      <c r="V48" s="53">
        <f>IFERROR(IF(INDEX('SaSS'!$M$10:$M$12,MATCH($F48,'SaSS'!$B$10:$B$12,0))="","Cell will autofill based on response",INDEX('SaSS'!$M$10:$M$12,MATCH($F48,'SaSS'!$B$10:$B$12,0))),"N/A")</f>
        <v/>
      </c>
      <c r="W48" s="53">
        <f>IFERROR(IF(INDEX('Indigenous'!$M$10:$M$11,MATCH($F48,'Indigenous'!$B$10:$B$11,0))="","Cell will autofill based on response",INDEX('Indigenous'!$M$10:$M$11,MATCH($F48,'Indigenous'!$B$10:$B$11,0))),"N/A")</f>
        <v/>
      </c>
      <c r="X48" s="53">
        <f>IFERROR(IF(INDEX('L&amp;R'!$M$10:$M$11,MATCH($F48,'L&amp;R'!$B$10:$B$11,0))="","Cell will autofill based on response",INDEX('L&amp;R'!$M$10:$M$11,MATCH($F48,'L&amp;R'!$B$10:$B$11,0))),"N/A")</f>
        <v/>
      </c>
    </row>
    <row r="49">
      <c r="A49">
        <f>F49&amp;"|"&amp;G49</f>
        <v/>
      </c>
      <c r="B49" s="13" t="inlineStr"/>
      <c r="C49" s="8" t="inlineStr"/>
      <c r="D49" s="8" t="inlineStr"/>
      <c r="E49" s="8" t="inlineStr"/>
      <c r="F49" s="8" t="inlineStr">
        <is>
          <t>TR1(c)</t>
        </is>
      </c>
      <c r="G49" s="8" t="inlineStr">
        <is>
          <t>OPTION 2:  Indicator level reporting</t>
        </is>
      </c>
      <c r="H49" s="53">
        <f>IFERROR(IF(INDEX('Faculties'!$N$10:$N$19,MATCH($F49,'Faculties'!$B$10:$B$19,0))="","Cell will autofill based on response",INDEX('Faculties'!$N$10:$N$19,MATCH($F49,'Faculties'!$B$10:$B$19,0))),"N/A")</f>
        <v/>
      </c>
      <c r="I49" s="53">
        <f>IFERROR(IF(INDEX('Faculties'!$N$26:$N$35,MATCH($F49,'Faculties'!$B$26:$B$35,0))="","Cell will autofill based on response",INDEX('Faculties'!$N$26:$N$35,MATCH($F49,'Faculties'!$B$26:$B$35,0))),"N/A")</f>
        <v/>
      </c>
      <c r="J49" s="53">
        <f>IFERROR(IF(INDEX('Faculties'!$N$42:$N$51,MATCH($F49,'Faculties'!$B$42:$B$51,0))="","Cell will autofill based on response",INDEX('Faculties'!$N$42:$N$51,MATCH($F49,'Faculties'!$B$42:$B$51,0))),"N/A")</f>
        <v/>
      </c>
      <c r="K49" s="53">
        <f>IFERROR(IF(INDEX('Faculties'!$N$58:$N$67,MATCH($F49,'Faculties'!$B$58:$B$67,0))="","Cell will autofill based on response",INDEX('Faculties'!$N$58:$N$67,MATCH($F49,'Faculties'!$B$58:$B$67,0))),"N/A")</f>
        <v/>
      </c>
      <c r="L49" s="53">
        <f>IFERROR(IF(INDEX('CI&amp;S'!$N$10:$N$15,MATCH($F49,'CI&amp;S'!$B$10:$B$15,0))="","Cell will autofill based on response",INDEX('CI&amp;S'!$N$10:$N$15,MATCH($F49,'CI&amp;S'!$B$10:$B$15,0))),"N/A")</f>
        <v/>
      </c>
      <c r="M49" s="53">
        <f>IFERROR(IF(INDEX('CI&amp;S'!$N$22:$N$36,MATCH($F49,'CI&amp;S'!$B$22:$B$36,0))="","Cell will autofill based on response",INDEX('CI&amp;S'!$N$22:$N$36,MATCH($F49,'CI&amp;S'!$B$22:$B$36,0))),"N/A")</f>
        <v/>
      </c>
      <c r="N49" s="53">
        <f>IFERROR(IF(INDEX('CFOG'!$N$10:$N$16,MATCH($F49,'CFOG'!$B$10:$B$16,0))="","Cell will autofill based on response",INDEX('CFOG'!$N$10:$N$16,MATCH($F49,'CFOG'!$B$10:$B$16,0))),"N/A")</f>
        <v/>
      </c>
      <c r="O49" s="53">
        <f>IFERROR(IF(INDEX('CFOG'!$N$23:$N$24,MATCH($F49,'CFOG'!$B$23:$B$24,0))="","Cell will autofill based on response",INDEX('CFOG'!$N$23:$N$24,MATCH($F49,'CFOG'!$B$23:$B$24,0))),"N/A")</f>
        <v/>
      </c>
      <c r="P49" s="53">
        <f>IFERROR(IF(INDEX('ESG'!$N$10:$N$17,MATCH($F49,'ESG'!$B$10:$B$17,0))="","Cell will autofill based on response",INDEX('ESG'!$N$10:$N$17,MATCH($F49,'ESG'!$B$10:$B$17,0))),"N/A")</f>
        <v/>
      </c>
      <c r="Q49" s="53">
        <f>IFERROR(IF(INDEX('CIOG'!$N$10:$N$14,MATCH($F49,'CIOG'!$B$10:$B$14,0))="","Cell will autofill based on response",INDEX('CIOG'!$N$10:$N$14,MATCH($F49,'CIOG'!$B$10:$B$14,0))),"N/A")</f>
        <v/>
      </c>
      <c r="R49" s="53">
        <f>IFERROR(IF(INDEX('MRE'!$N$10:$N$18,MATCH($F49,'MRE'!$B$10:$B$18,0))="","Cell will autofill based on response",INDEX('MRE'!$N$10:$N$18,MATCH($F49,'MRE'!$B$10:$B$18,0))),"N/A")</f>
        <v/>
      </c>
      <c r="S49" s="53">
        <f>IFERROR(IF(INDEX('AC&amp;M'!$N$10:$N$14,MATCH($F49,'AC&amp;M'!$B$10:$B$14,0))="","Cell will autofill based on response",INDEX('AC&amp;M'!$N$10:$N$14,MATCH($F49,'AC&amp;M'!$B$10:$B$14,0))),"N/A")</f>
        <v/>
      </c>
      <c r="T49" s="53">
        <f>IFERROR(IF(INDEX('GCE'!$N$10:$N$12,MATCH($F49,'GCE'!$B$10:$B$12,0))="","Cell will autofill based on response",INDEX('GCE'!$N$10:$N$12,MATCH($F49,'GCE'!$B$10:$B$12,0))),"N/A")</f>
        <v/>
      </c>
      <c r="U49" s="53">
        <f>IFERROR(IF(INDEX('Education'!$N$10:$N$13,MATCH($F49,'Education'!$B$10:$B$13,0))="","Cell will autofill based on response",INDEX('Education'!$N$10:$N$13,MATCH($F49,'Education'!$B$10:$B$13,0))),"N/A")</f>
        <v/>
      </c>
      <c r="V49" s="53">
        <f>IFERROR(IF(INDEX('SaSS'!$N$10:$N$12,MATCH($F49,'SaSS'!$B$10:$B$12,0))="","Cell will autofill based on response",INDEX('SaSS'!$N$10:$N$12,MATCH($F49,'SaSS'!$B$10:$B$12,0))),"N/A")</f>
        <v/>
      </c>
      <c r="W49" s="53">
        <f>IFERROR(IF(INDEX('Indigenous'!$N$10:$N$11,MATCH($F49,'Indigenous'!$B$10:$B$11,0))="","Cell will autofill based on response",INDEX('Indigenous'!$N$10:$N$11,MATCH($F49,'Indigenous'!$B$10:$B$11,0))),"N/A")</f>
        <v/>
      </c>
      <c r="X49" s="53">
        <f>IFERROR(IF(INDEX('L&amp;R'!$N$10:$N$11,MATCH($F49,'L&amp;R'!$B$10:$B$11,0))="","Cell will autofill based on response",INDEX('L&amp;R'!$N$10:$N$11,MATCH($F49,'L&amp;R'!$B$10:$B$11,0))),"N/A")</f>
        <v/>
      </c>
    </row>
    <row r="50">
      <c r="A50">
        <f>F50&amp;"|"&amp;G50</f>
        <v/>
      </c>
      <c r="B50" s="13" t="inlineStr"/>
      <c r="C50" s="8" t="inlineStr"/>
      <c r="D50" s="8" t="inlineStr"/>
      <c r="E50" s="8" t="inlineStr"/>
      <c r="F50" s="8" t="inlineStr">
        <is>
          <t>TR1(c)</t>
        </is>
      </c>
      <c r="G50" s="8" t="inlineStr">
        <is>
          <t>Supporting information/comments</t>
        </is>
      </c>
      <c r="H50" s="53">
        <f>IFERROR(IF(INDEX('Faculties'!$O$10:$O$19,MATCH($F50,'Faculties'!$B$10:$B$19,0))="","Cell will autofill based on response",INDEX('Faculties'!$O$10:$O$19,MATCH($F50,'Faculties'!$B$10:$B$19,0))),"N/A")</f>
        <v/>
      </c>
      <c r="I50" s="53">
        <f>IFERROR(IF(INDEX('Faculties'!$O$26:$O$35,MATCH($F50,'Faculties'!$B$26:$B$35,0))="","Cell will autofill based on response",INDEX('Faculties'!$O$26:$O$35,MATCH($F50,'Faculties'!$B$26:$B$35,0))),"N/A")</f>
        <v/>
      </c>
      <c r="J50" s="53">
        <f>IFERROR(IF(INDEX('Faculties'!$O$42:$O$51,MATCH($F50,'Faculties'!$B$42:$B$51,0))="","Cell will autofill based on response",INDEX('Faculties'!$O$42:$O$51,MATCH($F50,'Faculties'!$B$42:$B$51,0))),"N/A")</f>
        <v/>
      </c>
      <c r="K50" s="53">
        <f>IFERROR(IF(INDEX('Faculties'!$O$58:$O$67,MATCH($F50,'Faculties'!$B$58:$B$67,0))="","Cell will autofill based on response",INDEX('Faculties'!$O$58:$O$67,MATCH($F50,'Faculties'!$B$58:$B$67,0))),"N/A")</f>
        <v/>
      </c>
      <c r="L50" s="53">
        <f>IFERROR(IF(INDEX('CI&amp;S'!$O$10:$O$15,MATCH($F50,'CI&amp;S'!$B$10:$B$15,0))="","Cell will autofill based on response",INDEX('CI&amp;S'!$O$10:$O$15,MATCH($F50,'CI&amp;S'!$B$10:$B$15,0))),"N/A")</f>
        <v/>
      </c>
      <c r="M50" s="53">
        <f>IFERROR(IF(INDEX('CI&amp;S'!$O$22:$O$36,MATCH($F50,'CI&amp;S'!$B$22:$B$36,0))="","Cell will autofill based on response",INDEX('CI&amp;S'!$O$22:$O$36,MATCH($F50,'CI&amp;S'!$B$22:$B$36,0))),"N/A")</f>
        <v/>
      </c>
      <c r="N50" s="53">
        <f>IFERROR(IF(INDEX('CFOG'!$O$10:$O$16,MATCH($F50,'CFOG'!$B$10:$B$16,0))="","Cell will autofill based on response",INDEX('CFOG'!$O$10:$O$16,MATCH($F50,'CFOG'!$B$10:$B$16,0))),"N/A")</f>
        <v/>
      </c>
      <c r="O50" s="53">
        <f>IFERROR(IF(INDEX('CFOG'!$O$23:$O$24,MATCH($F50,'CFOG'!$B$23:$B$24,0))="","Cell will autofill based on response",INDEX('CFOG'!$O$23:$O$24,MATCH($F50,'CFOG'!$B$23:$B$24,0))),"N/A")</f>
        <v/>
      </c>
      <c r="P50" s="53">
        <f>IFERROR(IF(INDEX('ESG'!$O$10:$O$17,MATCH($F50,'ESG'!$B$10:$B$17,0))="","Cell will autofill based on response",INDEX('ESG'!$O$10:$O$17,MATCH($F50,'ESG'!$B$10:$B$17,0))),"N/A")</f>
        <v/>
      </c>
      <c r="Q50" s="53">
        <f>IFERROR(IF(INDEX('CIOG'!$O$10:$O$14,MATCH($F50,'CIOG'!$B$10:$B$14,0))="","Cell will autofill based on response",INDEX('CIOG'!$O$10:$O$14,MATCH($F50,'CIOG'!$B$10:$B$14,0))),"N/A")</f>
        <v/>
      </c>
      <c r="R50" s="53">
        <f>IFERROR(IF(INDEX('MRE'!$O$10:$O$18,MATCH($F50,'MRE'!$B$10:$B$18,0))="","Cell will autofill based on response",INDEX('MRE'!$O$10:$O$18,MATCH($F50,'MRE'!$B$10:$B$18,0))),"N/A")</f>
        <v/>
      </c>
      <c r="S50" s="53">
        <f>IFERROR(IF(INDEX('AC&amp;M'!$O$10:$O$14,MATCH($F50,'AC&amp;M'!$B$10:$B$14,0))="","Cell will autofill based on response",INDEX('AC&amp;M'!$O$10:$O$14,MATCH($F50,'AC&amp;M'!$B$10:$B$14,0))),"N/A")</f>
        <v/>
      </c>
      <c r="T50" s="53">
        <f>IFERROR(IF(INDEX('GCE'!$O$10:$O$12,MATCH($F50,'GCE'!$B$10:$B$12,0))="","Cell will autofill based on response",INDEX('GCE'!$O$10:$O$12,MATCH($F50,'GCE'!$B$10:$B$12,0))),"N/A")</f>
        <v/>
      </c>
      <c r="U50" s="53">
        <f>IFERROR(IF(INDEX('Education'!$O$10:$O$13,MATCH($F50,'Education'!$B$10:$B$13,0))="","Cell will autofill based on response",INDEX('Education'!$O$10:$O$13,MATCH($F50,'Education'!$B$10:$B$13,0))),"N/A")</f>
        <v/>
      </c>
      <c r="V50" s="53">
        <f>IFERROR(IF(INDEX('SaSS'!$O$10:$O$12,MATCH($F50,'SaSS'!$B$10:$B$12,0))="","Cell will autofill based on response",INDEX('SaSS'!$O$10:$O$12,MATCH($F50,'SaSS'!$B$10:$B$12,0))),"N/A")</f>
        <v/>
      </c>
      <c r="W50" s="53">
        <f>IFERROR(IF(INDEX('Indigenous'!$O$10:$O$11,MATCH($F50,'Indigenous'!$B$10:$B$11,0))="","Cell will autofill based on response",INDEX('Indigenous'!$O$10:$O$11,MATCH($F50,'Indigenous'!$B$10:$B$11,0))),"N/A")</f>
        <v/>
      </c>
      <c r="X50" s="53">
        <f>IFERROR(IF(INDEX('L&amp;R'!$O$10:$O$11,MATCH($F50,'L&amp;R'!$B$10:$B$11,0))="","Cell will autofill based on response",INDEX('L&amp;R'!$O$10:$O$11,MATCH($F50,'L&amp;R'!$B$10:$B$11,0))),"N/A")</f>
        <v/>
      </c>
    </row>
    <row r="51">
      <c r="A51">
        <f>F51&amp;"|"&amp;G51</f>
        <v/>
      </c>
      <c r="B51" s="13" t="inlineStr"/>
      <c r="C51" s="8" t="inlineStr"/>
      <c r="D51" s="8" t="inlineStr"/>
      <c r="E51" s="8" t="inlineStr"/>
      <c r="F51" s="8" t="inlineStr">
        <is>
          <t>TR1(c)</t>
        </is>
      </c>
      <c r="G51" s="8" t="inlineStr">
        <is>
          <t>Data source and limitations</t>
        </is>
      </c>
      <c r="H51" s="53">
        <f>IFERROR(IF(INDEX('Faculties'!$P$10:$P$19,MATCH($F51,'Faculties'!$B$10:$B$19,0))="","Cell will autofill based on response",INDEX('Faculties'!$P$10:$P$19,MATCH($F51,'Faculties'!$B$10:$B$19,0))),"N/A")</f>
        <v/>
      </c>
      <c r="I51" s="53">
        <f>IFERROR(IF(INDEX('Faculties'!$P$26:$P$35,MATCH($F51,'Faculties'!$B$26:$B$35,0))="","Cell will autofill based on response",INDEX('Faculties'!$P$26:$P$35,MATCH($F51,'Faculties'!$B$26:$B$35,0))),"N/A")</f>
        <v/>
      </c>
      <c r="J51" s="53">
        <f>IFERROR(IF(INDEX('Faculties'!$P$42:$P$51,MATCH($F51,'Faculties'!$B$42:$B$51,0))="","Cell will autofill based on response",INDEX('Faculties'!$P$42:$P$51,MATCH($F51,'Faculties'!$B$42:$B$51,0))),"N/A")</f>
        <v/>
      </c>
      <c r="K51" s="53">
        <f>IFERROR(IF(INDEX('Faculties'!$P$58:$P$67,MATCH($F51,'Faculties'!$B$58:$B$67,0))="","Cell will autofill based on response",INDEX('Faculties'!$P$58:$P$67,MATCH($F51,'Faculties'!$B$58:$B$67,0))),"N/A")</f>
        <v/>
      </c>
      <c r="L51" s="53">
        <f>IFERROR(IF(INDEX('CI&amp;S'!$P$10:$P$15,MATCH($F51,'CI&amp;S'!$B$10:$B$15,0))="","Cell will autofill based on response",INDEX('CI&amp;S'!$P$10:$P$15,MATCH($F51,'CI&amp;S'!$B$10:$B$15,0))),"N/A")</f>
        <v/>
      </c>
      <c r="M51" s="53">
        <f>IFERROR(IF(INDEX('CI&amp;S'!$P$22:$P$36,MATCH($F51,'CI&amp;S'!$B$22:$B$36,0))="","Cell will autofill based on response",INDEX('CI&amp;S'!$P$22:$P$36,MATCH($F51,'CI&amp;S'!$B$22:$B$36,0))),"N/A")</f>
        <v/>
      </c>
      <c r="N51" s="53">
        <f>IFERROR(IF(INDEX('CFOG'!$P$10:$P$16,MATCH($F51,'CFOG'!$B$10:$B$16,0))="","Cell will autofill based on response",INDEX('CFOG'!$P$10:$P$16,MATCH($F51,'CFOG'!$B$10:$B$16,0))),"N/A")</f>
        <v/>
      </c>
      <c r="O51" s="53">
        <f>IFERROR(IF(INDEX('CFOG'!$P$23:$P$24,MATCH($F51,'CFOG'!$B$23:$B$24,0))="","Cell will autofill based on response",INDEX('CFOG'!$P$23:$P$24,MATCH($F51,'CFOG'!$B$23:$B$24,0))),"N/A")</f>
        <v/>
      </c>
      <c r="P51" s="53">
        <f>IFERROR(IF(INDEX('ESG'!$P$10:$P$17,MATCH($F51,'ESG'!$B$10:$B$17,0))="","Cell will autofill based on response",INDEX('ESG'!$P$10:$P$17,MATCH($F51,'ESG'!$B$10:$B$17,0))),"N/A")</f>
        <v/>
      </c>
      <c r="Q51" s="53">
        <f>IFERROR(IF(INDEX('CIOG'!$P$10:$P$14,MATCH($F51,'CIOG'!$B$10:$B$14,0))="","Cell will autofill based on response",INDEX('CIOG'!$P$10:$P$14,MATCH($F51,'CIOG'!$B$10:$B$14,0))),"N/A")</f>
        <v/>
      </c>
      <c r="R51" s="53">
        <f>IFERROR(IF(INDEX('MRE'!$P$10:$P$18,MATCH($F51,'MRE'!$B$10:$B$18,0))="","Cell will autofill based on response",INDEX('MRE'!$P$10:$P$18,MATCH($F51,'MRE'!$B$10:$B$18,0))),"N/A")</f>
        <v/>
      </c>
      <c r="S51" s="53">
        <f>IFERROR(IF(INDEX('AC&amp;M'!$P$10:$P$14,MATCH($F51,'AC&amp;M'!$B$10:$B$14,0))="","Cell will autofill based on response",INDEX('AC&amp;M'!$P$10:$P$14,MATCH($F51,'AC&amp;M'!$B$10:$B$14,0))),"N/A")</f>
        <v/>
      </c>
      <c r="T51" s="53">
        <f>IFERROR(IF(INDEX('GCE'!$P$10:$P$12,MATCH($F51,'GCE'!$B$10:$B$12,0))="","Cell will autofill based on response",INDEX('GCE'!$P$10:$P$12,MATCH($F51,'GCE'!$B$10:$B$12,0))),"N/A")</f>
        <v/>
      </c>
      <c r="U51" s="53">
        <f>IFERROR(IF(INDEX('Education'!$P$10:$P$13,MATCH($F51,'Education'!$B$10:$B$13,0))="","Cell will autofill based on response",INDEX('Education'!$P$10:$P$13,MATCH($F51,'Education'!$B$10:$B$13,0))),"N/A")</f>
        <v/>
      </c>
      <c r="V51" s="53">
        <f>IFERROR(IF(INDEX('SaSS'!$P$10:$P$12,MATCH($F51,'SaSS'!$B$10:$B$12,0))="","Cell will autofill based on response",INDEX('SaSS'!$P$10:$P$12,MATCH($F51,'SaSS'!$B$10:$B$12,0))),"N/A")</f>
        <v/>
      </c>
      <c r="W51" s="53">
        <f>IFERROR(IF(INDEX('Indigenous'!$P$10:$P$11,MATCH($F51,'Indigenous'!$B$10:$B$11,0))="","Cell will autofill based on response",INDEX('Indigenous'!$P$10:$P$11,MATCH($F51,'Indigenous'!$B$10:$B$11,0))),"N/A")</f>
        <v/>
      </c>
      <c r="X51" s="53">
        <f>IFERROR(IF(INDEX('L&amp;R'!$P$10:$P$11,MATCH($F51,'L&amp;R'!$B$10:$B$11,0))="","Cell will autofill based on response",INDEX('L&amp;R'!$P$10:$P$11,MATCH($F51,'L&amp;R'!$B$10:$B$11,0))),"N/A")</f>
        <v/>
      </c>
    </row>
    <row r="52">
      <c r="A52">
        <f>F52&amp;"|"&amp;G52</f>
        <v/>
      </c>
      <c r="B52" s="13" t="inlineStr"/>
      <c r="C52" s="8" t="inlineStr"/>
      <c r="D52" s="8" t="inlineStr"/>
      <c r="E52" s="8" t="inlineStr"/>
      <c r="F52" s="8" t="inlineStr">
        <is>
          <t>TR1(c)</t>
        </is>
      </c>
      <c r="G52" s="8" t="inlineStr">
        <is>
          <t>Data owner confirms</t>
        </is>
      </c>
      <c r="H52" s="53">
        <f>IFERROR(IF(INDEX('Faculties'!$Q$10:$Q$19,MATCH($F52,'Faculties'!$B$10:$B$19,0))="","Cell will autofill based on response",INDEX('Faculties'!$Q$10:$Q$19,MATCH($F52,'Faculties'!$B$10:$B$19,0))),"N/A")</f>
        <v/>
      </c>
      <c r="I52" s="53">
        <f>IFERROR(IF(INDEX('Faculties'!$Q$26:$Q$35,MATCH($F52,'Faculties'!$B$26:$B$35,0))="","Cell will autofill based on response",INDEX('Faculties'!$Q$26:$Q$35,MATCH($F52,'Faculties'!$B$26:$B$35,0))),"N/A")</f>
        <v/>
      </c>
      <c r="J52" s="53">
        <f>IFERROR(IF(INDEX('Faculties'!$Q$42:$Q$51,MATCH($F52,'Faculties'!$B$42:$B$51,0))="","Cell will autofill based on response",INDEX('Faculties'!$Q$42:$Q$51,MATCH($F52,'Faculties'!$B$42:$B$51,0))),"N/A")</f>
        <v/>
      </c>
      <c r="K52" s="53">
        <f>IFERROR(IF(INDEX('Faculties'!$Q$58:$Q$67,MATCH($F52,'Faculties'!$B$58:$B$67,0))="","Cell will autofill based on response",INDEX('Faculties'!$Q$58:$Q$67,MATCH($F52,'Faculties'!$B$58:$B$67,0))),"N/A")</f>
        <v/>
      </c>
      <c r="L52" s="53">
        <f>IFERROR(IF(INDEX('CI&amp;S'!$Q$10:$Q$15,MATCH($F52,'CI&amp;S'!$B$10:$B$15,0))="","Cell will autofill based on response",INDEX('CI&amp;S'!$Q$10:$Q$15,MATCH($F52,'CI&amp;S'!$B$10:$B$15,0))),"N/A")</f>
        <v/>
      </c>
      <c r="M52" s="53">
        <f>IFERROR(IF(INDEX('CI&amp;S'!$Q$22:$Q$36,MATCH($F52,'CI&amp;S'!$B$22:$B$36,0))="","Cell will autofill based on response",INDEX('CI&amp;S'!$Q$22:$Q$36,MATCH($F52,'CI&amp;S'!$B$22:$B$36,0))),"N/A")</f>
        <v/>
      </c>
      <c r="N52" s="53">
        <f>IFERROR(IF(INDEX('CFOG'!$Q$10:$Q$16,MATCH($F52,'CFOG'!$B$10:$B$16,0))="","Cell will autofill based on response",INDEX('CFOG'!$Q$10:$Q$16,MATCH($F52,'CFOG'!$B$10:$B$16,0))),"N/A")</f>
        <v/>
      </c>
      <c r="O52" s="53">
        <f>IFERROR(IF(INDEX('CFOG'!$Q$23:$Q$24,MATCH($F52,'CFOG'!$B$23:$B$24,0))="","Cell will autofill based on response",INDEX('CFOG'!$Q$23:$Q$24,MATCH($F52,'CFOG'!$B$23:$B$24,0))),"N/A")</f>
        <v/>
      </c>
      <c r="P52" s="53">
        <f>IFERROR(IF(INDEX('ESG'!$Q$10:$Q$17,MATCH($F52,'ESG'!$B$10:$B$17,0))="","Cell will autofill based on response",INDEX('ESG'!$Q$10:$Q$17,MATCH($F52,'ESG'!$B$10:$B$17,0))),"N/A")</f>
        <v/>
      </c>
      <c r="Q52" s="53">
        <f>IFERROR(IF(INDEX('CIOG'!$Q$10:$Q$14,MATCH($F52,'CIOG'!$B$10:$B$14,0))="","Cell will autofill based on response",INDEX('CIOG'!$Q$10:$Q$14,MATCH($F52,'CIOG'!$B$10:$B$14,0))),"N/A")</f>
        <v/>
      </c>
      <c r="R52" s="53">
        <f>IFERROR(IF(INDEX('MRE'!$Q$10:$Q$18,MATCH($F52,'MRE'!$B$10:$B$18,0))="","Cell will autofill based on response",INDEX('MRE'!$Q$10:$Q$18,MATCH($F52,'MRE'!$B$10:$B$18,0))),"N/A")</f>
        <v/>
      </c>
      <c r="S52" s="53">
        <f>IFERROR(IF(INDEX('AC&amp;M'!$Q$10:$Q$14,MATCH($F52,'AC&amp;M'!$B$10:$B$14,0))="","Cell will autofill based on response",INDEX('AC&amp;M'!$Q$10:$Q$14,MATCH($F52,'AC&amp;M'!$B$10:$B$14,0))),"N/A")</f>
        <v/>
      </c>
      <c r="T52" s="53">
        <f>IFERROR(IF(INDEX('GCE'!$Q$10:$Q$12,MATCH($F52,'GCE'!$B$10:$B$12,0))="","Cell will autofill based on response",INDEX('GCE'!$Q$10:$Q$12,MATCH($F52,'GCE'!$B$10:$B$12,0))),"N/A")</f>
        <v/>
      </c>
      <c r="U52" s="53">
        <f>IFERROR(IF(INDEX('Education'!$Q$10:$Q$13,MATCH($F52,'Education'!$B$10:$B$13,0))="","Cell will autofill based on response",INDEX('Education'!$Q$10:$Q$13,MATCH($F52,'Education'!$B$10:$B$13,0))),"N/A")</f>
        <v/>
      </c>
      <c r="V52" s="53">
        <f>IFERROR(IF(INDEX('SaSS'!$Q$10:$Q$12,MATCH($F52,'SaSS'!$B$10:$B$12,0))="","Cell will autofill based on response",INDEX('SaSS'!$Q$10:$Q$12,MATCH($F52,'SaSS'!$B$10:$B$12,0))),"N/A")</f>
        <v/>
      </c>
      <c r="W52" s="53">
        <f>IFERROR(IF(INDEX('Indigenous'!$Q$10:$Q$11,MATCH($F52,'Indigenous'!$B$10:$B$11,0))="","Cell will autofill based on response",INDEX('Indigenous'!$Q$10:$Q$11,MATCH($F52,'Indigenous'!$B$10:$B$11,0))),"N/A")</f>
        <v/>
      </c>
      <c r="X52" s="53">
        <f>IFERROR(IF(INDEX('L&amp;R'!$Q$10:$Q$11,MATCH($F52,'L&amp;R'!$B$10:$B$11,0))="","Cell will autofill based on response",INDEX('L&amp;R'!$Q$10:$Q$11,MATCH($F52,'L&amp;R'!$B$10:$B$11,0))),"N/A")</f>
        <v/>
      </c>
    </row>
    <row r="53">
      <c r="A53">
        <f>F53&amp;"|"&amp;G53</f>
        <v/>
      </c>
      <c r="B53" s="7" t="inlineStr">
        <is>
          <t>TR1(d)</t>
        </is>
      </c>
      <c r="C53" s="51" t="inlineStr">
        <is>
          <t>Transformational research</t>
        </is>
      </c>
      <c r="D53" s="51" t="inlineStr">
        <is>
          <t>Periodic feedback from participants on the effectiveness and mutual benefit of collaboration mechanisms.</t>
        </is>
      </c>
      <c r="E53" s="51" t="inlineStr">
        <is>
          <t>Please provide any participant feedback or other evidence from your Faculty/Portfolio on the effectiveness and mutual benefit of collaboration mechanisms between researchers and operational teams, could include key findings and any improvements identified.</t>
        </is>
      </c>
      <c r="F53" s="51" t="inlineStr">
        <is>
          <t>TR1(d)</t>
        </is>
      </c>
      <c r="G53" s="51" t="inlineStr">
        <is>
          <t>Confirm end-2026 target status</t>
        </is>
      </c>
      <c r="H53" s="53">
        <f>IFERROR(IF(INDEX('Faculties'!$L$10:$L$19,MATCH($F53,'Faculties'!$B$10:$B$19,0))="","Cell will autofill based on response",INDEX('Faculties'!$L$10:$L$19,MATCH($F53,'Faculties'!$B$10:$B$19,0))),"N/A")</f>
        <v/>
      </c>
      <c r="I53" s="53">
        <f>IFERROR(IF(INDEX('Faculties'!$L$26:$L$35,MATCH($F53,'Faculties'!$B$26:$B$35,0))="","Cell will autofill based on response",INDEX('Faculties'!$L$26:$L$35,MATCH($F53,'Faculties'!$B$26:$B$35,0))),"N/A")</f>
        <v/>
      </c>
      <c r="J53" s="53">
        <f>IFERROR(IF(INDEX('Faculties'!$L$42:$L$51,MATCH($F53,'Faculties'!$B$42:$B$51,0))="","Cell will autofill based on response",INDEX('Faculties'!$L$42:$L$51,MATCH($F53,'Faculties'!$B$42:$B$51,0))),"N/A")</f>
        <v/>
      </c>
      <c r="K53" s="53">
        <f>IFERROR(IF(INDEX('Faculties'!$L$58:$L$67,MATCH($F53,'Faculties'!$B$58:$B$67,0))="","Cell will autofill based on response",INDEX('Faculties'!$L$58:$L$67,MATCH($F53,'Faculties'!$B$58:$B$67,0))),"N/A")</f>
        <v/>
      </c>
      <c r="L53" s="53">
        <f>IFERROR(IF(INDEX('CI&amp;S'!$L$10:$L$15,MATCH($F53,'CI&amp;S'!$B$10:$B$15,0))="","Cell will autofill based on response",INDEX('CI&amp;S'!$L$10:$L$15,MATCH($F53,'CI&amp;S'!$B$10:$B$15,0))),"N/A")</f>
        <v/>
      </c>
      <c r="M53" s="53">
        <f>IFERROR(IF(INDEX('CI&amp;S'!$L$22:$L$36,MATCH($F53,'CI&amp;S'!$B$22:$B$36,0))="","Cell will autofill based on response",INDEX('CI&amp;S'!$L$22:$L$36,MATCH($F53,'CI&amp;S'!$B$22:$B$36,0))),"N/A")</f>
        <v/>
      </c>
      <c r="N53" s="53">
        <f>IFERROR(IF(INDEX('CFOG'!$L$10:$L$16,MATCH($F53,'CFOG'!$B$10:$B$16,0))="","Cell will autofill based on response",INDEX('CFOG'!$L$10:$L$16,MATCH($F53,'CFOG'!$B$10:$B$16,0))),"N/A")</f>
        <v/>
      </c>
      <c r="O53" s="53">
        <f>IFERROR(IF(INDEX('CFOG'!$L$23:$L$24,MATCH($F53,'CFOG'!$B$23:$B$24,0))="","Cell will autofill based on response",INDEX('CFOG'!$L$23:$L$24,MATCH($F53,'CFOG'!$B$23:$B$24,0))),"N/A")</f>
        <v/>
      </c>
      <c r="P53" s="53">
        <f>IFERROR(IF(INDEX('ESG'!$L$10:$L$17,MATCH($F53,'ESG'!$B$10:$B$17,0))="","Cell will autofill based on response",INDEX('ESG'!$L$10:$L$17,MATCH($F53,'ESG'!$B$10:$B$17,0))),"N/A")</f>
        <v/>
      </c>
      <c r="Q53" s="53">
        <f>IFERROR(IF(INDEX('CIOG'!$L$10:$L$14,MATCH($F53,'CIOG'!$B$10:$B$14,0))="","Cell will autofill based on response",INDEX('CIOG'!$L$10:$L$14,MATCH($F53,'CIOG'!$B$10:$B$14,0))),"N/A")</f>
        <v/>
      </c>
      <c r="R53" s="53">
        <f>IFERROR(IF(INDEX('MRE'!$L$10:$L$18,MATCH($F53,'MRE'!$B$10:$B$18,0))="","Cell will autofill based on response",INDEX('MRE'!$L$10:$L$18,MATCH($F53,'MRE'!$B$10:$B$18,0))),"N/A")</f>
        <v/>
      </c>
      <c r="S53" s="53">
        <f>IFERROR(IF(INDEX('AC&amp;M'!$L$10:$L$14,MATCH($F53,'AC&amp;M'!$B$10:$B$14,0))="","Cell will autofill based on response",INDEX('AC&amp;M'!$L$10:$L$14,MATCH($F53,'AC&amp;M'!$B$10:$B$14,0))),"N/A")</f>
        <v/>
      </c>
      <c r="T53" s="53">
        <f>IFERROR(IF(INDEX('GCE'!$L$10:$L$12,MATCH($F53,'GCE'!$B$10:$B$12,0))="","Cell will autofill based on response",INDEX('GCE'!$L$10:$L$12,MATCH($F53,'GCE'!$B$10:$B$12,0))),"N/A")</f>
        <v/>
      </c>
      <c r="U53" s="53">
        <f>IFERROR(IF(INDEX('Education'!$L$10:$L$13,MATCH($F53,'Education'!$B$10:$B$13,0))="","Cell will autofill based on response",INDEX('Education'!$L$10:$L$13,MATCH($F53,'Education'!$B$10:$B$13,0))),"N/A")</f>
        <v/>
      </c>
      <c r="V53" s="53">
        <f>IFERROR(IF(INDEX('SaSS'!$L$10:$L$12,MATCH($F53,'SaSS'!$B$10:$B$12,0))="","Cell will autofill based on response",INDEX('SaSS'!$L$10:$L$12,MATCH($F53,'SaSS'!$B$10:$B$12,0))),"N/A")</f>
        <v/>
      </c>
      <c r="W53" s="53">
        <f>IFERROR(IF(INDEX('Indigenous'!$L$10:$L$11,MATCH($F53,'Indigenous'!$B$10:$B$11,0))="","Cell will autofill based on response",INDEX('Indigenous'!$L$10:$L$11,MATCH($F53,'Indigenous'!$B$10:$B$11,0))),"N/A")</f>
        <v/>
      </c>
      <c r="X53" s="53">
        <f>IFERROR(IF(INDEX('L&amp;R'!$L$10:$L$11,MATCH($F53,'L&amp;R'!$B$10:$B$11,0))="","Cell will autofill based on response",INDEX('L&amp;R'!$L$10:$L$11,MATCH($F53,'L&amp;R'!$B$10:$B$11,0))),"N/A")</f>
        <v/>
      </c>
      <c r="Z53" s="10">
        <f>COUNTIF($H53:$X53,"Cell will autofill based on response")</f>
        <v/>
      </c>
      <c r="AA53" s="10">
        <f>COUNTIF($H53:$X53,"Not yet started")</f>
        <v/>
      </c>
      <c r="AB53" s="10">
        <f>COUNTIF($H53:$X53,"Not met")</f>
        <v/>
      </c>
      <c r="AC53" s="10">
        <f>COUNTIF($H53:$X53,"Partially met")</f>
        <v/>
      </c>
      <c r="AD53" s="10">
        <f>COUNTIF($H53:$X53,"Met or exceeded")</f>
        <v/>
      </c>
      <c r="AE53" s="10">
        <f>3*AD53+2*AC53+AB53</f>
        <v/>
      </c>
      <c r="AF53" s="10">
        <f>AD53+AC53+AB53+AA53</f>
        <v/>
      </c>
      <c r="AG53" s="54">
        <f>IF(AF53&gt;0,AE53/AF53,"No valid responses to date")</f>
        <v/>
      </c>
      <c r="AH53" s="10">
        <f>IF(ISNUMBER(AG53),INDEX(Lists!$G$2:$G$5,MATCH(ROUND(AG53,0),Lists!$H$2:$H$5,0)),"")</f>
        <v/>
      </c>
      <c r="AI53" s="55">
        <f>IF(AF53&gt;0,AD53/AF53,"")</f>
        <v/>
      </c>
      <c r="AJ53" s="55">
        <f>IF(AF53&gt;0,(AD53+AC53)/AF53,"")</f>
        <v/>
      </c>
      <c r="AK53" s="10">
        <f>IF(AF53=0,"",IF(AI53&gt;0.75,"Met or exceeded",IF(AJ53&gt;=0.5,"Partially met","Not met")))</f>
        <v/>
      </c>
    </row>
    <row r="54">
      <c r="A54">
        <f>F54&amp;"|"&amp;G54</f>
        <v/>
      </c>
      <c r="B54" s="13" t="inlineStr"/>
      <c r="C54" s="8" t="inlineStr"/>
      <c r="D54" s="8" t="inlineStr"/>
      <c r="E54" s="8" t="inlineStr"/>
      <c r="F54" s="8" t="inlineStr">
        <is>
          <t>TR1(d)</t>
        </is>
      </c>
      <c r="G54" s="8" t="inlineStr">
        <is>
          <t>OPTION 1:  Target-level reporting</t>
        </is>
      </c>
      <c r="H54" s="53">
        <f>IFERROR(IF(INDEX('Faculties'!$M$10:$M$19,MATCH($F54,'Faculties'!$B$10:$B$19,0))="","Cell will autofill based on response",INDEX('Faculties'!$M$10:$M$19,MATCH($F54,'Faculties'!$B$10:$B$19,0))),"N/A")</f>
        <v/>
      </c>
      <c r="I54" s="53">
        <f>IFERROR(IF(INDEX('Faculties'!$M$26:$M$35,MATCH($F54,'Faculties'!$B$26:$B$35,0))="","Cell will autofill based on response",INDEX('Faculties'!$M$26:$M$35,MATCH($F54,'Faculties'!$B$26:$B$35,0))),"N/A")</f>
        <v/>
      </c>
      <c r="J54" s="53">
        <f>IFERROR(IF(INDEX('Faculties'!$M$42:$M$51,MATCH($F54,'Faculties'!$B$42:$B$51,0))="","Cell will autofill based on response",INDEX('Faculties'!$M$42:$M$51,MATCH($F54,'Faculties'!$B$42:$B$51,0))),"N/A")</f>
        <v/>
      </c>
      <c r="K54" s="53">
        <f>IFERROR(IF(INDEX('Faculties'!$M$58:$M$67,MATCH($F54,'Faculties'!$B$58:$B$67,0))="","Cell will autofill based on response",INDEX('Faculties'!$M$58:$M$67,MATCH($F54,'Faculties'!$B$58:$B$67,0))),"N/A")</f>
        <v/>
      </c>
      <c r="L54" s="53">
        <f>IFERROR(IF(INDEX('CI&amp;S'!$M$10:$M$15,MATCH($F54,'CI&amp;S'!$B$10:$B$15,0))="","Cell will autofill based on response",INDEX('CI&amp;S'!$M$10:$M$15,MATCH($F54,'CI&amp;S'!$B$10:$B$15,0))),"N/A")</f>
        <v/>
      </c>
      <c r="M54" s="53">
        <f>IFERROR(IF(INDEX('CI&amp;S'!$M$22:$M$36,MATCH($F54,'CI&amp;S'!$B$22:$B$36,0))="","Cell will autofill based on response",INDEX('CI&amp;S'!$M$22:$M$36,MATCH($F54,'CI&amp;S'!$B$22:$B$36,0))),"N/A")</f>
        <v/>
      </c>
      <c r="N54" s="53">
        <f>IFERROR(IF(INDEX('CFOG'!$M$10:$M$16,MATCH($F54,'CFOG'!$B$10:$B$16,0))="","Cell will autofill based on response",INDEX('CFOG'!$M$10:$M$16,MATCH($F54,'CFOG'!$B$10:$B$16,0))),"N/A")</f>
        <v/>
      </c>
      <c r="O54" s="53">
        <f>IFERROR(IF(INDEX('CFOG'!$M$23:$M$24,MATCH($F54,'CFOG'!$B$23:$B$24,0))="","Cell will autofill based on response",INDEX('CFOG'!$M$23:$M$24,MATCH($F54,'CFOG'!$B$23:$B$24,0))),"N/A")</f>
        <v/>
      </c>
      <c r="P54" s="53">
        <f>IFERROR(IF(INDEX('ESG'!$M$10:$M$17,MATCH($F54,'ESG'!$B$10:$B$17,0))="","Cell will autofill based on response",INDEX('ESG'!$M$10:$M$17,MATCH($F54,'ESG'!$B$10:$B$17,0))),"N/A")</f>
        <v/>
      </c>
      <c r="Q54" s="53">
        <f>IFERROR(IF(INDEX('CIOG'!$M$10:$M$14,MATCH($F54,'CIOG'!$B$10:$B$14,0))="","Cell will autofill based on response",INDEX('CIOG'!$M$10:$M$14,MATCH($F54,'CIOG'!$B$10:$B$14,0))),"N/A")</f>
        <v/>
      </c>
      <c r="R54" s="53">
        <f>IFERROR(IF(INDEX('MRE'!$M$10:$M$18,MATCH($F54,'MRE'!$B$10:$B$18,0))="","Cell will autofill based on response",INDEX('MRE'!$M$10:$M$18,MATCH($F54,'MRE'!$B$10:$B$18,0))),"N/A")</f>
        <v/>
      </c>
      <c r="S54" s="53">
        <f>IFERROR(IF(INDEX('AC&amp;M'!$M$10:$M$14,MATCH($F54,'AC&amp;M'!$B$10:$B$14,0))="","Cell will autofill based on response",INDEX('AC&amp;M'!$M$10:$M$14,MATCH($F54,'AC&amp;M'!$B$10:$B$14,0))),"N/A")</f>
        <v/>
      </c>
      <c r="T54" s="53">
        <f>IFERROR(IF(INDEX('GCE'!$M$10:$M$12,MATCH($F54,'GCE'!$B$10:$B$12,0))="","Cell will autofill based on response",INDEX('GCE'!$M$10:$M$12,MATCH($F54,'GCE'!$B$10:$B$12,0))),"N/A")</f>
        <v/>
      </c>
      <c r="U54" s="53">
        <f>IFERROR(IF(INDEX('Education'!$M$10:$M$13,MATCH($F54,'Education'!$B$10:$B$13,0))="","Cell will autofill based on response",INDEX('Education'!$M$10:$M$13,MATCH($F54,'Education'!$B$10:$B$13,0))),"N/A")</f>
        <v/>
      </c>
      <c r="V54" s="53">
        <f>IFERROR(IF(INDEX('SaSS'!$M$10:$M$12,MATCH($F54,'SaSS'!$B$10:$B$12,0))="","Cell will autofill based on response",INDEX('SaSS'!$M$10:$M$12,MATCH($F54,'SaSS'!$B$10:$B$12,0))),"N/A")</f>
        <v/>
      </c>
      <c r="W54" s="53">
        <f>IFERROR(IF(INDEX('Indigenous'!$M$10:$M$11,MATCH($F54,'Indigenous'!$B$10:$B$11,0))="","Cell will autofill based on response",INDEX('Indigenous'!$M$10:$M$11,MATCH($F54,'Indigenous'!$B$10:$B$11,0))),"N/A")</f>
        <v/>
      </c>
      <c r="X54" s="53">
        <f>IFERROR(IF(INDEX('L&amp;R'!$M$10:$M$11,MATCH($F54,'L&amp;R'!$B$10:$B$11,0))="","Cell will autofill based on response",INDEX('L&amp;R'!$M$10:$M$11,MATCH($F54,'L&amp;R'!$B$10:$B$11,0))),"N/A")</f>
        <v/>
      </c>
    </row>
    <row r="55">
      <c r="A55">
        <f>F55&amp;"|"&amp;G55</f>
        <v/>
      </c>
      <c r="B55" s="13" t="inlineStr"/>
      <c r="C55" s="8" t="inlineStr"/>
      <c r="D55" s="8" t="inlineStr"/>
      <c r="E55" s="8" t="inlineStr"/>
      <c r="F55" s="8" t="inlineStr">
        <is>
          <t>TR1(d)</t>
        </is>
      </c>
      <c r="G55" s="8" t="inlineStr">
        <is>
          <t>OPTION 2:  Indicator level reporting</t>
        </is>
      </c>
      <c r="H55" s="53">
        <f>IFERROR(IF(INDEX('Faculties'!$N$10:$N$19,MATCH($F55,'Faculties'!$B$10:$B$19,0))="","Cell will autofill based on response",INDEX('Faculties'!$N$10:$N$19,MATCH($F55,'Faculties'!$B$10:$B$19,0))),"N/A")</f>
        <v/>
      </c>
      <c r="I55" s="53">
        <f>IFERROR(IF(INDEX('Faculties'!$N$26:$N$35,MATCH($F55,'Faculties'!$B$26:$B$35,0))="","Cell will autofill based on response",INDEX('Faculties'!$N$26:$N$35,MATCH($F55,'Faculties'!$B$26:$B$35,0))),"N/A")</f>
        <v/>
      </c>
      <c r="J55" s="53">
        <f>IFERROR(IF(INDEX('Faculties'!$N$42:$N$51,MATCH($F55,'Faculties'!$B$42:$B$51,0))="","Cell will autofill based on response",INDEX('Faculties'!$N$42:$N$51,MATCH($F55,'Faculties'!$B$42:$B$51,0))),"N/A")</f>
        <v/>
      </c>
      <c r="K55" s="53">
        <f>IFERROR(IF(INDEX('Faculties'!$N$58:$N$67,MATCH($F55,'Faculties'!$B$58:$B$67,0))="","Cell will autofill based on response",INDEX('Faculties'!$N$58:$N$67,MATCH($F55,'Faculties'!$B$58:$B$67,0))),"N/A")</f>
        <v/>
      </c>
      <c r="L55" s="53">
        <f>IFERROR(IF(INDEX('CI&amp;S'!$N$10:$N$15,MATCH($F55,'CI&amp;S'!$B$10:$B$15,0))="","Cell will autofill based on response",INDEX('CI&amp;S'!$N$10:$N$15,MATCH($F55,'CI&amp;S'!$B$10:$B$15,0))),"N/A")</f>
        <v/>
      </c>
      <c r="M55" s="53">
        <f>IFERROR(IF(INDEX('CI&amp;S'!$N$22:$N$36,MATCH($F55,'CI&amp;S'!$B$22:$B$36,0))="","Cell will autofill based on response",INDEX('CI&amp;S'!$N$22:$N$36,MATCH($F55,'CI&amp;S'!$B$22:$B$36,0))),"N/A")</f>
        <v/>
      </c>
      <c r="N55" s="53">
        <f>IFERROR(IF(INDEX('CFOG'!$N$10:$N$16,MATCH($F55,'CFOG'!$B$10:$B$16,0))="","Cell will autofill based on response",INDEX('CFOG'!$N$10:$N$16,MATCH($F55,'CFOG'!$B$10:$B$16,0))),"N/A")</f>
        <v/>
      </c>
      <c r="O55" s="53">
        <f>IFERROR(IF(INDEX('CFOG'!$N$23:$N$24,MATCH($F55,'CFOG'!$B$23:$B$24,0))="","Cell will autofill based on response",INDEX('CFOG'!$N$23:$N$24,MATCH($F55,'CFOG'!$B$23:$B$24,0))),"N/A")</f>
        <v/>
      </c>
      <c r="P55" s="53">
        <f>IFERROR(IF(INDEX('ESG'!$N$10:$N$17,MATCH($F55,'ESG'!$B$10:$B$17,0))="","Cell will autofill based on response",INDEX('ESG'!$N$10:$N$17,MATCH($F55,'ESG'!$B$10:$B$17,0))),"N/A")</f>
        <v/>
      </c>
      <c r="Q55" s="53">
        <f>IFERROR(IF(INDEX('CIOG'!$N$10:$N$14,MATCH($F55,'CIOG'!$B$10:$B$14,0))="","Cell will autofill based on response",INDEX('CIOG'!$N$10:$N$14,MATCH($F55,'CIOG'!$B$10:$B$14,0))),"N/A")</f>
        <v/>
      </c>
      <c r="R55" s="53">
        <f>IFERROR(IF(INDEX('MRE'!$N$10:$N$18,MATCH($F55,'MRE'!$B$10:$B$18,0))="","Cell will autofill based on response",INDEX('MRE'!$N$10:$N$18,MATCH($F55,'MRE'!$B$10:$B$18,0))),"N/A")</f>
        <v/>
      </c>
      <c r="S55" s="53">
        <f>IFERROR(IF(INDEX('AC&amp;M'!$N$10:$N$14,MATCH($F55,'AC&amp;M'!$B$10:$B$14,0))="","Cell will autofill based on response",INDEX('AC&amp;M'!$N$10:$N$14,MATCH($F55,'AC&amp;M'!$B$10:$B$14,0))),"N/A")</f>
        <v/>
      </c>
      <c r="T55" s="53">
        <f>IFERROR(IF(INDEX('GCE'!$N$10:$N$12,MATCH($F55,'GCE'!$B$10:$B$12,0))="","Cell will autofill based on response",INDEX('GCE'!$N$10:$N$12,MATCH($F55,'GCE'!$B$10:$B$12,0))),"N/A")</f>
        <v/>
      </c>
      <c r="U55" s="53">
        <f>IFERROR(IF(INDEX('Education'!$N$10:$N$13,MATCH($F55,'Education'!$B$10:$B$13,0))="","Cell will autofill based on response",INDEX('Education'!$N$10:$N$13,MATCH($F55,'Education'!$B$10:$B$13,0))),"N/A")</f>
        <v/>
      </c>
      <c r="V55" s="53">
        <f>IFERROR(IF(INDEX('SaSS'!$N$10:$N$12,MATCH($F55,'SaSS'!$B$10:$B$12,0))="","Cell will autofill based on response",INDEX('SaSS'!$N$10:$N$12,MATCH($F55,'SaSS'!$B$10:$B$12,0))),"N/A")</f>
        <v/>
      </c>
      <c r="W55" s="53">
        <f>IFERROR(IF(INDEX('Indigenous'!$N$10:$N$11,MATCH($F55,'Indigenous'!$B$10:$B$11,0))="","Cell will autofill based on response",INDEX('Indigenous'!$N$10:$N$11,MATCH($F55,'Indigenous'!$B$10:$B$11,0))),"N/A")</f>
        <v/>
      </c>
      <c r="X55" s="53">
        <f>IFERROR(IF(INDEX('L&amp;R'!$N$10:$N$11,MATCH($F55,'L&amp;R'!$B$10:$B$11,0))="","Cell will autofill based on response",INDEX('L&amp;R'!$N$10:$N$11,MATCH($F55,'L&amp;R'!$B$10:$B$11,0))),"N/A")</f>
        <v/>
      </c>
    </row>
    <row r="56">
      <c r="A56">
        <f>F56&amp;"|"&amp;G56</f>
        <v/>
      </c>
      <c r="B56" s="13" t="inlineStr"/>
      <c r="C56" s="8" t="inlineStr"/>
      <c r="D56" s="8" t="inlineStr"/>
      <c r="E56" s="8" t="inlineStr"/>
      <c r="F56" s="8" t="inlineStr">
        <is>
          <t>TR1(d)</t>
        </is>
      </c>
      <c r="G56" s="8" t="inlineStr">
        <is>
          <t>Supporting information/comments</t>
        </is>
      </c>
      <c r="H56" s="53">
        <f>IFERROR(IF(INDEX('Faculties'!$O$10:$O$19,MATCH($F56,'Faculties'!$B$10:$B$19,0))="","Cell will autofill based on response",INDEX('Faculties'!$O$10:$O$19,MATCH($F56,'Faculties'!$B$10:$B$19,0))),"N/A")</f>
        <v/>
      </c>
      <c r="I56" s="53">
        <f>IFERROR(IF(INDEX('Faculties'!$O$26:$O$35,MATCH($F56,'Faculties'!$B$26:$B$35,0))="","Cell will autofill based on response",INDEX('Faculties'!$O$26:$O$35,MATCH($F56,'Faculties'!$B$26:$B$35,0))),"N/A")</f>
        <v/>
      </c>
      <c r="J56" s="53">
        <f>IFERROR(IF(INDEX('Faculties'!$O$42:$O$51,MATCH($F56,'Faculties'!$B$42:$B$51,0))="","Cell will autofill based on response",INDEX('Faculties'!$O$42:$O$51,MATCH($F56,'Faculties'!$B$42:$B$51,0))),"N/A")</f>
        <v/>
      </c>
      <c r="K56" s="53">
        <f>IFERROR(IF(INDEX('Faculties'!$O$58:$O$67,MATCH($F56,'Faculties'!$B$58:$B$67,0))="","Cell will autofill based on response",INDEX('Faculties'!$O$58:$O$67,MATCH($F56,'Faculties'!$B$58:$B$67,0))),"N/A")</f>
        <v/>
      </c>
      <c r="L56" s="53">
        <f>IFERROR(IF(INDEX('CI&amp;S'!$O$10:$O$15,MATCH($F56,'CI&amp;S'!$B$10:$B$15,0))="","Cell will autofill based on response",INDEX('CI&amp;S'!$O$10:$O$15,MATCH($F56,'CI&amp;S'!$B$10:$B$15,0))),"N/A")</f>
        <v/>
      </c>
      <c r="M56" s="53">
        <f>IFERROR(IF(INDEX('CI&amp;S'!$O$22:$O$36,MATCH($F56,'CI&amp;S'!$B$22:$B$36,0))="","Cell will autofill based on response",INDEX('CI&amp;S'!$O$22:$O$36,MATCH($F56,'CI&amp;S'!$B$22:$B$36,0))),"N/A")</f>
        <v/>
      </c>
      <c r="N56" s="53">
        <f>IFERROR(IF(INDEX('CFOG'!$O$10:$O$16,MATCH($F56,'CFOG'!$B$10:$B$16,0))="","Cell will autofill based on response",INDEX('CFOG'!$O$10:$O$16,MATCH($F56,'CFOG'!$B$10:$B$16,0))),"N/A")</f>
        <v/>
      </c>
      <c r="O56" s="53">
        <f>IFERROR(IF(INDEX('CFOG'!$O$23:$O$24,MATCH($F56,'CFOG'!$B$23:$B$24,0))="","Cell will autofill based on response",INDEX('CFOG'!$O$23:$O$24,MATCH($F56,'CFOG'!$B$23:$B$24,0))),"N/A")</f>
        <v/>
      </c>
      <c r="P56" s="53">
        <f>IFERROR(IF(INDEX('ESG'!$O$10:$O$17,MATCH($F56,'ESG'!$B$10:$B$17,0))="","Cell will autofill based on response",INDEX('ESG'!$O$10:$O$17,MATCH($F56,'ESG'!$B$10:$B$17,0))),"N/A")</f>
        <v/>
      </c>
      <c r="Q56" s="53">
        <f>IFERROR(IF(INDEX('CIOG'!$O$10:$O$14,MATCH($F56,'CIOG'!$B$10:$B$14,0))="","Cell will autofill based on response",INDEX('CIOG'!$O$10:$O$14,MATCH($F56,'CIOG'!$B$10:$B$14,0))),"N/A")</f>
        <v/>
      </c>
      <c r="R56" s="53">
        <f>IFERROR(IF(INDEX('MRE'!$O$10:$O$18,MATCH($F56,'MRE'!$B$10:$B$18,0))="","Cell will autofill based on response",INDEX('MRE'!$O$10:$O$18,MATCH($F56,'MRE'!$B$10:$B$18,0))),"N/A")</f>
        <v/>
      </c>
      <c r="S56" s="53">
        <f>IFERROR(IF(INDEX('AC&amp;M'!$O$10:$O$14,MATCH($F56,'AC&amp;M'!$B$10:$B$14,0))="","Cell will autofill based on response",INDEX('AC&amp;M'!$O$10:$O$14,MATCH($F56,'AC&amp;M'!$B$10:$B$14,0))),"N/A")</f>
        <v/>
      </c>
      <c r="T56" s="53">
        <f>IFERROR(IF(INDEX('GCE'!$O$10:$O$12,MATCH($F56,'GCE'!$B$10:$B$12,0))="","Cell will autofill based on response",INDEX('GCE'!$O$10:$O$12,MATCH($F56,'GCE'!$B$10:$B$12,0))),"N/A")</f>
        <v/>
      </c>
      <c r="U56" s="53">
        <f>IFERROR(IF(INDEX('Education'!$O$10:$O$13,MATCH($F56,'Education'!$B$10:$B$13,0))="","Cell will autofill based on response",INDEX('Education'!$O$10:$O$13,MATCH($F56,'Education'!$B$10:$B$13,0))),"N/A")</f>
        <v/>
      </c>
      <c r="V56" s="53">
        <f>IFERROR(IF(INDEX('SaSS'!$O$10:$O$12,MATCH($F56,'SaSS'!$B$10:$B$12,0))="","Cell will autofill based on response",INDEX('SaSS'!$O$10:$O$12,MATCH($F56,'SaSS'!$B$10:$B$12,0))),"N/A")</f>
        <v/>
      </c>
      <c r="W56" s="53">
        <f>IFERROR(IF(INDEX('Indigenous'!$O$10:$O$11,MATCH($F56,'Indigenous'!$B$10:$B$11,0))="","Cell will autofill based on response",INDEX('Indigenous'!$O$10:$O$11,MATCH($F56,'Indigenous'!$B$10:$B$11,0))),"N/A")</f>
        <v/>
      </c>
      <c r="X56" s="53">
        <f>IFERROR(IF(INDEX('L&amp;R'!$O$10:$O$11,MATCH($F56,'L&amp;R'!$B$10:$B$11,0))="","Cell will autofill based on response",INDEX('L&amp;R'!$O$10:$O$11,MATCH($F56,'L&amp;R'!$B$10:$B$11,0))),"N/A")</f>
        <v/>
      </c>
    </row>
    <row r="57">
      <c r="A57">
        <f>F57&amp;"|"&amp;G57</f>
        <v/>
      </c>
      <c r="B57" s="13" t="inlineStr"/>
      <c r="C57" s="8" t="inlineStr"/>
      <c r="D57" s="8" t="inlineStr"/>
      <c r="E57" s="8" t="inlineStr"/>
      <c r="F57" s="8" t="inlineStr">
        <is>
          <t>TR1(d)</t>
        </is>
      </c>
      <c r="G57" s="8" t="inlineStr">
        <is>
          <t>Data source and limitations</t>
        </is>
      </c>
      <c r="H57" s="53">
        <f>IFERROR(IF(INDEX('Faculties'!$P$10:$P$19,MATCH($F57,'Faculties'!$B$10:$B$19,0))="","Cell will autofill based on response",INDEX('Faculties'!$P$10:$P$19,MATCH($F57,'Faculties'!$B$10:$B$19,0))),"N/A")</f>
        <v/>
      </c>
      <c r="I57" s="53">
        <f>IFERROR(IF(INDEX('Faculties'!$P$26:$P$35,MATCH($F57,'Faculties'!$B$26:$B$35,0))="","Cell will autofill based on response",INDEX('Faculties'!$P$26:$P$35,MATCH($F57,'Faculties'!$B$26:$B$35,0))),"N/A")</f>
        <v/>
      </c>
      <c r="J57" s="53">
        <f>IFERROR(IF(INDEX('Faculties'!$P$42:$P$51,MATCH($F57,'Faculties'!$B$42:$B$51,0))="","Cell will autofill based on response",INDEX('Faculties'!$P$42:$P$51,MATCH($F57,'Faculties'!$B$42:$B$51,0))),"N/A")</f>
        <v/>
      </c>
      <c r="K57" s="53">
        <f>IFERROR(IF(INDEX('Faculties'!$P$58:$P$67,MATCH($F57,'Faculties'!$B$58:$B$67,0))="","Cell will autofill based on response",INDEX('Faculties'!$P$58:$P$67,MATCH($F57,'Faculties'!$B$58:$B$67,0))),"N/A")</f>
        <v/>
      </c>
      <c r="L57" s="53">
        <f>IFERROR(IF(INDEX('CI&amp;S'!$P$10:$P$15,MATCH($F57,'CI&amp;S'!$B$10:$B$15,0))="","Cell will autofill based on response",INDEX('CI&amp;S'!$P$10:$P$15,MATCH($F57,'CI&amp;S'!$B$10:$B$15,0))),"N/A")</f>
        <v/>
      </c>
      <c r="M57" s="53">
        <f>IFERROR(IF(INDEX('CI&amp;S'!$P$22:$P$36,MATCH($F57,'CI&amp;S'!$B$22:$B$36,0))="","Cell will autofill based on response",INDEX('CI&amp;S'!$P$22:$P$36,MATCH($F57,'CI&amp;S'!$B$22:$B$36,0))),"N/A")</f>
        <v/>
      </c>
      <c r="N57" s="53">
        <f>IFERROR(IF(INDEX('CFOG'!$P$10:$P$16,MATCH($F57,'CFOG'!$B$10:$B$16,0))="","Cell will autofill based on response",INDEX('CFOG'!$P$10:$P$16,MATCH($F57,'CFOG'!$B$10:$B$16,0))),"N/A")</f>
        <v/>
      </c>
      <c r="O57" s="53">
        <f>IFERROR(IF(INDEX('CFOG'!$P$23:$P$24,MATCH($F57,'CFOG'!$B$23:$B$24,0))="","Cell will autofill based on response",INDEX('CFOG'!$P$23:$P$24,MATCH($F57,'CFOG'!$B$23:$B$24,0))),"N/A")</f>
        <v/>
      </c>
      <c r="P57" s="53">
        <f>IFERROR(IF(INDEX('ESG'!$P$10:$P$17,MATCH($F57,'ESG'!$B$10:$B$17,0))="","Cell will autofill based on response",INDEX('ESG'!$P$10:$P$17,MATCH($F57,'ESG'!$B$10:$B$17,0))),"N/A")</f>
        <v/>
      </c>
      <c r="Q57" s="53">
        <f>IFERROR(IF(INDEX('CIOG'!$P$10:$P$14,MATCH($F57,'CIOG'!$B$10:$B$14,0))="","Cell will autofill based on response",INDEX('CIOG'!$P$10:$P$14,MATCH($F57,'CIOG'!$B$10:$B$14,0))),"N/A")</f>
        <v/>
      </c>
      <c r="R57" s="53">
        <f>IFERROR(IF(INDEX('MRE'!$P$10:$P$18,MATCH($F57,'MRE'!$B$10:$B$18,0))="","Cell will autofill based on response",INDEX('MRE'!$P$10:$P$18,MATCH($F57,'MRE'!$B$10:$B$18,0))),"N/A")</f>
        <v/>
      </c>
      <c r="S57" s="53">
        <f>IFERROR(IF(INDEX('AC&amp;M'!$P$10:$P$14,MATCH($F57,'AC&amp;M'!$B$10:$B$14,0))="","Cell will autofill based on response",INDEX('AC&amp;M'!$P$10:$P$14,MATCH($F57,'AC&amp;M'!$B$10:$B$14,0))),"N/A")</f>
        <v/>
      </c>
      <c r="T57" s="53">
        <f>IFERROR(IF(INDEX('GCE'!$P$10:$P$12,MATCH($F57,'GCE'!$B$10:$B$12,0))="","Cell will autofill based on response",INDEX('GCE'!$P$10:$P$12,MATCH($F57,'GCE'!$B$10:$B$12,0))),"N/A")</f>
        <v/>
      </c>
      <c r="U57" s="53">
        <f>IFERROR(IF(INDEX('Education'!$P$10:$P$13,MATCH($F57,'Education'!$B$10:$B$13,0))="","Cell will autofill based on response",INDEX('Education'!$P$10:$P$13,MATCH($F57,'Education'!$B$10:$B$13,0))),"N/A")</f>
        <v/>
      </c>
      <c r="V57" s="53">
        <f>IFERROR(IF(INDEX('SaSS'!$P$10:$P$12,MATCH($F57,'SaSS'!$B$10:$B$12,0))="","Cell will autofill based on response",INDEX('SaSS'!$P$10:$P$12,MATCH($F57,'SaSS'!$B$10:$B$12,0))),"N/A")</f>
        <v/>
      </c>
      <c r="W57" s="53">
        <f>IFERROR(IF(INDEX('Indigenous'!$P$10:$P$11,MATCH($F57,'Indigenous'!$B$10:$B$11,0))="","Cell will autofill based on response",INDEX('Indigenous'!$P$10:$P$11,MATCH($F57,'Indigenous'!$B$10:$B$11,0))),"N/A")</f>
        <v/>
      </c>
      <c r="X57" s="53">
        <f>IFERROR(IF(INDEX('L&amp;R'!$P$10:$P$11,MATCH($F57,'L&amp;R'!$B$10:$B$11,0))="","Cell will autofill based on response",INDEX('L&amp;R'!$P$10:$P$11,MATCH($F57,'L&amp;R'!$B$10:$B$11,0))),"N/A")</f>
        <v/>
      </c>
    </row>
    <row r="58">
      <c r="A58">
        <f>F58&amp;"|"&amp;G58</f>
        <v/>
      </c>
      <c r="B58" s="13" t="inlineStr"/>
      <c r="C58" s="8" t="inlineStr"/>
      <c r="D58" s="8" t="inlineStr"/>
      <c r="E58" s="8" t="inlineStr"/>
      <c r="F58" s="8" t="inlineStr">
        <is>
          <t>TR1(d)</t>
        </is>
      </c>
      <c r="G58" s="8" t="inlineStr">
        <is>
          <t>Data owner confirms</t>
        </is>
      </c>
      <c r="H58" s="53">
        <f>IFERROR(IF(INDEX('Faculties'!$Q$10:$Q$19,MATCH($F58,'Faculties'!$B$10:$B$19,0))="","Cell will autofill based on response",INDEX('Faculties'!$Q$10:$Q$19,MATCH($F58,'Faculties'!$B$10:$B$19,0))),"N/A")</f>
        <v/>
      </c>
      <c r="I58" s="53">
        <f>IFERROR(IF(INDEX('Faculties'!$Q$26:$Q$35,MATCH($F58,'Faculties'!$B$26:$B$35,0))="","Cell will autofill based on response",INDEX('Faculties'!$Q$26:$Q$35,MATCH($F58,'Faculties'!$B$26:$B$35,0))),"N/A")</f>
        <v/>
      </c>
      <c r="J58" s="53">
        <f>IFERROR(IF(INDEX('Faculties'!$Q$42:$Q$51,MATCH($F58,'Faculties'!$B$42:$B$51,0))="","Cell will autofill based on response",INDEX('Faculties'!$Q$42:$Q$51,MATCH($F58,'Faculties'!$B$42:$B$51,0))),"N/A")</f>
        <v/>
      </c>
      <c r="K58" s="53">
        <f>IFERROR(IF(INDEX('Faculties'!$Q$58:$Q$67,MATCH($F58,'Faculties'!$B$58:$B$67,0))="","Cell will autofill based on response",INDEX('Faculties'!$Q$58:$Q$67,MATCH($F58,'Faculties'!$B$58:$B$67,0))),"N/A")</f>
        <v/>
      </c>
      <c r="L58" s="53">
        <f>IFERROR(IF(INDEX('CI&amp;S'!$Q$10:$Q$15,MATCH($F58,'CI&amp;S'!$B$10:$B$15,0))="","Cell will autofill based on response",INDEX('CI&amp;S'!$Q$10:$Q$15,MATCH($F58,'CI&amp;S'!$B$10:$B$15,0))),"N/A")</f>
        <v/>
      </c>
      <c r="M58" s="53">
        <f>IFERROR(IF(INDEX('CI&amp;S'!$Q$22:$Q$36,MATCH($F58,'CI&amp;S'!$B$22:$B$36,0))="","Cell will autofill based on response",INDEX('CI&amp;S'!$Q$22:$Q$36,MATCH($F58,'CI&amp;S'!$B$22:$B$36,0))),"N/A")</f>
        <v/>
      </c>
      <c r="N58" s="53">
        <f>IFERROR(IF(INDEX('CFOG'!$Q$10:$Q$16,MATCH($F58,'CFOG'!$B$10:$B$16,0))="","Cell will autofill based on response",INDEX('CFOG'!$Q$10:$Q$16,MATCH($F58,'CFOG'!$B$10:$B$16,0))),"N/A")</f>
        <v/>
      </c>
      <c r="O58" s="53">
        <f>IFERROR(IF(INDEX('CFOG'!$Q$23:$Q$24,MATCH($F58,'CFOG'!$B$23:$B$24,0))="","Cell will autofill based on response",INDEX('CFOG'!$Q$23:$Q$24,MATCH($F58,'CFOG'!$B$23:$B$24,0))),"N/A")</f>
        <v/>
      </c>
      <c r="P58" s="53">
        <f>IFERROR(IF(INDEX('ESG'!$Q$10:$Q$17,MATCH($F58,'ESG'!$B$10:$B$17,0))="","Cell will autofill based on response",INDEX('ESG'!$Q$10:$Q$17,MATCH($F58,'ESG'!$B$10:$B$17,0))),"N/A")</f>
        <v/>
      </c>
      <c r="Q58" s="53">
        <f>IFERROR(IF(INDEX('CIOG'!$Q$10:$Q$14,MATCH($F58,'CIOG'!$B$10:$B$14,0))="","Cell will autofill based on response",INDEX('CIOG'!$Q$10:$Q$14,MATCH($F58,'CIOG'!$B$10:$B$14,0))),"N/A")</f>
        <v/>
      </c>
      <c r="R58" s="53">
        <f>IFERROR(IF(INDEX('MRE'!$Q$10:$Q$18,MATCH($F58,'MRE'!$B$10:$B$18,0))="","Cell will autofill based on response",INDEX('MRE'!$Q$10:$Q$18,MATCH($F58,'MRE'!$B$10:$B$18,0))),"N/A")</f>
        <v/>
      </c>
      <c r="S58" s="53">
        <f>IFERROR(IF(INDEX('AC&amp;M'!$Q$10:$Q$14,MATCH($F58,'AC&amp;M'!$B$10:$B$14,0))="","Cell will autofill based on response",INDEX('AC&amp;M'!$Q$10:$Q$14,MATCH($F58,'AC&amp;M'!$B$10:$B$14,0))),"N/A")</f>
        <v/>
      </c>
      <c r="T58" s="53">
        <f>IFERROR(IF(INDEX('GCE'!$Q$10:$Q$12,MATCH($F58,'GCE'!$B$10:$B$12,0))="","Cell will autofill based on response",INDEX('GCE'!$Q$10:$Q$12,MATCH($F58,'GCE'!$B$10:$B$12,0))),"N/A")</f>
        <v/>
      </c>
      <c r="U58" s="53">
        <f>IFERROR(IF(INDEX('Education'!$Q$10:$Q$13,MATCH($F58,'Education'!$B$10:$B$13,0))="","Cell will autofill based on response",INDEX('Education'!$Q$10:$Q$13,MATCH($F58,'Education'!$B$10:$B$13,0))),"N/A")</f>
        <v/>
      </c>
      <c r="V58" s="53">
        <f>IFERROR(IF(INDEX('SaSS'!$Q$10:$Q$12,MATCH($F58,'SaSS'!$B$10:$B$12,0))="","Cell will autofill based on response",INDEX('SaSS'!$Q$10:$Q$12,MATCH($F58,'SaSS'!$B$10:$B$12,0))),"N/A")</f>
        <v/>
      </c>
      <c r="W58" s="53">
        <f>IFERROR(IF(INDEX('Indigenous'!$Q$10:$Q$11,MATCH($F58,'Indigenous'!$B$10:$B$11,0))="","Cell will autofill based on response",INDEX('Indigenous'!$Q$10:$Q$11,MATCH($F58,'Indigenous'!$B$10:$B$11,0))),"N/A")</f>
        <v/>
      </c>
      <c r="X58" s="53">
        <f>IFERROR(IF(INDEX('L&amp;R'!$Q$10:$Q$11,MATCH($F58,'L&amp;R'!$B$10:$B$11,0))="","Cell will autofill based on response",INDEX('L&amp;R'!$Q$10:$Q$11,MATCH($F58,'L&amp;R'!$B$10:$B$11,0))),"N/A")</f>
        <v/>
      </c>
    </row>
    <row r="59">
      <c r="A59">
        <f>F59&amp;"|"&amp;G59</f>
        <v/>
      </c>
      <c r="B59" s="7" t="inlineStr">
        <is>
          <t>TR2(a)</t>
        </is>
      </c>
      <c r="C59" s="51" t="inlineStr">
        <is>
          <t>Transformational research</t>
        </is>
      </c>
      <c r="D59" s="51" t="inlineStr">
        <is>
          <t>Evidence of sustainability-related research impact across diverse pathways, could include policy, industry, community, practice, cultural and institutional outcomes</t>
        </is>
      </c>
      <c r="E59" s="51"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F59" s="51" t="inlineStr">
        <is>
          <t>TR2(a)</t>
        </is>
      </c>
      <c r="G59" s="51" t="inlineStr">
        <is>
          <t>Confirm end-2026 target status</t>
        </is>
      </c>
      <c r="H59" s="53">
        <f>IFERROR(IF(INDEX('Faculties'!$L$10:$L$19,MATCH($F59,'Faculties'!$B$10:$B$19,0))="","Cell will autofill based on response",INDEX('Faculties'!$L$10:$L$19,MATCH($F59,'Faculties'!$B$10:$B$19,0))),"N/A")</f>
        <v/>
      </c>
      <c r="I59" s="53">
        <f>IFERROR(IF(INDEX('Faculties'!$L$26:$L$35,MATCH($F59,'Faculties'!$B$26:$B$35,0))="","Cell will autofill based on response",INDEX('Faculties'!$L$26:$L$35,MATCH($F59,'Faculties'!$B$26:$B$35,0))),"N/A")</f>
        <v/>
      </c>
      <c r="J59" s="53">
        <f>IFERROR(IF(INDEX('Faculties'!$L$42:$L$51,MATCH($F59,'Faculties'!$B$42:$B$51,0))="","Cell will autofill based on response",INDEX('Faculties'!$L$42:$L$51,MATCH($F59,'Faculties'!$B$42:$B$51,0))),"N/A")</f>
        <v/>
      </c>
      <c r="K59" s="53">
        <f>IFERROR(IF(INDEX('Faculties'!$L$58:$L$67,MATCH($F59,'Faculties'!$B$58:$B$67,0))="","Cell will autofill based on response",INDEX('Faculties'!$L$58:$L$67,MATCH($F59,'Faculties'!$B$58:$B$67,0))),"N/A")</f>
        <v/>
      </c>
      <c r="L59" s="53">
        <f>IFERROR(IF(INDEX('CI&amp;S'!$L$10:$L$15,MATCH($F59,'CI&amp;S'!$B$10:$B$15,0))="","Cell will autofill based on response",INDEX('CI&amp;S'!$L$10:$L$15,MATCH($F59,'CI&amp;S'!$B$10:$B$15,0))),"N/A")</f>
        <v/>
      </c>
      <c r="M59" s="53">
        <f>IFERROR(IF(INDEX('CI&amp;S'!$L$22:$L$36,MATCH($F59,'CI&amp;S'!$B$22:$B$36,0))="","Cell will autofill based on response",INDEX('CI&amp;S'!$L$22:$L$36,MATCH($F59,'CI&amp;S'!$B$22:$B$36,0))),"N/A")</f>
        <v/>
      </c>
      <c r="N59" s="53">
        <f>IFERROR(IF(INDEX('CFOG'!$L$10:$L$16,MATCH($F59,'CFOG'!$B$10:$B$16,0))="","Cell will autofill based on response",INDEX('CFOG'!$L$10:$L$16,MATCH($F59,'CFOG'!$B$10:$B$16,0))),"N/A")</f>
        <v/>
      </c>
      <c r="O59" s="53">
        <f>IFERROR(IF(INDEX('CFOG'!$L$23:$L$24,MATCH($F59,'CFOG'!$B$23:$B$24,0))="","Cell will autofill based on response",INDEX('CFOG'!$L$23:$L$24,MATCH($F59,'CFOG'!$B$23:$B$24,0))),"N/A")</f>
        <v/>
      </c>
      <c r="P59" s="53">
        <f>IFERROR(IF(INDEX('ESG'!$L$10:$L$17,MATCH($F59,'ESG'!$B$10:$B$17,0))="","Cell will autofill based on response",INDEX('ESG'!$L$10:$L$17,MATCH($F59,'ESG'!$B$10:$B$17,0))),"N/A")</f>
        <v/>
      </c>
      <c r="Q59" s="53">
        <f>IFERROR(IF(INDEX('CIOG'!$L$10:$L$14,MATCH($F59,'CIOG'!$B$10:$B$14,0))="","Cell will autofill based on response",INDEX('CIOG'!$L$10:$L$14,MATCH($F59,'CIOG'!$B$10:$B$14,0))),"N/A")</f>
        <v/>
      </c>
      <c r="R59" s="53">
        <f>IFERROR(IF(INDEX('MRE'!$L$10:$L$18,MATCH($F59,'MRE'!$B$10:$B$18,0))="","Cell will autofill based on response",INDEX('MRE'!$L$10:$L$18,MATCH($F59,'MRE'!$B$10:$B$18,0))),"N/A")</f>
        <v/>
      </c>
      <c r="S59" s="53">
        <f>IFERROR(IF(INDEX('AC&amp;M'!$L$10:$L$14,MATCH($F59,'AC&amp;M'!$B$10:$B$14,0))="","Cell will autofill based on response",INDEX('AC&amp;M'!$L$10:$L$14,MATCH($F59,'AC&amp;M'!$B$10:$B$14,0))),"N/A")</f>
        <v/>
      </c>
      <c r="T59" s="53">
        <f>IFERROR(IF(INDEX('GCE'!$L$10:$L$12,MATCH($F59,'GCE'!$B$10:$B$12,0))="","Cell will autofill based on response",INDEX('GCE'!$L$10:$L$12,MATCH($F59,'GCE'!$B$10:$B$12,0))),"N/A")</f>
        <v/>
      </c>
      <c r="U59" s="53">
        <f>IFERROR(IF(INDEX('Education'!$L$10:$L$13,MATCH($F59,'Education'!$B$10:$B$13,0))="","Cell will autofill based on response",INDEX('Education'!$L$10:$L$13,MATCH($F59,'Education'!$B$10:$B$13,0))),"N/A")</f>
        <v/>
      </c>
      <c r="V59" s="53">
        <f>IFERROR(IF(INDEX('SaSS'!$L$10:$L$12,MATCH($F59,'SaSS'!$B$10:$B$12,0))="","Cell will autofill based on response",INDEX('SaSS'!$L$10:$L$12,MATCH($F59,'SaSS'!$B$10:$B$12,0))),"N/A")</f>
        <v/>
      </c>
      <c r="W59" s="53">
        <f>IFERROR(IF(INDEX('Indigenous'!$L$10:$L$11,MATCH($F59,'Indigenous'!$B$10:$B$11,0))="","Cell will autofill based on response",INDEX('Indigenous'!$L$10:$L$11,MATCH($F59,'Indigenous'!$B$10:$B$11,0))),"N/A")</f>
        <v/>
      </c>
      <c r="X59" s="53">
        <f>IFERROR(IF(INDEX('L&amp;R'!$L$10:$L$11,MATCH($F59,'L&amp;R'!$B$10:$B$11,0))="","Cell will autofill based on response",INDEX('L&amp;R'!$L$10:$L$11,MATCH($F59,'L&amp;R'!$B$10:$B$11,0))),"N/A")</f>
        <v/>
      </c>
      <c r="Z59" s="10">
        <f>COUNTIF($H59:$X59,"Cell will autofill based on response")</f>
        <v/>
      </c>
      <c r="AA59" s="10">
        <f>COUNTIF($H59:$X59,"Not yet started")</f>
        <v/>
      </c>
      <c r="AB59" s="10">
        <f>COUNTIF($H59:$X59,"Not met")</f>
        <v/>
      </c>
      <c r="AC59" s="10">
        <f>COUNTIF($H59:$X59,"Partially met")</f>
        <v/>
      </c>
      <c r="AD59" s="10">
        <f>COUNTIF($H59:$X59,"Met or exceeded")</f>
        <v/>
      </c>
      <c r="AE59" s="10">
        <f>3*AD59+2*AC59+AB59</f>
        <v/>
      </c>
      <c r="AF59" s="10">
        <f>AD59+AC59+AB59+AA59</f>
        <v/>
      </c>
      <c r="AG59" s="54">
        <f>IF(AF59&gt;0,AE59/AF59,"No valid responses to date")</f>
        <v/>
      </c>
      <c r="AH59" s="10">
        <f>IF(ISNUMBER(AG59),INDEX(Lists!$G$2:$G$5,MATCH(ROUND(AG59,0),Lists!$H$2:$H$5,0)),"")</f>
        <v/>
      </c>
      <c r="AI59" s="55">
        <f>IF(AF59&gt;0,AD59/AF59,"")</f>
        <v/>
      </c>
      <c r="AJ59" s="55">
        <f>IF(AF59&gt;0,(AD59+AC59)/AF59,"")</f>
        <v/>
      </c>
      <c r="AK59" s="10">
        <f>IF(AF59=0,"",IF(AI59&gt;0.75,"Met or exceeded",IF(AJ59&gt;=0.5,"Partially met","Not met")))</f>
        <v/>
      </c>
    </row>
    <row r="60">
      <c r="A60">
        <f>F60&amp;"|"&amp;G60</f>
        <v/>
      </c>
      <c r="B60" s="13" t="inlineStr"/>
      <c r="C60" s="8" t="inlineStr"/>
      <c r="D60" s="8" t="inlineStr"/>
      <c r="E60" s="8" t="inlineStr"/>
      <c r="F60" s="8" t="inlineStr">
        <is>
          <t>TR2(a)</t>
        </is>
      </c>
      <c r="G60" s="8" t="inlineStr">
        <is>
          <t>OPTION 1:  Target-level reporting</t>
        </is>
      </c>
      <c r="H60" s="53">
        <f>IFERROR(IF(INDEX('Faculties'!$M$10:$M$19,MATCH($F60,'Faculties'!$B$10:$B$19,0))="","Cell will autofill based on response",INDEX('Faculties'!$M$10:$M$19,MATCH($F60,'Faculties'!$B$10:$B$19,0))),"N/A")</f>
        <v/>
      </c>
      <c r="I60" s="53">
        <f>IFERROR(IF(INDEX('Faculties'!$M$26:$M$35,MATCH($F60,'Faculties'!$B$26:$B$35,0))="","Cell will autofill based on response",INDEX('Faculties'!$M$26:$M$35,MATCH($F60,'Faculties'!$B$26:$B$35,0))),"N/A")</f>
        <v/>
      </c>
      <c r="J60" s="53">
        <f>IFERROR(IF(INDEX('Faculties'!$M$42:$M$51,MATCH($F60,'Faculties'!$B$42:$B$51,0))="","Cell will autofill based on response",INDEX('Faculties'!$M$42:$M$51,MATCH($F60,'Faculties'!$B$42:$B$51,0))),"N/A")</f>
        <v/>
      </c>
      <c r="K60" s="53">
        <f>IFERROR(IF(INDEX('Faculties'!$M$58:$M$67,MATCH($F60,'Faculties'!$B$58:$B$67,0))="","Cell will autofill based on response",INDEX('Faculties'!$M$58:$M$67,MATCH($F60,'Faculties'!$B$58:$B$67,0))),"N/A")</f>
        <v/>
      </c>
      <c r="L60" s="53">
        <f>IFERROR(IF(INDEX('CI&amp;S'!$M$10:$M$15,MATCH($F60,'CI&amp;S'!$B$10:$B$15,0))="","Cell will autofill based on response",INDEX('CI&amp;S'!$M$10:$M$15,MATCH($F60,'CI&amp;S'!$B$10:$B$15,0))),"N/A")</f>
        <v/>
      </c>
      <c r="M60" s="53">
        <f>IFERROR(IF(INDEX('CI&amp;S'!$M$22:$M$36,MATCH($F60,'CI&amp;S'!$B$22:$B$36,0))="","Cell will autofill based on response",INDEX('CI&amp;S'!$M$22:$M$36,MATCH($F60,'CI&amp;S'!$B$22:$B$36,0))),"N/A")</f>
        <v/>
      </c>
      <c r="N60" s="53">
        <f>IFERROR(IF(INDEX('CFOG'!$M$10:$M$16,MATCH($F60,'CFOG'!$B$10:$B$16,0))="","Cell will autofill based on response",INDEX('CFOG'!$M$10:$M$16,MATCH($F60,'CFOG'!$B$10:$B$16,0))),"N/A")</f>
        <v/>
      </c>
      <c r="O60" s="53">
        <f>IFERROR(IF(INDEX('CFOG'!$M$23:$M$24,MATCH($F60,'CFOG'!$B$23:$B$24,0))="","Cell will autofill based on response",INDEX('CFOG'!$M$23:$M$24,MATCH($F60,'CFOG'!$B$23:$B$24,0))),"N/A")</f>
        <v/>
      </c>
      <c r="P60" s="53">
        <f>IFERROR(IF(INDEX('ESG'!$M$10:$M$17,MATCH($F60,'ESG'!$B$10:$B$17,0))="","Cell will autofill based on response",INDEX('ESG'!$M$10:$M$17,MATCH($F60,'ESG'!$B$10:$B$17,0))),"N/A")</f>
        <v/>
      </c>
      <c r="Q60" s="53">
        <f>IFERROR(IF(INDEX('CIOG'!$M$10:$M$14,MATCH($F60,'CIOG'!$B$10:$B$14,0))="","Cell will autofill based on response",INDEX('CIOG'!$M$10:$M$14,MATCH($F60,'CIOG'!$B$10:$B$14,0))),"N/A")</f>
        <v/>
      </c>
      <c r="R60" s="53">
        <f>IFERROR(IF(INDEX('MRE'!$M$10:$M$18,MATCH($F60,'MRE'!$B$10:$B$18,0))="","Cell will autofill based on response",INDEX('MRE'!$M$10:$M$18,MATCH($F60,'MRE'!$B$10:$B$18,0))),"N/A")</f>
        <v/>
      </c>
      <c r="S60" s="53">
        <f>IFERROR(IF(INDEX('AC&amp;M'!$M$10:$M$14,MATCH($F60,'AC&amp;M'!$B$10:$B$14,0))="","Cell will autofill based on response",INDEX('AC&amp;M'!$M$10:$M$14,MATCH($F60,'AC&amp;M'!$B$10:$B$14,0))),"N/A")</f>
        <v/>
      </c>
      <c r="T60" s="53">
        <f>IFERROR(IF(INDEX('GCE'!$M$10:$M$12,MATCH($F60,'GCE'!$B$10:$B$12,0))="","Cell will autofill based on response",INDEX('GCE'!$M$10:$M$12,MATCH($F60,'GCE'!$B$10:$B$12,0))),"N/A")</f>
        <v/>
      </c>
      <c r="U60" s="53">
        <f>IFERROR(IF(INDEX('Education'!$M$10:$M$13,MATCH($F60,'Education'!$B$10:$B$13,0))="","Cell will autofill based on response",INDEX('Education'!$M$10:$M$13,MATCH($F60,'Education'!$B$10:$B$13,0))),"N/A")</f>
        <v/>
      </c>
      <c r="V60" s="53">
        <f>IFERROR(IF(INDEX('SaSS'!$M$10:$M$12,MATCH($F60,'SaSS'!$B$10:$B$12,0))="","Cell will autofill based on response",INDEX('SaSS'!$M$10:$M$12,MATCH($F60,'SaSS'!$B$10:$B$12,0))),"N/A")</f>
        <v/>
      </c>
      <c r="W60" s="53">
        <f>IFERROR(IF(INDEX('Indigenous'!$M$10:$M$11,MATCH($F60,'Indigenous'!$B$10:$B$11,0))="","Cell will autofill based on response",INDEX('Indigenous'!$M$10:$M$11,MATCH($F60,'Indigenous'!$B$10:$B$11,0))),"N/A")</f>
        <v/>
      </c>
      <c r="X60" s="53">
        <f>IFERROR(IF(INDEX('L&amp;R'!$M$10:$M$11,MATCH($F60,'L&amp;R'!$B$10:$B$11,0))="","Cell will autofill based on response",INDEX('L&amp;R'!$M$10:$M$11,MATCH($F60,'L&amp;R'!$B$10:$B$11,0))),"N/A")</f>
        <v/>
      </c>
    </row>
    <row r="61">
      <c r="A61">
        <f>F61&amp;"|"&amp;G61</f>
        <v/>
      </c>
      <c r="B61" s="13" t="inlineStr"/>
      <c r="C61" s="8" t="inlineStr"/>
      <c r="D61" s="8" t="inlineStr"/>
      <c r="E61" s="8" t="inlineStr"/>
      <c r="F61" s="8" t="inlineStr">
        <is>
          <t>TR2(a)</t>
        </is>
      </c>
      <c r="G61" s="8" t="inlineStr">
        <is>
          <t>OPTION 2:  Indicator level reporting</t>
        </is>
      </c>
      <c r="H61" s="53">
        <f>IFERROR(IF(INDEX('Faculties'!$N$10:$N$19,MATCH($F61,'Faculties'!$B$10:$B$19,0))="","Cell will autofill based on response",INDEX('Faculties'!$N$10:$N$19,MATCH($F61,'Faculties'!$B$10:$B$19,0))),"N/A")</f>
        <v/>
      </c>
      <c r="I61" s="53">
        <f>IFERROR(IF(INDEX('Faculties'!$N$26:$N$35,MATCH($F61,'Faculties'!$B$26:$B$35,0))="","Cell will autofill based on response",INDEX('Faculties'!$N$26:$N$35,MATCH($F61,'Faculties'!$B$26:$B$35,0))),"N/A")</f>
        <v/>
      </c>
      <c r="J61" s="53">
        <f>IFERROR(IF(INDEX('Faculties'!$N$42:$N$51,MATCH($F61,'Faculties'!$B$42:$B$51,0))="","Cell will autofill based on response",INDEX('Faculties'!$N$42:$N$51,MATCH($F61,'Faculties'!$B$42:$B$51,0))),"N/A")</f>
        <v/>
      </c>
      <c r="K61" s="53">
        <f>IFERROR(IF(INDEX('Faculties'!$N$58:$N$67,MATCH($F61,'Faculties'!$B$58:$B$67,0))="","Cell will autofill based on response",INDEX('Faculties'!$N$58:$N$67,MATCH($F61,'Faculties'!$B$58:$B$67,0))),"N/A")</f>
        <v/>
      </c>
      <c r="L61" s="53">
        <f>IFERROR(IF(INDEX('CI&amp;S'!$N$10:$N$15,MATCH($F61,'CI&amp;S'!$B$10:$B$15,0))="","Cell will autofill based on response",INDEX('CI&amp;S'!$N$10:$N$15,MATCH($F61,'CI&amp;S'!$B$10:$B$15,0))),"N/A")</f>
        <v/>
      </c>
      <c r="M61" s="53">
        <f>IFERROR(IF(INDEX('CI&amp;S'!$N$22:$N$36,MATCH($F61,'CI&amp;S'!$B$22:$B$36,0))="","Cell will autofill based on response",INDEX('CI&amp;S'!$N$22:$N$36,MATCH($F61,'CI&amp;S'!$B$22:$B$36,0))),"N/A")</f>
        <v/>
      </c>
      <c r="N61" s="53">
        <f>IFERROR(IF(INDEX('CFOG'!$N$10:$N$16,MATCH($F61,'CFOG'!$B$10:$B$16,0))="","Cell will autofill based on response",INDEX('CFOG'!$N$10:$N$16,MATCH($F61,'CFOG'!$B$10:$B$16,0))),"N/A")</f>
        <v/>
      </c>
      <c r="O61" s="53">
        <f>IFERROR(IF(INDEX('CFOG'!$N$23:$N$24,MATCH($F61,'CFOG'!$B$23:$B$24,0))="","Cell will autofill based on response",INDEX('CFOG'!$N$23:$N$24,MATCH($F61,'CFOG'!$B$23:$B$24,0))),"N/A")</f>
        <v/>
      </c>
      <c r="P61" s="53">
        <f>IFERROR(IF(INDEX('ESG'!$N$10:$N$17,MATCH($F61,'ESG'!$B$10:$B$17,0))="","Cell will autofill based on response",INDEX('ESG'!$N$10:$N$17,MATCH($F61,'ESG'!$B$10:$B$17,0))),"N/A")</f>
        <v/>
      </c>
      <c r="Q61" s="53">
        <f>IFERROR(IF(INDEX('CIOG'!$N$10:$N$14,MATCH($F61,'CIOG'!$B$10:$B$14,0))="","Cell will autofill based on response",INDEX('CIOG'!$N$10:$N$14,MATCH($F61,'CIOG'!$B$10:$B$14,0))),"N/A")</f>
        <v/>
      </c>
      <c r="R61" s="53">
        <f>IFERROR(IF(INDEX('MRE'!$N$10:$N$18,MATCH($F61,'MRE'!$B$10:$B$18,0))="","Cell will autofill based on response",INDEX('MRE'!$N$10:$N$18,MATCH($F61,'MRE'!$B$10:$B$18,0))),"N/A")</f>
        <v/>
      </c>
      <c r="S61" s="53">
        <f>IFERROR(IF(INDEX('AC&amp;M'!$N$10:$N$14,MATCH($F61,'AC&amp;M'!$B$10:$B$14,0))="","Cell will autofill based on response",INDEX('AC&amp;M'!$N$10:$N$14,MATCH($F61,'AC&amp;M'!$B$10:$B$14,0))),"N/A")</f>
        <v/>
      </c>
      <c r="T61" s="53">
        <f>IFERROR(IF(INDEX('GCE'!$N$10:$N$12,MATCH($F61,'GCE'!$B$10:$B$12,0))="","Cell will autofill based on response",INDEX('GCE'!$N$10:$N$12,MATCH($F61,'GCE'!$B$10:$B$12,0))),"N/A")</f>
        <v/>
      </c>
      <c r="U61" s="53">
        <f>IFERROR(IF(INDEX('Education'!$N$10:$N$13,MATCH($F61,'Education'!$B$10:$B$13,0))="","Cell will autofill based on response",INDEX('Education'!$N$10:$N$13,MATCH($F61,'Education'!$B$10:$B$13,0))),"N/A")</f>
        <v/>
      </c>
      <c r="V61" s="53">
        <f>IFERROR(IF(INDEX('SaSS'!$N$10:$N$12,MATCH($F61,'SaSS'!$B$10:$B$12,0))="","Cell will autofill based on response",INDEX('SaSS'!$N$10:$N$12,MATCH($F61,'SaSS'!$B$10:$B$12,0))),"N/A")</f>
        <v/>
      </c>
      <c r="W61" s="53">
        <f>IFERROR(IF(INDEX('Indigenous'!$N$10:$N$11,MATCH($F61,'Indigenous'!$B$10:$B$11,0))="","Cell will autofill based on response",INDEX('Indigenous'!$N$10:$N$11,MATCH($F61,'Indigenous'!$B$10:$B$11,0))),"N/A")</f>
        <v/>
      </c>
      <c r="X61" s="53">
        <f>IFERROR(IF(INDEX('L&amp;R'!$N$10:$N$11,MATCH($F61,'L&amp;R'!$B$10:$B$11,0))="","Cell will autofill based on response",INDEX('L&amp;R'!$N$10:$N$11,MATCH($F61,'L&amp;R'!$B$10:$B$11,0))),"N/A")</f>
        <v/>
      </c>
    </row>
    <row r="62">
      <c r="A62">
        <f>F62&amp;"|"&amp;G62</f>
        <v/>
      </c>
      <c r="B62" s="13" t="inlineStr"/>
      <c r="C62" s="8" t="inlineStr"/>
      <c r="D62" s="8" t="inlineStr"/>
      <c r="E62" s="8" t="inlineStr"/>
      <c r="F62" s="8" t="inlineStr">
        <is>
          <t>TR2(a)</t>
        </is>
      </c>
      <c r="G62" s="8" t="inlineStr">
        <is>
          <t>Supporting information/comments</t>
        </is>
      </c>
      <c r="H62" s="53">
        <f>IFERROR(IF(INDEX('Faculties'!$O$10:$O$19,MATCH($F62,'Faculties'!$B$10:$B$19,0))="","Cell will autofill based on response",INDEX('Faculties'!$O$10:$O$19,MATCH($F62,'Faculties'!$B$10:$B$19,0))),"N/A")</f>
        <v/>
      </c>
      <c r="I62" s="53">
        <f>IFERROR(IF(INDEX('Faculties'!$O$26:$O$35,MATCH($F62,'Faculties'!$B$26:$B$35,0))="","Cell will autofill based on response",INDEX('Faculties'!$O$26:$O$35,MATCH($F62,'Faculties'!$B$26:$B$35,0))),"N/A")</f>
        <v/>
      </c>
      <c r="J62" s="53">
        <f>IFERROR(IF(INDEX('Faculties'!$O$42:$O$51,MATCH($F62,'Faculties'!$B$42:$B$51,0))="","Cell will autofill based on response",INDEX('Faculties'!$O$42:$O$51,MATCH($F62,'Faculties'!$B$42:$B$51,0))),"N/A")</f>
        <v/>
      </c>
      <c r="K62" s="53">
        <f>IFERROR(IF(INDEX('Faculties'!$O$58:$O$67,MATCH($F62,'Faculties'!$B$58:$B$67,0))="","Cell will autofill based on response",INDEX('Faculties'!$O$58:$O$67,MATCH($F62,'Faculties'!$B$58:$B$67,0))),"N/A")</f>
        <v/>
      </c>
      <c r="L62" s="53">
        <f>IFERROR(IF(INDEX('CI&amp;S'!$O$10:$O$15,MATCH($F62,'CI&amp;S'!$B$10:$B$15,0))="","Cell will autofill based on response",INDEX('CI&amp;S'!$O$10:$O$15,MATCH($F62,'CI&amp;S'!$B$10:$B$15,0))),"N/A")</f>
        <v/>
      </c>
      <c r="M62" s="53">
        <f>IFERROR(IF(INDEX('CI&amp;S'!$O$22:$O$36,MATCH($F62,'CI&amp;S'!$B$22:$B$36,0))="","Cell will autofill based on response",INDEX('CI&amp;S'!$O$22:$O$36,MATCH($F62,'CI&amp;S'!$B$22:$B$36,0))),"N/A")</f>
        <v/>
      </c>
      <c r="N62" s="53">
        <f>IFERROR(IF(INDEX('CFOG'!$O$10:$O$16,MATCH($F62,'CFOG'!$B$10:$B$16,0))="","Cell will autofill based on response",INDEX('CFOG'!$O$10:$O$16,MATCH($F62,'CFOG'!$B$10:$B$16,0))),"N/A")</f>
        <v/>
      </c>
      <c r="O62" s="53">
        <f>IFERROR(IF(INDEX('CFOG'!$O$23:$O$24,MATCH($F62,'CFOG'!$B$23:$B$24,0))="","Cell will autofill based on response",INDEX('CFOG'!$O$23:$O$24,MATCH($F62,'CFOG'!$B$23:$B$24,0))),"N/A")</f>
        <v/>
      </c>
      <c r="P62" s="53">
        <f>IFERROR(IF(INDEX('ESG'!$O$10:$O$17,MATCH($F62,'ESG'!$B$10:$B$17,0))="","Cell will autofill based on response",INDEX('ESG'!$O$10:$O$17,MATCH($F62,'ESG'!$B$10:$B$17,0))),"N/A")</f>
        <v/>
      </c>
      <c r="Q62" s="53">
        <f>IFERROR(IF(INDEX('CIOG'!$O$10:$O$14,MATCH($F62,'CIOG'!$B$10:$B$14,0))="","Cell will autofill based on response",INDEX('CIOG'!$O$10:$O$14,MATCH($F62,'CIOG'!$B$10:$B$14,0))),"N/A")</f>
        <v/>
      </c>
      <c r="R62" s="53">
        <f>IFERROR(IF(INDEX('MRE'!$O$10:$O$18,MATCH($F62,'MRE'!$B$10:$B$18,0))="","Cell will autofill based on response",INDEX('MRE'!$O$10:$O$18,MATCH($F62,'MRE'!$B$10:$B$18,0))),"N/A")</f>
        <v/>
      </c>
      <c r="S62" s="53">
        <f>IFERROR(IF(INDEX('AC&amp;M'!$O$10:$O$14,MATCH($F62,'AC&amp;M'!$B$10:$B$14,0))="","Cell will autofill based on response",INDEX('AC&amp;M'!$O$10:$O$14,MATCH($F62,'AC&amp;M'!$B$10:$B$14,0))),"N/A")</f>
        <v/>
      </c>
      <c r="T62" s="53">
        <f>IFERROR(IF(INDEX('GCE'!$O$10:$O$12,MATCH($F62,'GCE'!$B$10:$B$12,0))="","Cell will autofill based on response",INDEX('GCE'!$O$10:$O$12,MATCH($F62,'GCE'!$B$10:$B$12,0))),"N/A")</f>
        <v/>
      </c>
      <c r="U62" s="53">
        <f>IFERROR(IF(INDEX('Education'!$O$10:$O$13,MATCH($F62,'Education'!$B$10:$B$13,0))="","Cell will autofill based on response",INDEX('Education'!$O$10:$O$13,MATCH($F62,'Education'!$B$10:$B$13,0))),"N/A")</f>
        <v/>
      </c>
      <c r="V62" s="53">
        <f>IFERROR(IF(INDEX('SaSS'!$O$10:$O$12,MATCH($F62,'SaSS'!$B$10:$B$12,0))="","Cell will autofill based on response",INDEX('SaSS'!$O$10:$O$12,MATCH($F62,'SaSS'!$B$10:$B$12,0))),"N/A")</f>
        <v/>
      </c>
      <c r="W62" s="53">
        <f>IFERROR(IF(INDEX('Indigenous'!$O$10:$O$11,MATCH($F62,'Indigenous'!$B$10:$B$11,0))="","Cell will autofill based on response",INDEX('Indigenous'!$O$10:$O$11,MATCH($F62,'Indigenous'!$B$10:$B$11,0))),"N/A")</f>
        <v/>
      </c>
      <c r="X62" s="53">
        <f>IFERROR(IF(INDEX('L&amp;R'!$O$10:$O$11,MATCH($F62,'L&amp;R'!$B$10:$B$11,0))="","Cell will autofill based on response",INDEX('L&amp;R'!$O$10:$O$11,MATCH($F62,'L&amp;R'!$B$10:$B$11,0))),"N/A")</f>
        <v/>
      </c>
    </row>
    <row r="63">
      <c r="A63">
        <f>F63&amp;"|"&amp;G63</f>
        <v/>
      </c>
      <c r="B63" s="13" t="inlineStr"/>
      <c r="C63" s="8" t="inlineStr"/>
      <c r="D63" s="8" t="inlineStr"/>
      <c r="E63" s="8" t="inlineStr"/>
      <c r="F63" s="8" t="inlineStr">
        <is>
          <t>TR2(a)</t>
        </is>
      </c>
      <c r="G63" s="8" t="inlineStr">
        <is>
          <t>Data source and limitations</t>
        </is>
      </c>
      <c r="H63" s="53">
        <f>IFERROR(IF(INDEX('Faculties'!$P$10:$P$19,MATCH($F63,'Faculties'!$B$10:$B$19,0))="","Cell will autofill based on response",INDEX('Faculties'!$P$10:$P$19,MATCH($F63,'Faculties'!$B$10:$B$19,0))),"N/A")</f>
        <v/>
      </c>
      <c r="I63" s="53">
        <f>IFERROR(IF(INDEX('Faculties'!$P$26:$P$35,MATCH($F63,'Faculties'!$B$26:$B$35,0))="","Cell will autofill based on response",INDEX('Faculties'!$P$26:$P$35,MATCH($F63,'Faculties'!$B$26:$B$35,0))),"N/A")</f>
        <v/>
      </c>
      <c r="J63" s="53">
        <f>IFERROR(IF(INDEX('Faculties'!$P$42:$P$51,MATCH($F63,'Faculties'!$B$42:$B$51,0))="","Cell will autofill based on response",INDEX('Faculties'!$P$42:$P$51,MATCH($F63,'Faculties'!$B$42:$B$51,0))),"N/A")</f>
        <v/>
      </c>
      <c r="K63" s="53">
        <f>IFERROR(IF(INDEX('Faculties'!$P$58:$P$67,MATCH($F63,'Faculties'!$B$58:$B$67,0))="","Cell will autofill based on response",INDEX('Faculties'!$P$58:$P$67,MATCH($F63,'Faculties'!$B$58:$B$67,0))),"N/A")</f>
        <v/>
      </c>
      <c r="L63" s="53">
        <f>IFERROR(IF(INDEX('CI&amp;S'!$P$10:$P$15,MATCH($F63,'CI&amp;S'!$B$10:$B$15,0))="","Cell will autofill based on response",INDEX('CI&amp;S'!$P$10:$P$15,MATCH($F63,'CI&amp;S'!$B$10:$B$15,0))),"N/A")</f>
        <v/>
      </c>
      <c r="M63" s="53">
        <f>IFERROR(IF(INDEX('CI&amp;S'!$P$22:$P$36,MATCH($F63,'CI&amp;S'!$B$22:$B$36,0))="","Cell will autofill based on response",INDEX('CI&amp;S'!$P$22:$P$36,MATCH($F63,'CI&amp;S'!$B$22:$B$36,0))),"N/A")</f>
        <v/>
      </c>
      <c r="N63" s="53">
        <f>IFERROR(IF(INDEX('CFOG'!$P$10:$P$16,MATCH($F63,'CFOG'!$B$10:$B$16,0))="","Cell will autofill based on response",INDEX('CFOG'!$P$10:$P$16,MATCH($F63,'CFOG'!$B$10:$B$16,0))),"N/A")</f>
        <v/>
      </c>
      <c r="O63" s="53">
        <f>IFERROR(IF(INDEX('CFOG'!$P$23:$P$24,MATCH($F63,'CFOG'!$B$23:$B$24,0))="","Cell will autofill based on response",INDEX('CFOG'!$P$23:$P$24,MATCH($F63,'CFOG'!$B$23:$B$24,0))),"N/A")</f>
        <v/>
      </c>
      <c r="P63" s="53">
        <f>IFERROR(IF(INDEX('ESG'!$P$10:$P$17,MATCH($F63,'ESG'!$B$10:$B$17,0))="","Cell will autofill based on response",INDEX('ESG'!$P$10:$P$17,MATCH($F63,'ESG'!$B$10:$B$17,0))),"N/A")</f>
        <v/>
      </c>
      <c r="Q63" s="53">
        <f>IFERROR(IF(INDEX('CIOG'!$P$10:$P$14,MATCH($F63,'CIOG'!$B$10:$B$14,0))="","Cell will autofill based on response",INDEX('CIOG'!$P$10:$P$14,MATCH($F63,'CIOG'!$B$10:$B$14,0))),"N/A")</f>
        <v/>
      </c>
      <c r="R63" s="53">
        <f>IFERROR(IF(INDEX('MRE'!$P$10:$P$18,MATCH($F63,'MRE'!$B$10:$B$18,0))="","Cell will autofill based on response",INDEX('MRE'!$P$10:$P$18,MATCH($F63,'MRE'!$B$10:$B$18,0))),"N/A")</f>
        <v/>
      </c>
      <c r="S63" s="53">
        <f>IFERROR(IF(INDEX('AC&amp;M'!$P$10:$P$14,MATCH($F63,'AC&amp;M'!$B$10:$B$14,0))="","Cell will autofill based on response",INDEX('AC&amp;M'!$P$10:$P$14,MATCH($F63,'AC&amp;M'!$B$10:$B$14,0))),"N/A")</f>
        <v/>
      </c>
      <c r="T63" s="53">
        <f>IFERROR(IF(INDEX('GCE'!$P$10:$P$12,MATCH($F63,'GCE'!$B$10:$B$12,0))="","Cell will autofill based on response",INDEX('GCE'!$P$10:$P$12,MATCH($F63,'GCE'!$B$10:$B$12,0))),"N/A")</f>
        <v/>
      </c>
      <c r="U63" s="53">
        <f>IFERROR(IF(INDEX('Education'!$P$10:$P$13,MATCH($F63,'Education'!$B$10:$B$13,0))="","Cell will autofill based on response",INDEX('Education'!$P$10:$P$13,MATCH($F63,'Education'!$B$10:$B$13,0))),"N/A")</f>
        <v/>
      </c>
      <c r="V63" s="53">
        <f>IFERROR(IF(INDEX('SaSS'!$P$10:$P$12,MATCH($F63,'SaSS'!$B$10:$B$12,0))="","Cell will autofill based on response",INDEX('SaSS'!$P$10:$P$12,MATCH($F63,'SaSS'!$B$10:$B$12,0))),"N/A")</f>
        <v/>
      </c>
      <c r="W63" s="53">
        <f>IFERROR(IF(INDEX('Indigenous'!$P$10:$P$11,MATCH($F63,'Indigenous'!$B$10:$B$11,0))="","Cell will autofill based on response",INDEX('Indigenous'!$P$10:$P$11,MATCH($F63,'Indigenous'!$B$10:$B$11,0))),"N/A")</f>
        <v/>
      </c>
      <c r="X63" s="53">
        <f>IFERROR(IF(INDEX('L&amp;R'!$P$10:$P$11,MATCH($F63,'L&amp;R'!$B$10:$B$11,0))="","Cell will autofill based on response",INDEX('L&amp;R'!$P$10:$P$11,MATCH($F63,'L&amp;R'!$B$10:$B$11,0))),"N/A")</f>
        <v/>
      </c>
    </row>
    <row r="64">
      <c r="A64">
        <f>F64&amp;"|"&amp;G64</f>
        <v/>
      </c>
      <c r="B64" s="13" t="inlineStr"/>
      <c r="C64" s="8" t="inlineStr"/>
      <c r="D64" s="8" t="inlineStr"/>
      <c r="E64" s="8" t="inlineStr"/>
      <c r="F64" s="8" t="inlineStr">
        <is>
          <t>TR2(a)</t>
        </is>
      </c>
      <c r="G64" s="8" t="inlineStr">
        <is>
          <t>Data owner confirms</t>
        </is>
      </c>
      <c r="H64" s="53">
        <f>IFERROR(IF(INDEX('Faculties'!$Q$10:$Q$19,MATCH($F64,'Faculties'!$B$10:$B$19,0))="","Cell will autofill based on response",INDEX('Faculties'!$Q$10:$Q$19,MATCH($F64,'Faculties'!$B$10:$B$19,0))),"N/A")</f>
        <v/>
      </c>
      <c r="I64" s="53">
        <f>IFERROR(IF(INDEX('Faculties'!$Q$26:$Q$35,MATCH($F64,'Faculties'!$B$26:$B$35,0))="","Cell will autofill based on response",INDEX('Faculties'!$Q$26:$Q$35,MATCH($F64,'Faculties'!$B$26:$B$35,0))),"N/A")</f>
        <v/>
      </c>
      <c r="J64" s="53">
        <f>IFERROR(IF(INDEX('Faculties'!$Q$42:$Q$51,MATCH($F64,'Faculties'!$B$42:$B$51,0))="","Cell will autofill based on response",INDEX('Faculties'!$Q$42:$Q$51,MATCH($F64,'Faculties'!$B$42:$B$51,0))),"N/A")</f>
        <v/>
      </c>
      <c r="K64" s="53">
        <f>IFERROR(IF(INDEX('Faculties'!$Q$58:$Q$67,MATCH($F64,'Faculties'!$B$58:$B$67,0))="","Cell will autofill based on response",INDEX('Faculties'!$Q$58:$Q$67,MATCH($F64,'Faculties'!$B$58:$B$67,0))),"N/A")</f>
        <v/>
      </c>
      <c r="L64" s="53">
        <f>IFERROR(IF(INDEX('CI&amp;S'!$Q$10:$Q$15,MATCH($F64,'CI&amp;S'!$B$10:$B$15,0))="","Cell will autofill based on response",INDEX('CI&amp;S'!$Q$10:$Q$15,MATCH($F64,'CI&amp;S'!$B$10:$B$15,0))),"N/A")</f>
        <v/>
      </c>
      <c r="M64" s="53">
        <f>IFERROR(IF(INDEX('CI&amp;S'!$Q$22:$Q$36,MATCH($F64,'CI&amp;S'!$B$22:$B$36,0))="","Cell will autofill based on response",INDEX('CI&amp;S'!$Q$22:$Q$36,MATCH($F64,'CI&amp;S'!$B$22:$B$36,0))),"N/A")</f>
        <v/>
      </c>
      <c r="N64" s="53">
        <f>IFERROR(IF(INDEX('CFOG'!$Q$10:$Q$16,MATCH($F64,'CFOG'!$B$10:$B$16,0))="","Cell will autofill based on response",INDEX('CFOG'!$Q$10:$Q$16,MATCH($F64,'CFOG'!$B$10:$B$16,0))),"N/A")</f>
        <v/>
      </c>
      <c r="O64" s="53">
        <f>IFERROR(IF(INDEX('CFOG'!$Q$23:$Q$24,MATCH($F64,'CFOG'!$B$23:$B$24,0))="","Cell will autofill based on response",INDEX('CFOG'!$Q$23:$Q$24,MATCH($F64,'CFOG'!$B$23:$B$24,0))),"N/A")</f>
        <v/>
      </c>
      <c r="P64" s="53">
        <f>IFERROR(IF(INDEX('ESG'!$Q$10:$Q$17,MATCH($F64,'ESG'!$B$10:$B$17,0))="","Cell will autofill based on response",INDEX('ESG'!$Q$10:$Q$17,MATCH($F64,'ESG'!$B$10:$B$17,0))),"N/A")</f>
        <v/>
      </c>
      <c r="Q64" s="53">
        <f>IFERROR(IF(INDEX('CIOG'!$Q$10:$Q$14,MATCH($F64,'CIOG'!$B$10:$B$14,0))="","Cell will autofill based on response",INDEX('CIOG'!$Q$10:$Q$14,MATCH($F64,'CIOG'!$B$10:$B$14,0))),"N/A")</f>
        <v/>
      </c>
      <c r="R64" s="53">
        <f>IFERROR(IF(INDEX('MRE'!$Q$10:$Q$18,MATCH($F64,'MRE'!$B$10:$B$18,0))="","Cell will autofill based on response",INDEX('MRE'!$Q$10:$Q$18,MATCH($F64,'MRE'!$B$10:$B$18,0))),"N/A")</f>
        <v/>
      </c>
      <c r="S64" s="53">
        <f>IFERROR(IF(INDEX('AC&amp;M'!$Q$10:$Q$14,MATCH($F64,'AC&amp;M'!$B$10:$B$14,0))="","Cell will autofill based on response",INDEX('AC&amp;M'!$Q$10:$Q$14,MATCH($F64,'AC&amp;M'!$B$10:$B$14,0))),"N/A")</f>
        <v/>
      </c>
      <c r="T64" s="53">
        <f>IFERROR(IF(INDEX('GCE'!$Q$10:$Q$12,MATCH($F64,'GCE'!$B$10:$B$12,0))="","Cell will autofill based on response",INDEX('GCE'!$Q$10:$Q$12,MATCH($F64,'GCE'!$B$10:$B$12,0))),"N/A")</f>
        <v/>
      </c>
      <c r="U64" s="53">
        <f>IFERROR(IF(INDEX('Education'!$Q$10:$Q$13,MATCH($F64,'Education'!$B$10:$B$13,0))="","Cell will autofill based on response",INDEX('Education'!$Q$10:$Q$13,MATCH($F64,'Education'!$B$10:$B$13,0))),"N/A")</f>
        <v/>
      </c>
      <c r="V64" s="53">
        <f>IFERROR(IF(INDEX('SaSS'!$Q$10:$Q$12,MATCH($F64,'SaSS'!$B$10:$B$12,0))="","Cell will autofill based on response",INDEX('SaSS'!$Q$10:$Q$12,MATCH($F64,'SaSS'!$B$10:$B$12,0))),"N/A")</f>
        <v/>
      </c>
      <c r="W64" s="53">
        <f>IFERROR(IF(INDEX('Indigenous'!$Q$10:$Q$11,MATCH($F64,'Indigenous'!$B$10:$B$11,0))="","Cell will autofill based on response",INDEX('Indigenous'!$Q$10:$Q$11,MATCH($F64,'Indigenous'!$B$10:$B$11,0))),"N/A")</f>
        <v/>
      </c>
      <c r="X64" s="53">
        <f>IFERROR(IF(INDEX('L&amp;R'!$Q$10:$Q$11,MATCH($F64,'L&amp;R'!$B$10:$B$11,0))="","Cell will autofill based on response",INDEX('L&amp;R'!$Q$10:$Q$11,MATCH($F64,'L&amp;R'!$B$10:$B$11,0))),"N/A")</f>
        <v/>
      </c>
    </row>
    <row r="65">
      <c r="A65">
        <f>F65&amp;"|"&amp;G65</f>
        <v/>
      </c>
      <c r="B65" s="7" t="inlineStr">
        <is>
          <t>TR2(c)</t>
        </is>
      </c>
      <c r="C65" s="51" t="inlineStr">
        <is>
          <t>Transformational research</t>
        </is>
      </c>
      <c r="D65" s="51" t="inlineStr">
        <is>
          <t>Expert-reviewed summary of sustainability-related research outputs, outcomes and influence using available institutional evidence sources</t>
        </is>
      </c>
      <c r="E65" s="51" t="inlineStr">
        <is>
          <t>currently mapped to the SDGs using SciVal</t>
        </is>
      </c>
      <c r="F65" s="51" t="inlineStr">
        <is>
          <t>TR2(c)</t>
        </is>
      </c>
      <c r="G65" s="51" t="inlineStr">
        <is>
          <t>Confirm end-2026 target status</t>
        </is>
      </c>
      <c r="H65" s="53">
        <f>IFERROR(IF(INDEX('Faculties'!$L$10:$L$19,MATCH($F65,'Faculties'!$B$10:$B$19,0))="","Cell will autofill based on response",INDEX('Faculties'!$L$10:$L$19,MATCH($F65,'Faculties'!$B$10:$B$19,0))),"N/A")</f>
        <v/>
      </c>
      <c r="I65" s="53">
        <f>IFERROR(IF(INDEX('Faculties'!$L$26:$L$35,MATCH($F65,'Faculties'!$B$26:$B$35,0))="","Cell will autofill based on response",INDEX('Faculties'!$L$26:$L$35,MATCH($F65,'Faculties'!$B$26:$B$35,0))),"N/A")</f>
        <v/>
      </c>
      <c r="J65" s="53">
        <f>IFERROR(IF(INDEX('Faculties'!$L$42:$L$51,MATCH($F65,'Faculties'!$B$42:$B$51,0))="","Cell will autofill based on response",INDEX('Faculties'!$L$42:$L$51,MATCH($F65,'Faculties'!$B$42:$B$51,0))),"N/A")</f>
        <v/>
      </c>
      <c r="K65" s="53">
        <f>IFERROR(IF(INDEX('Faculties'!$L$58:$L$67,MATCH($F65,'Faculties'!$B$58:$B$67,0))="","Cell will autofill based on response",INDEX('Faculties'!$L$58:$L$67,MATCH($F65,'Faculties'!$B$58:$B$67,0))),"N/A")</f>
        <v/>
      </c>
      <c r="L65" s="53">
        <f>IFERROR(IF(INDEX('CI&amp;S'!$L$10:$L$15,MATCH($F65,'CI&amp;S'!$B$10:$B$15,0))="","Cell will autofill based on response",INDEX('CI&amp;S'!$L$10:$L$15,MATCH($F65,'CI&amp;S'!$B$10:$B$15,0))),"N/A")</f>
        <v/>
      </c>
      <c r="M65" s="53">
        <f>IFERROR(IF(INDEX('CI&amp;S'!$L$22:$L$36,MATCH($F65,'CI&amp;S'!$B$22:$B$36,0))="","Cell will autofill based on response",INDEX('CI&amp;S'!$L$22:$L$36,MATCH($F65,'CI&amp;S'!$B$22:$B$36,0))),"N/A")</f>
        <v/>
      </c>
      <c r="N65" s="53">
        <f>IFERROR(IF(INDEX('CFOG'!$L$10:$L$16,MATCH($F65,'CFOG'!$B$10:$B$16,0))="","Cell will autofill based on response",INDEX('CFOG'!$L$10:$L$16,MATCH($F65,'CFOG'!$B$10:$B$16,0))),"N/A")</f>
        <v/>
      </c>
      <c r="O65" s="53">
        <f>IFERROR(IF(INDEX('CFOG'!$L$23:$L$24,MATCH($F65,'CFOG'!$B$23:$B$24,0))="","Cell will autofill based on response",INDEX('CFOG'!$L$23:$L$24,MATCH($F65,'CFOG'!$B$23:$B$24,0))),"N/A")</f>
        <v/>
      </c>
      <c r="P65" s="53">
        <f>IFERROR(IF(INDEX('ESG'!$L$10:$L$17,MATCH($F65,'ESG'!$B$10:$B$17,0))="","Cell will autofill based on response",INDEX('ESG'!$L$10:$L$17,MATCH($F65,'ESG'!$B$10:$B$17,0))),"N/A")</f>
        <v/>
      </c>
      <c r="Q65" s="53">
        <f>IFERROR(IF(INDEX('CIOG'!$L$10:$L$14,MATCH($F65,'CIOG'!$B$10:$B$14,0))="","Cell will autofill based on response",INDEX('CIOG'!$L$10:$L$14,MATCH($F65,'CIOG'!$B$10:$B$14,0))),"N/A")</f>
        <v/>
      </c>
      <c r="R65" s="53">
        <f>IFERROR(IF(INDEX('MRE'!$L$10:$L$18,MATCH($F65,'MRE'!$B$10:$B$18,0))="","Cell will autofill based on response",INDEX('MRE'!$L$10:$L$18,MATCH($F65,'MRE'!$B$10:$B$18,0))),"N/A")</f>
        <v/>
      </c>
      <c r="S65" s="53">
        <f>IFERROR(IF(INDEX('AC&amp;M'!$L$10:$L$14,MATCH($F65,'AC&amp;M'!$B$10:$B$14,0))="","Cell will autofill based on response",INDEX('AC&amp;M'!$L$10:$L$14,MATCH($F65,'AC&amp;M'!$B$10:$B$14,0))),"N/A")</f>
        <v/>
      </c>
      <c r="T65" s="53">
        <f>IFERROR(IF(INDEX('GCE'!$L$10:$L$12,MATCH($F65,'GCE'!$B$10:$B$12,0))="","Cell will autofill based on response",INDEX('GCE'!$L$10:$L$12,MATCH($F65,'GCE'!$B$10:$B$12,0))),"N/A")</f>
        <v/>
      </c>
      <c r="U65" s="53">
        <f>IFERROR(IF(INDEX('Education'!$L$10:$L$13,MATCH($F65,'Education'!$B$10:$B$13,0))="","Cell will autofill based on response",INDEX('Education'!$L$10:$L$13,MATCH($F65,'Education'!$B$10:$B$13,0))),"N/A")</f>
        <v/>
      </c>
      <c r="V65" s="53">
        <f>IFERROR(IF(INDEX('SaSS'!$L$10:$L$12,MATCH($F65,'SaSS'!$B$10:$B$12,0))="","Cell will autofill based on response",INDEX('SaSS'!$L$10:$L$12,MATCH($F65,'SaSS'!$B$10:$B$12,0))),"N/A")</f>
        <v/>
      </c>
      <c r="W65" s="53">
        <f>IFERROR(IF(INDEX('Indigenous'!$L$10:$L$11,MATCH($F65,'Indigenous'!$B$10:$B$11,0))="","Cell will autofill based on response",INDEX('Indigenous'!$L$10:$L$11,MATCH($F65,'Indigenous'!$B$10:$B$11,0))),"N/A")</f>
        <v/>
      </c>
      <c r="X65" s="53">
        <f>IFERROR(IF(INDEX('L&amp;R'!$L$10:$L$11,MATCH($F65,'L&amp;R'!$B$10:$B$11,0))="","Cell will autofill based on response",INDEX('L&amp;R'!$L$10:$L$11,MATCH($F65,'L&amp;R'!$B$10:$B$11,0))),"N/A")</f>
        <v/>
      </c>
      <c r="Z65" s="10">
        <f>COUNTIF($H65:$X65,"Cell will autofill based on response")</f>
        <v/>
      </c>
      <c r="AA65" s="10">
        <f>COUNTIF($H65:$X65,"Not yet started")</f>
        <v/>
      </c>
      <c r="AB65" s="10">
        <f>COUNTIF($H65:$X65,"Not met")</f>
        <v/>
      </c>
      <c r="AC65" s="10">
        <f>COUNTIF($H65:$X65,"Partially met")</f>
        <v/>
      </c>
      <c r="AD65" s="10">
        <f>COUNTIF($H65:$X65,"Met or exceeded")</f>
        <v/>
      </c>
      <c r="AE65" s="10">
        <f>3*AD65+2*AC65+AB65</f>
        <v/>
      </c>
      <c r="AF65" s="10">
        <f>AD65+AC65+AB65+AA65</f>
        <v/>
      </c>
      <c r="AG65" s="54">
        <f>IF(AF65&gt;0,AE65/AF65,"No valid responses to date")</f>
        <v/>
      </c>
      <c r="AH65" s="10">
        <f>IF(ISNUMBER(AG65),INDEX(Lists!$G$2:$G$5,MATCH(ROUND(AG65,0),Lists!$H$2:$H$5,0)),"")</f>
        <v/>
      </c>
      <c r="AI65" s="55">
        <f>IF(AF65&gt;0,AD65/AF65,"")</f>
        <v/>
      </c>
      <c r="AJ65" s="55">
        <f>IF(AF65&gt;0,(AD65+AC65)/AF65,"")</f>
        <v/>
      </c>
      <c r="AK65" s="10">
        <f>IF(AF65=0,"",IF(AI65&gt;0.75,"Met or exceeded",IF(AJ65&gt;=0.5,"Partially met","Not met")))</f>
        <v/>
      </c>
    </row>
    <row r="66">
      <c r="A66">
        <f>F66&amp;"|"&amp;G66</f>
        <v/>
      </c>
      <c r="B66" s="13" t="inlineStr"/>
      <c r="C66" s="8" t="inlineStr"/>
      <c r="D66" s="8" t="inlineStr"/>
      <c r="E66" s="8" t="inlineStr"/>
      <c r="F66" s="8" t="inlineStr">
        <is>
          <t>TR2(c)</t>
        </is>
      </c>
      <c r="G66" s="8" t="inlineStr">
        <is>
          <t>OPTION 1:  Target-level reporting</t>
        </is>
      </c>
      <c r="H66" s="53">
        <f>IFERROR(IF(INDEX('Faculties'!$M$10:$M$19,MATCH($F66,'Faculties'!$B$10:$B$19,0))="","Cell will autofill based on response",INDEX('Faculties'!$M$10:$M$19,MATCH($F66,'Faculties'!$B$10:$B$19,0))),"N/A")</f>
        <v/>
      </c>
      <c r="I66" s="53">
        <f>IFERROR(IF(INDEX('Faculties'!$M$26:$M$35,MATCH($F66,'Faculties'!$B$26:$B$35,0))="","Cell will autofill based on response",INDEX('Faculties'!$M$26:$M$35,MATCH($F66,'Faculties'!$B$26:$B$35,0))),"N/A")</f>
        <v/>
      </c>
      <c r="J66" s="53">
        <f>IFERROR(IF(INDEX('Faculties'!$M$42:$M$51,MATCH($F66,'Faculties'!$B$42:$B$51,0))="","Cell will autofill based on response",INDEX('Faculties'!$M$42:$M$51,MATCH($F66,'Faculties'!$B$42:$B$51,0))),"N/A")</f>
        <v/>
      </c>
      <c r="K66" s="53">
        <f>IFERROR(IF(INDEX('Faculties'!$M$58:$M$67,MATCH($F66,'Faculties'!$B$58:$B$67,0))="","Cell will autofill based on response",INDEX('Faculties'!$M$58:$M$67,MATCH($F66,'Faculties'!$B$58:$B$67,0))),"N/A")</f>
        <v/>
      </c>
      <c r="L66" s="53">
        <f>IFERROR(IF(INDEX('CI&amp;S'!$M$10:$M$15,MATCH($F66,'CI&amp;S'!$B$10:$B$15,0))="","Cell will autofill based on response",INDEX('CI&amp;S'!$M$10:$M$15,MATCH($F66,'CI&amp;S'!$B$10:$B$15,0))),"N/A")</f>
        <v/>
      </c>
      <c r="M66" s="53">
        <f>IFERROR(IF(INDEX('CI&amp;S'!$M$22:$M$36,MATCH($F66,'CI&amp;S'!$B$22:$B$36,0))="","Cell will autofill based on response",INDEX('CI&amp;S'!$M$22:$M$36,MATCH($F66,'CI&amp;S'!$B$22:$B$36,0))),"N/A")</f>
        <v/>
      </c>
      <c r="N66" s="53">
        <f>IFERROR(IF(INDEX('CFOG'!$M$10:$M$16,MATCH($F66,'CFOG'!$B$10:$B$16,0))="","Cell will autofill based on response",INDEX('CFOG'!$M$10:$M$16,MATCH($F66,'CFOG'!$B$10:$B$16,0))),"N/A")</f>
        <v/>
      </c>
      <c r="O66" s="53">
        <f>IFERROR(IF(INDEX('CFOG'!$M$23:$M$24,MATCH($F66,'CFOG'!$B$23:$B$24,0))="","Cell will autofill based on response",INDEX('CFOG'!$M$23:$M$24,MATCH($F66,'CFOG'!$B$23:$B$24,0))),"N/A")</f>
        <v/>
      </c>
      <c r="P66" s="53">
        <f>IFERROR(IF(INDEX('ESG'!$M$10:$M$17,MATCH($F66,'ESG'!$B$10:$B$17,0))="","Cell will autofill based on response",INDEX('ESG'!$M$10:$M$17,MATCH($F66,'ESG'!$B$10:$B$17,0))),"N/A")</f>
        <v/>
      </c>
      <c r="Q66" s="53">
        <f>IFERROR(IF(INDEX('CIOG'!$M$10:$M$14,MATCH($F66,'CIOG'!$B$10:$B$14,0))="","Cell will autofill based on response",INDEX('CIOG'!$M$10:$M$14,MATCH($F66,'CIOG'!$B$10:$B$14,0))),"N/A")</f>
        <v/>
      </c>
      <c r="R66" s="53">
        <f>IFERROR(IF(INDEX('MRE'!$M$10:$M$18,MATCH($F66,'MRE'!$B$10:$B$18,0))="","Cell will autofill based on response",INDEX('MRE'!$M$10:$M$18,MATCH($F66,'MRE'!$B$10:$B$18,0))),"N/A")</f>
        <v/>
      </c>
      <c r="S66" s="53">
        <f>IFERROR(IF(INDEX('AC&amp;M'!$M$10:$M$14,MATCH($F66,'AC&amp;M'!$B$10:$B$14,0))="","Cell will autofill based on response",INDEX('AC&amp;M'!$M$10:$M$14,MATCH($F66,'AC&amp;M'!$B$10:$B$14,0))),"N/A")</f>
        <v/>
      </c>
      <c r="T66" s="53">
        <f>IFERROR(IF(INDEX('GCE'!$M$10:$M$12,MATCH($F66,'GCE'!$B$10:$B$12,0))="","Cell will autofill based on response",INDEX('GCE'!$M$10:$M$12,MATCH($F66,'GCE'!$B$10:$B$12,0))),"N/A")</f>
        <v/>
      </c>
      <c r="U66" s="53">
        <f>IFERROR(IF(INDEX('Education'!$M$10:$M$13,MATCH($F66,'Education'!$B$10:$B$13,0))="","Cell will autofill based on response",INDEX('Education'!$M$10:$M$13,MATCH($F66,'Education'!$B$10:$B$13,0))),"N/A")</f>
        <v/>
      </c>
      <c r="V66" s="53">
        <f>IFERROR(IF(INDEX('SaSS'!$M$10:$M$12,MATCH($F66,'SaSS'!$B$10:$B$12,0))="","Cell will autofill based on response",INDEX('SaSS'!$M$10:$M$12,MATCH($F66,'SaSS'!$B$10:$B$12,0))),"N/A")</f>
        <v/>
      </c>
      <c r="W66" s="53">
        <f>IFERROR(IF(INDEX('Indigenous'!$M$10:$M$11,MATCH($F66,'Indigenous'!$B$10:$B$11,0))="","Cell will autofill based on response",INDEX('Indigenous'!$M$10:$M$11,MATCH($F66,'Indigenous'!$B$10:$B$11,0))),"N/A")</f>
        <v/>
      </c>
      <c r="X66" s="53">
        <f>IFERROR(IF(INDEX('L&amp;R'!$M$10:$M$11,MATCH($F66,'L&amp;R'!$B$10:$B$11,0))="","Cell will autofill based on response",INDEX('L&amp;R'!$M$10:$M$11,MATCH($F66,'L&amp;R'!$B$10:$B$11,0))),"N/A")</f>
        <v/>
      </c>
    </row>
    <row r="67">
      <c r="A67">
        <f>F67&amp;"|"&amp;G67</f>
        <v/>
      </c>
      <c r="B67" s="13" t="inlineStr"/>
      <c r="C67" s="8" t="inlineStr"/>
      <c r="D67" s="8" t="inlineStr"/>
      <c r="E67" s="8" t="inlineStr"/>
      <c r="F67" s="8" t="inlineStr">
        <is>
          <t>TR2(c)</t>
        </is>
      </c>
      <c r="G67" s="8" t="inlineStr">
        <is>
          <t>OPTION 2:  Indicator level reporting</t>
        </is>
      </c>
      <c r="H67" s="53">
        <f>IFERROR(IF(INDEX('Faculties'!$N$10:$N$19,MATCH($F67,'Faculties'!$B$10:$B$19,0))="","Cell will autofill based on response",INDEX('Faculties'!$N$10:$N$19,MATCH($F67,'Faculties'!$B$10:$B$19,0))),"N/A")</f>
        <v/>
      </c>
      <c r="I67" s="53">
        <f>IFERROR(IF(INDEX('Faculties'!$N$26:$N$35,MATCH($F67,'Faculties'!$B$26:$B$35,0))="","Cell will autofill based on response",INDEX('Faculties'!$N$26:$N$35,MATCH($F67,'Faculties'!$B$26:$B$35,0))),"N/A")</f>
        <v/>
      </c>
      <c r="J67" s="53">
        <f>IFERROR(IF(INDEX('Faculties'!$N$42:$N$51,MATCH($F67,'Faculties'!$B$42:$B$51,0))="","Cell will autofill based on response",INDEX('Faculties'!$N$42:$N$51,MATCH($F67,'Faculties'!$B$42:$B$51,0))),"N/A")</f>
        <v/>
      </c>
      <c r="K67" s="53">
        <f>IFERROR(IF(INDEX('Faculties'!$N$58:$N$67,MATCH($F67,'Faculties'!$B$58:$B$67,0))="","Cell will autofill based on response",INDEX('Faculties'!$N$58:$N$67,MATCH($F67,'Faculties'!$B$58:$B$67,0))),"N/A")</f>
        <v/>
      </c>
      <c r="L67" s="53">
        <f>IFERROR(IF(INDEX('CI&amp;S'!$N$10:$N$15,MATCH($F67,'CI&amp;S'!$B$10:$B$15,0))="","Cell will autofill based on response",INDEX('CI&amp;S'!$N$10:$N$15,MATCH($F67,'CI&amp;S'!$B$10:$B$15,0))),"N/A")</f>
        <v/>
      </c>
      <c r="M67" s="53">
        <f>IFERROR(IF(INDEX('CI&amp;S'!$N$22:$N$36,MATCH($F67,'CI&amp;S'!$B$22:$B$36,0))="","Cell will autofill based on response",INDEX('CI&amp;S'!$N$22:$N$36,MATCH($F67,'CI&amp;S'!$B$22:$B$36,0))),"N/A")</f>
        <v/>
      </c>
      <c r="N67" s="53">
        <f>IFERROR(IF(INDEX('CFOG'!$N$10:$N$16,MATCH($F67,'CFOG'!$B$10:$B$16,0))="","Cell will autofill based on response",INDEX('CFOG'!$N$10:$N$16,MATCH($F67,'CFOG'!$B$10:$B$16,0))),"N/A")</f>
        <v/>
      </c>
      <c r="O67" s="53">
        <f>IFERROR(IF(INDEX('CFOG'!$N$23:$N$24,MATCH($F67,'CFOG'!$B$23:$B$24,0))="","Cell will autofill based on response",INDEX('CFOG'!$N$23:$N$24,MATCH($F67,'CFOG'!$B$23:$B$24,0))),"N/A")</f>
        <v/>
      </c>
      <c r="P67" s="53">
        <f>IFERROR(IF(INDEX('ESG'!$N$10:$N$17,MATCH($F67,'ESG'!$B$10:$B$17,0))="","Cell will autofill based on response",INDEX('ESG'!$N$10:$N$17,MATCH($F67,'ESG'!$B$10:$B$17,0))),"N/A")</f>
        <v/>
      </c>
      <c r="Q67" s="53">
        <f>IFERROR(IF(INDEX('CIOG'!$N$10:$N$14,MATCH($F67,'CIOG'!$B$10:$B$14,0))="","Cell will autofill based on response",INDEX('CIOG'!$N$10:$N$14,MATCH($F67,'CIOG'!$B$10:$B$14,0))),"N/A")</f>
        <v/>
      </c>
      <c r="R67" s="53">
        <f>IFERROR(IF(INDEX('MRE'!$N$10:$N$18,MATCH($F67,'MRE'!$B$10:$B$18,0))="","Cell will autofill based on response",INDEX('MRE'!$N$10:$N$18,MATCH($F67,'MRE'!$B$10:$B$18,0))),"N/A")</f>
        <v/>
      </c>
      <c r="S67" s="53">
        <f>IFERROR(IF(INDEX('AC&amp;M'!$N$10:$N$14,MATCH($F67,'AC&amp;M'!$B$10:$B$14,0))="","Cell will autofill based on response",INDEX('AC&amp;M'!$N$10:$N$14,MATCH($F67,'AC&amp;M'!$B$10:$B$14,0))),"N/A")</f>
        <v/>
      </c>
      <c r="T67" s="53">
        <f>IFERROR(IF(INDEX('GCE'!$N$10:$N$12,MATCH($F67,'GCE'!$B$10:$B$12,0))="","Cell will autofill based on response",INDEX('GCE'!$N$10:$N$12,MATCH($F67,'GCE'!$B$10:$B$12,0))),"N/A")</f>
        <v/>
      </c>
      <c r="U67" s="53">
        <f>IFERROR(IF(INDEX('Education'!$N$10:$N$13,MATCH($F67,'Education'!$B$10:$B$13,0))="","Cell will autofill based on response",INDEX('Education'!$N$10:$N$13,MATCH($F67,'Education'!$B$10:$B$13,0))),"N/A")</f>
        <v/>
      </c>
      <c r="V67" s="53">
        <f>IFERROR(IF(INDEX('SaSS'!$N$10:$N$12,MATCH($F67,'SaSS'!$B$10:$B$12,0))="","Cell will autofill based on response",INDEX('SaSS'!$N$10:$N$12,MATCH($F67,'SaSS'!$B$10:$B$12,0))),"N/A")</f>
        <v/>
      </c>
      <c r="W67" s="53">
        <f>IFERROR(IF(INDEX('Indigenous'!$N$10:$N$11,MATCH($F67,'Indigenous'!$B$10:$B$11,0))="","Cell will autofill based on response",INDEX('Indigenous'!$N$10:$N$11,MATCH($F67,'Indigenous'!$B$10:$B$11,0))),"N/A")</f>
        <v/>
      </c>
      <c r="X67" s="53">
        <f>IFERROR(IF(INDEX('L&amp;R'!$N$10:$N$11,MATCH($F67,'L&amp;R'!$B$10:$B$11,0))="","Cell will autofill based on response",INDEX('L&amp;R'!$N$10:$N$11,MATCH($F67,'L&amp;R'!$B$10:$B$11,0))),"N/A")</f>
        <v/>
      </c>
    </row>
    <row r="68">
      <c r="A68">
        <f>F68&amp;"|"&amp;G68</f>
        <v/>
      </c>
      <c r="B68" s="13" t="inlineStr"/>
      <c r="C68" s="8" t="inlineStr"/>
      <c r="D68" s="8" t="inlineStr"/>
      <c r="E68" s="8" t="inlineStr"/>
      <c r="F68" s="8" t="inlineStr">
        <is>
          <t>TR2(c)</t>
        </is>
      </c>
      <c r="G68" s="8" t="inlineStr">
        <is>
          <t>Supporting information/comments</t>
        </is>
      </c>
      <c r="H68" s="53">
        <f>IFERROR(IF(INDEX('Faculties'!$O$10:$O$19,MATCH($F68,'Faculties'!$B$10:$B$19,0))="","Cell will autofill based on response",INDEX('Faculties'!$O$10:$O$19,MATCH($F68,'Faculties'!$B$10:$B$19,0))),"N/A")</f>
        <v/>
      </c>
      <c r="I68" s="53">
        <f>IFERROR(IF(INDEX('Faculties'!$O$26:$O$35,MATCH($F68,'Faculties'!$B$26:$B$35,0))="","Cell will autofill based on response",INDEX('Faculties'!$O$26:$O$35,MATCH($F68,'Faculties'!$B$26:$B$35,0))),"N/A")</f>
        <v/>
      </c>
      <c r="J68" s="53">
        <f>IFERROR(IF(INDEX('Faculties'!$O$42:$O$51,MATCH($F68,'Faculties'!$B$42:$B$51,0))="","Cell will autofill based on response",INDEX('Faculties'!$O$42:$O$51,MATCH($F68,'Faculties'!$B$42:$B$51,0))),"N/A")</f>
        <v/>
      </c>
      <c r="K68" s="53">
        <f>IFERROR(IF(INDEX('Faculties'!$O$58:$O$67,MATCH($F68,'Faculties'!$B$58:$B$67,0))="","Cell will autofill based on response",INDEX('Faculties'!$O$58:$O$67,MATCH($F68,'Faculties'!$B$58:$B$67,0))),"N/A")</f>
        <v/>
      </c>
      <c r="L68" s="53">
        <f>IFERROR(IF(INDEX('CI&amp;S'!$O$10:$O$15,MATCH($F68,'CI&amp;S'!$B$10:$B$15,0))="","Cell will autofill based on response",INDEX('CI&amp;S'!$O$10:$O$15,MATCH($F68,'CI&amp;S'!$B$10:$B$15,0))),"N/A")</f>
        <v/>
      </c>
      <c r="M68" s="53">
        <f>IFERROR(IF(INDEX('CI&amp;S'!$O$22:$O$36,MATCH($F68,'CI&amp;S'!$B$22:$B$36,0))="","Cell will autofill based on response",INDEX('CI&amp;S'!$O$22:$O$36,MATCH($F68,'CI&amp;S'!$B$22:$B$36,0))),"N/A")</f>
        <v/>
      </c>
      <c r="N68" s="53">
        <f>IFERROR(IF(INDEX('CFOG'!$O$10:$O$16,MATCH($F68,'CFOG'!$B$10:$B$16,0))="","Cell will autofill based on response",INDEX('CFOG'!$O$10:$O$16,MATCH($F68,'CFOG'!$B$10:$B$16,0))),"N/A")</f>
        <v/>
      </c>
      <c r="O68" s="53">
        <f>IFERROR(IF(INDEX('CFOG'!$O$23:$O$24,MATCH($F68,'CFOG'!$B$23:$B$24,0))="","Cell will autofill based on response",INDEX('CFOG'!$O$23:$O$24,MATCH($F68,'CFOG'!$B$23:$B$24,0))),"N/A")</f>
        <v/>
      </c>
      <c r="P68" s="53">
        <f>IFERROR(IF(INDEX('ESG'!$O$10:$O$17,MATCH($F68,'ESG'!$B$10:$B$17,0))="","Cell will autofill based on response",INDEX('ESG'!$O$10:$O$17,MATCH($F68,'ESG'!$B$10:$B$17,0))),"N/A")</f>
        <v/>
      </c>
      <c r="Q68" s="53">
        <f>IFERROR(IF(INDEX('CIOG'!$O$10:$O$14,MATCH($F68,'CIOG'!$B$10:$B$14,0))="","Cell will autofill based on response",INDEX('CIOG'!$O$10:$O$14,MATCH($F68,'CIOG'!$B$10:$B$14,0))),"N/A")</f>
        <v/>
      </c>
      <c r="R68" s="53">
        <f>IFERROR(IF(INDEX('MRE'!$O$10:$O$18,MATCH($F68,'MRE'!$B$10:$B$18,0))="","Cell will autofill based on response",INDEX('MRE'!$O$10:$O$18,MATCH($F68,'MRE'!$B$10:$B$18,0))),"N/A")</f>
        <v/>
      </c>
      <c r="S68" s="53">
        <f>IFERROR(IF(INDEX('AC&amp;M'!$O$10:$O$14,MATCH($F68,'AC&amp;M'!$B$10:$B$14,0))="","Cell will autofill based on response",INDEX('AC&amp;M'!$O$10:$O$14,MATCH($F68,'AC&amp;M'!$B$10:$B$14,0))),"N/A")</f>
        <v/>
      </c>
      <c r="T68" s="53">
        <f>IFERROR(IF(INDEX('GCE'!$O$10:$O$12,MATCH($F68,'GCE'!$B$10:$B$12,0))="","Cell will autofill based on response",INDEX('GCE'!$O$10:$O$12,MATCH($F68,'GCE'!$B$10:$B$12,0))),"N/A")</f>
        <v/>
      </c>
      <c r="U68" s="53">
        <f>IFERROR(IF(INDEX('Education'!$O$10:$O$13,MATCH($F68,'Education'!$B$10:$B$13,0))="","Cell will autofill based on response",INDEX('Education'!$O$10:$O$13,MATCH($F68,'Education'!$B$10:$B$13,0))),"N/A")</f>
        <v/>
      </c>
      <c r="V68" s="53">
        <f>IFERROR(IF(INDEX('SaSS'!$O$10:$O$12,MATCH($F68,'SaSS'!$B$10:$B$12,0))="","Cell will autofill based on response",INDEX('SaSS'!$O$10:$O$12,MATCH($F68,'SaSS'!$B$10:$B$12,0))),"N/A")</f>
        <v/>
      </c>
      <c r="W68" s="53">
        <f>IFERROR(IF(INDEX('Indigenous'!$O$10:$O$11,MATCH($F68,'Indigenous'!$B$10:$B$11,0))="","Cell will autofill based on response",INDEX('Indigenous'!$O$10:$O$11,MATCH($F68,'Indigenous'!$B$10:$B$11,0))),"N/A")</f>
        <v/>
      </c>
      <c r="X68" s="53">
        <f>IFERROR(IF(INDEX('L&amp;R'!$O$10:$O$11,MATCH($F68,'L&amp;R'!$B$10:$B$11,0))="","Cell will autofill based on response",INDEX('L&amp;R'!$O$10:$O$11,MATCH($F68,'L&amp;R'!$B$10:$B$11,0))),"N/A")</f>
        <v/>
      </c>
    </row>
    <row r="69">
      <c r="A69">
        <f>F69&amp;"|"&amp;G69</f>
        <v/>
      </c>
      <c r="B69" s="13" t="inlineStr"/>
      <c r="C69" s="8" t="inlineStr"/>
      <c r="D69" s="8" t="inlineStr"/>
      <c r="E69" s="8" t="inlineStr"/>
      <c r="F69" s="8" t="inlineStr">
        <is>
          <t>TR2(c)</t>
        </is>
      </c>
      <c r="G69" s="8" t="inlineStr">
        <is>
          <t>Data source and limitations</t>
        </is>
      </c>
      <c r="H69" s="53">
        <f>IFERROR(IF(INDEX('Faculties'!$P$10:$P$19,MATCH($F69,'Faculties'!$B$10:$B$19,0))="","Cell will autofill based on response",INDEX('Faculties'!$P$10:$P$19,MATCH($F69,'Faculties'!$B$10:$B$19,0))),"N/A")</f>
        <v/>
      </c>
      <c r="I69" s="53">
        <f>IFERROR(IF(INDEX('Faculties'!$P$26:$P$35,MATCH($F69,'Faculties'!$B$26:$B$35,0))="","Cell will autofill based on response",INDEX('Faculties'!$P$26:$P$35,MATCH($F69,'Faculties'!$B$26:$B$35,0))),"N/A")</f>
        <v/>
      </c>
      <c r="J69" s="53">
        <f>IFERROR(IF(INDEX('Faculties'!$P$42:$P$51,MATCH($F69,'Faculties'!$B$42:$B$51,0))="","Cell will autofill based on response",INDEX('Faculties'!$P$42:$P$51,MATCH($F69,'Faculties'!$B$42:$B$51,0))),"N/A")</f>
        <v/>
      </c>
      <c r="K69" s="53">
        <f>IFERROR(IF(INDEX('Faculties'!$P$58:$P$67,MATCH($F69,'Faculties'!$B$58:$B$67,0))="","Cell will autofill based on response",INDEX('Faculties'!$P$58:$P$67,MATCH($F69,'Faculties'!$B$58:$B$67,0))),"N/A")</f>
        <v/>
      </c>
      <c r="L69" s="53">
        <f>IFERROR(IF(INDEX('CI&amp;S'!$P$10:$P$15,MATCH($F69,'CI&amp;S'!$B$10:$B$15,0))="","Cell will autofill based on response",INDEX('CI&amp;S'!$P$10:$P$15,MATCH($F69,'CI&amp;S'!$B$10:$B$15,0))),"N/A")</f>
        <v/>
      </c>
      <c r="M69" s="53">
        <f>IFERROR(IF(INDEX('CI&amp;S'!$P$22:$P$36,MATCH($F69,'CI&amp;S'!$B$22:$B$36,0))="","Cell will autofill based on response",INDEX('CI&amp;S'!$P$22:$P$36,MATCH($F69,'CI&amp;S'!$B$22:$B$36,0))),"N/A")</f>
        <v/>
      </c>
      <c r="N69" s="53">
        <f>IFERROR(IF(INDEX('CFOG'!$P$10:$P$16,MATCH($F69,'CFOG'!$B$10:$B$16,0))="","Cell will autofill based on response",INDEX('CFOG'!$P$10:$P$16,MATCH($F69,'CFOG'!$B$10:$B$16,0))),"N/A")</f>
        <v/>
      </c>
      <c r="O69" s="53">
        <f>IFERROR(IF(INDEX('CFOG'!$P$23:$P$24,MATCH($F69,'CFOG'!$B$23:$B$24,0))="","Cell will autofill based on response",INDEX('CFOG'!$P$23:$P$24,MATCH($F69,'CFOG'!$B$23:$B$24,0))),"N/A")</f>
        <v/>
      </c>
      <c r="P69" s="53">
        <f>IFERROR(IF(INDEX('ESG'!$P$10:$P$17,MATCH($F69,'ESG'!$B$10:$B$17,0))="","Cell will autofill based on response",INDEX('ESG'!$P$10:$P$17,MATCH($F69,'ESG'!$B$10:$B$17,0))),"N/A")</f>
        <v/>
      </c>
      <c r="Q69" s="53">
        <f>IFERROR(IF(INDEX('CIOG'!$P$10:$P$14,MATCH($F69,'CIOG'!$B$10:$B$14,0))="","Cell will autofill based on response",INDEX('CIOG'!$P$10:$P$14,MATCH($F69,'CIOG'!$B$10:$B$14,0))),"N/A")</f>
        <v/>
      </c>
      <c r="R69" s="53">
        <f>IFERROR(IF(INDEX('MRE'!$P$10:$P$18,MATCH($F69,'MRE'!$B$10:$B$18,0))="","Cell will autofill based on response",INDEX('MRE'!$P$10:$P$18,MATCH($F69,'MRE'!$B$10:$B$18,0))),"N/A")</f>
        <v/>
      </c>
      <c r="S69" s="53">
        <f>IFERROR(IF(INDEX('AC&amp;M'!$P$10:$P$14,MATCH($F69,'AC&amp;M'!$B$10:$B$14,0))="","Cell will autofill based on response",INDEX('AC&amp;M'!$P$10:$P$14,MATCH($F69,'AC&amp;M'!$B$10:$B$14,0))),"N/A")</f>
        <v/>
      </c>
      <c r="T69" s="53">
        <f>IFERROR(IF(INDEX('GCE'!$P$10:$P$12,MATCH($F69,'GCE'!$B$10:$B$12,0))="","Cell will autofill based on response",INDEX('GCE'!$P$10:$P$12,MATCH($F69,'GCE'!$B$10:$B$12,0))),"N/A")</f>
        <v/>
      </c>
      <c r="U69" s="53">
        <f>IFERROR(IF(INDEX('Education'!$P$10:$P$13,MATCH($F69,'Education'!$B$10:$B$13,0))="","Cell will autofill based on response",INDEX('Education'!$P$10:$P$13,MATCH($F69,'Education'!$B$10:$B$13,0))),"N/A")</f>
        <v/>
      </c>
      <c r="V69" s="53">
        <f>IFERROR(IF(INDEX('SaSS'!$P$10:$P$12,MATCH($F69,'SaSS'!$B$10:$B$12,0))="","Cell will autofill based on response",INDEX('SaSS'!$P$10:$P$12,MATCH($F69,'SaSS'!$B$10:$B$12,0))),"N/A")</f>
        <v/>
      </c>
      <c r="W69" s="53">
        <f>IFERROR(IF(INDEX('Indigenous'!$P$10:$P$11,MATCH($F69,'Indigenous'!$B$10:$B$11,0))="","Cell will autofill based on response",INDEX('Indigenous'!$P$10:$P$11,MATCH($F69,'Indigenous'!$B$10:$B$11,0))),"N/A")</f>
        <v/>
      </c>
      <c r="X69" s="53">
        <f>IFERROR(IF(INDEX('L&amp;R'!$P$10:$P$11,MATCH($F69,'L&amp;R'!$B$10:$B$11,0))="","Cell will autofill based on response",INDEX('L&amp;R'!$P$10:$P$11,MATCH($F69,'L&amp;R'!$B$10:$B$11,0))),"N/A")</f>
        <v/>
      </c>
    </row>
    <row r="70">
      <c r="A70">
        <f>F70&amp;"|"&amp;G70</f>
        <v/>
      </c>
      <c r="B70" s="13" t="inlineStr"/>
      <c r="C70" s="8" t="inlineStr"/>
      <c r="D70" s="8" t="inlineStr"/>
      <c r="E70" s="8" t="inlineStr"/>
      <c r="F70" s="8" t="inlineStr">
        <is>
          <t>TR2(c)</t>
        </is>
      </c>
      <c r="G70" s="8" t="inlineStr">
        <is>
          <t>Data owner confirms</t>
        </is>
      </c>
      <c r="H70" s="53">
        <f>IFERROR(IF(INDEX('Faculties'!$Q$10:$Q$19,MATCH($F70,'Faculties'!$B$10:$B$19,0))="","Cell will autofill based on response",INDEX('Faculties'!$Q$10:$Q$19,MATCH($F70,'Faculties'!$B$10:$B$19,0))),"N/A")</f>
        <v/>
      </c>
      <c r="I70" s="53">
        <f>IFERROR(IF(INDEX('Faculties'!$Q$26:$Q$35,MATCH($F70,'Faculties'!$B$26:$B$35,0))="","Cell will autofill based on response",INDEX('Faculties'!$Q$26:$Q$35,MATCH($F70,'Faculties'!$B$26:$B$35,0))),"N/A")</f>
        <v/>
      </c>
      <c r="J70" s="53">
        <f>IFERROR(IF(INDEX('Faculties'!$Q$42:$Q$51,MATCH($F70,'Faculties'!$B$42:$B$51,0))="","Cell will autofill based on response",INDEX('Faculties'!$Q$42:$Q$51,MATCH($F70,'Faculties'!$B$42:$B$51,0))),"N/A")</f>
        <v/>
      </c>
      <c r="K70" s="53">
        <f>IFERROR(IF(INDEX('Faculties'!$Q$58:$Q$67,MATCH($F70,'Faculties'!$B$58:$B$67,0))="","Cell will autofill based on response",INDEX('Faculties'!$Q$58:$Q$67,MATCH($F70,'Faculties'!$B$58:$B$67,0))),"N/A")</f>
        <v/>
      </c>
      <c r="L70" s="53">
        <f>IFERROR(IF(INDEX('CI&amp;S'!$Q$10:$Q$15,MATCH($F70,'CI&amp;S'!$B$10:$B$15,0))="","Cell will autofill based on response",INDEX('CI&amp;S'!$Q$10:$Q$15,MATCH($F70,'CI&amp;S'!$B$10:$B$15,0))),"N/A")</f>
        <v/>
      </c>
      <c r="M70" s="53">
        <f>IFERROR(IF(INDEX('CI&amp;S'!$Q$22:$Q$36,MATCH($F70,'CI&amp;S'!$B$22:$B$36,0))="","Cell will autofill based on response",INDEX('CI&amp;S'!$Q$22:$Q$36,MATCH($F70,'CI&amp;S'!$B$22:$B$36,0))),"N/A")</f>
        <v/>
      </c>
      <c r="N70" s="53">
        <f>IFERROR(IF(INDEX('CFOG'!$Q$10:$Q$16,MATCH($F70,'CFOG'!$B$10:$B$16,0))="","Cell will autofill based on response",INDEX('CFOG'!$Q$10:$Q$16,MATCH($F70,'CFOG'!$B$10:$B$16,0))),"N/A")</f>
        <v/>
      </c>
      <c r="O70" s="53">
        <f>IFERROR(IF(INDEX('CFOG'!$Q$23:$Q$24,MATCH($F70,'CFOG'!$B$23:$B$24,0))="","Cell will autofill based on response",INDEX('CFOG'!$Q$23:$Q$24,MATCH($F70,'CFOG'!$B$23:$B$24,0))),"N/A")</f>
        <v/>
      </c>
      <c r="P70" s="53">
        <f>IFERROR(IF(INDEX('ESG'!$Q$10:$Q$17,MATCH($F70,'ESG'!$B$10:$B$17,0))="","Cell will autofill based on response",INDEX('ESG'!$Q$10:$Q$17,MATCH($F70,'ESG'!$B$10:$B$17,0))),"N/A")</f>
        <v/>
      </c>
      <c r="Q70" s="53">
        <f>IFERROR(IF(INDEX('CIOG'!$Q$10:$Q$14,MATCH($F70,'CIOG'!$B$10:$B$14,0))="","Cell will autofill based on response",INDEX('CIOG'!$Q$10:$Q$14,MATCH($F70,'CIOG'!$B$10:$B$14,0))),"N/A")</f>
        <v/>
      </c>
      <c r="R70" s="53">
        <f>IFERROR(IF(INDEX('MRE'!$Q$10:$Q$18,MATCH($F70,'MRE'!$B$10:$B$18,0))="","Cell will autofill based on response",INDEX('MRE'!$Q$10:$Q$18,MATCH($F70,'MRE'!$B$10:$B$18,0))),"N/A")</f>
        <v/>
      </c>
      <c r="S70" s="53">
        <f>IFERROR(IF(INDEX('AC&amp;M'!$Q$10:$Q$14,MATCH($F70,'AC&amp;M'!$B$10:$B$14,0))="","Cell will autofill based on response",INDEX('AC&amp;M'!$Q$10:$Q$14,MATCH($F70,'AC&amp;M'!$B$10:$B$14,0))),"N/A")</f>
        <v/>
      </c>
      <c r="T70" s="53">
        <f>IFERROR(IF(INDEX('GCE'!$Q$10:$Q$12,MATCH($F70,'GCE'!$B$10:$B$12,0))="","Cell will autofill based on response",INDEX('GCE'!$Q$10:$Q$12,MATCH($F70,'GCE'!$B$10:$B$12,0))),"N/A")</f>
        <v/>
      </c>
      <c r="U70" s="53">
        <f>IFERROR(IF(INDEX('Education'!$Q$10:$Q$13,MATCH($F70,'Education'!$B$10:$B$13,0))="","Cell will autofill based on response",INDEX('Education'!$Q$10:$Q$13,MATCH($F70,'Education'!$B$10:$B$13,0))),"N/A")</f>
        <v/>
      </c>
      <c r="V70" s="53">
        <f>IFERROR(IF(INDEX('SaSS'!$Q$10:$Q$12,MATCH($F70,'SaSS'!$B$10:$B$12,0))="","Cell will autofill based on response",INDEX('SaSS'!$Q$10:$Q$12,MATCH($F70,'SaSS'!$B$10:$B$12,0))),"N/A")</f>
        <v/>
      </c>
      <c r="W70" s="53">
        <f>IFERROR(IF(INDEX('Indigenous'!$Q$10:$Q$11,MATCH($F70,'Indigenous'!$B$10:$B$11,0))="","Cell will autofill based on response",INDEX('Indigenous'!$Q$10:$Q$11,MATCH($F70,'Indigenous'!$B$10:$B$11,0))),"N/A")</f>
        <v/>
      </c>
      <c r="X70" s="53">
        <f>IFERROR(IF(INDEX('L&amp;R'!$Q$10:$Q$11,MATCH($F70,'L&amp;R'!$B$10:$B$11,0))="","Cell will autofill based on response",INDEX('L&amp;R'!$Q$10:$Q$11,MATCH($F70,'L&amp;R'!$B$10:$B$11,0))),"N/A")</f>
        <v/>
      </c>
    </row>
    <row r="71">
      <c r="A71">
        <f>F71&amp;"|"&amp;G71</f>
        <v/>
      </c>
      <c r="B71" s="7" t="inlineStr">
        <is>
          <t>TR2(d)</t>
        </is>
      </c>
      <c r="C71" s="51" t="inlineStr">
        <is>
          <t>Transformational research</t>
        </is>
      </c>
      <c r="D71" s="51" t="inlineStr">
        <is>
          <t>Case-based evidence demonstrating how research has contributed to meaningful sustainability outcomes.</t>
        </is>
      </c>
      <c r="E71" s="51"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F71" s="51" t="inlineStr">
        <is>
          <t>TR2(d)</t>
        </is>
      </c>
      <c r="G71" s="51" t="inlineStr">
        <is>
          <t>Confirm end-2026 target status</t>
        </is>
      </c>
      <c r="H71" s="53">
        <f>IFERROR(IF(INDEX('Faculties'!$L$10:$L$19,MATCH($F71,'Faculties'!$B$10:$B$19,0))="","Cell will autofill based on response",INDEX('Faculties'!$L$10:$L$19,MATCH($F71,'Faculties'!$B$10:$B$19,0))),"N/A")</f>
        <v/>
      </c>
      <c r="I71" s="53">
        <f>IFERROR(IF(INDEX('Faculties'!$L$26:$L$35,MATCH($F71,'Faculties'!$B$26:$B$35,0))="","Cell will autofill based on response",INDEX('Faculties'!$L$26:$L$35,MATCH($F71,'Faculties'!$B$26:$B$35,0))),"N/A")</f>
        <v/>
      </c>
      <c r="J71" s="53">
        <f>IFERROR(IF(INDEX('Faculties'!$L$42:$L$51,MATCH($F71,'Faculties'!$B$42:$B$51,0))="","Cell will autofill based on response",INDEX('Faculties'!$L$42:$L$51,MATCH($F71,'Faculties'!$B$42:$B$51,0))),"N/A")</f>
        <v/>
      </c>
      <c r="K71" s="53">
        <f>IFERROR(IF(INDEX('Faculties'!$L$58:$L$67,MATCH($F71,'Faculties'!$B$58:$B$67,0))="","Cell will autofill based on response",INDEX('Faculties'!$L$58:$L$67,MATCH($F71,'Faculties'!$B$58:$B$67,0))),"N/A")</f>
        <v/>
      </c>
      <c r="L71" s="53">
        <f>IFERROR(IF(INDEX('CI&amp;S'!$L$10:$L$15,MATCH($F71,'CI&amp;S'!$B$10:$B$15,0))="","Cell will autofill based on response",INDEX('CI&amp;S'!$L$10:$L$15,MATCH($F71,'CI&amp;S'!$B$10:$B$15,0))),"N/A")</f>
        <v/>
      </c>
      <c r="M71" s="53">
        <f>IFERROR(IF(INDEX('CI&amp;S'!$L$22:$L$36,MATCH($F71,'CI&amp;S'!$B$22:$B$36,0))="","Cell will autofill based on response",INDEX('CI&amp;S'!$L$22:$L$36,MATCH($F71,'CI&amp;S'!$B$22:$B$36,0))),"N/A")</f>
        <v/>
      </c>
      <c r="N71" s="53">
        <f>IFERROR(IF(INDEX('CFOG'!$L$10:$L$16,MATCH($F71,'CFOG'!$B$10:$B$16,0))="","Cell will autofill based on response",INDEX('CFOG'!$L$10:$L$16,MATCH($F71,'CFOG'!$B$10:$B$16,0))),"N/A")</f>
        <v/>
      </c>
      <c r="O71" s="53">
        <f>IFERROR(IF(INDEX('CFOG'!$L$23:$L$24,MATCH($F71,'CFOG'!$B$23:$B$24,0))="","Cell will autofill based on response",INDEX('CFOG'!$L$23:$L$24,MATCH($F71,'CFOG'!$B$23:$B$24,0))),"N/A")</f>
        <v/>
      </c>
      <c r="P71" s="53">
        <f>IFERROR(IF(INDEX('ESG'!$L$10:$L$17,MATCH($F71,'ESG'!$B$10:$B$17,0))="","Cell will autofill based on response",INDEX('ESG'!$L$10:$L$17,MATCH($F71,'ESG'!$B$10:$B$17,0))),"N/A")</f>
        <v/>
      </c>
      <c r="Q71" s="53">
        <f>IFERROR(IF(INDEX('CIOG'!$L$10:$L$14,MATCH($F71,'CIOG'!$B$10:$B$14,0))="","Cell will autofill based on response",INDEX('CIOG'!$L$10:$L$14,MATCH($F71,'CIOG'!$B$10:$B$14,0))),"N/A")</f>
        <v/>
      </c>
      <c r="R71" s="53">
        <f>IFERROR(IF(INDEX('MRE'!$L$10:$L$18,MATCH($F71,'MRE'!$B$10:$B$18,0))="","Cell will autofill based on response",INDEX('MRE'!$L$10:$L$18,MATCH($F71,'MRE'!$B$10:$B$18,0))),"N/A")</f>
        <v/>
      </c>
      <c r="S71" s="53">
        <f>IFERROR(IF(INDEX('AC&amp;M'!$L$10:$L$14,MATCH($F71,'AC&amp;M'!$B$10:$B$14,0))="","Cell will autofill based on response",INDEX('AC&amp;M'!$L$10:$L$14,MATCH($F71,'AC&amp;M'!$B$10:$B$14,0))),"N/A")</f>
        <v/>
      </c>
      <c r="T71" s="53">
        <f>IFERROR(IF(INDEX('GCE'!$L$10:$L$12,MATCH($F71,'GCE'!$B$10:$B$12,0))="","Cell will autofill based on response",INDEX('GCE'!$L$10:$L$12,MATCH($F71,'GCE'!$B$10:$B$12,0))),"N/A")</f>
        <v/>
      </c>
      <c r="U71" s="53">
        <f>IFERROR(IF(INDEX('Education'!$L$10:$L$13,MATCH($F71,'Education'!$B$10:$B$13,0))="","Cell will autofill based on response",INDEX('Education'!$L$10:$L$13,MATCH($F71,'Education'!$B$10:$B$13,0))),"N/A")</f>
        <v/>
      </c>
      <c r="V71" s="53">
        <f>IFERROR(IF(INDEX('SaSS'!$L$10:$L$12,MATCH($F71,'SaSS'!$B$10:$B$12,0))="","Cell will autofill based on response",INDEX('SaSS'!$L$10:$L$12,MATCH($F71,'SaSS'!$B$10:$B$12,0))),"N/A")</f>
        <v/>
      </c>
      <c r="W71" s="53">
        <f>IFERROR(IF(INDEX('Indigenous'!$L$10:$L$11,MATCH($F71,'Indigenous'!$B$10:$B$11,0))="","Cell will autofill based on response",INDEX('Indigenous'!$L$10:$L$11,MATCH($F71,'Indigenous'!$B$10:$B$11,0))),"N/A")</f>
        <v/>
      </c>
      <c r="X71" s="53">
        <f>IFERROR(IF(INDEX('L&amp;R'!$L$10:$L$11,MATCH($F71,'L&amp;R'!$B$10:$B$11,0))="","Cell will autofill based on response",INDEX('L&amp;R'!$L$10:$L$11,MATCH($F71,'L&amp;R'!$B$10:$B$11,0))),"N/A")</f>
        <v/>
      </c>
      <c r="Z71" s="10">
        <f>COUNTIF($H71:$X71,"Cell will autofill based on response")</f>
        <v/>
      </c>
      <c r="AA71" s="10">
        <f>COUNTIF($H71:$X71,"Not yet started")</f>
        <v/>
      </c>
      <c r="AB71" s="10">
        <f>COUNTIF($H71:$X71,"Not met")</f>
        <v/>
      </c>
      <c r="AC71" s="10">
        <f>COUNTIF($H71:$X71,"Partially met")</f>
        <v/>
      </c>
      <c r="AD71" s="10">
        <f>COUNTIF($H71:$X71,"Met or exceeded")</f>
        <v/>
      </c>
      <c r="AE71" s="10">
        <f>3*AD71+2*AC71+AB71</f>
        <v/>
      </c>
      <c r="AF71" s="10">
        <f>AD71+AC71+AB71+AA71</f>
        <v/>
      </c>
      <c r="AG71" s="54">
        <f>IF(AF71&gt;0,AE71/AF71,"No valid responses to date")</f>
        <v/>
      </c>
      <c r="AH71" s="10">
        <f>IF(ISNUMBER(AG71),INDEX(Lists!$G$2:$G$5,MATCH(ROUND(AG71,0),Lists!$H$2:$H$5,0)),"")</f>
        <v/>
      </c>
      <c r="AI71" s="55">
        <f>IF(AF71&gt;0,AD71/AF71,"")</f>
        <v/>
      </c>
      <c r="AJ71" s="55">
        <f>IF(AF71&gt;0,(AD71+AC71)/AF71,"")</f>
        <v/>
      </c>
      <c r="AK71" s="10">
        <f>IF(AF71=0,"",IF(AI71&gt;0.75,"Met or exceeded",IF(AJ71&gt;=0.5,"Partially met","Not met")))</f>
        <v/>
      </c>
    </row>
    <row r="72">
      <c r="A72">
        <f>F72&amp;"|"&amp;G72</f>
        <v/>
      </c>
      <c r="B72" s="13" t="inlineStr"/>
      <c r="C72" s="8" t="inlineStr"/>
      <c r="D72" s="8" t="inlineStr"/>
      <c r="E72" s="8" t="inlineStr"/>
      <c r="F72" s="8" t="inlineStr">
        <is>
          <t>TR2(d)</t>
        </is>
      </c>
      <c r="G72" s="8" t="inlineStr">
        <is>
          <t>OPTION 1:  Target-level reporting</t>
        </is>
      </c>
      <c r="H72" s="53">
        <f>IFERROR(IF(INDEX('Faculties'!$M$10:$M$19,MATCH($F72,'Faculties'!$B$10:$B$19,0))="","Cell will autofill based on response",INDEX('Faculties'!$M$10:$M$19,MATCH($F72,'Faculties'!$B$10:$B$19,0))),"N/A")</f>
        <v/>
      </c>
      <c r="I72" s="53">
        <f>IFERROR(IF(INDEX('Faculties'!$M$26:$M$35,MATCH($F72,'Faculties'!$B$26:$B$35,0))="","Cell will autofill based on response",INDEX('Faculties'!$M$26:$M$35,MATCH($F72,'Faculties'!$B$26:$B$35,0))),"N/A")</f>
        <v/>
      </c>
      <c r="J72" s="53">
        <f>IFERROR(IF(INDEX('Faculties'!$M$42:$M$51,MATCH($F72,'Faculties'!$B$42:$B$51,0))="","Cell will autofill based on response",INDEX('Faculties'!$M$42:$M$51,MATCH($F72,'Faculties'!$B$42:$B$51,0))),"N/A")</f>
        <v/>
      </c>
      <c r="K72" s="53">
        <f>IFERROR(IF(INDEX('Faculties'!$M$58:$M$67,MATCH($F72,'Faculties'!$B$58:$B$67,0))="","Cell will autofill based on response",INDEX('Faculties'!$M$58:$M$67,MATCH($F72,'Faculties'!$B$58:$B$67,0))),"N/A")</f>
        <v/>
      </c>
      <c r="L72" s="53">
        <f>IFERROR(IF(INDEX('CI&amp;S'!$M$10:$M$15,MATCH($F72,'CI&amp;S'!$B$10:$B$15,0))="","Cell will autofill based on response",INDEX('CI&amp;S'!$M$10:$M$15,MATCH($F72,'CI&amp;S'!$B$10:$B$15,0))),"N/A")</f>
        <v/>
      </c>
      <c r="M72" s="53">
        <f>IFERROR(IF(INDEX('CI&amp;S'!$M$22:$M$36,MATCH($F72,'CI&amp;S'!$B$22:$B$36,0))="","Cell will autofill based on response",INDEX('CI&amp;S'!$M$22:$M$36,MATCH($F72,'CI&amp;S'!$B$22:$B$36,0))),"N/A")</f>
        <v/>
      </c>
      <c r="N72" s="53">
        <f>IFERROR(IF(INDEX('CFOG'!$M$10:$M$16,MATCH($F72,'CFOG'!$B$10:$B$16,0))="","Cell will autofill based on response",INDEX('CFOG'!$M$10:$M$16,MATCH($F72,'CFOG'!$B$10:$B$16,0))),"N/A")</f>
        <v/>
      </c>
      <c r="O72" s="53">
        <f>IFERROR(IF(INDEX('CFOG'!$M$23:$M$24,MATCH($F72,'CFOG'!$B$23:$B$24,0))="","Cell will autofill based on response",INDEX('CFOG'!$M$23:$M$24,MATCH($F72,'CFOG'!$B$23:$B$24,0))),"N/A")</f>
        <v/>
      </c>
      <c r="P72" s="53">
        <f>IFERROR(IF(INDEX('ESG'!$M$10:$M$17,MATCH($F72,'ESG'!$B$10:$B$17,0))="","Cell will autofill based on response",INDEX('ESG'!$M$10:$M$17,MATCH($F72,'ESG'!$B$10:$B$17,0))),"N/A")</f>
        <v/>
      </c>
      <c r="Q72" s="53">
        <f>IFERROR(IF(INDEX('CIOG'!$M$10:$M$14,MATCH($F72,'CIOG'!$B$10:$B$14,0))="","Cell will autofill based on response",INDEX('CIOG'!$M$10:$M$14,MATCH($F72,'CIOG'!$B$10:$B$14,0))),"N/A")</f>
        <v/>
      </c>
      <c r="R72" s="53">
        <f>IFERROR(IF(INDEX('MRE'!$M$10:$M$18,MATCH($F72,'MRE'!$B$10:$B$18,0))="","Cell will autofill based on response",INDEX('MRE'!$M$10:$M$18,MATCH($F72,'MRE'!$B$10:$B$18,0))),"N/A")</f>
        <v/>
      </c>
      <c r="S72" s="53">
        <f>IFERROR(IF(INDEX('AC&amp;M'!$M$10:$M$14,MATCH($F72,'AC&amp;M'!$B$10:$B$14,0))="","Cell will autofill based on response",INDEX('AC&amp;M'!$M$10:$M$14,MATCH($F72,'AC&amp;M'!$B$10:$B$14,0))),"N/A")</f>
        <v/>
      </c>
      <c r="T72" s="53">
        <f>IFERROR(IF(INDEX('GCE'!$M$10:$M$12,MATCH($F72,'GCE'!$B$10:$B$12,0))="","Cell will autofill based on response",INDEX('GCE'!$M$10:$M$12,MATCH($F72,'GCE'!$B$10:$B$12,0))),"N/A")</f>
        <v/>
      </c>
      <c r="U72" s="53">
        <f>IFERROR(IF(INDEX('Education'!$M$10:$M$13,MATCH($F72,'Education'!$B$10:$B$13,0))="","Cell will autofill based on response",INDEX('Education'!$M$10:$M$13,MATCH($F72,'Education'!$B$10:$B$13,0))),"N/A")</f>
        <v/>
      </c>
      <c r="V72" s="53">
        <f>IFERROR(IF(INDEX('SaSS'!$M$10:$M$12,MATCH($F72,'SaSS'!$B$10:$B$12,0))="","Cell will autofill based on response",INDEX('SaSS'!$M$10:$M$12,MATCH($F72,'SaSS'!$B$10:$B$12,0))),"N/A")</f>
        <v/>
      </c>
      <c r="W72" s="53">
        <f>IFERROR(IF(INDEX('Indigenous'!$M$10:$M$11,MATCH($F72,'Indigenous'!$B$10:$B$11,0))="","Cell will autofill based on response",INDEX('Indigenous'!$M$10:$M$11,MATCH($F72,'Indigenous'!$B$10:$B$11,0))),"N/A")</f>
        <v/>
      </c>
      <c r="X72" s="53">
        <f>IFERROR(IF(INDEX('L&amp;R'!$M$10:$M$11,MATCH($F72,'L&amp;R'!$B$10:$B$11,0))="","Cell will autofill based on response",INDEX('L&amp;R'!$M$10:$M$11,MATCH($F72,'L&amp;R'!$B$10:$B$11,0))),"N/A")</f>
        <v/>
      </c>
    </row>
    <row r="73">
      <c r="A73">
        <f>F73&amp;"|"&amp;G73</f>
        <v/>
      </c>
      <c r="B73" s="13" t="inlineStr"/>
      <c r="C73" s="8" t="inlineStr"/>
      <c r="D73" s="8" t="inlineStr"/>
      <c r="E73" s="8" t="inlineStr"/>
      <c r="F73" s="8" t="inlineStr">
        <is>
          <t>TR2(d)</t>
        </is>
      </c>
      <c r="G73" s="8" t="inlineStr">
        <is>
          <t>OPTION 2:  Indicator level reporting</t>
        </is>
      </c>
      <c r="H73" s="53">
        <f>IFERROR(IF(INDEX('Faculties'!$N$10:$N$19,MATCH($F73,'Faculties'!$B$10:$B$19,0))="","Cell will autofill based on response",INDEX('Faculties'!$N$10:$N$19,MATCH($F73,'Faculties'!$B$10:$B$19,0))),"N/A")</f>
        <v/>
      </c>
      <c r="I73" s="53">
        <f>IFERROR(IF(INDEX('Faculties'!$N$26:$N$35,MATCH($F73,'Faculties'!$B$26:$B$35,0))="","Cell will autofill based on response",INDEX('Faculties'!$N$26:$N$35,MATCH($F73,'Faculties'!$B$26:$B$35,0))),"N/A")</f>
        <v/>
      </c>
      <c r="J73" s="53">
        <f>IFERROR(IF(INDEX('Faculties'!$N$42:$N$51,MATCH($F73,'Faculties'!$B$42:$B$51,0))="","Cell will autofill based on response",INDEX('Faculties'!$N$42:$N$51,MATCH($F73,'Faculties'!$B$42:$B$51,0))),"N/A")</f>
        <v/>
      </c>
      <c r="K73" s="53">
        <f>IFERROR(IF(INDEX('Faculties'!$N$58:$N$67,MATCH($F73,'Faculties'!$B$58:$B$67,0))="","Cell will autofill based on response",INDEX('Faculties'!$N$58:$N$67,MATCH($F73,'Faculties'!$B$58:$B$67,0))),"N/A")</f>
        <v/>
      </c>
      <c r="L73" s="53">
        <f>IFERROR(IF(INDEX('CI&amp;S'!$N$10:$N$15,MATCH($F73,'CI&amp;S'!$B$10:$B$15,0))="","Cell will autofill based on response",INDEX('CI&amp;S'!$N$10:$N$15,MATCH($F73,'CI&amp;S'!$B$10:$B$15,0))),"N/A")</f>
        <v/>
      </c>
      <c r="M73" s="53">
        <f>IFERROR(IF(INDEX('CI&amp;S'!$N$22:$N$36,MATCH($F73,'CI&amp;S'!$B$22:$B$36,0))="","Cell will autofill based on response",INDEX('CI&amp;S'!$N$22:$N$36,MATCH($F73,'CI&amp;S'!$B$22:$B$36,0))),"N/A")</f>
        <v/>
      </c>
      <c r="N73" s="53">
        <f>IFERROR(IF(INDEX('CFOG'!$N$10:$N$16,MATCH($F73,'CFOG'!$B$10:$B$16,0))="","Cell will autofill based on response",INDEX('CFOG'!$N$10:$N$16,MATCH($F73,'CFOG'!$B$10:$B$16,0))),"N/A")</f>
        <v/>
      </c>
      <c r="O73" s="53">
        <f>IFERROR(IF(INDEX('CFOG'!$N$23:$N$24,MATCH($F73,'CFOG'!$B$23:$B$24,0))="","Cell will autofill based on response",INDEX('CFOG'!$N$23:$N$24,MATCH($F73,'CFOG'!$B$23:$B$24,0))),"N/A")</f>
        <v/>
      </c>
      <c r="P73" s="53">
        <f>IFERROR(IF(INDEX('ESG'!$N$10:$N$17,MATCH($F73,'ESG'!$B$10:$B$17,0))="","Cell will autofill based on response",INDEX('ESG'!$N$10:$N$17,MATCH($F73,'ESG'!$B$10:$B$17,0))),"N/A")</f>
        <v/>
      </c>
      <c r="Q73" s="53">
        <f>IFERROR(IF(INDEX('CIOG'!$N$10:$N$14,MATCH($F73,'CIOG'!$B$10:$B$14,0))="","Cell will autofill based on response",INDEX('CIOG'!$N$10:$N$14,MATCH($F73,'CIOG'!$B$10:$B$14,0))),"N/A")</f>
        <v/>
      </c>
      <c r="R73" s="53">
        <f>IFERROR(IF(INDEX('MRE'!$N$10:$N$18,MATCH($F73,'MRE'!$B$10:$B$18,0))="","Cell will autofill based on response",INDEX('MRE'!$N$10:$N$18,MATCH($F73,'MRE'!$B$10:$B$18,0))),"N/A")</f>
        <v/>
      </c>
      <c r="S73" s="53">
        <f>IFERROR(IF(INDEX('AC&amp;M'!$N$10:$N$14,MATCH($F73,'AC&amp;M'!$B$10:$B$14,0))="","Cell will autofill based on response",INDEX('AC&amp;M'!$N$10:$N$14,MATCH($F73,'AC&amp;M'!$B$10:$B$14,0))),"N/A")</f>
        <v/>
      </c>
      <c r="T73" s="53">
        <f>IFERROR(IF(INDEX('GCE'!$N$10:$N$12,MATCH($F73,'GCE'!$B$10:$B$12,0))="","Cell will autofill based on response",INDEX('GCE'!$N$10:$N$12,MATCH($F73,'GCE'!$B$10:$B$12,0))),"N/A")</f>
        <v/>
      </c>
      <c r="U73" s="53">
        <f>IFERROR(IF(INDEX('Education'!$N$10:$N$13,MATCH($F73,'Education'!$B$10:$B$13,0))="","Cell will autofill based on response",INDEX('Education'!$N$10:$N$13,MATCH($F73,'Education'!$B$10:$B$13,0))),"N/A")</f>
        <v/>
      </c>
      <c r="V73" s="53">
        <f>IFERROR(IF(INDEX('SaSS'!$N$10:$N$12,MATCH($F73,'SaSS'!$B$10:$B$12,0))="","Cell will autofill based on response",INDEX('SaSS'!$N$10:$N$12,MATCH($F73,'SaSS'!$B$10:$B$12,0))),"N/A")</f>
        <v/>
      </c>
      <c r="W73" s="53">
        <f>IFERROR(IF(INDEX('Indigenous'!$N$10:$N$11,MATCH($F73,'Indigenous'!$B$10:$B$11,0))="","Cell will autofill based on response",INDEX('Indigenous'!$N$10:$N$11,MATCH($F73,'Indigenous'!$B$10:$B$11,0))),"N/A")</f>
        <v/>
      </c>
      <c r="X73" s="53">
        <f>IFERROR(IF(INDEX('L&amp;R'!$N$10:$N$11,MATCH($F73,'L&amp;R'!$B$10:$B$11,0))="","Cell will autofill based on response",INDEX('L&amp;R'!$N$10:$N$11,MATCH($F73,'L&amp;R'!$B$10:$B$11,0))),"N/A")</f>
        <v/>
      </c>
    </row>
    <row r="74">
      <c r="A74">
        <f>F74&amp;"|"&amp;G74</f>
        <v/>
      </c>
      <c r="B74" s="13" t="inlineStr"/>
      <c r="C74" s="8" t="inlineStr"/>
      <c r="D74" s="8" t="inlineStr"/>
      <c r="E74" s="8" t="inlineStr"/>
      <c r="F74" s="8" t="inlineStr">
        <is>
          <t>TR2(d)</t>
        </is>
      </c>
      <c r="G74" s="8" t="inlineStr">
        <is>
          <t>Supporting information/comments</t>
        </is>
      </c>
      <c r="H74" s="53">
        <f>IFERROR(IF(INDEX('Faculties'!$O$10:$O$19,MATCH($F74,'Faculties'!$B$10:$B$19,0))="","Cell will autofill based on response",INDEX('Faculties'!$O$10:$O$19,MATCH($F74,'Faculties'!$B$10:$B$19,0))),"N/A")</f>
        <v/>
      </c>
      <c r="I74" s="53">
        <f>IFERROR(IF(INDEX('Faculties'!$O$26:$O$35,MATCH($F74,'Faculties'!$B$26:$B$35,0))="","Cell will autofill based on response",INDEX('Faculties'!$O$26:$O$35,MATCH($F74,'Faculties'!$B$26:$B$35,0))),"N/A")</f>
        <v/>
      </c>
      <c r="J74" s="53">
        <f>IFERROR(IF(INDEX('Faculties'!$O$42:$O$51,MATCH($F74,'Faculties'!$B$42:$B$51,0))="","Cell will autofill based on response",INDEX('Faculties'!$O$42:$O$51,MATCH($F74,'Faculties'!$B$42:$B$51,0))),"N/A")</f>
        <v/>
      </c>
      <c r="K74" s="53">
        <f>IFERROR(IF(INDEX('Faculties'!$O$58:$O$67,MATCH($F74,'Faculties'!$B$58:$B$67,0))="","Cell will autofill based on response",INDEX('Faculties'!$O$58:$O$67,MATCH($F74,'Faculties'!$B$58:$B$67,0))),"N/A")</f>
        <v/>
      </c>
      <c r="L74" s="53">
        <f>IFERROR(IF(INDEX('CI&amp;S'!$O$10:$O$15,MATCH($F74,'CI&amp;S'!$B$10:$B$15,0))="","Cell will autofill based on response",INDEX('CI&amp;S'!$O$10:$O$15,MATCH($F74,'CI&amp;S'!$B$10:$B$15,0))),"N/A")</f>
        <v/>
      </c>
      <c r="M74" s="53">
        <f>IFERROR(IF(INDEX('CI&amp;S'!$O$22:$O$36,MATCH($F74,'CI&amp;S'!$B$22:$B$36,0))="","Cell will autofill based on response",INDEX('CI&amp;S'!$O$22:$O$36,MATCH($F74,'CI&amp;S'!$B$22:$B$36,0))),"N/A")</f>
        <v/>
      </c>
      <c r="N74" s="53">
        <f>IFERROR(IF(INDEX('CFOG'!$O$10:$O$16,MATCH($F74,'CFOG'!$B$10:$B$16,0))="","Cell will autofill based on response",INDEX('CFOG'!$O$10:$O$16,MATCH($F74,'CFOG'!$B$10:$B$16,0))),"N/A")</f>
        <v/>
      </c>
      <c r="O74" s="53">
        <f>IFERROR(IF(INDEX('CFOG'!$O$23:$O$24,MATCH($F74,'CFOG'!$B$23:$B$24,0))="","Cell will autofill based on response",INDEX('CFOG'!$O$23:$O$24,MATCH($F74,'CFOG'!$B$23:$B$24,0))),"N/A")</f>
        <v/>
      </c>
      <c r="P74" s="53">
        <f>IFERROR(IF(INDEX('ESG'!$O$10:$O$17,MATCH($F74,'ESG'!$B$10:$B$17,0))="","Cell will autofill based on response",INDEX('ESG'!$O$10:$O$17,MATCH($F74,'ESG'!$B$10:$B$17,0))),"N/A")</f>
        <v/>
      </c>
      <c r="Q74" s="53">
        <f>IFERROR(IF(INDEX('CIOG'!$O$10:$O$14,MATCH($F74,'CIOG'!$B$10:$B$14,0))="","Cell will autofill based on response",INDEX('CIOG'!$O$10:$O$14,MATCH($F74,'CIOG'!$B$10:$B$14,0))),"N/A")</f>
        <v/>
      </c>
      <c r="R74" s="53">
        <f>IFERROR(IF(INDEX('MRE'!$O$10:$O$18,MATCH($F74,'MRE'!$B$10:$B$18,0))="","Cell will autofill based on response",INDEX('MRE'!$O$10:$O$18,MATCH($F74,'MRE'!$B$10:$B$18,0))),"N/A")</f>
        <v/>
      </c>
      <c r="S74" s="53">
        <f>IFERROR(IF(INDEX('AC&amp;M'!$O$10:$O$14,MATCH($F74,'AC&amp;M'!$B$10:$B$14,0))="","Cell will autofill based on response",INDEX('AC&amp;M'!$O$10:$O$14,MATCH($F74,'AC&amp;M'!$B$10:$B$14,0))),"N/A")</f>
        <v/>
      </c>
      <c r="T74" s="53">
        <f>IFERROR(IF(INDEX('GCE'!$O$10:$O$12,MATCH($F74,'GCE'!$B$10:$B$12,0))="","Cell will autofill based on response",INDEX('GCE'!$O$10:$O$12,MATCH($F74,'GCE'!$B$10:$B$12,0))),"N/A")</f>
        <v/>
      </c>
      <c r="U74" s="53">
        <f>IFERROR(IF(INDEX('Education'!$O$10:$O$13,MATCH($F74,'Education'!$B$10:$B$13,0))="","Cell will autofill based on response",INDEX('Education'!$O$10:$O$13,MATCH($F74,'Education'!$B$10:$B$13,0))),"N/A")</f>
        <v/>
      </c>
      <c r="V74" s="53">
        <f>IFERROR(IF(INDEX('SaSS'!$O$10:$O$12,MATCH($F74,'SaSS'!$B$10:$B$12,0))="","Cell will autofill based on response",INDEX('SaSS'!$O$10:$O$12,MATCH($F74,'SaSS'!$B$10:$B$12,0))),"N/A")</f>
        <v/>
      </c>
      <c r="W74" s="53">
        <f>IFERROR(IF(INDEX('Indigenous'!$O$10:$O$11,MATCH($F74,'Indigenous'!$B$10:$B$11,0))="","Cell will autofill based on response",INDEX('Indigenous'!$O$10:$O$11,MATCH($F74,'Indigenous'!$B$10:$B$11,0))),"N/A")</f>
        <v/>
      </c>
      <c r="X74" s="53">
        <f>IFERROR(IF(INDEX('L&amp;R'!$O$10:$O$11,MATCH($F74,'L&amp;R'!$B$10:$B$11,0))="","Cell will autofill based on response",INDEX('L&amp;R'!$O$10:$O$11,MATCH($F74,'L&amp;R'!$B$10:$B$11,0))),"N/A")</f>
        <v/>
      </c>
    </row>
    <row r="75">
      <c r="A75">
        <f>F75&amp;"|"&amp;G75</f>
        <v/>
      </c>
      <c r="B75" s="13" t="inlineStr"/>
      <c r="C75" s="8" t="inlineStr"/>
      <c r="D75" s="8" t="inlineStr"/>
      <c r="E75" s="8" t="inlineStr"/>
      <c r="F75" s="8" t="inlineStr">
        <is>
          <t>TR2(d)</t>
        </is>
      </c>
      <c r="G75" s="8" t="inlineStr">
        <is>
          <t>Data source and limitations</t>
        </is>
      </c>
      <c r="H75" s="53">
        <f>IFERROR(IF(INDEX('Faculties'!$P$10:$P$19,MATCH($F75,'Faculties'!$B$10:$B$19,0))="","Cell will autofill based on response",INDEX('Faculties'!$P$10:$P$19,MATCH($F75,'Faculties'!$B$10:$B$19,0))),"N/A")</f>
        <v/>
      </c>
      <c r="I75" s="53">
        <f>IFERROR(IF(INDEX('Faculties'!$P$26:$P$35,MATCH($F75,'Faculties'!$B$26:$B$35,0))="","Cell will autofill based on response",INDEX('Faculties'!$P$26:$P$35,MATCH($F75,'Faculties'!$B$26:$B$35,0))),"N/A")</f>
        <v/>
      </c>
      <c r="J75" s="53">
        <f>IFERROR(IF(INDEX('Faculties'!$P$42:$P$51,MATCH($F75,'Faculties'!$B$42:$B$51,0))="","Cell will autofill based on response",INDEX('Faculties'!$P$42:$P$51,MATCH($F75,'Faculties'!$B$42:$B$51,0))),"N/A")</f>
        <v/>
      </c>
      <c r="K75" s="53">
        <f>IFERROR(IF(INDEX('Faculties'!$P$58:$P$67,MATCH($F75,'Faculties'!$B$58:$B$67,0))="","Cell will autofill based on response",INDEX('Faculties'!$P$58:$P$67,MATCH($F75,'Faculties'!$B$58:$B$67,0))),"N/A")</f>
        <v/>
      </c>
      <c r="L75" s="53">
        <f>IFERROR(IF(INDEX('CI&amp;S'!$P$10:$P$15,MATCH($F75,'CI&amp;S'!$B$10:$B$15,0))="","Cell will autofill based on response",INDEX('CI&amp;S'!$P$10:$P$15,MATCH($F75,'CI&amp;S'!$B$10:$B$15,0))),"N/A")</f>
        <v/>
      </c>
      <c r="M75" s="53">
        <f>IFERROR(IF(INDEX('CI&amp;S'!$P$22:$P$36,MATCH($F75,'CI&amp;S'!$B$22:$B$36,0))="","Cell will autofill based on response",INDEX('CI&amp;S'!$P$22:$P$36,MATCH($F75,'CI&amp;S'!$B$22:$B$36,0))),"N/A")</f>
        <v/>
      </c>
      <c r="N75" s="53">
        <f>IFERROR(IF(INDEX('CFOG'!$P$10:$P$16,MATCH($F75,'CFOG'!$B$10:$B$16,0))="","Cell will autofill based on response",INDEX('CFOG'!$P$10:$P$16,MATCH($F75,'CFOG'!$B$10:$B$16,0))),"N/A")</f>
        <v/>
      </c>
      <c r="O75" s="53">
        <f>IFERROR(IF(INDEX('CFOG'!$P$23:$P$24,MATCH($F75,'CFOG'!$B$23:$B$24,0))="","Cell will autofill based on response",INDEX('CFOG'!$P$23:$P$24,MATCH($F75,'CFOG'!$B$23:$B$24,0))),"N/A")</f>
        <v/>
      </c>
      <c r="P75" s="53">
        <f>IFERROR(IF(INDEX('ESG'!$P$10:$P$17,MATCH($F75,'ESG'!$B$10:$B$17,0))="","Cell will autofill based on response",INDEX('ESG'!$P$10:$P$17,MATCH($F75,'ESG'!$B$10:$B$17,0))),"N/A")</f>
        <v/>
      </c>
      <c r="Q75" s="53">
        <f>IFERROR(IF(INDEX('CIOG'!$P$10:$P$14,MATCH($F75,'CIOG'!$B$10:$B$14,0))="","Cell will autofill based on response",INDEX('CIOG'!$P$10:$P$14,MATCH($F75,'CIOG'!$B$10:$B$14,0))),"N/A")</f>
        <v/>
      </c>
      <c r="R75" s="53">
        <f>IFERROR(IF(INDEX('MRE'!$P$10:$P$18,MATCH($F75,'MRE'!$B$10:$B$18,0))="","Cell will autofill based on response",INDEX('MRE'!$P$10:$P$18,MATCH($F75,'MRE'!$B$10:$B$18,0))),"N/A")</f>
        <v/>
      </c>
      <c r="S75" s="53">
        <f>IFERROR(IF(INDEX('AC&amp;M'!$P$10:$P$14,MATCH($F75,'AC&amp;M'!$B$10:$B$14,0))="","Cell will autofill based on response",INDEX('AC&amp;M'!$P$10:$P$14,MATCH($F75,'AC&amp;M'!$B$10:$B$14,0))),"N/A")</f>
        <v/>
      </c>
      <c r="T75" s="53">
        <f>IFERROR(IF(INDEX('GCE'!$P$10:$P$12,MATCH($F75,'GCE'!$B$10:$B$12,0))="","Cell will autofill based on response",INDEX('GCE'!$P$10:$P$12,MATCH($F75,'GCE'!$B$10:$B$12,0))),"N/A")</f>
        <v/>
      </c>
      <c r="U75" s="53">
        <f>IFERROR(IF(INDEX('Education'!$P$10:$P$13,MATCH($F75,'Education'!$B$10:$B$13,0))="","Cell will autofill based on response",INDEX('Education'!$P$10:$P$13,MATCH($F75,'Education'!$B$10:$B$13,0))),"N/A")</f>
        <v/>
      </c>
      <c r="V75" s="53">
        <f>IFERROR(IF(INDEX('SaSS'!$P$10:$P$12,MATCH($F75,'SaSS'!$B$10:$B$12,0))="","Cell will autofill based on response",INDEX('SaSS'!$P$10:$P$12,MATCH($F75,'SaSS'!$B$10:$B$12,0))),"N/A")</f>
        <v/>
      </c>
      <c r="W75" s="53">
        <f>IFERROR(IF(INDEX('Indigenous'!$P$10:$P$11,MATCH($F75,'Indigenous'!$B$10:$B$11,0))="","Cell will autofill based on response",INDEX('Indigenous'!$P$10:$P$11,MATCH($F75,'Indigenous'!$B$10:$B$11,0))),"N/A")</f>
        <v/>
      </c>
      <c r="X75" s="53">
        <f>IFERROR(IF(INDEX('L&amp;R'!$P$10:$P$11,MATCH($F75,'L&amp;R'!$B$10:$B$11,0))="","Cell will autofill based on response",INDEX('L&amp;R'!$P$10:$P$11,MATCH($F75,'L&amp;R'!$B$10:$B$11,0))),"N/A")</f>
        <v/>
      </c>
    </row>
    <row r="76">
      <c r="A76">
        <f>F76&amp;"|"&amp;G76</f>
        <v/>
      </c>
      <c r="B76" s="13" t="inlineStr"/>
      <c r="C76" s="8" t="inlineStr"/>
      <c r="D76" s="8" t="inlineStr"/>
      <c r="E76" s="8" t="inlineStr"/>
      <c r="F76" s="8" t="inlineStr">
        <is>
          <t>TR2(d)</t>
        </is>
      </c>
      <c r="G76" s="8" t="inlineStr">
        <is>
          <t>Data owner confirms</t>
        </is>
      </c>
      <c r="H76" s="53">
        <f>IFERROR(IF(INDEX('Faculties'!$Q$10:$Q$19,MATCH($F76,'Faculties'!$B$10:$B$19,0))="","Cell will autofill based on response",INDEX('Faculties'!$Q$10:$Q$19,MATCH($F76,'Faculties'!$B$10:$B$19,0))),"N/A")</f>
        <v/>
      </c>
      <c r="I76" s="53">
        <f>IFERROR(IF(INDEX('Faculties'!$Q$26:$Q$35,MATCH($F76,'Faculties'!$B$26:$B$35,0))="","Cell will autofill based on response",INDEX('Faculties'!$Q$26:$Q$35,MATCH($F76,'Faculties'!$B$26:$B$35,0))),"N/A")</f>
        <v/>
      </c>
      <c r="J76" s="53">
        <f>IFERROR(IF(INDEX('Faculties'!$Q$42:$Q$51,MATCH($F76,'Faculties'!$B$42:$B$51,0))="","Cell will autofill based on response",INDEX('Faculties'!$Q$42:$Q$51,MATCH($F76,'Faculties'!$B$42:$B$51,0))),"N/A")</f>
        <v/>
      </c>
      <c r="K76" s="53">
        <f>IFERROR(IF(INDEX('Faculties'!$Q$58:$Q$67,MATCH($F76,'Faculties'!$B$58:$B$67,0))="","Cell will autofill based on response",INDEX('Faculties'!$Q$58:$Q$67,MATCH($F76,'Faculties'!$B$58:$B$67,0))),"N/A")</f>
        <v/>
      </c>
      <c r="L76" s="53">
        <f>IFERROR(IF(INDEX('CI&amp;S'!$Q$10:$Q$15,MATCH($F76,'CI&amp;S'!$B$10:$B$15,0))="","Cell will autofill based on response",INDEX('CI&amp;S'!$Q$10:$Q$15,MATCH($F76,'CI&amp;S'!$B$10:$B$15,0))),"N/A")</f>
        <v/>
      </c>
      <c r="M76" s="53">
        <f>IFERROR(IF(INDEX('CI&amp;S'!$Q$22:$Q$36,MATCH($F76,'CI&amp;S'!$B$22:$B$36,0))="","Cell will autofill based on response",INDEX('CI&amp;S'!$Q$22:$Q$36,MATCH($F76,'CI&amp;S'!$B$22:$B$36,0))),"N/A")</f>
        <v/>
      </c>
      <c r="N76" s="53">
        <f>IFERROR(IF(INDEX('CFOG'!$Q$10:$Q$16,MATCH($F76,'CFOG'!$B$10:$B$16,0))="","Cell will autofill based on response",INDEX('CFOG'!$Q$10:$Q$16,MATCH($F76,'CFOG'!$B$10:$B$16,0))),"N/A")</f>
        <v/>
      </c>
      <c r="O76" s="53">
        <f>IFERROR(IF(INDEX('CFOG'!$Q$23:$Q$24,MATCH($F76,'CFOG'!$B$23:$B$24,0))="","Cell will autofill based on response",INDEX('CFOG'!$Q$23:$Q$24,MATCH($F76,'CFOG'!$B$23:$B$24,0))),"N/A")</f>
        <v/>
      </c>
      <c r="P76" s="53">
        <f>IFERROR(IF(INDEX('ESG'!$Q$10:$Q$17,MATCH($F76,'ESG'!$B$10:$B$17,0))="","Cell will autofill based on response",INDEX('ESG'!$Q$10:$Q$17,MATCH($F76,'ESG'!$B$10:$B$17,0))),"N/A")</f>
        <v/>
      </c>
      <c r="Q76" s="53">
        <f>IFERROR(IF(INDEX('CIOG'!$Q$10:$Q$14,MATCH($F76,'CIOG'!$B$10:$B$14,0))="","Cell will autofill based on response",INDEX('CIOG'!$Q$10:$Q$14,MATCH($F76,'CIOG'!$B$10:$B$14,0))),"N/A")</f>
        <v/>
      </c>
      <c r="R76" s="53">
        <f>IFERROR(IF(INDEX('MRE'!$Q$10:$Q$18,MATCH($F76,'MRE'!$B$10:$B$18,0))="","Cell will autofill based on response",INDEX('MRE'!$Q$10:$Q$18,MATCH($F76,'MRE'!$B$10:$B$18,0))),"N/A")</f>
        <v/>
      </c>
      <c r="S76" s="53">
        <f>IFERROR(IF(INDEX('AC&amp;M'!$Q$10:$Q$14,MATCH($F76,'AC&amp;M'!$B$10:$B$14,0))="","Cell will autofill based on response",INDEX('AC&amp;M'!$Q$10:$Q$14,MATCH($F76,'AC&amp;M'!$B$10:$B$14,0))),"N/A")</f>
        <v/>
      </c>
      <c r="T76" s="53">
        <f>IFERROR(IF(INDEX('GCE'!$Q$10:$Q$12,MATCH($F76,'GCE'!$B$10:$B$12,0))="","Cell will autofill based on response",INDEX('GCE'!$Q$10:$Q$12,MATCH($F76,'GCE'!$B$10:$B$12,0))),"N/A")</f>
        <v/>
      </c>
      <c r="U76" s="53">
        <f>IFERROR(IF(INDEX('Education'!$Q$10:$Q$13,MATCH($F76,'Education'!$B$10:$B$13,0))="","Cell will autofill based on response",INDEX('Education'!$Q$10:$Q$13,MATCH($F76,'Education'!$B$10:$B$13,0))),"N/A")</f>
        <v/>
      </c>
      <c r="V76" s="53">
        <f>IFERROR(IF(INDEX('SaSS'!$Q$10:$Q$12,MATCH($F76,'SaSS'!$B$10:$B$12,0))="","Cell will autofill based on response",INDEX('SaSS'!$Q$10:$Q$12,MATCH($F76,'SaSS'!$B$10:$B$12,0))),"N/A")</f>
        <v/>
      </c>
      <c r="W76" s="53">
        <f>IFERROR(IF(INDEX('Indigenous'!$Q$10:$Q$11,MATCH($F76,'Indigenous'!$B$10:$B$11,0))="","Cell will autofill based on response",INDEX('Indigenous'!$Q$10:$Q$11,MATCH($F76,'Indigenous'!$B$10:$B$11,0))),"N/A")</f>
        <v/>
      </c>
      <c r="X76" s="53">
        <f>IFERROR(IF(INDEX('L&amp;R'!$Q$10:$Q$11,MATCH($F76,'L&amp;R'!$B$10:$B$11,0))="","Cell will autofill based on response",INDEX('L&amp;R'!$Q$10:$Q$11,MATCH($F76,'L&amp;R'!$B$10:$B$11,0))),"N/A")</f>
        <v/>
      </c>
    </row>
    <row r="77">
      <c r="A77">
        <f>F77&amp;"|"&amp;G77</f>
        <v/>
      </c>
      <c r="B77" s="7" t="inlineStr">
        <is>
          <t>TR3(a)</t>
        </is>
      </c>
      <c r="C77" s="51" t="inlineStr">
        <is>
          <t>Transformational research</t>
        </is>
      </c>
      <c r="D77" s="51" t="inlineStr">
        <is>
          <t>Evidence that sustainability considerations are integrated into relevant research systems, planning processes, guidance, training, induction or support services</t>
        </is>
      </c>
      <c r="E77" s="51" t="inlineStr">
        <is>
          <t>Please describe how sustainability considerations are integrated into research systems, planning processes, guidance, training, induction or support services within your Faculty/Portfolio, could include examples of any new or improved processes.</t>
        </is>
      </c>
      <c r="F77" s="51" t="inlineStr">
        <is>
          <t>TR3(a)</t>
        </is>
      </c>
      <c r="G77" s="51" t="inlineStr">
        <is>
          <t>Confirm end-2026 target status</t>
        </is>
      </c>
      <c r="H77" s="53">
        <f>IFERROR(IF(INDEX('Faculties'!$L$10:$L$19,MATCH($F77,'Faculties'!$B$10:$B$19,0))="","Cell will autofill based on response",INDEX('Faculties'!$L$10:$L$19,MATCH($F77,'Faculties'!$B$10:$B$19,0))),"N/A")</f>
        <v/>
      </c>
      <c r="I77" s="53">
        <f>IFERROR(IF(INDEX('Faculties'!$L$26:$L$35,MATCH($F77,'Faculties'!$B$26:$B$35,0))="","Cell will autofill based on response",INDEX('Faculties'!$L$26:$L$35,MATCH($F77,'Faculties'!$B$26:$B$35,0))),"N/A")</f>
        <v/>
      </c>
      <c r="J77" s="53">
        <f>IFERROR(IF(INDEX('Faculties'!$L$42:$L$51,MATCH($F77,'Faculties'!$B$42:$B$51,0))="","Cell will autofill based on response",INDEX('Faculties'!$L$42:$L$51,MATCH($F77,'Faculties'!$B$42:$B$51,0))),"N/A")</f>
        <v/>
      </c>
      <c r="K77" s="53">
        <f>IFERROR(IF(INDEX('Faculties'!$L$58:$L$67,MATCH($F77,'Faculties'!$B$58:$B$67,0))="","Cell will autofill based on response",INDEX('Faculties'!$L$58:$L$67,MATCH($F77,'Faculties'!$B$58:$B$67,0))),"N/A")</f>
        <v/>
      </c>
      <c r="L77" s="53">
        <f>IFERROR(IF(INDEX('CI&amp;S'!$L$10:$L$15,MATCH($F77,'CI&amp;S'!$B$10:$B$15,0))="","Cell will autofill based on response",INDEX('CI&amp;S'!$L$10:$L$15,MATCH($F77,'CI&amp;S'!$B$10:$B$15,0))),"N/A")</f>
        <v/>
      </c>
      <c r="M77" s="53">
        <f>IFERROR(IF(INDEX('CI&amp;S'!$L$22:$L$36,MATCH($F77,'CI&amp;S'!$B$22:$B$36,0))="","Cell will autofill based on response",INDEX('CI&amp;S'!$L$22:$L$36,MATCH($F77,'CI&amp;S'!$B$22:$B$36,0))),"N/A")</f>
        <v/>
      </c>
      <c r="N77" s="53">
        <f>IFERROR(IF(INDEX('CFOG'!$L$10:$L$16,MATCH($F77,'CFOG'!$B$10:$B$16,0))="","Cell will autofill based on response",INDEX('CFOG'!$L$10:$L$16,MATCH($F77,'CFOG'!$B$10:$B$16,0))),"N/A")</f>
        <v/>
      </c>
      <c r="O77" s="53">
        <f>IFERROR(IF(INDEX('CFOG'!$L$23:$L$24,MATCH($F77,'CFOG'!$B$23:$B$24,0))="","Cell will autofill based on response",INDEX('CFOG'!$L$23:$L$24,MATCH($F77,'CFOG'!$B$23:$B$24,0))),"N/A")</f>
        <v/>
      </c>
      <c r="P77" s="53">
        <f>IFERROR(IF(INDEX('ESG'!$L$10:$L$17,MATCH($F77,'ESG'!$B$10:$B$17,0))="","Cell will autofill based on response",INDEX('ESG'!$L$10:$L$17,MATCH($F77,'ESG'!$B$10:$B$17,0))),"N/A")</f>
        <v/>
      </c>
      <c r="Q77" s="53">
        <f>IFERROR(IF(INDEX('CIOG'!$L$10:$L$14,MATCH($F77,'CIOG'!$B$10:$B$14,0))="","Cell will autofill based on response",INDEX('CIOG'!$L$10:$L$14,MATCH($F77,'CIOG'!$B$10:$B$14,0))),"N/A")</f>
        <v/>
      </c>
      <c r="R77" s="53">
        <f>IFERROR(IF(INDEX('MRE'!$L$10:$L$18,MATCH($F77,'MRE'!$B$10:$B$18,0))="","Cell will autofill based on response",INDEX('MRE'!$L$10:$L$18,MATCH($F77,'MRE'!$B$10:$B$18,0))),"N/A")</f>
        <v/>
      </c>
      <c r="S77" s="53">
        <f>IFERROR(IF(INDEX('AC&amp;M'!$L$10:$L$14,MATCH($F77,'AC&amp;M'!$B$10:$B$14,0))="","Cell will autofill based on response",INDEX('AC&amp;M'!$L$10:$L$14,MATCH($F77,'AC&amp;M'!$B$10:$B$14,0))),"N/A")</f>
        <v/>
      </c>
      <c r="T77" s="53">
        <f>IFERROR(IF(INDEX('GCE'!$L$10:$L$12,MATCH($F77,'GCE'!$B$10:$B$12,0))="","Cell will autofill based on response",INDEX('GCE'!$L$10:$L$12,MATCH($F77,'GCE'!$B$10:$B$12,0))),"N/A")</f>
        <v/>
      </c>
      <c r="U77" s="53">
        <f>IFERROR(IF(INDEX('Education'!$L$10:$L$13,MATCH($F77,'Education'!$B$10:$B$13,0))="","Cell will autofill based on response",INDEX('Education'!$L$10:$L$13,MATCH($F77,'Education'!$B$10:$B$13,0))),"N/A")</f>
        <v/>
      </c>
      <c r="V77" s="53">
        <f>IFERROR(IF(INDEX('SaSS'!$L$10:$L$12,MATCH($F77,'SaSS'!$B$10:$B$12,0))="","Cell will autofill based on response",INDEX('SaSS'!$L$10:$L$12,MATCH($F77,'SaSS'!$B$10:$B$12,0))),"N/A")</f>
        <v/>
      </c>
      <c r="W77" s="53">
        <f>IFERROR(IF(INDEX('Indigenous'!$L$10:$L$11,MATCH($F77,'Indigenous'!$B$10:$B$11,0))="","Cell will autofill based on response",INDEX('Indigenous'!$L$10:$L$11,MATCH($F77,'Indigenous'!$B$10:$B$11,0))),"N/A")</f>
        <v/>
      </c>
      <c r="X77" s="53">
        <f>IFERROR(IF(INDEX('L&amp;R'!$L$10:$L$11,MATCH($F77,'L&amp;R'!$B$10:$B$11,0))="","Cell will autofill based on response",INDEX('L&amp;R'!$L$10:$L$11,MATCH($F77,'L&amp;R'!$B$10:$B$11,0))),"N/A")</f>
        <v/>
      </c>
      <c r="Z77" s="10">
        <f>COUNTIF($H77:$X77,"Cell will autofill based on response")</f>
        <v/>
      </c>
      <c r="AA77" s="10">
        <f>COUNTIF($H77:$X77,"Not yet started")</f>
        <v/>
      </c>
      <c r="AB77" s="10">
        <f>COUNTIF($H77:$X77,"Not met")</f>
        <v/>
      </c>
      <c r="AC77" s="10">
        <f>COUNTIF($H77:$X77,"Partially met")</f>
        <v/>
      </c>
      <c r="AD77" s="10">
        <f>COUNTIF($H77:$X77,"Met or exceeded")</f>
        <v/>
      </c>
      <c r="AE77" s="10">
        <f>3*AD77+2*AC77+AB77</f>
        <v/>
      </c>
      <c r="AF77" s="10">
        <f>AD77+AC77+AB77+AA77</f>
        <v/>
      </c>
      <c r="AG77" s="54">
        <f>IF(AF77&gt;0,AE77/AF77,"No valid responses to date")</f>
        <v/>
      </c>
      <c r="AH77" s="10">
        <f>IF(ISNUMBER(AG77),INDEX(Lists!$G$2:$G$5,MATCH(ROUND(AG77,0),Lists!$H$2:$H$5,0)),"")</f>
        <v/>
      </c>
      <c r="AI77" s="55">
        <f>IF(AF77&gt;0,AD77/AF77,"")</f>
        <v/>
      </c>
      <c r="AJ77" s="55">
        <f>IF(AF77&gt;0,(AD77+AC77)/AF77,"")</f>
        <v/>
      </c>
      <c r="AK77" s="10">
        <f>IF(AF77=0,"",IF(AI77&gt;0.75,"Met or exceeded",IF(AJ77&gt;=0.5,"Partially met","Not met")))</f>
        <v/>
      </c>
    </row>
    <row r="78">
      <c r="A78">
        <f>F78&amp;"|"&amp;G78</f>
        <v/>
      </c>
      <c r="B78" s="13" t="inlineStr"/>
      <c r="C78" s="8" t="inlineStr"/>
      <c r="D78" s="8" t="inlineStr"/>
      <c r="E78" s="8" t="inlineStr"/>
      <c r="F78" s="8" t="inlineStr">
        <is>
          <t>TR3(a)</t>
        </is>
      </c>
      <c r="G78" s="8" t="inlineStr">
        <is>
          <t>OPTION 1:  Target-level reporting</t>
        </is>
      </c>
      <c r="H78" s="53">
        <f>IFERROR(IF(INDEX('Faculties'!$M$10:$M$19,MATCH($F78,'Faculties'!$B$10:$B$19,0))="","Cell will autofill based on response",INDEX('Faculties'!$M$10:$M$19,MATCH($F78,'Faculties'!$B$10:$B$19,0))),"N/A")</f>
        <v/>
      </c>
      <c r="I78" s="53">
        <f>IFERROR(IF(INDEX('Faculties'!$M$26:$M$35,MATCH($F78,'Faculties'!$B$26:$B$35,0))="","Cell will autofill based on response",INDEX('Faculties'!$M$26:$M$35,MATCH($F78,'Faculties'!$B$26:$B$35,0))),"N/A")</f>
        <v/>
      </c>
      <c r="J78" s="53">
        <f>IFERROR(IF(INDEX('Faculties'!$M$42:$M$51,MATCH($F78,'Faculties'!$B$42:$B$51,0))="","Cell will autofill based on response",INDEX('Faculties'!$M$42:$M$51,MATCH($F78,'Faculties'!$B$42:$B$51,0))),"N/A")</f>
        <v/>
      </c>
      <c r="K78" s="53">
        <f>IFERROR(IF(INDEX('Faculties'!$M$58:$M$67,MATCH($F78,'Faculties'!$B$58:$B$67,0))="","Cell will autofill based on response",INDEX('Faculties'!$M$58:$M$67,MATCH($F78,'Faculties'!$B$58:$B$67,0))),"N/A")</f>
        <v/>
      </c>
      <c r="L78" s="53">
        <f>IFERROR(IF(INDEX('CI&amp;S'!$M$10:$M$15,MATCH($F78,'CI&amp;S'!$B$10:$B$15,0))="","Cell will autofill based on response",INDEX('CI&amp;S'!$M$10:$M$15,MATCH($F78,'CI&amp;S'!$B$10:$B$15,0))),"N/A")</f>
        <v/>
      </c>
      <c r="M78" s="53">
        <f>IFERROR(IF(INDEX('CI&amp;S'!$M$22:$M$36,MATCH($F78,'CI&amp;S'!$B$22:$B$36,0))="","Cell will autofill based on response",INDEX('CI&amp;S'!$M$22:$M$36,MATCH($F78,'CI&amp;S'!$B$22:$B$36,0))),"N/A")</f>
        <v/>
      </c>
      <c r="N78" s="53">
        <f>IFERROR(IF(INDEX('CFOG'!$M$10:$M$16,MATCH($F78,'CFOG'!$B$10:$B$16,0))="","Cell will autofill based on response",INDEX('CFOG'!$M$10:$M$16,MATCH($F78,'CFOG'!$B$10:$B$16,0))),"N/A")</f>
        <v/>
      </c>
      <c r="O78" s="53">
        <f>IFERROR(IF(INDEX('CFOG'!$M$23:$M$24,MATCH($F78,'CFOG'!$B$23:$B$24,0))="","Cell will autofill based on response",INDEX('CFOG'!$M$23:$M$24,MATCH($F78,'CFOG'!$B$23:$B$24,0))),"N/A")</f>
        <v/>
      </c>
      <c r="P78" s="53">
        <f>IFERROR(IF(INDEX('ESG'!$M$10:$M$17,MATCH($F78,'ESG'!$B$10:$B$17,0))="","Cell will autofill based on response",INDEX('ESG'!$M$10:$M$17,MATCH($F78,'ESG'!$B$10:$B$17,0))),"N/A")</f>
        <v/>
      </c>
      <c r="Q78" s="53">
        <f>IFERROR(IF(INDEX('CIOG'!$M$10:$M$14,MATCH($F78,'CIOG'!$B$10:$B$14,0))="","Cell will autofill based on response",INDEX('CIOG'!$M$10:$M$14,MATCH($F78,'CIOG'!$B$10:$B$14,0))),"N/A")</f>
        <v/>
      </c>
      <c r="R78" s="53">
        <f>IFERROR(IF(INDEX('MRE'!$M$10:$M$18,MATCH($F78,'MRE'!$B$10:$B$18,0))="","Cell will autofill based on response",INDEX('MRE'!$M$10:$M$18,MATCH($F78,'MRE'!$B$10:$B$18,0))),"N/A")</f>
        <v/>
      </c>
      <c r="S78" s="53">
        <f>IFERROR(IF(INDEX('AC&amp;M'!$M$10:$M$14,MATCH($F78,'AC&amp;M'!$B$10:$B$14,0))="","Cell will autofill based on response",INDEX('AC&amp;M'!$M$10:$M$14,MATCH($F78,'AC&amp;M'!$B$10:$B$14,0))),"N/A")</f>
        <v/>
      </c>
      <c r="T78" s="53">
        <f>IFERROR(IF(INDEX('GCE'!$M$10:$M$12,MATCH($F78,'GCE'!$B$10:$B$12,0))="","Cell will autofill based on response",INDEX('GCE'!$M$10:$M$12,MATCH($F78,'GCE'!$B$10:$B$12,0))),"N/A")</f>
        <v/>
      </c>
      <c r="U78" s="53">
        <f>IFERROR(IF(INDEX('Education'!$M$10:$M$13,MATCH($F78,'Education'!$B$10:$B$13,0))="","Cell will autofill based on response",INDEX('Education'!$M$10:$M$13,MATCH($F78,'Education'!$B$10:$B$13,0))),"N/A")</f>
        <v/>
      </c>
      <c r="V78" s="53">
        <f>IFERROR(IF(INDEX('SaSS'!$M$10:$M$12,MATCH($F78,'SaSS'!$B$10:$B$12,0))="","Cell will autofill based on response",INDEX('SaSS'!$M$10:$M$12,MATCH($F78,'SaSS'!$B$10:$B$12,0))),"N/A")</f>
        <v/>
      </c>
      <c r="W78" s="53">
        <f>IFERROR(IF(INDEX('Indigenous'!$M$10:$M$11,MATCH($F78,'Indigenous'!$B$10:$B$11,0))="","Cell will autofill based on response",INDEX('Indigenous'!$M$10:$M$11,MATCH($F78,'Indigenous'!$B$10:$B$11,0))),"N/A")</f>
        <v/>
      </c>
      <c r="X78" s="53">
        <f>IFERROR(IF(INDEX('L&amp;R'!$M$10:$M$11,MATCH($F78,'L&amp;R'!$B$10:$B$11,0))="","Cell will autofill based on response",INDEX('L&amp;R'!$M$10:$M$11,MATCH($F78,'L&amp;R'!$B$10:$B$11,0))),"N/A")</f>
        <v/>
      </c>
    </row>
    <row r="79">
      <c r="A79">
        <f>F79&amp;"|"&amp;G79</f>
        <v/>
      </c>
      <c r="B79" s="13" t="inlineStr"/>
      <c r="C79" s="8" t="inlineStr"/>
      <c r="D79" s="8" t="inlineStr"/>
      <c r="E79" s="8" t="inlineStr"/>
      <c r="F79" s="8" t="inlineStr">
        <is>
          <t>TR3(a)</t>
        </is>
      </c>
      <c r="G79" s="8" t="inlineStr">
        <is>
          <t>OPTION 2:  Indicator level reporting</t>
        </is>
      </c>
      <c r="H79" s="53">
        <f>IFERROR(IF(INDEX('Faculties'!$N$10:$N$19,MATCH($F79,'Faculties'!$B$10:$B$19,0))="","Cell will autofill based on response",INDEX('Faculties'!$N$10:$N$19,MATCH($F79,'Faculties'!$B$10:$B$19,0))),"N/A")</f>
        <v/>
      </c>
      <c r="I79" s="53">
        <f>IFERROR(IF(INDEX('Faculties'!$N$26:$N$35,MATCH($F79,'Faculties'!$B$26:$B$35,0))="","Cell will autofill based on response",INDEX('Faculties'!$N$26:$N$35,MATCH($F79,'Faculties'!$B$26:$B$35,0))),"N/A")</f>
        <v/>
      </c>
      <c r="J79" s="53">
        <f>IFERROR(IF(INDEX('Faculties'!$N$42:$N$51,MATCH($F79,'Faculties'!$B$42:$B$51,0))="","Cell will autofill based on response",INDEX('Faculties'!$N$42:$N$51,MATCH($F79,'Faculties'!$B$42:$B$51,0))),"N/A")</f>
        <v/>
      </c>
      <c r="K79" s="53">
        <f>IFERROR(IF(INDEX('Faculties'!$N$58:$N$67,MATCH($F79,'Faculties'!$B$58:$B$67,0))="","Cell will autofill based on response",INDEX('Faculties'!$N$58:$N$67,MATCH($F79,'Faculties'!$B$58:$B$67,0))),"N/A")</f>
        <v/>
      </c>
      <c r="L79" s="53">
        <f>IFERROR(IF(INDEX('CI&amp;S'!$N$10:$N$15,MATCH($F79,'CI&amp;S'!$B$10:$B$15,0))="","Cell will autofill based on response",INDEX('CI&amp;S'!$N$10:$N$15,MATCH($F79,'CI&amp;S'!$B$10:$B$15,0))),"N/A")</f>
        <v/>
      </c>
      <c r="M79" s="53">
        <f>IFERROR(IF(INDEX('CI&amp;S'!$N$22:$N$36,MATCH($F79,'CI&amp;S'!$B$22:$B$36,0))="","Cell will autofill based on response",INDEX('CI&amp;S'!$N$22:$N$36,MATCH($F79,'CI&amp;S'!$B$22:$B$36,0))),"N/A")</f>
        <v/>
      </c>
      <c r="N79" s="53">
        <f>IFERROR(IF(INDEX('CFOG'!$N$10:$N$16,MATCH($F79,'CFOG'!$B$10:$B$16,0))="","Cell will autofill based on response",INDEX('CFOG'!$N$10:$N$16,MATCH($F79,'CFOG'!$B$10:$B$16,0))),"N/A")</f>
        <v/>
      </c>
      <c r="O79" s="53">
        <f>IFERROR(IF(INDEX('CFOG'!$N$23:$N$24,MATCH($F79,'CFOG'!$B$23:$B$24,0))="","Cell will autofill based on response",INDEX('CFOG'!$N$23:$N$24,MATCH($F79,'CFOG'!$B$23:$B$24,0))),"N/A")</f>
        <v/>
      </c>
      <c r="P79" s="53">
        <f>IFERROR(IF(INDEX('ESG'!$N$10:$N$17,MATCH($F79,'ESG'!$B$10:$B$17,0))="","Cell will autofill based on response",INDEX('ESG'!$N$10:$N$17,MATCH($F79,'ESG'!$B$10:$B$17,0))),"N/A")</f>
        <v/>
      </c>
      <c r="Q79" s="53">
        <f>IFERROR(IF(INDEX('CIOG'!$N$10:$N$14,MATCH($F79,'CIOG'!$B$10:$B$14,0))="","Cell will autofill based on response",INDEX('CIOG'!$N$10:$N$14,MATCH($F79,'CIOG'!$B$10:$B$14,0))),"N/A")</f>
        <v/>
      </c>
      <c r="R79" s="53">
        <f>IFERROR(IF(INDEX('MRE'!$N$10:$N$18,MATCH($F79,'MRE'!$B$10:$B$18,0))="","Cell will autofill based on response",INDEX('MRE'!$N$10:$N$18,MATCH($F79,'MRE'!$B$10:$B$18,0))),"N/A")</f>
        <v/>
      </c>
      <c r="S79" s="53">
        <f>IFERROR(IF(INDEX('AC&amp;M'!$N$10:$N$14,MATCH($F79,'AC&amp;M'!$B$10:$B$14,0))="","Cell will autofill based on response",INDEX('AC&amp;M'!$N$10:$N$14,MATCH($F79,'AC&amp;M'!$B$10:$B$14,0))),"N/A")</f>
        <v/>
      </c>
      <c r="T79" s="53">
        <f>IFERROR(IF(INDEX('GCE'!$N$10:$N$12,MATCH($F79,'GCE'!$B$10:$B$12,0))="","Cell will autofill based on response",INDEX('GCE'!$N$10:$N$12,MATCH($F79,'GCE'!$B$10:$B$12,0))),"N/A")</f>
        <v/>
      </c>
      <c r="U79" s="53">
        <f>IFERROR(IF(INDEX('Education'!$N$10:$N$13,MATCH($F79,'Education'!$B$10:$B$13,0))="","Cell will autofill based on response",INDEX('Education'!$N$10:$N$13,MATCH($F79,'Education'!$B$10:$B$13,0))),"N/A")</f>
        <v/>
      </c>
      <c r="V79" s="53">
        <f>IFERROR(IF(INDEX('SaSS'!$N$10:$N$12,MATCH($F79,'SaSS'!$B$10:$B$12,0))="","Cell will autofill based on response",INDEX('SaSS'!$N$10:$N$12,MATCH($F79,'SaSS'!$B$10:$B$12,0))),"N/A")</f>
        <v/>
      </c>
      <c r="W79" s="53">
        <f>IFERROR(IF(INDEX('Indigenous'!$N$10:$N$11,MATCH($F79,'Indigenous'!$B$10:$B$11,0))="","Cell will autofill based on response",INDEX('Indigenous'!$N$10:$N$11,MATCH($F79,'Indigenous'!$B$10:$B$11,0))),"N/A")</f>
        <v/>
      </c>
      <c r="X79" s="53">
        <f>IFERROR(IF(INDEX('L&amp;R'!$N$10:$N$11,MATCH($F79,'L&amp;R'!$B$10:$B$11,0))="","Cell will autofill based on response",INDEX('L&amp;R'!$N$10:$N$11,MATCH($F79,'L&amp;R'!$B$10:$B$11,0))),"N/A")</f>
        <v/>
      </c>
    </row>
    <row r="80">
      <c r="A80">
        <f>F80&amp;"|"&amp;G80</f>
        <v/>
      </c>
      <c r="B80" s="13" t="inlineStr"/>
      <c r="C80" s="8" t="inlineStr"/>
      <c r="D80" s="8" t="inlineStr"/>
      <c r="E80" s="8" t="inlineStr"/>
      <c r="F80" s="8" t="inlineStr">
        <is>
          <t>TR3(a)</t>
        </is>
      </c>
      <c r="G80" s="8" t="inlineStr">
        <is>
          <t>Supporting information/comments</t>
        </is>
      </c>
      <c r="H80" s="53">
        <f>IFERROR(IF(INDEX('Faculties'!$O$10:$O$19,MATCH($F80,'Faculties'!$B$10:$B$19,0))="","Cell will autofill based on response",INDEX('Faculties'!$O$10:$O$19,MATCH($F80,'Faculties'!$B$10:$B$19,0))),"N/A")</f>
        <v/>
      </c>
      <c r="I80" s="53">
        <f>IFERROR(IF(INDEX('Faculties'!$O$26:$O$35,MATCH($F80,'Faculties'!$B$26:$B$35,0))="","Cell will autofill based on response",INDEX('Faculties'!$O$26:$O$35,MATCH($F80,'Faculties'!$B$26:$B$35,0))),"N/A")</f>
        <v/>
      </c>
      <c r="J80" s="53">
        <f>IFERROR(IF(INDEX('Faculties'!$O$42:$O$51,MATCH($F80,'Faculties'!$B$42:$B$51,0))="","Cell will autofill based on response",INDEX('Faculties'!$O$42:$O$51,MATCH($F80,'Faculties'!$B$42:$B$51,0))),"N/A")</f>
        <v/>
      </c>
      <c r="K80" s="53">
        <f>IFERROR(IF(INDEX('Faculties'!$O$58:$O$67,MATCH($F80,'Faculties'!$B$58:$B$67,0))="","Cell will autofill based on response",INDEX('Faculties'!$O$58:$O$67,MATCH($F80,'Faculties'!$B$58:$B$67,0))),"N/A")</f>
        <v/>
      </c>
      <c r="L80" s="53">
        <f>IFERROR(IF(INDEX('CI&amp;S'!$O$10:$O$15,MATCH($F80,'CI&amp;S'!$B$10:$B$15,0))="","Cell will autofill based on response",INDEX('CI&amp;S'!$O$10:$O$15,MATCH($F80,'CI&amp;S'!$B$10:$B$15,0))),"N/A")</f>
        <v/>
      </c>
      <c r="M80" s="53">
        <f>IFERROR(IF(INDEX('CI&amp;S'!$O$22:$O$36,MATCH($F80,'CI&amp;S'!$B$22:$B$36,0))="","Cell will autofill based on response",INDEX('CI&amp;S'!$O$22:$O$36,MATCH($F80,'CI&amp;S'!$B$22:$B$36,0))),"N/A")</f>
        <v/>
      </c>
      <c r="N80" s="53">
        <f>IFERROR(IF(INDEX('CFOG'!$O$10:$O$16,MATCH($F80,'CFOG'!$B$10:$B$16,0))="","Cell will autofill based on response",INDEX('CFOG'!$O$10:$O$16,MATCH($F80,'CFOG'!$B$10:$B$16,0))),"N/A")</f>
        <v/>
      </c>
      <c r="O80" s="53">
        <f>IFERROR(IF(INDEX('CFOG'!$O$23:$O$24,MATCH($F80,'CFOG'!$B$23:$B$24,0))="","Cell will autofill based on response",INDEX('CFOG'!$O$23:$O$24,MATCH($F80,'CFOG'!$B$23:$B$24,0))),"N/A")</f>
        <v/>
      </c>
      <c r="P80" s="53">
        <f>IFERROR(IF(INDEX('ESG'!$O$10:$O$17,MATCH($F80,'ESG'!$B$10:$B$17,0))="","Cell will autofill based on response",INDEX('ESG'!$O$10:$O$17,MATCH($F80,'ESG'!$B$10:$B$17,0))),"N/A")</f>
        <v/>
      </c>
      <c r="Q80" s="53">
        <f>IFERROR(IF(INDEX('CIOG'!$O$10:$O$14,MATCH($F80,'CIOG'!$B$10:$B$14,0))="","Cell will autofill based on response",INDEX('CIOG'!$O$10:$O$14,MATCH($F80,'CIOG'!$B$10:$B$14,0))),"N/A")</f>
        <v/>
      </c>
      <c r="R80" s="53">
        <f>IFERROR(IF(INDEX('MRE'!$O$10:$O$18,MATCH($F80,'MRE'!$B$10:$B$18,0))="","Cell will autofill based on response",INDEX('MRE'!$O$10:$O$18,MATCH($F80,'MRE'!$B$10:$B$18,0))),"N/A")</f>
        <v/>
      </c>
      <c r="S80" s="53">
        <f>IFERROR(IF(INDEX('AC&amp;M'!$O$10:$O$14,MATCH($F80,'AC&amp;M'!$B$10:$B$14,0))="","Cell will autofill based on response",INDEX('AC&amp;M'!$O$10:$O$14,MATCH($F80,'AC&amp;M'!$B$10:$B$14,0))),"N/A")</f>
        <v/>
      </c>
      <c r="T80" s="53">
        <f>IFERROR(IF(INDEX('GCE'!$O$10:$O$12,MATCH($F80,'GCE'!$B$10:$B$12,0))="","Cell will autofill based on response",INDEX('GCE'!$O$10:$O$12,MATCH($F80,'GCE'!$B$10:$B$12,0))),"N/A")</f>
        <v/>
      </c>
      <c r="U80" s="53">
        <f>IFERROR(IF(INDEX('Education'!$O$10:$O$13,MATCH($F80,'Education'!$B$10:$B$13,0))="","Cell will autofill based on response",INDEX('Education'!$O$10:$O$13,MATCH($F80,'Education'!$B$10:$B$13,0))),"N/A")</f>
        <v/>
      </c>
      <c r="V80" s="53">
        <f>IFERROR(IF(INDEX('SaSS'!$O$10:$O$12,MATCH($F80,'SaSS'!$B$10:$B$12,0))="","Cell will autofill based on response",INDEX('SaSS'!$O$10:$O$12,MATCH($F80,'SaSS'!$B$10:$B$12,0))),"N/A")</f>
        <v/>
      </c>
      <c r="W80" s="53">
        <f>IFERROR(IF(INDEX('Indigenous'!$O$10:$O$11,MATCH($F80,'Indigenous'!$B$10:$B$11,0))="","Cell will autofill based on response",INDEX('Indigenous'!$O$10:$O$11,MATCH($F80,'Indigenous'!$B$10:$B$11,0))),"N/A")</f>
        <v/>
      </c>
      <c r="X80" s="53">
        <f>IFERROR(IF(INDEX('L&amp;R'!$O$10:$O$11,MATCH($F80,'L&amp;R'!$B$10:$B$11,0))="","Cell will autofill based on response",INDEX('L&amp;R'!$O$10:$O$11,MATCH($F80,'L&amp;R'!$B$10:$B$11,0))),"N/A")</f>
        <v/>
      </c>
    </row>
    <row r="81">
      <c r="A81">
        <f>F81&amp;"|"&amp;G81</f>
        <v/>
      </c>
      <c r="B81" s="13" t="inlineStr"/>
      <c r="C81" s="8" t="inlineStr"/>
      <c r="D81" s="8" t="inlineStr"/>
      <c r="E81" s="8" t="inlineStr"/>
      <c r="F81" s="8" t="inlineStr">
        <is>
          <t>TR3(a)</t>
        </is>
      </c>
      <c r="G81" s="8" t="inlineStr">
        <is>
          <t>Data source and limitations</t>
        </is>
      </c>
      <c r="H81" s="53">
        <f>IFERROR(IF(INDEX('Faculties'!$P$10:$P$19,MATCH($F81,'Faculties'!$B$10:$B$19,0))="","Cell will autofill based on response",INDEX('Faculties'!$P$10:$P$19,MATCH($F81,'Faculties'!$B$10:$B$19,0))),"N/A")</f>
        <v/>
      </c>
      <c r="I81" s="53">
        <f>IFERROR(IF(INDEX('Faculties'!$P$26:$P$35,MATCH($F81,'Faculties'!$B$26:$B$35,0))="","Cell will autofill based on response",INDEX('Faculties'!$P$26:$P$35,MATCH($F81,'Faculties'!$B$26:$B$35,0))),"N/A")</f>
        <v/>
      </c>
      <c r="J81" s="53">
        <f>IFERROR(IF(INDEX('Faculties'!$P$42:$P$51,MATCH($F81,'Faculties'!$B$42:$B$51,0))="","Cell will autofill based on response",INDEX('Faculties'!$P$42:$P$51,MATCH($F81,'Faculties'!$B$42:$B$51,0))),"N/A")</f>
        <v/>
      </c>
      <c r="K81" s="53">
        <f>IFERROR(IF(INDEX('Faculties'!$P$58:$P$67,MATCH($F81,'Faculties'!$B$58:$B$67,0))="","Cell will autofill based on response",INDEX('Faculties'!$P$58:$P$67,MATCH($F81,'Faculties'!$B$58:$B$67,0))),"N/A")</f>
        <v/>
      </c>
      <c r="L81" s="53">
        <f>IFERROR(IF(INDEX('CI&amp;S'!$P$10:$P$15,MATCH($F81,'CI&amp;S'!$B$10:$B$15,0))="","Cell will autofill based on response",INDEX('CI&amp;S'!$P$10:$P$15,MATCH($F81,'CI&amp;S'!$B$10:$B$15,0))),"N/A")</f>
        <v/>
      </c>
      <c r="M81" s="53">
        <f>IFERROR(IF(INDEX('CI&amp;S'!$P$22:$P$36,MATCH($F81,'CI&amp;S'!$B$22:$B$36,0))="","Cell will autofill based on response",INDEX('CI&amp;S'!$P$22:$P$36,MATCH($F81,'CI&amp;S'!$B$22:$B$36,0))),"N/A")</f>
        <v/>
      </c>
      <c r="N81" s="53">
        <f>IFERROR(IF(INDEX('CFOG'!$P$10:$P$16,MATCH($F81,'CFOG'!$B$10:$B$16,0))="","Cell will autofill based on response",INDEX('CFOG'!$P$10:$P$16,MATCH($F81,'CFOG'!$B$10:$B$16,0))),"N/A")</f>
        <v/>
      </c>
      <c r="O81" s="53">
        <f>IFERROR(IF(INDEX('CFOG'!$P$23:$P$24,MATCH($F81,'CFOG'!$B$23:$B$24,0))="","Cell will autofill based on response",INDEX('CFOG'!$P$23:$P$24,MATCH($F81,'CFOG'!$B$23:$B$24,0))),"N/A")</f>
        <v/>
      </c>
      <c r="P81" s="53">
        <f>IFERROR(IF(INDEX('ESG'!$P$10:$P$17,MATCH($F81,'ESG'!$B$10:$B$17,0))="","Cell will autofill based on response",INDEX('ESG'!$P$10:$P$17,MATCH($F81,'ESG'!$B$10:$B$17,0))),"N/A")</f>
        <v/>
      </c>
      <c r="Q81" s="53">
        <f>IFERROR(IF(INDEX('CIOG'!$P$10:$P$14,MATCH($F81,'CIOG'!$B$10:$B$14,0))="","Cell will autofill based on response",INDEX('CIOG'!$P$10:$P$14,MATCH($F81,'CIOG'!$B$10:$B$14,0))),"N/A")</f>
        <v/>
      </c>
      <c r="R81" s="53">
        <f>IFERROR(IF(INDEX('MRE'!$P$10:$P$18,MATCH($F81,'MRE'!$B$10:$B$18,0))="","Cell will autofill based on response",INDEX('MRE'!$P$10:$P$18,MATCH($F81,'MRE'!$B$10:$B$18,0))),"N/A")</f>
        <v/>
      </c>
      <c r="S81" s="53">
        <f>IFERROR(IF(INDEX('AC&amp;M'!$P$10:$P$14,MATCH($F81,'AC&amp;M'!$B$10:$B$14,0))="","Cell will autofill based on response",INDEX('AC&amp;M'!$P$10:$P$14,MATCH($F81,'AC&amp;M'!$B$10:$B$14,0))),"N/A")</f>
        <v/>
      </c>
      <c r="T81" s="53">
        <f>IFERROR(IF(INDEX('GCE'!$P$10:$P$12,MATCH($F81,'GCE'!$B$10:$B$12,0))="","Cell will autofill based on response",INDEX('GCE'!$P$10:$P$12,MATCH($F81,'GCE'!$B$10:$B$12,0))),"N/A")</f>
        <v/>
      </c>
      <c r="U81" s="53">
        <f>IFERROR(IF(INDEX('Education'!$P$10:$P$13,MATCH($F81,'Education'!$B$10:$B$13,0))="","Cell will autofill based on response",INDEX('Education'!$P$10:$P$13,MATCH($F81,'Education'!$B$10:$B$13,0))),"N/A")</f>
        <v/>
      </c>
      <c r="V81" s="53">
        <f>IFERROR(IF(INDEX('SaSS'!$P$10:$P$12,MATCH($F81,'SaSS'!$B$10:$B$12,0))="","Cell will autofill based on response",INDEX('SaSS'!$P$10:$P$12,MATCH($F81,'SaSS'!$B$10:$B$12,0))),"N/A")</f>
        <v/>
      </c>
      <c r="W81" s="53">
        <f>IFERROR(IF(INDEX('Indigenous'!$P$10:$P$11,MATCH($F81,'Indigenous'!$B$10:$B$11,0))="","Cell will autofill based on response",INDEX('Indigenous'!$P$10:$P$11,MATCH($F81,'Indigenous'!$B$10:$B$11,0))),"N/A")</f>
        <v/>
      </c>
      <c r="X81" s="53">
        <f>IFERROR(IF(INDEX('L&amp;R'!$P$10:$P$11,MATCH($F81,'L&amp;R'!$B$10:$B$11,0))="","Cell will autofill based on response",INDEX('L&amp;R'!$P$10:$P$11,MATCH($F81,'L&amp;R'!$B$10:$B$11,0))),"N/A")</f>
        <v/>
      </c>
    </row>
    <row r="82">
      <c r="A82">
        <f>F82&amp;"|"&amp;G82</f>
        <v/>
      </c>
      <c r="B82" s="13" t="inlineStr"/>
      <c r="C82" s="8" t="inlineStr"/>
      <c r="D82" s="8" t="inlineStr"/>
      <c r="E82" s="8" t="inlineStr"/>
      <c r="F82" s="8" t="inlineStr">
        <is>
          <t>TR3(a)</t>
        </is>
      </c>
      <c r="G82" s="8" t="inlineStr">
        <is>
          <t>Data owner confirms</t>
        </is>
      </c>
      <c r="H82" s="53">
        <f>IFERROR(IF(INDEX('Faculties'!$Q$10:$Q$19,MATCH($F82,'Faculties'!$B$10:$B$19,0))="","Cell will autofill based on response",INDEX('Faculties'!$Q$10:$Q$19,MATCH($F82,'Faculties'!$B$10:$B$19,0))),"N/A")</f>
        <v/>
      </c>
      <c r="I82" s="53">
        <f>IFERROR(IF(INDEX('Faculties'!$Q$26:$Q$35,MATCH($F82,'Faculties'!$B$26:$B$35,0))="","Cell will autofill based on response",INDEX('Faculties'!$Q$26:$Q$35,MATCH($F82,'Faculties'!$B$26:$B$35,0))),"N/A")</f>
        <v/>
      </c>
      <c r="J82" s="53">
        <f>IFERROR(IF(INDEX('Faculties'!$Q$42:$Q$51,MATCH($F82,'Faculties'!$B$42:$B$51,0))="","Cell will autofill based on response",INDEX('Faculties'!$Q$42:$Q$51,MATCH($F82,'Faculties'!$B$42:$B$51,0))),"N/A")</f>
        <v/>
      </c>
      <c r="K82" s="53">
        <f>IFERROR(IF(INDEX('Faculties'!$Q$58:$Q$67,MATCH($F82,'Faculties'!$B$58:$B$67,0))="","Cell will autofill based on response",INDEX('Faculties'!$Q$58:$Q$67,MATCH($F82,'Faculties'!$B$58:$B$67,0))),"N/A")</f>
        <v/>
      </c>
      <c r="L82" s="53">
        <f>IFERROR(IF(INDEX('CI&amp;S'!$Q$10:$Q$15,MATCH($F82,'CI&amp;S'!$B$10:$B$15,0))="","Cell will autofill based on response",INDEX('CI&amp;S'!$Q$10:$Q$15,MATCH($F82,'CI&amp;S'!$B$10:$B$15,0))),"N/A")</f>
        <v/>
      </c>
      <c r="M82" s="53">
        <f>IFERROR(IF(INDEX('CI&amp;S'!$Q$22:$Q$36,MATCH($F82,'CI&amp;S'!$B$22:$B$36,0))="","Cell will autofill based on response",INDEX('CI&amp;S'!$Q$22:$Q$36,MATCH($F82,'CI&amp;S'!$B$22:$B$36,0))),"N/A")</f>
        <v/>
      </c>
      <c r="N82" s="53">
        <f>IFERROR(IF(INDEX('CFOG'!$Q$10:$Q$16,MATCH($F82,'CFOG'!$B$10:$B$16,0))="","Cell will autofill based on response",INDEX('CFOG'!$Q$10:$Q$16,MATCH($F82,'CFOG'!$B$10:$B$16,0))),"N/A")</f>
        <v/>
      </c>
      <c r="O82" s="53">
        <f>IFERROR(IF(INDEX('CFOG'!$Q$23:$Q$24,MATCH($F82,'CFOG'!$B$23:$B$24,0))="","Cell will autofill based on response",INDEX('CFOG'!$Q$23:$Q$24,MATCH($F82,'CFOG'!$B$23:$B$24,0))),"N/A")</f>
        <v/>
      </c>
      <c r="P82" s="53">
        <f>IFERROR(IF(INDEX('ESG'!$Q$10:$Q$17,MATCH($F82,'ESG'!$B$10:$B$17,0))="","Cell will autofill based on response",INDEX('ESG'!$Q$10:$Q$17,MATCH($F82,'ESG'!$B$10:$B$17,0))),"N/A")</f>
        <v/>
      </c>
      <c r="Q82" s="53">
        <f>IFERROR(IF(INDEX('CIOG'!$Q$10:$Q$14,MATCH($F82,'CIOG'!$B$10:$B$14,0))="","Cell will autofill based on response",INDEX('CIOG'!$Q$10:$Q$14,MATCH($F82,'CIOG'!$B$10:$B$14,0))),"N/A")</f>
        <v/>
      </c>
      <c r="R82" s="53">
        <f>IFERROR(IF(INDEX('MRE'!$Q$10:$Q$18,MATCH($F82,'MRE'!$B$10:$B$18,0))="","Cell will autofill based on response",INDEX('MRE'!$Q$10:$Q$18,MATCH($F82,'MRE'!$B$10:$B$18,0))),"N/A")</f>
        <v/>
      </c>
      <c r="S82" s="53">
        <f>IFERROR(IF(INDEX('AC&amp;M'!$Q$10:$Q$14,MATCH($F82,'AC&amp;M'!$B$10:$B$14,0))="","Cell will autofill based on response",INDEX('AC&amp;M'!$Q$10:$Q$14,MATCH($F82,'AC&amp;M'!$B$10:$B$14,0))),"N/A")</f>
        <v/>
      </c>
      <c r="T82" s="53">
        <f>IFERROR(IF(INDEX('GCE'!$Q$10:$Q$12,MATCH($F82,'GCE'!$B$10:$B$12,0))="","Cell will autofill based on response",INDEX('GCE'!$Q$10:$Q$12,MATCH($F82,'GCE'!$B$10:$B$12,0))),"N/A")</f>
        <v/>
      </c>
      <c r="U82" s="53">
        <f>IFERROR(IF(INDEX('Education'!$Q$10:$Q$13,MATCH($F82,'Education'!$B$10:$B$13,0))="","Cell will autofill based on response",INDEX('Education'!$Q$10:$Q$13,MATCH($F82,'Education'!$B$10:$B$13,0))),"N/A")</f>
        <v/>
      </c>
      <c r="V82" s="53">
        <f>IFERROR(IF(INDEX('SaSS'!$Q$10:$Q$12,MATCH($F82,'SaSS'!$B$10:$B$12,0))="","Cell will autofill based on response",INDEX('SaSS'!$Q$10:$Q$12,MATCH($F82,'SaSS'!$B$10:$B$12,0))),"N/A")</f>
        <v/>
      </c>
      <c r="W82" s="53">
        <f>IFERROR(IF(INDEX('Indigenous'!$Q$10:$Q$11,MATCH($F82,'Indigenous'!$B$10:$B$11,0))="","Cell will autofill based on response",INDEX('Indigenous'!$Q$10:$Q$11,MATCH($F82,'Indigenous'!$B$10:$B$11,0))),"N/A")</f>
        <v/>
      </c>
      <c r="X82" s="53">
        <f>IFERROR(IF(INDEX('L&amp;R'!$Q$10:$Q$11,MATCH($F82,'L&amp;R'!$B$10:$B$11,0))="","Cell will autofill based on response",INDEX('L&amp;R'!$Q$10:$Q$11,MATCH($F82,'L&amp;R'!$B$10:$B$11,0))),"N/A")</f>
        <v/>
      </c>
    </row>
    <row r="83">
      <c r="A83">
        <f>F83&amp;"|"&amp;G83</f>
        <v/>
      </c>
      <c r="B83" s="7" t="inlineStr">
        <is>
          <t>TR3(b)</t>
        </is>
      </c>
      <c r="C83" s="51" t="inlineStr">
        <is>
          <t>Transformational research</t>
        </is>
      </c>
      <c r="D83" s="51" t="inlineStr">
        <is>
          <t>Demonstrated examples of more sustainable research practices in laboratories, fieldwork, procurement, travel or infrastructure use</t>
        </is>
      </c>
      <c r="E83" s="51"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F83" s="51" t="inlineStr">
        <is>
          <t>TR3(b)</t>
        </is>
      </c>
      <c r="G83" s="51" t="inlineStr">
        <is>
          <t>Confirm end-2026 target status</t>
        </is>
      </c>
      <c r="H83" s="53">
        <f>IFERROR(IF(INDEX('Faculties'!$L$10:$L$19,MATCH($F83,'Faculties'!$B$10:$B$19,0))="","Cell will autofill based on response",INDEX('Faculties'!$L$10:$L$19,MATCH($F83,'Faculties'!$B$10:$B$19,0))),"N/A")</f>
        <v/>
      </c>
      <c r="I83" s="53">
        <f>IFERROR(IF(INDEX('Faculties'!$L$26:$L$35,MATCH($F83,'Faculties'!$B$26:$B$35,0))="","Cell will autofill based on response",INDEX('Faculties'!$L$26:$L$35,MATCH($F83,'Faculties'!$B$26:$B$35,0))),"N/A")</f>
        <v/>
      </c>
      <c r="J83" s="53">
        <f>IFERROR(IF(INDEX('Faculties'!$L$42:$L$51,MATCH($F83,'Faculties'!$B$42:$B$51,0))="","Cell will autofill based on response",INDEX('Faculties'!$L$42:$L$51,MATCH($F83,'Faculties'!$B$42:$B$51,0))),"N/A")</f>
        <v/>
      </c>
      <c r="K83" s="53">
        <f>IFERROR(IF(INDEX('Faculties'!$L$58:$L$67,MATCH($F83,'Faculties'!$B$58:$B$67,0))="","Cell will autofill based on response",INDEX('Faculties'!$L$58:$L$67,MATCH($F83,'Faculties'!$B$58:$B$67,0))),"N/A")</f>
        <v/>
      </c>
      <c r="L83" s="53">
        <f>IFERROR(IF(INDEX('CI&amp;S'!$L$10:$L$15,MATCH($F83,'CI&amp;S'!$B$10:$B$15,0))="","Cell will autofill based on response",INDEX('CI&amp;S'!$L$10:$L$15,MATCH($F83,'CI&amp;S'!$B$10:$B$15,0))),"N/A")</f>
        <v/>
      </c>
      <c r="M83" s="53">
        <f>IFERROR(IF(INDEX('CI&amp;S'!$L$22:$L$36,MATCH($F83,'CI&amp;S'!$B$22:$B$36,0))="","Cell will autofill based on response",INDEX('CI&amp;S'!$L$22:$L$36,MATCH($F83,'CI&amp;S'!$B$22:$B$36,0))),"N/A")</f>
        <v/>
      </c>
      <c r="N83" s="53">
        <f>IFERROR(IF(INDEX('CFOG'!$L$10:$L$16,MATCH($F83,'CFOG'!$B$10:$B$16,0))="","Cell will autofill based on response",INDEX('CFOG'!$L$10:$L$16,MATCH($F83,'CFOG'!$B$10:$B$16,0))),"N/A")</f>
        <v/>
      </c>
      <c r="O83" s="53">
        <f>IFERROR(IF(INDEX('CFOG'!$L$23:$L$24,MATCH($F83,'CFOG'!$B$23:$B$24,0))="","Cell will autofill based on response",INDEX('CFOG'!$L$23:$L$24,MATCH($F83,'CFOG'!$B$23:$B$24,0))),"N/A")</f>
        <v/>
      </c>
      <c r="P83" s="53">
        <f>IFERROR(IF(INDEX('ESG'!$L$10:$L$17,MATCH($F83,'ESG'!$B$10:$B$17,0))="","Cell will autofill based on response",INDEX('ESG'!$L$10:$L$17,MATCH($F83,'ESG'!$B$10:$B$17,0))),"N/A")</f>
        <v/>
      </c>
      <c r="Q83" s="53">
        <f>IFERROR(IF(INDEX('CIOG'!$L$10:$L$14,MATCH($F83,'CIOG'!$B$10:$B$14,0))="","Cell will autofill based on response",INDEX('CIOG'!$L$10:$L$14,MATCH($F83,'CIOG'!$B$10:$B$14,0))),"N/A")</f>
        <v/>
      </c>
      <c r="R83" s="53">
        <f>IFERROR(IF(INDEX('MRE'!$L$10:$L$18,MATCH($F83,'MRE'!$B$10:$B$18,0))="","Cell will autofill based on response",INDEX('MRE'!$L$10:$L$18,MATCH($F83,'MRE'!$B$10:$B$18,0))),"N/A")</f>
        <v/>
      </c>
      <c r="S83" s="53">
        <f>IFERROR(IF(INDEX('AC&amp;M'!$L$10:$L$14,MATCH($F83,'AC&amp;M'!$B$10:$B$14,0))="","Cell will autofill based on response",INDEX('AC&amp;M'!$L$10:$L$14,MATCH($F83,'AC&amp;M'!$B$10:$B$14,0))),"N/A")</f>
        <v/>
      </c>
      <c r="T83" s="53">
        <f>IFERROR(IF(INDEX('GCE'!$L$10:$L$12,MATCH($F83,'GCE'!$B$10:$B$12,0))="","Cell will autofill based on response",INDEX('GCE'!$L$10:$L$12,MATCH($F83,'GCE'!$B$10:$B$12,0))),"N/A")</f>
        <v/>
      </c>
      <c r="U83" s="53">
        <f>IFERROR(IF(INDEX('Education'!$L$10:$L$13,MATCH($F83,'Education'!$B$10:$B$13,0))="","Cell will autofill based on response",INDEX('Education'!$L$10:$L$13,MATCH($F83,'Education'!$B$10:$B$13,0))),"N/A")</f>
        <v/>
      </c>
      <c r="V83" s="53">
        <f>IFERROR(IF(INDEX('SaSS'!$L$10:$L$12,MATCH($F83,'SaSS'!$B$10:$B$12,0))="","Cell will autofill based on response",INDEX('SaSS'!$L$10:$L$12,MATCH($F83,'SaSS'!$B$10:$B$12,0))),"N/A")</f>
        <v/>
      </c>
      <c r="W83" s="53">
        <f>IFERROR(IF(INDEX('Indigenous'!$L$10:$L$11,MATCH($F83,'Indigenous'!$B$10:$B$11,0))="","Cell will autofill based on response",INDEX('Indigenous'!$L$10:$L$11,MATCH($F83,'Indigenous'!$B$10:$B$11,0))),"N/A")</f>
        <v/>
      </c>
      <c r="X83" s="53">
        <f>IFERROR(IF(INDEX('L&amp;R'!$L$10:$L$11,MATCH($F83,'L&amp;R'!$B$10:$B$11,0))="","Cell will autofill based on response",INDEX('L&amp;R'!$L$10:$L$11,MATCH($F83,'L&amp;R'!$B$10:$B$11,0))),"N/A")</f>
        <v/>
      </c>
      <c r="Z83" s="10">
        <f>COUNTIF($H83:$X83,"Cell will autofill based on response")</f>
        <v/>
      </c>
      <c r="AA83" s="10">
        <f>COUNTIF($H83:$X83,"Not yet started")</f>
        <v/>
      </c>
      <c r="AB83" s="10">
        <f>COUNTIF($H83:$X83,"Not met")</f>
        <v/>
      </c>
      <c r="AC83" s="10">
        <f>COUNTIF($H83:$X83,"Partially met")</f>
        <v/>
      </c>
      <c r="AD83" s="10">
        <f>COUNTIF($H83:$X83,"Met or exceeded")</f>
        <v/>
      </c>
      <c r="AE83" s="10">
        <f>3*AD83+2*AC83+AB83</f>
        <v/>
      </c>
      <c r="AF83" s="10">
        <f>AD83+AC83+AB83+AA83</f>
        <v/>
      </c>
      <c r="AG83" s="54">
        <f>IF(AF83&gt;0,AE83/AF83,"No valid responses to date")</f>
        <v/>
      </c>
      <c r="AH83" s="10">
        <f>IF(ISNUMBER(AG83),INDEX(Lists!$G$2:$G$5,MATCH(ROUND(AG83,0),Lists!$H$2:$H$5,0)),"")</f>
        <v/>
      </c>
      <c r="AI83" s="55">
        <f>IF(AF83&gt;0,AD83/AF83,"")</f>
        <v/>
      </c>
      <c r="AJ83" s="55">
        <f>IF(AF83&gt;0,(AD83+AC83)/AF83,"")</f>
        <v/>
      </c>
      <c r="AK83" s="10">
        <f>IF(AF83=0,"",IF(AI83&gt;0.75,"Met or exceeded",IF(AJ83&gt;=0.5,"Partially met","Not met")))</f>
        <v/>
      </c>
    </row>
    <row r="84">
      <c r="A84">
        <f>F84&amp;"|"&amp;G84</f>
        <v/>
      </c>
      <c r="B84" s="13" t="inlineStr"/>
      <c r="C84" s="8" t="inlineStr"/>
      <c r="D84" s="8" t="inlineStr"/>
      <c r="E84" s="8" t="inlineStr"/>
      <c r="F84" s="8" t="inlineStr">
        <is>
          <t>TR3(b)</t>
        </is>
      </c>
      <c r="G84" s="8" t="inlineStr">
        <is>
          <t>OPTION 1:  Target-level reporting</t>
        </is>
      </c>
      <c r="H84" s="53">
        <f>IFERROR(IF(INDEX('Faculties'!$M$10:$M$19,MATCH($F84,'Faculties'!$B$10:$B$19,0))="","Cell will autofill based on response",INDEX('Faculties'!$M$10:$M$19,MATCH($F84,'Faculties'!$B$10:$B$19,0))),"N/A")</f>
        <v/>
      </c>
      <c r="I84" s="53">
        <f>IFERROR(IF(INDEX('Faculties'!$M$26:$M$35,MATCH($F84,'Faculties'!$B$26:$B$35,0))="","Cell will autofill based on response",INDEX('Faculties'!$M$26:$M$35,MATCH($F84,'Faculties'!$B$26:$B$35,0))),"N/A")</f>
        <v/>
      </c>
      <c r="J84" s="53">
        <f>IFERROR(IF(INDEX('Faculties'!$M$42:$M$51,MATCH($F84,'Faculties'!$B$42:$B$51,0))="","Cell will autofill based on response",INDEX('Faculties'!$M$42:$M$51,MATCH($F84,'Faculties'!$B$42:$B$51,0))),"N/A")</f>
        <v/>
      </c>
      <c r="K84" s="53">
        <f>IFERROR(IF(INDEX('Faculties'!$M$58:$M$67,MATCH($F84,'Faculties'!$B$58:$B$67,0))="","Cell will autofill based on response",INDEX('Faculties'!$M$58:$M$67,MATCH($F84,'Faculties'!$B$58:$B$67,0))),"N/A")</f>
        <v/>
      </c>
      <c r="L84" s="53">
        <f>IFERROR(IF(INDEX('CI&amp;S'!$M$10:$M$15,MATCH($F84,'CI&amp;S'!$B$10:$B$15,0))="","Cell will autofill based on response",INDEX('CI&amp;S'!$M$10:$M$15,MATCH($F84,'CI&amp;S'!$B$10:$B$15,0))),"N/A")</f>
        <v/>
      </c>
      <c r="M84" s="53">
        <f>IFERROR(IF(INDEX('CI&amp;S'!$M$22:$M$36,MATCH($F84,'CI&amp;S'!$B$22:$B$36,0))="","Cell will autofill based on response",INDEX('CI&amp;S'!$M$22:$M$36,MATCH($F84,'CI&amp;S'!$B$22:$B$36,0))),"N/A")</f>
        <v/>
      </c>
      <c r="N84" s="53">
        <f>IFERROR(IF(INDEX('CFOG'!$M$10:$M$16,MATCH($F84,'CFOG'!$B$10:$B$16,0))="","Cell will autofill based on response",INDEX('CFOG'!$M$10:$M$16,MATCH($F84,'CFOG'!$B$10:$B$16,0))),"N/A")</f>
        <v/>
      </c>
      <c r="O84" s="53">
        <f>IFERROR(IF(INDEX('CFOG'!$M$23:$M$24,MATCH($F84,'CFOG'!$B$23:$B$24,0))="","Cell will autofill based on response",INDEX('CFOG'!$M$23:$M$24,MATCH($F84,'CFOG'!$B$23:$B$24,0))),"N/A")</f>
        <v/>
      </c>
      <c r="P84" s="53">
        <f>IFERROR(IF(INDEX('ESG'!$M$10:$M$17,MATCH($F84,'ESG'!$B$10:$B$17,0))="","Cell will autofill based on response",INDEX('ESG'!$M$10:$M$17,MATCH($F84,'ESG'!$B$10:$B$17,0))),"N/A")</f>
        <v/>
      </c>
      <c r="Q84" s="53">
        <f>IFERROR(IF(INDEX('CIOG'!$M$10:$M$14,MATCH($F84,'CIOG'!$B$10:$B$14,0))="","Cell will autofill based on response",INDEX('CIOG'!$M$10:$M$14,MATCH($F84,'CIOG'!$B$10:$B$14,0))),"N/A")</f>
        <v/>
      </c>
      <c r="R84" s="53">
        <f>IFERROR(IF(INDEX('MRE'!$M$10:$M$18,MATCH($F84,'MRE'!$B$10:$B$18,0))="","Cell will autofill based on response",INDEX('MRE'!$M$10:$M$18,MATCH($F84,'MRE'!$B$10:$B$18,0))),"N/A")</f>
        <v/>
      </c>
      <c r="S84" s="53">
        <f>IFERROR(IF(INDEX('AC&amp;M'!$M$10:$M$14,MATCH($F84,'AC&amp;M'!$B$10:$B$14,0))="","Cell will autofill based on response",INDEX('AC&amp;M'!$M$10:$M$14,MATCH($F84,'AC&amp;M'!$B$10:$B$14,0))),"N/A")</f>
        <v/>
      </c>
      <c r="T84" s="53">
        <f>IFERROR(IF(INDEX('GCE'!$M$10:$M$12,MATCH($F84,'GCE'!$B$10:$B$12,0))="","Cell will autofill based on response",INDEX('GCE'!$M$10:$M$12,MATCH($F84,'GCE'!$B$10:$B$12,0))),"N/A")</f>
        <v/>
      </c>
      <c r="U84" s="53">
        <f>IFERROR(IF(INDEX('Education'!$M$10:$M$13,MATCH($F84,'Education'!$B$10:$B$13,0))="","Cell will autofill based on response",INDEX('Education'!$M$10:$M$13,MATCH($F84,'Education'!$B$10:$B$13,0))),"N/A")</f>
        <v/>
      </c>
      <c r="V84" s="53">
        <f>IFERROR(IF(INDEX('SaSS'!$M$10:$M$12,MATCH($F84,'SaSS'!$B$10:$B$12,0))="","Cell will autofill based on response",INDEX('SaSS'!$M$10:$M$12,MATCH($F84,'SaSS'!$B$10:$B$12,0))),"N/A")</f>
        <v/>
      </c>
      <c r="W84" s="53">
        <f>IFERROR(IF(INDEX('Indigenous'!$M$10:$M$11,MATCH($F84,'Indigenous'!$B$10:$B$11,0))="","Cell will autofill based on response",INDEX('Indigenous'!$M$10:$M$11,MATCH($F84,'Indigenous'!$B$10:$B$11,0))),"N/A")</f>
        <v/>
      </c>
      <c r="X84" s="53">
        <f>IFERROR(IF(INDEX('L&amp;R'!$M$10:$M$11,MATCH($F84,'L&amp;R'!$B$10:$B$11,0))="","Cell will autofill based on response",INDEX('L&amp;R'!$M$10:$M$11,MATCH($F84,'L&amp;R'!$B$10:$B$11,0))),"N/A")</f>
        <v/>
      </c>
    </row>
    <row r="85">
      <c r="A85">
        <f>F85&amp;"|"&amp;G85</f>
        <v/>
      </c>
      <c r="B85" s="13" t="inlineStr"/>
      <c r="C85" s="8" t="inlineStr"/>
      <c r="D85" s="8" t="inlineStr"/>
      <c r="E85" s="8" t="inlineStr"/>
      <c r="F85" s="8" t="inlineStr">
        <is>
          <t>TR3(b)</t>
        </is>
      </c>
      <c r="G85" s="8" t="inlineStr">
        <is>
          <t>OPTION 2:  Indicator level reporting</t>
        </is>
      </c>
      <c r="H85" s="53">
        <f>IFERROR(IF(INDEX('Faculties'!$N$10:$N$19,MATCH($F85,'Faculties'!$B$10:$B$19,0))="","Cell will autofill based on response",INDEX('Faculties'!$N$10:$N$19,MATCH($F85,'Faculties'!$B$10:$B$19,0))),"N/A")</f>
        <v/>
      </c>
      <c r="I85" s="53">
        <f>IFERROR(IF(INDEX('Faculties'!$N$26:$N$35,MATCH($F85,'Faculties'!$B$26:$B$35,0))="","Cell will autofill based on response",INDEX('Faculties'!$N$26:$N$35,MATCH($F85,'Faculties'!$B$26:$B$35,0))),"N/A")</f>
        <v/>
      </c>
      <c r="J85" s="53">
        <f>IFERROR(IF(INDEX('Faculties'!$N$42:$N$51,MATCH($F85,'Faculties'!$B$42:$B$51,0))="","Cell will autofill based on response",INDEX('Faculties'!$N$42:$N$51,MATCH($F85,'Faculties'!$B$42:$B$51,0))),"N/A")</f>
        <v/>
      </c>
      <c r="K85" s="53">
        <f>IFERROR(IF(INDEX('Faculties'!$N$58:$N$67,MATCH($F85,'Faculties'!$B$58:$B$67,0))="","Cell will autofill based on response",INDEX('Faculties'!$N$58:$N$67,MATCH($F85,'Faculties'!$B$58:$B$67,0))),"N/A")</f>
        <v/>
      </c>
      <c r="L85" s="53">
        <f>IFERROR(IF(INDEX('CI&amp;S'!$N$10:$N$15,MATCH($F85,'CI&amp;S'!$B$10:$B$15,0))="","Cell will autofill based on response",INDEX('CI&amp;S'!$N$10:$N$15,MATCH($F85,'CI&amp;S'!$B$10:$B$15,0))),"N/A")</f>
        <v/>
      </c>
      <c r="M85" s="53">
        <f>IFERROR(IF(INDEX('CI&amp;S'!$N$22:$N$36,MATCH($F85,'CI&amp;S'!$B$22:$B$36,0))="","Cell will autofill based on response",INDEX('CI&amp;S'!$N$22:$N$36,MATCH($F85,'CI&amp;S'!$B$22:$B$36,0))),"N/A")</f>
        <v/>
      </c>
      <c r="N85" s="53">
        <f>IFERROR(IF(INDEX('CFOG'!$N$10:$N$16,MATCH($F85,'CFOG'!$B$10:$B$16,0))="","Cell will autofill based on response",INDEX('CFOG'!$N$10:$N$16,MATCH($F85,'CFOG'!$B$10:$B$16,0))),"N/A")</f>
        <v/>
      </c>
      <c r="O85" s="53">
        <f>IFERROR(IF(INDEX('CFOG'!$N$23:$N$24,MATCH($F85,'CFOG'!$B$23:$B$24,0))="","Cell will autofill based on response",INDEX('CFOG'!$N$23:$N$24,MATCH($F85,'CFOG'!$B$23:$B$24,0))),"N/A")</f>
        <v/>
      </c>
      <c r="P85" s="53">
        <f>IFERROR(IF(INDEX('ESG'!$N$10:$N$17,MATCH($F85,'ESG'!$B$10:$B$17,0))="","Cell will autofill based on response",INDEX('ESG'!$N$10:$N$17,MATCH($F85,'ESG'!$B$10:$B$17,0))),"N/A")</f>
        <v/>
      </c>
      <c r="Q85" s="53">
        <f>IFERROR(IF(INDEX('CIOG'!$N$10:$N$14,MATCH($F85,'CIOG'!$B$10:$B$14,0))="","Cell will autofill based on response",INDEX('CIOG'!$N$10:$N$14,MATCH($F85,'CIOG'!$B$10:$B$14,0))),"N/A")</f>
        <v/>
      </c>
      <c r="R85" s="53">
        <f>IFERROR(IF(INDEX('MRE'!$N$10:$N$18,MATCH($F85,'MRE'!$B$10:$B$18,0))="","Cell will autofill based on response",INDEX('MRE'!$N$10:$N$18,MATCH($F85,'MRE'!$B$10:$B$18,0))),"N/A")</f>
        <v/>
      </c>
      <c r="S85" s="53">
        <f>IFERROR(IF(INDEX('AC&amp;M'!$N$10:$N$14,MATCH($F85,'AC&amp;M'!$B$10:$B$14,0))="","Cell will autofill based on response",INDEX('AC&amp;M'!$N$10:$N$14,MATCH($F85,'AC&amp;M'!$B$10:$B$14,0))),"N/A")</f>
        <v/>
      </c>
      <c r="T85" s="53">
        <f>IFERROR(IF(INDEX('GCE'!$N$10:$N$12,MATCH($F85,'GCE'!$B$10:$B$12,0))="","Cell will autofill based on response",INDEX('GCE'!$N$10:$N$12,MATCH($F85,'GCE'!$B$10:$B$12,0))),"N/A")</f>
        <v/>
      </c>
      <c r="U85" s="53">
        <f>IFERROR(IF(INDEX('Education'!$N$10:$N$13,MATCH($F85,'Education'!$B$10:$B$13,0))="","Cell will autofill based on response",INDEX('Education'!$N$10:$N$13,MATCH($F85,'Education'!$B$10:$B$13,0))),"N/A")</f>
        <v/>
      </c>
      <c r="V85" s="53">
        <f>IFERROR(IF(INDEX('SaSS'!$N$10:$N$12,MATCH($F85,'SaSS'!$B$10:$B$12,0))="","Cell will autofill based on response",INDEX('SaSS'!$N$10:$N$12,MATCH($F85,'SaSS'!$B$10:$B$12,0))),"N/A")</f>
        <v/>
      </c>
      <c r="W85" s="53">
        <f>IFERROR(IF(INDEX('Indigenous'!$N$10:$N$11,MATCH($F85,'Indigenous'!$B$10:$B$11,0))="","Cell will autofill based on response",INDEX('Indigenous'!$N$10:$N$11,MATCH($F85,'Indigenous'!$B$10:$B$11,0))),"N/A")</f>
        <v/>
      </c>
      <c r="X85" s="53">
        <f>IFERROR(IF(INDEX('L&amp;R'!$N$10:$N$11,MATCH($F85,'L&amp;R'!$B$10:$B$11,0))="","Cell will autofill based on response",INDEX('L&amp;R'!$N$10:$N$11,MATCH($F85,'L&amp;R'!$B$10:$B$11,0))),"N/A")</f>
        <v/>
      </c>
    </row>
    <row r="86">
      <c r="A86">
        <f>F86&amp;"|"&amp;G86</f>
        <v/>
      </c>
      <c r="B86" s="13" t="inlineStr"/>
      <c r="C86" s="8" t="inlineStr"/>
      <c r="D86" s="8" t="inlineStr"/>
      <c r="E86" s="8" t="inlineStr"/>
      <c r="F86" s="8" t="inlineStr">
        <is>
          <t>TR3(b)</t>
        </is>
      </c>
      <c r="G86" s="8" t="inlineStr">
        <is>
          <t>Supporting information/comments</t>
        </is>
      </c>
      <c r="H86" s="53">
        <f>IFERROR(IF(INDEX('Faculties'!$O$10:$O$19,MATCH($F86,'Faculties'!$B$10:$B$19,0))="","Cell will autofill based on response",INDEX('Faculties'!$O$10:$O$19,MATCH($F86,'Faculties'!$B$10:$B$19,0))),"N/A")</f>
        <v/>
      </c>
      <c r="I86" s="53">
        <f>IFERROR(IF(INDEX('Faculties'!$O$26:$O$35,MATCH($F86,'Faculties'!$B$26:$B$35,0))="","Cell will autofill based on response",INDEX('Faculties'!$O$26:$O$35,MATCH($F86,'Faculties'!$B$26:$B$35,0))),"N/A")</f>
        <v/>
      </c>
      <c r="J86" s="53">
        <f>IFERROR(IF(INDEX('Faculties'!$O$42:$O$51,MATCH($F86,'Faculties'!$B$42:$B$51,0))="","Cell will autofill based on response",INDEX('Faculties'!$O$42:$O$51,MATCH($F86,'Faculties'!$B$42:$B$51,0))),"N/A")</f>
        <v/>
      </c>
      <c r="K86" s="53">
        <f>IFERROR(IF(INDEX('Faculties'!$O$58:$O$67,MATCH($F86,'Faculties'!$B$58:$B$67,0))="","Cell will autofill based on response",INDEX('Faculties'!$O$58:$O$67,MATCH($F86,'Faculties'!$B$58:$B$67,0))),"N/A")</f>
        <v/>
      </c>
      <c r="L86" s="53">
        <f>IFERROR(IF(INDEX('CI&amp;S'!$O$10:$O$15,MATCH($F86,'CI&amp;S'!$B$10:$B$15,0))="","Cell will autofill based on response",INDEX('CI&amp;S'!$O$10:$O$15,MATCH($F86,'CI&amp;S'!$B$10:$B$15,0))),"N/A")</f>
        <v/>
      </c>
      <c r="M86" s="53">
        <f>IFERROR(IF(INDEX('CI&amp;S'!$O$22:$O$36,MATCH($F86,'CI&amp;S'!$B$22:$B$36,0))="","Cell will autofill based on response",INDEX('CI&amp;S'!$O$22:$O$36,MATCH($F86,'CI&amp;S'!$B$22:$B$36,0))),"N/A")</f>
        <v/>
      </c>
      <c r="N86" s="53">
        <f>IFERROR(IF(INDEX('CFOG'!$O$10:$O$16,MATCH($F86,'CFOG'!$B$10:$B$16,0))="","Cell will autofill based on response",INDEX('CFOG'!$O$10:$O$16,MATCH($F86,'CFOG'!$B$10:$B$16,0))),"N/A")</f>
        <v/>
      </c>
      <c r="O86" s="53">
        <f>IFERROR(IF(INDEX('CFOG'!$O$23:$O$24,MATCH($F86,'CFOG'!$B$23:$B$24,0))="","Cell will autofill based on response",INDEX('CFOG'!$O$23:$O$24,MATCH($F86,'CFOG'!$B$23:$B$24,0))),"N/A")</f>
        <v/>
      </c>
      <c r="P86" s="53">
        <f>IFERROR(IF(INDEX('ESG'!$O$10:$O$17,MATCH($F86,'ESG'!$B$10:$B$17,0))="","Cell will autofill based on response",INDEX('ESG'!$O$10:$O$17,MATCH($F86,'ESG'!$B$10:$B$17,0))),"N/A")</f>
        <v/>
      </c>
      <c r="Q86" s="53">
        <f>IFERROR(IF(INDEX('CIOG'!$O$10:$O$14,MATCH($F86,'CIOG'!$B$10:$B$14,0))="","Cell will autofill based on response",INDEX('CIOG'!$O$10:$O$14,MATCH($F86,'CIOG'!$B$10:$B$14,0))),"N/A")</f>
        <v/>
      </c>
      <c r="R86" s="53">
        <f>IFERROR(IF(INDEX('MRE'!$O$10:$O$18,MATCH($F86,'MRE'!$B$10:$B$18,0))="","Cell will autofill based on response",INDEX('MRE'!$O$10:$O$18,MATCH($F86,'MRE'!$B$10:$B$18,0))),"N/A")</f>
        <v/>
      </c>
      <c r="S86" s="53">
        <f>IFERROR(IF(INDEX('AC&amp;M'!$O$10:$O$14,MATCH($F86,'AC&amp;M'!$B$10:$B$14,0))="","Cell will autofill based on response",INDEX('AC&amp;M'!$O$10:$O$14,MATCH($F86,'AC&amp;M'!$B$10:$B$14,0))),"N/A")</f>
        <v/>
      </c>
      <c r="T86" s="53">
        <f>IFERROR(IF(INDEX('GCE'!$O$10:$O$12,MATCH($F86,'GCE'!$B$10:$B$12,0))="","Cell will autofill based on response",INDEX('GCE'!$O$10:$O$12,MATCH($F86,'GCE'!$B$10:$B$12,0))),"N/A")</f>
        <v/>
      </c>
      <c r="U86" s="53">
        <f>IFERROR(IF(INDEX('Education'!$O$10:$O$13,MATCH($F86,'Education'!$B$10:$B$13,0))="","Cell will autofill based on response",INDEX('Education'!$O$10:$O$13,MATCH($F86,'Education'!$B$10:$B$13,0))),"N/A")</f>
        <v/>
      </c>
      <c r="V86" s="53">
        <f>IFERROR(IF(INDEX('SaSS'!$O$10:$O$12,MATCH($F86,'SaSS'!$B$10:$B$12,0))="","Cell will autofill based on response",INDEX('SaSS'!$O$10:$O$12,MATCH($F86,'SaSS'!$B$10:$B$12,0))),"N/A")</f>
        <v/>
      </c>
      <c r="W86" s="53">
        <f>IFERROR(IF(INDEX('Indigenous'!$O$10:$O$11,MATCH($F86,'Indigenous'!$B$10:$B$11,0))="","Cell will autofill based on response",INDEX('Indigenous'!$O$10:$O$11,MATCH($F86,'Indigenous'!$B$10:$B$11,0))),"N/A")</f>
        <v/>
      </c>
      <c r="X86" s="53">
        <f>IFERROR(IF(INDEX('L&amp;R'!$O$10:$O$11,MATCH($F86,'L&amp;R'!$B$10:$B$11,0))="","Cell will autofill based on response",INDEX('L&amp;R'!$O$10:$O$11,MATCH($F86,'L&amp;R'!$B$10:$B$11,0))),"N/A")</f>
        <v/>
      </c>
    </row>
    <row r="87">
      <c r="A87">
        <f>F87&amp;"|"&amp;G87</f>
        <v/>
      </c>
      <c r="B87" s="13" t="inlineStr"/>
      <c r="C87" s="8" t="inlineStr"/>
      <c r="D87" s="8" t="inlineStr"/>
      <c r="E87" s="8" t="inlineStr"/>
      <c r="F87" s="8" t="inlineStr">
        <is>
          <t>TR3(b)</t>
        </is>
      </c>
      <c r="G87" s="8" t="inlineStr">
        <is>
          <t>Data source and limitations</t>
        </is>
      </c>
      <c r="H87" s="53">
        <f>IFERROR(IF(INDEX('Faculties'!$P$10:$P$19,MATCH($F87,'Faculties'!$B$10:$B$19,0))="","Cell will autofill based on response",INDEX('Faculties'!$P$10:$P$19,MATCH($F87,'Faculties'!$B$10:$B$19,0))),"N/A")</f>
        <v/>
      </c>
      <c r="I87" s="53">
        <f>IFERROR(IF(INDEX('Faculties'!$P$26:$P$35,MATCH($F87,'Faculties'!$B$26:$B$35,0))="","Cell will autofill based on response",INDEX('Faculties'!$P$26:$P$35,MATCH($F87,'Faculties'!$B$26:$B$35,0))),"N/A")</f>
        <v/>
      </c>
      <c r="J87" s="53">
        <f>IFERROR(IF(INDEX('Faculties'!$P$42:$P$51,MATCH($F87,'Faculties'!$B$42:$B$51,0))="","Cell will autofill based on response",INDEX('Faculties'!$P$42:$P$51,MATCH($F87,'Faculties'!$B$42:$B$51,0))),"N/A")</f>
        <v/>
      </c>
      <c r="K87" s="53">
        <f>IFERROR(IF(INDEX('Faculties'!$P$58:$P$67,MATCH($F87,'Faculties'!$B$58:$B$67,0))="","Cell will autofill based on response",INDEX('Faculties'!$P$58:$P$67,MATCH($F87,'Faculties'!$B$58:$B$67,0))),"N/A")</f>
        <v/>
      </c>
      <c r="L87" s="53">
        <f>IFERROR(IF(INDEX('CI&amp;S'!$P$10:$P$15,MATCH($F87,'CI&amp;S'!$B$10:$B$15,0))="","Cell will autofill based on response",INDEX('CI&amp;S'!$P$10:$P$15,MATCH($F87,'CI&amp;S'!$B$10:$B$15,0))),"N/A")</f>
        <v/>
      </c>
      <c r="M87" s="53">
        <f>IFERROR(IF(INDEX('CI&amp;S'!$P$22:$P$36,MATCH($F87,'CI&amp;S'!$B$22:$B$36,0))="","Cell will autofill based on response",INDEX('CI&amp;S'!$P$22:$P$36,MATCH($F87,'CI&amp;S'!$B$22:$B$36,0))),"N/A")</f>
        <v/>
      </c>
      <c r="N87" s="53">
        <f>IFERROR(IF(INDEX('CFOG'!$P$10:$P$16,MATCH($F87,'CFOG'!$B$10:$B$16,0))="","Cell will autofill based on response",INDEX('CFOG'!$P$10:$P$16,MATCH($F87,'CFOG'!$B$10:$B$16,0))),"N/A")</f>
        <v/>
      </c>
      <c r="O87" s="53">
        <f>IFERROR(IF(INDEX('CFOG'!$P$23:$P$24,MATCH($F87,'CFOG'!$B$23:$B$24,0))="","Cell will autofill based on response",INDEX('CFOG'!$P$23:$P$24,MATCH($F87,'CFOG'!$B$23:$B$24,0))),"N/A")</f>
        <v/>
      </c>
      <c r="P87" s="53">
        <f>IFERROR(IF(INDEX('ESG'!$P$10:$P$17,MATCH($F87,'ESG'!$B$10:$B$17,0))="","Cell will autofill based on response",INDEX('ESG'!$P$10:$P$17,MATCH($F87,'ESG'!$B$10:$B$17,0))),"N/A")</f>
        <v/>
      </c>
      <c r="Q87" s="53">
        <f>IFERROR(IF(INDEX('CIOG'!$P$10:$P$14,MATCH($F87,'CIOG'!$B$10:$B$14,0))="","Cell will autofill based on response",INDEX('CIOG'!$P$10:$P$14,MATCH($F87,'CIOG'!$B$10:$B$14,0))),"N/A")</f>
        <v/>
      </c>
      <c r="R87" s="53">
        <f>IFERROR(IF(INDEX('MRE'!$P$10:$P$18,MATCH($F87,'MRE'!$B$10:$B$18,0))="","Cell will autofill based on response",INDEX('MRE'!$P$10:$P$18,MATCH($F87,'MRE'!$B$10:$B$18,0))),"N/A")</f>
        <v/>
      </c>
      <c r="S87" s="53">
        <f>IFERROR(IF(INDEX('AC&amp;M'!$P$10:$P$14,MATCH($F87,'AC&amp;M'!$B$10:$B$14,0))="","Cell will autofill based on response",INDEX('AC&amp;M'!$P$10:$P$14,MATCH($F87,'AC&amp;M'!$B$10:$B$14,0))),"N/A")</f>
        <v/>
      </c>
      <c r="T87" s="53">
        <f>IFERROR(IF(INDEX('GCE'!$P$10:$P$12,MATCH($F87,'GCE'!$B$10:$B$12,0))="","Cell will autofill based on response",INDEX('GCE'!$P$10:$P$12,MATCH($F87,'GCE'!$B$10:$B$12,0))),"N/A")</f>
        <v/>
      </c>
      <c r="U87" s="53">
        <f>IFERROR(IF(INDEX('Education'!$P$10:$P$13,MATCH($F87,'Education'!$B$10:$B$13,0))="","Cell will autofill based on response",INDEX('Education'!$P$10:$P$13,MATCH($F87,'Education'!$B$10:$B$13,0))),"N/A")</f>
        <v/>
      </c>
      <c r="V87" s="53">
        <f>IFERROR(IF(INDEX('SaSS'!$P$10:$P$12,MATCH($F87,'SaSS'!$B$10:$B$12,0))="","Cell will autofill based on response",INDEX('SaSS'!$P$10:$P$12,MATCH($F87,'SaSS'!$B$10:$B$12,0))),"N/A")</f>
        <v/>
      </c>
      <c r="W87" s="53">
        <f>IFERROR(IF(INDEX('Indigenous'!$P$10:$P$11,MATCH($F87,'Indigenous'!$B$10:$B$11,0))="","Cell will autofill based on response",INDEX('Indigenous'!$P$10:$P$11,MATCH($F87,'Indigenous'!$B$10:$B$11,0))),"N/A")</f>
        <v/>
      </c>
      <c r="X87" s="53">
        <f>IFERROR(IF(INDEX('L&amp;R'!$P$10:$P$11,MATCH($F87,'L&amp;R'!$B$10:$B$11,0))="","Cell will autofill based on response",INDEX('L&amp;R'!$P$10:$P$11,MATCH($F87,'L&amp;R'!$B$10:$B$11,0))),"N/A")</f>
        <v/>
      </c>
    </row>
    <row r="88">
      <c r="A88">
        <f>F88&amp;"|"&amp;G88</f>
        <v/>
      </c>
      <c r="B88" s="13" t="inlineStr"/>
      <c r="C88" s="8" t="inlineStr"/>
      <c r="D88" s="8" t="inlineStr"/>
      <c r="E88" s="8" t="inlineStr"/>
      <c r="F88" s="8" t="inlineStr">
        <is>
          <t>TR3(b)</t>
        </is>
      </c>
      <c r="G88" s="8" t="inlineStr">
        <is>
          <t>Data owner confirms</t>
        </is>
      </c>
      <c r="H88" s="53">
        <f>IFERROR(IF(INDEX('Faculties'!$Q$10:$Q$19,MATCH($F88,'Faculties'!$B$10:$B$19,0))="","Cell will autofill based on response",INDEX('Faculties'!$Q$10:$Q$19,MATCH($F88,'Faculties'!$B$10:$B$19,0))),"N/A")</f>
        <v/>
      </c>
      <c r="I88" s="53">
        <f>IFERROR(IF(INDEX('Faculties'!$Q$26:$Q$35,MATCH($F88,'Faculties'!$B$26:$B$35,0))="","Cell will autofill based on response",INDEX('Faculties'!$Q$26:$Q$35,MATCH($F88,'Faculties'!$B$26:$B$35,0))),"N/A")</f>
        <v/>
      </c>
      <c r="J88" s="53">
        <f>IFERROR(IF(INDEX('Faculties'!$Q$42:$Q$51,MATCH($F88,'Faculties'!$B$42:$B$51,0))="","Cell will autofill based on response",INDEX('Faculties'!$Q$42:$Q$51,MATCH($F88,'Faculties'!$B$42:$B$51,0))),"N/A")</f>
        <v/>
      </c>
      <c r="K88" s="53">
        <f>IFERROR(IF(INDEX('Faculties'!$Q$58:$Q$67,MATCH($F88,'Faculties'!$B$58:$B$67,0))="","Cell will autofill based on response",INDEX('Faculties'!$Q$58:$Q$67,MATCH($F88,'Faculties'!$B$58:$B$67,0))),"N/A")</f>
        <v/>
      </c>
      <c r="L88" s="53">
        <f>IFERROR(IF(INDEX('CI&amp;S'!$Q$10:$Q$15,MATCH($F88,'CI&amp;S'!$B$10:$B$15,0))="","Cell will autofill based on response",INDEX('CI&amp;S'!$Q$10:$Q$15,MATCH($F88,'CI&amp;S'!$B$10:$B$15,0))),"N/A")</f>
        <v/>
      </c>
      <c r="M88" s="53">
        <f>IFERROR(IF(INDEX('CI&amp;S'!$Q$22:$Q$36,MATCH($F88,'CI&amp;S'!$B$22:$B$36,0))="","Cell will autofill based on response",INDEX('CI&amp;S'!$Q$22:$Q$36,MATCH($F88,'CI&amp;S'!$B$22:$B$36,0))),"N/A")</f>
        <v/>
      </c>
      <c r="N88" s="53">
        <f>IFERROR(IF(INDEX('CFOG'!$Q$10:$Q$16,MATCH($F88,'CFOG'!$B$10:$B$16,0))="","Cell will autofill based on response",INDEX('CFOG'!$Q$10:$Q$16,MATCH($F88,'CFOG'!$B$10:$B$16,0))),"N/A")</f>
        <v/>
      </c>
      <c r="O88" s="53">
        <f>IFERROR(IF(INDEX('CFOG'!$Q$23:$Q$24,MATCH($F88,'CFOG'!$B$23:$B$24,0))="","Cell will autofill based on response",INDEX('CFOG'!$Q$23:$Q$24,MATCH($F88,'CFOG'!$B$23:$B$24,0))),"N/A")</f>
        <v/>
      </c>
      <c r="P88" s="53">
        <f>IFERROR(IF(INDEX('ESG'!$Q$10:$Q$17,MATCH($F88,'ESG'!$B$10:$B$17,0))="","Cell will autofill based on response",INDEX('ESG'!$Q$10:$Q$17,MATCH($F88,'ESG'!$B$10:$B$17,0))),"N/A")</f>
        <v/>
      </c>
      <c r="Q88" s="53">
        <f>IFERROR(IF(INDEX('CIOG'!$Q$10:$Q$14,MATCH($F88,'CIOG'!$B$10:$B$14,0))="","Cell will autofill based on response",INDEX('CIOG'!$Q$10:$Q$14,MATCH($F88,'CIOG'!$B$10:$B$14,0))),"N/A")</f>
        <v/>
      </c>
      <c r="R88" s="53">
        <f>IFERROR(IF(INDEX('MRE'!$Q$10:$Q$18,MATCH($F88,'MRE'!$B$10:$B$18,0))="","Cell will autofill based on response",INDEX('MRE'!$Q$10:$Q$18,MATCH($F88,'MRE'!$B$10:$B$18,0))),"N/A")</f>
        <v/>
      </c>
      <c r="S88" s="53">
        <f>IFERROR(IF(INDEX('AC&amp;M'!$Q$10:$Q$14,MATCH($F88,'AC&amp;M'!$B$10:$B$14,0))="","Cell will autofill based on response",INDEX('AC&amp;M'!$Q$10:$Q$14,MATCH($F88,'AC&amp;M'!$B$10:$B$14,0))),"N/A")</f>
        <v/>
      </c>
      <c r="T88" s="53">
        <f>IFERROR(IF(INDEX('GCE'!$Q$10:$Q$12,MATCH($F88,'GCE'!$B$10:$B$12,0))="","Cell will autofill based on response",INDEX('GCE'!$Q$10:$Q$12,MATCH($F88,'GCE'!$B$10:$B$12,0))),"N/A")</f>
        <v/>
      </c>
      <c r="U88" s="53">
        <f>IFERROR(IF(INDEX('Education'!$Q$10:$Q$13,MATCH($F88,'Education'!$B$10:$B$13,0))="","Cell will autofill based on response",INDEX('Education'!$Q$10:$Q$13,MATCH($F88,'Education'!$B$10:$B$13,0))),"N/A")</f>
        <v/>
      </c>
      <c r="V88" s="53">
        <f>IFERROR(IF(INDEX('SaSS'!$Q$10:$Q$12,MATCH($F88,'SaSS'!$B$10:$B$12,0))="","Cell will autofill based on response",INDEX('SaSS'!$Q$10:$Q$12,MATCH($F88,'SaSS'!$B$10:$B$12,0))),"N/A")</f>
        <v/>
      </c>
      <c r="W88" s="53">
        <f>IFERROR(IF(INDEX('Indigenous'!$Q$10:$Q$11,MATCH($F88,'Indigenous'!$B$10:$B$11,0))="","Cell will autofill based on response",INDEX('Indigenous'!$Q$10:$Q$11,MATCH($F88,'Indigenous'!$B$10:$B$11,0))),"N/A")</f>
        <v/>
      </c>
      <c r="X88" s="53">
        <f>IFERROR(IF(INDEX('L&amp;R'!$Q$10:$Q$11,MATCH($F88,'L&amp;R'!$B$10:$B$11,0))="","Cell will autofill based on response",INDEX('L&amp;R'!$Q$10:$Q$11,MATCH($F88,'L&amp;R'!$B$10:$B$11,0))),"N/A")</f>
        <v/>
      </c>
    </row>
    <row r="89">
      <c r="A89">
        <f>F89&amp;"|"&amp;G89</f>
        <v/>
      </c>
      <c r="B89" s="7" t="inlineStr">
        <is>
          <t>TR3(c)</t>
        </is>
      </c>
      <c r="C89" s="51" t="inlineStr">
        <is>
          <t>Transformational research</t>
        </is>
      </c>
      <c r="D89" s="51" t="inlineStr">
        <is>
          <t>Evidence of progress in sustainability-related research culture, capability and awareness, informed by periodic staff and graduate researcher surveys</t>
        </is>
      </c>
      <c r="E89" s="51" t="inlineStr">
        <is>
          <t>Please provide evidence of progress in sustainability-related research culture, capability and awareness within your Faculty/Portfolio. This could include relevant staff and/or graduate researcher survey findings, participation in capability-building activities, or other indicators of change over time.</t>
        </is>
      </c>
      <c r="F89" s="51" t="inlineStr">
        <is>
          <t>TR3(c)</t>
        </is>
      </c>
      <c r="G89" s="51" t="inlineStr">
        <is>
          <t>Confirm end-2026 target status</t>
        </is>
      </c>
      <c r="H89" s="53">
        <f>IFERROR(IF(INDEX('Faculties'!$L$10:$L$19,MATCH($F89,'Faculties'!$B$10:$B$19,0))="","Cell will autofill based on response",INDEX('Faculties'!$L$10:$L$19,MATCH($F89,'Faculties'!$B$10:$B$19,0))),"N/A")</f>
        <v/>
      </c>
      <c r="I89" s="53">
        <f>IFERROR(IF(INDEX('Faculties'!$L$26:$L$35,MATCH($F89,'Faculties'!$B$26:$B$35,0))="","Cell will autofill based on response",INDEX('Faculties'!$L$26:$L$35,MATCH($F89,'Faculties'!$B$26:$B$35,0))),"N/A")</f>
        <v/>
      </c>
      <c r="J89" s="53">
        <f>IFERROR(IF(INDEX('Faculties'!$L$42:$L$51,MATCH($F89,'Faculties'!$B$42:$B$51,0))="","Cell will autofill based on response",INDEX('Faculties'!$L$42:$L$51,MATCH($F89,'Faculties'!$B$42:$B$51,0))),"N/A")</f>
        <v/>
      </c>
      <c r="K89" s="53">
        <f>IFERROR(IF(INDEX('Faculties'!$L$58:$L$67,MATCH($F89,'Faculties'!$B$58:$B$67,0))="","Cell will autofill based on response",INDEX('Faculties'!$L$58:$L$67,MATCH($F89,'Faculties'!$B$58:$B$67,0))),"N/A")</f>
        <v/>
      </c>
      <c r="L89" s="53">
        <f>IFERROR(IF(INDEX('CI&amp;S'!$L$10:$L$15,MATCH($F89,'CI&amp;S'!$B$10:$B$15,0))="","Cell will autofill based on response",INDEX('CI&amp;S'!$L$10:$L$15,MATCH($F89,'CI&amp;S'!$B$10:$B$15,0))),"N/A")</f>
        <v/>
      </c>
      <c r="M89" s="53">
        <f>IFERROR(IF(INDEX('CI&amp;S'!$L$22:$L$36,MATCH($F89,'CI&amp;S'!$B$22:$B$36,0))="","Cell will autofill based on response",INDEX('CI&amp;S'!$L$22:$L$36,MATCH($F89,'CI&amp;S'!$B$22:$B$36,0))),"N/A")</f>
        <v/>
      </c>
      <c r="N89" s="53">
        <f>IFERROR(IF(INDEX('CFOG'!$L$10:$L$16,MATCH($F89,'CFOG'!$B$10:$B$16,0))="","Cell will autofill based on response",INDEX('CFOG'!$L$10:$L$16,MATCH($F89,'CFOG'!$B$10:$B$16,0))),"N/A")</f>
        <v/>
      </c>
      <c r="O89" s="53">
        <f>IFERROR(IF(INDEX('CFOG'!$L$23:$L$24,MATCH($F89,'CFOG'!$B$23:$B$24,0))="","Cell will autofill based on response",INDEX('CFOG'!$L$23:$L$24,MATCH($F89,'CFOG'!$B$23:$B$24,0))),"N/A")</f>
        <v/>
      </c>
      <c r="P89" s="53">
        <f>IFERROR(IF(INDEX('ESG'!$L$10:$L$17,MATCH($F89,'ESG'!$B$10:$B$17,0))="","Cell will autofill based on response",INDEX('ESG'!$L$10:$L$17,MATCH($F89,'ESG'!$B$10:$B$17,0))),"N/A")</f>
        <v/>
      </c>
      <c r="Q89" s="53">
        <f>IFERROR(IF(INDEX('CIOG'!$L$10:$L$14,MATCH($F89,'CIOG'!$B$10:$B$14,0))="","Cell will autofill based on response",INDEX('CIOG'!$L$10:$L$14,MATCH($F89,'CIOG'!$B$10:$B$14,0))),"N/A")</f>
        <v/>
      </c>
      <c r="R89" s="53">
        <f>IFERROR(IF(INDEX('MRE'!$L$10:$L$18,MATCH($F89,'MRE'!$B$10:$B$18,0))="","Cell will autofill based on response",INDEX('MRE'!$L$10:$L$18,MATCH($F89,'MRE'!$B$10:$B$18,0))),"N/A")</f>
        <v/>
      </c>
      <c r="S89" s="53">
        <f>IFERROR(IF(INDEX('AC&amp;M'!$L$10:$L$14,MATCH($F89,'AC&amp;M'!$B$10:$B$14,0))="","Cell will autofill based on response",INDEX('AC&amp;M'!$L$10:$L$14,MATCH($F89,'AC&amp;M'!$B$10:$B$14,0))),"N/A")</f>
        <v/>
      </c>
      <c r="T89" s="53">
        <f>IFERROR(IF(INDEX('GCE'!$L$10:$L$12,MATCH($F89,'GCE'!$B$10:$B$12,0))="","Cell will autofill based on response",INDEX('GCE'!$L$10:$L$12,MATCH($F89,'GCE'!$B$10:$B$12,0))),"N/A")</f>
        <v/>
      </c>
      <c r="U89" s="53">
        <f>IFERROR(IF(INDEX('Education'!$L$10:$L$13,MATCH($F89,'Education'!$B$10:$B$13,0))="","Cell will autofill based on response",INDEX('Education'!$L$10:$L$13,MATCH($F89,'Education'!$B$10:$B$13,0))),"N/A")</f>
        <v/>
      </c>
      <c r="V89" s="53">
        <f>IFERROR(IF(INDEX('SaSS'!$L$10:$L$12,MATCH($F89,'SaSS'!$B$10:$B$12,0))="","Cell will autofill based on response",INDEX('SaSS'!$L$10:$L$12,MATCH($F89,'SaSS'!$B$10:$B$12,0))),"N/A")</f>
        <v/>
      </c>
      <c r="W89" s="53">
        <f>IFERROR(IF(INDEX('Indigenous'!$L$10:$L$11,MATCH($F89,'Indigenous'!$B$10:$B$11,0))="","Cell will autofill based on response",INDEX('Indigenous'!$L$10:$L$11,MATCH($F89,'Indigenous'!$B$10:$B$11,0))),"N/A")</f>
        <v/>
      </c>
      <c r="X89" s="53">
        <f>IFERROR(IF(INDEX('L&amp;R'!$L$10:$L$11,MATCH($F89,'L&amp;R'!$B$10:$B$11,0))="","Cell will autofill based on response",INDEX('L&amp;R'!$L$10:$L$11,MATCH($F89,'L&amp;R'!$B$10:$B$11,0))),"N/A")</f>
        <v/>
      </c>
      <c r="Z89" s="10">
        <f>COUNTIF($H89:$X89,"Cell will autofill based on response")</f>
        <v/>
      </c>
      <c r="AA89" s="10">
        <f>COUNTIF($H89:$X89,"Not yet started")</f>
        <v/>
      </c>
      <c r="AB89" s="10">
        <f>COUNTIF($H89:$X89,"Not met")</f>
        <v/>
      </c>
      <c r="AC89" s="10">
        <f>COUNTIF($H89:$X89,"Partially met")</f>
        <v/>
      </c>
      <c r="AD89" s="10">
        <f>COUNTIF($H89:$X89,"Met or exceeded")</f>
        <v/>
      </c>
      <c r="AE89" s="10">
        <f>3*AD89+2*AC89+AB89</f>
        <v/>
      </c>
      <c r="AF89" s="10">
        <f>AD89+AC89+AB89+AA89</f>
        <v/>
      </c>
      <c r="AG89" s="54">
        <f>IF(AF89&gt;0,AE89/AF89,"No valid responses to date")</f>
        <v/>
      </c>
      <c r="AH89" s="10">
        <f>IF(ISNUMBER(AG89),INDEX(Lists!$G$2:$G$5,MATCH(ROUND(AG89,0),Lists!$H$2:$H$5,0)),"")</f>
        <v/>
      </c>
      <c r="AI89" s="55">
        <f>IF(AF89&gt;0,AD89/AF89,"")</f>
        <v/>
      </c>
      <c r="AJ89" s="55">
        <f>IF(AF89&gt;0,(AD89+AC89)/AF89,"")</f>
        <v/>
      </c>
      <c r="AK89" s="10">
        <f>IF(AF89=0,"",IF(AI89&gt;0.75,"Met or exceeded",IF(AJ89&gt;=0.5,"Partially met","Not met")))</f>
        <v/>
      </c>
    </row>
    <row r="90">
      <c r="A90">
        <f>F90&amp;"|"&amp;G90</f>
        <v/>
      </c>
      <c r="B90" s="13" t="inlineStr"/>
      <c r="C90" s="8" t="inlineStr"/>
      <c r="D90" s="8" t="inlineStr"/>
      <c r="E90" s="8" t="inlineStr"/>
      <c r="F90" s="8" t="inlineStr">
        <is>
          <t>TR3(c)</t>
        </is>
      </c>
      <c r="G90" s="8" t="inlineStr">
        <is>
          <t>OPTION 1:  Target-level reporting</t>
        </is>
      </c>
      <c r="H90" s="53">
        <f>IFERROR(IF(INDEX('Faculties'!$M$10:$M$19,MATCH($F90,'Faculties'!$B$10:$B$19,0))="","Cell will autofill based on response",INDEX('Faculties'!$M$10:$M$19,MATCH($F90,'Faculties'!$B$10:$B$19,0))),"N/A")</f>
        <v/>
      </c>
      <c r="I90" s="53">
        <f>IFERROR(IF(INDEX('Faculties'!$M$26:$M$35,MATCH($F90,'Faculties'!$B$26:$B$35,0))="","Cell will autofill based on response",INDEX('Faculties'!$M$26:$M$35,MATCH($F90,'Faculties'!$B$26:$B$35,0))),"N/A")</f>
        <v/>
      </c>
      <c r="J90" s="53">
        <f>IFERROR(IF(INDEX('Faculties'!$M$42:$M$51,MATCH($F90,'Faculties'!$B$42:$B$51,0))="","Cell will autofill based on response",INDEX('Faculties'!$M$42:$M$51,MATCH($F90,'Faculties'!$B$42:$B$51,0))),"N/A")</f>
        <v/>
      </c>
      <c r="K90" s="53">
        <f>IFERROR(IF(INDEX('Faculties'!$M$58:$M$67,MATCH($F90,'Faculties'!$B$58:$B$67,0))="","Cell will autofill based on response",INDEX('Faculties'!$M$58:$M$67,MATCH($F90,'Faculties'!$B$58:$B$67,0))),"N/A")</f>
        <v/>
      </c>
      <c r="L90" s="53">
        <f>IFERROR(IF(INDEX('CI&amp;S'!$M$10:$M$15,MATCH($F90,'CI&amp;S'!$B$10:$B$15,0))="","Cell will autofill based on response",INDEX('CI&amp;S'!$M$10:$M$15,MATCH($F90,'CI&amp;S'!$B$10:$B$15,0))),"N/A")</f>
        <v/>
      </c>
      <c r="M90" s="53">
        <f>IFERROR(IF(INDEX('CI&amp;S'!$M$22:$M$36,MATCH($F90,'CI&amp;S'!$B$22:$B$36,0))="","Cell will autofill based on response",INDEX('CI&amp;S'!$M$22:$M$36,MATCH($F90,'CI&amp;S'!$B$22:$B$36,0))),"N/A")</f>
        <v/>
      </c>
      <c r="N90" s="53">
        <f>IFERROR(IF(INDEX('CFOG'!$M$10:$M$16,MATCH($F90,'CFOG'!$B$10:$B$16,0))="","Cell will autofill based on response",INDEX('CFOG'!$M$10:$M$16,MATCH($F90,'CFOG'!$B$10:$B$16,0))),"N/A")</f>
        <v/>
      </c>
      <c r="O90" s="53">
        <f>IFERROR(IF(INDEX('CFOG'!$M$23:$M$24,MATCH($F90,'CFOG'!$B$23:$B$24,0))="","Cell will autofill based on response",INDEX('CFOG'!$M$23:$M$24,MATCH($F90,'CFOG'!$B$23:$B$24,0))),"N/A")</f>
        <v/>
      </c>
      <c r="P90" s="53">
        <f>IFERROR(IF(INDEX('ESG'!$M$10:$M$17,MATCH($F90,'ESG'!$B$10:$B$17,0))="","Cell will autofill based on response",INDEX('ESG'!$M$10:$M$17,MATCH($F90,'ESG'!$B$10:$B$17,0))),"N/A")</f>
        <v/>
      </c>
      <c r="Q90" s="53">
        <f>IFERROR(IF(INDEX('CIOG'!$M$10:$M$14,MATCH($F90,'CIOG'!$B$10:$B$14,0))="","Cell will autofill based on response",INDEX('CIOG'!$M$10:$M$14,MATCH($F90,'CIOG'!$B$10:$B$14,0))),"N/A")</f>
        <v/>
      </c>
      <c r="R90" s="53">
        <f>IFERROR(IF(INDEX('MRE'!$M$10:$M$18,MATCH($F90,'MRE'!$B$10:$B$18,0))="","Cell will autofill based on response",INDEX('MRE'!$M$10:$M$18,MATCH($F90,'MRE'!$B$10:$B$18,0))),"N/A")</f>
        <v/>
      </c>
      <c r="S90" s="53">
        <f>IFERROR(IF(INDEX('AC&amp;M'!$M$10:$M$14,MATCH($F90,'AC&amp;M'!$B$10:$B$14,0))="","Cell will autofill based on response",INDEX('AC&amp;M'!$M$10:$M$14,MATCH($F90,'AC&amp;M'!$B$10:$B$14,0))),"N/A")</f>
        <v/>
      </c>
      <c r="T90" s="53">
        <f>IFERROR(IF(INDEX('GCE'!$M$10:$M$12,MATCH($F90,'GCE'!$B$10:$B$12,0))="","Cell will autofill based on response",INDEX('GCE'!$M$10:$M$12,MATCH($F90,'GCE'!$B$10:$B$12,0))),"N/A")</f>
        <v/>
      </c>
      <c r="U90" s="53">
        <f>IFERROR(IF(INDEX('Education'!$M$10:$M$13,MATCH($F90,'Education'!$B$10:$B$13,0))="","Cell will autofill based on response",INDEX('Education'!$M$10:$M$13,MATCH($F90,'Education'!$B$10:$B$13,0))),"N/A")</f>
        <v/>
      </c>
      <c r="V90" s="53">
        <f>IFERROR(IF(INDEX('SaSS'!$M$10:$M$12,MATCH($F90,'SaSS'!$B$10:$B$12,0))="","Cell will autofill based on response",INDEX('SaSS'!$M$10:$M$12,MATCH($F90,'SaSS'!$B$10:$B$12,0))),"N/A")</f>
        <v/>
      </c>
      <c r="W90" s="53">
        <f>IFERROR(IF(INDEX('Indigenous'!$M$10:$M$11,MATCH($F90,'Indigenous'!$B$10:$B$11,0))="","Cell will autofill based on response",INDEX('Indigenous'!$M$10:$M$11,MATCH($F90,'Indigenous'!$B$10:$B$11,0))),"N/A")</f>
        <v/>
      </c>
      <c r="X90" s="53">
        <f>IFERROR(IF(INDEX('L&amp;R'!$M$10:$M$11,MATCH($F90,'L&amp;R'!$B$10:$B$11,0))="","Cell will autofill based on response",INDEX('L&amp;R'!$M$10:$M$11,MATCH($F90,'L&amp;R'!$B$10:$B$11,0))),"N/A")</f>
        <v/>
      </c>
    </row>
    <row r="91">
      <c r="A91">
        <f>F91&amp;"|"&amp;G91</f>
        <v/>
      </c>
      <c r="B91" s="13" t="inlineStr"/>
      <c r="C91" s="8" t="inlineStr"/>
      <c r="D91" s="8" t="inlineStr"/>
      <c r="E91" s="8" t="inlineStr"/>
      <c r="F91" s="8" t="inlineStr">
        <is>
          <t>TR3(c)</t>
        </is>
      </c>
      <c r="G91" s="8" t="inlineStr">
        <is>
          <t>OPTION 2:  Indicator level reporting</t>
        </is>
      </c>
      <c r="H91" s="53">
        <f>IFERROR(IF(INDEX('Faculties'!$N$10:$N$19,MATCH($F91,'Faculties'!$B$10:$B$19,0))="","Cell will autofill based on response",INDEX('Faculties'!$N$10:$N$19,MATCH($F91,'Faculties'!$B$10:$B$19,0))),"N/A")</f>
        <v/>
      </c>
      <c r="I91" s="53">
        <f>IFERROR(IF(INDEX('Faculties'!$N$26:$N$35,MATCH($F91,'Faculties'!$B$26:$B$35,0))="","Cell will autofill based on response",INDEX('Faculties'!$N$26:$N$35,MATCH($F91,'Faculties'!$B$26:$B$35,0))),"N/A")</f>
        <v/>
      </c>
      <c r="J91" s="53">
        <f>IFERROR(IF(INDEX('Faculties'!$N$42:$N$51,MATCH($F91,'Faculties'!$B$42:$B$51,0))="","Cell will autofill based on response",INDEX('Faculties'!$N$42:$N$51,MATCH($F91,'Faculties'!$B$42:$B$51,0))),"N/A")</f>
        <v/>
      </c>
      <c r="K91" s="53">
        <f>IFERROR(IF(INDEX('Faculties'!$N$58:$N$67,MATCH($F91,'Faculties'!$B$58:$B$67,0))="","Cell will autofill based on response",INDEX('Faculties'!$N$58:$N$67,MATCH($F91,'Faculties'!$B$58:$B$67,0))),"N/A")</f>
        <v/>
      </c>
      <c r="L91" s="53">
        <f>IFERROR(IF(INDEX('CI&amp;S'!$N$10:$N$15,MATCH($F91,'CI&amp;S'!$B$10:$B$15,0))="","Cell will autofill based on response",INDEX('CI&amp;S'!$N$10:$N$15,MATCH($F91,'CI&amp;S'!$B$10:$B$15,0))),"N/A")</f>
        <v/>
      </c>
      <c r="M91" s="53">
        <f>IFERROR(IF(INDEX('CI&amp;S'!$N$22:$N$36,MATCH($F91,'CI&amp;S'!$B$22:$B$36,0))="","Cell will autofill based on response",INDEX('CI&amp;S'!$N$22:$N$36,MATCH($F91,'CI&amp;S'!$B$22:$B$36,0))),"N/A")</f>
        <v/>
      </c>
      <c r="N91" s="53">
        <f>IFERROR(IF(INDEX('CFOG'!$N$10:$N$16,MATCH($F91,'CFOG'!$B$10:$B$16,0))="","Cell will autofill based on response",INDEX('CFOG'!$N$10:$N$16,MATCH($F91,'CFOG'!$B$10:$B$16,0))),"N/A")</f>
        <v/>
      </c>
      <c r="O91" s="53">
        <f>IFERROR(IF(INDEX('CFOG'!$N$23:$N$24,MATCH($F91,'CFOG'!$B$23:$B$24,0))="","Cell will autofill based on response",INDEX('CFOG'!$N$23:$N$24,MATCH($F91,'CFOG'!$B$23:$B$24,0))),"N/A")</f>
        <v/>
      </c>
      <c r="P91" s="53">
        <f>IFERROR(IF(INDEX('ESG'!$N$10:$N$17,MATCH($F91,'ESG'!$B$10:$B$17,0))="","Cell will autofill based on response",INDEX('ESG'!$N$10:$N$17,MATCH($F91,'ESG'!$B$10:$B$17,0))),"N/A")</f>
        <v/>
      </c>
      <c r="Q91" s="53">
        <f>IFERROR(IF(INDEX('CIOG'!$N$10:$N$14,MATCH($F91,'CIOG'!$B$10:$B$14,0))="","Cell will autofill based on response",INDEX('CIOG'!$N$10:$N$14,MATCH($F91,'CIOG'!$B$10:$B$14,0))),"N/A")</f>
        <v/>
      </c>
      <c r="R91" s="53">
        <f>IFERROR(IF(INDEX('MRE'!$N$10:$N$18,MATCH($F91,'MRE'!$B$10:$B$18,0))="","Cell will autofill based on response",INDEX('MRE'!$N$10:$N$18,MATCH($F91,'MRE'!$B$10:$B$18,0))),"N/A")</f>
        <v/>
      </c>
      <c r="S91" s="53">
        <f>IFERROR(IF(INDEX('AC&amp;M'!$N$10:$N$14,MATCH($F91,'AC&amp;M'!$B$10:$B$14,0))="","Cell will autofill based on response",INDEX('AC&amp;M'!$N$10:$N$14,MATCH($F91,'AC&amp;M'!$B$10:$B$14,0))),"N/A")</f>
        <v/>
      </c>
      <c r="T91" s="53">
        <f>IFERROR(IF(INDEX('GCE'!$N$10:$N$12,MATCH($F91,'GCE'!$B$10:$B$12,0))="","Cell will autofill based on response",INDEX('GCE'!$N$10:$N$12,MATCH($F91,'GCE'!$B$10:$B$12,0))),"N/A")</f>
        <v/>
      </c>
      <c r="U91" s="53">
        <f>IFERROR(IF(INDEX('Education'!$N$10:$N$13,MATCH($F91,'Education'!$B$10:$B$13,0))="","Cell will autofill based on response",INDEX('Education'!$N$10:$N$13,MATCH($F91,'Education'!$B$10:$B$13,0))),"N/A")</f>
        <v/>
      </c>
      <c r="V91" s="53">
        <f>IFERROR(IF(INDEX('SaSS'!$N$10:$N$12,MATCH($F91,'SaSS'!$B$10:$B$12,0))="","Cell will autofill based on response",INDEX('SaSS'!$N$10:$N$12,MATCH($F91,'SaSS'!$B$10:$B$12,0))),"N/A")</f>
        <v/>
      </c>
      <c r="W91" s="53">
        <f>IFERROR(IF(INDEX('Indigenous'!$N$10:$N$11,MATCH($F91,'Indigenous'!$B$10:$B$11,0))="","Cell will autofill based on response",INDEX('Indigenous'!$N$10:$N$11,MATCH($F91,'Indigenous'!$B$10:$B$11,0))),"N/A")</f>
        <v/>
      </c>
      <c r="X91" s="53">
        <f>IFERROR(IF(INDEX('L&amp;R'!$N$10:$N$11,MATCH($F91,'L&amp;R'!$B$10:$B$11,0))="","Cell will autofill based on response",INDEX('L&amp;R'!$N$10:$N$11,MATCH($F91,'L&amp;R'!$B$10:$B$11,0))),"N/A")</f>
        <v/>
      </c>
    </row>
    <row r="92">
      <c r="A92">
        <f>F92&amp;"|"&amp;G92</f>
        <v/>
      </c>
      <c r="B92" s="13" t="inlineStr"/>
      <c r="C92" s="8" t="inlineStr"/>
      <c r="D92" s="8" t="inlineStr"/>
      <c r="E92" s="8" t="inlineStr"/>
      <c r="F92" s="8" t="inlineStr">
        <is>
          <t>TR3(c)</t>
        </is>
      </c>
      <c r="G92" s="8" t="inlineStr">
        <is>
          <t>Supporting information/comments</t>
        </is>
      </c>
      <c r="H92" s="53">
        <f>IFERROR(IF(INDEX('Faculties'!$O$10:$O$19,MATCH($F92,'Faculties'!$B$10:$B$19,0))="","Cell will autofill based on response",INDEX('Faculties'!$O$10:$O$19,MATCH($F92,'Faculties'!$B$10:$B$19,0))),"N/A")</f>
        <v/>
      </c>
      <c r="I92" s="53">
        <f>IFERROR(IF(INDEX('Faculties'!$O$26:$O$35,MATCH($F92,'Faculties'!$B$26:$B$35,0))="","Cell will autofill based on response",INDEX('Faculties'!$O$26:$O$35,MATCH($F92,'Faculties'!$B$26:$B$35,0))),"N/A")</f>
        <v/>
      </c>
      <c r="J92" s="53">
        <f>IFERROR(IF(INDEX('Faculties'!$O$42:$O$51,MATCH($F92,'Faculties'!$B$42:$B$51,0))="","Cell will autofill based on response",INDEX('Faculties'!$O$42:$O$51,MATCH($F92,'Faculties'!$B$42:$B$51,0))),"N/A")</f>
        <v/>
      </c>
      <c r="K92" s="53">
        <f>IFERROR(IF(INDEX('Faculties'!$O$58:$O$67,MATCH($F92,'Faculties'!$B$58:$B$67,0))="","Cell will autofill based on response",INDEX('Faculties'!$O$58:$O$67,MATCH($F92,'Faculties'!$B$58:$B$67,0))),"N/A")</f>
        <v/>
      </c>
      <c r="L92" s="53">
        <f>IFERROR(IF(INDEX('CI&amp;S'!$O$10:$O$15,MATCH($F92,'CI&amp;S'!$B$10:$B$15,0))="","Cell will autofill based on response",INDEX('CI&amp;S'!$O$10:$O$15,MATCH($F92,'CI&amp;S'!$B$10:$B$15,0))),"N/A")</f>
        <v/>
      </c>
      <c r="M92" s="53">
        <f>IFERROR(IF(INDEX('CI&amp;S'!$O$22:$O$36,MATCH($F92,'CI&amp;S'!$B$22:$B$36,0))="","Cell will autofill based on response",INDEX('CI&amp;S'!$O$22:$O$36,MATCH($F92,'CI&amp;S'!$B$22:$B$36,0))),"N/A")</f>
        <v/>
      </c>
      <c r="N92" s="53">
        <f>IFERROR(IF(INDEX('CFOG'!$O$10:$O$16,MATCH($F92,'CFOG'!$B$10:$B$16,0))="","Cell will autofill based on response",INDEX('CFOG'!$O$10:$O$16,MATCH($F92,'CFOG'!$B$10:$B$16,0))),"N/A")</f>
        <v/>
      </c>
      <c r="O92" s="53">
        <f>IFERROR(IF(INDEX('CFOG'!$O$23:$O$24,MATCH($F92,'CFOG'!$B$23:$B$24,0))="","Cell will autofill based on response",INDEX('CFOG'!$O$23:$O$24,MATCH($F92,'CFOG'!$B$23:$B$24,0))),"N/A")</f>
        <v/>
      </c>
      <c r="P92" s="53">
        <f>IFERROR(IF(INDEX('ESG'!$O$10:$O$17,MATCH($F92,'ESG'!$B$10:$B$17,0))="","Cell will autofill based on response",INDEX('ESG'!$O$10:$O$17,MATCH($F92,'ESG'!$B$10:$B$17,0))),"N/A")</f>
        <v/>
      </c>
      <c r="Q92" s="53">
        <f>IFERROR(IF(INDEX('CIOG'!$O$10:$O$14,MATCH($F92,'CIOG'!$B$10:$B$14,0))="","Cell will autofill based on response",INDEX('CIOG'!$O$10:$O$14,MATCH($F92,'CIOG'!$B$10:$B$14,0))),"N/A")</f>
        <v/>
      </c>
      <c r="R92" s="53">
        <f>IFERROR(IF(INDEX('MRE'!$O$10:$O$18,MATCH($F92,'MRE'!$B$10:$B$18,0))="","Cell will autofill based on response",INDEX('MRE'!$O$10:$O$18,MATCH($F92,'MRE'!$B$10:$B$18,0))),"N/A")</f>
        <v/>
      </c>
      <c r="S92" s="53">
        <f>IFERROR(IF(INDEX('AC&amp;M'!$O$10:$O$14,MATCH($F92,'AC&amp;M'!$B$10:$B$14,0))="","Cell will autofill based on response",INDEX('AC&amp;M'!$O$10:$O$14,MATCH($F92,'AC&amp;M'!$B$10:$B$14,0))),"N/A")</f>
        <v/>
      </c>
      <c r="T92" s="53">
        <f>IFERROR(IF(INDEX('GCE'!$O$10:$O$12,MATCH($F92,'GCE'!$B$10:$B$12,0))="","Cell will autofill based on response",INDEX('GCE'!$O$10:$O$12,MATCH($F92,'GCE'!$B$10:$B$12,0))),"N/A")</f>
        <v/>
      </c>
      <c r="U92" s="53">
        <f>IFERROR(IF(INDEX('Education'!$O$10:$O$13,MATCH($F92,'Education'!$B$10:$B$13,0))="","Cell will autofill based on response",INDEX('Education'!$O$10:$O$13,MATCH($F92,'Education'!$B$10:$B$13,0))),"N/A")</f>
        <v/>
      </c>
      <c r="V92" s="53">
        <f>IFERROR(IF(INDEX('SaSS'!$O$10:$O$12,MATCH($F92,'SaSS'!$B$10:$B$12,0))="","Cell will autofill based on response",INDEX('SaSS'!$O$10:$O$12,MATCH($F92,'SaSS'!$B$10:$B$12,0))),"N/A")</f>
        <v/>
      </c>
      <c r="W92" s="53">
        <f>IFERROR(IF(INDEX('Indigenous'!$O$10:$O$11,MATCH($F92,'Indigenous'!$B$10:$B$11,0))="","Cell will autofill based on response",INDEX('Indigenous'!$O$10:$O$11,MATCH($F92,'Indigenous'!$B$10:$B$11,0))),"N/A")</f>
        <v/>
      </c>
      <c r="X92" s="53">
        <f>IFERROR(IF(INDEX('L&amp;R'!$O$10:$O$11,MATCH($F92,'L&amp;R'!$B$10:$B$11,0))="","Cell will autofill based on response",INDEX('L&amp;R'!$O$10:$O$11,MATCH($F92,'L&amp;R'!$B$10:$B$11,0))),"N/A")</f>
        <v/>
      </c>
    </row>
    <row r="93">
      <c r="A93">
        <f>F93&amp;"|"&amp;G93</f>
        <v/>
      </c>
      <c r="B93" s="13" t="inlineStr"/>
      <c r="C93" s="8" t="inlineStr"/>
      <c r="D93" s="8" t="inlineStr"/>
      <c r="E93" s="8" t="inlineStr"/>
      <c r="F93" s="8" t="inlineStr">
        <is>
          <t>TR3(c)</t>
        </is>
      </c>
      <c r="G93" s="8" t="inlineStr">
        <is>
          <t>Data source and limitations</t>
        </is>
      </c>
      <c r="H93" s="53">
        <f>IFERROR(IF(INDEX('Faculties'!$P$10:$P$19,MATCH($F93,'Faculties'!$B$10:$B$19,0))="","Cell will autofill based on response",INDEX('Faculties'!$P$10:$P$19,MATCH($F93,'Faculties'!$B$10:$B$19,0))),"N/A")</f>
        <v/>
      </c>
      <c r="I93" s="53">
        <f>IFERROR(IF(INDEX('Faculties'!$P$26:$P$35,MATCH($F93,'Faculties'!$B$26:$B$35,0))="","Cell will autofill based on response",INDEX('Faculties'!$P$26:$P$35,MATCH($F93,'Faculties'!$B$26:$B$35,0))),"N/A")</f>
        <v/>
      </c>
      <c r="J93" s="53">
        <f>IFERROR(IF(INDEX('Faculties'!$P$42:$P$51,MATCH($F93,'Faculties'!$B$42:$B$51,0))="","Cell will autofill based on response",INDEX('Faculties'!$P$42:$P$51,MATCH($F93,'Faculties'!$B$42:$B$51,0))),"N/A")</f>
        <v/>
      </c>
      <c r="K93" s="53">
        <f>IFERROR(IF(INDEX('Faculties'!$P$58:$P$67,MATCH($F93,'Faculties'!$B$58:$B$67,0))="","Cell will autofill based on response",INDEX('Faculties'!$P$58:$P$67,MATCH($F93,'Faculties'!$B$58:$B$67,0))),"N/A")</f>
        <v/>
      </c>
      <c r="L93" s="53">
        <f>IFERROR(IF(INDEX('CI&amp;S'!$P$10:$P$15,MATCH($F93,'CI&amp;S'!$B$10:$B$15,0))="","Cell will autofill based on response",INDEX('CI&amp;S'!$P$10:$P$15,MATCH($F93,'CI&amp;S'!$B$10:$B$15,0))),"N/A")</f>
        <v/>
      </c>
      <c r="M93" s="53">
        <f>IFERROR(IF(INDEX('CI&amp;S'!$P$22:$P$36,MATCH($F93,'CI&amp;S'!$B$22:$B$36,0))="","Cell will autofill based on response",INDEX('CI&amp;S'!$P$22:$P$36,MATCH($F93,'CI&amp;S'!$B$22:$B$36,0))),"N/A")</f>
        <v/>
      </c>
      <c r="N93" s="53">
        <f>IFERROR(IF(INDEX('CFOG'!$P$10:$P$16,MATCH($F93,'CFOG'!$B$10:$B$16,0))="","Cell will autofill based on response",INDEX('CFOG'!$P$10:$P$16,MATCH($F93,'CFOG'!$B$10:$B$16,0))),"N/A")</f>
        <v/>
      </c>
      <c r="O93" s="53">
        <f>IFERROR(IF(INDEX('CFOG'!$P$23:$P$24,MATCH($F93,'CFOG'!$B$23:$B$24,0))="","Cell will autofill based on response",INDEX('CFOG'!$P$23:$P$24,MATCH($F93,'CFOG'!$B$23:$B$24,0))),"N/A")</f>
        <v/>
      </c>
      <c r="P93" s="53">
        <f>IFERROR(IF(INDEX('ESG'!$P$10:$P$17,MATCH($F93,'ESG'!$B$10:$B$17,0))="","Cell will autofill based on response",INDEX('ESG'!$P$10:$P$17,MATCH($F93,'ESG'!$B$10:$B$17,0))),"N/A")</f>
        <v/>
      </c>
      <c r="Q93" s="53">
        <f>IFERROR(IF(INDEX('CIOG'!$P$10:$P$14,MATCH($F93,'CIOG'!$B$10:$B$14,0))="","Cell will autofill based on response",INDEX('CIOG'!$P$10:$P$14,MATCH($F93,'CIOG'!$B$10:$B$14,0))),"N/A")</f>
        <v/>
      </c>
      <c r="R93" s="53">
        <f>IFERROR(IF(INDEX('MRE'!$P$10:$P$18,MATCH($F93,'MRE'!$B$10:$B$18,0))="","Cell will autofill based on response",INDEX('MRE'!$P$10:$P$18,MATCH($F93,'MRE'!$B$10:$B$18,0))),"N/A")</f>
        <v/>
      </c>
      <c r="S93" s="53">
        <f>IFERROR(IF(INDEX('AC&amp;M'!$P$10:$P$14,MATCH($F93,'AC&amp;M'!$B$10:$B$14,0))="","Cell will autofill based on response",INDEX('AC&amp;M'!$P$10:$P$14,MATCH($F93,'AC&amp;M'!$B$10:$B$14,0))),"N/A")</f>
        <v/>
      </c>
      <c r="T93" s="53">
        <f>IFERROR(IF(INDEX('GCE'!$P$10:$P$12,MATCH($F93,'GCE'!$B$10:$B$12,0))="","Cell will autofill based on response",INDEX('GCE'!$P$10:$P$12,MATCH($F93,'GCE'!$B$10:$B$12,0))),"N/A")</f>
        <v/>
      </c>
      <c r="U93" s="53">
        <f>IFERROR(IF(INDEX('Education'!$P$10:$P$13,MATCH($F93,'Education'!$B$10:$B$13,0))="","Cell will autofill based on response",INDEX('Education'!$P$10:$P$13,MATCH($F93,'Education'!$B$10:$B$13,0))),"N/A")</f>
        <v/>
      </c>
      <c r="V93" s="53">
        <f>IFERROR(IF(INDEX('SaSS'!$P$10:$P$12,MATCH($F93,'SaSS'!$B$10:$B$12,0))="","Cell will autofill based on response",INDEX('SaSS'!$P$10:$P$12,MATCH($F93,'SaSS'!$B$10:$B$12,0))),"N/A")</f>
        <v/>
      </c>
      <c r="W93" s="53">
        <f>IFERROR(IF(INDEX('Indigenous'!$P$10:$P$11,MATCH($F93,'Indigenous'!$B$10:$B$11,0))="","Cell will autofill based on response",INDEX('Indigenous'!$P$10:$P$11,MATCH($F93,'Indigenous'!$B$10:$B$11,0))),"N/A")</f>
        <v/>
      </c>
      <c r="X93" s="53">
        <f>IFERROR(IF(INDEX('L&amp;R'!$P$10:$P$11,MATCH($F93,'L&amp;R'!$B$10:$B$11,0))="","Cell will autofill based on response",INDEX('L&amp;R'!$P$10:$P$11,MATCH($F93,'L&amp;R'!$B$10:$B$11,0))),"N/A")</f>
        <v/>
      </c>
    </row>
    <row r="94">
      <c r="A94">
        <f>F94&amp;"|"&amp;G94</f>
        <v/>
      </c>
      <c r="B94" s="13" t="inlineStr"/>
      <c r="C94" s="8" t="inlineStr"/>
      <c r="D94" s="8" t="inlineStr"/>
      <c r="E94" s="8" t="inlineStr"/>
      <c r="F94" s="8" t="inlineStr">
        <is>
          <t>TR3(c)</t>
        </is>
      </c>
      <c r="G94" s="8" t="inlineStr">
        <is>
          <t>Data owner confirms</t>
        </is>
      </c>
      <c r="H94" s="53">
        <f>IFERROR(IF(INDEX('Faculties'!$Q$10:$Q$19,MATCH($F94,'Faculties'!$B$10:$B$19,0))="","Cell will autofill based on response",INDEX('Faculties'!$Q$10:$Q$19,MATCH($F94,'Faculties'!$B$10:$B$19,0))),"N/A")</f>
        <v/>
      </c>
      <c r="I94" s="53">
        <f>IFERROR(IF(INDEX('Faculties'!$Q$26:$Q$35,MATCH($F94,'Faculties'!$B$26:$B$35,0))="","Cell will autofill based on response",INDEX('Faculties'!$Q$26:$Q$35,MATCH($F94,'Faculties'!$B$26:$B$35,0))),"N/A")</f>
        <v/>
      </c>
      <c r="J94" s="53">
        <f>IFERROR(IF(INDEX('Faculties'!$Q$42:$Q$51,MATCH($F94,'Faculties'!$B$42:$B$51,0))="","Cell will autofill based on response",INDEX('Faculties'!$Q$42:$Q$51,MATCH($F94,'Faculties'!$B$42:$B$51,0))),"N/A")</f>
        <v/>
      </c>
      <c r="K94" s="53">
        <f>IFERROR(IF(INDEX('Faculties'!$Q$58:$Q$67,MATCH($F94,'Faculties'!$B$58:$B$67,0))="","Cell will autofill based on response",INDEX('Faculties'!$Q$58:$Q$67,MATCH($F94,'Faculties'!$B$58:$B$67,0))),"N/A")</f>
        <v/>
      </c>
      <c r="L94" s="53">
        <f>IFERROR(IF(INDEX('CI&amp;S'!$Q$10:$Q$15,MATCH($F94,'CI&amp;S'!$B$10:$B$15,0))="","Cell will autofill based on response",INDEX('CI&amp;S'!$Q$10:$Q$15,MATCH($F94,'CI&amp;S'!$B$10:$B$15,0))),"N/A")</f>
        <v/>
      </c>
      <c r="M94" s="53">
        <f>IFERROR(IF(INDEX('CI&amp;S'!$Q$22:$Q$36,MATCH($F94,'CI&amp;S'!$B$22:$B$36,0))="","Cell will autofill based on response",INDEX('CI&amp;S'!$Q$22:$Q$36,MATCH($F94,'CI&amp;S'!$B$22:$B$36,0))),"N/A")</f>
        <v/>
      </c>
      <c r="N94" s="53">
        <f>IFERROR(IF(INDEX('CFOG'!$Q$10:$Q$16,MATCH($F94,'CFOG'!$B$10:$B$16,0))="","Cell will autofill based on response",INDEX('CFOG'!$Q$10:$Q$16,MATCH($F94,'CFOG'!$B$10:$B$16,0))),"N/A")</f>
        <v/>
      </c>
      <c r="O94" s="53">
        <f>IFERROR(IF(INDEX('CFOG'!$Q$23:$Q$24,MATCH($F94,'CFOG'!$B$23:$B$24,0))="","Cell will autofill based on response",INDEX('CFOG'!$Q$23:$Q$24,MATCH($F94,'CFOG'!$B$23:$B$24,0))),"N/A")</f>
        <v/>
      </c>
      <c r="P94" s="53">
        <f>IFERROR(IF(INDEX('ESG'!$Q$10:$Q$17,MATCH($F94,'ESG'!$B$10:$B$17,0))="","Cell will autofill based on response",INDEX('ESG'!$Q$10:$Q$17,MATCH($F94,'ESG'!$B$10:$B$17,0))),"N/A")</f>
        <v/>
      </c>
      <c r="Q94" s="53">
        <f>IFERROR(IF(INDEX('CIOG'!$Q$10:$Q$14,MATCH($F94,'CIOG'!$B$10:$B$14,0))="","Cell will autofill based on response",INDEX('CIOG'!$Q$10:$Q$14,MATCH($F94,'CIOG'!$B$10:$B$14,0))),"N/A")</f>
        <v/>
      </c>
      <c r="R94" s="53">
        <f>IFERROR(IF(INDEX('MRE'!$Q$10:$Q$18,MATCH($F94,'MRE'!$B$10:$B$18,0))="","Cell will autofill based on response",INDEX('MRE'!$Q$10:$Q$18,MATCH($F94,'MRE'!$B$10:$B$18,0))),"N/A")</f>
        <v/>
      </c>
      <c r="S94" s="53">
        <f>IFERROR(IF(INDEX('AC&amp;M'!$Q$10:$Q$14,MATCH($F94,'AC&amp;M'!$B$10:$B$14,0))="","Cell will autofill based on response",INDEX('AC&amp;M'!$Q$10:$Q$14,MATCH($F94,'AC&amp;M'!$B$10:$B$14,0))),"N/A")</f>
        <v/>
      </c>
      <c r="T94" s="53">
        <f>IFERROR(IF(INDEX('GCE'!$Q$10:$Q$12,MATCH($F94,'GCE'!$B$10:$B$12,0))="","Cell will autofill based on response",INDEX('GCE'!$Q$10:$Q$12,MATCH($F94,'GCE'!$B$10:$B$12,0))),"N/A")</f>
        <v/>
      </c>
      <c r="U94" s="53">
        <f>IFERROR(IF(INDEX('Education'!$Q$10:$Q$13,MATCH($F94,'Education'!$B$10:$B$13,0))="","Cell will autofill based on response",INDEX('Education'!$Q$10:$Q$13,MATCH($F94,'Education'!$B$10:$B$13,0))),"N/A")</f>
        <v/>
      </c>
      <c r="V94" s="53">
        <f>IFERROR(IF(INDEX('SaSS'!$Q$10:$Q$12,MATCH($F94,'SaSS'!$B$10:$B$12,0))="","Cell will autofill based on response",INDEX('SaSS'!$Q$10:$Q$12,MATCH($F94,'SaSS'!$B$10:$B$12,0))),"N/A")</f>
        <v/>
      </c>
      <c r="W94" s="53">
        <f>IFERROR(IF(INDEX('Indigenous'!$Q$10:$Q$11,MATCH($F94,'Indigenous'!$B$10:$B$11,0))="","Cell will autofill based on response",INDEX('Indigenous'!$Q$10:$Q$11,MATCH($F94,'Indigenous'!$B$10:$B$11,0))),"N/A")</f>
        <v/>
      </c>
      <c r="X94" s="53">
        <f>IFERROR(IF(INDEX('L&amp;R'!$Q$10:$Q$11,MATCH($F94,'L&amp;R'!$B$10:$B$11,0))="","Cell will autofill based on response",INDEX('L&amp;R'!$Q$10:$Q$11,MATCH($F94,'L&amp;R'!$B$10:$B$11,0))),"N/A")</f>
        <v/>
      </c>
    </row>
    <row r="95">
      <c r="A95">
        <f>F95&amp;"|"&amp;G95</f>
        <v/>
      </c>
      <c r="B95" s="7" t="inlineStr">
        <is>
          <t>TR3(d)</t>
        </is>
      </c>
      <c r="C95" s="51" t="inlineStr">
        <is>
          <t>Transformational research</t>
        </is>
      </c>
      <c r="D95" s="51" t="inlineStr">
        <is>
          <t>Expert assessment of progress in embedding sustainable research practices across the institution.</t>
        </is>
      </c>
      <c r="E95" s="51" t="inlineStr">
        <is>
          <t>Faculty/Portfolio’s assessment of progress in embedding sustainable research practices, highlighting areas of strong progress, remaining gaps and priority actions for further improvement.</t>
        </is>
      </c>
      <c r="F95" s="51" t="inlineStr">
        <is>
          <t>TR3(d)</t>
        </is>
      </c>
      <c r="G95" s="51" t="inlineStr">
        <is>
          <t>Confirm end-2026 target status</t>
        </is>
      </c>
      <c r="H95" s="53">
        <f>IFERROR(IF(INDEX('Faculties'!$L$10:$L$19,MATCH($F95,'Faculties'!$B$10:$B$19,0))="","Cell will autofill based on response",INDEX('Faculties'!$L$10:$L$19,MATCH($F95,'Faculties'!$B$10:$B$19,0))),"N/A")</f>
        <v/>
      </c>
      <c r="I95" s="53">
        <f>IFERROR(IF(INDEX('Faculties'!$L$26:$L$35,MATCH($F95,'Faculties'!$B$26:$B$35,0))="","Cell will autofill based on response",INDEX('Faculties'!$L$26:$L$35,MATCH($F95,'Faculties'!$B$26:$B$35,0))),"N/A")</f>
        <v/>
      </c>
      <c r="J95" s="53">
        <f>IFERROR(IF(INDEX('Faculties'!$L$42:$L$51,MATCH($F95,'Faculties'!$B$42:$B$51,0))="","Cell will autofill based on response",INDEX('Faculties'!$L$42:$L$51,MATCH($F95,'Faculties'!$B$42:$B$51,0))),"N/A")</f>
        <v/>
      </c>
      <c r="K95" s="53">
        <f>IFERROR(IF(INDEX('Faculties'!$L$58:$L$67,MATCH($F95,'Faculties'!$B$58:$B$67,0))="","Cell will autofill based on response",INDEX('Faculties'!$L$58:$L$67,MATCH($F95,'Faculties'!$B$58:$B$67,0))),"N/A")</f>
        <v/>
      </c>
      <c r="L95" s="53">
        <f>IFERROR(IF(INDEX('CI&amp;S'!$L$10:$L$15,MATCH($F95,'CI&amp;S'!$B$10:$B$15,0))="","Cell will autofill based on response",INDEX('CI&amp;S'!$L$10:$L$15,MATCH($F95,'CI&amp;S'!$B$10:$B$15,0))),"N/A")</f>
        <v/>
      </c>
      <c r="M95" s="53">
        <f>IFERROR(IF(INDEX('CI&amp;S'!$L$22:$L$36,MATCH($F95,'CI&amp;S'!$B$22:$B$36,0))="","Cell will autofill based on response",INDEX('CI&amp;S'!$L$22:$L$36,MATCH($F95,'CI&amp;S'!$B$22:$B$36,0))),"N/A")</f>
        <v/>
      </c>
      <c r="N95" s="53">
        <f>IFERROR(IF(INDEX('CFOG'!$L$10:$L$16,MATCH($F95,'CFOG'!$B$10:$B$16,0))="","Cell will autofill based on response",INDEX('CFOG'!$L$10:$L$16,MATCH($F95,'CFOG'!$B$10:$B$16,0))),"N/A")</f>
        <v/>
      </c>
      <c r="O95" s="53">
        <f>IFERROR(IF(INDEX('CFOG'!$L$23:$L$24,MATCH($F95,'CFOG'!$B$23:$B$24,0))="","Cell will autofill based on response",INDEX('CFOG'!$L$23:$L$24,MATCH($F95,'CFOG'!$B$23:$B$24,0))),"N/A")</f>
        <v/>
      </c>
      <c r="P95" s="53">
        <f>IFERROR(IF(INDEX('ESG'!$L$10:$L$17,MATCH($F95,'ESG'!$B$10:$B$17,0))="","Cell will autofill based on response",INDEX('ESG'!$L$10:$L$17,MATCH($F95,'ESG'!$B$10:$B$17,0))),"N/A")</f>
        <v/>
      </c>
      <c r="Q95" s="53">
        <f>IFERROR(IF(INDEX('CIOG'!$L$10:$L$14,MATCH($F95,'CIOG'!$B$10:$B$14,0))="","Cell will autofill based on response",INDEX('CIOG'!$L$10:$L$14,MATCH($F95,'CIOG'!$B$10:$B$14,0))),"N/A")</f>
        <v/>
      </c>
      <c r="R95" s="53">
        <f>IFERROR(IF(INDEX('MRE'!$L$10:$L$18,MATCH($F95,'MRE'!$B$10:$B$18,0))="","Cell will autofill based on response",INDEX('MRE'!$L$10:$L$18,MATCH($F95,'MRE'!$B$10:$B$18,0))),"N/A")</f>
        <v/>
      </c>
      <c r="S95" s="53">
        <f>IFERROR(IF(INDEX('AC&amp;M'!$L$10:$L$14,MATCH($F95,'AC&amp;M'!$B$10:$B$14,0))="","Cell will autofill based on response",INDEX('AC&amp;M'!$L$10:$L$14,MATCH($F95,'AC&amp;M'!$B$10:$B$14,0))),"N/A")</f>
        <v/>
      </c>
      <c r="T95" s="53">
        <f>IFERROR(IF(INDEX('GCE'!$L$10:$L$12,MATCH($F95,'GCE'!$B$10:$B$12,0))="","Cell will autofill based on response",INDEX('GCE'!$L$10:$L$12,MATCH($F95,'GCE'!$B$10:$B$12,0))),"N/A")</f>
        <v/>
      </c>
      <c r="U95" s="53">
        <f>IFERROR(IF(INDEX('Education'!$L$10:$L$13,MATCH($F95,'Education'!$B$10:$B$13,0))="","Cell will autofill based on response",INDEX('Education'!$L$10:$L$13,MATCH($F95,'Education'!$B$10:$B$13,0))),"N/A")</f>
        <v/>
      </c>
      <c r="V95" s="53">
        <f>IFERROR(IF(INDEX('SaSS'!$L$10:$L$12,MATCH($F95,'SaSS'!$B$10:$B$12,0))="","Cell will autofill based on response",INDEX('SaSS'!$L$10:$L$12,MATCH($F95,'SaSS'!$B$10:$B$12,0))),"N/A")</f>
        <v/>
      </c>
      <c r="W95" s="53">
        <f>IFERROR(IF(INDEX('Indigenous'!$L$10:$L$11,MATCH($F95,'Indigenous'!$B$10:$B$11,0))="","Cell will autofill based on response",INDEX('Indigenous'!$L$10:$L$11,MATCH($F95,'Indigenous'!$B$10:$B$11,0))),"N/A")</f>
        <v/>
      </c>
      <c r="X95" s="53">
        <f>IFERROR(IF(INDEX('L&amp;R'!$L$10:$L$11,MATCH($F95,'L&amp;R'!$B$10:$B$11,0))="","Cell will autofill based on response",INDEX('L&amp;R'!$L$10:$L$11,MATCH($F95,'L&amp;R'!$B$10:$B$11,0))),"N/A")</f>
        <v/>
      </c>
      <c r="Z95" s="10">
        <f>COUNTIF($H95:$X95,"Cell will autofill based on response")</f>
        <v/>
      </c>
      <c r="AA95" s="10">
        <f>COUNTIF($H95:$X95,"Not yet started")</f>
        <v/>
      </c>
      <c r="AB95" s="10">
        <f>COUNTIF($H95:$X95,"Not met")</f>
        <v/>
      </c>
      <c r="AC95" s="10">
        <f>COUNTIF($H95:$X95,"Partially met")</f>
        <v/>
      </c>
      <c r="AD95" s="10">
        <f>COUNTIF($H95:$X95,"Met or exceeded")</f>
        <v/>
      </c>
      <c r="AE95" s="10">
        <f>3*AD95+2*AC95+AB95</f>
        <v/>
      </c>
      <c r="AF95" s="10">
        <f>AD95+AC95+AB95+AA95</f>
        <v/>
      </c>
      <c r="AG95" s="54">
        <f>IF(AF95&gt;0,AE95/AF95,"No valid responses to date")</f>
        <v/>
      </c>
      <c r="AH95" s="10">
        <f>IF(ISNUMBER(AG95),INDEX(Lists!$G$2:$G$5,MATCH(ROUND(AG95,0),Lists!$H$2:$H$5,0)),"")</f>
        <v/>
      </c>
      <c r="AI95" s="55">
        <f>IF(AF95&gt;0,AD95/AF95,"")</f>
        <v/>
      </c>
      <c r="AJ95" s="55">
        <f>IF(AF95&gt;0,(AD95+AC95)/AF95,"")</f>
        <v/>
      </c>
      <c r="AK95" s="10">
        <f>IF(AF95=0,"",IF(AI95&gt;0.75,"Met or exceeded",IF(AJ95&gt;=0.5,"Partially met","Not met")))</f>
        <v/>
      </c>
    </row>
    <row r="96">
      <c r="A96">
        <f>F96&amp;"|"&amp;G96</f>
        <v/>
      </c>
      <c r="B96" s="13" t="inlineStr"/>
      <c r="C96" s="8" t="inlineStr"/>
      <c r="D96" s="8" t="inlineStr"/>
      <c r="E96" s="8" t="inlineStr"/>
      <c r="F96" s="8" t="inlineStr">
        <is>
          <t>TR3(d)</t>
        </is>
      </c>
      <c r="G96" s="8" t="inlineStr">
        <is>
          <t>OPTION 1:  Target-level reporting</t>
        </is>
      </c>
      <c r="H96" s="53">
        <f>IFERROR(IF(INDEX('Faculties'!$M$10:$M$19,MATCH($F96,'Faculties'!$B$10:$B$19,0))="","Cell will autofill based on response",INDEX('Faculties'!$M$10:$M$19,MATCH($F96,'Faculties'!$B$10:$B$19,0))),"N/A")</f>
        <v/>
      </c>
      <c r="I96" s="53">
        <f>IFERROR(IF(INDEX('Faculties'!$M$26:$M$35,MATCH($F96,'Faculties'!$B$26:$B$35,0))="","Cell will autofill based on response",INDEX('Faculties'!$M$26:$M$35,MATCH($F96,'Faculties'!$B$26:$B$35,0))),"N/A")</f>
        <v/>
      </c>
      <c r="J96" s="53">
        <f>IFERROR(IF(INDEX('Faculties'!$M$42:$M$51,MATCH($F96,'Faculties'!$B$42:$B$51,0))="","Cell will autofill based on response",INDEX('Faculties'!$M$42:$M$51,MATCH($F96,'Faculties'!$B$42:$B$51,0))),"N/A")</f>
        <v/>
      </c>
      <c r="K96" s="53">
        <f>IFERROR(IF(INDEX('Faculties'!$M$58:$M$67,MATCH($F96,'Faculties'!$B$58:$B$67,0))="","Cell will autofill based on response",INDEX('Faculties'!$M$58:$M$67,MATCH($F96,'Faculties'!$B$58:$B$67,0))),"N/A")</f>
        <v/>
      </c>
      <c r="L96" s="53">
        <f>IFERROR(IF(INDEX('CI&amp;S'!$M$10:$M$15,MATCH($F96,'CI&amp;S'!$B$10:$B$15,0))="","Cell will autofill based on response",INDEX('CI&amp;S'!$M$10:$M$15,MATCH($F96,'CI&amp;S'!$B$10:$B$15,0))),"N/A")</f>
        <v/>
      </c>
      <c r="M96" s="53">
        <f>IFERROR(IF(INDEX('CI&amp;S'!$M$22:$M$36,MATCH($F96,'CI&amp;S'!$B$22:$B$36,0))="","Cell will autofill based on response",INDEX('CI&amp;S'!$M$22:$M$36,MATCH($F96,'CI&amp;S'!$B$22:$B$36,0))),"N/A")</f>
        <v/>
      </c>
      <c r="N96" s="53">
        <f>IFERROR(IF(INDEX('CFOG'!$M$10:$M$16,MATCH($F96,'CFOG'!$B$10:$B$16,0))="","Cell will autofill based on response",INDEX('CFOG'!$M$10:$M$16,MATCH($F96,'CFOG'!$B$10:$B$16,0))),"N/A")</f>
        <v/>
      </c>
      <c r="O96" s="53">
        <f>IFERROR(IF(INDEX('CFOG'!$M$23:$M$24,MATCH($F96,'CFOG'!$B$23:$B$24,0))="","Cell will autofill based on response",INDEX('CFOG'!$M$23:$M$24,MATCH($F96,'CFOG'!$B$23:$B$24,0))),"N/A")</f>
        <v/>
      </c>
      <c r="P96" s="53">
        <f>IFERROR(IF(INDEX('ESG'!$M$10:$M$17,MATCH($F96,'ESG'!$B$10:$B$17,0))="","Cell will autofill based on response",INDEX('ESG'!$M$10:$M$17,MATCH($F96,'ESG'!$B$10:$B$17,0))),"N/A")</f>
        <v/>
      </c>
      <c r="Q96" s="53">
        <f>IFERROR(IF(INDEX('CIOG'!$M$10:$M$14,MATCH($F96,'CIOG'!$B$10:$B$14,0))="","Cell will autofill based on response",INDEX('CIOG'!$M$10:$M$14,MATCH($F96,'CIOG'!$B$10:$B$14,0))),"N/A")</f>
        <v/>
      </c>
      <c r="R96" s="53">
        <f>IFERROR(IF(INDEX('MRE'!$M$10:$M$18,MATCH($F96,'MRE'!$B$10:$B$18,0))="","Cell will autofill based on response",INDEX('MRE'!$M$10:$M$18,MATCH($F96,'MRE'!$B$10:$B$18,0))),"N/A")</f>
        <v/>
      </c>
      <c r="S96" s="53">
        <f>IFERROR(IF(INDEX('AC&amp;M'!$M$10:$M$14,MATCH($F96,'AC&amp;M'!$B$10:$B$14,0))="","Cell will autofill based on response",INDEX('AC&amp;M'!$M$10:$M$14,MATCH($F96,'AC&amp;M'!$B$10:$B$14,0))),"N/A")</f>
        <v/>
      </c>
      <c r="T96" s="53">
        <f>IFERROR(IF(INDEX('GCE'!$M$10:$M$12,MATCH($F96,'GCE'!$B$10:$B$12,0))="","Cell will autofill based on response",INDEX('GCE'!$M$10:$M$12,MATCH($F96,'GCE'!$B$10:$B$12,0))),"N/A")</f>
        <v/>
      </c>
      <c r="U96" s="53">
        <f>IFERROR(IF(INDEX('Education'!$M$10:$M$13,MATCH($F96,'Education'!$B$10:$B$13,0))="","Cell will autofill based on response",INDEX('Education'!$M$10:$M$13,MATCH($F96,'Education'!$B$10:$B$13,0))),"N/A")</f>
        <v/>
      </c>
      <c r="V96" s="53">
        <f>IFERROR(IF(INDEX('SaSS'!$M$10:$M$12,MATCH($F96,'SaSS'!$B$10:$B$12,0))="","Cell will autofill based on response",INDEX('SaSS'!$M$10:$M$12,MATCH($F96,'SaSS'!$B$10:$B$12,0))),"N/A")</f>
        <v/>
      </c>
      <c r="W96" s="53">
        <f>IFERROR(IF(INDEX('Indigenous'!$M$10:$M$11,MATCH($F96,'Indigenous'!$B$10:$B$11,0))="","Cell will autofill based on response",INDEX('Indigenous'!$M$10:$M$11,MATCH($F96,'Indigenous'!$B$10:$B$11,0))),"N/A")</f>
        <v/>
      </c>
      <c r="X96" s="53">
        <f>IFERROR(IF(INDEX('L&amp;R'!$M$10:$M$11,MATCH($F96,'L&amp;R'!$B$10:$B$11,0))="","Cell will autofill based on response",INDEX('L&amp;R'!$M$10:$M$11,MATCH($F96,'L&amp;R'!$B$10:$B$11,0))),"N/A")</f>
        <v/>
      </c>
    </row>
    <row r="97">
      <c r="A97">
        <f>F97&amp;"|"&amp;G97</f>
        <v/>
      </c>
      <c r="B97" s="13" t="inlineStr"/>
      <c r="C97" s="8" t="inlineStr"/>
      <c r="D97" s="8" t="inlineStr"/>
      <c r="E97" s="8" t="inlineStr"/>
      <c r="F97" s="8" t="inlineStr">
        <is>
          <t>TR3(d)</t>
        </is>
      </c>
      <c r="G97" s="8" t="inlineStr">
        <is>
          <t>OPTION 2:  Indicator level reporting</t>
        </is>
      </c>
      <c r="H97" s="53">
        <f>IFERROR(IF(INDEX('Faculties'!$N$10:$N$19,MATCH($F97,'Faculties'!$B$10:$B$19,0))="","Cell will autofill based on response",INDEX('Faculties'!$N$10:$N$19,MATCH($F97,'Faculties'!$B$10:$B$19,0))),"N/A")</f>
        <v/>
      </c>
      <c r="I97" s="53">
        <f>IFERROR(IF(INDEX('Faculties'!$N$26:$N$35,MATCH($F97,'Faculties'!$B$26:$B$35,0))="","Cell will autofill based on response",INDEX('Faculties'!$N$26:$N$35,MATCH($F97,'Faculties'!$B$26:$B$35,0))),"N/A")</f>
        <v/>
      </c>
      <c r="J97" s="53">
        <f>IFERROR(IF(INDEX('Faculties'!$N$42:$N$51,MATCH($F97,'Faculties'!$B$42:$B$51,0))="","Cell will autofill based on response",INDEX('Faculties'!$N$42:$N$51,MATCH($F97,'Faculties'!$B$42:$B$51,0))),"N/A")</f>
        <v/>
      </c>
      <c r="K97" s="53">
        <f>IFERROR(IF(INDEX('Faculties'!$N$58:$N$67,MATCH($F97,'Faculties'!$B$58:$B$67,0))="","Cell will autofill based on response",INDEX('Faculties'!$N$58:$N$67,MATCH($F97,'Faculties'!$B$58:$B$67,0))),"N/A")</f>
        <v/>
      </c>
      <c r="L97" s="53">
        <f>IFERROR(IF(INDEX('CI&amp;S'!$N$10:$N$15,MATCH($F97,'CI&amp;S'!$B$10:$B$15,0))="","Cell will autofill based on response",INDEX('CI&amp;S'!$N$10:$N$15,MATCH($F97,'CI&amp;S'!$B$10:$B$15,0))),"N/A")</f>
        <v/>
      </c>
      <c r="M97" s="53">
        <f>IFERROR(IF(INDEX('CI&amp;S'!$N$22:$N$36,MATCH($F97,'CI&amp;S'!$B$22:$B$36,0))="","Cell will autofill based on response",INDEX('CI&amp;S'!$N$22:$N$36,MATCH($F97,'CI&amp;S'!$B$22:$B$36,0))),"N/A")</f>
        <v/>
      </c>
      <c r="N97" s="53">
        <f>IFERROR(IF(INDEX('CFOG'!$N$10:$N$16,MATCH($F97,'CFOG'!$B$10:$B$16,0))="","Cell will autofill based on response",INDEX('CFOG'!$N$10:$N$16,MATCH($F97,'CFOG'!$B$10:$B$16,0))),"N/A")</f>
        <v/>
      </c>
      <c r="O97" s="53">
        <f>IFERROR(IF(INDEX('CFOG'!$N$23:$N$24,MATCH($F97,'CFOG'!$B$23:$B$24,0))="","Cell will autofill based on response",INDEX('CFOG'!$N$23:$N$24,MATCH($F97,'CFOG'!$B$23:$B$24,0))),"N/A")</f>
        <v/>
      </c>
      <c r="P97" s="53">
        <f>IFERROR(IF(INDEX('ESG'!$N$10:$N$17,MATCH($F97,'ESG'!$B$10:$B$17,0))="","Cell will autofill based on response",INDEX('ESG'!$N$10:$N$17,MATCH($F97,'ESG'!$B$10:$B$17,0))),"N/A")</f>
        <v/>
      </c>
      <c r="Q97" s="53">
        <f>IFERROR(IF(INDEX('CIOG'!$N$10:$N$14,MATCH($F97,'CIOG'!$B$10:$B$14,0))="","Cell will autofill based on response",INDEX('CIOG'!$N$10:$N$14,MATCH($F97,'CIOG'!$B$10:$B$14,0))),"N/A")</f>
        <v/>
      </c>
      <c r="R97" s="53">
        <f>IFERROR(IF(INDEX('MRE'!$N$10:$N$18,MATCH($F97,'MRE'!$B$10:$B$18,0))="","Cell will autofill based on response",INDEX('MRE'!$N$10:$N$18,MATCH($F97,'MRE'!$B$10:$B$18,0))),"N/A")</f>
        <v/>
      </c>
      <c r="S97" s="53">
        <f>IFERROR(IF(INDEX('AC&amp;M'!$N$10:$N$14,MATCH($F97,'AC&amp;M'!$B$10:$B$14,0))="","Cell will autofill based on response",INDEX('AC&amp;M'!$N$10:$N$14,MATCH($F97,'AC&amp;M'!$B$10:$B$14,0))),"N/A")</f>
        <v/>
      </c>
      <c r="T97" s="53">
        <f>IFERROR(IF(INDEX('GCE'!$N$10:$N$12,MATCH($F97,'GCE'!$B$10:$B$12,0))="","Cell will autofill based on response",INDEX('GCE'!$N$10:$N$12,MATCH($F97,'GCE'!$B$10:$B$12,0))),"N/A")</f>
        <v/>
      </c>
      <c r="U97" s="53">
        <f>IFERROR(IF(INDEX('Education'!$N$10:$N$13,MATCH($F97,'Education'!$B$10:$B$13,0))="","Cell will autofill based on response",INDEX('Education'!$N$10:$N$13,MATCH($F97,'Education'!$B$10:$B$13,0))),"N/A")</f>
        <v/>
      </c>
      <c r="V97" s="53">
        <f>IFERROR(IF(INDEX('SaSS'!$N$10:$N$12,MATCH($F97,'SaSS'!$B$10:$B$12,0))="","Cell will autofill based on response",INDEX('SaSS'!$N$10:$N$12,MATCH($F97,'SaSS'!$B$10:$B$12,0))),"N/A")</f>
        <v/>
      </c>
      <c r="W97" s="53">
        <f>IFERROR(IF(INDEX('Indigenous'!$N$10:$N$11,MATCH($F97,'Indigenous'!$B$10:$B$11,0))="","Cell will autofill based on response",INDEX('Indigenous'!$N$10:$N$11,MATCH($F97,'Indigenous'!$B$10:$B$11,0))),"N/A")</f>
        <v/>
      </c>
      <c r="X97" s="53">
        <f>IFERROR(IF(INDEX('L&amp;R'!$N$10:$N$11,MATCH($F97,'L&amp;R'!$B$10:$B$11,0))="","Cell will autofill based on response",INDEX('L&amp;R'!$N$10:$N$11,MATCH($F97,'L&amp;R'!$B$10:$B$11,0))),"N/A")</f>
        <v/>
      </c>
    </row>
    <row r="98">
      <c r="A98">
        <f>F98&amp;"|"&amp;G98</f>
        <v/>
      </c>
      <c r="B98" s="13" t="inlineStr"/>
      <c r="C98" s="8" t="inlineStr"/>
      <c r="D98" s="8" t="inlineStr"/>
      <c r="E98" s="8" t="inlineStr"/>
      <c r="F98" s="8" t="inlineStr">
        <is>
          <t>TR3(d)</t>
        </is>
      </c>
      <c r="G98" s="8" t="inlineStr">
        <is>
          <t>Supporting information/comments</t>
        </is>
      </c>
      <c r="H98" s="53">
        <f>IFERROR(IF(INDEX('Faculties'!$O$10:$O$19,MATCH($F98,'Faculties'!$B$10:$B$19,0))="","Cell will autofill based on response",INDEX('Faculties'!$O$10:$O$19,MATCH($F98,'Faculties'!$B$10:$B$19,0))),"N/A")</f>
        <v/>
      </c>
      <c r="I98" s="53">
        <f>IFERROR(IF(INDEX('Faculties'!$O$26:$O$35,MATCH($F98,'Faculties'!$B$26:$B$35,0))="","Cell will autofill based on response",INDEX('Faculties'!$O$26:$O$35,MATCH($F98,'Faculties'!$B$26:$B$35,0))),"N/A")</f>
        <v/>
      </c>
      <c r="J98" s="53">
        <f>IFERROR(IF(INDEX('Faculties'!$O$42:$O$51,MATCH($F98,'Faculties'!$B$42:$B$51,0))="","Cell will autofill based on response",INDEX('Faculties'!$O$42:$O$51,MATCH($F98,'Faculties'!$B$42:$B$51,0))),"N/A")</f>
        <v/>
      </c>
      <c r="K98" s="53">
        <f>IFERROR(IF(INDEX('Faculties'!$O$58:$O$67,MATCH($F98,'Faculties'!$B$58:$B$67,0))="","Cell will autofill based on response",INDEX('Faculties'!$O$58:$O$67,MATCH($F98,'Faculties'!$B$58:$B$67,0))),"N/A")</f>
        <v/>
      </c>
      <c r="L98" s="53">
        <f>IFERROR(IF(INDEX('CI&amp;S'!$O$10:$O$15,MATCH($F98,'CI&amp;S'!$B$10:$B$15,0))="","Cell will autofill based on response",INDEX('CI&amp;S'!$O$10:$O$15,MATCH($F98,'CI&amp;S'!$B$10:$B$15,0))),"N/A")</f>
        <v/>
      </c>
      <c r="M98" s="53">
        <f>IFERROR(IF(INDEX('CI&amp;S'!$O$22:$O$36,MATCH($F98,'CI&amp;S'!$B$22:$B$36,0))="","Cell will autofill based on response",INDEX('CI&amp;S'!$O$22:$O$36,MATCH($F98,'CI&amp;S'!$B$22:$B$36,0))),"N/A")</f>
        <v/>
      </c>
      <c r="N98" s="53">
        <f>IFERROR(IF(INDEX('CFOG'!$O$10:$O$16,MATCH($F98,'CFOG'!$B$10:$B$16,0))="","Cell will autofill based on response",INDEX('CFOG'!$O$10:$O$16,MATCH($F98,'CFOG'!$B$10:$B$16,0))),"N/A")</f>
        <v/>
      </c>
      <c r="O98" s="53">
        <f>IFERROR(IF(INDEX('CFOG'!$O$23:$O$24,MATCH($F98,'CFOG'!$B$23:$B$24,0))="","Cell will autofill based on response",INDEX('CFOG'!$O$23:$O$24,MATCH($F98,'CFOG'!$B$23:$B$24,0))),"N/A")</f>
        <v/>
      </c>
      <c r="P98" s="53">
        <f>IFERROR(IF(INDEX('ESG'!$O$10:$O$17,MATCH($F98,'ESG'!$B$10:$B$17,0))="","Cell will autofill based on response",INDEX('ESG'!$O$10:$O$17,MATCH($F98,'ESG'!$B$10:$B$17,0))),"N/A")</f>
        <v/>
      </c>
      <c r="Q98" s="53">
        <f>IFERROR(IF(INDEX('CIOG'!$O$10:$O$14,MATCH($F98,'CIOG'!$B$10:$B$14,0))="","Cell will autofill based on response",INDEX('CIOG'!$O$10:$O$14,MATCH($F98,'CIOG'!$B$10:$B$14,0))),"N/A")</f>
        <v/>
      </c>
      <c r="R98" s="53">
        <f>IFERROR(IF(INDEX('MRE'!$O$10:$O$18,MATCH($F98,'MRE'!$B$10:$B$18,0))="","Cell will autofill based on response",INDEX('MRE'!$O$10:$O$18,MATCH($F98,'MRE'!$B$10:$B$18,0))),"N/A")</f>
        <v/>
      </c>
      <c r="S98" s="53">
        <f>IFERROR(IF(INDEX('AC&amp;M'!$O$10:$O$14,MATCH($F98,'AC&amp;M'!$B$10:$B$14,0))="","Cell will autofill based on response",INDEX('AC&amp;M'!$O$10:$O$14,MATCH($F98,'AC&amp;M'!$B$10:$B$14,0))),"N/A")</f>
        <v/>
      </c>
      <c r="T98" s="53">
        <f>IFERROR(IF(INDEX('GCE'!$O$10:$O$12,MATCH($F98,'GCE'!$B$10:$B$12,0))="","Cell will autofill based on response",INDEX('GCE'!$O$10:$O$12,MATCH($F98,'GCE'!$B$10:$B$12,0))),"N/A")</f>
        <v/>
      </c>
      <c r="U98" s="53">
        <f>IFERROR(IF(INDEX('Education'!$O$10:$O$13,MATCH($F98,'Education'!$B$10:$B$13,0))="","Cell will autofill based on response",INDEX('Education'!$O$10:$O$13,MATCH($F98,'Education'!$B$10:$B$13,0))),"N/A")</f>
        <v/>
      </c>
      <c r="V98" s="53">
        <f>IFERROR(IF(INDEX('SaSS'!$O$10:$O$12,MATCH($F98,'SaSS'!$B$10:$B$12,0))="","Cell will autofill based on response",INDEX('SaSS'!$O$10:$O$12,MATCH($F98,'SaSS'!$B$10:$B$12,0))),"N/A")</f>
        <v/>
      </c>
      <c r="W98" s="53">
        <f>IFERROR(IF(INDEX('Indigenous'!$O$10:$O$11,MATCH($F98,'Indigenous'!$B$10:$B$11,0))="","Cell will autofill based on response",INDEX('Indigenous'!$O$10:$O$11,MATCH($F98,'Indigenous'!$B$10:$B$11,0))),"N/A")</f>
        <v/>
      </c>
      <c r="X98" s="53">
        <f>IFERROR(IF(INDEX('L&amp;R'!$O$10:$O$11,MATCH($F98,'L&amp;R'!$B$10:$B$11,0))="","Cell will autofill based on response",INDEX('L&amp;R'!$O$10:$O$11,MATCH($F98,'L&amp;R'!$B$10:$B$11,0))),"N/A")</f>
        <v/>
      </c>
    </row>
    <row r="99">
      <c r="A99">
        <f>F99&amp;"|"&amp;G99</f>
        <v/>
      </c>
      <c r="B99" s="13" t="inlineStr"/>
      <c r="C99" s="8" t="inlineStr"/>
      <c r="D99" s="8" t="inlineStr"/>
      <c r="E99" s="8" t="inlineStr"/>
      <c r="F99" s="8" t="inlineStr">
        <is>
          <t>TR3(d)</t>
        </is>
      </c>
      <c r="G99" s="8" t="inlineStr">
        <is>
          <t>Data source and limitations</t>
        </is>
      </c>
      <c r="H99" s="53">
        <f>IFERROR(IF(INDEX('Faculties'!$P$10:$P$19,MATCH($F99,'Faculties'!$B$10:$B$19,0))="","Cell will autofill based on response",INDEX('Faculties'!$P$10:$P$19,MATCH($F99,'Faculties'!$B$10:$B$19,0))),"N/A")</f>
        <v/>
      </c>
      <c r="I99" s="53">
        <f>IFERROR(IF(INDEX('Faculties'!$P$26:$P$35,MATCH($F99,'Faculties'!$B$26:$B$35,0))="","Cell will autofill based on response",INDEX('Faculties'!$P$26:$P$35,MATCH($F99,'Faculties'!$B$26:$B$35,0))),"N/A")</f>
        <v/>
      </c>
      <c r="J99" s="53">
        <f>IFERROR(IF(INDEX('Faculties'!$P$42:$P$51,MATCH($F99,'Faculties'!$B$42:$B$51,0))="","Cell will autofill based on response",INDEX('Faculties'!$P$42:$P$51,MATCH($F99,'Faculties'!$B$42:$B$51,0))),"N/A")</f>
        <v/>
      </c>
      <c r="K99" s="53">
        <f>IFERROR(IF(INDEX('Faculties'!$P$58:$P$67,MATCH($F99,'Faculties'!$B$58:$B$67,0))="","Cell will autofill based on response",INDEX('Faculties'!$P$58:$P$67,MATCH($F99,'Faculties'!$B$58:$B$67,0))),"N/A")</f>
        <v/>
      </c>
      <c r="L99" s="53">
        <f>IFERROR(IF(INDEX('CI&amp;S'!$P$10:$P$15,MATCH($F99,'CI&amp;S'!$B$10:$B$15,0))="","Cell will autofill based on response",INDEX('CI&amp;S'!$P$10:$P$15,MATCH($F99,'CI&amp;S'!$B$10:$B$15,0))),"N/A")</f>
        <v/>
      </c>
      <c r="M99" s="53">
        <f>IFERROR(IF(INDEX('CI&amp;S'!$P$22:$P$36,MATCH($F99,'CI&amp;S'!$B$22:$B$36,0))="","Cell will autofill based on response",INDEX('CI&amp;S'!$P$22:$P$36,MATCH($F99,'CI&amp;S'!$B$22:$B$36,0))),"N/A")</f>
        <v/>
      </c>
      <c r="N99" s="53">
        <f>IFERROR(IF(INDEX('CFOG'!$P$10:$P$16,MATCH($F99,'CFOG'!$B$10:$B$16,0))="","Cell will autofill based on response",INDEX('CFOG'!$P$10:$P$16,MATCH($F99,'CFOG'!$B$10:$B$16,0))),"N/A")</f>
        <v/>
      </c>
      <c r="O99" s="53">
        <f>IFERROR(IF(INDEX('CFOG'!$P$23:$P$24,MATCH($F99,'CFOG'!$B$23:$B$24,0))="","Cell will autofill based on response",INDEX('CFOG'!$P$23:$P$24,MATCH($F99,'CFOG'!$B$23:$B$24,0))),"N/A")</f>
        <v/>
      </c>
      <c r="P99" s="53">
        <f>IFERROR(IF(INDEX('ESG'!$P$10:$P$17,MATCH($F99,'ESG'!$B$10:$B$17,0))="","Cell will autofill based on response",INDEX('ESG'!$P$10:$P$17,MATCH($F99,'ESG'!$B$10:$B$17,0))),"N/A")</f>
        <v/>
      </c>
      <c r="Q99" s="53">
        <f>IFERROR(IF(INDEX('CIOG'!$P$10:$P$14,MATCH($F99,'CIOG'!$B$10:$B$14,0))="","Cell will autofill based on response",INDEX('CIOG'!$P$10:$P$14,MATCH($F99,'CIOG'!$B$10:$B$14,0))),"N/A")</f>
        <v/>
      </c>
      <c r="R99" s="53">
        <f>IFERROR(IF(INDEX('MRE'!$P$10:$P$18,MATCH($F99,'MRE'!$B$10:$B$18,0))="","Cell will autofill based on response",INDEX('MRE'!$P$10:$P$18,MATCH($F99,'MRE'!$B$10:$B$18,0))),"N/A")</f>
        <v/>
      </c>
      <c r="S99" s="53">
        <f>IFERROR(IF(INDEX('AC&amp;M'!$P$10:$P$14,MATCH($F99,'AC&amp;M'!$B$10:$B$14,0))="","Cell will autofill based on response",INDEX('AC&amp;M'!$P$10:$P$14,MATCH($F99,'AC&amp;M'!$B$10:$B$14,0))),"N/A")</f>
        <v/>
      </c>
      <c r="T99" s="53">
        <f>IFERROR(IF(INDEX('GCE'!$P$10:$P$12,MATCH($F99,'GCE'!$B$10:$B$12,0))="","Cell will autofill based on response",INDEX('GCE'!$P$10:$P$12,MATCH($F99,'GCE'!$B$10:$B$12,0))),"N/A")</f>
        <v/>
      </c>
      <c r="U99" s="53">
        <f>IFERROR(IF(INDEX('Education'!$P$10:$P$13,MATCH($F99,'Education'!$B$10:$B$13,0))="","Cell will autofill based on response",INDEX('Education'!$P$10:$P$13,MATCH($F99,'Education'!$B$10:$B$13,0))),"N/A")</f>
        <v/>
      </c>
      <c r="V99" s="53">
        <f>IFERROR(IF(INDEX('SaSS'!$P$10:$P$12,MATCH($F99,'SaSS'!$B$10:$B$12,0))="","Cell will autofill based on response",INDEX('SaSS'!$P$10:$P$12,MATCH($F99,'SaSS'!$B$10:$B$12,0))),"N/A")</f>
        <v/>
      </c>
      <c r="W99" s="53">
        <f>IFERROR(IF(INDEX('Indigenous'!$P$10:$P$11,MATCH($F99,'Indigenous'!$B$10:$B$11,0))="","Cell will autofill based on response",INDEX('Indigenous'!$P$10:$P$11,MATCH($F99,'Indigenous'!$B$10:$B$11,0))),"N/A")</f>
        <v/>
      </c>
      <c r="X99" s="53">
        <f>IFERROR(IF(INDEX('L&amp;R'!$P$10:$P$11,MATCH($F99,'L&amp;R'!$B$10:$B$11,0))="","Cell will autofill based on response",INDEX('L&amp;R'!$P$10:$P$11,MATCH($F99,'L&amp;R'!$B$10:$B$11,0))),"N/A")</f>
        <v/>
      </c>
    </row>
    <row r="100">
      <c r="A100">
        <f>F100&amp;"|"&amp;G100</f>
        <v/>
      </c>
      <c r="B100" s="13" t="inlineStr"/>
      <c r="C100" s="8" t="inlineStr"/>
      <c r="D100" s="8" t="inlineStr"/>
      <c r="E100" s="8" t="inlineStr"/>
      <c r="F100" s="8" t="inlineStr">
        <is>
          <t>TR3(d)</t>
        </is>
      </c>
      <c r="G100" s="8" t="inlineStr">
        <is>
          <t>Data owner confirms</t>
        </is>
      </c>
      <c r="H100" s="53">
        <f>IFERROR(IF(INDEX('Faculties'!$Q$10:$Q$19,MATCH($F100,'Faculties'!$B$10:$B$19,0))="","Cell will autofill based on response",INDEX('Faculties'!$Q$10:$Q$19,MATCH($F100,'Faculties'!$B$10:$B$19,0))),"N/A")</f>
        <v/>
      </c>
      <c r="I100" s="53">
        <f>IFERROR(IF(INDEX('Faculties'!$Q$26:$Q$35,MATCH($F100,'Faculties'!$B$26:$B$35,0))="","Cell will autofill based on response",INDEX('Faculties'!$Q$26:$Q$35,MATCH($F100,'Faculties'!$B$26:$B$35,0))),"N/A")</f>
        <v/>
      </c>
      <c r="J100" s="53">
        <f>IFERROR(IF(INDEX('Faculties'!$Q$42:$Q$51,MATCH($F100,'Faculties'!$B$42:$B$51,0))="","Cell will autofill based on response",INDEX('Faculties'!$Q$42:$Q$51,MATCH($F100,'Faculties'!$B$42:$B$51,0))),"N/A")</f>
        <v/>
      </c>
      <c r="K100" s="53">
        <f>IFERROR(IF(INDEX('Faculties'!$Q$58:$Q$67,MATCH($F100,'Faculties'!$B$58:$B$67,0))="","Cell will autofill based on response",INDEX('Faculties'!$Q$58:$Q$67,MATCH($F100,'Faculties'!$B$58:$B$67,0))),"N/A")</f>
        <v/>
      </c>
      <c r="L100" s="53">
        <f>IFERROR(IF(INDEX('CI&amp;S'!$Q$10:$Q$15,MATCH($F100,'CI&amp;S'!$B$10:$B$15,0))="","Cell will autofill based on response",INDEX('CI&amp;S'!$Q$10:$Q$15,MATCH($F100,'CI&amp;S'!$B$10:$B$15,0))),"N/A")</f>
        <v/>
      </c>
      <c r="M100" s="53">
        <f>IFERROR(IF(INDEX('CI&amp;S'!$Q$22:$Q$36,MATCH($F100,'CI&amp;S'!$B$22:$B$36,0))="","Cell will autofill based on response",INDEX('CI&amp;S'!$Q$22:$Q$36,MATCH($F100,'CI&amp;S'!$B$22:$B$36,0))),"N/A")</f>
        <v/>
      </c>
      <c r="N100" s="53">
        <f>IFERROR(IF(INDEX('CFOG'!$Q$10:$Q$16,MATCH($F100,'CFOG'!$B$10:$B$16,0))="","Cell will autofill based on response",INDEX('CFOG'!$Q$10:$Q$16,MATCH($F100,'CFOG'!$B$10:$B$16,0))),"N/A")</f>
        <v/>
      </c>
      <c r="O100" s="53">
        <f>IFERROR(IF(INDEX('CFOG'!$Q$23:$Q$24,MATCH($F100,'CFOG'!$B$23:$B$24,0))="","Cell will autofill based on response",INDEX('CFOG'!$Q$23:$Q$24,MATCH($F100,'CFOG'!$B$23:$B$24,0))),"N/A")</f>
        <v/>
      </c>
      <c r="P100" s="53">
        <f>IFERROR(IF(INDEX('ESG'!$Q$10:$Q$17,MATCH($F100,'ESG'!$B$10:$B$17,0))="","Cell will autofill based on response",INDEX('ESG'!$Q$10:$Q$17,MATCH($F100,'ESG'!$B$10:$B$17,0))),"N/A")</f>
        <v/>
      </c>
      <c r="Q100" s="53">
        <f>IFERROR(IF(INDEX('CIOG'!$Q$10:$Q$14,MATCH($F100,'CIOG'!$B$10:$B$14,0))="","Cell will autofill based on response",INDEX('CIOG'!$Q$10:$Q$14,MATCH($F100,'CIOG'!$B$10:$B$14,0))),"N/A")</f>
        <v/>
      </c>
      <c r="R100" s="53">
        <f>IFERROR(IF(INDEX('MRE'!$Q$10:$Q$18,MATCH($F100,'MRE'!$B$10:$B$18,0))="","Cell will autofill based on response",INDEX('MRE'!$Q$10:$Q$18,MATCH($F100,'MRE'!$B$10:$B$18,0))),"N/A")</f>
        <v/>
      </c>
      <c r="S100" s="53">
        <f>IFERROR(IF(INDEX('AC&amp;M'!$Q$10:$Q$14,MATCH($F100,'AC&amp;M'!$B$10:$B$14,0))="","Cell will autofill based on response",INDEX('AC&amp;M'!$Q$10:$Q$14,MATCH($F100,'AC&amp;M'!$B$10:$B$14,0))),"N/A")</f>
        <v/>
      </c>
      <c r="T100" s="53">
        <f>IFERROR(IF(INDEX('GCE'!$Q$10:$Q$12,MATCH($F100,'GCE'!$B$10:$B$12,0))="","Cell will autofill based on response",INDEX('GCE'!$Q$10:$Q$12,MATCH($F100,'GCE'!$B$10:$B$12,0))),"N/A")</f>
        <v/>
      </c>
      <c r="U100" s="53">
        <f>IFERROR(IF(INDEX('Education'!$Q$10:$Q$13,MATCH($F100,'Education'!$B$10:$B$13,0))="","Cell will autofill based on response",INDEX('Education'!$Q$10:$Q$13,MATCH($F100,'Education'!$B$10:$B$13,0))),"N/A")</f>
        <v/>
      </c>
      <c r="V100" s="53">
        <f>IFERROR(IF(INDEX('SaSS'!$Q$10:$Q$12,MATCH($F100,'SaSS'!$B$10:$B$12,0))="","Cell will autofill based on response",INDEX('SaSS'!$Q$10:$Q$12,MATCH($F100,'SaSS'!$B$10:$B$12,0))),"N/A")</f>
        <v/>
      </c>
      <c r="W100" s="53">
        <f>IFERROR(IF(INDEX('Indigenous'!$Q$10:$Q$11,MATCH($F100,'Indigenous'!$B$10:$B$11,0))="","Cell will autofill based on response",INDEX('Indigenous'!$Q$10:$Q$11,MATCH($F100,'Indigenous'!$B$10:$B$11,0))),"N/A")</f>
        <v/>
      </c>
      <c r="X100" s="53">
        <f>IFERROR(IF(INDEX('L&amp;R'!$Q$10:$Q$11,MATCH($F100,'L&amp;R'!$B$10:$B$11,0))="","Cell will autofill based on response",INDEX('L&amp;R'!$Q$10:$Q$11,MATCH($F100,'L&amp;R'!$B$10:$B$11,0))),"N/A")</f>
        <v/>
      </c>
    </row>
    <row r="101">
      <c r="A101">
        <f>F101&amp;"|"&amp;G101</f>
        <v/>
      </c>
      <c r="B101" s="7" t="inlineStr">
        <is>
          <t>CL1(c)</t>
        </is>
      </c>
      <c r="C101" s="51" t="inlineStr">
        <is>
          <t>Climate leadership</t>
        </is>
      </c>
      <c r="D101" s="51" t="inlineStr">
        <is>
          <t>Review of Climate Leadership targets by 2030.[2]</t>
        </is>
      </c>
      <c r="E101" s="51" t="inlineStr"/>
      <c r="F101" s="51" t="inlineStr">
        <is>
          <t>CL1(c)</t>
        </is>
      </c>
      <c r="G101" s="51" t="inlineStr">
        <is>
          <t>Confirm end-2026 target status</t>
        </is>
      </c>
      <c r="H101" s="53">
        <f>IFERROR(IF(INDEX('Faculties'!$L$10:$L$19,MATCH($F101,'Faculties'!$B$10:$B$19,0))="","Cell will autofill based on response",INDEX('Faculties'!$L$10:$L$19,MATCH($F101,'Faculties'!$B$10:$B$19,0))),"N/A")</f>
        <v/>
      </c>
      <c r="I101" s="53">
        <f>IFERROR(IF(INDEX('Faculties'!$L$26:$L$35,MATCH($F101,'Faculties'!$B$26:$B$35,0))="","Cell will autofill based on response",INDEX('Faculties'!$L$26:$L$35,MATCH($F101,'Faculties'!$B$26:$B$35,0))),"N/A")</f>
        <v/>
      </c>
      <c r="J101" s="53">
        <f>IFERROR(IF(INDEX('Faculties'!$L$42:$L$51,MATCH($F101,'Faculties'!$B$42:$B$51,0))="","Cell will autofill based on response",INDEX('Faculties'!$L$42:$L$51,MATCH($F101,'Faculties'!$B$42:$B$51,0))),"N/A")</f>
        <v/>
      </c>
      <c r="K101" s="53">
        <f>IFERROR(IF(INDEX('Faculties'!$L$58:$L$67,MATCH($F101,'Faculties'!$B$58:$B$67,0))="","Cell will autofill based on response",INDEX('Faculties'!$L$58:$L$67,MATCH($F101,'Faculties'!$B$58:$B$67,0))),"N/A")</f>
        <v/>
      </c>
      <c r="L101" s="53">
        <f>IFERROR(IF(INDEX('CI&amp;S'!$L$10:$L$15,MATCH($F101,'CI&amp;S'!$B$10:$B$15,0))="","Cell will autofill based on response",INDEX('CI&amp;S'!$L$10:$L$15,MATCH($F101,'CI&amp;S'!$B$10:$B$15,0))),"N/A")</f>
        <v/>
      </c>
      <c r="M101" s="53">
        <f>IFERROR(IF(INDEX('CI&amp;S'!$L$22:$L$36,MATCH($F101,'CI&amp;S'!$B$22:$B$36,0))="","Cell will autofill based on response",INDEX('CI&amp;S'!$L$22:$L$36,MATCH($F101,'CI&amp;S'!$B$22:$B$36,0))),"N/A")</f>
        <v/>
      </c>
      <c r="N101" s="53">
        <f>IFERROR(IF(INDEX('CFOG'!$L$10:$L$16,MATCH($F101,'CFOG'!$B$10:$B$16,0))="","Cell will autofill based on response",INDEX('CFOG'!$L$10:$L$16,MATCH($F101,'CFOG'!$B$10:$B$16,0))),"N/A")</f>
        <v/>
      </c>
      <c r="O101" s="53">
        <f>IFERROR(IF(INDEX('CFOG'!$L$23:$L$24,MATCH($F101,'CFOG'!$B$23:$B$24,0))="","Cell will autofill based on response",INDEX('CFOG'!$L$23:$L$24,MATCH($F101,'CFOG'!$B$23:$B$24,0))),"N/A")</f>
        <v/>
      </c>
      <c r="P101" s="53">
        <f>IFERROR(IF(INDEX('ESG'!$L$10:$L$17,MATCH($F101,'ESG'!$B$10:$B$17,0))="","Cell will autofill based on response",INDEX('ESG'!$L$10:$L$17,MATCH($F101,'ESG'!$B$10:$B$17,0))),"N/A")</f>
        <v/>
      </c>
      <c r="Q101" s="53">
        <f>IFERROR(IF(INDEX('CIOG'!$L$10:$L$14,MATCH($F101,'CIOG'!$B$10:$B$14,0))="","Cell will autofill based on response",INDEX('CIOG'!$L$10:$L$14,MATCH($F101,'CIOG'!$B$10:$B$14,0))),"N/A")</f>
        <v/>
      </c>
      <c r="R101" s="53">
        <f>IFERROR(IF(INDEX('MRE'!$L$10:$L$18,MATCH($F101,'MRE'!$B$10:$B$18,0))="","Cell will autofill based on response",INDEX('MRE'!$L$10:$L$18,MATCH($F101,'MRE'!$B$10:$B$18,0))),"N/A")</f>
        <v/>
      </c>
      <c r="S101" s="53">
        <f>IFERROR(IF(INDEX('AC&amp;M'!$L$10:$L$14,MATCH($F101,'AC&amp;M'!$B$10:$B$14,0))="","Cell will autofill based on response",INDEX('AC&amp;M'!$L$10:$L$14,MATCH($F101,'AC&amp;M'!$B$10:$B$14,0))),"N/A")</f>
        <v/>
      </c>
      <c r="T101" s="53">
        <f>IFERROR(IF(INDEX('GCE'!$L$10:$L$12,MATCH($F101,'GCE'!$B$10:$B$12,0))="","Cell will autofill based on response",INDEX('GCE'!$L$10:$L$12,MATCH($F101,'GCE'!$B$10:$B$12,0))),"N/A")</f>
        <v/>
      </c>
      <c r="U101" s="53">
        <f>IFERROR(IF(INDEX('Education'!$L$10:$L$13,MATCH($F101,'Education'!$B$10:$B$13,0))="","Cell will autofill based on response",INDEX('Education'!$L$10:$L$13,MATCH($F101,'Education'!$B$10:$B$13,0))),"N/A")</f>
        <v/>
      </c>
      <c r="V101" s="53">
        <f>IFERROR(IF(INDEX('SaSS'!$L$10:$L$12,MATCH($F101,'SaSS'!$B$10:$B$12,0))="","Cell will autofill based on response",INDEX('SaSS'!$L$10:$L$12,MATCH($F101,'SaSS'!$B$10:$B$12,0))),"N/A")</f>
        <v/>
      </c>
      <c r="W101" s="53">
        <f>IFERROR(IF(INDEX('Indigenous'!$L$10:$L$11,MATCH($F101,'Indigenous'!$B$10:$B$11,0))="","Cell will autofill based on response",INDEX('Indigenous'!$L$10:$L$11,MATCH($F101,'Indigenous'!$B$10:$B$11,0))),"N/A")</f>
        <v/>
      </c>
      <c r="X101" s="53">
        <f>IFERROR(IF(INDEX('L&amp;R'!$L$10:$L$11,MATCH($F101,'L&amp;R'!$B$10:$B$11,0))="","Cell will autofill based on response",INDEX('L&amp;R'!$L$10:$L$11,MATCH($F101,'L&amp;R'!$B$10:$B$11,0))),"N/A")</f>
        <v/>
      </c>
      <c r="Z101" s="10">
        <f>COUNTIF($H101:$X101,"Cell will autofill based on response")</f>
        <v/>
      </c>
      <c r="AA101" s="10">
        <f>COUNTIF($H101:$X101,"Not yet started")</f>
        <v/>
      </c>
      <c r="AB101" s="10">
        <f>COUNTIF($H101:$X101,"Not met")</f>
        <v/>
      </c>
      <c r="AC101" s="10">
        <f>COUNTIF($H101:$X101,"Partially met")</f>
        <v/>
      </c>
      <c r="AD101" s="10">
        <f>COUNTIF($H101:$X101,"Met or exceeded")</f>
        <v/>
      </c>
      <c r="AE101" s="10">
        <f>3*AD101+2*AC101+AB101</f>
        <v/>
      </c>
      <c r="AF101" s="10">
        <f>AD101+AC101+AB101+AA101</f>
        <v/>
      </c>
      <c r="AG101" s="54">
        <f>IF(AF101&gt;0,AE101/AF101,"No valid responses to date")</f>
        <v/>
      </c>
      <c r="AH101" s="10">
        <f>IF(ISNUMBER(AG101),INDEX(Lists!$G$2:$G$5,MATCH(ROUND(AG101,0),Lists!$H$2:$H$5,0)),"")</f>
        <v/>
      </c>
      <c r="AI101" s="55">
        <f>IF(AF101&gt;0,AD101/AF101,"")</f>
        <v/>
      </c>
      <c r="AJ101" s="55">
        <f>IF(AF101&gt;0,(AD101+AC101)/AF101,"")</f>
        <v/>
      </c>
      <c r="AK101" s="10">
        <f>IF(AF101=0,"",IF(AI101&gt;0.75,"Met or exceeded",IF(AJ101&gt;=0.5,"Partially met","Not met")))</f>
        <v/>
      </c>
    </row>
    <row r="102">
      <c r="A102">
        <f>F102&amp;"|"&amp;G102</f>
        <v/>
      </c>
      <c r="B102" s="13" t="inlineStr"/>
      <c r="C102" s="8" t="inlineStr"/>
      <c r="D102" s="8" t="inlineStr"/>
      <c r="E102" s="8" t="inlineStr"/>
      <c r="F102" s="8" t="inlineStr">
        <is>
          <t>CL1(c)</t>
        </is>
      </c>
      <c r="G102" s="8" t="inlineStr">
        <is>
          <t>OPTION 1:  Target-level reporting</t>
        </is>
      </c>
      <c r="H102" s="53">
        <f>IFERROR(IF(INDEX('Faculties'!$M$10:$M$19,MATCH($F102,'Faculties'!$B$10:$B$19,0))="","Cell will autofill based on response",INDEX('Faculties'!$M$10:$M$19,MATCH($F102,'Faculties'!$B$10:$B$19,0))),"N/A")</f>
        <v/>
      </c>
      <c r="I102" s="53">
        <f>IFERROR(IF(INDEX('Faculties'!$M$26:$M$35,MATCH($F102,'Faculties'!$B$26:$B$35,0))="","Cell will autofill based on response",INDEX('Faculties'!$M$26:$M$35,MATCH($F102,'Faculties'!$B$26:$B$35,0))),"N/A")</f>
        <v/>
      </c>
      <c r="J102" s="53">
        <f>IFERROR(IF(INDEX('Faculties'!$M$42:$M$51,MATCH($F102,'Faculties'!$B$42:$B$51,0))="","Cell will autofill based on response",INDEX('Faculties'!$M$42:$M$51,MATCH($F102,'Faculties'!$B$42:$B$51,0))),"N/A")</f>
        <v/>
      </c>
      <c r="K102" s="53">
        <f>IFERROR(IF(INDEX('Faculties'!$M$58:$M$67,MATCH($F102,'Faculties'!$B$58:$B$67,0))="","Cell will autofill based on response",INDEX('Faculties'!$M$58:$M$67,MATCH($F102,'Faculties'!$B$58:$B$67,0))),"N/A")</f>
        <v/>
      </c>
      <c r="L102" s="53">
        <f>IFERROR(IF(INDEX('CI&amp;S'!$M$10:$M$15,MATCH($F102,'CI&amp;S'!$B$10:$B$15,0))="","Cell will autofill based on response",INDEX('CI&amp;S'!$M$10:$M$15,MATCH($F102,'CI&amp;S'!$B$10:$B$15,0))),"N/A")</f>
        <v/>
      </c>
      <c r="M102" s="53">
        <f>IFERROR(IF(INDEX('CI&amp;S'!$M$22:$M$36,MATCH($F102,'CI&amp;S'!$B$22:$B$36,0))="","Cell will autofill based on response",INDEX('CI&amp;S'!$M$22:$M$36,MATCH($F102,'CI&amp;S'!$B$22:$B$36,0))),"N/A")</f>
        <v/>
      </c>
      <c r="N102" s="53">
        <f>IFERROR(IF(INDEX('CFOG'!$M$10:$M$16,MATCH($F102,'CFOG'!$B$10:$B$16,0))="","Cell will autofill based on response",INDEX('CFOG'!$M$10:$M$16,MATCH($F102,'CFOG'!$B$10:$B$16,0))),"N/A")</f>
        <v/>
      </c>
      <c r="O102" s="53">
        <f>IFERROR(IF(INDEX('CFOG'!$M$23:$M$24,MATCH($F102,'CFOG'!$B$23:$B$24,0))="","Cell will autofill based on response",INDEX('CFOG'!$M$23:$M$24,MATCH($F102,'CFOG'!$B$23:$B$24,0))),"N/A")</f>
        <v/>
      </c>
      <c r="P102" s="53">
        <f>IFERROR(IF(INDEX('ESG'!$M$10:$M$17,MATCH($F102,'ESG'!$B$10:$B$17,0))="","Cell will autofill based on response",INDEX('ESG'!$M$10:$M$17,MATCH($F102,'ESG'!$B$10:$B$17,0))),"N/A")</f>
        <v/>
      </c>
      <c r="Q102" s="53">
        <f>IFERROR(IF(INDEX('CIOG'!$M$10:$M$14,MATCH($F102,'CIOG'!$B$10:$B$14,0))="","Cell will autofill based on response",INDEX('CIOG'!$M$10:$M$14,MATCH($F102,'CIOG'!$B$10:$B$14,0))),"N/A")</f>
        <v/>
      </c>
      <c r="R102" s="53">
        <f>IFERROR(IF(INDEX('MRE'!$M$10:$M$18,MATCH($F102,'MRE'!$B$10:$B$18,0))="","Cell will autofill based on response",INDEX('MRE'!$M$10:$M$18,MATCH($F102,'MRE'!$B$10:$B$18,0))),"N/A")</f>
        <v/>
      </c>
      <c r="S102" s="53">
        <f>IFERROR(IF(INDEX('AC&amp;M'!$M$10:$M$14,MATCH($F102,'AC&amp;M'!$B$10:$B$14,0))="","Cell will autofill based on response",INDEX('AC&amp;M'!$M$10:$M$14,MATCH($F102,'AC&amp;M'!$B$10:$B$14,0))),"N/A")</f>
        <v/>
      </c>
      <c r="T102" s="53">
        <f>IFERROR(IF(INDEX('GCE'!$M$10:$M$12,MATCH($F102,'GCE'!$B$10:$B$12,0))="","Cell will autofill based on response",INDEX('GCE'!$M$10:$M$12,MATCH($F102,'GCE'!$B$10:$B$12,0))),"N/A")</f>
        <v/>
      </c>
      <c r="U102" s="53">
        <f>IFERROR(IF(INDEX('Education'!$M$10:$M$13,MATCH($F102,'Education'!$B$10:$B$13,0))="","Cell will autofill based on response",INDEX('Education'!$M$10:$M$13,MATCH($F102,'Education'!$B$10:$B$13,0))),"N/A")</f>
        <v/>
      </c>
      <c r="V102" s="53">
        <f>IFERROR(IF(INDEX('SaSS'!$M$10:$M$12,MATCH($F102,'SaSS'!$B$10:$B$12,0))="","Cell will autofill based on response",INDEX('SaSS'!$M$10:$M$12,MATCH($F102,'SaSS'!$B$10:$B$12,0))),"N/A")</f>
        <v/>
      </c>
      <c r="W102" s="53">
        <f>IFERROR(IF(INDEX('Indigenous'!$M$10:$M$11,MATCH($F102,'Indigenous'!$B$10:$B$11,0))="","Cell will autofill based on response",INDEX('Indigenous'!$M$10:$M$11,MATCH($F102,'Indigenous'!$B$10:$B$11,0))),"N/A")</f>
        <v/>
      </c>
      <c r="X102" s="53">
        <f>IFERROR(IF(INDEX('L&amp;R'!$M$10:$M$11,MATCH($F102,'L&amp;R'!$B$10:$B$11,0))="","Cell will autofill based on response",INDEX('L&amp;R'!$M$10:$M$11,MATCH($F102,'L&amp;R'!$B$10:$B$11,0))),"N/A")</f>
        <v/>
      </c>
    </row>
    <row r="103">
      <c r="A103">
        <f>F103&amp;"|"&amp;G103</f>
        <v/>
      </c>
      <c r="B103" s="13" t="inlineStr"/>
      <c r="C103" s="8" t="inlineStr"/>
      <c r="D103" s="8" t="inlineStr"/>
      <c r="E103" s="8" t="inlineStr"/>
      <c r="F103" s="8" t="inlineStr">
        <is>
          <t>CL1(c)</t>
        </is>
      </c>
      <c r="G103" s="8" t="inlineStr">
        <is>
          <t>OPTION 2:  Indicator level reporting</t>
        </is>
      </c>
      <c r="H103" s="53">
        <f>IFERROR(IF(INDEX('Faculties'!$N$10:$N$19,MATCH($F103,'Faculties'!$B$10:$B$19,0))="","Cell will autofill based on response",INDEX('Faculties'!$N$10:$N$19,MATCH($F103,'Faculties'!$B$10:$B$19,0))),"N/A")</f>
        <v/>
      </c>
      <c r="I103" s="53">
        <f>IFERROR(IF(INDEX('Faculties'!$N$26:$N$35,MATCH($F103,'Faculties'!$B$26:$B$35,0))="","Cell will autofill based on response",INDEX('Faculties'!$N$26:$N$35,MATCH($F103,'Faculties'!$B$26:$B$35,0))),"N/A")</f>
        <v/>
      </c>
      <c r="J103" s="53">
        <f>IFERROR(IF(INDEX('Faculties'!$N$42:$N$51,MATCH($F103,'Faculties'!$B$42:$B$51,0))="","Cell will autofill based on response",INDEX('Faculties'!$N$42:$N$51,MATCH($F103,'Faculties'!$B$42:$B$51,0))),"N/A")</f>
        <v/>
      </c>
      <c r="K103" s="53">
        <f>IFERROR(IF(INDEX('Faculties'!$N$58:$N$67,MATCH($F103,'Faculties'!$B$58:$B$67,0))="","Cell will autofill based on response",INDEX('Faculties'!$N$58:$N$67,MATCH($F103,'Faculties'!$B$58:$B$67,0))),"N/A")</f>
        <v/>
      </c>
      <c r="L103" s="53">
        <f>IFERROR(IF(INDEX('CI&amp;S'!$N$10:$N$15,MATCH($F103,'CI&amp;S'!$B$10:$B$15,0))="","Cell will autofill based on response",INDEX('CI&amp;S'!$N$10:$N$15,MATCH($F103,'CI&amp;S'!$B$10:$B$15,0))),"N/A")</f>
        <v/>
      </c>
      <c r="M103" s="53">
        <f>IFERROR(IF(INDEX('CI&amp;S'!$N$22:$N$36,MATCH($F103,'CI&amp;S'!$B$22:$B$36,0))="","Cell will autofill based on response",INDEX('CI&amp;S'!$N$22:$N$36,MATCH($F103,'CI&amp;S'!$B$22:$B$36,0))),"N/A")</f>
        <v/>
      </c>
      <c r="N103" s="53">
        <f>IFERROR(IF(INDEX('CFOG'!$N$10:$N$16,MATCH($F103,'CFOG'!$B$10:$B$16,0))="","Cell will autofill based on response",INDEX('CFOG'!$N$10:$N$16,MATCH($F103,'CFOG'!$B$10:$B$16,0))),"N/A")</f>
        <v/>
      </c>
      <c r="O103" s="53">
        <f>IFERROR(IF(INDEX('CFOG'!$N$23:$N$24,MATCH($F103,'CFOG'!$B$23:$B$24,0))="","Cell will autofill based on response",INDEX('CFOG'!$N$23:$N$24,MATCH($F103,'CFOG'!$B$23:$B$24,0))),"N/A")</f>
        <v/>
      </c>
      <c r="P103" s="53">
        <f>IFERROR(IF(INDEX('ESG'!$N$10:$N$17,MATCH($F103,'ESG'!$B$10:$B$17,0))="","Cell will autofill based on response",INDEX('ESG'!$N$10:$N$17,MATCH($F103,'ESG'!$B$10:$B$17,0))),"N/A")</f>
        <v/>
      </c>
      <c r="Q103" s="53">
        <f>IFERROR(IF(INDEX('CIOG'!$N$10:$N$14,MATCH($F103,'CIOG'!$B$10:$B$14,0))="","Cell will autofill based on response",INDEX('CIOG'!$N$10:$N$14,MATCH($F103,'CIOG'!$B$10:$B$14,0))),"N/A")</f>
        <v/>
      </c>
      <c r="R103" s="53">
        <f>IFERROR(IF(INDEX('MRE'!$N$10:$N$18,MATCH($F103,'MRE'!$B$10:$B$18,0))="","Cell will autofill based on response",INDEX('MRE'!$N$10:$N$18,MATCH($F103,'MRE'!$B$10:$B$18,0))),"N/A")</f>
        <v/>
      </c>
      <c r="S103" s="53">
        <f>IFERROR(IF(INDEX('AC&amp;M'!$N$10:$N$14,MATCH($F103,'AC&amp;M'!$B$10:$B$14,0))="","Cell will autofill based on response",INDEX('AC&amp;M'!$N$10:$N$14,MATCH($F103,'AC&amp;M'!$B$10:$B$14,0))),"N/A")</f>
        <v/>
      </c>
      <c r="T103" s="53">
        <f>IFERROR(IF(INDEX('GCE'!$N$10:$N$12,MATCH($F103,'GCE'!$B$10:$B$12,0))="","Cell will autofill based on response",INDEX('GCE'!$N$10:$N$12,MATCH($F103,'GCE'!$B$10:$B$12,0))),"N/A")</f>
        <v/>
      </c>
      <c r="U103" s="53">
        <f>IFERROR(IF(INDEX('Education'!$N$10:$N$13,MATCH($F103,'Education'!$B$10:$B$13,0))="","Cell will autofill based on response",INDEX('Education'!$N$10:$N$13,MATCH($F103,'Education'!$B$10:$B$13,0))),"N/A")</f>
        <v/>
      </c>
      <c r="V103" s="53">
        <f>IFERROR(IF(INDEX('SaSS'!$N$10:$N$12,MATCH($F103,'SaSS'!$B$10:$B$12,0))="","Cell will autofill based on response",INDEX('SaSS'!$N$10:$N$12,MATCH($F103,'SaSS'!$B$10:$B$12,0))),"N/A")</f>
        <v/>
      </c>
      <c r="W103" s="53">
        <f>IFERROR(IF(INDEX('Indigenous'!$N$10:$N$11,MATCH($F103,'Indigenous'!$B$10:$B$11,0))="","Cell will autofill based on response",INDEX('Indigenous'!$N$10:$N$11,MATCH($F103,'Indigenous'!$B$10:$B$11,0))),"N/A")</f>
        <v/>
      </c>
      <c r="X103" s="53">
        <f>IFERROR(IF(INDEX('L&amp;R'!$N$10:$N$11,MATCH($F103,'L&amp;R'!$B$10:$B$11,0))="","Cell will autofill based on response",INDEX('L&amp;R'!$N$10:$N$11,MATCH($F103,'L&amp;R'!$B$10:$B$11,0))),"N/A")</f>
        <v/>
      </c>
    </row>
    <row r="104">
      <c r="A104">
        <f>F104&amp;"|"&amp;G104</f>
        <v/>
      </c>
      <c r="B104" s="13" t="inlineStr"/>
      <c r="C104" s="8" t="inlineStr"/>
      <c r="D104" s="8" t="inlineStr"/>
      <c r="E104" s="8" t="inlineStr"/>
      <c r="F104" s="8" t="inlineStr">
        <is>
          <t>CL1(c)</t>
        </is>
      </c>
      <c r="G104" s="8" t="inlineStr">
        <is>
          <t>Supporting information/comments</t>
        </is>
      </c>
      <c r="H104" s="53">
        <f>IFERROR(IF(INDEX('Faculties'!$O$10:$O$19,MATCH($F104,'Faculties'!$B$10:$B$19,0))="","Cell will autofill based on response",INDEX('Faculties'!$O$10:$O$19,MATCH($F104,'Faculties'!$B$10:$B$19,0))),"N/A")</f>
        <v/>
      </c>
      <c r="I104" s="53">
        <f>IFERROR(IF(INDEX('Faculties'!$O$26:$O$35,MATCH($F104,'Faculties'!$B$26:$B$35,0))="","Cell will autofill based on response",INDEX('Faculties'!$O$26:$O$35,MATCH($F104,'Faculties'!$B$26:$B$35,0))),"N/A")</f>
        <v/>
      </c>
      <c r="J104" s="53">
        <f>IFERROR(IF(INDEX('Faculties'!$O$42:$O$51,MATCH($F104,'Faculties'!$B$42:$B$51,0))="","Cell will autofill based on response",INDEX('Faculties'!$O$42:$O$51,MATCH($F104,'Faculties'!$B$42:$B$51,0))),"N/A")</f>
        <v/>
      </c>
      <c r="K104" s="53">
        <f>IFERROR(IF(INDEX('Faculties'!$O$58:$O$67,MATCH($F104,'Faculties'!$B$58:$B$67,0))="","Cell will autofill based on response",INDEX('Faculties'!$O$58:$O$67,MATCH($F104,'Faculties'!$B$58:$B$67,0))),"N/A")</f>
        <v/>
      </c>
      <c r="L104" s="53">
        <f>IFERROR(IF(INDEX('CI&amp;S'!$O$10:$O$15,MATCH($F104,'CI&amp;S'!$B$10:$B$15,0))="","Cell will autofill based on response",INDEX('CI&amp;S'!$O$10:$O$15,MATCH($F104,'CI&amp;S'!$B$10:$B$15,0))),"N/A")</f>
        <v/>
      </c>
      <c r="M104" s="53">
        <f>IFERROR(IF(INDEX('CI&amp;S'!$O$22:$O$36,MATCH($F104,'CI&amp;S'!$B$22:$B$36,0))="","Cell will autofill based on response",INDEX('CI&amp;S'!$O$22:$O$36,MATCH($F104,'CI&amp;S'!$B$22:$B$36,0))),"N/A")</f>
        <v/>
      </c>
      <c r="N104" s="53">
        <f>IFERROR(IF(INDEX('CFOG'!$O$10:$O$16,MATCH($F104,'CFOG'!$B$10:$B$16,0))="","Cell will autofill based on response",INDEX('CFOG'!$O$10:$O$16,MATCH($F104,'CFOG'!$B$10:$B$16,0))),"N/A")</f>
        <v/>
      </c>
      <c r="O104" s="53">
        <f>IFERROR(IF(INDEX('CFOG'!$O$23:$O$24,MATCH($F104,'CFOG'!$B$23:$B$24,0))="","Cell will autofill based on response",INDEX('CFOG'!$O$23:$O$24,MATCH($F104,'CFOG'!$B$23:$B$24,0))),"N/A")</f>
        <v/>
      </c>
      <c r="P104" s="53">
        <f>IFERROR(IF(INDEX('ESG'!$O$10:$O$17,MATCH($F104,'ESG'!$B$10:$B$17,0))="","Cell will autofill based on response",INDEX('ESG'!$O$10:$O$17,MATCH($F104,'ESG'!$B$10:$B$17,0))),"N/A")</f>
        <v/>
      </c>
      <c r="Q104" s="53">
        <f>IFERROR(IF(INDEX('CIOG'!$O$10:$O$14,MATCH($F104,'CIOG'!$B$10:$B$14,0))="","Cell will autofill based on response",INDEX('CIOG'!$O$10:$O$14,MATCH($F104,'CIOG'!$B$10:$B$14,0))),"N/A")</f>
        <v/>
      </c>
      <c r="R104" s="53">
        <f>IFERROR(IF(INDEX('MRE'!$O$10:$O$18,MATCH($F104,'MRE'!$B$10:$B$18,0))="","Cell will autofill based on response",INDEX('MRE'!$O$10:$O$18,MATCH($F104,'MRE'!$B$10:$B$18,0))),"N/A")</f>
        <v/>
      </c>
      <c r="S104" s="53">
        <f>IFERROR(IF(INDEX('AC&amp;M'!$O$10:$O$14,MATCH($F104,'AC&amp;M'!$B$10:$B$14,0))="","Cell will autofill based on response",INDEX('AC&amp;M'!$O$10:$O$14,MATCH($F104,'AC&amp;M'!$B$10:$B$14,0))),"N/A")</f>
        <v/>
      </c>
      <c r="T104" s="53">
        <f>IFERROR(IF(INDEX('GCE'!$O$10:$O$12,MATCH($F104,'GCE'!$B$10:$B$12,0))="","Cell will autofill based on response",INDEX('GCE'!$O$10:$O$12,MATCH($F104,'GCE'!$B$10:$B$12,0))),"N/A")</f>
        <v/>
      </c>
      <c r="U104" s="53">
        <f>IFERROR(IF(INDEX('Education'!$O$10:$O$13,MATCH($F104,'Education'!$B$10:$B$13,0))="","Cell will autofill based on response",INDEX('Education'!$O$10:$O$13,MATCH($F104,'Education'!$B$10:$B$13,0))),"N/A")</f>
        <v/>
      </c>
      <c r="V104" s="53">
        <f>IFERROR(IF(INDEX('SaSS'!$O$10:$O$12,MATCH($F104,'SaSS'!$B$10:$B$12,0))="","Cell will autofill based on response",INDEX('SaSS'!$O$10:$O$12,MATCH($F104,'SaSS'!$B$10:$B$12,0))),"N/A")</f>
        <v/>
      </c>
      <c r="W104" s="53">
        <f>IFERROR(IF(INDEX('Indigenous'!$O$10:$O$11,MATCH($F104,'Indigenous'!$B$10:$B$11,0))="","Cell will autofill based on response",INDEX('Indigenous'!$O$10:$O$11,MATCH($F104,'Indigenous'!$B$10:$B$11,0))),"N/A")</f>
        <v/>
      </c>
      <c r="X104" s="53">
        <f>IFERROR(IF(INDEX('L&amp;R'!$O$10:$O$11,MATCH($F104,'L&amp;R'!$B$10:$B$11,0))="","Cell will autofill based on response",INDEX('L&amp;R'!$O$10:$O$11,MATCH($F104,'L&amp;R'!$B$10:$B$11,0))),"N/A")</f>
        <v/>
      </c>
    </row>
    <row r="105">
      <c r="A105">
        <f>F105&amp;"|"&amp;G105</f>
        <v/>
      </c>
      <c r="B105" s="13" t="inlineStr"/>
      <c r="C105" s="8" t="inlineStr"/>
      <c r="D105" s="8" t="inlineStr"/>
      <c r="E105" s="8" t="inlineStr"/>
      <c r="F105" s="8" t="inlineStr">
        <is>
          <t>CL1(c)</t>
        </is>
      </c>
      <c r="G105" s="8" t="inlineStr">
        <is>
          <t>Data source and limitations</t>
        </is>
      </c>
      <c r="H105" s="53">
        <f>IFERROR(IF(INDEX('Faculties'!$P$10:$P$19,MATCH($F105,'Faculties'!$B$10:$B$19,0))="","Cell will autofill based on response",INDEX('Faculties'!$P$10:$P$19,MATCH($F105,'Faculties'!$B$10:$B$19,0))),"N/A")</f>
        <v/>
      </c>
      <c r="I105" s="53">
        <f>IFERROR(IF(INDEX('Faculties'!$P$26:$P$35,MATCH($F105,'Faculties'!$B$26:$B$35,0))="","Cell will autofill based on response",INDEX('Faculties'!$P$26:$P$35,MATCH($F105,'Faculties'!$B$26:$B$35,0))),"N/A")</f>
        <v/>
      </c>
      <c r="J105" s="53">
        <f>IFERROR(IF(INDEX('Faculties'!$P$42:$P$51,MATCH($F105,'Faculties'!$B$42:$B$51,0))="","Cell will autofill based on response",INDEX('Faculties'!$P$42:$P$51,MATCH($F105,'Faculties'!$B$42:$B$51,0))),"N/A")</f>
        <v/>
      </c>
      <c r="K105" s="53">
        <f>IFERROR(IF(INDEX('Faculties'!$P$58:$P$67,MATCH($F105,'Faculties'!$B$58:$B$67,0))="","Cell will autofill based on response",INDEX('Faculties'!$P$58:$P$67,MATCH($F105,'Faculties'!$B$58:$B$67,0))),"N/A")</f>
        <v/>
      </c>
      <c r="L105" s="53">
        <f>IFERROR(IF(INDEX('CI&amp;S'!$P$10:$P$15,MATCH($F105,'CI&amp;S'!$B$10:$B$15,0))="","Cell will autofill based on response",INDEX('CI&amp;S'!$P$10:$P$15,MATCH($F105,'CI&amp;S'!$B$10:$B$15,0))),"N/A")</f>
        <v/>
      </c>
      <c r="M105" s="53">
        <f>IFERROR(IF(INDEX('CI&amp;S'!$P$22:$P$36,MATCH($F105,'CI&amp;S'!$B$22:$B$36,0))="","Cell will autofill based on response",INDEX('CI&amp;S'!$P$22:$P$36,MATCH($F105,'CI&amp;S'!$B$22:$B$36,0))),"N/A")</f>
        <v/>
      </c>
      <c r="N105" s="53">
        <f>IFERROR(IF(INDEX('CFOG'!$P$10:$P$16,MATCH($F105,'CFOG'!$B$10:$B$16,0))="","Cell will autofill based on response",INDEX('CFOG'!$P$10:$P$16,MATCH($F105,'CFOG'!$B$10:$B$16,0))),"N/A")</f>
        <v/>
      </c>
      <c r="O105" s="53">
        <f>IFERROR(IF(INDEX('CFOG'!$P$23:$P$24,MATCH($F105,'CFOG'!$B$23:$B$24,0))="","Cell will autofill based on response",INDEX('CFOG'!$P$23:$P$24,MATCH($F105,'CFOG'!$B$23:$B$24,0))),"N/A")</f>
        <v/>
      </c>
      <c r="P105" s="53">
        <f>IFERROR(IF(INDEX('ESG'!$P$10:$P$17,MATCH($F105,'ESG'!$B$10:$B$17,0))="","Cell will autofill based on response",INDEX('ESG'!$P$10:$P$17,MATCH($F105,'ESG'!$B$10:$B$17,0))),"N/A")</f>
        <v/>
      </c>
      <c r="Q105" s="53">
        <f>IFERROR(IF(INDEX('CIOG'!$P$10:$P$14,MATCH($F105,'CIOG'!$B$10:$B$14,0))="","Cell will autofill based on response",INDEX('CIOG'!$P$10:$P$14,MATCH($F105,'CIOG'!$B$10:$B$14,0))),"N/A")</f>
        <v/>
      </c>
      <c r="R105" s="53">
        <f>IFERROR(IF(INDEX('MRE'!$P$10:$P$18,MATCH($F105,'MRE'!$B$10:$B$18,0))="","Cell will autofill based on response",INDEX('MRE'!$P$10:$P$18,MATCH($F105,'MRE'!$B$10:$B$18,0))),"N/A")</f>
        <v/>
      </c>
      <c r="S105" s="53">
        <f>IFERROR(IF(INDEX('AC&amp;M'!$P$10:$P$14,MATCH($F105,'AC&amp;M'!$B$10:$B$14,0))="","Cell will autofill based on response",INDEX('AC&amp;M'!$P$10:$P$14,MATCH($F105,'AC&amp;M'!$B$10:$B$14,0))),"N/A")</f>
        <v/>
      </c>
      <c r="T105" s="53">
        <f>IFERROR(IF(INDEX('GCE'!$P$10:$P$12,MATCH($F105,'GCE'!$B$10:$B$12,0))="","Cell will autofill based on response",INDEX('GCE'!$P$10:$P$12,MATCH($F105,'GCE'!$B$10:$B$12,0))),"N/A")</f>
        <v/>
      </c>
      <c r="U105" s="53">
        <f>IFERROR(IF(INDEX('Education'!$P$10:$P$13,MATCH($F105,'Education'!$B$10:$B$13,0))="","Cell will autofill based on response",INDEX('Education'!$P$10:$P$13,MATCH($F105,'Education'!$B$10:$B$13,0))),"N/A")</f>
        <v/>
      </c>
      <c r="V105" s="53">
        <f>IFERROR(IF(INDEX('SaSS'!$P$10:$P$12,MATCH($F105,'SaSS'!$B$10:$B$12,0))="","Cell will autofill based on response",INDEX('SaSS'!$P$10:$P$12,MATCH($F105,'SaSS'!$B$10:$B$12,0))),"N/A")</f>
        <v/>
      </c>
      <c r="W105" s="53">
        <f>IFERROR(IF(INDEX('Indigenous'!$P$10:$P$11,MATCH($F105,'Indigenous'!$B$10:$B$11,0))="","Cell will autofill based on response",INDEX('Indigenous'!$P$10:$P$11,MATCH($F105,'Indigenous'!$B$10:$B$11,0))),"N/A")</f>
        <v/>
      </c>
      <c r="X105" s="53">
        <f>IFERROR(IF(INDEX('L&amp;R'!$P$10:$P$11,MATCH($F105,'L&amp;R'!$B$10:$B$11,0))="","Cell will autofill based on response",INDEX('L&amp;R'!$P$10:$P$11,MATCH($F105,'L&amp;R'!$B$10:$B$11,0))),"N/A")</f>
        <v/>
      </c>
    </row>
    <row r="106">
      <c r="A106">
        <f>F106&amp;"|"&amp;G106</f>
        <v/>
      </c>
      <c r="B106" s="13" t="inlineStr"/>
      <c r="C106" s="8" t="inlineStr"/>
      <c r="D106" s="8" t="inlineStr"/>
      <c r="E106" s="8" t="inlineStr"/>
      <c r="F106" s="8" t="inlineStr">
        <is>
          <t>CL1(c)</t>
        </is>
      </c>
      <c r="G106" s="8" t="inlineStr">
        <is>
          <t>Data owner confirms</t>
        </is>
      </c>
      <c r="H106" s="53">
        <f>IFERROR(IF(INDEX('Faculties'!$Q$10:$Q$19,MATCH($F106,'Faculties'!$B$10:$B$19,0))="","Cell will autofill based on response",INDEX('Faculties'!$Q$10:$Q$19,MATCH($F106,'Faculties'!$B$10:$B$19,0))),"N/A")</f>
        <v/>
      </c>
      <c r="I106" s="53">
        <f>IFERROR(IF(INDEX('Faculties'!$Q$26:$Q$35,MATCH($F106,'Faculties'!$B$26:$B$35,0))="","Cell will autofill based on response",INDEX('Faculties'!$Q$26:$Q$35,MATCH($F106,'Faculties'!$B$26:$B$35,0))),"N/A")</f>
        <v/>
      </c>
      <c r="J106" s="53">
        <f>IFERROR(IF(INDEX('Faculties'!$Q$42:$Q$51,MATCH($F106,'Faculties'!$B$42:$B$51,0))="","Cell will autofill based on response",INDEX('Faculties'!$Q$42:$Q$51,MATCH($F106,'Faculties'!$B$42:$B$51,0))),"N/A")</f>
        <v/>
      </c>
      <c r="K106" s="53">
        <f>IFERROR(IF(INDEX('Faculties'!$Q$58:$Q$67,MATCH($F106,'Faculties'!$B$58:$B$67,0))="","Cell will autofill based on response",INDEX('Faculties'!$Q$58:$Q$67,MATCH($F106,'Faculties'!$B$58:$B$67,0))),"N/A")</f>
        <v/>
      </c>
      <c r="L106" s="53">
        <f>IFERROR(IF(INDEX('CI&amp;S'!$Q$10:$Q$15,MATCH($F106,'CI&amp;S'!$B$10:$B$15,0))="","Cell will autofill based on response",INDEX('CI&amp;S'!$Q$10:$Q$15,MATCH($F106,'CI&amp;S'!$B$10:$B$15,0))),"N/A")</f>
        <v/>
      </c>
      <c r="M106" s="53">
        <f>IFERROR(IF(INDEX('CI&amp;S'!$Q$22:$Q$36,MATCH($F106,'CI&amp;S'!$B$22:$B$36,0))="","Cell will autofill based on response",INDEX('CI&amp;S'!$Q$22:$Q$36,MATCH($F106,'CI&amp;S'!$B$22:$B$36,0))),"N/A")</f>
        <v/>
      </c>
      <c r="N106" s="53">
        <f>IFERROR(IF(INDEX('CFOG'!$Q$10:$Q$16,MATCH($F106,'CFOG'!$B$10:$B$16,0))="","Cell will autofill based on response",INDEX('CFOG'!$Q$10:$Q$16,MATCH($F106,'CFOG'!$B$10:$B$16,0))),"N/A")</f>
        <v/>
      </c>
      <c r="O106" s="53">
        <f>IFERROR(IF(INDEX('CFOG'!$Q$23:$Q$24,MATCH($F106,'CFOG'!$B$23:$B$24,0))="","Cell will autofill based on response",INDEX('CFOG'!$Q$23:$Q$24,MATCH($F106,'CFOG'!$B$23:$B$24,0))),"N/A")</f>
        <v/>
      </c>
      <c r="P106" s="53">
        <f>IFERROR(IF(INDEX('ESG'!$Q$10:$Q$17,MATCH($F106,'ESG'!$B$10:$B$17,0))="","Cell will autofill based on response",INDEX('ESG'!$Q$10:$Q$17,MATCH($F106,'ESG'!$B$10:$B$17,0))),"N/A")</f>
        <v/>
      </c>
      <c r="Q106" s="53">
        <f>IFERROR(IF(INDEX('CIOG'!$Q$10:$Q$14,MATCH($F106,'CIOG'!$B$10:$B$14,0))="","Cell will autofill based on response",INDEX('CIOG'!$Q$10:$Q$14,MATCH($F106,'CIOG'!$B$10:$B$14,0))),"N/A")</f>
        <v/>
      </c>
      <c r="R106" s="53">
        <f>IFERROR(IF(INDEX('MRE'!$Q$10:$Q$18,MATCH($F106,'MRE'!$B$10:$B$18,0))="","Cell will autofill based on response",INDEX('MRE'!$Q$10:$Q$18,MATCH($F106,'MRE'!$B$10:$B$18,0))),"N/A")</f>
        <v/>
      </c>
      <c r="S106" s="53">
        <f>IFERROR(IF(INDEX('AC&amp;M'!$Q$10:$Q$14,MATCH($F106,'AC&amp;M'!$B$10:$B$14,0))="","Cell will autofill based on response",INDEX('AC&amp;M'!$Q$10:$Q$14,MATCH($F106,'AC&amp;M'!$B$10:$B$14,0))),"N/A")</f>
        <v/>
      </c>
      <c r="T106" s="53">
        <f>IFERROR(IF(INDEX('GCE'!$Q$10:$Q$12,MATCH($F106,'GCE'!$B$10:$B$12,0))="","Cell will autofill based on response",INDEX('GCE'!$Q$10:$Q$12,MATCH($F106,'GCE'!$B$10:$B$12,0))),"N/A")</f>
        <v/>
      </c>
      <c r="U106" s="53">
        <f>IFERROR(IF(INDEX('Education'!$Q$10:$Q$13,MATCH($F106,'Education'!$B$10:$B$13,0))="","Cell will autofill based on response",INDEX('Education'!$Q$10:$Q$13,MATCH($F106,'Education'!$B$10:$B$13,0))),"N/A")</f>
        <v/>
      </c>
      <c r="V106" s="53">
        <f>IFERROR(IF(INDEX('SaSS'!$Q$10:$Q$12,MATCH($F106,'SaSS'!$B$10:$B$12,0))="","Cell will autofill based on response",INDEX('SaSS'!$Q$10:$Q$12,MATCH($F106,'SaSS'!$B$10:$B$12,0))),"N/A")</f>
        <v/>
      </c>
      <c r="W106" s="53">
        <f>IFERROR(IF(INDEX('Indigenous'!$Q$10:$Q$11,MATCH($F106,'Indigenous'!$B$10:$B$11,0))="","Cell will autofill based on response",INDEX('Indigenous'!$Q$10:$Q$11,MATCH($F106,'Indigenous'!$B$10:$B$11,0))),"N/A")</f>
        <v/>
      </c>
      <c r="X106" s="53">
        <f>IFERROR(IF(INDEX('L&amp;R'!$Q$10:$Q$11,MATCH($F106,'L&amp;R'!$B$10:$B$11,0))="","Cell will autofill based on response",INDEX('L&amp;R'!$Q$10:$Q$11,MATCH($F106,'L&amp;R'!$B$10:$B$11,0))),"N/A")</f>
        <v/>
      </c>
    </row>
    <row r="107">
      <c r="A107">
        <f>F107&amp;"|"&amp;G107</f>
        <v/>
      </c>
      <c r="B107" s="7" t="inlineStr">
        <is>
          <t>CL2(a)</t>
        </is>
      </c>
      <c r="C107" s="51" t="inlineStr">
        <is>
          <t>Climate leadership</t>
        </is>
      </c>
      <c r="D107" s="51" t="inlineStr">
        <is>
          <t>By 2028, develop and document institutional mapping of research and education activities that are designed to contribute to global decarbonisation</t>
        </is>
      </c>
      <c r="E107" s="51" t="inlineStr">
        <is>
          <t>Please list and describe examples of communications from your Faculty/Portfolio that demonstrate climate action, research and learning and aim to inform policy, sector or community decarbonisation efforts. Could include links, intended audiences and any available evidence of reach or influence.</t>
        </is>
      </c>
      <c r="F107" s="51" t="inlineStr">
        <is>
          <t>CL2(a)</t>
        </is>
      </c>
      <c r="G107" s="51" t="inlineStr">
        <is>
          <t>Confirm end-2026 target status</t>
        </is>
      </c>
      <c r="H107" s="53">
        <f>IFERROR(IF(INDEX('Faculties'!$L$10:$L$19,MATCH($F107,'Faculties'!$B$10:$B$19,0))="","Cell will autofill based on response",INDEX('Faculties'!$L$10:$L$19,MATCH($F107,'Faculties'!$B$10:$B$19,0))),"N/A")</f>
        <v/>
      </c>
      <c r="I107" s="53">
        <f>IFERROR(IF(INDEX('Faculties'!$L$26:$L$35,MATCH($F107,'Faculties'!$B$26:$B$35,0))="","Cell will autofill based on response",INDEX('Faculties'!$L$26:$L$35,MATCH($F107,'Faculties'!$B$26:$B$35,0))),"N/A")</f>
        <v/>
      </c>
      <c r="J107" s="53">
        <f>IFERROR(IF(INDEX('Faculties'!$L$42:$L$51,MATCH($F107,'Faculties'!$B$42:$B$51,0))="","Cell will autofill based on response",INDEX('Faculties'!$L$42:$L$51,MATCH($F107,'Faculties'!$B$42:$B$51,0))),"N/A")</f>
        <v/>
      </c>
      <c r="K107" s="53">
        <f>IFERROR(IF(INDEX('Faculties'!$L$58:$L$67,MATCH($F107,'Faculties'!$B$58:$B$67,0))="","Cell will autofill based on response",INDEX('Faculties'!$L$58:$L$67,MATCH($F107,'Faculties'!$B$58:$B$67,0))),"N/A")</f>
        <v/>
      </c>
      <c r="L107" s="53">
        <f>IFERROR(IF(INDEX('CI&amp;S'!$L$10:$L$15,MATCH($F107,'CI&amp;S'!$B$10:$B$15,0))="","Cell will autofill based on response",INDEX('CI&amp;S'!$L$10:$L$15,MATCH($F107,'CI&amp;S'!$B$10:$B$15,0))),"N/A")</f>
        <v/>
      </c>
      <c r="M107" s="53">
        <f>IFERROR(IF(INDEX('CI&amp;S'!$L$22:$L$36,MATCH($F107,'CI&amp;S'!$B$22:$B$36,0))="","Cell will autofill based on response",INDEX('CI&amp;S'!$L$22:$L$36,MATCH($F107,'CI&amp;S'!$B$22:$B$36,0))),"N/A")</f>
        <v/>
      </c>
      <c r="N107" s="53">
        <f>IFERROR(IF(INDEX('CFOG'!$L$10:$L$16,MATCH($F107,'CFOG'!$B$10:$B$16,0))="","Cell will autofill based on response",INDEX('CFOG'!$L$10:$L$16,MATCH($F107,'CFOG'!$B$10:$B$16,0))),"N/A")</f>
        <v/>
      </c>
      <c r="O107" s="53">
        <f>IFERROR(IF(INDEX('CFOG'!$L$23:$L$24,MATCH($F107,'CFOG'!$B$23:$B$24,0))="","Cell will autofill based on response",INDEX('CFOG'!$L$23:$L$24,MATCH($F107,'CFOG'!$B$23:$B$24,0))),"N/A")</f>
        <v/>
      </c>
      <c r="P107" s="53">
        <f>IFERROR(IF(INDEX('ESG'!$L$10:$L$17,MATCH($F107,'ESG'!$B$10:$B$17,0))="","Cell will autofill based on response",INDEX('ESG'!$L$10:$L$17,MATCH($F107,'ESG'!$B$10:$B$17,0))),"N/A")</f>
        <v/>
      </c>
      <c r="Q107" s="53">
        <f>IFERROR(IF(INDEX('CIOG'!$L$10:$L$14,MATCH($F107,'CIOG'!$B$10:$B$14,0))="","Cell will autofill based on response",INDEX('CIOG'!$L$10:$L$14,MATCH($F107,'CIOG'!$B$10:$B$14,0))),"N/A")</f>
        <v/>
      </c>
      <c r="R107" s="53">
        <f>IFERROR(IF(INDEX('MRE'!$L$10:$L$18,MATCH($F107,'MRE'!$B$10:$B$18,0))="","Cell will autofill based on response",INDEX('MRE'!$L$10:$L$18,MATCH($F107,'MRE'!$B$10:$B$18,0))),"N/A")</f>
        <v/>
      </c>
      <c r="S107" s="53">
        <f>IFERROR(IF(INDEX('AC&amp;M'!$L$10:$L$14,MATCH($F107,'AC&amp;M'!$B$10:$B$14,0))="","Cell will autofill based on response",INDEX('AC&amp;M'!$L$10:$L$14,MATCH($F107,'AC&amp;M'!$B$10:$B$14,0))),"N/A")</f>
        <v/>
      </c>
      <c r="T107" s="53">
        <f>IFERROR(IF(INDEX('GCE'!$L$10:$L$12,MATCH($F107,'GCE'!$B$10:$B$12,0))="","Cell will autofill based on response",INDEX('GCE'!$L$10:$L$12,MATCH($F107,'GCE'!$B$10:$B$12,0))),"N/A")</f>
        <v/>
      </c>
      <c r="U107" s="53">
        <f>IFERROR(IF(INDEX('Education'!$L$10:$L$13,MATCH($F107,'Education'!$B$10:$B$13,0))="","Cell will autofill based on response",INDEX('Education'!$L$10:$L$13,MATCH($F107,'Education'!$B$10:$B$13,0))),"N/A")</f>
        <v/>
      </c>
      <c r="V107" s="53">
        <f>IFERROR(IF(INDEX('SaSS'!$L$10:$L$12,MATCH($F107,'SaSS'!$B$10:$B$12,0))="","Cell will autofill based on response",INDEX('SaSS'!$L$10:$L$12,MATCH($F107,'SaSS'!$B$10:$B$12,0))),"N/A")</f>
        <v/>
      </c>
      <c r="W107" s="53">
        <f>IFERROR(IF(INDEX('Indigenous'!$L$10:$L$11,MATCH($F107,'Indigenous'!$B$10:$B$11,0))="","Cell will autofill based on response",INDEX('Indigenous'!$L$10:$L$11,MATCH($F107,'Indigenous'!$B$10:$B$11,0))),"N/A")</f>
        <v/>
      </c>
      <c r="X107" s="53">
        <f>IFERROR(IF(INDEX('L&amp;R'!$L$10:$L$11,MATCH($F107,'L&amp;R'!$B$10:$B$11,0))="","Cell will autofill based on response",INDEX('L&amp;R'!$L$10:$L$11,MATCH($F107,'L&amp;R'!$B$10:$B$11,0))),"N/A")</f>
        <v/>
      </c>
      <c r="Z107" s="10">
        <f>COUNTIF($H107:$X107,"Cell will autofill based on response")</f>
        <v/>
      </c>
      <c r="AA107" s="10">
        <f>COUNTIF($H107:$X107,"Not yet started")</f>
        <v/>
      </c>
      <c r="AB107" s="10">
        <f>COUNTIF($H107:$X107,"Not met")</f>
        <v/>
      </c>
      <c r="AC107" s="10">
        <f>COUNTIF($H107:$X107,"Partially met")</f>
        <v/>
      </c>
      <c r="AD107" s="10">
        <f>COUNTIF($H107:$X107,"Met or exceeded")</f>
        <v/>
      </c>
      <c r="AE107" s="10">
        <f>3*AD107+2*AC107+AB107</f>
        <v/>
      </c>
      <c r="AF107" s="10">
        <f>AD107+AC107+AB107+AA107</f>
        <v/>
      </c>
      <c r="AG107" s="54">
        <f>IF(AF107&gt;0,AE107/AF107,"No valid responses to date")</f>
        <v/>
      </c>
      <c r="AH107" s="10">
        <f>IF(ISNUMBER(AG107),INDEX(Lists!$G$2:$G$5,MATCH(ROUND(AG107,0),Lists!$H$2:$H$5,0)),"")</f>
        <v/>
      </c>
      <c r="AI107" s="55">
        <f>IF(AF107&gt;0,AD107/AF107,"")</f>
        <v/>
      </c>
      <c r="AJ107" s="55">
        <f>IF(AF107&gt;0,(AD107+AC107)/AF107,"")</f>
        <v/>
      </c>
      <c r="AK107" s="10">
        <f>IF(AF107=0,"",IF(AI107&gt;0.75,"Met or exceeded",IF(AJ107&gt;=0.5,"Partially met","Not met")))</f>
        <v/>
      </c>
    </row>
    <row r="108">
      <c r="A108">
        <f>F108&amp;"|"&amp;G108</f>
        <v/>
      </c>
      <c r="B108" s="13" t="inlineStr"/>
      <c r="C108" s="8" t="inlineStr"/>
      <c r="D108" s="8" t="inlineStr"/>
      <c r="E108" s="8" t="inlineStr"/>
      <c r="F108" s="8" t="inlineStr">
        <is>
          <t>CL2(a)</t>
        </is>
      </c>
      <c r="G108" s="8" t="inlineStr">
        <is>
          <t>OPTION 1:  Target-level reporting</t>
        </is>
      </c>
      <c r="H108" s="53">
        <f>IFERROR(IF(INDEX('Faculties'!$M$10:$M$19,MATCH($F108,'Faculties'!$B$10:$B$19,0))="","Cell will autofill based on response",INDEX('Faculties'!$M$10:$M$19,MATCH($F108,'Faculties'!$B$10:$B$19,0))),"N/A")</f>
        <v/>
      </c>
      <c r="I108" s="53">
        <f>IFERROR(IF(INDEX('Faculties'!$M$26:$M$35,MATCH($F108,'Faculties'!$B$26:$B$35,0))="","Cell will autofill based on response",INDEX('Faculties'!$M$26:$M$35,MATCH($F108,'Faculties'!$B$26:$B$35,0))),"N/A")</f>
        <v/>
      </c>
      <c r="J108" s="53">
        <f>IFERROR(IF(INDEX('Faculties'!$M$42:$M$51,MATCH($F108,'Faculties'!$B$42:$B$51,0))="","Cell will autofill based on response",INDEX('Faculties'!$M$42:$M$51,MATCH($F108,'Faculties'!$B$42:$B$51,0))),"N/A")</f>
        <v/>
      </c>
      <c r="K108" s="53">
        <f>IFERROR(IF(INDEX('Faculties'!$M$58:$M$67,MATCH($F108,'Faculties'!$B$58:$B$67,0))="","Cell will autofill based on response",INDEX('Faculties'!$M$58:$M$67,MATCH($F108,'Faculties'!$B$58:$B$67,0))),"N/A")</f>
        <v/>
      </c>
      <c r="L108" s="53">
        <f>IFERROR(IF(INDEX('CI&amp;S'!$M$10:$M$15,MATCH($F108,'CI&amp;S'!$B$10:$B$15,0))="","Cell will autofill based on response",INDEX('CI&amp;S'!$M$10:$M$15,MATCH($F108,'CI&amp;S'!$B$10:$B$15,0))),"N/A")</f>
        <v/>
      </c>
      <c r="M108" s="53">
        <f>IFERROR(IF(INDEX('CI&amp;S'!$M$22:$M$36,MATCH($F108,'CI&amp;S'!$B$22:$B$36,0))="","Cell will autofill based on response",INDEX('CI&amp;S'!$M$22:$M$36,MATCH($F108,'CI&amp;S'!$B$22:$B$36,0))),"N/A")</f>
        <v/>
      </c>
      <c r="N108" s="53">
        <f>IFERROR(IF(INDEX('CFOG'!$M$10:$M$16,MATCH($F108,'CFOG'!$B$10:$B$16,0))="","Cell will autofill based on response",INDEX('CFOG'!$M$10:$M$16,MATCH($F108,'CFOG'!$B$10:$B$16,0))),"N/A")</f>
        <v/>
      </c>
      <c r="O108" s="53">
        <f>IFERROR(IF(INDEX('CFOG'!$M$23:$M$24,MATCH($F108,'CFOG'!$B$23:$B$24,0))="","Cell will autofill based on response",INDEX('CFOG'!$M$23:$M$24,MATCH($F108,'CFOG'!$B$23:$B$24,0))),"N/A")</f>
        <v/>
      </c>
      <c r="P108" s="53">
        <f>IFERROR(IF(INDEX('ESG'!$M$10:$M$17,MATCH($F108,'ESG'!$B$10:$B$17,0))="","Cell will autofill based on response",INDEX('ESG'!$M$10:$M$17,MATCH($F108,'ESG'!$B$10:$B$17,0))),"N/A")</f>
        <v/>
      </c>
      <c r="Q108" s="53">
        <f>IFERROR(IF(INDEX('CIOG'!$M$10:$M$14,MATCH($F108,'CIOG'!$B$10:$B$14,0))="","Cell will autofill based on response",INDEX('CIOG'!$M$10:$M$14,MATCH($F108,'CIOG'!$B$10:$B$14,0))),"N/A")</f>
        <v/>
      </c>
      <c r="R108" s="53">
        <f>IFERROR(IF(INDEX('MRE'!$M$10:$M$18,MATCH($F108,'MRE'!$B$10:$B$18,0))="","Cell will autofill based on response",INDEX('MRE'!$M$10:$M$18,MATCH($F108,'MRE'!$B$10:$B$18,0))),"N/A")</f>
        <v/>
      </c>
      <c r="S108" s="53">
        <f>IFERROR(IF(INDEX('AC&amp;M'!$M$10:$M$14,MATCH($F108,'AC&amp;M'!$B$10:$B$14,0))="","Cell will autofill based on response",INDEX('AC&amp;M'!$M$10:$M$14,MATCH($F108,'AC&amp;M'!$B$10:$B$14,0))),"N/A")</f>
        <v/>
      </c>
      <c r="T108" s="53">
        <f>IFERROR(IF(INDEX('GCE'!$M$10:$M$12,MATCH($F108,'GCE'!$B$10:$B$12,0))="","Cell will autofill based on response",INDEX('GCE'!$M$10:$M$12,MATCH($F108,'GCE'!$B$10:$B$12,0))),"N/A")</f>
        <v/>
      </c>
      <c r="U108" s="53">
        <f>IFERROR(IF(INDEX('Education'!$M$10:$M$13,MATCH($F108,'Education'!$B$10:$B$13,0))="","Cell will autofill based on response",INDEX('Education'!$M$10:$M$13,MATCH($F108,'Education'!$B$10:$B$13,0))),"N/A")</f>
        <v/>
      </c>
      <c r="V108" s="53">
        <f>IFERROR(IF(INDEX('SaSS'!$M$10:$M$12,MATCH($F108,'SaSS'!$B$10:$B$12,0))="","Cell will autofill based on response",INDEX('SaSS'!$M$10:$M$12,MATCH($F108,'SaSS'!$B$10:$B$12,0))),"N/A")</f>
        <v/>
      </c>
      <c r="W108" s="53">
        <f>IFERROR(IF(INDEX('Indigenous'!$M$10:$M$11,MATCH($F108,'Indigenous'!$B$10:$B$11,0))="","Cell will autofill based on response",INDEX('Indigenous'!$M$10:$M$11,MATCH($F108,'Indigenous'!$B$10:$B$11,0))),"N/A")</f>
        <v/>
      </c>
      <c r="X108" s="53">
        <f>IFERROR(IF(INDEX('L&amp;R'!$M$10:$M$11,MATCH($F108,'L&amp;R'!$B$10:$B$11,0))="","Cell will autofill based on response",INDEX('L&amp;R'!$M$10:$M$11,MATCH($F108,'L&amp;R'!$B$10:$B$11,0))),"N/A")</f>
        <v/>
      </c>
    </row>
    <row r="109">
      <c r="A109">
        <f>F109&amp;"|"&amp;G109</f>
        <v/>
      </c>
      <c r="B109" s="13" t="inlineStr"/>
      <c r="C109" s="8" t="inlineStr"/>
      <c r="D109" s="8" t="inlineStr"/>
      <c r="E109" s="8" t="inlineStr"/>
      <c r="F109" s="8" t="inlineStr">
        <is>
          <t>CL2(a)</t>
        </is>
      </c>
      <c r="G109" s="8" t="inlineStr">
        <is>
          <t>OPTION 2:  Indicator level reporting</t>
        </is>
      </c>
      <c r="H109" s="53">
        <f>IFERROR(IF(INDEX('Faculties'!$N$10:$N$19,MATCH($F109,'Faculties'!$B$10:$B$19,0))="","Cell will autofill based on response",INDEX('Faculties'!$N$10:$N$19,MATCH($F109,'Faculties'!$B$10:$B$19,0))),"N/A")</f>
        <v/>
      </c>
      <c r="I109" s="53">
        <f>IFERROR(IF(INDEX('Faculties'!$N$26:$N$35,MATCH($F109,'Faculties'!$B$26:$B$35,0))="","Cell will autofill based on response",INDEX('Faculties'!$N$26:$N$35,MATCH($F109,'Faculties'!$B$26:$B$35,0))),"N/A")</f>
        <v/>
      </c>
      <c r="J109" s="53">
        <f>IFERROR(IF(INDEX('Faculties'!$N$42:$N$51,MATCH($F109,'Faculties'!$B$42:$B$51,0))="","Cell will autofill based on response",INDEX('Faculties'!$N$42:$N$51,MATCH($F109,'Faculties'!$B$42:$B$51,0))),"N/A")</f>
        <v/>
      </c>
      <c r="K109" s="53">
        <f>IFERROR(IF(INDEX('Faculties'!$N$58:$N$67,MATCH($F109,'Faculties'!$B$58:$B$67,0))="","Cell will autofill based on response",INDEX('Faculties'!$N$58:$N$67,MATCH($F109,'Faculties'!$B$58:$B$67,0))),"N/A")</f>
        <v/>
      </c>
      <c r="L109" s="53">
        <f>IFERROR(IF(INDEX('CI&amp;S'!$N$10:$N$15,MATCH($F109,'CI&amp;S'!$B$10:$B$15,0))="","Cell will autofill based on response",INDEX('CI&amp;S'!$N$10:$N$15,MATCH($F109,'CI&amp;S'!$B$10:$B$15,0))),"N/A")</f>
        <v/>
      </c>
      <c r="M109" s="53">
        <f>IFERROR(IF(INDEX('CI&amp;S'!$N$22:$N$36,MATCH($F109,'CI&amp;S'!$B$22:$B$36,0))="","Cell will autofill based on response",INDEX('CI&amp;S'!$N$22:$N$36,MATCH($F109,'CI&amp;S'!$B$22:$B$36,0))),"N/A")</f>
        <v/>
      </c>
      <c r="N109" s="53">
        <f>IFERROR(IF(INDEX('CFOG'!$N$10:$N$16,MATCH($F109,'CFOG'!$B$10:$B$16,0))="","Cell will autofill based on response",INDEX('CFOG'!$N$10:$N$16,MATCH($F109,'CFOG'!$B$10:$B$16,0))),"N/A")</f>
        <v/>
      </c>
      <c r="O109" s="53">
        <f>IFERROR(IF(INDEX('CFOG'!$N$23:$N$24,MATCH($F109,'CFOG'!$B$23:$B$24,0))="","Cell will autofill based on response",INDEX('CFOG'!$N$23:$N$24,MATCH($F109,'CFOG'!$B$23:$B$24,0))),"N/A")</f>
        <v/>
      </c>
      <c r="P109" s="53">
        <f>IFERROR(IF(INDEX('ESG'!$N$10:$N$17,MATCH($F109,'ESG'!$B$10:$B$17,0))="","Cell will autofill based on response",INDEX('ESG'!$N$10:$N$17,MATCH($F109,'ESG'!$B$10:$B$17,0))),"N/A")</f>
        <v/>
      </c>
      <c r="Q109" s="53">
        <f>IFERROR(IF(INDEX('CIOG'!$N$10:$N$14,MATCH($F109,'CIOG'!$B$10:$B$14,0))="","Cell will autofill based on response",INDEX('CIOG'!$N$10:$N$14,MATCH($F109,'CIOG'!$B$10:$B$14,0))),"N/A")</f>
        <v/>
      </c>
      <c r="R109" s="53">
        <f>IFERROR(IF(INDEX('MRE'!$N$10:$N$18,MATCH($F109,'MRE'!$B$10:$B$18,0))="","Cell will autofill based on response",INDEX('MRE'!$N$10:$N$18,MATCH($F109,'MRE'!$B$10:$B$18,0))),"N/A")</f>
        <v/>
      </c>
      <c r="S109" s="53">
        <f>IFERROR(IF(INDEX('AC&amp;M'!$N$10:$N$14,MATCH($F109,'AC&amp;M'!$B$10:$B$14,0))="","Cell will autofill based on response",INDEX('AC&amp;M'!$N$10:$N$14,MATCH($F109,'AC&amp;M'!$B$10:$B$14,0))),"N/A")</f>
        <v/>
      </c>
      <c r="T109" s="53">
        <f>IFERROR(IF(INDEX('GCE'!$N$10:$N$12,MATCH($F109,'GCE'!$B$10:$B$12,0))="","Cell will autofill based on response",INDEX('GCE'!$N$10:$N$12,MATCH($F109,'GCE'!$B$10:$B$12,0))),"N/A")</f>
        <v/>
      </c>
      <c r="U109" s="53">
        <f>IFERROR(IF(INDEX('Education'!$N$10:$N$13,MATCH($F109,'Education'!$B$10:$B$13,0))="","Cell will autofill based on response",INDEX('Education'!$N$10:$N$13,MATCH($F109,'Education'!$B$10:$B$13,0))),"N/A")</f>
        <v/>
      </c>
      <c r="V109" s="53">
        <f>IFERROR(IF(INDEX('SaSS'!$N$10:$N$12,MATCH($F109,'SaSS'!$B$10:$B$12,0))="","Cell will autofill based on response",INDEX('SaSS'!$N$10:$N$12,MATCH($F109,'SaSS'!$B$10:$B$12,0))),"N/A")</f>
        <v/>
      </c>
      <c r="W109" s="53">
        <f>IFERROR(IF(INDEX('Indigenous'!$N$10:$N$11,MATCH($F109,'Indigenous'!$B$10:$B$11,0))="","Cell will autofill based on response",INDEX('Indigenous'!$N$10:$N$11,MATCH($F109,'Indigenous'!$B$10:$B$11,0))),"N/A")</f>
        <v/>
      </c>
      <c r="X109" s="53">
        <f>IFERROR(IF(INDEX('L&amp;R'!$N$10:$N$11,MATCH($F109,'L&amp;R'!$B$10:$B$11,0))="","Cell will autofill based on response",INDEX('L&amp;R'!$N$10:$N$11,MATCH($F109,'L&amp;R'!$B$10:$B$11,0))),"N/A")</f>
        <v/>
      </c>
    </row>
    <row r="110">
      <c r="A110">
        <f>F110&amp;"|"&amp;G110</f>
        <v/>
      </c>
      <c r="B110" s="13" t="inlineStr"/>
      <c r="C110" s="8" t="inlineStr"/>
      <c r="D110" s="8" t="inlineStr"/>
      <c r="E110" s="8" t="inlineStr"/>
      <c r="F110" s="8" t="inlineStr">
        <is>
          <t>CL2(a)</t>
        </is>
      </c>
      <c r="G110" s="8" t="inlineStr">
        <is>
          <t>Supporting information/comments</t>
        </is>
      </c>
      <c r="H110" s="53">
        <f>IFERROR(IF(INDEX('Faculties'!$O$10:$O$19,MATCH($F110,'Faculties'!$B$10:$B$19,0))="","Cell will autofill based on response",INDEX('Faculties'!$O$10:$O$19,MATCH($F110,'Faculties'!$B$10:$B$19,0))),"N/A")</f>
        <v/>
      </c>
      <c r="I110" s="53">
        <f>IFERROR(IF(INDEX('Faculties'!$O$26:$O$35,MATCH($F110,'Faculties'!$B$26:$B$35,0))="","Cell will autofill based on response",INDEX('Faculties'!$O$26:$O$35,MATCH($F110,'Faculties'!$B$26:$B$35,0))),"N/A")</f>
        <v/>
      </c>
      <c r="J110" s="53">
        <f>IFERROR(IF(INDEX('Faculties'!$O$42:$O$51,MATCH($F110,'Faculties'!$B$42:$B$51,0))="","Cell will autofill based on response",INDEX('Faculties'!$O$42:$O$51,MATCH($F110,'Faculties'!$B$42:$B$51,0))),"N/A")</f>
        <v/>
      </c>
      <c r="K110" s="53">
        <f>IFERROR(IF(INDEX('Faculties'!$O$58:$O$67,MATCH($F110,'Faculties'!$B$58:$B$67,0))="","Cell will autofill based on response",INDEX('Faculties'!$O$58:$O$67,MATCH($F110,'Faculties'!$B$58:$B$67,0))),"N/A")</f>
        <v/>
      </c>
      <c r="L110" s="53">
        <f>IFERROR(IF(INDEX('CI&amp;S'!$O$10:$O$15,MATCH($F110,'CI&amp;S'!$B$10:$B$15,0))="","Cell will autofill based on response",INDEX('CI&amp;S'!$O$10:$O$15,MATCH($F110,'CI&amp;S'!$B$10:$B$15,0))),"N/A")</f>
        <v/>
      </c>
      <c r="M110" s="53">
        <f>IFERROR(IF(INDEX('CI&amp;S'!$O$22:$O$36,MATCH($F110,'CI&amp;S'!$B$22:$B$36,0))="","Cell will autofill based on response",INDEX('CI&amp;S'!$O$22:$O$36,MATCH($F110,'CI&amp;S'!$B$22:$B$36,0))),"N/A")</f>
        <v/>
      </c>
      <c r="N110" s="53">
        <f>IFERROR(IF(INDEX('CFOG'!$O$10:$O$16,MATCH($F110,'CFOG'!$B$10:$B$16,0))="","Cell will autofill based on response",INDEX('CFOG'!$O$10:$O$16,MATCH($F110,'CFOG'!$B$10:$B$16,0))),"N/A")</f>
        <v/>
      </c>
      <c r="O110" s="53">
        <f>IFERROR(IF(INDEX('CFOG'!$O$23:$O$24,MATCH($F110,'CFOG'!$B$23:$B$24,0))="","Cell will autofill based on response",INDEX('CFOG'!$O$23:$O$24,MATCH($F110,'CFOG'!$B$23:$B$24,0))),"N/A")</f>
        <v/>
      </c>
      <c r="P110" s="53">
        <f>IFERROR(IF(INDEX('ESG'!$O$10:$O$17,MATCH($F110,'ESG'!$B$10:$B$17,0))="","Cell will autofill based on response",INDEX('ESG'!$O$10:$O$17,MATCH($F110,'ESG'!$B$10:$B$17,0))),"N/A")</f>
        <v/>
      </c>
      <c r="Q110" s="53">
        <f>IFERROR(IF(INDEX('CIOG'!$O$10:$O$14,MATCH($F110,'CIOG'!$B$10:$B$14,0))="","Cell will autofill based on response",INDEX('CIOG'!$O$10:$O$14,MATCH($F110,'CIOG'!$B$10:$B$14,0))),"N/A")</f>
        <v/>
      </c>
      <c r="R110" s="53">
        <f>IFERROR(IF(INDEX('MRE'!$O$10:$O$18,MATCH($F110,'MRE'!$B$10:$B$18,0))="","Cell will autofill based on response",INDEX('MRE'!$O$10:$O$18,MATCH($F110,'MRE'!$B$10:$B$18,0))),"N/A")</f>
        <v/>
      </c>
      <c r="S110" s="53">
        <f>IFERROR(IF(INDEX('AC&amp;M'!$O$10:$O$14,MATCH($F110,'AC&amp;M'!$B$10:$B$14,0))="","Cell will autofill based on response",INDEX('AC&amp;M'!$O$10:$O$14,MATCH($F110,'AC&amp;M'!$B$10:$B$14,0))),"N/A")</f>
        <v/>
      </c>
      <c r="T110" s="53">
        <f>IFERROR(IF(INDEX('GCE'!$O$10:$O$12,MATCH($F110,'GCE'!$B$10:$B$12,0))="","Cell will autofill based on response",INDEX('GCE'!$O$10:$O$12,MATCH($F110,'GCE'!$B$10:$B$12,0))),"N/A")</f>
        <v/>
      </c>
      <c r="U110" s="53">
        <f>IFERROR(IF(INDEX('Education'!$O$10:$O$13,MATCH($F110,'Education'!$B$10:$B$13,0))="","Cell will autofill based on response",INDEX('Education'!$O$10:$O$13,MATCH($F110,'Education'!$B$10:$B$13,0))),"N/A")</f>
        <v/>
      </c>
      <c r="V110" s="53">
        <f>IFERROR(IF(INDEX('SaSS'!$O$10:$O$12,MATCH($F110,'SaSS'!$B$10:$B$12,0))="","Cell will autofill based on response",INDEX('SaSS'!$O$10:$O$12,MATCH($F110,'SaSS'!$B$10:$B$12,0))),"N/A")</f>
        <v/>
      </c>
      <c r="W110" s="53">
        <f>IFERROR(IF(INDEX('Indigenous'!$O$10:$O$11,MATCH($F110,'Indigenous'!$B$10:$B$11,0))="","Cell will autofill based on response",INDEX('Indigenous'!$O$10:$O$11,MATCH($F110,'Indigenous'!$B$10:$B$11,0))),"N/A")</f>
        <v/>
      </c>
      <c r="X110" s="53">
        <f>IFERROR(IF(INDEX('L&amp;R'!$O$10:$O$11,MATCH($F110,'L&amp;R'!$B$10:$B$11,0))="","Cell will autofill based on response",INDEX('L&amp;R'!$O$10:$O$11,MATCH($F110,'L&amp;R'!$B$10:$B$11,0))),"N/A")</f>
        <v/>
      </c>
    </row>
    <row r="111">
      <c r="A111">
        <f>F111&amp;"|"&amp;G111</f>
        <v/>
      </c>
      <c r="B111" s="13" t="inlineStr"/>
      <c r="C111" s="8" t="inlineStr"/>
      <c r="D111" s="8" t="inlineStr"/>
      <c r="E111" s="8" t="inlineStr"/>
      <c r="F111" s="8" t="inlineStr">
        <is>
          <t>CL2(a)</t>
        </is>
      </c>
      <c r="G111" s="8" t="inlineStr">
        <is>
          <t>Data source and limitations</t>
        </is>
      </c>
      <c r="H111" s="53">
        <f>IFERROR(IF(INDEX('Faculties'!$P$10:$P$19,MATCH($F111,'Faculties'!$B$10:$B$19,0))="","Cell will autofill based on response",INDEX('Faculties'!$P$10:$P$19,MATCH($F111,'Faculties'!$B$10:$B$19,0))),"N/A")</f>
        <v/>
      </c>
      <c r="I111" s="53">
        <f>IFERROR(IF(INDEX('Faculties'!$P$26:$P$35,MATCH($F111,'Faculties'!$B$26:$B$35,0))="","Cell will autofill based on response",INDEX('Faculties'!$P$26:$P$35,MATCH($F111,'Faculties'!$B$26:$B$35,0))),"N/A")</f>
        <v/>
      </c>
      <c r="J111" s="53">
        <f>IFERROR(IF(INDEX('Faculties'!$P$42:$P$51,MATCH($F111,'Faculties'!$B$42:$B$51,0))="","Cell will autofill based on response",INDEX('Faculties'!$P$42:$P$51,MATCH($F111,'Faculties'!$B$42:$B$51,0))),"N/A")</f>
        <v/>
      </c>
      <c r="K111" s="53">
        <f>IFERROR(IF(INDEX('Faculties'!$P$58:$P$67,MATCH($F111,'Faculties'!$B$58:$B$67,0))="","Cell will autofill based on response",INDEX('Faculties'!$P$58:$P$67,MATCH($F111,'Faculties'!$B$58:$B$67,0))),"N/A")</f>
        <v/>
      </c>
      <c r="L111" s="53">
        <f>IFERROR(IF(INDEX('CI&amp;S'!$P$10:$P$15,MATCH($F111,'CI&amp;S'!$B$10:$B$15,0))="","Cell will autofill based on response",INDEX('CI&amp;S'!$P$10:$P$15,MATCH($F111,'CI&amp;S'!$B$10:$B$15,0))),"N/A")</f>
        <v/>
      </c>
      <c r="M111" s="53">
        <f>IFERROR(IF(INDEX('CI&amp;S'!$P$22:$P$36,MATCH($F111,'CI&amp;S'!$B$22:$B$36,0))="","Cell will autofill based on response",INDEX('CI&amp;S'!$P$22:$P$36,MATCH($F111,'CI&amp;S'!$B$22:$B$36,0))),"N/A")</f>
        <v/>
      </c>
      <c r="N111" s="53">
        <f>IFERROR(IF(INDEX('CFOG'!$P$10:$P$16,MATCH($F111,'CFOG'!$B$10:$B$16,0))="","Cell will autofill based on response",INDEX('CFOG'!$P$10:$P$16,MATCH($F111,'CFOG'!$B$10:$B$16,0))),"N/A")</f>
        <v/>
      </c>
      <c r="O111" s="53">
        <f>IFERROR(IF(INDEX('CFOG'!$P$23:$P$24,MATCH($F111,'CFOG'!$B$23:$B$24,0))="","Cell will autofill based on response",INDEX('CFOG'!$P$23:$P$24,MATCH($F111,'CFOG'!$B$23:$B$24,0))),"N/A")</f>
        <v/>
      </c>
      <c r="P111" s="53">
        <f>IFERROR(IF(INDEX('ESG'!$P$10:$P$17,MATCH($F111,'ESG'!$B$10:$B$17,0))="","Cell will autofill based on response",INDEX('ESG'!$P$10:$P$17,MATCH($F111,'ESG'!$B$10:$B$17,0))),"N/A")</f>
        <v/>
      </c>
      <c r="Q111" s="53">
        <f>IFERROR(IF(INDEX('CIOG'!$P$10:$P$14,MATCH($F111,'CIOG'!$B$10:$B$14,0))="","Cell will autofill based on response",INDEX('CIOG'!$P$10:$P$14,MATCH($F111,'CIOG'!$B$10:$B$14,0))),"N/A")</f>
        <v/>
      </c>
      <c r="R111" s="53">
        <f>IFERROR(IF(INDEX('MRE'!$P$10:$P$18,MATCH($F111,'MRE'!$B$10:$B$18,0))="","Cell will autofill based on response",INDEX('MRE'!$P$10:$P$18,MATCH($F111,'MRE'!$B$10:$B$18,0))),"N/A")</f>
        <v/>
      </c>
      <c r="S111" s="53">
        <f>IFERROR(IF(INDEX('AC&amp;M'!$P$10:$P$14,MATCH($F111,'AC&amp;M'!$B$10:$B$14,0))="","Cell will autofill based on response",INDEX('AC&amp;M'!$P$10:$P$14,MATCH($F111,'AC&amp;M'!$B$10:$B$14,0))),"N/A")</f>
        <v/>
      </c>
      <c r="T111" s="53">
        <f>IFERROR(IF(INDEX('GCE'!$P$10:$P$12,MATCH($F111,'GCE'!$B$10:$B$12,0))="","Cell will autofill based on response",INDEX('GCE'!$P$10:$P$12,MATCH($F111,'GCE'!$B$10:$B$12,0))),"N/A")</f>
        <v/>
      </c>
      <c r="U111" s="53">
        <f>IFERROR(IF(INDEX('Education'!$P$10:$P$13,MATCH($F111,'Education'!$B$10:$B$13,0))="","Cell will autofill based on response",INDEX('Education'!$P$10:$P$13,MATCH($F111,'Education'!$B$10:$B$13,0))),"N/A")</f>
        <v/>
      </c>
      <c r="V111" s="53">
        <f>IFERROR(IF(INDEX('SaSS'!$P$10:$P$12,MATCH($F111,'SaSS'!$B$10:$B$12,0))="","Cell will autofill based on response",INDEX('SaSS'!$P$10:$P$12,MATCH($F111,'SaSS'!$B$10:$B$12,0))),"N/A")</f>
        <v/>
      </c>
      <c r="W111" s="53">
        <f>IFERROR(IF(INDEX('Indigenous'!$P$10:$P$11,MATCH($F111,'Indigenous'!$B$10:$B$11,0))="","Cell will autofill based on response",INDEX('Indigenous'!$P$10:$P$11,MATCH($F111,'Indigenous'!$B$10:$B$11,0))),"N/A")</f>
        <v/>
      </c>
      <c r="X111" s="53">
        <f>IFERROR(IF(INDEX('L&amp;R'!$P$10:$P$11,MATCH($F111,'L&amp;R'!$B$10:$B$11,0))="","Cell will autofill based on response",INDEX('L&amp;R'!$P$10:$P$11,MATCH($F111,'L&amp;R'!$B$10:$B$11,0))),"N/A")</f>
        <v/>
      </c>
    </row>
    <row r="112">
      <c r="A112">
        <f>F112&amp;"|"&amp;G112</f>
        <v/>
      </c>
      <c r="B112" s="13" t="inlineStr"/>
      <c r="C112" s="8" t="inlineStr"/>
      <c r="D112" s="8" t="inlineStr"/>
      <c r="E112" s="8" t="inlineStr"/>
      <c r="F112" s="8" t="inlineStr">
        <is>
          <t>CL2(a)</t>
        </is>
      </c>
      <c r="G112" s="8" t="inlineStr">
        <is>
          <t>Data owner confirms</t>
        </is>
      </c>
      <c r="H112" s="53">
        <f>IFERROR(IF(INDEX('Faculties'!$Q$10:$Q$19,MATCH($F112,'Faculties'!$B$10:$B$19,0))="","Cell will autofill based on response",INDEX('Faculties'!$Q$10:$Q$19,MATCH($F112,'Faculties'!$B$10:$B$19,0))),"N/A")</f>
        <v/>
      </c>
      <c r="I112" s="53">
        <f>IFERROR(IF(INDEX('Faculties'!$Q$26:$Q$35,MATCH($F112,'Faculties'!$B$26:$B$35,0))="","Cell will autofill based on response",INDEX('Faculties'!$Q$26:$Q$35,MATCH($F112,'Faculties'!$B$26:$B$35,0))),"N/A")</f>
        <v/>
      </c>
      <c r="J112" s="53">
        <f>IFERROR(IF(INDEX('Faculties'!$Q$42:$Q$51,MATCH($F112,'Faculties'!$B$42:$B$51,0))="","Cell will autofill based on response",INDEX('Faculties'!$Q$42:$Q$51,MATCH($F112,'Faculties'!$B$42:$B$51,0))),"N/A")</f>
        <v/>
      </c>
      <c r="K112" s="53">
        <f>IFERROR(IF(INDEX('Faculties'!$Q$58:$Q$67,MATCH($F112,'Faculties'!$B$58:$B$67,0))="","Cell will autofill based on response",INDEX('Faculties'!$Q$58:$Q$67,MATCH($F112,'Faculties'!$B$58:$B$67,0))),"N/A")</f>
        <v/>
      </c>
      <c r="L112" s="53">
        <f>IFERROR(IF(INDEX('CI&amp;S'!$Q$10:$Q$15,MATCH($F112,'CI&amp;S'!$B$10:$B$15,0))="","Cell will autofill based on response",INDEX('CI&amp;S'!$Q$10:$Q$15,MATCH($F112,'CI&amp;S'!$B$10:$B$15,0))),"N/A")</f>
        <v/>
      </c>
      <c r="M112" s="53">
        <f>IFERROR(IF(INDEX('CI&amp;S'!$Q$22:$Q$36,MATCH($F112,'CI&amp;S'!$B$22:$B$36,0))="","Cell will autofill based on response",INDEX('CI&amp;S'!$Q$22:$Q$36,MATCH($F112,'CI&amp;S'!$B$22:$B$36,0))),"N/A")</f>
        <v/>
      </c>
      <c r="N112" s="53">
        <f>IFERROR(IF(INDEX('CFOG'!$Q$10:$Q$16,MATCH($F112,'CFOG'!$B$10:$B$16,0))="","Cell will autofill based on response",INDEX('CFOG'!$Q$10:$Q$16,MATCH($F112,'CFOG'!$B$10:$B$16,0))),"N/A")</f>
        <v/>
      </c>
      <c r="O112" s="53">
        <f>IFERROR(IF(INDEX('CFOG'!$Q$23:$Q$24,MATCH($F112,'CFOG'!$B$23:$B$24,0))="","Cell will autofill based on response",INDEX('CFOG'!$Q$23:$Q$24,MATCH($F112,'CFOG'!$B$23:$B$24,0))),"N/A")</f>
        <v/>
      </c>
      <c r="P112" s="53">
        <f>IFERROR(IF(INDEX('ESG'!$Q$10:$Q$17,MATCH($F112,'ESG'!$B$10:$B$17,0))="","Cell will autofill based on response",INDEX('ESG'!$Q$10:$Q$17,MATCH($F112,'ESG'!$B$10:$B$17,0))),"N/A")</f>
        <v/>
      </c>
      <c r="Q112" s="53">
        <f>IFERROR(IF(INDEX('CIOG'!$Q$10:$Q$14,MATCH($F112,'CIOG'!$B$10:$B$14,0))="","Cell will autofill based on response",INDEX('CIOG'!$Q$10:$Q$14,MATCH($F112,'CIOG'!$B$10:$B$14,0))),"N/A")</f>
        <v/>
      </c>
      <c r="R112" s="53">
        <f>IFERROR(IF(INDEX('MRE'!$Q$10:$Q$18,MATCH($F112,'MRE'!$B$10:$B$18,0))="","Cell will autofill based on response",INDEX('MRE'!$Q$10:$Q$18,MATCH($F112,'MRE'!$B$10:$B$18,0))),"N/A")</f>
        <v/>
      </c>
      <c r="S112" s="53">
        <f>IFERROR(IF(INDEX('AC&amp;M'!$Q$10:$Q$14,MATCH($F112,'AC&amp;M'!$B$10:$B$14,0))="","Cell will autofill based on response",INDEX('AC&amp;M'!$Q$10:$Q$14,MATCH($F112,'AC&amp;M'!$B$10:$B$14,0))),"N/A")</f>
        <v/>
      </c>
      <c r="T112" s="53">
        <f>IFERROR(IF(INDEX('GCE'!$Q$10:$Q$12,MATCH($F112,'GCE'!$B$10:$B$12,0))="","Cell will autofill based on response",INDEX('GCE'!$Q$10:$Q$12,MATCH($F112,'GCE'!$B$10:$B$12,0))),"N/A")</f>
        <v/>
      </c>
      <c r="U112" s="53">
        <f>IFERROR(IF(INDEX('Education'!$Q$10:$Q$13,MATCH($F112,'Education'!$B$10:$B$13,0))="","Cell will autofill based on response",INDEX('Education'!$Q$10:$Q$13,MATCH($F112,'Education'!$B$10:$B$13,0))),"N/A")</f>
        <v/>
      </c>
      <c r="V112" s="53">
        <f>IFERROR(IF(INDEX('SaSS'!$Q$10:$Q$12,MATCH($F112,'SaSS'!$B$10:$B$12,0))="","Cell will autofill based on response",INDEX('SaSS'!$Q$10:$Q$12,MATCH($F112,'SaSS'!$B$10:$B$12,0))),"N/A")</f>
        <v/>
      </c>
      <c r="W112" s="53">
        <f>IFERROR(IF(INDEX('Indigenous'!$Q$10:$Q$11,MATCH($F112,'Indigenous'!$B$10:$B$11,0))="","Cell will autofill based on response",INDEX('Indigenous'!$Q$10:$Q$11,MATCH($F112,'Indigenous'!$B$10:$B$11,0))),"N/A")</f>
        <v/>
      </c>
      <c r="X112" s="53">
        <f>IFERROR(IF(INDEX('L&amp;R'!$Q$10:$Q$11,MATCH($F112,'L&amp;R'!$B$10:$B$11,0))="","Cell will autofill based on response",INDEX('L&amp;R'!$Q$10:$Q$11,MATCH($F112,'L&amp;R'!$B$10:$B$11,0))),"N/A")</f>
        <v/>
      </c>
    </row>
    <row r="113">
      <c r="A113">
        <f>F113&amp;"|"&amp;G113</f>
        <v/>
      </c>
      <c r="B113" s="7" t="inlineStr">
        <is>
          <t>CL2(c)</t>
        </is>
      </c>
      <c r="C113" s="51" t="inlineStr">
        <is>
          <t>Climate leadership</t>
        </is>
      </c>
      <c r="D113" s="51" t="inlineStr">
        <is>
          <t>Ongoing communications that evidence the University’s climate action, research and learning to inform policy, sector and community decarbonisation efforts.</t>
        </is>
      </c>
      <c r="E113" s="51" t="inlineStr">
        <is>
          <t>List and describe communications from the faculty in terms of climate action, research and learning to inform policy, sector and community decarbonisation efforts</t>
        </is>
      </c>
      <c r="F113" s="51" t="inlineStr">
        <is>
          <t>CL2(c)</t>
        </is>
      </c>
      <c r="G113" s="51" t="inlineStr">
        <is>
          <t>Confirm end-2026 target status</t>
        </is>
      </c>
      <c r="H113" s="53">
        <f>IFERROR(IF(INDEX('Faculties'!$L$10:$L$19,MATCH($F113,'Faculties'!$B$10:$B$19,0))="","Cell will autofill based on response",INDEX('Faculties'!$L$10:$L$19,MATCH($F113,'Faculties'!$B$10:$B$19,0))),"N/A")</f>
        <v/>
      </c>
      <c r="I113" s="53">
        <f>IFERROR(IF(INDEX('Faculties'!$L$26:$L$35,MATCH($F113,'Faculties'!$B$26:$B$35,0))="","Cell will autofill based on response",INDEX('Faculties'!$L$26:$L$35,MATCH($F113,'Faculties'!$B$26:$B$35,0))),"N/A")</f>
        <v/>
      </c>
      <c r="J113" s="53">
        <f>IFERROR(IF(INDEX('Faculties'!$L$42:$L$51,MATCH($F113,'Faculties'!$B$42:$B$51,0))="","Cell will autofill based on response",INDEX('Faculties'!$L$42:$L$51,MATCH($F113,'Faculties'!$B$42:$B$51,0))),"N/A")</f>
        <v/>
      </c>
      <c r="K113" s="53">
        <f>IFERROR(IF(INDEX('Faculties'!$L$58:$L$67,MATCH($F113,'Faculties'!$B$58:$B$67,0))="","Cell will autofill based on response",INDEX('Faculties'!$L$58:$L$67,MATCH($F113,'Faculties'!$B$58:$B$67,0))),"N/A")</f>
        <v/>
      </c>
      <c r="L113" s="53">
        <f>IFERROR(IF(INDEX('CI&amp;S'!$L$10:$L$15,MATCH($F113,'CI&amp;S'!$B$10:$B$15,0))="","Cell will autofill based on response",INDEX('CI&amp;S'!$L$10:$L$15,MATCH($F113,'CI&amp;S'!$B$10:$B$15,0))),"N/A")</f>
        <v/>
      </c>
      <c r="M113" s="53">
        <f>IFERROR(IF(INDEX('CI&amp;S'!$L$22:$L$36,MATCH($F113,'CI&amp;S'!$B$22:$B$36,0))="","Cell will autofill based on response",INDEX('CI&amp;S'!$L$22:$L$36,MATCH($F113,'CI&amp;S'!$B$22:$B$36,0))),"N/A")</f>
        <v/>
      </c>
      <c r="N113" s="53">
        <f>IFERROR(IF(INDEX('CFOG'!$L$10:$L$16,MATCH($F113,'CFOG'!$B$10:$B$16,0))="","Cell will autofill based on response",INDEX('CFOG'!$L$10:$L$16,MATCH($F113,'CFOG'!$B$10:$B$16,0))),"N/A")</f>
        <v/>
      </c>
      <c r="O113" s="53">
        <f>IFERROR(IF(INDEX('CFOG'!$L$23:$L$24,MATCH($F113,'CFOG'!$B$23:$B$24,0))="","Cell will autofill based on response",INDEX('CFOG'!$L$23:$L$24,MATCH($F113,'CFOG'!$B$23:$B$24,0))),"N/A")</f>
        <v/>
      </c>
      <c r="P113" s="53">
        <f>IFERROR(IF(INDEX('ESG'!$L$10:$L$17,MATCH($F113,'ESG'!$B$10:$B$17,0))="","Cell will autofill based on response",INDEX('ESG'!$L$10:$L$17,MATCH($F113,'ESG'!$B$10:$B$17,0))),"N/A")</f>
        <v/>
      </c>
      <c r="Q113" s="53">
        <f>IFERROR(IF(INDEX('CIOG'!$L$10:$L$14,MATCH($F113,'CIOG'!$B$10:$B$14,0))="","Cell will autofill based on response",INDEX('CIOG'!$L$10:$L$14,MATCH($F113,'CIOG'!$B$10:$B$14,0))),"N/A")</f>
        <v/>
      </c>
      <c r="R113" s="53">
        <f>IFERROR(IF(INDEX('MRE'!$L$10:$L$18,MATCH($F113,'MRE'!$B$10:$B$18,0))="","Cell will autofill based on response",INDEX('MRE'!$L$10:$L$18,MATCH($F113,'MRE'!$B$10:$B$18,0))),"N/A")</f>
        <v/>
      </c>
      <c r="S113" s="53">
        <f>IFERROR(IF(INDEX('AC&amp;M'!$L$10:$L$14,MATCH($F113,'AC&amp;M'!$B$10:$B$14,0))="","Cell will autofill based on response",INDEX('AC&amp;M'!$L$10:$L$14,MATCH($F113,'AC&amp;M'!$B$10:$B$14,0))),"N/A")</f>
        <v/>
      </c>
      <c r="T113" s="53">
        <f>IFERROR(IF(INDEX('GCE'!$L$10:$L$12,MATCH($F113,'GCE'!$B$10:$B$12,0))="","Cell will autofill based on response",INDEX('GCE'!$L$10:$L$12,MATCH($F113,'GCE'!$B$10:$B$12,0))),"N/A")</f>
        <v/>
      </c>
      <c r="U113" s="53">
        <f>IFERROR(IF(INDEX('Education'!$L$10:$L$13,MATCH($F113,'Education'!$B$10:$B$13,0))="","Cell will autofill based on response",INDEX('Education'!$L$10:$L$13,MATCH($F113,'Education'!$B$10:$B$13,0))),"N/A")</f>
        <v/>
      </c>
      <c r="V113" s="53">
        <f>IFERROR(IF(INDEX('SaSS'!$L$10:$L$12,MATCH($F113,'SaSS'!$B$10:$B$12,0))="","Cell will autofill based on response",INDEX('SaSS'!$L$10:$L$12,MATCH($F113,'SaSS'!$B$10:$B$12,0))),"N/A")</f>
        <v/>
      </c>
      <c r="W113" s="53">
        <f>IFERROR(IF(INDEX('Indigenous'!$L$10:$L$11,MATCH($F113,'Indigenous'!$B$10:$B$11,0))="","Cell will autofill based on response",INDEX('Indigenous'!$L$10:$L$11,MATCH($F113,'Indigenous'!$B$10:$B$11,0))),"N/A")</f>
        <v/>
      </c>
      <c r="X113" s="53">
        <f>IFERROR(IF(INDEX('L&amp;R'!$L$10:$L$11,MATCH($F113,'L&amp;R'!$B$10:$B$11,0))="","Cell will autofill based on response",INDEX('L&amp;R'!$L$10:$L$11,MATCH($F113,'L&amp;R'!$B$10:$B$11,0))),"N/A")</f>
        <v/>
      </c>
      <c r="Z113" s="10">
        <f>COUNTIF($H113:$X113,"Cell will autofill based on response")</f>
        <v/>
      </c>
      <c r="AA113" s="10">
        <f>COUNTIF($H113:$X113,"Not yet started")</f>
        <v/>
      </c>
      <c r="AB113" s="10">
        <f>COUNTIF($H113:$X113,"Not met")</f>
        <v/>
      </c>
      <c r="AC113" s="10">
        <f>COUNTIF($H113:$X113,"Partially met")</f>
        <v/>
      </c>
      <c r="AD113" s="10">
        <f>COUNTIF($H113:$X113,"Met or exceeded")</f>
        <v/>
      </c>
      <c r="AE113" s="10">
        <f>3*AD113+2*AC113+AB113</f>
        <v/>
      </c>
      <c r="AF113" s="10">
        <f>AD113+AC113+AB113+AA113</f>
        <v/>
      </c>
      <c r="AG113" s="54">
        <f>IF(AF113&gt;0,AE113/AF113,"No valid responses to date")</f>
        <v/>
      </c>
      <c r="AH113" s="10">
        <f>IF(ISNUMBER(AG113),INDEX(Lists!$G$2:$G$5,MATCH(ROUND(AG113,0),Lists!$H$2:$H$5,0)),"")</f>
        <v/>
      </c>
      <c r="AI113" s="55">
        <f>IF(AF113&gt;0,AD113/AF113,"")</f>
        <v/>
      </c>
      <c r="AJ113" s="55">
        <f>IF(AF113&gt;0,(AD113+AC113)/AF113,"")</f>
        <v/>
      </c>
      <c r="AK113" s="10">
        <f>IF(AF113=0,"",IF(AI113&gt;0.75,"Met or exceeded",IF(AJ113&gt;=0.5,"Partially met","Not met")))</f>
        <v/>
      </c>
    </row>
    <row r="114">
      <c r="A114">
        <f>F114&amp;"|"&amp;G114</f>
        <v/>
      </c>
      <c r="B114" s="13" t="inlineStr"/>
      <c r="C114" s="8" t="inlineStr"/>
      <c r="D114" s="8" t="inlineStr"/>
      <c r="E114" s="8" t="inlineStr"/>
      <c r="F114" s="8" t="inlineStr">
        <is>
          <t>CL2(c)</t>
        </is>
      </c>
      <c r="G114" s="8" t="inlineStr">
        <is>
          <t>OPTION 1:  Target-level reporting</t>
        </is>
      </c>
      <c r="H114" s="53">
        <f>IFERROR(IF(INDEX('Faculties'!$M$10:$M$19,MATCH($F114,'Faculties'!$B$10:$B$19,0))="","Cell will autofill based on response",INDEX('Faculties'!$M$10:$M$19,MATCH($F114,'Faculties'!$B$10:$B$19,0))),"N/A")</f>
        <v/>
      </c>
      <c r="I114" s="53">
        <f>IFERROR(IF(INDEX('Faculties'!$M$26:$M$35,MATCH($F114,'Faculties'!$B$26:$B$35,0))="","Cell will autofill based on response",INDEX('Faculties'!$M$26:$M$35,MATCH($F114,'Faculties'!$B$26:$B$35,0))),"N/A")</f>
        <v/>
      </c>
      <c r="J114" s="53">
        <f>IFERROR(IF(INDEX('Faculties'!$M$42:$M$51,MATCH($F114,'Faculties'!$B$42:$B$51,0))="","Cell will autofill based on response",INDEX('Faculties'!$M$42:$M$51,MATCH($F114,'Faculties'!$B$42:$B$51,0))),"N/A")</f>
        <v/>
      </c>
      <c r="K114" s="53">
        <f>IFERROR(IF(INDEX('Faculties'!$M$58:$M$67,MATCH($F114,'Faculties'!$B$58:$B$67,0))="","Cell will autofill based on response",INDEX('Faculties'!$M$58:$M$67,MATCH($F114,'Faculties'!$B$58:$B$67,0))),"N/A")</f>
        <v/>
      </c>
      <c r="L114" s="53">
        <f>IFERROR(IF(INDEX('CI&amp;S'!$M$10:$M$15,MATCH($F114,'CI&amp;S'!$B$10:$B$15,0))="","Cell will autofill based on response",INDEX('CI&amp;S'!$M$10:$M$15,MATCH($F114,'CI&amp;S'!$B$10:$B$15,0))),"N/A")</f>
        <v/>
      </c>
      <c r="M114" s="53">
        <f>IFERROR(IF(INDEX('CI&amp;S'!$M$22:$M$36,MATCH($F114,'CI&amp;S'!$B$22:$B$36,0))="","Cell will autofill based on response",INDEX('CI&amp;S'!$M$22:$M$36,MATCH($F114,'CI&amp;S'!$B$22:$B$36,0))),"N/A")</f>
        <v/>
      </c>
      <c r="N114" s="53">
        <f>IFERROR(IF(INDEX('CFOG'!$M$10:$M$16,MATCH($F114,'CFOG'!$B$10:$B$16,0))="","Cell will autofill based on response",INDEX('CFOG'!$M$10:$M$16,MATCH($F114,'CFOG'!$B$10:$B$16,0))),"N/A")</f>
        <v/>
      </c>
      <c r="O114" s="53">
        <f>IFERROR(IF(INDEX('CFOG'!$M$23:$M$24,MATCH($F114,'CFOG'!$B$23:$B$24,0))="","Cell will autofill based on response",INDEX('CFOG'!$M$23:$M$24,MATCH($F114,'CFOG'!$B$23:$B$24,0))),"N/A")</f>
        <v/>
      </c>
      <c r="P114" s="53">
        <f>IFERROR(IF(INDEX('ESG'!$M$10:$M$17,MATCH($F114,'ESG'!$B$10:$B$17,0))="","Cell will autofill based on response",INDEX('ESG'!$M$10:$M$17,MATCH($F114,'ESG'!$B$10:$B$17,0))),"N/A")</f>
        <v/>
      </c>
      <c r="Q114" s="53">
        <f>IFERROR(IF(INDEX('CIOG'!$M$10:$M$14,MATCH($F114,'CIOG'!$B$10:$B$14,0))="","Cell will autofill based on response",INDEX('CIOG'!$M$10:$M$14,MATCH($F114,'CIOG'!$B$10:$B$14,0))),"N/A")</f>
        <v/>
      </c>
      <c r="R114" s="53">
        <f>IFERROR(IF(INDEX('MRE'!$M$10:$M$18,MATCH($F114,'MRE'!$B$10:$B$18,0))="","Cell will autofill based on response",INDEX('MRE'!$M$10:$M$18,MATCH($F114,'MRE'!$B$10:$B$18,0))),"N/A")</f>
        <v/>
      </c>
      <c r="S114" s="53">
        <f>IFERROR(IF(INDEX('AC&amp;M'!$M$10:$M$14,MATCH($F114,'AC&amp;M'!$B$10:$B$14,0))="","Cell will autofill based on response",INDEX('AC&amp;M'!$M$10:$M$14,MATCH($F114,'AC&amp;M'!$B$10:$B$14,0))),"N/A")</f>
        <v/>
      </c>
      <c r="T114" s="53">
        <f>IFERROR(IF(INDEX('GCE'!$M$10:$M$12,MATCH($F114,'GCE'!$B$10:$B$12,0))="","Cell will autofill based on response",INDEX('GCE'!$M$10:$M$12,MATCH($F114,'GCE'!$B$10:$B$12,0))),"N/A")</f>
        <v/>
      </c>
      <c r="U114" s="53">
        <f>IFERROR(IF(INDEX('Education'!$M$10:$M$13,MATCH($F114,'Education'!$B$10:$B$13,0))="","Cell will autofill based on response",INDEX('Education'!$M$10:$M$13,MATCH($F114,'Education'!$B$10:$B$13,0))),"N/A")</f>
        <v/>
      </c>
      <c r="V114" s="53">
        <f>IFERROR(IF(INDEX('SaSS'!$M$10:$M$12,MATCH($F114,'SaSS'!$B$10:$B$12,0))="","Cell will autofill based on response",INDEX('SaSS'!$M$10:$M$12,MATCH($F114,'SaSS'!$B$10:$B$12,0))),"N/A")</f>
        <v/>
      </c>
      <c r="W114" s="53">
        <f>IFERROR(IF(INDEX('Indigenous'!$M$10:$M$11,MATCH($F114,'Indigenous'!$B$10:$B$11,0))="","Cell will autofill based on response",INDEX('Indigenous'!$M$10:$M$11,MATCH($F114,'Indigenous'!$B$10:$B$11,0))),"N/A")</f>
        <v/>
      </c>
      <c r="X114" s="53">
        <f>IFERROR(IF(INDEX('L&amp;R'!$M$10:$M$11,MATCH($F114,'L&amp;R'!$B$10:$B$11,0))="","Cell will autofill based on response",INDEX('L&amp;R'!$M$10:$M$11,MATCH($F114,'L&amp;R'!$B$10:$B$11,0))),"N/A")</f>
        <v/>
      </c>
    </row>
    <row r="115">
      <c r="A115">
        <f>F115&amp;"|"&amp;G115</f>
        <v/>
      </c>
      <c r="B115" s="13" t="inlineStr"/>
      <c r="C115" s="8" t="inlineStr"/>
      <c r="D115" s="8" t="inlineStr"/>
      <c r="E115" s="8" t="inlineStr"/>
      <c r="F115" s="8" t="inlineStr">
        <is>
          <t>CL2(c)</t>
        </is>
      </c>
      <c r="G115" s="8" t="inlineStr">
        <is>
          <t>OPTION 2:  Indicator level reporting</t>
        </is>
      </c>
      <c r="H115" s="53">
        <f>IFERROR(IF(INDEX('Faculties'!$N$10:$N$19,MATCH($F115,'Faculties'!$B$10:$B$19,0))="","Cell will autofill based on response",INDEX('Faculties'!$N$10:$N$19,MATCH($F115,'Faculties'!$B$10:$B$19,0))),"N/A")</f>
        <v/>
      </c>
      <c r="I115" s="53">
        <f>IFERROR(IF(INDEX('Faculties'!$N$26:$N$35,MATCH($F115,'Faculties'!$B$26:$B$35,0))="","Cell will autofill based on response",INDEX('Faculties'!$N$26:$N$35,MATCH($F115,'Faculties'!$B$26:$B$35,0))),"N/A")</f>
        <v/>
      </c>
      <c r="J115" s="53">
        <f>IFERROR(IF(INDEX('Faculties'!$N$42:$N$51,MATCH($F115,'Faculties'!$B$42:$B$51,0))="","Cell will autofill based on response",INDEX('Faculties'!$N$42:$N$51,MATCH($F115,'Faculties'!$B$42:$B$51,0))),"N/A")</f>
        <v/>
      </c>
      <c r="K115" s="53">
        <f>IFERROR(IF(INDEX('Faculties'!$N$58:$N$67,MATCH($F115,'Faculties'!$B$58:$B$67,0))="","Cell will autofill based on response",INDEX('Faculties'!$N$58:$N$67,MATCH($F115,'Faculties'!$B$58:$B$67,0))),"N/A")</f>
        <v/>
      </c>
      <c r="L115" s="53">
        <f>IFERROR(IF(INDEX('CI&amp;S'!$N$10:$N$15,MATCH($F115,'CI&amp;S'!$B$10:$B$15,0))="","Cell will autofill based on response",INDEX('CI&amp;S'!$N$10:$N$15,MATCH($F115,'CI&amp;S'!$B$10:$B$15,0))),"N/A")</f>
        <v/>
      </c>
      <c r="M115" s="53">
        <f>IFERROR(IF(INDEX('CI&amp;S'!$N$22:$N$36,MATCH($F115,'CI&amp;S'!$B$22:$B$36,0))="","Cell will autofill based on response",INDEX('CI&amp;S'!$N$22:$N$36,MATCH($F115,'CI&amp;S'!$B$22:$B$36,0))),"N/A")</f>
        <v/>
      </c>
      <c r="N115" s="53">
        <f>IFERROR(IF(INDEX('CFOG'!$N$10:$N$16,MATCH($F115,'CFOG'!$B$10:$B$16,0))="","Cell will autofill based on response",INDEX('CFOG'!$N$10:$N$16,MATCH($F115,'CFOG'!$B$10:$B$16,0))),"N/A")</f>
        <v/>
      </c>
      <c r="O115" s="53">
        <f>IFERROR(IF(INDEX('CFOG'!$N$23:$N$24,MATCH($F115,'CFOG'!$B$23:$B$24,0))="","Cell will autofill based on response",INDEX('CFOG'!$N$23:$N$24,MATCH($F115,'CFOG'!$B$23:$B$24,0))),"N/A")</f>
        <v/>
      </c>
      <c r="P115" s="53">
        <f>IFERROR(IF(INDEX('ESG'!$N$10:$N$17,MATCH($F115,'ESG'!$B$10:$B$17,0))="","Cell will autofill based on response",INDEX('ESG'!$N$10:$N$17,MATCH($F115,'ESG'!$B$10:$B$17,0))),"N/A")</f>
        <v/>
      </c>
      <c r="Q115" s="53">
        <f>IFERROR(IF(INDEX('CIOG'!$N$10:$N$14,MATCH($F115,'CIOG'!$B$10:$B$14,0))="","Cell will autofill based on response",INDEX('CIOG'!$N$10:$N$14,MATCH($F115,'CIOG'!$B$10:$B$14,0))),"N/A")</f>
        <v/>
      </c>
      <c r="R115" s="53">
        <f>IFERROR(IF(INDEX('MRE'!$N$10:$N$18,MATCH($F115,'MRE'!$B$10:$B$18,0))="","Cell will autofill based on response",INDEX('MRE'!$N$10:$N$18,MATCH($F115,'MRE'!$B$10:$B$18,0))),"N/A")</f>
        <v/>
      </c>
      <c r="S115" s="53">
        <f>IFERROR(IF(INDEX('AC&amp;M'!$N$10:$N$14,MATCH($F115,'AC&amp;M'!$B$10:$B$14,0))="","Cell will autofill based on response",INDEX('AC&amp;M'!$N$10:$N$14,MATCH($F115,'AC&amp;M'!$B$10:$B$14,0))),"N/A")</f>
        <v/>
      </c>
      <c r="T115" s="53">
        <f>IFERROR(IF(INDEX('GCE'!$N$10:$N$12,MATCH($F115,'GCE'!$B$10:$B$12,0))="","Cell will autofill based on response",INDEX('GCE'!$N$10:$N$12,MATCH($F115,'GCE'!$B$10:$B$12,0))),"N/A")</f>
        <v/>
      </c>
      <c r="U115" s="53">
        <f>IFERROR(IF(INDEX('Education'!$N$10:$N$13,MATCH($F115,'Education'!$B$10:$B$13,0))="","Cell will autofill based on response",INDEX('Education'!$N$10:$N$13,MATCH($F115,'Education'!$B$10:$B$13,0))),"N/A")</f>
        <v/>
      </c>
      <c r="V115" s="53">
        <f>IFERROR(IF(INDEX('SaSS'!$N$10:$N$12,MATCH($F115,'SaSS'!$B$10:$B$12,0))="","Cell will autofill based on response",INDEX('SaSS'!$N$10:$N$12,MATCH($F115,'SaSS'!$B$10:$B$12,0))),"N/A")</f>
        <v/>
      </c>
      <c r="W115" s="53">
        <f>IFERROR(IF(INDEX('Indigenous'!$N$10:$N$11,MATCH($F115,'Indigenous'!$B$10:$B$11,0))="","Cell will autofill based on response",INDEX('Indigenous'!$N$10:$N$11,MATCH($F115,'Indigenous'!$B$10:$B$11,0))),"N/A")</f>
        <v/>
      </c>
      <c r="X115" s="53">
        <f>IFERROR(IF(INDEX('L&amp;R'!$N$10:$N$11,MATCH($F115,'L&amp;R'!$B$10:$B$11,0))="","Cell will autofill based on response",INDEX('L&amp;R'!$N$10:$N$11,MATCH($F115,'L&amp;R'!$B$10:$B$11,0))),"N/A")</f>
        <v/>
      </c>
    </row>
    <row r="116">
      <c r="A116">
        <f>F116&amp;"|"&amp;G116</f>
        <v/>
      </c>
      <c r="B116" s="13" t="inlineStr"/>
      <c r="C116" s="8" t="inlineStr"/>
      <c r="D116" s="8" t="inlineStr"/>
      <c r="E116" s="8" t="inlineStr"/>
      <c r="F116" s="8" t="inlineStr">
        <is>
          <t>CL2(c)</t>
        </is>
      </c>
      <c r="G116" s="8" t="inlineStr">
        <is>
          <t>Supporting information/comments</t>
        </is>
      </c>
      <c r="H116" s="53">
        <f>IFERROR(IF(INDEX('Faculties'!$O$10:$O$19,MATCH($F116,'Faculties'!$B$10:$B$19,0))="","Cell will autofill based on response",INDEX('Faculties'!$O$10:$O$19,MATCH($F116,'Faculties'!$B$10:$B$19,0))),"N/A")</f>
        <v/>
      </c>
      <c r="I116" s="53">
        <f>IFERROR(IF(INDEX('Faculties'!$O$26:$O$35,MATCH($F116,'Faculties'!$B$26:$B$35,0))="","Cell will autofill based on response",INDEX('Faculties'!$O$26:$O$35,MATCH($F116,'Faculties'!$B$26:$B$35,0))),"N/A")</f>
        <v/>
      </c>
      <c r="J116" s="53">
        <f>IFERROR(IF(INDEX('Faculties'!$O$42:$O$51,MATCH($F116,'Faculties'!$B$42:$B$51,0))="","Cell will autofill based on response",INDEX('Faculties'!$O$42:$O$51,MATCH($F116,'Faculties'!$B$42:$B$51,0))),"N/A")</f>
        <v/>
      </c>
      <c r="K116" s="53">
        <f>IFERROR(IF(INDEX('Faculties'!$O$58:$O$67,MATCH($F116,'Faculties'!$B$58:$B$67,0))="","Cell will autofill based on response",INDEX('Faculties'!$O$58:$O$67,MATCH($F116,'Faculties'!$B$58:$B$67,0))),"N/A")</f>
        <v/>
      </c>
      <c r="L116" s="53">
        <f>IFERROR(IF(INDEX('CI&amp;S'!$O$10:$O$15,MATCH($F116,'CI&amp;S'!$B$10:$B$15,0))="","Cell will autofill based on response",INDEX('CI&amp;S'!$O$10:$O$15,MATCH($F116,'CI&amp;S'!$B$10:$B$15,0))),"N/A")</f>
        <v/>
      </c>
      <c r="M116" s="53">
        <f>IFERROR(IF(INDEX('CI&amp;S'!$O$22:$O$36,MATCH($F116,'CI&amp;S'!$B$22:$B$36,0))="","Cell will autofill based on response",INDEX('CI&amp;S'!$O$22:$O$36,MATCH($F116,'CI&amp;S'!$B$22:$B$36,0))),"N/A")</f>
        <v/>
      </c>
      <c r="N116" s="53">
        <f>IFERROR(IF(INDEX('CFOG'!$O$10:$O$16,MATCH($F116,'CFOG'!$B$10:$B$16,0))="","Cell will autofill based on response",INDEX('CFOG'!$O$10:$O$16,MATCH($F116,'CFOG'!$B$10:$B$16,0))),"N/A")</f>
        <v/>
      </c>
      <c r="O116" s="53">
        <f>IFERROR(IF(INDEX('CFOG'!$O$23:$O$24,MATCH($F116,'CFOG'!$B$23:$B$24,0))="","Cell will autofill based on response",INDEX('CFOG'!$O$23:$O$24,MATCH($F116,'CFOG'!$B$23:$B$24,0))),"N/A")</f>
        <v/>
      </c>
      <c r="P116" s="53">
        <f>IFERROR(IF(INDEX('ESG'!$O$10:$O$17,MATCH($F116,'ESG'!$B$10:$B$17,0))="","Cell will autofill based on response",INDEX('ESG'!$O$10:$O$17,MATCH($F116,'ESG'!$B$10:$B$17,0))),"N/A")</f>
        <v/>
      </c>
      <c r="Q116" s="53">
        <f>IFERROR(IF(INDEX('CIOG'!$O$10:$O$14,MATCH($F116,'CIOG'!$B$10:$B$14,0))="","Cell will autofill based on response",INDEX('CIOG'!$O$10:$O$14,MATCH($F116,'CIOG'!$B$10:$B$14,0))),"N/A")</f>
        <v/>
      </c>
      <c r="R116" s="53">
        <f>IFERROR(IF(INDEX('MRE'!$O$10:$O$18,MATCH($F116,'MRE'!$B$10:$B$18,0))="","Cell will autofill based on response",INDEX('MRE'!$O$10:$O$18,MATCH($F116,'MRE'!$B$10:$B$18,0))),"N/A")</f>
        <v/>
      </c>
      <c r="S116" s="53">
        <f>IFERROR(IF(INDEX('AC&amp;M'!$O$10:$O$14,MATCH($F116,'AC&amp;M'!$B$10:$B$14,0))="","Cell will autofill based on response",INDEX('AC&amp;M'!$O$10:$O$14,MATCH($F116,'AC&amp;M'!$B$10:$B$14,0))),"N/A")</f>
        <v/>
      </c>
      <c r="T116" s="53">
        <f>IFERROR(IF(INDEX('GCE'!$O$10:$O$12,MATCH($F116,'GCE'!$B$10:$B$12,0))="","Cell will autofill based on response",INDEX('GCE'!$O$10:$O$12,MATCH($F116,'GCE'!$B$10:$B$12,0))),"N/A")</f>
        <v/>
      </c>
      <c r="U116" s="53">
        <f>IFERROR(IF(INDEX('Education'!$O$10:$O$13,MATCH($F116,'Education'!$B$10:$B$13,0))="","Cell will autofill based on response",INDEX('Education'!$O$10:$O$13,MATCH($F116,'Education'!$B$10:$B$13,0))),"N/A")</f>
        <v/>
      </c>
      <c r="V116" s="53">
        <f>IFERROR(IF(INDEX('SaSS'!$O$10:$O$12,MATCH($F116,'SaSS'!$B$10:$B$12,0))="","Cell will autofill based on response",INDEX('SaSS'!$O$10:$O$12,MATCH($F116,'SaSS'!$B$10:$B$12,0))),"N/A")</f>
        <v/>
      </c>
      <c r="W116" s="53">
        <f>IFERROR(IF(INDEX('Indigenous'!$O$10:$O$11,MATCH($F116,'Indigenous'!$B$10:$B$11,0))="","Cell will autofill based on response",INDEX('Indigenous'!$O$10:$O$11,MATCH($F116,'Indigenous'!$B$10:$B$11,0))),"N/A")</f>
        <v/>
      </c>
      <c r="X116" s="53">
        <f>IFERROR(IF(INDEX('L&amp;R'!$O$10:$O$11,MATCH($F116,'L&amp;R'!$B$10:$B$11,0))="","Cell will autofill based on response",INDEX('L&amp;R'!$O$10:$O$11,MATCH($F116,'L&amp;R'!$B$10:$B$11,0))),"N/A")</f>
        <v/>
      </c>
    </row>
    <row r="117">
      <c r="A117">
        <f>F117&amp;"|"&amp;G117</f>
        <v/>
      </c>
      <c r="B117" s="13" t="inlineStr"/>
      <c r="C117" s="8" t="inlineStr"/>
      <c r="D117" s="8" t="inlineStr"/>
      <c r="E117" s="8" t="inlineStr"/>
      <c r="F117" s="8" t="inlineStr">
        <is>
          <t>CL2(c)</t>
        </is>
      </c>
      <c r="G117" s="8" t="inlineStr">
        <is>
          <t>Data source and limitations</t>
        </is>
      </c>
      <c r="H117" s="53">
        <f>IFERROR(IF(INDEX('Faculties'!$P$10:$P$19,MATCH($F117,'Faculties'!$B$10:$B$19,0))="","Cell will autofill based on response",INDEX('Faculties'!$P$10:$P$19,MATCH($F117,'Faculties'!$B$10:$B$19,0))),"N/A")</f>
        <v/>
      </c>
      <c r="I117" s="53">
        <f>IFERROR(IF(INDEX('Faculties'!$P$26:$P$35,MATCH($F117,'Faculties'!$B$26:$B$35,0))="","Cell will autofill based on response",INDEX('Faculties'!$P$26:$P$35,MATCH($F117,'Faculties'!$B$26:$B$35,0))),"N/A")</f>
        <v/>
      </c>
      <c r="J117" s="53">
        <f>IFERROR(IF(INDEX('Faculties'!$P$42:$P$51,MATCH($F117,'Faculties'!$B$42:$B$51,0))="","Cell will autofill based on response",INDEX('Faculties'!$P$42:$P$51,MATCH($F117,'Faculties'!$B$42:$B$51,0))),"N/A")</f>
        <v/>
      </c>
      <c r="K117" s="53">
        <f>IFERROR(IF(INDEX('Faculties'!$P$58:$P$67,MATCH($F117,'Faculties'!$B$58:$B$67,0))="","Cell will autofill based on response",INDEX('Faculties'!$P$58:$P$67,MATCH($F117,'Faculties'!$B$58:$B$67,0))),"N/A")</f>
        <v/>
      </c>
      <c r="L117" s="53">
        <f>IFERROR(IF(INDEX('CI&amp;S'!$P$10:$P$15,MATCH($F117,'CI&amp;S'!$B$10:$B$15,0))="","Cell will autofill based on response",INDEX('CI&amp;S'!$P$10:$P$15,MATCH($F117,'CI&amp;S'!$B$10:$B$15,0))),"N/A")</f>
        <v/>
      </c>
      <c r="M117" s="53">
        <f>IFERROR(IF(INDEX('CI&amp;S'!$P$22:$P$36,MATCH($F117,'CI&amp;S'!$B$22:$B$36,0))="","Cell will autofill based on response",INDEX('CI&amp;S'!$P$22:$P$36,MATCH($F117,'CI&amp;S'!$B$22:$B$36,0))),"N/A")</f>
        <v/>
      </c>
      <c r="N117" s="53">
        <f>IFERROR(IF(INDEX('CFOG'!$P$10:$P$16,MATCH($F117,'CFOG'!$B$10:$B$16,0))="","Cell will autofill based on response",INDEX('CFOG'!$P$10:$P$16,MATCH($F117,'CFOG'!$B$10:$B$16,0))),"N/A")</f>
        <v/>
      </c>
      <c r="O117" s="53">
        <f>IFERROR(IF(INDEX('CFOG'!$P$23:$P$24,MATCH($F117,'CFOG'!$B$23:$B$24,0))="","Cell will autofill based on response",INDEX('CFOG'!$P$23:$P$24,MATCH($F117,'CFOG'!$B$23:$B$24,0))),"N/A")</f>
        <v/>
      </c>
      <c r="P117" s="53">
        <f>IFERROR(IF(INDEX('ESG'!$P$10:$P$17,MATCH($F117,'ESG'!$B$10:$B$17,0))="","Cell will autofill based on response",INDEX('ESG'!$P$10:$P$17,MATCH($F117,'ESG'!$B$10:$B$17,0))),"N/A")</f>
        <v/>
      </c>
      <c r="Q117" s="53">
        <f>IFERROR(IF(INDEX('CIOG'!$P$10:$P$14,MATCH($F117,'CIOG'!$B$10:$B$14,0))="","Cell will autofill based on response",INDEX('CIOG'!$P$10:$P$14,MATCH($F117,'CIOG'!$B$10:$B$14,0))),"N/A")</f>
        <v/>
      </c>
      <c r="R117" s="53">
        <f>IFERROR(IF(INDEX('MRE'!$P$10:$P$18,MATCH($F117,'MRE'!$B$10:$B$18,0))="","Cell will autofill based on response",INDEX('MRE'!$P$10:$P$18,MATCH($F117,'MRE'!$B$10:$B$18,0))),"N/A")</f>
        <v/>
      </c>
      <c r="S117" s="53">
        <f>IFERROR(IF(INDEX('AC&amp;M'!$P$10:$P$14,MATCH($F117,'AC&amp;M'!$B$10:$B$14,0))="","Cell will autofill based on response",INDEX('AC&amp;M'!$P$10:$P$14,MATCH($F117,'AC&amp;M'!$B$10:$B$14,0))),"N/A")</f>
        <v/>
      </c>
      <c r="T117" s="53">
        <f>IFERROR(IF(INDEX('GCE'!$P$10:$P$12,MATCH($F117,'GCE'!$B$10:$B$12,0))="","Cell will autofill based on response",INDEX('GCE'!$P$10:$P$12,MATCH($F117,'GCE'!$B$10:$B$12,0))),"N/A")</f>
        <v/>
      </c>
      <c r="U117" s="53">
        <f>IFERROR(IF(INDEX('Education'!$P$10:$P$13,MATCH($F117,'Education'!$B$10:$B$13,0))="","Cell will autofill based on response",INDEX('Education'!$P$10:$P$13,MATCH($F117,'Education'!$B$10:$B$13,0))),"N/A")</f>
        <v/>
      </c>
      <c r="V117" s="53">
        <f>IFERROR(IF(INDEX('SaSS'!$P$10:$P$12,MATCH($F117,'SaSS'!$B$10:$B$12,0))="","Cell will autofill based on response",INDEX('SaSS'!$P$10:$P$12,MATCH($F117,'SaSS'!$B$10:$B$12,0))),"N/A")</f>
        <v/>
      </c>
      <c r="W117" s="53">
        <f>IFERROR(IF(INDEX('Indigenous'!$P$10:$P$11,MATCH($F117,'Indigenous'!$B$10:$B$11,0))="","Cell will autofill based on response",INDEX('Indigenous'!$P$10:$P$11,MATCH($F117,'Indigenous'!$B$10:$B$11,0))),"N/A")</f>
        <v/>
      </c>
      <c r="X117" s="53">
        <f>IFERROR(IF(INDEX('L&amp;R'!$P$10:$P$11,MATCH($F117,'L&amp;R'!$B$10:$B$11,0))="","Cell will autofill based on response",INDEX('L&amp;R'!$P$10:$P$11,MATCH($F117,'L&amp;R'!$B$10:$B$11,0))),"N/A")</f>
        <v/>
      </c>
    </row>
    <row r="118">
      <c r="A118">
        <f>F118&amp;"|"&amp;G118</f>
        <v/>
      </c>
      <c r="B118" s="13" t="inlineStr"/>
      <c r="C118" s="8" t="inlineStr"/>
      <c r="D118" s="8" t="inlineStr"/>
      <c r="E118" s="8" t="inlineStr"/>
      <c r="F118" s="8" t="inlineStr">
        <is>
          <t>CL2(c)</t>
        </is>
      </c>
      <c r="G118" s="8" t="inlineStr">
        <is>
          <t>Data owner confirms</t>
        </is>
      </c>
      <c r="H118" s="53">
        <f>IFERROR(IF(INDEX('Faculties'!$Q$10:$Q$19,MATCH($F118,'Faculties'!$B$10:$B$19,0))="","Cell will autofill based on response",INDEX('Faculties'!$Q$10:$Q$19,MATCH($F118,'Faculties'!$B$10:$B$19,0))),"N/A")</f>
        <v/>
      </c>
      <c r="I118" s="53">
        <f>IFERROR(IF(INDEX('Faculties'!$Q$26:$Q$35,MATCH($F118,'Faculties'!$B$26:$B$35,0))="","Cell will autofill based on response",INDEX('Faculties'!$Q$26:$Q$35,MATCH($F118,'Faculties'!$B$26:$B$35,0))),"N/A")</f>
        <v/>
      </c>
      <c r="J118" s="53">
        <f>IFERROR(IF(INDEX('Faculties'!$Q$42:$Q$51,MATCH($F118,'Faculties'!$B$42:$B$51,0))="","Cell will autofill based on response",INDEX('Faculties'!$Q$42:$Q$51,MATCH($F118,'Faculties'!$B$42:$B$51,0))),"N/A")</f>
        <v/>
      </c>
      <c r="K118" s="53">
        <f>IFERROR(IF(INDEX('Faculties'!$Q$58:$Q$67,MATCH($F118,'Faculties'!$B$58:$B$67,0))="","Cell will autofill based on response",INDEX('Faculties'!$Q$58:$Q$67,MATCH($F118,'Faculties'!$B$58:$B$67,0))),"N/A")</f>
        <v/>
      </c>
      <c r="L118" s="53">
        <f>IFERROR(IF(INDEX('CI&amp;S'!$Q$10:$Q$15,MATCH($F118,'CI&amp;S'!$B$10:$B$15,0))="","Cell will autofill based on response",INDEX('CI&amp;S'!$Q$10:$Q$15,MATCH($F118,'CI&amp;S'!$B$10:$B$15,0))),"N/A")</f>
        <v/>
      </c>
      <c r="M118" s="53">
        <f>IFERROR(IF(INDEX('CI&amp;S'!$Q$22:$Q$36,MATCH($F118,'CI&amp;S'!$B$22:$B$36,0))="","Cell will autofill based on response",INDEX('CI&amp;S'!$Q$22:$Q$36,MATCH($F118,'CI&amp;S'!$B$22:$B$36,0))),"N/A")</f>
        <v/>
      </c>
      <c r="N118" s="53">
        <f>IFERROR(IF(INDEX('CFOG'!$Q$10:$Q$16,MATCH($F118,'CFOG'!$B$10:$B$16,0))="","Cell will autofill based on response",INDEX('CFOG'!$Q$10:$Q$16,MATCH($F118,'CFOG'!$B$10:$B$16,0))),"N/A")</f>
        <v/>
      </c>
      <c r="O118" s="53">
        <f>IFERROR(IF(INDEX('CFOG'!$Q$23:$Q$24,MATCH($F118,'CFOG'!$B$23:$B$24,0))="","Cell will autofill based on response",INDEX('CFOG'!$Q$23:$Q$24,MATCH($F118,'CFOG'!$B$23:$B$24,0))),"N/A")</f>
        <v/>
      </c>
      <c r="P118" s="53">
        <f>IFERROR(IF(INDEX('ESG'!$Q$10:$Q$17,MATCH($F118,'ESG'!$B$10:$B$17,0))="","Cell will autofill based on response",INDEX('ESG'!$Q$10:$Q$17,MATCH($F118,'ESG'!$B$10:$B$17,0))),"N/A")</f>
        <v/>
      </c>
      <c r="Q118" s="53">
        <f>IFERROR(IF(INDEX('CIOG'!$Q$10:$Q$14,MATCH($F118,'CIOG'!$B$10:$B$14,0))="","Cell will autofill based on response",INDEX('CIOG'!$Q$10:$Q$14,MATCH($F118,'CIOG'!$B$10:$B$14,0))),"N/A")</f>
        <v/>
      </c>
      <c r="R118" s="53">
        <f>IFERROR(IF(INDEX('MRE'!$Q$10:$Q$18,MATCH($F118,'MRE'!$B$10:$B$18,0))="","Cell will autofill based on response",INDEX('MRE'!$Q$10:$Q$18,MATCH($F118,'MRE'!$B$10:$B$18,0))),"N/A")</f>
        <v/>
      </c>
      <c r="S118" s="53">
        <f>IFERROR(IF(INDEX('AC&amp;M'!$Q$10:$Q$14,MATCH($F118,'AC&amp;M'!$B$10:$B$14,0))="","Cell will autofill based on response",INDEX('AC&amp;M'!$Q$10:$Q$14,MATCH($F118,'AC&amp;M'!$B$10:$B$14,0))),"N/A")</f>
        <v/>
      </c>
      <c r="T118" s="53">
        <f>IFERROR(IF(INDEX('GCE'!$Q$10:$Q$12,MATCH($F118,'GCE'!$B$10:$B$12,0))="","Cell will autofill based on response",INDEX('GCE'!$Q$10:$Q$12,MATCH($F118,'GCE'!$B$10:$B$12,0))),"N/A")</f>
        <v/>
      </c>
      <c r="U118" s="53">
        <f>IFERROR(IF(INDEX('Education'!$Q$10:$Q$13,MATCH($F118,'Education'!$B$10:$B$13,0))="","Cell will autofill based on response",INDEX('Education'!$Q$10:$Q$13,MATCH($F118,'Education'!$B$10:$B$13,0))),"N/A")</f>
        <v/>
      </c>
      <c r="V118" s="53">
        <f>IFERROR(IF(INDEX('SaSS'!$Q$10:$Q$12,MATCH($F118,'SaSS'!$B$10:$B$12,0))="","Cell will autofill based on response",INDEX('SaSS'!$Q$10:$Q$12,MATCH($F118,'SaSS'!$B$10:$B$12,0))),"N/A")</f>
        <v/>
      </c>
      <c r="W118" s="53">
        <f>IFERROR(IF(INDEX('Indigenous'!$Q$10:$Q$11,MATCH($F118,'Indigenous'!$B$10:$B$11,0))="","Cell will autofill based on response",INDEX('Indigenous'!$Q$10:$Q$11,MATCH($F118,'Indigenous'!$B$10:$B$11,0))),"N/A")</f>
        <v/>
      </c>
      <c r="X118" s="53">
        <f>IFERROR(IF(INDEX('L&amp;R'!$Q$10:$Q$11,MATCH($F118,'L&amp;R'!$B$10:$B$11,0))="","Cell will autofill based on response",INDEX('L&amp;R'!$Q$10:$Q$11,MATCH($F118,'L&amp;R'!$B$10:$B$11,0))),"N/A")</f>
        <v/>
      </c>
    </row>
    <row r="119">
      <c r="A119">
        <f>F119&amp;"|"&amp;G119</f>
        <v/>
      </c>
      <c r="B119" s="7" t="inlineStr">
        <is>
          <t>CL3(a)</t>
        </is>
      </c>
      <c r="C119" s="51" t="inlineStr">
        <is>
          <t>Climate leadership</t>
        </is>
      </c>
      <c r="D119"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E119" s="51" t="inlineStr">
        <is>
          <t>Provide update of University maturity assesment. Include maturity ratings, key gaps and priority improvement actions.when available</t>
        </is>
      </c>
      <c r="F119" s="51" t="inlineStr">
        <is>
          <t>CL3(a)</t>
        </is>
      </c>
      <c r="G119" s="51" t="inlineStr">
        <is>
          <t>Confirm end-2026 target status</t>
        </is>
      </c>
      <c r="H119" s="53">
        <f>IFERROR(IF(INDEX('Faculties'!$L$10:$L$19,MATCH($F119,'Faculties'!$B$10:$B$19,0))="","Cell will autofill based on response",INDEX('Faculties'!$L$10:$L$19,MATCH($F119,'Faculties'!$B$10:$B$19,0))),"N/A")</f>
        <v/>
      </c>
      <c r="I119" s="53">
        <f>IFERROR(IF(INDEX('Faculties'!$L$26:$L$35,MATCH($F119,'Faculties'!$B$26:$B$35,0))="","Cell will autofill based on response",INDEX('Faculties'!$L$26:$L$35,MATCH($F119,'Faculties'!$B$26:$B$35,0))),"N/A")</f>
        <v/>
      </c>
      <c r="J119" s="53">
        <f>IFERROR(IF(INDEX('Faculties'!$L$42:$L$51,MATCH($F119,'Faculties'!$B$42:$B$51,0))="","Cell will autofill based on response",INDEX('Faculties'!$L$42:$L$51,MATCH($F119,'Faculties'!$B$42:$B$51,0))),"N/A")</f>
        <v/>
      </c>
      <c r="K119" s="53">
        <f>IFERROR(IF(INDEX('Faculties'!$L$58:$L$67,MATCH($F119,'Faculties'!$B$58:$B$67,0))="","Cell will autofill based on response",INDEX('Faculties'!$L$58:$L$67,MATCH($F119,'Faculties'!$B$58:$B$67,0))),"N/A")</f>
        <v/>
      </c>
      <c r="L119" s="53">
        <f>IFERROR(IF(INDEX('CI&amp;S'!$L$10:$L$15,MATCH($F119,'CI&amp;S'!$B$10:$B$15,0))="","Cell will autofill based on response",INDEX('CI&amp;S'!$L$10:$L$15,MATCH($F119,'CI&amp;S'!$B$10:$B$15,0))),"N/A")</f>
        <v/>
      </c>
      <c r="M119" s="53">
        <f>IFERROR(IF(INDEX('CI&amp;S'!$L$22:$L$36,MATCH($F119,'CI&amp;S'!$B$22:$B$36,0))="","Cell will autofill based on response",INDEX('CI&amp;S'!$L$22:$L$36,MATCH($F119,'CI&amp;S'!$B$22:$B$36,0))),"N/A")</f>
        <v/>
      </c>
      <c r="N119" s="53">
        <f>IFERROR(IF(INDEX('CFOG'!$L$10:$L$16,MATCH($F119,'CFOG'!$B$10:$B$16,0))="","Cell will autofill based on response",INDEX('CFOG'!$L$10:$L$16,MATCH($F119,'CFOG'!$B$10:$B$16,0))),"N/A")</f>
        <v/>
      </c>
      <c r="O119" s="53">
        <f>IFERROR(IF(INDEX('CFOG'!$L$23:$L$24,MATCH($F119,'CFOG'!$B$23:$B$24,0))="","Cell will autofill based on response",INDEX('CFOG'!$L$23:$L$24,MATCH($F119,'CFOG'!$B$23:$B$24,0))),"N/A")</f>
        <v/>
      </c>
      <c r="P119" s="53">
        <f>IFERROR(IF(INDEX('ESG'!$L$10:$L$17,MATCH($F119,'ESG'!$B$10:$B$17,0))="","Cell will autofill based on response",INDEX('ESG'!$L$10:$L$17,MATCH($F119,'ESG'!$B$10:$B$17,0))),"N/A")</f>
        <v/>
      </c>
      <c r="Q119" s="53">
        <f>IFERROR(IF(INDEX('CIOG'!$L$10:$L$14,MATCH($F119,'CIOG'!$B$10:$B$14,0))="","Cell will autofill based on response",INDEX('CIOG'!$L$10:$L$14,MATCH($F119,'CIOG'!$B$10:$B$14,0))),"N/A")</f>
        <v/>
      </c>
      <c r="R119" s="53">
        <f>IFERROR(IF(INDEX('MRE'!$L$10:$L$18,MATCH($F119,'MRE'!$B$10:$B$18,0))="","Cell will autofill based on response",INDEX('MRE'!$L$10:$L$18,MATCH($F119,'MRE'!$B$10:$B$18,0))),"N/A")</f>
        <v/>
      </c>
      <c r="S119" s="53">
        <f>IFERROR(IF(INDEX('AC&amp;M'!$L$10:$L$14,MATCH($F119,'AC&amp;M'!$B$10:$B$14,0))="","Cell will autofill based on response",INDEX('AC&amp;M'!$L$10:$L$14,MATCH($F119,'AC&amp;M'!$B$10:$B$14,0))),"N/A")</f>
        <v/>
      </c>
      <c r="T119" s="53">
        <f>IFERROR(IF(INDEX('GCE'!$L$10:$L$12,MATCH($F119,'GCE'!$B$10:$B$12,0))="","Cell will autofill based on response",INDEX('GCE'!$L$10:$L$12,MATCH($F119,'GCE'!$B$10:$B$12,0))),"N/A")</f>
        <v/>
      </c>
      <c r="U119" s="53">
        <f>IFERROR(IF(INDEX('Education'!$L$10:$L$13,MATCH($F119,'Education'!$B$10:$B$13,0))="","Cell will autofill based on response",INDEX('Education'!$L$10:$L$13,MATCH($F119,'Education'!$B$10:$B$13,0))),"N/A")</f>
        <v/>
      </c>
      <c r="V119" s="53">
        <f>IFERROR(IF(INDEX('SaSS'!$L$10:$L$12,MATCH($F119,'SaSS'!$B$10:$B$12,0))="","Cell will autofill based on response",INDEX('SaSS'!$L$10:$L$12,MATCH($F119,'SaSS'!$B$10:$B$12,0))),"N/A")</f>
        <v/>
      </c>
      <c r="W119" s="53">
        <f>IFERROR(IF(INDEX('Indigenous'!$L$10:$L$11,MATCH($F119,'Indigenous'!$B$10:$B$11,0))="","Cell will autofill based on response",INDEX('Indigenous'!$L$10:$L$11,MATCH($F119,'Indigenous'!$B$10:$B$11,0))),"N/A")</f>
        <v/>
      </c>
      <c r="X119" s="53">
        <f>IFERROR(IF(INDEX('L&amp;R'!$L$10:$L$11,MATCH($F119,'L&amp;R'!$B$10:$B$11,0))="","Cell will autofill based on response",INDEX('L&amp;R'!$L$10:$L$11,MATCH($F119,'L&amp;R'!$B$10:$B$11,0))),"N/A")</f>
        <v/>
      </c>
      <c r="Z119" s="10">
        <f>COUNTIF($H119:$X119,"Cell will autofill based on response")</f>
        <v/>
      </c>
      <c r="AA119" s="10">
        <f>COUNTIF($H119:$X119,"Not yet started")</f>
        <v/>
      </c>
      <c r="AB119" s="10">
        <f>COUNTIF($H119:$X119,"Not met")</f>
        <v/>
      </c>
      <c r="AC119" s="10">
        <f>COUNTIF($H119:$X119,"Partially met")</f>
        <v/>
      </c>
      <c r="AD119" s="10">
        <f>COUNTIF($H119:$X119,"Met or exceeded")</f>
        <v/>
      </c>
      <c r="AE119" s="10">
        <f>3*AD119+2*AC119+AB119</f>
        <v/>
      </c>
      <c r="AF119" s="10">
        <f>AD119+AC119+AB119+AA119</f>
        <v/>
      </c>
      <c r="AG119" s="54">
        <f>IF(AF119&gt;0,AE119/AF119,"No valid responses to date")</f>
        <v/>
      </c>
      <c r="AH119" s="10">
        <f>IF(ISNUMBER(AG119),INDEX(Lists!$G$2:$G$5,MATCH(ROUND(AG119,0),Lists!$H$2:$H$5,0)),"")</f>
        <v/>
      </c>
      <c r="AI119" s="55">
        <f>IF(AF119&gt;0,AD119/AF119,"")</f>
        <v/>
      </c>
      <c r="AJ119" s="55">
        <f>IF(AF119&gt;0,(AD119+AC119)/AF119,"")</f>
        <v/>
      </c>
      <c r="AK119" s="10">
        <f>IF(AF119=0,"",IF(AI119&gt;0.75,"Met or exceeded",IF(AJ119&gt;=0.5,"Partially met","Not met")))</f>
        <v/>
      </c>
    </row>
    <row r="120">
      <c r="A120">
        <f>F120&amp;"|"&amp;G120</f>
        <v/>
      </c>
      <c r="B120" s="13" t="inlineStr"/>
      <c r="C120" s="8" t="inlineStr"/>
      <c r="D120" s="8" t="inlineStr"/>
      <c r="E120" s="8" t="inlineStr"/>
      <c r="F120" s="8" t="inlineStr">
        <is>
          <t>CL3(a)</t>
        </is>
      </c>
      <c r="G120" s="8" t="inlineStr">
        <is>
          <t>OPTION 1:  Target-level reporting</t>
        </is>
      </c>
      <c r="H120" s="53">
        <f>IFERROR(IF(INDEX('Faculties'!$M$10:$M$19,MATCH($F120,'Faculties'!$B$10:$B$19,0))="","Cell will autofill based on response",INDEX('Faculties'!$M$10:$M$19,MATCH($F120,'Faculties'!$B$10:$B$19,0))),"N/A")</f>
        <v/>
      </c>
      <c r="I120" s="53">
        <f>IFERROR(IF(INDEX('Faculties'!$M$26:$M$35,MATCH($F120,'Faculties'!$B$26:$B$35,0))="","Cell will autofill based on response",INDEX('Faculties'!$M$26:$M$35,MATCH($F120,'Faculties'!$B$26:$B$35,0))),"N/A")</f>
        <v/>
      </c>
      <c r="J120" s="53">
        <f>IFERROR(IF(INDEX('Faculties'!$M$42:$M$51,MATCH($F120,'Faculties'!$B$42:$B$51,0))="","Cell will autofill based on response",INDEX('Faculties'!$M$42:$M$51,MATCH($F120,'Faculties'!$B$42:$B$51,0))),"N/A")</f>
        <v/>
      </c>
      <c r="K120" s="53">
        <f>IFERROR(IF(INDEX('Faculties'!$M$58:$M$67,MATCH($F120,'Faculties'!$B$58:$B$67,0))="","Cell will autofill based on response",INDEX('Faculties'!$M$58:$M$67,MATCH($F120,'Faculties'!$B$58:$B$67,0))),"N/A")</f>
        <v/>
      </c>
      <c r="L120" s="53">
        <f>IFERROR(IF(INDEX('CI&amp;S'!$M$10:$M$15,MATCH($F120,'CI&amp;S'!$B$10:$B$15,0))="","Cell will autofill based on response",INDEX('CI&amp;S'!$M$10:$M$15,MATCH($F120,'CI&amp;S'!$B$10:$B$15,0))),"N/A")</f>
        <v/>
      </c>
      <c r="M120" s="53">
        <f>IFERROR(IF(INDEX('CI&amp;S'!$M$22:$M$36,MATCH($F120,'CI&amp;S'!$B$22:$B$36,0))="","Cell will autofill based on response",INDEX('CI&amp;S'!$M$22:$M$36,MATCH($F120,'CI&amp;S'!$B$22:$B$36,0))),"N/A")</f>
        <v/>
      </c>
      <c r="N120" s="53">
        <f>IFERROR(IF(INDEX('CFOG'!$M$10:$M$16,MATCH($F120,'CFOG'!$B$10:$B$16,0))="","Cell will autofill based on response",INDEX('CFOG'!$M$10:$M$16,MATCH($F120,'CFOG'!$B$10:$B$16,0))),"N/A")</f>
        <v/>
      </c>
      <c r="O120" s="53">
        <f>IFERROR(IF(INDEX('CFOG'!$M$23:$M$24,MATCH($F120,'CFOG'!$B$23:$B$24,0))="","Cell will autofill based on response",INDEX('CFOG'!$M$23:$M$24,MATCH($F120,'CFOG'!$B$23:$B$24,0))),"N/A")</f>
        <v/>
      </c>
      <c r="P120" s="53">
        <f>IFERROR(IF(INDEX('ESG'!$M$10:$M$17,MATCH($F120,'ESG'!$B$10:$B$17,0))="","Cell will autofill based on response",INDEX('ESG'!$M$10:$M$17,MATCH($F120,'ESG'!$B$10:$B$17,0))),"N/A")</f>
        <v/>
      </c>
      <c r="Q120" s="53">
        <f>IFERROR(IF(INDEX('CIOG'!$M$10:$M$14,MATCH($F120,'CIOG'!$B$10:$B$14,0))="","Cell will autofill based on response",INDEX('CIOG'!$M$10:$M$14,MATCH($F120,'CIOG'!$B$10:$B$14,0))),"N/A")</f>
        <v/>
      </c>
      <c r="R120" s="53">
        <f>IFERROR(IF(INDEX('MRE'!$M$10:$M$18,MATCH($F120,'MRE'!$B$10:$B$18,0))="","Cell will autofill based on response",INDEX('MRE'!$M$10:$M$18,MATCH($F120,'MRE'!$B$10:$B$18,0))),"N/A")</f>
        <v/>
      </c>
      <c r="S120" s="53">
        <f>IFERROR(IF(INDEX('AC&amp;M'!$M$10:$M$14,MATCH($F120,'AC&amp;M'!$B$10:$B$14,0))="","Cell will autofill based on response",INDEX('AC&amp;M'!$M$10:$M$14,MATCH($F120,'AC&amp;M'!$B$10:$B$14,0))),"N/A")</f>
        <v/>
      </c>
      <c r="T120" s="53">
        <f>IFERROR(IF(INDEX('GCE'!$M$10:$M$12,MATCH($F120,'GCE'!$B$10:$B$12,0))="","Cell will autofill based on response",INDEX('GCE'!$M$10:$M$12,MATCH($F120,'GCE'!$B$10:$B$12,0))),"N/A")</f>
        <v/>
      </c>
      <c r="U120" s="53">
        <f>IFERROR(IF(INDEX('Education'!$M$10:$M$13,MATCH($F120,'Education'!$B$10:$B$13,0))="","Cell will autofill based on response",INDEX('Education'!$M$10:$M$13,MATCH($F120,'Education'!$B$10:$B$13,0))),"N/A")</f>
        <v/>
      </c>
      <c r="V120" s="53">
        <f>IFERROR(IF(INDEX('SaSS'!$M$10:$M$12,MATCH($F120,'SaSS'!$B$10:$B$12,0))="","Cell will autofill based on response",INDEX('SaSS'!$M$10:$M$12,MATCH($F120,'SaSS'!$B$10:$B$12,0))),"N/A")</f>
        <v/>
      </c>
      <c r="W120" s="53">
        <f>IFERROR(IF(INDEX('Indigenous'!$M$10:$M$11,MATCH($F120,'Indigenous'!$B$10:$B$11,0))="","Cell will autofill based on response",INDEX('Indigenous'!$M$10:$M$11,MATCH($F120,'Indigenous'!$B$10:$B$11,0))),"N/A")</f>
        <v/>
      </c>
      <c r="X120" s="53">
        <f>IFERROR(IF(INDEX('L&amp;R'!$M$10:$M$11,MATCH($F120,'L&amp;R'!$B$10:$B$11,0))="","Cell will autofill based on response",INDEX('L&amp;R'!$M$10:$M$11,MATCH($F120,'L&amp;R'!$B$10:$B$11,0))),"N/A")</f>
        <v/>
      </c>
    </row>
    <row r="121">
      <c r="A121">
        <f>F121&amp;"|"&amp;G121</f>
        <v/>
      </c>
      <c r="B121" s="13" t="inlineStr"/>
      <c r="C121" s="8" t="inlineStr"/>
      <c r="D121" s="8" t="inlineStr"/>
      <c r="E121" s="8" t="inlineStr"/>
      <c r="F121" s="8" t="inlineStr">
        <is>
          <t>CL3(a)</t>
        </is>
      </c>
      <c r="G121" s="8" t="inlineStr">
        <is>
          <t>OPTION 2:  Indicator level reporting</t>
        </is>
      </c>
      <c r="H121" s="53">
        <f>IFERROR(IF(INDEX('Faculties'!$N$10:$N$19,MATCH($F121,'Faculties'!$B$10:$B$19,0))="","Cell will autofill based on response",INDEX('Faculties'!$N$10:$N$19,MATCH($F121,'Faculties'!$B$10:$B$19,0))),"N/A")</f>
        <v/>
      </c>
      <c r="I121" s="53">
        <f>IFERROR(IF(INDEX('Faculties'!$N$26:$N$35,MATCH($F121,'Faculties'!$B$26:$B$35,0))="","Cell will autofill based on response",INDEX('Faculties'!$N$26:$N$35,MATCH($F121,'Faculties'!$B$26:$B$35,0))),"N/A")</f>
        <v/>
      </c>
      <c r="J121" s="53">
        <f>IFERROR(IF(INDEX('Faculties'!$N$42:$N$51,MATCH($F121,'Faculties'!$B$42:$B$51,0))="","Cell will autofill based on response",INDEX('Faculties'!$N$42:$N$51,MATCH($F121,'Faculties'!$B$42:$B$51,0))),"N/A")</f>
        <v/>
      </c>
      <c r="K121" s="53">
        <f>IFERROR(IF(INDEX('Faculties'!$N$58:$N$67,MATCH($F121,'Faculties'!$B$58:$B$67,0))="","Cell will autofill based on response",INDEX('Faculties'!$N$58:$N$67,MATCH($F121,'Faculties'!$B$58:$B$67,0))),"N/A")</f>
        <v/>
      </c>
      <c r="L121" s="53">
        <f>IFERROR(IF(INDEX('CI&amp;S'!$N$10:$N$15,MATCH($F121,'CI&amp;S'!$B$10:$B$15,0))="","Cell will autofill based on response",INDEX('CI&amp;S'!$N$10:$N$15,MATCH($F121,'CI&amp;S'!$B$10:$B$15,0))),"N/A")</f>
        <v/>
      </c>
      <c r="M121" s="53">
        <f>IFERROR(IF(INDEX('CI&amp;S'!$N$22:$N$36,MATCH($F121,'CI&amp;S'!$B$22:$B$36,0))="","Cell will autofill based on response",INDEX('CI&amp;S'!$N$22:$N$36,MATCH($F121,'CI&amp;S'!$B$22:$B$36,0))),"N/A")</f>
        <v/>
      </c>
      <c r="N121" s="53">
        <f>IFERROR(IF(INDEX('CFOG'!$N$10:$N$16,MATCH($F121,'CFOG'!$B$10:$B$16,0))="","Cell will autofill based on response",INDEX('CFOG'!$N$10:$N$16,MATCH($F121,'CFOG'!$B$10:$B$16,0))),"N/A")</f>
        <v/>
      </c>
      <c r="O121" s="53">
        <f>IFERROR(IF(INDEX('CFOG'!$N$23:$N$24,MATCH($F121,'CFOG'!$B$23:$B$24,0))="","Cell will autofill based on response",INDEX('CFOG'!$N$23:$N$24,MATCH($F121,'CFOG'!$B$23:$B$24,0))),"N/A")</f>
        <v/>
      </c>
      <c r="P121" s="53">
        <f>IFERROR(IF(INDEX('ESG'!$N$10:$N$17,MATCH($F121,'ESG'!$B$10:$B$17,0))="","Cell will autofill based on response",INDEX('ESG'!$N$10:$N$17,MATCH($F121,'ESG'!$B$10:$B$17,0))),"N/A")</f>
        <v/>
      </c>
      <c r="Q121" s="53">
        <f>IFERROR(IF(INDEX('CIOG'!$N$10:$N$14,MATCH($F121,'CIOG'!$B$10:$B$14,0))="","Cell will autofill based on response",INDEX('CIOG'!$N$10:$N$14,MATCH($F121,'CIOG'!$B$10:$B$14,0))),"N/A")</f>
        <v/>
      </c>
      <c r="R121" s="53">
        <f>IFERROR(IF(INDEX('MRE'!$N$10:$N$18,MATCH($F121,'MRE'!$B$10:$B$18,0))="","Cell will autofill based on response",INDEX('MRE'!$N$10:$N$18,MATCH($F121,'MRE'!$B$10:$B$18,0))),"N/A")</f>
        <v/>
      </c>
      <c r="S121" s="53">
        <f>IFERROR(IF(INDEX('AC&amp;M'!$N$10:$N$14,MATCH($F121,'AC&amp;M'!$B$10:$B$14,0))="","Cell will autofill based on response",INDEX('AC&amp;M'!$N$10:$N$14,MATCH($F121,'AC&amp;M'!$B$10:$B$14,0))),"N/A")</f>
        <v/>
      </c>
      <c r="T121" s="53">
        <f>IFERROR(IF(INDEX('GCE'!$N$10:$N$12,MATCH($F121,'GCE'!$B$10:$B$12,0))="","Cell will autofill based on response",INDEX('GCE'!$N$10:$N$12,MATCH($F121,'GCE'!$B$10:$B$12,0))),"N/A")</f>
        <v/>
      </c>
      <c r="U121" s="53">
        <f>IFERROR(IF(INDEX('Education'!$N$10:$N$13,MATCH($F121,'Education'!$B$10:$B$13,0))="","Cell will autofill based on response",INDEX('Education'!$N$10:$N$13,MATCH($F121,'Education'!$B$10:$B$13,0))),"N/A")</f>
        <v/>
      </c>
      <c r="V121" s="53">
        <f>IFERROR(IF(INDEX('SaSS'!$N$10:$N$12,MATCH($F121,'SaSS'!$B$10:$B$12,0))="","Cell will autofill based on response",INDEX('SaSS'!$N$10:$N$12,MATCH($F121,'SaSS'!$B$10:$B$12,0))),"N/A")</f>
        <v/>
      </c>
      <c r="W121" s="53">
        <f>IFERROR(IF(INDEX('Indigenous'!$N$10:$N$11,MATCH($F121,'Indigenous'!$B$10:$B$11,0))="","Cell will autofill based on response",INDEX('Indigenous'!$N$10:$N$11,MATCH($F121,'Indigenous'!$B$10:$B$11,0))),"N/A")</f>
        <v/>
      </c>
      <c r="X121" s="53">
        <f>IFERROR(IF(INDEX('L&amp;R'!$N$10:$N$11,MATCH($F121,'L&amp;R'!$B$10:$B$11,0))="","Cell will autofill based on response",INDEX('L&amp;R'!$N$10:$N$11,MATCH($F121,'L&amp;R'!$B$10:$B$11,0))),"N/A")</f>
        <v/>
      </c>
    </row>
    <row r="122">
      <c r="A122">
        <f>F122&amp;"|"&amp;G122</f>
        <v/>
      </c>
      <c r="B122" s="13" t="inlineStr"/>
      <c r="C122" s="8" t="inlineStr"/>
      <c r="D122" s="8" t="inlineStr"/>
      <c r="E122" s="8" t="inlineStr"/>
      <c r="F122" s="8" t="inlineStr">
        <is>
          <t>CL3(a)</t>
        </is>
      </c>
      <c r="G122" s="8" t="inlineStr">
        <is>
          <t>Supporting information/comments</t>
        </is>
      </c>
      <c r="H122" s="53">
        <f>IFERROR(IF(INDEX('Faculties'!$O$10:$O$19,MATCH($F122,'Faculties'!$B$10:$B$19,0))="","Cell will autofill based on response",INDEX('Faculties'!$O$10:$O$19,MATCH($F122,'Faculties'!$B$10:$B$19,0))),"N/A")</f>
        <v/>
      </c>
      <c r="I122" s="53">
        <f>IFERROR(IF(INDEX('Faculties'!$O$26:$O$35,MATCH($F122,'Faculties'!$B$26:$B$35,0))="","Cell will autofill based on response",INDEX('Faculties'!$O$26:$O$35,MATCH($F122,'Faculties'!$B$26:$B$35,0))),"N/A")</f>
        <v/>
      </c>
      <c r="J122" s="53">
        <f>IFERROR(IF(INDEX('Faculties'!$O$42:$O$51,MATCH($F122,'Faculties'!$B$42:$B$51,0))="","Cell will autofill based on response",INDEX('Faculties'!$O$42:$O$51,MATCH($F122,'Faculties'!$B$42:$B$51,0))),"N/A")</f>
        <v/>
      </c>
      <c r="K122" s="53">
        <f>IFERROR(IF(INDEX('Faculties'!$O$58:$O$67,MATCH($F122,'Faculties'!$B$58:$B$67,0))="","Cell will autofill based on response",INDEX('Faculties'!$O$58:$O$67,MATCH($F122,'Faculties'!$B$58:$B$67,0))),"N/A")</f>
        <v/>
      </c>
      <c r="L122" s="53">
        <f>IFERROR(IF(INDEX('CI&amp;S'!$O$10:$O$15,MATCH($F122,'CI&amp;S'!$B$10:$B$15,0))="","Cell will autofill based on response",INDEX('CI&amp;S'!$O$10:$O$15,MATCH($F122,'CI&amp;S'!$B$10:$B$15,0))),"N/A")</f>
        <v/>
      </c>
      <c r="M122" s="53">
        <f>IFERROR(IF(INDEX('CI&amp;S'!$O$22:$O$36,MATCH($F122,'CI&amp;S'!$B$22:$B$36,0))="","Cell will autofill based on response",INDEX('CI&amp;S'!$O$22:$O$36,MATCH($F122,'CI&amp;S'!$B$22:$B$36,0))),"N/A")</f>
        <v/>
      </c>
      <c r="N122" s="53">
        <f>IFERROR(IF(INDEX('CFOG'!$O$10:$O$16,MATCH($F122,'CFOG'!$B$10:$B$16,0))="","Cell will autofill based on response",INDEX('CFOG'!$O$10:$O$16,MATCH($F122,'CFOG'!$B$10:$B$16,0))),"N/A")</f>
        <v/>
      </c>
      <c r="O122" s="53">
        <f>IFERROR(IF(INDEX('CFOG'!$O$23:$O$24,MATCH($F122,'CFOG'!$B$23:$B$24,0))="","Cell will autofill based on response",INDEX('CFOG'!$O$23:$O$24,MATCH($F122,'CFOG'!$B$23:$B$24,0))),"N/A")</f>
        <v/>
      </c>
      <c r="P122" s="53">
        <f>IFERROR(IF(INDEX('ESG'!$O$10:$O$17,MATCH($F122,'ESG'!$B$10:$B$17,0))="","Cell will autofill based on response",INDEX('ESG'!$O$10:$O$17,MATCH($F122,'ESG'!$B$10:$B$17,0))),"N/A")</f>
        <v/>
      </c>
      <c r="Q122" s="53">
        <f>IFERROR(IF(INDEX('CIOG'!$O$10:$O$14,MATCH($F122,'CIOG'!$B$10:$B$14,0))="","Cell will autofill based on response",INDEX('CIOG'!$O$10:$O$14,MATCH($F122,'CIOG'!$B$10:$B$14,0))),"N/A")</f>
        <v/>
      </c>
      <c r="R122" s="53">
        <f>IFERROR(IF(INDEX('MRE'!$O$10:$O$18,MATCH($F122,'MRE'!$B$10:$B$18,0))="","Cell will autofill based on response",INDEX('MRE'!$O$10:$O$18,MATCH($F122,'MRE'!$B$10:$B$18,0))),"N/A")</f>
        <v/>
      </c>
      <c r="S122" s="53">
        <f>IFERROR(IF(INDEX('AC&amp;M'!$O$10:$O$14,MATCH($F122,'AC&amp;M'!$B$10:$B$14,0))="","Cell will autofill based on response",INDEX('AC&amp;M'!$O$10:$O$14,MATCH($F122,'AC&amp;M'!$B$10:$B$14,0))),"N/A")</f>
        <v/>
      </c>
      <c r="T122" s="53">
        <f>IFERROR(IF(INDEX('GCE'!$O$10:$O$12,MATCH($F122,'GCE'!$B$10:$B$12,0))="","Cell will autofill based on response",INDEX('GCE'!$O$10:$O$12,MATCH($F122,'GCE'!$B$10:$B$12,0))),"N/A")</f>
        <v/>
      </c>
      <c r="U122" s="53">
        <f>IFERROR(IF(INDEX('Education'!$O$10:$O$13,MATCH($F122,'Education'!$B$10:$B$13,0))="","Cell will autofill based on response",INDEX('Education'!$O$10:$O$13,MATCH($F122,'Education'!$B$10:$B$13,0))),"N/A")</f>
        <v/>
      </c>
      <c r="V122" s="53">
        <f>IFERROR(IF(INDEX('SaSS'!$O$10:$O$12,MATCH($F122,'SaSS'!$B$10:$B$12,0))="","Cell will autofill based on response",INDEX('SaSS'!$O$10:$O$12,MATCH($F122,'SaSS'!$B$10:$B$12,0))),"N/A")</f>
        <v/>
      </c>
      <c r="W122" s="53">
        <f>IFERROR(IF(INDEX('Indigenous'!$O$10:$O$11,MATCH($F122,'Indigenous'!$B$10:$B$11,0))="","Cell will autofill based on response",INDEX('Indigenous'!$O$10:$O$11,MATCH($F122,'Indigenous'!$B$10:$B$11,0))),"N/A")</f>
        <v/>
      </c>
      <c r="X122" s="53">
        <f>IFERROR(IF(INDEX('L&amp;R'!$O$10:$O$11,MATCH($F122,'L&amp;R'!$B$10:$B$11,0))="","Cell will autofill based on response",INDEX('L&amp;R'!$O$10:$O$11,MATCH($F122,'L&amp;R'!$B$10:$B$11,0))),"N/A")</f>
        <v/>
      </c>
    </row>
    <row r="123">
      <c r="A123">
        <f>F123&amp;"|"&amp;G123</f>
        <v/>
      </c>
      <c r="B123" s="13" t="inlineStr"/>
      <c r="C123" s="8" t="inlineStr"/>
      <c r="D123" s="8" t="inlineStr"/>
      <c r="E123" s="8" t="inlineStr"/>
      <c r="F123" s="8" t="inlineStr">
        <is>
          <t>CL3(a)</t>
        </is>
      </c>
      <c r="G123" s="8" t="inlineStr">
        <is>
          <t>Data source and limitations</t>
        </is>
      </c>
      <c r="H123" s="53">
        <f>IFERROR(IF(INDEX('Faculties'!$P$10:$P$19,MATCH($F123,'Faculties'!$B$10:$B$19,0))="","Cell will autofill based on response",INDEX('Faculties'!$P$10:$P$19,MATCH($F123,'Faculties'!$B$10:$B$19,0))),"N/A")</f>
        <v/>
      </c>
      <c r="I123" s="53">
        <f>IFERROR(IF(INDEX('Faculties'!$P$26:$P$35,MATCH($F123,'Faculties'!$B$26:$B$35,0))="","Cell will autofill based on response",INDEX('Faculties'!$P$26:$P$35,MATCH($F123,'Faculties'!$B$26:$B$35,0))),"N/A")</f>
        <v/>
      </c>
      <c r="J123" s="53">
        <f>IFERROR(IF(INDEX('Faculties'!$P$42:$P$51,MATCH($F123,'Faculties'!$B$42:$B$51,0))="","Cell will autofill based on response",INDEX('Faculties'!$P$42:$P$51,MATCH($F123,'Faculties'!$B$42:$B$51,0))),"N/A")</f>
        <v/>
      </c>
      <c r="K123" s="53">
        <f>IFERROR(IF(INDEX('Faculties'!$P$58:$P$67,MATCH($F123,'Faculties'!$B$58:$B$67,0))="","Cell will autofill based on response",INDEX('Faculties'!$P$58:$P$67,MATCH($F123,'Faculties'!$B$58:$B$67,0))),"N/A")</f>
        <v/>
      </c>
      <c r="L123" s="53">
        <f>IFERROR(IF(INDEX('CI&amp;S'!$P$10:$P$15,MATCH($F123,'CI&amp;S'!$B$10:$B$15,0))="","Cell will autofill based on response",INDEX('CI&amp;S'!$P$10:$P$15,MATCH($F123,'CI&amp;S'!$B$10:$B$15,0))),"N/A")</f>
        <v/>
      </c>
      <c r="M123" s="53">
        <f>IFERROR(IF(INDEX('CI&amp;S'!$P$22:$P$36,MATCH($F123,'CI&amp;S'!$B$22:$B$36,0))="","Cell will autofill based on response",INDEX('CI&amp;S'!$P$22:$P$36,MATCH($F123,'CI&amp;S'!$B$22:$B$36,0))),"N/A")</f>
        <v/>
      </c>
      <c r="N123" s="53">
        <f>IFERROR(IF(INDEX('CFOG'!$P$10:$P$16,MATCH($F123,'CFOG'!$B$10:$B$16,0))="","Cell will autofill based on response",INDEX('CFOG'!$P$10:$P$16,MATCH($F123,'CFOG'!$B$10:$B$16,0))),"N/A")</f>
        <v/>
      </c>
      <c r="O123" s="53">
        <f>IFERROR(IF(INDEX('CFOG'!$P$23:$P$24,MATCH($F123,'CFOG'!$B$23:$B$24,0))="","Cell will autofill based on response",INDEX('CFOG'!$P$23:$P$24,MATCH($F123,'CFOG'!$B$23:$B$24,0))),"N/A")</f>
        <v/>
      </c>
      <c r="P123" s="53">
        <f>IFERROR(IF(INDEX('ESG'!$P$10:$P$17,MATCH($F123,'ESG'!$B$10:$B$17,0))="","Cell will autofill based on response",INDEX('ESG'!$P$10:$P$17,MATCH($F123,'ESG'!$B$10:$B$17,0))),"N/A")</f>
        <v/>
      </c>
      <c r="Q123" s="53">
        <f>IFERROR(IF(INDEX('CIOG'!$P$10:$P$14,MATCH($F123,'CIOG'!$B$10:$B$14,0))="","Cell will autofill based on response",INDEX('CIOG'!$P$10:$P$14,MATCH($F123,'CIOG'!$B$10:$B$14,0))),"N/A")</f>
        <v/>
      </c>
      <c r="R123" s="53">
        <f>IFERROR(IF(INDEX('MRE'!$P$10:$P$18,MATCH($F123,'MRE'!$B$10:$B$18,0))="","Cell will autofill based on response",INDEX('MRE'!$P$10:$P$18,MATCH($F123,'MRE'!$B$10:$B$18,0))),"N/A")</f>
        <v/>
      </c>
      <c r="S123" s="53">
        <f>IFERROR(IF(INDEX('AC&amp;M'!$P$10:$P$14,MATCH($F123,'AC&amp;M'!$B$10:$B$14,0))="","Cell will autofill based on response",INDEX('AC&amp;M'!$P$10:$P$14,MATCH($F123,'AC&amp;M'!$B$10:$B$14,0))),"N/A")</f>
        <v/>
      </c>
      <c r="T123" s="53">
        <f>IFERROR(IF(INDEX('GCE'!$P$10:$P$12,MATCH($F123,'GCE'!$B$10:$B$12,0))="","Cell will autofill based on response",INDEX('GCE'!$P$10:$P$12,MATCH($F123,'GCE'!$B$10:$B$12,0))),"N/A")</f>
        <v/>
      </c>
      <c r="U123" s="53">
        <f>IFERROR(IF(INDEX('Education'!$P$10:$P$13,MATCH($F123,'Education'!$B$10:$B$13,0))="","Cell will autofill based on response",INDEX('Education'!$P$10:$P$13,MATCH($F123,'Education'!$B$10:$B$13,0))),"N/A")</f>
        <v/>
      </c>
      <c r="V123" s="53">
        <f>IFERROR(IF(INDEX('SaSS'!$P$10:$P$12,MATCH($F123,'SaSS'!$B$10:$B$12,0))="","Cell will autofill based on response",INDEX('SaSS'!$P$10:$P$12,MATCH($F123,'SaSS'!$B$10:$B$12,0))),"N/A")</f>
        <v/>
      </c>
      <c r="W123" s="53">
        <f>IFERROR(IF(INDEX('Indigenous'!$P$10:$P$11,MATCH($F123,'Indigenous'!$B$10:$B$11,0))="","Cell will autofill based on response",INDEX('Indigenous'!$P$10:$P$11,MATCH($F123,'Indigenous'!$B$10:$B$11,0))),"N/A")</f>
        <v/>
      </c>
      <c r="X123" s="53">
        <f>IFERROR(IF(INDEX('L&amp;R'!$P$10:$P$11,MATCH($F123,'L&amp;R'!$B$10:$B$11,0))="","Cell will autofill based on response",INDEX('L&amp;R'!$P$10:$P$11,MATCH($F123,'L&amp;R'!$B$10:$B$11,0))),"N/A")</f>
        <v/>
      </c>
    </row>
    <row r="124">
      <c r="A124">
        <f>F124&amp;"|"&amp;G124</f>
        <v/>
      </c>
      <c r="B124" s="13" t="inlineStr"/>
      <c r="C124" s="8" t="inlineStr"/>
      <c r="D124" s="8" t="inlineStr"/>
      <c r="E124" s="8" t="inlineStr"/>
      <c r="F124" s="8" t="inlineStr">
        <is>
          <t>CL3(a)</t>
        </is>
      </c>
      <c r="G124" s="8" t="inlineStr">
        <is>
          <t>Data owner confirms</t>
        </is>
      </c>
      <c r="H124" s="53">
        <f>IFERROR(IF(INDEX('Faculties'!$Q$10:$Q$19,MATCH($F124,'Faculties'!$B$10:$B$19,0))="","Cell will autofill based on response",INDEX('Faculties'!$Q$10:$Q$19,MATCH($F124,'Faculties'!$B$10:$B$19,0))),"N/A")</f>
        <v/>
      </c>
      <c r="I124" s="53">
        <f>IFERROR(IF(INDEX('Faculties'!$Q$26:$Q$35,MATCH($F124,'Faculties'!$B$26:$B$35,0))="","Cell will autofill based on response",INDEX('Faculties'!$Q$26:$Q$35,MATCH($F124,'Faculties'!$B$26:$B$35,0))),"N/A")</f>
        <v/>
      </c>
      <c r="J124" s="53">
        <f>IFERROR(IF(INDEX('Faculties'!$Q$42:$Q$51,MATCH($F124,'Faculties'!$B$42:$B$51,0))="","Cell will autofill based on response",INDEX('Faculties'!$Q$42:$Q$51,MATCH($F124,'Faculties'!$B$42:$B$51,0))),"N/A")</f>
        <v/>
      </c>
      <c r="K124" s="53">
        <f>IFERROR(IF(INDEX('Faculties'!$Q$58:$Q$67,MATCH($F124,'Faculties'!$B$58:$B$67,0))="","Cell will autofill based on response",INDEX('Faculties'!$Q$58:$Q$67,MATCH($F124,'Faculties'!$B$58:$B$67,0))),"N/A")</f>
        <v/>
      </c>
      <c r="L124" s="53">
        <f>IFERROR(IF(INDEX('CI&amp;S'!$Q$10:$Q$15,MATCH($F124,'CI&amp;S'!$B$10:$B$15,0))="","Cell will autofill based on response",INDEX('CI&amp;S'!$Q$10:$Q$15,MATCH($F124,'CI&amp;S'!$B$10:$B$15,0))),"N/A")</f>
        <v/>
      </c>
      <c r="M124" s="53">
        <f>IFERROR(IF(INDEX('CI&amp;S'!$Q$22:$Q$36,MATCH($F124,'CI&amp;S'!$B$22:$B$36,0))="","Cell will autofill based on response",INDEX('CI&amp;S'!$Q$22:$Q$36,MATCH($F124,'CI&amp;S'!$B$22:$B$36,0))),"N/A")</f>
        <v/>
      </c>
      <c r="N124" s="53">
        <f>IFERROR(IF(INDEX('CFOG'!$Q$10:$Q$16,MATCH($F124,'CFOG'!$B$10:$B$16,0))="","Cell will autofill based on response",INDEX('CFOG'!$Q$10:$Q$16,MATCH($F124,'CFOG'!$B$10:$B$16,0))),"N/A")</f>
        <v/>
      </c>
      <c r="O124" s="53">
        <f>IFERROR(IF(INDEX('CFOG'!$Q$23:$Q$24,MATCH($F124,'CFOG'!$B$23:$B$24,0))="","Cell will autofill based on response",INDEX('CFOG'!$Q$23:$Q$24,MATCH($F124,'CFOG'!$B$23:$B$24,0))),"N/A")</f>
        <v/>
      </c>
      <c r="P124" s="53">
        <f>IFERROR(IF(INDEX('ESG'!$Q$10:$Q$17,MATCH($F124,'ESG'!$B$10:$B$17,0))="","Cell will autofill based on response",INDEX('ESG'!$Q$10:$Q$17,MATCH($F124,'ESG'!$B$10:$B$17,0))),"N/A")</f>
        <v/>
      </c>
      <c r="Q124" s="53">
        <f>IFERROR(IF(INDEX('CIOG'!$Q$10:$Q$14,MATCH($F124,'CIOG'!$B$10:$B$14,0))="","Cell will autofill based on response",INDEX('CIOG'!$Q$10:$Q$14,MATCH($F124,'CIOG'!$B$10:$B$14,0))),"N/A")</f>
        <v/>
      </c>
      <c r="R124" s="53">
        <f>IFERROR(IF(INDEX('MRE'!$Q$10:$Q$18,MATCH($F124,'MRE'!$B$10:$B$18,0))="","Cell will autofill based on response",INDEX('MRE'!$Q$10:$Q$18,MATCH($F124,'MRE'!$B$10:$B$18,0))),"N/A")</f>
        <v/>
      </c>
      <c r="S124" s="53">
        <f>IFERROR(IF(INDEX('AC&amp;M'!$Q$10:$Q$14,MATCH($F124,'AC&amp;M'!$B$10:$B$14,0))="","Cell will autofill based on response",INDEX('AC&amp;M'!$Q$10:$Q$14,MATCH($F124,'AC&amp;M'!$B$10:$B$14,0))),"N/A")</f>
        <v/>
      </c>
      <c r="T124" s="53">
        <f>IFERROR(IF(INDEX('GCE'!$Q$10:$Q$12,MATCH($F124,'GCE'!$B$10:$B$12,0))="","Cell will autofill based on response",INDEX('GCE'!$Q$10:$Q$12,MATCH($F124,'GCE'!$B$10:$B$12,0))),"N/A")</f>
        <v/>
      </c>
      <c r="U124" s="53">
        <f>IFERROR(IF(INDEX('Education'!$Q$10:$Q$13,MATCH($F124,'Education'!$B$10:$B$13,0))="","Cell will autofill based on response",INDEX('Education'!$Q$10:$Q$13,MATCH($F124,'Education'!$B$10:$B$13,0))),"N/A")</f>
        <v/>
      </c>
      <c r="V124" s="53">
        <f>IFERROR(IF(INDEX('SaSS'!$Q$10:$Q$12,MATCH($F124,'SaSS'!$B$10:$B$12,0))="","Cell will autofill based on response",INDEX('SaSS'!$Q$10:$Q$12,MATCH($F124,'SaSS'!$B$10:$B$12,0))),"N/A")</f>
        <v/>
      </c>
      <c r="W124" s="53">
        <f>IFERROR(IF(INDEX('Indigenous'!$Q$10:$Q$11,MATCH($F124,'Indigenous'!$B$10:$B$11,0))="","Cell will autofill based on response",INDEX('Indigenous'!$Q$10:$Q$11,MATCH($F124,'Indigenous'!$B$10:$B$11,0))),"N/A")</f>
        <v/>
      </c>
      <c r="X124" s="53">
        <f>IFERROR(IF(INDEX('L&amp;R'!$Q$10:$Q$11,MATCH($F124,'L&amp;R'!$B$10:$B$11,0))="","Cell will autofill based on response",INDEX('L&amp;R'!$Q$10:$Q$11,MATCH($F124,'L&amp;R'!$B$10:$B$11,0))),"N/A")</f>
        <v/>
      </c>
    </row>
    <row r="125">
      <c r="A125">
        <f>F125&amp;"|"&amp;G125</f>
        <v/>
      </c>
      <c r="B125" s="7" t="inlineStr">
        <is>
          <t>NB1(b)</t>
        </is>
      </c>
      <c r="C125" s="51" t="inlineStr">
        <is>
          <t>Nature and biodiversity</t>
        </is>
      </c>
      <c r="D125" s="51" t="inlineStr">
        <is>
          <t>Size, health and diversity of remnant vegetation at the Dookie and Creswick campuses</t>
        </is>
      </c>
      <c r="E125" s="51" t="inlineStr"/>
      <c r="F125" s="51" t="inlineStr">
        <is>
          <t>NB1(b)</t>
        </is>
      </c>
      <c r="G125" s="51" t="inlineStr">
        <is>
          <t>Confirm end-2026 target status</t>
        </is>
      </c>
      <c r="H125" s="53">
        <f>IFERROR(IF(INDEX('Faculties'!$L$10:$L$19,MATCH($F125,'Faculties'!$B$10:$B$19,0))="","Cell will autofill based on response",INDEX('Faculties'!$L$10:$L$19,MATCH($F125,'Faculties'!$B$10:$B$19,0))),"N/A")</f>
        <v/>
      </c>
      <c r="I125" s="53">
        <f>IFERROR(IF(INDEX('Faculties'!$L$26:$L$35,MATCH($F125,'Faculties'!$B$26:$B$35,0))="","Cell will autofill based on response",INDEX('Faculties'!$L$26:$L$35,MATCH($F125,'Faculties'!$B$26:$B$35,0))),"N/A")</f>
        <v/>
      </c>
      <c r="J125" s="53">
        <f>IFERROR(IF(INDEX('Faculties'!$L$42:$L$51,MATCH($F125,'Faculties'!$B$42:$B$51,0))="","Cell will autofill based on response",INDEX('Faculties'!$L$42:$L$51,MATCH($F125,'Faculties'!$B$42:$B$51,0))),"N/A")</f>
        <v/>
      </c>
      <c r="K125" s="53">
        <f>IFERROR(IF(INDEX('Faculties'!$L$58:$L$67,MATCH($F125,'Faculties'!$B$58:$B$67,0))="","Cell will autofill based on response",INDEX('Faculties'!$L$58:$L$67,MATCH($F125,'Faculties'!$B$58:$B$67,0))),"N/A")</f>
        <v/>
      </c>
      <c r="L125" s="53">
        <f>IFERROR(IF(INDEX('CI&amp;S'!$L$10:$L$15,MATCH($F125,'CI&amp;S'!$B$10:$B$15,0))="","Cell will autofill based on response",INDEX('CI&amp;S'!$L$10:$L$15,MATCH($F125,'CI&amp;S'!$B$10:$B$15,0))),"N/A")</f>
        <v/>
      </c>
      <c r="M125" s="53">
        <f>IFERROR(IF(INDEX('CI&amp;S'!$L$22:$L$36,MATCH($F125,'CI&amp;S'!$B$22:$B$36,0))="","Cell will autofill based on response",INDEX('CI&amp;S'!$L$22:$L$36,MATCH($F125,'CI&amp;S'!$B$22:$B$36,0))),"N/A")</f>
        <v/>
      </c>
      <c r="N125" s="53">
        <f>IFERROR(IF(INDEX('CFOG'!$L$10:$L$16,MATCH($F125,'CFOG'!$B$10:$B$16,0))="","Cell will autofill based on response",INDEX('CFOG'!$L$10:$L$16,MATCH($F125,'CFOG'!$B$10:$B$16,0))),"N/A")</f>
        <v/>
      </c>
      <c r="O125" s="53">
        <f>IFERROR(IF(INDEX('CFOG'!$L$23:$L$24,MATCH($F125,'CFOG'!$B$23:$B$24,0))="","Cell will autofill based on response",INDEX('CFOG'!$L$23:$L$24,MATCH($F125,'CFOG'!$B$23:$B$24,0))),"N/A")</f>
        <v/>
      </c>
      <c r="P125" s="53">
        <f>IFERROR(IF(INDEX('ESG'!$L$10:$L$17,MATCH($F125,'ESG'!$B$10:$B$17,0))="","Cell will autofill based on response",INDEX('ESG'!$L$10:$L$17,MATCH($F125,'ESG'!$B$10:$B$17,0))),"N/A")</f>
        <v/>
      </c>
      <c r="Q125" s="53">
        <f>IFERROR(IF(INDEX('CIOG'!$L$10:$L$14,MATCH($F125,'CIOG'!$B$10:$B$14,0))="","Cell will autofill based on response",INDEX('CIOG'!$L$10:$L$14,MATCH($F125,'CIOG'!$B$10:$B$14,0))),"N/A")</f>
        <v/>
      </c>
      <c r="R125" s="53">
        <f>IFERROR(IF(INDEX('MRE'!$L$10:$L$18,MATCH($F125,'MRE'!$B$10:$B$18,0))="","Cell will autofill based on response",INDEX('MRE'!$L$10:$L$18,MATCH($F125,'MRE'!$B$10:$B$18,0))),"N/A")</f>
        <v/>
      </c>
      <c r="S125" s="53">
        <f>IFERROR(IF(INDEX('AC&amp;M'!$L$10:$L$14,MATCH($F125,'AC&amp;M'!$B$10:$B$14,0))="","Cell will autofill based on response",INDEX('AC&amp;M'!$L$10:$L$14,MATCH($F125,'AC&amp;M'!$B$10:$B$14,0))),"N/A")</f>
        <v/>
      </c>
      <c r="T125" s="53">
        <f>IFERROR(IF(INDEX('GCE'!$L$10:$L$12,MATCH($F125,'GCE'!$B$10:$B$12,0))="","Cell will autofill based on response",INDEX('GCE'!$L$10:$L$12,MATCH($F125,'GCE'!$B$10:$B$12,0))),"N/A")</f>
        <v/>
      </c>
      <c r="U125" s="53">
        <f>IFERROR(IF(INDEX('Education'!$L$10:$L$13,MATCH($F125,'Education'!$B$10:$B$13,0))="","Cell will autofill based on response",INDEX('Education'!$L$10:$L$13,MATCH($F125,'Education'!$B$10:$B$13,0))),"N/A")</f>
        <v/>
      </c>
      <c r="V125" s="53">
        <f>IFERROR(IF(INDEX('SaSS'!$L$10:$L$12,MATCH($F125,'SaSS'!$B$10:$B$12,0))="","Cell will autofill based on response",INDEX('SaSS'!$L$10:$L$12,MATCH($F125,'SaSS'!$B$10:$B$12,0))),"N/A")</f>
        <v/>
      </c>
      <c r="W125" s="53">
        <f>IFERROR(IF(INDEX('Indigenous'!$L$10:$L$11,MATCH($F125,'Indigenous'!$B$10:$B$11,0))="","Cell will autofill based on response",INDEX('Indigenous'!$L$10:$L$11,MATCH($F125,'Indigenous'!$B$10:$B$11,0))),"N/A")</f>
        <v/>
      </c>
      <c r="X125" s="53">
        <f>IFERROR(IF(INDEX('L&amp;R'!$L$10:$L$11,MATCH($F125,'L&amp;R'!$B$10:$B$11,0))="","Cell will autofill based on response",INDEX('L&amp;R'!$L$10:$L$11,MATCH($F125,'L&amp;R'!$B$10:$B$11,0))),"N/A")</f>
        <v/>
      </c>
      <c r="Z125" s="10">
        <f>COUNTIF($H125:$X125,"Cell will autofill based on response")</f>
        <v/>
      </c>
      <c r="AA125" s="10">
        <f>COUNTIF($H125:$X125,"Not yet started")</f>
        <v/>
      </c>
      <c r="AB125" s="10">
        <f>COUNTIF($H125:$X125,"Not met")</f>
        <v/>
      </c>
      <c r="AC125" s="10">
        <f>COUNTIF($H125:$X125,"Partially met")</f>
        <v/>
      </c>
      <c r="AD125" s="10">
        <f>COUNTIF($H125:$X125,"Met or exceeded")</f>
        <v/>
      </c>
      <c r="AE125" s="10">
        <f>3*AD125+2*AC125+AB125</f>
        <v/>
      </c>
      <c r="AF125" s="10">
        <f>AD125+AC125+AB125+AA125</f>
        <v/>
      </c>
      <c r="AG125" s="54">
        <f>IF(AF125&gt;0,AE125/AF125,"No valid responses to date")</f>
        <v/>
      </c>
      <c r="AH125" s="10">
        <f>IF(ISNUMBER(AG125),INDEX(Lists!$G$2:$G$5,MATCH(ROUND(AG125,0),Lists!$H$2:$H$5,0)),"")</f>
        <v/>
      </c>
      <c r="AI125" s="55">
        <f>IF(AF125&gt;0,AD125/AF125,"")</f>
        <v/>
      </c>
      <c r="AJ125" s="55">
        <f>IF(AF125&gt;0,(AD125+AC125)/AF125,"")</f>
        <v/>
      </c>
      <c r="AK125" s="10">
        <f>IF(AF125=0,"",IF(AI125&gt;0.75,"Met or exceeded",IF(AJ125&gt;=0.5,"Partially met","Not met")))</f>
        <v/>
      </c>
    </row>
    <row r="126">
      <c r="A126">
        <f>F126&amp;"|"&amp;G126</f>
        <v/>
      </c>
      <c r="B126" s="13" t="inlineStr"/>
      <c r="C126" s="8" t="inlineStr"/>
      <c r="D126" s="8" t="inlineStr"/>
      <c r="E126" s="8" t="inlineStr"/>
      <c r="F126" s="8" t="inlineStr">
        <is>
          <t>NB1(b)</t>
        </is>
      </c>
      <c r="G126" s="8" t="inlineStr">
        <is>
          <t>OPTION 1:  Target-level reporting</t>
        </is>
      </c>
      <c r="H126" s="53">
        <f>IFERROR(IF(INDEX('Faculties'!$M$10:$M$19,MATCH($F126,'Faculties'!$B$10:$B$19,0))="","Cell will autofill based on response",INDEX('Faculties'!$M$10:$M$19,MATCH($F126,'Faculties'!$B$10:$B$19,0))),"N/A")</f>
        <v/>
      </c>
      <c r="I126" s="53">
        <f>IFERROR(IF(INDEX('Faculties'!$M$26:$M$35,MATCH($F126,'Faculties'!$B$26:$B$35,0))="","Cell will autofill based on response",INDEX('Faculties'!$M$26:$M$35,MATCH($F126,'Faculties'!$B$26:$B$35,0))),"N/A")</f>
        <v/>
      </c>
      <c r="J126" s="53">
        <f>IFERROR(IF(INDEX('Faculties'!$M$42:$M$51,MATCH($F126,'Faculties'!$B$42:$B$51,0))="","Cell will autofill based on response",INDEX('Faculties'!$M$42:$M$51,MATCH($F126,'Faculties'!$B$42:$B$51,0))),"N/A")</f>
        <v/>
      </c>
      <c r="K126" s="53">
        <f>IFERROR(IF(INDEX('Faculties'!$M$58:$M$67,MATCH($F126,'Faculties'!$B$58:$B$67,0))="","Cell will autofill based on response",INDEX('Faculties'!$M$58:$M$67,MATCH($F126,'Faculties'!$B$58:$B$67,0))),"N/A")</f>
        <v/>
      </c>
      <c r="L126" s="53">
        <f>IFERROR(IF(INDEX('CI&amp;S'!$M$10:$M$15,MATCH($F126,'CI&amp;S'!$B$10:$B$15,0))="","Cell will autofill based on response",INDEX('CI&amp;S'!$M$10:$M$15,MATCH($F126,'CI&amp;S'!$B$10:$B$15,0))),"N/A")</f>
        <v/>
      </c>
      <c r="M126" s="53">
        <f>IFERROR(IF(INDEX('CI&amp;S'!$M$22:$M$36,MATCH($F126,'CI&amp;S'!$B$22:$B$36,0))="","Cell will autofill based on response",INDEX('CI&amp;S'!$M$22:$M$36,MATCH($F126,'CI&amp;S'!$B$22:$B$36,0))),"N/A")</f>
        <v/>
      </c>
      <c r="N126" s="53">
        <f>IFERROR(IF(INDEX('CFOG'!$M$10:$M$16,MATCH($F126,'CFOG'!$B$10:$B$16,0))="","Cell will autofill based on response",INDEX('CFOG'!$M$10:$M$16,MATCH($F126,'CFOG'!$B$10:$B$16,0))),"N/A")</f>
        <v/>
      </c>
      <c r="O126" s="53">
        <f>IFERROR(IF(INDEX('CFOG'!$M$23:$M$24,MATCH($F126,'CFOG'!$B$23:$B$24,0))="","Cell will autofill based on response",INDEX('CFOG'!$M$23:$M$24,MATCH($F126,'CFOG'!$B$23:$B$24,0))),"N/A")</f>
        <v/>
      </c>
      <c r="P126" s="53">
        <f>IFERROR(IF(INDEX('ESG'!$M$10:$M$17,MATCH($F126,'ESG'!$B$10:$B$17,0))="","Cell will autofill based on response",INDEX('ESG'!$M$10:$M$17,MATCH($F126,'ESG'!$B$10:$B$17,0))),"N/A")</f>
        <v/>
      </c>
      <c r="Q126" s="53">
        <f>IFERROR(IF(INDEX('CIOG'!$M$10:$M$14,MATCH($F126,'CIOG'!$B$10:$B$14,0))="","Cell will autofill based on response",INDEX('CIOG'!$M$10:$M$14,MATCH($F126,'CIOG'!$B$10:$B$14,0))),"N/A")</f>
        <v/>
      </c>
      <c r="R126" s="53">
        <f>IFERROR(IF(INDEX('MRE'!$M$10:$M$18,MATCH($F126,'MRE'!$B$10:$B$18,0))="","Cell will autofill based on response",INDEX('MRE'!$M$10:$M$18,MATCH($F126,'MRE'!$B$10:$B$18,0))),"N/A")</f>
        <v/>
      </c>
      <c r="S126" s="53">
        <f>IFERROR(IF(INDEX('AC&amp;M'!$M$10:$M$14,MATCH($F126,'AC&amp;M'!$B$10:$B$14,0))="","Cell will autofill based on response",INDEX('AC&amp;M'!$M$10:$M$14,MATCH($F126,'AC&amp;M'!$B$10:$B$14,0))),"N/A")</f>
        <v/>
      </c>
      <c r="T126" s="53">
        <f>IFERROR(IF(INDEX('GCE'!$M$10:$M$12,MATCH($F126,'GCE'!$B$10:$B$12,0))="","Cell will autofill based on response",INDEX('GCE'!$M$10:$M$12,MATCH($F126,'GCE'!$B$10:$B$12,0))),"N/A")</f>
        <v/>
      </c>
      <c r="U126" s="53">
        <f>IFERROR(IF(INDEX('Education'!$M$10:$M$13,MATCH($F126,'Education'!$B$10:$B$13,0))="","Cell will autofill based on response",INDEX('Education'!$M$10:$M$13,MATCH($F126,'Education'!$B$10:$B$13,0))),"N/A")</f>
        <v/>
      </c>
      <c r="V126" s="53">
        <f>IFERROR(IF(INDEX('SaSS'!$M$10:$M$12,MATCH($F126,'SaSS'!$B$10:$B$12,0))="","Cell will autofill based on response",INDEX('SaSS'!$M$10:$M$12,MATCH($F126,'SaSS'!$B$10:$B$12,0))),"N/A")</f>
        <v/>
      </c>
      <c r="W126" s="53">
        <f>IFERROR(IF(INDEX('Indigenous'!$M$10:$M$11,MATCH($F126,'Indigenous'!$B$10:$B$11,0))="","Cell will autofill based on response",INDEX('Indigenous'!$M$10:$M$11,MATCH($F126,'Indigenous'!$B$10:$B$11,0))),"N/A")</f>
        <v/>
      </c>
      <c r="X126" s="53">
        <f>IFERROR(IF(INDEX('L&amp;R'!$M$10:$M$11,MATCH($F126,'L&amp;R'!$B$10:$B$11,0))="","Cell will autofill based on response",INDEX('L&amp;R'!$M$10:$M$11,MATCH($F126,'L&amp;R'!$B$10:$B$11,0))),"N/A")</f>
        <v/>
      </c>
    </row>
    <row r="127">
      <c r="A127">
        <f>F127&amp;"|"&amp;G127</f>
        <v/>
      </c>
      <c r="B127" s="13" t="inlineStr"/>
      <c r="C127" s="8" t="inlineStr"/>
      <c r="D127" s="8" t="inlineStr"/>
      <c r="E127" s="8" t="inlineStr"/>
      <c r="F127" s="8" t="inlineStr">
        <is>
          <t>NB1(b)</t>
        </is>
      </c>
      <c r="G127" s="8" t="inlineStr">
        <is>
          <t>OPTION 2:  Indicator level reporting</t>
        </is>
      </c>
      <c r="H127" s="53">
        <f>IFERROR(IF(INDEX('Faculties'!$N$10:$N$19,MATCH($F127,'Faculties'!$B$10:$B$19,0))="","Cell will autofill based on response",INDEX('Faculties'!$N$10:$N$19,MATCH($F127,'Faculties'!$B$10:$B$19,0))),"N/A")</f>
        <v/>
      </c>
      <c r="I127" s="53">
        <f>IFERROR(IF(INDEX('Faculties'!$N$26:$N$35,MATCH($F127,'Faculties'!$B$26:$B$35,0))="","Cell will autofill based on response",INDEX('Faculties'!$N$26:$N$35,MATCH($F127,'Faculties'!$B$26:$B$35,0))),"N/A")</f>
        <v/>
      </c>
      <c r="J127" s="53">
        <f>IFERROR(IF(INDEX('Faculties'!$N$42:$N$51,MATCH($F127,'Faculties'!$B$42:$B$51,0))="","Cell will autofill based on response",INDEX('Faculties'!$N$42:$N$51,MATCH($F127,'Faculties'!$B$42:$B$51,0))),"N/A")</f>
        <v/>
      </c>
      <c r="K127" s="53">
        <f>IFERROR(IF(INDEX('Faculties'!$N$58:$N$67,MATCH($F127,'Faculties'!$B$58:$B$67,0))="","Cell will autofill based on response",INDEX('Faculties'!$N$58:$N$67,MATCH($F127,'Faculties'!$B$58:$B$67,0))),"N/A")</f>
        <v/>
      </c>
      <c r="L127" s="53">
        <f>IFERROR(IF(INDEX('CI&amp;S'!$N$10:$N$15,MATCH($F127,'CI&amp;S'!$B$10:$B$15,0))="","Cell will autofill based on response",INDEX('CI&amp;S'!$N$10:$N$15,MATCH($F127,'CI&amp;S'!$B$10:$B$15,0))),"N/A")</f>
        <v/>
      </c>
      <c r="M127" s="53">
        <f>IFERROR(IF(INDEX('CI&amp;S'!$N$22:$N$36,MATCH($F127,'CI&amp;S'!$B$22:$B$36,0))="","Cell will autofill based on response",INDEX('CI&amp;S'!$N$22:$N$36,MATCH($F127,'CI&amp;S'!$B$22:$B$36,0))),"N/A")</f>
        <v/>
      </c>
      <c r="N127" s="53">
        <f>IFERROR(IF(INDEX('CFOG'!$N$10:$N$16,MATCH($F127,'CFOG'!$B$10:$B$16,0))="","Cell will autofill based on response",INDEX('CFOG'!$N$10:$N$16,MATCH($F127,'CFOG'!$B$10:$B$16,0))),"N/A")</f>
        <v/>
      </c>
      <c r="O127" s="53">
        <f>IFERROR(IF(INDEX('CFOG'!$N$23:$N$24,MATCH($F127,'CFOG'!$B$23:$B$24,0))="","Cell will autofill based on response",INDEX('CFOG'!$N$23:$N$24,MATCH($F127,'CFOG'!$B$23:$B$24,0))),"N/A")</f>
        <v/>
      </c>
      <c r="P127" s="53">
        <f>IFERROR(IF(INDEX('ESG'!$N$10:$N$17,MATCH($F127,'ESG'!$B$10:$B$17,0))="","Cell will autofill based on response",INDEX('ESG'!$N$10:$N$17,MATCH($F127,'ESG'!$B$10:$B$17,0))),"N/A")</f>
        <v/>
      </c>
      <c r="Q127" s="53">
        <f>IFERROR(IF(INDEX('CIOG'!$N$10:$N$14,MATCH($F127,'CIOG'!$B$10:$B$14,0))="","Cell will autofill based on response",INDEX('CIOG'!$N$10:$N$14,MATCH($F127,'CIOG'!$B$10:$B$14,0))),"N/A")</f>
        <v/>
      </c>
      <c r="R127" s="53">
        <f>IFERROR(IF(INDEX('MRE'!$N$10:$N$18,MATCH($F127,'MRE'!$B$10:$B$18,0))="","Cell will autofill based on response",INDEX('MRE'!$N$10:$N$18,MATCH($F127,'MRE'!$B$10:$B$18,0))),"N/A")</f>
        <v/>
      </c>
      <c r="S127" s="53">
        <f>IFERROR(IF(INDEX('AC&amp;M'!$N$10:$N$14,MATCH($F127,'AC&amp;M'!$B$10:$B$14,0))="","Cell will autofill based on response",INDEX('AC&amp;M'!$N$10:$N$14,MATCH($F127,'AC&amp;M'!$B$10:$B$14,0))),"N/A")</f>
        <v/>
      </c>
      <c r="T127" s="53">
        <f>IFERROR(IF(INDEX('GCE'!$N$10:$N$12,MATCH($F127,'GCE'!$B$10:$B$12,0))="","Cell will autofill based on response",INDEX('GCE'!$N$10:$N$12,MATCH($F127,'GCE'!$B$10:$B$12,0))),"N/A")</f>
        <v/>
      </c>
      <c r="U127" s="53">
        <f>IFERROR(IF(INDEX('Education'!$N$10:$N$13,MATCH($F127,'Education'!$B$10:$B$13,0))="","Cell will autofill based on response",INDEX('Education'!$N$10:$N$13,MATCH($F127,'Education'!$B$10:$B$13,0))),"N/A")</f>
        <v/>
      </c>
      <c r="V127" s="53">
        <f>IFERROR(IF(INDEX('SaSS'!$N$10:$N$12,MATCH($F127,'SaSS'!$B$10:$B$12,0))="","Cell will autofill based on response",INDEX('SaSS'!$N$10:$N$12,MATCH($F127,'SaSS'!$B$10:$B$12,0))),"N/A")</f>
        <v/>
      </c>
      <c r="W127" s="53">
        <f>IFERROR(IF(INDEX('Indigenous'!$N$10:$N$11,MATCH($F127,'Indigenous'!$B$10:$B$11,0))="","Cell will autofill based on response",INDEX('Indigenous'!$N$10:$N$11,MATCH($F127,'Indigenous'!$B$10:$B$11,0))),"N/A")</f>
        <v/>
      </c>
      <c r="X127" s="53">
        <f>IFERROR(IF(INDEX('L&amp;R'!$N$10:$N$11,MATCH($F127,'L&amp;R'!$B$10:$B$11,0))="","Cell will autofill based on response",INDEX('L&amp;R'!$N$10:$N$11,MATCH($F127,'L&amp;R'!$B$10:$B$11,0))),"N/A")</f>
        <v/>
      </c>
    </row>
    <row r="128">
      <c r="A128">
        <f>F128&amp;"|"&amp;G128</f>
        <v/>
      </c>
      <c r="B128" s="13" t="inlineStr"/>
      <c r="C128" s="8" t="inlineStr"/>
      <c r="D128" s="8" t="inlineStr"/>
      <c r="E128" s="8" t="inlineStr"/>
      <c r="F128" s="8" t="inlineStr">
        <is>
          <t>NB1(b)</t>
        </is>
      </c>
      <c r="G128" s="8" t="inlineStr">
        <is>
          <t>Supporting information/comments</t>
        </is>
      </c>
      <c r="H128" s="53">
        <f>IFERROR(IF(INDEX('Faculties'!$O$10:$O$19,MATCH($F128,'Faculties'!$B$10:$B$19,0))="","Cell will autofill based on response",INDEX('Faculties'!$O$10:$O$19,MATCH($F128,'Faculties'!$B$10:$B$19,0))),"N/A")</f>
        <v/>
      </c>
      <c r="I128" s="53">
        <f>IFERROR(IF(INDEX('Faculties'!$O$26:$O$35,MATCH($F128,'Faculties'!$B$26:$B$35,0))="","Cell will autofill based on response",INDEX('Faculties'!$O$26:$O$35,MATCH($F128,'Faculties'!$B$26:$B$35,0))),"N/A")</f>
        <v/>
      </c>
      <c r="J128" s="53">
        <f>IFERROR(IF(INDEX('Faculties'!$O$42:$O$51,MATCH($F128,'Faculties'!$B$42:$B$51,0))="","Cell will autofill based on response",INDEX('Faculties'!$O$42:$O$51,MATCH($F128,'Faculties'!$B$42:$B$51,0))),"N/A")</f>
        <v/>
      </c>
      <c r="K128" s="53">
        <f>IFERROR(IF(INDEX('Faculties'!$O$58:$O$67,MATCH($F128,'Faculties'!$B$58:$B$67,0))="","Cell will autofill based on response",INDEX('Faculties'!$O$58:$O$67,MATCH($F128,'Faculties'!$B$58:$B$67,0))),"N/A")</f>
        <v/>
      </c>
      <c r="L128" s="53">
        <f>IFERROR(IF(INDEX('CI&amp;S'!$O$10:$O$15,MATCH($F128,'CI&amp;S'!$B$10:$B$15,0))="","Cell will autofill based on response",INDEX('CI&amp;S'!$O$10:$O$15,MATCH($F128,'CI&amp;S'!$B$10:$B$15,0))),"N/A")</f>
        <v/>
      </c>
      <c r="M128" s="53">
        <f>IFERROR(IF(INDEX('CI&amp;S'!$O$22:$O$36,MATCH($F128,'CI&amp;S'!$B$22:$B$36,0))="","Cell will autofill based on response",INDEX('CI&amp;S'!$O$22:$O$36,MATCH($F128,'CI&amp;S'!$B$22:$B$36,0))),"N/A")</f>
        <v/>
      </c>
      <c r="N128" s="53">
        <f>IFERROR(IF(INDEX('CFOG'!$O$10:$O$16,MATCH($F128,'CFOG'!$B$10:$B$16,0))="","Cell will autofill based on response",INDEX('CFOG'!$O$10:$O$16,MATCH($F128,'CFOG'!$B$10:$B$16,0))),"N/A")</f>
        <v/>
      </c>
      <c r="O128" s="53">
        <f>IFERROR(IF(INDEX('CFOG'!$O$23:$O$24,MATCH($F128,'CFOG'!$B$23:$B$24,0))="","Cell will autofill based on response",INDEX('CFOG'!$O$23:$O$24,MATCH($F128,'CFOG'!$B$23:$B$24,0))),"N/A")</f>
        <v/>
      </c>
      <c r="P128" s="53">
        <f>IFERROR(IF(INDEX('ESG'!$O$10:$O$17,MATCH($F128,'ESG'!$B$10:$B$17,0))="","Cell will autofill based on response",INDEX('ESG'!$O$10:$O$17,MATCH($F128,'ESG'!$B$10:$B$17,0))),"N/A")</f>
        <v/>
      </c>
      <c r="Q128" s="53">
        <f>IFERROR(IF(INDEX('CIOG'!$O$10:$O$14,MATCH($F128,'CIOG'!$B$10:$B$14,0))="","Cell will autofill based on response",INDEX('CIOG'!$O$10:$O$14,MATCH($F128,'CIOG'!$B$10:$B$14,0))),"N/A")</f>
        <v/>
      </c>
      <c r="R128" s="53">
        <f>IFERROR(IF(INDEX('MRE'!$O$10:$O$18,MATCH($F128,'MRE'!$B$10:$B$18,0))="","Cell will autofill based on response",INDEX('MRE'!$O$10:$O$18,MATCH($F128,'MRE'!$B$10:$B$18,0))),"N/A")</f>
        <v/>
      </c>
      <c r="S128" s="53">
        <f>IFERROR(IF(INDEX('AC&amp;M'!$O$10:$O$14,MATCH($F128,'AC&amp;M'!$B$10:$B$14,0))="","Cell will autofill based on response",INDEX('AC&amp;M'!$O$10:$O$14,MATCH($F128,'AC&amp;M'!$B$10:$B$14,0))),"N/A")</f>
        <v/>
      </c>
      <c r="T128" s="53">
        <f>IFERROR(IF(INDEX('GCE'!$O$10:$O$12,MATCH($F128,'GCE'!$B$10:$B$12,0))="","Cell will autofill based on response",INDEX('GCE'!$O$10:$O$12,MATCH($F128,'GCE'!$B$10:$B$12,0))),"N/A")</f>
        <v/>
      </c>
      <c r="U128" s="53">
        <f>IFERROR(IF(INDEX('Education'!$O$10:$O$13,MATCH($F128,'Education'!$B$10:$B$13,0))="","Cell will autofill based on response",INDEX('Education'!$O$10:$O$13,MATCH($F128,'Education'!$B$10:$B$13,0))),"N/A")</f>
        <v/>
      </c>
      <c r="V128" s="53">
        <f>IFERROR(IF(INDEX('SaSS'!$O$10:$O$12,MATCH($F128,'SaSS'!$B$10:$B$12,0))="","Cell will autofill based on response",INDEX('SaSS'!$O$10:$O$12,MATCH($F128,'SaSS'!$B$10:$B$12,0))),"N/A")</f>
        <v/>
      </c>
      <c r="W128" s="53">
        <f>IFERROR(IF(INDEX('Indigenous'!$O$10:$O$11,MATCH($F128,'Indigenous'!$B$10:$B$11,0))="","Cell will autofill based on response",INDEX('Indigenous'!$O$10:$O$11,MATCH($F128,'Indigenous'!$B$10:$B$11,0))),"N/A")</f>
        <v/>
      </c>
      <c r="X128" s="53">
        <f>IFERROR(IF(INDEX('L&amp;R'!$O$10:$O$11,MATCH($F128,'L&amp;R'!$B$10:$B$11,0))="","Cell will autofill based on response",INDEX('L&amp;R'!$O$10:$O$11,MATCH($F128,'L&amp;R'!$B$10:$B$11,0))),"N/A")</f>
        <v/>
      </c>
    </row>
    <row r="129">
      <c r="A129">
        <f>F129&amp;"|"&amp;G129</f>
        <v/>
      </c>
      <c r="B129" s="13" t="inlineStr"/>
      <c r="C129" s="8" t="inlineStr"/>
      <c r="D129" s="8" t="inlineStr"/>
      <c r="E129" s="8" t="inlineStr"/>
      <c r="F129" s="8" t="inlineStr">
        <is>
          <t>NB1(b)</t>
        </is>
      </c>
      <c r="G129" s="8" t="inlineStr">
        <is>
          <t>Data source and limitations</t>
        </is>
      </c>
      <c r="H129" s="53">
        <f>IFERROR(IF(INDEX('Faculties'!$P$10:$P$19,MATCH($F129,'Faculties'!$B$10:$B$19,0))="","Cell will autofill based on response",INDEX('Faculties'!$P$10:$P$19,MATCH($F129,'Faculties'!$B$10:$B$19,0))),"N/A")</f>
        <v/>
      </c>
      <c r="I129" s="53">
        <f>IFERROR(IF(INDEX('Faculties'!$P$26:$P$35,MATCH($F129,'Faculties'!$B$26:$B$35,0))="","Cell will autofill based on response",INDEX('Faculties'!$P$26:$P$35,MATCH($F129,'Faculties'!$B$26:$B$35,0))),"N/A")</f>
        <v/>
      </c>
      <c r="J129" s="53">
        <f>IFERROR(IF(INDEX('Faculties'!$P$42:$P$51,MATCH($F129,'Faculties'!$B$42:$B$51,0))="","Cell will autofill based on response",INDEX('Faculties'!$P$42:$P$51,MATCH($F129,'Faculties'!$B$42:$B$51,0))),"N/A")</f>
        <v/>
      </c>
      <c r="K129" s="53">
        <f>IFERROR(IF(INDEX('Faculties'!$P$58:$P$67,MATCH($F129,'Faculties'!$B$58:$B$67,0))="","Cell will autofill based on response",INDEX('Faculties'!$P$58:$P$67,MATCH($F129,'Faculties'!$B$58:$B$67,0))),"N/A")</f>
        <v/>
      </c>
      <c r="L129" s="53">
        <f>IFERROR(IF(INDEX('CI&amp;S'!$P$10:$P$15,MATCH($F129,'CI&amp;S'!$B$10:$B$15,0))="","Cell will autofill based on response",INDEX('CI&amp;S'!$P$10:$P$15,MATCH($F129,'CI&amp;S'!$B$10:$B$15,0))),"N/A")</f>
        <v/>
      </c>
      <c r="M129" s="53">
        <f>IFERROR(IF(INDEX('CI&amp;S'!$P$22:$P$36,MATCH($F129,'CI&amp;S'!$B$22:$B$36,0))="","Cell will autofill based on response",INDEX('CI&amp;S'!$P$22:$P$36,MATCH($F129,'CI&amp;S'!$B$22:$B$36,0))),"N/A")</f>
        <v/>
      </c>
      <c r="N129" s="53">
        <f>IFERROR(IF(INDEX('CFOG'!$P$10:$P$16,MATCH($F129,'CFOG'!$B$10:$B$16,0))="","Cell will autofill based on response",INDEX('CFOG'!$P$10:$P$16,MATCH($F129,'CFOG'!$B$10:$B$16,0))),"N/A")</f>
        <v/>
      </c>
      <c r="O129" s="53">
        <f>IFERROR(IF(INDEX('CFOG'!$P$23:$P$24,MATCH($F129,'CFOG'!$B$23:$B$24,0))="","Cell will autofill based on response",INDEX('CFOG'!$P$23:$P$24,MATCH($F129,'CFOG'!$B$23:$B$24,0))),"N/A")</f>
        <v/>
      </c>
      <c r="P129" s="53">
        <f>IFERROR(IF(INDEX('ESG'!$P$10:$P$17,MATCH($F129,'ESG'!$B$10:$B$17,0))="","Cell will autofill based on response",INDEX('ESG'!$P$10:$P$17,MATCH($F129,'ESG'!$B$10:$B$17,0))),"N/A")</f>
        <v/>
      </c>
      <c r="Q129" s="53">
        <f>IFERROR(IF(INDEX('CIOG'!$P$10:$P$14,MATCH($F129,'CIOG'!$B$10:$B$14,0))="","Cell will autofill based on response",INDEX('CIOG'!$P$10:$P$14,MATCH($F129,'CIOG'!$B$10:$B$14,0))),"N/A")</f>
        <v/>
      </c>
      <c r="R129" s="53">
        <f>IFERROR(IF(INDEX('MRE'!$P$10:$P$18,MATCH($F129,'MRE'!$B$10:$B$18,0))="","Cell will autofill based on response",INDEX('MRE'!$P$10:$P$18,MATCH($F129,'MRE'!$B$10:$B$18,0))),"N/A")</f>
        <v/>
      </c>
      <c r="S129" s="53">
        <f>IFERROR(IF(INDEX('AC&amp;M'!$P$10:$P$14,MATCH($F129,'AC&amp;M'!$B$10:$B$14,0))="","Cell will autofill based on response",INDEX('AC&amp;M'!$P$10:$P$14,MATCH($F129,'AC&amp;M'!$B$10:$B$14,0))),"N/A")</f>
        <v/>
      </c>
      <c r="T129" s="53">
        <f>IFERROR(IF(INDEX('GCE'!$P$10:$P$12,MATCH($F129,'GCE'!$B$10:$B$12,0))="","Cell will autofill based on response",INDEX('GCE'!$P$10:$P$12,MATCH($F129,'GCE'!$B$10:$B$12,0))),"N/A")</f>
        <v/>
      </c>
      <c r="U129" s="53">
        <f>IFERROR(IF(INDEX('Education'!$P$10:$P$13,MATCH($F129,'Education'!$B$10:$B$13,0))="","Cell will autofill based on response",INDEX('Education'!$P$10:$P$13,MATCH($F129,'Education'!$B$10:$B$13,0))),"N/A")</f>
        <v/>
      </c>
      <c r="V129" s="53">
        <f>IFERROR(IF(INDEX('SaSS'!$P$10:$P$12,MATCH($F129,'SaSS'!$B$10:$B$12,0))="","Cell will autofill based on response",INDEX('SaSS'!$P$10:$P$12,MATCH($F129,'SaSS'!$B$10:$B$12,0))),"N/A")</f>
        <v/>
      </c>
      <c r="W129" s="53">
        <f>IFERROR(IF(INDEX('Indigenous'!$P$10:$P$11,MATCH($F129,'Indigenous'!$B$10:$B$11,0))="","Cell will autofill based on response",INDEX('Indigenous'!$P$10:$P$11,MATCH($F129,'Indigenous'!$B$10:$B$11,0))),"N/A")</f>
        <v/>
      </c>
      <c r="X129" s="53">
        <f>IFERROR(IF(INDEX('L&amp;R'!$P$10:$P$11,MATCH($F129,'L&amp;R'!$B$10:$B$11,0))="","Cell will autofill based on response",INDEX('L&amp;R'!$P$10:$P$11,MATCH($F129,'L&amp;R'!$B$10:$B$11,0))),"N/A")</f>
        <v/>
      </c>
    </row>
    <row r="130">
      <c r="A130">
        <f>F130&amp;"|"&amp;G130</f>
        <v/>
      </c>
      <c r="B130" s="13" t="inlineStr"/>
      <c r="C130" s="8" t="inlineStr"/>
      <c r="D130" s="8" t="inlineStr"/>
      <c r="E130" s="8" t="inlineStr"/>
      <c r="F130" s="8" t="inlineStr">
        <is>
          <t>NB1(b)</t>
        </is>
      </c>
      <c r="G130" s="8" t="inlineStr">
        <is>
          <t>Data owner confirms</t>
        </is>
      </c>
      <c r="H130" s="53">
        <f>IFERROR(IF(INDEX('Faculties'!$Q$10:$Q$19,MATCH($F130,'Faculties'!$B$10:$B$19,0))="","Cell will autofill based on response",INDEX('Faculties'!$Q$10:$Q$19,MATCH($F130,'Faculties'!$B$10:$B$19,0))),"N/A")</f>
        <v/>
      </c>
      <c r="I130" s="53">
        <f>IFERROR(IF(INDEX('Faculties'!$Q$26:$Q$35,MATCH($F130,'Faculties'!$B$26:$B$35,0))="","Cell will autofill based on response",INDEX('Faculties'!$Q$26:$Q$35,MATCH($F130,'Faculties'!$B$26:$B$35,0))),"N/A")</f>
        <v/>
      </c>
      <c r="J130" s="53">
        <f>IFERROR(IF(INDEX('Faculties'!$Q$42:$Q$51,MATCH($F130,'Faculties'!$B$42:$B$51,0))="","Cell will autofill based on response",INDEX('Faculties'!$Q$42:$Q$51,MATCH($F130,'Faculties'!$B$42:$B$51,0))),"N/A")</f>
        <v/>
      </c>
      <c r="K130" s="53">
        <f>IFERROR(IF(INDEX('Faculties'!$Q$58:$Q$67,MATCH($F130,'Faculties'!$B$58:$B$67,0))="","Cell will autofill based on response",INDEX('Faculties'!$Q$58:$Q$67,MATCH($F130,'Faculties'!$B$58:$B$67,0))),"N/A")</f>
        <v/>
      </c>
      <c r="L130" s="53">
        <f>IFERROR(IF(INDEX('CI&amp;S'!$Q$10:$Q$15,MATCH($F130,'CI&amp;S'!$B$10:$B$15,0))="","Cell will autofill based on response",INDEX('CI&amp;S'!$Q$10:$Q$15,MATCH($F130,'CI&amp;S'!$B$10:$B$15,0))),"N/A")</f>
        <v/>
      </c>
      <c r="M130" s="53">
        <f>IFERROR(IF(INDEX('CI&amp;S'!$Q$22:$Q$36,MATCH($F130,'CI&amp;S'!$B$22:$B$36,0))="","Cell will autofill based on response",INDEX('CI&amp;S'!$Q$22:$Q$36,MATCH($F130,'CI&amp;S'!$B$22:$B$36,0))),"N/A")</f>
        <v/>
      </c>
      <c r="N130" s="53">
        <f>IFERROR(IF(INDEX('CFOG'!$Q$10:$Q$16,MATCH($F130,'CFOG'!$B$10:$B$16,0))="","Cell will autofill based on response",INDEX('CFOG'!$Q$10:$Q$16,MATCH($F130,'CFOG'!$B$10:$B$16,0))),"N/A")</f>
        <v/>
      </c>
      <c r="O130" s="53">
        <f>IFERROR(IF(INDEX('CFOG'!$Q$23:$Q$24,MATCH($F130,'CFOG'!$B$23:$B$24,0))="","Cell will autofill based on response",INDEX('CFOG'!$Q$23:$Q$24,MATCH($F130,'CFOG'!$B$23:$B$24,0))),"N/A")</f>
        <v/>
      </c>
      <c r="P130" s="53">
        <f>IFERROR(IF(INDEX('ESG'!$Q$10:$Q$17,MATCH($F130,'ESG'!$B$10:$B$17,0))="","Cell will autofill based on response",INDEX('ESG'!$Q$10:$Q$17,MATCH($F130,'ESG'!$B$10:$B$17,0))),"N/A")</f>
        <v/>
      </c>
      <c r="Q130" s="53">
        <f>IFERROR(IF(INDEX('CIOG'!$Q$10:$Q$14,MATCH($F130,'CIOG'!$B$10:$B$14,0))="","Cell will autofill based on response",INDEX('CIOG'!$Q$10:$Q$14,MATCH($F130,'CIOG'!$B$10:$B$14,0))),"N/A")</f>
        <v/>
      </c>
      <c r="R130" s="53">
        <f>IFERROR(IF(INDEX('MRE'!$Q$10:$Q$18,MATCH($F130,'MRE'!$B$10:$B$18,0))="","Cell will autofill based on response",INDEX('MRE'!$Q$10:$Q$18,MATCH($F130,'MRE'!$B$10:$B$18,0))),"N/A")</f>
        <v/>
      </c>
      <c r="S130" s="53">
        <f>IFERROR(IF(INDEX('AC&amp;M'!$Q$10:$Q$14,MATCH($F130,'AC&amp;M'!$B$10:$B$14,0))="","Cell will autofill based on response",INDEX('AC&amp;M'!$Q$10:$Q$14,MATCH($F130,'AC&amp;M'!$B$10:$B$14,0))),"N/A")</f>
        <v/>
      </c>
      <c r="T130" s="53">
        <f>IFERROR(IF(INDEX('GCE'!$Q$10:$Q$12,MATCH($F130,'GCE'!$B$10:$B$12,0))="","Cell will autofill based on response",INDEX('GCE'!$Q$10:$Q$12,MATCH($F130,'GCE'!$B$10:$B$12,0))),"N/A")</f>
        <v/>
      </c>
      <c r="U130" s="53">
        <f>IFERROR(IF(INDEX('Education'!$Q$10:$Q$13,MATCH($F130,'Education'!$B$10:$B$13,0))="","Cell will autofill based on response",INDEX('Education'!$Q$10:$Q$13,MATCH($F130,'Education'!$B$10:$B$13,0))),"N/A")</f>
        <v/>
      </c>
      <c r="V130" s="53">
        <f>IFERROR(IF(INDEX('SaSS'!$Q$10:$Q$12,MATCH($F130,'SaSS'!$B$10:$B$12,0))="","Cell will autofill based on response",INDEX('SaSS'!$Q$10:$Q$12,MATCH($F130,'SaSS'!$B$10:$B$12,0))),"N/A")</f>
        <v/>
      </c>
      <c r="W130" s="53">
        <f>IFERROR(IF(INDEX('Indigenous'!$Q$10:$Q$11,MATCH($F130,'Indigenous'!$B$10:$B$11,0))="","Cell will autofill based on response",INDEX('Indigenous'!$Q$10:$Q$11,MATCH($F130,'Indigenous'!$B$10:$B$11,0))),"N/A")</f>
        <v/>
      </c>
      <c r="X130" s="53">
        <f>IFERROR(IF(INDEX('L&amp;R'!$Q$10:$Q$11,MATCH($F130,'L&amp;R'!$B$10:$B$11,0))="","Cell will autofill based on response",INDEX('L&amp;R'!$Q$10:$Q$11,MATCH($F130,'L&amp;R'!$B$10:$B$11,0))),"N/A")</f>
        <v/>
      </c>
    </row>
    <row r="131">
      <c r="A131">
        <f>F131&amp;"|"&amp;G131</f>
        <v/>
      </c>
      <c r="B131" s="7" t="inlineStr">
        <is>
          <t>NB1(c)</t>
        </is>
      </c>
      <c r="C131" s="51" t="inlineStr">
        <is>
          <t>Nature and biodiversity</t>
        </is>
      </c>
      <c r="D131" s="51" t="inlineStr">
        <is>
          <t>Defined quality measurement framework</t>
        </is>
      </c>
      <c r="E131" s="51" t="inlineStr"/>
      <c r="F131" s="51" t="inlineStr">
        <is>
          <t>NB1(c)</t>
        </is>
      </c>
      <c r="G131" s="51" t="inlineStr">
        <is>
          <t>Confirm end-2026 target status</t>
        </is>
      </c>
      <c r="H131" s="53">
        <f>IFERROR(IF(INDEX('Faculties'!$L$10:$L$19,MATCH($F131,'Faculties'!$B$10:$B$19,0))="","Cell will autofill based on response",INDEX('Faculties'!$L$10:$L$19,MATCH($F131,'Faculties'!$B$10:$B$19,0))),"N/A")</f>
        <v/>
      </c>
      <c r="I131" s="53">
        <f>IFERROR(IF(INDEX('Faculties'!$L$26:$L$35,MATCH($F131,'Faculties'!$B$26:$B$35,0))="","Cell will autofill based on response",INDEX('Faculties'!$L$26:$L$35,MATCH($F131,'Faculties'!$B$26:$B$35,0))),"N/A")</f>
        <v/>
      </c>
      <c r="J131" s="53">
        <f>IFERROR(IF(INDEX('Faculties'!$L$42:$L$51,MATCH($F131,'Faculties'!$B$42:$B$51,0))="","Cell will autofill based on response",INDEX('Faculties'!$L$42:$L$51,MATCH($F131,'Faculties'!$B$42:$B$51,0))),"N/A")</f>
        <v/>
      </c>
      <c r="K131" s="53">
        <f>IFERROR(IF(INDEX('Faculties'!$L$58:$L$67,MATCH($F131,'Faculties'!$B$58:$B$67,0))="","Cell will autofill based on response",INDEX('Faculties'!$L$58:$L$67,MATCH($F131,'Faculties'!$B$58:$B$67,0))),"N/A")</f>
        <v/>
      </c>
      <c r="L131" s="53">
        <f>IFERROR(IF(INDEX('CI&amp;S'!$L$10:$L$15,MATCH($F131,'CI&amp;S'!$B$10:$B$15,0))="","Cell will autofill based on response",INDEX('CI&amp;S'!$L$10:$L$15,MATCH($F131,'CI&amp;S'!$B$10:$B$15,0))),"N/A")</f>
        <v/>
      </c>
      <c r="M131" s="53">
        <f>IFERROR(IF(INDEX('CI&amp;S'!$L$22:$L$36,MATCH($F131,'CI&amp;S'!$B$22:$B$36,0))="","Cell will autofill based on response",INDEX('CI&amp;S'!$L$22:$L$36,MATCH($F131,'CI&amp;S'!$B$22:$B$36,0))),"N/A")</f>
        <v/>
      </c>
      <c r="N131" s="53">
        <f>IFERROR(IF(INDEX('CFOG'!$L$10:$L$16,MATCH($F131,'CFOG'!$B$10:$B$16,0))="","Cell will autofill based on response",INDEX('CFOG'!$L$10:$L$16,MATCH($F131,'CFOG'!$B$10:$B$16,0))),"N/A")</f>
        <v/>
      </c>
      <c r="O131" s="53">
        <f>IFERROR(IF(INDEX('CFOG'!$L$23:$L$24,MATCH($F131,'CFOG'!$B$23:$B$24,0))="","Cell will autofill based on response",INDEX('CFOG'!$L$23:$L$24,MATCH($F131,'CFOG'!$B$23:$B$24,0))),"N/A")</f>
        <v/>
      </c>
      <c r="P131" s="53">
        <f>IFERROR(IF(INDEX('ESG'!$L$10:$L$17,MATCH($F131,'ESG'!$B$10:$B$17,0))="","Cell will autofill based on response",INDEX('ESG'!$L$10:$L$17,MATCH($F131,'ESG'!$B$10:$B$17,0))),"N/A")</f>
        <v/>
      </c>
      <c r="Q131" s="53">
        <f>IFERROR(IF(INDEX('CIOG'!$L$10:$L$14,MATCH($F131,'CIOG'!$B$10:$B$14,0))="","Cell will autofill based on response",INDEX('CIOG'!$L$10:$L$14,MATCH($F131,'CIOG'!$B$10:$B$14,0))),"N/A")</f>
        <v/>
      </c>
      <c r="R131" s="53">
        <f>IFERROR(IF(INDEX('MRE'!$L$10:$L$18,MATCH($F131,'MRE'!$B$10:$B$18,0))="","Cell will autofill based on response",INDEX('MRE'!$L$10:$L$18,MATCH($F131,'MRE'!$B$10:$B$18,0))),"N/A")</f>
        <v/>
      </c>
      <c r="S131" s="53">
        <f>IFERROR(IF(INDEX('AC&amp;M'!$L$10:$L$14,MATCH($F131,'AC&amp;M'!$B$10:$B$14,0))="","Cell will autofill based on response",INDEX('AC&amp;M'!$L$10:$L$14,MATCH($F131,'AC&amp;M'!$B$10:$B$14,0))),"N/A")</f>
        <v/>
      </c>
      <c r="T131" s="53">
        <f>IFERROR(IF(INDEX('GCE'!$L$10:$L$12,MATCH($F131,'GCE'!$B$10:$B$12,0))="","Cell will autofill based on response",INDEX('GCE'!$L$10:$L$12,MATCH($F131,'GCE'!$B$10:$B$12,0))),"N/A")</f>
        <v/>
      </c>
      <c r="U131" s="53">
        <f>IFERROR(IF(INDEX('Education'!$L$10:$L$13,MATCH($F131,'Education'!$B$10:$B$13,0))="","Cell will autofill based on response",INDEX('Education'!$L$10:$L$13,MATCH($F131,'Education'!$B$10:$B$13,0))),"N/A")</f>
        <v/>
      </c>
      <c r="V131" s="53">
        <f>IFERROR(IF(INDEX('SaSS'!$L$10:$L$12,MATCH($F131,'SaSS'!$B$10:$B$12,0))="","Cell will autofill based on response",INDEX('SaSS'!$L$10:$L$12,MATCH($F131,'SaSS'!$B$10:$B$12,0))),"N/A")</f>
        <v/>
      </c>
      <c r="W131" s="53">
        <f>IFERROR(IF(INDEX('Indigenous'!$L$10:$L$11,MATCH($F131,'Indigenous'!$B$10:$B$11,0))="","Cell will autofill based on response",INDEX('Indigenous'!$L$10:$L$11,MATCH($F131,'Indigenous'!$B$10:$B$11,0))),"N/A")</f>
        <v/>
      </c>
      <c r="X131" s="53">
        <f>IFERROR(IF(INDEX('L&amp;R'!$L$10:$L$11,MATCH($F131,'L&amp;R'!$B$10:$B$11,0))="","Cell will autofill based on response",INDEX('L&amp;R'!$L$10:$L$11,MATCH($F131,'L&amp;R'!$B$10:$B$11,0))),"N/A")</f>
        <v/>
      </c>
      <c r="Z131" s="10">
        <f>COUNTIF($H131:$X131,"Cell will autofill based on response")</f>
        <v/>
      </c>
      <c r="AA131" s="10">
        <f>COUNTIF($H131:$X131,"Not yet started")</f>
        <v/>
      </c>
      <c r="AB131" s="10">
        <f>COUNTIF($H131:$X131,"Not met")</f>
        <v/>
      </c>
      <c r="AC131" s="10">
        <f>COUNTIF($H131:$X131,"Partially met")</f>
        <v/>
      </c>
      <c r="AD131" s="10">
        <f>COUNTIF($H131:$X131,"Met or exceeded")</f>
        <v/>
      </c>
      <c r="AE131" s="10">
        <f>3*AD131+2*AC131+AB131</f>
        <v/>
      </c>
      <c r="AF131" s="10">
        <f>AD131+AC131+AB131+AA131</f>
        <v/>
      </c>
      <c r="AG131" s="54">
        <f>IF(AF131&gt;0,AE131/AF131,"No valid responses to date")</f>
        <v/>
      </c>
      <c r="AH131" s="10">
        <f>IF(ISNUMBER(AG131),INDEX(Lists!$G$2:$G$5,MATCH(ROUND(AG131,0),Lists!$H$2:$H$5,0)),"")</f>
        <v/>
      </c>
      <c r="AI131" s="55">
        <f>IF(AF131&gt;0,AD131/AF131,"")</f>
        <v/>
      </c>
      <c r="AJ131" s="55">
        <f>IF(AF131&gt;0,(AD131+AC131)/AF131,"")</f>
        <v/>
      </c>
      <c r="AK131" s="10">
        <f>IF(AF131=0,"",IF(AI131&gt;0.75,"Met or exceeded",IF(AJ131&gt;=0.5,"Partially met","Not met")))</f>
        <v/>
      </c>
    </row>
    <row r="132">
      <c r="A132">
        <f>F132&amp;"|"&amp;G132</f>
        <v/>
      </c>
      <c r="B132" s="13" t="inlineStr"/>
      <c r="C132" s="8" t="inlineStr"/>
      <c r="D132" s="8" t="inlineStr"/>
      <c r="E132" s="8" t="inlineStr"/>
      <c r="F132" s="8" t="inlineStr">
        <is>
          <t>NB1(c)</t>
        </is>
      </c>
      <c r="G132" s="8" t="inlineStr">
        <is>
          <t>OPTION 1:  Target-level reporting</t>
        </is>
      </c>
      <c r="H132" s="53">
        <f>IFERROR(IF(INDEX('Faculties'!$M$10:$M$19,MATCH($F132,'Faculties'!$B$10:$B$19,0))="","Cell will autofill based on response",INDEX('Faculties'!$M$10:$M$19,MATCH($F132,'Faculties'!$B$10:$B$19,0))),"N/A")</f>
        <v/>
      </c>
      <c r="I132" s="53">
        <f>IFERROR(IF(INDEX('Faculties'!$M$26:$M$35,MATCH($F132,'Faculties'!$B$26:$B$35,0))="","Cell will autofill based on response",INDEX('Faculties'!$M$26:$M$35,MATCH($F132,'Faculties'!$B$26:$B$35,0))),"N/A")</f>
        <v/>
      </c>
      <c r="J132" s="53">
        <f>IFERROR(IF(INDEX('Faculties'!$M$42:$M$51,MATCH($F132,'Faculties'!$B$42:$B$51,0))="","Cell will autofill based on response",INDEX('Faculties'!$M$42:$M$51,MATCH($F132,'Faculties'!$B$42:$B$51,0))),"N/A")</f>
        <v/>
      </c>
      <c r="K132" s="53">
        <f>IFERROR(IF(INDEX('Faculties'!$M$58:$M$67,MATCH($F132,'Faculties'!$B$58:$B$67,0))="","Cell will autofill based on response",INDEX('Faculties'!$M$58:$M$67,MATCH($F132,'Faculties'!$B$58:$B$67,0))),"N/A")</f>
        <v/>
      </c>
      <c r="L132" s="53">
        <f>IFERROR(IF(INDEX('CI&amp;S'!$M$10:$M$15,MATCH($F132,'CI&amp;S'!$B$10:$B$15,0))="","Cell will autofill based on response",INDEX('CI&amp;S'!$M$10:$M$15,MATCH($F132,'CI&amp;S'!$B$10:$B$15,0))),"N/A")</f>
        <v/>
      </c>
      <c r="M132" s="53">
        <f>IFERROR(IF(INDEX('CI&amp;S'!$M$22:$M$36,MATCH($F132,'CI&amp;S'!$B$22:$B$36,0))="","Cell will autofill based on response",INDEX('CI&amp;S'!$M$22:$M$36,MATCH($F132,'CI&amp;S'!$B$22:$B$36,0))),"N/A")</f>
        <v/>
      </c>
      <c r="N132" s="53">
        <f>IFERROR(IF(INDEX('CFOG'!$M$10:$M$16,MATCH($F132,'CFOG'!$B$10:$B$16,0))="","Cell will autofill based on response",INDEX('CFOG'!$M$10:$M$16,MATCH($F132,'CFOG'!$B$10:$B$16,0))),"N/A")</f>
        <v/>
      </c>
      <c r="O132" s="53">
        <f>IFERROR(IF(INDEX('CFOG'!$M$23:$M$24,MATCH($F132,'CFOG'!$B$23:$B$24,0))="","Cell will autofill based on response",INDEX('CFOG'!$M$23:$M$24,MATCH($F132,'CFOG'!$B$23:$B$24,0))),"N/A")</f>
        <v/>
      </c>
      <c r="P132" s="53">
        <f>IFERROR(IF(INDEX('ESG'!$M$10:$M$17,MATCH($F132,'ESG'!$B$10:$B$17,0))="","Cell will autofill based on response",INDEX('ESG'!$M$10:$M$17,MATCH($F132,'ESG'!$B$10:$B$17,0))),"N/A")</f>
        <v/>
      </c>
      <c r="Q132" s="53">
        <f>IFERROR(IF(INDEX('CIOG'!$M$10:$M$14,MATCH($F132,'CIOG'!$B$10:$B$14,0))="","Cell will autofill based on response",INDEX('CIOG'!$M$10:$M$14,MATCH($F132,'CIOG'!$B$10:$B$14,0))),"N/A")</f>
        <v/>
      </c>
      <c r="R132" s="53">
        <f>IFERROR(IF(INDEX('MRE'!$M$10:$M$18,MATCH($F132,'MRE'!$B$10:$B$18,0))="","Cell will autofill based on response",INDEX('MRE'!$M$10:$M$18,MATCH($F132,'MRE'!$B$10:$B$18,0))),"N/A")</f>
        <v/>
      </c>
      <c r="S132" s="53">
        <f>IFERROR(IF(INDEX('AC&amp;M'!$M$10:$M$14,MATCH($F132,'AC&amp;M'!$B$10:$B$14,0))="","Cell will autofill based on response",INDEX('AC&amp;M'!$M$10:$M$14,MATCH($F132,'AC&amp;M'!$B$10:$B$14,0))),"N/A")</f>
        <v/>
      </c>
      <c r="T132" s="53">
        <f>IFERROR(IF(INDEX('GCE'!$M$10:$M$12,MATCH($F132,'GCE'!$B$10:$B$12,0))="","Cell will autofill based on response",INDEX('GCE'!$M$10:$M$12,MATCH($F132,'GCE'!$B$10:$B$12,0))),"N/A")</f>
        <v/>
      </c>
      <c r="U132" s="53">
        <f>IFERROR(IF(INDEX('Education'!$M$10:$M$13,MATCH($F132,'Education'!$B$10:$B$13,0))="","Cell will autofill based on response",INDEX('Education'!$M$10:$M$13,MATCH($F132,'Education'!$B$10:$B$13,0))),"N/A")</f>
        <v/>
      </c>
      <c r="V132" s="53">
        <f>IFERROR(IF(INDEX('SaSS'!$M$10:$M$12,MATCH($F132,'SaSS'!$B$10:$B$12,0))="","Cell will autofill based on response",INDEX('SaSS'!$M$10:$M$12,MATCH($F132,'SaSS'!$B$10:$B$12,0))),"N/A")</f>
        <v/>
      </c>
      <c r="W132" s="53">
        <f>IFERROR(IF(INDEX('Indigenous'!$M$10:$M$11,MATCH($F132,'Indigenous'!$B$10:$B$11,0))="","Cell will autofill based on response",INDEX('Indigenous'!$M$10:$M$11,MATCH($F132,'Indigenous'!$B$10:$B$11,0))),"N/A")</f>
        <v/>
      </c>
      <c r="X132" s="53">
        <f>IFERROR(IF(INDEX('L&amp;R'!$M$10:$M$11,MATCH($F132,'L&amp;R'!$B$10:$B$11,0))="","Cell will autofill based on response",INDEX('L&amp;R'!$M$10:$M$11,MATCH($F132,'L&amp;R'!$B$10:$B$11,0))),"N/A")</f>
        <v/>
      </c>
    </row>
    <row r="133">
      <c r="A133">
        <f>F133&amp;"|"&amp;G133</f>
        <v/>
      </c>
      <c r="B133" s="13" t="inlineStr"/>
      <c r="C133" s="8" t="inlineStr"/>
      <c r="D133" s="8" t="inlineStr"/>
      <c r="E133" s="8" t="inlineStr"/>
      <c r="F133" s="8" t="inlineStr">
        <is>
          <t>NB1(c)</t>
        </is>
      </c>
      <c r="G133" s="8" t="inlineStr">
        <is>
          <t>OPTION 2:  Indicator level reporting</t>
        </is>
      </c>
      <c r="H133" s="53">
        <f>IFERROR(IF(INDEX('Faculties'!$N$10:$N$19,MATCH($F133,'Faculties'!$B$10:$B$19,0))="","Cell will autofill based on response",INDEX('Faculties'!$N$10:$N$19,MATCH($F133,'Faculties'!$B$10:$B$19,0))),"N/A")</f>
        <v/>
      </c>
      <c r="I133" s="53">
        <f>IFERROR(IF(INDEX('Faculties'!$N$26:$N$35,MATCH($F133,'Faculties'!$B$26:$B$35,0))="","Cell will autofill based on response",INDEX('Faculties'!$N$26:$N$35,MATCH($F133,'Faculties'!$B$26:$B$35,0))),"N/A")</f>
        <v/>
      </c>
      <c r="J133" s="53">
        <f>IFERROR(IF(INDEX('Faculties'!$N$42:$N$51,MATCH($F133,'Faculties'!$B$42:$B$51,0))="","Cell will autofill based on response",INDEX('Faculties'!$N$42:$N$51,MATCH($F133,'Faculties'!$B$42:$B$51,0))),"N/A")</f>
        <v/>
      </c>
      <c r="K133" s="53">
        <f>IFERROR(IF(INDEX('Faculties'!$N$58:$N$67,MATCH($F133,'Faculties'!$B$58:$B$67,0))="","Cell will autofill based on response",INDEX('Faculties'!$N$58:$N$67,MATCH($F133,'Faculties'!$B$58:$B$67,0))),"N/A")</f>
        <v/>
      </c>
      <c r="L133" s="53">
        <f>IFERROR(IF(INDEX('CI&amp;S'!$N$10:$N$15,MATCH($F133,'CI&amp;S'!$B$10:$B$15,0))="","Cell will autofill based on response",INDEX('CI&amp;S'!$N$10:$N$15,MATCH($F133,'CI&amp;S'!$B$10:$B$15,0))),"N/A")</f>
        <v/>
      </c>
      <c r="M133" s="53">
        <f>IFERROR(IF(INDEX('CI&amp;S'!$N$22:$N$36,MATCH($F133,'CI&amp;S'!$B$22:$B$36,0))="","Cell will autofill based on response",INDEX('CI&amp;S'!$N$22:$N$36,MATCH($F133,'CI&amp;S'!$B$22:$B$36,0))),"N/A")</f>
        <v/>
      </c>
      <c r="N133" s="53">
        <f>IFERROR(IF(INDEX('CFOG'!$N$10:$N$16,MATCH($F133,'CFOG'!$B$10:$B$16,0))="","Cell will autofill based on response",INDEX('CFOG'!$N$10:$N$16,MATCH($F133,'CFOG'!$B$10:$B$16,0))),"N/A")</f>
        <v/>
      </c>
      <c r="O133" s="53">
        <f>IFERROR(IF(INDEX('CFOG'!$N$23:$N$24,MATCH($F133,'CFOG'!$B$23:$B$24,0))="","Cell will autofill based on response",INDEX('CFOG'!$N$23:$N$24,MATCH($F133,'CFOG'!$B$23:$B$24,0))),"N/A")</f>
        <v/>
      </c>
      <c r="P133" s="53">
        <f>IFERROR(IF(INDEX('ESG'!$N$10:$N$17,MATCH($F133,'ESG'!$B$10:$B$17,0))="","Cell will autofill based on response",INDEX('ESG'!$N$10:$N$17,MATCH($F133,'ESG'!$B$10:$B$17,0))),"N/A")</f>
        <v/>
      </c>
      <c r="Q133" s="53">
        <f>IFERROR(IF(INDEX('CIOG'!$N$10:$N$14,MATCH($F133,'CIOG'!$B$10:$B$14,0))="","Cell will autofill based on response",INDEX('CIOG'!$N$10:$N$14,MATCH($F133,'CIOG'!$B$10:$B$14,0))),"N/A")</f>
        <v/>
      </c>
      <c r="R133" s="53">
        <f>IFERROR(IF(INDEX('MRE'!$N$10:$N$18,MATCH($F133,'MRE'!$B$10:$B$18,0))="","Cell will autofill based on response",INDEX('MRE'!$N$10:$N$18,MATCH($F133,'MRE'!$B$10:$B$18,0))),"N/A")</f>
        <v/>
      </c>
      <c r="S133" s="53">
        <f>IFERROR(IF(INDEX('AC&amp;M'!$N$10:$N$14,MATCH($F133,'AC&amp;M'!$B$10:$B$14,0))="","Cell will autofill based on response",INDEX('AC&amp;M'!$N$10:$N$14,MATCH($F133,'AC&amp;M'!$B$10:$B$14,0))),"N/A")</f>
        <v/>
      </c>
      <c r="T133" s="53">
        <f>IFERROR(IF(INDEX('GCE'!$N$10:$N$12,MATCH($F133,'GCE'!$B$10:$B$12,0))="","Cell will autofill based on response",INDEX('GCE'!$N$10:$N$12,MATCH($F133,'GCE'!$B$10:$B$12,0))),"N/A")</f>
        <v/>
      </c>
      <c r="U133" s="53">
        <f>IFERROR(IF(INDEX('Education'!$N$10:$N$13,MATCH($F133,'Education'!$B$10:$B$13,0))="","Cell will autofill based on response",INDEX('Education'!$N$10:$N$13,MATCH($F133,'Education'!$B$10:$B$13,0))),"N/A")</f>
        <v/>
      </c>
      <c r="V133" s="53">
        <f>IFERROR(IF(INDEX('SaSS'!$N$10:$N$12,MATCH($F133,'SaSS'!$B$10:$B$12,0))="","Cell will autofill based on response",INDEX('SaSS'!$N$10:$N$12,MATCH($F133,'SaSS'!$B$10:$B$12,0))),"N/A")</f>
        <v/>
      </c>
      <c r="W133" s="53">
        <f>IFERROR(IF(INDEX('Indigenous'!$N$10:$N$11,MATCH($F133,'Indigenous'!$B$10:$B$11,0))="","Cell will autofill based on response",INDEX('Indigenous'!$N$10:$N$11,MATCH($F133,'Indigenous'!$B$10:$B$11,0))),"N/A")</f>
        <v/>
      </c>
      <c r="X133" s="53">
        <f>IFERROR(IF(INDEX('L&amp;R'!$N$10:$N$11,MATCH($F133,'L&amp;R'!$B$10:$B$11,0))="","Cell will autofill based on response",INDEX('L&amp;R'!$N$10:$N$11,MATCH($F133,'L&amp;R'!$B$10:$B$11,0))),"N/A")</f>
        <v/>
      </c>
    </row>
    <row r="134">
      <c r="A134">
        <f>F134&amp;"|"&amp;G134</f>
        <v/>
      </c>
      <c r="B134" s="13" t="inlineStr"/>
      <c r="C134" s="8" t="inlineStr"/>
      <c r="D134" s="8" t="inlineStr"/>
      <c r="E134" s="8" t="inlineStr"/>
      <c r="F134" s="8" t="inlineStr">
        <is>
          <t>NB1(c)</t>
        </is>
      </c>
      <c r="G134" s="8" t="inlineStr">
        <is>
          <t>Supporting information/comments</t>
        </is>
      </c>
      <c r="H134" s="53">
        <f>IFERROR(IF(INDEX('Faculties'!$O$10:$O$19,MATCH($F134,'Faculties'!$B$10:$B$19,0))="","Cell will autofill based on response",INDEX('Faculties'!$O$10:$O$19,MATCH($F134,'Faculties'!$B$10:$B$19,0))),"N/A")</f>
        <v/>
      </c>
      <c r="I134" s="53">
        <f>IFERROR(IF(INDEX('Faculties'!$O$26:$O$35,MATCH($F134,'Faculties'!$B$26:$B$35,0))="","Cell will autofill based on response",INDEX('Faculties'!$O$26:$O$35,MATCH($F134,'Faculties'!$B$26:$B$35,0))),"N/A")</f>
        <v/>
      </c>
      <c r="J134" s="53">
        <f>IFERROR(IF(INDEX('Faculties'!$O$42:$O$51,MATCH($F134,'Faculties'!$B$42:$B$51,0))="","Cell will autofill based on response",INDEX('Faculties'!$O$42:$O$51,MATCH($F134,'Faculties'!$B$42:$B$51,0))),"N/A")</f>
        <v/>
      </c>
      <c r="K134" s="53">
        <f>IFERROR(IF(INDEX('Faculties'!$O$58:$O$67,MATCH($F134,'Faculties'!$B$58:$B$67,0))="","Cell will autofill based on response",INDEX('Faculties'!$O$58:$O$67,MATCH($F134,'Faculties'!$B$58:$B$67,0))),"N/A")</f>
        <v/>
      </c>
      <c r="L134" s="53">
        <f>IFERROR(IF(INDEX('CI&amp;S'!$O$10:$O$15,MATCH($F134,'CI&amp;S'!$B$10:$B$15,0))="","Cell will autofill based on response",INDEX('CI&amp;S'!$O$10:$O$15,MATCH($F134,'CI&amp;S'!$B$10:$B$15,0))),"N/A")</f>
        <v/>
      </c>
      <c r="M134" s="53">
        <f>IFERROR(IF(INDEX('CI&amp;S'!$O$22:$O$36,MATCH($F134,'CI&amp;S'!$B$22:$B$36,0))="","Cell will autofill based on response",INDEX('CI&amp;S'!$O$22:$O$36,MATCH($F134,'CI&amp;S'!$B$22:$B$36,0))),"N/A")</f>
        <v/>
      </c>
      <c r="N134" s="53">
        <f>IFERROR(IF(INDEX('CFOG'!$O$10:$O$16,MATCH($F134,'CFOG'!$B$10:$B$16,0))="","Cell will autofill based on response",INDEX('CFOG'!$O$10:$O$16,MATCH($F134,'CFOG'!$B$10:$B$16,0))),"N/A")</f>
        <v/>
      </c>
      <c r="O134" s="53">
        <f>IFERROR(IF(INDEX('CFOG'!$O$23:$O$24,MATCH($F134,'CFOG'!$B$23:$B$24,0))="","Cell will autofill based on response",INDEX('CFOG'!$O$23:$O$24,MATCH($F134,'CFOG'!$B$23:$B$24,0))),"N/A")</f>
        <v/>
      </c>
      <c r="P134" s="53">
        <f>IFERROR(IF(INDEX('ESG'!$O$10:$O$17,MATCH($F134,'ESG'!$B$10:$B$17,0))="","Cell will autofill based on response",INDEX('ESG'!$O$10:$O$17,MATCH($F134,'ESG'!$B$10:$B$17,0))),"N/A")</f>
        <v/>
      </c>
      <c r="Q134" s="53">
        <f>IFERROR(IF(INDEX('CIOG'!$O$10:$O$14,MATCH($F134,'CIOG'!$B$10:$B$14,0))="","Cell will autofill based on response",INDEX('CIOG'!$O$10:$O$14,MATCH($F134,'CIOG'!$B$10:$B$14,0))),"N/A")</f>
        <v/>
      </c>
      <c r="R134" s="53">
        <f>IFERROR(IF(INDEX('MRE'!$O$10:$O$18,MATCH($F134,'MRE'!$B$10:$B$18,0))="","Cell will autofill based on response",INDEX('MRE'!$O$10:$O$18,MATCH($F134,'MRE'!$B$10:$B$18,0))),"N/A")</f>
        <v/>
      </c>
      <c r="S134" s="53">
        <f>IFERROR(IF(INDEX('AC&amp;M'!$O$10:$O$14,MATCH($F134,'AC&amp;M'!$B$10:$B$14,0))="","Cell will autofill based on response",INDEX('AC&amp;M'!$O$10:$O$14,MATCH($F134,'AC&amp;M'!$B$10:$B$14,0))),"N/A")</f>
        <v/>
      </c>
      <c r="T134" s="53">
        <f>IFERROR(IF(INDEX('GCE'!$O$10:$O$12,MATCH($F134,'GCE'!$B$10:$B$12,0))="","Cell will autofill based on response",INDEX('GCE'!$O$10:$O$12,MATCH($F134,'GCE'!$B$10:$B$12,0))),"N/A")</f>
        <v/>
      </c>
      <c r="U134" s="53">
        <f>IFERROR(IF(INDEX('Education'!$O$10:$O$13,MATCH($F134,'Education'!$B$10:$B$13,0))="","Cell will autofill based on response",INDEX('Education'!$O$10:$O$13,MATCH($F134,'Education'!$B$10:$B$13,0))),"N/A")</f>
        <v/>
      </c>
      <c r="V134" s="53">
        <f>IFERROR(IF(INDEX('SaSS'!$O$10:$O$12,MATCH($F134,'SaSS'!$B$10:$B$12,0))="","Cell will autofill based on response",INDEX('SaSS'!$O$10:$O$12,MATCH($F134,'SaSS'!$B$10:$B$12,0))),"N/A")</f>
        <v/>
      </c>
      <c r="W134" s="53">
        <f>IFERROR(IF(INDEX('Indigenous'!$O$10:$O$11,MATCH($F134,'Indigenous'!$B$10:$B$11,0))="","Cell will autofill based on response",INDEX('Indigenous'!$O$10:$O$11,MATCH($F134,'Indigenous'!$B$10:$B$11,0))),"N/A")</f>
        <v/>
      </c>
      <c r="X134" s="53">
        <f>IFERROR(IF(INDEX('L&amp;R'!$O$10:$O$11,MATCH($F134,'L&amp;R'!$B$10:$B$11,0))="","Cell will autofill based on response",INDEX('L&amp;R'!$O$10:$O$11,MATCH($F134,'L&amp;R'!$B$10:$B$11,0))),"N/A")</f>
        <v/>
      </c>
    </row>
    <row r="135">
      <c r="A135">
        <f>F135&amp;"|"&amp;G135</f>
        <v/>
      </c>
      <c r="B135" s="13" t="inlineStr"/>
      <c r="C135" s="8" t="inlineStr"/>
      <c r="D135" s="8" t="inlineStr"/>
      <c r="E135" s="8" t="inlineStr"/>
      <c r="F135" s="8" t="inlineStr">
        <is>
          <t>NB1(c)</t>
        </is>
      </c>
      <c r="G135" s="8" t="inlineStr">
        <is>
          <t>Data source and limitations</t>
        </is>
      </c>
      <c r="H135" s="53">
        <f>IFERROR(IF(INDEX('Faculties'!$P$10:$P$19,MATCH($F135,'Faculties'!$B$10:$B$19,0))="","Cell will autofill based on response",INDEX('Faculties'!$P$10:$P$19,MATCH($F135,'Faculties'!$B$10:$B$19,0))),"N/A")</f>
        <v/>
      </c>
      <c r="I135" s="53">
        <f>IFERROR(IF(INDEX('Faculties'!$P$26:$P$35,MATCH($F135,'Faculties'!$B$26:$B$35,0))="","Cell will autofill based on response",INDEX('Faculties'!$P$26:$P$35,MATCH($F135,'Faculties'!$B$26:$B$35,0))),"N/A")</f>
        <v/>
      </c>
      <c r="J135" s="53">
        <f>IFERROR(IF(INDEX('Faculties'!$P$42:$P$51,MATCH($F135,'Faculties'!$B$42:$B$51,0))="","Cell will autofill based on response",INDEX('Faculties'!$P$42:$P$51,MATCH($F135,'Faculties'!$B$42:$B$51,0))),"N/A")</f>
        <v/>
      </c>
      <c r="K135" s="53">
        <f>IFERROR(IF(INDEX('Faculties'!$P$58:$P$67,MATCH($F135,'Faculties'!$B$58:$B$67,0))="","Cell will autofill based on response",INDEX('Faculties'!$P$58:$P$67,MATCH($F135,'Faculties'!$B$58:$B$67,0))),"N/A")</f>
        <v/>
      </c>
      <c r="L135" s="53">
        <f>IFERROR(IF(INDEX('CI&amp;S'!$P$10:$P$15,MATCH($F135,'CI&amp;S'!$B$10:$B$15,0))="","Cell will autofill based on response",INDEX('CI&amp;S'!$P$10:$P$15,MATCH($F135,'CI&amp;S'!$B$10:$B$15,0))),"N/A")</f>
        <v/>
      </c>
      <c r="M135" s="53">
        <f>IFERROR(IF(INDEX('CI&amp;S'!$P$22:$P$36,MATCH($F135,'CI&amp;S'!$B$22:$B$36,0))="","Cell will autofill based on response",INDEX('CI&amp;S'!$P$22:$P$36,MATCH($F135,'CI&amp;S'!$B$22:$B$36,0))),"N/A")</f>
        <v/>
      </c>
      <c r="N135" s="53">
        <f>IFERROR(IF(INDEX('CFOG'!$P$10:$P$16,MATCH($F135,'CFOG'!$B$10:$B$16,0))="","Cell will autofill based on response",INDEX('CFOG'!$P$10:$P$16,MATCH($F135,'CFOG'!$B$10:$B$16,0))),"N/A")</f>
        <v/>
      </c>
      <c r="O135" s="53">
        <f>IFERROR(IF(INDEX('CFOG'!$P$23:$P$24,MATCH($F135,'CFOG'!$B$23:$B$24,0))="","Cell will autofill based on response",INDEX('CFOG'!$P$23:$P$24,MATCH($F135,'CFOG'!$B$23:$B$24,0))),"N/A")</f>
        <v/>
      </c>
      <c r="P135" s="53">
        <f>IFERROR(IF(INDEX('ESG'!$P$10:$P$17,MATCH($F135,'ESG'!$B$10:$B$17,0))="","Cell will autofill based on response",INDEX('ESG'!$P$10:$P$17,MATCH($F135,'ESG'!$B$10:$B$17,0))),"N/A")</f>
        <v/>
      </c>
      <c r="Q135" s="53">
        <f>IFERROR(IF(INDEX('CIOG'!$P$10:$P$14,MATCH($F135,'CIOG'!$B$10:$B$14,0))="","Cell will autofill based on response",INDEX('CIOG'!$P$10:$P$14,MATCH($F135,'CIOG'!$B$10:$B$14,0))),"N/A")</f>
        <v/>
      </c>
      <c r="R135" s="53">
        <f>IFERROR(IF(INDEX('MRE'!$P$10:$P$18,MATCH($F135,'MRE'!$B$10:$B$18,0))="","Cell will autofill based on response",INDEX('MRE'!$P$10:$P$18,MATCH($F135,'MRE'!$B$10:$B$18,0))),"N/A")</f>
        <v/>
      </c>
      <c r="S135" s="53">
        <f>IFERROR(IF(INDEX('AC&amp;M'!$P$10:$P$14,MATCH($F135,'AC&amp;M'!$B$10:$B$14,0))="","Cell will autofill based on response",INDEX('AC&amp;M'!$P$10:$P$14,MATCH($F135,'AC&amp;M'!$B$10:$B$14,0))),"N/A")</f>
        <v/>
      </c>
      <c r="T135" s="53">
        <f>IFERROR(IF(INDEX('GCE'!$P$10:$P$12,MATCH($F135,'GCE'!$B$10:$B$12,0))="","Cell will autofill based on response",INDEX('GCE'!$P$10:$P$12,MATCH($F135,'GCE'!$B$10:$B$12,0))),"N/A")</f>
        <v/>
      </c>
      <c r="U135" s="53">
        <f>IFERROR(IF(INDEX('Education'!$P$10:$P$13,MATCH($F135,'Education'!$B$10:$B$13,0))="","Cell will autofill based on response",INDEX('Education'!$P$10:$P$13,MATCH($F135,'Education'!$B$10:$B$13,0))),"N/A")</f>
        <v/>
      </c>
      <c r="V135" s="53">
        <f>IFERROR(IF(INDEX('SaSS'!$P$10:$P$12,MATCH($F135,'SaSS'!$B$10:$B$12,0))="","Cell will autofill based on response",INDEX('SaSS'!$P$10:$P$12,MATCH($F135,'SaSS'!$B$10:$B$12,0))),"N/A")</f>
        <v/>
      </c>
      <c r="W135" s="53">
        <f>IFERROR(IF(INDEX('Indigenous'!$P$10:$P$11,MATCH($F135,'Indigenous'!$B$10:$B$11,0))="","Cell will autofill based on response",INDEX('Indigenous'!$P$10:$P$11,MATCH($F135,'Indigenous'!$B$10:$B$11,0))),"N/A")</f>
        <v/>
      </c>
      <c r="X135" s="53">
        <f>IFERROR(IF(INDEX('L&amp;R'!$P$10:$P$11,MATCH($F135,'L&amp;R'!$B$10:$B$11,0))="","Cell will autofill based on response",INDEX('L&amp;R'!$P$10:$P$11,MATCH($F135,'L&amp;R'!$B$10:$B$11,0))),"N/A")</f>
        <v/>
      </c>
    </row>
    <row r="136">
      <c r="A136">
        <f>F136&amp;"|"&amp;G136</f>
        <v/>
      </c>
      <c r="B136" s="13" t="inlineStr"/>
      <c r="C136" s="8" t="inlineStr"/>
      <c r="D136" s="8" t="inlineStr"/>
      <c r="E136" s="8" t="inlineStr"/>
      <c r="F136" s="8" t="inlineStr">
        <is>
          <t>NB1(c)</t>
        </is>
      </c>
      <c r="G136" s="8" t="inlineStr">
        <is>
          <t>Data owner confirms</t>
        </is>
      </c>
      <c r="H136" s="53">
        <f>IFERROR(IF(INDEX('Faculties'!$Q$10:$Q$19,MATCH($F136,'Faculties'!$B$10:$B$19,0))="","Cell will autofill based on response",INDEX('Faculties'!$Q$10:$Q$19,MATCH($F136,'Faculties'!$B$10:$B$19,0))),"N/A")</f>
        <v/>
      </c>
      <c r="I136" s="53">
        <f>IFERROR(IF(INDEX('Faculties'!$Q$26:$Q$35,MATCH($F136,'Faculties'!$B$26:$B$35,0))="","Cell will autofill based on response",INDEX('Faculties'!$Q$26:$Q$35,MATCH($F136,'Faculties'!$B$26:$B$35,0))),"N/A")</f>
        <v/>
      </c>
      <c r="J136" s="53">
        <f>IFERROR(IF(INDEX('Faculties'!$Q$42:$Q$51,MATCH($F136,'Faculties'!$B$42:$B$51,0))="","Cell will autofill based on response",INDEX('Faculties'!$Q$42:$Q$51,MATCH($F136,'Faculties'!$B$42:$B$51,0))),"N/A")</f>
        <v/>
      </c>
      <c r="K136" s="53">
        <f>IFERROR(IF(INDEX('Faculties'!$Q$58:$Q$67,MATCH($F136,'Faculties'!$B$58:$B$67,0))="","Cell will autofill based on response",INDEX('Faculties'!$Q$58:$Q$67,MATCH($F136,'Faculties'!$B$58:$B$67,0))),"N/A")</f>
        <v/>
      </c>
      <c r="L136" s="53">
        <f>IFERROR(IF(INDEX('CI&amp;S'!$Q$10:$Q$15,MATCH($F136,'CI&amp;S'!$B$10:$B$15,0))="","Cell will autofill based on response",INDEX('CI&amp;S'!$Q$10:$Q$15,MATCH($F136,'CI&amp;S'!$B$10:$B$15,0))),"N/A")</f>
        <v/>
      </c>
      <c r="M136" s="53">
        <f>IFERROR(IF(INDEX('CI&amp;S'!$Q$22:$Q$36,MATCH($F136,'CI&amp;S'!$B$22:$B$36,0))="","Cell will autofill based on response",INDEX('CI&amp;S'!$Q$22:$Q$36,MATCH($F136,'CI&amp;S'!$B$22:$B$36,0))),"N/A")</f>
        <v/>
      </c>
      <c r="N136" s="53">
        <f>IFERROR(IF(INDEX('CFOG'!$Q$10:$Q$16,MATCH($F136,'CFOG'!$B$10:$B$16,0))="","Cell will autofill based on response",INDEX('CFOG'!$Q$10:$Q$16,MATCH($F136,'CFOG'!$B$10:$B$16,0))),"N/A")</f>
        <v/>
      </c>
      <c r="O136" s="53">
        <f>IFERROR(IF(INDEX('CFOG'!$Q$23:$Q$24,MATCH($F136,'CFOG'!$B$23:$B$24,0))="","Cell will autofill based on response",INDEX('CFOG'!$Q$23:$Q$24,MATCH($F136,'CFOG'!$B$23:$B$24,0))),"N/A")</f>
        <v/>
      </c>
      <c r="P136" s="53">
        <f>IFERROR(IF(INDEX('ESG'!$Q$10:$Q$17,MATCH($F136,'ESG'!$B$10:$B$17,0))="","Cell will autofill based on response",INDEX('ESG'!$Q$10:$Q$17,MATCH($F136,'ESG'!$B$10:$B$17,0))),"N/A")</f>
        <v/>
      </c>
      <c r="Q136" s="53">
        <f>IFERROR(IF(INDEX('CIOG'!$Q$10:$Q$14,MATCH($F136,'CIOG'!$B$10:$B$14,0))="","Cell will autofill based on response",INDEX('CIOG'!$Q$10:$Q$14,MATCH($F136,'CIOG'!$B$10:$B$14,0))),"N/A")</f>
        <v/>
      </c>
      <c r="R136" s="53">
        <f>IFERROR(IF(INDEX('MRE'!$Q$10:$Q$18,MATCH($F136,'MRE'!$B$10:$B$18,0))="","Cell will autofill based on response",INDEX('MRE'!$Q$10:$Q$18,MATCH($F136,'MRE'!$B$10:$B$18,0))),"N/A")</f>
        <v/>
      </c>
      <c r="S136" s="53">
        <f>IFERROR(IF(INDEX('AC&amp;M'!$Q$10:$Q$14,MATCH($F136,'AC&amp;M'!$B$10:$B$14,0))="","Cell will autofill based on response",INDEX('AC&amp;M'!$Q$10:$Q$14,MATCH($F136,'AC&amp;M'!$B$10:$B$14,0))),"N/A")</f>
        <v/>
      </c>
      <c r="T136" s="53">
        <f>IFERROR(IF(INDEX('GCE'!$Q$10:$Q$12,MATCH($F136,'GCE'!$B$10:$B$12,0))="","Cell will autofill based on response",INDEX('GCE'!$Q$10:$Q$12,MATCH($F136,'GCE'!$B$10:$B$12,0))),"N/A")</f>
        <v/>
      </c>
      <c r="U136" s="53">
        <f>IFERROR(IF(INDEX('Education'!$Q$10:$Q$13,MATCH($F136,'Education'!$B$10:$B$13,0))="","Cell will autofill based on response",INDEX('Education'!$Q$10:$Q$13,MATCH($F136,'Education'!$B$10:$B$13,0))),"N/A")</f>
        <v/>
      </c>
      <c r="V136" s="53">
        <f>IFERROR(IF(INDEX('SaSS'!$Q$10:$Q$12,MATCH($F136,'SaSS'!$B$10:$B$12,0))="","Cell will autofill based on response",INDEX('SaSS'!$Q$10:$Q$12,MATCH($F136,'SaSS'!$B$10:$B$12,0))),"N/A")</f>
        <v/>
      </c>
      <c r="W136" s="53">
        <f>IFERROR(IF(INDEX('Indigenous'!$Q$10:$Q$11,MATCH($F136,'Indigenous'!$B$10:$B$11,0))="","Cell will autofill based on response",INDEX('Indigenous'!$Q$10:$Q$11,MATCH($F136,'Indigenous'!$B$10:$B$11,0))),"N/A")</f>
        <v/>
      </c>
      <c r="X136" s="53">
        <f>IFERROR(IF(INDEX('L&amp;R'!$Q$10:$Q$11,MATCH($F136,'L&amp;R'!$B$10:$B$11,0))="","Cell will autofill based on response",INDEX('L&amp;R'!$Q$10:$Q$11,MATCH($F136,'L&amp;R'!$B$10:$B$11,0))),"N/A")</f>
        <v/>
      </c>
    </row>
    <row r="137">
      <c r="A137">
        <f>F137&amp;"|"&amp;G137</f>
        <v/>
      </c>
      <c r="B137" s="7" t="inlineStr">
        <is>
          <t>NB1(d)</t>
        </is>
      </c>
      <c r="C137" s="51" t="inlineStr">
        <is>
          <t>Nature and biodiversity</t>
        </is>
      </c>
      <c r="D137" s="51" t="inlineStr">
        <is>
          <t>Defined and quantified campus connectivity</t>
        </is>
      </c>
      <c r="E137" s="51" t="inlineStr">
        <is>
          <t>Please provide the current definition and quantified assessment of campus ecological connectivity, could include the methodology used, campuses covered, baseline or benchmark values, and any material change over the reporting period.</t>
        </is>
      </c>
      <c r="F137" s="51" t="inlineStr">
        <is>
          <t>NB1(d)</t>
        </is>
      </c>
      <c r="G137" s="51" t="inlineStr">
        <is>
          <t>Confirm end-2026 target status</t>
        </is>
      </c>
      <c r="H137" s="53">
        <f>IFERROR(IF(INDEX('Faculties'!$L$10:$L$19,MATCH($F137,'Faculties'!$B$10:$B$19,0))="","Cell will autofill based on response",INDEX('Faculties'!$L$10:$L$19,MATCH($F137,'Faculties'!$B$10:$B$19,0))),"N/A")</f>
        <v/>
      </c>
      <c r="I137" s="53">
        <f>IFERROR(IF(INDEX('Faculties'!$L$26:$L$35,MATCH($F137,'Faculties'!$B$26:$B$35,0))="","Cell will autofill based on response",INDEX('Faculties'!$L$26:$L$35,MATCH($F137,'Faculties'!$B$26:$B$35,0))),"N/A")</f>
        <v/>
      </c>
      <c r="J137" s="53">
        <f>IFERROR(IF(INDEX('Faculties'!$L$42:$L$51,MATCH($F137,'Faculties'!$B$42:$B$51,0))="","Cell will autofill based on response",INDEX('Faculties'!$L$42:$L$51,MATCH($F137,'Faculties'!$B$42:$B$51,0))),"N/A")</f>
        <v/>
      </c>
      <c r="K137" s="53">
        <f>IFERROR(IF(INDEX('Faculties'!$L$58:$L$67,MATCH($F137,'Faculties'!$B$58:$B$67,0))="","Cell will autofill based on response",INDEX('Faculties'!$L$58:$L$67,MATCH($F137,'Faculties'!$B$58:$B$67,0))),"N/A")</f>
        <v/>
      </c>
      <c r="L137" s="53">
        <f>IFERROR(IF(INDEX('CI&amp;S'!$L$10:$L$15,MATCH($F137,'CI&amp;S'!$B$10:$B$15,0))="","Cell will autofill based on response",INDEX('CI&amp;S'!$L$10:$L$15,MATCH($F137,'CI&amp;S'!$B$10:$B$15,0))),"N/A")</f>
        <v/>
      </c>
      <c r="M137" s="53">
        <f>IFERROR(IF(INDEX('CI&amp;S'!$L$22:$L$36,MATCH($F137,'CI&amp;S'!$B$22:$B$36,0))="","Cell will autofill based on response",INDEX('CI&amp;S'!$L$22:$L$36,MATCH($F137,'CI&amp;S'!$B$22:$B$36,0))),"N/A")</f>
        <v/>
      </c>
      <c r="N137" s="53">
        <f>IFERROR(IF(INDEX('CFOG'!$L$10:$L$16,MATCH($F137,'CFOG'!$B$10:$B$16,0))="","Cell will autofill based on response",INDEX('CFOG'!$L$10:$L$16,MATCH($F137,'CFOG'!$B$10:$B$16,0))),"N/A")</f>
        <v/>
      </c>
      <c r="O137" s="53">
        <f>IFERROR(IF(INDEX('CFOG'!$L$23:$L$24,MATCH($F137,'CFOG'!$B$23:$B$24,0))="","Cell will autofill based on response",INDEX('CFOG'!$L$23:$L$24,MATCH($F137,'CFOG'!$B$23:$B$24,0))),"N/A")</f>
        <v/>
      </c>
      <c r="P137" s="53">
        <f>IFERROR(IF(INDEX('ESG'!$L$10:$L$17,MATCH($F137,'ESG'!$B$10:$B$17,0))="","Cell will autofill based on response",INDEX('ESG'!$L$10:$L$17,MATCH($F137,'ESG'!$B$10:$B$17,0))),"N/A")</f>
        <v/>
      </c>
      <c r="Q137" s="53">
        <f>IFERROR(IF(INDEX('CIOG'!$L$10:$L$14,MATCH($F137,'CIOG'!$B$10:$B$14,0))="","Cell will autofill based on response",INDEX('CIOG'!$L$10:$L$14,MATCH($F137,'CIOG'!$B$10:$B$14,0))),"N/A")</f>
        <v/>
      </c>
      <c r="R137" s="53">
        <f>IFERROR(IF(INDEX('MRE'!$L$10:$L$18,MATCH($F137,'MRE'!$B$10:$B$18,0))="","Cell will autofill based on response",INDEX('MRE'!$L$10:$L$18,MATCH($F137,'MRE'!$B$10:$B$18,0))),"N/A")</f>
        <v/>
      </c>
      <c r="S137" s="53">
        <f>IFERROR(IF(INDEX('AC&amp;M'!$L$10:$L$14,MATCH($F137,'AC&amp;M'!$B$10:$B$14,0))="","Cell will autofill based on response",INDEX('AC&amp;M'!$L$10:$L$14,MATCH($F137,'AC&amp;M'!$B$10:$B$14,0))),"N/A")</f>
        <v/>
      </c>
      <c r="T137" s="53">
        <f>IFERROR(IF(INDEX('GCE'!$L$10:$L$12,MATCH($F137,'GCE'!$B$10:$B$12,0))="","Cell will autofill based on response",INDEX('GCE'!$L$10:$L$12,MATCH($F137,'GCE'!$B$10:$B$12,0))),"N/A")</f>
        <v/>
      </c>
      <c r="U137" s="53">
        <f>IFERROR(IF(INDEX('Education'!$L$10:$L$13,MATCH($F137,'Education'!$B$10:$B$13,0))="","Cell will autofill based on response",INDEX('Education'!$L$10:$L$13,MATCH($F137,'Education'!$B$10:$B$13,0))),"N/A")</f>
        <v/>
      </c>
      <c r="V137" s="53">
        <f>IFERROR(IF(INDEX('SaSS'!$L$10:$L$12,MATCH($F137,'SaSS'!$B$10:$B$12,0))="","Cell will autofill based on response",INDEX('SaSS'!$L$10:$L$12,MATCH($F137,'SaSS'!$B$10:$B$12,0))),"N/A")</f>
        <v/>
      </c>
      <c r="W137" s="53">
        <f>IFERROR(IF(INDEX('Indigenous'!$L$10:$L$11,MATCH($F137,'Indigenous'!$B$10:$B$11,0))="","Cell will autofill based on response",INDEX('Indigenous'!$L$10:$L$11,MATCH($F137,'Indigenous'!$B$10:$B$11,0))),"N/A")</f>
        <v/>
      </c>
      <c r="X137" s="53">
        <f>IFERROR(IF(INDEX('L&amp;R'!$L$10:$L$11,MATCH($F137,'L&amp;R'!$B$10:$B$11,0))="","Cell will autofill based on response",INDEX('L&amp;R'!$L$10:$L$11,MATCH($F137,'L&amp;R'!$B$10:$B$11,0))),"N/A")</f>
        <v/>
      </c>
      <c r="Z137" s="10">
        <f>COUNTIF($H137:$X137,"Cell will autofill based on response")</f>
        <v/>
      </c>
      <c r="AA137" s="10">
        <f>COUNTIF($H137:$X137,"Not yet started")</f>
        <v/>
      </c>
      <c r="AB137" s="10">
        <f>COUNTIF($H137:$X137,"Not met")</f>
        <v/>
      </c>
      <c r="AC137" s="10">
        <f>COUNTIF($H137:$X137,"Partially met")</f>
        <v/>
      </c>
      <c r="AD137" s="10">
        <f>COUNTIF($H137:$X137,"Met or exceeded")</f>
        <v/>
      </c>
      <c r="AE137" s="10">
        <f>3*AD137+2*AC137+AB137</f>
        <v/>
      </c>
      <c r="AF137" s="10">
        <f>AD137+AC137+AB137+AA137</f>
        <v/>
      </c>
      <c r="AG137" s="54">
        <f>IF(AF137&gt;0,AE137/AF137,"No valid responses to date")</f>
        <v/>
      </c>
      <c r="AH137" s="10">
        <f>IF(ISNUMBER(AG137),INDEX(Lists!$G$2:$G$5,MATCH(ROUND(AG137,0),Lists!$H$2:$H$5,0)),"")</f>
        <v/>
      </c>
      <c r="AI137" s="55">
        <f>IF(AF137&gt;0,AD137/AF137,"")</f>
        <v/>
      </c>
      <c r="AJ137" s="55">
        <f>IF(AF137&gt;0,(AD137+AC137)/AF137,"")</f>
        <v/>
      </c>
      <c r="AK137" s="10">
        <f>IF(AF137=0,"",IF(AI137&gt;0.75,"Met or exceeded",IF(AJ137&gt;=0.5,"Partially met","Not met")))</f>
        <v/>
      </c>
    </row>
    <row r="138">
      <c r="A138">
        <f>F138&amp;"|"&amp;G138</f>
        <v/>
      </c>
      <c r="B138" s="13" t="inlineStr"/>
      <c r="C138" s="8" t="inlineStr"/>
      <c r="D138" s="8" t="inlineStr"/>
      <c r="E138" s="8" t="inlineStr"/>
      <c r="F138" s="8" t="inlineStr">
        <is>
          <t>NB1(d)</t>
        </is>
      </c>
      <c r="G138" s="8" t="inlineStr">
        <is>
          <t>OPTION 1:  Target-level reporting</t>
        </is>
      </c>
      <c r="H138" s="53">
        <f>IFERROR(IF(INDEX('Faculties'!$M$10:$M$19,MATCH($F138,'Faculties'!$B$10:$B$19,0))="","Cell will autofill based on response",INDEX('Faculties'!$M$10:$M$19,MATCH($F138,'Faculties'!$B$10:$B$19,0))),"N/A")</f>
        <v/>
      </c>
      <c r="I138" s="53">
        <f>IFERROR(IF(INDEX('Faculties'!$M$26:$M$35,MATCH($F138,'Faculties'!$B$26:$B$35,0))="","Cell will autofill based on response",INDEX('Faculties'!$M$26:$M$35,MATCH($F138,'Faculties'!$B$26:$B$35,0))),"N/A")</f>
        <v/>
      </c>
      <c r="J138" s="53">
        <f>IFERROR(IF(INDEX('Faculties'!$M$42:$M$51,MATCH($F138,'Faculties'!$B$42:$B$51,0))="","Cell will autofill based on response",INDEX('Faculties'!$M$42:$M$51,MATCH($F138,'Faculties'!$B$42:$B$51,0))),"N/A")</f>
        <v/>
      </c>
      <c r="K138" s="53">
        <f>IFERROR(IF(INDEX('Faculties'!$M$58:$M$67,MATCH($F138,'Faculties'!$B$58:$B$67,0))="","Cell will autofill based on response",INDEX('Faculties'!$M$58:$M$67,MATCH($F138,'Faculties'!$B$58:$B$67,0))),"N/A")</f>
        <v/>
      </c>
      <c r="L138" s="53">
        <f>IFERROR(IF(INDEX('CI&amp;S'!$M$10:$M$15,MATCH($F138,'CI&amp;S'!$B$10:$B$15,0))="","Cell will autofill based on response",INDEX('CI&amp;S'!$M$10:$M$15,MATCH($F138,'CI&amp;S'!$B$10:$B$15,0))),"N/A")</f>
        <v/>
      </c>
      <c r="M138" s="53">
        <f>IFERROR(IF(INDEX('CI&amp;S'!$M$22:$M$36,MATCH($F138,'CI&amp;S'!$B$22:$B$36,0))="","Cell will autofill based on response",INDEX('CI&amp;S'!$M$22:$M$36,MATCH($F138,'CI&amp;S'!$B$22:$B$36,0))),"N/A")</f>
        <v/>
      </c>
      <c r="N138" s="53">
        <f>IFERROR(IF(INDEX('CFOG'!$M$10:$M$16,MATCH($F138,'CFOG'!$B$10:$B$16,0))="","Cell will autofill based on response",INDEX('CFOG'!$M$10:$M$16,MATCH($F138,'CFOG'!$B$10:$B$16,0))),"N/A")</f>
        <v/>
      </c>
      <c r="O138" s="53">
        <f>IFERROR(IF(INDEX('CFOG'!$M$23:$M$24,MATCH($F138,'CFOG'!$B$23:$B$24,0))="","Cell will autofill based on response",INDEX('CFOG'!$M$23:$M$24,MATCH($F138,'CFOG'!$B$23:$B$24,0))),"N/A")</f>
        <v/>
      </c>
      <c r="P138" s="53">
        <f>IFERROR(IF(INDEX('ESG'!$M$10:$M$17,MATCH($F138,'ESG'!$B$10:$B$17,0))="","Cell will autofill based on response",INDEX('ESG'!$M$10:$M$17,MATCH($F138,'ESG'!$B$10:$B$17,0))),"N/A")</f>
        <v/>
      </c>
      <c r="Q138" s="53">
        <f>IFERROR(IF(INDEX('CIOG'!$M$10:$M$14,MATCH($F138,'CIOG'!$B$10:$B$14,0))="","Cell will autofill based on response",INDEX('CIOG'!$M$10:$M$14,MATCH($F138,'CIOG'!$B$10:$B$14,0))),"N/A")</f>
        <v/>
      </c>
      <c r="R138" s="53">
        <f>IFERROR(IF(INDEX('MRE'!$M$10:$M$18,MATCH($F138,'MRE'!$B$10:$B$18,0))="","Cell will autofill based on response",INDEX('MRE'!$M$10:$M$18,MATCH($F138,'MRE'!$B$10:$B$18,0))),"N/A")</f>
        <v/>
      </c>
      <c r="S138" s="53">
        <f>IFERROR(IF(INDEX('AC&amp;M'!$M$10:$M$14,MATCH($F138,'AC&amp;M'!$B$10:$B$14,0))="","Cell will autofill based on response",INDEX('AC&amp;M'!$M$10:$M$14,MATCH($F138,'AC&amp;M'!$B$10:$B$14,0))),"N/A")</f>
        <v/>
      </c>
      <c r="T138" s="53">
        <f>IFERROR(IF(INDEX('GCE'!$M$10:$M$12,MATCH($F138,'GCE'!$B$10:$B$12,0))="","Cell will autofill based on response",INDEX('GCE'!$M$10:$M$12,MATCH($F138,'GCE'!$B$10:$B$12,0))),"N/A")</f>
        <v/>
      </c>
      <c r="U138" s="53">
        <f>IFERROR(IF(INDEX('Education'!$M$10:$M$13,MATCH($F138,'Education'!$B$10:$B$13,0))="","Cell will autofill based on response",INDEX('Education'!$M$10:$M$13,MATCH($F138,'Education'!$B$10:$B$13,0))),"N/A")</f>
        <v/>
      </c>
      <c r="V138" s="53">
        <f>IFERROR(IF(INDEX('SaSS'!$M$10:$M$12,MATCH($F138,'SaSS'!$B$10:$B$12,0))="","Cell will autofill based on response",INDEX('SaSS'!$M$10:$M$12,MATCH($F138,'SaSS'!$B$10:$B$12,0))),"N/A")</f>
        <v/>
      </c>
      <c r="W138" s="53">
        <f>IFERROR(IF(INDEX('Indigenous'!$M$10:$M$11,MATCH($F138,'Indigenous'!$B$10:$B$11,0))="","Cell will autofill based on response",INDEX('Indigenous'!$M$10:$M$11,MATCH($F138,'Indigenous'!$B$10:$B$11,0))),"N/A")</f>
        <v/>
      </c>
      <c r="X138" s="53">
        <f>IFERROR(IF(INDEX('L&amp;R'!$M$10:$M$11,MATCH($F138,'L&amp;R'!$B$10:$B$11,0))="","Cell will autofill based on response",INDEX('L&amp;R'!$M$10:$M$11,MATCH($F138,'L&amp;R'!$B$10:$B$11,0))),"N/A")</f>
        <v/>
      </c>
    </row>
    <row r="139">
      <c r="A139">
        <f>F139&amp;"|"&amp;G139</f>
        <v/>
      </c>
      <c r="B139" s="13" t="inlineStr"/>
      <c r="C139" s="8" t="inlineStr"/>
      <c r="D139" s="8" t="inlineStr"/>
      <c r="E139" s="8" t="inlineStr"/>
      <c r="F139" s="8" t="inlineStr">
        <is>
          <t>NB1(d)</t>
        </is>
      </c>
      <c r="G139" s="8" t="inlineStr">
        <is>
          <t>OPTION 2:  Indicator level reporting</t>
        </is>
      </c>
      <c r="H139" s="53">
        <f>IFERROR(IF(INDEX('Faculties'!$N$10:$N$19,MATCH($F139,'Faculties'!$B$10:$B$19,0))="","Cell will autofill based on response",INDEX('Faculties'!$N$10:$N$19,MATCH($F139,'Faculties'!$B$10:$B$19,0))),"N/A")</f>
        <v/>
      </c>
      <c r="I139" s="53">
        <f>IFERROR(IF(INDEX('Faculties'!$N$26:$N$35,MATCH($F139,'Faculties'!$B$26:$B$35,0))="","Cell will autofill based on response",INDEX('Faculties'!$N$26:$N$35,MATCH($F139,'Faculties'!$B$26:$B$35,0))),"N/A")</f>
        <v/>
      </c>
      <c r="J139" s="53">
        <f>IFERROR(IF(INDEX('Faculties'!$N$42:$N$51,MATCH($F139,'Faculties'!$B$42:$B$51,0))="","Cell will autofill based on response",INDEX('Faculties'!$N$42:$N$51,MATCH($F139,'Faculties'!$B$42:$B$51,0))),"N/A")</f>
        <v/>
      </c>
      <c r="K139" s="53">
        <f>IFERROR(IF(INDEX('Faculties'!$N$58:$N$67,MATCH($F139,'Faculties'!$B$58:$B$67,0))="","Cell will autofill based on response",INDEX('Faculties'!$N$58:$N$67,MATCH($F139,'Faculties'!$B$58:$B$67,0))),"N/A")</f>
        <v/>
      </c>
      <c r="L139" s="53">
        <f>IFERROR(IF(INDEX('CI&amp;S'!$N$10:$N$15,MATCH($F139,'CI&amp;S'!$B$10:$B$15,0))="","Cell will autofill based on response",INDEX('CI&amp;S'!$N$10:$N$15,MATCH($F139,'CI&amp;S'!$B$10:$B$15,0))),"N/A")</f>
        <v/>
      </c>
      <c r="M139" s="53">
        <f>IFERROR(IF(INDEX('CI&amp;S'!$N$22:$N$36,MATCH($F139,'CI&amp;S'!$B$22:$B$36,0))="","Cell will autofill based on response",INDEX('CI&amp;S'!$N$22:$N$36,MATCH($F139,'CI&amp;S'!$B$22:$B$36,0))),"N/A")</f>
        <v/>
      </c>
      <c r="N139" s="53">
        <f>IFERROR(IF(INDEX('CFOG'!$N$10:$N$16,MATCH($F139,'CFOG'!$B$10:$B$16,0))="","Cell will autofill based on response",INDEX('CFOG'!$N$10:$N$16,MATCH($F139,'CFOG'!$B$10:$B$16,0))),"N/A")</f>
        <v/>
      </c>
      <c r="O139" s="53">
        <f>IFERROR(IF(INDEX('CFOG'!$N$23:$N$24,MATCH($F139,'CFOG'!$B$23:$B$24,0))="","Cell will autofill based on response",INDEX('CFOG'!$N$23:$N$24,MATCH($F139,'CFOG'!$B$23:$B$24,0))),"N/A")</f>
        <v/>
      </c>
      <c r="P139" s="53">
        <f>IFERROR(IF(INDEX('ESG'!$N$10:$N$17,MATCH($F139,'ESG'!$B$10:$B$17,0))="","Cell will autofill based on response",INDEX('ESG'!$N$10:$N$17,MATCH($F139,'ESG'!$B$10:$B$17,0))),"N/A")</f>
        <v/>
      </c>
      <c r="Q139" s="53">
        <f>IFERROR(IF(INDEX('CIOG'!$N$10:$N$14,MATCH($F139,'CIOG'!$B$10:$B$14,0))="","Cell will autofill based on response",INDEX('CIOG'!$N$10:$N$14,MATCH($F139,'CIOG'!$B$10:$B$14,0))),"N/A")</f>
        <v/>
      </c>
      <c r="R139" s="53">
        <f>IFERROR(IF(INDEX('MRE'!$N$10:$N$18,MATCH($F139,'MRE'!$B$10:$B$18,0))="","Cell will autofill based on response",INDEX('MRE'!$N$10:$N$18,MATCH($F139,'MRE'!$B$10:$B$18,0))),"N/A")</f>
        <v/>
      </c>
      <c r="S139" s="53">
        <f>IFERROR(IF(INDEX('AC&amp;M'!$N$10:$N$14,MATCH($F139,'AC&amp;M'!$B$10:$B$14,0))="","Cell will autofill based on response",INDEX('AC&amp;M'!$N$10:$N$14,MATCH($F139,'AC&amp;M'!$B$10:$B$14,0))),"N/A")</f>
        <v/>
      </c>
      <c r="T139" s="53">
        <f>IFERROR(IF(INDEX('GCE'!$N$10:$N$12,MATCH($F139,'GCE'!$B$10:$B$12,0))="","Cell will autofill based on response",INDEX('GCE'!$N$10:$N$12,MATCH($F139,'GCE'!$B$10:$B$12,0))),"N/A")</f>
        <v/>
      </c>
      <c r="U139" s="53">
        <f>IFERROR(IF(INDEX('Education'!$N$10:$N$13,MATCH($F139,'Education'!$B$10:$B$13,0))="","Cell will autofill based on response",INDEX('Education'!$N$10:$N$13,MATCH($F139,'Education'!$B$10:$B$13,0))),"N/A")</f>
        <v/>
      </c>
      <c r="V139" s="53">
        <f>IFERROR(IF(INDEX('SaSS'!$N$10:$N$12,MATCH($F139,'SaSS'!$B$10:$B$12,0))="","Cell will autofill based on response",INDEX('SaSS'!$N$10:$N$12,MATCH($F139,'SaSS'!$B$10:$B$12,0))),"N/A")</f>
        <v/>
      </c>
      <c r="W139" s="53">
        <f>IFERROR(IF(INDEX('Indigenous'!$N$10:$N$11,MATCH($F139,'Indigenous'!$B$10:$B$11,0))="","Cell will autofill based on response",INDEX('Indigenous'!$N$10:$N$11,MATCH($F139,'Indigenous'!$B$10:$B$11,0))),"N/A")</f>
        <v/>
      </c>
      <c r="X139" s="53">
        <f>IFERROR(IF(INDEX('L&amp;R'!$N$10:$N$11,MATCH($F139,'L&amp;R'!$B$10:$B$11,0))="","Cell will autofill based on response",INDEX('L&amp;R'!$N$10:$N$11,MATCH($F139,'L&amp;R'!$B$10:$B$11,0))),"N/A")</f>
        <v/>
      </c>
    </row>
    <row r="140">
      <c r="A140">
        <f>F140&amp;"|"&amp;G140</f>
        <v/>
      </c>
      <c r="B140" s="13" t="inlineStr"/>
      <c r="C140" s="8" t="inlineStr"/>
      <c r="D140" s="8" t="inlineStr"/>
      <c r="E140" s="8" t="inlineStr"/>
      <c r="F140" s="8" t="inlineStr">
        <is>
          <t>NB1(d)</t>
        </is>
      </c>
      <c r="G140" s="8" t="inlineStr">
        <is>
          <t>Supporting information/comments</t>
        </is>
      </c>
      <c r="H140" s="53">
        <f>IFERROR(IF(INDEX('Faculties'!$O$10:$O$19,MATCH($F140,'Faculties'!$B$10:$B$19,0))="","Cell will autofill based on response",INDEX('Faculties'!$O$10:$O$19,MATCH($F140,'Faculties'!$B$10:$B$19,0))),"N/A")</f>
        <v/>
      </c>
      <c r="I140" s="53">
        <f>IFERROR(IF(INDEX('Faculties'!$O$26:$O$35,MATCH($F140,'Faculties'!$B$26:$B$35,0))="","Cell will autofill based on response",INDEX('Faculties'!$O$26:$O$35,MATCH($F140,'Faculties'!$B$26:$B$35,0))),"N/A")</f>
        <v/>
      </c>
      <c r="J140" s="53">
        <f>IFERROR(IF(INDEX('Faculties'!$O$42:$O$51,MATCH($F140,'Faculties'!$B$42:$B$51,0))="","Cell will autofill based on response",INDEX('Faculties'!$O$42:$O$51,MATCH($F140,'Faculties'!$B$42:$B$51,0))),"N/A")</f>
        <v/>
      </c>
      <c r="K140" s="53">
        <f>IFERROR(IF(INDEX('Faculties'!$O$58:$O$67,MATCH($F140,'Faculties'!$B$58:$B$67,0))="","Cell will autofill based on response",INDEX('Faculties'!$O$58:$O$67,MATCH($F140,'Faculties'!$B$58:$B$67,0))),"N/A")</f>
        <v/>
      </c>
      <c r="L140" s="53">
        <f>IFERROR(IF(INDEX('CI&amp;S'!$O$10:$O$15,MATCH($F140,'CI&amp;S'!$B$10:$B$15,0))="","Cell will autofill based on response",INDEX('CI&amp;S'!$O$10:$O$15,MATCH($F140,'CI&amp;S'!$B$10:$B$15,0))),"N/A")</f>
        <v/>
      </c>
      <c r="M140" s="53">
        <f>IFERROR(IF(INDEX('CI&amp;S'!$O$22:$O$36,MATCH($F140,'CI&amp;S'!$B$22:$B$36,0))="","Cell will autofill based on response",INDEX('CI&amp;S'!$O$22:$O$36,MATCH($F140,'CI&amp;S'!$B$22:$B$36,0))),"N/A")</f>
        <v/>
      </c>
      <c r="N140" s="53">
        <f>IFERROR(IF(INDEX('CFOG'!$O$10:$O$16,MATCH($F140,'CFOG'!$B$10:$B$16,0))="","Cell will autofill based on response",INDEX('CFOG'!$O$10:$O$16,MATCH($F140,'CFOG'!$B$10:$B$16,0))),"N/A")</f>
        <v/>
      </c>
      <c r="O140" s="53">
        <f>IFERROR(IF(INDEX('CFOG'!$O$23:$O$24,MATCH($F140,'CFOG'!$B$23:$B$24,0))="","Cell will autofill based on response",INDEX('CFOG'!$O$23:$O$24,MATCH($F140,'CFOG'!$B$23:$B$24,0))),"N/A")</f>
        <v/>
      </c>
      <c r="P140" s="53">
        <f>IFERROR(IF(INDEX('ESG'!$O$10:$O$17,MATCH($F140,'ESG'!$B$10:$B$17,0))="","Cell will autofill based on response",INDEX('ESG'!$O$10:$O$17,MATCH($F140,'ESG'!$B$10:$B$17,0))),"N/A")</f>
        <v/>
      </c>
      <c r="Q140" s="53">
        <f>IFERROR(IF(INDEX('CIOG'!$O$10:$O$14,MATCH($F140,'CIOG'!$B$10:$B$14,0))="","Cell will autofill based on response",INDEX('CIOG'!$O$10:$O$14,MATCH($F140,'CIOG'!$B$10:$B$14,0))),"N/A")</f>
        <v/>
      </c>
      <c r="R140" s="53">
        <f>IFERROR(IF(INDEX('MRE'!$O$10:$O$18,MATCH($F140,'MRE'!$B$10:$B$18,0))="","Cell will autofill based on response",INDEX('MRE'!$O$10:$O$18,MATCH($F140,'MRE'!$B$10:$B$18,0))),"N/A")</f>
        <v/>
      </c>
      <c r="S140" s="53">
        <f>IFERROR(IF(INDEX('AC&amp;M'!$O$10:$O$14,MATCH($F140,'AC&amp;M'!$B$10:$B$14,0))="","Cell will autofill based on response",INDEX('AC&amp;M'!$O$10:$O$14,MATCH($F140,'AC&amp;M'!$B$10:$B$14,0))),"N/A")</f>
        <v/>
      </c>
      <c r="T140" s="53">
        <f>IFERROR(IF(INDEX('GCE'!$O$10:$O$12,MATCH($F140,'GCE'!$B$10:$B$12,0))="","Cell will autofill based on response",INDEX('GCE'!$O$10:$O$12,MATCH($F140,'GCE'!$B$10:$B$12,0))),"N/A")</f>
        <v/>
      </c>
      <c r="U140" s="53">
        <f>IFERROR(IF(INDEX('Education'!$O$10:$O$13,MATCH($F140,'Education'!$B$10:$B$13,0))="","Cell will autofill based on response",INDEX('Education'!$O$10:$O$13,MATCH($F140,'Education'!$B$10:$B$13,0))),"N/A")</f>
        <v/>
      </c>
      <c r="V140" s="53">
        <f>IFERROR(IF(INDEX('SaSS'!$O$10:$O$12,MATCH($F140,'SaSS'!$B$10:$B$12,0))="","Cell will autofill based on response",INDEX('SaSS'!$O$10:$O$12,MATCH($F140,'SaSS'!$B$10:$B$12,0))),"N/A")</f>
        <v/>
      </c>
      <c r="W140" s="53">
        <f>IFERROR(IF(INDEX('Indigenous'!$O$10:$O$11,MATCH($F140,'Indigenous'!$B$10:$B$11,0))="","Cell will autofill based on response",INDEX('Indigenous'!$O$10:$O$11,MATCH($F140,'Indigenous'!$B$10:$B$11,0))),"N/A")</f>
        <v/>
      </c>
      <c r="X140" s="53">
        <f>IFERROR(IF(INDEX('L&amp;R'!$O$10:$O$11,MATCH($F140,'L&amp;R'!$B$10:$B$11,0))="","Cell will autofill based on response",INDEX('L&amp;R'!$O$10:$O$11,MATCH($F140,'L&amp;R'!$B$10:$B$11,0))),"N/A")</f>
        <v/>
      </c>
    </row>
    <row r="141">
      <c r="A141">
        <f>F141&amp;"|"&amp;G141</f>
        <v/>
      </c>
      <c r="B141" s="13" t="inlineStr"/>
      <c r="C141" s="8" t="inlineStr"/>
      <c r="D141" s="8" t="inlineStr"/>
      <c r="E141" s="8" t="inlineStr"/>
      <c r="F141" s="8" t="inlineStr">
        <is>
          <t>NB1(d)</t>
        </is>
      </c>
      <c r="G141" s="8" t="inlineStr">
        <is>
          <t>Data source and limitations</t>
        </is>
      </c>
      <c r="H141" s="53">
        <f>IFERROR(IF(INDEX('Faculties'!$P$10:$P$19,MATCH($F141,'Faculties'!$B$10:$B$19,0))="","Cell will autofill based on response",INDEX('Faculties'!$P$10:$P$19,MATCH($F141,'Faculties'!$B$10:$B$19,0))),"N/A")</f>
        <v/>
      </c>
      <c r="I141" s="53">
        <f>IFERROR(IF(INDEX('Faculties'!$P$26:$P$35,MATCH($F141,'Faculties'!$B$26:$B$35,0))="","Cell will autofill based on response",INDEX('Faculties'!$P$26:$P$35,MATCH($F141,'Faculties'!$B$26:$B$35,0))),"N/A")</f>
        <v/>
      </c>
      <c r="J141" s="53">
        <f>IFERROR(IF(INDEX('Faculties'!$P$42:$P$51,MATCH($F141,'Faculties'!$B$42:$B$51,0))="","Cell will autofill based on response",INDEX('Faculties'!$P$42:$P$51,MATCH($F141,'Faculties'!$B$42:$B$51,0))),"N/A")</f>
        <v/>
      </c>
      <c r="K141" s="53">
        <f>IFERROR(IF(INDEX('Faculties'!$P$58:$P$67,MATCH($F141,'Faculties'!$B$58:$B$67,0))="","Cell will autofill based on response",INDEX('Faculties'!$P$58:$P$67,MATCH($F141,'Faculties'!$B$58:$B$67,0))),"N/A")</f>
        <v/>
      </c>
      <c r="L141" s="53">
        <f>IFERROR(IF(INDEX('CI&amp;S'!$P$10:$P$15,MATCH($F141,'CI&amp;S'!$B$10:$B$15,0))="","Cell will autofill based on response",INDEX('CI&amp;S'!$P$10:$P$15,MATCH($F141,'CI&amp;S'!$B$10:$B$15,0))),"N/A")</f>
        <v/>
      </c>
      <c r="M141" s="53">
        <f>IFERROR(IF(INDEX('CI&amp;S'!$P$22:$P$36,MATCH($F141,'CI&amp;S'!$B$22:$B$36,0))="","Cell will autofill based on response",INDEX('CI&amp;S'!$P$22:$P$36,MATCH($F141,'CI&amp;S'!$B$22:$B$36,0))),"N/A")</f>
        <v/>
      </c>
      <c r="N141" s="53">
        <f>IFERROR(IF(INDEX('CFOG'!$P$10:$P$16,MATCH($F141,'CFOG'!$B$10:$B$16,0))="","Cell will autofill based on response",INDEX('CFOG'!$P$10:$P$16,MATCH($F141,'CFOG'!$B$10:$B$16,0))),"N/A")</f>
        <v/>
      </c>
      <c r="O141" s="53">
        <f>IFERROR(IF(INDEX('CFOG'!$P$23:$P$24,MATCH($F141,'CFOG'!$B$23:$B$24,0))="","Cell will autofill based on response",INDEX('CFOG'!$P$23:$P$24,MATCH($F141,'CFOG'!$B$23:$B$24,0))),"N/A")</f>
        <v/>
      </c>
      <c r="P141" s="53">
        <f>IFERROR(IF(INDEX('ESG'!$P$10:$P$17,MATCH($F141,'ESG'!$B$10:$B$17,0))="","Cell will autofill based on response",INDEX('ESG'!$P$10:$P$17,MATCH($F141,'ESG'!$B$10:$B$17,0))),"N/A")</f>
        <v/>
      </c>
      <c r="Q141" s="53">
        <f>IFERROR(IF(INDEX('CIOG'!$P$10:$P$14,MATCH($F141,'CIOG'!$B$10:$B$14,0))="","Cell will autofill based on response",INDEX('CIOG'!$P$10:$P$14,MATCH($F141,'CIOG'!$B$10:$B$14,0))),"N/A")</f>
        <v/>
      </c>
      <c r="R141" s="53">
        <f>IFERROR(IF(INDEX('MRE'!$P$10:$P$18,MATCH($F141,'MRE'!$B$10:$B$18,0))="","Cell will autofill based on response",INDEX('MRE'!$P$10:$P$18,MATCH($F141,'MRE'!$B$10:$B$18,0))),"N/A")</f>
        <v/>
      </c>
      <c r="S141" s="53">
        <f>IFERROR(IF(INDEX('AC&amp;M'!$P$10:$P$14,MATCH($F141,'AC&amp;M'!$B$10:$B$14,0))="","Cell will autofill based on response",INDEX('AC&amp;M'!$P$10:$P$14,MATCH($F141,'AC&amp;M'!$B$10:$B$14,0))),"N/A")</f>
        <v/>
      </c>
      <c r="T141" s="53">
        <f>IFERROR(IF(INDEX('GCE'!$P$10:$P$12,MATCH($F141,'GCE'!$B$10:$B$12,0))="","Cell will autofill based on response",INDEX('GCE'!$P$10:$P$12,MATCH($F141,'GCE'!$B$10:$B$12,0))),"N/A")</f>
        <v/>
      </c>
      <c r="U141" s="53">
        <f>IFERROR(IF(INDEX('Education'!$P$10:$P$13,MATCH($F141,'Education'!$B$10:$B$13,0))="","Cell will autofill based on response",INDEX('Education'!$P$10:$P$13,MATCH($F141,'Education'!$B$10:$B$13,0))),"N/A")</f>
        <v/>
      </c>
      <c r="V141" s="53">
        <f>IFERROR(IF(INDEX('SaSS'!$P$10:$P$12,MATCH($F141,'SaSS'!$B$10:$B$12,0))="","Cell will autofill based on response",INDEX('SaSS'!$P$10:$P$12,MATCH($F141,'SaSS'!$B$10:$B$12,0))),"N/A")</f>
        <v/>
      </c>
      <c r="W141" s="53">
        <f>IFERROR(IF(INDEX('Indigenous'!$P$10:$P$11,MATCH($F141,'Indigenous'!$B$10:$B$11,0))="","Cell will autofill based on response",INDEX('Indigenous'!$P$10:$P$11,MATCH($F141,'Indigenous'!$B$10:$B$11,0))),"N/A")</f>
        <v/>
      </c>
      <c r="X141" s="53">
        <f>IFERROR(IF(INDEX('L&amp;R'!$P$10:$P$11,MATCH($F141,'L&amp;R'!$B$10:$B$11,0))="","Cell will autofill based on response",INDEX('L&amp;R'!$P$10:$P$11,MATCH($F141,'L&amp;R'!$B$10:$B$11,0))),"N/A")</f>
        <v/>
      </c>
    </row>
    <row r="142">
      <c r="A142">
        <f>F142&amp;"|"&amp;G142</f>
        <v/>
      </c>
      <c r="B142" s="13" t="inlineStr"/>
      <c r="C142" s="8" t="inlineStr"/>
      <c r="D142" s="8" t="inlineStr"/>
      <c r="E142" s="8" t="inlineStr"/>
      <c r="F142" s="8" t="inlineStr">
        <is>
          <t>NB1(d)</t>
        </is>
      </c>
      <c r="G142" s="8" t="inlineStr">
        <is>
          <t>Data owner confirms</t>
        </is>
      </c>
      <c r="H142" s="53">
        <f>IFERROR(IF(INDEX('Faculties'!$Q$10:$Q$19,MATCH($F142,'Faculties'!$B$10:$B$19,0))="","Cell will autofill based on response",INDEX('Faculties'!$Q$10:$Q$19,MATCH($F142,'Faculties'!$B$10:$B$19,0))),"N/A")</f>
        <v/>
      </c>
      <c r="I142" s="53">
        <f>IFERROR(IF(INDEX('Faculties'!$Q$26:$Q$35,MATCH($F142,'Faculties'!$B$26:$B$35,0))="","Cell will autofill based on response",INDEX('Faculties'!$Q$26:$Q$35,MATCH($F142,'Faculties'!$B$26:$B$35,0))),"N/A")</f>
        <v/>
      </c>
      <c r="J142" s="53">
        <f>IFERROR(IF(INDEX('Faculties'!$Q$42:$Q$51,MATCH($F142,'Faculties'!$B$42:$B$51,0))="","Cell will autofill based on response",INDEX('Faculties'!$Q$42:$Q$51,MATCH($F142,'Faculties'!$B$42:$B$51,0))),"N/A")</f>
        <v/>
      </c>
      <c r="K142" s="53">
        <f>IFERROR(IF(INDEX('Faculties'!$Q$58:$Q$67,MATCH($F142,'Faculties'!$B$58:$B$67,0))="","Cell will autofill based on response",INDEX('Faculties'!$Q$58:$Q$67,MATCH($F142,'Faculties'!$B$58:$B$67,0))),"N/A")</f>
        <v/>
      </c>
      <c r="L142" s="53">
        <f>IFERROR(IF(INDEX('CI&amp;S'!$Q$10:$Q$15,MATCH($F142,'CI&amp;S'!$B$10:$B$15,0))="","Cell will autofill based on response",INDEX('CI&amp;S'!$Q$10:$Q$15,MATCH($F142,'CI&amp;S'!$B$10:$B$15,0))),"N/A")</f>
        <v/>
      </c>
      <c r="M142" s="53">
        <f>IFERROR(IF(INDEX('CI&amp;S'!$Q$22:$Q$36,MATCH($F142,'CI&amp;S'!$B$22:$B$36,0))="","Cell will autofill based on response",INDEX('CI&amp;S'!$Q$22:$Q$36,MATCH($F142,'CI&amp;S'!$B$22:$B$36,0))),"N/A")</f>
        <v/>
      </c>
      <c r="N142" s="53">
        <f>IFERROR(IF(INDEX('CFOG'!$Q$10:$Q$16,MATCH($F142,'CFOG'!$B$10:$B$16,0))="","Cell will autofill based on response",INDEX('CFOG'!$Q$10:$Q$16,MATCH($F142,'CFOG'!$B$10:$B$16,0))),"N/A")</f>
        <v/>
      </c>
      <c r="O142" s="53">
        <f>IFERROR(IF(INDEX('CFOG'!$Q$23:$Q$24,MATCH($F142,'CFOG'!$B$23:$B$24,0))="","Cell will autofill based on response",INDEX('CFOG'!$Q$23:$Q$24,MATCH($F142,'CFOG'!$B$23:$B$24,0))),"N/A")</f>
        <v/>
      </c>
      <c r="P142" s="53">
        <f>IFERROR(IF(INDEX('ESG'!$Q$10:$Q$17,MATCH($F142,'ESG'!$B$10:$B$17,0))="","Cell will autofill based on response",INDEX('ESG'!$Q$10:$Q$17,MATCH($F142,'ESG'!$B$10:$B$17,0))),"N/A")</f>
        <v/>
      </c>
      <c r="Q142" s="53">
        <f>IFERROR(IF(INDEX('CIOG'!$Q$10:$Q$14,MATCH($F142,'CIOG'!$B$10:$B$14,0))="","Cell will autofill based on response",INDEX('CIOG'!$Q$10:$Q$14,MATCH($F142,'CIOG'!$B$10:$B$14,0))),"N/A")</f>
        <v/>
      </c>
      <c r="R142" s="53">
        <f>IFERROR(IF(INDEX('MRE'!$Q$10:$Q$18,MATCH($F142,'MRE'!$B$10:$B$18,0))="","Cell will autofill based on response",INDEX('MRE'!$Q$10:$Q$18,MATCH($F142,'MRE'!$B$10:$B$18,0))),"N/A")</f>
        <v/>
      </c>
      <c r="S142" s="53">
        <f>IFERROR(IF(INDEX('AC&amp;M'!$Q$10:$Q$14,MATCH($F142,'AC&amp;M'!$B$10:$B$14,0))="","Cell will autofill based on response",INDEX('AC&amp;M'!$Q$10:$Q$14,MATCH($F142,'AC&amp;M'!$B$10:$B$14,0))),"N/A")</f>
        <v/>
      </c>
      <c r="T142" s="53">
        <f>IFERROR(IF(INDEX('GCE'!$Q$10:$Q$12,MATCH($F142,'GCE'!$B$10:$B$12,0))="","Cell will autofill based on response",INDEX('GCE'!$Q$10:$Q$12,MATCH($F142,'GCE'!$B$10:$B$12,0))),"N/A")</f>
        <v/>
      </c>
      <c r="U142" s="53">
        <f>IFERROR(IF(INDEX('Education'!$Q$10:$Q$13,MATCH($F142,'Education'!$B$10:$B$13,0))="","Cell will autofill based on response",INDEX('Education'!$Q$10:$Q$13,MATCH($F142,'Education'!$B$10:$B$13,0))),"N/A")</f>
        <v/>
      </c>
      <c r="V142" s="53">
        <f>IFERROR(IF(INDEX('SaSS'!$Q$10:$Q$12,MATCH($F142,'SaSS'!$B$10:$B$12,0))="","Cell will autofill based on response",INDEX('SaSS'!$Q$10:$Q$12,MATCH($F142,'SaSS'!$B$10:$B$12,0))),"N/A")</f>
        <v/>
      </c>
      <c r="W142" s="53">
        <f>IFERROR(IF(INDEX('Indigenous'!$Q$10:$Q$11,MATCH($F142,'Indigenous'!$B$10:$B$11,0))="","Cell will autofill based on response",INDEX('Indigenous'!$Q$10:$Q$11,MATCH($F142,'Indigenous'!$B$10:$B$11,0))),"N/A")</f>
        <v/>
      </c>
      <c r="X142" s="53">
        <f>IFERROR(IF(INDEX('L&amp;R'!$Q$10:$Q$11,MATCH($F142,'L&amp;R'!$B$10:$B$11,0))="","Cell will autofill based on response",INDEX('L&amp;R'!$Q$10:$Q$11,MATCH($F142,'L&amp;R'!$B$10:$B$11,0))),"N/A")</f>
        <v/>
      </c>
    </row>
    <row r="143">
      <c r="A143">
        <f>F143&amp;"|"&amp;G143</f>
        <v/>
      </c>
      <c r="B143" s="7" t="inlineStr">
        <is>
          <t>NB2(a)</t>
        </is>
      </c>
      <c r="C143" s="51" t="inlineStr">
        <is>
          <t>Nature and biodiversity</t>
        </is>
      </c>
      <c r="D143" s="51" t="inlineStr">
        <is>
          <t>Documented baseline nature footprint analysis</t>
        </is>
      </c>
      <c r="E143" s="51" t="inlineStr">
        <is>
          <t>Impact Encore Measurement</t>
        </is>
      </c>
      <c r="F143" s="51" t="inlineStr">
        <is>
          <t>NB2(a)</t>
        </is>
      </c>
      <c r="G143" s="51" t="inlineStr">
        <is>
          <t>Confirm end-2026 target status</t>
        </is>
      </c>
      <c r="H143" s="53">
        <f>IFERROR(IF(INDEX('Faculties'!$L$10:$L$19,MATCH($F143,'Faculties'!$B$10:$B$19,0))="","Cell will autofill based on response",INDEX('Faculties'!$L$10:$L$19,MATCH($F143,'Faculties'!$B$10:$B$19,0))),"N/A")</f>
        <v/>
      </c>
      <c r="I143" s="53">
        <f>IFERROR(IF(INDEX('Faculties'!$L$26:$L$35,MATCH($F143,'Faculties'!$B$26:$B$35,0))="","Cell will autofill based on response",INDEX('Faculties'!$L$26:$L$35,MATCH($F143,'Faculties'!$B$26:$B$35,0))),"N/A")</f>
        <v/>
      </c>
      <c r="J143" s="53">
        <f>IFERROR(IF(INDEX('Faculties'!$L$42:$L$51,MATCH($F143,'Faculties'!$B$42:$B$51,0))="","Cell will autofill based on response",INDEX('Faculties'!$L$42:$L$51,MATCH($F143,'Faculties'!$B$42:$B$51,0))),"N/A")</f>
        <v/>
      </c>
      <c r="K143" s="53">
        <f>IFERROR(IF(INDEX('Faculties'!$L$58:$L$67,MATCH($F143,'Faculties'!$B$58:$B$67,0))="","Cell will autofill based on response",INDEX('Faculties'!$L$58:$L$67,MATCH($F143,'Faculties'!$B$58:$B$67,0))),"N/A")</f>
        <v/>
      </c>
      <c r="L143" s="53">
        <f>IFERROR(IF(INDEX('CI&amp;S'!$L$10:$L$15,MATCH($F143,'CI&amp;S'!$B$10:$B$15,0))="","Cell will autofill based on response",INDEX('CI&amp;S'!$L$10:$L$15,MATCH($F143,'CI&amp;S'!$B$10:$B$15,0))),"N/A")</f>
        <v/>
      </c>
      <c r="M143" s="53">
        <f>IFERROR(IF(INDEX('CI&amp;S'!$L$22:$L$36,MATCH($F143,'CI&amp;S'!$B$22:$B$36,0))="","Cell will autofill based on response",INDEX('CI&amp;S'!$L$22:$L$36,MATCH($F143,'CI&amp;S'!$B$22:$B$36,0))),"N/A")</f>
        <v/>
      </c>
      <c r="N143" s="53">
        <f>IFERROR(IF(INDEX('CFOG'!$L$10:$L$16,MATCH($F143,'CFOG'!$B$10:$B$16,0))="","Cell will autofill based on response",INDEX('CFOG'!$L$10:$L$16,MATCH($F143,'CFOG'!$B$10:$B$16,0))),"N/A")</f>
        <v/>
      </c>
      <c r="O143" s="53">
        <f>IFERROR(IF(INDEX('CFOG'!$L$23:$L$24,MATCH($F143,'CFOG'!$B$23:$B$24,0))="","Cell will autofill based on response",INDEX('CFOG'!$L$23:$L$24,MATCH($F143,'CFOG'!$B$23:$B$24,0))),"N/A")</f>
        <v/>
      </c>
      <c r="P143" s="53">
        <f>IFERROR(IF(INDEX('ESG'!$L$10:$L$17,MATCH($F143,'ESG'!$B$10:$B$17,0))="","Cell will autofill based on response",INDEX('ESG'!$L$10:$L$17,MATCH($F143,'ESG'!$B$10:$B$17,0))),"N/A")</f>
        <v/>
      </c>
      <c r="Q143" s="53">
        <f>IFERROR(IF(INDEX('CIOG'!$L$10:$L$14,MATCH($F143,'CIOG'!$B$10:$B$14,0))="","Cell will autofill based on response",INDEX('CIOG'!$L$10:$L$14,MATCH($F143,'CIOG'!$B$10:$B$14,0))),"N/A")</f>
        <v/>
      </c>
      <c r="R143" s="53">
        <f>IFERROR(IF(INDEX('MRE'!$L$10:$L$18,MATCH($F143,'MRE'!$B$10:$B$18,0))="","Cell will autofill based on response",INDEX('MRE'!$L$10:$L$18,MATCH($F143,'MRE'!$B$10:$B$18,0))),"N/A")</f>
        <v/>
      </c>
      <c r="S143" s="53">
        <f>IFERROR(IF(INDEX('AC&amp;M'!$L$10:$L$14,MATCH($F143,'AC&amp;M'!$B$10:$B$14,0))="","Cell will autofill based on response",INDEX('AC&amp;M'!$L$10:$L$14,MATCH($F143,'AC&amp;M'!$B$10:$B$14,0))),"N/A")</f>
        <v/>
      </c>
      <c r="T143" s="53">
        <f>IFERROR(IF(INDEX('GCE'!$L$10:$L$12,MATCH($F143,'GCE'!$B$10:$B$12,0))="","Cell will autofill based on response",INDEX('GCE'!$L$10:$L$12,MATCH($F143,'GCE'!$B$10:$B$12,0))),"N/A")</f>
        <v/>
      </c>
      <c r="U143" s="53">
        <f>IFERROR(IF(INDEX('Education'!$L$10:$L$13,MATCH($F143,'Education'!$B$10:$B$13,0))="","Cell will autofill based on response",INDEX('Education'!$L$10:$L$13,MATCH($F143,'Education'!$B$10:$B$13,0))),"N/A")</f>
        <v/>
      </c>
      <c r="V143" s="53">
        <f>IFERROR(IF(INDEX('SaSS'!$L$10:$L$12,MATCH($F143,'SaSS'!$B$10:$B$12,0))="","Cell will autofill based on response",INDEX('SaSS'!$L$10:$L$12,MATCH($F143,'SaSS'!$B$10:$B$12,0))),"N/A")</f>
        <v/>
      </c>
      <c r="W143" s="53">
        <f>IFERROR(IF(INDEX('Indigenous'!$L$10:$L$11,MATCH($F143,'Indigenous'!$B$10:$B$11,0))="","Cell will autofill based on response",INDEX('Indigenous'!$L$10:$L$11,MATCH($F143,'Indigenous'!$B$10:$B$11,0))),"N/A")</f>
        <v/>
      </c>
      <c r="X143" s="53">
        <f>IFERROR(IF(INDEX('L&amp;R'!$L$10:$L$11,MATCH($F143,'L&amp;R'!$B$10:$B$11,0))="","Cell will autofill based on response",INDEX('L&amp;R'!$L$10:$L$11,MATCH($F143,'L&amp;R'!$B$10:$B$11,0))),"N/A")</f>
        <v/>
      </c>
      <c r="Z143" s="10">
        <f>COUNTIF($H143:$X143,"Cell will autofill based on response")</f>
        <v/>
      </c>
      <c r="AA143" s="10">
        <f>COUNTIF($H143:$X143,"Not yet started")</f>
        <v/>
      </c>
      <c r="AB143" s="10">
        <f>COUNTIF($H143:$X143,"Not met")</f>
        <v/>
      </c>
      <c r="AC143" s="10">
        <f>COUNTIF($H143:$X143,"Partially met")</f>
        <v/>
      </c>
      <c r="AD143" s="10">
        <f>COUNTIF($H143:$X143,"Met or exceeded")</f>
        <v/>
      </c>
      <c r="AE143" s="10">
        <f>3*AD143+2*AC143+AB143</f>
        <v/>
      </c>
      <c r="AF143" s="10">
        <f>AD143+AC143+AB143+AA143</f>
        <v/>
      </c>
      <c r="AG143" s="54">
        <f>IF(AF143&gt;0,AE143/AF143,"No valid responses to date")</f>
        <v/>
      </c>
      <c r="AH143" s="10">
        <f>IF(ISNUMBER(AG143),INDEX(Lists!$G$2:$G$5,MATCH(ROUND(AG143,0),Lists!$H$2:$H$5,0)),"")</f>
        <v/>
      </c>
      <c r="AI143" s="55">
        <f>IF(AF143&gt;0,AD143/AF143,"")</f>
        <v/>
      </c>
      <c r="AJ143" s="55">
        <f>IF(AF143&gt;0,(AD143+AC143)/AF143,"")</f>
        <v/>
      </c>
      <c r="AK143" s="10">
        <f>IF(AF143=0,"",IF(AI143&gt;0.75,"Met or exceeded",IF(AJ143&gt;=0.5,"Partially met","Not met")))</f>
        <v/>
      </c>
    </row>
    <row r="144">
      <c r="A144">
        <f>F144&amp;"|"&amp;G144</f>
        <v/>
      </c>
      <c r="B144" s="13" t="inlineStr"/>
      <c r="C144" s="8" t="inlineStr"/>
      <c r="D144" s="8" t="inlineStr"/>
      <c r="E144" s="8" t="inlineStr"/>
      <c r="F144" s="8" t="inlineStr">
        <is>
          <t>NB2(a)</t>
        </is>
      </c>
      <c r="G144" s="8" t="inlineStr">
        <is>
          <t>OPTION 1:  Target-level reporting</t>
        </is>
      </c>
      <c r="H144" s="53">
        <f>IFERROR(IF(INDEX('Faculties'!$M$10:$M$19,MATCH($F144,'Faculties'!$B$10:$B$19,0))="","Cell will autofill based on response",INDEX('Faculties'!$M$10:$M$19,MATCH($F144,'Faculties'!$B$10:$B$19,0))),"N/A")</f>
        <v/>
      </c>
      <c r="I144" s="53">
        <f>IFERROR(IF(INDEX('Faculties'!$M$26:$M$35,MATCH($F144,'Faculties'!$B$26:$B$35,0))="","Cell will autofill based on response",INDEX('Faculties'!$M$26:$M$35,MATCH($F144,'Faculties'!$B$26:$B$35,0))),"N/A")</f>
        <v/>
      </c>
      <c r="J144" s="53">
        <f>IFERROR(IF(INDEX('Faculties'!$M$42:$M$51,MATCH($F144,'Faculties'!$B$42:$B$51,0))="","Cell will autofill based on response",INDEX('Faculties'!$M$42:$M$51,MATCH($F144,'Faculties'!$B$42:$B$51,0))),"N/A")</f>
        <v/>
      </c>
      <c r="K144" s="53">
        <f>IFERROR(IF(INDEX('Faculties'!$M$58:$M$67,MATCH($F144,'Faculties'!$B$58:$B$67,0))="","Cell will autofill based on response",INDEX('Faculties'!$M$58:$M$67,MATCH($F144,'Faculties'!$B$58:$B$67,0))),"N/A")</f>
        <v/>
      </c>
      <c r="L144" s="53">
        <f>IFERROR(IF(INDEX('CI&amp;S'!$M$10:$M$15,MATCH($F144,'CI&amp;S'!$B$10:$B$15,0))="","Cell will autofill based on response",INDEX('CI&amp;S'!$M$10:$M$15,MATCH($F144,'CI&amp;S'!$B$10:$B$15,0))),"N/A")</f>
        <v/>
      </c>
      <c r="M144" s="53">
        <f>IFERROR(IF(INDEX('CI&amp;S'!$M$22:$M$36,MATCH($F144,'CI&amp;S'!$B$22:$B$36,0))="","Cell will autofill based on response",INDEX('CI&amp;S'!$M$22:$M$36,MATCH($F144,'CI&amp;S'!$B$22:$B$36,0))),"N/A")</f>
        <v/>
      </c>
      <c r="N144" s="53">
        <f>IFERROR(IF(INDEX('CFOG'!$M$10:$M$16,MATCH($F144,'CFOG'!$B$10:$B$16,0))="","Cell will autofill based on response",INDEX('CFOG'!$M$10:$M$16,MATCH($F144,'CFOG'!$B$10:$B$16,0))),"N/A")</f>
        <v/>
      </c>
      <c r="O144" s="53">
        <f>IFERROR(IF(INDEX('CFOG'!$M$23:$M$24,MATCH($F144,'CFOG'!$B$23:$B$24,0))="","Cell will autofill based on response",INDEX('CFOG'!$M$23:$M$24,MATCH($F144,'CFOG'!$B$23:$B$24,0))),"N/A")</f>
        <v/>
      </c>
      <c r="P144" s="53">
        <f>IFERROR(IF(INDEX('ESG'!$M$10:$M$17,MATCH($F144,'ESG'!$B$10:$B$17,0))="","Cell will autofill based on response",INDEX('ESG'!$M$10:$M$17,MATCH($F144,'ESG'!$B$10:$B$17,0))),"N/A")</f>
        <v/>
      </c>
      <c r="Q144" s="53">
        <f>IFERROR(IF(INDEX('CIOG'!$M$10:$M$14,MATCH($F144,'CIOG'!$B$10:$B$14,0))="","Cell will autofill based on response",INDEX('CIOG'!$M$10:$M$14,MATCH($F144,'CIOG'!$B$10:$B$14,0))),"N/A")</f>
        <v/>
      </c>
      <c r="R144" s="53">
        <f>IFERROR(IF(INDEX('MRE'!$M$10:$M$18,MATCH($F144,'MRE'!$B$10:$B$18,0))="","Cell will autofill based on response",INDEX('MRE'!$M$10:$M$18,MATCH($F144,'MRE'!$B$10:$B$18,0))),"N/A")</f>
        <v/>
      </c>
      <c r="S144" s="53">
        <f>IFERROR(IF(INDEX('AC&amp;M'!$M$10:$M$14,MATCH($F144,'AC&amp;M'!$B$10:$B$14,0))="","Cell will autofill based on response",INDEX('AC&amp;M'!$M$10:$M$14,MATCH($F144,'AC&amp;M'!$B$10:$B$14,0))),"N/A")</f>
        <v/>
      </c>
      <c r="T144" s="53">
        <f>IFERROR(IF(INDEX('GCE'!$M$10:$M$12,MATCH($F144,'GCE'!$B$10:$B$12,0))="","Cell will autofill based on response",INDEX('GCE'!$M$10:$M$12,MATCH($F144,'GCE'!$B$10:$B$12,0))),"N/A")</f>
        <v/>
      </c>
      <c r="U144" s="53">
        <f>IFERROR(IF(INDEX('Education'!$M$10:$M$13,MATCH($F144,'Education'!$B$10:$B$13,0))="","Cell will autofill based on response",INDEX('Education'!$M$10:$M$13,MATCH($F144,'Education'!$B$10:$B$13,0))),"N/A")</f>
        <v/>
      </c>
      <c r="V144" s="53">
        <f>IFERROR(IF(INDEX('SaSS'!$M$10:$M$12,MATCH($F144,'SaSS'!$B$10:$B$12,0))="","Cell will autofill based on response",INDEX('SaSS'!$M$10:$M$12,MATCH($F144,'SaSS'!$B$10:$B$12,0))),"N/A")</f>
        <v/>
      </c>
      <c r="W144" s="53">
        <f>IFERROR(IF(INDEX('Indigenous'!$M$10:$M$11,MATCH($F144,'Indigenous'!$B$10:$B$11,0))="","Cell will autofill based on response",INDEX('Indigenous'!$M$10:$M$11,MATCH($F144,'Indigenous'!$B$10:$B$11,0))),"N/A")</f>
        <v/>
      </c>
      <c r="X144" s="53">
        <f>IFERROR(IF(INDEX('L&amp;R'!$M$10:$M$11,MATCH($F144,'L&amp;R'!$B$10:$B$11,0))="","Cell will autofill based on response",INDEX('L&amp;R'!$M$10:$M$11,MATCH($F144,'L&amp;R'!$B$10:$B$11,0))),"N/A")</f>
        <v/>
      </c>
    </row>
    <row r="145">
      <c r="A145">
        <f>F145&amp;"|"&amp;G145</f>
        <v/>
      </c>
      <c r="B145" s="13" t="inlineStr"/>
      <c r="C145" s="8" t="inlineStr"/>
      <c r="D145" s="8" t="inlineStr"/>
      <c r="E145" s="8" t="inlineStr"/>
      <c r="F145" s="8" t="inlineStr">
        <is>
          <t>NB2(a)</t>
        </is>
      </c>
      <c r="G145" s="8" t="inlineStr">
        <is>
          <t>OPTION 2:  Indicator level reporting</t>
        </is>
      </c>
      <c r="H145" s="53">
        <f>IFERROR(IF(INDEX('Faculties'!$N$10:$N$19,MATCH($F145,'Faculties'!$B$10:$B$19,0))="","Cell will autofill based on response",INDEX('Faculties'!$N$10:$N$19,MATCH($F145,'Faculties'!$B$10:$B$19,0))),"N/A")</f>
        <v/>
      </c>
      <c r="I145" s="53">
        <f>IFERROR(IF(INDEX('Faculties'!$N$26:$N$35,MATCH($F145,'Faculties'!$B$26:$B$35,0))="","Cell will autofill based on response",INDEX('Faculties'!$N$26:$N$35,MATCH($F145,'Faculties'!$B$26:$B$35,0))),"N/A")</f>
        <v/>
      </c>
      <c r="J145" s="53">
        <f>IFERROR(IF(INDEX('Faculties'!$N$42:$N$51,MATCH($F145,'Faculties'!$B$42:$B$51,0))="","Cell will autofill based on response",INDEX('Faculties'!$N$42:$N$51,MATCH($F145,'Faculties'!$B$42:$B$51,0))),"N/A")</f>
        <v/>
      </c>
      <c r="K145" s="53">
        <f>IFERROR(IF(INDEX('Faculties'!$N$58:$N$67,MATCH($F145,'Faculties'!$B$58:$B$67,0))="","Cell will autofill based on response",INDEX('Faculties'!$N$58:$N$67,MATCH($F145,'Faculties'!$B$58:$B$67,0))),"N/A")</f>
        <v/>
      </c>
      <c r="L145" s="53">
        <f>IFERROR(IF(INDEX('CI&amp;S'!$N$10:$N$15,MATCH($F145,'CI&amp;S'!$B$10:$B$15,0))="","Cell will autofill based on response",INDEX('CI&amp;S'!$N$10:$N$15,MATCH($F145,'CI&amp;S'!$B$10:$B$15,0))),"N/A")</f>
        <v/>
      </c>
      <c r="M145" s="53">
        <f>IFERROR(IF(INDEX('CI&amp;S'!$N$22:$N$36,MATCH($F145,'CI&amp;S'!$B$22:$B$36,0))="","Cell will autofill based on response",INDEX('CI&amp;S'!$N$22:$N$36,MATCH($F145,'CI&amp;S'!$B$22:$B$36,0))),"N/A")</f>
        <v/>
      </c>
      <c r="N145" s="53">
        <f>IFERROR(IF(INDEX('CFOG'!$N$10:$N$16,MATCH($F145,'CFOG'!$B$10:$B$16,0))="","Cell will autofill based on response",INDEX('CFOG'!$N$10:$N$16,MATCH($F145,'CFOG'!$B$10:$B$16,0))),"N/A")</f>
        <v/>
      </c>
      <c r="O145" s="53">
        <f>IFERROR(IF(INDEX('CFOG'!$N$23:$N$24,MATCH($F145,'CFOG'!$B$23:$B$24,0))="","Cell will autofill based on response",INDEX('CFOG'!$N$23:$N$24,MATCH($F145,'CFOG'!$B$23:$B$24,0))),"N/A")</f>
        <v/>
      </c>
      <c r="P145" s="53">
        <f>IFERROR(IF(INDEX('ESG'!$N$10:$N$17,MATCH($F145,'ESG'!$B$10:$B$17,0))="","Cell will autofill based on response",INDEX('ESG'!$N$10:$N$17,MATCH($F145,'ESG'!$B$10:$B$17,0))),"N/A")</f>
        <v/>
      </c>
      <c r="Q145" s="53">
        <f>IFERROR(IF(INDEX('CIOG'!$N$10:$N$14,MATCH($F145,'CIOG'!$B$10:$B$14,0))="","Cell will autofill based on response",INDEX('CIOG'!$N$10:$N$14,MATCH($F145,'CIOG'!$B$10:$B$14,0))),"N/A")</f>
        <v/>
      </c>
      <c r="R145" s="53">
        <f>IFERROR(IF(INDEX('MRE'!$N$10:$N$18,MATCH($F145,'MRE'!$B$10:$B$18,0))="","Cell will autofill based on response",INDEX('MRE'!$N$10:$N$18,MATCH($F145,'MRE'!$B$10:$B$18,0))),"N/A")</f>
        <v/>
      </c>
      <c r="S145" s="53">
        <f>IFERROR(IF(INDEX('AC&amp;M'!$N$10:$N$14,MATCH($F145,'AC&amp;M'!$B$10:$B$14,0))="","Cell will autofill based on response",INDEX('AC&amp;M'!$N$10:$N$14,MATCH($F145,'AC&amp;M'!$B$10:$B$14,0))),"N/A")</f>
        <v/>
      </c>
      <c r="T145" s="53">
        <f>IFERROR(IF(INDEX('GCE'!$N$10:$N$12,MATCH($F145,'GCE'!$B$10:$B$12,0))="","Cell will autofill based on response",INDEX('GCE'!$N$10:$N$12,MATCH($F145,'GCE'!$B$10:$B$12,0))),"N/A")</f>
        <v/>
      </c>
      <c r="U145" s="53">
        <f>IFERROR(IF(INDEX('Education'!$N$10:$N$13,MATCH($F145,'Education'!$B$10:$B$13,0))="","Cell will autofill based on response",INDEX('Education'!$N$10:$N$13,MATCH($F145,'Education'!$B$10:$B$13,0))),"N/A")</f>
        <v/>
      </c>
      <c r="V145" s="53">
        <f>IFERROR(IF(INDEX('SaSS'!$N$10:$N$12,MATCH($F145,'SaSS'!$B$10:$B$12,0))="","Cell will autofill based on response",INDEX('SaSS'!$N$10:$N$12,MATCH($F145,'SaSS'!$B$10:$B$12,0))),"N/A")</f>
        <v/>
      </c>
      <c r="W145" s="53">
        <f>IFERROR(IF(INDEX('Indigenous'!$N$10:$N$11,MATCH($F145,'Indigenous'!$B$10:$B$11,0))="","Cell will autofill based on response",INDEX('Indigenous'!$N$10:$N$11,MATCH($F145,'Indigenous'!$B$10:$B$11,0))),"N/A")</f>
        <v/>
      </c>
      <c r="X145" s="53">
        <f>IFERROR(IF(INDEX('L&amp;R'!$N$10:$N$11,MATCH($F145,'L&amp;R'!$B$10:$B$11,0))="","Cell will autofill based on response",INDEX('L&amp;R'!$N$10:$N$11,MATCH($F145,'L&amp;R'!$B$10:$B$11,0))),"N/A")</f>
        <v/>
      </c>
    </row>
    <row r="146">
      <c r="A146">
        <f>F146&amp;"|"&amp;G146</f>
        <v/>
      </c>
      <c r="B146" s="13" t="inlineStr"/>
      <c r="C146" s="8" t="inlineStr"/>
      <c r="D146" s="8" t="inlineStr"/>
      <c r="E146" s="8" t="inlineStr"/>
      <c r="F146" s="8" t="inlineStr">
        <is>
          <t>NB2(a)</t>
        </is>
      </c>
      <c r="G146" s="8" t="inlineStr">
        <is>
          <t>Supporting information/comments</t>
        </is>
      </c>
      <c r="H146" s="53">
        <f>IFERROR(IF(INDEX('Faculties'!$O$10:$O$19,MATCH($F146,'Faculties'!$B$10:$B$19,0))="","Cell will autofill based on response",INDEX('Faculties'!$O$10:$O$19,MATCH($F146,'Faculties'!$B$10:$B$19,0))),"N/A")</f>
        <v/>
      </c>
      <c r="I146" s="53">
        <f>IFERROR(IF(INDEX('Faculties'!$O$26:$O$35,MATCH($F146,'Faculties'!$B$26:$B$35,0))="","Cell will autofill based on response",INDEX('Faculties'!$O$26:$O$35,MATCH($F146,'Faculties'!$B$26:$B$35,0))),"N/A")</f>
        <v/>
      </c>
      <c r="J146" s="53">
        <f>IFERROR(IF(INDEX('Faculties'!$O$42:$O$51,MATCH($F146,'Faculties'!$B$42:$B$51,0))="","Cell will autofill based on response",INDEX('Faculties'!$O$42:$O$51,MATCH($F146,'Faculties'!$B$42:$B$51,0))),"N/A")</f>
        <v/>
      </c>
      <c r="K146" s="53">
        <f>IFERROR(IF(INDEX('Faculties'!$O$58:$O$67,MATCH($F146,'Faculties'!$B$58:$B$67,0))="","Cell will autofill based on response",INDEX('Faculties'!$O$58:$O$67,MATCH($F146,'Faculties'!$B$58:$B$67,0))),"N/A")</f>
        <v/>
      </c>
      <c r="L146" s="53">
        <f>IFERROR(IF(INDEX('CI&amp;S'!$O$10:$O$15,MATCH($F146,'CI&amp;S'!$B$10:$B$15,0))="","Cell will autofill based on response",INDEX('CI&amp;S'!$O$10:$O$15,MATCH($F146,'CI&amp;S'!$B$10:$B$15,0))),"N/A")</f>
        <v/>
      </c>
      <c r="M146" s="53">
        <f>IFERROR(IF(INDEX('CI&amp;S'!$O$22:$O$36,MATCH($F146,'CI&amp;S'!$B$22:$B$36,0))="","Cell will autofill based on response",INDEX('CI&amp;S'!$O$22:$O$36,MATCH($F146,'CI&amp;S'!$B$22:$B$36,0))),"N/A")</f>
        <v/>
      </c>
      <c r="N146" s="53">
        <f>IFERROR(IF(INDEX('CFOG'!$O$10:$O$16,MATCH($F146,'CFOG'!$B$10:$B$16,0))="","Cell will autofill based on response",INDEX('CFOG'!$O$10:$O$16,MATCH($F146,'CFOG'!$B$10:$B$16,0))),"N/A")</f>
        <v/>
      </c>
      <c r="O146" s="53">
        <f>IFERROR(IF(INDEX('CFOG'!$O$23:$O$24,MATCH($F146,'CFOG'!$B$23:$B$24,0))="","Cell will autofill based on response",INDEX('CFOG'!$O$23:$O$24,MATCH($F146,'CFOG'!$B$23:$B$24,0))),"N/A")</f>
        <v/>
      </c>
      <c r="P146" s="53">
        <f>IFERROR(IF(INDEX('ESG'!$O$10:$O$17,MATCH($F146,'ESG'!$B$10:$B$17,0))="","Cell will autofill based on response",INDEX('ESG'!$O$10:$O$17,MATCH($F146,'ESG'!$B$10:$B$17,0))),"N/A")</f>
        <v/>
      </c>
      <c r="Q146" s="53">
        <f>IFERROR(IF(INDEX('CIOG'!$O$10:$O$14,MATCH($F146,'CIOG'!$B$10:$B$14,0))="","Cell will autofill based on response",INDEX('CIOG'!$O$10:$O$14,MATCH($F146,'CIOG'!$B$10:$B$14,0))),"N/A")</f>
        <v/>
      </c>
      <c r="R146" s="53">
        <f>IFERROR(IF(INDEX('MRE'!$O$10:$O$18,MATCH($F146,'MRE'!$B$10:$B$18,0))="","Cell will autofill based on response",INDEX('MRE'!$O$10:$O$18,MATCH($F146,'MRE'!$B$10:$B$18,0))),"N/A")</f>
        <v/>
      </c>
      <c r="S146" s="53">
        <f>IFERROR(IF(INDEX('AC&amp;M'!$O$10:$O$14,MATCH($F146,'AC&amp;M'!$B$10:$B$14,0))="","Cell will autofill based on response",INDEX('AC&amp;M'!$O$10:$O$14,MATCH($F146,'AC&amp;M'!$B$10:$B$14,0))),"N/A")</f>
        <v/>
      </c>
      <c r="T146" s="53">
        <f>IFERROR(IF(INDEX('GCE'!$O$10:$O$12,MATCH($F146,'GCE'!$B$10:$B$12,0))="","Cell will autofill based on response",INDEX('GCE'!$O$10:$O$12,MATCH($F146,'GCE'!$B$10:$B$12,0))),"N/A")</f>
        <v/>
      </c>
      <c r="U146" s="53">
        <f>IFERROR(IF(INDEX('Education'!$O$10:$O$13,MATCH($F146,'Education'!$B$10:$B$13,0))="","Cell will autofill based on response",INDEX('Education'!$O$10:$O$13,MATCH($F146,'Education'!$B$10:$B$13,0))),"N/A")</f>
        <v/>
      </c>
      <c r="V146" s="53">
        <f>IFERROR(IF(INDEX('SaSS'!$O$10:$O$12,MATCH($F146,'SaSS'!$B$10:$B$12,0))="","Cell will autofill based on response",INDEX('SaSS'!$O$10:$O$12,MATCH($F146,'SaSS'!$B$10:$B$12,0))),"N/A")</f>
        <v/>
      </c>
      <c r="W146" s="53">
        <f>IFERROR(IF(INDEX('Indigenous'!$O$10:$O$11,MATCH($F146,'Indigenous'!$B$10:$B$11,0))="","Cell will autofill based on response",INDEX('Indigenous'!$O$10:$O$11,MATCH($F146,'Indigenous'!$B$10:$B$11,0))),"N/A")</f>
        <v/>
      </c>
      <c r="X146" s="53">
        <f>IFERROR(IF(INDEX('L&amp;R'!$O$10:$O$11,MATCH($F146,'L&amp;R'!$B$10:$B$11,0))="","Cell will autofill based on response",INDEX('L&amp;R'!$O$10:$O$11,MATCH($F146,'L&amp;R'!$B$10:$B$11,0))),"N/A")</f>
        <v/>
      </c>
    </row>
    <row r="147">
      <c r="A147">
        <f>F147&amp;"|"&amp;G147</f>
        <v/>
      </c>
      <c r="B147" s="13" t="inlineStr"/>
      <c r="C147" s="8" t="inlineStr"/>
      <c r="D147" s="8" t="inlineStr"/>
      <c r="E147" s="8" t="inlineStr"/>
      <c r="F147" s="8" t="inlineStr">
        <is>
          <t>NB2(a)</t>
        </is>
      </c>
      <c r="G147" s="8" t="inlineStr">
        <is>
          <t>Data source and limitations</t>
        </is>
      </c>
      <c r="H147" s="53">
        <f>IFERROR(IF(INDEX('Faculties'!$P$10:$P$19,MATCH($F147,'Faculties'!$B$10:$B$19,0))="","Cell will autofill based on response",INDEX('Faculties'!$P$10:$P$19,MATCH($F147,'Faculties'!$B$10:$B$19,0))),"N/A")</f>
        <v/>
      </c>
      <c r="I147" s="53">
        <f>IFERROR(IF(INDEX('Faculties'!$P$26:$P$35,MATCH($F147,'Faculties'!$B$26:$B$35,0))="","Cell will autofill based on response",INDEX('Faculties'!$P$26:$P$35,MATCH($F147,'Faculties'!$B$26:$B$35,0))),"N/A")</f>
        <v/>
      </c>
      <c r="J147" s="53">
        <f>IFERROR(IF(INDEX('Faculties'!$P$42:$P$51,MATCH($F147,'Faculties'!$B$42:$B$51,0))="","Cell will autofill based on response",INDEX('Faculties'!$P$42:$P$51,MATCH($F147,'Faculties'!$B$42:$B$51,0))),"N/A")</f>
        <v/>
      </c>
      <c r="K147" s="53">
        <f>IFERROR(IF(INDEX('Faculties'!$P$58:$P$67,MATCH($F147,'Faculties'!$B$58:$B$67,0))="","Cell will autofill based on response",INDEX('Faculties'!$P$58:$P$67,MATCH($F147,'Faculties'!$B$58:$B$67,0))),"N/A")</f>
        <v/>
      </c>
      <c r="L147" s="53">
        <f>IFERROR(IF(INDEX('CI&amp;S'!$P$10:$P$15,MATCH($F147,'CI&amp;S'!$B$10:$B$15,0))="","Cell will autofill based on response",INDEX('CI&amp;S'!$P$10:$P$15,MATCH($F147,'CI&amp;S'!$B$10:$B$15,0))),"N/A")</f>
        <v/>
      </c>
      <c r="M147" s="53">
        <f>IFERROR(IF(INDEX('CI&amp;S'!$P$22:$P$36,MATCH($F147,'CI&amp;S'!$B$22:$B$36,0))="","Cell will autofill based on response",INDEX('CI&amp;S'!$P$22:$P$36,MATCH($F147,'CI&amp;S'!$B$22:$B$36,0))),"N/A")</f>
        <v/>
      </c>
      <c r="N147" s="53">
        <f>IFERROR(IF(INDEX('CFOG'!$P$10:$P$16,MATCH($F147,'CFOG'!$B$10:$B$16,0))="","Cell will autofill based on response",INDEX('CFOG'!$P$10:$P$16,MATCH($F147,'CFOG'!$B$10:$B$16,0))),"N/A")</f>
        <v/>
      </c>
      <c r="O147" s="53">
        <f>IFERROR(IF(INDEX('CFOG'!$P$23:$P$24,MATCH($F147,'CFOG'!$B$23:$B$24,0))="","Cell will autofill based on response",INDEX('CFOG'!$P$23:$P$24,MATCH($F147,'CFOG'!$B$23:$B$24,0))),"N/A")</f>
        <v/>
      </c>
      <c r="P147" s="53">
        <f>IFERROR(IF(INDEX('ESG'!$P$10:$P$17,MATCH($F147,'ESG'!$B$10:$B$17,0))="","Cell will autofill based on response",INDEX('ESG'!$P$10:$P$17,MATCH($F147,'ESG'!$B$10:$B$17,0))),"N/A")</f>
        <v/>
      </c>
      <c r="Q147" s="53">
        <f>IFERROR(IF(INDEX('CIOG'!$P$10:$P$14,MATCH($F147,'CIOG'!$B$10:$B$14,0))="","Cell will autofill based on response",INDEX('CIOG'!$P$10:$P$14,MATCH($F147,'CIOG'!$B$10:$B$14,0))),"N/A")</f>
        <v/>
      </c>
      <c r="R147" s="53">
        <f>IFERROR(IF(INDEX('MRE'!$P$10:$P$18,MATCH($F147,'MRE'!$B$10:$B$18,0))="","Cell will autofill based on response",INDEX('MRE'!$P$10:$P$18,MATCH($F147,'MRE'!$B$10:$B$18,0))),"N/A")</f>
        <v/>
      </c>
      <c r="S147" s="53">
        <f>IFERROR(IF(INDEX('AC&amp;M'!$P$10:$P$14,MATCH($F147,'AC&amp;M'!$B$10:$B$14,0))="","Cell will autofill based on response",INDEX('AC&amp;M'!$P$10:$P$14,MATCH($F147,'AC&amp;M'!$B$10:$B$14,0))),"N/A")</f>
        <v/>
      </c>
      <c r="T147" s="53">
        <f>IFERROR(IF(INDEX('GCE'!$P$10:$P$12,MATCH($F147,'GCE'!$B$10:$B$12,0))="","Cell will autofill based on response",INDEX('GCE'!$P$10:$P$12,MATCH($F147,'GCE'!$B$10:$B$12,0))),"N/A")</f>
        <v/>
      </c>
      <c r="U147" s="53">
        <f>IFERROR(IF(INDEX('Education'!$P$10:$P$13,MATCH($F147,'Education'!$B$10:$B$13,0))="","Cell will autofill based on response",INDEX('Education'!$P$10:$P$13,MATCH($F147,'Education'!$B$10:$B$13,0))),"N/A")</f>
        <v/>
      </c>
      <c r="V147" s="53">
        <f>IFERROR(IF(INDEX('SaSS'!$P$10:$P$12,MATCH($F147,'SaSS'!$B$10:$B$12,0))="","Cell will autofill based on response",INDEX('SaSS'!$P$10:$P$12,MATCH($F147,'SaSS'!$B$10:$B$12,0))),"N/A")</f>
        <v/>
      </c>
      <c r="W147" s="53">
        <f>IFERROR(IF(INDEX('Indigenous'!$P$10:$P$11,MATCH($F147,'Indigenous'!$B$10:$B$11,0))="","Cell will autofill based on response",INDEX('Indigenous'!$P$10:$P$11,MATCH($F147,'Indigenous'!$B$10:$B$11,0))),"N/A")</f>
        <v/>
      </c>
      <c r="X147" s="53">
        <f>IFERROR(IF(INDEX('L&amp;R'!$P$10:$P$11,MATCH($F147,'L&amp;R'!$B$10:$B$11,0))="","Cell will autofill based on response",INDEX('L&amp;R'!$P$10:$P$11,MATCH($F147,'L&amp;R'!$B$10:$B$11,0))),"N/A")</f>
        <v/>
      </c>
    </row>
    <row r="148">
      <c r="A148">
        <f>F148&amp;"|"&amp;G148</f>
        <v/>
      </c>
      <c r="B148" s="13" t="inlineStr"/>
      <c r="C148" s="8" t="inlineStr"/>
      <c r="D148" s="8" t="inlineStr"/>
      <c r="E148" s="8" t="inlineStr"/>
      <c r="F148" s="8" t="inlineStr">
        <is>
          <t>NB2(a)</t>
        </is>
      </c>
      <c r="G148" s="8" t="inlineStr">
        <is>
          <t>Data owner confirms</t>
        </is>
      </c>
      <c r="H148" s="53">
        <f>IFERROR(IF(INDEX('Faculties'!$Q$10:$Q$19,MATCH($F148,'Faculties'!$B$10:$B$19,0))="","Cell will autofill based on response",INDEX('Faculties'!$Q$10:$Q$19,MATCH($F148,'Faculties'!$B$10:$B$19,0))),"N/A")</f>
        <v/>
      </c>
      <c r="I148" s="53">
        <f>IFERROR(IF(INDEX('Faculties'!$Q$26:$Q$35,MATCH($F148,'Faculties'!$B$26:$B$35,0))="","Cell will autofill based on response",INDEX('Faculties'!$Q$26:$Q$35,MATCH($F148,'Faculties'!$B$26:$B$35,0))),"N/A")</f>
        <v/>
      </c>
      <c r="J148" s="53">
        <f>IFERROR(IF(INDEX('Faculties'!$Q$42:$Q$51,MATCH($F148,'Faculties'!$B$42:$B$51,0))="","Cell will autofill based on response",INDEX('Faculties'!$Q$42:$Q$51,MATCH($F148,'Faculties'!$B$42:$B$51,0))),"N/A")</f>
        <v/>
      </c>
      <c r="K148" s="53">
        <f>IFERROR(IF(INDEX('Faculties'!$Q$58:$Q$67,MATCH($F148,'Faculties'!$B$58:$B$67,0))="","Cell will autofill based on response",INDEX('Faculties'!$Q$58:$Q$67,MATCH($F148,'Faculties'!$B$58:$B$67,0))),"N/A")</f>
        <v/>
      </c>
      <c r="L148" s="53">
        <f>IFERROR(IF(INDEX('CI&amp;S'!$Q$10:$Q$15,MATCH($F148,'CI&amp;S'!$B$10:$B$15,0))="","Cell will autofill based on response",INDEX('CI&amp;S'!$Q$10:$Q$15,MATCH($F148,'CI&amp;S'!$B$10:$B$15,0))),"N/A")</f>
        <v/>
      </c>
      <c r="M148" s="53">
        <f>IFERROR(IF(INDEX('CI&amp;S'!$Q$22:$Q$36,MATCH($F148,'CI&amp;S'!$B$22:$B$36,0))="","Cell will autofill based on response",INDEX('CI&amp;S'!$Q$22:$Q$36,MATCH($F148,'CI&amp;S'!$B$22:$B$36,0))),"N/A")</f>
        <v/>
      </c>
      <c r="N148" s="53">
        <f>IFERROR(IF(INDEX('CFOG'!$Q$10:$Q$16,MATCH($F148,'CFOG'!$B$10:$B$16,0))="","Cell will autofill based on response",INDEX('CFOG'!$Q$10:$Q$16,MATCH($F148,'CFOG'!$B$10:$B$16,0))),"N/A")</f>
        <v/>
      </c>
      <c r="O148" s="53">
        <f>IFERROR(IF(INDEX('CFOG'!$Q$23:$Q$24,MATCH($F148,'CFOG'!$B$23:$B$24,0))="","Cell will autofill based on response",INDEX('CFOG'!$Q$23:$Q$24,MATCH($F148,'CFOG'!$B$23:$B$24,0))),"N/A")</f>
        <v/>
      </c>
      <c r="P148" s="53">
        <f>IFERROR(IF(INDEX('ESG'!$Q$10:$Q$17,MATCH($F148,'ESG'!$B$10:$B$17,0))="","Cell will autofill based on response",INDEX('ESG'!$Q$10:$Q$17,MATCH($F148,'ESG'!$B$10:$B$17,0))),"N/A")</f>
        <v/>
      </c>
      <c r="Q148" s="53">
        <f>IFERROR(IF(INDEX('CIOG'!$Q$10:$Q$14,MATCH($F148,'CIOG'!$B$10:$B$14,0))="","Cell will autofill based on response",INDEX('CIOG'!$Q$10:$Q$14,MATCH($F148,'CIOG'!$B$10:$B$14,0))),"N/A")</f>
        <v/>
      </c>
      <c r="R148" s="53">
        <f>IFERROR(IF(INDEX('MRE'!$Q$10:$Q$18,MATCH($F148,'MRE'!$B$10:$B$18,0))="","Cell will autofill based on response",INDEX('MRE'!$Q$10:$Q$18,MATCH($F148,'MRE'!$B$10:$B$18,0))),"N/A")</f>
        <v/>
      </c>
      <c r="S148" s="53">
        <f>IFERROR(IF(INDEX('AC&amp;M'!$Q$10:$Q$14,MATCH($F148,'AC&amp;M'!$B$10:$B$14,0))="","Cell will autofill based on response",INDEX('AC&amp;M'!$Q$10:$Q$14,MATCH($F148,'AC&amp;M'!$B$10:$B$14,0))),"N/A")</f>
        <v/>
      </c>
      <c r="T148" s="53">
        <f>IFERROR(IF(INDEX('GCE'!$Q$10:$Q$12,MATCH($F148,'GCE'!$B$10:$B$12,0))="","Cell will autofill based on response",INDEX('GCE'!$Q$10:$Q$12,MATCH($F148,'GCE'!$B$10:$B$12,0))),"N/A")</f>
        <v/>
      </c>
      <c r="U148" s="53">
        <f>IFERROR(IF(INDEX('Education'!$Q$10:$Q$13,MATCH($F148,'Education'!$B$10:$B$13,0))="","Cell will autofill based on response",INDEX('Education'!$Q$10:$Q$13,MATCH($F148,'Education'!$B$10:$B$13,0))),"N/A")</f>
        <v/>
      </c>
      <c r="V148" s="53">
        <f>IFERROR(IF(INDEX('SaSS'!$Q$10:$Q$12,MATCH($F148,'SaSS'!$B$10:$B$12,0))="","Cell will autofill based on response",INDEX('SaSS'!$Q$10:$Q$12,MATCH($F148,'SaSS'!$B$10:$B$12,0))),"N/A")</f>
        <v/>
      </c>
      <c r="W148" s="53">
        <f>IFERROR(IF(INDEX('Indigenous'!$Q$10:$Q$11,MATCH($F148,'Indigenous'!$B$10:$B$11,0))="","Cell will autofill based on response",INDEX('Indigenous'!$Q$10:$Q$11,MATCH($F148,'Indigenous'!$B$10:$B$11,0))),"N/A")</f>
        <v/>
      </c>
      <c r="X148" s="53">
        <f>IFERROR(IF(INDEX('L&amp;R'!$Q$10:$Q$11,MATCH($F148,'L&amp;R'!$B$10:$B$11,0))="","Cell will autofill based on response",INDEX('L&amp;R'!$Q$10:$Q$11,MATCH($F148,'L&amp;R'!$B$10:$B$11,0))),"N/A")</f>
        <v/>
      </c>
    </row>
    <row r="149">
      <c r="A149">
        <f>F149&amp;"|"&amp;G149</f>
        <v/>
      </c>
      <c r="B149" s="7" t="inlineStr">
        <is>
          <t>NB2(b)</t>
        </is>
      </c>
      <c r="C149" s="51" t="inlineStr">
        <is>
          <t>Nature and biodiversity</t>
        </is>
      </c>
      <c r="D149" s="51" t="inlineStr">
        <is>
          <t>Evidence of established framework to monitor and track supply-chain nature impacts over time</t>
        </is>
      </c>
      <c r="E149" s="51" t="inlineStr">
        <is>
          <t>Please describe the framework established to monitor and track supply-chain impacts on nature over time, could include metrics, data sources, governance/ownership, reporting frequency and current implementation status.</t>
        </is>
      </c>
      <c r="F149" s="51" t="inlineStr">
        <is>
          <t>NB2(b)</t>
        </is>
      </c>
      <c r="G149" s="51" t="inlineStr">
        <is>
          <t>Confirm end-2026 target status</t>
        </is>
      </c>
      <c r="H149" s="53">
        <f>IFERROR(IF(INDEX('Faculties'!$L$10:$L$19,MATCH($F149,'Faculties'!$B$10:$B$19,0))="","Cell will autofill based on response",INDEX('Faculties'!$L$10:$L$19,MATCH($F149,'Faculties'!$B$10:$B$19,0))),"N/A")</f>
        <v/>
      </c>
      <c r="I149" s="53">
        <f>IFERROR(IF(INDEX('Faculties'!$L$26:$L$35,MATCH($F149,'Faculties'!$B$26:$B$35,0))="","Cell will autofill based on response",INDEX('Faculties'!$L$26:$L$35,MATCH($F149,'Faculties'!$B$26:$B$35,0))),"N/A")</f>
        <v/>
      </c>
      <c r="J149" s="53">
        <f>IFERROR(IF(INDEX('Faculties'!$L$42:$L$51,MATCH($F149,'Faculties'!$B$42:$B$51,0))="","Cell will autofill based on response",INDEX('Faculties'!$L$42:$L$51,MATCH($F149,'Faculties'!$B$42:$B$51,0))),"N/A")</f>
        <v/>
      </c>
      <c r="K149" s="53">
        <f>IFERROR(IF(INDEX('Faculties'!$L$58:$L$67,MATCH($F149,'Faculties'!$B$58:$B$67,0))="","Cell will autofill based on response",INDEX('Faculties'!$L$58:$L$67,MATCH($F149,'Faculties'!$B$58:$B$67,0))),"N/A")</f>
        <v/>
      </c>
      <c r="L149" s="53">
        <f>IFERROR(IF(INDEX('CI&amp;S'!$L$10:$L$15,MATCH($F149,'CI&amp;S'!$B$10:$B$15,0))="","Cell will autofill based on response",INDEX('CI&amp;S'!$L$10:$L$15,MATCH($F149,'CI&amp;S'!$B$10:$B$15,0))),"N/A")</f>
        <v/>
      </c>
      <c r="M149" s="53">
        <f>IFERROR(IF(INDEX('CI&amp;S'!$L$22:$L$36,MATCH($F149,'CI&amp;S'!$B$22:$B$36,0))="","Cell will autofill based on response",INDEX('CI&amp;S'!$L$22:$L$36,MATCH($F149,'CI&amp;S'!$B$22:$B$36,0))),"N/A")</f>
        <v/>
      </c>
      <c r="N149" s="53">
        <f>IFERROR(IF(INDEX('CFOG'!$L$10:$L$16,MATCH($F149,'CFOG'!$B$10:$B$16,0))="","Cell will autofill based on response",INDEX('CFOG'!$L$10:$L$16,MATCH($F149,'CFOG'!$B$10:$B$16,0))),"N/A")</f>
        <v/>
      </c>
      <c r="O149" s="53">
        <f>IFERROR(IF(INDEX('CFOG'!$L$23:$L$24,MATCH($F149,'CFOG'!$B$23:$B$24,0))="","Cell will autofill based on response",INDEX('CFOG'!$L$23:$L$24,MATCH($F149,'CFOG'!$B$23:$B$24,0))),"N/A")</f>
        <v/>
      </c>
      <c r="P149" s="53">
        <f>IFERROR(IF(INDEX('ESG'!$L$10:$L$17,MATCH($F149,'ESG'!$B$10:$B$17,0))="","Cell will autofill based on response",INDEX('ESG'!$L$10:$L$17,MATCH($F149,'ESG'!$B$10:$B$17,0))),"N/A")</f>
        <v/>
      </c>
      <c r="Q149" s="53">
        <f>IFERROR(IF(INDEX('CIOG'!$L$10:$L$14,MATCH($F149,'CIOG'!$B$10:$B$14,0))="","Cell will autofill based on response",INDEX('CIOG'!$L$10:$L$14,MATCH($F149,'CIOG'!$B$10:$B$14,0))),"N/A")</f>
        <v/>
      </c>
      <c r="R149" s="53">
        <f>IFERROR(IF(INDEX('MRE'!$L$10:$L$18,MATCH($F149,'MRE'!$B$10:$B$18,0))="","Cell will autofill based on response",INDEX('MRE'!$L$10:$L$18,MATCH($F149,'MRE'!$B$10:$B$18,0))),"N/A")</f>
        <v/>
      </c>
      <c r="S149" s="53">
        <f>IFERROR(IF(INDEX('AC&amp;M'!$L$10:$L$14,MATCH($F149,'AC&amp;M'!$B$10:$B$14,0))="","Cell will autofill based on response",INDEX('AC&amp;M'!$L$10:$L$14,MATCH($F149,'AC&amp;M'!$B$10:$B$14,0))),"N/A")</f>
        <v/>
      </c>
      <c r="T149" s="53">
        <f>IFERROR(IF(INDEX('GCE'!$L$10:$L$12,MATCH($F149,'GCE'!$B$10:$B$12,0))="","Cell will autofill based on response",INDEX('GCE'!$L$10:$L$12,MATCH($F149,'GCE'!$B$10:$B$12,0))),"N/A")</f>
        <v/>
      </c>
      <c r="U149" s="53">
        <f>IFERROR(IF(INDEX('Education'!$L$10:$L$13,MATCH($F149,'Education'!$B$10:$B$13,0))="","Cell will autofill based on response",INDEX('Education'!$L$10:$L$13,MATCH($F149,'Education'!$B$10:$B$13,0))),"N/A")</f>
        <v/>
      </c>
      <c r="V149" s="53">
        <f>IFERROR(IF(INDEX('SaSS'!$L$10:$L$12,MATCH($F149,'SaSS'!$B$10:$B$12,0))="","Cell will autofill based on response",INDEX('SaSS'!$L$10:$L$12,MATCH($F149,'SaSS'!$B$10:$B$12,0))),"N/A")</f>
        <v/>
      </c>
      <c r="W149" s="53">
        <f>IFERROR(IF(INDEX('Indigenous'!$L$10:$L$11,MATCH($F149,'Indigenous'!$B$10:$B$11,0))="","Cell will autofill based on response",INDEX('Indigenous'!$L$10:$L$11,MATCH($F149,'Indigenous'!$B$10:$B$11,0))),"N/A")</f>
        <v/>
      </c>
      <c r="X149" s="53">
        <f>IFERROR(IF(INDEX('L&amp;R'!$L$10:$L$11,MATCH($F149,'L&amp;R'!$B$10:$B$11,0))="","Cell will autofill based on response",INDEX('L&amp;R'!$L$10:$L$11,MATCH($F149,'L&amp;R'!$B$10:$B$11,0))),"N/A")</f>
        <v/>
      </c>
      <c r="Z149" s="10">
        <f>COUNTIF($H149:$X149,"Cell will autofill based on response")</f>
        <v/>
      </c>
      <c r="AA149" s="10">
        <f>COUNTIF($H149:$X149,"Not yet started")</f>
        <v/>
      </c>
      <c r="AB149" s="10">
        <f>COUNTIF($H149:$X149,"Not met")</f>
        <v/>
      </c>
      <c r="AC149" s="10">
        <f>COUNTIF($H149:$X149,"Partially met")</f>
        <v/>
      </c>
      <c r="AD149" s="10">
        <f>COUNTIF($H149:$X149,"Met or exceeded")</f>
        <v/>
      </c>
      <c r="AE149" s="10">
        <f>3*AD149+2*AC149+AB149</f>
        <v/>
      </c>
      <c r="AF149" s="10">
        <f>AD149+AC149+AB149+AA149</f>
        <v/>
      </c>
      <c r="AG149" s="54">
        <f>IF(AF149&gt;0,AE149/AF149,"No valid responses to date")</f>
        <v/>
      </c>
      <c r="AH149" s="10">
        <f>IF(ISNUMBER(AG149),INDEX(Lists!$G$2:$G$5,MATCH(ROUND(AG149,0),Lists!$H$2:$H$5,0)),"")</f>
        <v/>
      </c>
      <c r="AI149" s="55">
        <f>IF(AF149&gt;0,AD149/AF149,"")</f>
        <v/>
      </c>
      <c r="AJ149" s="55">
        <f>IF(AF149&gt;0,(AD149+AC149)/AF149,"")</f>
        <v/>
      </c>
      <c r="AK149" s="10">
        <f>IF(AF149=0,"",IF(AI149&gt;0.75,"Met or exceeded",IF(AJ149&gt;=0.5,"Partially met","Not met")))</f>
        <v/>
      </c>
    </row>
    <row r="150">
      <c r="A150">
        <f>F150&amp;"|"&amp;G150</f>
        <v/>
      </c>
      <c r="B150" s="13" t="inlineStr"/>
      <c r="C150" s="8" t="inlineStr"/>
      <c r="D150" s="8" t="inlineStr"/>
      <c r="E150" s="8" t="inlineStr"/>
      <c r="F150" s="8" t="inlineStr">
        <is>
          <t>NB2(b)</t>
        </is>
      </c>
      <c r="G150" s="8" t="inlineStr">
        <is>
          <t>OPTION 1:  Target-level reporting</t>
        </is>
      </c>
      <c r="H150" s="53">
        <f>IFERROR(IF(INDEX('Faculties'!$M$10:$M$19,MATCH($F150,'Faculties'!$B$10:$B$19,0))="","Cell will autofill based on response",INDEX('Faculties'!$M$10:$M$19,MATCH($F150,'Faculties'!$B$10:$B$19,0))),"N/A")</f>
        <v/>
      </c>
      <c r="I150" s="53">
        <f>IFERROR(IF(INDEX('Faculties'!$M$26:$M$35,MATCH($F150,'Faculties'!$B$26:$B$35,0))="","Cell will autofill based on response",INDEX('Faculties'!$M$26:$M$35,MATCH($F150,'Faculties'!$B$26:$B$35,0))),"N/A")</f>
        <v/>
      </c>
      <c r="J150" s="53">
        <f>IFERROR(IF(INDEX('Faculties'!$M$42:$M$51,MATCH($F150,'Faculties'!$B$42:$B$51,0))="","Cell will autofill based on response",INDEX('Faculties'!$M$42:$M$51,MATCH($F150,'Faculties'!$B$42:$B$51,0))),"N/A")</f>
        <v/>
      </c>
      <c r="K150" s="53">
        <f>IFERROR(IF(INDEX('Faculties'!$M$58:$M$67,MATCH($F150,'Faculties'!$B$58:$B$67,0))="","Cell will autofill based on response",INDEX('Faculties'!$M$58:$M$67,MATCH($F150,'Faculties'!$B$58:$B$67,0))),"N/A")</f>
        <v/>
      </c>
      <c r="L150" s="53">
        <f>IFERROR(IF(INDEX('CI&amp;S'!$M$10:$M$15,MATCH($F150,'CI&amp;S'!$B$10:$B$15,0))="","Cell will autofill based on response",INDEX('CI&amp;S'!$M$10:$M$15,MATCH($F150,'CI&amp;S'!$B$10:$B$15,0))),"N/A")</f>
        <v/>
      </c>
      <c r="M150" s="53">
        <f>IFERROR(IF(INDEX('CI&amp;S'!$M$22:$M$36,MATCH($F150,'CI&amp;S'!$B$22:$B$36,0))="","Cell will autofill based on response",INDEX('CI&amp;S'!$M$22:$M$36,MATCH($F150,'CI&amp;S'!$B$22:$B$36,0))),"N/A")</f>
        <v/>
      </c>
      <c r="N150" s="53">
        <f>IFERROR(IF(INDEX('CFOG'!$M$10:$M$16,MATCH($F150,'CFOG'!$B$10:$B$16,0))="","Cell will autofill based on response",INDEX('CFOG'!$M$10:$M$16,MATCH($F150,'CFOG'!$B$10:$B$16,0))),"N/A")</f>
        <v/>
      </c>
      <c r="O150" s="53">
        <f>IFERROR(IF(INDEX('CFOG'!$M$23:$M$24,MATCH($F150,'CFOG'!$B$23:$B$24,0))="","Cell will autofill based on response",INDEX('CFOG'!$M$23:$M$24,MATCH($F150,'CFOG'!$B$23:$B$24,0))),"N/A")</f>
        <v/>
      </c>
      <c r="P150" s="53">
        <f>IFERROR(IF(INDEX('ESG'!$M$10:$M$17,MATCH($F150,'ESG'!$B$10:$B$17,0))="","Cell will autofill based on response",INDEX('ESG'!$M$10:$M$17,MATCH($F150,'ESG'!$B$10:$B$17,0))),"N/A")</f>
        <v/>
      </c>
      <c r="Q150" s="53">
        <f>IFERROR(IF(INDEX('CIOG'!$M$10:$M$14,MATCH($F150,'CIOG'!$B$10:$B$14,0))="","Cell will autofill based on response",INDEX('CIOG'!$M$10:$M$14,MATCH($F150,'CIOG'!$B$10:$B$14,0))),"N/A")</f>
        <v/>
      </c>
      <c r="R150" s="53">
        <f>IFERROR(IF(INDEX('MRE'!$M$10:$M$18,MATCH($F150,'MRE'!$B$10:$B$18,0))="","Cell will autofill based on response",INDEX('MRE'!$M$10:$M$18,MATCH($F150,'MRE'!$B$10:$B$18,0))),"N/A")</f>
        <v/>
      </c>
      <c r="S150" s="53">
        <f>IFERROR(IF(INDEX('AC&amp;M'!$M$10:$M$14,MATCH($F150,'AC&amp;M'!$B$10:$B$14,0))="","Cell will autofill based on response",INDEX('AC&amp;M'!$M$10:$M$14,MATCH($F150,'AC&amp;M'!$B$10:$B$14,0))),"N/A")</f>
        <v/>
      </c>
      <c r="T150" s="53">
        <f>IFERROR(IF(INDEX('GCE'!$M$10:$M$12,MATCH($F150,'GCE'!$B$10:$B$12,0))="","Cell will autofill based on response",INDEX('GCE'!$M$10:$M$12,MATCH($F150,'GCE'!$B$10:$B$12,0))),"N/A")</f>
        <v/>
      </c>
      <c r="U150" s="53">
        <f>IFERROR(IF(INDEX('Education'!$M$10:$M$13,MATCH($F150,'Education'!$B$10:$B$13,0))="","Cell will autofill based on response",INDEX('Education'!$M$10:$M$13,MATCH($F150,'Education'!$B$10:$B$13,0))),"N/A")</f>
        <v/>
      </c>
      <c r="V150" s="53">
        <f>IFERROR(IF(INDEX('SaSS'!$M$10:$M$12,MATCH($F150,'SaSS'!$B$10:$B$12,0))="","Cell will autofill based on response",INDEX('SaSS'!$M$10:$M$12,MATCH($F150,'SaSS'!$B$10:$B$12,0))),"N/A")</f>
        <v/>
      </c>
      <c r="W150" s="53">
        <f>IFERROR(IF(INDEX('Indigenous'!$M$10:$M$11,MATCH($F150,'Indigenous'!$B$10:$B$11,0))="","Cell will autofill based on response",INDEX('Indigenous'!$M$10:$M$11,MATCH($F150,'Indigenous'!$B$10:$B$11,0))),"N/A")</f>
        <v/>
      </c>
      <c r="X150" s="53">
        <f>IFERROR(IF(INDEX('L&amp;R'!$M$10:$M$11,MATCH($F150,'L&amp;R'!$B$10:$B$11,0))="","Cell will autofill based on response",INDEX('L&amp;R'!$M$10:$M$11,MATCH($F150,'L&amp;R'!$B$10:$B$11,0))),"N/A")</f>
        <v/>
      </c>
    </row>
    <row r="151">
      <c r="A151">
        <f>F151&amp;"|"&amp;G151</f>
        <v/>
      </c>
      <c r="B151" s="13" t="inlineStr"/>
      <c r="C151" s="8" t="inlineStr"/>
      <c r="D151" s="8" t="inlineStr"/>
      <c r="E151" s="8" t="inlineStr"/>
      <c r="F151" s="8" t="inlineStr">
        <is>
          <t>NB2(b)</t>
        </is>
      </c>
      <c r="G151" s="8" t="inlineStr">
        <is>
          <t>OPTION 2:  Indicator level reporting</t>
        </is>
      </c>
      <c r="H151" s="53">
        <f>IFERROR(IF(INDEX('Faculties'!$N$10:$N$19,MATCH($F151,'Faculties'!$B$10:$B$19,0))="","Cell will autofill based on response",INDEX('Faculties'!$N$10:$N$19,MATCH($F151,'Faculties'!$B$10:$B$19,0))),"N/A")</f>
        <v/>
      </c>
      <c r="I151" s="53">
        <f>IFERROR(IF(INDEX('Faculties'!$N$26:$N$35,MATCH($F151,'Faculties'!$B$26:$B$35,0))="","Cell will autofill based on response",INDEX('Faculties'!$N$26:$N$35,MATCH($F151,'Faculties'!$B$26:$B$35,0))),"N/A")</f>
        <v/>
      </c>
      <c r="J151" s="53">
        <f>IFERROR(IF(INDEX('Faculties'!$N$42:$N$51,MATCH($F151,'Faculties'!$B$42:$B$51,0))="","Cell will autofill based on response",INDEX('Faculties'!$N$42:$N$51,MATCH($F151,'Faculties'!$B$42:$B$51,0))),"N/A")</f>
        <v/>
      </c>
      <c r="K151" s="53">
        <f>IFERROR(IF(INDEX('Faculties'!$N$58:$N$67,MATCH($F151,'Faculties'!$B$58:$B$67,0))="","Cell will autofill based on response",INDEX('Faculties'!$N$58:$N$67,MATCH($F151,'Faculties'!$B$58:$B$67,0))),"N/A")</f>
        <v/>
      </c>
      <c r="L151" s="53">
        <f>IFERROR(IF(INDEX('CI&amp;S'!$N$10:$N$15,MATCH($F151,'CI&amp;S'!$B$10:$B$15,0))="","Cell will autofill based on response",INDEX('CI&amp;S'!$N$10:$N$15,MATCH($F151,'CI&amp;S'!$B$10:$B$15,0))),"N/A")</f>
        <v/>
      </c>
      <c r="M151" s="53">
        <f>IFERROR(IF(INDEX('CI&amp;S'!$N$22:$N$36,MATCH($F151,'CI&amp;S'!$B$22:$B$36,0))="","Cell will autofill based on response",INDEX('CI&amp;S'!$N$22:$N$36,MATCH($F151,'CI&amp;S'!$B$22:$B$36,0))),"N/A")</f>
        <v/>
      </c>
      <c r="N151" s="53">
        <f>IFERROR(IF(INDEX('CFOG'!$N$10:$N$16,MATCH($F151,'CFOG'!$B$10:$B$16,0))="","Cell will autofill based on response",INDEX('CFOG'!$N$10:$N$16,MATCH($F151,'CFOG'!$B$10:$B$16,0))),"N/A")</f>
        <v/>
      </c>
      <c r="O151" s="53">
        <f>IFERROR(IF(INDEX('CFOG'!$N$23:$N$24,MATCH($F151,'CFOG'!$B$23:$B$24,0))="","Cell will autofill based on response",INDEX('CFOG'!$N$23:$N$24,MATCH($F151,'CFOG'!$B$23:$B$24,0))),"N/A")</f>
        <v/>
      </c>
      <c r="P151" s="53">
        <f>IFERROR(IF(INDEX('ESG'!$N$10:$N$17,MATCH($F151,'ESG'!$B$10:$B$17,0))="","Cell will autofill based on response",INDEX('ESG'!$N$10:$N$17,MATCH($F151,'ESG'!$B$10:$B$17,0))),"N/A")</f>
        <v/>
      </c>
      <c r="Q151" s="53">
        <f>IFERROR(IF(INDEX('CIOG'!$N$10:$N$14,MATCH($F151,'CIOG'!$B$10:$B$14,0))="","Cell will autofill based on response",INDEX('CIOG'!$N$10:$N$14,MATCH($F151,'CIOG'!$B$10:$B$14,0))),"N/A")</f>
        <v/>
      </c>
      <c r="R151" s="53">
        <f>IFERROR(IF(INDEX('MRE'!$N$10:$N$18,MATCH($F151,'MRE'!$B$10:$B$18,0))="","Cell will autofill based on response",INDEX('MRE'!$N$10:$N$18,MATCH($F151,'MRE'!$B$10:$B$18,0))),"N/A")</f>
        <v/>
      </c>
      <c r="S151" s="53">
        <f>IFERROR(IF(INDEX('AC&amp;M'!$N$10:$N$14,MATCH($F151,'AC&amp;M'!$B$10:$B$14,0))="","Cell will autofill based on response",INDEX('AC&amp;M'!$N$10:$N$14,MATCH($F151,'AC&amp;M'!$B$10:$B$14,0))),"N/A")</f>
        <v/>
      </c>
      <c r="T151" s="53">
        <f>IFERROR(IF(INDEX('GCE'!$N$10:$N$12,MATCH($F151,'GCE'!$B$10:$B$12,0))="","Cell will autofill based on response",INDEX('GCE'!$N$10:$N$12,MATCH($F151,'GCE'!$B$10:$B$12,0))),"N/A")</f>
        <v/>
      </c>
      <c r="U151" s="53">
        <f>IFERROR(IF(INDEX('Education'!$N$10:$N$13,MATCH($F151,'Education'!$B$10:$B$13,0))="","Cell will autofill based on response",INDEX('Education'!$N$10:$N$13,MATCH($F151,'Education'!$B$10:$B$13,0))),"N/A")</f>
        <v/>
      </c>
      <c r="V151" s="53">
        <f>IFERROR(IF(INDEX('SaSS'!$N$10:$N$12,MATCH($F151,'SaSS'!$B$10:$B$12,0))="","Cell will autofill based on response",INDEX('SaSS'!$N$10:$N$12,MATCH($F151,'SaSS'!$B$10:$B$12,0))),"N/A")</f>
        <v/>
      </c>
      <c r="W151" s="53">
        <f>IFERROR(IF(INDEX('Indigenous'!$N$10:$N$11,MATCH($F151,'Indigenous'!$B$10:$B$11,0))="","Cell will autofill based on response",INDEX('Indigenous'!$N$10:$N$11,MATCH($F151,'Indigenous'!$B$10:$B$11,0))),"N/A")</f>
        <v/>
      </c>
      <c r="X151" s="53">
        <f>IFERROR(IF(INDEX('L&amp;R'!$N$10:$N$11,MATCH($F151,'L&amp;R'!$B$10:$B$11,0))="","Cell will autofill based on response",INDEX('L&amp;R'!$N$10:$N$11,MATCH($F151,'L&amp;R'!$B$10:$B$11,0))),"N/A")</f>
        <v/>
      </c>
    </row>
    <row r="152">
      <c r="A152">
        <f>F152&amp;"|"&amp;G152</f>
        <v/>
      </c>
      <c r="B152" s="13" t="inlineStr"/>
      <c r="C152" s="8" t="inlineStr"/>
      <c r="D152" s="8" t="inlineStr"/>
      <c r="E152" s="8" t="inlineStr"/>
      <c r="F152" s="8" t="inlineStr">
        <is>
          <t>NB2(b)</t>
        </is>
      </c>
      <c r="G152" s="8" t="inlineStr">
        <is>
          <t>Supporting information/comments</t>
        </is>
      </c>
      <c r="H152" s="53">
        <f>IFERROR(IF(INDEX('Faculties'!$O$10:$O$19,MATCH($F152,'Faculties'!$B$10:$B$19,0))="","Cell will autofill based on response",INDEX('Faculties'!$O$10:$O$19,MATCH($F152,'Faculties'!$B$10:$B$19,0))),"N/A")</f>
        <v/>
      </c>
      <c r="I152" s="53">
        <f>IFERROR(IF(INDEX('Faculties'!$O$26:$O$35,MATCH($F152,'Faculties'!$B$26:$B$35,0))="","Cell will autofill based on response",INDEX('Faculties'!$O$26:$O$35,MATCH($F152,'Faculties'!$B$26:$B$35,0))),"N/A")</f>
        <v/>
      </c>
      <c r="J152" s="53">
        <f>IFERROR(IF(INDEX('Faculties'!$O$42:$O$51,MATCH($F152,'Faculties'!$B$42:$B$51,0))="","Cell will autofill based on response",INDEX('Faculties'!$O$42:$O$51,MATCH($F152,'Faculties'!$B$42:$B$51,0))),"N/A")</f>
        <v/>
      </c>
      <c r="K152" s="53">
        <f>IFERROR(IF(INDEX('Faculties'!$O$58:$O$67,MATCH($F152,'Faculties'!$B$58:$B$67,0))="","Cell will autofill based on response",INDEX('Faculties'!$O$58:$O$67,MATCH($F152,'Faculties'!$B$58:$B$67,0))),"N/A")</f>
        <v/>
      </c>
      <c r="L152" s="53">
        <f>IFERROR(IF(INDEX('CI&amp;S'!$O$10:$O$15,MATCH($F152,'CI&amp;S'!$B$10:$B$15,0))="","Cell will autofill based on response",INDEX('CI&amp;S'!$O$10:$O$15,MATCH($F152,'CI&amp;S'!$B$10:$B$15,0))),"N/A")</f>
        <v/>
      </c>
      <c r="M152" s="53">
        <f>IFERROR(IF(INDEX('CI&amp;S'!$O$22:$O$36,MATCH($F152,'CI&amp;S'!$B$22:$B$36,0))="","Cell will autofill based on response",INDEX('CI&amp;S'!$O$22:$O$36,MATCH($F152,'CI&amp;S'!$B$22:$B$36,0))),"N/A")</f>
        <v/>
      </c>
      <c r="N152" s="53">
        <f>IFERROR(IF(INDEX('CFOG'!$O$10:$O$16,MATCH($F152,'CFOG'!$B$10:$B$16,0))="","Cell will autofill based on response",INDEX('CFOG'!$O$10:$O$16,MATCH($F152,'CFOG'!$B$10:$B$16,0))),"N/A")</f>
        <v/>
      </c>
      <c r="O152" s="53">
        <f>IFERROR(IF(INDEX('CFOG'!$O$23:$O$24,MATCH($F152,'CFOG'!$B$23:$B$24,0))="","Cell will autofill based on response",INDEX('CFOG'!$O$23:$O$24,MATCH($F152,'CFOG'!$B$23:$B$24,0))),"N/A")</f>
        <v/>
      </c>
      <c r="P152" s="53">
        <f>IFERROR(IF(INDEX('ESG'!$O$10:$O$17,MATCH($F152,'ESG'!$B$10:$B$17,0))="","Cell will autofill based on response",INDEX('ESG'!$O$10:$O$17,MATCH($F152,'ESG'!$B$10:$B$17,0))),"N/A")</f>
        <v/>
      </c>
      <c r="Q152" s="53">
        <f>IFERROR(IF(INDEX('CIOG'!$O$10:$O$14,MATCH($F152,'CIOG'!$B$10:$B$14,0))="","Cell will autofill based on response",INDEX('CIOG'!$O$10:$O$14,MATCH($F152,'CIOG'!$B$10:$B$14,0))),"N/A")</f>
        <v/>
      </c>
      <c r="R152" s="53">
        <f>IFERROR(IF(INDEX('MRE'!$O$10:$O$18,MATCH($F152,'MRE'!$B$10:$B$18,0))="","Cell will autofill based on response",INDEX('MRE'!$O$10:$O$18,MATCH($F152,'MRE'!$B$10:$B$18,0))),"N/A")</f>
        <v/>
      </c>
      <c r="S152" s="53">
        <f>IFERROR(IF(INDEX('AC&amp;M'!$O$10:$O$14,MATCH($F152,'AC&amp;M'!$B$10:$B$14,0))="","Cell will autofill based on response",INDEX('AC&amp;M'!$O$10:$O$14,MATCH($F152,'AC&amp;M'!$B$10:$B$14,0))),"N/A")</f>
        <v/>
      </c>
      <c r="T152" s="53">
        <f>IFERROR(IF(INDEX('GCE'!$O$10:$O$12,MATCH($F152,'GCE'!$B$10:$B$12,0))="","Cell will autofill based on response",INDEX('GCE'!$O$10:$O$12,MATCH($F152,'GCE'!$B$10:$B$12,0))),"N/A")</f>
        <v/>
      </c>
      <c r="U152" s="53">
        <f>IFERROR(IF(INDEX('Education'!$O$10:$O$13,MATCH($F152,'Education'!$B$10:$B$13,0))="","Cell will autofill based on response",INDEX('Education'!$O$10:$O$13,MATCH($F152,'Education'!$B$10:$B$13,0))),"N/A")</f>
        <v/>
      </c>
      <c r="V152" s="53">
        <f>IFERROR(IF(INDEX('SaSS'!$O$10:$O$12,MATCH($F152,'SaSS'!$B$10:$B$12,0))="","Cell will autofill based on response",INDEX('SaSS'!$O$10:$O$12,MATCH($F152,'SaSS'!$B$10:$B$12,0))),"N/A")</f>
        <v/>
      </c>
      <c r="W152" s="53">
        <f>IFERROR(IF(INDEX('Indigenous'!$O$10:$O$11,MATCH($F152,'Indigenous'!$B$10:$B$11,0))="","Cell will autofill based on response",INDEX('Indigenous'!$O$10:$O$11,MATCH($F152,'Indigenous'!$B$10:$B$11,0))),"N/A")</f>
        <v/>
      </c>
      <c r="X152" s="53">
        <f>IFERROR(IF(INDEX('L&amp;R'!$O$10:$O$11,MATCH($F152,'L&amp;R'!$B$10:$B$11,0))="","Cell will autofill based on response",INDEX('L&amp;R'!$O$10:$O$11,MATCH($F152,'L&amp;R'!$B$10:$B$11,0))),"N/A")</f>
        <v/>
      </c>
    </row>
    <row r="153">
      <c r="A153">
        <f>F153&amp;"|"&amp;G153</f>
        <v/>
      </c>
      <c r="B153" s="13" t="inlineStr"/>
      <c r="C153" s="8" t="inlineStr"/>
      <c r="D153" s="8" t="inlineStr"/>
      <c r="E153" s="8" t="inlineStr"/>
      <c r="F153" s="8" t="inlineStr">
        <is>
          <t>NB2(b)</t>
        </is>
      </c>
      <c r="G153" s="8" t="inlineStr">
        <is>
          <t>Data source and limitations</t>
        </is>
      </c>
      <c r="H153" s="53">
        <f>IFERROR(IF(INDEX('Faculties'!$P$10:$P$19,MATCH($F153,'Faculties'!$B$10:$B$19,0))="","Cell will autofill based on response",INDEX('Faculties'!$P$10:$P$19,MATCH($F153,'Faculties'!$B$10:$B$19,0))),"N/A")</f>
        <v/>
      </c>
      <c r="I153" s="53">
        <f>IFERROR(IF(INDEX('Faculties'!$P$26:$P$35,MATCH($F153,'Faculties'!$B$26:$B$35,0))="","Cell will autofill based on response",INDEX('Faculties'!$P$26:$P$35,MATCH($F153,'Faculties'!$B$26:$B$35,0))),"N/A")</f>
        <v/>
      </c>
      <c r="J153" s="53">
        <f>IFERROR(IF(INDEX('Faculties'!$P$42:$P$51,MATCH($F153,'Faculties'!$B$42:$B$51,0))="","Cell will autofill based on response",INDEX('Faculties'!$P$42:$P$51,MATCH($F153,'Faculties'!$B$42:$B$51,0))),"N/A")</f>
        <v/>
      </c>
      <c r="K153" s="53">
        <f>IFERROR(IF(INDEX('Faculties'!$P$58:$P$67,MATCH($F153,'Faculties'!$B$58:$B$67,0))="","Cell will autofill based on response",INDEX('Faculties'!$P$58:$P$67,MATCH($F153,'Faculties'!$B$58:$B$67,0))),"N/A")</f>
        <v/>
      </c>
      <c r="L153" s="53">
        <f>IFERROR(IF(INDEX('CI&amp;S'!$P$10:$P$15,MATCH($F153,'CI&amp;S'!$B$10:$B$15,0))="","Cell will autofill based on response",INDEX('CI&amp;S'!$P$10:$P$15,MATCH($F153,'CI&amp;S'!$B$10:$B$15,0))),"N/A")</f>
        <v/>
      </c>
      <c r="M153" s="53">
        <f>IFERROR(IF(INDEX('CI&amp;S'!$P$22:$P$36,MATCH($F153,'CI&amp;S'!$B$22:$B$36,0))="","Cell will autofill based on response",INDEX('CI&amp;S'!$P$22:$P$36,MATCH($F153,'CI&amp;S'!$B$22:$B$36,0))),"N/A")</f>
        <v/>
      </c>
      <c r="N153" s="53">
        <f>IFERROR(IF(INDEX('CFOG'!$P$10:$P$16,MATCH($F153,'CFOG'!$B$10:$B$16,0))="","Cell will autofill based on response",INDEX('CFOG'!$P$10:$P$16,MATCH($F153,'CFOG'!$B$10:$B$16,0))),"N/A")</f>
        <v/>
      </c>
      <c r="O153" s="53">
        <f>IFERROR(IF(INDEX('CFOG'!$P$23:$P$24,MATCH($F153,'CFOG'!$B$23:$B$24,0))="","Cell will autofill based on response",INDEX('CFOG'!$P$23:$P$24,MATCH($F153,'CFOG'!$B$23:$B$24,0))),"N/A")</f>
        <v/>
      </c>
      <c r="P153" s="53">
        <f>IFERROR(IF(INDEX('ESG'!$P$10:$P$17,MATCH($F153,'ESG'!$B$10:$B$17,0))="","Cell will autofill based on response",INDEX('ESG'!$P$10:$P$17,MATCH($F153,'ESG'!$B$10:$B$17,0))),"N/A")</f>
        <v/>
      </c>
      <c r="Q153" s="53">
        <f>IFERROR(IF(INDEX('CIOG'!$P$10:$P$14,MATCH($F153,'CIOG'!$B$10:$B$14,0))="","Cell will autofill based on response",INDEX('CIOG'!$P$10:$P$14,MATCH($F153,'CIOG'!$B$10:$B$14,0))),"N/A")</f>
        <v/>
      </c>
      <c r="R153" s="53">
        <f>IFERROR(IF(INDEX('MRE'!$P$10:$P$18,MATCH($F153,'MRE'!$B$10:$B$18,0))="","Cell will autofill based on response",INDEX('MRE'!$P$10:$P$18,MATCH($F153,'MRE'!$B$10:$B$18,0))),"N/A")</f>
        <v/>
      </c>
      <c r="S153" s="53">
        <f>IFERROR(IF(INDEX('AC&amp;M'!$P$10:$P$14,MATCH($F153,'AC&amp;M'!$B$10:$B$14,0))="","Cell will autofill based on response",INDEX('AC&amp;M'!$P$10:$P$14,MATCH($F153,'AC&amp;M'!$B$10:$B$14,0))),"N/A")</f>
        <v/>
      </c>
      <c r="T153" s="53">
        <f>IFERROR(IF(INDEX('GCE'!$P$10:$P$12,MATCH($F153,'GCE'!$B$10:$B$12,0))="","Cell will autofill based on response",INDEX('GCE'!$P$10:$P$12,MATCH($F153,'GCE'!$B$10:$B$12,0))),"N/A")</f>
        <v/>
      </c>
      <c r="U153" s="53">
        <f>IFERROR(IF(INDEX('Education'!$P$10:$P$13,MATCH($F153,'Education'!$B$10:$B$13,0))="","Cell will autofill based on response",INDEX('Education'!$P$10:$P$13,MATCH($F153,'Education'!$B$10:$B$13,0))),"N/A")</f>
        <v/>
      </c>
      <c r="V153" s="53">
        <f>IFERROR(IF(INDEX('SaSS'!$P$10:$P$12,MATCH($F153,'SaSS'!$B$10:$B$12,0))="","Cell will autofill based on response",INDEX('SaSS'!$P$10:$P$12,MATCH($F153,'SaSS'!$B$10:$B$12,0))),"N/A")</f>
        <v/>
      </c>
      <c r="W153" s="53">
        <f>IFERROR(IF(INDEX('Indigenous'!$P$10:$P$11,MATCH($F153,'Indigenous'!$B$10:$B$11,0))="","Cell will autofill based on response",INDEX('Indigenous'!$P$10:$P$11,MATCH($F153,'Indigenous'!$B$10:$B$11,0))),"N/A")</f>
        <v/>
      </c>
      <c r="X153" s="53">
        <f>IFERROR(IF(INDEX('L&amp;R'!$P$10:$P$11,MATCH($F153,'L&amp;R'!$B$10:$B$11,0))="","Cell will autofill based on response",INDEX('L&amp;R'!$P$10:$P$11,MATCH($F153,'L&amp;R'!$B$10:$B$11,0))),"N/A")</f>
        <v/>
      </c>
    </row>
    <row r="154">
      <c r="A154">
        <f>F154&amp;"|"&amp;G154</f>
        <v/>
      </c>
      <c r="B154" s="13" t="inlineStr"/>
      <c r="C154" s="8" t="inlineStr"/>
      <c r="D154" s="8" t="inlineStr"/>
      <c r="E154" s="8" t="inlineStr"/>
      <c r="F154" s="8" t="inlineStr">
        <is>
          <t>NB2(b)</t>
        </is>
      </c>
      <c r="G154" s="8" t="inlineStr">
        <is>
          <t>Data owner confirms</t>
        </is>
      </c>
      <c r="H154" s="53">
        <f>IFERROR(IF(INDEX('Faculties'!$Q$10:$Q$19,MATCH($F154,'Faculties'!$B$10:$B$19,0))="","Cell will autofill based on response",INDEX('Faculties'!$Q$10:$Q$19,MATCH($F154,'Faculties'!$B$10:$B$19,0))),"N/A")</f>
        <v/>
      </c>
      <c r="I154" s="53">
        <f>IFERROR(IF(INDEX('Faculties'!$Q$26:$Q$35,MATCH($F154,'Faculties'!$B$26:$B$35,0))="","Cell will autofill based on response",INDEX('Faculties'!$Q$26:$Q$35,MATCH($F154,'Faculties'!$B$26:$B$35,0))),"N/A")</f>
        <v/>
      </c>
      <c r="J154" s="53">
        <f>IFERROR(IF(INDEX('Faculties'!$Q$42:$Q$51,MATCH($F154,'Faculties'!$B$42:$B$51,0))="","Cell will autofill based on response",INDEX('Faculties'!$Q$42:$Q$51,MATCH($F154,'Faculties'!$B$42:$B$51,0))),"N/A")</f>
        <v/>
      </c>
      <c r="K154" s="53">
        <f>IFERROR(IF(INDEX('Faculties'!$Q$58:$Q$67,MATCH($F154,'Faculties'!$B$58:$B$67,0))="","Cell will autofill based on response",INDEX('Faculties'!$Q$58:$Q$67,MATCH($F154,'Faculties'!$B$58:$B$67,0))),"N/A")</f>
        <v/>
      </c>
      <c r="L154" s="53">
        <f>IFERROR(IF(INDEX('CI&amp;S'!$Q$10:$Q$15,MATCH($F154,'CI&amp;S'!$B$10:$B$15,0))="","Cell will autofill based on response",INDEX('CI&amp;S'!$Q$10:$Q$15,MATCH($F154,'CI&amp;S'!$B$10:$B$15,0))),"N/A")</f>
        <v/>
      </c>
      <c r="M154" s="53">
        <f>IFERROR(IF(INDEX('CI&amp;S'!$Q$22:$Q$36,MATCH($F154,'CI&amp;S'!$B$22:$B$36,0))="","Cell will autofill based on response",INDEX('CI&amp;S'!$Q$22:$Q$36,MATCH($F154,'CI&amp;S'!$B$22:$B$36,0))),"N/A")</f>
        <v/>
      </c>
      <c r="N154" s="53">
        <f>IFERROR(IF(INDEX('CFOG'!$Q$10:$Q$16,MATCH($F154,'CFOG'!$B$10:$B$16,0))="","Cell will autofill based on response",INDEX('CFOG'!$Q$10:$Q$16,MATCH($F154,'CFOG'!$B$10:$B$16,0))),"N/A")</f>
        <v/>
      </c>
      <c r="O154" s="53">
        <f>IFERROR(IF(INDEX('CFOG'!$Q$23:$Q$24,MATCH($F154,'CFOG'!$B$23:$B$24,0))="","Cell will autofill based on response",INDEX('CFOG'!$Q$23:$Q$24,MATCH($F154,'CFOG'!$B$23:$B$24,0))),"N/A")</f>
        <v/>
      </c>
      <c r="P154" s="53">
        <f>IFERROR(IF(INDEX('ESG'!$Q$10:$Q$17,MATCH($F154,'ESG'!$B$10:$B$17,0))="","Cell will autofill based on response",INDEX('ESG'!$Q$10:$Q$17,MATCH($F154,'ESG'!$B$10:$B$17,0))),"N/A")</f>
        <v/>
      </c>
      <c r="Q154" s="53">
        <f>IFERROR(IF(INDEX('CIOG'!$Q$10:$Q$14,MATCH($F154,'CIOG'!$B$10:$B$14,0))="","Cell will autofill based on response",INDEX('CIOG'!$Q$10:$Q$14,MATCH($F154,'CIOG'!$B$10:$B$14,0))),"N/A")</f>
        <v/>
      </c>
      <c r="R154" s="53">
        <f>IFERROR(IF(INDEX('MRE'!$Q$10:$Q$18,MATCH($F154,'MRE'!$B$10:$B$18,0))="","Cell will autofill based on response",INDEX('MRE'!$Q$10:$Q$18,MATCH($F154,'MRE'!$B$10:$B$18,0))),"N/A")</f>
        <v/>
      </c>
      <c r="S154" s="53">
        <f>IFERROR(IF(INDEX('AC&amp;M'!$Q$10:$Q$14,MATCH($F154,'AC&amp;M'!$B$10:$B$14,0))="","Cell will autofill based on response",INDEX('AC&amp;M'!$Q$10:$Q$14,MATCH($F154,'AC&amp;M'!$B$10:$B$14,0))),"N/A")</f>
        <v/>
      </c>
      <c r="T154" s="53">
        <f>IFERROR(IF(INDEX('GCE'!$Q$10:$Q$12,MATCH($F154,'GCE'!$B$10:$B$12,0))="","Cell will autofill based on response",INDEX('GCE'!$Q$10:$Q$12,MATCH($F154,'GCE'!$B$10:$B$12,0))),"N/A")</f>
        <v/>
      </c>
      <c r="U154" s="53">
        <f>IFERROR(IF(INDEX('Education'!$Q$10:$Q$13,MATCH($F154,'Education'!$B$10:$B$13,0))="","Cell will autofill based on response",INDEX('Education'!$Q$10:$Q$13,MATCH($F154,'Education'!$B$10:$B$13,0))),"N/A")</f>
        <v/>
      </c>
      <c r="V154" s="53">
        <f>IFERROR(IF(INDEX('SaSS'!$Q$10:$Q$12,MATCH($F154,'SaSS'!$B$10:$B$12,0))="","Cell will autofill based on response",INDEX('SaSS'!$Q$10:$Q$12,MATCH($F154,'SaSS'!$B$10:$B$12,0))),"N/A")</f>
        <v/>
      </c>
      <c r="W154" s="53">
        <f>IFERROR(IF(INDEX('Indigenous'!$Q$10:$Q$11,MATCH($F154,'Indigenous'!$B$10:$B$11,0))="","Cell will autofill based on response",INDEX('Indigenous'!$Q$10:$Q$11,MATCH($F154,'Indigenous'!$B$10:$B$11,0))),"N/A")</f>
        <v/>
      </c>
      <c r="X154" s="53">
        <f>IFERROR(IF(INDEX('L&amp;R'!$Q$10:$Q$11,MATCH($F154,'L&amp;R'!$B$10:$B$11,0))="","Cell will autofill based on response",INDEX('L&amp;R'!$Q$10:$Q$11,MATCH($F154,'L&amp;R'!$B$10:$B$11,0))),"N/A")</f>
        <v/>
      </c>
    </row>
    <row r="155">
      <c r="A155">
        <f>F155&amp;"|"&amp;G155</f>
        <v/>
      </c>
      <c r="B155" s="7" t="inlineStr">
        <is>
          <t>NB2(c)</t>
        </is>
      </c>
      <c r="C155" s="51" t="inlineStr">
        <is>
          <t>Nature and biodiversity</t>
        </is>
      </c>
      <c r="D155" s="51" t="inlineStr">
        <is>
          <t>Evidence of prioritised high risk procurement categories or suppliers for nature impact management</t>
        </is>
      </c>
      <c r="E155" s="51" t="inlineStr">
        <is>
          <t>Please provide the prioritised high-risk procurement categories and/or suppliers identified for nature-impact management, could include the basis for prioritisation and any risk-management, engagement or mitigation actions undertaken or planned.</t>
        </is>
      </c>
      <c r="F155" s="51" t="inlineStr">
        <is>
          <t>NB2(c)</t>
        </is>
      </c>
      <c r="G155" s="51" t="inlineStr">
        <is>
          <t>Confirm end-2026 target status</t>
        </is>
      </c>
      <c r="H155" s="53">
        <f>IFERROR(IF(INDEX('Faculties'!$L$10:$L$19,MATCH($F155,'Faculties'!$B$10:$B$19,0))="","Cell will autofill based on response",INDEX('Faculties'!$L$10:$L$19,MATCH($F155,'Faculties'!$B$10:$B$19,0))),"N/A")</f>
        <v/>
      </c>
      <c r="I155" s="53">
        <f>IFERROR(IF(INDEX('Faculties'!$L$26:$L$35,MATCH($F155,'Faculties'!$B$26:$B$35,0))="","Cell will autofill based on response",INDEX('Faculties'!$L$26:$L$35,MATCH($F155,'Faculties'!$B$26:$B$35,0))),"N/A")</f>
        <v/>
      </c>
      <c r="J155" s="53">
        <f>IFERROR(IF(INDEX('Faculties'!$L$42:$L$51,MATCH($F155,'Faculties'!$B$42:$B$51,0))="","Cell will autofill based on response",INDEX('Faculties'!$L$42:$L$51,MATCH($F155,'Faculties'!$B$42:$B$51,0))),"N/A")</f>
        <v/>
      </c>
      <c r="K155" s="53">
        <f>IFERROR(IF(INDEX('Faculties'!$L$58:$L$67,MATCH($F155,'Faculties'!$B$58:$B$67,0))="","Cell will autofill based on response",INDEX('Faculties'!$L$58:$L$67,MATCH($F155,'Faculties'!$B$58:$B$67,0))),"N/A")</f>
        <v/>
      </c>
      <c r="L155" s="53">
        <f>IFERROR(IF(INDEX('CI&amp;S'!$L$10:$L$15,MATCH($F155,'CI&amp;S'!$B$10:$B$15,0))="","Cell will autofill based on response",INDEX('CI&amp;S'!$L$10:$L$15,MATCH($F155,'CI&amp;S'!$B$10:$B$15,0))),"N/A")</f>
        <v/>
      </c>
      <c r="M155" s="53">
        <f>IFERROR(IF(INDEX('CI&amp;S'!$L$22:$L$36,MATCH($F155,'CI&amp;S'!$B$22:$B$36,0))="","Cell will autofill based on response",INDEX('CI&amp;S'!$L$22:$L$36,MATCH($F155,'CI&amp;S'!$B$22:$B$36,0))),"N/A")</f>
        <v/>
      </c>
      <c r="N155" s="53">
        <f>IFERROR(IF(INDEX('CFOG'!$L$10:$L$16,MATCH($F155,'CFOG'!$B$10:$B$16,0))="","Cell will autofill based on response",INDEX('CFOG'!$L$10:$L$16,MATCH($F155,'CFOG'!$B$10:$B$16,0))),"N/A")</f>
        <v/>
      </c>
      <c r="O155" s="53">
        <f>IFERROR(IF(INDEX('CFOG'!$L$23:$L$24,MATCH($F155,'CFOG'!$B$23:$B$24,0))="","Cell will autofill based on response",INDEX('CFOG'!$L$23:$L$24,MATCH($F155,'CFOG'!$B$23:$B$24,0))),"N/A")</f>
        <v/>
      </c>
      <c r="P155" s="53">
        <f>IFERROR(IF(INDEX('ESG'!$L$10:$L$17,MATCH($F155,'ESG'!$B$10:$B$17,0))="","Cell will autofill based on response",INDEX('ESG'!$L$10:$L$17,MATCH($F155,'ESG'!$B$10:$B$17,0))),"N/A")</f>
        <v/>
      </c>
      <c r="Q155" s="53">
        <f>IFERROR(IF(INDEX('CIOG'!$L$10:$L$14,MATCH($F155,'CIOG'!$B$10:$B$14,0))="","Cell will autofill based on response",INDEX('CIOG'!$L$10:$L$14,MATCH($F155,'CIOG'!$B$10:$B$14,0))),"N/A")</f>
        <v/>
      </c>
      <c r="R155" s="53">
        <f>IFERROR(IF(INDEX('MRE'!$L$10:$L$18,MATCH($F155,'MRE'!$B$10:$B$18,0))="","Cell will autofill based on response",INDEX('MRE'!$L$10:$L$18,MATCH($F155,'MRE'!$B$10:$B$18,0))),"N/A")</f>
        <v/>
      </c>
      <c r="S155" s="53">
        <f>IFERROR(IF(INDEX('AC&amp;M'!$L$10:$L$14,MATCH($F155,'AC&amp;M'!$B$10:$B$14,0))="","Cell will autofill based on response",INDEX('AC&amp;M'!$L$10:$L$14,MATCH($F155,'AC&amp;M'!$B$10:$B$14,0))),"N/A")</f>
        <v/>
      </c>
      <c r="T155" s="53">
        <f>IFERROR(IF(INDEX('GCE'!$L$10:$L$12,MATCH($F155,'GCE'!$B$10:$B$12,0))="","Cell will autofill based on response",INDEX('GCE'!$L$10:$L$12,MATCH($F155,'GCE'!$B$10:$B$12,0))),"N/A")</f>
        <v/>
      </c>
      <c r="U155" s="53">
        <f>IFERROR(IF(INDEX('Education'!$L$10:$L$13,MATCH($F155,'Education'!$B$10:$B$13,0))="","Cell will autofill based on response",INDEX('Education'!$L$10:$L$13,MATCH($F155,'Education'!$B$10:$B$13,0))),"N/A")</f>
        <v/>
      </c>
      <c r="V155" s="53">
        <f>IFERROR(IF(INDEX('SaSS'!$L$10:$L$12,MATCH($F155,'SaSS'!$B$10:$B$12,0))="","Cell will autofill based on response",INDEX('SaSS'!$L$10:$L$12,MATCH($F155,'SaSS'!$B$10:$B$12,0))),"N/A")</f>
        <v/>
      </c>
      <c r="W155" s="53">
        <f>IFERROR(IF(INDEX('Indigenous'!$L$10:$L$11,MATCH($F155,'Indigenous'!$B$10:$B$11,0))="","Cell will autofill based on response",INDEX('Indigenous'!$L$10:$L$11,MATCH($F155,'Indigenous'!$B$10:$B$11,0))),"N/A")</f>
        <v/>
      </c>
      <c r="X155" s="53">
        <f>IFERROR(IF(INDEX('L&amp;R'!$L$10:$L$11,MATCH($F155,'L&amp;R'!$B$10:$B$11,0))="","Cell will autofill based on response",INDEX('L&amp;R'!$L$10:$L$11,MATCH($F155,'L&amp;R'!$B$10:$B$11,0))),"N/A")</f>
        <v/>
      </c>
      <c r="Z155" s="10">
        <f>COUNTIF($H155:$X155,"Cell will autofill based on response")</f>
        <v/>
      </c>
      <c r="AA155" s="10">
        <f>COUNTIF($H155:$X155,"Not yet started")</f>
        <v/>
      </c>
      <c r="AB155" s="10">
        <f>COUNTIF($H155:$X155,"Not met")</f>
        <v/>
      </c>
      <c r="AC155" s="10">
        <f>COUNTIF($H155:$X155,"Partially met")</f>
        <v/>
      </c>
      <c r="AD155" s="10">
        <f>COUNTIF($H155:$X155,"Met or exceeded")</f>
        <v/>
      </c>
      <c r="AE155" s="10">
        <f>3*AD155+2*AC155+AB155</f>
        <v/>
      </c>
      <c r="AF155" s="10">
        <f>AD155+AC155+AB155+AA155</f>
        <v/>
      </c>
      <c r="AG155" s="54">
        <f>IF(AF155&gt;0,AE155/AF155,"No valid responses to date")</f>
        <v/>
      </c>
      <c r="AH155" s="10">
        <f>IF(ISNUMBER(AG155),INDEX(Lists!$G$2:$G$5,MATCH(ROUND(AG155,0),Lists!$H$2:$H$5,0)),"")</f>
        <v/>
      </c>
      <c r="AI155" s="55">
        <f>IF(AF155&gt;0,AD155/AF155,"")</f>
        <v/>
      </c>
      <c r="AJ155" s="55">
        <f>IF(AF155&gt;0,(AD155+AC155)/AF155,"")</f>
        <v/>
      </c>
      <c r="AK155" s="10">
        <f>IF(AF155=0,"",IF(AI155&gt;0.75,"Met or exceeded",IF(AJ155&gt;=0.5,"Partially met","Not met")))</f>
        <v/>
      </c>
    </row>
    <row r="156">
      <c r="A156">
        <f>F156&amp;"|"&amp;G156</f>
        <v/>
      </c>
      <c r="B156" s="13" t="inlineStr"/>
      <c r="C156" s="8" t="inlineStr"/>
      <c r="D156" s="8" t="inlineStr"/>
      <c r="E156" s="8" t="inlineStr"/>
      <c r="F156" s="8" t="inlineStr">
        <is>
          <t>NB2(c)</t>
        </is>
      </c>
      <c r="G156" s="8" t="inlineStr">
        <is>
          <t>OPTION 1:  Target-level reporting</t>
        </is>
      </c>
      <c r="H156" s="53">
        <f>IFERROR(IF(INDEX('Faculties'!$M$10:$M$19,MATCH($F156,'Faculties'!$B$10:$B$19,0))="","Cell will autofill based on response",INDEX('Faculties'!$M$10:$M$19,MATCH($F156,'Faculties'!$B$10:$B$19,0))),"N/A")</f>
        <v/>
      </c>
      <c r="I156" s="53">
        <f>IFERROR(IF(INDEX('Faculties'!$M$26:$M$35,MATCH($F156,'Faculties'!$B$26:$B$35,0))="","Cell will autofill based on response",INDEX('Faculties'!$M$26:$M$35,MATCH($F156,'Faculties'!$B$26:$B$35,0))),"N/A")</f>
        <v/>
      </c>
      <c r="J156" s="53">
        <f>IFERROR(IF(INDEX('Faculties'!$M$42:$M$51,MATCH($F156,'Faculties'!$B$42:$B$51,0))="","Cell will autofill based on response",INDEX('Faculties'!$M$42:$M$51,MATCH($F156,'Faculties'!$B$42:$B$51,0))),"N/A")</f>
        <v/>
      </c>
      <c r="K156" s="53">
        <f>IFERROR(IF(INDEX('Faculties'!$M$58:$M$67,MATCH($F156,'Faculties'!$B$58:$B$67,0))="","Cell will autofill based on response",INDEX('Faculties'!$M$58:$M$67,MATCH($F156,'Faculties'!$B$58:$B$67,0))),"N/A")</f>
        <v/>
      </c>
      <c r="L156" s="53">
        <f>IFERROR(IF(INDEX('CI&amp;S'!$M$10:$M$15,MATCH($F156,'CI&amp;S'!$B$10:$B$15,0))="","Cell will autofill based on response",INDEX('CI&amp;S'!$M$10:$M$15,MATCH($F156,'CI&amp;S'!$B$10:$B$15,0))),"N/A")</f>
        <v/>
      </c>
      <c r="M156" s="53">
        <f>IFERROR(IF(INDEX('CI&amp;S'!$M$22:$M$36,MATCH($F156,'CI&amp;S'!$B$22:$B$36,0))="","Cell will autofill based on response",INDEX('CI&amp;S'!$M$22:$M$36,MATCH($F156,'CI&amp;S'!$B$22:$B$36,0))),"N/A")</f>
        <v/>
      </c>
      <c r="N156" s="53">
        <f>IFERROR(IF(INDEX('CFOG'!$M$10:$M$16,MATCH($F156,'CFOG'!$B$10:$B$16,0))="","Cell will autofill based on response",INDEX('CFOG'!$M$10:$M$16,MATCH($F156,'CFOG'!$B$10:$B$16,0))),"N/A")</f>
        <v/>
      </c>
      <c r="O156" s="53">
        <f>IFERROR(IF(INDEX('CFOG'!$M$23:$M$24,MATCH($F156,'CFOG'!$B$23:$B$24,0))="","Cell will autofill based on response",INDEX('CFOG'!$M$23:$M$24,MATCH($F156,'CFOG'!$B$23:$B$24,0))),"N/A")</f>
        <v/>
      </c>
      <c r="P156" s="53">
        <f>IFERROR(IF(INDEX('ESG'!$M$10:$M$17,MATCH($F156,'ESG'!$B$10:$B$17,0))="","Cell will autofill based on response",INDEX('ESG'!$M$10:$M$17,MATCH($F156,'ESG'!$B$10:$B$17,0))),"N/A")</f>
        <v/>
      </c>
      <c r="Q156" s="53">
        <f>IFERROR(IF(INDEX('CIOG'!$M$10:$M$14,MATCH($F156,'CIOG'!$B$10:$B$14,0))="","Cell will autofill based on response",INDEX('CIOG'!$M$10:$M$14,MATCH($F156,'CIOG'!$B$10:$B$14,0))),"N/A")</f>
        <v/>
      </c>
      <c r="R156" s="53">
        <f>IFERROR(IF(INDEX('MRE'!$M$10:$M$18,MATCH($F156,'MRE'!$B$10:$B$18,0))="","Cell will autofill based on response",INDEX('MRE'!$M$10:$M$18,MATCH($F156,'MRE'!$B$10:$B$18,0))),"N/A")</f>
        <v/>
      </c>
      <c r="S156" s="53">
        <f>IFERROR(IF(INDEX('AC&amp;M'!$M$10:$M$14,MATCH($F156,'AC&amp;M'!$B$10:$B$14,0))="","Cell will autofill based on response",INDEX('AC&amp;M'!$M$10:$M$14,MATCH($F156,'AC&amp;M'!$B$10:$B$14,0))),"N/A")</f>
        <v/>
      </c>
      <c r="T156" s="53">
        <f>IFERROR(IF(INDEX('GCE'!$M$10:$M$12,MATCH($F156,'GCE'!$B$10:$B$12,0))="","Cell will autofill based on response",INDEX('GCE'!$M$10:$M$12,MATCH($F156,'GCE'!$B$10:$B$12,0))),"N/A")</f>
        <v/>
      </c>
      <c r="U156" s="53">
        <f>IFERROR(IF(INDEX('Education'!$M$10:$M$13,MATCH($F156,'Education'!$B$10:$B$13,0))="","Cell will autofill based on response",INDEX('Education'!$M$10:$M$13,MATCH($F156,'Education'!$B$10:$B$13,0))),"N/A")</f>
        <v/>
      </c>
      <c r="V156" s="53">
        <f>IFERROR(IF(INDEX('SaSS'!$M$10:$M$12,MATCH($F156,'SaSS'!$B$10:$B$12,0))="","Cell will autofill based on response",INDEX('SaSS'!$M$10:$M$12,MATCH($F156,'SaSS'!$B$10:$B$12,0))),"N/A")</f>
        <v/>
      </c>
      <c r="W156" s="53">
        <f>IFERROR(IF(INDEX('Indigenous'!$M$10:$M$11,MATCH($F156,'Indigenous'!$B$10:$B$11,0))="","Cell will autofill based on response",INDEX('Indigenous'!$M$10:$M$11,MATCH($F156,'Indigenous'!$B$10:$B$11,0))),"N/A")</f>
        <v/>
      </c>
      <c r="X156" s="53">
        <f>IFERROR(IF(INDEX('L&amp;R'!$M$10:$M$11,MATCH($F156,'L&amp;R'!$B$10:$B$11,0))="","Cell will autofill based on response",INDEX('L&amp;R'!$M$10:$M$11,MATCH($F156,'L&amp;R'!$B$10:$B$11,0))),"N/A")</f>
        <v/>
      </c>
    </row>
    <row r="157">
      <c r="A157">
        <f>F157&amp;"|"&amp;G157</f>
        <v/>
      </c>
      <c r="B157" s="13" t="inlineStr"/>
      <c r="C157" s="8" t="inlineStr"/>
      <c r="D157" s="8" t="inlineStr"/>
      <c r="E157" s="8" t="inlineStr"/>
      <c r="F157" s="8" t="inlineStr">
        <is>
          <t>NB2(c)</t>
        </is>
      </c>
      <c r="G157" s="8" t="inlineStr">
        <is>
          <t>OPTION 2:  Indicator level reporting</t>
        </is>
      </c>
      <c r="H157" s="53">
        <f>IFERROR(IF(INDEX('Faculties'!$N$10:$N$19,MATCH($F157,'Faculties'!$B$10:$B$19,0))="","Cell will autofill based on response",INDEX('Faculties'!$N$10:$N$19,MATCH($F157,'Faculties'!$B$10:$B$19,0))),"N/A")</f>
        <v/>
      </c>
      <c r="I157" s="53">
        <f>IFERROR(IF(INDEX('Faculties'!$N$26:$N$35,MATCH($F157,'Faculties'!$B$26:$B$35,0))="","Cell will autofill based on response",INDEX('Faculties'!$N$26:$N$35,MATCH($F157,'Faculties'!$B$26:$B$35,0))),"N/A")</f>
        <v/>
      </c>
      <c r="J157" s="53">
        <f>IFERROR(IF(INDEX('Faculties'!$N$42:$N$51,MATCH($F157,'Faculties'!$B$42:$B$51,0))="","Cell will autofill based on response",INDEX('Faculties'!$N$42:$N$51,MATCH($F157,'Faculties'!$B$42:$B$51,0))),"N/A")</f>
        <v/>
      </c>
      <c r="K157" s="53">
        <f>IFERROR(IF(INDEX('Faculties'!$N$58:$N$67,MATCH($F157,'Faculties'!$B$58:$B$67,0))="","Cell will autofill based on response",INDEX('Faculties'!$N$58:$N$67,MATCH($F157,'Faculties'!$B$58:$B$67,0))),"N/A")</f>
        <v/>
      </c>
      <c r="L157" s="53">
        <f>IFERROR(IF(INDEX('CI&amp;S'!$N$10:$N$15,MATCH($F157,'CI&amp;S'!$B$10:$B$15,0))="","Cell will autofill based on response",INDEX('CI&amp;S'!$N$10:$N$15,MATCH($F157,'CI&amp;S'!$B$10:$B$15,0))),"N/A")</f>
        <v/>
      </c>
      <c r="M157" s="53">
        <f>IFERROR(IF(INDEX('CI&amp;S'!$N$22:$N$36,MATCH($F157,'CI&amp;S'!$B$22:$B$36,0))="","Cell will autofill based on response",INDEX('CI&amp;S'!$N$22:$N$36,MATCH($F157,'CI&amp;S'!$B$22:$B$36,0))),"N/A")</f>
        <v/>
      </c>
      <c r="N157" s="53">
        <f>IFERROR(IF(INDEX('CFOG'!$N$10:$N$16,MATCH($F157,'CFOG'!$B$10:$B$16,0))="","Cell will autofill based on response",INDEX('CFOG'!$N$10:$N$16,MATCH($F157,'CFOG'!$B$10:$B$16,0))),"N/A")</f>
        <v/>
      </c>
      <c r="O157" s="53">
        <f>IFERROR(IF(INDEX('CFOG'!$N$23:$N$24,MATCH($F157,'CFOG'!$B$23:$B$24,0))="","Cell will autofill based on response",INDEX('CFOG'!$N$23:$N$24,MATCH($F157,'CFOG'!$B$23:$B$24,0))),"N/A")</f>
        <v/>
      </c>
      <c r="P157" s="53">
        <f>IFERROR(IF(INDEX('ESG'!$N$10:$N$17,MATCH($F157,'ESG'!$B$10:$B$17,0))="","Cell will autofill based on response",INDEX('ESG'!$N$10:$N$17,MATCH($F157,'ESG'!$B$10:$B$17,0))),"N/A")</f>
        <v/>
      </c>
      <c r="Q157" s="53">
        <f>IFERROR(IF(INDEX('CIOG'!$N$10:$N$14,MATCH($F157,'CIOG'!$B$10:$B$14,0))="","Cell will autofill based on response",INDEX('CIOG'!$N$10:$N$14,MATCH($F157,'CIOG'!$B$10:$B$14,0))),"N/A")</f>
        <v/>
      </c>
      <c r="R157" s="53">
        <f>IFERROR(IF(INDEX('MRE'!$N$10:$N$18,MATCH($F157,'MRE'!$B$10:$B$18,0))="","Cell will autofill based on response",INDEX('MRE'!$N$10:$N$18,MATCH($F157,'MRE'!$B$10:$B$18,0))),"N/A")</f>
        <v/>
      </c>
      <c r="S157" s="53">
        <f>IFERROR(IF(INDEX('AC&amp;M'!$N$10:$N$14,MATCH($F157,'AC&amp;M'!$B$10:$B$14,0))="","Cell will autofill based on response",INDEX('AC&amp;M'!$N$10:$N$14,MATCH($F157,'AC&amp;M'!$B$10:$B$14,0))),"N/A")</f>
        <v/>
      </c>
      <c r="T157" s="53">
        <f>IFERROR(IF(INDEX('GCE'!$N$10:$N$12,MATCH($F157,'GCE'!$B$10:$B$12,0))="","Cell will autofill based on response",INDEX('GCE'!$N$10:$N$12,MATCH($F157,'GCE'!$B$10:$B$12,0))),"N/A")</f>
        <v/>
      </c>
      <c r="U157" s="53">
        <f>IFERROR(IF(INDEX('Education'!$N$10:$N$13,MATCH($F157,'Education'!$B$10:$B$13,0))="","Cell will autofill based on response",INDEX('Education'!$N$10:$N$13,MATCH($F157,'Education'!$B$10:$B$13,0))),"N/A")</f>
        <v/>
      </c>
      <c r="V157" s="53">
        <f>IFERROR(IF(INDEX('SaSS'!$N$10:$N$12,MATCH($F157,'SaSS'!$B$10:$B$12,0))="","Cell will autofill based on response",INDEX('SaSS'!$N$10:$N$12,MATCH($F157,'SaSS'!$B$10:$B$12,0))),"N/A")</f>
        <v/>
      </c>
      <c r="W157" s="53">
        <f>IFERROR(IF(INDEX('Indigenous'!$N$10:$N$11,MATCH($F157,'Indigenous'!$B$10:$B$11,0))="","Cell will autofill based on response",INDEX('Indigenous'!$N$10:$N$11,MATCH($F157,'Indigenous'!$B$10:$B$11,0))),"N/A")</f>
        <v/>
      </c>
      <c r="X157" s="53">
        <f>IFERROR(IF(INDEX('L&amp;R'!$N$10:$N$11,MATCH($F157,'L&amp;R'!$B$10:$B$11,0))="","Cell will autofill based on response",INDEX('L&amp;R'!$N$10:$N$11,MATCH($F157,'L&amp;R'!$B$10:$B$11,0))),"N/A")</f>
        <v/>
      </c>
    </row>
    <row r="158">
      <c r="A158">
        <f>F158&amp;"|"&amp;G158</f>
        <v/>
      </c>
      <c r="B158" s="13" t="inlineStr"/>
      <c r="C158" s="8" t="inlineStr"/>
      <c r="D158" s="8" t="inlineStr"/>
      <c r="E158" s="8" t="inlineStr"/>
      <c r="F158" s="8" t="inlineStr">
        <is>
          <t>NB2(c)</t>
        </is>
      </c>
      <c r="G158" s="8" t="inlineStr">
        <is>
          <t>Supporting information/comments</t>
        </is>
      </c>
      <c r="H158" s="53">
        <f>IFERROR(IF(INDEX('Faculties'!$O$10:$O$19,MATCH($F158,'Faculties'!$B$10:$B$19,0))="","Cell will autofill based on response",INDEX('Faculties'!$O$10:$O$19,MATCH($F158,'Faculties'!$B$10:$B$19,0))),"N/A")</f>
        <v/>
      </c>
      <c r="I158" s="53">
        <f>IFERROR(IF(INDEX('Faculties'!$O$26:$O$35,MATCH($F158,'Faculties'!$B$26:$B$35,0))="","Cell will autofill based on response",INDEX('Faculties'!$O$26:$O$35,MATCH($F158,'Faculties'!$B$26:$B$35,0))),"N/A")</f>
        <v/>
      </c>
      <c r="J158" s="53">
        <f>IFERROR(IF(INDEX('Faculties'!$O$42:$O$51,MATCH($F158,'Faculties'!$B$42:$B$51,0))="","Cell will autofill based on response",INDEX('Faculties'!$O$42:$O$51,MATCH($F158,'Faculties'!$B$42:$B$51,0))),"N/A")</f>
        <v/>
      </c>
      <c r="K158" s="53">
        <f>IFERROR(IF(INDEX('Faculties'!$O$58:$O$67,MATCH($F158,'Faculties'!$B$58:$B$67,0))="","Cell will autofill based on response",INDEX('Faculties'!$O$58:$O$67,MATCH($F158,'Faculties'!$B$58:$B$67,0))),"N/A")</f>
        <v/>
      </c>
      <c r="L158" s="53">
        <f>IFERROR(IF(INDEX('CI&amp;S'!$O$10:$O$15,MATCH($F158,'CI&amp;S'!$B$10:$B$15,0))="","Cell will autofill based on response",INDEX('CI&amp;S'!$O$10:$O$15,MATCH($F158,'CI&amp;S'!$B$10:$B$15,0))),"N/A")</f>
        <v/>
      </c>
      <c r="M158" s="53">
        <f>IFERROR(IF(INDEX('CI&amp;S'!$O$22:$O$36,MATCH($F158,'CI&amp;S'!$B$22:$B$36,0))="","Cell will autofill based on response",INDEX('CI&amp;S'!$O$22:$O$36,MATCH($F158,'CI&amp;S'!$B$22:$B$36,0))),"N/A")</f>
        <v/>
      </c>
      <c r="N158" s="53">
        <f>IFERROR(IF(INDEX('CFOG'!$O$10:$O$16,MATCH($F158,'CFOG'!$B$10:$B$16,0))="","Cell will autofill based on response",INDEX('CFOG'!$O$10:$O$16,MATCH($F158,'CFOG'!$B$10:$B$16,0))),"N/A")</f>
        <v/>
      </c>
      <c r="O158" s="53">
        <f>IFERROR(IF(INDEX('CFOG'!$O$23:$O$24,MATCH($F158,'CFOG'!$B$23:$B$24,0))="","Cell will autofill based on response",INDEX('CFOG'!$O$23:$O$24,MATCH($F158,'CFOG'!$B$23:$B$24,0))),"N/A")</f>
        <v/>
      </c>
      <c r="P158" s="53">
        <f>IFERROR(IF(INDEX('ESG'!$O$10:$O$17,MATCH($F158,'ESG'!$B$10:$B$17,0))="","Cell will autofill based on response",INDEX('ESG'!$O$10:$O$17,MATCH($F158,'ESG'!$B$10:$B$17,0))),"N/A")</f>
        <v/>
      </c>
      <c r="Q158" s="53">
        <f>IFERROR(IF(INDEX('CIOG'!$O$10:$O$14,MATCH($F158,'CIOG'!$B$10:$B$14,0))="","Cell will autofill based on response",INDEX('CIOG'!$O$10:$O$14,MATCH($F158,'CIOG'!$B$10:$B$14,0))),"N/A")</f>
        <v/>
      </c>
      <c r="R158" s="53">
        <f>IFERROR(IF(INDEX('MRE'!$O$10:$O$18,MATCH($F158,'MRE'!$B$10:$B$18,0))="","Cell will autofill based on response",INDEX('MRE'!$O$10:$O$18,MATCH($F158,'MRE'!$B$10:$B$18,0))),"N/A")</f>
        <v/>
      </c>
      <c r="S158" s="53">
        <f>IFERROR(IF(INDEX('AC&amp;M'!$O$10:$O$14,MATCH($F158,'AC&amp;M'!$B$10:$B$14,0))="","Cell will autofill based on response",INDEX('AC&amp;M'!$O$10:$O$14,MATCH($F158,'AC&amp;M'!$B$10:$B$14,0))),"N/A")</f>
        <v/>
      </c>
      <c r="T158" s="53">
        <f>IFERROR(IF(INDEX('GCE'!$O$10:$O$12,MATCH($F158,'GCE'!$B$10:$B$12,0))="","Cell will autofill based on response",INDEX('GCE'!$O$10:$O$12,MATCH($F158,'GCE'!$B$10:$B$12,0))),"N/A")</f>
        <v/>
      </c>
      <c r="U158" s="53">
        <f>IFERROR(IF(INDEX('Education'!$O$10:$O$13,MATCH($F158,'Education'!$B$10:$B$13,0))="","Cell will autofill based on response",INDEX('Education'!$O$10:$O$13,MATCH($F158,'Education'!$B$10:$B$13,0))),"N/A")</f>
        <v/>
      </c>
      <c r="V158" s="53">
        <f>IFERROR(IF(INDEX('SaSS'!$O$10:$O$12,MATCH($F158,'SaSS'!$B$10:$B$12,0))="","Cell will autofill based on response",INDEX('SaSS'!$O$10:$O$12,MATCH($F158,'SaSS'!$B$10:$B$12,0))),"N/A")</f>
        <v/>
      </c>
      <c r="W158" s="53">
        <f>IFERROR(IF(INDEX('Indigenous'!$O$10:$O$11,MATCH($F158,'Indigenous'!$B$10:$B$11,0))="","Cell will autofill based on response",INDEX('Indigenous'!$O$10:$O$11,MATCH($F158,'Indigenous'!$B$10:$B$11,0))),"N/A")</f>
        <v/>
      </c>
      <c r="X158" s="53">
        <f>IFERROR(IF(INDEX('L&amp;R'!$O$10:$O$11,MATCH($F158,'L&amp;R'!$B$10:$B$11,0))="","Cell will autofill based on response",INDEX('L&amp;R'!$O$10:$O$11,MATCH($F158,'L&amp;R'!$B$10:$B$11,0))),"N/A")</f>
        <v/>
      </c>
    </row>
    <row r="159">
      <c r="A159">
        <f>F159&amp;"|"&amp;G159</f>
        <v/>
      </c>
      <c r="B159" s="13" t="inlineStr"/>
      <c r="C159" s="8" t="inlineStr"/>
      <c r="D159" s="8" t="inlineStr"/>
      <c r="E159" s="8" t="inlineStr"/>
      <c r="F159" s="8" t="inlineStr">
        <is>
          <t>NB2(c)</t>
        </is>
      </c>
      <c r="G159" s="8" t="inlineStr">
        <is>
          <t>Data source and limitations</t>
        </is>
      </c>
      <c r="H159" s="53">
        <f>IFERROR(IF(INDEX('Faculties'!$P$10:$P$19,MATCH($F159,'Faculties'!$B$10:$B$19,0))="","Cell will autofill based on response",INDEX('Faculties'!$P$10:$P$19,MATCH($F159,'Faculties'!$B$10:$B$19,0))),"N/A")</f>
        <v/>
      </c>
      <c r="I159" s="53">
        <f>IFERROR(IF(INDEX('Faculties'!$P$26:$P$35,MATCH($F159,'Faculties'!$B$26:$B$35,0))="","Cell will autofill based on response",INDEX('Faculties'!$P$26:$P$35,MATCH($F159,'Faculties'!$B$26:$B$35,0))),"N/A")</f>
        <v/>
      </c>
      <c r="J159" s="53">
        <f>IFERROR(IF(INDEX('Faculties'!$P$42:$P$51,MATCH($F159,'Faculties'!$B$42:$B$51,0))="","Cell will autofill based on response",INDEX('Faculties'!$P$42:$P$51,MATCH($F159,'Faculties'!$B$42:$B$51,0))),"N/A")</f>
        <v/>
      </c>
      <c r="K159" s="53">
        <f>IFERROR(IF(INDEX('Faculties'!$P$58:$P$67,MATCH($F159,'Faculties'!$B$58:$B$67,0))="","Cell will autofill based on response",INDEX('Faculties'!$P$58:$P$67,MATCH($F159,'Faculties'!$B$58:$B$67,0))),"N/A")</f>
        <v/>
      </c>
      <c r="L159" s="53">
        <f>IFERROR(IF(INDEX('CI&amp;S'!$P$10:$P$15,MATCH($F159,'CI&amp;S'!$B$10:$B$15,0))="","Cell will autofill based on response",INDEX('CI&amp;S'!$P$10:$P$15,MATCH($F159,'CI&amp;S'!$B$10:$B$15,0))),"N/A")</f>
        <v/>
      </c>
      <c r="M159" s="53">
        <f>IFERROR(IF(INDEX('CI&amp;S'!$P$22:$P$36,MATCH($F159,'CI&amp;S'!$B$22:$B$36,0))="","Cell will autofill based on response",INDEX('CI&amp;S'!$P$22:$P$36,MATCH($F159,'CI&amp;S'!$B$22:$B$36,0))),"N/A")</f>
        <v/>
      </c>
      <c r="N159" s="53">
        <f>IFERROR(IF(INDEX('CFOG'!$P$10:$P$16,MATCH($F159,'CFOG'!$B$10:$B$16,0))="","Cell will autofill based on response",INDEX('CFOG'!$P$10:$P$16,MATCH($F159,'CFOG'!$B$10:$B$16,0))),"N/A")</f>
        <v/>
      </c>
      <c r="O159" s="53">
        <f>IFERROR(IF(INDEX('CFOG'!$P$23:$P$24,MATCH($F159,'CFOG'!$B$23:$B$24,0))="","Cell will autofill based on response",INDEX('CFOG'!$P$23:$P$24,MATCH($F159,'CFOG'!$B$23:$B$24,0))),"N/A")</f>
        <v/>
      </c>
      <c r="P159" s="53">
        <f>IFERROR(IF(INDEX('ESG'!$P$10:$P$17,MATCH($F159,'ESG'!$B$10:$B$17,0))="","Cell will autofill based on response",INDEX('ESG'!$P$10:$P$17,MATCH($F159,'ESG'!$B$10:$B$17,0))),"N/A")</f>
        <v/>
      </c>
      <c r="Q159" s="53">
        <f>IFERROR(IF(INDEX('CIOG'!$P$10:$P$14,MATCH($F159,'CIOG'!$B$10:$B$14,0))="","Cell will autofill based on response",INDEX('CIOG'!$P$10:$P$14,MATCH($F159,'CIOG'!$B$10:$B$14,0))),"N/A")</f>
        <v/>
      </c>
      <c r="R159" s="53">
        <f>IFERROR(IF(INDEX('MRE'!$P$10:$P$18,MATCH($F159,'MRE'!$B$10:$B$18,0))="","Cell will autofill based on response",INDEX('MRE'!$P$10:$P$18,MATCH($F159,'MRE'!$B$10:$B$18,0))),"N/A")</f>
        <v/>
      </c>
      <c r="S159" s="53">
        <f>IFERROR(IF(INDEX('AC&amp;M'!$P$10:$P$14,MATCH($F159,'AC&amp;M'!$B$10:$B$14,0))="","Cell will autofill based on response",INDEX('AC&amp;M'!$P$10:$P$14,MATCH($F159,'AC&amp;M'!$B$10:$B$14,0))),"N/A")</f>
        <v/>
      </c>
      <c r="T159" s="53">
        <f>IFERROR(IF(INDEX('GCE'!$P$10:$P$12,MATCH($F159,'GCE'!$B$10:$B$12,0))="","Cell will autofill based on response",INDEX('GCE'!$P$10:$P$12,MATCH($F159,'GCE'!$B$10:$B$12,0))),"N/A")</f>
        <v/>
      </c>
      <c r="U159" s="53">
        <f>IFERROR(IF(INDEX('Education'!$P$10:$P$13,MATCH($F159,'Education'!$B$10:$B$13,0))="","Cell will autofill based on response",INDEX('Education'!$P$10:$P$13,MATCH($F159,'Education'!$B$10:$B$13,0))),"N/A")</f>
        <v/>
      </c>
      <c r="V159" s="53">
        <f>IFERROR(IF(INDEX('SaSS'!$P$10:$P$12,MATCH($F159,'SaSS'!$B$10:$B$12,0))="","Cell will autofill based on response",INDEX('SaSS'!$P$10:$P$12,MATCH($F159,'SaSS'!$B$10:$B$12,0))),"N/A")</f>
        <v/>
      </c>
      <c r="W159" s="53">
        <f>IFERROR(IF(INDEX('Indigenous'!$P$10:$P$11,MATCH($F159,'Indigenous'!$B$10:$B$11,0))="","Cell will autofill based on response",INDEX('Indigenous'!$P$10:$P$11,MATCH($F159,'Indigenous'!$B$10:$B$11,0))),"N/A")</f>
        <v/>
      </c>
      <c r="X159" s="53">
        <f>IFERROR(IF(INDEX('L&amp;R'!$P$10:$P$11,MATCH($F159,'L&amp;R'!$B$10:$B$11,0))="","Cell will autofill based on response",INDEX('L&amp;R'!$P$10:$P$11,MATCH($F159,'L&amp;R'!$B$10:$B$11,0))),"N/A")</f>
        <v/>
      </c>
    </row>
    <row r="160">
      <c r="A160">
        <f>F160&amp;"|"&amp;G160</f>
        <v/>
      </c>
      <c r="B160" s="13" t="inlineStr"/>
      <c r="C160" s="8" t="inlineStr"/>
      <c r="D160" s="8" t="inlineStr"/>
      <c r="E160" s="8" t="inlineStr"/>
      <c r="F160" s="8" t="inlineStr">
        <is>
          <t>NB2(c)</t>
        </is>
      </c>
      <c r="G160" s="8" t="inlineStr">
        <is>
          <t>Data owner confirms</t>
        </is>
      </c>
      <c r="H160" s="53">
        <f>IFERROR(IF(INDEX('Faculties'!$Q$10:$Q$19,MATCH($F160,'Faculties'!$B$10:$B$19,0))="","Cell will autofill based on response",INDEX('Faculties'!$Q$10:$Q$19,MATCH($F160,'Faculties'!$B$10:$B$19,0))),"N/A")</f>
        <v/>
      </c>
      <c r="I160" s="53">
        <f>IFERROR(IF(INDEX('Faculties'!$Q$26:$Q$35,MATCH($F160,'Faculties'!$B$26:$B$35,0))="","Cell will autofill based on response",INDEX('Faculties'!$Q$26:$Q$35,MATCH($F160,'Faculties'!$B$26:$B$35,0))),"N/A")</f>
        <v/>
      </c>
      <c r="J160" s="53">
        <f>IFERROR(IF(INDEX('Faculties'!$Q$42:$Q$51,MATCH($F160,'Faculties'!$B$42:$B$51,0))="","Cell will autofill based on response",INDEX('Faculties'!$Q$42:$Q$51,MATCH($F160,'Faculties'!$B$42:$B$51,0))),"N/A")</f>
        <v/>
      </c>
      <c r="K160" s="53">
        <f>IFERROR(IF(INDEX('Faculties'!$Q$58:$Q$67,MATCH($F160,'Faculties'!$B$58:$B$67,0))="","Cell will autofill based on response",INDEX('Faculties'!$Q$58:$Q$67,MATCH($F160,'Faculties'!$B$58:$B$67,0))),"N/A")</f>
        <v/>
      </c>
      <c r="L160" s="53">
        <f>IFERROR(IF(INDEX('CI&amp;S'!$Q$10:$Q$15,MATCH($F160,'CI&amp;S'!$B$10:$B$15,0))="","Cell will autofill based on response",INDEX('CI&amp;S'!$Q$10:$Q$15,MATCH($F160,'CI&amp;S'!$B$10:$B$15,0))),"N/A")</f>
        <v/>
      </c>
      <c r="M160" s="53">
        <f>IFERROR(IF(INDEX('CI&amp;S'!$Q$22:$Q$36,MATCH($F160,'CI&amp;S'!$B$22:$B$36,0))="","Cell will autofill based on response",INDEX('CI&amp;S'!$Q$22:$Q$36,MATCH($F160,'CI&amp;S'!$B$22:$B$36,0))),"N/A")</f>
        <v/>
      </c>
      <c r="N160" s="53">
        <f>IFERROR(IF(INDEX('CFOG'!$Q$10:$Q$16,MATCH($F160,'CFOG'!$B$10:$B$16,0))="","Cell will autofill based on response",INDEX('CFOG'!$Q$10:$Q$16,MATCH($F160,'CFOG'!$B$10:$B$16,0))),"N/A")</f>
        <v/>
      </c>
      <c r="O160" s="53">
        <f>IFERROR(IF(INDEX('CFOG'!$Q$23:$Q$24,MATCH($F160,'CFOG'!$B$23:$B$24,0))="","Cell will autofill based on response",INDEX('CFOG'!$Q$23:$Q$24,MATCH($F160,'CFOG'!$B$23:$B$24,0))),"N/A")</f>
        <v/>
      </c>
      <c r="P160" s="53">
        <f>IFERROR(IF(INDEX('ESG'!$Q$10:$Q$17,MATCH($F160,'ESG'!$B$10:$B$17,0))="","Cell will autofill based on response",INDEX('ESG'!$Q$10:$Q$17,MATCH($F160,'ESG'!$B$10:$B$17,0))),"N/A")</f>
        <v/>
      </c>
      <c r="Q160" s="53">
        <f>IFERROR(IF(INDEX('CIOG'!$Q$10:$Q$14,MATCH($F160,'CIOG'!$B$10:$B$14,0))="","Cell will autofill based on response",INDEX('CIOG'!$Q$10:$Q$14,MATCH($F160,'CIOG'!$B$10:$B$14,0))),"N/A")</f>
        <v/>
      </c>
      <c r="R160" s="53">
        <f>IFERROR(IF(INDEX('MRE'!$Q$10:$Q$18,MATCH($F160,'MRE'!$B$10:$B$18,0))="","Cell will autofill based on response",INDEX('MRE'!$Q$10:$Q$18,MATCH($F160,'MRE'!$B$10:$B$18,0))),"N/A")</f>
        <v/>
      </c>
      <c r="S160" s="53">
        <f>IFERROR(IF(INDEX('AC&amp;M'!$Q$10:$Q$14,MATCH($F160,'AC&amp;M'!$B$10:$B$14,0))="","Cell will autofill based on response",INDEX('AC&amp;M'!$Q$10:$Q$14,MATCH($F160,'AC&amp;M'!$B$10:$B$14,0))),"N/A")</f>
        <v/>
      </c>
      <c r="T160" s="53">
        <f>IFERROR(IF(INDEX('GCE'!$Q$10:$Q$12,MATCH($F160,'GCE'!$B$10:$B$12,0))="","Cell will autofill based on response",INDEX('GCE'!$Q$10:$Q$12,MATCH($F160,'GCE'!$B$10:$B$12,0))),"N/A")</f>
        <v/>
      </c>
      <c r="U160" s="53">
        <f>IFERROR(IF(INDEX('Education'!$Q$10:$Q$13,MATCH($F160,'Education'!$B$10:$B$13,0))="","Cell will autofill based on response",INDEX('Education'!$Q$10:$Q$13,MATCH($F160,'Education'!$B$10:$B$13,0))),"N/A")</f>
        <v/>
      </c>
      <c r="V160" s="53">
        <f>IFERROR(IF(INDEX('SaSS'!$Q$10:$Q$12,MATCH($F160,'SaSS'!$B$10:$B$12,0))="","Cell will autofill based on response",INDEX('SaSS'!$Q$10:$Q$12,MATCH($F160,'SaSS'!$B$10:$B$12,0))),"N/A")</f>
        <v/>
      </c>
      <c r="W160" s="53">
        <f>IFERROR(IF(INDEX('Indigenous'!$Q$10:$Q$11,MATCH($F160,'Indigenous'!$B$10:$B$11,0))="","Cell will autofill based on response",INDEX('Indigenous'!$Q$10:$Q$11,MATCH($F160,'Indigenous'!$B$10:$B$11,0))),"N/A")</f>
        <v/>
      </c>
      <c r="X160" s="53">
        <f>IFERROR(IF(INDEX('L&amp;R'!$Q$10:$Q$11,MATCH($F160,'L&amp;R'!$B$10:$B$11,0))="","Cell will autofill based on response",INDEX('L&amp;R'!$Q$10:$Q$11,MATCH($F160,'L&amp;R'!$B$10:$B$11,0))),"N/A")</f>
        <v/>
      </c>
    </row>
    <row r="161">
      <c r="A161">
        <f>F161&amp;"|"&amp;G161</f>
        <v/>
      </c>
      <c r="B161" s="7" t="inlineStr">
        <is>
          <t>AI1(a)</t>
        </is>
      </c>
      <c r="C161" s="51" t="inlineStr">
        <is>
          <t>Responsible AI</t>
        </is>
      </c>
      <c r="D161" s="51" t="inlineStr">
        <is>
          <t>Established measurement of estimated operational impacts and opportunities (eg operational impacts could include energy, water, emissions and intensity measures)</t>
        </is>
      </c>
      <c r="E161" s="51" t="inlineStr"/>
      <c r="F161" s="51" t="inlineStr">
        <is>
          <t>AI1(a)</t>
        </is>
      </c>
      <c r="G161" s="51" t="inlineStr">
        <is>
          <t>Confirm end-2026 target status</t>
        </is>
      </c>
      <c r="H161" s="53">
        <f>IFERROR(IF(INDEX('Faculties'!$L$10:$L$19,MATCH($F161,'Faculties'!$B$10:$B$19,0))="","Cell will autofill based on response",INDEX('Faculties'!$L$10:$L$19,MATCH($F161,'Faculties'!$B$10:$B$19,0))),"N/A")</f>
        <v/>
      </c>
      <c r="I161" s="53">
        <f>IFERROR(IF(INDEX('Faculties'!$L$26:$L$35,MATCH($F161,'Faculties'!$B$26:$B$35,0))="","Cell will autofill based on response",INDEX('Faculties'!$L$26:$L$35,MATCH($F161,'Faculties'!$B$26:$B$35,0))),"N/A")</f>
        <v/>
      </c>
      <c r="J161" s="53">
        <f>IFERROR(IF(INDEX('Faculties'!$L$42:$L$51,MATCH($F161,'Faculties'!$B$42:$B$51,0))="","Cell will autofill based on response",INDEX('Faculties'!$L$42:$L$51,MATCH($F161,'Faculties'!$B$42:$B$51,0))),"N/A")</f>
        <v/>
      </c>
      <c r="K161" s="53">
        <f>IFERROR(IF(INDEX('Faculties'!$L$58:$L$67,MATCH($F161,'Faculties'!$B$58:$B$67,0))="","Cell will autofill based on response",INDEX('Faculties'!$L$58:$L$67,MATCH($F161,'Faculties'!$B$58:$B$67,0))),"N/A")</f>
        <v/>
      </c>
      <c r="L161" s="53">
        <f>IFERROR(IF(INDEX('CI&amp;S'!$L$10:$L$15,MATCH($F161,'CI&amp;S'!$B$10:$B$15,0))="","Cell will autofill based on response",INDEX('CI&amp;S'!$L$10:$L$15,MATCH($F161,'CI&amp;S'!$B$10:$B$15,0))),"N/A")</f>
        <v/>
      </c>
      <c r="M161" s="53">
        <f>IFERROR(IF(INDEX('CI&amp;S'!$L$22:$L$36,MATCH($F161,'CI&amp;S'!$B$22:$B$36,0))="","Cell will autofill based on response",INDEX('CI&amp;S'!$L$22:$L$36,MATCH($F161,'CI&amp;S'!$B$22:$B$36,0))),"N/A")</f>
        <v/>
      </c>
      <c r="N161" s="53">
        <f>IFERROR(IF(INDEX('CFOG'!$L$10:$L$16,MATCH($F161,'CFOG'!$B$10:$B$16,0))="","Cell will autofill based on response",INDEX('CFOG'!$L$10:$L$16,MATCH($F161,'CFOG'!$B$10:$B$16,0))),"N/A")</f>
        <v/>
      </c>
      <c r="O161" s="53">
        <f>IFERROR(IF(INDEX('CFOG'!$L$23:$L$24,MATCH($F161,'CFOG'!$B$23:$B$24,0))="","Cell will autofill based on response",INDEX('CFOG'!$L$23:$L$24,MATCH($F161,'CFOG'!$B$23:$B$24,0))),"N/A")</f>
        <v/>
      </c>
      <c r="P161" s="53">
        <f>IFERROR(IF(INDEX('ESG'!$L$10:$L$17,MATCH($F161,'ESG'!$B$10:$B$17,0))="","Cell will autofill based on response",INDEX('ESG'!$L$10:$L$17,MATCH($F161,'ESG'!$B$10:$B$17,0))),"N/A")</f>
        <v/>
      </c>
      <c r="Q161" s="53">
        <f>IFERROR(IF(INDEX('CIOG'!$L$10:$L$14,MATCH($F161,'CIOG'!$B$10:$B$14,0))="","Cell will autofill based on response",INDEX('CIOG'!$L$10:$L$14,MATCH($F161,'CIOG'!$B$10:$B$14,0))),"N/A")</f>
        <v/>
      </c>
      <c r="R161" s="53">
        <f>IFERROR(IF(INDEX('MRE'!$L$10:$L$18,MATCH($F161,'MRE'!$B$10:$B$18,0))="","Cell will autofill based on response",INDEX('MRE'!$L$10:$L$18,MATCH($F161,'MRE'!$B$10:$B$18,0))),"N/A")</f>
        <v/>
      </c>
      <c r="S161" s="53">
        <f>IFERROR(IF(INDEX('AC&amp;M'!$L$10:$L$14,MATCH($F161,'AC&amp;M'!$B$10:$B$14,0))="","Cell will autofill based on response",INDEX('AC&amp;M'!$L$10:$L$14,MATCH($F161,'AC&amp;M'!$B$10:$B$14,0))),"N/A")</f>
        <v/>
      </c>
      <c r="T161" s="53">
        <f>IFERROR(IF(INDEX('GCE'!$L$10:$L$12,MATCH($F161,'GCE'!$B$10:$B$12,0))="","Cell will autofill based on response",INDEX('GCE'!$L$10:$L$12,MATCH($F161,'GCE'!$B$10:$B$12,0))),"N/A")</f>
        <v/>
      </c>
      <c r="U161" s="53">
        <f>IFERROR(IF(INDEX('Education'!$L$10:$L$13,MATCH($F161,'Education'!$B$10:$B$13,0))="","Cell will autofill based on response",INDEX('Education'!$L$10:$L$13,MATCH($F161,'Education'!$B$10:$B$13,0))),"N/A")</f>
        <v/>
      </c>
      <c r="V161" s="53">
        <f>IFERROR(IF(INDEX('SaSS'!$L$10:$L$12,MATCH($F161,'SaSS'!$B$10:$B$12,0))="","Cell will autofill based on response",INDEX('SaSS'!$L$10:$L$12,MATCH($F161,'SaSS'!$B$10:$B$12,0))),"N/A")</f>
        <v/>
      </c>
      <c r="W161" s="53">
        <f>IFERROR(IF(INDEX('Indigenous'!$L$10:$L$11,MATCH($F161,'Indigenous'!$B$10:$B$11,0))="","Cell will autofill based on response",INDEX('Indigenous'!$L$10:$L$11,MATCH($F161,'Indigenous'!$B$10:$B$11,0))),"N/A")</f>
        <v/>
      </c>
      <c r="X161" s="53">
        <f>IFERROR(IF(INDEX('L&amp;R'!$L$10:$L$11,MATCH($F161,'L&amp;R'!$B$10:$B$11,0))="","Cell will autofill based on response",INDEX('L&amp;R'!$L$10:$L$11,MATCH($F161,'L&amp;R'!$B$10:$B$11,0))),"N/A")</f>
        <v/>
      </c>
      <c r="Z161" s="10">
        <f>COUNTIF($H161:$X161,"Cell will autofill based on response")</f>
        <v/>
      </c>
      <c r="AA161" s="10">
        <f>COUNTIF($H161:$X161,"Not yet started")</f>
        <v/>
      </c>
      <c r="AB161" s="10">
        <f>COUNTIF($H161:$X161,"Not met")</f>
        <v/>
      </c>
      <c r="AC161" s="10">
        <f>COUNTIF($H161:$X161,"Partially met")</f>
        <v/>
      </c>
      <c r="AD161" s="10">
        <f>COUNTIF($H161:$X161,"Met or exceeded")</f>
        <v/>
      </c>
      <c r="AE161" s="10">
        <f>3*AD161+2*AC161+AB161</f>
        <v/>
      </c>
      <c r="AF161" s="10">
        <f>AD161+AC161+AB161+AA161</f>
        <v/>
      </c>
      <c r="AG161" s="54">
        <f>IF(AF161&gt;0,AE161/AF161,"No valid responses to date")</f>
        <v/>
      </c>
      <c r="AH161" s="10">
        <f>IF(ISNUMBER(AG161),INDEX(Lists!$G$2:$G$5,MATCH(ROUND(AG161,0),Lists!$H$2:$H$5,0)),"")</f>
        <v/>
      </c>
      <c r="AI161" s="55">
        <f>IF(AF161&gt;0,AD161/AF161,"")</f>
        <v/>
      </c>
      <c r="AJ161" s="55">
        <f>IF(AF161&gt;0,(AD161+AC161)/AF161,"")</f>
        <v/>
      </c>
      <c r="AK161" s="10">
        <f>IF(AF161=0,"",IF(AI161&gt;0.75,"Met or exceeded",IF(AJ161&gt;=0.5,"Partially met","Not met")))</f>
        <v/>
      </c>
    </row>
    <row r="162">
      <c r="A162">
        <f>F162&amp;"|"&amp;G162</f>
        <v/>
      </c>
      <c r="B162" s="13" t="inlineStr"/>
      <c r="C162" s="8" t="inlineStr"/>
      <c r="D162" s="8" t="inlineStr"/>
      <c r="E162" s="8" t="inlineStr"/>
      <c r="F162" s="8" t="inlineStr">
        <is>
          <t>AI1(a)</t>
        </is>
      </c>
      <c r="G162" s="8" t="inlineStr">
        <is>
          <t>OPTION 1:  Target-level reporting</t>
        </is>
      </c>
      <c r="H162" s="53">
        <f>IFERROR(IF(INDEX('Faculties'!$M$10:$M$19,MATCH($F162,'Faculties'!$B$10:$B$19,0))="","Cell will autofill based on response",INDEX('Faculties'!$M$10:$M$19,MATCH($F162,'Faculties'!$B$10:$B$19,0))),"N/A")</f>
        <v/>
      </c>
      <c r="I162" s="53">
        <f>IFERROR(IF(INDEX('Faculties'!$M$26:$M$35,MATCH($F162,'Faculties'!$B$26:$B$35,0))="","Cell will autofill based on response",INDEX('Faculties'!$M$26:$M$35,MATCH($F162,'Faculties'!$B$26:$B$35,0))),"N/A")</f>
        <v/>
      </c>
      <c r="J162" s="53">
        <f>IFERROR(IF(INDEX('Faculties'!$M$42:$M$51,MATCH($F162,'Faculties'!$B$42:$B$51,0))="","Cell will autofill based on response",INDEX('Faculties'!$M$42:$M$51,MATCH($F162,'Faculties'!$B$42:$B$51,0))),"N/A")</f>
        <v/>
      </c>
      <c r="K162" s="53">
        <f>IFERROR(IF(INDEX('Faculties'!$M$58:$M$67,MATCH($F162,'Faculties'!$B$58:$B$67,0))="","Cell will autofill based on response",INDEX('Faculties'!$M$58:$M$67,MATCH($F162,'Faculties'!$B$58:$B$67,0))),"N/A")</f>
        <v/>
      </c>
      <c r="L162" s="53">
        <f>IFERROR(IF(INDEX('CI&amp;S'!$M$10:$M$15,MATCH($F162,'CI&amp;S'!$B$10:$B$15,0))="","Cell will autofill based on response",INDEX('CI&amp;S'!$M$10:$M$15,MATCH($F162,'CI&amp;S'!$B$10:$B$15,0))),"N/A")</f>
        <v/>
      </c>
      <c r="M162" s="53">
        <f>IFERROR(IF(INDEX('CI&amp;S'!$M$22:$M$36,MATCH($F162,'CI&amp;S'!$B$22:$B$36,0))="","Cell will autofill based on response",INDEX('CI&amp;S'!$M$22:$M$36,MATCH($F162,'CI&amp;S'!$B$22:$B$36,0))),"N/A")</f>
        <v/>
      </c>
      <c r="N162" s="53">
        <f>IFERROR(IF(INDEX('CFOG'!$M$10:$M$16,MATCH($F162,'CFOG'!$B$10:$B$16,0))="","Cell will autofill based on response",INDEX('CFOG'!$M$10:$M$16,MATCH($F162,'CFOG'!$B$10:$B$16,0))),"N/A")</f>
        <v/>
      </c>
      <c r="O162" s="53">
        <f>IFERROR(IF(INDEX('CFOG'!$M$23:$M$24,MATCH($F162,'CFOG'!$B$23:$B$24,0))="","Cell will autofill based on response",INDEX('CFOG'!$M$23:$M$24,MATCH($F162,'CFOG'!$B$23:$B$24,0))),"N/A")</f>
        <v/>
      </c>
      <c r="P162" s="53">
        <f>IFERROR(IF(INDEX('ESG'!$M$10:$M$17,MATCH($F162,'ESG'!$B$10:$B$17,0))="","Cell will autofill based on response",INDEX('ESG'!$M$10:$M$17,MATCH($F162,'ESG'!$B$10:$B$17,0))),"N/A")</f>
        <v/>
      </c>
      <c r="Q162" s="53">
        <f>IFERROR(IF(INDEX('CIOG'!$M$10:$M$14,MATCH($F162,'CIOG'!$B$10:$B$14,0))="","Cell will autofill based on response",INDEX('CIOG'!$M$10:$M$14,MATCH($F162,'CIOG'!$B$10:$B$14,0))),"N/A")</f>
        <v/>
      </c>
      <c r="R162" s="53">
        <f>IFERROR(IF(INDEX('MRE'!$M$10:$M$18,MATCH($F162,'MRE'!$B$10:$B$18,0))="","Cell will autofill based on response",INDEX('MRE'!$M$10:$M$18,MATCH($F162,'MRE'!$B$10:$B$18,0))),"N/A")</f>
        <v/>
      </c>
      <c r="S162" s="53">
        <f>IFERROR(IF(INDEX('AC&amp;M'!$M$10:$M$14,MATCH($F162,'AC&amp;M'!$B$10:$B$14,0))="","Cell will autofill based on response",INDEX('AC&amp;M'!$M$10:$M$14,MATCH($F162,'AC&amp;M'!$B$10:$B$14,0))),"N/A")</f>
        <v/>
      </c>
      <c r="T162" s="53">
        <f>IFERROR(IF(INDEX('GCE'!$M$10:$M$12,MATCH($F162,'GCE'!$B$10:$B$12,0))="","Cell will autofill based on response",INDEX('GCE'!$M$10:$M$12,MATCH($F162,'GCE'!$B$10:$B$12,0))),"N/A")</f>
        <v/>
      </c>
      <c r="U162" s="53">
        <f>IFERROR(IF(INDEX('Education'!$M$10:$M$13,MATCH($F162,'Education'!$B$10:$B$13,0))="","Cell will autofill based on response",INDEX('Education'!$M$10:$M$13,MATCH($F162,'Education'!$B$10:$B$13,0))),"N/A")</f>
        <v/>
      </c>
      <c r="V162" s="53">
        <f>IFERROR(IF(INDEX('SaSS'!$M$10:$M$12,MATCH($F162,'SaSS'!$B$10:$B$12,0))="","Cell will autofill based on response",INDEX('SaSS'!$M$10:$M$12,MATCH($F162,'SaSS'!$B$10:$B$12,0))),"N/A")</f>
        <v/>
      </c>
      <c r="W162" s="53">
        <f>IFERROR(IF(INDEX('Indigenous'!$M$10:$M$11,MATCH($F162,'Indigenous'!$B$10:$B$11,0))="","Cell will autofill based on response",INDEX('Indigenous'!$M$10:$M$11,MATCH($F162,'Indigenous'!$B$10:$B$11,0))),"N/A")</f>
        <v/>
      </c>
      <c r="X162" s="53">
        <f>IFERROR(IF(INDEX('L&amp;R'!$M$10:$M$11,MATCH($F162,'L&amp;R'!$B$10:$B$11,0))="","Cell will autofill based on response",INDEX('L&amp;R'!$M$10:$M$11,MATCH($F162,'L&amp;R'!$B$10:$B$11,0))),"N/A")</f>
        <v/>
      </c>
    </row>
    <row r="163">
      <c r="A163">
        <f>F163&amp;"|"&amp;G163</f>
        <v/>
      </c>
      <c r="B163" s="13" t="inlineStr"/>
      <c r="C163" s="8" t="inlineStr"/>
      <c r="D163" s="8" t="inlineStr"/>
      <c r="E163" s="8" t="inlineStr"/>
      <c r="F163" s="8" t="inlineStr">
        <is>
          <t>AI1(a)</t>
        </is>
      </c>
      <c r="G163" s="8" t="inlineStr">
        <is>
          <t>OPTION 2:  Indicator level reporting</t>
        </is>
      </c>
      <c r="H163" s="53">
        <f>IFERROR(IF(INDEX('Faculties'!$N$10:$N$19,MATCH($F163,'Faculties'!$B$10:$B$19,0))="","Cell will autofill based on response",INDEX('Faculties'!$N$10:$N$19,MATCH($F163,'Faculties'!$B$10:$B$19,0))),"N/A")</f>
        <v/>
      </c>
      <c r="I163" s="53">
        <f>IFERROR(IF(INDEX('Faculties'!$N$26:$N$35,MATCH($F163,'Faculties'!$B$26:$B$35,0))="","Cell will autofill based on response",INDEX('Faculties'!$N$26:$N$35,MATCH($F163,'Faculties'!$B$26:$B$35,0))),"N/A")</f>
        <v/>
      </c>
      <c r="J163" s="53">
        <f>IFERROR(IF(INDEX('Faculties'!$N$42:$N$51,MATCH($F163,'Faculties'!$B$42:$B$51,0))="","Cell will autofill based on response",INDEX('Faculties'!$N$42:$N$51,MATCH($F163,'Faculties'!$B$42:$B$51,0))),"N/A")</f>
        <v/>
      </c>
      <c r="K163" s="53">
        <f>IFERROR(IF(INDEX('Faculties'!$N$58:$N$67,MATCH($F163,'Faculties'!$B$58:$B$67,0))="","Cell will autofill based on response",INDEX('Faculties'!$N$58:$N$67,MATCH($F163,'Faculties'!$B$58:$B$67,0))),"N/A")</f>
        <v/>
      </c>
      <c r="L163" s="53">
        <f>IFERROR(IF(INDEX('CI&amp;S'!$N$10:$N$15,MATCH($F163,'CI&amp;S'!$B$10:$B$15,0))="","Cell will autofill based on response",INDEX('CI&amp;S'!$N$10:$N$15,MATCH($F163,'CI&amp;S'!$B$10:$B$15,0))),"N/A")</f>
        <v/>
      </c>
      <c r="M163" s="53">
        <f>IFERROR(IF(INDEX('CI&amp;S'!$N$22:$N$36,MATCH($F163,'CI&amp;S'!$B$22:$B$36,0))="","Cell will autofill based on response",INDEX('CI&amp;S'!$N$22:$N$36,MATCH($F163,'CI&amp;S'!$B$22:$B$36,0))),"N/A")</f>
        <v/>
      </c>
      <c r="N163" s="53">
        <f>IFERROR(IF(INDEX('CFOG'!$N$10:$N$16,MATCH($F163,'CFOG'!$B$10:$B$16,0))="","Cell will autofill based on response",INDEX('CFOG'!$N$10:$N$16,MATCH($F163,'CFOG'!$B$10:$B$16,0))),"N/A")</f>
        <v/>
      </c>
      <c r="O163" s="53">
        <f>IFERROR(IF(INDEX('CFOG'!$N$23:$N$24,MATCH($F163,'CFOG'!$B$23:$B$24,0))="","Cell will autofill based on response",INDEX('CFOG'!$N$23:$N$24,MATCH($F163,'CFOG'!$B$23:$B$24,0))),"N/A")</f>
        <v/>
      </c>
      <c r="P163" s="53">
        <f>IFERROR(IF(INDEX('ESG'!$N$10:$N$17,MATCH($F163,'ESG'!$B$10:$B$17,0))="","Cell will autofill based on response",INDEX('ESG'!$N$10:$N$17,MATCH($F163,'ESG'!$B$10:$B$17,0))),"N/A")</f>
        <v/>
      </c>
      <c r="Q163" s="53">
        <f>IFERROR(IF(INDEX('CIOG'!$N$10:$N$14,MATCH($F163,'CIOG'!$B$10:$B$14,0))="","Cell will autofill based on response",INDEX('CIOG'!$N$10:$N$14,MATCH($F163,'CIOG'!$B$10:$B$14,0))),"N/A")</f>
        <v/>
      </c>
      <c r="R163" s="53">
        <f>IFERROR(IF(INDEX('MRE'!$N$10:$N$18,MATCH($F163,'MRE'!$B$10:$B$18,0))="","Cell will autofill based on response",INDEX('MRE'!$N$10:$N$18,MATCH($F163,'MRE'!$B$10:$B$18,0))),"N/A")</f>
        <v/>
      </c>
      <c r="S163" s="53">
        <f>IFERROR(IF(INDEX('AC&amp;M'!$N$10:$N$14,MATCH($F163,'AC&amp;M'!$B$10:$B$14,0))="","Cell will autofill based on response",INDEX('AC&amp;M'!$N$10:$N$14,MATCH($F163,'AC&amp;M'!$B$10:$B$14,0))),"N/A")</f>
        <v/>
      </c>
      <c r="T163" s="53">
        <f>IFERROR(IF(INDEX('GCE'!$N$10:$N$12,MATCH($F163,'GCE'!$B$10:$B$12,0))="","Cell will autofill based on response",INDEX('GCE'!$N$10:$N$12,MATCH($F163,'GCE'!$B$10:$B$12,0))),"N/A")</f>
        <v/>
      </c>
      <c r="U163" s="53">
        <f>IFERROR(IF(INDEX('Education'!$N$10:$N$13,MATCH($F163,'Education'!$B$10:$B$13,0))="","Cell will autofill based on response",INDEX('Education'!$N$10:$N$13,MATCH($F163,'Education'!$B$10:$B$13,0))),"N/A")</f>
        <v/>
      </c>
      <c r="V163" s="53">
        <f>IFERROR(IF(INDEX('SaSS'!$N$10:$N$12,MATCH($F163,'SaSS'!$B$10:$B$12,0))="","Cell will autofill based on response",INDEX('SaSS'!$N$10:$N$12,MATCH($F163,'SaSS'!$B$10:$B$12,0))),"N/A")</f>
        <v/>
      </c>
      <c r="W163" s="53">
        <f>IFERROR(IF(INDEX('Indigenous'!$N$10:$N$11,MATCH($F163,'Indigenous'!$B$10:$B$11,0))="","Cell will autofill based on response",INDEX('Indigenous'!$N$10:$N$11,MATCH($F163,'Indigenous'!$B$10:$B$11,0))),"N/A")</f>
        <v/>
      </c>
      <c r="X163" s="53">
        <f>IFERROR(IF(INDEX('L&amp;R'!$N$10:$N$11,MATCH($F163,'L&amp;R'!$B$10:$B$11,0))="","Cell will autofill based on response",INDEX('L&amp;R'!$N$10:$N$11,MATCH($F163,'L&amp;R'!$B$10:$B$11,0))),"N/A")</f>
        <v/>
      </c>
    </row>
    <row r="164">
      <c r="A164">
        <f>F164&amp;"|"&amp;G164</f>
        <v/>
      </c>
      <c r="B164" s="13" t="inlineStr"/>
      <c r="C164" s="8" t="inlineStr"/>
      <c r="D164" s="8" t="inlineStr"/>
      <c r="E164" s="8" t="inlineStr"/>
      <c r="F164" s="8" t="inlineStr">
        <is>
          <t>AI1(a)</t>
        </is>
      </c>
      <c r="G164" s="8" t="inlineStr">
        <is>
          <t>Supporting information/comments</t>
        </is>
      </c>
      <c r="H164" s="53">
        <f>IFERROR(IF(INDEX('Faculties'!$O$10:$O$19,MATCH($F164,'Faculties'!$B$10:$B$19,0))="","Cell will autofill based on response",INDEX('Faculties'!$O$10:$O$19,MATCH($F164,'Faculties'!$B$10:$B$19,0))),"N/A")</f>
        <v/>
      </c>
      <c r="I164" s="53">
        <f>IFERROR(IF(INDEX('Faculties'!$O$26:$O$35,MATCH($F164,'Faculties'!$B$26:$B$35,0))="","Cell will autofill based on response",INDEX('Faculties'!$O$26:$O$35,MATCH($F164,'Faculties'!$B$26:$B$35,0))),"N/A")</f>
        <v/>
      </c>
      <c r="J164" s="53">
        <f>IFERROR(IF(INDEX('Faculties'!$O$42:$O$51,MATCH($F164,'Faculties'!$B$42:$B$51,0))="","Cell will autofill based on response",INDEX('Faculties'!$O$42:$O$51,MATCH($F164,'Faculties'!$B$42:$B$51,0))),"N/A")</f>
        <v/>
      </c>
      <c r="K164" s="53">
        <f>IFERROR(IF(INDEX('Faculties'!$O$58:$O$67,MATCH($F164,'Faculties'!$B$58:$B$67,0))="","Cell will autofill based on response",INDEX('Faculties'!$O$58:$O$67,MATCH($F164,'Faculties'!$B$58:$B$67,0))),"N/A")</f>
        <v/>
      </c>
      <c r="L164" s="53">
        <f>IFERROR(IF(INDEX('CI&amp;S'!$O$10:$O$15,MATCH($F164,'CI&amp;S'!$B$10:$B$15,0))="","Cell will autofill based on response",INDEX('CI&amp;S'!$O$10:$O$15,MATCH($F164,'CI&amp;S'!$B$10:$B$15,0))),"N/A")</f>
        <v/>
      </c>
      <c r="M164" s="53">
        <f>IFERROR(IF(INDEX('CI&amp;S'!$O$22:$O$36,MATCH($F164,'CI&amp;S'!$B$22:$B$36,0))="","Cell will autofill based on response",INDEX('CI&amp;S'!$O$22:$O$36,MATCH($F164,'CI&amp;S'!$B$22:$B$36,0))),"N/A")</f>
        <v/>
      </c>
      <c r="N164" s="53">
        <f>IFERROR(IF(INDEX('CFOG'!$O$10:$O$16,MATCH($F164,'CFOG'!$B$10:$B$16,0))="","Cell will autofill based on response",INDEX('CFOG'!$O$10:$O$16,MATCH($F164,'CFOG'!$B$10:$B$16,0))),"N/A")</f>
        <v/>
      </c>
      <c r="O164" s="53">
        <f>IFERROR(IF(INDEX('CFOG'!$O$23:$O$24,MATCH($F164,'CFOG'!$B$23:$B$24,0))="","Cell will autofill based on response",INDEX('CFOG'!$O$23:$O$24,MATCH($F164,'CFOG'!$B$23:$B$24,0))),"N/A")</f>
        <v/>
      </c>
      <c r="P164" s="53">
        <f>IFERROR(IF(INDEX('ESG'!$O$10:$O$17,MATCH($F164,'ESG'!$B$10:$B$17,0))="","Cell will autofill based on response",INDEX('ESG'!$O$10:$O$17,MATCH($F164,'ESG'!$B$10:$B$17,0))),"N/A")</f>
        <v/>
      </c>
      <c r="Q164" s="53">
        <f>IFERROR(IF(INDEX('CIOG'!$O$10:$O$14,MATCH($F164,'CIOG'!$B$10:$B$14,0))="","Cell will autofill based on response",INDEX('CIOG'!$O$10:$O$14,MATCH($F164,'CIOG'!$B$10:$B$14,0))),"N/A")</f>
        <v/>
      </c>
      <c r="R164" s="53">
        <f>IFERROR(IF(INDEX('MRE'!$O$10:$O$18,MATCH($F164,'MRE'!$B$10:$B$18,0))="","Cell will autofill based on response",INDEX('MRE'!$O$10:$O$18,MATCH($F164,'MRE'!$B$10:$B$18,0))),"N/A")</f>
        <v/>
      </c>
      <c r="S164" s="53">
        <f>IFERROR(IF(INDEX('AC&amp;M'!$O$10:$O$14,MATCH($F164,'AC&amp;M'!$B$10:$B$14,0))="","Cell will autofill based on response",INDEX('AC&amp;M'!$O$10:$O$14,MATCH($F164,'AC&amp;M'!$B$10:$B$14,0))),"N/A")</f>
        <v/>
      </c>
      <c r="T164" s="53">
        <f>IFERROR(IF(INDEX('GCE'!$O$10:$O$12,MATCH($F164,'GCE'!$B$10:$B$12,0))="","Cell will autofill based on response",INDEX('GCE'!$O$10:$O$12,MATCH($F164,'GCE'!$B$10:$B$12,0))),"N/A")</f>
        <v/>
      </c>
      <c r="U164" s="53">
        <f>IFERROR(IF(INDEX('Education'!$O$10:$O$13,MATCH($F164,'Education'!$B$10:$B$13,0))="","Cell will autofill based on response",INDEX('Education'!$O$10:$O$13,MATCH($F164,'Education'!$B$10:$B$13,0))),"N/A")</f>
        <v/>
      </c>
      <c r="V164" s="53">
        <f>IFERROR(IF(INDEX('SaSS'!$O$10:$O$12,MATCH($F164,'SaSS'!$B$10:$B$12,0))="","Cell will autofill based on response",INDEX('SaSS'!$O$10:$O$12,MATCH($F164,'SaSS'!$B$10:$B$12,0))),"N/A")</f>
        <v/>
      </c>
      <c r="W164" s="53">
        <f>IFERROR(IF(INDEX('Indigenous'!$O$10:$O$11,MATCH($F164,'Indigenous'!$B$10:$B$11,0))="","Cell will autofill based on response",INDEX('Indigenous'!$O$10:$O$11,MATCH($F164,'Indigenous'!$B$10:$B$11,0))),"N/A")</f>
        <v/>
      </c>
      <c r="X164" s="53">
        <f>IFERROR(IF(INDEX('L&amp;R'!$O$10:$O$11,MATCH($F164,'L&amp;R'!$B$10:$B$11,0))="","Cell will autofill based on response",INDEX('L&amp;R'!$O$10:$O$11,MATCH($F164,'L&amp;R'!$B$10:$B$11,0))),"N/A")</f>
        <v/>
      </c>
    </row>
    <row r="165">
      <c r="A165">
        <f>F165&amp;"|"&amp;G165</f>
        <v/>
      </c>
      <c r="B165" s="13" t="inlineStr"/>
      <c r="C165" s="8" t="inlineStr"/>
      <c r="D165" s="8" t="inlineStr"/>
      <c r="E165" s="8" t="inlineStr"/>
      <c r="F165" s="8" t="inlineStr">
        <is>
          <t>AI1(a)</t>
        </is>
      </c>
      <c r="G165" s="8" t="inlineStr">
        <is>
          <t>Data source and limitations</t>
        </is>
      </c>
      <c r="H165" s="53">
        <f>IFERROR(IF(INDEX('Faculties'!$P$10:$P$19,MATCH($F165,'Faculties'!$B$10:$B$19,0))="","Cell will autofill based on response",INDEX('Faculties'!$P$10:$P$19,MATCH($F165,'Faculties'!$B$10:$B$19,0))),"N/A")</f>
        <v/>
      </c>
      <c r="I165" s="53">
        <f>IFERROR(IF(INDEX('Faculties'!$P$26:$P$35,MATCH($F165,'Faculties'!$B$26:$B$35,0))="","Cell will autofill based on response",INDEX('Faculties'!$P$26:$P$35,MATCH($F165,'Faculties'!$B$26:$B$35,0))),"N/A")</f>
        <v/>
      </c>
      <c r="J165" s="53">
        <f>IFERROR(IF(INDEX('Faculties'!$P$42:$P$51,MATCH($F165,'Faculties'!$B$42:$B$51,0))="","Cell will autofill based on response",INDEX('Faculties'!$P$42:$P$51,MATCH($F165,'Faculties'!$B$42:$B$51,0))),"N/A")</f>
        <v/>
      </c>
      <c r="K165" s="53">
        <f>IFERROR(IF(INDEX('Faculties'!$P$58:$P$67,MATCH($F165,'Faculties'!$B$58:$B$67,0))="","Cell will autofill based on response",INDEX('Faculties'!$P$58:$P$67,MATCH($F165,'Faculties'!$B$58:$B$67,0))),"N/A")</f>
        <v/>
      </c>
      <c r="L165" s="53">
        <f>IFERROR(IF(INDEX('CI&amp;S'!$P$10:$P$15,MATCH($F165,'CI&amp;S'!$B$10:$B$15,0))="","Cell will autofill based on response",INDEX('CI&amp;S'!$P$10:$P$15,MATCH($F165,'CI&amp;S'!$B$10:$B$15,0))),"N/A")</f>
        <v/>
      </c>
      <c r="M165" s="53">
        <f>IFERROR(IF(INDEX('CI&amp;S'!$P$22:$P$36,MATCH($F165,'CI&amp;S'!$B$22:$B$36,0))="","Cell will autofill based on response",INDEX('CI&amp;S'!$P$22:$P$36,MATCH($F165,'CI&amp;S'!$B$22:$B$36,0))),"N/A")</f>
        <v/>
      </c>
      <c r="N165" s="53">
        <f>IFERROR(IF(INDEX('CFOG'!$P$10:$P$16,MATCH($F165,'CFOG'!$B$10:$B$16,0))="","Cell will autofill based on response",INDEX('CFOG'!$P$10:$P$16,MATCH($F165,'CFOG'!$B$10:$B$16,0))),"N/A")</f>
        <v/>
      </c>
      <c r="O165" s="53">
        <f>IFERROR(IF(INDEX('CFOG'!$P$23:$P$24,MATCH($F165,'CFOG'!$B$23:$B$24,0))="","Cell will autofill based on response",INDEX('CFOG'!$P$23:$P$24,MATCH($F165,'CFOG'!$B$23:$B$24,0))),"N/A")</f>
        <v/>
      </c>
      <c r="P165" s="53">
        <f>IFERROR(IF(INDEX('ESG'!$P$10:$P$17,MATCH($F165,'ESG'!$B$10:$B$17,0))="","Cell will autofill based on response",INDEX('ESG'!$P$10:$P$17,MATCH($F165,'ESG'!$B$10:$B$17,0))),"N/A")</f>
        <v/>
      </c>
      <c r="Q165" s="53">
        <f>IFERROR(IF(INDEX('CIOG'!$P$10:$P$14,MATCH($F165,'CIOG'!$B$10:$B$14,0))="","Cell will autofill based on response",INDEX('CIOG'!$P$10:$P$14,MATCH($F165,'CIOG'!$B$10:$B$14,0))),"N/A")</f>
        <v/>
      </c>
      <c r="R165" s="53">
        <f>IFERROR(IF(INDEX('MRE'!$P$10:$P$18,MATCH($F165,'MRE'!$B$10:$B$18,0))="","Cell will autofill based on response",INDEX('MRE'!$P$10:$P$18,MATCH($F165,'MRE'!$B$10:$B$18,0))),"N/A")</f>
        <v/>
      </c>
      <c r="S165" s="53">
        <f>IFERROR(IF(INDEX('AC&amp;M'!$P$10:$P$14,MATCH($F165,'AC&amp;M'!$B$10:$B$14,0))="","Cell will autofill based on response",INDEX('AC&amp;M'!$P$10:$P$14,MATCH($F165,'AC&amp;M'!$B$10:$B$14,0))),"N/A")</f>
        <v/>
      </c>
      <c r="T165" s="53">
        <f>IFERROR(IF(INDEX('GCE'!$P$10:$P$12,MATCH($F165,'GCE'!$B$10:$B$12,0))="","Cell will autofill based on response",INDEX('GCE'!$P$10:$P$12,MATCH($F165,'GCE'!$B$10:$B$12,0))),"N/A")</f>
        <v/>
      </c>
      <c r="U165" s="53">
        <f>IFERROR(IF(INDEX('Education'!$P$10:$P$13,MATCH($F165,'Education'!$B$10:$B$13,0))="","Cell will autofill based on response",INDEX('Education'!$P$10:$P$13,MATCH($F165,'Education'!$B$10:$B$13,0))),"N/A")</f>
        <v/>
      </c>
      <c r="V165" s="53">
        <f>IFERROR(IF(INDEX('SaSS'!$P$10:$P$12,MATCH($F165,'SaSS'!$B$10:$B$12,0))="","Cell will autofill based on response",INDEX('SaSS'!$P$10:$P$12,MATCH($F165,'SaSS'!$B$10:$B$12,0))),"N/A")</f>
        <v/>
      </c>
      <c r="W165" s="53">
        <f>IFERROR(IF(INDEX('Indigenous'!$P$10:$P$11,MATCH($F165,'Indigenous'!$B$10:$B$11,0))="","Cell will autofill based on response",INDEX('Indigenous'!$P$10:$P$11,MATCH($F165,'Indigenous'!$B$10:$B$11,0))),"N/A")</f>
        <v/>
      </c>
      <c r="X165" s="53">
        <f>IFERROR(IF(INDEX('L&amp;R'!$P$10:$P$11,MATCH($F165,'L&amp;R'!$B$10:$B$11,0))="","Cell will autofill based on response",INDEX('L&amp;R'!$P$10:$P$11,MATCH($F165,'L&amp;R'!$B$10:$B$11,0))),"N/A")</f>
        <v/>
      </c>
    </row>
    <row r="166">
      <c r="A166">
        <f>F166&amp;"|"&amp;G166</f>
        <v/>
      </c>
      <c r="B166" s="13" t="inlineStr"/>
      <c r="C166" s="8" t="inlineStr"/>
      <c r="D166" s="8" t="inlineStr"/>
      <c r="E166" s="8" t="inlineStr"/>
      <c r="F166" s="8" t="inlineStr">
        <is>
          <t>AI1(a)</t>
        </is>
      </c>
      <c r="G166" s="8" t="inlineStr">
        <is>
          <t>Data owner confirms</t>
        </is>
      </c>
      <c r="H166" s="53">
        <f>IFERROR(IF(INDEX('Faculties'!$Q$10:$Q$19,MATCH($F166,'Faculties'!$B$10:$B$19,0))="","Cell will autofill based on response",INDEX('Faculties'!$Q$10:$Q$19,MATCH($F166,'Faculties'!$B$10:$B$19,0))),"N/A")</f>
        <v/>
      </c>
      <c r="I166" s="53">
        <f>IFERROR(IF(INDEX('Faculties'!$Q$26:$Q$35,MATCH($F166,'Faculties'!$B$26:$B$35,0))="","Cell will autofill based on response",INDEX('Faculties'!$Q$26:$Q$35,MATCH($F166,'Faculties'!$B$26:$B$35,0))),"N/A")</f>
        <v/>
      </c>
      <c r="J166" s="53">
        <f>IFERROR(IF(INDEX('Faculties'!$Q$42:$Q$51,MATCH($F166,'Faculties'!$B$42:$B$51,0))="","Cell will autofill based on response",INDEX('Faculties'!$Q$42:$Q$51,MATCH($F166,'Faculties'!$B$42:$B$51,0))),"N/A")</f>
        <v/>
      </c>
      <c r="K166" s="53">
        <f>IFERROR(IF(INDEX('Faculties'!$Q$58:$Q$67,MATCH($F166,'Faculties'!$B$58:$B$67,0))="","Cell will autofill based on response",INDEX('Faculties'!$Q$58:$Q$67,MATCH($F166,'Faculties'!$B$58:$B$67,0))),"N/A")</f>
        <v/>
      </c>
      <c r="L166" s="53">
        <f>IFERROR(IF(INDEX('CI&amp;S'!$Q$10:$Q$15,MATCH($F166,'CI&amp;S'!$B$10:$B$15,0))="","Cell will autofill based on response",INDEX('CI&amp;S'!$Q$10:$Q$15,MATCH($F166,'CI&amp;S'!$B$10:$B$15,0))),"N/A")</f>
        <v/>
      </c>
      <c r="M166" s="53">
        <f>IFERROR(IF(INDEX('CI&amp;S'!$Q$22:$Q$36,MATCH($F166,'CI&amp;S'!$B$22:$B$36,0))="","Cell will autofill based on response",INDEX('CI&amp;S'!$Q$22:$Q$36,MATCH($F166,'CI&amp;S'!$B$22:$B$36,0))),"N/A")</f>
        <v/>
      </c>
      <c r="N166" s="53">
        <f>IFERROR(IF(INDEX('CFOG'!$Q$10:$Q$16,MATCH($F166,'CFOG'!$B$10:$B$16,0))="","Cell will autofill based on response",INDEX('CFOG'!$Q$10:$Q$16,MATCH($F166,'CFOG'!$B$10:$B$16,0))),"N/A")</f>
        <v/>
      </c>
      <c r="O166" s="53">
        <f>IFERROR(IF(INDEX('CFOG'!$Q$23:$Q$24,MATCH($F166,'CFOG'!$B$23:$B$24,0))="","Cell will autofill based on response",INDEX('CFOG'!$Q$23:$Q$24,MATCH($F166,'CFOG'!$B$23:$B$24,0))),"N/A")</f>
        <v/>
      </c>
      <c r="P166" s="53">
        <f>IFERROR(IF(INDEX('ESG'!$Q$10:$Q$17,MATCH($F166,'ESG'!$B$10:$B$17,0))="","Cell will autofill based on response",INDEX('ESG'!$Q$10:$Q$17,MATCH($F166,'ESG'!$B$10:$B$17,0))),"N/A")</f>
        <v/>
      </c>
      <c r="Q166" s="53">
        <f>IFERROR(IF(INDEX('CIOG'!$Q$10:$Q$14,MATCH($F166,'CIOG'!$B$10:$B$14,0))="","Cell will autofill based on response",INDEX('CIOG'!$Q$10:$Q$14,MATCH($F166,'CIOG'!$B$10:$B$14,0))),"N/A")</f>
        <v/>
      </c>
      <c r="R166" s="53">
        <f>IFERROR(IF(INDEX('MRE'!$Q$10:$Q$18,MATCH($F166,'MRE'!$B$10:$B$18,0))="","Cell will autofill based on response",INDEX('MRE'!$Q$10:$Q$18,MATCH($F166,'MRE'!$B$10:$B$18,0))),"N/A")</f>
        <v/>
      </c>
      <c r="S166" s="53">
        <f>IFERROR(IF(INDEX('AC&amp;M'!$Q$10:$Q$14,MATCH($F166,'AC&amp;M'!$B$10:$B$14,0))="","Cell will autofill based on response",INDEX('AC&amp;M'!$Q$10:$Q$14,MATCH($F166,'AC&amp;M'!$B$10:$B$14,0))),"N/A")</f>
        <v/>
      </c>
      <c r="T166" s="53">
        <f>IFERROR(IF(INDEX('GCE'!$Q$10:$Q$12,MATCH($F166,'GCE'!$B$10:$B$12,0))="","Cell will autofill based on response",INDEX('GCE'!$Q$10:$Q$12,MATCH($F166,'GCE'!$B$10:$B$12,0))),"N/A")</f>
        <v/>
      </c>
      <c r="U166" s="53">
        <f>IFERROR(IF(INDEX('Education'!$Q$10:$Q$13,MATCH($F166,'Education'!$B$10:$B$13,0))="","Cell will autofill based on response",INDEX('Education'!$Q$10:$Q$13,MATCH($F166,'Education'!$B$10:$B$13,0))),"N/A")</f>
        <v/>
      </c>
      <c r="V166" s="53">
        <f>IFERROR(IF(INDEX('SaSS'!$Q$10:$Q$12,MATCH($F166,'SaSS'!$B$10:$B$12,0))="","Cell will autofill based on response",INDEX('SaSS'!$Q$10:$Q$12,MATCH($F166,'SaSS'!$B$10:$B$12,0))),"N/A")</f>
        <v/>
      </c>
      <c r="W166" s="53">
        <f>IFERROR(IF(INDEX('Indigenous'!$Q$10:$Q$11,MATCH($F166,'Indigenous'!$B$10:$B$11,0))="","Cell will autofill based on response",INDEX('Indigenous'!$Q$10:$Q$11,MATCH($F166,'Indigenous'!$B$10:$B$11,0))),"N/A")</f>
        <v/>
      </c>
      <c r="X166" s="53">
        <f>IFERROR(IF(INDEX('L&amp;R'!$Q$10:$Q$11,MATCH($F166,'L&amp;R'!$B$10:$B$11,0))="","Cell will autofill based on response",INDEX('L&amp;R'!$Q$10:$Q$11,MATCH($F166,'L&amp;R'!$B$10:$B$11,0))),"N/A")</f>
        <v/>
      </c>
    </row>
    <row r="167">
      <c r="A167">
        <f>F167&amp;"|"&amp;G167</f>
        <v/>
      </c>
      <c r="B167" s="7" t="inlineStr">
        <is>
          <t>AI1(b)</t>
        </is>
      </c>
      <c r="C167" s="51" t="inlineStr">
        <is>
          <t>Responsible AI</t>
        </is>
      </c>
      <c r="D167" s="51" t="inlineStr">
        <is>
          <t>Case studies of sustainability and AI-related education, research and collaboration activities.</t>
        </is>
      </c>
      <c r="E167" s="51" t="inlineStr">
        <is>
          <t>Please provide case studies from your Faculty/Portfolio of sustainability and AI-related education, research or collaboration activities, describing the activity, participants or partners, sustainability issue addressed and key outcomes or lessons.</t>
        </is>
      </c>
      <c r="F167" s="51" t="inlineStr">
        <is>
          <t>AI1(b)</t>
        </is>
      </c>
      <c r="G167" s="51" t="inlineStr">
        <is>
          <t>Confirm end-2026 target status</t>
        </is>
      </c>
      <c r="H167" s="53">
        <f>IFERROR(IF(INDEX('Faculties'!$L$10:$L$19,MATCH($F167,'Faculties'!$B$10:$B$19,0))="","Cell will autofill based on response",INDEX('Faculties'!$L$10:$L$19,MATCH($F167,'Faculties'!$B$10:$B$19,0))),"N/A")</f>
        <v/>
      </c>
      <c r="I167" s="53">
        <f>IFERROR(IF(INDEX('Faculties'!$L$26:$L$35,MATCH($F167,'Faculties'!$B$26:$B$35,0))="","Cell will autofill based on response",INDEX('Faculties'!$L$26:$L$35,MATCH($F167,'Faculties'!$B$26:$B$35,0))),"N/A")</f>
        <v/>
      </c>
      <c r="J167" s="53">
        <f>IFERROR(IF(INDEX('Faculties'!$L$42:$L$51,MATCH($F167,'Faculties'!$B$42:$B$51,0))="","Cell will autofill based on response",INDEX('Faculties'!$L$42:$L$51,MATCH($F167,'Faculties'!$B$42:$B$51,0))),"N/A")</f>
        <v/>
      </c>
      <c r="K167" s="53">
        <f>IFERROR(IF(INDEX('Faculties'!$L$58:$L$67,MATCH($F167,'Faculties'!$B$58:$B$67,0))="","Cell will autofill based on response",INDEX('Faculties'!$L$58:$L$67,MATCH($F167,'Faculties'!$B$58:$B$67,0))),"N/A")</f>
        <v/>
      </c>
      <c r="L167" s="53">
        <f>IFERROR(IF(INDEX('CI&amp;S'!$L$10:$L$15,MATCH($F167,'CI&amp;S'!$B$10:$B$15,0))="","Cell will autofill based on response",INDEX('CI&amp;S'!$L$10:$L$15,MATCH($F167,'CI&amp;S'!$B$10:$B$15,0))),"N/A")</f>
        <v/>
      </c>
      <c r="M167" s="53">
        <f>IFERROR(IF(INDEX('CI&amp;S'!$L$22:$L$36,MATCH($F167,'CI&amp;S'!$B$22:$B$36,0))="","Cell will autofill based on response",INDEX('CI&amp;S'!$L$22:$L$36,MATCH($F167,'CI&amp;S'!$B$22:$B$36,0))),"N/A")</f>
        <v/>
      </c>
      <c r="N167" s="53">
        <f>IFERROR(IF(INDEX('CFOG'!$L$10:$L$16,MATCH($F167,'CFOG'!$B$10:$B$16,0))="","Cell will autofill based on response",INDEX('CFOG'!$L$10:$L$16,MATCH($F167,'CFOG'!$B$10:$B$16,0))),"N/A")</f>
        <v/>
      </c>
      <c r="O167" s="53">
        <f>IFERROR(IF(INDEX('CFOG'!$L$23:$L$24,MATCH($F167,'CFOG'!$B$23:$B$24,0))="","Cell will autofill based on response",INDEX('CFOG'!$L$23:$L$24,MATCH($F167,'CFOG'!$B$23:$B$24,0))),"N/A")</f>
        <v/>
      </c>
      <c r="P167" s="53">
        <f>IFERROR(IF(INDEX('ESG'!$L$10:$L$17,MATCH($F167,'ESG'!$B$10:$B$17,0))="","Cell will autofill based on response",INDEX('ESG'!$L$10:$L$17,MATCH($F167,'ESG'!$B$10:$B$17,0))),"N/A")</f>
        <v/>
      </c>
      <c r="Q167" s="53">
        <f>IFERROR(IF(INDEX('CIOG'!$L$10:$L$14,MATCH($F167,'CIOG'!$B$10:$B$14,0))="","Cell will autofill based on response",INDEX('CIOG'!$L$10:$L$14,MATCH($F167,'CIOG'!$B$10:$B$14,0))),"N/A")</f>
        <v/>
      </c>
      <c r="R167" s="53">
        <f>IFERROR(IF(INDEX('MRE'!$L$10:$L$18,MATCH($F167,'MRE'!$B$10:$B$18,0))="","Cell will autofill based on response",INDEX('MRE'!$L$10:$L$18,MATCH($F167,'MRE'!$B$10:$B$18,0))),"N/A")</f>
        <v/>
      </c>
      <c r="S167" s="53">
        <f>IFERROR(IF(INDEX('AC&amp;M'!$L$10:$L$14,MATCH($F167,'AC&amp;M'!$B$10:$B$14,0))="","Cell will autofill based on response",INDEX('AC&amp;M'!$L$10:$L$14,MATCH($F167,'AC&amp;M'!$B$10:$B$14,0))),"N/A")</f>
        <v/>
      </c>
      <c r="T167" s="53">
        <f>IFERROR(IF(INDEX('GCE'!$L$10:$L$12,MATCH($F167,'GCE'!$B$10:$B$12,0))="","Cell will autofill based on response",INDEX('GCE'!$L$10:$L$12,MATCH($F167,'GCE'!$B$10:$B$12,0))),"N/A")</f>
        <v/>
      </c>
      <c r="U167" s="53">
        <f>IFERROR(IF(INDEX('Education'!$L$10:$L$13,MATCH($F167,'Education'!$B$10:$B$13,0))="","Cell will autofill based on response",INDEX('Education'!$L$10:$L$13,MATCH($F167,'Education'!$B$10:$B$13,0))),"N/A")</f>
        <v/>
      </c>
      <c r="V167" s="53">
        <f>IFERROR(IF(INDEX('SaSS'!$L$10:$L$12,MATCH($F167,'SaSS'!$B$10:$B$12,0))="","Cell will autofill based on response",INDEX('SaSS'!$L$10:$L$12,MATCH($F167,'SaSS'!$B$10:$B$12,0))),"N/A")</f>
        <v/>
      </c>
      <c r="W167" s="53">
        <f>IFERROR(IF(INDEX('Indigenous'!$L$10:$L$11,MATCH($F167,'Indigenous'!$B$10:$B$11,0))="","Cell will autofill based on response",INDEX('Indigenous'!$L$10:$L$11,MATCH($F167,'Indigenous'!$B$10:$B$11,0))),"N/A")</f>
        <v/>
      </c>
      <c r="X167" s="53">
        <f>IFERROR(IF(INDEX('L&amp;R'!$L$10:$L$11,MATCH($F167,'L&amp;R'!$B$10:$B$11,0))="","Cell will autofill based on response",INDEX('L&amp;R'!$L$10:$L$11,MATCH($F167,'L&amp;R'!$B$10:$B$11,0))),"N/A")</f>
        <v/>
      </c>
      <c r="Z167" s="10">
        <f>COUNTIF($H167:$X167,"Cell will autofill based on response")</f>
        <v/>
      </c>
      <c r="AA167" s="10">
        <f>COUNTIF($H167:$X167,"Not yet started")</f>
        <v/>
      </c>
      <c r="AB167" s="10">
        <f>COUNTIF($H167:$X167,"Not met")</f>
        <v/>
      </c>
      <c r="AC167" s="10">
        <f>COUNTIF($H167:$X167,"Partially met")</f>
        <v/>
      </c>
      <c r="AD167" s="10">
        <f>COUNTIF($H167:$X167,"Met or exceeded")</f>
        <v/>
      </c>
      <c r="AE167" s="10">
        <f>3*AD167+2*AC167+AB167</f>
        <v/>
      </c>
      <c r="AF167" s="10">
        <f>AD167+AC167+AB167+AA167</f>
        <v/>
      </c>
      <c r="AG167" s="54">
        <f>IF(AF167&gt;0,AE167/AF167,"No valid responses to date")</f>
        <v/>
      </c>
      <c r="AH167" s="10">
        <f>IF(ISNUMBER(AG167),INDEX(Lists!$G$2:$G$5,MATCH(ROUND(AG167,0),Lists!$H$2:$H$5,0)),"")</f>
        <v/>
      </c>
      <c r="AI167" s="55">
        <f>IF(AF167&gt;0,AD167/AF167,"")</f>
        <v/>
      </c>
      <c r="AJ167" s="55">
        <f>IF(AF167&gt;0,(AD167+AC167)/AF167,"")</f>
        <v/>
      </c>
      <c r="AK167" s="10">
        <f>IF(AF167=0,"",IF(AI167&gt;0.75,"Met or exceeded",IF(AJ167&gt;=0.5,"Partially met","Not met")))</f>
        <v/>
      </c>
    </row>
    <row r="168">
      <c r="A168">
        <f>F168&amp;"|"&amp;G168</f>
        <v/>
      </c>
      <c r="B168" s="13" t="inlineStr"/>
      <c r="C168" s="8" t="inlineStr"/>
      <c r="D168" s="8" t="inlineStr"/>
      <c r="E168" s="8" t="inlineStr"/>
      <c r="F168" s="8" t="inlineStr">
        <is>
          <t>AI1(b)</t>
        </is>
      </c>
      <c r="G168" s="8" t="inlineStr">
        <is>
          <t>OPTION 1:  Target-level reporting</t>
        </is>
      </c>
      <c r="H168" s="53">
        <f>IFERROR(IF(INDEX('Faculties'!$M$10:$M$19,MATCH($F168,'Faculties'!$B$10:$B$19,0))="","Cell will autofill based on response",INDEX('Faculties'!$M$10:$M$19,MATCH($F168,'Faculties'!$B$10:$B$19,0))),"N/A")</f>
        <v/>
      </c>
      <c r="I168" s="53">
        <f>IFERROR(IF(INDEX('Faculties'!$M$26:$M$35,MATCH($F168,'Faculties'!$B$26:$B$35,0))="","Cell will autofill based on response",INDEX('Faculties'!$M$26:$M$35,MATCH($F168,'Faculties'!$B$26:$B$35,0))),"N/A")</f>
        <v/>
      </c>
      <c r="J168" s="53">
        <f>IFERROR(IF(INDEX('Faculties'!$M$42:$M$51,MATCH($F168,'Faculties'!$B$42:$B$51,0))="","Cell will autofill based on response",INDEX('Faculties'!$M$42:$M$51,MATCH($F168,'Faculties'!$B$42:$B$51,0))),"N/A")</f>
        <v/>
      </c>
      <c r="K168" s="53">
        <f>IFERROR(IF(INDEX('Faculties'!$M$58:$M$67,MATCH($F168,'Faculties'!$B$58:$B$67,0))="","Cell will autofill based on response",INDEX('Faculties'!$M$58:$M$67,MATCH($F168,'Faculties'!$B$58:$B$67,0))),"N/A")</f>
        <v/>
      </c>
      <c r="L168" s="53">
        <f>IFERROR(IF(INDEX('CI&amp;S'!$M$10:$M$15,MATCH($F168,'CI&amp;S'!$B$10:$B$15,0))="","Cell will autofill based on response",INDEX('CI&amp;S'!$M$10:$M$15,MATCH($F168,'CI&amp;S'!$B$10:$B$15,0))),"N/A")</f>
        <v/>
      </c>
      <c r="M168" s="53">
        <f>IFERROR(IF(INDEX('CI&amp;S'!$M$22:$M$36,MATCH($F168,'CI&amp;S'!$B$22:$B$36,0))="","Cell will autofill based on response",INDEX('CI&amp;S'!$M$22:$M$36,MATCH($F168,'CI&amp;S'!$B$22:$B$36,0))),"N/A")</f>
        <v/>
      </c>
      <c r="N168" s="53">
        <f>IFERROR(IF(INDEX('CFOG'!$M$10:$M$16,MATCH($F168,'CFOG'!$B$10:$B$16,0))="","Cell will autofill based on response",INDEX('CFOG'!$M$10:$M$16,MATCH($F168,'CFOG'!$B$10:$B$16,0))),"N/A")</f>
        <v/>
      </c>
      <c r="O168" s="53">
        <f>IFERROR(IF(INDEX('CFOG'!$M$23:$M$24,MATCH($F168,'CFOG'!$B$23:$B$24,0))="","Cell will autofill based on response",INDEX('CFOG'!$M$23:$M$24,MATCH($F168,'CFOG'!$B$23:$B$24,0))),"N/A")</f>
        <v/>
      </c>
      <c r="P168" s="53">
        <f>IFERROR(IF(INDEX('ESG'!$M$10:$M$17,MATCH($F168,'ESG'!$B$10:$B$17,0))="","Cell will autofill based on response",INDEX('ESG'!$M$10:$M$17,MATCH($F168,'ESG'!$B$10:$B$17,0))),"N/A")</f>
        <v/>
      </c>
      <c r="Q168" s="53">
        <f>IFERROR(IF(INDEX('CIOG'!$M$10:$M$14,MATCH($F168,'CIOG'!$B$10:$B$14,0))="","Cell will autofill based on response",INDEX('CIOG'!$M$10:$M$14,MATCH($F168,'CIOG'!$B$10:$B$14,0))),"N/A")</f>
        <v/>
      </c>
      <c r="R168" s="53">
        <f>IFERROR(IF(INDEX('MRE'!$M$10:$M$18,MATCH($F168,'MRE'!$B$10:$B$18,0))="","Cell will autofill based on response",INDEX('MRE'!$M$10:$M$18,MATCH($F168,'MRE'!$B$10:$B$18,0))),"N/A")</f>
        <v/>
      </c>
      <c r="S168" s="53">
        <f>IFERROR(IF(INDEX('AC&amp;M'!$M$10:$M$14,MATCH($F168,'AC&amp;M'!$B$10:$B$14,0))="","Cell will autofill based on response",INDEX('AC&amp;M'!$M$10:$M$14,MATCH($F168,'AC&amp;M'!$B$10:$B$14,0))),"N/A")</f>
        <v/>
      </c>
      <c r="T168" s="53">
        <f>IFERROR(IF(INDEX('GCE'!$M$10:$M$12,MATCH($F168,'GCE'!$B$10:$B$12,0))="","Cell will autofill based on response",INDEX('GCE'!$M$10:$M$12,MATCH($F168,'GCE'!$B$10:$B$12,0))),"N/A")</f>
        <v/>
      </c>
      <c r="U168" s="53">
        <f>IFERROR(IF(INDEX('Education'!$M$10:$M$13,MATCH($F168,'Education'!$B$10:$B$13,0))="","Cell will autofill based on response",INDEX('Education'!$M$10:$M$13,MATCH($F168,'Education'!$B$10:$B$13,0))),"N/A")</f>
        <v/>
      </c>
      <c r="V168" s="53">
        <f>IFERROR(IF(INDEX('SaSS'!$M$10:$M$12,MATCH($F168,'SaSS'!$B$10:$B$12,0))="","Cell will autofill based on response",INDEX('SaSS'!$M$10:$M$12,MATCH($F168,'SaSS'!$B$10:$B$12,0))),"N/A")</f>
        <v/>
      </c>
      <c r="W168" s="53">
        <f>IFERROR(IF(INDEX('Indigenous'!$M$10:$M$11,MATCH($F168,'Indigenous'!$B$10:$B$11,0))="","Cell will autofill based on response",INDEX('Indigenous'!$M$10:$M$11,MATCH($F168,'Indigenous'!$B$10:$B$11,0))),"N/A")</f>
        <v/>
      </c>
      <c r="X168" s="53">
        <f>IFERROR(IF(INDEX('L&amp;R'!$M$10:$M$11,MATCH($F168,'L&amp;R'!$B$10:$B$11,0))="","Cell will autofill based on response",INDEX('L&amp;R'!$M$10:$M$11,MATCH($F168,'L&amp;R'!$B$10:$B$11,0))),"N/A")</f>
        <v/>
      </c>
    </row>
    <row r="169">
      <c r="A169">
        <f>F169&amp;"|"&amp;G169</f>
        <v/>
      </c>
      <c r="B169" s="13" t="inlineStr"/>
      <c r="C169" s="8" t="inlineStr"/>
      <c r="D169" s="8" t="inlineStr"/>
      <c r="E169" s="8" t="inlineStr"/>
      <c r="F169" s="8" t="inlineStr">
        <is>
          <t>AI1(b)</t>
        </is>
      </c>
      <c r="G169" s="8" t="inlineStr">
        <is>
          <t>OPTION 2:  Indicator level reporting</t>
        </is>
      </c>
      <c r="H169" s="53">
        <f>IFERROR(IF(INDEX('Faculties'!$N$10:$N$19,MATCH($F169,'Faculties'!$B$10:$B$19,0))="","Cell will autofill based on response",INDEX('Faculties'!$N$10:$N$19,MATCH($F169,'Faculties'!$B$10:$B$19,0))),"N/A")</f>
        <v/>
      </c>
      <c r="I169" s="53">
        <f>IFERROR(IF(INDEX('Faculties'!$N$26:$N$35,MATCH($F169,'Faculties'!$B$26:$B$35,0))="","Cell will autofill based on response",INDEX('Faculties'!$N$26:$N$35,MATCH($F169,'Faculties'!$B$26:$B$35,0))),"N/A")</f>
        <v/>
      </c>
      <c r="J169" s="53">
        <f>IFERROR(IF(INDEX('Faculties'!$N$42:$N$51,MATCH($F169,'Faculties'!$B$42:$B$51,0))="","Cell will autofill based on response",INDEX('Faculties'!$N$42:$N$51,MATCH($F169,'Faculties'!$B$42:$B$51,0))),"N/A")</f>
        <v/>
      </c>
      <c r="K169" s="53">
        <f>IFERROR(IF(INDEX('Faculties'!$N$58:$N$67,MATCH($F169,'Faculties'!$B$58:$B$67,0))="","Cell will autofill based on response",INDEX('Faculties'!$N$58:$N$67,MATCH($F169,'Faculties'!$B$58:$B$67,0))),"N/A")</f>
        <v/>
      </c>
      <c r="L169" s="53">
        <f>IFERROR(IF(INDEX('CI&amp;S'!$N$10:$N$15,MATCH($F169,'CI&amp;S'!$B$10:$B$15,0))="","Cell will autofill based on response",INDEX('CI&amp;S'!$N$10:$N$15,MATCH($F169,'CI&amp;S'!$B$10:$B$15,0))),"N/A")</f>
        <v/>
      </c>
      <c r="M169" s="53">
        <f>IFERROR(IF(INDEX('CI&amp;S'!$N$22:$N$36,MATCH($F169,'CI&amp;S'!$B$22:$B$36,0))="","Cell will autofill based on response",INDEX('CI&amp;S'!$N$22:$N$36,MATCH($F169,'CI&amp;S'!$B$22:$B$36,0))),"N/A")</f>
        <v/>
      </c>
      <c r="N169" s="53">
        <f>IFERROR(IF(INDEX('CFOG'!$N$10:$N$16,MATCH($F169,'CFOG'!$B$10:$B$16,0))="","Cell will autofill based on response",INDEX('CFOG'!$N$10:$N$16,MATCH($F169,'CFOG'!$B$10:$B$16,0))),"N/A")</f>
        <v/>
      </c>
      <c r="O169" s="53">
        <f>IFERROR(IF(INDEX('CFOG'!$N$23:$N$24,MATCH($F169,'CFOG'!$B$23:$B$24,0))="","Cell will autofill based on response",INDEX('CFOG'!$N$23:$N$24,MATCH($F169,'CFOG'!$B$23:$B$24,0))),"N/A")</f>
        <v/>
      </c>
      <c r="P169" s="53">
        <f>IFERROR(IF(INDEX('ESG'!$N$10:$N$17,MATCH($F169,'ESG'!$B$10:$B$17,0))="","Cell will autofill based on response",INDEX('ESG'!$N$10:$N$17,MATCH($F169,'ESG'!$B$10:$B$17,0))),"N/A")</f>
        <v/>
      </c>
      <c r="Q169" s="53">
        <f>IFERROR(IF(INDEX('CIOG'!$N$10:$N$14,MATCH($F169,'CIOG'!$B$10:$B$14,0))="","Cell will autofill based on response",INDEX('CIOG'!$N$10:$N$14,MATCH($F169,'CIOG'!$B$10:$B$14,0))),"N/A")</f>
        <v/>
      </c>
      <c r="R169" s="53">
        <f>IFERROR(IF(INDEX('MRE'!$N$10:$N$18,MATCH($F169,'MRE'!$B$10:$B$18,0))="","Cell will autofill based on response",INDEX('MRE'!$N$10:$N$18,MATCH($F169,'MRE'!$B$10:$B$18,0))),"N/A")</f>
        <v/>
      </c>
      <c r="S169" s="53">
        <f>IFERROR(IF(INDEX('AC&amp;M'!$N$10:$N$14,MATCH($F169,'AC&amp;M'!$B$10:$B$14,0))="","Cell will autofill based on response",INDEX('AC&amp;M'!$N$10:$N$14,MATCH($F169,'AC&amp;M'!$B$10:$B$14,0))),"N/A")</f>
        <v/>
      </c>
      <c r="T169" s="53">
        <f>IFERROR(IF(INDEX('GCE'!$N$10:$N$12,MATCH($F169,'GCE'!$B$10:$B$12,0))="","Cell will autofill based on response",INDEX('GCE'!$N$10:$N$12,MATCH($F169,'GCE'!$B$10:$B$12,0))),"N/A")</f>
        <v/>
      </c>
      <c r="U169" s="53">
        <f>IFERROR(IF(INDEX('Education'!$N$10:$N$13,MATCH($F169,'Education'!$B$10:$B$13,0))="","Cell will autofill based on response",INDEX('Education'!$N$10:$N$13,MATCH($F169,'Education'!$B$10:$B$13,0))),"N/A")</f>
        <v/>
      </c>
      <c r="V169" s="53">
        <f>IFERROR(IF(INDEX('SaSS'!$N$10:$N$12,MATCH($F169,'SaSS'!$B$10:$B$12,0))="","Cell will autofill based on response",INDEX('SaSS'!$N$10:$N$12,MATCH($F169,'SaSS'!$B$10:$B$12,0))),"N/A")</f>
        <v/>
      </c>
      <c r="W169" s="53">
        <f>IFERROR(IF(INDEX('Indigenous'!$N$10:$N$11,MATCH($F169,'Indigenous'!$B$10:$B$11,0))="","Cell will autofill based on response",INDEX('Indigenous'!$N$10:$N$11,MATCH($F169,'Indigenous'!$B$10:$B$11,0))),"N/A")</f>
        <v/>
      </c>
      <c r="X169" s="53">
        <f>IFERROR(IF(INDEX('L&amp;R'!$N$10:$N$11,MATCH($F169,'L&amp;R'!$B$10:$B$11,0))="","Cell will autofill based on response",INDEX('L&amp;R'!$N$10:$N$11,MATCH($F169,'L&amp;R'!$B$10:$B$11,0))),"N/A")</f>
        <v/>
      </c>
    </row>
    <row r="170">
      <c r="A170">
        <f>F170&amp;"|"&amp;G170</f>
        <v/>
      </c>
      <c r="B170" s="13" t="inlineStr"/>
      <c r="C170" s="8" t="inlineStr"/>
      <c r="D170" s="8" t="inlineStr"/>
      <c r="E170" s="8" t="inlineStr"/>
      <c r="F170" s="8" t="inlineStr">
        <is>
          <t>AI1(b)</t>
        </is>
      </c>
      <c r="G170" s="8" t="inlineStr">
        <is>
          <t>Supporting information/comments</t>
        </is>
      </c>
      <c r="H170" s="53">
        <f>IFERROR(IF(INDEX('Faculties'!$O$10:$O$19,MATCH($F170,'Faculties'!$B$10:$B$19,0))="","Cell will autofill based on response",INDEX('Faculties'!$O$10:$O$19,MATCH($F170,'Faculties'!$B$10:$B$19,0))),"N/A")</f>
        <v/>
      </c>
      <c r="I170" s="53">
        <f>IFERROR(IF(INDEX('Faculties'!$O$26:$O$35,MATCH($F170,'Faculties'!$B$26:$B$35,0))="","Cell will autofill based on response",INDEX('Faculties'!$O$26:$O$35,MATCH($F170,'Faculties'!$B$26:$B$35,0))),"N/A")</f>
        <v/>
      </c>
      <c r="J170" s="53">
        <f>IFERROR(IF(INDEX('Faculties'!$O$42:$O$51,MATCH($F170,'Faculties'!$B$42:$B$51,0))="","Cell will autofill based on response",INDEX('Faculties'!$O$42:$O$51,MATCH($F170,'Faculties'!$B$42:$B$51,0))),"N/A")</f>
        <v/>
      </c>
      <c r="K170" s="53">
        <f>IFERROR(IF(INDEX('Faculties'!$O$58:$O$67,MATCH($F170,'Faculties'!$B$58:$B$67,0))="","Cell will autofill based on response",INDEX('Faculties'!$O$58:$O$67,MATCH($F170,'Faculties'!$B$58:$B$67,0))),"N/A")</f>
        <v/>
      </c>
      <c r="L170" s="53">
        <f>IFERROR(IF(INDEX('CI&amp;S'!$O$10:$O$15,MATCH($F170,'CI&amp;S'!$B$10:$B$15,0))="","Cell will autofill based on response",INDEX('CI&amp;S'!$O$10:$O$15,MATCH($F170,'CI&amp;S'!$B$10:$B$15,0))),"N/A")</f>
        <v/>
      </c>
      <c r="M170" s="53">
        <f>IFERROR(IF(INDEX('CI&amp;S'!$O$22:$O$36,MATCH($F170,'CI&amp;S'!$B$22:$B$36,0))="","Cell will autofill based on response",INDEX('CI&amp;S'!$O$22:$O$36,MATCH($F170,'CI&amp;S'!$B$22:$B$36,0))),"N/A")</f>
        <v/>
      </c>
      <c r="N170" s="53">
        <f>IFERROR(IF(INDEX('CFOG'!$O$10:$O$16,MATCH($F170,'CFOG'!$B$10:$B$16,0))="","Cell will autofill based on response",INDEX('CFOG'!$O$10:$O$16,MATCH($F170,'CFOG'!$B$10:$B$16,0))),"N/A")</f>
        <v/>
      </c>
      <c r="O170" s="53">
        <f>IFERROR(IF(INDEX('CFOG'!$O$23:$O$24,MATCH($F170,'CFOG'!$B$23:$B$24,0))="","Cell will autofill based on response",INDEX('CFOG'!$O$23:$O$24,MATCH($F170,'CFOG'!$B$23:$B$24,0))),"N/A")</f>
        <v/>
      </c>
      <c r="P170" s="53">
        <f>IFERROR(IF(INDEX('ESG'!$O$10:$O$17,MATCH($F170,'ESG'!$B$10:$B$17,0))="","Cell will autofill based on response",INDEX('ESG'!$O$10:$O$17,MATCH($F170,'ESG'!$B$10:$B$17,0))),"N/A")</f>
        <v/>
      </c>
      <c r="Q170" s="53">
        <f>IFERROR(IF(INDEX('CIOG'!$O$10:$O$14,MATCH($F170,'CIOG'!$B$10:$B$14,0))="","Cell will autofill based on response",INDEX('CIOG'!$O$10:$O$14,MATCH($F170,'CIOG'!$B$10:$B$14,0))),"N/A")</f>
        <v/>
      </c>
      <c r="R170" s="53">
        <f>IFERROR(IF(INDEX('MRE'!$O$10:$O$18,MATCH($F170,'MRE'!$B$10:$B$18,0))="","Cell will autofill based on response",INDEX('MRE'!$O$10:$O$18,MATCH($F170,'MRE'!$B$10:$B$18,0))),"N/A")</f>
        <v/>
      </c>
      <c r="S170" s="53">
        <f>IFERROR(IF(INDEX('AC&amp;M'!$O$10:$O$14,MATCH($F170,'AC&amp;M'!$B$10:$B$14,0))="","Cell will autofill based on response",INDEX('AC&amp;M'!$O$10:$O$14,MATCH($F170,'AC&amp;M'!$B$10:$B$14,0))),"N/A")</f>
        <v/>
      </c>
      <c r="T170" s="53">
        <f>IFERROR(IF(INDEX('GCE'!$O$10:$O$12,MATCH($F170,'GCE'!$B$10:$B$12,0))="","Cell will autofill based on response",INDEX('GCE'!$O$10:$O$12,MATCH($F170,'GCE'!$B$10:$B$12,0))),"N/A")</f>
        <v/>
      </c>
      <c r="U170" s="53">
        <f>IFERROR(IF(INDEX('Education'!$O$10:$O$13,MATCH($F170,'Education'!$B$10:$B$13,0))="","Cell will autofill based on response",INDEX('Education'!$O$10:$O$13,MATCH($F170,'Education'!$B$10:$B$13,0))),"N/A")</f>
        <v/>
      </c>
      <c r="V170" s="53">
        <f>IFERROR(IF(INDEX('SaSS'!$O$10:$O$12,MATCH($F170,'SaSS'!$B$10:$B$12,0))="","Cell will autofill based on response",INDEX('SaSS'!$O$10:$O$12,MATCH($F170,'SaSS'!$B$10:$B$12,0))),"N/A")</f>
        <v/>
      </c>
      <c r="W170" s="53">
        <f>IFERROR(IF(INDEX('Indigenous'!$O$10:$O$11,MATCH($F170,'Indigenous'!$B$10:$B$11,0))="","Cell will autofill based on response",INDEX('Indigenous'!$O$10:$O$11,MATCH($F170,'Indigenous'!$B$10:$B$11,0))),"N/A")</f>
        <v/>
      </c>
      <c r="X170" s="53">
        <f>IFERROR(IF(INDEX('L&amp;R'!$O$10:$O$11,MATCH($F170,'L&amp;R'!$B$10:$B$11,0))="","Cell will autofill based on response",INDEX('L&amp;R'!$O$10:$O$11,MATCH($F170,'L&amp;R'!$B$10:$B$11,0))),"N/A")</f>
        <v/>
      </c>
    </row>
    <row r="171">
      <c r="A171">
        <f>F171&amp;"|"&amp;G171</f>
        <v/>
      </c>
      <c r="B171" s="13" t="inlineStr"/>
      <c r="C171" s="8" t="inlineStr"/>
      <c r="D171" s="8" t="inlineStr"/>
      <c r="E171" s="8" t="inlineStr"/>
      <c r="F171" s="8" t="inlineStr">
        <is>
          <t>AI1(b)</t>
        </is>
      </c>
      <c r="G171" s="8" t="inlineStr">
        <is>
          <t>Data source and limitations</t>
        </is>
      </c>
      <c r="H171" s="53">
        <f>IFERROR(IF(INDEX('Faculties'!$P$10:$P$19,MATCH($F171,'Faculties'!$B$10:$B$19,0))="","Cell will autofill based on response",INDEX('Faculties'!$P$10:$P$19,MATCH($F171,'Faculties'!$B$10:$B$19,0))),"N/A")</f>
        <v/>
      </c>
      <c r="I171" s="53">
        <f>IFERROR(IF(INDEX('Faculties'!$P$26:$P$35,MATCH($F171,'Faculties'!$B$26:$B$35,0))="","Cell will autofill based on response",INDEX('Faculties'!$P$26:$P$35,MATCH($F171,'Faculties'!$B$26:$B$35,0))),"N/A")</f>
        <v/>
      </c>
      <c r="J171" s="53">
        <f>IFERROR(IF(INDEX('Faculties'!$P$42:$P$51,MATCH($F171,'Faculties'!$B$42:$B$51,0))="","Cell will autofill based on response",INDEX('Faculties'!$P$42:$P$51,MATCH($F171,'Faculties'!$B$42:$B$51,0))),"N/A")</f>
        <v/>
      </c>
      <c r="K171" s="53">
        <f>IFERROR(IF(INDEX('Faculties'!$P$58:$P$67,MATCH($F171,'Faculties'!$B$58:$B$67,0))="","Cell will autofill based on response",INDEX('Faculties'!$P$58:$P$67,MATCH($F171,'Faculties'!$B$58:$B$67,0))),"N/A")</f>
        <v/>
      </c>
      <c r="L171" s="53">
        <f>IFERROR(IF(INDEX('CI&amp;S'!$P$10:$P$15,MATCH($F171,'CI&amp;S'!$B$10:$B$15,0))="","Cell will autofill based on response",INDEX('CI&amp;S'!$P$10:$P$15,MATCH($F171,'CI&amp;S'!$B$10:$B$15,0))),"N/A")</f>
        <v/>
      </c>
      <c r="M171" s="53">
        <f>IFERROR(IF(INDEX('CI&amp;S'!$P$22:$P$36,MATCH($F171,'CI&amp;S'!$B$22:$B$36,0))="","Cell will autofill based on response",INDEX('CI&amp;S'!$P$22:$P$36,MATCH($F171,'CI&amp;S'!$B$22:$B$36,0))),"N/A")</f>
        <v/>
      </c>
      <c r="N171" s="53">
        <f>IFERROR(IF(INDEX('CFOG'!$P$10:$P$16,MATCH($F171,'CFOG'!$B$10:$B$16,0))="","Cell will autofill based on response",INDEX('CFOG'!$P$10:$P$16,MATCH($F171,'CFOG'!$B$10:$B$16,0))),"N/A")</f>
        <v/>
      </c>
      <c r="O171" s="53">
        <f>IFERROR(IF(INDEX('CFOG'!$P$23:$P$24,MATCH($F171,'CFOG'!$B$23:$B$24,0))="","Cell will autofill based on response",INDEX('CFOG'!$P$23:$P$24,MATCH($F171,'CFOG'!$B$23:$B$24,0))),"N/A")</f>
        <v/>
      </c>
      <c r="P171" s="53">
        <f>IFERROR(IF(INDEX('ESG'!$P$10:$P$17,MATCH($F171,'ESG'!$B$10:$B$17,0))="","Cell will autofill based on response",INDEX('ESG'!$P$10:$P$17,MATCH($F171,'ESG'!$B$10:$B$17,0))),"N/A")</f>
        <v/>
      </c>
      <c r="Q171" s="53">
        <f>IFERROR(IF(INDEX('CIOG'!$P$10:$P$14,MATCH($F171,'CIOG'!$B$10:$B$14,0))="","Cell will autofill based on response",INDEX('CIOG'!$P$10:$P$14,MATCH($F171,'CIOG'!$B$10:$B$14,0))),"N/A")</f>
        <v/>
      </c>
      <c r="R171" s="53">
        <f>IFERROR(IF(INDEX('MRE'!$P$10:$P$18,MATCH($F171,'MRE'!$B$10:$B$18,0))="","Cell will autofill based on response",INDEX('MRE'!$P$10:$P$18,MATCH($F171,'MRE'!$B$10:$B$18,0))),"N/A")</f>
        <v/>
      </c>
      <c r="S171" s="53">
        <f>IFERROR(IF(INDEX('AC&amp;M'!$P$10:$P$14,MATCH($F171,'AC&amp;M'!$B$10:$B$14,0))="","Cell will autofill based on response",INDEX('AC&amp;M'!$P$10:$P$14,MATCH($F171,'AC&amp;M'!$B$10:$B$14,0))),"N/A")</f>
        <v/>
      </c>
      <c r="T171" s="53">
        <f>IFERROR(IF(INDEX('GCE'!$P$10:$P$12,MATCH($F171,'GCE'!$B$10:$B$12,0))="","Cell will autofill based on response",INDEX('GCE'!$P$10:$P$12,MATCH($F171,'GCE'!$B$10:$B$12,0))),"N/A")</f>
        <v/>
      </c>
      <c r="U171" s="53">
        <f>IFERROR(IF(INDEX('Education'!$P$10:$P$13,MATCH($F171,'Education'!$B$10:$B$13,0))="","Cell will autofill based on response",INDEX('Education'!$P$10:$P$13,MATCH($F171,'Education'!$B$10:$B$13,0))),"N/A")</f>
        <v/>
      </c>
      <c r="V171" s="53">
        <f>IFERROR(IF(INDEX('SaSS'!$P$10:$P$12,MATCH($F171,'SaSS'!$B$10:$B$12,0))="","Cell will autofill based on response",INDEX('SaSS'!$P$10:$P$12,MATCH($F171,'SaSS'!$B$10:$B$12,0))),"N/A")</f>
        <v/>
      </c>
      <c r="W171" s="53">
        <f>IFERROR(IF(INDEX('Indigenous'!$P$10:$P$11,MATCH($F171,'Indigenous'!$B$10:$B$11,0))="","Cell will autofill based on response",INDEX('Indigenous'!$P$10:$P$11,MATCH($F171,'Indigenous'!$B$10:$B$11,0))),"N/A")</f>
        <v/>
      </c>
      <c r="X171" s="53">
        <f>IFERROR(IF(INDEX('L&amp;R'!$P$10:$P$11,MATCH($F171,'L&amp;R'!$B$10:$B$11,0))="","Cell will autofill based on response",INDEX('L&amp;R'!$P$10:$P$11,MATCH($F171,'L&amp;R'!$B$10:$B$11,0))),"N/A")</f>
        <v/>
      </c>
    </row>
    <row r="172">
      <c r="A172">
        <f>F172&amp;"|"&amp;G172</f>
        <v/>
      </c>
      <c r="B172" s="13" t="inlineStr"/>
      <c r="C172" s="8" t="inlineStr"/>
      <c r="D172" s="8" t="inlineStr"/>
      <c r="E172" s="8" t="inlineStr"/>
      <c r="F172" s="8" t="inlineStr">
        <is>
          <t>AI1(b)</t>
        </is>
      </c>
      <c r="G172" s="8" t="inlineStr">
        <is>
          <t>Data owner confirms</t>
        </is>
      </c>
      <c r="H172" s="53">
        <f>IFERROR(IF(INDEX('Faculties'!$Q$10:$Q$19,MATCH($F172,'Faculties'!$B$10:$B$19,0))="","Cell will autofill based on response",INDEX('Faculties'!$Q$10:$Q$19,MATCH($F172,'Faculties'!$B$10:$B$19,0))),"N/A")</f>
        <v/>
      </c>
      <c r="I172" s="53">
        <f>IFERROR(IF(INDEX('Faculties'!$Q$26:$Q$35,MATCH($F172,'Faculties'!$B$26:$B$35,0))="","Cell will autofill based on response",INDEX('Faculties'!$Q$26:$Q$35,MATCH($F172,'Faculties'!$B$26:$B$35,0))),"N/A")</f>
        <v/>
      </c>
      <c r="J172" s="53">
        <f>IFERROR(IF(INDEX('Faculties'!$Q$42:$Q$51,MATCH($F172,'Faculties'!$B$42:$B$51,0))="","Cell will autofill based on response",INDEX('Faculties'!$Q$42:$Q$51,MATCH($F172,'Faculties'!$B$42:$B$51,0))),"N/A")</f>
        <v/>
      </c>
      <c r="K172" s="53">
        <f>IFERROR(IF(INDEX('Faculties'!$Q$58:$Q$67,MATCH($F172,'Faculties'!$B$58:$B$67,0))="","Cell will autofill based on response",INDEX('Faculties'!$Q$58:$Q$67,MATCH($F172,'Faculties'!$B$58:$B$67,0))),"N/A")</f>
        <v/>
      </c>
      <c r="L172" s="53">
        <f>IFERROR(IF(INDEX('CI&amp;S'!$Q$10:$Q$15,MATCH($F172,'CI&amp;S'!$B$10:$B$15,0))="","Cell will autofill based on response",INDEX('CI&amp;S'!$Q$10:$Q$15,MATCH($F172,'CI&amp;S'!$B$10:$B$15,0))),"N/A")</f>
        <v/>
      </c>
      <c r="M172" s="53">
        <f>IFERROR(IF(INDEX('CI&amp;S'!$Q$22:$Q$36,MATCH($F172,'CI&amp;S'!$B$22:$B$36,0))="","Cell will autofill based on response",INDEX('CI&amp;S'!$Q$22:$Q$36,MATCH($F172,'CI&amp;S'!$B$22:$B$36,0))),"N/A")</f>
        <v/>
      </c>
      <c r="N172" s="53">
        <f>IFERROR(IF(INDEX('CFOG'!$Q$10:$Q$16,MATCH($F172,'CFOG'!$B$10:$B$16,0))="","Cell will autofill based on response",INDEX('CFOG'!$Q$10:$Q$16,MATCH($F172,'CFOG'!$B$10:$B$16,0))),"N/A")</f>
        <v/>
      </c>
      <c r="O172" s="53">
        <f>IFERROR(IF(INDEX('CFOG'!$Q$23:$Q$24,MATCH($F172,'CFOG'!$B$23:$B$24,0))="","Cell will autofill based on response",INDEX('CFOG'!$Q$23:$Q$24,MATCH($F172,'CFOG'!$B$23:$B$24,0))),"N/A")</f>
        <v/>
      </c>
      <c r="P172" s="53">
        <f>IFERROR(IF(INDEX('ESG'!$Q$10:$Q$17,MATCH($F172,'ESG'!$B$10:$B$17,0))="","Cell will autofill based on response",INDEX('ESG'!$Q$10:$Q$17,MATCH($F172,'ESG'!$B$10:$B$17,0))),"N/A")</f>
        <v/>
      </c>
      <c r="Q172" s="53">
        <f>IFERROR(IF(INDEX('CIOG'!$Q$10:$Q$14,MATCH($F172,'CIOG'!$B$10:$B$14,0))="","Cell will autofill based on response",INDEX('CIOG'!$Q$10:$Q$14,MATCH($F172,'CIOG'!$B$10:$B$14,0))),"N/A")</f>
        <v/>
      </c>
      <c r="R172" s="53">
        <f>IFERROR(IF(INDEX('MRE'!$Q$10:$Q$18,MATCH($F172,'MRE'!$B$10:$B$18,0))="","Cell will autofill based on response",INDEX('MRE'!$Q$10:$Q$18,MATCH($F172,'MRE'!$B$10:$B$18,0))),"N/A")</f>
        <v/>
      </c>
      <c r="S172" s="53">
        <f>IFERROR(IF(INDEX('AC&amp;M'!$Q$10:$Q$14,MATCH($F172,'AC&amp;M'!$B$10:$B$14,0))="","Cell will autofill based on response",INDEX('AC&amp;M'!$Q$10:$Q$14,MATCH($F172,'AC&amp;M'!$B$10:$B$14,0))),"N/A")</f>
        <v/>
      </c>
      <c r="T172" s="53">
        <f>IFERROR(IF(INDEX('GCE'!$Q$10:$Q$12,MATCH($F172,'GCE'!$B$10:$B$12,0))="","Cell will autofill based on response",INDEX('GCE'!$Q$10:$Q$12,MATCH($F172,'GCE'!$B$10:$B$12,0))),"N/A")</f>
        <v/>
      </c>
      <c r="U172" s="53">
        <f>IFERROR(IF(INDEX('Education'!$Q$10:$Q$13,MATCH($F172,'Education'!$B$10:$B$13,0))="","Cell will autofill based on response",INDEX('Education'!$Q$10:$Q$13,MATCH($F172,'Education'!$B$10:$B$13,0))),"N/A")</f>
        <v/>
      </c>
      <c r="V172" s="53">
        <f>IFERROR(IF(INDEX('SaSS'!$Q$10:$Q$12,MATCH($F172,'SaSS'!$B$10:$B$12,0))="","Cell will autofill based on response",INDEX('SaSS'!$Q$10:$Q$12,MATCH($F172,'SaSS'!$B$10:$B$12,0))),"N/A")</f>
        <v/>
      </c>
      <c r="W172" s="53">
        <f>IFERROR(IF(INDEX('Indigenous'!$Q$10:$Q$11,MATCH($F172,'Indigenous'!$B$10:$B$11,0))="","Cell will autofill based on response",INDEX('Indigenous'!$Q$10:$Q$11,MATCH($F172,'Indigenous'!$B$10:$B$11,0))),"N/A")</f>
        <v/>
      </c>
      <c r="X172" s="53">
        <f>IFERROR(IF(INDEX('L&amp;R'!$Q$10:$Q$11,MATCH($F172,'L&amp;R'!$B$10:$B$11,0))="","Cell will autofill based on response",INDEX('L&amp;R'!$Q$10:$Q$11,MATCH($F172,'L&amp;R'!$B$10:$B$11,0))),"N/A")</f>
        <v/>
      </c>
    </row>
    <row r="173">
      <c r="A173">
        <f>F173&amp;"|"&amp;G173</f>
        <v/>
      </c>
      <c r="B173" s="7" t="inlineStr">
        <is>
          <t>EI1(a)</t>
        </is>
      </c>
      <c r="C173" s="51" t="inlineStr">
        <is>
          <t>Estate and infrastructure</t>
        </is>
      </c>
      <c r="D173" s="51" t="inlineStr">
        <is>
          <t>Evidence of increased maturity of estate and infrastructure planning, development and operations to support the other priority areas in Sustainability 2030</t>
        </is>
      </c>
      <c r="E173" s="51" t="inlineStr">
        <is>
          <t>Case study evidence of increased sustainability maturity in estate and infrastructure planning, development and operations, could include examples of changes to standards, processes, governance, decision-making or project requirements that support Sustainability 2030 priority areas.</t>
        </is>
      </c>
      <c r="F173" s="51" t="inlineStr">
        <is>
          <t>EI1(a)</t>
        </is>
      </c>
      <c r="G173" s="51" t="inlineStr">
        <is>
          <t>Confirm end-2026 target status</t>
        </is>
      </c>
      <c r="H173" s="53">
        <f>IFERROR(IF(INDEX('Faculties'!$L$10:$L$19,MATCH($F173,'Faculties'!$B$10:$B$19,0))="","Cell will autofill based on response",INDEX('Faculties'!$L$10:$L$19,MATCH($F173,'Faculties'!$B$10:$B$19,0))),"N/A")</f>
        <v/>
      </c>
      <c r="I173" s="53">
        <f>IFERROR(IF(INDEX('Faculties'!$L$26:$L$35,MATCH($F173,'Faculties'!$B$26:$B$35,0))="","Cell will autofill based on response",INDEX('Faculties'!$L$26:$L$35,MATCH($F173,'Faculties'!$B$26:$B$35,0))),"N/A")</f>
        <v/>
      </c>
      <c r="J173" s="53">
        <f>IFERROR(IF(INDEX('Faculties'!$L$42:$L$51,MATCH($F173,'Faculties'!$B$42:$B$51,0))="","Cell will autofill based on response",INDEX('Faculties'!$L$42:$L$51,MATCH($F173,'Faculties'!$B$42:$B$51,0))),"N/A")</f>
        <v/>
      </c>
      <c r="K173" s="53">
        <f>IFERROR(IF(INDEX('Faculties'!$L$58:$L$67,MATCH($F173,'Faculties'!$B$58:$B$67,0))="","Cell will autofill based on response",INDEX('Faculties'!$L$58:$L$67,MATCH($F173,'Faculties'!$B$58:$B$67,0))),"N/A")</f>
        <v/>
      </c>
      <c r="L173" s="53">
        <f>IFERROR(IF(INDEX('CI&amp;S'!$L$10:$L$15,MATCH($F173,'CI&amp;S'!$B$10:$B$15,0))="","Cell will autofill based on response",INDEX('CI&amp;S'!$L$10:$L$15,MATCH($F173,'CI&amp;S'!$B$10:$B$15,0))),"N/A")</f>
        <v/>
      </c>
      <c r="M173" s="53">
        <f>IFERROR(IF(INDEX('CI&amp;S'!$L$22:$L$36,MATCH($F173,'CI&amp;S'!$B$22:$B$36,0))="","Cell will autofill based on response",INDEX('CI&amp;S'!$L$22:$L$36,MATCH($F173,'CI&amp;S'!$B$22:$B$36,0))),"N/A")</f>
        <v/>
      </c>
      <c r="N173" s="53">
        <f>IFERROR(IF(INDEX('CFOG'!$L$10:$L$16,MATCH($F173,'CFOG'!$B$10:$B$16,0))="","Cell will autofill based on response",INDEX('CFOG'!$L$10:$L$16,MATCH($F173,'CFOG'!$B$10:$B$16,0))),"N/A")</f>
        <v/>
      </c>
      <c r="O173" s="53">
        <f>IFERROR(IF(INDEX('CFOG'!$L$23:$L$24,MATCH($F173,'CFOG'!$B$23:$B$24,0))="","Cell will autofill based on response",INDEX('CFOG'!$L$23:$L$24,MATCH($F173,'CFOG'!$B$23:$B$24,0))),"N/A")</f>
        <v/>
      </c>
      <c r="P173" s="53">
        <f>IFERROR(IF(INDEX('ESG'!$L$10:$L$17,MATCH($F173,'ESG'!$B$10:$B$17,0))="","Cell will autofill based on response",INDEX('ESG'!$L$10:$L$17,MATCH($F173,'ESG'!$B$10:$B$17,0))),"N/A")</f>
        <v/>
      </c>
      <c r="Q173" s="53">
        <f>IFERROR(IF(INDEX('CIOG'!$L$10:$L$14,MATCH($F173,'CIOG'!$B$10:$B$14,0))="","Cell will autofill based on response",INDEX('CIOG'!$L$10:$L$14,MATCH($F173,'CIOG'!$B$10:$B$14,0))),"N/A")</f>
        <v/>
      </c>
      <c r="R173" s="53">
        <f>IFERROR(IF(INDEX('MRE'!$L$10:$L$18,MATCH($F173,'MRE'!$B$10:$B$18,0))="","Cell will autofill based on response",INDEX('MRE'!$L$10:$L$18,MATCH($F173,'MRE'!$B$10:$B$18,0))),"N/A")</f>
        <v/>
      </c>
      <c r="S173" s="53">
        <f>IFERROR(IF(INDEX('AC&amp;M'!$L$10:$L$14,MATCH($F173,'AC&amp;M'!$B$10:$B$14,0))="","Cell will autofill based on response",INDEX('AC&amp;M'!$L$10:$L$14,MATCH($F173,'AC&amp;M'!$B$10:$B$14,0))),"N/A")</f>
        <v/>
      </c>
      <c r="T173" s="53">
        <f>IFERROR(IF(INDEX('GCE'!$L$10:$L$12,MATCH($F173,'GCE'!$B$10:$B$12,0))="","Cell will autofill based on response",INDEX('GCE'!$L$10:$L$12,MATCH($F173,'GCE'!$B$10:$B$12,0))),"N/A")</f>
        <v/>
      </c>
      <c r="U173" s="53">
        <f>IFERROR(IF(INDEX('Education'!$L$10:$L$13,MATCH($F173,'Education'!$B$10:$B$13,0))="","Cell will autofill based on response",INDEX('Education'!$L$10:$L$13,MATCH($F173,'Education'!$B$10:$B$13,0))),"N/A")</f>
        <v/>
      </c>
      <c r="V173" s="53">
        <f>IFERROR(IF(INDEX('SaSS'!$L$10:$L$12,MATCH($F173,'SaSS'!$B$10:$B$12,0))="","Cell will autofill based on response",INDEX('SaSS'!$L$10:$L$12,MATCH($F173,'SaSS'!$B$10:$B$12,0))),"N/A")</f>
        <v/>
      </c>
      <c r="W173" s="53">
        <f>IFERROR(IF(INDEX('Indigenous'!$L$10:$L$11,MATCH($F173,'Indigenous'!$B$10:$B$11,0))="","Cell will autofill based on response",INDEX('Indigenous'!$L$10:$L$11,MATCH($F173,'Indigenous'!$B$10:$B$11,0))),"N/A")</f>
        <v/>
      </c>
      <c r="X173" s="53">
        <f>IFERROR(IF(INDEX('L&amp;R'!$L$10:$L$11,MATCH($F173,'L&amp;R'!$B$10:$B$11,0))="","Cell will autofill based on response",INDEX('L&amp;R'!$L$10:$L$11,MATCH($F173,'L&amp;R'!$B$10:$B$11,0))),"N/A")</f>
        <v/>
      </c>
      <c r="Z173" s="10">
        <f>COUNTIF($H173:$X173,"Cell will autofill based on response")</f>
        <v/>
      </c>
      <c r="AA173" s="10">
        <f>COUNTIF($H173:$X173,"Not yet started")</f>
        <v/>
      </c>
      <c r="AB173" s="10">
        <f>COUNTIF($H173:$X173,"Not met")</f>
        <v/>
      </c>
      <c r="AC173" s="10">
        <f>COUNTIF($H173:$X173,"Partially met")</f>
        <v/>
      </c>
      <c r="AD173" s="10">
        <f>COUNTIF($H173:$X173,"Met or exceeded")</f>
        <v/>
      </c>
      <c r="AE173" s="10">
        <f>3*AD173+2*AC173+AB173</f>
        <v/>
      </c>
      <c r="AF173" s="10">
        <f>AD173+AC173+AB173+AA173</f>
        <v/>
      </c>
      <c r="AG173" s="54">
        <f>IF(AF173&gt;0,AE173/AF173,"No valid responses to date")</f>
        <v/>
      </c>
      <c r="AH173" s="10">
        <f>IF(ISNUMBER(AG173),INDEX(Lists!$G$2:$G$5,MATCH(ROUND(AG173,0),Lists!$H$2:$H$5,0)),"")</f>
        <v/>
      </c>
      <c r="AI173" s="55">
        <f>IF(AF173&gt;0,AD173/AF173,"")</f>
        <v/>
      </c>
      <c r="AJ173" s="55">
        <f>IF(AF173&gt;0,(AD173+AC173)/AF173,"")</f>
        <v/>
      </c>
      <c r="AK173" s="10">
        <f>IF(AF173=0,"",IF(AI173&gt;0.75,"Met or exceeded",IF(AJ173&gt;=0.5,"Partially met","Not met")))</f>
        <v/>
      </c>
    </row>
    <row r="174">
      <c r="A174">
        <f>F174&amp;"|"&amp;G174</f>
        <v/>
      </c>
      <c r="B174" s="13" t="inlineStr"/>
      <c r="C174" s="8" t="inlineStr"/>
      <c r="D174" s="8" t="inlineStr"/>
      <c r="E174" s="8" t="inlineStr"/>
      <c r="F174" s="8" t="inlineStr">
        <is>
          <t>EI1(a)</t>
        </is>
      </c>
      <c r="G174" s="8" t="inlineStr">
        <is>
          <t>OPTION 1:  Target-level reporting</t>
        </is>
      </c>
      <c r="H174" s="53">
        <f>IFERROR(IF(INDEX('Faculties'!$M$10:$M$19,MATCH($F174,'Faculties'!$B$10:$B$19,0))="","Cell will autofill based on response",INDEX('Faculties'!$M$10:$M$19,MATCH($F174,'Faculties'!$B$10:$B$19,0))),"N/A")</f>
        <v/>
      </c>
      <c r="I174" s="53">
        <f>IFERROR(IF(INDEX('Faculties'!$M$26:$M$35,MATCH($F174,'Faculties'!$B$26:$B$35,0))="","Cell will autofill based on response",INDEX('Faculties'!$M$26:$M$35,MATCH($F174,'Faculties'!$B$26:$B$35,0))),"N/A")</f>
        <v/>
      </c>
      <c r="J174" s="53">
        <f>IFERROR(IF(INDEX('Faculties'!$M$42:$M$51,MATCH($F174,'Faculties'!$B$42:$B$51,0))="","Cell will autofill based on response",INDEX('Faculties'!$M$42:$M$51,MATCH($F174,'Faculties'!$B$42:$B$51,0))),"N/A")</f>
        <v/>
      </c>
      <c r="K174" s="53">
        <f>IFERROR(IF(INDEX('Faculties'!$M$58:$M$67,MATCH($F174,'Faculties'!$B$58:$B$67,0))="","Cell will autofill based on response",INDEX('Faculties'!$M$58:$M$67,MATCH($F174,'Faculties'!$B$58:$B$67,0))),"N/A")</f>
        <v/>
      </c>
      <c r="L174" s="53">
        <f>IFERROR(IF(INDEX('CI&amp;S'!$M$10:$M$15,MATCH($F174,'CI&amp;S'!$B$10:$B$15,0))="","Cell will autofill based on response",INDEX('CI&amp;S'!$M$10:$M$15,MATCH($F174,'CI&amp;S'!$B$10:$B$15,0))),"N/A")</f>
        <v/>
      </c>
      <c r="M174" s="53">
        <f>IFERROR(IF(INDEX('CI&amp;S'!$M$22:$M$36,MATCH($F174,'CI&amp;S'!$B$22:$B$36,0))="","Cell will autofill based on response",INDEX('CI&amp;S'!$M$22:$M$36,MATCH($F174,'CI&amp;S'!$B$22:$B$36,0))),"N/A")</f>
        <v/>
      </c>
      <c r="N174" s="53">
        <f>IFERROR(IF(INDEX('CFOG'!$M$10:$M$16,MATCH($F174,'CFOG'!$B$10:$B$16,0))="","Cell will autofill based on response",INDEX('CFOG'!$M$10:$M$16,MATCH($F174,'CFOG'!$B$10:$B$16,0))),"N/A")</f>
        <v/>
      </c>
      <c r="O174" s="53">
        <f>IFERROR(IF(INDEX('CFOG'!$M$23:$M$24,MATCH($F174,'CFOG'!$B$23:$B$24,0))="","Cell will autofill based on response",INDEX('CFOG'!$M$23:$M$24,MATCH($F174,'CFOG'!$B$23:$B$24,0))),"N/A")</f>
        <v/>
      </c>
      <c r="P174" s="53">
        <f>IFERROR(IF(INDEX('ESG'!$M$10:$M$17,MATCH($F174,'ESG'!$B$10:$B$17,0))="","Cell will autofill based on response",INDEX('ESG'!$M$10:$M$17,MATCH($F174,'ESG'!$B$10:$B$17,0))),"N/A")</f>
        <v/>
      </c>
      <c r="Q174" s="53">
        <f>IFERROR(IF(INDEX('CIOG'!$M$10:$M$14,MATCH($F174,'CIOG'!$B$10:$B$14,0))="","Cell will autofill based on response",INDEX('CIOG'!$M$10:$M$14,MATCH($F174,'CIOG'!$B$10:$B$14,0))),"N/A")</f>
        <v/>
      </c>
      <c r="R174" s="53">
        <f>IFERROR(IF(INDEX('MRE'!$M$10:$M$18,MATCH($F174,'MRE'!$B$10:$B$18,0))="","Cell will autofill based on response",INDEX('MRE'!$M$10:$M$18,MATCH($F174,'MRE'!$B$10:$B$18,0))),"N/A")</f>
        <v/>
      </c>
      <c r="S174" s="53">
        <f>IFERROR(IF(INDEX('AC&amp;M'!$M$10:$M$14,MATCH($F174,'AC&amp;M'!$B$10:$B$14,0))="","Cell will autofill based on response",INDEX('AC&amp;M'!$M$10:$M$14,MATCH($F174,'AC&amp;M'!$B$10:$B$14,0))),"N/A")</f>
        <v/>
      </c>
      <c r="T174" s="53">
        <f>IFERROR(IF(INDEX('GCE'!$M$10:$M$12,MATCH($F174,'GCE'!$B$10:$B$12,0))="","Cell will autofill based on response",INDEX('GCE'!$M$10:$M$12,MATCH($F174,'GCE'!$B$10:$B$12,0))),"N/A")</f>
        <v/>
      </c>
      <c r="U174" s="53">
        <f>IFERROR(IF(INDEX('Education'!$M$10:$M$13,MATCH($F174,'Education'!$B$10:$B$13,0))="","Cell will autofill based on response",INDEX('Education'!$M$10:$M$13,MATCH($F174,'Education'!$B$10:$B$13,0))),"N/A")</f>
        <v/>
      </c>
      <c r="V174" s="53">
        <f>IFERROR(IF(INDEX('SaSS'!$M$10:$M$12,MATCH($F174,'SaSS'!$B$10:$B$12,0))="","Cell will autofill based on response",INDEX('SaSS'!$M$10:$M$12,MATCH($F174,'SaSS'!$B$10:$B$12,0))),"N/A")</f>
        <v/>
      </c>
      <c r="W174" s="53">
        <f>IFERROR(IF(INDEX('Indigenous'!$M$10:$M$11,MATCH($F174,'Indigenous'!$B$10:$B$11,0))="","Cell will autofill based on response",INDEX('Indigenous'!$M$10:$M$11,MATCH($F174,'Indigenous'!$B$10:$B$11,0))),"N/A")</f>
        <v/>
      </c>
      <c r="X174" s="53">
        <f>IFERROR(IF(INDEX('L&amp;R'!$M$10:$M$11,MATCH($F174,'L&amp;R'!$B$10:$B$11,0))="","Cell will autofill based on response",INDEX('L&amp;R'!$M$10:$M$11,MATCH($F174,'L&amp;R'!$B$10:$B$11,0))),"N/A")</f>
        <v/>
      </c>
    </row>
    <row r="175">
      <c r="A175">
        <f>F175&amp;"|"&amp;G175</f>
        <v/>
      </c>
      <c r="B175" s="13" t="inlineStr"/>
      <c r="C175" s="8" t="inlineStr"/>
      <c r="D175" s="8" t="inlineStr"/>
      <c r="E175" s="8" t="inlineStr"/>
      <c r="F175" s="8" t="inlineStr">
        <is>
          <t>EI1(a)</t>
        </is>
      </c>
      <c r="G175" s="8" t="inlineStr">
        <is>
          <t>OPTION 2:  Indicator level reporting</t>
        </is>
      </c>
      <c r="H175" s="53">
        <f>IFERROR(IF(INDEX('Faculties'!$N$10:$N$19,MATCH($F175,'Faculties'!$B$10:$B$19,0))="","Cell will autofill based on response",INDEX('Faculties'!$N$10:$N$19,MATCH($F175,'Faculties'!$B$10:$B$19,0))),"N/A")</f>
        <v/>
      </c>
      <c r="I175" s="53">
        <f>IFERROR(IF(INDEX('Faculties'!$N$26:$N$35,MATCH($F175,'Faculties'!$B$26:$B$35,0))="","Cell will autofill based on response",INDEX('Faculties'!$N$26:$N$35,MATCH($F175,'Faculties'!$B$26:$B$35,0))),"N/A")</f>
        <v/>
      </c>
      <c r="J175" s="53">
        <f>IFERROR(IF(INDEX('Faculties'!$N$42:$N$51,MATCH($F175,'Faculties'!$B$42:$B$51,0))="","Cell will autofill based on response",INDEX('Faculties'!$N$42:$N$51,MATCH($F175,'Faculties'!$B$42:$B$51,0))),"N/A")</f>
        <v/>
      </c>
      <c r="K175" s="53">
        <f>IFERROR(IF(INDEX('Faculties'!$N$58:$N$67,MATCH($F175,'Faculties'!$B$58:$B$67,0))="","Cell will autofill based on response",INDEX('Faculties'!$N$58:$N$67,MATCH($F175,'Faculties'!$B$58:$B$67,0))),"N/A")</f>
        <v/>
      </c>
      <c r="L175" s="53">
        <f>IFERROR(IF(INDEX('CI&amp;S'!$N$10:$N$15,MATCH($F175,'CI&amp;S'!$B$10:$B$15,0))="","Cell will autofill based on response",INDEX('CI&amp;S'!$N$10:$N$15,MATCH($F175,'CI&amp;S'!$B$10:$B$15,0))),"N/A")</f>
        <v/>
      </c>
      <c r="M175" s="53">
        <f>IFERROR(IF(INDEX('CI&amp;S'!$N$22:$N$36,MATCH($F175,'CI&amp;S'!$B$22:$B$36,0))="","Cell will autofill based on response",INDEX('CI&amp;S'!$N$22:$N$36,MATCH($F175,'CI&amp;S'!$B$22:$B$36,0))),"N/A")</f>
        <v/>
      </c>
      <c r="N175" s="53">
        <f>IFERROR(IF(INDEX('CFOG'!$N$10:$N$16,MATCH($F175,'CFOG'!$B$10:$B$16,0))="","Cell will autofill based on response",INDEX('CFOG'!$N$10:$N$16,MATCH($F175,'CFOG'!$B$10:$B$16,0))),"N/A")</f>
        <v/>
      </c>
      <c r="O175" s="53">
        <f>IFERROR(IF(INDEX('CFOG'!$N$23:$N$24,MATCH($F175,'CFOG'!$B$23:$B$24,0))="","Cell will autofill based on response",INDEX('CFOG'!$N$23:$N$24,MATCH($F175,'CFOG'!$B$23:$B$24,0))),"N/A")</f>
        <v/>
      </c>
      <c r="P175" s="53">
        <f>IFERROR(IF(INDEX('ESG'!$N$10:$N$17,MATCH($F175,'ESG'!$B$10:$B$17,0))="","Cell will autofill based on response",INDEX('ESG'!$N$10:$N$17,MATCH($F175,'ESG'!$B$10:$B$17,0))),"N/A")</f>
        <v/>
      </c>
      <c r="Q175" s="53">
        <f>IFERROR(IF(INDEX('CIOG'!$N$10:$N$14,MATCH($F175,'CIOG'!$B$10:$B$14,0))="","Cell will autofill based on response",INDEX('CIOG'!$N$10:$N$14,MATCH($F175,'CIOG'!$B$10:$B$14,0))),"N/A")</f>
        <v/>
      </c>
      <c r="R175" s="53">
        <f>IFERROR(IF(INDEX('MRE'!$N$10:$N$18,MATCH($F175,'MRE'!$B$10:$B$18,0))="","Cell will autofill based on response",INDEX('MRE'!$N$10:$N$18,MATCH($F175,'MRE'!$B$10:$B$18,0))),"N/A")</f>
        <v/>
      </c>
      <c r="S175" s="53">
        <f>IFERROR(IF(INDEX('AC&amp;M'!$N$10:$N$14,MATCH($F175,'AC&amp;M'!$B$10:$B$14,0))="","Cell will autofill based on response",INDEX('AC&amp;M'!$N$10:$N$14,MATCH($F175,'AC&amp;M'!$B$10:$B$14,0))),"N/A")</f>
        <v/>
      </c>
      <c r="T175" s="53">
        <f>IFERROR(IF(INDEX('GCE'!$N$10:$N$12,MATCH($F175,'GCE'!$B$10:$B$12,0))="","Cell will autofill based on response",INDEX('GCE'!$N$10:$N$12,MATCH($F175,'GCE'!$B$10:$B$12,0))),"N/A")</f>
        <v/>
      </c>
      <c r="U175" s="53">
        <f>IFERROR(IF(INDEX('Education'!$N$10:$N$13,MATCH($F175,'Education'!$B$10:$B$13,0))="","Cell will autofill based on response",INDEX('Education'!$N$10:$N$13,MATCH($F175,'Education'!$B$10:$B$13,0))),"N/A")</f>
        <v/>
      </c>
      <c r="V175" s="53">
        <f>IFERROR(IF(INDEX('SaSS'!$N$10:$N$12,MATCH($F175,'SaSS'!$B$10:$B$12,0))="","Cell will autofill based on response",INDEX('SaSS'!$N$10:$N$12,MATCH($F175,'SaSS'!$B$10:$B$12,0))),"N/A")</f>
        <v/>
      </c>
      <c r="W175" s="53">
        <f>IFERROR(IF(INDEX('Indigenous'!$N$10:$N$11,MATCH($F175,'Indigenous'!$B$10:$B$11,0))="","Cell will autofill based on response",INDEX('Indigenous'!$N$10:$N$11,MATCH($F175,'Indigenous'!$B$10:$B$11,0))),"N/A")</f>
        <v/>
      </c>
      <c r="X175" s="53">
        <f>IFERROR(IF(INDEX('L&amp;R'!$N$10:$N$11,MATCH($F175,'L&amp;R'!$B$10:$B$11,0))="","Cell will autofill based on response",INDEX('L&amp;R'!$N$10:$N$11,MATCH($F175,'L&amp;R'!$B$10:$B$11,0))),"N/A")</f>
        <v/>
      </c>
    </row>
    <row r="176">
      <c r="A176">
        <f>F176&amp;"|"&amp;G176</f>
        <v/>
      </c>
      <c r="B176" s="13" t="inlineStr"/>
      <c r="C176" s="8" t="inlineStr"/>
      <c r="D176" s="8" t="inlineStr"/>
      <c r="E176" s="8" t="inlineStr"/>
      <c r="F176" s="8" t="inlineStr">
        <is>
          <t>EI1(a)</t>
        </is>
      </c>
      <c r="G176" s="8" t="inlineStr">
        <is>
          <t>Supporting information/comments</t>
        </is>
      </c>
      <c r="H176" s="53">
        <f>IFERROR(IF(INDEX('Faculties'!$O$10:$O$19,MATCH($F176,'Faculties'!$B$10:$B$19,0))="","Cell will autofill based on response",INDEX('Faculties'!$O$10:$O$19,MATCH($F176,'Faculties'!$B$10:$B$19,0))),"N/A")</f>
        <v/>
      </c>
      <c r="I176" s="53">
        <f>IFERROR(IF(INDEX('Faculties'!$O$26:$O$35,MATCH($F176,'Faculties'!$B$26:$B$35,0))="","Cell will autofill based on response",INDEX('Faculties'!$O$26:$O$35,MATCH($F176,'Faculties'!$B$26:$B$35,0))),"N/A")</f>
        <v/>
      </c>
      <c r="J176" s="53">
        <f>IFERROR(IF(INDEX('Faculties'!$O$42:$O$51,MATCH($F176,'Faculties'!$B$42:$B$51,0))="","Cell will autofill based on response",INDEX('Faculties'!$O$42:$O$51,MATCH($F176,'Faculties'!$B$42:$B$51,0))),"N/A")</f>
        <v/>
      </c>
      <c r="K176" s="53">
        <f>IFERROR(IF(INDEX('Faculties'!$O$58:$O$67,MATCH($F176,'Faculties'!$B$58:$B$67,0))="","Cell will autofill based on response",INDEX('Faculties'!$O$58:$O$67,MATCH($F176,'Faculties'!$B$58:$B$67,0))),"N/A")</f>
        <v/>
      </c>
      <c r="L176" s="53">
        <f>IFERROR(IF(INDEX('CI&amp;S'!$O$10:$O$15,MATCH($F176,'CI&amp;S'!$B$10:$B$15,0))="","Cell will autofill based on response",INDEX('CI&amp;S'!$O$10:$O$15,MATCH($F176,'CI&amp;S'!$B$10:$B$15,0))),"N/A")</f>
        <v/>
      </c>
      <c r="M176" s="53">
        <f>IFERROR(IF(INDEX('CI&amp;S'!$O$22:$O$36,MATCH($F176,'CI&amp;S'!$B$22:$B$36,0))="","Cell will autofill based on response",INDEX('CI&amp;S'!$O$22:$O$36,MATCH($F176,'CI&amp;S'!$B$22:$B$36,0))),"N/A")</f>
        <v/>
      </c>
      <c r="N176" s="53">
        <f>IFERROR(IF(INDEX('CFOG'!$O$10:$O$16,MATCH($F176,'CFOG'!$B$10:$B$16,0))="","Cell will autofill based on response",INDEX('CFOG'!$O$10:$O$16,MATCH($F176,'CFOG'!$B$10:$B$16,0))),"N/A")</f>
        <v/>
      </c>
      <c r="O176" s="53">
        <f>IFERROR(IF(INDEX('CFOG'!$O$23:$O$24,MATCH($F176,'CFOG'!$B$23:$B$24,0))="","Cell will autofill based on response",INDEX('CFOG'!$O$23:$O$24,MATCH($F176,'CFOG'!$B$23:$B$24,0))),"N/A")</f>
        <v/>
      </c>
      <c r="P176" s="53">
        <f>IFERROR(IF(INDEX('ESG'!$O$10:$O$17,MATCH($F176,'ESG'!$B$10:$B$17,0))="","Cell will autofill based on response",INDEX('ESG'!$O$10:$O$17,MATCH($F176,'ESG'!$B$10:$B$17,0))),"N/A")</f>
        <v/>
      </c>
      <c r="Q176" s="53">
        <f>IFERROR(IF(INDEX('CIOG'!$O$10:$O$14,MATCH($F176,'CIOG'!$B$10:$B$14,0))="","Cell will autofill based on response",INDEX('CIOG'!$O$10:$O$14,MATCH($F176,'CIOG'!$B$10:$B$14,0))),"N/A")</f>
        <v/>
      </c>
      <c r="R176" s="53">
        <f>IFERROR(IF(INDEX('MRE'!$O$10:$O$18,MATCH($F176,'MRE'!$B$10:$B$18,0))="","Cell will autofill based on response",INDEX('MRE'!$O$10:$O$18,MATCH($F176,'MRE'!$B$10:$B$18,0))),"N/A")</f>
        <v/>
      </c>
      <c r="S176" s="53">
        <f>IFERROR(IF(INDEX('AC&amp;M'!$O$10:$O$14,MATCH($F176,'AC&amp;M'!$B$10:$B$14,0))="","Cell will autofill based on response",INDEX('AC&amp;M'!$O$10:$O$14,MATCH($F176,'AC&amp;M'!$B$10:$B$14,0))),"N/A")</f>
        <v/>
      </c>
      <c r="T176" s="53">
        <f>IFERROR(IF(INDEX('GCE'!$O$10:$O$12,MATCH($F176,'GCE'!$B$10:$B$12,0))="","Cell will autofill based on response",INDEX('GCE'!$O$10:$O$12,MATCH($F176,'GCE'!$B$10:$B$12,0))),"N/A")</f>
        <v/>
      </c>
      <c r="U176" s="53">
        <f>IFERROR(IF(INDEX('Education'!$O$10:$O$13,MATCH($F176,'Education'!$B$10:$B$13,0))="","Cell will autofill based on response",INDEX('Education'!$O$10:$O$13,MATCH($F176,'Education'!$B$10:$B$13,0))),"N/A")</f>
        <v/>
      </c>
      <c r="V176" s="53">
        <f>IFERROR(IF(INDEX('SaSS'!$O$10:$O$12,MATCH($F176,'SaSS'!$B$10:$B$12,0))="","Cell will autofill based on response",INDEX('SaSS'!$O$10:$O$12,MATCH($F176,'SaSS'!$B$10:$B$12,0))),"N/A")</f>
        <v/>
      </c>
      <c r="W176" s="53">
        <f>IFERROR(IF(INDEX('Indigenous'!$O$10:$O$11,MATCH($F176,'Indigenous'!$B$10:$B$11,0))="","Cell will autofill based on response",INDEX('Indigenous'!$O$10:$O$11,MATCH($F176,'Indigenous'!$B$10:$B$11,0))),"N/A")</f>
        <v/>
      </c>
      <c r="X176" s="53">
        <f>IFERROR(IF(INDEX('L&amp;R'!$O$10:$O$11,MATCH($F176,'L&amp;R'!$B$10:$B$11,0))="","Cell will autofill based on response",INDEX('L&amp;R'!$O$10:$O$11,MATCH($F176,'L&amp;R'!$B$10:$B$11,0))),"N/A")</f>
        <v/>
      </c>
    </row>
    <row r="177">
      <c r="A177">
        <f>F177&amp;"|"&amp;G177</f>
        <v/>
      </c>
      <c r="B177" s="13" t="inlineStr"/>
      <c r="C177" s="8" t="inlineStr"/>
      <c r="D177" s="8" t="inlineStr"/>
      <c r="E177" s="8" t="inlineStr"/>
      <c r="F177" s="8" t="inlineStr">
        <is>
          <t>EI1(a)</t>
        </is>
      </c>
      <c r="G177" s="8" t="inlineStr">
        <is>
          <t>Data source and limitations</t>
        </is>
      </c>
      <c r="H177" s="53">
        <f>IFERROR(IF(INDEX('Faculties'!$P$10:$P$19,MATCH($F177,'Faculties'!$B$10:$B$19,0))="","Cell will autofill based on response",INDEX('Faculties'!$P$10:$P$19,MATCH($F177,'Faculties'!$B$10:$B$19,0))),"N/A")</f>
        <v/>
      </c>
      <c r="I177" s="53">
        <f>IFERROR(IF(INDEX('Faculties'!$P$26:$P$35,MATCH($F177,'Faculties'!$B$26:$B$35,0))="","Cell will autofill based on response",INDEX('Faculties'!$P$26:$P$35,MATCH($F177,'Faculties'!$B$26:$B$35,0))),"N/A")</f>
        <v/>
      </c>
      <c r="J177" s="53">
        <f>IFERROR(IF(INDEX('Faculties'!$P$42:$P$51,MATCH($F177,'Faculties'!$B$42:$B$51,0))="","Cell will autofill based on response",INDEX('Faculties'!$P$42:$P$51,MATCH($F177,'Faculties'!$B$42:$B$51,0))),"N/A")</f>
        <v/>
      </c>
      <c r="K177" s="53">
        <f>IFERROR(IF(INDEX('Faculties'!$P$58:$P$67,MATCH($F177,'Faculties'!$B$58:$B$67,0))="","Cell will autofill based on response",INDEX('Faculties'!$P$58:$P$67,MATCH($F177,'Faculties'!$B$58:$B$67,0))),"N/A")</f>
        <v/>
      </c>
      <c r="L177" s="53">
        <f>IFERROR(IF(INDEX('CI&amp;S'!$P$10:$P$15,MATCH($F177,'CI&amp;S'!$B$10:$B$15,0))="","Cell will autofill based on response",INDEX('CI&amp;S'!$P$10:$P$15,MATCH($F177,'CI&amp;S'!$B$10:$B$15,0))),"N/A")</f>
        <v/>
      </c>
      <c r="M177" s="53">
        <f>IFERROR(IF(INDEX('CI&amp;S'!$P$22:$P$36,MATCH($F177,'CI&amp;S'!$B$22:$B$36,0))="","Cell will autofill based on response",INDEX('CI&amp;S'!$P$22:$P$36,MATCH($F177,'CI&amp;S'!$B$22:$B$36,0))),"N/A")</f>
        <v/>
      </c>
      <c r="N177" s="53">
        <f>IFERROR(IF(INDEX('CFOG'!$P$10:$P$16,MATCH($F177,'CFOG'!$B$10:$B$16,0))="","Cell will autofill based on response",INDEX('CFOG'!$P$10:$P$16,MATCH($F177,'CFOG'!$B$10:$B$16,0))),"N/A")</f>
        <v/>
      </c>
      <c r="O177" s="53">
        <f>IFERROR(IF(INDEX('CFOG'!$P$23:$P$24,MATCH($F177,'CFOG'!$B$23:$B$24,0))="","Cell will autofill based on response",INDEX('CFOG'!$P$23:$P$24,MATCH($F177,'CFOG'!$B$23:$B$24,0))),"N/A")</f>
        <v/>
      </c>
      <c r="P177" s="53">
        <f>IFERROR(IF(INDEX('ESG'!$P$10:$P$17,MATCH($F177,'ESG'!$B$10:$B$17,0))="","Cell will autofill based on response",INDEX('ESG'!$P$10:$P$17,MATCH($F177,'ESG'!$B$10:$B$17,0))),"N/A")</f>
        <v/>
      </c>
      <c r="Q177" s="53">
        <f>IFERROR(IF(INDEX('CIOG'!$P$10:$P$14,MATCH($F177,'CIOG'!$B$10:$B$14,0))="","Cell will autofill based on response",INDEX('CIOG'!$P$10:$P$14,MATCH($F177,'CIOG'!$B$10:$B$14,0))),"N/A")</f>
        <v/>
      </c>
      <c r="R177" s="53">
        <f>IFERROR(IF(INDEX('MRE'!$P$10:$P$18,MATCH($F177,'MRE'!$B$10:$B$18,0))="","Cell will autofill based on response",INDEX('MRE'!$P$10:$P$18,MATCH($F177,'MRE'!$B$10:$B$18,0))),"N/A")</f>
        <v/>
      </c>
      <c r="S177" s="53">
        <f>IFERROR(IF(INDEX('AC&amp;M'!$P$10:$P$14,MATCH($F177,'AC&amp;M'!$B$10:$B$14,0))="","Cell will autofill based on response",INDEX('AC&amp;M'!$P$10:$P$14,MATCH($F177,'AC&amp;M'!$B$10:$B$14,0))),"N/A")</f>
        <v/>
      </c>
      <c r="T177" s="53">
        <f>IFERROR(IF(INDEX('GCE'!$P$10:$P$12,MATCH($F177,'GCE'!$B$10:$B$12,0))="","Cell will autofill based on response",INDEX('GCE'!$P$10:$P$12,MATCH($F177,'GCE'!$B$10:$B$12,0))),"N/A")</f>
        <v/>
      </c>
      <c r="U177" s="53">
        <f>IFERROR(IF(INDEX('Education'!$P$10:$P$13,MATCH($F177,'Education'!$B$10:$B$13,0))="","Cell will autofill based on response",INDEX('Education'!$P$10:$P$13,MATCH($F177,'Education'!$B$10:$B$13,0))),"N/A")</f>
        <v/>
      </c>
      <c r="V177" s="53">
        <f>IFERROR(IF(INDEX('SaSS'!$P$10:$P$12,MATCH($F177,'SaSS'!$B$10:$B$12,0))="","Cell will autofill based on response",INDEX('SaSS'!$P$10:$P$12,MATCH($F177,'SaSS'!$B$10:$B$12,0))),"N/A")</f>
        <v/>
      </c>
      <c r="W177" s="53">
        <f>IFERROR(IF(INDEX('Indigenous'!$P$10:$P$11,MATCH($F177,'Indigenous'!$B$10:$B$11,0))="","Cell will autofill based on response",INDEX('Indigenous'!$P$10:$P$11,MATCH($F177,'Indigenous'!$B$10:$B$11,0))),"N/A")</f>
        <v/>
      </c>
      <c r="X177" s="53">
        <f>IFERROR(IF(INDEX('L&amp;R'!$P$10:$P$11,MATCH($F177,'L&amp;R'!$B$10:$B$11,0))="","Cell will autofill based on response",INDEX('L&amp;R'!$P$10:$P$11,MATCH($F177,'L&amp;R'!$B$10:$B$11,0))),"N/A")</f>
        <v/>
      </c>
    </row>
    <row r="178">
      <c r="A178">
        <f>F178&amp;"|"&amp;G178</f>
        <v/>
      </c>
      <c r="B178" s="13" t="inlineStr"/>
      <c r="C178" s="8" t="inlineStr"/>
      <c r="D178" s="8" t="inlineStr"/>
      <c r="E178" s="8" t="inlineStr"/>
      <c r="F178" s="8" t="inlineStr">
        <is>
          <t>EI1(a)</t>
        </is>
      </c>
      <c r="G178" s="8" t="inlineStr">
        <is>
          <t>Data owner confirms</t>
        </is>
      </c>
      <c r="H178" s="53">
        <f>IFERROR(IF(INDEX('Faculties'!$Q$10:$Q$19,MATCH($F178,'Faculties'!$B$10:$B$19,0))="","Cell will autofill based on response",INDEX('Faculties'!$Q$10:$Q$19,MATCH($F178,'Faculties'!$B$10:$B$19,0))),"N/A")</f>
        <v/>
      </c>
      <c r="I178" s="53">
        <f>IFERROR(IF(INDEX('Faculties'!$Q$26:$Q$35,MATCH($F178,'Faculties'!$B$26:$B$35,0))="","Cell will autofill based on response",INDEX('Faculties'!$Q$26:$Q$35,MATCH($F178,'Faculties'!$B$26:$B$35,0))),"N/A")</f>
        <v/>
      </c>
      <c r="J178" s="53">
        <f>IFERROR(IF(INDEX('Faculties'!$Q$42:$Q$51,MATCH($F178,'Faculties'!$B$42:$B$51,0))="","Cell will autofill based on response",INDEX('Faculties'!$Q$42:$Q$51,MATCH($F178,'Faculties'!$B$42:$B$51,0))),"N/A")</f>
        <v/>
      </c>
      <c r="K178" s="53">
        <f>IFERROR(IF(INDEX('Faculties'!$Q$58:$Q$67,MATCH($F178,'Faculties'!$B$58:$B$67,0))="","Cell will autofill based on response",INDEX('Faculties'!$Q$58:$Q$67,MATCH($F178,'Faculties'!$B$58:$B$67,0))),"N/A")</f>
        <v/>
      </c>
      <c r="L178" s="53">
        <f>IFERROR(IF(INDEX('CI&amp;S'!$Q$10:$Q$15,MATCH($F178,'CI&amp;S'!$B$10:$B$15,0))="","Cell will autofill based on response",INDEX('CI&amp;S'!$Q$10:$Q$15,MATCH($F178,'CI&amp;S'!$B$10:$B$15,0))),"N/A")</f>
        <v/>
      </c>
      <c r="M178" s="53">
        <f>IFERROR(IF(INDEX('CI&amp;S'!$Q$22:$Q$36,MATCH($F178,'CI&amp;S'!$B$22:$B$36,0))="","Cell will autofill based on response",INDEX('CI&amp;S'!$Q$22:$Q$36,MATCH($F178,'CI&amp;S'!$B$22:$B$36,0))),"N/A")</f>
        <v/>
      </c>
      <c r="N178" s="53">
        <f>IFERROR(IF(INDEX('CFOG'!$Q$10:$Q$16,MATCH($F178,'CFOG'!$B$10:$B$16,0))="","Cell will autofill based on response",INDEX('CFOG'!$Q$10:$Q$16,MATCH($F178,'CFOG'!$B$10:$B$16,0))),"N/A")</f>
        <v/>
      </c>
      <c r="O178" s="53">
        <f>IFERROR(IF(INDEX('CFOG'!$Q$23:$Q$24,MATCH($F178,'CFOG'!$B$23:$B$24,0))="","Cell will autofill based on response",INDEX('CFOG'!$Q$23:$Q$24,MATCH($F178,'CFOG'!$B$23:$B$24,0))),"N/A")</f>
        <v/>
      </c>
      <c r="P178" s="53">
        <f>IFERROR(IF(INDEX('ESG'!$Q$10:$Q$17,MATCH($F178,'ESG'!$B$10:$B$17,0))="","Cell will autofill based on response",INDEX('ESG'!$Q$10:$Q$17,MATCH($F178,'ESG'!$B$10:$B$17,0))),"N/A")</f>
        <v/>
      </c>
      <c r="Q178" s="53">
        <f>IFERROR(IF(INDEX('CIOG'!$Q$10:$Q$14,MATCH($F178,'CIOG'!$B$10:$B$14,0))="","Cell will autofill based on response",INDEX('CIOG'!$Q$10:$Q$14,MATCH($F178,'CIOG'!$B$10:$B$14,0))),"N/A")</f>
        <v/>
      </c>
      <c r="R178" s="53">
        <f>IFERROR(IF(INDEX('MRE'!$Q$10:$Q$18,MATCH($F178,'MRE'!$B$10:$B$18,0))="","Cell will autofill based on response",INDEX('MRE'!$Q$10:$Q$18,MATCH($F178,'MRE'!$B$10:$B$18,0))),"N/A")</f>
        <v/>
      </c>
      <c r="S178" s="53">
        <f>IFERROR(IF(INDEX('AC&amp;M'!$Q$10:$Q$14,MATCH($F178,'AC&amp;M'!$B$10:$B$14,0))="","Cell will autofill based on response",INDEX('AC&amp;M'!$Q$10:$Q$14,MATCH($F178,'AC&amp;M'!$B$10:$B$14,0))),"N/A")</f>
        <v/>
      </c>
      <c r="T178" s="53">
        <f>IFERROR(IF(INDEX('GCE'!$Q$10:$Q$12,MATCH($F178,'GCE'!$B$10:$B$12,0))="","Cell will autofill based on response",INDEX('GCE'!$Q$10:$Q$12,MATCH($F178,'GCE'!$B$10:$B$12,0))),"N/A")</f>
        <v/>
      </c>
      <c r="U178" s="53">
        <f>IFERROR(IF(INDEX('Education'!$Q$10:$Q$13,MATCH($F178,'Education'!$B$10:$B$13,0))="","Cell will autofill based on response",INDEX('Education'!$Q$10:$Q$13,MATCH($F178,'Education'!$B$10:$B$13,0))),"N/A")</f>
        <v/>
      </c>
      <c r="V178" s="53">
        <f>IFERROR(IF(INDEX('SaSS'!$Q$10:$Q$12,MATCH($F178,'SaSS'!$B$10:$B$12,0))="","Cell will autofill based on response",INDEX('SaSS'!$Q$10:$Q$12,MATCH($F178,'SaSS'!$B$10:$B$12,0))),"N/A")</f>
        <v/>
      </c>
      <c r="W178" s="53">
        <f>IFERROR(IF(INDEX('Indigenous'!$Q$10:$Q$11,MATCH($F178,'Indigenous'!$B$10:$B$11,0))="","Cell will autofill based on response",INDEX('Indigenous'!$Q$10:$Q$11,MATCH($F178,'Indigenous'!$B$10:$B$11,0))),"N/A")</f>
        <v/>
      </c>
      <c r="X178" s="53">
        <f>IFERROR(IF(INDEX('L&amp;R'!$Q$10:$Q$11,MATCH($F178,'L&amp;R'!$B$10:$B$11,0))="","Cell will autofill based on response",INDEX('L&amp;R'!$Q$10:$Q$11,MATCH($F178,'L&amp;R'!$B$10:$B$11,0))),"N/A")</f>
        <v/>
      </c>
    </row>
    <row r="179">
      <c r="A179">
        <f>F179&amp;"|"&amp;G179</f>
        <v/>
      </c>
      <c r="B179" s="7" t="inlineStr">
        <is>
          <t>EI1(b)</t>
        </is>
      </c>
      <c r="C179" s="51" t="inlineStr">
        <is>
          <t>Estate and infrastructure</t>
        </is>
      </c>
      <c r="D179" s="51" t="inlineStr">
        <is>
          <t>Estimated sustainability impacts of the University’s estate and infrastructure capital plan to inform progress towards emissions reduction targets and other priority areas (to the extent enabled by available information)</t>
        </is>
      </c>
      <c r="E179" s="51" t="inlineStr">
        <is>
          <t>Please provide any available information on sustainability impacts associated with estate and infrastructure projects or capital works relevant to your Faculty/Portfolio. This could include impacts related to emissions and other Sustainability 2030 priority areas.</t>
        </is>
      </c>
      <c r="F179" s="51" t="inlineStr">
        <is>
          <t>EI1(b)</t>
        </is>
      </c>
      <c r="G179" s="51" t="inlineStr">
        <is>
          <t>Confirm end-2026 target status</t>
        </is>
      </c>
      <c r="H179" s="53">
        <f>IFERROR(IF(INDEX('Faculties'!$L$10:$L$19,MATCH($F179,'Faculties'!$B$10:$B$19,0))="","Cell will autofill based on response",INDEX('Faculties'!$L$10:$L$19,MATCH($F179,'Faculties'!$B$10:$B$19,0))),"N/A")</f>
        <v/>
      </c>
      <c r="I179" s="53">
        <f>IFERROR(IF(INDEX('Faculties'!$L$26:$L$35,MATCH($F179,'Faculties'!$B$26:$B$35,0))="","Cell will autofill based on response",INDEX('Faculties'!$L$26:$L$35,MATCH($F179,'Faculties'!$B$26:$B$35,0))),"N/A")</f>
        <v/>
      </c>
      <c r="J179" s="53">
        <f>IFERROR(IF(INDEX('Faculties'!$L$42:$L$51,MATCH($F179,'Faculties'!$B$42:$B$51,0))="","Cell will autofill based on response",INDEX('Faculties'!$L$42:$L$51,MATCH($F179,'Faculties'!$B$42:$B$51,0))),"N/A")</f>
        <v/>
      </c>
      <c r="K179" s="53">
        <f>IFERROR(IF(INDEX('Faculties'!$L$58:$L$67,MATCH($F179,'Faculties'!$B$58:$B$67,0))="","Cell will autofill based on response",INDEX('Faculties'!$L$58:$L$67,MATCH($F179,'Faculties'!$B$58:$B$67,0))),"N/A")</f>
        <v/>
      </c>
      <c r="L179" s="53">
        <f>IFERROR(IF(INDEX('CI&amp;S'!$L$10:$L$15,MATCH($F179,'CI&amp;S'!$B$10:$B$15,0))="","Cell will autofill based on response",INDEX('CI&amp;S'!$L$10:$L$15,MATCH($F179,'CI&amp;S'!$B$10:$B$15,0))),"N/A")</f>
        <v/>
      </c>
      <c r="M179" s="53">
        <f>IFERROR(IF(INDEX('CI&amp;S'!$L$22:$L$36,MATCH($F179,'CI&amp;S'!$B$22:$B$36,0))="","Cell will autofill based on response",INDEX('CI&amp;S'!$L$22:$L$36,MATCH($F179,'CI&amp;S'!$B$22:$B$36,0))),"N/A")</f>
        <v/>
      </c>
      <c r="N179" s="53">
        <f>IFERROR(IF(INDEX('CFOG'!$L$10:$L$16,MATCH($F179,'CFOG'!$B$10:$B$16,0))="","Cell will autofill based on response",INDEX('CFOG'!$L$10:$L$16,MATCH($F179,'CFOG'!$B$10:$B$16,0))),"N/A")</f>
        <v/>
      </c>
      <c r="O179" s="53">
        <f>IFERROR(IF(INDEX('CFOG'!$L$23:$L$24,MATCH($F179,'CFOG'!$B$23:$B$24,0))="","Cell will autofill based on response",INDEX('CFOG'!$L$23:$L$24,MATCH($F179,'CFOG'!$B$23:$B$24,0))),"N/A")</f>
        <v/>
      </c>
      <c r="P179" s="53">
        <f>IFERROR(IF(INDEX('ESG'!$L$10:$L$17,MATCH($F179,'ESG'!$B$10:$B$17,0))="","Cell will autofill based on response",INDEX('ESG'!$L$10:$L$17,MATCH($F179,'ESG'!$B$10:$B$17,0))),"N/A")</f>
        <v/>
      </c>
      <c r="Q179" s="53">
        <f>IFERROR(IF(INDEX('CIOG'!$L$10:$L$14,MATCH($F179,'CIOG'!$B$10:$B$14,0))="","Cell will autofill based on response",INDEX('CIOG'!$L$10:$L$14,MATCH($F179,'CIOG'!$B$10:$B$14,0))),"N/A")</f>
        <v/>
      </c>
      <c r="R179" s="53">
        <f>IFERROR(IF(INDEX('MRE'!$L$10:$L$18,MATCH($F179,'MRE'!$B$10:$B$18,0))="","Cell will autofill based on response",INDEX('MRE'!$L$10:$L$18,MATCH($F179,'MRE'!$B$10:$B$18,0))),"N/A")</f>
        <v/>
      </c>
      <c r="S179" s="53">
        <f>IFERROR(IF(INDEX('AC&amp;M'!$L$10:$L$14,MATCH($F179,'AC&amp;M'!$B$10:$B$14,0))="","Cell will autofill based on response",INDEX('AC&amp;M'!$L$10:$L$14,MATCH($F179,'AC&amp;M'!$B$10:$B$14,0))),"N/A")</f>
        <v/>
      </c>
      <c r="T179" s="53">
        <f>IFERROR(IF(INDEX('GCE'!$L$10:$L$12,MATCH($F179,'GCE'!$B$10:$B$12,0))="","Cell will autofill based on response",INDEX('GCE'!$L$10:$L$12,MATCH($F179,'GCE'!$B$10:$B$12,0))),"N/A")</f>
        <v/>
      </c>
      <c r="U179" s="53">
        <f>IFERROR(IF(INDEX('Education'!$L$10:$L$13,MATCH($F179,'Education'!$B$10:$B$13,0))="","Cell will autofill based on response",INDEX('Education'!$L$10:$L$13,MATCH($F179,'Education'!$B$10:$B$13,0))),"N/A")</f>
        <v/>
      </c>
      <c r="V179" s="53">
        <f>IFERROR(IF(INDEX('SaSS'!$L$10:$L$12,MATCH($F179,'SaSS'!$B$10:$B$12,0))="","Cell will autofill based on response",INDEX('SaSS'!$L$10:$L$12,MATCH($F179,'SaSS'!$B$10:$B$12,0))),"N/A")</f>
        <v/>
      </c>
      <c r="W179" s="53">
        <f>IFERROR(IF(INDEX('Indigenous'!$L$10:$L$11,MATCH($F179,'Indigenous'!$B$10:$B$11,0))="","Cell will autofill based on response",INDEX('Indigenous'!$L$10:$L$11,MATCH($F179,'Indigenous'!$B$10:$B$11,0))),"N/A")</f>
        <v/>
      </c>
      <c r="X179" s="53">
        <f>IFERROR(IF(INDEX('L&amp;R'!$L$10:$L$11,MATCH($F179,'L&amp;R'!$B$10:$B$11,0))="","Cell will autofill based on response",INDEX('L&amp;R'!$L$10:$L$11,MATCH($F179,'L&amp;R'!$B$10:$B$11,0))),"N/A")</f>
        <v/>
      </c>
      <c r="Z179" s="10">
        <f>COUNTIF($H179:$X179,"Cell will autofill based on response")</f>
        <v/>
      </c>
      <c r="AA179" s="10">
        <f>COUNTIF($H179:$X179,"Not yet started")</f>
        <v/>
      </c>
      <c r="AB179" s="10">
        <f>COUNTIF($H179:$X179,"Not met")</f>
        <v/>
      </c>
      <c r="AC179" s="10">
        <f>COUNTIF($H179:$X179,"Partially met")</f>
        <v/>
      </c>
      <c r="AD179" s="10">
        <f>COUNTIF($H179:$X179,"Met or exceeded")</f>
        <v/>
      </c>
      <c r="AE179" s="10">
        <f>3*AD179+2*AC179+AB179</f>
        <v/>
      </c>
      <c r="AF179" s="10">
        <f>AD179+AC179+AB179+AA179</f>
        <v/>
      </c>
      <c r="AG179" s="54">
        <f>IF(AF179&gt;0,AE179/AF179,"No valid responses to date")</f>
        <v/>
      </c>
      <c r="AH179" s="10">
        <f>IF(ISNUMBER(AG179),INDEX(Lists!$G$2:$G$5,MATCH(ROUND(AG179,0),Lists!$H$2:$H$5,0)),"")</f>
        <v/>
      </c>
      <c r="AI179" s="55">
        <f>IF(AF179&gt;0,AD179/AF179,"")</f>
        <v/>
      </c>
      <c r="AJ179" s="55">
        <f>IF(AF179&gt;0,(AD179+AC179)/AF179,"")</f>
        <v/>
      </c>
      <c r="AK179" s="10">
        <f>IF(AF179=0,"",IF(AI179&gt;0.75,"Met or exceeded",IF(AJ179&gt;=0.5,"Partially met","Not met")))</f>
        <v/>
      </c>
    </row>
    <row r="180">
      <c r="A180">
        <f>F180&amp;"|"&amp;G180</f>
        <v/>
      </c>
      <c r="B180" s="13" t="inlineStr"/>
      <c r="C180" s="8" t="inlineStr"/>
      <c r="D180" s="8" t="inlineStr"/>
      <c r="E180" s="8" t="inlineStr"/>
      <c r="F180" s="8" t="inlineStr">
        <is>
          <t>EI1(b)</t>
        </is>
      </c>
      <c r="G180" s="8" t="inlineStr">
        <is>
          <t>OPTION 1:  Target-level reporting</t>
        </is>
      </c>
      <c r="H180" s="53">
        <f>IFERROR(IF(INDEX('Faculties'!$M$10:$M$19,MATCH($F180,'Faculties'!$B$10:$B$19,0))="","Cell will autofill based on response",INDEX('Faculties'!$M$10:$M$19,MATCH($F180,'Faculties'!$B$10:$B$19,0))),"N/A")</f>
        <v/>
      </c>
      <c r="I180" s="53">
        <f>IFERROR(IF(INDEX('Faculties'!$M$26:$M$35,MATCH($F180,'Faculties'!$B$26:$B$35,0))="","Cell will autofill based on response",INDEX('Faculties'!$M$26:$M$35,MATCH($F180,'Faculties'!$B$26:$B$35,0))),"N/A")</f>
        <v/>
      </c>
      <c r="J180" s="53">
        <f>IFERROR(IF(INDEX('Faculties'!$M$42:$M$51,MATCH($F180,'Faculties'!$B$42:$B$51,0))="","Cell will autofill based on response",INDEX('Faculties'!$M$42:$M$51,MATCH($F180,'Faculties'!$B$42:$B$51,0))),"N/A")</f>
        <v/>
      </c>
      <c r="K180" s="53">
        <f>IFERROR(IF(INDEX('Faculties'!$M$58:$M$67,MATCH($F180,'Faculties'!$B$58:$B$67,0))="","Cell will autofill based on response",INDEX('Faculties'!$M$58:$M$67,MATCH($F180,'Faculties'!$B$58:$B$67,0))),"N/A")</f>
        <v/>
      </c>
      <c r="L180" s="53">
        <f>IFERROR(IF(INDEX('CI&amp;S'!$M$10:$M$15,MATCH($F180,'CI&amp;S'!$B$10:$B$15,0))="","Cell will autofill based on response",INDEX('CI&amp;S'!$M$10:$M$15,MATCH($F180,'CI&amp;S'!$B$10:$B$15,0))),"N/A")</f>
        <v/>
      </c>
      <c r="M180" s="53">
        <f>IFERROR(IF(INDEX('CI&amp;S'!$M$22:$M$36,MATCH($F180,'CI&amp;S'!$B$22:$B$36,0))="","Cell will autofill based on response",INDEX('CI&amp;S'!$M$22:$M$36,MATCH($F180,'CI&amp;S'!$B$22:$B$36,0))),"N/A")</f>
        <v/>
      </c>
      <c r="N180" s="53">
        <f>IFERROR(IF(INDEX('CFOG'!$M$10:$M$16,MATCH($F180,'CFOG'!$B$10:$B$16,0))="","Cell will autofill based on response",INDEX('CFOG'!$M$10:$M$16,MATCH($F180,'CFOG'!$B$10:$B$16,0))),"N/A")</f>
        <v/>
      </c>
      <c r="O180" s="53">
        <f>IFERROR(IF(INDEX('CFOG'!$M$23:$M$24,MATCH($F180,'CFOG'!$B$23:$B$24,0))="","Cell will autofill based on response",INDEX('CFOG'!$M$23:$M$24,MATCH($F180,'CFOG'!$B$23:$B$24,0))),"N/A")</f>
        <v/>
      </c>
      <c r="P180" s="53">
        <f>IFERROR(IF(INDEX('ESG'!$M$10:$M$17,MATCH($F180,'ESG'!$B$10:$B$17,0))="","Cell will autofill based on response",INDEX('ESG'!$M$10:$M$17,MATCH($F180,'ESG'!$B$10:$B$17,0))),"N/A")</f>
        <v/>
      </c>
      <c r="Q180" s="53">
        <f>IFERROR(IF(INDEX('CIOG'!$M$10:$M$14,MATCH($F180,'CIOG'!$B$10:$B$14,0))="","Cell will autofill based on response",INDEX('CIOG'!$M$10:$M$14,MATCH($F180,'CIOG'!$B$10:$B$14,0))),"N/A")</f>
        <v/>
      </c>
      <c r="R180" s="53">
        <f>IFERROR(IF(INDEX('MRE'!$M$10:$M$18,MATCH($F180,'MRE'!$B$10:$B$18,0))="","Cell will autofill based on response",INDEX('MRE'!$M$10:$M$18,MATCH($F180,'MRE'!$B$10:$B$18,0))),"N/A")</f>
        <v/>
      </c>
      <c r="S180" s="53">
        <f>IFERROR(IF(INDEX('AC&amp;M'!$M$10:$M$14,MATCH($F180,'AC&amp;M'!$B$10:$B$14,0))="","Cell will autofill based on response",INDEX('AC&amp;M'!$M$10:$M$14,MATCH($F180,'AC&amp;M'!$B$10:$B$14,0))),"N/A")</f>
        <v/>
      </c>
      <c r="T180" s="53">
        <f>IFERROR(IF(INDEX('GCE'!$M$10:$M$12,MATCH($F180,'GCE'!$B$10:$B$12,0))="","Cell will autofill based on response",INDEX('GCE'!$M$10:$M$12,MATCH($F180,'GCE'!$B$10:$B$12,0))),"N/A")</f>
        <v/>
      </c>
      <c r="U180" s="53">
        <f>IFERROR(IF(INDEX('Education'!$M$10:$M$13,MATCH($F180,'Education'!$B$10:$B$13,0))="","Cell will autofill based on response",INDEX('Education'!$M$10:$M$13,MATCH($F180,'Education'!$B$10:$B$13,0))),"N/A")</f>
        <v/>
      </c>
      <c r="V180" s="53">
        <f>IFERROR(IF(INDEX('SaSS'!$M$10:$M$12,MATCH($F180,'SaSS'!$B$10:$B$12,0))="","Cell will autofill based on response",INDEX('SaSS'!$M$10:$M$12,MATCH($F180,'SaSS'!$B$10:$B$12,0))),"N/A")</f>
        <v/>
      </c>
      <c r="W180" s="53">
        <f>IFERROR(IF(INDEX('Indigenous'!$M$10:$M$11,MATCH($F180,'Indigenous'!$B$10:$B$11,0))="","Cell will autofill based on response",INDEX('Indigenous'!$M$10:$M$11,MATCH($F180,'Indigenous'!$B$10:$B$11,0))),"N/A")</f>
        <v/>
      </c>
      <c r="X180" s="53">
        <f>IFERROR(IF(INDEX('L&amp;R'!$M$10:$M$11,MATCH($F180,'L&amp;R'!$B$10:$B$11,0))="","Cell will autofill based on response",INDEX('L&amp;R'!$M$10:$M$11,MATCH($F180,'L&amp;R'!$B$10:$B$11,0))),"N/A")</f>
        <v/>
      </c>
    </row>
    <row r="181">
      <c r="A181">
        <f>F181&amp;"|"&amp;G181</f>
        <v/>
      </c>
      <c r="B181" s="13" t="inlineStr"/>
      <c r="C181" s="8" t="inlineStr"/>
      <c r="D181" s="8" t="inlineStr"/>
      <c r="E181" s="8" t="inlineStr"/>
      <c r="F181" s="8" t="inlineStr">
        <is>
          <t>EI1(b)</t>
        </is>
      </c>
      <c r="G181" s="8" t="inlineStr">
        <is>
          <t>OPTION 2:  Indicator level reporting</t>
        </is>
      </c>
      <c r="H181" s="53">
        <f>IFERROR(IF(INDEX('Faculties'!$N$10:$N$19,MATCH($F181,'Faculties'!$B$10:$B$19,0))="","Cell will autofill based on response",INDEX('Faculties'!$N$10:$N$19,MATCH($F181,'Faculties'!$B$10:$B$19,0))),"N/A")</f>
        <v/>
      </c>
      <c r="I181" s="53">
        <f>IFERROR(IF(INDEX('Faculties'!$N$26:$N$35,MATCH($F181,'Faculties'!$B$26:$B$35,0))="","Cell will autofill based on response",INDEX('Faculties'!$N$26:$N$35,MATCH($F181,'Faculties'!$B$26:$B$35,0))),"N/A")</f>
        <v/>
      </c>
      <c r="J181" s="53">
        <f>IFERROR(IF(INDEX('Faculties'!$N$42:$N$51,MATCH($F181,'Faculties'!$B$42:$B$51,0))="","Cell will autofill based on response",INDEX('Faculties'!$N$42:$N$51,MATCH($F181,'Faculties'!$B$42:$B$51,0))),"N/A")</f>
        <v/>
      </c>
      <c r="K181" s="53">
        <f>IFERROR(IF(INDEX('Faculties'!$N$58:$N$67,MATCH($F181,'Faculties'!$B$58:$B$67,0))="","Cell will autofill based on response",INDEX('Faculties'!$N$58:$N$67,MATCH($F181,'Faculties'!$B$58:$B$67,0))),"N/A")</f>
        <v/>
      </c>
      <c r="L181" s="53">
        <f>IFERROR(IF(INDEX('CI&amp;S'!$N$10:$N$15,MATCH($F181,'CI&amp;S'!$B$10:$B$15,0))="","Cell will autofill based on response",INDEX('CI&amp;S'!$N$10:$N$15,MATCH($F181,'CI&amp;S'!$B$10:$B$15,0))),"N/A")</f>
        <v/>
      </c>
      <c r="M181" s="53">
        <f>IFERROR(IF(INDEX('CI&amp;S'!$N$22:$N$36,MATCH($F181,'CI&amp;S'!$B$22:$B$36,0))="","Cell will autofill based on response",INDEX('CI&amp;S'!$N$22:$N$36,MATCH($F181,'CI&amp;S'!$B$22:$B$36,0))),"N/A")</f>
        <v/>
      </c>
      <c r="N181" s="53">
        <f>IFERROR(IF(INDEX('CFOG'!$N$10:$N$16,MATCH($F181,'CFOG'!$B$10:$B$16,0))="","Cell will autofill based on response",INDEX('CFOG'!$N$10:$N$16,MATCH($F181,'CFOG'!$B$10:$B$16,0))),"N/A")</f>
        <v/>
      </c>
      <c r="O181" s="53">
        <f>IFERROR(IF(INDEX('CFOG'!$N$23:$N$24,MATCH($F181,'CFOG'!$B$23:$B$24,0))="","Cell will autofill based on response",INDEX('CFOG'!$N$23:$N$24,MATCH($F181,'CFOG'!$B$23:$B$24,0))),"N/A")</f>
        <v/>
      </c>
      <c r="P181" s="53">
        <f>IFERROR(IF(INDEX('ESG'!$N$10:$N$17,MATCH($F181,'ESG'!$B$10:$B$17,0))="","Cell will autofill based on response",INDEX('ESG'!$N$10:$N$17,MATCH($F181,'ESG'!$B$10:$B$17,0))),"N/A")</f>
        <v/>
      </c>
      <c r="Q181" s="53">
        <f>IFERROR(IF(INDEX('CIOG'!$N$10:$N$14,MATCH($F181,'CIOG'!$B$10:$B$14,0))="","Cell will autofill based on response",INDEX('CIOG'!$N$10:$N$14,MATCH($F181,'CIOG'!$B$10:$B$14,0))),"N/A")</f>
        <v/>
      </c>
      <c r="R181" s="53">
        <f>IFERROR(IF(INDEX('MRE'!$N$10:$N$18,MATCH($F181,'MRE'!$B$10:$B$18,0))="","Cell will autofill based on response",INDEX('MRE'!$N$10:$N$18,MATCH($F181,'MRE'!$B$10:$B$18,0))),"N/A")</f>
        <v/>
      </c>
      <c r="S181" s="53">
        <f>IFERROR(IF(INDEX('AC&amp;M'!$N$10:$N$14,MATCH($F181,'AC&amp;M'!$B$10:$B$14,0))="","Cell will autofill based on response",INDEX('AC&amp;M'!$N$10:$N$14,MATCH($F181,'AC&amp;M'!$B$10:$B$14,0))),"N/A")</f>
        <v/>
      </c>
      <c r="T181" s="53">
        <f>IFERROR(IF(INDEX('GCE'!$N$10:$N$12,MATCH($F181,'GCE'!$B$10:$B$12,0))="","Cell will autofill based on response",INDEX('GCE'!$N$10:$N$12,MATCH($F181,'GCE'!$B$10:$B$12,0))),"N/A")</f>
        <v/>
      </c>
      <c r="U181" s="53">
        <f>IFERROR(IF(INDEX('Education'!$N$10:$N$13,MATCH($F181,'Education'!$B$10:$B$13,0))="","Cell will autofill based on response",INDEX('Education'!$N$10:$N$13,MATCH($F181,'Education'!$B$10:$B$13,0))),"N/A")</f>
        <v/>
      </c>
      <c r="V181" s="53">
        <f>IFERROR(IF(INDEX('SaSS'!$N$10:$N$12,MATCH($F181,'SaSS'!$B$10:$B$12,0))="","Cell will autofill based on response",INDEX('SaSS'!$N$10:$N$12,MATCH($F181,'SaSS'!$B$10:$B$12,0))),"N/A")</f>
        <v/>
      </c>
      <c r="W181" s="53">
        <f>IFERROR(IF(INDEX('Indigenous'!$N$10:$N$11,MATCH($F181,'Indigenous'!$B$10:$B$11,0))="","Cell will autofill based on response",INDEX('Indigenous'!$N$10:$N$11,MATCH($F181,'Indigenous'!$B$10:$B$11,0))),"N/A")</f>
        <v/>
      </c>
      <c r="X181" s="53">
        <f>IFERROR(IF(INDEX('L&amp;R'!$N$10:$N$11,MATCH($F181,'L&amp;R'!$B$10:$B$11,0))="","Cell will autofill based on response",INDEX('L&amp;R'!$N$10:$N$11,MATCH($F181,'L&amp;R'!$B$10:$B$11,0))),"N/A")</f>
        <v/>
      </c>
    </row>
    <row r="182">
      <c r="A182">
        <f>F182&amp;"|"&amp;G182</f>
        <v/>
      </c>
      <c r="B182" s="13" t="inlineStr"/>
      <c r="C182" s="8" t="inlineStr"/>
      <c r="D182" s="8" t="inlineStr"/>
      <c r="E182" s="8" t="inlineStr"/>
      <c r="F182" s="8" t="inlineStr">
        <is>
          <t>EI1(b)</t>
        </is>
      </c>
      <c r="G182" s="8" t="inlineStr">
        <is>
          <t>Supporting information/comments</t>
        </is>
      </c>
      <c r="H182" s="53">
        <f>IFERROR(IF(INDEX('Faculties'!$O$10:$O$19,MATCH($F182,'Faculties'!$B$10:$B$19,0))="","Cell will autofill based on response",INDEX('Faculties'!$O$10:$O$19,MATCH($F182,'Faculties'!$B$10:$B$19,0))),"N/A")</f>
        <v/>
      </c>
      <c r="I182" s="53">
        <f>IFERROR(IF(INDEX('Faculties'!$O$26:$O$35,MATCH($F182,'Faculties'!$B$26:$B$35,0))="","Cell will autofill based on response",INDEX('Faculties'!$O$26:$O$35,MATCH($F182,'Faculties'!$B$26:$B$35,0))),"N/A")</f>
        <v/>
      </c>
      <c r="J182" s="53">
        <f>IFERROR(IF(INDEX('Faculties'!$O$42:$O$51,MATCH($F182,'Faculties'!$B$42:$B$51,0))="","Cell will autofill based on response",INDEX('Faculties'!$O$42:$O$51,MATCH($F182,'Faculties'!$B$42:$B$51,0))),"N/A")</f>
        <v/>
      </c>
      <c r="K182" s="53">
        <f>IFERROR(IF(INDEX('Faculties'!$O$58:$O$67,MATCH($F182,'Faculties'!$B$58:$B$67,0))="","Cell will autofill based on response",INDEX('Faculties'!$O$58:$O$67,MATCH($F182,'Faculties'!$B$58:$B$67,0))),"N/A")</f>
        <v/>
      </c>
      <c r="L182" s="53">
        <f>IFERROR(IF(INDEX('CI&amp;S'!$O$10:$O$15,MATCH($F182,'CI&amp;S'!$B$10:$B$15,0))="","Cell will autofill based on response",INDEX('CI&amp;S'!$O$10:$O$15,MATCH($F182,'CI&amp;S'!$B$10:$B$15,0))),"N/A")</f>
        <v/>
      </c>
      <c r="M182" s="53">
        <f>IFERROR(IF(INDEX('CI&amp;S'!$O$22:$O$36,MATCH($F182,'CI&amp;S'!$B$22:$B$36,0))="","Cell will autofill based on response",INDEX('CI&amp;S'!$O$22:$O$36,MATCH($F182,'CI&amp;S'!$B$22:$B$36,0))),"N/A")</f>
        <v/>
      </c>
      <c r="N182" s="53">
        <f>IFERROR(IF(INDEX('CFOG'!$O$10:$O$16,MATCH($F182,'CFOG'!$B$10:$B$16,0))="","Cell will autofill based on response",INDEX('CFOG'!$O$10:$O$16,MATCH($F182,'CFOG'!$B$10:$B$16,0))),"N/A")</f>
        <v/>
      </c>
      <c r="O182" s="53">
        <f>IFERROR(IF(INDEX('CFOG'!$O$23:$O$24,MATCH($F182,'CFOG'!$B$23:$B$24,0))="","Cell will autofill based on response",INDEX('CFOG'!$O$23:$O$24,MATCH($F182,'CFOG'!$B$23:$B$24,0))),"N/A")</f>
        <v/>
      </c>
      <c r="P182" s="53">
        <f>IFERROR(IF(INDEX('ESG'!$O$10:$O$17,MATCH($F182,'ESG'!$B$10:$B$17,0))="","Cell will autofill based on response",INDEX('ESG'!$O$10:$O$17,MATCH($F182,'ESG'!$B$10:$B$17,0))),"N/A")</f>
        <v/>
      </c>
      <c r="Q182" s="53">
        <f>IFERROR(IF(INDEX('CIOG'!$O$10:$O$14,MATCH($F182,'CIOG'!$B$10:$B$14,0))="","Cell will autofill based on response",INDEX('CIOG'!$O$10:$O$14,MATCH($F182,'CIOG'!$B$10:$B$14,0))),"N/A")</f>
        <v/>
      </c>
      <c r="R182" s="53">
        <f>IFERROR(IF(INDEX('MRE'!$O$10:$O$18,MATCH($F182,'MRE'!$B$10:$B$18,0))="","Cell will autofill based on response",INDEX('MRE'!$O$10:$O$18,MATCH($F182,'MRE'!$B$10:$B$18,0))),"N/A")</f>
        <v/>
      </c>
      <c r="S182" s="53">
        <f>IFERROR(IF(INDEX('AC&amp;M'!$O$10:$O$14,MATCH($F182,'AC&amp;M'!$B$10:$B$14,0))="","Cell will autofill based on response",INDEX('AC&amp;M'!$O$10:$O$14,MATCH($F182,'AC&amp;M'!$B$10:$B$14,0))),"N/A")</f>
        <v/>
      </c>
      <c r="T182" s="53">
        <f>IFERROR(IF(INDEX('GCE'!$O$10:$O$12,MATCH($F182,'GCE'!$B$10:$B$12,0))="","Cell will autofill based on response",INDEX('GCE'!$O$10:$O$12,MATCH($F182,'GCE'!$B$10:$B$12,0))),"N/A")</f>
        <v/>
      </c>
      <c r="U182" s="53">
        <f>IFERROR(IF(INDEX('Education'!$O$10:$O$13,MATCH($F182,'Education'!$B$10:$B$13,0))="","Cell will autofill based on response",INDEX('Education'!$O$10:$O$13,MATCH($F182,'Education'!$B$10:$B$13,0))),"N/A")</f>
        <v/>
      </c>
      <c r="V182" s="53">
        <f>IFERROR(IF(INDEX('SaSS'!$O$10:$O$12,MATCH($F182,'SaSS'!$B$10:$B$12,0))="","Cell will autofill based on response",INDEX('SaSS'!$O$10:$O$12,MATCH($F182,'SaSS'!$B$10:$B$12,0))),"N/A")</f>
        <v/>
      </c>
      <c r="W182" s="53">
        <f>IFERROR(IF(INDEX('Indigenous'!$O$10:$O$11,MATCH($F182,'Indigenous'!$B$10:$B$11,0))="","Cell will autofill based on response",INDEX('Indigenous'!$O$10:$O$11,MATCH($F182,'Indigenous'!$B$10:$B$11,0))),"N/A")</f>
        <v/>
      </c>
      <c r="X182" s="53">
        <f>IFERROR(IF(INDEX('L&amp;R'!$O$10:$O$11,MATCH($F182,'L&amp;R'!$B$10:$B$11,0))="","Cell will autofill based on response",INDEX('L&amp;R'!$O$10:$O$11,MATCH($F182,'L&amp;R'!$B$10:$B$11,0))),"N/A")</f>
        <v/>
      </c>
    </row>
    <row r="183">
      <c r="A183">
        <f>F183&amp;"|"&amp;G183</f>
        <v/>
      </c>
      <c r="B183" s="13" t="inlineStr"/>
      <c r="C183" s="8" t="inlineStr"/>
      <c r="D183" s="8" t="inlineStr"/>
      <c r="E183" s="8" t="inlineStr"/>
      <c r="F183" s="8" t="inlineStr">
        <is>
          <t>EI1(b)</t>
        </is>
      </c>
      <c r="G183" s="8" t="inlineStr">
        <is>
          <t>Data source and limitations</t>
        </is>
      </c>
      <c r="H183" s="53">
        <f>IFERROR(IF(INDEX('Faculties'!$P$10:$P$19,MATCH($F183,'Faculties'!$B$10:$B$19,0))="","Cell will autofill based on response",INDEX('Faculties'!$P$10:$P$19,MATCH($F183,'Faculties'!$B$10:$B$19,0))),"N/A")</f>
        <v/>
      </c>
      <c r="I183" s="53">
        <f>IFERROR(IF(INDEX('Faculties'!$P$26:$P$35,MATCH($F183,'Faculties'!$B$26:$B$35,0))="","Cell will autofill based on response",INDEX('Faculties'!$P$26:$P$35,MATCH($F183,'Faculties'!$B$26:$B$35,0))),"N/A")</f>
        <v/>
      </c>
      <c r="J183" s="53">
        <f>IFERROR(IF(INDEX('Faculties'!$P$42:$P$51,MATCH($F183,'Faculties'!$B$42:$B$51,0))="","Cell will autofill based on response",INDEX('Faculties'!$P$42:$P$51,MATCH($F183,'Faculties'!$B$42:$B$51,0))),"N/A")</f>
        <v/>
      </c>
      <c r="K183" s="53">
        <f>IFERROR(IF(INDEX('Faculties'!$P$58:$P$67,MATCH($F183,'Faculties'!$B$58:$B$67,0))="","Cell will autofill based on response",INDEX('Faculties'!$P$58:$P$67,MATCH($F183,'Faculties'!$B$58:$B$67,0))),"N/A")</f>
        <v/>
      </c>
      <c r="L183" s="53">
        <f>IFERROR(IF(INDEX('CI&amp;S'!$P$10:$P$15,MATCH($F183,'CI&amp;S'!$B$10:$B$15,0))="","Cell will autofill based on response",INDEX('CI&amp;S'!$P$10:$P$15,MATCH($F183,'CI&amp;S'!$B$10:$B$15,0))),"N/A")</f>
        <v/>
      </c>
      <c r="M183" s="53">
        <f>IFERROR(IF(INDEX('CI&amp;S'!$P$22:$P$36,MATCH($F183,'CI&amp;S'!$B$22:$B$36,0))="","Cell will autofill based on response",INDEX('CI&amp;S'!$P$22:$P$36,MATCH($F183,'CI&amp;S'!$B$22:$B$36,0))),"N/A")</f>
        <v/>
      </c>
      <c r="N183" s="53">
        <f>IFERROR(IF(INDEX('CFOG'!$P$10:$P$16,MATCH($F183,'CFOG'!$B$10:$B$16,0))="","Cell will autofill based on response",INDEX('CFOG'!$P$10:$P$16,MATCH($F183,'CFOG'!$B$10:$B$16,0))),"N/A")</f>
        <v/>
      </c>
      <c r="O183" s="53">
        <f>IFERROR(IF(INDEX('CFOG'!$P$23:$P$24,MATCH($F183,'CFOG'!$B$23:$B$24,0))="","Cell will autofill based on response",INDEX('CFOG'!$P$23:$P$24,MATCH($F183,'CFOG'!$B$23:$B$24,0))),"N/A")</f>
        <v/>
      </c>
      <c r="P183" s="53">
        <f>IFERROR(IF(INDEX('ESG'!$P$10:$P$17,MATCH($F183,'ESG'!$B$10:$B$17,0))="","Cell will autofill based on response",INDEX('ESG'!$P$10:$P$17,MATCH($F183,'ESG'!$B$10:$B$17,0))),"N/A")</f>
        <v/>
      </c>
      <c r="Q183" s="53">
        <f>IFERROR(IF(INDEX('CIOG'!$P$10:$P$14,MATCH($F183,'CIOG'!$B$10:$B$14,0))="","Cell will autofill based on response",INDEX('CIOG'!$P$10:$P$14,MATCH($F183,'CIOG'!$B$10:$B$14,0))),"N/A")</f>
        <v/>
      </c>
      <c r="R183" s="53">
        <f>IFERROR(IF(INDEX('MRE'!$P$10:$P$18,MATCH($F183,'MRE'!$B$10:$B$18,0))="","Cell will autofill based on response",INDEX('MRE'!$P$10:$P$18,MATCH($F183,'MRE'!$B$10:$B$18,0))),"N/A")</f>
        <v/>
      </c>
      <c r="S183" s="53">
        <f>IFERROR(IF(INDEX('AC&amp;M'!$P$10:$P$14,MATCH($F183,'AC&amp;M'!$B$10:$B$14,0))="","Cell will autofill based on response",INDEX('AC&amp;M'!$P$10:$P$14,MATCH($F183,'AC&amp;M'!$B$10:$B$14,0))),"N/A")</f>
        <v/>
      </c>
      <c r="T183" s="53">
        <f>IFERROR(IF(INDEX('GCE'!$P$10:$P$12,MATCH($F183,'GCE'!$B$10:$B$12,0))="","Cell will autofill based on response",INDEX('GCE'!$P$10:$P$12,MATCH($F183,'GCE'!$B$10:$B$12,0))),"N/A")</f>
        <v/>
      </c>
      <c r="U183" s="53">
        <f>IFERROR(IF(INDEX('Education'!$P$10:$P$13,MATCH($F183,'Education'!$B$10:$B$13,0))="","Cell will autofill based on response",INDEX('Education'!$P$10:$P$13,MATCH($F183,'Education'!$B$10:$B$13,0))),"N/A")</f>
        <v/>
      </c>
      <c r="V183" s="53">
        <f>IFERROR(IF(INDEX('SaSS'!$P$10:$P$12,MATCH($F183,'SaSS'!$B$10:$B$12,0))="","Cell will autofill based on response",INDEX('SaSS'!$P$10:$P$12,MATCH($F183,'SaSS'!$B$10:$B$12,0))),"N/A")</f>
        <v/>
      </c>
      <c r="W183" s="53">
        <f>IFERROR(IF(INDEX('Indigenous'!$P$10:$P$11,MATCH($F183,'Indigenous'!$B$10:$B$11,0))="","Cell will autofill based on response",INDEX('Indigenous'!$P$10:$P$11,MATCH($F183,'Indigenous'!$B$10:$B$11,0))),"N/A")</f>
        <v/>
      </c>
      <c r="X183" s="53">
        <f>IFERROR(IF(INDEX('L&amp;R'!$P$10:$P$11,MATCH($F183,'L&amp;R'!$B$10:$B$11,0))="","Cell will autofill based on response",INDEX('L&amp;R'!$P$10:$P$11,MATCH($F183,'L&amp;R'!$B$10:$B$11,0))),"N/A")</f>
        <v/>
      </c>
    </row>
    <row r="184">
      <c r="A184">
        <f>F184&amp;"|"&amp;G184</f>
        <v/>
      </c>
      <c r="B184" s="13" t="inlineStr"/>
      <c r="C184" s="8" t="inlineStr"/>
      <c r="D184" s="8" t="inlineStr"/>
      <c r="E184" s="8" t="inlineStr"/>
      <c r="F184" s="8" t="inlineStr">
        <is>
          <t>EI1(b)</t>
        </is>
      </c>
      <c r="G184" s="8" t="inlineStr">
        <is>
          <t>Data owner confirms</t>
        </is>
      </c>
      <c r="H184" s="53">
        <f>IFERROR(IF(INDEX('Faculties'!$Q$10:$Q$19,MATCH($F184,'Faculties'!$B$10:$B$19,0))="","Cell will autofill based on response",INDEX('Faculties'!$Q$10:$Q$19,MATCH($F184,'Faculties'!$B$10:$B$19,0))),"N/A")</f>
        <v/>
      </c>
      <c r="I184" s="53">
        <f>IFERROR(IF(INDEX('Faculties'!$Q$26:$Q$35,MATCH($F184,'Faculties'!$B$26:$B$35,0))="","Cell will autofill based on response",INDEX('Faculties'!$Q$26:$Q$35,MATCH($F184,'Faculties'!$B$26:$B$35,0))),"N/A")</f>
        <v/>
      </c>
      <c r="J184" s="53">
        <f>IFERROR(IF(INDEX('Faculties'!$Q$42:$Q$51,MATCH($F184,'Faculties'!$B$42:$B$51,0))="","Cell will autofill based on response",INDEX('Faculties'!$Q$42:$Q$51,MATCH($F184,'Faculties'!$B$42:$B$51,0))),"N/A")</f>
        <v/>
      </c>
      <c r="K184" s="53">
        <f>IFERROR(IF(INDEX('Faculties'!$Q$58:$Q$67,MATCH($F184,'Faculties'!$B$58:$B$67,0))="","Cell will autofill based on response",INDEX('Faculties'!$Q$58:$Q$67,MATCH($F184,'Faculties'!$B$58:$B$67,0))),"N/A")</f>
        <v/>
      </c>
      <c r="L184" s="53">
        <f>IFERROR(IF(INDEX('CI&amp;S'!$Q$10:$Q$15,MATCH($F184,'CI&amp;S'!$B$10:$B$15,0))="","Cell will autofill based on response",INDEX('CI&amp;S'!$Q$10:$Q$15,MATCH($F184,'CI&amp;S'!$B$10:$B$15,0))),"N/A")</f>
        <v/>
      </c>
      <c r="M184" s="53">
        <f>IFERROR(IF(INDEX('CI&amp;S'!$Q$22:$Q$36,MATCH($F184,'CI&amp;S'!$B$22:$B$36,0))="","Cell will autofill based on response",INDEX('CI&amp;S'!$Q$22:$Q$36,MATCH($F184,'CI&amp;S'!$B$22:$B$36,0))),"N/A")</f>
        <v/>
      </c>
      <c r="N184" s="53">
        <f>IFERROR(IF(INDEX('CFOG'!$Q$10:$Q$16,MATCH($F184,'CFOG'!$B$10:$B$16,0))="","Cell will autofill based on response",INDEX('CFOG'!$Q$10:$Q$16,MATCH($F184,'CFOG'!$B$10:$B$16,0))),"N/A")</f>
        <v/>
      </c>
      <c r="O184" s="53">
        <f>IFERROR(IF(INDEX('CFOG'!$Q$23:$Q$24,MATCH($F184,'CFOG'!$B$23:$B$24,0))="","Cell will autofill based on response",INDEX('CFOG'!$Q$23:$Q$24,MATCH($F184,'CFOG'!$B$23:$B$24,0))),"N/A")</f>
        <v/>
      </c>
      <c r="P184" s="53">
        <f>IFERROR(IF(INDEX('ESG'!$Q$10:$Q$17,MATCH($F184,'ESG'!$B$10:$B$17,0))="","Cell will autofill based on response",INDEX('ESG'!$Q$10:$Q$17,MATCH($F184,'ESG'!$B$10:$B$17,0))),"N/A")</f>
        <v/>
      </c>
      <c r="Q184" s="53">
        <f>IFERROR(IF(INDEX('CIOG'!$Q$10:$Q$14,MATCH($F184,'CIOG'!$B$10:$B$14,0))="","Cell will autofill based on response",INDEX('CIOG'!$Q$10:$Q$14,MATCH($F184,'CIOG'!$B$10:$B$14,0))),"N/A")</f>
        <v/>
      </c>
      <c r="R184" s="53">
        <f>IFERROR(IF(INDEX('MRE'!$Q$10:$Q$18,MATCH($F184,'MRE'!$B$10:$B$18,0))="","Cell will autofill based on response",INDEX('MRE'!$Q$10:$Q$18,MATCH($F184,'MRE'!$B$10:$B$18,0))),"N/A")</f>
        <v/>
      </c>
      <c r="S184" s="53">
        <f>IFERROR(IF(INDEX('AC&amp;M'!$Q$10:$Q$14,MATCH($F184,'AC&amp;M'!$B$10:$B$14,0))="","Cell will autofill based on response",INDEX('AC&amp;M'!$Q$10:$Q$14,MATCH($F184,'AC&amp;M'!$B$10:$B$14,0))),"N/A")</f>
        <v/>
      </c>
      <c r="T184" s="53">
        <f>IFERROR(IF(INDEX('GCE'!$Q$10:$Q$12,MATCH($F184,'GCE'!$B$10:$B$12,0))="","Cell will autofill based on response",INDEX('GCE'!$Q$10:$Q$12,MATCH($F184,'GCE'!$B$10:$B$12,0))),"N/A")</f>
        <v/>
      </c>
      <c r="U184" s="53">
        <f>IFERROR(IF(INDEX('Education'!$Q$10:$Q$13,MATCH($F184,'Education'!$B$10:$B$13,0))="","Cell will autofill based on response",INDEX('Education'!$Q$10:$Q$13,MATCH($F184,'Education'!$B$10:$B$13,0))),"N/A")</f>
        <v/>
      </c>
      <c r="V184" s="53">
        <f>IFERROR(IF(INDEX('SaSS'!$Q$10:$Q$12,MATCH($F184,'SaSS'!$B$10:$B$12,0))="","Cell will autofill based on response",INDEX('SaSS'!$Q$10:$Q$12,MATCH($F184,'SaSS'!$B$10:$B$12,0))),"N/A")</f>
        <v/>
      </c>
      <c r="W184" s="53">
        <f>IFERROR(IF(INDEX('Indigenous'!$Q$10:$Q$11,MATCH($F184,'Indigenous'!$B$10:$B$11,0))="","Cell will autofill based on response",INDEX('Indigenous'!$Q$10:$Q$11,MATCH($F184,'Indigenous'!$B$10:$B$11,0))),"N/A")</f>
        <v/>
      </c>
      <c r="X184" s="53">
        <f>IFERROR(IF(INDEX('L&amp;R'!$Q$10:$Q$11,MATCH($F184,'L&amp;R'!$B$10:$B$11,0))="","Cell will autofill based on response",INDEX('L&amp;R'!$Q$10:$Q$11,MATCH($F184,'L&amp;R'!$B$10:$B$11,0))),"N/A")</f>
        <v/>
      </c>
    </row>
    <row r="185">
      <c r="A185">
        <f>F185&amp;"|"&amp;G185</f>
        <v/>
      </c>
      <c r="B185" s="7" t="inlineStr">
        <is>
          <t>EI1(c)</t>
        </is>
      </c>
      <c r="C185" s="51" t="inlineStr">
        <is>
          <t>Estate and infrastructure</t>
        </is>
      </c>
      <c r="D185" s="51" t="inlineStr">
        <is>
          <t>Reporting on relevant activities and impacts for the University’s major estate and infrastructure projects and programs aligned with the other priority areas in Sustainability 2030</t>
        </is>
      </c>
      <c r="E185" s="51" t="inlineStr">
        <is>
          <t>Please provide an update on sustainability-related activities and impacts for major estate and infrastructure projects or programs relevant to your Faculty/Portfolio. This could include key initiatives, relevant performance measures and alignment with Sustainability 2030 priority areas.</t>
        </is>
      </c>
      <c r="F185" s="51" t="inlineStr">
        <is>
          <t>EI1(c)</t>
        </is>
      </c>
      <c r="G185" s="51" t="inlineStr">
        <is>
          <t>Confirm end-2026 target status</t>
        </is>
      </c>
      <c r="H185" s="53">
        <f>IFERROR(IF(INDEX('Faculties'!$L$10:$L$19,MATCH($F185,'Faculties'!$B$10:$B$19,0))="","Cell will autofill based on response",INDEX('Faculties'!$L$10:$L$19,MATCH($F185,'Faculties'!$B$10:$B$19,0))),"N/A")</f>
        <v/>
      </c>
      <c r="I185" s="53">
        <f>IFERROR(IF(INDEX('Faculties'!$L$26:$L$35,MATCH($F185,'Faculties'!$B$26:$B$35,0))="","Cell will autofill based on response",INDEX('Faculties'!$L$26:$L$35,MATCH($F185,'Faculties'!$B$26:$B$35,0))),"N/A")</f>
        <v/>
      </c>
      <c r="J185" s="53">
        <f>IFERROR(IF(INDEX('Faculties'!$L$42:$L$51,MATCH($F185,'Faculties'!$B$42:$B$51,0))="","Cell will autofill based on response",INDEX('Faculties'!$L$42:$L$51,MATCH($F185,'Faculties'!$B$42:$B$51,0))),"N/A")</f>
        <v/>
      </c>
      <c r="K185" s="53">
        <f>IFERROR(IF(INDEX('Faculties'!$L$58:$L$67,MATCH($F185,'Faculties'!$B$58:$B$67,0))="","Cell will autofill based on response",INDEX('Faculties'!$L$58:$L$67,MATCH($F185,'Faculties'!$B$58:$B$67,0))),"N/A")</f>
        <v/>
      </c>
      <c r="L185" s="53">
        <f>IFERROR(IF(INDEX('CI&amp;S'!$L$10:$L$15,MATCH($F185,'CI&amp;S'!$B$10:$B$15,0))="","Cell will autofill based on response",INDEX('CI&amp;S'!$L$10:$L$15,MATCH($F185,'CI&amp;S'!$B$10:$B$15,0))),"N/A")</f>
        <v/>
      </c>
      <c r="M185" s="53">
        <f>IFERROR(IF(INDEX('CI&amp;S'!$L$22:$L$36,MATCH($F185,'CI&amp;S'!$B$22:$B$36,0))="","Cell will autofill based on response",INDEX('CI&amp;S'!$L$22:$L$36,MATCH($F185,'CI&amp;S'!$B$22:$B$36,0))),"N/A")</f>
        <v/>
      </c>
      <c r="N185" s="53">
        <f>IFERROR(IF(INDEX('CFOG'!$L$10:$L$16,MATCH($F185,'CFOG'!$B$10:$B$16,0))="","Cell will autofill based on response",INDEX('CFOG'!$L$10:$L$16,MATCH($F185,'CFOG'!$B$10:$B$16,0))),"N/A")</f>
        <v/>
      </c>
      <c r="O185" s="53">
        <f>IFERROR(IF(INDEX('CFOG'!$L$23:$L$24,MATCH($F185,'CFOG'!$B$23:$B$24,0))="","Cell will autofill based on response",INDEX('CFOG'!$L$23:$L$24,MATCH($F185,'CFOG'!$B$23:$B$24,0))),"N/A")</f>
        <v/>
      </c>
      <c r="P185" s="53">
        <f>IFERROR(IF(INDEX('ESG'!$L$10:$L$17,MATCH($F185,'ESG'!$B$10:$B$17,0))="","Cell will autofill based on response",INDEX('ESG'!$L$10:$L$17,MATCH($F185,'ESG'!$B$10:$B$17,0))),"N/A")</f>
        <v/>
      </c>
      <c r="Q185" s="53">
        <f>IFERROR(IF(INDEX('CIOG'!$L$10:$L$14,MATCH($F185,'CIOG'!$B$10:$B$14,0))="","Cell will autofill based on response",INDEX('CIOG'!$L$10:$L$14,MATCH($F185,'CIOG'!$B$10:$B$14,0))),"N/A")</f>
        <v/>
      </c>
      <c r="R185" s="53">
        <f>IFERROR(IF(INDEX('MRE'!$L$10:$L$18,MATCH($F185,'MRE'!$B$10:$B$18,0))="","Cell will autofill based on response",INDEX('MRE'!$L$10:$L$18,MATCH($F185,'MRE'!$B$10:$B$18,0))),"N/A")</f>
        <v/>
      </c>
      <c r="S185" s="53">
        <f>IFERROR(IF(INDEX('AC&amp;M'!$L$10:$L$14,MATCH($F185,'AC&amp;M'!$B$10:$B$14,0))="","Cell will autofill based on response",INDEX('AC&amp;M'!$L$10:$L$14,MATCH($F185,'AC&amp;M'!$B$10:$B$14,0))),"N/A")</f>
        <v/>
      </c>
      <c r="T185" s="53">
        <f>IFERROR(IF(INDEX('GCE'!$L$10:$L$12,MATCH($F185,'GCE'!$B$10:$B$12,0))="","Cell will autofill based on response",INDEX('GCE'!$L$10:$L$12,MATCH($F185,'GCE'!$B$10:$B$12,0))),"N/A")</f>
        <v/>
      </c>
      <c r="U185" s="53">
        <f>IFERROR(IF(INDEX('Education'!$L$10:$L$13,MATCH($F185,'Education'!$B$10:$B$13,0))="","Cell will autofill based on response",INDEX('Education'!$L$10:$L$13,MATCH($F185,'Education'!$B$10:$B$13,0))),"N/A")</f>
        <v/>
      </c>
      <c r="V185" s="53">
        <f>IFERROR(IF(INDEX('SaSS'!$L$10:$L$12,MATCH($F185,'SaSS'!$B$10:$B$12,0))="","Cell will autofill based on response",INDEX('SaSS'!$L$10:$L$12,MATCH($F185,'SaSS'!$B$10:$B$12,0))),"N/A")</f>
        <v/>
      </c>
      <c r="W185" s="53">
        <f>IFERROR(IF(INDEX('Indigenous'!$L$10:$L$11,MATCH($F185,'Indigenous'!$B$10:$B$11,0))="","Cell will autofill based on response",INDEX('Indigenous'!$L$10:$L$11,MATCH($F185,'Indigenous'!$B$10:$B$11,0))),"N/A")</f>
        <v/>
      </c>
      <c r="X185" s="53">
        <f>IFERROR(IF(INDEX('L&amp;R'!$L$10:$L$11,MATCH($F185,'L&amp;R'!$B$10:$B$11,0))="","Cell will autofill based on response",INDEX('L&amp;R'!$L$10:$L$11,MATCH($F185,'L&amp;R'!$B$10:$B$11,0))),"N/A")</f>
        <v/>
      </c>
      <c r="Z185" s="10">
        <f>COUNTIF($H185:$X185,"Cell will autofill based on response")</f>
        <v/>
      </c>
      <c r="AA185" s="10">
        <f>COUNTIF($H185:$X185,"Not yet started")</f>
        <v/>
      </c>
      <c r="AB185" s="10">
        <f>COUNTIF($H185:$X185,"Not met")</f>
        <v/>
      </c>
      <c r="AC185" s="10">
        <f>COUNTIF($H185:$X185,"Partially met")</f>
        <v/>
      </c>
      <c r="AD185" s="10">
        <f>COUNTIF($H185:$X185,"Met or exceeded")</f>
        <v/>
      </c>
      <c r="AE185" s="10">
        <f>3*AD185+2*AC185+AB185</f>
        <v/>
      </c>
      <c r="AF185" s="10">
        <f>AD185+AC185+AB185+AA185</f>
        <v/>
      </c>
      <c r="AG185" s="54">
        <f>IF(AF185&gt;0,AE185/AF185,"No valid responses to date")</f>
        <v/>
      </c>
      <c r="AH185" s="10">
        <f>IF(ISNUMBER(AG185),INDEX(Lists!$G$2:$G$5,MATCH(ROUND(AG185,0),Lists!$H$2:$H$5,0)),"")</f>
        <v/>
      </c>
      <c r="AI185" s="55">
        <f>IF(AF185&gt;0,AD185/AF185,"")</f>
        <v/>
      </c>
      <c r="AJ185" s="55">
        <f>IF(AF185&gt;0,(AD185+AC185)/AF185,"")</f>
        <v/>
      </c>
      <c r="AK185" s="10">
        <f>IF(AF185=0,"",IF(AI185&gt;0.75,"Met or exceeded",IF(AJ185&gt;=0.5,"Partially met","Not met")))</f>
        <v/>
      </c>
    </row>
    <row r="186">
      <c r="A186">
        <f>F186&amp;"|"&amp;G186</f>
        <v/>
      </c>
      <c r="B186" s="13" t="inlineStr"/>
      <c r="C186" s="8" t="inlineStr"/>
      <c r="D186" s="8" t="inlineStr"/>
      <c r="E186" s="8" t="inlineStr"/>
      <c r="F186" s="8" t="inlineStr">
        <is>
          <t>EI1(c)</t>
        </is>
      </c>
      <c r="G186" s="8" t="inlineStr">
        <is>
          <t>OPTION 1:  Target-level reporting</t>
        </is>
      </c>
      <c r="H186" s="53">
        <f>IFERROR(IF(INDEX('Faculties'!$M$10:$M$19,MATCH($F186,'Faculties'!$B$10:$B$19,0))="","Cell will autofill based on response",INDEX('Faculties'!$M$10:$M$19,MATCH($F186,'Faculties'!$B$10:$B$19,0))),"N/A")</f>
        <v/>
      </c>
      <c r="I186" s="53">
        <f>IFERROR(IF(INDEX('Faculties'!$M$26:$M$35,MATCH($F186,'Faculties'!$B$26:$B$35,0))="","Cell will autofill based on response",INDEX('Faculties'!$M$26:$M$35,MATCH($F186,'Faculties'!$B$26:$B$35,0))),"N/A")</f>
        <v/>
      </c>
      <c r="J186" s="53">
        <f>IFERROR(IF(INDEX('Faculties'!$M$42:$M$51,MATCH($F186,'Faculties'!$B$42:$B$51,0))="","Cell will autofill based on response",INDEX('Faculties'!$M$42:$M$51,MATCH($F186,'Faculties'!$B$42:$B$51,0))),"N/A")</f>
        <v/>
      </c>
      <c r="K186" s="53">
        <f>IFERROR(IF(INDEX('Faculties'!$M$58:$M$67,MATCH($F186,'Faculties'!$B$58:$B$67,0))="","Cell will autofill based on response",INDEX('Faculties'!$M$58:$M$67,MATCH($F186,'Faculties'!$B$58:$B$67,0))),"N/A")</f>
        <v/>
      </c>
      <c r="L186" s="53">
        <f>IFERROR(IF(INDEX('CI&amp;S'!$M$10:$M$15,MATCH($F186,'CI&amp;S'!$B$10:$B$15,0))="","Cell will autofill based on response",INDEX('CI&amp;S'!$M$10:$M$15,MATCH($F186,'CI&amp;S'!$B$10:$B$15,0))),"N/A")</f>
        <v/>
      </c>
      <c r="M186" s="53">
        <f>IFERROR(IF(INDEX('CI&amp;S'!$M$22:$M$36,MATCH($F186,'CI&amp;S'!$B$22:$B$36,0))="","Cell will autofill based on response",INDEX('CI&amp;S'!$M$22:$M$36,MATCH($F186,'CI&amp;S'!$B$22:$B$36,0))),"N/A")</f>
        <v/>
      </c>
      <c r="N186" s="53">
        <f>IFERROR(IF(INDEX('CFOG'!$M$10:$M$16,MATCH($F186,'CFOG'!$B$10:$B$16,0))="","Cell will autofill based on response",INDEX('CFOG'!$M$10:$M$16,MATCH($F186,'CFOG'!$B$10:$B$16,0))),"N/A")</f>
        <v/>
      </c>
      <c r="O186" s="53">
        <f>IFERROR(IF(INDEX('CFOG'!$M$23:$M$24,MATCH($F186,'CFOG'!$B$23:$B$24,0))="","Cell will autofill based on response",INDEX('CFOG'!$M$23:$M$24,MATCH($F186,'CFOG'!$B$23:$B$24,0))),"N/A")</f>
        <v/>
      </c>
      <c r="P186" s="53">
        <f>IFERROR(IF(INDEX('ESG'!$M$10:$M$17,MATCH($F186,'ESG'!$B$10:$B$17,0))="","Cell will autofill based on response",INDEX('ESG'!$M$10:$M$17,MATCH($F186,'ESG'!$B$10:$B$17,0))),"N/A")</f>
        <v/>
      </c>
      <c r="Q186" s="53">
        <f>IFERROR(IF(INDEX('CIOG'!$M$10:$M$14,MATCH($F186,'CIOG'!$B$10:$B$14,0))="","Cell will autofill based on response",INDEX('CIOG'!$M$10:$M$14,MATCH($F186,'CIOG'!$B$10:$B$14,0))),"N/A")</f>
        <v/>
      </c>
      <c r="R186" s="53">
        <f>IFERROR(IF(INDEX('MRE'!$M$10:$M$18,MATCH($F186,'MRE'!$B$10:$B$18,0))="","Cell will autofill based on response",INDEX('MRE'!$M$10:$M$18,MATCH($F186,'MRE'!$B$10:$B$18,0))),"N/A")</f>
        <v/>
      </c>
      <c r="S186" s="53">
        <f>IFERROR(IF(INDEX('AC&amp;M'!$M$10:$M$14,MATCH($F186,'AC&amp;M'!$B$10:$B$14,0))="","Cell will autofill based on response",INDEX('AC&amp;M'!$M$10:$M$14,MATCH($F186,'AC&amp;M'!$B$10:$B$14,0))),"N/A")</f>
        <v/>
      </c>
      <c r="T186" s="53">
        <f>IFERROR(IF(INDEX('GCE'!$M$10:$M$12,MATCH($F186,'GCE'!$B$10:$B$12,0))="","Cell will autofill based on response",INDEX('GCE'!$M$10:$M$12,MATCH($F186,'GCE'!$B$10:$B$12,0))),"N/A")</f>
        <v/>
      </c>
      <c r="U186" s="53">
        <f>IFERROR(IF(INDEX('Education'!$M$10:$M$13,MATCH($F186,'Education'!$B$10:$B$13,0))="","Cell will autofill based on response",INDEX('Education'!$M$10:$M$13,MATCH($F186,'Education'!$B$10:$B$13,0))),"N/A")</f>
        <v/>
      </c>
      <c r="V186" s="53">
        <f>IFERROR(IF(INDEX('SaSS'!$M$10:$M$12,MATCH($F186,'SaSS'!$B$10:$B$12,0))="","Cell will autofill based on response",INDEX('SaSS'!$M$10:$M$12,MATCH($F186,'SaSS'!$B$10:$B$12,0))),"N/A")</f>
        <v/>
      </c>
      <c r="W186" s="53">
        <f>IFERROR(IF(INDEX('Indigenous'!$M$10:$M$11,MATCH($F186,'Indigenous'!$B$10:$B$11,0))="","Cell will autofill based on response",INDEX('Indigenous'!$M$10:$M$11,MATCH($F186,'Indigenous'!$B$10:$B$11,0))),"N/A")</f>
        <v/>
      </c>
      <c r="X186" s="53">
        <f>IFERROR(IF(INDEX('L&amp;R'!$M$10:$M$11,MATCH($F186,'L&amp;R'!$B$10:$B$11,0))="","Cell will autofill based on response",INDEX('L&amp;R'!$M$10:$M$11,MATCH($F186,'L&amp;R'!$B$10:$B$11,0))),"N/A")</f>
        <v/>
      </c>
    </row>
    <row r="187">
      <c r="A187">
        <f>F187&amp;"|"&amp;G187</f>
        <v/>
      </c>
      <c r="B187" s="13" t="inlineStr"/>
      <c r="C187" s="8" t="inlineStr"/>
      <c r="D187" s="8" t="inlineStr"/>
      <c r="E187" s="8" t="inlineStr"/>
      <c r="F187" s="8" t="inlineStr">
        <is>
          <t>EI1(c)</t>
        </is>
      </c>
      <c r="G187" s="8" t="inlineStr">
        <is>
          <t>OPTION 2:  Indicator level reporting</t>
        </is>
      </c>
      <c r="H187" s="53">
        <f>IFERROR(IF(INDEX('Faculties'!$N$10:$N$19,MATCH($F187,'Faculties'!$B$10:$B$19,0))="","Cell will autofill based on response",INDEX('Faculties'!$N$10:$N$19,MATCH($F187,'Faculties'!$B$10:$B$19,0))),"N/A")</f>
        <v/>
      </c>
      <c r="I187" s="53">
        <f>IFERROR(IF(INDEX('Faculties'!$N$26:$N$35,MATCH($F187,'Faculties'!$B$26:$B$35,0))="","Cell will autofill based on response",INDEX('Faculties'!$N$26:$N$35,MATCH($F187,'Faculties'!$B$26:$B$35,0))),"N/A")</f>
        <v/>
      </c>
      <c r="J187" s="53">
        <f>IFERROR(IF(INDEX('Faculties'!$N$42:$N$51,MATCH($F187,'Faculties'!$B$42:$B$51,0))="","Cell will autofill based on response",INDEX('Faculties'!$N$42:$N$51,MATCH($F187,'Faculties'!$B$42:$B$51,0))),"N/A")</f>
        <v/>
      </c>
      <c r="K187" s="53">
        <f>IFERROR(IF(INDEX('Faculties'!$N$58:$N$67,MATCH($F187,'Faculties'!$B$58:$B$67,0))="","Cell will autofill based on response",INDEX('Faculties'!$N$58:$N$67,MATCH($F187,'Faculties'!$B$58:$B$67,0))),"N/A")</f>
        <v/>
      </c>
      <c r="L187" s="53">
        <f>IFERROR(IF(INDEX('CI&amp;S'!$N$10:$N$15,MATCH($F187,'CI&amp;S'!$B$10:$B$15,0))="","Cell will autofill based on response",INDEX('CI&amp;S'!$N$10:$N$15,MATCH($F187,'CI&amp;S'!$B$10:$B$15,0))),"N/A")</f>
        <v/>
      </c>
      <c r="M187" s="53">
        <f>IFERROR(IF(INDEX('CI&amp;S'!$N$22:$N$36,MATCH($F187,'CI&amp;S'!$B$22:$B$36,0))="","Cell will autofill based on response",INDEX('CI&amp;S'!$N$22:$N$36,MATCH($F187,'CI&amp;S'!$B$22:$B$36,0))),"N/A")</f>
        <v/>
      </c>
      <c r="N187" s="53">
        <f>IFERROR(IF(INDEX('CFOG'!$N$10:$N$16,MATCH($F187,'CFOG'!$B$10:$B$16,0))="","Cell will autofill based on response",INDEX('CFOG'!$N$10:$N$16,MATCH($F187,'CFOG'!$B$10:$B$16,0))),"N/A")</f>
        <v/>
      </c>
      <c r="O187" s="53">
        <f>IFERROR(IF(INDEX('CFOG'!$N$23:$N$24,MATCH($F187,'CFOG'!$B$23:$B$24,0))="","Cell will autofill based on response",INDEX('CFOG'!$N$23:$N$24,MATCH($F187,'CFOG'!$B$23:$B$24,0))),"N/A")</f>
        <v/>
      </c>
      <c r="P187" s="53">
        <f>IFERROR(IF(INDEX('ESG'!$N$10:$N$17,MATCH($F187,'ESG'!$B$10:$B$17,0))="","Cell will autofill based on response",INDEX('ESG'!$N$10:$N$17,MATCH($F187,'ESG'!$B$10:$B$17,0))),"N/A")</f>
        <v/>
      </c>
      <c r="Q187" s="53">
        <f>IFERROR(IF(INDEX('CIOG'!$N$10:$N$14,MATCH($F187,'CIOG'!$B$10:$B$14,0))="","Cell will autofill based on response",INDEX('CIOG'!$N$10:$N$14,MATCH($F187,'CIOG'!$B$10:$B$14,0))),"N/A")</f>
        <v/>
      </c>
      <c r="R187" s="53">
        <f>IFERROR(IF(INDEX('MRE'!$N$10:$N$18,MATCH($F187,'MRE'!$B$10:$B$18,0))="","Cell will autofill based on response",INDEX('MRE'!$N$10:$N$18,MATCH($F187,'MRE'!$B$10:$B$18,0))),"N/A")</f>
        <v/>
      </c>
      <c r="S187" s="53">
        <f>IFERROR(IF(INDEX('AC&amp;M'!$N$10:$N$14,MATCH($F187,'AC&amp;M'!$B$10:$B$14,0))="","Cell will autofill based on response",INDEX('AC&amp;M'!$N$10:$N$14,MATCH($F187,'AC&amp;M'!$B$10:$B$14,0))),"N/A")</f>
        <v/>
      </c>
      <c r="T187" s="53">
        <f>IFERROR(IF(INDEX('GCE'!$N$10:$N$12,MATCH($F187,'GCE'!$B$10:$B$12,0))="","Cell will autofill based on response",INDEX('GCE'!$N$10:$N$12,MATCH($F187,'GCE'!$B$10:$B$12,0))),"N/A")</f>
        <v/>
      </c>
      <c r="U187" s="53">
        <f>IFERROR(IF(INDEX('Education'!$N$10:$N$13,MATCH($F187,'Education'!$B$10:$B$13,0))="","Cell will autofill based on response",INDEX('Education'!$N$10:$N$13,MATCH($F187,'Education'!$B$10:$B$13,0))),"N/A")</f>
        <v/>
      </c>
      <c r="V187" s="53">
        <f>IFERROR(IF(INDEX('SaSS'!$N$10:$N$12,MATCH($F187,'SaSS'!$B$10:$B$12,0))="","Cell will autofill based on response",INDEX('SaSS'!$N$10:$N$12,MATCH($F187,'SaSS'!$B$10:$B$12,0))),"N/A")</f>
        <v/>
      </c>
      <c r="W187" s="53">
        <f>IFERROR(IF(INDEX('Indigenous'!$N$10:$N$11,MATCH($F187,'Indigenous'!$B$10:$B$11,0))="","Cell will autofill based on response",INDEX('Indigenous'!$N$10:$N$11,MATCH($F187,'Indigenous'!$B$10:$B$11,0))),"N/A")</f>
        <v/>
      </c>
      <c r="X187" s="53">
        <f>IFERROR(IF(INDEX('L&amp;R'!$N$10:$N$11,MATCH($F187,'L&amp;R'!$B$10:$B$11,0))="","Cell will autofill based on response",INDEX('L&amp;R'!$N$10:$N$11,MATCH($F187,'L&amp;R'!$B$10:$B$11,0))),"N/A")</f>
        <v/>
      </c>
    </row>
    <row r="188">
      <c r="A188">
        <f>F188&amp;"|"&amp;G188</f>
        <v/>
      </c>
      <c r="B188" s="13" t="inlineStr"/>
      <c r="C188" s="8" t="inlineStr"/>
      <c r="D188" s="8" t="inlineStr"/>
      <c r="E188" s="8" t="inlineStr"/>
      <c r="F188" s="8" t="inlineStr">
        <is>
          <t>EI1(c)</t>
        </is>
      </c>
      <c r="G188" s="8" t="inlineStr">
        <is>
          <t>Supporting information/comments</t>
        </is>
      </c>
      <c r="H188" s="53">
        <f>IFERROR(IF(INDEX('Faculties'!$O$10:$O$19,MATCH($F188,'Faculties'!$B$10:$B$19,0))="","Cell will autofill based on response",INDEX('Faculties'!$O$10:$O$19,MATCH($F188,'Faculties'!$B$10:$B$19,0))),"N/A")</f>
        <v/>
      </c>
      <c r="I188" s="53">
        <f>IFERROR(IF(INDEX('Faculties'!$O$26:$O$35,MATCH($F188,'Faculties'!$B$26:$B$35,0))="","Cell will autofill based on response",INDEX('Faculties'!$O$26:$O$35,MATCH($F188,'Faculties'!$B$26:$B$35,0))),"N/A")</f>
        <v/>
      </c>
      <c r="J188" s="53">
        <f>IFERROR(IF(INDEX('Faculties'!$O$42:$O$51,MATCH($F188,'Faculties'!$B$42:$B$51,0))="","Cell will autofill based on response",INDEX('Faculties'!$O$42:$O$51,MATCH($F188,'Faculties'!$B$42:$B$51,0))),"N/A")</f>
        <v/>
      </c>
      <c r="K188" s="53">
        <f>IFERROR(IF(INDEX('Faculties'!$O$58:$O$67,MATCH($F188,'Faculties'!$B$58:$B$67,0))="","Cell will autofill based on response",INDEX('Faculties'!$O$58:$O$67,MATCH($F188,'Faculties'!$B$58:$B$67,0))),"N/A")</f>
        <v/>
      </c>
      <c r="L188" s="53">
        <f>IFERROR(IF(INDEX('CI&amp;S'!$O$10:$O$15,MATCH($F188,'CI&amp;S'!$B$10:$B$15,0))="","Cell will autofill based on response",INDEX('CI&amp;S'!$O$10:$O$15,MATCH($F188,'CI&amp;S'!$B$10:$B$15,0))),"N/A")</f>
        <v/>
      </c>
      <c r="M188" s="53">
        <f>IFERROR(IF(INDEX('CI&amp;S'!$O$22:$O$36,MATCH($F188,'CI&amp;S'!$B$22:$B$36,0))="","Cell will autofill based on response",INDEX('CI&amp;S'!$O$22:$O$36,MATCH($F188,'CI&amp;S'!$B$22:$B$36,0))),"N/A")</f>
        <v/>
      </c>
      <c r="N188" s="53">
        <f>IFERROR(IF(INDEX('CFOG'!$O$10:$O$16,MATCH($F188,'CFOG'!$B$10:$B$16,0))="","Cell will autofill based on response",INDEX('CFOG'!$O$10:$O$16,MATCH($F188,'CFOG'!$B$10:$B$16,0))),"N/A")</f>
        <v/>
      </c>
      <c r="O188" s="53">
        <f>IFERROR(IF(INDEX('CFOG'!$O$23:$O$24,MATCH($F188,'CFOG'!$B$23:$B$24,0))="","Cell will autofill based on response",INDEX('CFOG'!$O$23:$O$24,MATCH($F188,'CFOG'!$B$23:$B$24,0))),"N/A")</f>
        <v/>
      </c>
      <c r="P188" s="53">
        <f>IFERROR(IF(INDEX('ESG'!$O$10:$O$17,MATCH($F188,'ESG'!$B$10:$B$17,0))="","Cell will autofill based on response",INDEX('ESG'!$O$10:$O$17,MATCH($F188,'ESG'!$B$10:$B$17,0))),"N/A")</f>
        <v/>
      </c>
      <c r="Q188" s="53">
        <f>IFERROR(IF(INDEX('CIOG'!$O$10:$O$14,MATCH($F188,'CIOG'!$B$10:$B$14,0))="","Cell will autofill based on response",INDEX('CIOG'!$O$10:$O$14,MATCH($F188,'CIOG'!$B$10:$B$14,0))),"N/A")</f>
        <v/>
      </c>
      <c r="R188" s="53">
        <f>IFERROR(IF(INDEX('MRE'!$O$10:$O$18,MATCH($F188,'MRE'!$B$10:$B$18,0))="","Cell will autofill based on response",INDEX('MRE'!$O$10:$O$18,MATCH($F188,'MRE'!$B$10:$B$18,0))),"N/A")</f>
        <v/>
      </c>
      <c r="S188" s="53">
        <f>IFERROR(IF(INDEX('AC&amp;M'!$O$10:$O$14,MATCH($F188,'AC&amp;M'!$B$10:$B$14,0))="","Cell will autofill based on response",INDEX('AC&amp;M'!$O$10:$O$14,MATCH($F188,'AC&amp;M'!$B$10:$B$14,0))),"N/A")</f>
        <v/>
      </c>
      <c r="T188" s="53">
        <f>IFERROR(IF(INDEX('GCE'!$O$10:$O$12,MATCH($F188,'GCE'!$B$10:$B$12,0))="","Cell will autofill based on response",INDEX('GCE'!$O$10:$O$12,MATCH($F188,'GCE'!$B$10:$B$12,0))),"N/A")</f>
        <v/>
      </c>
      <c r="U188" s="53">
        <f>IFERROR(IF(INDEX('Education'!$O$10:$O$13,MATCH($F188,'Education'!$B$10:$B$13,0))="","Cell will autofill based on response",INDEX('Education'!$O$10:$O$13,MATCH($F188,'Education'!$B$10:$B$13,0))),"N/A")</f>
        <v/>
      </c>
      <c r="V188" s="53">
        <f>IFERROR(IF(INDEX('SaSS'!$O$10:$O$12,MATCH($F188,'SaSS'!$B$10:$B$12,0))="","Cell will autofill based on response",INDEX('SaSS'!$O$10:$O$12,MATCH($F188,'SaSS'!$B$10:$B$12,0))),"N/A")</f>
        <v/>
      </c>
      <c r="W188" s="53">
        <f>IFERROR(IF(INDEX('Indigenous'!$O$10:$O$11,MATCH($F188,'Indigenous'!$B$10:$B$11,0))="","Cell will autofill based on response",INDEX('Indigenous'!$O$10:$O$11,MATCH($F188,'Indigenous'!$B$10:$B$11,0))),"N/A")</f>
        <v/>
      </c>
      <c r="X188" s="53">
        <f>IFERROR(IF(INDEX('L&amp;R'!$O$10:$O$11,MATCH($F188,'L&amp;R'!$B$10:$B$11,0))="","Cell will autofill based on response",INDEX('L&amp;R'!$O$10:$O$11,MATCH($F188,'L&amp;R'!$B$10:$B$11,0))),"N/A")</f>
        <v/>
      </c>
    </row>
    <row r="189">
      <c r="A189">
        <f>F189&amp;"|"&amp;G189</f>
        <v/>
      </c>
      <c r="B189" s="13" t="inlineStr"/>
      <c r="C189" s="8" t="inlineStr"/>
      <c r="D189" s="8" t="inlineStr"/>
      <c r="E189" s="8" t="inlineStr"/>
      <c r="F189" s="8" t="inlineStr">
        <is>
          <t>EI1(c)</t>
        </is>
      </c>
      <c r="G189" s="8" t="inlineStr">
        <is>
          <t>Data source and limitations</t>
        </is>
      </c>
      <c r="H189" s="53">
        <f>IFERROR(IF(INDEX('Faculties'!$P$10:$P$19,MATCH($F189,'Faculties'!$B$10:$B$19,0))="","Cell will autofill based on response",INDEX('Faculties'!$P$10:$P$19,MATCH($F189,'Faculties'!$B$10:$B$19,0))),"N/A")</f>
        <v/>
      </c>
      <c r="I189" s="53">
        <f>IFERROR(IF(INDEX('Faculties'!$P$26:$P$35,MATCH($F189,'Faculties'!$B$26:$B$35,0))="","Cell will autofill based on response",INDEX('Faculties'!$P$26:$P$35,MATCH($F189,'Faculties'!$B$26:$B$35,0))),"N/A")</f>
        <v/>
      </c>
      <c r="J189" s="53">
        <f>IFERROR(IF(INDEX('Faculties'!$P$42:$P$51,MATCH($F189,'Faculties'!$B$42:$B$51,0))="","Cell will autofill based on response",INDEX('Faculties'!$P$42:$P$51,MATCH($F189,'Faculties'!$B$42:$B$51,0))),"N/A")</f>
        <v/>
      </c>
      <c r="K189" s="53">
        <f>IFERROR(IF(INDEX('Faculties'!$P$58:$P$67,MATCH($F189,'Faculties'!$B$58:$B$67,0))="","Cell will autofill based on response",INDEX('Faculties'!$P$58:$P$67,MATCH($F189,'Faculties'!$B$58:$B$67,0))),"N/A")</f>
        <v/>
      </c>
      <c r="L189" s="53">
        <f>IFERROR(IF(INDEX('CI&amp;S'!$P$10:$P$15,MATCH($F189,'CI&amp;S'!$B$10:$B$15,0))="","Cell will autofill based on response",INDEX('CI&amp;S'!$P$10:$P$15,MATCH($F189,'CI&amp;S'!$B$10:$B$15,0))),"N/A")</f>
        <v/>
      </c>
      <c r="M189" s="53">
        <f>IFERROR(IF(INDEX('CI&amp;S'!$P$22:$P$36,MATCH($F189,'CI&amp;S'!$B$22:$B$36,0))="","Cell will autofill based on response",INDEX('CI&amp;S'!$P$22:$P$36,MATCH($F189,'CI&amp;S'!$B$22:$B$36,0))),"N/A")</f>
        <v/>
      </c>
      <c r="N189" s="53">
        <f>IFERROR(IF(INDEX('CFOG'!$P$10:$P$16,MATCH($F189,'CFOG'!$B$10:$B$16,0))="","Cell will autofill based on response",INDEX('CFOG'!$P$10:$P$16,MATCH($F189,'CFOG'!$B$10:$B$16,0))),"N/A")</f>
        <v/>
      </c>
      <c r="O189" s="53">
        <f>IFERROR(IF(INDEX('CFOG'!$P$23:$P$24,MATCH($F189,'CFOG'!$B$23:$B$24,0))="","Cell will autofill based on response",INDEX('CFOG'!$P$23:$P$24,MATCH($F189,'CFOG'!$B$23:$B$24,0))),"N/A")</f>
        <v/>
      </c>
      <c r="P189" s="53">
        <f>IFERROR(IF(INDEX('ESG'!$P$10:$P$17,MATCH($F189,'ESG'!$B$10:$B$17,0))="","Cell will autofill based on response",INDEX('ESG'!$P$10:$P$17,MATCH($F189,'ESG'!$B$10:$B$17,0))),"N/A")</f>
        <v/>
      </c>
      <c r="Q189" s="53">
        <f>IFERROR(IF(INDEX('CIOG'!$P$10:$P$14,MATCH($F189,'CIOG'!$B$10:$B$14,0))="","Cell will autofill based on response",INDEX('CIOG'!$P$10:$P$14,MATCH($F189,'CIOG'!$B$10:$B$14,0))),"N/A")</f>
        <v/>
      </c>
      <c r="R189" s="53">
        <f>IFERROR(IF(INDEX('MRE'!$P$10:$P$18,MATCH($F189,'MRE'!$B$10:$B$18,0))="","Cell will autofill based on response",INDEX('MRE'!$P$10:$P$18,MATCH($F189,'MRE'!$B$10:$B$18,0))),"N/A")</f>
        <v/>
      </c>
      <c r="S189" s="53">
        <f>IFERROR(IF(INDEX('AC&amp;M'!$P$10:$P$14,MATCH($F189,'AC&amp;M'!$B$10:$B$14,0))="","Cell will autofill based on response",INDEX('AC&amp;M'!$P$10:$P$14,MATCH($F189,'AC&amp;M'!$B$10:$B$14,0))),"N/A")</f>
        <v/>
      </c>
      <c r="T189" s="53">
        <f>IFERROR(IF(INDEX('GCE'!$P$10:$P$12,MATCH($F189,'GCE'!$B$10:$B$12,0))="","Cell will autofill based on response",INDEX('GCE'!$P$10:$P$12,MATCH($F189,'GCE'!$B$10:$B$12,0))),"N/A")</f>
        <v/>
      </c>
      <c r="U189" s="53">
        <f>IFERROR(IF(INDEX('Education'!$P$10:$P$13,MATCH($F189,'Education'!$B$10:$B$13,0))="","Cell will autofill based on response",INDEX('Education'!$P$10:$P$13,MATCH($F189,'Education'!$B$10:$B$13,0))),"N/A")</f>
        <v/>
      </c>
      <c r="V189" s="53">
        <f>IFERROR(IF(INDEX('SaSS'!$P$10:$P$12,MATCH($F189,'SaSS'!$B$10:$B$12,0))="","Cell will autofill based on response",INDEX('SaSS'!$P$10:$P$12,MATCH($F189,'SaSS'!$B$10:$B$12,0))),"N/A")</f>
        <v/>
      </c>
      <c r="W189" s="53">
        <f>IFERROR(IF(INDEX('Indigenous'!$P$10:$P$11,MATCH($F189,'Indigenous'!$B$10:$B$11,0))="","Cell will autofill based on response",INDEX('Indigenous'!$P$10:$P$11,MATCH($F189,'Indigenous'!$B$10:$B$11,0))),"N/A")</f>
        <v/>
      </c>
      <c r="X189" s="53">
        <f>IFERROR(IF(INDEX('L&amp;R'!$P$10:$P$11,MATCH($F189,'L&amp;R'!$B$10:$B$11,0))="","Cell will autofill based on response",INDEX('L&amp;R'!$P$10:$P$11,MATCH($F189,'L&amp;R'!$B$10:$B$11,0))),"N/A")</f>
        <v/>
      </c>
    </row>
    <row r="190">
      <c r="A190">
        <f>F190&amp;"|"&amp;G190</f>
        <v/>
      </c>
      <c r="B190" s="13" t="inlineStr"/>
      <c r="C190" s="8" t="inlineStr"/>
      <c r="D190" s="8" t="inlineStr"/>
      <c r="E190" s="8" t="inlineStr"/>
      <c r="F190" s="8" t="inlineStr">
        <is>
          <t>EI1(c)</t>
        </is>
      </c>
      <c r="G190" s="8" t="inlineStr">
        <is>
          <t>Data owner confirms</t>
        </is>
      </c>
      <c r="H190" s="53">
        <f>IFERROR(IF(INDEX('Faculties'!$Q$10:$Q$19,MATCH($F190,'Faculties'!$B$10:$B$19,0))="","Cell will autofill based on response",INDEX('Faculties'!$Q$10:$Q$19,MATCH($F190,'Faculties'!$B$10:$B$19,0))),"N/A")</f>
        <v/>
      </c>
      <c r="I190" s="53">
        <f>IFERROR(IF(INDEX('Faculties'!$Q$26:$Q$35,MATCH($F190,'Faculties'!$B$26:$B$35,0))="","Cell will autofill based on response",INDEX('Faculties'!$Q$26:$Q$35,MATCH($F190,'Faculties'!$B$26:$B$35,0))),"N/A")</f>
        <v/>
      </c>
      <c r="J190" s="53">
        <f>IFERROR(IF(INDEX('Faculties'!$Q$42:$Q$51,MATCH($F190,'Faculties'!$B$42:$B$51,0))="","Cell will autofill based on response",INDEX('Faculties'!$Q$42:$Q$51,MATCH($F190,'Faculties'!$B$42:$B$51,0))),"N/A")</f>
        <v/>
      </c>
      <c r="K190" s="53">
        <f>IFERROR(IF(INDEX('Faculties'!$Q$58:$Q$67,MATCH($F190,'Faculties'!$B$58:$B$67,0))="","Cell will autofill based on response",INDEX('Faculties'!$Q$58:$Q$67,MATCH($F190,'Faculties'!$B$58:$B$67,0))),"N/A")</f>
        <v/>
      </c>
      <c r="L190" s="53">
        <f>IFERROR(IF(INDEX('CI&amp;S'!$Q$10:$Q$15,MATCH($F190,'CI&amp;S'!$B$10:$B$15,0))="","Cell will autofill based on response",INDEX('CI&amp;S'!$Q$10:$Q$15,MATCH($F190,'CI&amp;S'!$B$10:$B$15,0))),"N/A")</f>
        <v/>
      </c>
      <c r="M190" s="53">
        <f>IFERROR(IF(INDEX('CI&amp;S'!$Q$22:$Q$36,MATCH($F190,'CI&amp;S'!$B$22:$B$36,0))="","Cell will autofill based on response",INDEX('CI&amp;S'!$Q$22:$Q$36,MATCH($F190,'CI&amp;S'!$B$22:$B$36,0))),"N/A")</f>
        <v/>
      </c>
      <c r="N190" s="53">
        <f>IFERROR(IF(INDEX('CFOG'!$Q$10:$Q$16,MATCH($F190,'CFOG'!$B$10:$B$16,0))="","Cell will autofill based on response",INDEX('CFOG'!$Q$10:$Q$16,MATCH($F190,'CFOG'!$B$10:$B$16,0))),"N/A")</f>
        <v/>
      </c>
      <c r="O190" s="53">
        <f>IFERROR(IF(INDEX('CFOG'!$Q$23:$Q$24,MATCH($F190,'CFOG'!$B$23:$B$24,0))="","Cell will autofill based on response",INDEX('CFOG'!$Q$23:$Q$24,MATCH($F190,'CFOG'!$B$23:$B$24,0))),"N/A")</f>
        <v/>
      </c>
      <c r="P190" s="53">
        <f>IFERROR(IF(INDEX('ESG'!$Q$10:$Q$17,MATCH($F190,'ESG'!$B$10:$B$17,0))="","Cell will autofill based on response",INDEX('ESG'!$Q$10:$Q$17,MATCH($F190,'ESG'!$B$10:$B$17,0))),"N/A")</f>
        <v/>
      </c>
      <c r="Q190" s="53">
        <f>IFERROR(IF(INDEX('CIOG'!$Q$10:$Q$14,MATCH($F190,'CIOG'!$B$10:$B$14,0))="","Cell will autofill based on response",INDEX('CIOG'!$Q$10:$Q$14,MATCH($F190,'CIOG'!$B$10:$B$14,0))),"N/A")</f>
        <v/>
      </c>
      <c r="R190" s="53">
        <f>IFERROR(IF(INDEX('MRE'!$Q$10:$Q$18,MATCH($F190,'MRE'!$B$10:$B$18,0))="","Cell will autofill based on response",INDEX('MRE'!$Q$10:$Q$18,MATCH($F190,'MRE'!$B$10:$B$18,0))),"N/A")</f>
        <v/>
      </c>
      <c r="S190" s="53">
        <f>IFERROR(IF(INDEX('AC&amp;M'!$Q$10:$Q$14,MATCH($F190,'AC&amp;M'!$B$10:$B$14,0))="","Cell will autofill based on response",INDEX('AC&amp;M'!$Q$10:$Q$14,MATCH($F190,'AC&amp;M'!$B$10:$B$14,0))),"N/A")</f>
        <v/>
      </c>
      <c r="T190" s="53">
        <f>IFERROR(IF(INDEX('GCE'!$Q$10:$Q$12,MATCH($F190,'GCE'!$B$10:$B$12,0))="","Cell will autofill based on response",INDEX('GCE'!$Q$10:$Q$12,MATCH($F190,'GCE'!$B$10:$B$12,0))),"N/A")</f>
        <v/>
      </c>
      <c r="U190" s="53">
        <f>IFERROR(IF(INDEX('Education'!$Q$10:$Q$13,MATCH($F190,'Education'!$B$10:$B$13,0))="","Cell will autofill based on response",INDEX('Education'!$Q$10:$Q$13,MATCH($F190,'Education'!$B$10:$B$13,0))),"N/A")</f>
        <v/>
      </c>
      <c r="V190" s="53">
        <f>IFERROR(IF(INDEX('SaSS'!$Q$10:$Q$12,MATCH($F190,'SaSS'!$B$10:$B$12,0))="","Cell will autofill based on response",INDEX('SaSS'!$Q$10:$Q$12,MATCH($F190,'SaSS'!$B$10:$B$12,0))),"N/A")</f>
        <v/>
      </c>
      <c r="W190" s="53">
        <f>IFERROR(IF(INDEX('Indigenous'!$Q$10:$Q$11,MATCH($F190,'Indigenous'!$B$10:$B$11,0))="","Cell will autofill based on response",INDEX('Indigenous'!$Q$10:$Q$11,MATCH($F190,'Indigenous'!$B$10:$B$11,0))),"N/A")</f>
        <v/>
      </c>
      <c r="X190" s="53">
        <f>IFERROR(IF(INDEX('L&amp;R'!$Q$10:$Q$11,MATCH($F190,'L&amp;R'!$B$10:$B$11,0))="","Cell will autofill based on response",INDEX('L&amp;R'!$Q$10:$Q$11,MATCH($F190,'L&amp;R'!$B$10:$B$11,0))),"N/A")</f>
        <v/>
      </c>
    </row>
    <row r="191">
      <c r="A191">
        <f>F191&amp;"|"&amp;G191</f>
        <v/>
      </c>
      <c r="B191" s="7" t="inlineStr">
        <is>
          <t>EI1(d)</t>
        </is>
      </c>
      <c r="C191" s="51" t="inlineStr">
        <is>
          <t>Estate and infrastructure</t>
        </is>
      </c>
      <c r="D191" s="51" t="inlineStr">
        <is>
          <t>Evidence of understanding and integration of Indigenous approaches to sustainability in estate planning and development programs and projects.</t>
        </is>
      </c>
      <c r="E191" s="51" t="inlineStr">
        <is>
          <t>Please provide examples showing how Indigenous approaches, knowledges or perspectives on sustainability have informed estate planning, development programs or projects relevant to your Faculty/Portfolio. This could include how Indigenous stakeholders were engaged and what changed as a result.</t>
        </is>
      </c>
      <c r="F191" s="51" t="inlineStr">
        <is>
          <t>EI1(d)</t>
        </is>
      </c>
      <c r="G191" s="51" t="inlineStr">
        <is>
          <t>Confirm end-2026 target status</t>
        </is>
      </c>
      <c r="H191" s="53">
        <f>IFERROR(IF(INDEX('Faculties'!$L$10:$L$19,MATCH($F191,'Faculties'!$B$10:$B$19,0))="","Cell will autofill based on response",INDEX('Faculties'!$L$10:$L$19,MATCH($F191,'Faculties'!$B$10:$B$19,0))),"N/A")</f>
        <v/>
      </c>
      <c r="I191" s="53">
        <f>IFERROR(IF(INDEX('Faculties'!$L$26:$L$35,MATCH($F191,'Faculties'!$B$26:$B$35,0))="","Cell will autofill based on response",INDEX('Faculties'!$L$26:$L$35,MATCH($F191,'Faculties'!$B$26:$B$35,0))),"N/A")</f>
        <v/>
      </c>
      <c r="J191" s="53">
        <f>IFERROR(IF(INDEX('Faculties'!$L$42:$L$51,MATCH($F191,'Faculties'!$B$42:$B$51,0))="","Cell will autofill based on response",INDEX('Faculties'!$L$42:$L$51,MATCH($F191,'Faculties'!$B$42:$B$51,0))),"N/A")</f>
        <v/>
      </c>
      <c r="K191" s="53">
        <f>IFERROR(IF(INDEX('Faculties'!$L$58:$L$67,MATCH($F191,'Faculties'!$B$58:$B$67,0))="","Cell will autofill based on response",INDEX('Faculties'!$L$58:$L$67,MATCH($F191,'Faculties'!$B$58:$B$67,0))),"N/A")</f>
        <v/>
      </c>
      <c r="L191" s="53">
        <f>IFERROR(IF(INDEX('CI&amp;S'!$L$10:$L$15,MATCH($F191,'CI&amp;S'!$B$10:$B$15,0))="","Cell will autofill based on response",INDEX('CI&amp;S'!$L$10:$L$15,MATCH($F191,'CI&amp;S'!$B$10:$B$15,0))),"N/A")</f>
        <v/>
      </c>
      <c r="M191" s="53">
        <f>IFERROR(IF(INDEX('CI&amp;S'!$L$22:$L$36,MATCH($F191,'CI&amp;S'!$B$22:$B$36,0))="","Cell will autofill based on response",INDEX('CI&amp;S'!$L$22:$L$36,MATCH($F191,'CI&amp;S'!$B$22:$B$36,0))),"N/A")</f>
        <v/>
      </c>
      <c r="N191" s="53">
        <f>IFERROR(IF(INDEX('CFOG'!$L$10:$L$16,MATCH($F191,'CFOG'!$B$10:$B$16,0))="","Cell will autofill based on response",INDEX('CFOG'!$L$10:$L$16,MATCH($F191,'CFOG'!$B$10:$B$16,0))),"N/A")</f>
        <v/>
      </c>
      <c r="O191" s="53">
        <f>IFERROR(IF(INDEX('CFOG'!$L$23:$L$24,MATCH($F191,'CFOG'!$B$23:$B$24,0))="","Cell will autofill based on response",INDEX('CFOG'!$L$23:$L$24,MATCH($F191,'CFOG'!$B$23:$B$24,0))),"N/A")</f>
        <v/>
      </c>
      <c r="P191" s="53">
        <f>IFERROR(IF(INDEX('ESG'!$L$10:$L$17,MATCH($F191,'ESG'!$B$10:$B$17,0))="","Cell will autofill based on response",INDEX('ESG'!$L$10:$L$17,MATCH($F191,'ESG'!$B$10:$B$17,0))),"N/A")</f>
        <v/>
      </c>
      <c r="Q191" s="53">
        <f>IFERROR(IF(INDEX('CIOG'!$L$10:$L$14,MATCH($F191,'CIOG'!$B$10:$B$14,0))="","Cell will autofill based on response",INDEX('CIOG'!$L$10:$L$14,MATCH($F191,'CIOG'!$B$10:$B$14,0))),"N/A")</f>
        <v/>
      </c>
      <c r="R191" s="53">
        <f>IFERROR(IF(INDEX('MRE'!$L$10:$L$18,MATCH($F191,'MRE'!$B$10:$B$18,0))="","Cell will autofill based on response",INDEX('MRE'!$L$10:$L$18,MATCH($F191,'MRE'!$B$10:$B$18,0))),"N/A")</f>
        <v/>
      </c>
      <c r="S191" s="53">
        <f>IFERROR(IF(INDEX('AC&amp;M'!$L$10:$L$14,MATCH($F191,'AC&amp;M'!$B$10:$B$14,0))="","Cell will autofill based on response",INDEX('AC&amp;M'!$L$10:$L$14,MATCH($F191,'AC&amp;M'!$B$10:$B$14,0))),"N/A")</f>
        <v/>
      </c>
      <c r="T191" s="53">
        <f>IFERROR(IF(INDEX('GCE'!$L$10:$L$12,MATCH($F191,'GCE'!$B$10:$B$12,0))="","Cell will autofill based on response",INDEX('GCE'!$L$10:$L$12,MATCH($F191,'GCE'!$B$10:$B$12,0))),"N/A")</f>
        <v/>
      </c>
      <c r="U191" s="53">
        <f>IFERROR(IF(INDEX('Education'!$L$10:$L$13,MATCH($F191,'Education'!$B$10:$B$13,0))="","Cell will autofill based on response",INDEX('Education'!$L$10:$L$13,MATCH($F191,'Education'!$B$10:$B$13,0))),"N/A")</f>
        <v/>
      </c>
      <c r="V191" s="53">
        <f>IFERROR(IF(INDEX('SaSS'!$L$10:$L$12,MATCH($F191,'SaSS'!$B$10:$B$12,0))="","Cell will autofill based on response",INDEX('SaSS'!$L$10:$L$12,MATCH($F191,'SaSS'!$B$10:$B$12,0))),"N/A")</f>
        <v/>
      </c>
      <c r="W191" s="53">
        <f>IFERROR(IF(INDEX('Indigenous'!$L$10:$L$11,MATCH($F191,'Indigenous'!$B$10:$B$11,0))="","Cell will autofill based on response",INDEX('Indigenous'!$L$10:$L$11,MATCH($F191,'Indigenous'!$B$10:$B$11,0))),"N/A")</f>
        <v/>
      </c>
      <c r="X191" s="53">
        <f>IFERROR(IF(INDEX('L&amp;R'!$L$10:$L$11,MATCH($F191,'L&amp;R'!$B$10:$B$11,0))="","Cell will autofill based on response",INDEX('L&amp;R'!$L$10:$L$11,MATCH($F191,'L&amp;R'!$B$10:$B$11,0))),"N/A")</f>
        <v/>
      </c>
      <c r="Z191" s="10">
        <f>COUNTIF($H191:$X191,"Cell will autofill based on response")</f>
        <v/>
      </c>
      <c r="AA191" s="10">
        <f>COUNTIF($H191:$X191,"Not yet started")</f>
        <v/>
      </c>
      <c r="AB191" s="10">
        <f>COUNTIF($H191:$X191,"Not met")</f>
        <v/>
      </c>
      <c r="AC191" s="10">
        <f>COUNTIF($H191:$X191,"Partially met")</f>
        <v/>
      </c>
      <c r="AD191" s="10">
        <f>COUNTIF($H191:$X191,"Met or exceeded")</f>
        <v/>
      </c>
      <c r="AE191" s="10">
        <f>3*AD191+2*AC191+AB191</f>
        <v/>
      </c>
      <c r="AF191" s="10">
        <f>AD191+AC191+AB191+AA191</f>
        <v/>
      </c>
      <c r="AG191" s="54">
        <f>IF(AF191&gt;0,AE191/AF191,"No valid responses to date")</f>
        <v/>
      </c>
      <c r="AH191" s="10">
        <f>IF(ISNUMBER(AG191),INDEX(Lists!$G$2:$G$5,MATCH(ROUND(AG191,0),Lists!$H$2:$H$5,0)),"")</f>
        <v/>
      </c>
      <c r="AI191" s="55">
        <f>IF(AF191&gt;0,AD191/AF191,"")</f>
        <v/>
      </c>
      <c r="AJ191" s="55">
        <f>IF(AF191&gt;0,(AD191+AC191)/AF191,"")</f>
        <v/>
      </c>
      <c r="AK191" s="10">
        <f>IF(AF191=0,"",IF(AI191&gt;0.75,"Met or exceeded",IF(AJ191&gt;=0.5,"Partially met","Not met")))</f>
        <v/>
      </c>
    </row>
    <row r="192">
      <c r="A192">
        <f>F192&amp;"|"&amp;G192</f>
        <v/>
      </c>
      <c r="B192" s="13" t="inlineStr"/>
      <c r="C192" s="8" t="inlineStr"/>
      <c r="D192" s="8" t="inlineStr"/>
      <c r="E192" s="8" t="inlineStr"/>
      <c r="F192" s="8" t="inlineStr">
        <is>
          <t>EI1(d)</t>
        </is>
      </c>
      <c r="G192" s="8" t="inlineStr">
        <is>
          <t>OPTION 1:  Target-level reporting</t>
        </is>
      </c>
      <c r="H192" s="53">
        <f>IFERROR(IF(INDEX('Faculties'!$M$10:$M$19,MATCH($F192,'Faculties'!$B$10:$B$19,0))="","Cell will autofill based on response",INDEX('Faculties'!$M$10:$M$19,MATCH($F192,'Faculties'!$B$10:$B$19,0))),"N/A")</f>
        <v/>
      </c>
      <c r="I192" s="53">
        <f>IFERROR(IF(INDEX('Faculties'!$M$26:$M$35,MATCH($F192,'Faculties'!$B$26:$B$35,0))="","Cell will autofill based on response",INDEX('Faculties'!$M$26:$M$35,MATCH($F192,'Faculties'!$B$26:$B$35,0))),"N/A")</f>
        <v/>
      </c>
      <c r="J192" s="53">
        <f>IFERROR(IF(INDEX('Faculties'!$M$42:$M$51,MATCH($F192,'Faculties'!$B$42:$B$51,0))="","Cell will autofill based on response",INDEX('Faculties'!$M$42:$M$51,MATCH($F192,'Faculties'!$B$42:$B$51,0))),"N/A")</f>
        <v/>
      </c>
      <c r="K192" s="53">
        <f>IFERROR(IF(INDEX('Faculties'!$M$58:$M$67,MATCH($F192,'Faculties'!$B$58:$B$67,0))="","Cell will autofill based on response",INDEX('Faculties'!$M$58:$M$67,MATCH($F192,'Faculties'!$B$58:$B$67,0))),"N/A")</f>
        <v/>
      </c>
      <c r="L192" s="53">
        <f>IFERROR(IF(INDEX('CI&amp;S'!$M$10:$M$15,MATCH($F192,'CI&amp;S'!$B$10:$B$15,0))="","Cell will autofill based on response",INDEX('CI&amp;S'!$M$10:$M$15,MATCH($F192,'CI&amp;S'!$B$10:$B$15,0))),"N/A")</f>
        <v/>
      </c>
      <c r="M192" s="53">
        <f>IFERROR(IF(INDEX('CI&amp;S'!$M$22:$M$36,MATCH($F192,'CI&amp;S'!$B$22:$B$36,0))="","Cell will autofill based on response",INDEX('CI&amp;S'!$M$22:$M$36,MATCH($F192,'CI&amp;S'!$B$22:$B$36,0))),"N/A")</f>
        <v/>
      </c>
      <c r="N192" s="53">
        <f>IFERROR(IF(INDEX('CFOG'!$M$10:$M$16,MATCH($F192,'CFOG'!$B$10:$B$16,0))="","Cell will autofill based on response",INDEX('CFOG'!$M$10:$M$16,MATCH($F192,'CFOG'!$B$10:$B$16,0))),"N/A")</f>
        <v/>
      </c>
      <c r="O192" s="53">
        <f>IFERROR(IF(INDEX('CFOG'!$M$23:$M$24,MATCH($F192,'CFOG'!$B$23:$B$24,0))="","Cell will autofill based on response",INDEX('CFOG'!$M$23:$M$24,MATCH($F192,'CFOG'!$B$23:$B$24,0))),"N/A")</f>
        <v/>
      </c>
      <c r="P192" s="53">
        <f>IFERROR(IF(INDEX('ESG'!$M$10:$M$17,MATCH($F192,'ESG'!$B$10:$B$17,0))="","Cell will autofill based on response",INDEX('ESG'!$M$10:$M$17,MATCH($F192,'ESG'!$B$10:$B$17,0))),"N/A")</f>
        <v/>
      </c>
      <c r="Q192" s="53">
        <f>IFERROR(IF(INDEX('CIOG'!$M$10:$M$14,MATCH($F192,'CIOG'!$B$10:$B$14,0))="","Cell will autofill based on response",INDEX('CIOG'!$M$10:$M$14,MATCH($F192,'CIOG'!$B$10:$B$14,0))),"N/A")</f>
        <v/>
      </c>
      <c r="R192" s="53">
        <f>IFERROR(IF(INDEX('MRE'!$M$10:$M$18,MATCH($F192,'MRE'!$B$10:$B$18,0))="","Cell will autofill based on response",INDEX('MRE'!$M$10:$M$18,MATCH($F192,'MRE'!$B$10:$B$18,0))),"N/A")</f>
        <v/>
      </c>
      <c r="S192" s="53">
        <f>IFERROR(IF(INDEX('AC&amp;M'!$M$10:$M$14,MATCH($F192,'AC&amp;M'!$B$10:$B$14,0))="","Cell will autofill based on response",INDEX('AC&amp;M'!$M$10:$M$14,MATCH($F192,'AC&amp;M'!$B$10:$B$14,0))),"N/A")</f>
        <v/>
      </c>
      <c r="T192" s="53">
        <f>IFERROR(IF(INDEX('GCE'!$M$10:$M$12,MATCH($F192,'GCE'!$B$10:$B$12,0))="","Cell will autofill based on response",INDEX('GCE'!$M$10:$M$12,MATCH($F192,'GCE'!$B$10:$B$12,0))),"N/A")</f>
        <v/>
      </c>
      <c r="U192" s="53">
        <f>IFERROR(IF(INDEX('Education'!$M$10:$M$13,MATCH($F192,'Education'!$B$10:$B$13,0))="","Cell will autofill based on response",INDEX('Education'!$M$10:$M$13,MATCH($F192,'Education'!$B$10:$B$13,0))),"N/A")</f>
        <v/>
      </c>
      <c r="V192" s="53">
        <f>IFERROR(IF(INDEX('SaSS'!$M$10:$M$12,MATCH($F192,'SaSS'!$B$10:$B$12,0))="","Cell will autofill based on response",INDEX('SaSS'!$M$10:$M$12,MATCH($F192,'SaSS'!$B$10:$B$12,0))),"N/A")</f>
        <v/>
      </c>
      <c r="W192" s="53">
        <f>IFERROR(IF(INDEX('Indigenous'!$M$10:$M$11,MATCH($F192,'Indigenous'!$B$10:$B$11,0))="","Cell will autofill based on response",INDEX('Indigenous'!$M$10:$M$11,MATCH($F192,'Indigenous'!$B$10:$B$11,0))),"N/A")</f>
        <v/>
      </c>
      <c r="X192" s="53">
        <f>IFERROR(IF(INDEX('L&amp;R'!$M$10:$M$11,MATCH($F192,'L&amp;R'!$B$10:$B$11,0))="","Cell will autofill based on response",INDEX('L&amp;R'!$M$10:$M$11,MATCH($F192,'L&amp;R'!$B$10:$B$11,0))),"N/A")</f>
        <v/>
      </c>
    </row>
    <row r="193">
      <c r="A193">
        <f>F193&amp;"|"&amp;G193</f>
        <v/>
      </c>
      <c r="B193" s="13" t="inlineStr"/>
      <c r="C193" s="8" t="inlineStr"/>
      <c r="D193" s="8" t="inlineStr"/>
      <c r="E193" s="8" t="inlineStr"/>
      <c r="F193" s="8" t="inlineStr">
        <is>
          <t>EI1(d)</t>
        </is>
      </c>
      <c r="G193" s="8" t="inlineStr">
        <is>
          <t>OPTION 2:  Indicator level reporting</t>
        </is>
      </c>
      <c r="H193" s="53">
        <f>IFERROR(IF(INDEX('Faculties'!$N$10:$N$19,MATCH($F193,'Faculties'!$B$10:$B$19,0))="","Cell will autofill based on response",INDEX('Faculties'!$N$10:$N$19,MATCH($F193,'Faculties'!$B$10:$B$19,0))),"N/A")</f>
        <v/>
      </c>
      <c r="I193" s="53">
        <f>IFERROR(IF(INDEX('Faculties'!$N$26:$N$35,MATCH($F193,'Faculties'!$B$26:$B$35,0))="","Cell will autofill based on response",INDEX('Faculties'!$N$26:$N$35,MATCH($F193,'Faculties'!$B$26:$B$35,0))),"N/A")</f>
        <v/>
      </c>
      <c r="J193" s="53">
        <f>IFERROR(IF(INDEX('Faculties'!$N$42:$N$51,MATCH($F193,'Faculties'!$B$42:$B$51,0))="","Cell will autofill based on response",INDEX('Faculties'!$N$42:$N$51,MATCH($F193,'Faculties'!$B$42:$B$51,0))),"N/A")</f>
        <v/>
      </c>
      <c r="K193" s="53">
        <f>IFERROR(IF(INDEX('Faculties'!$N$58:$N$67,MATCH($F193,'Faculties'!$B$58:$B$67,0))="","Cell will autofill based on response",INDEX('Faculties'!$N$58:$N$67,MATCH($F193,'Faculties'!$B$58:$B$67,0))),"N/A")</f>
        <v/>
      </c>
      <c r="L193" s="53">
        <f>IFERROR(IF(INDEX('CI&amp;S'!$N$10:$N$15,MATCH($F193,'CI&amp;S'!$B$10:$B$15,0))="","Cell will autofill based on response",INDEX('CI&amp;S'!$N$10:$N$15,MATCH($F193,'CI&amp;S'!$B$10:$B$15,0))),"N/A")</f>
        <v/>
      </c>
      <c r="M193" s="53">
        <f>IFERROR(IF(INDEX('CI&amp;S'!$N$22:$N$36,MATCH($F193,'CI&amp;S'!$B$22:$B$36,0))="","Cell will autofill based on response",INDEX('CI&amp;S'!$N$22:$N$36,MATCH($F193,'CI&amp;S'!$B$22:$B$36,0))),"N/A")</f>
        <v/>
      </c>
      <c r="N193" s="53">
        <f>IFERROR(IF(INDEX('CFOG'!$N$10:$N$16,MATCH($F193,'CFOG'!$B$10:$B$16,0))="","Cell will autofill based on response",INDEX('CFOG'!$N$10:$N$16,MATCH($F193,'CFOG'!$B$10:$B$16,0))),"N/A")</f>
        <v/>
      </c>
      <c r="O193" s="53">
        <f>IFERROR(IF(INDEX('CFOG'!$N$23:$N$24,MATCH($F193,'CFOG'!$B$23:$B$24,0))="","Cell will autofill based on response",INDEX('CFOG'!$N$23:$N$24,MATCH($F193,'CFOG'!$B$23:$B$24,0))),"N/A")</f>
        <v/>
      </c>
      <c r="P193" s="53">
        <f>IFERROR(IF(INDEX('ESG'!$N$10:$N$17,MATCH($F193,'ESG'!$B$10:$B$17,0))="","Cell will autofill based on response",INDEX('ESG'!$N$10:$N$17,MATCH($F193,'ESG'!$B$10:$B$17,0))),"N/A")</f>
        <v/>
      </c>
      <c r="Q193" s="53">
        <f>IFERROR(IF(INDEX('CIOG'!$N$10:$N$14,MATCH($F193,'CIOG'!$B$10:$B$14,0))="","Cell will autofill based on response",INDEX('CIOG'!$N$10:$N$14,MATCH($F193,'CIOG'!$B$10:$B$14,0))),"N/A")</f>
        <v/>
      </c>
      <c r="R193" s="53">
        <f>IFERROR(IF(INDEX('MRE'!$N$10:$N$18,MATCH($F193,'MRE'!$B$10:$B$18,0))="","Cell will autofill based on response",INDEX('MRE'!$N$10:$N$18,MATCH($F193,'MRE'!$B$10:$B$18,0))),"N/A")</f>
        <v/>
      </c>
      <c r="S193" s="53">
        <f>IFERROR(IF(INDEX('AC&amp;M'!$N$10:$N$14,MATCH($F193,'AC&amp;M'!$B$10:$B$14,0))="","Cell will autofill based on response",INDEX('AC&amp;M'!$N$10:$N$14,MATCH($F193,'AC&amp;M'!$B$10:$B$14,0))),"N/A")</f>
        <v/>
      </c>
      <c r="T193" s="53">
        <f>IFERROR(IF(INDEX('GCE'!$N$10:$N$12,MATCH($F193,'GCE'!$B$10:$B$12,0))="","Cell will autofill based on response",INDEX('GCE'!$N$10:$N$12,MATCH($F193,'GCE'!$B$10:$B$12,0))),"N/A")</f>
        <v/>
      </c>
      <c r="U193" s="53">
        <f>IFERROR(IF(INDEX('Education'!$N$10:$N$13,MATCH($F193,'Education'!$B$10:$B$13,0))="","Cell will autofill based on response",INDEX('Education'!$N$10:$N$13,MATCH($F193,'Education'!$B$10:$B$13,0))),"N/A")</f>
        <v/>
      </c>
      <c r="V193" s="53">
        <f>IFERROR(IF(INDEX('SaSS'!$N$10:$N$12,MATCH($F193,'SaSS'!$B$10:$B$12,0))="","Cell will autofill based on response",INDEX('SaSS'!$N$10:$N$12,MATCH($F193,'SaSS'!$B$10:$B$12,0))),"N/A")</f>
        <v/>
      </c>
      <c r="W193" s="53">
        <f>IFERROR(IF(INDEX('Indigenous'!$N$10:$N$11,MATCH($F193,'Indigenous'!$B$10:$B$11,0))="","Cell will autofill based on response",INDEX('Indigenous'!$N$10:$N$11,MATCH($F193,'Indigenous'!$B$10:$B$11,0))),"N/A")</f>
        <v/>
      </c>
      <c r="X193" s="53">
        <f>IFERROR(IF(INDEX('L&amp;R'!$N$10:$N$11,MATCH($F193,'L&amp;R'!$B$10:$B$11,0))="","Cell will autofill based on response",INDEX('L&amp;R'!$N$10:$N$11,MATCH($F193,'L&amp;R'!$B$10:$B$11,0))),"N/A")</f>
        <v/>
      </c>
    </row>
    <row r="194">
      <c r="A194">
        <f>F194&amp;"|"&amp;G194</f>
        <v/>
      </c>
      <c r="B194" s="13" t="inlineStr"/>
      <c r="C194" s="8" t="inlineStr"/>
      <c r="D194" s="8" t="inlineStr"/>
      <c r="E194" s="8" t="inlineStr"/>
      <c r="F194" s="8" t="inlineStr">
        <is>
          <t>EI1(d)</t>
        </is>
      </c>
      <c r="G194" s="8" t="inlineStr">
        <is>
          <t>Supporting information/comments</t>
        </is>
      </c>
      <c r="H194" s="53">
        <f>IFERROR(IF(INDEX('Faculties'!$O$10:$O$19,MATCH($F194,'Faculties'!$B$10:$B$19,0))="","Cell will autofill based on response",INDEX('Faculties'!$O$10:$O$19,MATCH($F194,'Faculties'!$B$10:$B$19,0))),"N/A")</f>
        <v/>
      </c>
      <c r="I194" s="53">
        <f>IFERROR(IF(INDEX('Faculties'!$O$26:$O$35,MATCH($F194,'Faculties'!$B$26:$B$35,0))="","Cell will autofill based on response",INDEX('Faculties'!$O$26:$O$35,MATCH($F194,'Faculties'!$B$26:$B$35,0))),"N/A")</f>
        <v/>
      </c>
      <c r="J194" s="53">
        <f>IFERROR(IF(INDEX('Faculties'!$O$42:$O$51,MATCH($F194,'Faculties'!$B$42:$B$51,0))="","Cell will autofill based on response",INDEX('Faculties'!$O$42:$O$51,MATCH($F194,'Faculties'!$B$42:$B$51,0))),"N/A")</f>
        <v/>
      </c>
      <c r="K194" s="53">
        <f>IFERROR(IF(INDEX('Faculties'!$O$58:$O$67,MATCH($F194,'Faculties'!$B$58:$B$67,0))="","Cell will autofill based on response",INDEX('Faculties'!$O$58:$O$67,MATCH($F194,'Faculties'!$B$58:$B$67,0))),"N/A")</f>
        <v/>
      </c>
      <c r="L194" s="53">
        <f>IFERROR(IF(INDEX('CI&amp;S'!$O$10:$O$15,MATCH($F194,'CI&amp;S'!$B$10:$B$15,0))="","Cell will autofill based on response",INDEX('CI&amp;S'!$O$10:$O$15,MATCH($F194,'CI&amp;S'!$B$10:$B$15,0))),"N/A")</f>
        <v/>
      </c>
      <c r="M194" s="53">
        <f>IFERROR(IF(INDEX('CI&amp;S'!$O$22:$O$36,MATCH($F194,'CI&amp;S'!$B$22:$B$36,0))="","Cell will autofill based on response",INDEX('CI&amp;S'!$O$22:$O$36,MATCH($F194,'CI&amp;S'!$B$22:$B$36,0))),"N/A")</f>
        <v/>
      </c>
      <c r="N194" s="53">
        <f>IFERROR(IF(INDEX('CFOG'!$O$10:$O$16,MATCH($F194,'CFOG'!$B$10:$B$16,0))="","Cell will autofill based on response",INDEX('CFOG'!$O$10:$O$16,MATCH($F194,'CFOG'!$B$10:$B$16,0))),"N/A")</f>
        <v/>
      </c>
      <c r="O194" s="53">
        <f>IFERROR(IF(INDEX('CFOG'!$O$23:$O$24,MATCH($F194,'CFOG'!$B$23:$B$24,0))="","Cell will autofill based on response",INDEX('CFOG'!$O$23:$O$24,MATCH($F194,'CFOG'!$B$23:$B$24,0))),"N/A")</f>
        <v/>
      </c>
      <c r="P194" s="53">
        <f>IFERROR(IF(INDEX('ESG'!$O$10:$O$17,MATCH($F194,'ESG'!$B$10:$B$17,0))="","Cell will autofill based on response",INDEX('ESG'!$O$10:$O$17,MATCH($F194,'ESG'!$B$10:$B$17,0))),"N/A")</f>
        <v/>
      </c>
      <c r="Q194" s="53">
        <f>IFERROR(IF(INDEX('CIOG'!$O$10:$O$14,MATCH($F194,'CIOG'!$B$10:$B$14,0))="","Cell will autofill based on response",INDEX('CIOG'!$O$10:$O$14,MATCH($F194,'CIOG'!$B$10:$B$14,0))),"N/A")</f>
        <v/>
      </c>
      <c r="R194" s="53">
        <f>IFERROR(IF(INDEX('MRE'!$O$10:$O$18,MATCH($F194,'MRE'!$B$10:$B$18,0))="","Cell will autofill based on response",INDEX('MRE'!$O$10:$O$18,MATCH($F194,'MRE'!$B$10:$B$18,0))),"N/A")</f>
        <v/>
      </c>
      <c r="S194" s="53">
        <f>IFERROR(IF(INDEX('AC&amp;M'!$O$10:$O$14,MATCH($F194,'AC&amp;M'!$B$10:$B$14,0))="","Cell will autofill based on response",INDEX('AC&amp;M'!$O$10:$O$14,MATCH($F194,'AC&amp;M'!$B$10:$B$14,0))),"N/A")</f>
        <v/>
      </c>
      <c r="T194" s="53">
        <f>IFERROR(IF(INDEX('GCE'!$O$10:$O$12,MATCH($F194,'GCE'!$B$10:$B$12,0))="","Cell will autofill based on response",INDEX('GCE'!$O$10:$O$12,MATCH($F194,'GCE'!$B$10:$B$12,0))),"N/A")</f>
        <v/>
      </c>
      <c r="U194" s="53">
        <f>IFERROR(IF(INDEX('Education'!$O$10:$O$13,MATCH($F194,'Education'!$B$10:$B$13,0))="","Cell will autofill based on response",INDEX('Education'!$O$10:$O$13,MATCH($F194,'Education'!$B$10:$B$13,0))),"N/A")</f>
        <v/>
      </c>
      <c r="V194" s="53">
        <f>IFERROR(IF(INDEX('SaSS'!$O$10:$O$12,MATCH($F194,'SaSS'!$B$10:$B$12,0))="","Cell will autofill based on response",INDEX('SaSS'!$O$10:$O$12,MATCH($F194,'SaSS'!$B$10:$B$12,0))),"N/A")</f>
        <v/>
      </c>
      <c r="W194" s="53">
        <f>IFERROR(IF(INDEX('Indigenous'!$O$10:$O$11,MATCH($F194,'Indigenous'!$B$10:$B$11,0))="","Cell will autofill based on response",INDEX('Indigenous'!$O$10:$O$11,MATCH($F194,'Indigenous'!$B$10:$B$11,0))),"N/A")</f>
        <v/>
      </c>
      <c r="X194" s="53">
        <f>IFERROR(IF(INDEX('L&amp;R'!$O$10:$O$11,MATCH($F194,'L&amp;R'!$B$10:$B$11,0))="","Cell will autofill based on response",INDEX('L&amp;R'!$O$10:$O$11,MATCH($F194,'L&amp;R'!$B$10:$B$11,0))),"N/A")</f>
        <v/>
      </c>
    </row>
    <row r="195">
      <c r="A195">
        <f>F195&amp;"|"&amp;G195</f>
        <v/>
      </c>
      <c r="B195" s="13" t="inlineStr"/>
      <c r="C195" s="8" t="inlineStr"/>
      <c r="D195" s="8" t="inlineStr"/>
      <c r="E195" s="8" t="inlineStr"/>
      <c r="F195" s="8" t="inlineStr">
        <is>
          <t>EI1(d)</t>
        </is>
      </c>
      <c r="G195" s="8" t="inlineStr">
        <is>
          <t>Data source and limitations</t>
        </is>
      </c>
      <c r="H195" s="53">
        <f>IFERROR(IF(INDEX('Faculties'!$P$10:$P$19,MATCH($F195,'Faculties'!$B$10:$B$19,0))="","Cell will autofill based on response",INDEX('Faculties'!$P$10:$P$19,MATCH($F195,'Faculties'!$B$10:$B$19,0))),"N/A")</f>
        <v/>
      </c>
      <c r="I195" s="53">
        <f>IFERROR(IF(INDEX('Faculties'!$P$26:$P$35,MATCH($F195,'Faculties'!$B$26:$B$35,0))="","Cell will autofill based on response",INDEX('Faculties'!$P$26:$P$35,MATCH($F195,'Faculties'!$B$26:$B$35,0))),"N/A")</f>
        <v/>
      </c>
      <c r="J195" s="53">
        <f>IFERROR(IF(INDEX('Faculties'!$P$42:$P$51,MATCH($F195,'Faculties'!$B$42:$B$51,0))="","Cell will autofill based on response",INDEX('Faculties'!$P$42:$P$51,MATCH($F195,'Faculties'!$B$42:$B$51,0))),"N/A")</f>
        <v/>
      </c>
      <c r="K195" s="53">
        <f>IFERROR(IF(INDEX('Faculties'!$P$58:$P$67,MATCH($F195,'Faculties'!$B$58:$B$67,0))="","Cell will autofill based on response",INDEX('Faculties'!$P$58:$P$67,MATCH($F195,'Faculties'!$B$58:$B$67,0))),"N/A")</f>
        <v/>
      </c>
      <c r="L195" s="53">
        <f>IFERROR(IF(INDEX('CI&amp;S'!$P$10:$P$15,MATCH($F195,'CI&amp;S'!$B$10:$B$15,0))="","Cell will autofill based on response",INDEX('CI&amp;S'!$P$10:$P$15,MATCH($F195,'CI&amp;S'!$B$10:$B$15,0))),"N/A")</f>
        <v/>
      </c>
      <c r="M195" s="53">
        <f>IFERROR(IF(INDEX('CI&amp;S'!$P$22:$P$36,MATCH($F195,'CI&amp;S'!$B$22:$B$36,0))="","Cell will autofill based on response",INDEX('CI&amp;S'!$P$22:$P$36,MATCH($F195,'CI&amp;S'!$B$22:$B$36,0))),"N/A")</f>
        <v/>
      </c>
      <c r="N195" s="53">
        <f>IFERROR(IF(INDEX('CFOG'!$P$10:$P$16,MATCH($F195,'CFOG'!$B$10:$B$16,0))="","Cell will autofill based on response",INDEX('CFOG'!$P$10:$P$16,MATCH($F195,'CFOG'!$B$10:$B$16,0))),"N/A")</f>
        <v/>
      </c>
      <c r="O195" s="53">
        <f>IFERROR(IF(INDEX('CFOG'!$P$23:$P$24,MATCH($F195,'CFOG'!$B$23:$B$24,0))="","Cell will autofill based on response",INDEX('CFOG'!$P$23:$P$24,MATCH($F195,'CFOG'!$B$23:$B$24,0))),"N/A")</f>
        <v/>
      </c>
      <c r="P195" s="53">
        <f>IFERROR(IF(INDEX('ESG'!$P$10:$P$17,MATCH($F195,'ESG'!$B$10:$B$17,0))="","Cell will autofill based on response",INDEX('ESG'!$P$10:$P$17,MATCH($F195,'ESG'!$B$10:$B$17,0))),"N/A")</f>
        <v/>
      </c>
      <c r="Q195" s="53">
        <f>IFERROR(IF(INDEX('CIOG'!$P$10:$P$14,MATCH($F195,'CIOG'!$B$10:$B$14,0))="","Cell will autofill based on response",INDEX('CIOG'!$P$10:$P$14,MATCH($F195,'CIOG'!$B$10:$B$14,0))),"N/A")</f>
        <v/>
      </c>
      <c r="R195" s="53">
        <f>IFERROR(IF(INDEX('MRE'!$P$10:$P$18,MATCH($F195,'MRE'!$B$10:$B$18,0))="","Cell will autofill based on response",INDEX('MRE'!$P$10:$P$18,MATCH($F195,'MRE'!$B$10:$B$18,0))),"N/A")</f>
        <v/>
      </c>
      <c r="S195" s="53">
        <f>IFERROR(IF(INDEX('AC&amp;M'!$P$10:$P$14,MATCH($F195,'AC&amp;M'!$B$10:$B$14,0))="","Cell will autofill based on response",INDEX('AC&amp;M'!$P$10:$P$14,MATCH($F195,'AC&amp;M'!$B$10:$B$14,0))),"N/A")</f>
        <v/>
      </c>
      <c r="T195" s="53">
        <f>IFERROR(IF(INDEX('GCE'!$P$10:$P$12,MATCH($F195,'GCE'!$B$10:$B$12,0))="","Cell will autofill based on response",INDEX('GCE'!$P$10:$P$12,MATCH($F195,'GCE'!$B$10:$B$12,0))),"N/A")</f>
        <v/>
      </c>
      <c r="U195" s="53">
        <f>IFERROR(IF(INDEX('Education'!$P$10:$P$13,MATCH($F195,'Education'!$B$10:$B$13,0))="","Cell will autofill based on response",INDEX('Education'!$P$10:$P$13,MATCH($F195,'Education'!$B$10:$B$13,0))),"N/A")</f>
        <v/>
      </c>
      <c r="V195" s="53">
        <f>IFERROR(IF(INDEX('SaSS'!$P$10:$P$12,MATCH($F195,'SaSS'!$B$10:$B$12,0))="","Cell will autofill based on response",INDEX('SaSS'!$P$10:$P$12,MATCH($F195,'SaSS'!$B$10:$B$12,0))),"N/A")</f>
        <v/>
      </c>
      <c r="W195" s="53">
        <f>IFERROR(IF(INDEX('Indigenous'!$P$10:$P$11,MATCH($F195,'Indigenous'!$B$10:$B$11,0))="","Cell will autofill based on response",INDEX('Indigenous'!$P$10:$P$11,MATCH($F195,'Indigenous'!$B$10:$B$11,0))),"N/A")</f>
        <v/>
      </c>
      <c r="X195" s="53">
        <f>IFERROR(IF(INDEX('L&amp;R'!$P$10:$P$11,MATCH($F195,'L&amp;R'!$B$10:$B$11,0))="","Cell will autofill based on response",INDEX('L&amp;R'!$P$10:$P$11,MATCH($F195,'L&amp;R'!$B$10:$B$11,0))),"N/A")</f>
        <v/>
      </c>
    </row>
    <row r="196">
      <c r="A196">
        <f>F196&amp;"|"&amp;G196</f>
        <v/>
      </c>
      <c r="B196" s="13" t="inlineStr"/>
      <c r="C196" s="8" t="inlineStr"/>
      <c r="D196" s="8" t="inlineStr"/>
      <c r="E196" s="8" t="inlineStr"/>
      <c r="F196" s="8" t="inlineStr">
        <is>
          <t>EI1(d)</t>
        </is>
      </c>
      <c r="G196" s="8" t="inlineStr">
        <is>
          <t>Data owner confirms</t>
        </is>
      </c>
      <c r="H196" s="53">
        <f>IFERROR(IF(INDEX('Faculties'!$Q$10:$Q$19,MATCH($F196,'Faculties'!$B$10:$B$19,0))="","Cell will autofill based on response",INDEX('Faculties'!$Q$10:$Q$19,MATCH($F196,'Faculties'!$B$10:$B$19,0))),"N/A")</f>
        <v/>
      </c>
      <c r="I196" s="53">
        <f>IFERROR(IF(INDEX('Faculties'!$Q$26:$Q$35,MATCH($F196,'Faculties'!$B$26:$B$35,0))="","Cell will autofill based on response",INDEX('Faculties'!$Q$26:$Q$35,MATCH($F196,'Faculties'!$B$26:$B$35,0))),"N/A")</f>
        <v/>
      </c>
      <c r="J196" s="53">
        <f>IFERROR(IF(INDEX('Faculties'!$Q$42:$Q$51,MATCH($F196,'Faculties'!$B$42:$B$51,0))="","Cell will autofill based on response",INDEX('Faculties'!$Q$42:$Q$51,MATCH($F196,'Faculties'!$B$42:$B$51,0))),"N/A")</f>
        <v/>
      </c>
      <c r="K196" s="53">
        <f>IFERROR(IF(INDEX('Faculties'!$Q$58:$Q$67,MATCH($F196,'Faculties'!$B$58:$B$67,0))="","Cell will autofill based on response",INDEX('Faculties'!$Q$58:$Q$67,MATCH($F196,'Faculties'!$B$58:$B$67,0))),"N/A")</f>
        <v/>
      </c>
      <c r="L196" s="53">
        <f>IFERROR(IF(INDEX('CI&amp;S'!$Q$10:$Q$15,MATCH($F196,'CI&amp;S'!$B$10:$B$15,0))="","Cell will autofill based on response",INDEX('CI&amp;S'!$Q$10:$Q$15,MATCH($F196,'CI&amp;S'!$B$10:$B$15,0))),"N/A")</f>
        <v/>
      </c>
      <c r="M196" s="53">
        <f>IFERROR(IF(INDEX('CI&amp;S'!$Q$22:$Q$36,MATCH($F196,'CI&amp;S'!$B$22:$B$36,0))="","Cell will autofill based on response",INDEX('CI&amp;S'!$Q$22:$Q$36,MATCH($F196,'CI&amp;S'!$B$22:$B$36,0))),"N/A")</f>
        <v/>
      </c>
      <c r="N196" s="53">
        <f>IFERROR(IF(INDEX('CFOG'!$Q$10:$Q$16,MATCH($F196,'CFOG'!$B$10:$B$16,0))="","Cell will autofill based on response",INDEX('CFOG'!$Q$10:$Q$16,MATCH($F196,'CFOG'!$B$10:$B$16,0))),"N/A")</f>
        <v/>
      </c>
      <c r="O196" s="53">
        <f>IFERROR(IF(INDEX('CFOG'!$Q$23:$Q$24,MATCH($F196,'CFOG'!$B$23:$B$24,0))="","Cell will autofill based on response",INDEX('CFOG'!$Q$23:$Q$24,MATCH($F196,'CFOG'!$B$23:$B$24,0))),"N/A")</f>
        <v/>
      </c>
      <c r="P196" s="53">
        <f>IFERROR(IF(INDEX('ESG'!$Q$10:$Q$17,MATCH($F196,'ESG'!$B$10:$B$17,0))="","Cell will autofill based on response",INDEX('ESG'!$Q$10:$Q$17,MATCH($F196,'ESG'!$B$10:$B$17,0))),"N/A")</f>
        <v/>
      </c>
      <c r="Q196" s="53">
        <f>IFERROR(IF(INDEX('CIOG'!$Q$10:$Q$14,MATCH($F196,'CIOG'!$B$10:$B$14,0))="","Cell will autofill based on response",INDEX('CIOG'!$Q$10:$Q$14,MATCH($F196,'CIOG'!$B$10:$B$14,0))),"N/A")</f>
        <v/>
      </c>
      <c r="R196" s="53">
        <f>IFERROR(IF(INDEX('MRE'!$Q$10:$Q$18,MATCH($F196,'MRE'!$B$10:$B$18,0))="","Cell will autofill based on response",INDEX('MRE'!$Q$10:$Q$18,MATCH($F196,'MRE'!$B$10:$B$18,0))),"N/A")</f>
        <v/>
      </c>
      <c r="S196" s="53">
        <f>IFERROR(IF(INDEX('AC&amp;M'!$Q$10:$Q$14,MATCH($F196,'AC&amp;M'!$B$10:$B$14,0))="","Cell will autofill based on response",INDEX('AC&amp;M'!$Q$10:$Q$14,MATCH($F196,'AC&amp;M'!$B$10:$B$14,0))),"N/A")</f>
        <v/>
      </c>
      <c r="T196" s="53">
        <f>IFERROR(IF(INDEX('GCE'!$Q$10:$Q$12,MATCH($F196,'GCE'!$B$10:$B$12,0))="","Cell will autofill based on response",INDEX('GCE'!$Q$10:$Q$12,MATCH($F196,'GCE'!$B$10:$B$12,0))),"N/A")</f>
        <v/>
      </c>
      <c r="U196" s="53">
        <f>IFERROR(IF(INDEX('Education'!$Q$10:$Q$13,MATCH($F196,'Education'!$B$10:$B$13,0))="","Cell will autofill based on response",INDEX('Education'!$Q$10:$Q$13,MATCH($F196,'Education'!$B$10:$B$13,0))),"N/A")</f>
        <v/>
      </c>
      <c r="V196" s="53">
        <f>IFERROR(IF(INDEX('SaSS'!$Q$10:$Q$12,MATCH($F196,'SaSS'!$B$10:$B$12,0))="","Cell will autofill based on response",INDEX('SaSS'!$Q$10:$Q$12,MATCH($F196,'SaSS'!$B$10:$B$12,0))),"N/A")</f>
        <v/>
      </c>
      <c r="W196" s="53">
        <f>IFERROR(IF(INDEX('Indigenous'!$Q$10:$Q$11,MATCH($F196,'Indigenous'!$B$10:$B$11,0))="","Cell will autofill based on response",INDEX('Indigenous'!$Q$10:$Q$11,MATCH($F196,'Indigenous'!$B$10:$B$11,0))),"N/A")</f>
        <v/>
      </c>
      <c r="X196" s="53">
        <f>IFERROR(IF(INDEX('L&amp;R'!$Q$10:$Q$11,MATCH($F196,'L&amp;R'!$B$10:$B$11,0))="","Cell will autofill based on response",INDEX('L&amp;R'!$Q$10:$Q$11,MATCH($F196,'L&amp;R'!$B$10:$B$11,0))),"N/A")</f>
        <v/>
      </c>
    </row>
    <row r="197">
      <c r="A197">
        <f>F197&amp;"|"&amp;G197</f>
        <v/>
      </c>
      <c r="B197" s="7" t="inlineStr">
        <is>
          <t>RP1(a)</t>
        </is>
      </c>
      <c r="C197" s="51" t="inlineStr">
        <is>
          <t>Responsible procurement</t>
        </is>
      </c>
      <c r="D197" s="51" t="inlineStr">
        <is>
          <t>Case studies of maturity improvement related to responsible procurement process and systems.</t>
        </is>
      </c>
      <c r="E197" s="51" t="inlineStr">
        <is>
          <t>Maturity score if framework established; % procurement staff trained</t>
        </is>
      </c>
      <c r="F197" s="51" t="inlineStr">
        <is>
          <t>RP1(a)</t>
        </is>
      </c>
      <c r="G197" s="51" t="inlineStr">
        <is>
          <t>Confirm end-2026 target status</t>
        </is>
      </c>
      <c r="H197" s="53">
        <f>IFERROR(IF(INDEX('Faculties'!$L$10:$L$19,MATCH($F197,'Faculties'!$B$10:$B$19,0))="","Cell will autofill based on response",INDEX('Faculties'!$L$10:$L$19,MATCH($F197,'Faculties'!$B$10:$B$19,0))),"N/A")</f>
        <v/>
      </c>
      <c r="I197" s="53">
        <f>IFERROR(IF(INDEX('Faculties'!$L$26:$L$35,MATCH($F197,'Faculties'!$B$26:$B$35,0))="","Cell will autofill based on response",INDEX('Faculties'!$L$26:$L$35,MATCH($F197,'Faculties'!$B$26:$B$35,0))),"N/A")</f>
        <v/>
      </c>
      <c r="J197" s="53">
        <f>IFERROR(IF(INDEX('Faculties'!$L$42:$L$51,MATCH($F197,'Faculties'!$B$42:$B$51,0))="","Cell will autofill based on response",INDEX('Faculties'!$L$42:$L$51,MATCH($F197,'Faculties'!$B$42:$B$51,0))),"N/A")</f>
        <v/>
      </c>
      <c r="K197" s="53">
        <f>IFERROR(IF(INDEX('Faculties'!$L$58:$L$67,MATCH($F197,'Faculties'!$B$58:$B$67,0))="","Cell will autofill based on response",INDEX('Faculties'!$L$58:$L$67,MATCH($F197,'Faculties'!$B$58:$B$67,0))),"N/A")</f>
        <v/>
      </c>
      <c r="L197" s="53">
        <f>IFERROR(IF(INDEX('CI&amp;S'!$L$10:$L$15,MATCH($F197,'CI&amp;S'!$B$10:$B$15,0))="","Cell will autofill based on response",INDEX('CI&amp;S'!$L$10:$L$15,MATCH($F197,'CI&amp;S'!$B$10:$B$15,0))),"N/A")</f>
        <v/>
      </c>
      <c r="M197" s="53">
        <f>IFERROR(IF(INDEX('CI&amp;S'!$L$22:$L$36,MATCH($F197,'CI&amp;S'!$B$22:$B$36,0))="","Cell will autofill based on response",INDEX('CI&amp;S'!$L$22:$L$36,MATCH($F197,'CI&amp;S'!$B$22:$B$36,0))),"N/A")</f>
        <v/>
      </c>
      <c r="N197" s="53">
        <f>IFERROR(IF(INDEX('CFOG'!$L$10:$L$16,MATCH($F197,'CFOG'!$B$10:$B$16,0))="","Cell will autofill based on response",INDEX('CFOG'!$L$10:$L$16,MATCH($F197,'CFOG'!$B$10:$B$16,0))),"N/A")</f>
        <v/>
      </c>
      <c r="O197" s="53">
        <f>IFERROR(IF(INDEX('CFOG'!$L$23:$L$24,MATCH($F197,'CFOG'!$B$23:$B$24,0))="","Cell will autofill based on response",INDEX('CFOG'!$L$23:$L$24,MATCH($F197,'CFOG'!$B$23:$B$24,0))),"N/A")</f>
        <v/>
      </c>
      <c r="P197" s="53">
        <f>IFERROR(IF(INDEX('ESG'!$L$10:$L$17,MATCH($F197,'ESG'!$B$10:$B$17,0))="","Cell will autofill based on response",INDEX('ESG'!$L$10:$L$17,MATCH($F197,'ESG'!$B$10:$B$17,0))),"N/A")</f>
        <v/>
      </c>
      <c r="Q197" s="53">
        <f>IFERROR(IF(INDEX('CIOG'!$L$10:$L$14,MATCH($F197,'CIOG'!$B$10:$B$14,0))="","Cell will autofill based on response",INDEX('CIOG'!$L$10:$L$14,MATCH($F197,'CIOG'!$B$10:$B$14,0))),"N/A")</f>
        <v/>
      </c>
      <c r="R197" s="53">
        <f>IFERROR(IF(INDEX('MRE'!$L$10:$L$18,MATCH($F197,'MRE'!$B$10:$B$18,0))="","Cell will autofill based on response",INDEX('MRE'!$L$10:$L$18,MATCH($F197,'MRE'!$B$10:$B$18,0))),"N/A")</f>
        <v/>
      </c>
      <c r="S197" s="53">
        <f>IFERROR(IF(INDEX('AC&amp;M'!$L$10:$L$14,MATCH($F197,'AC&amp;M'!$B$10:$B$14,0))="","Cell will autofill based on response",INDEX('AC&amp;M'!$L$10:$L$14,MATCH($F197,'AC&amp;M'!$B$10:$B$14,0))),"N/A")</f>
        <v/>
      </c>
      <c r="T197" s="53">
        <f>IFERROR(IF(INDEX('GCE'!$L$10:$L$12,MATCH($F197,'GCE'!$B$10:$B$12,0))="","Cell will autofill based on response",INDEX('GCE'!$L$10:$L$12,MATCH($F197,'GCE'!$B$10:$B$12,0))),"N/A")</f>
        <v/>
      </c>
      <c r="U197" s="53">
        <f>IFERROR(IF(INDEX('Education'!$L$10:$L$13,MATCH($F197,'Education'!$B$10:$B$13,0))="","Cell will autofill based on response",INDEX('Education'!$L$10:$L$13,MATCH($F197,'Education'!$B$10:$B$13,0))),"N/A")</f>
        <v/>
      </c>
      <c r="V197" s="53">
        <f>IFERROR(IF(INDEX('SaSS'!$L$10:$L$12,MATCH($F197,'SaSS'!$B$10:$B$12,0))="","Cell will autofill based on response",INDEX('SaSS'!$L$10:$L$12,MATCH($F197,'SaSS'!$B$10:$B$12,0))),"N/A")</f>
        <v/>
      </c>
      <c r="W197" s="53">
        <f>IFERROR(IF(INDEX('Indigenous'!$L$10:$L$11,MATCH($F197,'Indigenous'!$B$10:$B$11,0))="","Cell will autofill based on response",INDEX('Indigenous'!$L$10:$L$11,MATCH($F197,'Indigenous'!$B$10:$B$11,0))),"N/A")</f>
        <v/>
      </c>
      <c r="X197" s="53">
        <f>IFERROR(IF(INDEX('L&amp;R'!$L$10:$L$11,MATCH($F197,'L&amp;R'!$B$10:$B$11,0))="","Cell will autofill based on response",INDEX('L&amp;R'!$L$10:$L$11,MATCH($F197,'L&amp;R'!$B$10:$B$11,0))),"N/A")</f>
        <v/>
      </c>
      <c r="Z197" s="10">
        <f>COUNTIF($H197:$X197,"Cell will autofill based on response")</f>
        <v/>
      </c>
      <c r="AA197" s="10">
        <f>COUNTIF($H197:$X197,"Not yet started")</f>
        <v/>
      </c>
      <c r="AB197" s="10">
        <f>COUNTIF($H197:$X197,"Not met")</f>
        <v/>
      </c>
      <c r="AC197" s="10">
        <f>COUNTIF($H197:$X197,"Partially met")</f>
        <v/>
      </c>
      <c r="AD197" s="10">
        <f>COUNTIF($H197:$X197,"Met or exceeded")</f>
        <v/>
      </c>
      <c r="AE197" s="10">
        <f>3*AD197+2*AC197+AB197</f>
        <v/>
      </c>
      <c r="AF197" s="10">
        <f>AD197+AC197+AB197+AA197</f>
        <v/>
      </c>
      <c r="AG197" s="54">
        <f>IF(AF197&gt;0,AE197/AF197,"No valid responses to date")</f>
        <v/>
      </c>
      <c r="AH197" s="10">
        <f>IF(ISNUMBER(AG197),INDEX(Lists!$G$2:$G$5,MATCH(ROUND(AG197,0),Lists!$H$2:$H$5,0)),"")</f>
        <v/>
      </c>
      <c r="AI197" s="55">
        <f>IF(AF197&gt;0,AD197/AF197,"")</f>
        <v/>
      </c>
      <c r="AJ197" s="55">
        <f>IF(AF197&gt;0,(AD197+AC197)/AF197,"")</f>
        <v/>
      </c>
      <c r="AK197" s="10">
        <f>IF(AF197=0,"",IF(AI197&gt;0.75,"Met or exceeded",IF(AJ197&gt;=0.5,"Partially met","Not met")))</f>
        <v/>
      </c>
    </row>
    <row r="198">
      <c r="A198">
        <f>F198&amp;"|"&amp;G198</f>
        <v/>
      </c>
      <c r="B198" s="13" t="inlineStr"/>
      <c r="C198" s="8" t="inlineStr"/>
      <c r="D198" s="8" t="inlineStr"/>
      <c r="E198" s="8" t="inlineStr"/>
      <c r="F198" s="8" t="inlineStr">
        <is>
          <t>RP1(a)</t>
        </is>
      </c>
      <c r="G198" s="8" t="inlineStr">
        <is>
          <t>OPTION 1:  Target-level reporting</t>
        </is>
      </c>
      <c r="H198" s="53">
        <f>IFERROR(IF(INDEX('Faculties'!$M$10:$M$19,MATCH($F198,'Faculties'!$B$10:$B$19,0))="","Cell will autofill based on response",INDEX('Faculties'!$M$10:$M$19,MATCH($F198,'Faculties'!$B$10:$B$19,0))),"N/A")</f>
        <v/>
      </c>
      <c r="I198" s="53">
        <f>IFERROR(IF(INDEX('Faculties'!$M$26:$M$35,MATCH($F198,'Faculties'!$B$26:$B$35,0))="","Cell will autofill based on response",INDEX('Faculties'!$M$26:$M$35,MATCH($F198,'Faculties'!$B$26:$B$35,0))),"N/A")</f>
        <v/>
      </c>
      <c r="J198" s="53">
        <f>IFERROR(IF(INDEX('Faculties'!$M$42:$M$51,MATCH($F198,'Faculties'!$B$42:$B$51,0))="","Cell will autofill based on response",INDEX('Faculties'!$M$42:$M$51,MATCH($F198,'Faculties'!$B$42:$B$51,0))),"N/A")</f>
        <v/>
      </c>
      <c r="K198" s="53">
        <f>IFERROR(IF(INDEX('Faculties'!$M$58:$M$67,MATCH($F198,'Faculties'!$B$58:$B$67,0))="","Cell will autofill based on response",INDEX('Faculties'!$M$58:$M$67,MATCH($F198,'Faculties'!$B$58:$B$67,0))),"N/A")</f>
        <v/>
      </c>
      <c r="L198" s="53">
        <f>IFERROR(IF(INDEX('CI&amp;S'!$M$10:$M$15,MATCH($F198,'CI&amp;S'!$B$10:$B$15,0))="","Cell will autofill based on response",INDEX('CI&amp;S'!$M$10:$M$15,MATCH($F198,'CI&amp;S'!$B$10:$B$15,0))),"N/A")</f>
        <v/>
      </c>
      <c r="M198" s="53">
        <f>IFERROR(IF(INDEX('CI&amp;S'!$M$22:$M$36,MATCH($F198,'CI&amp;S'!$B$22:$B$36,0))="","Cell will autofill based on response",INDEX('CI&amp;S'!$M$22:$M$36,MATCH($F198,'CI&amp;S'!$B$22:$B$36,0))),"N/A")</f>
        <v/>
      </c>
      <c r="N198" s="53">
        <f>IFERROR(IF(INDEX('CFOG'!$M$10:$M$16,MATCH($F198,'CFOG'!$B$10:$B$16,0))="","Cell will autofill based on response",INDEX('CFOG'!$M$10:$M$16,MATCH($F198,'CFOG'!$B$10:$B$16,0))),"N/A")</f>
        <v/>
      </c>
      <c r="O198" s="53">
        <f>IFERROR(IF(INDEX('CFOG'!$M$23:$M$24,MATCH($F198,'CFOG'!$B$23:$B$24,0))="","Cell will autofill based on response",INDEX('CFOG'!$M$23:$M$24,MATCH($F198,'CFOG'!$B$23:$B$24,0))),"N/A")</f>
        <v/>
      </c>
      <c r="P198" s="53">
        <f>IFERROR(IF(INDEX('ESG'!$M$10:$M$17,MATCH($F198,'ESG'!$B$10:$B$17,0))="","Cell will autofill based on response",INDEX('ESG'!$M$10:$M$17,MATCH($F198,'ESG'!$B$10:$B$17,0))),"N/A")</f>
        <v/>
      </c>
      <c r="Q198" s="53">
        <f>IFERROR(IF(INDEX('CIOG'!$M$10:$M$14,MATCH($F198,'CIOG'!$B$10:$B$14,0))="","Cell will autofill based on response",INDEX('CIOG'!$M$10:$M$14,MATCH($F198,'CIOG'!$B$10:$B$14,0))),"N/A")</f>
        <v/>
      </c>
      <c r="R198" s="53">
        <f>IFERROR(IF(INDEX('MRE'!$M$10:$M$18,MATCH($F198,'MRE'!$B$10:$B$18,0))="","Cell will autofill based on response",INDEX('MRE'!$M$10:$M$18,MATCH($F198,'MRE'!$B$10:$B$18,0))),"N/A")</f>
        <v/>
      </c>
      <c r="S198" s="53">
        <f>IFERROR(IF(INDEX('AC&amp;M'!$M$10:$M$14,MATCH($F198,'AC&amp;M'!$B$10:$B$14,0))="","Cell will autofill based on response",INDEX('AC&amp;M'!$M$10:$M$14,MATCH($F198,'AC&amp;M'!$B$10:$B$14,0))),"N/A")</f>
        <v/>
      </c>
      <c r="T198" s="53">
        <f>IFERROR(IF(INDEX('GCE'!$M$10:$M$12,MATCH($F198,'GCE'!$B$10:$B$12,0))="","Cell will autofill based on response",INDEX('GCE'!$M$10:$M$12,MATCH($F198,'GCE'!$B$10:$B$12,0))),"N/A")</f>
        <v/>
      </c>
      <c r="U198" s="53">
        <f>IFERROR(IF(INDEX('Education'!$M$10:$M$13,MATCH($F198,'Education'!$B$10:$B$13,0))="","Cell will autofill based on response",INDEX('Education'!$M$10:$M$13,MATCH($F198,'Education'!$B$10:$B$13,0))),"N/A")</f>
        <v/>
      </c>
      <c r="V198" s="53">
        <f>IFERROR(IF(INDEX('SaSS'!$M$10:$M$12,MATCH($F198,'SaSS'!$B$10:$B$12,0))="","Cell will autofill based on response",INDEX('SaSS'!$M$10:$M$12,MATCH($F198,'SaSS'!$B$10:$B$12,0))),"N/A")</f>
        <v/>
      </c>
      <c r="W198" s="53">
        <f>IFERROR(IF(INDEX('Indigenous'!$M$10:$M$11,MATCH($F198,'Indigenous'!$B$10:$B$11,0))="","Cell will autofill based on response",INDEX('Indigenous'!$M$10:$M$11,MATCH($F198,'Indigenous'!$B$10:$B$11,0))),"N/A")</f>
        <v/>
      </c>
      <c r="X198" s="53">
        <f>IFERROR(IF(INDEX('L&amp;R'!$M$10:$M$11,MATCH($F198,'L&amp;R'!$B$10:$B$11,0))="","Cell will autofill based on response",INDEX('L&amp;R'!$M$10:$M$11,MATCH($F198,'L&amp;R'!$B$10:$B$11,0))),"N/A")</f>
        <v/>
      </c>
    </row>
    <row r="199">
      <c r="A199">
        <f>F199&amp;"|"&amp;G199</f>
        <v/>
      </c>
      <c r="B199" s="13" t="inlineStr"/>
      <c r="C199" s="8" t="inlineStr"/>
      <c r="D199" s="8" t="inlineStr"/>
      <c r="E199" s="8" t="inlineStr"/>
      <c r="F199" s="8" t="inlineStr">
        <is>
          <t>RP1(a)</t>
        </is>
      </c>
      <c r="G199" s="8" t="inlineStr">
        <is>
          <t>OPTION 2:  Indicator level reporting</t>
        </is>
      </c>
      <c r="H199" s="53">
        <f>IFERROR(IF(INDEX('Faculties'!$N$10:$N$19,MATCH($F199,'Faculties'!$B$10:$B$19,0))="","Cell will autofill based on response",INDEX('Faculties'!$N$10:$N$19,MATCH($F199,'Faculties'!$B$10:$B$19,0))),"N/A")</f>
        <v/>
      </c>
      <c r="I199" s="53">
        <f>IFERROR(IF(INDEX('Faculties'!$N$26:$N$35,MATCH($F199,'Faculties'!$B$26:$B$35,0))="","Cell will autofill based on response",INDEX('Faculties'!$N$26:$N$35,MATCH($F199,'Faculties'!$B$26:$B$35,0))),"N/A")</f>
        <v/>
      </c>
      <c r="J199" s="53">
        <f>IFERROR(IF(INDEX('Faculties'!$N$42:$N$51,MATCH($F199,'Faculties'!$B$42:$B$51,0))="","Cell will autofill based on response",INDEX('Faculties'!$N$42:$N$51,MATCH($F199,'Faculties'!$B$42:$B$51,0))),"N/A")</f>
        <v/>
      </c>
      <c r="K199" s="53">
        <f>IFERROR(IF(INDEX('Faculties'!$N$58:$N$67,MATCH($F199,'Faculties'!$B$58:$B$67,0))="","Cell will autofill based on response",INDEX('Faculties'!$N$58:$N$67,MATCH($F199,'Faculties'!$B$58:$B$67,0))),"N/A")</f>
        <v/>
      </c>
      <c r="L199" s="53">
        <f>IFERROR(IF(INDEX('CI&amp;S'!$N$10:$N$15,MATCH($F199,'CI&amp;S'!$B$10:$B$15,0))="","Cell will autofill based on response",INDEX('CI&amp;S'!$N$10:$N$15,MATCH($F199,'CI&amp;S'!$B$10:$B$15,0))),"N/A")</f>
        <v/>
      </c>
      <c r="M199" s="53">
        <f>IFERROR(IF(INDEX('CI&amp;S'!$N$22:$N$36,MATCH($F199,'CI&amp;S'!$B$22:$B$36,0))="","Cell will autofill based on response",INDEX('CI&amp;S'!$N$22:$N$36,MATCH($F199,'CI&amp;S'!$B$22:$B$36,0))),"N/A")</f>
        <v/>
      </c>
      <c r="N199" s="53">
        <f>IFERROR(IF(INDEX('CFOG'!$N$10:$N$16,MATCH($F199,'CFOG'!$B$10:$B$16,0))="","Cell will autofill based on response",INDEX('CFOG'!$N$10:$N$16,MATCH($F199,'CFOG'!$B$10:$B$16,0))),"N/A")</f>
        <v/>
      </c>
      <c r="O199" s="53">
        <f>IFERROR(IF(INDEX('CFOG'!$N$23:$N$24,MATCH($F199,'CFOG'!$B$23:$B$24,0))="","Cell will autofill based on response",INDEX('CFOG'!$N$23:$N$24,MATCH($F199,'CFOG'!$B$23:$B$24,0))),"N/A")</f>
        <v/>
      </c>
      <c r="P199" s="53">
        <f>IFERROR(IF(INDEX('ESG'!$N$10:$N$17,MATCH($F199,'ESG'!$B$10:$B$17,0))="","Cell will autofill based on response",INDEX('ESG'!$N$10:$N$17,MATCH($F199,'ESG'!$B$10:$B$17,0))),"N/A")</f>
        <v/>
      </c>
      <c r="Q199" s="53">
        <f>IFERROR(IF(INDEX('CIOG'!$N$10:$N$14,MATCH($F199,'CIOG'!$B$10:$B$14,0))="","Cell will autofill based on response",INDEX('CIOG'!$N$10:$N$14,MATCH($F199,'CIOG'!$B$10:$B$14,0))),"N/A")</f>
        <v/>
      </c>
      <c r="R199" s="53">
        <f>IFERROR(IF(INDEX('MRE'!$N$10:$N$18,MATCH($F199,'MRE'!$B$10:$B$18,0))="","Cell will autofill based on response",INDEX('MRE'!$N$10:$N$18,MATCH($F199,'MRE'!$B$10:$B$18,0))),"N/A")</f>
        <v/>
      </c>
      <c r="S199" s="53">
        <f>IFERROR(IF(INDEX('AC&amp;M'!$N$10:$N$14,MATCH($F199,'AC&amp;M'!$B$10:$B$14,0))="","Cell will autofill based on response",INDEX('AC&amp;M'!$N$10:$N$14,MATCH($F199,'AC&amp;M'!$B$10:$B$14,0))),"N/A")</f>
        <v/>
      </c>
      <c r="T199" s="53">
        <f>IFERROR(IF(INDEX('GCE'!$N$10:$N$12,MATCH($F199,'GCE'!$B$10:$B$12,0))="","Cell will autofill based on response",INDEX('GCE'!$N$10:$N$12,MATCH($F199,'GCE'!$B$10:$B$12,0))),"N/A")</f>
        <v/>
      </c>
      <c r="U199" s="53">
        <f>IFERROR(IF(INDEX('Education'!$N$10:$N$13,MATCH($F199,'Education'!$B$10:$B$13,0))="","Cell will autofill based on response",INDEX('Education'!$N$10:$N$13,MATCH($F199,'Education'!$B$10:$B$13,0))),"N/A")</f>
        <v/>
      </c>
      <c r="V199" s="53">
        <f>IFERROR(IF(INDEX('SaSS'!$N$10:$N$12,MATCH($F199,'SaSS'!$B$10:$B$12,0))="","Cell will autofill based on response",INDEX('SaSS'!$N$10:$N$12,MATCH($F199,'SaSS'!$B$10:$B$12,0))),"N/A")</f>
        <v/>
      </c>
      <c r="W199" s="53">
        <f>IFERROR(IF(INDEX('Indigenous'!$N$10:$N$11,MATCH($F199,'Indigenous'!$B$10:$B$11,0))="","Cell will autofill based on response",INDEX('Indigenous'!$N$10:$N$11,MATCH($F199,'Indigenous'!$B$10:$B$11,0))),"N/A")</f>
        <v/>
      </c>
      <c r="X199" s="53">
        <f>IFERROR(IF(INDEX('L&amp;R'!$N$10:$N$11,MATCH($F199,'L&amp;R'!$B$10:$B$11,0))="","Cell will autofill based on response",INDEX('L&amp;R'!$N$10:$N$11,MATCH($F199,'L&amp;R'!$B$10:$B$11,0))),"N/A")</f>
        <v/>
      </c>
    </row>
    <row r="200">
      <c r="A200">
        <f>F200&amp;"|"&amp;G200</f>
        <v/>
      </c>
      <c r="B200" s="13" t="inlineStr"/>
      <c r="C200" s="8" t="inlineStr"/>
      <c r="D200" s="8" t="inlineStr"/>
      <c r="E200" s="8" t="inlineStr"/>
      <c r="F200" s="8" t="inlineStr">
        <is>
          <t>RP1(a)</t>
        </is>
      </c>
      <c r="G200" s="8" t="inlineStr">
        <is>
          <t>Supporting information/comments</t>
        </is>
      </c>
      <c r="H200" s="53">
        <f>IFERROR(IF(INDEX('Faculties'!$O$10:$O$19,MATCH($F200,'Faculties'!$B$10:$B$19,0))="","Cell will autofill based on response",INDEX('Faculties'!$O$10:$O$19,MATCH($F200,'Faculties'!$B$10:$B$19,0))),"N/A")</f>
        <v/>
      </c>
      <c r="I200" s="53">
        <f>IFERROR(IF(INDEX('Faculties'!$O$26:$O$35,MATCH($F200,'Faculties'!$B$26:$B$35,0))="","Cell will autofill based on response",INDEX('Faculties'!$O$26:$O$35,MATCH($F200,'Faculties'!$B$26:$B$35,0))),"N/A")</f>
        <v/>
      </c>
      <c r="J200" s="53">
        <f>IFERROR(IF(INDEX('Faculties'!$O$42:$O$51,MATCH($F200,'Faculties'!$B$42:$B$51,0))="","Cell will autofill based on response",INDEX('Faculties'!$O$42:$O$51,MATCH($F200,'Faculties'!$B$42:$B$51,0))),"N/A")</f>
        <v/>
      </c>
      <c r="K200" s="53">
        <f>IFERROR(IF(INDEX('Faculties'!$O$58:$O$67,MATCH($F200,'Faculties'!$B$58:$B$67,0))="","Cell will autofill based on response",INDEX('Faculties'!$O$58:$O$67,MATCH($F200,'Faculties'!$B$58:$B$67,0))),"N/A")</f>
        <v/>
      </c>
      <c r="L200" s="53">
        <f>IFERROR(IF(INDEX('CI&amp;S'!$O$10:$O$15,MATCH($F200,'CI&amp;S'!$B$10:$B$15,0))="","Cell will autofill based on response",INDEX('CI&amp;S'!$O$10:$O$15,MATCH($F200,'CI&amp;S'!$B$10:$B$15,0))),"N/A")</f>
        <v/>
      </c>
      <c r="M200" s="53">
        <f>IFERROR(IF(INDEX('CI&amp;S'!$O$22:$O$36,MATCH($F200,'CI&amp;S'!$B$22:$B$36,0))="","Cell will autofill based on response",INDEX('CI&amp;S'!$O$22:$O$36,MATCH($F200,'CI&amp;S'!$B$22:$B$36,0))),"N/A")</f>
        <v/>
      </c>
      <c r="N200" s="53">
        <f>IFERROR(IF(INDEX('CFOG'!$O$10:$O$16,MATCH($F200,'CFOG'!$B$10:$B$16,0))="","Cell will autofill based on response",INDEX('CFOG'!$O$10:$O$16,MATCH($F200,'CFOG'!$B$10:$B$16,0))),"N/A")</f>
        <v/>
      </c>
      <c r="O200" s="53">
        <f>IFERROR(IF(INDEX('CFOG'!$O$23:$O$24,MATCH($F200,'CFOG'!$B$23:$B$24,0))="","Cell will autofill based on response",INDEX('CFOG'!$O$23:$O$24,MATCH($F200,'CFOG'!$B$23:$B$24,0))),"N/A")</f>
        <v/>
      </c>
      <c r="P200" s="53">
        <f>IFERROR(IF(INDEX('ESG'!$O$10:$O$17,MATCH($F200,'ESG'!$B$10:$B$17,0))="","Cell will autofill based on response",INDEX('ESG'!$O$10:$O$17,MATCH($F200,'ESG'!$B$10:$B$17,0))),"N/A")</f>
        <v/>
      </c>
      <c r="Q200" s="53">
        <f>IFERROR(IF(INDEX('CIOG'!$O$10:$O$14,MATCH($F200,'CIOG'!$B$10:$B$14,0))="","Cell will autofill based on response",INDEX('CIOG'!$O$10:$O$14,MATCH($F200,'CIOG'!$B$10:$B$14,0))),"N/A")</f>
        <v/>
      </c>
      <c r="R200" s="53">
        <f>IFERROR(IF(INDEX('MRE'!$O$10:$O$18,MATCH($F200,'MRE'!$B$10:$B$18,0))="","Cell will autofill based on response",INDEX('MRE'!$O$10:$O$18,MATCH($F200,'MRE'!$B$10:$B$18,0))),"N/A")</f>
        <v/>
      </c>
      <c r="S200" s="53">
        <f>IFERROR(IF(INDEX('AC&amp;M'!$O$10:$O$14,MATCH($F200,'AC&amp;M'!$B$10:$B$14,0))="","Cell will autofill based on response",INDEX('AC&amp;M'!$O$10:$O$14,MATCH($F200,'AC&amp;M'!$B$10:$B$14,0))),"N/A")</f>
        <v/>
      </c>
      <c r="T200" s="53">
        <f>IFERROR(IF(INDEX('GCE'!$O$10:$O$12,MATCH($F200,'GCE'!$B$10:$B$12,0))="","Cell will autofill based on response",INDEX('GCE'!$O$10:$O$12,MATCH($F200,'GCE'!$B$10:$B$12,0))),"N/A")</f>
        <v/>
      </c>
      <c r="U200" s="53">
        <f>IFERROR(IF(INDEX('Education'!$O$10:$O$13,MATCH($F200,'Education'!$B$10:$B$13,0))="","Cell will autofill based on response",INDEX('Education'!$O$10:$O$13,MATCH($F200,'Education'!$B$10:$B$13,0))),"N/A")</f>
        <v/>
      </c>
      <c r="V200" s="53">
        <f>IFERROR(IF(INDEX('SaSS'!$O$10:$O$12,MATCH($F200,'SaSS'!$B$10:$B$12,0))="","Cell will autofill based on response",INDEX('SaSS'!$O$10:$O$12,MATCH($F200,'SaSS'!$B$10:$B$12,0))),"N/A")</f>
        <v/>
      </c>
      <c r="W200" s="53">
        <f>IFERROR(IF(INDEX('Indigenous'!$O$10:$O$11,MATCH($F200,'Indigenous'!$B$10:$B$11,0))="","Cell will autofill based on response",INDEX('Indigenous'!$O$10:$O$11,MATCH($F200,'Indigenous'!$B$10:$B$11,0))),"N/A")</f>
        <v/>
      </c>
      <c r="X200" s="53">
        <f>IFERROR(IF(INDEX('L&amp;R'!$O$10:$O$11,MATCH($F200,'L&amp;R'!$B$10:$B$11,0))="","Cell will autofill based on response",INDEX('L&amp;R'!$O$10:$O$11,MATCH($F200,'L&amp;R'!$B$10:$B$11,0))),"N/A")</f>
        <v/>
      </c>
    </row>
    <row r="201">
      <c r="A201">
        <f>F201&amp;"|"&amp;G201</f>
        <v/>
      </c>
      <c r="B201" s="13" t="inlineStr"/>
      <c r="C201" s="8" t="inlineStr"/>
      <c r="D201" s="8" t="inlineStr"/>
      <c r="E201" s="8" t="inlineStr"/>
      <c r="F201" s="8" t="inlineStr">
        <is>
          <t>RP1(a)</t>
        </is>
      </c>
      <c r="G201" s="8" t="inlineStr">
        <is>
          <t>Data source and limitations</t>
        </is>
      </c>
      <c r="H201" s="53">
        <f>IFERROR(IF(INDEX('Faculties'!$P$10:$P$19,MATCH($F201,'Faculties'!$B$10:$B$19,0))="","Cell will autofill based on response",INDEX('Faculties'!$P$10:$P$19,MATCH($F201,'Faculties'!$B$10:$B$19,0))),"N/A")</f>
        <v/>
      </c>
      <c r="I201" s="53">
        <f>IFERROR(IF(INDEX('Faculties'!$P$26:$P$35,MATCH($F201,'Faculties'!$B$26:$B$35,0))="","Cell will autofill based on response",INDEX('Faculties'!$P$26:$P$35,MATCH($F201,'Faculties'!$B$26:$B$35,0))),"N/A")</f>
        <v/>
      </c>
      <c r="J201" s="53">
        <f>IFERROR(IF(INDEX('Faculties'!$P$42:$P$51,MATCH($F201,'Faculties'!$B$42:$B$51,0))="","Cell will autofill based on response",INDEX('Faculties'!$P$42:$P$51,MATCH($F201,'Faculties'!$B$42:$B$51,0))),"N/A")</f>
        <v/>
      </c>
      <c r="K201" s="53">
        <f>IFERROR(IF(INDEX('Faculties'!$P$58:$P$67,MATCH($F201,'Faculties'!$B$58:$B$67,0))="","Cell will autofill based on response",INDEX('Faculties'!$P$58:$P$67,MATCH($F201,'Faculties'!$B$58:$B$67,0))),"N/A")</f>
        <v/>
      </c>
      <c r="L201" s="53">
        <f>IFERROR(IF(INDEX('CI&amp;S'!$P$10:$P$15,MATCH($F201,'CI&amp;S'!$B$10:$B$15,0))="","Cell will autofill based on response",INDEX('CI&amp;S'!$P$10:$P$15,MATCH($F201,'CI&amp;S'!$B$10:$B$15,0))),"N/A")</f>
        <v/>
      </c>
      <c r="M201" s="53">
        <f>IFERROR(IF(INDEX('CI&amp;S'!$P$22:$P$36,MATCH($F201,'CI&amp;S'!$B$22:$B$36,0))="","Cell will autofill based on response",INDEX('CI&amp;S'!$P$22:$P$36,MATCH($F201,'CI&amp;S'!$B$22:$B$36,0))),"N/A")</f>
        <v/>
      </c>
      <c r="N201" s="53">
        <f>IFERROR(IF(INDEX('CFOG'!$P$10:$P$16,MATCH($F201,'CFOG'!$B$10:$B$16,0))="","Cell will autofill based on response",INDEX('CFOG'!$P$10:$P$16,MATCH($F201,'CFOG'!$B$10:$B$16,0))),"N/A")</f>
        <v/>
      </c>
      <c r="O201" s="53">
        <f>IFERROR(IF(INDEX('CFOG'!$P$23:$P$24,MATCH($F201,'CFOG'!$B$23:$B$24,0))="","Cell will autofill based on response",INDEX('CFOG'!$P$23:$P$24,MATCH($F201,'CFOG'!$B$23:$B$24,0))),"N/A")</f>
        <v/>
      </c>
      <c r="P201" s="53">
        <f>IFERROR(IF(INDEX('ESG'!$P$10:$P$17,MATCH($F201,'ESG'!$B$10:$B$17,0))="","Cell will autofill based on response",INDEX('ESG'!$P$10:$P$17,MATCH($F201,'ESG'!$B$10:$B$17,0))),"N/A")</f>
        <v/>
      </c>
      <c r="Q201" s="53">
        <f>IFERROR(IF(INDEX('CIOG'!$P$10:$P$14,MATCH($F201,'CIOG'!$B$10:$B$14,0))="","Cell will autofill based on response",INDEX('CIOG'!$P$10:$P$14,MATCH($F201,'CIOG'!$B$10:$B$14,0))),"N/A")</f>
        <v/>
      </c>
      <c r="R201" s="53">
        <f>IFERROR(IF(INDEX('MRE'!$P$10:$P$18,MATCH($F201,'MRE'!$B$10:$B$18,0))="","Cell will autofill based on response",INDEX('MRE'!$P$10:$P$18,MATCH($F201,'MRE'!$B$10:$B$18,0))),"N/A")</f>
        <v/>
      </c>
      <c r="S201" s="53">
        <f>IFERROR(IF(INDEX('AC&amp;M'!$P$10:$P$14,MATCH($F201,'AC&amp;M'!$B$10:$B$14,0))="","Cell will autofill based on response",INDEX('AC&amp;M'!$P$10:$P$14,MATCH($F201,'AC&amp;M'!$B$10:$B$14,0))),"N/A")</f>
        <v/>
      </c>
      <c r="T201" s="53">
        <f>IFERROR(IF(INDEX('GCE'!$P$10:$P$12,MATCH($F201,'GCE'!$B$10:$B$12,0))="","Cell will autofill based on response",INDEX('GCE'!$P$10:$P$12,MATCH($F201,'GCE'!$B$10:$B$12,0))),"N/A")</f>
        <v/>
      </c>
      <c r="U201" s="53">
        <f>IFERROR(IF(INDEX('Education'!$P$10:$P$13,MATCH($F201,'Education'!$B$10:$B$13,0))="","Cell will autofill based on response",INDEX('Education'!$P$10:$P$13,MATCH($F201,'Education'!$B$10:$B$13,0))),"N/A")</f>
        <v/>
      </c>
      <c r="V201" s="53">
        <f>IFERROR(IF(INDEX('SaSS'!$P$10:$P$12,MATCH($F201,'SaSS'!$B$10:$B$12,0))="","Cell will autofill based on response",INDEX('SaSS'!$P$10:$P$12,MATCH($F201,'SaSS'!$B$10:$B$12,0))),"N/A")</f>
        <v/>
      </c>
      <c r="W201" s="53">
        <f>IFERROR(IF(INDEX('Indigenous'!$P$10:$P$11,MATCH($F201,'Indigenous'!$B$10:$B$11,0))="","Cell will autofill based on response",INDEX('Indigenous'!$P$10:$P$11,MATCH($F201,'Indigenous'!$B$10:$B$11,0))),"N/A")</f>
        <v/>
      </c>
      <c r="X201" s="53">
        <f>IFERROR(IF(INDEX('L&amp;R'!$P$10:$P$11,MATCH($F201,'L&amp;R'!$B$10:$B$11,0))="","Cell will autofill based on response",INDEX('L&amp;R'!$P$10:$P$11,MATCH($F201,'L&amp;R'!$B$10:$B$11,0))),"N/A")</f>
        <v/>
      </c>
    </row>
    <row r="202">
      <c r="A202">
        <f>F202&amp;"|"&amp;G202</f>
        <v/>
      </c>
      <c r="B202" s="13" t="inlineStr"/>
      <c r="C202" s="8" t="inlineStr"/>
      <c r="D202" s="8" t="inlineStr"/>
      <c r="E202" s="8" t="inlineStr"/>
      <c r="F202" s="8" t="inlineStr">
        <is>
          <t>RP1(a)</t>
        </is>
      </c>
      <c r="G202" s="8" t="inlineStr">
        <is>
          <t>Data owner confirms</t>
        </is>
      </c>
      <c r="H202" s="53">
        <f>IFERROR(IF(INDEX('Faculties'!$Q$10:$Q$19,MATCH($F202,'Faculties'!$B$10:$B$19,0))="","Cell will autofill based on response",INDEX('Faculties'!$Q$10:$Q$19,MATCH($F202,'Faculties'!$B$10:$B$19,0))),"N/A")</f>
        <v/>
      </c>
      <c r="I202" s="53">
        <f>IFERROR(IF(INDEX('Faculties'!$Q$26:$Q$35,MATCH($F202,'Faculties'!$B$26:$B$35,0))="","Cell will autofill based on response",INDEX('Faculties'!$Q$26:$Q$35,MATCH($F202,'Faculties'!$B$26:$B$35,0))),"N/A")</f>
        <v/>
      </c>
      <c r="J202" s="53">
        <f>IFERROR(IF(INDEX('Faculties'!$Q$42:$Q$51,MATCH($F202,'Faculties'!$B$42:$B$51,0))="","Cell will autofill based on response",INDEX('Faculties'!$Q$42:$Q$51,MATCH($F202,'Faculties'!$B$42:$B$51,0))),"N/A")</f>
        <v/>
      </c>
      <c r="K202" s="53">
        <f>IFERROR(IF(INDEX('Faculties'!$Q$58:$Q$67,MATCH($F202,'Faculties'!$B$58:$B$67,0))="","Cell will autofill based on response",INDEX('Faculties'!$Q$58:$Q$67,MATCH($F202,'Faculties'!$B$58:$B$67,0))),"N/A")</f>
        <v/>
      </c>
      <c r="L202" s="53">
        <f>IFERROR(IF(INDEX('CI&amp;S'!$Q$10:$Q$15,MATCH($F202,'CI&amp;S'!$B$10:$B$15,0))="","Cell will autofill based on response",INDEX('CI&amp;S'!$Q$10:$Q$15,MATCH($F202,'CI&amp;S'!$B$10:$B$15,0))),"N/A")</f>
        <v/>
      </c>
      <c r="M202" s="53">
        <f>IFERROR(IF(INDEX('CI&amp;S'!$Q$22:$Q$36,MATCH($F202,'CI&amp;S'!$B$22:$B$36,0))="","Cell will autofill based on response",INDEX('CI&amp;S'!$Q$22:$Q$36,MATCH($F202,'CI&amp;S'!$B$22:$B$36,0))),"N/A")</f>
        <v/>
      </c>
      <c r="N202" s="53">
        <f>IFERROR(IF(INDEX('CFOG'!$Q$10:$Q$16,MATCH($F202,'CFOG'!$B$10:$B$16,0))="","Cell will autofill based on response",INDEX('CFOG'!$Q$10:$Q$16,MATCH($F202,'CFOG'!$B$10:$B$16,0))),"N/A")</f>
        <v/>
      </c>
      <c r="O202" s="53">
        <f>IFERROR(IF(INDEX('CFOG'!$Q$23:$Q$24,MATCH($F202,'CFOG'!$B$23:$B$24,0))="","Cell will autofill based on response",INDEX('CFOG'!$Q$23:$Q$24,MATCH($F202,'CFOG'!$B$23:$B$24,0))),"N/A")</f>
        <v/>
      </c>
      <c r="P202" s="53">
        <f>IFERROR(IF(INDEX('ESG'!$Q$10:$Q$17,MATCH($F202,'ESG'!$B$10:$B$17,0))="","Cell will autofill based on response",INDEX('ESG'!$Q$10:$Q$17,MATCH($F202,'ESG'!$B$10:$B$17,0))),"N/A")</f>
        <v/>
      </c>
      <c r="Q202" s="53">
        <f>IFERROR(IF(INDEX('CIOG'!$Q$10:$Q$14,MATCH($F202,'CIOG'!$B$10:$B$14,0))="","Cell will autofill based on response",INDEX('CIOG'!$Q$10:$Q$14,MATCH($F202,'CIOG'!$B$10:$B$14,0))),"N/A")</f>
        <v/>
      </c>
      <c r="R202" s="53">
        <f>IFERROR(IF(INDEX('MRE'!$Q$10:$Q$18,MATCH($F202,'MRE'!$B$10:$B$18,0))="","Cell will autofill based on response",INDEX('MRE'!$Q$10:$Q$18,MATCH($F202,'MRE'!$B$10:$B$18,0))),"N/A")</f>
        <v/>
      </c>
      <c r="S202" s="53">
        <f>IFERROR(IF(INDEX('AC&amp;M'!$Q$10:$Q$14,MATCH($F202,'AC&amp;M'!$B$10:$B$14,0))="","Cell will autofill based on response",INDEX('AC&amp;M'!$Q$10:$Q$14,MATCH($F202,'AC&amp;M'!$B$10:$B$14,0))),"N/A")</f>
        <v/>
      </c>
      <c r="T202" s="53">
        <f>IFERROR(IF(INDEX('GCE'!$Q$10:$Q$12,MATCH($F202,'GCE'!$B$10:$B$12,0))="","Cell will autofill based on response",INDEX('GCE'!$Q$10:$Q$12,MATCH($F202,'GCE'!$B$10:$B$12,0))),"N/A")</f>
        <v/>
      </c>
      <c r="U202" s="53">
        <f>IFERROR(IF(INDEX('Education'!$Q$10:$Q$13,MATCH($F202,'Education'!$B$10:$B$13,0))="","Cell will autofill based on response",INDEX('Education'!$Q$10:$Q$13,MATCH($F202,'Education'!$B$10:$B$13,0))),"N/A")</f>
        <v/>
      </c>
      <c r="V202" s="53">
        <f>IFERROR(IF(INDEX('SaSS'!$Q$10:$Q$12,MATCH($F202,'SaSS'!$B$10:$B$12,0))="","Cell will autofill based on response",INDEX('SaSS'!$Q$10:$Q$12,MATCH($F202,'SaSS'!$B$10:$B$12,0))),"N/A")</f>
        <v/>
      </c>
      <c r="W202" s="53">
        <f>IFERROR(IF(INDEX('Indigenous'!$Q$10:$Q$11,MATCH($F202,'Indigenous'!$B$10:$B$11,0))="","Cell will autofill based on response",INDEX('Indigenous'!$Q$10:$Q$11,MATCH($F202,'Indigenous'!$B$10:$B$11,0))),"N/A")</f>
        <v/>
      </c>
      <c r="X202" s="53">
        <f>IFERROR(IF(INDEX('L&amp;R'!$Q$10:$Q$11,MATCH($F202,'L&amp;R'!$B$10:$B$11,0))="","Cell will autofill based on response",INDEX('L&amp;R'!$Q$10:$Q$11,MATCH($F202,'L&amp;R'!$B$10:$B$11,0))),"N/A")</f>
        <v/>
      </c>
    </row>
    <row r="203">
      <c r="A203">
        <f>F203&amp;"|"&amp;G203</f>
        <v/>
      </c>
      <c r="B203" s="7" t="inlineStr">
        <is>
          <t>MS1(a)</t>
        </is>
      </c>
      <c r="C203" s="51" t="inlineStr">
        <is>
          <t>Modern slavery and human rights</t>
        </is>
      </c>
      <c r="D203" s="51" t="inlineStr">
        <is>
          <t>Annual progress reporting via the Modern Slavery Statement</t>
        </is>
      </c>
      <c r="E203" s="51" t="inlineStr">
        <is>
          <t>Annual Modern Slavery Statement, with case studies</t>
        </is>
      </c>
      <c r="F203" s="51" t="inlineStr">
        <is>
          <t>MS1(a)</t>
        </is>
      </c>
      <c r="G203" s="51" t="inlineStr">
        <is>
          <t>Confirm end-2026 target status</t>
        </is>
      </c>
      <c r="H203" s="53">
        <f>IFERROR(IF(INDEX('Faculties'!$L$10:$L$19,MATCH($F203,'Faculties'!$B$10:$B$19,0))="","Cell will autofill based on response",INDEX('Faculties'!$L$10:$L$19,MATCH($F203,'Faculties'!$B$10:$B$19,0))),"N/A")</f>
        <v/>
      </c>
      <c r="I203" s="53">
        <f>IFERROR(IF(INDEX('Faculties'!$L$26:$L$35,MATCH($F203,'Faculties'!$B$26:$B$35,0))="","Cell will autofill based on response",INDEX('Faculties'!$L$26:$L$35,MATCH($F203,'Faculties'!$B$26:$B$35,0))),"N/A")</f>
        <v/>
      </c>
      <c r="J203" s="53">
        <f>IFERROR(IF(INDEX('Faculties'!$L$42:$L$51,MATCH($F203,'Faculties'!$B$42:$B$51,0))="","Cell will autofill based on response",INDEX('Faculties'!$L$42:$L$51,MATCH($F203,'Faculties'!$B$42:$B$51,0))),"N/A")</f>
        <v/>
      </c>
      <c r="K203" s="53">
        <f>IFERROR(IF(INDEX('Faculties'!$L$58:$L$67,MATCH($F203,'Faculties'!$B$58:$B$67,0))="","Cell will autofill based on response",INDEX('Faculties'!$L$58:$L$67,MATCH($F203,'Faculties'!$B$58:$B$67,0))),"N/A")</f>
        <v/>
      </c>
      <c r="L203" s="53">
        <f>IFERROR(IF(INDEX('CI&amp;S'!$L$10:$L$15,MATCH($F203,'CI&amp;S'!$B$10:$B$15,0))="","Cell will autofill based on response",INDEX('CI&amp;S'!$L$10:$L$15,MATCH($F203,'CI&amp;S'!$B$10:$B$15,0))),"N/A")</f>
        <v/>
      </c>
      <c r="M203" s="53">
        <f>IFERROR(IF(INDEX('CI&amp;S'!$L$22:$L$36,MATCH($F203,'CI&amp;S'!$B$22:$B$36,0))="","Cell will autofill based on response",INDEX('CI&amp;S'!$L$22:$L$36,MATCH($F203,'CI&amp;S'!$B$22:$B$36,0))),"N/A")</f>
        <v/>
      </c>
      <c r="N203" s="53">
        <f>IFERROR(IF(INDEX('CFOG'!$L$10:$L$16,MATCH($F203,'CFOG'!$B$10:$B$16,0))="","Cell will autofill based on response",INDEX('CFOG'!$L$10:$L$16,MATCH($F203,'CFOG'!$B$10:$B$16,0))),"N/A")</f>
        <v/>
      </c>
      <c r="O203" s="53">
        <f>IFERROR(IF(INDEX('CFOG'!$L$23:$L$24,MATCH($F203,'CFOG'!$B$23:$B$24,0))="","Cell will autofill based on response",INDEX('CFOG'!$L$23:$L$24,MATCH($F203,'CFOG'!$B$23:$B$24,0))),"N/A")</f>
        <v/>
      </c>
      <c r="P203" s="53">
        <f>IFERROR(IF(INDEX('ESG'!$L$10:$L$17,MATCH($F203,'ESG'!$B$10:$B$17,0))="","Cell will autofill based on response",INDEX('ESG'!$L$10:$L$17,MATCH($F203,'ESG'!$B$10:$B$17,0))),"N/A")</f>
        <v/>
      </c>
      <c r="Q203" s="53">
        <f>IFERROR(IF(INDEX('CIOG'!$L$10:$L$14,MATCH($F203,'CIOG'!$B$10:$B$14,0))="","Cell will autofill based on response",INDEX('CIOG'!$L$10:$L$14,MATCH($F203,'CIOG'!$B$10:$B$14,0))),"N/A")</f>
        <v/>
      </c>
      <c r="R203" s="53">
        <f>IFERROR(IF(INDEX('MRE'!$L$10:$L$18,MATCH($F203,'MRE'!$B$10:$B$18,0))="","Cell will autofill based on response",INDEX('MRE'!$L$10:$L$18,MATCH($F203,'MRE'!$B$10:$B$18,0))),"N/A")</f>
        <v/>
      </c>
      <c r="S203" s="53">
        <f>IFERROR(IF(INDEX('AC&amp;M'!$L$10:$L$14,MATCH($F203,'AC&amp;M'!$B$10:$B$14,0))="","Cell will autofill based on response",INDEX('AC&amp;M'!$L$10:$L$14,MATCH($F203,'AC&amp;M'!$B$10:$B$14,0))),"N/A")</f>
        <v/>
      </c>
      <c r="T203" s="53">
        <f>IFERROR(IF(INDEX('GCE'!$L$10:$L$12,MATCH($F203,'GCE'!$B$10:$B$12,0))="","Cell will autofill based on response",INDEX('GCE'!$L$10:$L$12,MATCH($F203,'GCE'!$B$10:$B$12,0))),"N/A")</f>
        <v/>
      </c>
      <c r="U203" s="53">
        <f>IFERROR(IF(INDEX('Education'!$L$10:$L$13,MATCH($F203,'Education'!$B$10:$B$13,0))="","Cell will autofill based on response",INDEX('Education'!$L$10:$L$13,MATCH($F203,'Education'!$B$10:$B$13,0))),"N/A")</f>
        <v/>
      </c>
      <c r="V203" s="53">
        <f>IFERROR(IF(INDEX('SaSS'!$L$10:$L$12,MATCH($F203,'SaSS'!$B$10:$B$12,0))="","Cell will autofill based on response",INDEX('SaSS'!$L$10:$L$12,MATCH($F203,'SaSS'!$B$10:$B$12,0))),"N/A")</f>
        <v/>
      </c>
      <c r="W203" s="53">
        <f>IFERROR(IF(INDEX('Indigenous'!$L$10:$L$11,MATCH($F203,'Indigenous'!$B$10:$B$11,0))="","Cell will autofill based on response",INDEX('Indigenous'!$L$10:$L$11,MATCH($F203,'Indigenous'!$B$10:$B$11,0))),"N/A")</f>
        <v/>
      </c>
      <c r="X203" s="53">
        <f>IFERROR(IF(INDEX('L&amp;R'!$L$10:$L$11,MATCH($F203,'L&amp;R'!$B$10:$B$11,0))="","Cell will autofill based on response",INDEX('L&amp;R'!$L$10:$L$11,MATCH($F203,'L&amp;R'!$B$10:$B$11,0))),"N/A")</f>
        <v/>
      </c>
      <c r="Z203" s="10">
        <f>COUNTIF($H203:$X203,"Cell will autofill based on response")</f>
        <v/>
      </c>
      <c r="AA203" s="10">
        <f>COUNTIF($H203:$X203,"Not yet started")</f>
        <v/>
      </c>
      <c r="AB203" s="10">
        <f>COUNTIF($H203:$X203,"Not met")</f>
        <v/>
      </c>
      <c r="AC203" s="10">
        <f>COUNTIF($H203:$X203,"Partially met")</f>
        <v/>
      </c>
      <c r="AD203" s="10">
        <f>COUNTIF($H203:$X203,"Met or exceeded")</f>
        <v/>
      </c>
      <c r="AE203" s="10">
        <f>3*AD203+2*AC203+AB203</f>
        <v/>
      </c>
      <c r="AF203" s="10">
        <f>AD203+AC203+AB203+AA203</f>
        <v/>
      </c>
      <c r="AG203" s="54">
        <f>IF(AF203&gt;0,AE203/AF203,"No valid responses to date")</f>
        <v/>
      </c>
      <c r="AH203" s="10">
        <f>IF(ISNUMBER(AG203),INDEX(Lists!$G$2:$G$5,MATCH(ROUND(AG203,0),Lists!$H$2:$H$5,0)),"")</f>
        <v/>
      </c>
      <c r="AI203" s="55">
        <f>IF(AF203&gt;0,AD203/AF203,"")</f>
        <v/>
      </c>
      <c r="AJ203" s="55">
        <f>IF(AF203&gt;0,(AD203+AC203)/AF203,"")</f>
        <v/>
      </c>
      <c r="AK203" s="10">
        <f>IF(AF203=0,"",IF(AI203&gt;0.75,"Met or exceeded",IF(AJ203&gt;=0.5,"Partially met","Not met")))</f>
        <v/>
      </c>
    </row>
    <row r="204">
      <c r="A204">
        <f>F204&amp;"|"&amp;G204</f>
        <v/>
      </c>
      <c r="B204" s="13" t="inlineStr"/>
      <c r="C204" s="8" t="inlineStr"/>
      <c r="D204" s="8" t="inlineStr"/>
      <c r="E204" s="8" t="inlineStr"/>
      <c r="F204" s="8" t="inlineStr">
        <is>
          <t>MS1(a)</t>
        </is>
      </c>
      <c r="G204" s="8" t="inlineStr">
        <is>
          <t>OPTION 1:  Target-level reporting</t>
        </is>
      </c>
      <c r="H204" s="53">
        <f>IFERROR(IF(INDEX('Faculties'!$M$10:$M$19,MATCH($F204,'Faculties'!$B$10:$B$19,0))="","Cell will autofill based on response",INDEX('Faculties'!$M$10:$M$19,MATCH($F204,'Faculties'!$B$10:$B$19,0))),"N/A")</f>
        <v/>
      </c>
      <c r="I204" s="53">
        <f>IFERROR(IF(INDEX('Faculties'!$M$26:$M$35,MATCH($F204,'Faculties'!$B$26:$B$35,0))="","Cell will autofill based on response",INDEX('Faculties'!$M$26:$M$35,MATCH($F204,'Faculties'!$B$26:$B$35,0))),"N/A")</f>
        <v/>
      </c>
      <c r="J204" s="53">
        <f>IFERROR(IF(INDEX('Faculties'!$M$42:$M$51,MATCH($F204,'Faculties'!$B$42:$B$51,0))="","Cell will autofill based on response",INDEX('Faculties'!$M$42:$M$51,MATCH($F204,'Faculties'!$B$42:$B$51,0))),"N/A")</f>
        <v/>
      </c>
      <c r="K204" s="53">
        <f>IFERROR(IF(INDEX('Faculties'!$M$58:$M$67,MATCH($F204,'Faculties'!$B$58:$B$67,0))="","Cell will autofill based on response",INDEX('Faculties'!$M$58:$M$67,MATCH($F204,'Faculties'!$B$58:$B$67,0))),"N/A")</f>
        <v/>
      </c>
      <c r="L204" s="53">
        <f>IFERROR(IF(INDEX('CI&amp;S'!$M$10:$M$15,MATCH($F204,'CI&amp;S'!$B$10:$B$15,0))="","Cell will autofill based on response",INDEX('CI&amp;S'!$M$10:$M$15,MATCH($F204,'CI&amp;S'!$B$10:$B$15,0))),"N/A")</f>
        <v/>
      </c>
      <c r="M204" s="53">
        <f>IFERROR(IF(INDEX('CI&amp;S'!$M$22:$M$36,MATCH($F204,'CI&amp;S'!$B$22:$B$36,0))="","Cell will autofill based on response",INDEX('CI&amp;S'!$M$22:$M$36,MATCH($F204,'CI&amp;S'!$B$22:$B$36,0))),"N/A")</f>
        <v/>
      </c>
      <c r="N204" s="53">
        <f>IFERROR(IF(INDEX('CFOG'!$M$10:$M$16,MATCH($F204,'CFOG'!$B$10:$B$16,0))="","Cell will autofill based on response",INDEX('CFOG'!$M$10:$M$16,MATCH($F204,'CFOG'!$B$10:$B$16,0))),"N/A")</f>
        <v/>
      </c>
      <c r="O204" s="53">
        <f>IFERROR(IF(INDEX('CFOG'!$M$23:$M$24,MATCH($F204,'CFOG'!$B$23:$B$24,0))="","Cell will autofill based on response",INDEX('CFOG'!$M$23:$M$24,MATCH($F204,'CFOG'!$B$23:$B$24,0))),"N/A")</f>
        <v/>
      </c>
      <c r="P204" s="53">
        <f>IFERROR(IF(INDEX('ESG'!$M$10:$M$17,MATCH($F204,'ESG'!$B$10:$B$17,0))="","Cell will autofill based on response",INDEX('ESG'!$M$10:$M$17,MATCH($F204,'ESG'!$B$10:$B$17,0))),"N/A")</f>
        <v/>
      </c>
      <c r="Q204" s="53">
        <f>IFERROR(IF(INDEX('CIOG'!$M$10:$M$14,MATCH($F204,'CIOG'!$B$10:$B$14,0))="","Cell will autofill based on response",INDEX('CIOG'!$M$10:$M$14,MATCH($F204,'CIOG'!$B$10:$B$14,0))),"N/A")</f>
        <v/>
      </c>
      <c r="R204" s="53">
        <f>IFERROR(IF(INDEX('MRE'!$M$10:$M$18,MATCH($F204,'MRE'!$B$10:$B$18,0))="","Cell will autofill based on response",INDEX('MRE'!$M$10:$M$18,MATCH($F204,'MRE'!$B$10:$B$18,0))),"N/A")</f>
        <v/>
      </c>
      <c r="S204" s="53">
        <f>IFERROR(IF(INDEX('AC&amp;M'!$M$10:$M$14,MATCH($F204,'AC&amp;M'!$B$10:$B$14,0))="","Cell will autofill based on response",INDEX('AC&amp;M'!$M$10:$M$14,MATCH($F204,'AC&amp;M'!$B$10:$B$14,0))),"N/A")</f>
        <v/>
      </c>
      <c r="T204" s="53">
        <f>IFERROR(IF(INDEX('GCE'!$M$10:$M$12,MATCH($F204,'GCE'!$B$10:$B$12,0))="","Cell will autofill based on response",INDEX('GCE'!$M$10:$M$12,MATCH($F204,'GCE'!$B$10:$B$12,0))),"N/A")</f>
        <v/>
      </c>
      <c r="U204" s="53">
        <f>IFERROR(IF(INDEX('Education'!$M$10:$M$13,MATCH($F204,'Education'!$B$10:$B$13,0))="","Cell will autofill based on response",INDEX('Education'!$M$10:$M$13,MATCH($F204,'Education'!$B$10:$B$13,0))),"N/A")</f>
        <v/>
      </c>
      <c r="V204" s="53">
        <f>IFERROR(IF(INDEX('SaSS'!$M$10:$M$12,MATCH($F204,'SaSS'!$B$10:$B$12,0))="","Cell will autofill based on response",INDEX('SaSS'!$M$10:$M$12,MATCH($F204,'SaSS'!$B$10:$B$12,0))),"N/A")</f>
        <v/>
      </c>
      <c r="W204" s="53">
        <f>IFERROR(IF(INDEX('Indigenous'!$M$10:$M$11,MATCH($F204,'Indigenous'!$B$10:$B$11,0))="","Cell will autofill based on response",INDEX('Indigenous'!$M$10:$M$11,MATCH($F204,'Indigenous'!$B$10:$B$11,0))),"N/A")</f>
        <v/>
      </c>
      <c r="X204" s="53">
        <f>IFERROR(IF(INDEX('L&amp;R'!$M$10:$M$11,MATCH($F204,'L&amp;R'!$B$10:$B$11,0))="","Cell will autofill based on response",INDEX('L&amp;R'!$M$10:$M$11,MATCH($F204,'L&amp;R'!$B$10:$B$11,0))),"N/A")</f>
        <v/>
      </c>
    </row>
    <row r="205">
      <c r="A205">
        <f>F205&amp;"|"&amp;G205</f>
        <v/>
      </c>
      <c r="B205" s="13" t="inlineStr"/>
      <c r="C205" s="8" t="inlineStr"/>
      <c r="D205" s="8" t="inlineStr"/>
      <c r="E205" s="8" t="inlineStr"/>
      <c r="F205" s="8" t="inlineStr">
        <is>
          <t>MS1(a)</t>
        </is>
      </c>
      <c r="G205" s="8" t="inlineStr">
        <is>
          <t>OPTION 2:  Indicator level reporting</t>
        </is>
      </c>
      <c r="H205" s="53">
        <f>IFERROR(IF(INDEX('Faculties'!$N$10:$N$19,MATCH($F205,'Faculties'!$B$10:$B$19,0))="","Cell will autofill based on response",INDEX('Faculties'!$N$10:$N$19,MATCH($F205,'Faculties'!$B$10:$B$19,0))),"N/A")</f>
        <v/>
      </c>
      <c r="I205" s="53">
        <f>IFERROR(IF(INDEX('Faculties'!$N$26:$N$35,MATCH($F205,'Faculties'!$B$26:$B$35,0))="","Cell will autofill based on response",INDEX('Faculties'!$N$26:$N$35,MATCH($F205,'Faculties'!$B$26:$B$35,0))),"N/A")</f>
        <v/>
      </c>
      <c r="J205" s="53">
        <f>IFERROR(IF(INDEX('Faculties'!$N$42:$N$51,MATCH($F205,'Faculties'!$B$42:$B$51,0))="","Cell will autofill based on response",INDEX('Faculties'!$N$42:$N$51,MATCH($F205,'Faculties'!$B$42:$B$51,0))),"N/A")</f>
        <v/>
      </c>
      <c r="K205" s="53">
        <f>IFERROR(IF(INDEX('Faculties'!$N$58:$N$67,MATCH($F205,'Faculties'!$B$58:$B$67,0))="","Cell will autofill based on response",INDEX('Faculties'!$N$58:$N$67,MATCH($F205,'Faculties'!$B$58:$B$67,0))),"N/A")</f>
        <v/>
      </c>
      <c r="L205" s="53">
        <f>IFERROR(IF(INDEX('CI&amp;S'!$N$10:$N$15,MATCH($F205,'CI&amp;S'!$B$10:$B$15,0))="","Cell will autofill based on response",INDEX('CI&amp;S'!$N$10:$N$15,MATCH($F205,'CI&amp;S'!$B$10:$B$15,0))),"N/A")</f>
        <v/>
      </c>
      <c r="M205" s="53">
        <f>IFERROR(IF(INDEX('CI&amp;S'!$N$22:$N$36,MATCH($F205,'CI&amp;S'!$B$22:$B$36,0))="","Cell will autofill based on response",INDEX('CI&amp;S'!$N$22:$N$36,MATCH($F205,'CI&amp;S'!$B$22:$B$36,0))),"N/A")</f>
        <v/>
      </c>
      <c r="N205" s="53">
        <f>IFERROR(IF(INDEX('CFOG'!$N$10:$N$16,MATCH($F205,'CFOG'!$B$10:$B$16,0))="","Cell will autofill based on response",INDEX('CFOG'!$N$10:$N$16,MATCH($F205,'CFOG'!$B$10:$B$16,0))),"N/A")</f>
        <v/>
      </c>
      <c r="O205" s="53">
        <f>IFERROR(IF(INDEX('CFOG'!$N$23:$N$24,MATCH($F205,'CFOG'!$B$23:$B$24,0))="","Cell will autofill based on response",INDEX('CFOG'!$N$23:$N$24,MATCH($F205,'CFOG'!$B$23:$B$24,0))),"N/A")</f>
        <v/>
      </c>
      <c r="P205" s="53">
        <f>IFERROR(IF(INDEX('ESG'!$N$10:$N$17,MATCH($F205,'ESG'!$B$10:$B$17,0))="","Cell will autofill based on response",INDEX('ESG'!$N$10:$N$17,MATCH($F205,'ESG'!$B$10:$B$17,0))),"N/A")</f>
        <v/>
      </c>
      <c r="Q205" s="53">
        <f>IFERROR(IF(INDEX('CIOG'!$N$10:$N$14,MATCH($F205,'CIOG'!$B$10:$B$14,0))="","Cell will autofill based on response",INDEX('CIOG'!$N$10:$N$14,MATCH($F205,'CIOG'!$B$10:$B$14,0))),"N/A")</f>
        <v/>
      </c>
      <c r="R205" s="53">
        <f>IFERROR(IF(INDEX('MRE'!$N$10:$N$18,MATCH($F205,'MRE'!$B$10:$B$18,0))="","Cell will autofill based on response",INDEX('MRE'!$N$10:$N$18,MATCH($F205,'MRE'!$B$10:$B$18,0))),"N/A")</f>
        <v/>
      </c>
      <c r="S205" s="53">
        <f>IFERROR(IF(INDEX('AC&amp;M'!$N$10:$N$14,MATCH($F205,'AC&amp;M'!$B$10:$B$14,0))="","Cell will autofill based on response",INDEX('AC&amp;M'!$N$10:$N$14,MATCH($F205,'AC&amp;M'!$B$10:$B$14,0))),"N/A")</f>
        <v/>
      </c>
      <c r="T205" s="53">
        <f>IFERROR(IF(INDEX('GCE'!$N$10:$N$12,MATCH($F205,'GCE'!$B$10:$B$12,0))="","Cell will autofill based on response",INDEX('GCE'!$N$10:$N$12,MATCH($F205,'GCE'!$B$10:$B$12,0))),"N/A")</f>
        <v/>
      </c>
      <c r="U205" s="53">
        <f>IFERROR(IF(INDEX('Education'!$N$10:$N$13,MATCH($F205,'Education'!$B$10:$B$13,0))="","Cell will autofill based on response",INDEX('Education'!$N$10:$N$13,MATCH($F205,'Education'!$B$10:$B$13,0))),"N/A")</f>
        <v/>
      </c>
      <c r="V205" s="53">
        <f>IFERROR(IF(INDEX('SaSS'!$N$10:$N$12,MATCH($F205,'SaSS'!$B$10:$B$12,0))="","Cell will autofill based on response",INDEX('SaSS'!$N$10:$N$12,MATCH($F205,'SaSS'!$B$10:$B$12,0))),"N/A")</f>
        <v/>
      </c>
      <c r="W205" s="53">
        <f>IFERROR(IF(INDEX('Indigenous'!$N$10:$N$11,MATCH($F205,'Indigenous'!$B$10:$B$11,0))="","Cell will autofill based on response",INDEX('Indigenous'!$N$10:$N$11,MATCH($F205,'Indigenous'!$B$10:$B$11,0))),"N/A")</f>
        <v/>
      </c>
      <c r="X205" s="53">
        <f>IFERROR(IF(INDEX('L&amp;R'!$N$10:$N$11,MATCH($F205,'L&amp;R'!$B$10:$B$11,0))="","Cell will autofill based on response",INDEX('L&amp;R'!$N$10:$N$11,MATCH($F205,'L&amp;R'!$B$10:$B$11,0))),"N/A")</f>
        <v/>
      </c>
    </row>
    <row r="206">
      <c r="A206">
        <f>F206&amp;"|"&amp;G206</f>
        <v/>
      </c>
      <c r="B206" s="13" t="inlineStr"/>
      <c r="C206" s="8" t="inlineStr"/>
      <c r="D206" s="8" t="inlineStr"/>
      <c r="E206" s="8" t="inlineStr"/>
      <c r="F206" s="8" t="inlineStr">
        <is>
          <t>MS1(a)</t>
        </is>
      </c>
      <c r="G206" s="8" t="inlineStr">
        <is>
          <t>Supporting information/comments</t>
        </is>
      </c>
      <c r="H206" s="53">
        <f>IFERROR(IF(INDEX('Faculties'!$O$10:$O$19,MATCH($F206,'Faculties'!$B$10:$B$19,0))="","Cell will autofill based on response",INDEX('Faculties'!$O$10:$O$19,MATCH($F206,'Faculties'!$B$10:$B$19,0))),"N/A")</f>
        <v/>
      </c>
      <c r="I206" s="53">
        <f>IFERROR(IF(INDEX('Faculties'!$O$26:$O$35,MATCH($F206,'Faculties'!$B$26:$B$35,0))="","Cell will autofill based on response",INDEX('Faculties'!$O$26:$O$35,MATCH($F206,'Faculties'!$B$26:$B$35,0))),"N/A")</f>
        <v/>
      </c>
      <c r="J206" s="53">
        <f>IFERROR(IF(INDEX('Faculties'!$O$42:$O$51,MATCH($F206,'Faculties'!$B$42:$B$51,0))="","Cell will autofill based on response",INDEX('Faculties'!$O$42:$O$51,MATCH($F206,'Faculties'!$B$42:$B$51,0))),"N/A")</f>
        <v/>
      </c>
      <c r="K206" s="53">
        <f>IFERROR(IF(INDEX('Faculties'!$O$58:$O$67,MATCH($F206,'Faculties'!$B$58:$B$67,0))="","Cell will autofill based on response",INDEX('Faculties'!$O$58:$O$67,MATCH($F206,'Faculties'!$B$58:$B$67,0))),"N/A")</f>
        <v/>
      </c>
      <c r="L206" s="53">
        <f>IFERROR(IF(INDEX('CI&amp;S'!$O$10:$O$15,MATCH($F206,'CI&amp;S'!$B$10:$B$15,0))="","Cell will autofill based on response",INDEX('CI&amp;S'!$O$10:$O$15,MATCH($F206,'CI&amp;S'!$B$10:$B$15,0))),"N/A")</f>
        <v/>
      </c>
      <c r="M206" s="53">
        <f>IFERROR(IF(INDEX('CI&amp;S'!$O$22:$O$36,MATCH($F206,'CI&amp;S'!$B$22:$B$36,0))="","Cell will autofill based on response",INDEX('CI&amp;S'!$O$22:$O$36,MATCH($F206,'CI&amp;S'!$B$22:$B$36,0))),"N/A")</f>
        <v/>
      </c>
      <c r="N206" s="53">
        <f>IFERROR(IF(INDEX('CFOG'!$O$10:$O$16,MATCH($F206,'CFOG'!$B$10:$B$16,0))="","Cell will autofill based on response",INDEX('CFOG'!$O$10:$O$16,MATCH($F206,'CFOG'!$B$10:$B$16,0))),"N/A")</f>
        <v/>
      </c>
      <c r="O206" s="53">
        <f>IFERROR(IF(INDEX('CFOG'!$O$23:$O$24,MATCH($F206,'CFOG'!$B$23:$B$24,0))="","Cell will autofill based on response",INDEX('CFOG'!$O$23:$O$24,MATCH($F206,'CFOG'!$B$23:$B$24,0))),"N/A")</f>
        <v/>
      </c>
      <c r="P206" s="53">
        <f>IFERROR(IF(INDEX('ESG'!$O$10:$O$17,MATCH($F206,'ESG'!$B$10:$B$17,0))="","Cell will autofill based on response",INDEX('ESG'!$O$10:$O$17,MATCH($F206,'ESG'!$B$10:$B$17,0))),"N/A")</f>
        <v/>
      </c>
      <c r="Q206" s="53">
        <f>IFERROR(IF(INDEX('CIOG'!$O$10:$O$14,MATCH($F206,'CIOG'!$B$10:$B$14,0))="","Cell will autofill based on response",INDEX('CIOG'!$O$10:$O$14,MATCH($F206,'CIOG'!$B$10:$B$14,0))),"N/A")</f>
        <v/>
      </c>
      <c r="R206" s="53">
        <f>IFERROR(IF(INDEX('MRE'!$O$10:$O$18,MATCH($F206,'MRE'!$B$10:$B$18,0))="","Cell will autofill based on response",INDEX('MRE'!$O$10:$O$18,MATCH($F206,'MRE'!$B$10:$B$18,0))),"N/A")</f>
        <v/>
      </c>
      <c r="S206" s="53">
        <f>IFERROR(IF(INDEX('AC&amp;M'!$O$10:$O$14,MATCH($F206,'AC&amp;M'!$B$10:$B$14,0))="","Cell will autofill based on response",INDEX('AC&amp;M'!$O$10:$O$14,MATCH($F206,'AC&amp;M'!$B$10:$B$14,0))),"N/A")</f>
        <v/>
      </c>
      <c r="T206" s="53">
        <f>IFERROR(IF(INDEX('GCE'!$O$10:$O$12,MATCH($F206,'GCE'!$B$10:$B$12,0))="","Cell will autofill based on response",INDEX('GCE'!$O$10:$O$12,MATCH($F206,'GCE'!$B$10:$B$12,0))),"N/A")</f>
        <v/>
      </c>
      <c r="U206" s="53">
        <f>IFERROR(IF(INDEX('Education'!$O$10:$O$13,MATCH($F206,'Education'!$B$10:$B$13,0))="","Cell will autofill based on response",INDEX('Education'!$O$10:$O$13,MATCH($F206,'Education'!$B$10:$B$13,0))),"N/A")</f>
        <v/>
      </c>
      <c r="V206" s="53">
        <f>IFERROR(IF(INDEX('SaSS'!$O$10:$O$12,MATCH($F206,'SaSS'!$B$10:$B$12,0))="","Cell will autofill based on response",INDEX('SaSS'!$O$10:$O$12,MATCH($F206,'SaSS'!$B$10:$B$12,0))),"N/A")</f>
        <v/>
      </c>
      <c r="W206" s="53">
        <f>IFERROR(IF(INDEX('Indigenous'!$O$10:$O$11,MATCH($F206,'Indigenous'!$B$10:$B$11,0))="","Cell will autofill based on response",INDEX('Indigenous'!$O$10:$O$11,MATCH($F206,'Indigenous'!$B$10:$B$11,0))),"N/A")</f>
        <v/>
      </c>
      <c r="X206" s="53">
        <f>IFERROR(IF(INDEX('L&amp;R'!$O$10:$O$11,MATCH($F206,'L&amp;R'!$B$10:$B$11,0))="","Cell will autofill based on response",INDEX('L&amp;R'!$O$10:$O$11,MATCH($F206,'L&amp;R'!$B$10:$B$11,0))),"N/A")</f>
        <v/>
      </c>
    </row>
    <row r="207">
      <c r="A207">
        <f>F207&amp;"|"&amp;G207</f>
        <v/>
      </c>
      <c r="B207" s="13" t="inlineStr"/>
      <c r="C207" s="8" t="inlineStr"/>
      <c r="D207" s="8" t="inlineStr"/>
      <c r="E207" s="8" t="inlineStr"/>
      <c r="F207" s="8" t="inlineStr">
        <is>
          <t>MS1(a)</t>
        </is>
      </c>
      <c r="G207" s="8" t="inlineStr">
        <is>
          <t>Data source and limitations</t>
        </is>
      </c>
      <c r="H207" s="53">
        <f>IFERROR(IF(INDEX('Faculties'!$P$10:$P$19,MATCH($F207,'Faculties'!$B$10:$B$19,0))="","Cell will autofill based on response",INDEX('Faculties'!$P$10:$P$19,MATCH($F207,'Faculties'!$B$10:$B$19,0))),"N/A")</f>
        <v/>
      </c>
      <c r="I207" s="53">
        <f>IFERROR(IF(INDEX('Faculties'!$P$26:$P$35,MATCH($F207,'Faculties'!$B$26:$B$35,0))="","Cell will autofill based on response",INDEX('Faculties'!$P$26:$P$35,MATCH($F207,'Faculties'!$B$26:$B$35,0))),"N/A")</f>
        <v/>
      </c>
      <c r="J207" s="53">
        <f>IFERROR(IF(INDEX('Faculties'!$P$42:$P$51,MATCH($F207,'Faculties'!$B$42:$B$51,0))="","Cell will autofill based on response",INDEX('Faculties'!$P$42:$P$51,MATCH($F207,'Faculties'!$B$42:$B$51,0))),"N/A")</f>
        <v/>
      </c>
      <c r="K207" s="53">
        <f>IFERROR(IF(INDEX('Faculties'!$P$58:$P$67,MATCH($F207,'Faculties'!$B$58:$B$67,0))="","Cell will autofill based on response",INDEX('Faculties'!$P$58:$P$67,MATCH($F207,'Faculties'!$B$58:$B$67,0))),"N/A")</f>
        <v/>
      </c>
      <c r="L207" s="53">
        <f>IFERROR(IF(INDEX('CI&amp;S'!$P$10:$P$15,MATCH($F207,'CI&amp;S'!$B$10:$B$15,0))="","Cell will autofill based on response",INDEX('CI&amp;S'!$P$10:$P$15,MATCH($F207,'CI&amp;S'!$B$10:$B$15,0))),"N/A")</f>
        <v/>
      </c>
      <c r="M207" s="53">
        <f>IFERROR(IF(INDEX('CI&amp;S'!$P$22:$P$36,MATCH($F207,'CI&amp;S'!$B$22:$B$36,0))="","Cell will autofill based on response",INDEX('CI&amp;S'!$P$22:$P$36,MATCH($F207,'CI&amp;S'!$B$22:$B$36,0))),"N/A")</f>
        <v/>
      </c>
      <c r="N207" s="53">
        <f>IFERROR(IF(INDEX('CFOG'!$P$10:$P$16,MATCH($F207,'CFOG'!$B$10:$B$16,0))="","Cell will autofill based on response",INDEX('CFOG'!$P$10:$P$16,MATCH($F207,'CFOG'!$B$10:$B$16,0))),"N/A")</f>
        <v/>
      </c>
      <c r="O207" s="53">
        <f>IFERROR(IF(INDEX('CFOG'!$P$23:$P$24,MATCH($F207,'CFOG'!$B$23:$B$24,0))="","Cell will autofill based on response",INDEX('CFOG'!$P$23:$P$24,MATCH($F207,'CFOG'!$B$23:$B$24,0))),"N/A")</f>
        <v/>
      </c>
      <c r="P207" s="53">
        <f>IFERROR(IF(INDEX('ESG'!$P$10:$P$17,MATCH($F207,'ESG'!$B$10:$B$17,0))="","Cell will autofill based on response",INDEX('ESG'!$P$10:$P$17,MATCH($F207,'ESG'!$B$10:$B$17,0))),"N/A")</f>
        <v/>
      </c>
      <c r="Q207" s="53">
        <f>IFERROR(IF(INDEX('CIOG'!$P$10:$P$14,MATCH($F207,'CIOG'!$B$10:$B$14,0))="","Cell will autofill based on response",INDEX('CIOG'!$P$10:$P$14,MATCH($F207,'CIOG'!$B$10:$B$14,0))),"N/A")</f>
        <v/>
      </c>
      <c r="R207" s="53">
        <f>IFERROR(IF(INDEX('MRE'!$P$10:$P$18,MATCH($F207,'MRE'!$B$10:$B$18,0))="","Cell will autofill based on response",INDEX('MRE'!$P$10:$P$18,MATCH($F207,'MRE'!$B$10:$B$18,0))),"N/A")</f>
        <v/>
      </c>
      <c r="S207" s="53">
        <f>IFERROR(IF(INDEX('AC&amp;M'!$P$10:$P$14,MATCH($F207,'AC&amp;M'!$B$10:$B$14,0))="","Cell will autofill based on response",INDEX('AC&amp;M'!$P$10:$P$14,MATCH($F207,'AC&amp;M'!$B$10:$B$14,0))),"N/A")</f>
        <v/>
      </c>
      <c r="T207" s="53">
        <f>IFERROR(IF(INDEX('GCE'!$P$10:$P$12,MATCH($F207,'GCE'!$B$10:$B$12,0))="","Cell will autofill based on response",INDEX('GCE'!$P$10:$P$12,MATCH($F207,'GCE'!$B$10:$B$12,0))),"N/A")</f>
        <v/>
      </c>
      <c r="U207" s="53">
        <f>IFERROR(IF(INDEX('Education'!$P$10:$P$13,MATCH($F207,'Education'!$B$10:$B$13,0))="","Cell will autofill based on response",INDEX('Education'!$P$10:$P$13,MATCH($F207,'Education'!$B$10:$B$13,0))),"N/A")</f>
        <v/>
      </c>
      <c r="V207" s="53">
        <f>IFERROR(IF(INDEX('SaSS'!$P$10:$P$12,MATCH($F207,'SaSS'!$B$10:$B$12,0))="","Cell will autofill based on response",INDEX('SaSS'!$P$10:$P$12,MATCH($F207,'SaSS'!$B$10:$B$12,0))),"N/A")</f>
        <v/>
      </c>
      <c r="W207" s="53">
        <f>IFERROR(IF(INDEX('Indigenous'!$P$10:$P$11,MATCH($F207,'Indigenous'!$B$10:$B$11,0))="","Cell will autofill based on response",INDEX('Indigenous'!$P$10:$P$11,MATCH($F207,'Indigenous'!$B$10:$B$11,0))),"N/A")</f>
        <v/>
      </c>
      <c r="X207" s="53">
        <f>IFERROR(IF(INDEX('L&amp;R'!$P$10:$P$11,MATCH($F207,'L&amp;R'!$B$10:$B$11,0))="","Cell will autofill based on response",INDEX('L&amp;R'!$P$10:$P$11,MATCH($F207,'L&amp;R'!$B$10:$B$11,0))),"N/A")</f>
        <v/>
      </c>
    </row>
    <row r="208">
      <c r="A208">
        <f>F208&amp;"|"&amp;G208</f>
        <v/>
      </c>
      <c r="B208" s="13" t="inlineStr"/>
      <c r="C208" s="8" t="inlineStr"/>
      <c r="D208" s="8" t="inlineStr"/>
      <c r="E208" s="8" t="inlineStr"/>
      <c r="F208" s="8" t="inlineStr">
        <is>
          <t>MS1(a)</t>
        </is>
      </c>
      <c r="G208" s="8" t="inlineStr">
        <is>
          <t>Data owner confirms</t>
        </is>
      </c>
      <c r="H208" s="53">
        <f>IFERROR(IF(INDEX('Faculties'!$Q$10:$Q$19,MATCH($F208,'Faculties'!$B$10:$B$19,0))="","Cell will autofill based on response",INDEX('Faculties'!$Q$10:$Q$19,MATCH($F208,'Faculties'!$B$10:$B$19,0))),"N/A")</f>
        <v/>
      </c>
      <c r="I208" s="53">
        <f>IFERROR(IF(INDEX('Faculties'!$Q$26:$Q$35,MATCH($F208,'Faculties'!$B$26:$B$35,0))="","Cell will autofill based on response",INDEX('Faculties'!$Q$26:$Q$35,MATCH($F208,'Faculties'!$B$26:$B$35,0))),"N/A")</f>
        <v/>
      </c>
      <c r="J208" s="53">
        <f>IFERROR(IF(INDEX('Faculties'!$Q$42:$Q$51,MATCH($F208,'Faculties'!$B$42:$B$51,0))="","Cell will autofill based on response",INDEX('Faculties'!$Q$42:$Q$51,MATCH($F208,'Faculties'!$B$42:$B$51,0))),"N/A")</f>
        <v/>
      </c>
      <c r="K208" s="53">
        <f>IFERROR(IF(INDEX('Faculties'!$Q$58:$Q$67,MATCH($F208,'Faculties'!$B$58:$B$67,0))="","Cell will autofill based on response",INDEX('Faculties'!$Q$58:$Q$67,MATCH($F208,'Faculties'!$B$58:$B$67,0))),"N/A")</f>
        <v/>
      </c>
      <c r="L208" s="53">
        <f>IFERROR(IF(INDEX('CI&amp;S'!$Q$10:$Q$15,MATCH($F208,'CI&amp;S'!$B$10:$B$15,0))="","Cell will autofill based on response",INDEX('CI&amp;S'!$Q$10:$Q$15,MATCH($F208,'CI&amp;S'!$B$10:$B$15,0))),"N/A")</f>
        <v/>
      </c>
      <c r="M208" s="53">
        <f>IFERROR(IF(INDEX('CI&amp;S'!$Q$22:$Q$36,MATCH($F208,'CI&amp;S'!$B$22:$B$36,0))="","Cell will autofill based on response",INDEX('CI&amp;S'!$Q$22:$Q$36,MATCH($F208,'CI&amp;S'!$B$22:$B$36,0))),"N/A")</f>
        <v/>
      </c>
      <c r="N208" s="53">
        <f>IFERROR(IF(INDEX('CFOG'!$Q$10:$Q$16,MATCH($F208,'CFOG'!$B$10:$B$16,0))="","Cell will autofill based on response",INDEX('CFOG'!$Q$10:$Q$16,MATCH($F208,'CFOG'!$B$10:$B$16,0))),"N/A")</f>
        <v/>
      </c>
      <c r="O208" s="53">
        <f>IFERROR(IF(INDEX('CFOG'!$Q$23:$Q$24,MATCH($F208,'CFOG'!$B$23:$B$24,0))="","Cell will autofill based on response",INDEX('CFOG'!$Q$23:$Q$24,MATCH($F208,'CFOG'!$B$23:$B$24,0))),"N/A")</f>
        <v/>
      </c>
      <c r="P208" s="53">
        <f>IFERROR(IF(INDEX('ESG'!$Q$10:$Q$17,MATCH($F208,'ESG'!$B$10:$B$17,0))="","Cell will autofill based on response",INDEX('ESG'!$Q$10:$Q$17,MATCH($F208,'ESG'!$B$10:$B$17,0))),"N/A")</f>
        <v/>
      </c>
      <c r="Q208" s="53">
        <f>IFERROR(IF(INDEX('CIOG'!$Q$10:$Q$14,MATCH($F208,'CIOG'!$B$10:$B$14,0))="","Cell will autofill based on response",INDEX('CIOG'!$Q$10:$Q$14,MATCH($F208,'CIOG'!$B$10:$B$14,0))),"N/A")</f>
        <v/>
      </c>
      <c r="R208" s="53">
        <f>IFERROR(IF(INDEX('MRE'!$Q$10:$Q$18,MATCH($F208,'MRE'!$B$10:$B$18,0))="","Cell will autofill based on response",INDEX('MRE'!$Q$10:$Q$18,MATCH($F208,'MRE'!$B$10:$B$18,0))),"N/A")</f>
        <v/>
      </c>
      <c r="S208" s="53">
        <f>IFERROR(IF(INDEX('AC&amp;M'!$Q$10:$Q$14,MATCH($F208,'AC&amp;M'!$B$10:$B$14,0))="","Cell will autofill based on response",INDEX('AC&amp;M'!$Q$10:$Q$14,MATCH($F208,'AC&amp;M'!$B$10:$B$14,0))),"N/A")</f>
        <v/>
      </c>
      <c r="T208" s="53">
        <f>IFERROR(IF(INDEX('GCE'!$Q$10:$Q$12,MATCH($F208,'GCE'!$B$10:$B$12,0))="","Cell will autofill based on response",INDEX('GCE'!$Q$10:$Q$12,MATCH($F208,'GCE'!$B$10:$B$12,0))),"N/A")</f>
        <v/>
      </c>
      <c r="U208" s="53">
        <f>IFERROR(IF(INDEX('Education'!$Q$10:$Q$13,MATCH($F208,'Education'!$B$10:$B$13,0))="","Cell will autofill based on response",INDEX('Education'!$Q$10:$Q$13,MATCH($F208,'Education'!$B$10:$B$13,0))),"N/A")</f>
        <v/>
      </c>
      <c r="V208" s="53">
        <f>IFERROR(IF(INDEX('SaSS'!$Q$10:$Q$12,MATCH($F208,'SaSS'!$B$10:$B$12,0))="","Cell will autofill based on response",INDEX('SaSS'!$Q$10:$Q$12,MATCH($F208,'SaSS'!$B$10:$B$12,0))),"N/A")</f>
        <v/>
      </c>
      <c r="W208" s="53">
        <f>IFERROR(IF(INDEX('Indigenous'!$Q$10:$Q$11,MATCH($F208,'Indigenous'!$B$10:$B$11,0))="","Cell will autofill based on response",INDEX('Indigenous'!$Q$10:$Q$11,MATCH($F208,'Indigenous'!$B$10:$B$11,0))),"N/A")</f>
        <v/>
      </c>
      <c r="X208" s="53">
        <f>IFERROR(IF(INDEX('L&amp;R'!$Q$10:$Q$11,MATCH($F208,'L&amp;R'!$B$10:$B$11,0))="","Cell will autofill based on response",INDEX('L&amp;R'!$Q$10:$Q$11,MATCH($F208,'L&amp;R'!$B$10:$B$11,0))),"N/A")</f>
        <v/>
      </c>
    </row>
    <row r="209">
      <c r="A209">
        <f>F209&amp;"|"&amp;G209</f>
        <v/>
      </c>
      <c r="B209" s="7" t="inlineStr">
        <is>
          <t>RI1(b)</t>
        </is>
      </c>
      <c r="C209" s="51" t="inlineStr">
        <is>
          <t>Responsible investments</t>
        </is>
      </c>
      <c r="D209" s="51" t="inlineStr">
        <is>
          <t>Continuous improvement of the reporting of the University’s sustainability-related investment profile metrics, could include investment in climate mitigation and transition solutions, and compliance with related obligations (eg UNPRI).</t>
        </is>
      </c>
      <c r="E209" s="51" t="inlineStr">
        <is>
          <t>Report on relevant sustainability-related investment portfolio metrics and report on how the University has complied with its related obligations</t>
        </is>
      </c>
      <c r="F209" s="51" t="inlineStr">
        <is>
          <t>RI1(b)</t>
        </is>
      </c>
      <c r="G209" s="51" t="inlineStr">
        <is>
          <t>Confirm end-2026 target status</t>
        </is>
      </c>
      <c r="H209" s="53">
        <f>IFERROR(IF(INDEX('Faculties'!$L$10:$L$19,MATCH($F209,'Faculties'!$B$10:$B$19,0))="","Cell will autofill based on response",INDEX('Faculties'!$L$10:$L$19,MATCH($F209,'Faculties'!$B$10:$B$19,0))),"N/A")</f>
        <v/>
      </c>
      <c r="I209" s="53">
        <f>IFERROR(IF(INDEX('Faculties'!$L$26:$L$35,MATCH($F209,'Faculties'!$B$26:$B$35,0))="","Cell will autofill based on response",INDEX('Faculties'!$L$26:$L$35,MATCH($F209,'Faculties'!$B$26:$B$35,0))),"N/A")</f>
        <v/>
      </c>
      <c r="J209" s="53">
        <f>IFERROR(IF(INDEX('Faculties'!$L$42:$L$51,MATCH($F209,'Faculties'!$B$42:$B$51,0))="","Cell will autofill based on response",INDEX('Faculties'!$L$42:$L$51,MATCH($F209,'Faculties'!$B$42:$B$51,0))),"N/A")</f>
        <v/>
      </c>
      <c r="K209" s="53">
        <f>IFERROR(IF(INDEX('Faculties'!$L$58:$L$67,MATCH($F209,'Faculties'!$B$58:$B$67,0))="","Cell will autofill based on response",INDEX('Faculties'!$L$58:$L$67,MATCH($F209,'Faculties'!$B$58:$B$67,0))),"N/A")</f>
        <v/>
      </c>
      <c r="L209" s="53">
        <f>IFERROR(IF(INDEX('CI&amp;S'!$L$10:$L$15,MATCH($F209,'CI&amp;S'!$B$10:$B$15,0))="","Cell will autofill based on response",INDEX('CI&amp;S'!$L$10:$L$15,MATCH($F209,'CI&amp;S'!$B$10:$B$15,0))),"N/A")</f>
        <v/>
      </c>
      <c r="M209" s="53">
        <f>IFERROR(IF(INDEX('CI&amp;S'!$L$22:$L$36,MATCH($F209,'CI&amp;S'!$B$22:$B$36,0))="","Cell will autofill based on response",INDEX('CI&amp;S'!$L$22:$L$36,MATCH($F209,'CI&amp;S'!$B$22:$B$36,0))),"N/A")</f>
        <v/>
      </c>
      <c r="N209" s="53">
        <f>IFERROR(IF(INDEX('CFOG'!$L$10:$L$16,MATCH($F209,'CFOG'!$B$10:$B$16,0))="","Cell will autofill based on response",INDEX('CFOG'!$L$10:$L$16,MATCH($F209,'CFOG'!$B$10:$B$16,0))),"N/A")</f>
        <v/>
      </c>
      <c r="O209" s="53">
        <f>IFERROR(IF(INDEX('CFOG'!$L$23:$L$24,MATCH($F209,'CFOG'!$B$23:$B$24,0))="","Cell will autofill based on response",INDEX('CFOG'!$L$23:$L$24,MATCH($F209,'CFOG'!$B$23:$B$24,0))),"N/A")</f>
        <v/>
      </c>
      <c r="P209" s="53">
        <f>IFERROR(IF(INDEX('ESG'!$L$10:$L$17,MATCH($F209,'ESG'!$B$10:$B$17,0))="","Cell will autofill based on response",INDEX('ESG'!$L$10:$L$17,MATCH($F209,'ESG'!$B$10:$B$17,0))),"N/A")</f>
        <v/>
      </c>
      <c r="Q209" s="53">
        <f>IFERROR(IF(INDEX('CIOG'!$L$10:$L$14,MATCH($F209,'CIOG'!$B$10:$B$14,0))="","Cell will autofill based on response",INDEX('CIOG'!$L$10:$L$14,MATCH($F209,'CIOG'!$B$10:$B$14,0))),"N/A")</f>
        <v/>
      </c>
      <c r="R209" s="53">
        <f>IFERROR(IF(INDEX('MRE'!$L$10:$L$18,MATCH($F209,'MRE'!$B$10:$B$18,0))="","Cell will autofill based on response",INDEX('MRE'!$L$10:$L$18,MATCH($F209,'MRE'!$B$10:$B$18,0))),"N/A")</f>
        <v/>
      </c>
      <c r="S209" s="53">
        <f>IFERROR(IF(INDEX('AC&amp;M'!$L$10:$L$14,MATCH($F209,'AC&amp;M'!$B$10:$B$14,0))="","Cell will autofill based on response",INDEX('AC&amp;M'!$L$10:$L$14,MATCH($F209,'AC&amp;M'!$B$10:$B$14,0))),"N/A")</f>
        <v/>
      </c>
      <c r="T209" s="53">
        <f>IFERROR(IF(INDEX('GCE'!$L$10:$L$12,MATCH($F209,'GCE'!$B$10:$B$12,0))="","Cell will autofill based on response",INDEX('GCE'!$L$10:$L$12,MATCH($F209,'GCE'!$B$10:$B$12,0))),"N/A")</f>
        <v/>
      </c>
      <c r="U209" s="53">
        <f>IFERROR(IF(INDEX('Education'!$L$10:$L$13,MATCH($F209,'Education'!$B$10:$B$13,0))="","Cell will autofill based on response",INDEX('Education'!$L$10:$L$13,MATCH($F209,'Education'!$B$10:$B$13,0))),"N/A")</f>
        <v/>
      </c>
      <c r="V209" s="53">
        <f>IFERROR(IF(INDEX('SaSS'!$L$10:$L$12,MATCH($F209,'SaSS'!$B$10:$B$12,0))="","Cell will autofill based on response",INDEX('SaSS'!$L$10:$L$12,MATCH($F209,'SaSS'!$B$10:$B$12,0))),"N/A")</f>
        <v/>
      </c>
      <c r="W209" s="53">
        <f>IFERROR(IF(INDEX('Indigenous'!$L$10:$L$11,MATCH($F209,'Indigenous'!$B$10:$B$11,0))="","Cell will autofill based on response",INDEX('Indigenous'!$L$10:$L$11,MATCH($F209,'Indigenous'!$B$10:$B$11,0))),"N/A")</f>
        <v/>
      </c>
      <c r="X209" s="53">
        <f>IFERROR(IF(INDEX('L&amp;R'!$L$10:$L$11,MATCH($F209,'L&amp;R'!$B$10:$B$11,0))="","Cell will autofill based on response",INDEX('L&amp;R'!$L$10:$L$11,MATCH($F209,'L&amp;R'!$B$10:$B$11,0))),"N/A")</f>
        <v/>
      </c>
      <c r="Z209" s="10">
        <f>COUNTIF($H209:$X209,"Cell will autofill based on response")</f>
        <v/>
      </c>
      <c r="AA209" s="10">
        <f>COUNTIF($H209:$X209,"Not yet started")</f>
        <v/>
      </c>
      <c r="AB209" s="10">
        <f>COUNTIF($H209:$X209,"Not met")</f>
        <v/>
      </c>
      <c r="AC209" s="10">
        <f>COUNTIF($H209:$X209,"Partially met")</f>
        <v/>
      </c>
      <c r="AD209" s="10">
        <f>COUNTIF($H209:$X209,"Met or exceeded")</f>
        <v/>
      </c>
      <c r="AE209" s="10">
        <f>3*AD209+2*AC209+AB209</f>
        <v/>
      </c>
      <c r="AF209" s="10">
        <f>AD209+AC209+AB209+AA209</f>
        <v/>
      </c>
      <c r="AG209" s="54">
        <f>IF(AF209&gt;0,AE209/AF209,"No valid responses to date")</f>
        <v/>
      </c>
      <c r="AH209" s="10">
        <f>IF(ISNUMBER(AG209),INDEX(Lists!$G$2:$G$5,MATCH(ROUND(AG209,0),Lists!$H$2:$H$5,0)),"")</f>
        <v/>
      </c>
      <c r="AI209" s="55">
        <f>IF(AF209&gt;0,AD209/AF209,"")</f>
        <v/>
      </c>
      <c r="AJ209" s="55">
        <f>IF(AF209&gt;0,(AD209+AC209)/AF209,"")</f>
        <v/>
      </c>
      <c r="AK209" s="10">
        <f>IF(AF209=0,"",IF(AI209&gt;0.75,"Met or exceeded",IF(AJ209&gt;=0.5,"Partially met","Not met")))</f>
        <v/>
      </c>
    </row>
    <row r="210">
      <c r="A210">
        <f>F210&amp;"|"&amp;G210</f>
        <v/>
      </c>
      <c r="B210" s="13" t="inlineStr"/>
      <c r="C210" s="8" t="inlineStr"/>
      <c r="D210" s="8" t="inlineStr"/>
      <c r="E210" s="8" t="inlineStr"/>
      <c r="F210" s="8" t="inlineStr">
        <is>
          <t>RI1(b)</t>
        </is>
      </c>
      <c r="G210" s="8" t="inlineStr">
        <is>
          <t>OPTION 1:  Target-level reporting</t>
        </is>
      </c>
      <c r="H210" s="53">
        <f>IFERROR(IF(INDEX('Faculties'!$M$10:$M$19,MATCH($F210,'Faculties'!$B$10:$B$19,0))="","Cell will autofill based on response",INDEX('Faculties'!$M$10:$M$19,MATCH($F210,'Faculties'!$B$10:$B$19,0))),"N/A")</f>
        <v/>
      </c>
      <c r="I210" s="53">
        <f>IFERROR(IF(INDEX('Faculties'!$M$26:$M$35,MATCH($F210,'Faculties'!$B$26:$B$35,0))="","Cell will autofill based on response",INDEX('Faculties'!$M$26:$M$35,MATCH($F210,'Faculties'!$B$26:$B$35,0))),"N/A")</f>
        <v/>
      </c>
      <c r="J210" s="53">
        <f>IFERROR(IF(INDEX('Faculties'!$M$42:$M$51,MATCH($F210,'Faculties'!$B$42:$B$51,0))="","Cell will autofill based on response",INDEX('Faculties'!$M$42:$M$51,MATCH($F210,'Faculties'!$B$42:$B$51,0))),"N/A")</f>
        <v/>
      </c>
      <c r="K210" s="53">
        <f>IFERROR(IF(INDEX('Faculties'!$M$58:$M$67,MATCH($F210,'Faculties'!$B$58:$B$67,0))="","Cell will autofill based on response",INDEX('Faculties'!$M$58:$M$67,MATCH($F210,'Faculties'!$B$58:$B$67,0))),"N/A")</f>
        <v/>
      </c>
      <c r="L210" s="53">
        <f>IFERROR(IF(INDEX('CI&amp;S'!$M$10:$M$15,MATCH($F210,'CI&amp;S'!$B$10:$B$15,0))="","Cell will autofill based on response",INDEX('CI&amp;S'!$M$10:$M$15,MATCH($F210,'CI&amp;S'!$B$10:$B$15,0))),"N/A")</f>
        <v/>
      </c>
      <c r="M210" s="53">
        <f>IFERROR(IF(INDEX('CI&amp;S'!$M$22:$M$36,MATCH($F210,'CI&amp;S'!$B$22:$B$36,0))="","Cell will autofill based on response",INDEX('CI&amp;S'!$M$22:$M$36,MATCH($F210,'CI&amp;S'!$B$22:$B$36,0))),"N/A")</f>
        <v/>
      </c>
      <c r="N210" s="53">
        <f>IFERROR(IF(INDEX('CFOG'!$M$10:$M$16,MATCH($F210,'CFOG'!$B$10:$B$16,0))="","Cell will autofill based on response",INDEX('CFOG'!$M$10:$M$16,MATCH($F210,'CFOG'!$B$10:$B$16,0))),"N/A")</f>
        <v/>
      </c>
      <c r="O210" s="53">
        <f>IFERROR(IF(INDEX('CFOG'!$M$23:$M$24,MATCH($F210,'CFOG'!$B$23:$B$24,0))="","Cell will autofill based on response",INDEX('CFOG'!$M$23:$M$24,MATCH($F210,'CFOG'!$B$23:$B$24,0))),"N/A")</f>
        <v/>
      </c>
      <c r="P210" s="53">
        <f>IFERROR(IF(INDEX('ESG'!$M$10:$M$17,MATCH($F210,'ESG'!$B$10:$B$17,0))="","Cell will autofill based on response",INDEX('ESG'!$M$10:$M$17,MATCH($F210,'ESG'!$B$10:$B$17,0))),"N/A")</f>
        <v/>
      </c>
      <c r="Q210" s="53">
        <f>IFERROR(IF(INDEX('CIOG'!$M$10:$M$14,MATCH($F210,'CIOG'!$B$10:$B$14,0))="","Cell will autofill based on response",INDEX('CIOG'!$M$10:$M$14,MATCH($F210,'CIOG'!$B$10:$B$14,0))),"N/A")</f>
        <v/>
      </c>
      <c r="R210" s="53">
        <f>IFERROR(IF(INDEX('MRE'!$M$10:$M$18,MATCH($F210,'MRE'!$B$10:$B$18,0))="","Cell will autofill based on response",INDEX('MRE'!$M$10:$M$18,MATCH($F210,'MRE'!$B$10:$B$18,0))),"N/A")</f>
        <v/>
      </c>
      <c r="S210" s="53">
        <f>IFERROR(IF(INDEX('AC&amp;M'!$M$10:$M$14,MATCH($F210,'AC&amp;M'!$B$10:$B$14,0))="","Cell will autofill based on response",INDEX('AC&amp;M'!$M$10:$M$14,MATCH($F210,'AC&amp;M'!$B$10:$B$14,0))),"N/A")</f>
        <v/>
      </c>
      <c r="T210" s="53">
        <f>IFERROR(IF(INDEX('GCE'!$M$10:$M$12,MATCH($F210,'GCE'!$B$10:$B$12,0))="","Cell will autofill based on response",INDEX('GCE'!$M$10:$M$12,MATCH($F210,'GCE'!$B$10:$B$12,0))),"N/A")</f>
        <v/>
      </c>
      <c r="U210" s="53">
        <f>IFERROR(IF(INDEX('Education'!$M$10:$M$13,MATCH($F210,'Education'!$B$10:$B$13,0))="","Cell will autofill based on response",INDEX('Education'!$M$10:$M$13,MATCH($F210,'Education'!$B$10:$B$13,0))),"N/A")</f>
        <v/>
      </c>
      <c r="V210" s="53">
        <f>IFERROR(IF(INDEX('SaSS'!$M$10:$M$12,MATCH($F210,'SaSS'!$B$10:$B$12,0))="","Cell will autofill based on response",INDEX('SaSS'!$M$10:$M$12,MATCH($F210,'SaSS'!$B$10:$B$12,0))),"N/A")</f>
        <v/>
      </c>
      <c r="W210" s="53">
        <f>IFERROR(IF(INDEX('Indigenous'!$M$10:$M$11,MATCH($F210,'Indigenous'!$B$10:$B$11,0))="","Cell will autofill based on response",INDEX('Indigenous'!$M$10:$M$11,MATCH($F210,'Indigenous'!$B$10:$B$11,0))),"N/A")</f>
        <v/>
      </c>
      <c r="X210" s="53">
        <f>IFERROR(IF(INDEX('L&amp;R'!$M$10:$M$11,MATCH($F210,'L&amp;R'!$B$10:$B$11,0))="","Cell will autofill based on response",INDEX('L&amp;R'!$M$10:$M$11,MATCH($F210,'L&amp;R'!$B$10:$B$11,0))),"N/A")</f>
        <v/>
      </c>
    </row>
    <row r="211">
      <c r="A211">
        <f>F211&amp;"|"&amp;G211</f>
        <v/>
      </c>
      <c r="B211" s="13" t="inlineStr"/>
      <c r="C211" s="8" t="inlineStr"/>
      <c r="D211" s="8" t="inlineStr"/>
      <c r="E211" s="8" t="inlineStr"/>
      <c r="F211" s="8" t="inlineStr">
        <is>
          <t>RI1(b)</t>
        </is>
      </c>
      <c r="G211" s="8" t="inlineStr">
        <is>
          <t>OPTION 2:  Indicator level reporting</t>
        </is>
      </c>
      <c r="H211" s="53">
        <f>IFERROR(IF(INDEX('Faculties'!$N$10:$N$19,MATCH($F211,'Faculties'!$B$10:$B$19,0))="","Cell will autofill based on response",INDEX('Faculties'!$N$10:$N$19,MATCH($F211,'Faculties'!$B$10:$B$19,0))),"N/A")</f>
        <v/>
      </c>
      <c r="I211" s="53">
        <f>IFERROR(IF(INDEX('Faculties'!$N$26:$N$35,MATCH($F211,'Faculties'!$B$26:$B$35,0))="","Cell will autofill based on response",INDEX('Faculties'!$N$26:$N$35,MATCH($F211,'Faculties'!$B$26:$B$35,0))),"N/A")</f>
        <v/>
      </c>
      <c r="J211" s="53">
        <f>IFERROR(IF(INDEX('Faculties'!$N$42:$N$51,MATCH($F211,'Faculties'!$B$42:$B$51,0))="","Cell will autofill based on response",INDEX('Faculties'!$N$42:$N$51,MATCH($F211,'Faculties'!$B$42:$B$51,0))),"N/A")</f>
        <v/>
      </c>
      <c r="K211" s="53">
        <f>IFERROR(IF(INDEX('Faculties'!$N$58:$N$67,MATCH($F211,'Faculties'!$B$58:$B$67,0))="","Cell will autofill based on response",INDEX('Faculties'!$N$58:$N$67,MATCH($F211,'Faculties'!$B$58:$B$67,0))),"N/A")</f>
        <v/>
      </c>
      <c r="L211" s="53">
        <f>IFERROR(IF(INDEX('CI&amp;S'!$N$10:$N$15,MATCH($F211,'CI&amp;S'!$B$10:$B$15,0))="","Cell will autofill based on response",INDEX('CI&amp;S'!$N$10:$N$15,MATCH($F211,'CI&amp;S'!$B$10:$B$15,0))),"N/A")</f>
        <v/>
      </c>
      <c r="M211" s="53">
        <f>IFERROR(IF(INDEX('CI&amp;S'!$N$22:$N$36,MATCH($F211,'CI&amp;S'!$B$22:$B$36,0))="","Cell will autofill based on response",INDEX('CI&amp;S'!$N$22:$N$36,MATCH($F211,'CI&amp;S'!$B$22:$B$36,0))),"N/A")</f>
        <v/>
      </c>
      <c r="N211" s="53">
        <f>IFERROR(IF(INDEX('CFOG'!$N$10:$N$16,MATCH($F211,'CFOG'!$B$10:$B$16,0))="","Cell will autofill based on response",INDEX('CFOG'!$N$10:$N$16,MATCH($F211,'CFOG'!$B$10:$B$16,0))),"N/A")</f>
        <v/>
      </c>
      <c r="O211" s="53">
        <f>IFERROR(IF(INDEX('CFOG'!$N$23:$N$24,MATCH($F211,'CFOG'!$B$23:$B$24,0))="","Cell will autofill based on response",INDEX('CFOG'!$N$23:$N$24,MATCH($F211,'CFOG'!$B$23:$B$24,0))),"N/A")</f>
        <v/>
      </c>
      <c r="P211" s="53">
        <f>IFERROR(IF(INDEX('ESG'!$N$10:$N$17,MATCH($F211,'ESG'!$B$10:$B$17,0))="","Cell will autofill based on response",INDEX('ESG'!$N$10:$N$17,MATCH($F211,'ESG'!$B$10:$B$17,0))),"N/A")</f>
        <v/>
      </c>
      <c r="Q211" s="53">
        <f>IFERROR(IF(INDEX('CIOG'!$N$10:$N$14,MATCH($F211,'CIOG'!$B$10:$B$14,0))="","Cell will autofill based on response",INDEX('CIOG'!$N$10:$N$14,MATCH($F211,'CIOG'!$B$10:$B$14,0))),"N/A")</f>
        <v/>
      </c>
      <c r="R211" s="53">
        <f>IFERROR(IF(INDEX('MRE'!$N$10:$N$18,MATCH($F211,'MRE'!$B$10:$B$18,0))="","Cell will autofill based on response",INDEX('MRE'!$N$10:$N$18,MATCH($F211,'MRE'!$B$10:$B$18,0))),"N/A")</f>
        <v/>
      </c>
      <c r="S211" s="53">
        <f>IFERROR(IF(INDEX('AC&amp;M'!$N$10:$N$14,MATCH($F211,'AC&amp;M'!$B$10:$B$14,0))="","Cell will autofill based on response",INDEX('AC&amp;M'!$N$10:$N$14,MATCH($F211,'AC&amp;M'!$B$10:$B$14,0))),"N/A")</f>
        <v/>
      </c>
      <c r="T211" s="53">
        <f>IFERROR(IF(INDEX('GCE'!$N$10:$N$12,MATCH($F211,'GCE'!$B$10:$B$12,0))="","Cell will autofill based on response",INDEX('GCE'!$N$10:$N$12,MATCH($F211,'GCE'!$B$10:$B$12,0))),"N/A")</f>
        <v/>
      </c>
      <c r="U211" s="53">
        <f>IFERROR(IF(INDEX('Education'!$N$10:$N$13,MATCH($F211,'Education'!$B$10:$B$13,0))="","Cell will autofill based on response",INDEX('Education'!$N$10:$N$13,MATCH($F211,'Education'!$B$10:$B$13,0))),"N/A")</f>
        <v/>
      </c>
      <c r="V211" s="53">
        <f>IFERROR(IF(INDEX('SaSS'!$N$10:$N$12,MATCH($F211,'SaSS'!$B$10:$B$12,0))="","Cell will autofill based on response",INDEX('SaSS'!$N$10:$N$12,MATCH($F211,'SaSS'!$B$10:$B$12,0))),"N/A")</f>
        <v/>
      </c>
      <c r="W211" s="53">
        <f>IFERROR(IF(INDEX('Indigenous'!$N$10:$N$11,MATCH($F211,'Indigenous'!$B$10:$B$11,0))="","Cell will autofill based on response",INDEX('Indigenous'!$N$10:$N$11,MATCH($F211,'Indigenous'!$B$10:$B$11,0))),"N/A")</f>
        <v/>
      </c>
      <c r="X211" s="53">
        <f>IFERROR(IF(INDEX('L&amp;R'!$N$10:$N$11,MATCH($F211,'L&amp;R'!$B$10:$B$11,0))="","Cell will autofill based on response",INDEX('L&amp;R'!$N$10:$N$11,MATCH($F211,'L&amp;R'!$B$10:$B$11,0))),"N/A")</f>
        <v/>
      </c>
    </row>
    <row r="212">
      <c r="A212">
        <f>F212&amp;"|"&amp;G212</f>
        <v/>
      </c>
      <c r="B212" s="13" t="inlineStr"/>
      <c r="C212" s="8" t="inlineStr"/>
      <c r="D212" s="8" t="inlineStr"/>
      <c r="E212" s="8" t="inlineStr"/>
      <c r="F212" s="8" t="inlineStr">
        <is>
          <t>RI1(b)</t>
        </is>
      </c>
      <c r="G212" s="8" t="inlineStr">
        <is>
          <t>Supporting information/comments</t>
        </is>
      </c>
      <c r="H212" s="53">
        <f>IFERROR(IF(INDEX('Faculties'!$O$10:$O$19,MATCH($F212,'Faculties'!$B$10:$B$19,0))="","Cell will autofill based on response",INDEX('Faculties'!$O$10:$O$19,MATCH($F212,'Faculties'!$B$10:$B$19,0))),"N/A")</f>
        <v/>
      </c>
      <c r="I212" s="53">
        <f>IFERROR(IF(INDEX('Faculties'!$O$26:$O$35,MATCH($F212,'Faculties'!$B$26:$B$35,0))="","Cell will autofill based on response",INDEX('Faculties'!$O$26:$O$35,MATCH($F212,'Faculties'!$B$26:$B$35,0))),"N/A")</f>
        <v/>
      </c>
      <c r="J212" s="53">
        <f>IFERROR(IF(INDEX('Faculties'!$O$42:$O$51,MATCH($F212,'Faculties'!$B$42:$B$51,0))="","Cell will autofill based on response",INDEX('Faculties'!$O$42:$O$51,MATCH($F212,'Faculties'!$B$42:$B$51,0))),"N/A")</f>
        <v/>
      </c>
      <c r="K212" s="53">
        <f>IFERROR(IF(INDEX('Faculties'!$O$58:$O$67,MATCH($F212,'Faculties'!$B$58:$B$67,0))="","Cell will autofill based on response",INDEX('Faculties'!$O$58:$O$67,MATCH($F212,'Faculties'!$B$58:$B$67,0))),"N/A")</f>
        <v/>
      </c>
      <c r="L212" s="53">
        <f>IFERROR(IF(INDEX('CI&amp;S'!$O$10:$O$15,MATCH($F212,'CI&amp;S'!$B$10:$B$15,0))="","Cell will autofill based on response",INDEX('CI&amp;S'!$O$10:$O$15,MATCH($F212,'CI&amp;S'!$B$10:$B$15,0))),"N/A")</f>
        <v/>
      </c>
      <c r="M212" s="53">
        <f>IFERROR(IF(INDEX('CI&amp;S'!$O$22:$O$36,MATCH($F212,'CI&amp;S'!$B$22:$B$36,0))="","Cell will autofill based on response",INDEX('CI&amp;S'!$O$22:$O$36,MATCH($F212,'CI&amp;S'!$B$22:$B$36,0))),"N/A")</f>
        <v/>
      </c>
      <c r="N212" s="53">
        <f>IFERROR(IF(INDEX('CFOG'!$O$10:$O$16,MATCH($F212,'CFOG'!$B$10:$B$16,0))="","Cell will autofill based on response",INDEX('CFOG'!$O$10:$O$16,MATCH($F212,'CFOG'!$B$10:$B$16,0))),"N/A")</f>
        <v/>
      </c>
      <c r="O212" s="53">
        <f>IFERROR(IF(INDEX('CFOG'!$O$23:$O$24,MATCH($F212,'CFOG'!$B$23:$B$24,0))="","Cell will autofill based on response",INDEX('CFOG'!$O$23:$O$24,MATCH($F212,'CFOG'!$B$23:$B$24,0))),"N/A")</f>
        <v/>
      </c>
      <c r="P212" s="53">
        <f>IFERROR(IF(INDEX('ESG'!$O$10:$O$17,MATCH($F212,'ESG'!$B$10:$B$17,0))="","Cell will autofill based on response",INDEX('ESG'!$O$10:$O$17,MATCH($F212,'ESG'!$B$10:$B$17,0))),"N/A")</f>
        <v/>
      </c>
      <c r="Q212" s="53">
        <f>IFERROR(IF(INDEX('CIOG'!$O$10:$O$14,MATCH($F212,'CIOG'!$B$10:$B$14,0))="","Cell will autofill based on response",INDEX('CIOG'!$O$10:$O$14,MATCH($F212,'CIOG'!$B$10:$B$14,0))),"N/A")</f>
        <v/>
      </c>
      <c r="R212" s="53">
        <f>IFERROR(IF(INDEX('MRE'!$O$10:$O$18,MATCH($F212,'MRE'!$B$10:$B$18,0))="","Cell will autofill based on response",INDEX('MRE'!$O$10:$O$18,MATCH($F212,'MRE'!$B$10:$B$18,0))),"N/A")</f>
        <v/>
      </c>
      <c r="S212" s="53">
        <f>IFERROR(IF(INDEX('AC&amp;M'!$O$10:$O$14,MATCH($F212,'AC&amp;M'!$B$10:$B$14,0))="","Cell will autofill based on response",INDEX('AC&amp;M'!$O$10:$O$14,MATCH($F212,'AC&amp;M'!$B$10:$B$14,0))),"N/A")</f>
        <v/>
      </c>
      <c r="T212" s="53">
        <f>IFERROR(IF(INDEX('GCE'!$O$10:$O$12,MATCH($F212,'GCE'!$B$10:$B$12,0))="","Cell will autofill based on response",INDEX('GCE'!$O$10:$O$12,MATCH($F212,'GCE'!$B$10:$B$12,0))),"N/A")</f>
        <v/>
      </c>
      <c r="U212" s="53">
        <f>IFERROR(IF(INDEX('Education'!$O$10:$O$13,MATCH($F212,'Education'!$B$10:$B$13,0))="","Cell will autofill based on response",INDEX('Education'!$O$10:$O$13,MATCH($F212,'Education'!$B$10:$B$13,0))),"N/A")</f>
        <v/>
      </c>
      <c r="V212" s="53">
        <f>IFERROR(IF(INDEX('SaSS'!$O$10:$O$12,MATCH($F212,'SaSS'!$B$10:$B$12,0))="","Cell will autofill based on response",INDEX('SaSS'!$O$10:$O$12,MATCH($F212,'SaSS'!$B$10:$B$12,0))),"N/A")</f>
        <v/>
      </c>
      <c r="W212" s="53">
        <f>IFERROR(IF(INDEX('Indigenous'!$O$10:$O$11,MATCH($F212,'Indigenous'!$B$10:$B$11,0))="","Cell will autofill based on response",INDEX('Indigenous'!$O$10:$O$11,MATCH($F212,'Indigenous'!$B$10:$B$11,0))),"N/A")</f>
        <v/>
      </c>
      <c r="X212" s="53">
        <f>IFERROR(IF(INDEX('L&amp;R'!$O$10:$O$11,MATCH($F212,'L&amp;R'!$B$10:$B$11,0))="","Cell will autofill based on response",INDEX('L&amp;R'!$O$10:$O$11,MATCH($F212,'L&amp;R'!$B$10:$B$11,0))),"N/A")</f>
        <v/>
      </c>
    </row>
    <row r="213">
      <c r="A213">
        <f>F213&amp;"|"&amp;G213</f>
        <v/>
      </c>
      <c r="B213" s="13" t="inlineStr"/>
      <c r="C213" s="8" t="inlineStr"/>
      <c r="D213" s="8" t="inlineStr"/>
      <c r="E213" s="8" t="inlineStr"/>
      <c r="F213" s="8" t="inlineStr">
        <is>
          <t>RI1(b)</t>
        </is>
      </c>
      <c r="G213" s="8" t="inlineStr">
        <is>
          <t>Data source and limitations</t>
        </is>
      </c>
      <c r="H213" s="53">
        <f>IFERROR(IF(INDEX('Faculties'!$P$10:$P$19,MATCH($F213,'Faculties'!$B$10:$B$19,0))="","Cell will autofill based on response",INDEX('Faculties'!$P$10:$P$19,MATCH($F213,'Faculties'!$B$10:$B$19,0))),"N/A")</f>
        <v/>
      </c>
      <c r="I213" s="53">
        <f>IFERROR(IF(INDEX('Faculties'!$P$26:$P$35,MATCH($F213,'Faculties'!$B$26:$B$35,0))="","Cell will autofill based on response",INDEX('Faculties'!$P$26:$P$35,MATCH($F213,'Faculties'!$B$26:$B$35,0))),"N/A")</f>
        <v/>
      </c>
      <c r="J213" s="53">
        <f>IFERROR(IF(INDEX('Faculties'!$P$42:$P$51,MATCH($F213,'Faculties'!$B$42:$B$51,0))="","Cell will autofill based on response",INDEX('Faculties'!$P$42:$P$51,MATCH($F213,'Faculties'!$B$42:$B$51,0))),"N/A")</f>
        <v/>
      </c>
      <c r="K213" s="53">
        <f>IFERROR(IF(INDEX('Faculties'!$P$58:$P$67,MATCH($F213,'Faculties'!$B$58:$B$67,0))="","Cell will autofill based on response",INDEX('Faculties'!$P$58:$P$67,MATCH($F213,'Faculties'!$B$58:$B$67,0))),"N/A")</f>
        <v/>
      </c>
      <c r="L213" s="53">
        <f>IFERROR(IF(INDEX('CI&amp;S'!$P$10:$P$15,MATCH($F213,'CI&amp;S'!$B$10:$B$15,0))="","Cell will autofill based on response",INDEX('CI&amp;S'!$P$10:$P$15,MATCH($F213,'CI&amp;S'!$B$10:$B$15,0))),"N/A")</f>
        <v/>
      </c>
      <c r="M213" s="53">
        <f>IFERROR(IF(INDEX('CI&amp;S'!$P$22:$P$36,MATCH($F213,'CI&amp;S'!$B$22:$B$36,0))="","Cell will autofill based on response",INDEX('CI&amp;S'!$P$22:$P$36,MATCH($F213,'CI&amp;S'!$B$22:$B$36,0))),"N/A")</f>
        <v/>
      </c>
      <c r="N213" s="53">
        <f>IFERROR(IF(INDEX('CFOG'!$P$10:$P$16,MATCH($F213,'CFOG'!$B$10:$B$16,0))="","Cell will autofill based on response",INDEX('CFOG'!$P$10:$P$16,MATCH($F213,'CFOG'!$B$10:$B$16,0))),"N/A")</f>
        <v/>
      </c>
      <c r="O213" s="53">
        <f>IFERROR(IF(INDEX('CFOG'!$P$23:$P$24,MATCH($F213,'CFOG'!$B$23:$B$24,0))="","Cell will autofill based on response",INDEX('CFOG'!$P$23:$P$24,MATCH($F213,'CFOG'!$B$23:$B$24,0))),"N/A")</f>
        <v/>
      </c>
      <c r="P213" s="53">
        <f>IFERROR(IF(INDEX('ESG'!$P$10:$P$17,MATCH($F213,'ESG'!$B$10:$B$17,0))="","Cell will autofill based on response",INDEX('ESG'!$P$10:$P$17,MATCH($F213,'ESG'!$B$10:$B$17,0))),"N/A")</f>
        <v/>
      </c>
      <c r="Q213" s="53">
        <f>IFERROR(IF(INDEX('CIOG'!$P$10:$P$14,MATCH($F213,'CIOG'!$B$10:$B$14,0))="","Cell will autofill based on response",INDEX('CIOG'!$P$10:$P$14,MATCH($F213,'CIOG'!$B$10:$B$14,0))),"N/A")</f>
        <v/>
      </c>
      <c r="R213" s="53">
        <f>IFERROR(IF(INDEX('MRE'!$P$10:$P$18,MATCH($F213,'MRE'!$B$10:$B$18,0))="","Cell will autofill based on response",INDEX('MRE'!$P$10:$P$18,MATCH($F213,'MRE'!$B$10:$B$18,0))),"N/A")</f>
        <v/>
      </c>
      <c r="S213" s="53">
        <f>IFERROR(IF(INDEX('AC&amp;M'!$P$10:$P$14,MATCH($F213,'AC&amp;M'!$B$10:$B$14,0))="","Cell will autofill based on response",INDEX('AC&amp;M'!$P$10:$P$14,MATCH($F213,'AC&amp;M'!$B$10:$B$14,0))),"N/A")</f>
        <v/>
      </c>
      <c r="T213" s="53">
        <f>IFERROR(IF(INDEX('GCE'!$P$10:$P$12,MATCH($F213,'GCE'!$B$10:$B$12,0))="","Cell will autofill based on response",INDEX('GCE'!$P$10:$P$12,MATCH($F213,'GCE'!$B$10:$B$12,0))),"N/A")</f>
        <v/>
      </c>
      <c r="U213" s="53">
        <f>IFERROR(IF(INDEX('Education'!$P$10:$P$13,MATCH($F213,'Education'!$B$10:$B$13,0))="","Cell will autofill based on response",INDEX('Education'!$P$10:$P$13,MATCH($F213,'Education'!$B$10:$B$13,0))),"N/A")</f>
        <v/>
      </c>
      <c r="V213" s="53">
        <f>IFERROR(IF(INDEX('SaSS'!$P$10:$P$12,MATCH($F213,'SaSS'!$B$10:$B$12,0))="","Cell will autofill based on response",INDEX('SaSS'!$P$10:$P$12,MATCH($F213,'SaSS'!$B$10:$B$12,0))),"N/A")</f>
        <v/>
      </c>
      <c r="W213" s="53">
        <f>IFERROR(IF(INDEX('Indigenous'!$P$10:$P$11,MATCH($F213,'Indigenous'!$B$10:$B$11,0))="","Cell will autofill based on response",INDEX('Indigenous'!$P$10:$P$11,MATCH($F213,'Indigenous'!$B$10:$B$11,0))),"N/A")</f>
        <v/>
      </c>
      <c r="X213" s="53">
        <f>IFERROR(IF(INDEX('L&amp;R'!$P$10:$P$11,MATCH($F213,'L&amp;R'!$B$10:$B$11,0))="","Cell will autofill based on response",INDEX('L&amp;R'!$P$10:$P$11,MATCH($F213,'L&amp;R'!$B$10:$B$11,0))),"N/A")</f>
        <v/>
      </c>
    </row>
    <row r="214">
      <c r="A214">
        <f>F214&amp;"|"&amp;G214</f>
        <v/>
      </c>
      <c r="B214" s="13" t="inlineStr"/>
      <c r="C214" s="8" t="inlineStr"/>
      <c r="D214" s="8" t="inlineStr"/>
      <c r="E214" s="8" t="inlineStr"/>
      <c r="F214" s="8" t="inlineStr">
        <is>
          <t>RI1(b)</t>
        </is>
      </c>
      <c r="G214" s="8" t="inlineStr">
        <is>
          <t>Data owner confirms</t>
        </is>
      </c>
      <c r="H214" s="53">
        <f>IFERROR(IF(INDEX('Faculties'!$Q$10:$Q$19,MATCH($F214,'Faculties'!$B$10:$B$19,0))="","Cell will autofill based on response",INDEX('Faculties'!$Q$10:$Q$19,MATCH($F214,'Faculties'!$B$10:$B$19,0))),"N/A")</f>
        <v/>
      </c>
      <c r="I214" s="53">
        <f>IFERROR(IF(INDEX('Faculties'!$Q$26:$Q$35,MATCH($F214,'Faculties'!$B$26:$B$35,0))="","Cell will autofill based on response",INDEX('Faculties'!$Q$26:$Q$35,MATCH($F214,'Faculties'!$B$26:$B$35,0))),"N/A")</f>
        <v/>
      </c>
      <c r="J214" s="53">
        <f>IFERROR(IF(INDEX('Faculties'!$Q$42:$Q$51,MATCH($F214,'Faculties'!$B$42:$B$51,0))="","Cell will autofill based on response",INDEX('Faculties'!$Q$42:$Q$51,MATCH($F214,'Faculties'!$B$42:$B$51,0))),"N/A")</f>
        <v/>
      </c>
      <c r="K214" s="53">
        <f>IFERROR(IF(INDEX('Faculties'!$Q$58:$Q$67,MATCH($F214,'Faculties'!$B$58:$B$67,0))="","Cell will autofill based on response",INDEX('Faculties'!$Q$58:$Q$67,MATCH($F214,'Faculties'!$B$58:$B$67,0))),"N/A")</f>
        <v/>
      </c>
      <c r="L214" s="53">
        <f>IFERROR(IF(INDEX('CI&amp;S'!$Q$10:$Q$15,MATCH($F214,'CI&amp;S'!$B$10:$B$15,0))="","Cell will autofill based on response",INDEX('CI&amp;S'!$Q$10:$Q$15,MATCH($F214,'CI&amp;S'!$B$10:$B$15,0))),"N/A")</f>
        <v/>
      </c>
      <c r="M214" s="53">
        <f>IFERROR(IF(INDEX('CI&amp;S'!$Q$22:$Q$36,MATCH($F214,'CI&amp;S'!$B$22:$B$36,0))="","Cell will autofill based on response",INDEX('CI&amp;S'!$Q$22:$Q$36,MATCH($F214,'CI&amp;S'!$B$22:$B$36,0))),"N/A")</f>
        <v/>
      </c>
      <c r="N214" s="53">
        <f>IFERROR(IF(INDEX('CFOG'!$Q$10:$Q$16,MATCH($F214,'CFOG'!$B$10:$B$16,0))="","Cell will autofill based on response",INDEX('CFOG'!$Q$10:$Q$16,MATCH($F214,'CFOG'!$B$10:$B$16,0))),"N/A")</f>
        <v/>
      </c>
      <c r="O214" s="53">
        <f>IFERROR(IF(INDEX('CFOG'!$Q$23:$Q$24,MATCH($F214,'CFOG'!$B$23:$B$24,0))="","Cell will autofill based on response",INDEX('CFOG'!$Q$23:$Q$24,MATCH($F214,'CFOG'!$B$23:$B$24,0))),"N/A")</f>
        <v/>
      </c>
      <c r="P214" s="53">
        <f>IFERROR(IF(INDEX('ESG'!$Q$10:$Q$17,MATCH($F214,'ESG'!$B$10:$B$17,0))="","Cell will autofill based on response",INDEX('ESG'!$Q$10:$Q$17,MATCH($F214,'ESG'!$B$10:$B$17,0))),"N/A")</f>
        <v/>
      </c>
      <c r="Q214" s="53">
        <f>IFERROR(IF(INDEX('CIOG'!$Q$10:$Q$14,MATCH($F214,'CIOG'!$B$10:$B$14,0))="","Cell will autofill based on response",INDEX('CIOG'!$Q$10:$Q$14,MATCH($F214,'CIOG'!$B$10:$B$14,0))),"N/A")</f>
        <v/>
      </c>
      <c r="R214" s="53">
        <f>IFERROR(IF(INDEX('MRE'!$Q$10:$Q$18,MATCH($F214,'MRE'!$B$10:$B$18,0))="","Cell will autofill based on response",INDEX('MRE'!$Q$10:$Q$18,MATCH($F214,'MRE'!$B$10:$B$18,0))),"N/A")</f>
        <v/>
      </c>
      <c r="S214" s="53">
        <f>IFERROR(IF(INDEX('AC&amp;M'!$Q$10:$Q$14,MATCH($F214,'AC&amp;M'!$B$10:$B$14,0))="","Cell will autofill based on response",INDEX('AC&amp;M'!$Q$10:$Q$14,MATCH($F214,'AC&amp;M'!$B$10:$B$14,0))),"N/A")</f>
        <v/>
      </c>
      <c r="T214" s="53">
        <f>IFERROR(IF(INDEX('GCE'!$Q$10:$Q$12,MATCH($F214,'GCE'!$B$10:$B$12,0))="","Cell will autofill based on response",INDEX('GCE'!$Q$10:$Q$12,MATCH($F214,'GCE'!$B$10:$B$12,0))),"N/A")</f>
        <v/>
      </c>
      <c r="U214" s="53">
        <f>IFERROR(IF(INDEX('Education'!$Q$10:$Q$13,MATCH($F214,'Education'!$B$10:$B$13,0))="","Cell will autofill based on response",INDEX('Education'!$Q$10:$Q$13,MATCH($F214,'Education'!$B$10:$B$13,0))),"N/A")</f>
        <v/>
      </c>
      <c r="V214" s="53">
        <f>IFERROR(IF(INDEX('SaSS'!$Q$10:$Q$12,MATCH($F214,'SaSS'!$B$10:$B$12,0))="","Cell will autofill based on response",INDEX('SaSS'!$Q$10:$Q$12,MATCH($F214,'SaSS'!$B$10:$B$12,0))),"N/A")</f>
        <v/>
      </c>
      <c r="W214" s="53">
        <f>IFERROR(IF(INDEX('Indigenous'!$Q$10:$Q$11,MATCH($F214,'Indigenous'!$B$10:$B$11,0))="","Cell will autofill based on response",INDEX('Indigenous'!$Q$10:$Q$11,MATCH($F214,'Indigenous'!$B$10:$B$11,0))),"N/A")</f>
        <v/>
      </c>
      <c r="X214" s="53">
        <f>IFERROR(IF(INDEX('L&amp;R'!$Q$10:$Q$11,MATCH($F214,'L&amp;R'!$B$10:$B$11,0))="","Cell will autofill based on response",INDEX('L&amp;R'!$Q$10:$Q$11,MATCH($F214,'L&amp;R'!$B$10:$B$11,0))),"N/A")</f>
        <v/>
      </c>
    </row>
    <row r="215">
      <c r="A215">
        <f>F215&amp;"|"&amp;G215</f>
        <v/>
      </c>
      <c r="B215" s="7" t="inlineStr">
        <is>
          <t>EN1(a)</t>
        </is>
      </c>
      <c r="C215" s="51" t="inlineStr">
        <is>
          <t>Enablers</t>
        </is>
      </c>
      <c r="D215" s="51" t="inlineStr">
        <is>
          <t>Evidence of sustainability outcomes informed by Indigenous knowledges</t>
        </is>
      </c>
      <c r="E215" s="51"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F215" s="51" t="inlineStr">
        <is>
          <t>EN1(a)</t>
        </is>
      </c>
      <c r="G215" s="51" t="inlineStr">
        <is>
          <t>Confirm end-2026 target status</t>
        </is>
      </c>
      <c r="H215" s="53">
        <f>IFERROR(IF(INDEX('Faculties'!$L$10:$L$19,MATCH($F215,'Faculties'!$B$10:$B$19,0))="","Cell will autofill based on response",INDEX('Faculties'!$L$10:$L$19,MATCH($F215,'Faculties'!$B$10:$B$19,0))),"N/A")</f>
        <v/>
      </c>
      <c r="I215" s="53">
        <f>IFERROR(IF(INDEX('Faculties'!$L$26:$L$35,MATCH($F215,'Faculties'!$B$26:$B$35,0))="","Cell will autofill based on response",INDEX('Faculties'!$L$26:$L$35,MATCH($F215,'Faculties'!$B$26:$B$35,0))),"N/A")</f>
        <v/>
      </c>
      <c r="J215" s="53">
        <f>IFERROR(IF(INDEX('Faculties'!$L$42:$L$51,MATCH($F215,'Faculties'!$B$42:$B$51,0))="","Cell will autofill based on response",INDEX('Faculties'!$L$42:$L$51,MATCH($F215,'Faculties'!$B$42:$B$51,0))),"N/A")</f>
        <v/>
      </c>
      <c r="K215" s="53">
        <f>IFERROR(IF(INDEX('Faculties'!$L$58:$L$67,MATCH($F215,'Faculties'!$B$58:$B$67,0))="","Cell will autofill based on response",INDEX('Faculties'!$L$58:$L$67,MATCH($F215,'Faculties'!$B$58:$B$67,0))),"N/A")</f>
        <v/>
      </c>
      <c r="L215" s="53">
        <f>IFERROR(IF(INDEX('CI&amp;S'!$L$10:$L$15,MATCH($F215,'CI&amp;S'!$B$10:$B$15,0))="","Cell will autofill based on response",INDEX('CI&amp;S'!$L$10:$L$15,MATCH($F215,'CI&amp;S'!$B$10:$B$15,0))),"N/A")</f>
        <v/>
      </c>
      <c r="M215" s="53">
        <f>IFERROR(IF(INDEX('CI&amp;S'!$L$22:$L$36,MATCH($F215,'CI&amp;S'!$B$22:$B$36,0))="","Cell will autofill based on response",INDEX('CI&amp;S'!$L$22:$L$36,MATCH($F215,'CI&amp;S'!$B$22:$B$36,0))),"N/A")</f>
        <v/>
      </c>
      <c r="N215" s="53">
        <f>IFERROR(IF(INDEX('CFOG'!$L$10:$L$16,MATCH($F215,'CFOG'!$B$10:$B$16,0))="","Cell will autofill based on response",INDEX('CFOG'!$L$10:$L$16,MATCH($F215,'CFOG'!$B$10:$B$16,0))),"N/A")</f>
        <v/>
      </c>
      <c r="O215" s="53">
        <f>IFERROR(IF(INDEX('CFOG'!$L$23:$L$24,MATCH($F215,'CFOG'!$B$23:$B$24,0))="","Cell will autofill based on response",INDEX('CFOG'!$L$23:$L$24,MATCH($F215,'CFOG'!$B$23:$B$24,0))),"N/A")</f>
        <v/>
      </c>
      <c r="P215" s="53">
        <f>IFERROR(IF(INDEX('ESG'!$L$10:$L$17,MATCH($F215,'ESG'!$B$10:$B$17,0))="","Cell will autofill based on response",INDEX('ESG'!$L$10:$L$17,MATCH($F215,'ESG'!$B$10:$B$17,0))),"N/A")</f>
        <v/>
      </c>
      <c r="Q215" s="53">
        <f>IFERROR(IF(INDEX('CIOG'!$L$10:$L$14,MATCH($F215,'CIOG'!$B$10:$B$14,0))="","Cell will autofill based on response",INDEX('CIOG'!$L$10:$L$14,MATCH($F215,'CIOG'!$B$10:$B$14,0))),"N/A")</f>
        <v/>
      </c>
      <c r="R215" s="53">
        <f>IFERROR(IF(INDEX('MRE'!$L$10:$L$18,MATCH($F215,'MRE'!$B$10:$B$18,0))="","Cell will autofill based on response",INDEX('MRE'!$L$10:$L$18,MATCH($F215,'MRE'!$B$10:$B$18,0))),"N/A")</f>
        <v/>
      </c>
      <c r="S215" s="53">
        <f>IFERROR(IF(INDEX('AC&amp;M'!$L$10:$L$14,MATCH($F215,'AC&amp;M'!$B$10:$B$14,0))="","Cell will autofill based on response",INDEX('AC&amp;M'!$L$10:$L$14,MATCH($F215,'AC&amp;M'!$B$10:$B$14,0))),"N/A")</f>
        <v/>
      </c>
      <c r="T215" s="53">
        <f>IFERROR(IF(INDEX('GCE'!$L$10:$L$12,MATCH($F215,'GCE'!$B$10:$B$12,0))="","Cell will autofill based on response",INDEX('GCE'!$L$10:$L$12,MATCH($F215,'GCE'!$B$10:$B$12,0))),"N/A")</f>
        <v/>
      </c>
      <c r="U215" s="53">
        <f>IFERROR(IF(INDEX('Education'!$L$10:$L$13,MATCH($F215,'Education'!$B$10:$B$13,0))="","Cell will autofill based on response",INDEX('Education'!$L$10:$L$13,MATCH($F215,'Education'!$B$10:$B$13,0))),"N/A")</f>
        <v/>
      </c>
      <c r="V215" s="53">
        <f>IFERROR(IF(INDEX('SaSS'!$L$10:$L$12,MATCH($F215,'SaSS'!$B$10:$B$12,0))="","Cell will autofill based on response",INDEX('SaSS'!$L$10:$L$12,MATCH($F215,'SaSS'!$B$10:$B$12,0))),"N/A")</f>
        <v/>
      </c>
      <c r="W215" s="53">
        <f>IFERROR(IF(INDEX('Indigenous'!$L$10:$L$11,MATCH($F215,'Indigenous'!$B$10:$B$11,0))="","Cell will autofill based on response",INDEX('Indigenous'!$L$10:$L$11,MATCH($F215,'Indigenous'!$B$10:$B$11,0))),"N/A")</f>
        <v/>
      </c>
      <c r="X215" s="53">
        <f>IFERROR(IF(INDEX('L&amp;R'!$L$10:$L$11,MATCH($F215,'L&amp;R'!$B$10:$B$11,0))="","Cell will autofill based on response",INDEX('L&amp;R'!$L$10:$L$11,MATCH($F215,'L&amp;R'!$B$10:$B$11,0))),"N/A")</f>
        <v/>
      </c>
      <c r="Z215" s="10">
        <f>COUNTIF($H215:$X215,"Cell will autofill based on response")</f>
        <v/>
      </c>
      <c r="AA215" s="10">
        <f>COUNTIF($H215:$X215,"Not yet started")</f>
        <v/>
      </c>
      <c r="AB215" s="10">
        <f>COUNTIF($H215:$X215,"Not met")</f>
        <v/>
      </c>
      <c r="AC215" s="10">
        <f>COUNTIF($H215:$X215,"Partially met")</f>
        <v/>
      </c>
      <c r="AD215" s="10">
        <f>COUNTIF($H215:$X215,"Met or exceeded")</f>
        <v/>
      </c>
      <c r="AE215" s="10">
        <f>3*AD215+2*AC215+AB215</f>
        <v/>
      </c>
      <c r="AF215" s="10">
        <f>AD215+AC215+AB215+AA215</f>
        <v/>
      </c>
      <c r="AG215" s="54">
        <f>IF(AF215&gt;0,AE215/AF215,"No valid responses to date")</f>
        <v/>
      </c>
      <c r="AH215" s="10">
        <f>IF(ISNUMBER(AG215),INDEX(Lists!$G$2:$G$5,MATCH(ROUND(AG215,0),Lists!$H$2:$H$5,0)),"")</f>
        <v/>
      </c>
      <c r="AI215" s="55">
        <f>IF(AF215&gt;0,AD215/AF215,"")</f>
        <v/>
      </c>
      <c r="AJ215" s="55">
        <f>IF(AF215&gt;0,(AD215+AC215)/AF215,"")</f>
        <v/>
      </c>
      <c r="AK215" s="10">
        <f>IF(AF215=0,"",IF(AI215&gt;0.75,"Met or exceeded",IF(AJ215&gt;=0.5,"Partially met","Not met")))</f>
        <v/>
      </c>
    </row>
    <row r="216">
      <c r="A216">
        <f>F216&amp;"|"&amp;G216</f>
        <v/>
      </c>
      <c r="B216" s="13" t="inlineStr"/>
      <c r="C216" s="8" t="inlineStr"/>
      <c r="D216" s="8" t="inlineStr"/>
      <c r="E216" s="8" t="inlineStr"/>
      <c r="F216" s="8" t="inlineStr">
        <is>
          <t>EN1(a)</t>
        </is>
      </c>
      <c r="G216" s="8" t="inlineStr">
        <is>
          <t>OPTION 1:  Target-level reporting</t>
        </is>
      </c>
      <c r="H216" s="53">
        <f>IFERROR(IF(INDEX('Faculties'!$M$10:$M$19,MATCH($F216,'Faculties'!$B$10:$B$19,0))="","Cell will autofill based on response",INDEX('Faculties'!$M$10:$M$19,MATCH($F216,'Faculties'!$B$10:$B$19,0))),"N/A")</f>
        <v/>
      </c>
      <c r="I216" s="53">
        <f>IFERROR(IF(INDEX('Faculties'!$M$26:$M$35,MATCH($F216,'Faculties'!$B$26:$B$35,0))="","Cell will autofill based on response",INDEX('Faculties'!$M$26:$M$35,MATCH($F216,'Faculties'!$B$26:$B$35,0))),"N/A")</f>
        <v/>
      </c>
      <c r="J216" s="53">
        <f>IFERROR(IF(INDEX('Faculties'!$M$42:$M$51,MATCH($F216,'Faculties'!$B$42:$B$51,0))="","Cell will autofill based on response",INDEX('Faculties'!$M$42:$M$51,MATCH($F216,'Faculties'!$B$42:$B$51,0))),"N/A")</f>
        <v/>
      </c>
      <c r="K216" s="53">
        <f>IFERROR(IF(INDEX('Faculties'!$M$58:$M$67,MATCH($F216,'Faculties'!$B$58:$B$67,0))="","Cell will autofill based on response",INDEX('Faculties'!$M$58:$M$67,MATCH($F216,'Faculties'!$B$58:$B$67,0))),"N/A")</f>
        <v/>
      </c>
      <c r="L216" s="53">
        <f>IFERROR(IF(INDEX('CI&amp;S'!$M$10:$M$15,MATCH($F216,'CI&amp;S'!$B$10:$B$15,0))="","Cell will autofill based on response",INDEX('CI&amp;S'!$M$10:$M$15,MATCH($F216,'CI&amp;S'!$B$10:$B$15,0))),"N/A")</f>
        <v/>
      </c>
      <c r="M216" s="53">
        <f>IFERROR(IF(INDEX('CI&amp;S'!$M$22:$M$36,MATCH($F216,'CI&amp;S'!$B$22:$B$36,0))="","Cell will autofill based on response",INDEX('CI&amp;S'!$M$22:$M$36,MATCH($F216,'CI&amp;S'!$B$22:$B$36,0))),"N/A")</f>
        <v/>
      </c>
      <c r="N216" s="53">
        <f>IFERROR(IF(INDEX('CFOG'!$M$10:$M$16,MATCH($F216,'CFOG'!$B$10:$B$16,0))="","Cell will autofill based on response",INDEX('CFOG'!$M$10:$M$16,MATCH($F216,'CFOG'!$B$10:$B$16,0))),"N/A")</f>
        <v/>
      </c>
      <c r="O216" s="53">
        <f>IFERROR(IF(INDEX('CFOG'!$M$23:$M$24,MATCH($F216,'CFOG'!$B$23:$B$24,0))="","Cell will autofill based on response",INDEX('CFOG'!$M$23:$M$24,MATCH($F216,'CFOG'!$B$23:$B$24,0))),"N/A")</f>
        <v/>
      </c>
      <c r="P216" s="53">
        <f>IFERROR(IF(INDEX('ESG'!$M$10:$M$17,MATCH($F216,'ESG'!$B$10:$B$17,0))="","Cell will autofill based on response",INDEX('ESG'!$M$10:$M$17,MATCH($F216,'ESG'!$B$10:$B$17,0))),"N/A")</f>
        <v/>
      </c>
      <c r="Q216" s="53">
        <f>IFERROR(IF(INDEX('CIOG'!$M$10:$M$14,MATCH($F216,'CIOG'!$B$10:$B$14,0))="","Cell will autofill based on response",INDEX('CIOG'!$M$10:$M$14,MATCH($F216,'CIOG'!$B$10:$B$14,0))),"N/A")</f>
        <v/>
      </c>
      <c r="R216" s="53">
        <f>IFERROR(IF(INDEX('MRE'!$M$10:$M$18,MATCH($F216,'MRE'!$B$10:$B$18,0))="","Cell will autofill based on response",INDEX('MRE'!$M$10:$M$18,MATCH($F216,'MRE'!$B$10:$B$18,0))),"N/A")</f>
        <v/>
      </c>
      <c r="S216" s="53">
        <f>IFERROR(IF(INDEX('AC&amp;M'!$M$10:$M$14,MATCH($F216,'AC&amp;M'!$B$10:$B$14,0))="","Cell will autofill based on response",INDEX('AC&amp;M'!$M$10:$M$14,MATCH($F216,'AC&amp;M'!$B$10:$B$14,0))),"N/A")</f>
        <v/>
      </c>
      <c r="T216" s="53">
        <f>IFERROR(IF(INDEX('GCE'!$M$10:$M$12,MATCH($F216,'GCE'!$B$10:$B$12,0))="","Cell will autofill based on response",INDEX('GCE'!$M$10:$M$12,MATCH($F216,'GCE'!$B$10:$B$12,0))),"N/A")</f>
        <v/>
      </c>
      <c r="U216" s="53">
        <f>IFERROR(IF(INDEX('Education'!$M$10:$M$13,MATCH($F216,'Education'!$B$10:$B$13,0))="","Cell will autofill based on response",INDEX('Education'!$M$10:$M$13,MATCH($F216,'Education'!$B$10:$B$13,0))),"N/A")</f>
        <v/>
      </c>
      <c r="V216" s="53">
        <f>IFERROR(IF(INDEX('SaSS'!$M$10:$M$12,MATCH($F216,'SaSS'!$B$10:$B$12,0))="","Cell will autofill based on response",INDEX('SaSS'!$M$10:$M$12,MATCH($F216,'SaSS'!$B$10:$B$12,0))),"N/A")</f>
        <v/>
      </c>
      <c r="W216" s="53">
        <f>IFERROR(IF(INDEX('Indigenous'!$M$10:$M$11,MATCH($F216,'Indigenous'!$B$10:$B$11,0))="","Cell will autofill based on response",INDEX('Indigenous'!$M$10:$M$11,MATCH($F216,'Indigenous'!$B$10:$B$11,0))),"N/A")</f>
        <v/>
      </c>
      <c r="X216" s="53">
        <f>IFERROR(IF(INDEX('L&amp;R'!$M$10:$M$11,MATCH($F216,'L&amp;R'!$B$10:$B$11,0))="","Cell will autofill based on response",INDEX('L&amp;R'!$M$10:$M$11,MATCH($F216,'L&amp;R'!$B$10:$B$11,0))),"N/A")</f>
        <v/>
      </c>
    </row>
    <row r="217">
      <c r="A217">
        <f>F217&amp;"|"&amp;G217</f>
        <v/>
      </c>
      <c r="B217" s="13" t="inlineStr"/>
      <c r="C217" s="8" t="inlineStr"/>
      <c r="D217" s="8" t="inlineStr"/>
      <c r="E217" s="8" t="inlineStr"/>
      <c r="F217" s="8" t="inlineStr">
        <is>
          <t>EN1(a)</t>
        </is>
      </c>
      <c r="G217" s="8" t="inlineStr">
        <is>
          <t>OPTION 2:  Indicator level reporting</t>
        </is>
      </c>
      <c r="H217" s="53">
        <f>IFERROR(IF(INDEX('Faculties'!$N$10:$N$19,MATCH($F217,'Faculties'!$B$10:$B$19,0))="","Cell will autofill based on response",INDEX('Faculties'!$N$10:$N$19,MATCH($F217,'Faculties'!$B$10:$B$19,0))),"N/A")</f>
        <v/>
      </c>
      <c r="I217" s="53">
        <f>IFERROR(IF(INDEX('Faculties'!$N$26:$N$35,MATCH($F217,'Faculties'!$B$26:$B$35,0))="","Cell will autofill based on response",INDEX('Faculties'!$N$26:$N$35,MATCH($F217,'Faculties'!$B$26:$B$35,0))),"N/A")</f>
        <v/>
      </c>
      <c r="J217" s="53">
        <f>IFERROR(IF(INDEX('Faculties'!$N$42:$N$51,MATCH($F217,'Faculties'!$B$42:$B$51,0))="","Cell will autofill based on response",INDEX('Faculties'!$N$42:$N$51,MATCH($F217,'Faculties'!$B$42:$B$51,0))),"N/A")</f>
        <v/>
      </c>
      <c r="K217" s="53">
        <f>IFERROR(IF(INDEX('Faculties'!$N$58:$N$67,MATCH($F217,'Faculties'!$B$58:$B$67,0))="","Cell will autofill based on response",INDEX('Faculties'!$N$58:$N$67,MATCH($F217,'Faculties'!$B$58:$B$67,0))),"N/A")</f>
        <v/>
      </c>
      <c r="L217" s="53">
        <f>IFERROR(IF(INDEX('CI&amp;S'!$N$10:$N$15,MATCH($F217,'CI&amp;S'!$B$10:$B$15,0))="","Cell will autofill based on response",INDEX('CI&amp;S'!$N$10:$N$15,MATCH($F217,'CI&amp;S'!$B$10:$B$15,0))),"N/A")</f>
        <v/>
      </c>
      <c r="M217" s="53">
        <f>IFERROR(IF(INDEX('CI&amp;S'!$N$22:$N$36,MATCH($F217,'CI&amp;S'!$B$22:$B$36,0))="","Cell will autofill based on response",INDEX('CI&amp;S'!$N$22:$N$36,MATCH($F217,'CI&amp;S'!$B$22:$B$36,0))),"N/A")</f>
        <v/>
      </c>
      <c r="N217" s="53">
        <f>IFERROR(IF(INDEX('CFOG'!$N$10:$N$16,MATCH($F217,'CFOG'!$B$10:$B$16,0))="","Cell will autofill based on response",INDEX('CFOG'!$N$10:$N$16,MATCH($F217,'CFOG'!$B$10:$B$16,0))),"N/A")</f>
        <v/>
      </c>
      <c r="O217" s="53">
        <f>IFERROR(IF(INDEX('CFOG'!$N$23:$N$24,MATCH($F217,'CFOG'!$B$23:$B$24,0))="","Cell will autofill based on response",INDEX('CFOG'!$N$23:$N$24,MATCH($F217,'CFOG'!$B$23:$B$24,0))),"N/A")</f>
        <v/>
      </c>
      <c r="P217" s="53">
        <f>IFERROR(IF(INDEX('ESG'!$N$10:$N$17,MATCH($F217,'ESG'!$B$10:$B$17,0))="","Cell will autofill based on response",INDEX('ESG'!$N$10:$N$17,MATCH($F217,'ESG'!$B$10:$B$17,0))),"N/A")</f>
        <v/>
      </c>
      <c r="Q217" s="53">
        <f>IFERROR(IF(INDEX('CIOG'!$N$10:$N$14,MATCH($F217,'CIOG'!$B$10:$B$14,0))="","Cell will autofill based on response",INDEX('CIOG'!$N$10:$N$14,MATCH($F217,'CIOG'!$B$10:$B$14,0))),"N/A")</f>
        <v/>
      </c>
      <c r="R217" s="53">
        <f>IFERROR(IF(INDEX('MRE'!$N$10:$N$18,MATCH($F217,'MRE'!$B$10:$B$18,0))="","Cell will autofill based on response",INDEX('MRE'!$N$10:$N$18,MATCH($F217,'MRE'!$B$10:$B$18,0))),"N/A")</f>
        <v/>
      </c>
      <c r="S217" s="53">
        <f>IFERROR(IF(INDEX('AC&amp;M'!$N$10:$N$14,MATCH($F217,'AC&amp;M'!$B$10:$B$14,0))="","Cell will autofill based on response",INDEX('AC&amp;M'!$N$10:$N$14,MATCH($F217,'AC&amp;M'!$B$10:$B$14,0))),"N/A")</f>
        <v/>
      </c>
      <c r="T217" s="53">
        <f>IFERROR(IF(INDEX('GCE'!$N$10:$N$12,MATCH($F217,'GCE'!$B$10:$B$12,0))="","Cell will autofill based on response",INDEX('GCE'!$N$10:$N$12,MATCH($F217,'GCE'!$B$10:$B$12,0))),"N/A")</f>
        <v/>
      </c>
      <c r="U217" s="53">
        <f>IFERROR(IF(INDEX('Education'!$N$10:$N$13,MATCH($F217,'Education'!$B$10:$B$13,0))="","Cell will autofill based on response",INDEX('Education'!$N$10:$N$13,MATCH($F217,'Education'!$B$10:$B$13,0))),"N/A")</f>
        <v/>
      </c>
      <c r="V217" s="53">
        <f>IFERROR(IF(INDEX('SaSS'!$N$10:$N$12,MATCH($F217,'SaSS'!$B$10:$B$12,0))="","Cell will autofill based on response",INDEX('SaSS'!$N$10:$N$12,MATCH($F217,'SaSS'!$B$10:$B$12,0))),"N/A")</f>
        <v/>
      </c>
      <c r="W217" s="53">
        <f>IFERROR(IF(INDEX('Indigenous'!$N$10:$N$11,MATCH($F217,'Indigenous'!$B$10:$B$11,0))="","Cell will autofill based on response",INDEX('Indigenous'!$N$10:$N$11,MATCH($F217,'Indigenous'!$B$10:$B$11,0))),"N/A")</f>
        <v/>
      </c>
      <c r="X217" s="53">
        <f>IFERROR(IF(INDEX('L&amp;R'!$N$10:$N$11,MATCH($F217,'L&amp;R'!$B$10:$B$11,0))="","Cell will autofill based on response",INDEX('L&amp;R'!$N$10:$N$11,MATCH($F217,'L&amp;R'!$B$10:$B$11,0))),"N/A")</f>
        <v/>
      </c>
    </row>
    <row r="218">
      <c r="A218">
        <f>F218&amp;"|"&amp;G218</f>
        <v/>
      </c>
      <c r="B218" s="13" t="inlineStr"/>
      <c r="C218" s="8" t="inlineStr"/>
      <c r="D218" s="8" t="inlineStr"/>
      <c r="E218" s="8" t="inlineStr"/>
      <c r="F218" s="8" t="inlineStr">
        <is>
          <t>EN1(a)</t>
        </is>
      </c>
      <c r="G218" s="8" t="inlineStr">
        <is>
          <t>Supporting information/comments</t>
        </is>
      </c>
      <c r="H218" s="53">
        <f>IFERROR(IF(INDEX('Faculties'!$O$10:$O$19,MATCH($F218,'Faculties'!$B$10:$B$19,0))="","Cell will autofill based on response",INDEX('Faculties'!$O$10:$O$19,MATCH($F218,'Faculties'!$B$10:$B$19,0))),"N/A")</f>
        <v/>
      </c>
      <c r="I218" s="53">
        <f>IFERROR(IF(INDEX('Faculties'!$O$26:$O$35,MATCH($F218,'Faculties'!$B$26:$B$35,0))="","Cell will autofill based on response",INDEX('Faculties'!$O$26:$O$35,MATCH($F218,'Faculties'!$B$26:$B$35,0))),"N/A")</f>
        <v/>
      </c>
      <c r="J218" s="53">
        <f>IFERROR(IF(INDEX('Faculties'!$O$42:$O$51,MATCH($F218,'Faculties'!$B$42:$B$51,0))="","Cell will autofill based on response",INDEX('Faculties'!$O$42:$O$51,MATCH($F218,'Faculties'!$B$42:$B$51,0))),"N/A")</f>
        <v/>
      </c>
      <c r="K218" s="53">
        <f>IFERROR(IF(INDEX('Faculties'!$O$58:$O$67,MATCH($F218,'Faculties'!$B$58:$B$67,0))="","Cell will autofill based on response",INDEX('Faculties'!$O$58:$O$67,MATCH($F218,'Faculties'!$B$58:$B$67,0))),"N/A")</f>
        <v/>
      </c>
      <c r="L218" s="53">
        <f>IFERROR(IF(INDEX('CI&amp;S'!$O$10:$O$15,MATCH($F218,'CI&amp;S'!$B$10:$B$15,0))="","Cell will autofill based on response",INDEX('CI&amp;S'!$O$10:$O$15,MATCH($F218,'CI&amp;S'!$B$10:$B$15,0))),"N/A")</f>
        <v/>
      </c>
      <c r="M218" s="53">
        <f>IFERROR(IF(INDEX('CI&amp;S'!$O$22:$O$36,MATCH($F218,'CI&amp;S'!$B$22:$B$36,0))="","Cell will autofill based on response",INDEX('CI&amp;S'!$O$22:$O$36,MATCH($F218,'CI&amp;S'!$B$22:$B$36,0))),"N/A")</f>
        <v/>
      </c>
      <c r="N218" s="53">
        <f>IFERROR(IF(INDEX('CFOG'!$O$10:$O$16,MATCH($F218,'CFOG'!$B$10:$B$16,0))="","Cell will autofill based on response",INDEX('CFOG'!$O$10:$O$16,MATCH($F218,'CFOG'!$B$10:$B$16,0))),"N/A")</f>
        <v/>
      </c>
      <c r="O218" s="53">
        <f>IFERROR(IF(INDEX('CFOG'!$O$23:$O$24,MATCH($F218,'CFOG'!$B$23:$B$24,0))="","Cell will autofill based on response",INDEX('CFOG'!$O$23:$O$24,MATCH($F218,'CFOG'!$B$23:$B$24,0))),"N/A")</f>
        <v/>
      </c>
      <c r="P218" s="53">
        <f>IFERROR(IF(INDEX('ESG'!$O$10:$O$17,MATCH($F218,'ESG'!$B$10:$B$17,0))="","Cell will autofill based on response",INDEX('ESG'!$O$10:$O$17,MATCH($F218,'ESG'!$B$10:$B$17,0))),"N/A")</f>
        <v/>
      </c>
      <c r="Q218" s="53">
        <f>IFERROR(IF(INDEX('CIOG'!$O$10:$O$14,MATCH($F218,'CIOG'!$B$10:$B$14,0))="","Cell will autofill based on response",INDEX('CIOG'!$O$10:$O$14,MATCH($F218,'CIOG'!$B$10:$B$14,0))),"N/A")</f>
        <v/>
      </c>
      <c r="R218" s="53">
        <f>IFERROR(IF(INDEX('MRE'!$O$10:$O$18,MATCH($F218,'MRE'!$B$10:$B$18,0))="","Cell will autofill based on response",INDEX('MRE'!$O$10:$O$18,MATCH($F218,'MRE'!$B$10:$B$18,0))),"N/A")</f>
        <v/>
      </c>
      <c r="S218" s="53">
        <f>IFERROR(IF(INDEX('AC&amp;M'!$O$10:$O$14,MATCH($F218,'AC&amp;M'!$B$10:$B$14,0))="","Cell will autofill based on response",INDEX('AC&amp;M'!$O$10:$O$14,MATCH($F218,'AC&amp;M'!$B$10:$B$14,0))),"N/A")</f>
        <v/>
      </c>
      <c r="T218" s="53">
        <f>IFERROR(IF(INDEX('GCE'!$O$10:$O$12,MATCH($F218,'GCE'!$B$10:$B$12,0))="","Cell will autofill based on response",INDEX('GCE'!$O$10:$O$12,MATCH($F218,'GCE'!$B$10:$B$12,0))),"N/A")</f>
        <v/>
      </c>
      <c r="U218" s="53">
        <f>IFERROR(IF(INDEX('Education'!$O$10:$O$13,MATCH($F218,'Education'!$B$10:$B$13,0))="","Cell will autofill based on response",INDEX('Education'!$O$10:$O$13,MATCH($F218,'Education'!$B$10:$B$13,0))),"N/A")</f>
        <v/>
      </c>
      <c r="V218" s="53">
        <f>IFERROR(IF(INDEX('SaSS'!$O$10:$O$12,MATCH($F218,'SaSS'!$B$10:$B$12,0))="","Cell will autofill based on response",INDEX('SaSS'!$O$10:$O$12,MATCH($F218,'SaSS'!$B$10:$B$12,0))),"N/A")</f>
        <v/>
      </c>
      <c r="W218" s="53">
        <f>IFERROR(IF(INDEX('Indigenous'!$O$10:$O$11,MATCH($F218,'Indigenous'!$B$10:$B$11,0))="","Cell will autofill based on response",INDEX('Indigenous'!$O$10:$O$11,MATCH($F218,'Indigenous'!$B$10:$B$11,0))),"N/A")</f>
        <v/>
      </c>
      <c r="X218" s="53">
        <f>IFERROR(IF(INDEX('L&amp;R'!$O$10:$O$11,MATCH($F218,'L&amp;R'!$B$10:$B$11,0))="","Cell will autofill based on response",INDEX('L&amp;R'!$O$10:$O$11,MATCH($F218,'L&amp;R'!$B$10:$B$11,0))),"N/A")</f>
        <v/>
      </c>
    </row>
    <row r="219">
      <c r="A219">
        <f>F219&amp;"|"&amp;G219</f>
        <v/>
      </c>
      <c r="B219" s="13" t="inlineStr"/>
      <c r="C219" s="8" t="inlineStr"/>
      <c r="D219" s="8" t="inlineStr"/>
      <c r="E219" s="8" t="inlineStr"/>
      <c r="F219" s="8" t="inlineStr">
        <is>
          <t>EN1(a)</t>
        </is>
      </c>
      <c r="G219" s="8" t="inlineStr">
        <is>
          <t>Data source and limitations</t>
        </is>
      </c>
      <c r="H219" s="53">
        <f>IFERROR(IF(INDEX('Faculties'!$P$10:$P$19,MATCH($F219,'Faculties'!$B$10:$B$19,0))="","Cell will autofill based on response",INDEX('Faculties'!$P$10:$P$19,MATCH($F219,'Faculties'!$B$10:$B$19,0))),"N/A")</f>
        <v/>
      </c>
      <c r="I219" s="53">
        <f>IFERROR(IF(INDEX('Faculties'!$P$26:$P$35,MATCH($F219,'Faculties'!$B$26:$B$35,0))="","Cell will autofill based on response",INDEX('Faculties'!$P$26:$P$35,MATCH($F219,'Faculties'!$B$26:$B$35,0))),"N/A")</f>
        <v/>
      </c>
      <c r="J219" s="53">
        <f>IFERROR(IF(INDEX('Faculties'!$P$42:$P$51,MATCH($F219,'Faculties'!$B$42:$B$51,0))="","Cell will autofill based on response",INDEX('Faculties'!$P$42:$P$51,MATCH($F219,'Faculties'!$B$42:$B$51,0))),"N/A")</f>
        <v/>
      </c>
      <c r="K219" s="53">
        <f>IFERROR(IF(INDEX('Faculties'!$P$58:$P$67,MATCH($F219,'Faculties'!$B$58:$B$67,0))="","Cell will autofill based on response",INDEX('Faculties'!$P$58:$P$67,MATCH($F219,'Faculties'!$B$58:$B$67,0))),"N/A")</f>
        <v/>
      </c>
      <c r="L219" s="53">
        <f>IFERROR(IF(INDEX('CI&amp;S'!$P$10:$P$15,MATCH($F219,'CI&amp;S'!$B$10:$B$15,0))="","Cell will autofill based on response",INDEX('CI&amp;S'!$P$10:$P$15,MATCH($F219,'CI&amp;S'!$B$10:$B$15,0))),"N/A")</f>
        <v/>
      </c>
      <c r="M219" s="53">
        <f>IFERROR(IF(INDEX('CI&amp;S'!$P$22:$P$36,MATCH($F219,'CI&amp;S'!$B$22:$B$36,0))="","Cell will autofill based on response",INDEX('CI&amp;S'!$P$22:$P$36,MATCH($F219,'CI&amp;S'!$B$22:$B$36,0))),"N/A")</f>
        <v/>
      </c>
      <c r="N219" s="53">
        <f>IFERROR(IF(INDEX('CFOG'!$P$10:$P$16,MATCH($F219,'CFOG'!$B$10:$B$16,0))="","Cell will autofill based on response",INDEX('CFOG'!$P$10:$P$16,MATCH($F219,'CFOG'!$B$10:$B$16,0))),"N/A")</f>
        <v/>
      </c>
      <c r="O219" s="53">
        <f>IFERROR(IF(INDEX('CFOG'!$P$23:$P$24,MATCH($F219,'CFOG'!$B$23:$B$24,0))="","Cell will autofill based on response",INDEX('CFOG'!$P$23:$P$24,MATCH($F219,'CFOG'!$B$23:$B$24,0))),"N/A")</f>
        <v/>
      </c>
      <c r="P219" s="53">
        <f>IFERROR(IF(INDEX('ESG'!$P$10:$P$17,MATCH($F219,'ESG'!$B$10:$B$17,0))="","Cell will autofill based on response",INDEX('ESG'!$P$10:$P$17,MATCH($F219,'ESG'!$B$10:$B$17,0))),"N/A")</f>
        <v/>
      </c>
      <c r="Q219" s="53">
        <f>IFERROR(IF(INDEX('CIOG'!$P$10:$P$14,MATCH($F219,'CIOG'!$B$10:$B$14,0))="","Cell will autofill based on response",INDEX('CIOG'!$P$10:$P$14,MATCH($F219,'CIOG'!$B$10:$B$14,0))),"N/A")</f>
        <v/>
      </c>
      <c r="R219" s="53">
        <f>IFERROR(IF(INDEX('MRE'!$P$10:$P$18,MATCH($F219,'MRE'!$B$10:$B$18,0))="","Cell will autofill based on response",INDEX('MRE'!$P$10:$P$18,MATCH($F219,'MRE'!$B$10:$B$18,0))),"N/A")</f>
        <v/>
      </c>
      <c r="S219" s="53">
        <f>IFERROR(IF(INDEX('AC&amp;M'!$P$10:$P$14,MATCH($F219,'AC&amp;M'!$B$10:$B$14,0))="","Cell will autofill based on response",INDEX('AC&amp;M'!$P$10:$P$14,MATCH($F219,'AC&amp;M'!$B$10:$B$14,0))),"N/A")</f>
        <v/>
      </c>
      <c r="T219" s="53">
        <f>IFERROR(IF(INDEX('GCE'!$P$10:$P$12,MATCH($F219,'GCE'!$B$10:$B$12,0))="","Cell will autofill based on response",INDEX('GCE'!$P$10:$P$12,MATCH($F219,'GCE'!$B$10:$B$12,0))),"N/A")</f>
        <v/>
      </c>
      <c r="U219" s="53">
        <f>IFERROR(IF(INDEX('Education'!$P$10:$P$13,MATCH($F219,'Education'!$B$10:$B$13,0))="","Cell will autofill based on response",INDEX('Education'!$P$10:$P$13,MATCH($F219,'Education'!$B$10:$B$13,0))),"N/A")</f>
        <v/>
      </c>
      <c r="V219" s="53">
        <f>IFERROR(IF(INDEX('SaSS'!$P$10:$P$12,MATCH($F219,'SaSS'!$B$10:$B$12,0))="","Cell will autofill based on response",INDEX('SaSS'!$P$10:$P$12,MATCH($F219,'SaSS'!$B$10:$B$12,0))),"N/A")</f>
        <v/>
      </c>
      <c r="W219" s="53">
        <f>IFERROR(IF(INDEX('Indigenous'!$P$10:$P$11,MATCH($F219,'Indigenous'!$B$10:$B$11,0))="","Cell will autofill based on response",INDEX('Indigenous'!$P$10:$P$11,MATCH($F219,'Indigenous'!$B$10:$B$11,0))),"N/A")</f>
        <v/>
      </c>
      <c r="X219" s="53">
        <f>IFERROR(IF(INDEX('L&amp;R'!$P$10:$P$11,MATCH($F219,'L&amp;R'!$B$10:$B$11,0))="","Cell will autofill based on response",INDEX('L&amp;R'!$P$10:$P$11,MATCH($F219,'L&amp;R'!$B$10:$B$11,0))),"N/A")</f>
        <v/>
      </c>
    </row>
    <row r="220">
      <c r="A220">
        <f>F220&amp;"|"&amp;G220</f>
        <v/>
      </c>
      <c r="B220" s="13" t="inlineStr"/>
      <c r="C220" s="8" t="inlineStr"/>
      <c r="D220" s="8" t="inlineStr"/>
      <c r="E220" s="8" t="inlineStr"/>
      <c r="F220" s="8" t="inlineStr">
        <is>
          <t>EN1(a)</t>
        </is>
      </c>
      <c r="G220" s="8" t="inlineStr">
        <is>
          <t>Data owner confirms</t>
        </is>
      </c>
      <c r="H220" s="53">
        <f>IFERROR(IF(INDEX('Faculties'!$Q$10:$Q$19,MATCH($F220,'Faculties'!$B$10:$B$19,0))="","Cell will autofill based on response",INDEX('Faculties'!$Q$10:$Q$19,MATCH($F220,'Faculties'!$B$10:$B$19,0))),"N/A")</f>
        <v/>
      </c>
      <c r="I220" s="53">
        <f>IFERROR(IF(INDEX('Faculties'!$Q$26:$Q$35,MATCH($F220,'Faculties'!$B$26:$B$35,0))="","Cell will autofill based on response",INDEX('Faculties'!$Q$26:$Q$35,MATCH($F220,'Faculties'!$B$26:$B$35,0))),"N/A")</f>
        <v/>
      </c>
      <c r="J220" s="53">
        <f>IFERROR(IF(INDEX('Faculties'!$Q$42:$Q$51,MATCH($F220,'Faculties'!$B$42:$B$51,0))="","Cell will autofill based on response",INDEX('Faculties'!$Q$42:$Q$51,MATCH($F220,'Faculties'!$B$42:$B$51,0))),"N/A")</f>
        <v/>
      </c>
      <c r="K220" s="53">
        <f>IFERROR(IF(INDEX('Faculties'!$Q$58:$Q$67,MATCH($F220,'Faculties'!$B$58:$B$67,0))="","Cell will autofill based on response",INDEX('Faculties'!$Q$58:$Q$67,MATCH($F220,'Faculties'!$B$58:$B$67,0))),"N/A")</f>
        <v/>
      </c>
      <c r="L220" s="53">
        <f>IFERROR(IF(INDEX('CI&amp;S'!$Q$10:$Q$15,MATCH($F220,'CI&amp;S'!$B$10:$B$15,0))="","Cell will autofill based on response",INDEX('CI&amp;S'!$Q$10:$Q$15,MATCH($F220,'CI&amp;S'!$B$10:$B$15,0))),"N/A")</f>
        <v/>
      </c>
      <c r="M220" s="53">
        <f>IFERROR(IF(INDEX('CI&amp;S'!$Q$22:$Q$36,MATCH($F220,'CI&amp;S'!$B$22:$B$36,0))="","Cell will autofill based on response",INDEX('CI&amp;S'!$Q$22:$Q$36,MATCH($F220,'CI&amp;S'!$B$22:$B$36,0))),"N/A")</f>
        <v/>
      </c>
      <c r="N220" s="53">
        <f>IFERROR(IF(INDEX('CFOG'!$Q$10:$Q$16,MATCH($F220,'CFOG'!$B$10:$B$16,0))="","Cell will autofill based on response",INDEX('CFOG'!$Q$10:$Q$16,MATCH($F220,'CFOG'!$B$10:$B$16,0))),"N/A")</f>
        <v/>
      </c>
      <c r="O220" s="53">
        <f>IFERROR(IF(INDEX('CFOG'!$Q$23:$Q$24,MATCH($F220,'CFOG'!$B$23:$B$24,0))="","Cell will autofill based on response",INDEX('CFOG'!$Q$23:$Q$24,MATCH($F220,'CFOG'!$B$23:$B$24,0))),"N/A")</f>
        <v/>
      </c>
      <c r="P220" s="53">
        <f>IFERROR(IF(INDEX('ESG'!$Q$10:$Q$17,MATCH($F220,'ESG'!$B$10:$B$17,0))="","Cell will autofill based on response",INDEX('ESG'!$Q$10:$Q$17,MATCH($F220,'ESG'!$B$10:$B$17,0))),"N/A")</f>
        <v/>
      </c>
      <c r="Q220" s="53">
        <f>IFERROR(IF(INDEX('CIOG'!$Q$10:$Q$14,MATCH($F220,'CIOG'!$B$10:$B$14,0))="","Cell will autofill based on response",INDEX('CIOG'!$Q$10:$Q$14,MATCH($F220,'CIOG'!$B$10:$B$14,0))),"N/A")</f>
        <v/>
      </c>
      <c r="R220" s="53">
        <f>IFERROR(IF(INDEX('MRE'!$Q$10:$Q$18,MATCH($F220,'MRE'!$B$10:$B$18,0))="","Cell will autofill based on response",INDEX('MRE'!$Q$10:$Q$18,MATCH($F220,'MRE'!$B$10:$B$18,0))),"N/A")</f>
        <v/>
      </c>
      <c r="S220" s="53">
        <f>IFERROR(IF(INDEX('AC&amp;M'!$Q$10:$Q$14,MATCH($F220,'AC&amp;M'!$B$10:$B$14,0))="","Cell will autofill based on response",INDEX('AC&amp;M'!$Q$10:$Q$14,MATCH($F220,'AC&amp;M'!$B$10:$B$14,0))),"N/A")</f>
        <v/>
      </c>
      <c r="T220" s="53">
        <f>IFERROR(IF(INDEX('GCE'!$Q$10:$Q$12,MATCH($F220,'GCE'!$B$10:$B$12,0))="","Cell will autofill based on response",INDEX('GCE'!$Q$10:$Q$12,MATCH($F220,'GCE'!$B$10:$B$12,0))),"N/A")</f>
        <v/>
      </c>
      <c r="U220" s="53">
        <f>IFERROR(IF(INDEX('Education'!$Q$10:$Q$13,MATCH($F220,'Education'!$B$10:$B$13,0))="","Cell will autofill based on response",INDEX('Education'!$Q$10:$Q$13,MATCH($F220,'Education'!$B$10:$B$13,0))),"N/A")</f>
        <v/>
      </c>
      <c r="V220" s="53">
        <f>IFERROR(IF(INDEX('SaSS'!$Q$10:$Q$12,MATCH($F220,'SaSS'!$B$10:$B$12,0))="","Cell will autofill based on response",INDEX('SaSS'!$Q$10:$Q$12,MATCH($F220,'SaSS'!$B$10:$B$12,0))),"N/A")</f>
        <v/>
      </c>
      <c r="W220" s="53">
        <f>IFERROR(IF(INDEX('Indigenous'!$Q$10:$Q$11,MATCH($F220,'Indigenous'!$B$10:$B$11,0))="","Cell will autofill based on response",INDEX('Indigenous'!$Q$10:$Q$11,MATCH($F220,'Indigenous'!$B$10:$B$11,0))),"N/A")</f>
        <v/>
      </c>
      <c r="X220" s="53">
        <f>IFERROR(IF(INDEX('L&amp;R'!$Q$10:$Q$11,MATCH($F220,'L&amp;R'!$B$10:$B$11,0))="","Cell will autofill based on response",INDEX('L&amp;R'!$Q$10:$Q$11,MATCH($F220,'L&amp;R'!$B$10:$B$11,0))),"N/A")</f>
        <v/>
      </c>
    </row>
    <row r="221">
      <c r="A221">
        <f>F221&amp;"|"&amp;G221</f>
        <v/>
      </c>
      <c r="B221" s="7" t="inlineStr">
        <is>
          <t>EN1(b)</t>
        </is>
      </c>
      <c r="C221" s="51" t="inlineStr">
        <is>
          <t>Enablers</t>
        </is>
      </c>
      <c r="D221" s="51" t="inlineStr">
        <is>
          <t>Living laboratories enabling applied learning, research and operational sustainability outcomes</t>
        </is>
      </c>
      <c r="E221" s="51" t="inlineStr">
        <is>
          <t>Comment on living labs in the Faculty - outputs, outcomes, and impact</t>
        </is>
      </c>
      <c r="F221" s="51" t="inlineStr">
        <is>
          <t>EN1(b)</t>
        </is>
      </c>
      <c r="G221" s="51" t="inlineStr">
        <is>
          <t>Confirm end-2026 target status</t>
        </is>
      </c>
      <c r="H221" s="53">
        <f>IFERROR(IF(INDEX('Faculties'!$L$10:$L$19,MATCH($F221,'Faculties'!$B$10:$B$19,0))="","Cell will autofill based on response",INDEX('Faculties'!$L$10:$L$19,MATCH($F221,'Faculties'!$B$10:$B$19,0))),"N/A")</f>
        <v/>
      </c>
      <c r="I221" s="53">
        <f>IFERROR(IF(INDEX('Faculties'!$L$26:$L$35,MATCH($F221,'Faculties'!$B$26:$B$35,0))="","Cell will autofill based on response",INDEX('Faculties'!$L$26:$L$35,MATCH($F221,'Faculties'!$B$26:$B$35,0))),"N/A")</f>
        <v/>
      </c>
      <c r="J221" s="53">
        <f>IFERROR(IF(INDEX('Faculties'!$L$42:$L$51,MATCH($F221,'Faculties'!$B$42:$B$51,0))="","Cell will autofill based on response",INDEX('Faculties'!$L$42:$L$51,MATCH($F221,'Faculties'!$B$42:$B$51,0))),"N/A")</f>
        <v/>
      </c>
      <c r="K221" s="53">
        <f>IFERROR(IF(INDEX('Faculties'!$L$58:$L$67,MATCH($F221,'Faculties'!$B$58:$B$67,0))="","Cell will autofill based on response",INDEX('Faculties'!$L$58:$L$67,MATCH($F221,'Faculties'!$B$58:$B$67,0))),"N/A")</f>
        <v/>
      </c>
      <c r="L221" s="53">
        <f>IFERROR(IF(INDEX('CI&amp;S'!$L$10:$L$15,MATCH($F221,'CI&amp;S'!$B$10:$B$15,0))="","Cell will autofill based on response",INDEX('CI&amp;S'!$L$10:$L$15,MATCH($F221,'CI&amp;S'!$B$10:$B$15,0))),"N/A")</f>
        <v/>
      </c>
      <c r="M221" s="53">
        <f>IFERROR(IF(INDEX('CI&amp;S'!$L$22:$L$36,MATCH($F221,'CI&amp;S'!$B$22:$B$36,0))="","Cell will autofill based on response",INDEX('CI&amp;S'!$L$22:$L$36,MATCH($F221,'CI&amp;S'!$B$22:$B$36,0))),"N/A")</f>
        <v/>
      </c>
      <c r="N221" s="53">
        <f>IFERROR(IF(INDEX('CFOG'!$L$10:$L$16,MATCH($F221,'CFOG'!$B$10:$B$16,0))="","Cell will autofill based on response",INDEX('CFOG'!$L$10:$L$16,MATCH($F221,'CFOG'!$B$10:$B$16,0))),"N/A")</f>
        <v/>
      </c>
      <c r="O221" s="53">
        <f>IFERROR(IF(INDEX('CFOG'!$L$23:$L$24,MATCH($F221,'CFOG'!$B$23:$B$24,0))="","Cell will autofill based on response",INDEX('CFOG'!$L$23:$L$24,MATCH($F221,'CFOG'!$B$23:$B$24,0))),"N/A")</f>
        <v/>
      </c>
      <c r="P221" s="53">
        <f>IFERROR(IF(INDEX('ESG'!$L$10:$L$17,MATCH($F221,'ESG'!$B$10:$B$17,0))="","Cell will autofill based on response",INDEX('ESG'!$L$10:$L$17,MATCH($F221,'ESG'!$B$10:$B$17,0))),"N/A")</f>
        <v/>
      </c>
      <c r="Q221" s="53">
        <f>IFERROR(IF(INDEX('CIOG'!$L$10:$L$14,MATCH($F221,'CIOG'!$B$10:$B$14,0))="","Cell will autofill based on response",INDEX('CIOG'!$L$10:$L$14,MATCH($F221,'CIOG'!$B$10:$B$14,0))),"N/A")</f>
        <v/>
      </c>
      <c r="R221" s="53">
        <f>IFERROR(IF(INDEX('MRE'!$L$10:$L$18,MATCH($F221,'MRE'!$B$10:$B$18,0))="","Cell will autofill based on response",INDEX('MRE'!$L$10:$L$18,MATCH($F221,'MRE'!$B$10:$B$18,0))),"N/A")</f>
        <v/>
      </c>
      <c r="S221" s="53">
        <f>IFERROR(IF(INDEX('AC&amp;M'!$L$10:$L$14,MATCH($F221,'AC&amp;M'!$B$10:$B$14,0))="","Cell will autofill based on response",INDEX('AC&amp;M'!$L$10:$L$14,MATCH($F221,'AC&amp;M'!$B$10:$B$14,0))),"N/A")</f>
        <v/>
      </c>
      <c r="T221" s="53">
        <f>IFERROR(IF(INDEX('GCE'!$L$10:$L$12,MATCH($F221,'GCE'!$B$10:$B$12,0))="","Cell will autofill based on response",INDEX('GCE'!$L$10:$L$12,MATCH($F221,'GCE'!$B$10:$B$12,0))),"N/A")</f>
        <v/>
      </c>
      <c r="U221" s="53">
        <f>IFERROR(IF(INDEX('Education'!$L$10:$L$13,MATCH($F221,'Education'!$B$10:$B$13,0))="","Cell will autofill based on response",INDEX('Education'!$L$10:$L$13,MATCH($F221,'Education'!$B$10:$B$13,0))),"N/A")</f>
        <v/>
      </c>
      <c r="V221" s="53">
        <f>IFERROR(IF(INDEX('SaSS'!$L$10:$L$12,MATCH($F221,'SaSS'!$B$10:$B$12,0))="","Cell will autofill based on response",INDEX('SaSS'!$L$10:$L$12,MATCH($F221,'SaSS'!$B$10:$B$12,0))),"N/A")</f>
        <v/>
      </c>
      <c r="W221" s="53">
        <f>IFERROR(IF(INDEX('Indigenous'!$L$10:$L$11,MATCH($F221,'Indigenous'!$B$10:$B$11,0))="","Cell will autofill based on response",INDEX('Indigenous'!$L$10:$L$11,MATCH($F221,'Indigenous'!$B$10:$B$11,0))),"N/A")</f>
        <v/>
      </c>
      <c r="X221" s="53">
        <f>IFERROR(IF(INDEX('L&amp;R'!$L$10:$L$11,MATCH($F221,'L&amp;R'!$B$10:$B$11,0))="","Cell will autofill based on response",INDEX('L&amp;R'!$L$10:$L$11,MATCH($F221,'L&amp;R'!$B$10:$B$11,0))),"N/A")</f>
        <v/>
      </c>
      <c r="Z221" s="10">
        <f>COUNTIF($H221:$X221,"Cell will autofill based on response")</f>
        <v/>
      </c>
      <c r="AA221" s="10">
        <f>COUNTIF($H221:$X221,"Not yet started")</f>
        <v/>
      </c>
      <c r="AB221" s="10">
        <f>COUNTIF($H221:$X221,"Not met")</f>
        <v/>
      </c>
      <c r="AC221" s="10">
        <f>COUNTIF($H221:$X221,"Partially met")</f>
        <v/>
      </c>
      <c r="AD221" s="10">
        <f>COUNTIF($H221:$X221,"Met or exceeded")</f>
        <v/>
      </c>
      <c r="AE221" s="10">
        <f>3*AD221+2*AC221+AB221</f>
        <v/>
      </c>
      <c r="AF221" s="10">
        <f>AD221+AC221+AB221+AA221</f>
        <v/>
      </c>
      <c r="AG221" s="54">
        <f>IF(AF221&gt;0,AE221/AF221,"No valid responses to date")</f>
        <v/>
      </c>
      <c r="AH221" s="10">
        <f>IF(ISNUMBER(AG221),INDEX(Lists!$G$2:$G$5,MATCH(ROUND(AG221,0),Lists!$H$2:$H$5,0)),"")</f>
        <v/>
      </c>
      <c r="AI221" s="55">
        <f>IF(AF221&gt;0,AD221/AF221,"")</f>
        <v/>
      </c>
      <c r="AJ221" s="55">
        <f>IF(AF221&gt;0,(AD221+AC221)/AF221,"")</f>
        <v/>
      </c>
      <c r="AK221" s="10">
        <f>IF(AF221=0,"",IF(AI221&gt;0.75,"Met or exceeded",IF(AJ221&gt;=0.5,"Partially met","Not met")))</f>
        <v/>
      </c>
    </row>
    <row r="222">
      <c r="A222">
        <f>F222&amp;"|"&amp;G222</f>
        <v/>
      </c>
      <c r="B222" s="13" t="inlineStr"/>
      <c r="C222" s="8" t="inlineStr"/>
      <c r="D222" s="8" t="inlineStr"/>
      <c r="E222" s="8" t="inlineStr"/>
      <c r="F222" s="8" t="inlineStr">
        <is>
          <t>EN1(b)</t>
        </is>
      </c>
      <c r="G222" s="8" t="inlineStr">
        <is>
          <t>OPTION 1:  Target-level reporting</t>
        </is>
      </c>
      <c r="H222" s="53">
        <f>IFERROR(IF(INDEX('Faculties'!$M$10:$M$19,MATCH($F222,'Faculties'!$B$10:$B$19,0))="","Cell will autofill based on response",INDEX('Faculties'!$M$10:$M$19,MATCH($F222,'Faculties'!$B$10:$B$19,0))),"N/A")</f>
        <v/>
      </c>
      <c r="I222" s="53">
        <f>IFERROR(IF(INDEX('Faculties'!$M$26:$M$35,MATCH($F222,'Faculties'!$B$26:$B$35,0))="","Cell will autofill based on response",INDEX('Faculties'!$M$26:$M$35,MATCH($F222,'Faculties'!$B$26:$B$35,0))),"N/A")</f>
        <v/>
      </c>
      <c r="J222" s="53">
        <f>IFERROR(IF(INDEX('Faculties'!$M$42:$M$51,MATCH($F222,'Faculties'!$B$42:$B$51,0))="","Cell will autofill based on response",INDEX('Faculties'!$M$42:$M$51,MATCH($F222,'Faculties'!$B$42:$B$51,0))),"N/A")</f>
        <v/>
      </c>
      <c r="K222" s="53">
        <f>IFERROR(IF(INDEX('Faculties'!$M$58:$M$67,MATCH($F222,'Faculties'!$B$58:$B$67,0))="","Cell will autofill based on response",INDEX('Faculties'!$M$58:$M$67,MATCH($F222,'Faculties'!$B$58:$B$67,0))),"N/A")</f>
        <v/>
      </c>
      <c r="L222" s="53">
        <f>IFERROR(IF(INDEX('CI&amp;S'!$M$10:$M$15,MATCH($F222,'CI&amp;S'!$B$10:$B$15,0))="","Cell will autofill based on response",INDEX('CI&amp;S'!$M$10:$M$15,MATCH($F222,'CI&amp;S'!$B$10:$B$15,0))),"N/A")</f>
        <v/>
      </c>
      <c r="M222" s="53">
        <f>IFERROR(IF(INDEX('CI&amp;S'!$M$22:$M$36,MATCH($F222,'CI&amp;S'!$B$22:$B$36,0))="","Cell will autofill based on response",INDEX('CI&amp;S'!$M$22:$M$36,MATCH($F222,'CI&amp;S'!$B$22:$B$36,0))),"N/A")</f>
        <v/>
      </c>
      <c r="N222" s="53">
        <f>IFERROR(IF(INDEX('CFOG'!$M$10:$M$16,MATCH($F222,'CFOG'!$B$10:$B$16,0))="","Cell will autofill based on response",INDEX('CFOG'!$M$10:$M$16,MATCH($F222,'CFOG'!$B$10:$B$16,0))),"N/A")</f>
        <v/>
      </c>
      <c r="O222" s="53">
        <f>IFERROR(IF(INDEX('CFOG'!$M$23:$M$24,MATCH($F222,'CFOG'!$B$23:$B$24,0))="","Cell will autofill based on response",INDEX('CFOG'!$M$23:$M$24,MATCH($F222,'CFOG'!$B$23:$B$24,0))),"N/A")</f>
        <v/>
      </c>
      <c r="P222" s="53">
        <f>IFERROR(IF(INDEX('ESG'!$M$10:$M$17,MATCH($F222,'ESG'!$B$10:$B$17,0))="","Cell will autofill based on response",INDEX('ESG'!$M$10:$M$17,MATCH($F222,'ESG'!$B$10:$B$17,0))),"N/A")</f>
        <v/>
      </c>
      <c r="Q222" s="53">
        <f>IFERROR(IF(INDEX('CIOG'!$M$10:$M$14,MATCH($F222,'CIOG'!$B$10:$B$14,0))="","Cell will autofill based on response",INDEX('CIOG'!$M$10:$M$14,MATCH($F222,'CIOG'!$B$10:$B$14,0))),"N/A")</f>
        <v/>
      </c>
      <c r="R222" s="53">
        <f>IFERROR(IF(INDEX('MRE'!$M$10:$M$18,MATCH($F222,'MRE'!$B$10:$B$18,0))="","Cell will autofill based on response",INDEX('MRE'!$M$10:$M$18,MATCH($F222,'MRE'!$B$10:$B$18,0))),"N/A")</f>
        <v/>
      </c>
      <c r="S222" s="53">
        <f>IFERROR(IF(INDEX('AC&amp;M'!$M$10:$M$14,MATCH($F222,'AC&amp;M'!$B$10:$B$14,0))="","Cell will autofill based on response",INDEX('AC&amp;M'!$M$10:$M$14,MATCH($F222,'AC&amp;M'!$B$10:$B$14,0))),"N/A")</f>
        <v/>
      </c>
      <c r="T222" s="53">
        <f>IFERROR(IF(INDEX('GCE'!$M$10:$M$12,MATCH($F222,'GCE'!$B$10:$B$12,0))="","Cell will autofill based on response",INDEX('GCE'!$M$10:$M$12,MATCH($F222,'GCE'!$B$10:$B$12,0))),"N/A")</f>
        <v/>
      </c>
      <c r="U222" s="53">
        <f>IFERROR(IF(INDEX('Education'!$M$10:$M$13,MATCH($F222,'Education'!$B$10:$B$13,0))="","Cell will autofill based on response",INDEX('Education'!$M$10:$M$13,MATCH($F222,'Education'!$B$10:$B$13,0))),"N/A")</f>
        <v/>
      </c>
      <c r="V222" s="53">
        <f>IFERROR(IF(INDEX('SaSS'!$M$10:$M$12,MATCH($F222,'SaSS'!$B$10:$B$12,0))="","Cell will autofill based on response",INDEX('SaSS'!$M$10:$M$12,MATCH($F222,'SaSS'!$B$10:$B$12,0))),"N/A")</f>
        <v/>
      </c>
      <c r="W222" s="53">
        <f>IFERROR(IF(INDEX('Indigenous'!$M$10:$M$11,MATCH($F222,'Indigenous'!$B$10:$B$11,0))="","Cell will autofill based on response",INDEX('Indigenous'!$M$10:$M$11,MATCH($F222,'Indigenous'!$B$10:$B$11,0))),"N/A")</f>
        <v/>
      </c>
      <c r="X222" s="53">
        <f>IFERROR(IF(INDEX('L&amp;R'!$M$10:$M$11,MATCH($F222,'L&amp;R'!$B$10:$B$11,0))="","Cell will autofill based on response",INDEX('L&amp;R'!$M$10:$M$11,MATCH($F222,'L&amp;R'!$B$10:$B$11,0))),"N/A")</f>
        <v/>
      </c>
    </row>
    <row r="223">
      <c r="A223">
        <f>F223&amp;"|"&amp;G223</f>
        <v/>
      </c>
      <c r="B223" s="13" t="inlineStr"/>
      <c r="C223" s="8" t="inlineStr"/>
      <c r="D223" s="8" t="inlineStr"/>
      <c r="E223" s="8" t="inlineStr"/>
      <c r="F223" s="8" t="inlineStr">
        <is>
          <t>EN1(b)</t>
        </is>
      </c>
      <c r="G223" s="8" t="inlineStr">
        <is>
          <t>OPTION 2:  Indicator level reporting</t>
        </is>
      </c>
      <c r="H223" s="53">
        <f>IFERROR(IF(INDEX('Faculties'!$N$10:$N$19,MATCH($F223,'Faculties'!$B$10:$B$19,0))="","Cell will autofill based on response",INDEX('Faculties'!$N$10:$N$19,MATCH($F223,'Faculties'!$B$10:$B$19,0))),"N/A")</f>
        <v/>
      </c>
      <c r="I223" s="53">
        <f>IFERROR(IF(INDEX('Faculties'!$N$26:$N$35,MATCH($F223,'Faculties'!$B$26:$B$35,0))="","Cell will autofill based on response",INDEX('Faculties'!$N$26:$N$35,MATCH($F223,'Faculties'!$B$26:$B$35,0))),"N/A")</f>
        <v/>
      </c>
      <c r="J223" s="53">
        <f>IFERROR(IF(INDEX('Faculties'!$N$42:$N$51,MATCH($F223,'Faculties'!$B$42:$B$51,0))="","Cell will autofill based on response",INDEX('Faculties'!$N$42:$N$51,MATCH($F223,'Faculties'!$B$42:$B$51,0))),"N/A")</f>
        <v/>
      </c>
      <c r="K223" s="53">
        <f>IFERROR(IF(INDEX('Faculties'!$N$58:$N$67,MATCH($F223,'Faculties'!$B$58:$B$67,0))="","Cell will autofill based on response",INDEX('Faculties'!$N$58:$N$67,MATCH($F223,'Faculties'!$B$58:$B$67,0))),"N/A")</f>
        <v/>
      </c>
      <c r="L223" s="53">
        <f>IFERROR(IF(INDEX('CI&amp;S'!$N$10:$N$15,MATCH($F223,'CI&amp;S'!$B$10:$B$15,0))="","Cell will autofill based on response",INDEX('CI&amp;S'!$N$10:$N$15,MATCH($F223,'CI&amp;S'!$B$10:$B$15,0))),"N/A")</f>
        <v/>
      </c>
      <c r="M223" s="53">
        <f>IFERROR(IF(INDEX('CI&amp;S'!$N$22:$N$36,MATCH($F223,'CI&amp;S'!$B$22:$B$36,0))="","Cell will autofill based on response",INDEX('CI&amp;S'!$N$22:$N$36,MATCH($F223,'CI&amp;S'!$B$22:$B$36,0))),"N/A")</f>
        <v/>
      </c>
      <c r="N223" s="53">
        <f>IFERROR(IF(INDEX('CFOG'!$N$10:$N$16,MATCH($F223,'CFOG'!$B$10:$B$16,0))="","Cell will autofill based on response",INDEX('CFOG'!$N$10:$N$16,MATCH($F223,'CFOG'!$B$10:$B$16,0))),"N/A")</f>
        <v/>
      </c>
      <c r="O223" s="53">
        <f>IFERROR(IF(INDEX('CFOG'!$N$23:$N$24,MATCH($F223,'CFOG'!$B$23:$B$24,0))="","Cell will autofill based on response",INDEX('CFOG'!$N$23:$N$24,MATCH($F223,'CFOG'!$B$23:$B$24,0))),"N/A")</f>
        <v/>
      </c>
      <c r="P223" s="53">
        <f>IFERROR(IF(INDEX('ESG'!$N$10:$N$17,MATCH($F223,'ESG'!$B$10:$B$17,0))="","Cell will autofill based on response",INDEX('ESG'!$N$10:$N$17,MATCH($F223,'ESG'!$B$10:$B$17,0))),"N/A")</f>
        <v/>
      </c>
      <c r="Q223" s="53">
        <f>IFERROR(IF(INDEX('CIOG'!$N$10:$N$14,MATCH($F223,'CIOG'!$B$10:$B$14,0))="","Cell will autofill based on response",INDEX('CIOG'!$N$10:$N$14,MATCH($F223,'CIOG'!$B$10:$B$14,0))),"N/A")</f>
        <v/>
      </c>
      <c r="R223" s="53">
        <f>IFERROR(IF(INDEX('MRE'!$N$10:$N$18,MATCH($F223,'MRE'!$B$10:$B$18,0))="","Cell will autofill based on response",INDEX('MRE'!$N$10:$N$18,MATCH($F223,'MRE'!$B$10:$B$18,0))),"N/A")</f>
        <v/>
      </c>
      <c r="S223" s="53">
        <f>IFERROR(IF(INDEX('AC&amp;M'!$N$10:$N$14,MATCH($F223,'AC&amp;M'!$B$10:$B$14,0))="","Cell will autofill based on response",INDEX('AC&amp;M'!$N$10:$N$14,MATCH($F223,'AC&amp;M'!$B$10:$B$14,0))),"N/A")</f>
        <v/>
      </c>
      <c r="T223" s="53">
        <f>IFERROR(IF(INDEX('GCE'!$N$10:$N$12,MATCH($F223,'GCE'!$B$10:$B$12,0))="","Cell will autofill based on response",INDEX('GCE'!$N$10:$N$12,MATCH($F223,'GCE'!$B$10:$B$12,0))),"N/A")</f>
        <v/>
      </c>
      <c r="U223" s="53">
        <f>IFERROR(IF(INDEX('Education'!$N$10:$N$13,MATCH($F223,'Education'!$B$10:$B$13,0))="","Cell will autofill based on response",INDEX('Education'!$N$10:$N$13,MATCH($F223,'Education'!$B$10:$B$13,0))),"N/A")</f>
        <v/>
      </c>
      <c r="V223" s="53">
        <f>IFERROR(IF(INDEX('SaSS'!$N$10:$N$12,MATCH($F223,'SaSS'!$B$10:$B$12,0))="","Cell will autofill based on response",INDEX('SaSS'!$N$10:$N$12,MATCH($F223,'SaSS'!$B$10:$B$12,0))),"N/A")</f>
        <v/>
      </c>
      <c r="W223" s="53">
        <f>IFERROR(IF(INDEX('Indigenous'!$N$10:$N$11,MATCH($F223,'Indigenous'!$B$10:$B$11,0))="","Cell will autofill based on response",INDEX('Indigenous'!$N$10:$N$11,MATCH($F223,'Indigenous'!$B$10:$B$11,0))),"N/A")</f>
        <v/>
      </c>
      <c r="X223" s="53">
        <f>IFERROR(IF(INDEX('L&amp;R'!$N$10:$N$11,MATCH($F223,'L&amp;R'!$B$10:$B$11,0))="","Cell will autofill based on response",INDEX('L&amp;R'!$N$10:$N$11,MATCH($F223,'L&amp;R'!$B$10:$B$11,0))),"N/A")</f>
        <v/>
      </c>
    </row>
    <row r="224">
      <c r="A224">
        <f>F224&amp;"|"&amp;G224</f>
        <v/>
      </c>
      <c r="B224" s="13" t="inlineStr"/>
      <c r="C224" s="8" t="inlineStr"/>
      <c r="D224" s="8" t="inlineStr"/>
      <c r="E224" s="8" t="inlineStr"/>
      <c r="F224" s="8" t="inlineStr">
        <is>
          <t>EN1(b)</t>
        </is>
      </c>
      <c r="G224" s="8" t="inlineStr">
        <is>
          <t>Supporting information/comments</t>
        </is>
      </c>
      <c r="H224" s="53">
        <f>IFERROR(IF(INDEX('Faculties'!$O$10:$O$19,MATCH($F224,'Faculties'!$B$10:$B$19,0))="","Cell will autofill based on response",INDEX('Faculties'!$O$10:$O$19,MATCH($F224,'Faculties'!$B$10:$B$19,0))),"N/A")</f>
        <v/>
      </c>
      <c r="I224" s="53">
        <f>IFERROR(IF(INDEX('Faculties'!$O$26:$O$35,MATCH($F224,'Faculties'!$B$26:$B$35,0))="","Cell will autofill based on response",INDEX('Faculties'!$O$26:$O$35,MATCH($F224,'Faculties'!$B$26:$B$35,0))),"N/A")</f>
        <v/>
      </c>
      <c r="J224" s="53">
        <f>IFERROR(IF(INDEX('Faculties'!$O$42:$O$51,MATCH($F224,'Faculties'!$B$42:$B$51,0))="","Cell will autofill based on response",INDEX('Faculties'!$O$42:$O$51,MATCH($F224,'Faculties'!$B$42:$B$51,0))),"N/A")</f>
        <v/>
      </c>
      <c r="K224" s="53">
        <f>IFERROR(IF(INDEX('Faculties'!$O$58:$O$67,MATCH($F224,'Faculties'!$B$58:$B$67,0))="","Cell will autofill based on response",INDEX('Faculties'!$O$58:$O$67,MATCH($F224,'Faculties'!$B$58:$B$67,0))),"N/A")</f>
        <v/>
      </c>
      <c r="L224" s="53">
        <f>IFERROR(IF(INDEX('CI&amp;S'!$O$10:$O$15,MATCH($F224,'CI&amp;S'!$B$10:$B$15,0))="","Cell will autofill based on response",INDEX('CI&amp;S'!$O$10:$O$15,MATCH($F224,'CI&amp;S'!$B$10:$B$15,0))),"N/A")</f>
        <v/>
      </c>
      <c r="M224" s="53">
        <f>IFERROR(IF(INDEX('CI&amp;S'!$O$22:$O$36,MATCH($F224,'CI&amp;S'!$B$22:$B$36,0))="","Cell will autofill based on response",INDEX('CI&amp;S'!$O$22:$O$36,MATCH($F224,'CI&amp;S'!$B$22:$B$36,0))),"N/A")</f>
        <v/>
      </c>
      <c r="N224" s="53">
        <f>IFERROR(IF(INDEX('CFOG'!$O$10:$O$16,MATCH($F224,'CFOG'!$B$10:$B$16,0))="","Cell will autofill based on response",INDEX('CFOG'!$O$10:$O$16,MATCH($F224,'CFOG'!$B$10:$B$16,0))),"N/A")</f>
        <v/>
      </c>
      <c r="O224" s="53">
        <f>IFERROR(IF(INDEX('CFOG'!$O$23:$O$24,MATCH($F224,'CFOG'!$B$23:$B$24,0))="","Cell will autofill based on response",INDEX('CFOG'!$O$23:$O$24,MATCH($F224,'CFOG'!$B$23:$B$24,0))),"N/A")</f>
        <v/>
      </c>
      <c r="P224" s="53">
        <f>IFERROR(IF(INDEX('ESG'!$O$10:$O$17,MATCH($F224,'ESG'!$B$10:$B$17,0))="","Cell will autofill based on response",INDEX('ESG'!$O$10:$O$17,MATCH($F224,'ESG'!$B$10:$B$17,0))),"N/A")</f>
        <v/>
      </c>
      <c r="Q224" s="53">
        <f>IFERROR(IF(INDEX('CIOG'!$O$10:$O$14,MATCH($F224,'CIOG'!$B$10:$B$14,0))="","Cell will autofill based on response",INDEX('CIOG'!$O$10:$O$14,MATCH($F224,'CIOG'!$B$10:$B$14,0))),"N/A")</f>
        <v/>
      </c>
      <c r="R224" s="53">
        <f>IFERROR(IF(INDEX('MRE'!$O$10:$O$18,MATCH($F224,'MRE'!$B$10:$B$18,0))="","Cell will autofill based on response",INDEX('MRE'!$O$10:$O$18,MATCH($F224,'MRE'!$B$10:$B$18,0))),"N/A")</f>
        <v/>
      </c>
      <c r="S224" s="53">
        <f>IFERROR(IF(INDEX('AC&amp;M'!$O$10:$O$14,MATCH($F224,'AC&amp;M'!$B$10:$B$14,0))="","Cell will autofill based on response",INDEX('AC&amp;M'!$O$10:$O$14,MATCH($F224,'AC&amp;M'!$B$10:$B$14,0))),"N/A")</f>
        <v/>
      </c>
      <c r="T224" s="53">
        <f>IFERROR(IF(INDEX('GCE'!$O$10:$O$12,MATCH($F224,'GCE'!$B$10:$B$12,0))="","Cell will autofill based on response",INDEX('GCE'!$O$10:$O$12,MATCH($F224,'GCE'!$B$10:$B$12,0))),"N/A")</f>
        <v/>
      </c>
      <c r="U224" s="53">
        <f>IFERROR(IF(INDEX('Education'!$O$10:$O$13,MATCH($F224,'Education'!$B$10:$B$13,0))="","Cell will autofill based on response",INDEX('Education'!$O$10:$O$13,MATCH($F224,'Education'!$B$10:$B$13,0))),"N/A")</f>
        <v/>
      </c>
      <c r="V224" s="53">
        <f>IFERROR(IF(INDEX('SaSS'!$O$10:$O$12,MATCH($F224,'SaSS'!$B$10:$B$12,0))="","Cell will autofill based on response",INDEX('SaSS'!$O$10:$O$12,MATCH($F224,'SaSS'!$B$10:$B$12,0))),"N/A")</f>
        <v/>
      </c>
      <c r="W224" s="53">
        <f>IFERROR(IF(INDEX('Indigenous'!$O$10:$O$11,MATCH($F224,'Indigenous'!$B$10:$B$11,0))="","Cell will autofill based on response",INDEX('Indigenous'!$O$10:$O$11,MATCH($F224,'Indigenous'!$B$10:$B$11,0))),"N/A")</f>
        <v/>
      </c>
      <c r="X224" s="53">
        <f>IFERROR(IF(INDEX('L&amp;R'!$O$10:$O$11,MATCH($F224,'L&amp;R'!$B$10:$B$11,0))="","Cell will autofill based on response",INDEX('L&amp;R'!$O$10:$O$11,MATCH($F224,'L&amp;R'!$B$10:$B$11,0))),"N/A")</f>
        <v/>
      </c>
    </row>
    <row r="225">
      <c r="A225">
        <f>F225&amp;"|"&amp;G225</f>
        <v/>
      </c>
      <c r="B225" s="13" t="inlineStr"/>
      <c r="C225" s="8" t="inlineStr"/>
      <c r="D225" s="8" t="inlineStr"/>
      <c r="E225" s="8" t="inlineStr"/>
      <c r="F225" s="8" t="inlineStr">
        <is>
          <t>EN1(b)</t>
        </is>
      </c>
      <c r="G225" s="8" t="inlineStr">
        <is>
          <t>Data source and limitations</t>
        </is>
      </c>
      <c r="H225" s="53">
        <f>IFERROR(IF(INDEX('Faculties'!$P$10:$P$19,MATCH($F225,'Faculties'!$B$10:$B$19,0))="","Cell will autofill based on response",INDEX('Faculties'!$P$10:$P$19,MATCH($F225,'Faculties'!$B$10:$B$19,0))),"N/A")</f>
        <v/>
      </c>
      <c r="I225" s="53">
        <f>IFERROR(IF(INDEX('Faculties'!$P$26:$P$35,MATCH($F225,'Faculties'!$B$26:$B$35,0))="","Cell will autofill based on response",INDEX('Faculties'!$P$26:$P$35,MATCH($F225,'Faculties'!$B$26:$B$35,0))),"N/A")</f>
        <v/>
      </c>
      <c r="J225" s="53">
        <f>IFERROR(IF(INDEX('Faculties'!$P$42:$P$51,MATCH($F225,'Faculties'!$B$42:$B$51,0))="","Cell will autofill based on response",INDEX('Faculties'!$P$42:$P$51,MATCH($F225,'Faculties'!$B$42:$B$51,0))),"N/A")</f>
        <v/>
      </c>
      <c r="K225" s="53">
        <f>IFERROR(IF(INDEX('Faculties'!$P$58:$P$67,MATCH($F225,'Faculties'!$B$58:$B$67,0))="","Cell will autofill based on response",INDEX('Faculties'!$P$58:$P$67,MATCH($F225,'Faculties'!$B$58:$B$67,0))),"N/A")</f>
        <v/>
      </c>
      <c r="L225" s="53">
        <f>IFERROR(IF(INDEX('CI&amp;S'!$P$10:$P$15,MATCH($F225,'CI&amp;S'!$B$10:$B$15,0))="","Cell will autofill based on response",INDEX('CI&amp;S'!$P$10:$P$15,MATCH($F225,'CI&amp;S'!$B$10:$B$15,0))),"N/A")</f>
        <v/>
      </c>
      <c r="M225" s="53">
        <f>IFERROR(IF(INDEX('CI&amp;S'!$P$22:$P$36,MATCH($F225,'CI&amp;S'!$B$22:$B$36,0))="","Cell will autofill based on response",INDEX('CI&amp;S'!$P$22:$P$36,MATCH($F225,'CI&amp;S'!$B$22:$B$36,0))),"N/A")</f>
        <v/>
      </c>
      <c r="N225" s="53">
        <f>IFERROR(IF(INDEX('CFOG'!$P$10:$P$16,MATCH($F225,'CFOG'!$B$10:$B$16,0))="","Cell will autofill based on response",INDEX('CFOG'!$P$10:$P$16,MATCH($F225,'CFOG'!$B$10:$B$16,0))),"N/A")</f>
        <v/>
      </c>
      <c r="O225" s="53">
        <f>IFERROR(IF(INDEX('CFOG'!$P$23:$P$24,MATCH($F225,'CFOG'!$B$23:$B$24,0))="","Cell will autofill based on response",INDEX('CFOG'!$P$23:$P$24,MATCH($F225,'CFOG'!$B$23:$B$24,0))),"N/A")</f>
        <v/>
      </c>
      <c r="P225" s="53">
        <f>IFERROR(IF(INDEX('ESG'!$P$10:$P$17,MATCH($F225,'ESG'!$B$10:$B$17,0))="","Cell will autofill based on response",INDEX('ESG'!$P$10:$P$17,MATCH($F225,'ESG'!$B$10:$B$17,0))),"N/A")</f>
        <v/>
      </c>
      <c r="Q225" s="53">
        <f>IFERROR(IF(INDEX('CIOG'!$P$10:$P$14,MATCH($F225,'CIOG'!$B$10:$B$14,0))="","Cell will autofill based on response",INDEX('CIOG'!$P$10:$P$14,MATCH($F225,'CIOG'!$B$10:$B$14,0))),"N/A")</f>
        <v/>
      </c>
      <c r="R225" s="53">
        <f>IFERROR(IF(INDEX('MRE'!$P$10:$P$18,MATCH($F225,'MRE'!$B$10:$B$18,0))="","Cell will autofill based on response",INDEX('MRE'!$P$10:$P$18,MATCH($F225,'MRE'!$B$10:$B$18,0))),"N/A")</f>
        <v/>
      </c>
      <c r="S225" s="53">
        <f>IFERROR(IF(INDEX('AC&amp;M'!$P$10:$P$14,MATCH($F225,'AC&amp;M'!$B$10:$B$14,0))="","Cell will autofill based on response",INDEX('AC&amp;M'!$P$10:$P$14,MATCH($F225,'AC&amp;M'!$B$10:$B$14,0))),"N/A")</f>
        <v/>
      </c>
      <c r="T225" s="53">
        <f>IFERROR(IF(INDEX('GCE'!$P$10:$P$12,MATCH($F225,'GCE'!$B$10:$B$12,0))="","Cell will autofill based on response",INDEX('GCE'!$P$10:$P$12,MATCH($F225,'GCE'!$B$10:$B$12,0))),"N/A")</f>
        <v/>
      </c>
      <c r="U225" s="53">
        <f>IFERROR(IF(INDEX('Education'!$P$10:$P$13,MATCH($F225,'Education'!$B$10:$B$13,0))="","Cell will autofill based on response",INDEX('Education'!$P$10:$P$13,MATCH($F225,'Education'!$B$10:$B$13,0))),"N/A")</f>
        <v/>
      </c>
      <c r="V225" s="53">
        <f>IFERROR(IF(INDEX('SaSS'!$P$10:$P$12,MATCH($F225,'SaSS'!$B$10:$B$12,0))="","Cell will autofill based on response",INDEX('SaSS'!$P$10:$P$12,MATCH($F225,'SaSS'!$B$10:$B$12,0))),"N/A")</f>
        <v/>
      </c>
      <c r="W225" s="53">
        <f>IFERROR(IF(INDEX('Indigenous'!$P$10:$P$11,MATCH($F225,'Indigenous'!$B$10:$B$11,0))="","Cell will autofill based on response",INDEX('Indigenous'!$P$10:$P$11,MATCH($F225,'Indigenous'!$B$10:$B$11,0))),"N/A")</f>
        <v/>
      </c>
      <c r="X225" s="53">
        <f>IFERROR(IF(INDEX('L&amp;R'!$P$10:$P$11,MATCH($F225,'L&amp;R'!$B$10:$B$11,0))="","Cell will autofill based on response",INDEX('L&amp;R'!$P$10:$P$11,MATCH($F225,'L&amp;R'!$B$10:$B$11,0))),"N/A")</f>
        <v/>
      </c>
    </row>
    <row r="226">
      <c r="A226">
        <f>F226&amp;"|"&amp;G226</f>
        <v/>
      </c>
      <c r="B226" s="13" t="inlineStr"/>
      <c r="C226" s="8" t="inlineStr"/>
      <c r="D226" s="8" t="inlineStr"/>
      <c r="E226" s="8" t="inlineStr"/>
      <c r="F226" s="8" t="inlineStr">
        <is>
          <t>EN1(b)</t>
        </is>
      </c>
      <c r="G226" s="8" t="inlineStr">
        <is>
          <t>Data owner confirms</t>
        </is>
      </c>
      <c r="H226" s="53">
        <f>IFERROR(IF(INDEX('Faculties'!$Q$10:$Q$19,MATCH($F226,'Faculties'!$B$10:$B$19,0))="","Cell will autofill based on response",INDEX('Faculties'!$Q$10:$Q$19,MATCH($F226,'Faculties'!$B$10:$B$19,0))),"N/A")</f>
        <v/>
      </c>
      <c r="I226" s="53">
        <f>IFERROR(IF(INDEX('Faculties'!$Q$26:$Q$35,MATCH($F226,'Faculties'!$B$26:$B$35,0))="","Cell will autofill based on response",INDEX('Faculties'!$Q$26:$Q$35,MATCH($F226,'Faculties'!$B$26:$B$35,0))),"N/A")</f>
        <v/>
      </c>
      <c r="J226" s="53">
        <f>IFERROR(IF(INDEX('Faculties'!$Q$42:$Q$51,MATCH($F226,'Faculties'!$B$42:$B$51,0))="","Cell will autofill based on response",INDEX('Faculties'!$Q$42:$Q$51,MATCH($F226,'Faculties'!$B$42:$B$51,0))),"N/A")</f>
        <v/>
      </c>
      <c r="K226" s="53">
        <f>IFERROR(IF(INDEX('Faculties'!$Q$58:$Q$67,MATCH($F226,'Faculties'!$B$58:$B$67,0))="","Cell will autofill based on response",INDEX('Faculties'!$Q$58:$Q$67,MATCH($F226,'Faculties'!$B$58:$B$67,0))),"N/A")</f>
        <v/>
      </c>
      <c r="L226" s="53">
        <f>IFERROR(IF(INDEX('CI&amp;S'!$Q$10:$Q$15,MATCH($F226,'CI&amp;S'!$B$10:$B$15,0))="","Cell will autofill based on response",INDEX('CI&amp;S'!$Q$10:$Q$15,MATCH($F226,'CI&amp;S'!$B$10:$B$15,0))),"N/A")</f>
        <v/>
      </c>
      <c r="M226" s="53">
        <f>IFERROR(IF(INDEX('CI&amp;S'!$Q$22:$Q$36,MATCH($F226,'CI&amp;S'!$B$22:$B$36,0))="","Cell will autofill based on response",INDEX('CI&amp;S'!$Q$22:$Q$36,MATCH($F226,'CI&amp;S'!$B$22:$B$36,0))),"N/A")</f>
        <v/>
      </c>
      <c r="N226" s="53">
        <f>IFERROR(IF(INDEX('CFOG'!$Q$10:$Q$16,MATCH($F226,'CFOG'!$B$10:$B$16,0))="","Cell will autofill based on response",INDEX('CFOG'!$Q$10:$Q$16,MATCH($F226,'CFOG'!$B$10:$B$16,0))),"N/A")</f>
        <v/>
      </c>
      <c r="O226" s="53">
        <f>IFERROR(IF(INDEX('CFOG'!$Q$23:$Q$24,MATCH($F226,'CFOG'!$B$23:$B$24,0))="","Cell will autofill based on response",INDEX('CFOG'!$Q$23:$Q$24,MATCH($F226,'CFOG'!$B$23:$B$24,0))),"N/A")</f>
        <v/>
      </c>
      <c r="P226" s="53">
        <f>IFERROR(IF(INDEX('ESG'!$Q$10:$Q$17,MATCH($F226,'ESG'!$B$10:$B$17,0))="","Cell will autofill based on response",INDEX('ESG'!$Q$10:$Q$17,MATCH($F226,'ESG'!$B$10:$B$17,0))),"N/A")</f>
        <v/>
      </c>
      <c r="Q226" s="53">
        <f>IFERROR(IF(INDEX('CIOG'!$Q$10:$Q$14,MATCH($F226,'CIOG'!$B$10:$B$14,0))="","Cell will autofill based on response",INDEX('CIOG'!$Q$10:$Q$14,MATCH($F226,'CIOG'!$B$10:$B$14,0))),"N/A")</f>
        <v/>
      </c>
      <c r="R226" s="53">
        <f>IFERROR(IF(INDEX('MRE'!$Q$10:$Q$18,MATCH($F226,'MRE'!$B$10:$B$18,0))="","Cell will autofill based on response",INDEX('MRE'!$Q$10:$Q$18,MATCH($F226,'MRE'!$B$10:$B$18,0))),"N/A")</f>
        <v/>
      </c>
      <c r="S226" s="53">
        <f>IFERROR(IF(INDEX('AC&amp;M'!$Q$10:$Q$14,MATCH($F226,'AC&amp;M'!$B$10:$B$14,0))="","Cell will autofill based on response",INDEX('AC&amp;M'!$Q$10:$Q$14,MATCH($F226,'AC&amp;M'!$B$10:$B$14,0))),"N/A")</f>
        <v/>
      </c>
      <c r="T226" s="53">
        <f>IFERROR(IF(INDEX('GCE'!$Q$10:$Q$12,MATCH($F226,'GCE'!$B$10:$B$12,0))="","Cell will autofill based on response",INDEX('GCE'!$Q$10:$Q$12,MATCH($F226,'GCE'!$B$10:$B$12,0))),"N/A")</f>
        <v/>
      </c>
      <c r="U226" s="53">
        <f>IFERROR(IF(INDEX('Education'!$Q$10:$Q$13,MATCH($F226,'Education'!$B$10:$B$13,0))="","Cell will autofill based on response",INDEX('Education'!$Q$10:$Q$13,MATCH($F226,'Education'!$B$10:$B$13,0))),"N/A")</f>
        <v/>
      </c>
      <c r="V226" s="53">
        <f>IFERROR(IF(INDEX('SaSS'!$Q$10:$Q$12,MATCH($F226,'SaSS'!$B$10:$B$12,0))="","Cell will autofill based on response",INDEX('SaSS'!$Q$10:$Q$12,MATCH($F226,'SaSS'!$B$10:$B$12,0))),"N/A")</f>
        <v/>
      </c>
      <c r="W226" s="53">
        <f>IFERROR(IF(INDEX('Indigenous'!$Q$10:$Q$11,MATCH($F226,'Indigenous'!$B$10:$B$11,0))="","Cell will autofill based on response",INDEX('Indigenous'!$Q$10:$Q$11,MATCH($F226,'Indigenous'!$B$10:$B$11,0))),"N/A")</f>
        <v/>
      </c>
      <c r="X226" s="53">
        <f>IFERROR(IF(INDEX('L&amp;R'!$Q$10:$Q$11,MATCH($F226,'L&amp;R'!$B$10:$B$11,0))="","Cell will autofill based on response",INDEX('L&amp;R'!$Q$10:$Q$11,MATCH($F226,'L&amp;R'!$B$10:$B$11,0))),"N/A")</f>
        <v/>
      </c>
    </row>
    <row r="227">
      <c r="A227">
        <f>F227&amp;"|"&amp;G227</f>
        <v/>
      </c>
      <c r="B227" s="7" t="inlineStr">
        <is>
          <t>EN1(c)</t>
        </is>
      </c>
      <c r="C227" s="51" t="inlineStr">
        <is>
          <t>Enablers</t>
        </is>
      </c>
      <c r="D227" s="51" t="inlineStr">
        <is>
          <t>Coordinated internal engagement and external partnerships contributing to delivery of sustainability outcomes across priority areas.</t>
        </is>
      </c>
      <c r="E227" s="51"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F227" s="51" t="inlineStr">
        <is>
          <t>EN1(c)</t>
        </is>
      </c>
      <c r="G227" s="51" t="inlineStr">
        <is>
          <t>Confirm end-2026 target status</t>
        </is>
      </c>
      <c r="H227" s="53">
        <f>IFERROR(IF(INDEX('Faculties'!$L$10:$L$19,MATCH($F227,'Faculties'!$B$10:$B$19,0))="","Cell will autofill based on response",INDEX('Faculties'!$L$10:$L$19,MATCH($F227,'Faculties'!$B$10:$B$19,0))),"N/A")</f>
        <v/>
      </c>
      <c r="I227" s="53">
        <f>IFERROR(IF(INDEX('Faculties'!$L$26:$L$35,MATCH($F227,'Faculties'!$B$26:$B$35,0))="","Cell will autofill based on response",INDEX('Faculties'!$L$26:$L$35,MATCH($F227,'Faculties'!$B$26:$B$35,0))),"N/A")</f>
        <v/>
      </c>
      <c r="J227" s="53">
        <f>IFERROR(IF(INDEX('Faculties'!$L$42:$L$51,MATCH($F227,'Faculties'!$B$42:$B$51,0))="","Cell will autofill based on response",INDEX('Faculties'!$L$42:$L$51,MATCH($F227,'Faculties'!$B$42:$B$51,0))),"N/A")</f>
        <v/>
      </c>
      <c r="K227" s="53">
        <f>IFERROR(IF(INDEX('Faculties'!$L$58:$L$67,MATCH($F227,'Faculties'!$B$58:$B$67,0))="","Cell will autofill based on response",INDEX('Faculties'!$L$58:$L$67,MATCH($F227,'Faculties'!$B$58:$B$67,0))),"N/A")</f>
        <v/>
      </c>
      <c r="L227" s="53">
        <f>IFERROR(IF(INDEX('CI&amp;S'!$L$10:$L$15,MATCH($F227,'CI&amp;S'!$B$10:$B$15,0))="","Cell will autofill based on response",INDEX('CI&amp;S'!$L$10:$L$15,MATCH($F227,'CI&amp;S'!$B$10:$B$15,0))),"N/A")</f>
        <v/>
      </c>
      <c r="M227" s="53">
        <f>IFERROR(IF(INDEX('CI&amp;S'!$L$22:$L$36,MATCH($F227,'CI&amp;S'!$B$22:$B$36,0))="","Cell will autofill based on response",INDEX('CI&amp;S'!$L$22:$L$36,MATCH($F227,'CI&amp;S'!$B$22:$B$36,0))),"N/A")</f>
        <v/>
      </c>
      <c r="N227" s="53">
        <f>IFERROR(IF(INDEX('CFOG'!$L$10:$L$16,MATCH($F227,'CFOG'!$B$10:$B$16,0))="","Cell will autofill based on response",INDEX('CFOG'!$L$10:$L$16,MATCH($F227,'CFOG'!$B$10:$B$16,0))),"N/A")</f>
        <v/>
      </c>
      <c r="O227" s="53">
        <f>IFERROR(IF(INDEX('CFOG'!$L$23:$L$24,MATCH($F227,'CFOG'!$B$23:$B$24,0))="","Cell will autofill based on response",INDEX('CFOG'!$L$23:$L$24,MATCH($F227,'CFOG'!$B$23:$B$24,0))),"N/A")</f>
        <v/>
      </c>
      <c r="P227" s="53">
        <f>IFERROR(IF(INDEX('ESG'!$L$10:$L$17,MATCH($F227,'ESG'!$B$10:$B$17,0))="","Cell will autofill based on response",INDEX('ESG'!$L$10:$L$17,MATCH($F227,'ESG'!$B$10:$B$17,0))),"N/A")</f>
        <v/>
      </c>
      <c r="Q227" s="53">
        <f>IFERROR(IF(INDEX('CIOG'!$L$10:$L$14,MATCH($F227,'CIOG'!$B$10:$B$14,0))="","Cell will autofill based on response",INDEX('CIOG'!$L$10:$L$14,MATCH($F227,'CIOG'!$B$10:$B$14,0))),"N/A")</f>
        <v/>
      </c>
      <c r="R227" s="53">
        <f>IFERROR(IF(INDEX('MRE'!$L$10:$L$18,MATCH($F227,'MRE'!$B$10:$B$18,0))="","Cell will autofill based on response",INDEX('MRE'!$L$10:$L$18,MATCH($F227,'MRE'!$B$10:$B$18,0))),"N/A")</f>
        <v/>
      </c>
      <c r="S227" s="53">
        <f>IFERROR(IF(INDEX('AC&amp;M'!$L$10:$L$14,MATCH($F227,'AC&amp;M'!$B$10:$B$14,0))="","Cell will autofill based on response",INDEX('AC&amp;M'!$L$10:$L$14,MATCH($F227,'AC&amp;M'!$B$10:$B$14,0))),"N/A")</f>
        <v/>
      </c>
      <c r="T227" s="53">
        <f>IFERROR(IF(INDEX('GCE'!$L$10:$L$12,MATCH($F227,'GCE'!$B$10:$B$12,0))="","Cell will autofill based on response",INDEX('GCE'!$L$10:$L$12,MATCH($F227,'GCE'!$B$10:$B$12,0))),"N/A")</f>
        <v/>
      </c>
      <c r="U227" s="53">
        <f>IFERROR(IF(INDEX('Education'!$L$10:$L$13,MATCH($F227,'Education'!$B$10:$B$13,0))="","Cell will autofill based on response",INDEX('Education'!$L$10:$L$13,MATCH($F227,'Education'!$B$10:$B$13,0))),"N/A")</f>
        <v/>
      </c>
      <c r="V227" s="53">
        <f>IFERROR(IF(INDEX('SaSS'!$L$10:$L$12,MATCH($F227,'SaSS'!$B$10:$B$12,0))="","Cell will autofill based on response",INDEX('SaSS'!$L$10:$L$12,MATCH($F227,'SaSS'!$B$10:$B$12,0))),"N/A")</f>
        <v/>
      </c>
      <c r="W227" s="53">
        <f>IFERROR(IF(INDEX('Indigenous'!$L$10:$L$11,MATCH($F227,'Indigenous'!$B$10:$B$11,0))="","Cell will autofill based on response",INDEX('Indigenous'!$L$10:$L$11,MATCH($F227,'Indigenous'!$B$10:$B$11,0))),"N/A")</f>
        <v/>
      </c>
      <c r="X227" s="53">
        <f>IFERROR(IF(INDEX('L&amp;R'!$L$10:$L$11,MATCH($F227,'L&amp;R'!$B$10:$B$11,0))="","Cell will autofill based on response",INDEX('L&amp;R'!$L$10:$L$11,MATCH($F227,'L&amp;R'!$B$10:$B$11,0))),"N/A")</f>
        <v/>
      </c>
      <c r="Z227" s="10">
        <f>COUNTIF($H227:$X227,"Cell will autofill based on response")</f>
        <v/>
      </c>
      <c r="AA227" s="10">
        <f>COUNTIF($H227:$X227,"Not yet started")</f>
        <v/>
      </c>
      <c r="AB227" s="10">
        <f>COUNTIF($H227:$X227,"Not met")</f>
        <v/>
      </c>
      <c r="AC227" s="10">
        <f>COUNTIF($H227:$X227,"Partially met")</f>
        <v/>
      </c>
      <c r="AD227" s="10">
        <f>COUNTIF($H227:$X227,"Met or exceeded")</f>
        <v/>
      </c>
      <c r="AE227" s="10">
        <f>3*AD227+2*AC227+AB227</f>
        <v/>
      </c>
      <c r="AF227" s="10">
        <f>AD227+AC227+AB227+AA227</f>
        <v/>
      </c>
      <c r="AG227" s="54">
        <f>IF(AF227&gt;0,AE227/AF227,"No valid responses to date")</f>
        <v/>
      </c>
      <c r="AH227" s="10">
        <f>IF(ISNUMBER(AG227),INDEX(Lists!$G$2:$G$5,MATCH(ROUND(AG227,0),Lists!$H$2:$H$5,0)),"")</f>
        <v/>
      </c>
      <c r="AI227" s="55">
        <f>IF(AF227&gt;0,AD227/AF227,"")</f>
        <v/>
      </c>
      <c r="AJ227" s="55">
        <f>IF(AF227&gt;0,(AD227+AC227)/AF227,"")</f>
        <v/>
      </c>
      <c r="AK227" s="10">
        <f>IF(AF227=0,"",IF(AI227&gt;0.75,"Met or exceeded",IF(AJ227&gt;=0.5,"Partially met","Not met")))</f>
        <v/>
      </c>
    </row>
    <row r="228">
      <c r="A228">
        <f>F228&amp;"|"&amp;G228</f>
        <v/>
      </c>
      <c r="B228" s="13" t="inlineStr"/>
      <c r="C228" s="8" t="inlineStr"/>
      <c r="D228" s="8" t="inlineStr"/>
      <c r="E228" s="8" t="inlineStr"/>
      <c r="F228" s="8" t="inlineStr">
        <is>
          <t>EN1(c)</t>
        </is>
      </c>
      <c r="G228" s="8" t="inlineStr">
        <is>
          <t>OPTION 1:  Target-level reporting</t>
        </is>
      </c>
      <c r="H228" s="53">
        <f>IFERROR(IF(INDEX('Faculties'!$M$10:$M$19,MATCH($F228,'Faculties'!$B$10:$B$19,0))="","Cell will autofill based on response",INDEX('Faculties'!$M$10:$M$19,MATCH($F228,'Faculties'!$B$10:$B$19,0))),"N/A")</f>
        <v/>
      </c>
      <c r="I228" s="53">
        <f>IFERROR(IF(INDEX('Faculties'!$M$26:$M$35,MATCH($F228,'Faculties'!$B$26:$B$35,0))="","Cell will autofill based on response",INDEX('Faculties'!$M$26:$M$35,MATCH($F228,'Faculties'!$B$26:$B$35,0))),"N/A")</f>
        <v/>
      </c>
      <c r="J228" s="53">
        <f>IFERROR(IF(INDEX('Faculties'!$M$42:$M$51,MATCH($F228,'Faculties'!$B$42:$B$51,0))="","Cell will autofill based on response",INDEX('Faculties'!$M$42:$M$51,MATCH($F228,'Faculties'!$B$42:$B$51,0))),"N/A")</f>
        <v/>
      </c>
      <c r="K228" s="53">
        <f>IFERROR(IF(INDEX('Faculties'!$M$58:$M$67,MATCH($F228,'Faculties'!$B$58:$B$67,0))="","Cell will autofill based on response",INDEX('Faculties'!$M$58:$M$67,MATCH($F228,'Faculties'!$B$58:$B$67,0))),"N/A")</f>
        <v/>
      </c>
      <c r="L228" s="53">
        <f>IFERROR(IF(INDEX('CI&amp;S'!$M$10:$M$15,MATCH($F228,'CI&amp;S'!$B$10:$B$15,0))="","Cell will autofill based on response",INDEX('CI&amp;S'!$M$10:$M$15,MATCH($F228,'CI&amp;S'!$B$10:$B$15,0))),"N/A")</f>
        <v/>
      </c>
      <c r="M228" s="53">
        <f>IFERROR(IF(INDEX('CI&amp;S'!$M$22:$M$36,MATCH($F228,'CI&amp;S'!$B$22:$B$36,0))="","Cell will autofill based on response",INDEX('CI&amp;S'!$M$22:$M$36,MATCH($F228,'CI&amp;S'!$B$22:$B$36,0))),"N/A")</f>
        <v/>
      </c>
      <c r="N228" s="53">
        <f>IFERROR(IF(INDEX('CFOG'!$M$10:$M$16,MATCH($F228,'CFOG'!$B$10:$B$16,0))="","Cell will autofill based on response",INDEX('CFOG'!$M$10:$M$16,MATCH($F228,'CFOG'!$B$10:$B$16,0))),"N/A")</f>
        <v/>
      </c>
      <c r="O228" s="53">
        <f>IFERROR(IF(INDEX('CFOG'!$M$23:$M$24,MATCH($F228,'CFOG'!$B$23:$B$24,0))="","Cell will autofill based on response",INDEX('CFOG'!$M$23:$M$24,MATCH($F228,'CFOG'!$B$23:$B$24,0))),"N/A")</f>
        <v/>
      </c>
      <c r="P228" s="53">
        <f>IFERROR(IF(INDEX('ESG'!$M$10:$M$17,MATCH($F228,'ESG'!$B$10:$B$17,0))="","Cell will autofill based on response",INDEX('ESG'!$M$10:$M$17,MATCH($F228,'ESG'!$B$10:$B$17,0))),"N/A")</f>
        <v/>
      </c>
      <c r="Q228" s="53">
        <f>IFERROR(IF(INDEX('CIOG'!$M$10:$M$14,MATCH($F228,'CIOG'!$B$10:$B$14,0))="","Cell will autofill based on response",INDEX('CIOG'!$M$10:$M$14,MATCH($F228,'CIOG'!$B$10:$B$14,0))),"N/A")</f>
        <v/>
      </c>
      <c r="R228" s="53">
        <f>IFERROR(IF(INDEX('MRE'!$M$10:$M$18,MATCH($F228,'MRE'!$B$10:$B$18,0))="","Cell will autofill based on response",INDEX('MRE'!$M$10:$M$18,MATCH($F228,'MRE'!$B$10:$B$18,0))),"N/A")</f>
        <v/>
      </c>
      <c r="S228" s="53">
        <f>IFERROR(IF(INDEX('AC&amp;M'!$M$10:$M$14,MATCH($F228,'AC&amp;M'!$B$10:$B$14,0))="","Cell will autofill based on response",INDEX('AC&amp;M'!$M$10:$M$14,MATCH($F228,'AC&amp;M'!$B$10:$B$14,0))),"N/A")</f>
        <v/>
      </c>
      <c r="T228" s="53">
        <f>IFERROR(IF(INDEX('GCE'!$M$10:$M$12,MATCH($F228,'GCE'!$B$10:$B$12,0))="","Cell will autofill based on response",INDEX('GCE'!$M$10:$M$12,MATCH($F228,'GCE'!$B$10:$B$12,0))),"N/A")</f>
        <v/>
      </c>
      <c r="U228" s="53">
        <f>IFERROR(IF(INDEX('Education'!$M$10:$M$13,MATCH($F228,'Education'!$B$10:$B$13,0))="","Cell will autofill based on response",INDEX('Education'!$M$10:$M$13,MATCH($F228,'Education'!$B$10:$B$13,0))),"N/A")</f>
        <v/>
      </c>
      <c r="V228" s="53">
        <f>IFERROR(IF(INDEX('SaSS'!$M$10:$M$12,MATCH($F228,'SaSS'!$B$10:$B$12,0))="","Cell will autofill based on response",INDEX('SaSS'!$M$10:$M$12,MATCH($F228,'SaSS'!$B$10:$B$12,0))),"N/A")</f>
        <v/>
      </c>
      <c r="W228" s="53">
        <f>IFERROR(IF(INDEX('Indigenous'!$M$10:$M$11,MATCH($F228,'Indigenous'!$B$10:$B$11,0))="","Cell will autofill based on response",INDEX('Indigenous'!$M$10:$M$11,MATCH($F228,'Indigenous'!$B$10:$B$11,0))),"N/A")</f>
        <v/>
      </c>
      <c r="X228" s="53">
        <f>IFERROR(IF(INDEX('L&amp;R'!$M$10:$M$11,MATCH($F228,'L&amp;R'!$B$10:$B$11,0))="","Cell will autofill based on response",INDEX('L&amp;R'!$M$10:$M$11,MATCH($F228,'L&amp;R'!$B$10:$B$11,0))),"N/A")</f>
        <v/>
      </c>
    </row>
    <row r="229">
      <c r="A229">
        <f>F229&amp;"|"&amp;G229</f>
        <v/>
      </c>
      <c r="B229" s="13" t="inlineStr"/>
      <c r="C229" s="8" t="inlineStr"/>
      <c r="D229" s="8" t="inlineStr"/>
      <c r="E229" s="8" t="inlineStr"/>
      <c r="F229" s="8" t="inlineStr">
        <is>
          <t>EN1(c)</t>
        </is>
      </c>
      <c r="G229" s="8" t="inlineStr">
        <is>
          <t>OPTION 2:  Indicator level reporting</t>
        </is>
      </c>
      <c r="H229" s="53">
        <f>IFERROR(IF(INDEX('Faculties'!$N$10:$N$19,MATCH($F229,'Faculties'!$B$10:$B$19,0))="","Cell will autofill based on response",INDEX('Faculties'!$N$10:$N$19,MATCH($F229,'Faculties'!$B$10:$B$19,0))),"N/A")</f>
        <v/>
      </c>
      <c r="I229" s="53">
        <f>IFERROR(IF(INDEX('Faculties'!$N$26:$N$35,MATCH($F229,'Faculties'!$B$26:$B$35,0))="","Cell will autofill based on response",INDEX('Faculties'!$N$26:$N$35,MATCH($F229,'Faculties'!$B$26:$B$35,0))),"N/A")</f>
        <v/>
      </c>
      <c r="J229" s="53">
        <f>IFERROR(IF(INDEX('Faculties'!$N$42:$N$51,MATCH($F229,'Faculties'!$B$42:$B$51,0))="","Cell will autofill based on response",INDEX('Faculties'!$N$42:$N$51,MATCH($F229,'Faculties'!$B$42:$B$51,0))),"N/A")</f>
        <v/>
      </c>
      <c r="K229" s="53">
        <f>IFERROR(IF(INDEX('Faculties'!$N$58:$N$67,MATCH($F229,'Faculties'!$B$58:$B$67,0))="","Cell will autofill based on response",INDEX('Faculties'!$N$58:$N$67,MATCH($F229,'Faculties'!$B$58:$B$67,0))),"N/A")</f>
        <v/>
      </c>
      <c r="L229" s="53">
        <f>IFERROR(IF(INDEX('CI&amp;S'!$N$10:$N$15,MATCH($F229,'CI&amp;S'!$B$10:$B$15,0))="","Cell will autofill based on response",INDEX('CI&amp;S'!$N$10:$N$15,MATCH($F229,'CI&amp;S'!$B$10:$B$15,0))),"N/A")</f>
        <v/>
      </c>
      <c r="M229" s="53">
        <f>IFERROR(IF(INDEX('CI&amp;S'!$N$22:$N$36,MATCH($F229,'CI&amp;S'!$B$22:$B$36,0))="","Cell will autofill based on response",INDEX('CI&amp;S'!$N$22:$N$36,MATCH($F229,'CI&amp;S'!$B$22:$B$36,0))),"N/A")</f>
        <v/>
      </c>
      <c r="N229" s="53">
        <f>IFERROR(IF(INDEX('CFOG'!$N$10:$N$16,MATCH($F229,'CFOG'!$B$10:$B$16,0))="","Cell will autofill based on response",INDEX('CFOG'!$N$10:$N$16,MATCH($F229,'CFOG'!$B$10:$B$16,0))),"N/A")</f>
        <v/>
      </c>
      <c r="O229" s="53">
        <f>IFERROR(IF(INDEX('CFOG'!$N$23:$N$24,MATCH($F229,'CFOG'!$B$23:$B$24,0))="","Cell will autofill based on response",INDEX('CFOG'!$N$23:$N$24,MATCH($F229,'CFOG'!$B$23:$B$24,0))),"N/A")</f>
        <v/>
      </c>
      <c r="P229" s="53">
        <f>IFERROR(IF(INDEX('ESG'!$N$10:$N$17,MATCH($F229,'ESG'!$B$10:$B$17,0))="","Cell will autofill based on response",INDEX('ESG'!$N$10:$N$17,MATCH($F229,'ESG'!$B$10:$B$17,0))),"N/A")</f>
        <v/>
      </c>
      <c r="Q229" s="53">
        <f>IFERROR(IF(INDEX('CIOG'!$N$10:$N$14,MATCH($F229,'CIOG'!$B$10:$B$14,0))="","Cell will autofill based on response",INDEX('CIOG'!$N$10:$N$14,MATCH($F229,'CIOG'!$B$10:$B$14,0))),"N/A")</f>
        <v/>
      </c>
      <c r="R229" s="53">
        <f>IFERROR(IF(INDEX('MRE'!$N$10:$N$18,MATCH($F229,'MRE'!$B$10:$B$18,0))="","Cell will autofill based on response",INDEX('MRE'!$N$10:$N$18,MATCH($F229,'MRE'!$B$10:$B$18,0))),"N/A")</f>
        <v/>
      </c>
      <c r="S229" s="53">
        <f>IFERROR(IF(INDEX('AC&amp;M'!$N$10:$N$14,MATCH($F229,'AC&amp;M'!$B$10:$B$14,0))="","Cell will autofill based on response",INDEX('AC&amp;M'!$N$10:$N$14,MATCH($F229,'AC&amp;M'!$B$10:$B$14,0))),"N/A")</f>
        <v/>
      </c>
      <c r="T229" s="53">
        <f>IFERROR(IF(INDEX('GCE'!$N$10:$N$12,MATCH($F229,'GCE'!$B$10:$B$12,0))="","Cell will autofill based on response",INDEX('GCE'!$N$10:$N$12,MATCH($F229,'GCE'!$B$10:$B$12,0))),"N/A")</f>
        <v/>
      </c>
      <c r="U229" s="53">
        <f>IFERROR(IF(INDEX('Education'!$N$10:$N$13,MATCH($F229,'Education'!$B$10:$B$13,0))="","Cell will autofill based on response",INDEX('Education'!$N$10:$N$13,MATCH($F229,'Education'!$B$10:$B$13,0))),"N/A")</f>
        <v/>
      </c>
      <c r="V229" s="53">
        <f>IFERROR(IF(INDEX('SaSS'!$N$10:$N$12,MATCH($F229,'SaSS'!$B$10:$B$12,0))="","Cell will autofill based on response",INDEX('SaSS'!$N$10:$N$12,MATCH($F229,'SaSS'!$B$10:$B$12,0))),"N/A")</f>
        <v/>
      </c>
      <c r="W229" s="53">
        <f>IFERROR(IF(INDEX('Indigenous'!$N$10:$N$11,MATCH($F229,'Indigenous'!$B$10:$B$11,0))="","Cell will autofill based on response",INDEX('Indigenous'!$N$10:$N$11,MATCH($F229,'Indigenous'!$B$10:$B$11,0))),"N/A")</f>
        <v/>
      </c>
      <c r="X229" s="53">
        <f>IFERROR(IF(INDEX('L&amp;R'!$N$10:$N$11,MATCH($F229,'L&amp;R'!$B$10:$B$11,0))="","Cell will autofill based on response",INDEX('L&amp;R'!$N$10:$N$11,MATCH($F229,'L&amp;R'!$B$10:$B$11,0))),"N/A")</f>
        <v/>
      </c>
    </row>
    <row r="230">
      <c r="A230">
        <f>F230&amp;"|"&amp;G230</f>
        <v/>
      </c>
      <c r="B230" s="13" t="inlineStr"/>
      <c r="C230" s="8" t="inlineStr"/>
      <c r="D230" s="8" t="inlineStr"/>
      <c r="E230" s="8" t="inlineStr"/>
      <c r="F230" s="8" t="inlineStr">
        <is>
          <t>EN1(c)</t>
        </is>
      </c>
      <c r="G230" s="8" t="inlineStr">
        <is>
          <t>Supporting information/comments</t>
        </is>
      </c>
      <c r="H230" s="53">
        <f>IFERROR(IF(INDEX('Faculties'!$O$10:$O$19,MATCH($F230,'Faculties'!$B$10:$B$19,0))="","Cell will autofill based on response",INDEX('Faculties'!$O$10:$O$19,MATCH($F230,'Faculties'!$B$10:$B$19,0))),"N/A")</f>
        <v/>
      </c>
      <c r="I230" s="53">
        <f>IFERROR(IF(INDEX('Faculties'!$O$26:$O$35,MATCH($F230,'Faculties'!$B$26:$B$35,0))="","Cell will autofill based on response",INDEX('Faculties'!$O$26:$O$35,MATCH($F230,'Faculties'!$B$26:$B$35,0))),"N/A")</f>
        <v/>
      </c>
      <c r="J230" s="53">
        <f>IFERROR(IF(INDEX('Faculties'!$O$42:$O$51,MATCH($F230,'Faculties'!$B$42:$B$51,0))="","Cell will autofill based on response",INDEX('Faculties'!$O$42:$O$51,MATCH($F230,'Faculties'!$B$42:$B$51,0))),"N/A")</f>
        <v/>
      </c>
      <c r="K230" s="53">
        <f>IFERROR(IF(INDEX('Faculties'!$O$58:$O$67,MATCH($F230,'Faculties'!$B$58:$B$67,0))="","Cell will autofill based on response",INDEX('Faculties'!$O$58:$O$67,MATCH($F230,'Faculties'!$B$58:$B$67,0))),"N/A")</f>
        <v/>
      </c>
      <c r="L230" s="53">
        <f>IFERROR(IF(INDEX('CI&amp;S'!$O$10:$O$15,MATCH($F230,'CI&amp;S'!$B$10:$B$15,0))="","Cell will autofill based on response",INDEX('CI&amp;S'!$O$10:$O$15,MATCH($F230,'CI&amp;S'!$B$10:$B$15,0))),"N/A")</f>
        <v/>
      </c>
      <c r="M230" s="53">
        <f>IFERROR(IF(INDEX('CI&amp;S'!$O$22:$O$36,MATCH($F230,'CI&amp;S'!$B$22:$B$36,0))="","Cell will autofill based on response",INDEX('CI&amp;S'!$O$22:$O$36,MATCH($F230,'CI&amp;S'!$B$22:$B$36,0))),"N/A")</f>
        <v/>
      </c>
      <c r="N230" s="53">
        <f>IFERROR(IF(INDEX('CFOG'!$O$10:$O$16,MATCH($F230,'CFOG'!$B$10:$B$16,0))="","Cell will autofill based on response",INDEX('CFOG'!$O$10:$O$16,MATCH($F230,'CFOG'!$B$10:$B$16,0))),"N/A")</f>
        <v/>
      </c>
      <c r="O230" s="53">
        <f>IFERROR(IF(INDEX('CFOG'!$O$23:$O$24,MATCH($F230,'CFOG'!$B$23:$B$24,0))="","Cell will autofill based on response",INDEX('CFOG'!$O$23:$O$24,MATCH($F230,'CFOG'!$B$23:$B$24,0))),"N/A")</f>
        <v/>
      </c>
      <c r="P230" s="53">
        <f>IFERROR(IF(INDEX('ESG'!$O$10:$O$17,MATCH($F230,'ESG'!$B$10:$B$17,0))="","Cell will autofill based on response",INDEX('ESG'!$O$10:$O$17,MATCH($F230,'ESG'!$B$10:$B$17,0))),"N/A")</f>
        <v/>
      </c>
      <c r="Q230" s="53">
        <f>IFERROR(IF(INDEX('CIOG'!$O$10:$O$14,MATCH($F230,'CIOG'!$B$10:$B$14,0))="","Cell will autofill based on response",INDEX('CIOG'!$O$10:$O$14,MATCH($F230,'CIOG'!$B$10:$B$14,0))),"N/A")</f>
        <v/>
      </c>
      <c r="R230" s="53">
        <f>IFERROR(IF(INDEX('MRE'!$O$10:$O$18,MATCH($F230,'MRE'!$B$10:$B$18,0))="","Cell will autofill based on response",INDEX('MRE'!$O$10:$O$18,MATCH($F230,'MRE'!$B$10:$B$18,0))),"N/A")</f>
        <v/>
      </c>
      <c r="S230" s="53">
        <f>IFERROR(IF(INDEX('AC&amp;M'!$O$10:$O$14,MATCH($F230,'AC&amp;M'!$B$10:$B$14,0))="","Cell will autofill based on response",INDEX('AC&amp;M'!$O$10:$O$14,MATCH($F230,'AC&amp;M'!$B$10:$B$14,0))),"N/A")</f>
        <v/>
      </c>
      <c r="T230" s="53">
        <f>IFERROR(IF(INDEX('GCE'!$O$10:$O$12,MATCH($F230,'GCE'!$B$10:$B$12,0))="","Cell will autofill based on response",INDEX('GCE'!$O$10:$O$12,MATCH($F230,'GCE'!$B$10:$B$12,0))),"N/A")</f>
        <v/>
      </c>
      <c r="U230" s="53">
        <f>IFERROR(IF(INDEX('Education'!$O$10:$O$13,MATCH($F230,'Education'!$B$10:$B$13,0))="","Cell will autofill based on response",INDEX('Education'!$O$10:$O$13,MATCH($F230,'Education'!$B$10:$B$13,0))),"N/A")</f>
        <v/>
      </c>
      <c r="V230" s="53">
        <f>IFERROR(IF(INDEX('SaSS'!$O$10:$O$12,MATCH($F230,'SaSS'!$B$10:$B$12,0))="","Cell will autofill based on response",INDEX('SaSS'!$O$10:$O$12,MATCH($F230,'SaSS'!$B$10:$B$12,0))),"N/A")</f>
        <v/>
      </c>
      <c r="W230" s="53">
        <f>IFERROR(IF(INDEX('Indigenous'!$O$10:$O$11,MATCH($F230,'Indigenous'!$B$10:$B$11,0))="","Cell will autofill based on response",INDEX('Indigenous'!$O$10:$O$11,MATCH($F230,'Indigenous'!$B$10:$B$11,0))),"N/A")</f>
        <v/>
      </c>
      <c r="X230" s="53">
        <f>IFERROR(IF(INDEX('L&amp;R'!$O$10:$O$11,MATCH($F230,'L&amp;R'!$B$10:$B$11,0))="","Cell will autofill based on response",INDEX('L&amp;R'!$O$10:$O$11,MATCH($F230,'L&amp;R'!$B$10:$B$11,0))),"N/A")</f>
        <v/>
      </c>
    </row>
    <row r="231">
      <c r="A231">
        <f>F231&amp;"|"&amp;G231</f>
        <v/>
      </c>
      <c r="B231" s="13" t="inlineStr"/>
      <c r="C231" s="8" t="inlineStr"/>
      <c r="D231" s="8" t="inlineStr"/>
      <c r="E231" s="8" t="inlineStr"/>
      <c r="F231" s="8" t="inlineStr">
        <is>
          <t>EN1(c)</t>
        </is>
      </c>
      <c r="G231" s="8" t="inlineStr">
        <is>
          <t>Data source and limitations</t>
        </is>
      </c>
      <c r="H231" s="53">
        <f>IFERROR(IF(INDEX('Faculties'!$P$10:$P$19,MATCH($F231,'Faculties'!$B$10:$B$19,0))="","Cell will autofill based on response",INDEX('Faculties'!$P$10:$P$19,MATCH($F231,'Faculties'!$B$10:$B$19,0))),"N/A")</f>
        <v/>
      </c>
      <c r="I231" s="53">
        <f>IFERROR(IF(INDEX('Faculties'!$P$26:$P$35,MATCH($F231,'Faculties'!$B$26:$B$35,0))="","Cell will autofill based on response",INDEX('Faculties'!$P$26:$P$35,MATCH($F231,'Faculties'!$B$26:$B$35,0))),"N/A")</f>
        <v/>
      </c>
      <c r="J231" s="53">
        <f>IFERROR(IF(INDEX('Faculties'!$P$42:$P$51,MATCH($F231,'Faculties'!$B$42:$B$51,0))="","Cell will autofill based on response",INDEX('Faculties'!$P$42:$P$51,MATCH($F231,'Faculties'!$B$42:$B$51,0))),"N/A")</f>
        <v/>
      </c>
      <c r="K231" s="53">
        <f>IFERROR(IF(INDEX('Faculties'!$P$58:$P$67,MATCH($F231,'Faculties'!$B$58:$B$67,0))="","Cell will autofill based on response",INDEX('Faculties'!$P$58:$P$67,MATCH($F231,'Faculties'!$B$58:$B$67,0))),"N/A")</f>
        <v/>
      </c>
      <c r="L231" s="53">
        <f>IFERROR(IF(INDEX('CI&amp;S'!$P$10:$P$15,MATCH($F231,'CI&amp;S'!$B$10:$B$15,0))="","Cell will autofill based on response",INDEX('CI&amp;S'!$P$10:$P$15,MATCH($F231,'CI&amp;S'!$B$10:$B$15,0))),"N/A")</f>
        <v/>
      </c>
      <c r="M231" s="53">
        <f>IFERROR(IF(INDEX('CI&amp;S'!$P$22:$P$36,MATCH($F231,'CI&amp;S'!$B$22:$B$36,0))="","Cell will autofill based on response",INDEX('CI&amp;S'!$P$22:$P$36,MATCH($F231,'CI&amp;S'!$B$22:$B$36,0))),"N/A")</f>
        <v/>
      </c>
      <c r="N231" s="53">
        <f>IFERROR(IF(INDEX('CFOG'!$P$10:$P$16,MATCH($F231,'CFOG'!$B$10:$B$16,0))="","Cell will autofill based on response",INDEX('CFOG'!$P$10:$P$16,MATCH($F231,'CFOG'!$B$10:$B$16,0))),"N/A")</f>
        <v/>
      </c>
      <c r="O231" s="53">
        <f>IFERROR(IF(INDEX('CFOG'!$P$23:$P$24,MATCH($F231,'CFOG'!$B$23:$B$24,0))="","Cell will autofill based on response",INDEX('CFOG'!$P$23:$P$24,MATCH($F231,'CFOG'!$B$23:$B$24,0))),"N/A")</f>
        <v/>
      </c>
      <c r="P231" s="53">
        <f>IFERROR(IF(INDEX('ESG'!$P$10:$P$17,MATCH($F231,'ESG'!$B$10:$B$17,0))="","Cell will autofill based on response",INDEX('ESG'!$P$10:$P$17,MATCH($F231,'ESG'!$B$10:$B$17,0))),"N/A")</f>
        <v/>
      </c>
      <c r="Q231" s="53">
        <f>IFERROR(IF(INDEX('CIOG'!$P$10:$P$14,MATCH($F231,'CIOG'!$B$10:$B$14,0))="","Cell will autofill based on response",INDEX('CIOG'!$P$10:$P$14,MATCH($F231,'CIOG'!$B$10:$B$14,0))),"N/A")</f>
        <v/>
      </c>
      <c r="R231" s="53">
        <f>IFERROR(IF(INDEX('MRE'!$P$10:$P$18,MATCH($F231,'MRE'!$B$10:$B$18,0))="","Cell will autofill based on response",INDEX('MRE'!$P$10:$P$18,MATCH($F231,'MRE'!$B$10:$B$18,0))),"N/A")</f>
        <v/>
      </c>
      <c r="S231" s="53">
        <f>IFERROR(IF(INDEX('AC&amp;M'!$P$10:$P$14,MATCH($F231,'AC&amp;M'!$B$10:$B$14,0))="","Cell will autofill based on response",INDEX('AC&amp;M'!$P$10:$P$14,MATCH($F231,'AC&amp;M'!$B$10:$B$14,0))),"N/A")</f>
        <v/>
      </c>
      <c r="T231" s="53">
        <f>IFERROR(IF(INDEX('GCE'!$P$10:$P$12,MATCH($F231,'GCE'!$B$10:$B$12,0))="","Cell will autofill based on response",INDEX('GCE'!$P$10:$P$12,MATCH($F231,'GCE'!$B$10:$B$12,0))),"N/A")</f>
        <v/>
      </c>
      <c r="U231" s="53">
        <f>IFERROR(IF(INDEX('Education'!$P$10:$P$13,MATCH($F231,'Education'!$B$10:$B$13,0))="","Cell will autofill based on response",INDEX('Education'!$P$10:$P$13,MATCH($F231,'Education'!$B$10:$B$13,0))),"N/A")</f>
        <v/>
      </c>
      <c r="V231" s="53">
        <f>IFERROR(IF(INDEX('SaSS'!$P$10:$P$12,MATCH($F231,'SaSS'!$B$10:$B$12,0))="","Cell will autofill based on response",INDEX('SaSS'!$P$10:$P$12,MATCH($F231,'SaSS'!$B$10:$B$12,0))),"N/A")</f>
        <v/>
      </c>
      <c r="W231" s="53">
        <f>IFERROR(IF(INDEX('Indigenous'!$P$10:$P$11,MATCH($F231,'Indigenous'!$B$10:$B$11,0))="","Cell will autofill based on response",INDEX('Indigenous'!$P$10:$P$11,MATCH($F231,'Indigenous'!$B$10:$B$11,0))),"N/A")</f>
        <v/>
      </c>
      <c r="X231" s="53">
        <f>IFERROR(IF(INDEX('L&amp;R'!$P$10:$P$11,MATCH($F231,'L&amp;R'!$B$10:$B$11,0))="","Cell will autofill based on response",INDEX('L&amp;R'!$P$10:$P$11,MATCH($F231,'L&amp;R'!$B$10:$B$11,0))),"N/A")</f>
        <v/>
      </c>
    </row>
    <row r="232">
      <c r="A232">
        <f>F232&amp;"|"&amp;G232</f>
        <v/>
      </c>
      <c r="B232" s="13" t="inlineStr"/>
      <c r="C232" s="8" t="inlineStr"/>
      <c r="D232" s="8" t="inlineStr"/>
      <c r="E232" s="8" t="inlineStr"/>
      <c r="F232" s="8" t="inlineStr">
        <is>
          <t>EN1(c)</t>
        </is>
      </c>
      <c r="G232" s="8" t="inlineStr">
        <is>
          <t>Data owner confirms</t>
        </is>
      </c>
      <c r="H232" s="53">
        <f>IFERROR(IF(INDEX('Faculties'!$Q$10:$Q$19,MATCH($F232,'Faculties'!$B$10:$B$19,0))="","Cell will autofill based on response",INDEX('Faculties'!$Q$10:$Q$19,MATCH($F232,'Faculties'!$B$10:$B$19,0))),"N/A")</f>
        <v/>
      </c>
      <c r="I232" s="53">
        <f>IFERROR(IF(INDEX('Faculties'!$Q$26:$Q$35,MATCH($F232,'Faculties'!$B$26:$B$35,0))="","Cell will autofill based on response",INDEX('Faculties'!$Q$26:$Q$35,MATCH($F232,'Faculties'!$B$26:$B$35,0))),"N/A")</f>
        <v/>
      </c>
      <c r="J232" s="53">
        <f>IFERROR(IF(INDEX('Faculties'!$Q$42:$Q$51,MATCH($F232,'Faculties'!$B$42:$B$51,0))="","Cell will autofill based on response",INDEX('Faculties'!$Q$42:$Q$51,MATCH($F232,'Faculties'!$B$42:$B$51,0))),"N/A")</f>
        <v/>
      </c>
      <c r="K232" s="53">
        <f>IFERROR(IF(INDEX('Faculties'!$Q$58:$Q$67,MATCH($F232,'Faculties'!$B$58:$B$67,0))="","Cell will autofill based on response",INDEX('Faculties'!$Q$58:$Q$67,MATCH($F232,'Faculties'!$B$58:$B$67,0))),"N/A")</f>
        <v/>
      </c>
      <c r="L232" s="53">
        <f>IFERROR(IF(INDEX('CI&amp;S'!$Q$10:$Q$15,MATCH($F232,'CI&amp;S'!$B$10:$B$15,0))="","Cell will autofill based on response",INDEX('CI&amp;S'!$Q$10:$Q$15,MATCH($F232,'CI&amp;S'!$B$10:$B$15,0))),"N/A")</f>
        <v/>
      </c>
      <c r="M232" s="53">
        <f>IFERROR(IF(INDEX('CI&amp;S'!$Q$22:$Q$36,MATCH($F232,'CI&amp;S'!$B$22:$B$36,0))="","Cell will autofill based on response",INDEX('CI&amp;S'!$Q$22:$Q$36,MATCH($F232,'CI&amp;S'!$B$22:$B$36,0))),"N/A")</f>
        <v/>
      </c>
      <c r="N232" s="53">
        <f>IFERROR(IF(INDEX('CFOG'!$Q$10:$Q$16,MATCH($F232,'CFOG'!$B$10:$B$16,0))="","Cell will autofill based on response",INDEX('CFOG'!$Q$10:$Q$16,MATCH($F232,'CFOG'!$B$10:$B$16,0))),"N/A")</f>
        <v/>
      </c>
      <c r="O232" s="53">
        <f>IFERROR(IF(INDEX('CFOG'!$Q$23:$Q$24,MATCH($F232,'CFOG'!$B$23:$B$24,0))="","Cell will autofill based on response",INDEX('CFOG'!$Q$23:$Q$24,MATCH($F232,'CFOG'!$B$23:$B$24,0))),"N/A")</f>
        <v/>
      </c>
      <c r="P232" s="53">
        <f>IFERROR(IF(INDEX('ESG'!$Q$10:$Q$17,MATCH($F232,'ESG'!$B$10:$B$17,0))="","Cell will autofill based on response",INDEX('ESG'!$Q$10:$Q$17,MATCH($F232,'ESG'!$B$10:$B$17,0))),"N/A")</f>
        <v/>
      </c>
      <c r="Q232" s="53">
        <f>IFERROR(IF(INDEX('CIOG'!$Q$10:$Q$14,MATCH($F232,'CIOG'!$B$10:$B$14,0))="","Cell will autofill based on response",INDEX('CIOG'!$Q$10:$Q$14,MATCH($F232,'CIOG'!$B$10:$B$14,0))),"N/A")</f>
        <v/>
      </c>
      <c r="R232" s="53">
        <f>IFERROR(IF(INDEX('MRE'!$Q$10:$Q$18,MATCH($F232,'MRE'!$B$10:$B$18,0))="","Cell will autofill based on response",INDEX('MRE'!$Q$10:$Q$18,MATCH($F232,'MRE'!$B$10:$B$18,0))),"N/A")</f>
        <v/>
      </c>
      <c r="S232" s="53">
        <f>IFERROR(IF(INDEX('AC&amp;M'!$Q$10:$Q$14,MATCH($F232,'AC&amp;M'!$B$10:$B$14,0))="","Cell will autofill based on response",INDEX('AC&amp;M'!$Q$10:$Q$14,MATCH($F232,'AC&amp;M'!$B$10:$B$14,0))),"N/A")</f>
        <v/>
      </c>
      <c r="T232" s="53">
        <f>IFERROR(IF(INDEX('GCE'!$Q$10:$Q$12,MATCH($F232,'GCE'!$B$10:$B$12,0))="","Cell will autofill based on response",INDEX('GCE'!$Q$10:$Q$12,MATCH($F232,'GCE'!$B$10:$B$12,0))),"N/A")</f>
        <v/>
      </c>
      <c r="U232" s="53">
        <f>IFERROR(IF(INDEX('Education'!$Q$10:$Q$13,MATCH($F232,'Education'!$B$10:$B$13,0))="","Cell will autofill based on response",INDEX('Education'!$Q$10:$Q$13,MATCH($F232,'Education'!$B$10:$B$13,0))),"N/A")</f>
        <v/>
      </c>
      <c r="V232" s="53">
        <f>IFERROR(IF(INDEX('SaSS'!$Q$10:$Q$12,MATCH($F232,'SaSS'!$B$10:$B$12,0))="","Cell will autofill based on response",INDEX('SaSS'!$Q$10:$Q$12,MATCH($F232,'SaSS'!$B$10:$B$12,0))),"N/A")</f>
        <v/>
      </c>
      <c r="W232" s="53">
        <f>IFERROR(IF(INDEX('Indigenous'!$Q$10:$Q$11,MATCH($F232,'Indigenous'!$B$10:$B$11,0))="","Cell will autofill based on response",INDEX('Indigenous'!$Q$10:$Q$11,MATCH($F232,'Indigenous'!$B$10:$B$11,0))),"N/A")</f>
        <v/>
      </c>
      <c r="X232" s="53">
        <f>IFERROR(IF(INDEX('L&amp;R'!$Q$10:$Q$11,MATCH($F232,'L&amp;R'!$B$10:$B$11,0))="","Cell will autofill based on response",INDEX('L&amp;R'!$Q$10:$Q$11,MATCH($F232,'L&amp;R'!$B$10:$B$11,0))),"N/A")</f>
        <v/>
      </c>
    </row>
    <row r="233">
      <c r="A233">
        <f>F233&amp;"|"&amp;G233</f>
        <v/>
      </c>
      <c r="B233" s="7" t="inlineStr">
        <is>
          <t>EN1(d)</t>
        </is>
      </c>
      <c r="C233" s="51" t="inlineStr">
        <is>
          <t>Enablers</t>
        </is>
      </c>
      <c r="D233" s="51" t="inlineStr">
        <is>
          <t>Sustainability objectives integrated into governance and decision‑making processes, supported by transparent reporting.</t>
        </is>
      </c>
      <c r="E233" s="51"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F233" s="51" t="inlineStr">
        <is>
          <t>EN1(d)</t>
        </is>
      </c>
      <c r="G233" s="51" t="inlineStr">
        <is>
          <t>Confirm end-2026 target status</t>
        </is>
      </c>
      <c r="H233" s="53">
        <f>IFERROR(IF(INDEX('Faculties'!$L$10:$L$19,MATCH($F233,'Faculties'!$B$10:$B$19,0))="","Cell will autofill based on response",INDEX('Faculties'!$L$10:$L$19,MATCH($F233,'Faculties'!$B$10:$B$19,0))),"N/A")</f>
        <v/>
      </c>
      <c r="I233" s="53">
        <f>IFERROR(IF(INDEX('Faculties'!$L$26:$L$35,MATCH($F233,'Faculties'!$B$26:$B$35,0))="","Cell will autofill based on response",INDEX('Faculties'!$L$26:$L$35,MATCH($F233,'Faculties'!$B$26:$B$35,0))),"N/A")</f>
        <v/>
      </c>
      <c r="J233" s="53">
        <f>IFERROR(IF(INDEX('Faculties'!$L$42:$L$51,MATCH($F233,'Faculties'!$B$42:$B$51,0))="","Cell will autofill based on response",INDEX('Faculties'!$L$42:$L$51,MATCH($F233,'Faculties'!$B$42:$B$51,0))),"N/A")</f>
        <v/>
      </c>
      <c r="K233" s="53">
        <f>IFERROR(IF(INDEX('Faculties'!$L$58:$L$67,MATCH($F233,'Faculties'!$B$58:$B$67,0))="","Cell will autofill based on response",INDEX('Faculties'!$L$58:$L$67,MATCH($F233,'Faculties'!$B$58:$B$67,0))),"N/A")</f>
        <v/>
      </c>
      <c r="L233" s="53">
        <f>IFERROR(IF(INDEX('CI&amp;S'!$L$10:$L$15,MATCH($F233,'CI&amp;S'!$B$10:$B$15,0))="","Cell will autofill based on response",INDEX('CI&amp;S'!$L$10:$L$15,MATCH($F233,'CI&amp;S'!$B$10:$B$15,0))),"N/A")</f>
        <v/>
      </c>
      <c r="M233" s="53">
        <f>IFERROR(IF(INDEX('CI&amp;S'!$L$22:$L$36,MATCH($F233,'CI&amp;S'!$B$22:$B$36,0))="","Cell will autofill based on response",INDEX('CI&amp;S'!$L$22:$L$36,MATCH($F233,'CI&amp;S'!$B$22:$B$36,0))),"N/A")</f>
        <v/>
      </c>
      <c r="N233" s="53">
        <f>IFERROR(IF(INDEX('CFOG'!$L$10:$L$16,MATCH($F233,'CFOG'!$B$10:$B$16,0))="","Cell will autofill based on response",INDEX('CFOG'!$L$10:$L$16,MATCH($F233,'CFOG'!$B$10:$B$16,0))),"N/A")</f>
        <v/>
      </c>
      <c r="O233" s="53">
        <f>IFERROR(IF(INDEX('CFOG'!$L$23:$L$24,MATCH($F233,'CFOG'!$B$23:$B$24,0))="","Cell will autofill based on response",INDEX('CFOG'!$L$23:$L$24,MATCH($F233,'CFOG'!$B$23:$B$24,0))),"N/A")</f>
        <v/>
      </c>
      <c r="P233" s="53">
        <f>IFERROR(IF(INDEX('ESG'!$L$10:$L$17,MATCH($F233,'ESG'!$B$10:$B$17,0))="","Cell will autofill based on response",INDEX('ESG'!$L$10:$L$17,MATCH($F233,'ESG'!$B$10:$B$17,0))),"N/A")</f>
        <v/>
      </c>
      <c r="Q233" s="53">
        <f>IFERROR(IF(INDEX('CIOG'!$L$10:$L$14,MATCH($F233,'CIOG'!$B$10:$B$14,0))="","Cell will autofill based on response",INDEX('CIOG'!$L$10:$L$14,MATCH($F233,'CIOG'!$B$10:$B$14,0))),"N/A")</f>
        <v/>
      </c>
      <c r="R233" s="53">
        <f>IFERROR(IF(INDEX('MRE'!$L$10:$L$18,MATCH($F233,'MRE'!$B$10:$B$18,0))="","Cell will autofill based on response",INDEX('MRE'!$L$10:$L$18,MATCH($F233,'MRE'!$B$10:$B$18,0))),"N/A")</f>
        <v/>
      </c>
      <c r="S233" s="53">
        <f>IFERROR(IF(INDEX('AC&amp;M'!$L$10:$L$14,MATCH($F233,'AC&amp;M'!$B$10:$B$14,0))="","Cell will autofill based on response",INDEX('AC&amp;M'!$L$10:$L$14,MATCH($F233,'AC&amp;M'!$B$10:$B$14,0))),"N/A")</f>
        <v/>
      </c>
      <c r="T233" s="53">
        <f>IFERROR(IF(INDEX('GCE'!$L$10:$L$12,MATCH($F233,'GCE'!$B$10:$B$12,0))="","Cell will autofill based on response",INDEX('GCE'!$L$10:$L$12,MATCH($F233,'GCE'!$B$10:$B$12,0))),"N/A")</f>
        <v/>
      </c>
      <c r="U233" s="53">
        <f>IFERROR(IF(INDEX('Education'!$L$10:$L$13,MATCH($F233,'Education'!$B$10:$B$13,0))="","Cell will autofill based on response",INDEX('Education'!$L$10:$L$13,MATCH($F233,'Education'!$B$10:$B$13,0))),"N/A")</f>
        <v/>
      </c>
      <c r="V233" s="53">
        <f>IFERROR(IF(INDEX('SaSS'!$L$10:$L$12,MATCH($F233,'SaSS'!$B$10:$B$12,0))="","Cell will autofill based on response",INDEX('SaSS'!$L$10:$L$12,MATCH($F233,'SaSS'!$B$10:$B$12,0))),"N/A")</f>
        <v/>
      </c>
      <c r="W233" s="53">
        <f>IFERROR(IF(INDEX('Indigenous'!$L$10:$L$11,MATCH($F233,'Indigenous'!$B$10:$B$11,0))="","Cell will autofill based on response",INDEX('Indigenous'!$L$10:$L$11,MATCH($F233,'Indigenous'!$B$10:$B$11,0))),"N/A")</f>
        <v/>
      </c>
      <c r="X233" s="53">
        <f>IFERROR(IF(INDEX('L&amp;R'!$L$10:$L$11,MATCH($F233,'L&amp;R'!$B$10:$B$11,0))="","Cell will autofill based on response",INDEX('L&amp;R'!$L$10:$L$11,MATCH($F233,'L&amp;R'!$B$10:$B$11,0))),"N/A")</f>
        <v/>
      </c>
      <c r="Z233" s="10">
        <f>COUNTIF($H233:$X233,"Cell will autofill based on response")</f>
        <v/>
      </c>
      <c r="AA233" s="10">
        <f>COUNTIF($H233:$X233,"Not yet started")</f>
        <v/>
      </c>
      <c r="AB233" s="10">
        <f>COUNTIF($H233:$X233,"Not met")</f>
        <v/>
      </c>
      <c r="AC233" s="10">
        <f>COUNTIF($H233:$X233,"Partially met")</f>
        <v/>
      </c>
      <c r="AD233" s="10">
        <f>COUNTIF($H233:$X233,"Met or exceeded")</f>
        <v/>
      </c>
      <c r="AE233" s="10">
        <f>3*AD233+2*AC233+AB233</f>
        <v/>
      </c>
      <c r="AF233" s="10">
        <f>AD233+AC233+AB233+AA233</f>
        <v/>
      </c>
      <c r="AG233" s="54">
        <f>IF(AF233&gt;0,AE233/AF233,"No valid responses to date")</f>
        <v/>
      </c>
      <c r="AH233" s="10">
        <f>IF(ISNUMBER(AG233),INDEX(Lists!$G$2:$G$5,MATCH(ROUND(AG233,0),Lists!$H$2:$H$5,0)),"")</f>
        <v/>
      </c>
      <c r="AI233" s="55">
        <f>IF(AF233&gt;0,AD233/AF233,"")</f>
        <v/>
      </c>
      <c r="AJ233" s="55">
        <f>IF(AF233&gt;0,(AD233+AC233)/AF233,"")</f>
        <v/>
      </c>
      <c r="AK233" s="10">
        <f>IF(AF233=0,"",IF(AI233&gt;0.75,"Met or exceeded",IF(AJ233&gt;=0.5,"Partially met","Not met")))</f>
        <v/>
      </c>
    </row>
    <row r="234">
      <c r="A234">
        <f>F234&amp;"|"&amp;G234</f>
        <v/>
      </c>
      <c r="B234" s="13" t="inlineStr"/>
      <c r="C234" s="8" t="inlineStr"/>
      <c r="D234" s="8" t="inlineStr"/>
      <c r="E234" s="8" t="inlineStr"/>
      <c r="F234" s="8" t="inlineStr">
        <is>
          <t>EN1(d)</t>
        </is>
      </c>
      <c r="G234" s="8" t="inlineStr">
        <is>
          <t>OPTION 1:  Target-level reporting</t>
        </is>
      </c>
      <c r="H234" s="53">
        <f>IFERROR(IF(INDEX('Faculties'!$M$10:$M$19,MATCH($F234,'Faculties'!$B$10:$B$19,0))="","Cell will autofill based on response",INDEX('Faculties'!$M$10:$M$19,MATCH($F234,'Faculties'!$B$10:$B$19,0))),"N/A")</f>
        <v/>
      </c>
      <c r="I234" s="53">
        <f>IFERROR(IF(INDEX('Faculties'!$M$26:$M$35,MATCH($F234,'Faculties'!$B$26:$B$35,0))="","Cell will autofill based on response",INDEX('Faculties'!$M$26:$M$35,MATCH($F234,'Faculties'!$B$26:$B$35,0))),"N/A")</f>
        <v/>
      </c>
      <c r="J234" s="53">
        <f>IFERROR(IF(INDEX('Faculties'!$M$42:$M$51,MATCH($F234,'Faculties'!$B$42:$B$51,0))="","Cell will autofill based on response",INDEX('Faculties'!$M$42:$M$51,MATCH($F234,'Faculties'!$B$42:$B$51,0))),"N/A")</f>
        <v/>
      </c>
      <c r="K234" s="53">
        <f>IFERROR(IF(INDEX('Faculties'!$M$58:$M$67,MATCH($F234,'Faculties'!$B$58:$B$67,0))="","Cell will autofill based on response",INDEX('Faculties'!$M$58:$M$67,MATCH($F234,'Faculties'!$B$58:$B$67,0))),"N/A")</f>
        <v/>
      </c>
      <c r="L234" s="53">
        <f>IFERROR(IF(INDEX('CI&amp;S'!$M$10:$M$15,MATCH($F234,'CI&amp;S'!$B$10:$B$15,0))="","Cell will autofill based on response",INDEX('CI&amp;S'!$M$10:$M$15,MATCH($F234,'CI&amp;S'!$B$10:$B$15,0))),"N/A")</f>
        <v/>
      </c>
      <c r="M234" s="53">
        <f>IFERROR(IF(INDEX('CI&amp;S'!$M$22:$M$36,MATCH($F234,'CI&amp;S'!$B$22:$B$36,0))="","Cell will autofill based on response",INDEX('CI&amp;S'!$M$22:$M$36,MATCH($F234,'CI&amp;S'!$B$22:$B$36,0))),"N/A")</f>
        <v/>
      </c>
      <c r="N234" s="53">
        <f>IFERROR(IF(INDEX('CFOG'!$M$10:$M$16,MATCH($F234,'CFOG'!$B$10:$B$16,0))="","Cell will autofill based on response",INDEX('CFOG'!$M$10:$M$16,MATCH($F234,'CFOG'!$B$10:$B$16,0))),"N/A")</f>
        <v/>
      </c>
      <c r="O234" s="53">
        <f>IFERROR(IF(INDEX('CFOG'!$M$23:$M$24,MATCH($F234,'CFOG'!$B$23:$B$24,0))="","Cell will autofill based on response",INDEX('CFOG'!$M$23:$M$24,MATCH($F234,'CFOG'!$B$23:$B$24,0))),"N/A")</f>
        <v/>
      </c>
      <c r="P234" s="53">
        <f>IFERROR(IF(INDEX('ESG'!$M$10:$M$17,MATCH($F234,'ESG'!$B$10:$B$17,0))="","Cell will autofill based on response",INDEX('ESG'!$M$10:$M$17,MATCH($F234,'ESG'!$B$10:$B$17,0))),"N/A")</f>
        <v/>
      </c>
      <c r="Q234" s="53">
        <f>IFERROR(IF(INDEX('CIOG'!$M$10:$M$14,MATCH($F234,'CIOG'!$B$10:$B$14,0))="","Cell will autofill based on response",INDEX('CIOG'!$M$10:$M$14,MATCH($F234,'CIOG'!$B$10:$B$14,0))),"N/A")</f>
        <v/>
      </c>
      <c r="R234" s="53">
        <f>IFERROR(IF(INDEX('MRE'!$M$10:$M$18,MATCH($F234,'MRE'!$B$10:$B$18,0))="","Cell will autofill based on response",INDEX('MRE'!$M$10:$M$18,MATCH($F234,'MRE'!$B$10:$B$18,0))),"N/A")</f>
        <v/>
      </c>
      <c r="S234" s="53">
        <f>IFERROR(IF(INDEX('AC&amp;M'!$M$10:$M$14,MATCH($F234,'AC&amp;M'!$B$10:$B$14,0))="","Cell will autofill based on response",INDEX('AC&amp;M'!$M$10:$M$14,MATCH($F234,'AC&amp;M'!$B$10:$B$14,0))),"N/A")</f>
        <v/>
      </c>
      <c r="T234" s="53">
        <f>IFERROR(IF(INDEX('GCE'!$M$10:$M$12,MATCH($F234,'GCE'!$B$10:$B$12,0))="","Cell will autofill based on response",INDEX('GCE'!$M$10:$M$12,MATCH($F234,'GCE'!$B$10:$B$12,0))),"N/A")</f>
        <v/>
      </c>
      <c r="U234" s="53">
        <f>IFERROR(IF(INDEX('Education'!$M$10:$M$13,MATCH($F234,'Education'!$B$10:$B$13,0))="","Cell will autofill based on response",INDEX('Education'!$M$10:$M$13,MATCH($F234,'Education'!$B$10:$B$13,0))),"N/A")</f>
        <v/>
      </c>
      <c r="V234" s="53">
        <f>IFERROR(IF(INDEX('SaSS'!$M$10:$M$12,MATCH($F234,'SaSS'!$B$10:$B$12,0))="","Cell will autofill based on response",INDEX('SaSS'!$M$10:$M$12,MATCH($F234,'SaSS'!$B$10:$B$12,0))),"N/A")</f>
        <v/>
      </c>
      <c r="W234" s="53">
        <f>IFERROR(IF(INDEX('Indigenous'!$M$10:$M$11,MATCH($F234,'Indigenous'!$B$10:$B$11,0))="","Cell will autofill based on response",INDEX('Indigenous'!$M$10:$M$11,MATCH($F234,'Indigenous'!$B$10:$B$11,0))),"N/A")</f>
        <v/>
      </c>
      <c r="X234" s="53">
        <f>IFERROR(IF(INDEX('L&amp;R'!$M$10:$M$11,MATCH($F234,'L&amp;R'!$B$10:$B$11,0))="","Cell will autofill based on response",INDEX('L&amp;R'!$M$10:$M$11,MATCH($F234,'L&amp;R'!$B$10:$B$11,0))),"N/A")</f>
        <v/>
      </c>
    </row>
    <row r="235">
      <c r="A235">
        <f>F235&amp;"|"&amp;G235</f>
        <v/>
      </c>
      <c r="B235" s="13" t="inlineStr"/>
      <c r="C235" s="8" t="inlineStr"/>
      <c r="D235" s="8" t="inlineStr"/>
      <c r="E235" s="8" t="inlineStr"/>
      <c r="F235" s="8" t="inlineStr">
        <is>
          <t>EN1(d)</t>
        </is>
      </c>
      <c r="G235" s="8" t="inlineStr">
        <is>
          <t>OPTION 2:  Indicator level reporting</t>
        </is>
      </c>
      <c r="H235" s="53">
        <f>IFERROR(IF(INDEX('Faculties'!$N$10:$N$19,MATCH($F235,'Faculties'!$B$10:$B$19,0))="","Cell will autofill based on response",INDEX('Faculties'!$N$10:$N$19,MATCH($F235,'Faculties'!$B$10:$B$19,0))),"N/A")</f>
        <v/>
      </c>
      <c r="I235" s="53">
        <f>IFERROR(IF(INDEX('Faculties'!$N$26:$N$35,MATCH($F235,'Faculties'!$B$26:$B$35,0))="","Cell will autofill based on response",INDEX('Faculties'!$N$26:$N$35,MATCH($F235,'Faculties'!$B$26:$B$35,0))),"N/A")</f>
        <v/>
      </c>
      <c r="J235" s="53">
        <f>IFERROR(IF(INDEX('Faculties'!$N$42:$N$51,MATCH($F235,'Faculties'!$B$42:$B$51,0))="","Cell will autofill based on response",INDEX('Faculties'!$N$42:$N$51,MATCH($F235,'Faculties'!$B$42:$B$51,0))),"N/A")</f>
        <v/>
      </c>
      <c r="K235" s="53">
        <f>IFERROR(IF(INDEX('Faculties'!$N$58:$N$67,MATCH($F235,'Faculties'!$B$58:$B$67,0))="","Cell will autofill based on response",INDEX('Faculties'!$N$58:$N$67,MATCH($F235,'Faculties'!$B$58:$B$67,0))),"N/A")</f>
        <v/>
      </c>
      <c r="L235" s="53">
        <f>IFERROR(IF(INDEX('CI&amp;S'!$N$10:$N$15,MATCH($F235,'CI&amp;S'!$B$10:$B$15,0))="","Cell will autofill based on response",INDEX('CI&amp;S'!$N$10:$N$15,MATCH($F235,'CI&amp;S'!$B$10:$B$15,0))),"N/A")</f>
        <v/>
      </c>
      <c r="M235" s="53">
        <f>IFERROR(IF(INDEX('CI&amp;S'!$N$22:$N$36,MATCH($F235,'CI&amp;S'!$B$22:$B$36,0))="","Cell will autofill based on response",INDEX('CI&amp;S'!$N$22:$N$36,MATCH($F235,'CI&amp;S'!$B$22:$B$36,0))),"N/A")</f>
        <v/>
      </c>
      <c r="N235" s="53">
        <f>IFERROR(IF(INDEX('CFOG'!$N$10:$N$16,MATCH($F235,'CFOG'!$B$10:$B$16,0))="","Cell will autofill based on response",INDEX('CFOG'!$N$10:$N$16,MATCH($F235,'CFOG'!$B$10:$B$16,0))),"N/A")</f>
        <v/>
      </c>
      <c r="O235" s="53">
        <f>IFERROR(IF(INDEX('CFOG'!$N$23:$N$24,MATCH($F235,'CFOG'!$B$23:$B$24,0))="","Cell will autofill based on response",INDEX('CFOG'!$N$23:$N$24,MATCH($F235,'CFOG'!$B$23:$B$24,0))),"N/A")</f>
        <v/>
      </c>
      <c r="P235" s="53">
        <f>IFERROR(IF(INDEX('ESG'!$N$10:$N$17,MATCH($F235,'ESG'!$B$10:$B$17,0))="","Cell will autofill based on response",INDEX('ESG'!$N$10:$N$17,MATCH($F235,'ESG'!$B$10:$B$17,0))),"N/A")</f>
        <v/>
      </c>
      <c r="Q235" s="53">
        <f>IFERROR(IF(INDEX('CIOG'!$N$10:$N$14,MATCH($F235,'CIOG'!$B$10:$B$14,0))="","Cell will autofill based on response",INDEX('CIOG'!$N$10:$N$14,MATCH($F235,'CIOG'!$B$10:$B$14,0))),"N/A")</f>
        <v/>
      </c>
      <c r="R235" s="53">
        <f>IFERROR(IF(INDEX('MRE'!$N$10:$N$18,MATCH($F235,'MRE'!$B$10:$B$18,0))="","Cell will autofill based on response",INDEX('MRE'!$N$10:$N$18,MATCH($F235,'MRE'!$B$10:$B$18,0))),"N/A")</f>
        <v/>
      </c>
      <c r="S235" s="53">
        <f>IFERROR(IF(INDEX('AC&amp;M'!$N$10:$N$14,MATCH($F235,'AC&amp;M'!$B$10:$B$14,0))="","Cell will autofill based on response",INDEX('AC&amp;M'!$N$10:$N$14,MATCH($F235,'AC&amp;M'!$B$10:$B$14,0))),"N/A")</f>
        <v/>
      </c>
      <c r="T235" s="53">
        <f>IFERROR(IF(INDEX('GCE'!$N$10:$N$12,MATCH($F235,'GCE'!$B$10:$B$12,0))="","Cell will autofill based on response",INDEX('GCE'!$N$10:$N$12,MATCH($F235,'GCE'!$B$10:$B$12,0))),"N/A")</f>
        <v/>
      </c>
      <c r="U235" s="53">
        <f>IFERROR(IF(INDEX('Education'!$N$10:$N$13,MATCH($F235,'Education'!$B$10:$B$13,0))="","Cell will autofill based on response",INDEX('Education'!$N$10:$N$13,MATCH($F235,'Education'!$B$10:$B$13,0))),"N/A")</f>
        <v/>
      </c>
      <c r="V235" s="53">
        <f>IFERROR(IF(INDEX('SaSS'!$N$10:$N$12,MATCH($F235,'SaSS'!$B$10:$B$12,0))="","Cell will autofill based on response",INDEX('SaSS'!$N$10:$N$12,MATCH($F235,'SaSS'!$B$10:$B$12,0))),"N/A")</f>
        <v/>
      </c>
      <c r="W235" s="53">
        <f>IFERROR(IF(INDEX('Indigenous'!$N$10:$N$11,MATCH($F235,'Indigenous'!$B$10:$B$11,0))="","Cell will autofill based on response",INDEX('Indigenous'!$N$10:$N$11,MATCH($F235,'Indigenous'!$B$10:$B$11,0))),"N/A")</f>
        <v/>
      </c>
      <c r="X235" s="53">
        <f>IFERROR(IF(INDEX('L&amp;R'!$N$10:$N$11,MATCH($F235,'L&amp;R'!$B$10:$B$11,0))="","Cell will autofill based on response",INDEX('L&amp;R'!$N$10:$N$11,MATCH($F235,'L&amp;R'!$B$10:$B$11,0))),"N/A")</f>
        <v/>
      </c>
    </row>
    <row r="236">
      <c r="A236">
        <f>F236&amp;"|"&amp;G236</f>
        <v/>
      </c>
      <c r="B236" s="13" t="inlineStr"/>
      <c r="C236" s="8" t="inlineStr"/>
      <c r="D236" s="8" t="inlineStr"/>
      <c r="E236" s="8" t="inlineStr"/>
      <c r="F236" s="8" t="inlineStr">
        <is>
          <t>EN1(d)</t>
        </is>
      </c>
      <c r="G236" s="8" t="inlineStr">
        <is>
          <t>Supporting information/comments</t>
        </is>
      </c>
      <c r="H236" s="53">
        <f>IFERROR(IF(INDEX('Faculties'!$O$10:$O$19,MATCH($F236,'Faculties'!$B$10:$B$19,0))="","Cell will autofill based on response",INDEX('Faculties'!$O$10:$O$19,MATCH($F236,'Faculties'!$B$10:$B$19,0))),"N/A")</f>
        <v/>
      </c>
      <c r="I236" s="53">
        <f>IFERROR(IF(INDEX('Faculties'!$O$26:$O$35,MATCH($F236,'Faculties'!$B$26:$B$35,0))="","Cell will autofill based on response",INDEX('Faculties'!$O$26:$O$35,MATCH($F236,'Faculties'!$B$26:$B$35,0))),"N/A")</f>
        <v/>
      </c>
      <c r="J236" s="53">
        <f>IFERROR(IF(INDEX('Faculties'!$O$42:$O$51,MATCH($F236,'Faculties'!$B$42:$B$51,0))="","Cell will autofill based on response",INDEX('Faculties'!$O$42:$O$51,MATCH($F236,'Faculties'!$B$42:$B$51,0))),"N/A")</f>
        <v/>
      </c>
      <c r="K236" s="53">
        <f>IFERROR(IF(INDEX('Faculties'!$O$58:$O$67,MATCH($F236,'Faculties'!$B$58:$B$67,0))="","Cell will autofill based on response",INDEX('Faculties'!$O$58:$O$67,MATCH($F236,'Faculties'!$B$58:$B$67,0))),"N/A")</f>
        <v/>
      </c>
      <c r="L236" s="53">
        <f>IFERROR(IF(INDEX('CI&amp;S'!$O$10:$O$15,MATCH($F236,'CI&amp;S'!$B$10:$B$15,0))="","Cell will autofill based on response",INDEX('CI&amp;S'!$O$10:$O$15,MATCH($F236,'CI&amp;S'!$B$10:$B$15,0))),"N/A")</f>
        <v/>
      </c>
      <c r="M236" s="53">
        <f>IFERROR(IF(INDEX('CI&amp;S'!$O$22:$O$36,MATCH($F236,'CI&amp;S'!$B$22:$B$36,0))="","Cell will autofill based on response",INDEX('CI&amp;S'!$O$22:$O$36,MATCH($F236,'CI&amp;S'!$B$22:$B$36,0))),"N/A")</f>
        <v/>
      </c>
      <c r="N236" s="53">
        <f>IFERROR(IF(INDEX('CFOG'!$O$10:$O$16,MATCH($F236,'CFOG'!$B$10:$B$16,0))="","Cell will autofill based on response",INDEX('CFOG'!$O$10:$O$16,MATCH($F236,'CFOG'!$B$10:$B$16,0))),"N/A")</f>
        <v/>
      </c>
      <c r="O236" s="53">
        <f>IFERROR(IF(INDEX('CFOG'!$O$23:$O$24,MATCH($F236,'CFOG'!$B$23:$B$24,0))="","Cell will autofill based on response",INDEX('CFOG'!$O$23:$O$24,MATCH($F236,'CFOG'!$B$23:$B$24,0))),"N/A")</f>
        <v/>
      </c>
      <c r="P236" s="53">
        <f>IFERROR(IF(INDEX('ESG'!$O$10:$O$17,MATCH($F236,'ESG'!$B$10:$B$17,0))="","Cell will autofill based on response",INDEX('ESG'!$O$10:$O$17,MATCH($F236,'ESG'!$B$10:$B$17,0))),"N/A")</f>
        <v/>
      </c>
      <c r="Q236" s="53">
        <f>IFERROR(IF(INDEX('CIOG'!$O$10:$O$14,MATCH($F236,'CIOG'!$B$10:$B$14,0))="","Cell will autofill based on response",INDEX('CIOG'!$O$10:$O$14,MATCH($F236,'CIOG'!$B$10:$B$14,0))),"N/A")</f>
        <v/>
      </c>
      <c r="R236" s="53">
        <f>IFERROR(IF(INDEX('MRE'!$O$10:$O$18,MATCH($F236,'MRE'!$B$10:$B$18,0))="","Cell will autofill based on response",INDEX('MRE'!$O$10:$O$18,MATCH($F236,'MRE'!$B$10:$B$18,0))),"N/A")</f>
        <v/>
      </c>
      <c r="S236" s="53">
        <f>IFERROR(IF(INDEX('AC&amp;M'!$O$10:$O$14,MATCH($F236,'AC&amp;M'!$B$10:$B$14,0))="","Cell will autofill based on response",INDEX('AC&amp;M'!$O$10:$O$14,MATCH($F236,'AC&amp;M'!$B$10:$B$14,0))),"N/A")</f>
        <v/>
      </c>
      <c r="T236" s="53">
        <f>IFERROR(IF(INDEX('GCE'!$O$10:$O$12,MATCH($F236,'GCE'!$B$10:$B$12,0))="","Cell will autofill based on response",INDEX('GCE'!$O$10:$O$12,MATCH($F236,'GCE'!$B$10:$B$12,0))),"N/A")</f>
        <v/>
      </c>
      <c r="U236" s="53">
        <f>IFERROR(IF(INDEX('Education'!$O$10:$O$13,MATCH($F236,'Education'!$B$10:$B$13,0))="","Cell will autofill based on response",INDEX('Education'!$O$10:$O$13,MATCH($F236,'Education'!$B$10:$B$13,0))),"N/A")</f>
        <v/>
      </c>
      <c r="V236" s="53">
        <f>IFERROR(IF(INDEX('SaSS'!$O$10:$O$12,MATCH($F236,'SaSS'!$B$10:$B$12,0))="","Cell will autofill based on response",INDEX('SaSS'!$O$10:$O$12,MATCH($F236,'SaSS'!$B$10:$B$12,0))),"N/A")</f>
        <v/>
      </c>
      <c r="W236" s="53">
        <f>IFERROR(IF(INDEX('Indigenous'!$O$10:$O$11,MATCH($F236,'Indigenous'!$B$10:$B$11,0))="","Cell will autofill based on response",INDEX('Indigenous'!$O$10:$O$11,MATCH($F236,'Indigenous'!$B$10:$B$11,0))),"N/A")</f>
        <v/>
      </c>
      <c r="X236" s="53">
        <f>IFERROR(IF(INDEX('L&amp;R'!$O$10:$O$11,MATCH($F236,'L&amp;R'!$B$10:$B$11,0))="","Cell will autofill based on response",INDEX('L&amp;R'!$O$10:$O$11,MATCH($F236,'L&amp;R'!$B$10:$B$11,0))),"N/A")</f>
        <v/>
      </c>
    </row>
    <row r="237">
      <c r="A237">
        <f>F237&amp;"|"&amp;G237</f>
        <v/>
      </c>
      <c r="B237" s="13" t="inlineStr"/>
      <c r="C237" s="8" t="inlineStr"/>
      <c r="D237" s="8" t="inlineStr"/>
      <c r="E237" s="8" t="inlineStr"/>
      <c r="F237" s="8" t="inlineStr">
        <is>
          <t>EN1(d)</t>
        </is>
      </c>
      <c r="G237" s="8" t="inlineStr">
        <is>
          <t>Data source and limitations</t>
        </is>
      </c>
      <c r="H237" s="53">
        <f>IFERROR(IF(INDEX('Faculties'!$P$10:$P$19,MATCH($F237,'Faculties'!$B$10:$B$19,0))="","Cell will autofill based on response",INDEX('Faculties'!$P$10:$P$19,MATCH($F237,'Faculties'!$B$10:$B$19,0))),"N/A")</f>
        <v/>
      </c>
      <c r="I237" s="53">
        <f>IFERROR(IF(INDEX('Faculties'!$P$26:$P$35,MATCH($F237,'Faculties'!$B$26:$B$35,0))="","Cell will autofill based on response",INDEX('Faculties'!$P$26:$P$35,MATCH($F237,'Faculties'!$B$26:$B$35,0))),"N/A")</f>
        <v/>
      </c>
      <c r="J237" s="53">
        <f>IFERROR(IF(INDEX('Faculties'!$P$42:$P$51,MATCH($F237,'Faculties'!$B$42:$B$51,0))="","Cell will autofill based on response",INDEX('Faculties'!$P$42:$P$51,MATCH($F237,'Faculties'!$B$42:$B$51,0))),"N/A")</f>
        <v/>
      </c>
      <c r="K237" s="53">
        <f>IFERROR(IF(INDEX('Faculties'!$P$58:$P$67,MATCH($F237,'Faculties'!$B$58:$B$67,0))="","Cell will autofill based on response",INDEX('Faculties'!$P$58:$P$67,MATCH($F237,'Faculties'!$B$58:$B$67,0))),"N/A")</f>
        <v/>
      </c>
      <c r="L237" s="53">
        <f>IFERROR(IF(INDEX('CI&amp;S'!$P$10:$P$15,MATCH($F237,'CI&amp;S'!$B$10:$B$15,0))="","Cell will autofill based on response",INDEX('CI&amp;S'!$P$10:$P$15,MATCH($F237,'CI&amp;S'!$B$10:$B$15,0))),"N/A")</f>
        <v/>
      </c>
      <c r="M237" s="53">
        <f>IFERROR(IF(INDEX('CI&amp;S'!$P$22:$P$36,MATCH($F237,'CI&amp;S'!$B$22:$B$36,0))="","Cell will autofill based on response",INDEX('CI&amp;S'!$P$22:$P$36,MATCH($F237,'CI&amp;S'!$B$22:$B$36,0))),"N/A")</f>
        <v/>
      </c>
      <c r="N237" s="53">
        <f>IFERROR(IF(INDEX('CFOG'!$P$10:$P$16,MATCH($F237,'CFOG'!$B$10:$B$16,0))="","Cell will autofill based on response",INDEX('CFOG'!$P$10:$P$16,MATCH($F237,'CFOG'!$B$10:$B$16,0))),"N/A")</f>
        <v/>
      </c>
      <c r="O237" s="53">
        <f>IFERROR(IF(INDEX('CFOG'!$P$23:$P$24,MATCH($F237,'CFOG'!$B$23:$B$24,0))="","Cell will autofill based on response",INDEX('CFOG'!$P$23:$P$24,MATCH($F237,'CFOG'!$B$23:$B$24,0))),"N/A")</f>
        <v/>
      </c>
      <c r="P237" s="53">
        <f>IFERROR(IF(INDEX('ESG'!$P$10:$P$17,MATCH($F237,'ESG'!$B$10:$B$17,0))="","Cell will autofill based on response",INDEX('ESG'!$P$10:$P$17,MATCH($F237,'ESG'!$B$10:$B$17,0))),"N/A")</f>
        <v/>
      </c>
      <c r="Q237" s="53">
        <f>IFERROR(IF(INDEX('CIOG'!$P$10:$P$14,MATCH($F237,'CIOG'!$B$10:$B$14,0))="","Cell will autofill based on response",INDEX('CIOG'!$P$10:$P$14,MATCH($F237,'CIOG'!$B$10:$B$14,0))),"N/A")</f>
        <v/>
      </c>
      <c r="R237" s="53">
        <f>IFERROR(IF(INDEX('MRE'!$P$10:$P$18,MATCH($F237,'MRE'!$B$10:$B$18,0))="","Cell will autofill based on response",INDEX('MRE'!$P$10:$P$18,MATCH($F237,'MRE'!$B$10:$B$18,0))),"N/A")</f>
        <v/>
      </c>
      <c r="S237" s="53">
        <f>IFERROR(IF(INDEX('AC&amp;M'!$P$10:$P$14,MATCH($F237,'AC&amp;M'!$B$10:$B$14,0))="","Cell will autofill based on response",INDEX('AC&amp;M'!$P$10:$P$14,MATCH($F237,'AC&amp;M'!$B$10:$B$14,0))),"N/A")</f>
        <v/>
      </c>
      <c r="T237" s="53">
        <f>IFERROR(IF(INDEX('GCE'!$P$10:$P$12,MATCH($F237,'GCE'!$B$10:$B$12,0))="","Cell will autofill based on response",INDEX('GCE'!$P$10:$P$12,MATCH($F237,'GCE'!$B$10:$B$12,0))),"N/A")</f>
        <v/>
      </c>
      <c r="U237" s="53">
        <f>IFERROR(IF(INDEX('Education'!$P$10:$P$13,MATCH($F237,'Education'!$B$10:$B$13,0))="","Cell will autofill based on response",INDEX('Education'!$P$10:$P$13,MATCH($F237,'Education'!$B$10:$B$13,0))),"N/A")</f>
        <v/>
      </c>
      <c r="V237" s="53">
        <f>IFERROR(IF(INDEX('SaSS'!$P$10:$P$12,MATCH($F237,'SaSS'!$B$10:$B$12,0))="","Cell will autofill based on response",INDEX('SaSS'!$P$10:$P$12,MATCH($F237,'SaSS'!$B$10:$B$12,0))),"N/A")</f>
        <v/>
      </c>
      <c r="W237" s="53">
        <f>IFERROR(IF(INDEX('Indigenous'!$P$10:$P$11,MATCH($F237,'Indigenous'!$B$10:$B$11,0))="","Cell will autofill based on response",INDEX('Indigenous'!$P$10:$P$11,MATCH($F237,'Indigenous'!$B$10:$B$11,0))),"N/A")</f>
        <v/>
      </c>
      <c r="X237" s="53">
        <f>IFERROR(IF(INDEX('L&amp;R'!$P$10:$P$11,MATCH($F237,'L&amp;R'!$B$10:$B$11,0))="","Cell will autofill based on response",INDEX('L&amp;R'!$P$10:$P$11,MATCH($F237,'L&amp;R'!$B$10:$B$11,0))),"N/A")</f>
        <v/>
      </c>
    </row>
    <row r="238">
      <c r="A238">
        <f>F238&amp;"|"&amp;G238</f>
        <v/>
      </c>
      <c r="B238" s="13" t="inlineStr"/>
      <c r="C238" s="8" t="inlineStr"/>
      <c r="D238" s="8" t="inlineStr"/>
      <c r="E238" s="8" t="inlineStr"/>
      <c r="F238" s="8" t="inlineStr">
        <is>
          <t>EN1(d)</t>
        </is>
      </c>
      <c r="G238" s="8" t="inlineStr">
        <is>
          <t>Data owner confirms</t>
        </is>
      </c>
      <c r="H238" s="53">
        <f>IFERROR(IF(INDEX('Faculties'!$Q$10:$Q$19,MATCH($F238,'Faculties'!$B$10:$B$19,0))="","Cell will autofill based on response",INDEX('Faculties'!$Q$10:$Q$19,MATCH($F238,'Faculties'!$B$10:$B$19,0))),"N/A")</f>
        <v/>
      </c>
      <c r="I238" s="53">
        <f>IFERROR(IF(INDEX('Faculties'!$Q$26:$Q$35,MATCH($F238,'Faculties'!$B$26:$B$35,0))="","Cell will autofill based on response",INDEX('Faculties'!$Q$26:$Q$35,MATCH($F238,'Faculties'!$B$26:$B$35,0))),"N/A")</f>
        <v/>
      </c>
      <c r="J238" s="53">
        <f>IFERROR(IF(INDEX('Faculties'!$Q$42:$Q$51,MATCH($F238,'Faculties'!$B$42:$B$51,0))="","Cell will autofill based on response",INDEX('Faculties'!$Q$42:$Q$51,MATCH($F238,'Faculties'!$B$42:$B$51,0))),"N/A")</f>
        <v/>
      </c>
      <c r="K238" s="53">
        <f>IFERROR(IF(INDEX('Faculties'!$Q$58:$Q$67,MATCH($F238,'Faculties'!$B$58:$B$67,0))="","Cell will autofill based on response",INDEX('Faculties'!$Q$58:$Q$67,MATCH($F238,'Faculties'!$B$58:$B$67,0))),"N/A")</f>
        <v/>
      </c>
      <c r="L238" s="53">
        <f>IFERROR(IF(INDEX('CI&amp;S'!$Q$10:$Q$15,MATCH($F238,'CI&amp;S'!$B$10:$B$15,0))="","Cell will autofill based on response",INDEX('CI&amp;S'!$Q$10:$Q$15,MATCH($F238,'CI&amp;S'!$B$10:$B$15,0))),"N/A")</f>
        <v/>
      </c>
      <c r="M238" s="53">
        <f>IFERROR(IF(INDEX('CI&amp;S'!$Q$22:$Q$36,MATCH($F238,'CI&amp;S'!$B$22:$B$36,0))="","Cell will autofill based on response",INDEX('CI&amp;S'!$Q$22:$Q$36,MATCH($F238,'CI&amp;S'!$B$22:$B$36,0))),"N/A")</f>
        <v/>
      </c>
      <c r="N238" s="53">
        <f>IFERROR(IF(INDEX('CFOG'!$Q$10:$Q$16,MATCH($F238,'CFOG'!$B$10:$B$16,0))="","Cell will autofill based on response",INDEX('CFOG'!$Q$10:$Q$16,MATCH($F238,'CFOG'!$B$10:$B$16,0))),"N/A")</f>
        <v/>
      </c>
      <c r="O238" s="53">
        <f>IFERROR(IF(INDEX('CFOG'!$Q$23:$Q$24,MATCH($F238,'CFOG'!$B$23:$B$24,0))="","Cell will autofill based on response",INDEX('CFOG'!$Q$23:$Q$24,MATCH($F238,'CFOG'!$B$23:$B$24,0))),"N/A")</f>
        <v/>
      </c>
      <c r="P238" s="53">
        <f>IFERROR(IF(INDEX('ESG'!$Q$10:$Q$17,MATCH($F238,'ESG'!$B$10:$B$17,0))="","Cell will autofill based on response",INDEX('ESG'!$Q$10:$Q$17,MATCH($F238,'ESG'!$B$10:$B$17,0))),"N/A")</f>
        <v/>
      </c>
      <c r="Q238" s="53">
        <f>IFERROR(IF(INDEX('CIOG'!$Q$10:$Q$14,MATCH($F238,'CIOG'!$B$10:$B$14,0))="","Cell will autofill based on response",INDEX('CIOG'!$Q$10:$Q$14,MATCH($F238,'CIOG'!$B$10:$B$14,0))),"N/A")</f>
        <v/>
      </c>
      <c r="R238" s="53">
        <f>IFERROR(IF(INDEX('MRE'!$Q$10:$Q$18,MATCH($F238,'MRE'!$B$10:$B$18,0))="","Cell will autofill based on response",INDEX('MRE'!$Q$10:$Q$18,MATCH($F238,'MRE'!$B$10:$B$18,0))),"N/A")</f>
        <v/>
      </c>
      <c r="S238" s="53">
        <f>IFERROR(IF(INDEX('AC&amp;M'!$Q$10:$Q$14,MATCH($F238,'AC&amp;M'!$B$10:$B$14,0))="","Cell will autofill based on response",INDEX('AC&amp;M'!$Q$10:$Q$14,MATCH($F238,'AC&amp;M'!$B$10:$B$14,0))),"N/A")</f>
        <v/>
      </c>
      <c r="T238" s="53">
        <f>IFERROR(IF(INDEX('GCE'!$Q$10:$Q$12,MATCH($F238,'GCE'!$B$10:$B$12,0))="","Cell will autofill based on response",INDEX('GCE'!$Q$10:$Q$12,MATCH($F238,'GCE'!$B$10:$B$12,0))),"N/A")</f>
        <v/>
      </c>
      <c r="U238" s="53">
        <f>IFERROR(IF(INDEX('Education'!$Q$10:$Q$13,MATCH($F238,'Education'!$B$10:$B$13,0))="","Cell will autofill based on response",INDEX('Education'!$Q$10:$Q$13,MATCH($F238,'Education'!$B$10:$B$13,0))),"N/A")</f>
        <v/>
      </c>
      <c r="V238" s="53">
        <f>IFERROR(IF(INDEX('SaSS'!$Q$10:$Q$12,MATCH($F238,'SaSS'!$B$10:$B$12,0))="","Cell will autofill based on response",INDEX('SaSS'!$Q$10:$Q$12,MATCH($F238,'SaSS'!$B$10:$B$12,0))),"N/A")</f>
        <v/>
      </c>
      <c r="W238" s="53">
        <f>IFERROR(IF(INDEX('Indigenous'!$Q$10:$Q$11,MATCH($F238,'Indigenous'!$B$10:$B$11,0))="","Cell will autofill based on response",INDEX('Indigenous'!$Q$10:$Q$11,MATCH($F238,'Indigenous'!$B$10:$B$11,0))),"N/A")</f>
        <v/>
      </c>
      <c r="X238" s="53">
        <f>IFERROR(IF(INDEX('L&amp;R'!$Q$10:$Q$11,MATCH($F238,'L&amp;R'!$B$10:$B$11,0))="","Cell will autofill based on response",INDEX('L&amp;R'!$Q$10:$Q$11,MATCH($F238,'L&amp;R'!$B$10:$B$11,0))),"N/A")</f>
        <v/>
      </c>
    </row>
  </sheetData>
  <autoFilter ref="B10:AK238"/>
  <mergeCells count="1">
    <mergeCell ref="D4:N6"/>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T44"/>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1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s>
  <sheetData>
    <row r="1">
      <c r="A1" s="1" t="inlineStr">
        <is>
          <t>↑</t>
        </is>
      </c>
      <c r="B1" s="2" t="inlineStr">
        <is>
          <t>End-2026 target status assessment and reporting</t>
        </is>
      </c>
    </row>
    <row r="2">
      <c r="B2" s="3" t="inlineStr">
        <is>
          <t>0.5 Target Check</t>
        </is>
      </c>
    </row>
    <row r="3">
      <c r="B3" t="inlineStr">
        <is>
          <t>Which units were asked to report on each indicator (Yes = indicator appears in that unit's tab). Feeds T2.</t>
        </is>
      </c>
    </row>
    <row r="6">
      <c r="B6" s="6" t="inlineStr">
        <is>
          <t>Target list</t>
        </is>
      </c>
      <c r="C6" s="6" t="inlineStr">
        <is>
          <t>ABP</t>
        </is>
      </c>
      <c r="D6" s="6" t="inlineStr">
        <is>
          <t>ARTS</t>
        </is>
      </c>
      <c r="E6" s="6" t="inlineStr">
        <is>
          <t>FBE</t>
        </is>
      </c>
      <c r="F6" s="6" t="inlineStr">
        <is>
          <t>SCI</t>
        </is>
      </c>
      <c r="G6" s="6" t="inlineStr">
        <is>
          <t>CI&amp;S – Estate Planning &amp; Development</t>
        </is>
      </c>
      <c r="H6" s="6" t="inlineStr">
        <is>
          <t>CI&amp;S – Sustainability Strategy</t>
        </is>
      </c>
      <c r="I6" s="6" t="inlineStr">
        <is>
          <t>CFOG – Procurement</t>
        </is>
      </c>
      <c r="J6" s="6" t="inlineStr">
        <is>
          <t>CFOG – Treasury &amp; Investments</t>
        </is>
      </c>
      <c r="K6" s="6" t="inlineStr">
        <is>
          <t>ESG – Campus Operations &amp; Sustainability Delivery</t>
        </is>
      </c>
      <c r="L6" s="6" t="inlineStr">
        <is>
          <t>CIOG – Responsible AI &amp; digital</t>
        </is>
      </c>
      <c r="M6" s="6" t="inlineStr">
        <is>
          <t>MRE – Research</t>
        </is>
      </c>
      <c r="N6" s="6" t="inlineStr">
        <is>
          <t>AC&amp;M – Advancement, Communication and Marketing</t>
        </is>
      </c>
      <c r="O6" s="6" t="inlineStr">
        <is>
          <t>GCE – Global, Culture and Engagement</t>
        </is>
      </c>
      <c r="P6" s="6" t="inlineStr">
        <is>
          <t>Education – Chancellery Education</t>
        </is>
      </c>
      <c r="Q6" s="6" t="inlineStr">
        <is>
          <t>SaSS – Student and Scholarly Services</t>
        </is>
      </c>
      <c r="R6" s="6" t="inlineStr">
        <is>
          <t>Indigenous – Chancellery Indigenous</t>
        </is>
      </c>
      <c r="S6" s="6" t="inlineStr">
        <is>
          <t>Legal &amp; Risk – Risk &amp; resilience</t>
        </is>
      </c>
      <c r="T6" s="6" t="inlineStr">
        <is>
          <t>No. of units requested</t>
        </is>
      </c>
    </row>
    <row r="7">
      <c r="B7" s="7" t="inlineStr">
        <is>
          <t>EE1(a)</t>
        </is>
      </c>
      <c r="C7" s="56">
        <f>IF('A1. Data scoring'!H11&lt;&gt;"N/A","Yes","No")</f>
        <v/>
      </c>
      <c r="D7" s="56">
        <f>IF('A1. Data scoring'!I11&lt;&gt;"N/A","Yes","No")</f>
        <v/>
      </c>
      <c r="E7" s="56">
        <f>IF('A1. Data scoring'!J11&lt;&gt;"N/A","Yes","No")</f>
        <v/>
      </c>
      <c r="F7" s="56">
        <f>IF('A1. Data scoring'!K11&lt;&gt;"N/A","Yes","No")</f>
        <v/>
      </c>
      <c r="G7" s="56">
        <f>IF('A1. Data scoring'!L11&lt;&gt;"N/A","Yes","No")</f>
        <v/>
      </c>
      <c r="H7" s="56">
        <f>IF('A1. Data scoring'!M11&lt;&gt;"N/A","Yes","No")</f>
        <v/>
      </c>
      <c r="I7" s="56">
        <f>IF('A1. Data scoring'!N11&lt;&gt;"N/A","Yes","No")</f>
        <v/>
      </c>
      <c r="J7" s="56">
        <f>IF('A1. Data scoring'!O11&lt;&gt;"N/A","Yes","No")</f>
        <v/>
      </c>
      <c r="K7" s="56">
        <f>IF('A1. Data scoring'!P11&lt;&gt;"N/A","Yes","No")</f>
        <v/>
      </c>
      <c r="L7" s="56">
        <f>IF('A1. Data scoring'!Q11&lt;&gt;"N/A","Yes","No")</f>
        <v/>
      </c>
      <c r="M7" s="56">
        <f>IF('A1. Data scoring'!R11&lt;&gt;"N/A","Yes","No")</f>
        <v/>
      </c>
      <c r="N7" s="56">
        <f>IF('A1. Data scoring'!S11&lt;&gt;"N/A","Yes","No")</f>
        <v/>
      </c>
      <c r="O7" s="56">
        <f>IF('A1. Data scoring'!T11&lt;&gt;"N/A","Yes","No")</f>
        <v/>
      </c>
      <c r="P7" s="56">
        <f>IF('A1. Data scoring'!U11&lt;&gt;"N/A","Yes","No")</f>
        <v/>
      </c>
      <c r="Q7" s="56">
        <f>IF('A1. Data scoring'!V11&lt;&gt;"N/A","Yes","No")</f>
        <v/>
      </c>
      <c r="R7" s="56">
        <f>IF('A1. Data scoring'!W11&lt;&gt;"N/A","Yes","No")</f>
        <v/>
      </c>
      <c r="S7" s="56">
        <f>IF('A1. Data scoring'!X11&lt;&gt;"N/A","Yes","No")</f>
        <v/>
      </c>
      <c r="T7" s="8">
        <f>COUNTIF(C7:S7,"Yes")</f>
        <v/>
      </c>
    </row>
    <row r="8">
      <c r="B8" s="7" t="inlineStr">
        <is>
          <t>EE1(b)</t>
        </is>
      </c>
      <c r="C8" s="56">
        <f>IF('A1. Data scoring'!H17&lt;&gt;"N/A","Yes","No")</f>
        <v/>
      </c>
      <c r="D8" s="56">
        <f>IF('A1. Data scoring'!I17&lt;&gt;"N/A","Yes","No")</f>
        <v/>
      </c>
      <c r="E8" s="56">
        <f>IF('A1. Data scoring'!J17&lt;&gt;"N/A","Yes","No")</f>
        <v/>
      </c>
      <c r="F8" s="56">
        <f>IF('A1. Data scoring'!K17&lt;&gt;"N/A","Yes","No")</f>
        <v/>
      </c>
      <c r="G8" s="56">
        <f>IF('A1. Data scoring'!L17&lt;&gt;"N/A","Yes","No")</f>
        <v/>
      </c>
      <c r="H8" s="56">
        <f>IF('A1. Data scoring'!M17&lt;&gt;"N/A","Yes","No")</f>
        <v/>
      </c>
      <c r="I8" s="56">
        <f>IF('A1. Data scoring'!N17&lt;&gt;"N/A","Yes","No")</f>
        <v/>
      </c>
      <c r="J8" s="56">
        <f>IF('A1. Data scoring'!O17&lt;&gt;"N/A","Yes","No")</f>
        <v/>
      </c>
      <c r="K8" s="56">
        <f>IF('A1. Data scoring'!P17&lt;&gt;"N/A","Yes","No")</f>
        <v/>
      </c>
      <c r="L8" s="56">
        <f>IF('A1. Data scoring'!Q17&lt;&gt;"N/A","Yes","No")</f>
        <v/>
      </c>
      <c r="M8" s="56">
        <f>IF('A1. Data scoring'!R17&lt;&gt;"N/A","Yes","No")</f>
        <v/>
      </c>
      <c r="N8" s="56">
        <f>IF('A1. Data scoring'!S17&lt;&gt;"N/A","Yes","No")</f>
        <v/>
      </c>
      <c r="O8" s="56">
        <f>IF('A1. Data scoring'!T17&lt;&gt;"N/A","Yes","No")</f>
        <v/>
      </c>
      <c r="P8" s="56">
        <f>IF('A1. Data scoring'!U17&lt;&gt;"N/A","Yes","No")</f>
        <v/>
      </c>
      <c r="Q8" s="56">
        <f>IF('A1. Data scoring'!V17&lt;&gt;"N/A","Yes","No")</f>
        <v/>
      </c>
      <c r="R8" s="56">
        <f>IF('A1. Data scoring'!W17&lt;&gt;"N/A","Yes","No")</f>
        <v/>
      </c>
      <c r="S8" s="56">
        <f>IF('A1. Data scoring'!X17&lt;&gt;"N/A","Yes","No")</f>
        <v/>
      </c>
      <c r="T8" s="8">
        <f>COUNTIF(C8:S8,"Yes")</f>
        <v/>
      </c>
    </row>
    <row r="9">
      <c r="B9" s="7" t="inlineStr">
        <is>
          <t>EE1(c)</t>
        </is>
      </c>
      <c r="C9" s="56">
        <f>IF('A1. Data scoring'!H23&lt;&gt;"N/A","Yes","No")</f>
        <v/>
      </c>
      <c r="D9" s="56">
        <f>IF('A1. Data scoring'!I23&lt;&gt;"N/A","Yes","No")</f>
        <v/>
      </c>
      <c r="E9" s="56">
        <f>IF('A1. Data scoring'!J23&lt;&gt;"N/A","Yes","No")</f>
        <v/>
      </c>
      <c r="F9" s="56">
        <f>IF('A1. Data scoring'!K23&lt;&gt;"N/A","Yes","No")</f>
        <v/>
      </c>
      <c r="G9" s="56">
        <f>IF('A1. Data scoring'!L23&lt;&gt;"N/A","Yes","No")</f>
        <v/>
      </c>
      <c r="H9" s="56">
        <f>IF('A1. Data scoring'!M23&lt;&gt;"N/A","Yes","No")</f>
        <v/>
      </c>
      <c r="I9" s="56">
        <f>IF('A1. Data scoring'!N23&lt;&gt;"N/A","Yes","No")</f>
        <v/>
      </c>
      <c r="J9" s="56">
        <f>IF('A1. Data scoring'!O23&lt;&gt;"N/A","Yes","No")</f>
        <v/>
      </c>
      <c r="K9" s="56">
        <f>IF('A1. Data scoring'!P23&lt;&gt;"N/A","Yes","No")</f>
        <v/>
      </c>
      <c r="L9" s="56">
        <f>IF('A1. Data scoring'!Q23&lt;&gt;"N/A","Yes","No")</f>
        <v/>
      </c>
      <c r="M9" s="56">
        <f>IF('A1. Data scoring'!R23&lt;&gt;"N/A","Yes","No")</f>
        <v/>
      </c>
      <c r="N9" s="56">
        <f>IF('A1. Data scoring'!S23&lt;&gt;"N/A","Yes","No")</f>
        <v/>
      </c>
      <c r="O9" s="56">
        <f>IF('A1. Data scoring'!T23&lt;&gt;"N/A","Yes","No")</f>
        <v/>
      </c>
      <c r="P9" s="56">
        <f>IF('A1. Data scoring'!U23&lt;&gt;"N/A","Yes","No")</f>
        <v/>
      </c>
      <c r="Q9" s="56">
        <f>IF('A1. Data scoring'!V23&lt;&gt;"N/A","Yes","No")</f>
        <v/>
      </c>
      <c r="R9" s="56">
        <f>IF('A1. Data scoring'!W23&lt;&gt;"N/A","Yes","No")</f>
        <v/>
      </c>
      <c r="S9" s="56">
        <f>IF('A1. Data scoring'!X23&lt;&gt;"N/A","Yes","No")</f>
        <v/>
      </c>
      <c r="T9" s="8">
        <f>COUNTIF(C9:S9,"Yes")</f>
        <v/>
      </c>
    </row>
    <row r="10">
      <c r="B10" s="7" t="inlineStr">
        <is>
          <t>EE1(d)</t>
        </is>
      </c>
      <c r="C10" s="56">
        <f>IF('A1. Data scoring'!H29&lt;&gt;"N/A","Yes","No")</f>
        <v/>
      </c>
      <c r="D10" s="56">
        <f>IF('A1. Data scoring'!I29&lt;&gt;"N/A","Yes","No")</f>
        <v/>
      </c>
      <c r="E10" s="56">
        <f>IF('A1. Data scoring'!J29&lt;&gt;"N/A","Yes","No")</f>
        <v/>
      </c>
      <c r="F10" s="56">
        <f>IF('A1. Data scoring'!K29&lt;&gt;"N/A","Yes","No")</f>
        <v/>
      </c>
      <c r="G10" s="56">
        <f>IF('A1. Data scoring'!L29&lt;&gt;"N/A","Yes","No")</f>
        <v/>
      </c>
      <c r="H10" s="56">
        <f>IF('A1. Data scoring'!M29&lt;&gt;"N/A","Yes","No")</f>
        <v/>
      </c>
      <c r="I10" s="56">
        <f>IF('A1. Data scoring'!N29&lt;&gt;"N/A","Yes","No")</f>
        <v/>
      </c>
      <c r="J10" s="56">
        <f>IF('A1. Data scoring'!O29&lt;&gt;"N/A","Yes","No")</f>
        <v/>
      </c>
      <c r="K10" s="56">
        <f>IF('A1. Data scoring'!P29&lt;&gt;"N/A","Yes","No")</f>
        <v/>
      </c>
      <c r="L10" s="56">
        <f>IF('A1. Data scoring'!Q29&lt;&gt;"N/A","Yes","No")</f>
        <v/>
      </c>
      <c r="M10" s="56">
        <f>IF('A1. Data scoring'!R29&lt;&gt;"N/A","Yes","No")</f>
        <v/>
      </c>
      <c r="N10" s="56">
        <f>IF('A1. Data scoring'!S29&lt;&gt;"N/A","Yes","No")</f>
        <v/>
      </c>
      <c r="O10" s="56">
        <f>IF('A1. Data scoring'!T29&lt;&gt;"N/A","Yes","No")</f>
        <v/>
      </c>
      <c r="P10" s="56">
        <f>IF('A1. Data scoring'!U29&lt;&gt;"N/A","Yes","No")</f>
        <v/>
      </c>
      <c r="Q10" s="56">
        <f>IF('A1. Data scoring'!V29&lt;&gt;"N/A","Yes","No")</f>
        <v/>
      </c>
      <c r="R10" s="56">
        <f>IF('A1. Data scoring'!W29&lt;&gt;"N/A","Yes","No")</f>
        <v/>
      </c>
      <c r="S10" s="56">
        <f>IF('A1. Data scoring'!X29&lt;&gt;"N/A","Yes","No")</f>
        <v/>
      </c>
      <c r="T10" s="8">
        <f>COUNTIF(C10:S10,"Yes")</f>
        <v/>
      </c>
    </row>
    <row r="11">
      <c r="B11" s="7" t="inlineStr">
        <is>
          <t>TR1(a)</t>
        </is>
      </c>
      <c r="C11" s="56">
        <f>IF('A1. Data scoring'!H35&lt;&gt;"N/A","Yes","No")</f>
        <v/>
      </c>
      <c r="D11" s="56">
        <f>IF('A1. Data scoring'!I35&lt;&gt;"N/A","Yes","No")</f>
        <v/>
      </c>
      <c r="E11" s="56">
        <f>IF('A1. Data scoring'!J35&lt;&gt;"N/A","Yes","No")</f>
        <v/>
      </c>
      <c r="F11" s="56">
        <f>IF('A1. Data scoring'!K35&lt;&gt;"N/A","Yes","No")</f>
        <v/>
      </c>
      <c r="G11" s="56">
        <f>IF('A1. Data scoring'!L35&lt;&gt;"N/A","Yes","No")</f>
        <v/>
      </c>
      <c r="H11" s="56">
        <f>IF('A1. Data scoring'!M35&lt;&gt;"N/A","Yes","No")</f>
        <v/>
      </c>
      <c r="I11" s="56">
        <f>IF('A1. Data scoring'!N35&lt;&gt;"N/A","Yes","No")</f>
        <v/>
      </c>
      <c r="J11" s="56">
        <f>IF('A1. Data scoring'!O35&lt;&gt;"N/A","Yes","No")</f>
        <v/>
      </c>
      <c r="K11" s="56">
        <f>IF('A1. Data scoring'!P35&lt;&gt;"N/A","Yes","No")</f>
        <v/>
      </c>
      <c r="L11" s="56">
        <f>IF('A1. Data scoring'!Q35&lt;&gt;"N/A","Yes","No")</f>
        <v/>
      </c>
      <c r="M11" s="56">
        <f>IF('A1. Data scoring'!R35&lt;&gt;"N/A","Yes","No")</f>
        <v/>
      </c>
      <c r="N11" s="56">
        <f>IF('A1. Data scoring'!S35&lt;&gt;"N/A","Yes","No")</f>
        <v/>
      </c>
      <c r="O11" s="56">
        <f>IF('A1. Data scoring'!T35&lt;&gt;"N/A","Yes","No")</f>
        <v/>
      </c>
      <c r="P11" s="56">
        <f>IF('A1. Data scoring'!U35&lt;&gt;"N/A","Yes","No")</f>
        <v/>
      </c>
      <c r="Q11" s="56">
        <f>IF('A1. Data scoring'!V35&lt;&gt;"N/A","Yes","No")</f>
        <v/>
      </c>
      <c r="R11" s="56">
        <f>IF('A1. Data scoring'!W35&lt;&gt;"N/A","Yes","No")</f>
        <v/>
      </c>
      <c r="S11" s="56">
        <f>IF('A1. Data scoring'!X35&lt;&gt;"N/A","Yes","No")</f>
        <v/>
      </c>
      <c r="T11" s="8">
        <f>COUNTIF(C11:S11,"Yes")</f>
        <v/>
      </c>
    </row>
    <row r="12">
      <c r="B12" s="7" t="inlineStr">
        <is>
          <t>TR1(b)</t>
        </is>
      </c>
      <c r="C12" s="56">
        <f>IF('A1. Data scoring'!H41&lt;&gt;"N/A","Yes","No")</f>
        <v/>
      </c>
      <c r="D12" s="56">
        <f>IF('A1. Data scoring'!I41&lt;&gt;"N/A","Yes","No")</f>
        <v/>
      </c>
      <c r="E12" s="56">
        <f>IF('A1. Data scoring'!J41&lt;&gt;"N/A","Yes","No")</f>
        <v/>
      </c>
      <c r="F12" s="56">
        <f>IF('A1. Data scoring'!K41&lt;&gt;"N/A","Yes","No")</f>
        <v/>
      </c>
      <c r="G12" s="56">
        <f>IF('A1. Data scoring'!L41&lt;&gt;"N/A","Yes","No")</f>
        <v/>
      </c>
      <c r="H12" s="56">
        <f>IF('A1. Data scoring'!M41&lt;&gt;"N/A","Yes","No")</f>
        <v/>
      </c>
      <c r="I12" s="56">
        <f>IF('A1. Data scoring'!N41&lt;&gt;"N/A","Yes","No")</f>
        <v/>
      </c>
      <c r="J12" s="56">
        <f>IF('A1. Data scoring'!O41&lt;&gt;"N/A","Yes","No")</f>
        <v/>
      </c>
      <c r="K12" s="56">
        <f>IF('A1. Data scoring'!P41&lt;&gt;"N/A","Yes","No")</f>
        <v/>
      </c>
      <c r="L12" s="56">
        <f>IF('A1. Data scoring'!Q41&lt;&gt;"N/A","Yes","No")</f>
        <v/>
      </c>
      <c r="M12" s="56">
        <f>IF('A1. Data scoring'!R41&lt;&gt;"N/A","Yes","No")</f>
        <v/>
      </c>
      <c r="N12" s="56">
        <f>IF('A1. Data scoring'!S41&lt;&gt;"N/A","Yes","No")</f>
        <v/>
      </c>
      <c r="O12" s="56">
        <f>IF('A1. Data scoring'!T41&lt;&gt;"N/A","Yes","No")</f>
        <v/>
      </c>
      <c r="P12" s="56">
        <f>IF('A1. Data scoring'!U41&lt;&gt;"N/A","Yes","No")</f>
        <v/>
      </c>
      <c r="Q12" s="56">
        <f>IF('A1. Data scoring'!V41&lt;&gt;"N/A","Yes","No")</f>
        <v/>
      </c>
      <c r="R12" s="56">
        <f>IF('A1. Data scoring'!W41&lt;&gt;"N/A","Yes","No")</f>
        <v/>
      </c>
      <c r="S12" s="56">
        <f>IF('A1. Data scoring'!X41&lt;&gt;"N/A","Yes","No")</f>
        <v/>
      </c>
      <c r="T12" s="8">
        <f>COUNTIF(C12:S12,"Yes")</f>
        <v/>
      </c>
    </row>
    <row r="13">
      <c r="B13" s="7" t="inlineStr">
        <is>
          <t>TR1(c)</t>
        </is>
      </c>
      <c r="C13" s="56">
        <f>IF('A1. Data scoring'!H47&lt;&gt;"N/A","Yes","No")</f>
        <v/>
      </c>
      <c r="D13" s="56">
        <f>IF('A1. Data scoring'!I47&lt;&gt;"N/A","Yes","No")</f>
        <v/>
      </c>
      <c r="E13" s="56">
        <f>IF('A1. Data scoring'!J47&lt;&gt;"N/A","Yes","No")</f>
        <v/>
      </c>
      <c r="F13" s="56">
        <f>IF('A1. Data scoring'!K47&lt;&gt;"N/A","Yes","No")</f>
        <v/>
      </c>
      <c r="G13" s="56">
        <f>IF('A1. Data scoring'!L47&lt;&gt;"N/A","Yes","No")</f>
        <v/>
      </c>
      <c r="H13" s="56">
        <f>IF('A1. Data scoring'!M47&lt;&gt;"N/A","Yes","No")</f>
        <v/>
      </c>
      <c r="I13" s="56">
        <f>IF('A1. Data scoring'!N47&lt;&gt;"N/A","Yes","No")</f>
        <v/>
      </c>
      <c r="J13" s="56">
        <f>IF('A1. Data scoring'!O47&lt;&gt;"N/A","Yes","No")</f>
        <v/>
      </c>
      <c r="K13" s="56">
        <f>IF('A1. Data scoring'!P47&lt;&gt;"N/A","Yes","No")</f>
        <v/>
      </c>
      <c r="L13" s="56">
        <f>IF('A1. Data scoring'!Q47&lt;&gt;"N/A","Yes","No")</f>
        <v/>
      </c>
      <c r="M13" s="56">
        <f>IF('A1. Data scoring'!R47&lt;&gt;"N/A","Yes","No")</f>
        <v/>
      </c>
      <c r="N13" s="56">
        <f>IF('A1. Data scoring'!S47&lt;&gt;"N/A","Yes","No")</f>
        <v/>
      </c>
      <c r="O13" s="56">
        <f>IF('A1. Data scoring'!T47&lt;&gt;"N/A","Yes","No")</f>
        <v/>
      </c>
      <c r="P13" s="56">
        <f>IF('A1. Data scoring'!U47&lt;&gt;"N/A","Yes","No")</f>
        <v/>
      </c>
      <c r="Q13" s="56">
        <f>IF('A1. Data scoring'!V47&lt;&gt;"N/A","Yes","No")</f>
        <v/>
      </c>
      <c r="R13" s="56">
        <f>IF('A1. Data scoring'!W47&lt;&gt;"N/A","Yes","No")</f>
        <v/>
      </c>
      <c r="S13" s="56">
        <f>IF('A1. Data scoring'!X47&lt;&gt;"N/A","Yes","No")</f>
        <v/>
      </c>
      <c r="T13" s="8">
        <f>COUNTIF(C13:S13,"Yes")</f>
        <v/>
      </c>
    </row>
    <row r="14">
      <c r="B14" s="7" t="inlineStr">
        <is>
          <t>TR1(d)</t>
        </is>
      </c>
      <c r="C14" s="56">
        <f>IF('A1. Data scoring'!H53&lt;&gt;"N/A","Yes","No")</f>
        <v/>
      </c>
      <c r="D14" s="56">
        <f>IF('A1. Data scoring'!I53&lt;&gt;"N/A","Yes","No")</f>
        <v/>
      </c>
      <c r="E14" s="56">
        <f>IF('A1. Data scoring'!J53&lt;&gt;"N/A","Yes","No")</f>
        <v/>
      </c>
      <c r="F14" s="56">
        <f>IF('A1. Data scoring'!K53&lt;&gt;"N/A","Yes","No")</f>
        <v/>
      </c>
      <c r="G14" s="56">
        <f>IF('A1. Data scoring'!L53&lt;&gt;"N/A","Yes","No")</f>
        <v/>
      </c>
      <c r="H14" s="56">
        <f>IF('A1. Data scoring'!M53&lt;&gt;"N/A","Yes","No")</f>
        <v/>
      </c>
      <c r="I14" s="56">
        <f>IF('A1. Data scoring'!N53&lt;&gt;"N/A","Yes","No")</f>
        <v/>
      </c>
      <c r="J14" s="56">
        <f>IF('A1. Data scoring'!O53&lt;&gt;"N/A","Yes","No")</f>
        <v/>
      </c>
      <c r="K14" s="56">
        <f>IF('A1. Data scoring'!P53&lt;&gt;"N/A","Yes","No")</f>
        <v/>
      </c>
      <c r="L14" s="56">
        <f>IF('A1. Data scoring'!Q53&lt;&gt;"N/A","Yes","No")</f>
        <v/>
      </c>
      <c r="M14" s="56">
        <f>IF('A1. Data scoring'!R53&lt;&gt;"N/A","Yes","No")</f>
        <v/>
      </c>
      <c r="N14" s="56">
        <f>IF('A1. Data scoring'!S53&lt;&gt;"N/A","Yes","No")</f>
        <v/>
      </c>
      <c r="O14" s="56">
        <f>IF('A1. Data scoring'!T53&lt;&gt;"N/A","Yes","No")</f>
        <v/>
      </c>
      <c r="P14" s="56">
        <f>IF('A1. Data scoring'!U53&lt;&gt;"N/A","Yes","No")</f>
        <v/>
      </c>
      <c r="Q14" s="56">
        <f>IF('A1. Data scoring'!V53&lt;&gt;"N/A","Yes","No")</f>
        <v/>
      </c>
      <c r="R14" s="56">
        <f>IF('A1. Data scoring'!W53&lt;&gt;"N/A","Yes","No")</f>
        <v/>
      </c>
      <c r="S14" s="56">
        <f>IF('A1. Data scoring'!X53&lt;&gt;"N/A","Yes","No")</f>
        <v/>
      </c>
      <c r="T14" s="8">
        <f>COUNTIF(C14:S14,"Yes")</f>
        <v/>
      </c>
    </row>
    <row r="15">
      <c r="B15" s="7" t="inlineStr">
        <is>
          <t>TR2(a)</t>
        </is>
      </c>
      <c r="C15" s="56">
        <f>IF('A1. Data scoring'!H59&lt;&gt;"N/A","Yes","No")</f>
        <v/>
      </c>
      <c r="D15" s="56">
        <f>IF('A1. Data scoring'!I59&lt;&gt;"N/A","Yes","No")</f>
        <v/>
      </c>
      <c r="E15" s="56">
        <f>IF('A1. Data scoring'!J59&lt;&gt;"N/A","Yes","No")</f>
        <v/>
      </c>
      <c r="F15" s="56">
        <f>IF('A1. Data scoring'!K59&lt;&gt;"N/A","Yes","No")</f>
        <v/>
      </c>
      <c r="G15" s="56">
        <f>IF('A1. Data scoring'!L59&lt;&gt;"N/A","Yes","No")</f>
        <v/>
      </c>
      <c r="H15" s="56">
        <f>IF('A1. Data scoring'!M59&lt;&gt;"N/A","Yes","No")</f>
        <v/>
      </c>
      <c r="I15" s="56">
        <f>IF('A1. Data scoring'!N59&lt;&gt;"N/A","Yes","No")</f>
        <v/>
      </c>
      <c r="J15" s="56">
        <f>IF('A1. Data scoring'!O59&lt;&gt;"N/A","Yes","No")</f>
        <v/>
      </c>
      <c r="K15" s="56">
        <f>IF('A1. Data scoring'!P59&lt;&gt;"N/A","Yes","No")</f>
        <v/>
      </c>
      <c r="L15" s="56">
        <f>IF('A1. Data scoring'!Q59&lt;&gt;"N/A","Yes","No")</f>
        <v/>
      </c>
      <c r="M15" s="56">
        <f>IF('A1. Data scoring'!R59&lt;&gt;"N/A","Yes","No")</f>
        <v/>
      </c>
      <c r="N15" s="56">
        <f>IF('A1. Data scoring'!S59&lt;&gt;"N/A","Yes","No")</f>
        <v/>
      </c>
      <c r="O15" s="56">
        <f>IF('A1. Data scoring'!T59&lt;&gt;"N/A","Yes","No")</f>
        <v/>
      </c>
      <c r="P15" s="56">
        <f>IF('A1. Data scoring'!U59&lt;&gt;"N/A","Yes","No")</f>
        <v/>
      </c>
      <c r="Q15" s="56">
        <f>IF('A1. Data scoring'!V59&lt;&gt;"N/A","Yes","No")</f>
        <v/>
      </c>
      <c r="R15" s="56">
        <f>IF('A1. Data scoring'!W59&lt;&gt;"N/A","Yes","No")</f>
        <v/>
      </c>
      <c r="S15" s="56">
        <f>IF('A1. Data scoring'!X59&lt;&gt;"N/A","Yes","No")</f>
        <v/>
      </c>
      <c r="T15" s="8">
        <f>COUNTIF(C15:S15,"Yes")</f>
        <v/>
      </c>
    </row>
    <row r="16">
      <c r="B16" s="7" t="inlineStr">
        <is>
          <t>TR2(c)</t>
        </is>
      </c>
      <c r="C16" s="56">
        <f>IF('A1. Data scoring'!H65&lt;&gt;"N/A","Yes","No")</f>
        <v/>
      </c>
      <c r="D16" s="56">
        <f>IF('A1. Data scoring'!I65&lt;&gt;"N/A","Yes","No")</f>
        <v/>
      </c>
      <c r="E16" s="56">
        <f>IF('A1. Data scoring'!J65&lt;&gt;"N/A","Yes","No")</f>
        <v/>
      </c>
      <c r="F16" s="56">
        <f>IF('A1. Data scoring'!K65&lt;&gt;"N/A","Yes","No")</f>
        <v/>
      </c>
      <c r="G16" s="56">
        <f>IF('A1. Data scoring'!L65&lt;&gt;"N/A","Yes","No")</f>
        <v/>
      </c>
      <c r="H16" s="56">
        <f>IF('A1. Data scoring'!M65&lt;&gt;"N/A","Yes","No")</f>
        <v/>
      </c>
      <c r="I16" s="56">
        <f>IF('A1. Data scoring'!N65&lt;&gt;"N/A","Yes","No")</f>
        <v/>
      </c>
      <c r="J16" s="56">
        <f>IF('A1. Data scoring'!O65&lt;&gt;"N/A","Yes","No")</f>
        <v/>
      </c>
      <c r="K16" s="56">
        <f>IF('A1. Data scoring'!P65&lt;&gt;"N/A","Yes","No")</f>
        <v/>
      </c>
      <c r="L16" s="56">
        <f>IF('A1. Data scoring'!Q65&lt;&gt;"N/A","Yes","No")</f>
        <v/>
      </c>
      <c r="M16" s="56">
        <f>IF('A1. Data scoring'!R65&lt;&gt;"N/A","Yes","No")</f>
        <v/>
      </c>
      <c r="N16" s="56">
        <f>IF('A1. Data scoring'!S65&lt;&gt;"N/A","Yes","No")</f>
        <v/>
      </c>
      <c r="O16" s="56">
        <f>IF('A1. Data scoring'!T65&lt;&gt;"N/A","Yes","No")</f>
        <v/>
      </c>
      <c r="P16" s="56">
        <f>IF('A1. Data scoring'!U65&lt;&gt;"N/A","Yes","No")</f>
        <v/>
      </c>
      <c r="Q16" s="56">
        <f>IF('A1. Data scoring'!V65&lt;&gt;"N/A","Yes","No")</f>
        <v/>
      </c>
      <c r="R16" s="56">
        <f>IF('A1. Data scoring'!W65&lt;&gt;"N/A","Yes","No")</f>
        <v/>
      </c>
      <c r="S16" s="56">
        <f>IF('A1. Data scoring'!X65&lt;&gt;"N/A","Yes","No")</f>
        <v/>
      </c>
      <c r="T16" s="8">
        <f>COUNTIF(C16:S16,"Yes")</f>
        <v/>
      </c>
    </row>
    <row r="17">
      <c r="B17" s="7" t="inlineStr">
        <is>
          <t>TR2(d)</t>
        </is>
      </c>
      <c r="C17" s="56">
        <f>IF('A1. Data scoring'!H71&lt;&gt;"N/A","Yes","No")</f>
        <v/>
      </c>
      <c r="D17" s="56">
        <f>IF('A1. Data scoring'!I71&lt;&gt;"N/A","Yes","No")</f>
        <v/>
      </c>
      <c r="E17" s="56">
        <f>IF('A1. Data scoring'!J71&lt;&gt;"N/A","Yes","No")</f>
        <v/>
      </c>
      <c r="F17" s="56">
        <f>IF('A1. Data scoring'!K71&lt;&gt;"N/A","Yes","No")</f>
        <v/>
      </c>
      <c r="G17" s="56">
        <f>IF('A1. Data scoring'!L71&lt;&gt;"N/A","Yes","No")</f>
        <v/>
      </c>
      <c r="H17" s="56">
        <f>IF('A1. Data scoring'!M71&lt;&gt;"N/A","Yes","No")</f>
        <v/>
      </c>
      <c r="I17" s="56">
        <f>IF('A1. Data scoring'!N71&lt;&gt;"N/A","Yes","No")</f>
        <v/>
      </c>
      <c r="J17" s="56">
        <f>IF('A1. Data scoring'!O71&lt;&gt;"N/A","Yes","No")</f>
        <v/>
      </c>
      <c r="K17" s="56">
        <f>IF('A1. Data scoring'!P71&lt;&gt;"N/A","Yes","No")</f>
        <v/>
      </c>
      <c r="L17" s="56">
        <f>IF('A1. Data scoring'!Q71&lt;&gt;"N/A","Yes","No")</f>
        <v/>
      </c>
      <c r="M17" s="56">
        <f>IF('A1. Data scoring'!R71&lt;&gt;"N/A","Yes","No")</f>
        <v/>
      </c>
      <c r="N17" s="56">
        <f>IF('A1. Data scoring'!S71&lt;&gt;"N/A","Yes","No")</f>
        <v/>
      </c>
      <c r="O17" s="56">
        <f>IF('A1. Data scoring'!T71&lt;&gt;"N/A","Yes","No")</f>
        <v/>
      </c>
      <c r="P17" s="56">
        <f>IF('A1. Data scoring'!U71&lt;&gt;"N/A","Yes","No")</f>
        <v/>
      </c>
      <c r="Q17" s="56">
        <f>IF('A1. Data scoring'!V71&lt;&gt;"N/A","Yes","No")</f>
        <v/>
      </c>
      <c r="R17" s="56">
        <f>IF('A1. Data scoring'!W71&lt;&gt;"N/A","Yes","No")</f>
        <v/>
      </c>
      <c r="S17" s="56">
        <f>IF('A1. Data scoring'!X71&lt;&gt;"N/A","Yes","No")</f>
        <v/>
      </c>
      <c r="T17" s="8">
        <f>COUNTIF(C17:S17,"Yes")</f>
        <v/>
      </c>
    </row>
    <row r="18">
      <c r="B18" s="7" t="inlineStr">
        <is>
          <t>TR3(a)</t>
        </is>
      </c>
      <c r="C18" s="56">
        <f>IF('A1. Data scoring'!H77&lt;&gt;"N/A","Yes","No")</f>
        <v/>
      </c>
      <c r="D18" s="56">
        <f>IF('A1. Data scoring'!I77&lt;&gt;"N/A","Yes","No")</f>
        <v/>
      </c>
      <c r="E18" s="56">
        <f>IF('A1. Data scoring'!J77&lt;&gt;"N/A","Yes","No")</f>
        <v/>
      </c>
      <c r="F18" s="56">
        <f>IF('A1. Data scoring'!K77&lt;&gt;"N/A","Yes","No")</f>
        <v/>
      </c>
      <c r="G18" s="56">
        <f>IF('A1. Data scoring'!L77&lt;&gt;"N/A","Yes","No")</f>
        <v/>
      </c>
      <c r="H18" s="56">
        <f>IF('A1. Data scoring'!M77&lt;&gt;"N/A","Yes","No")</f>
        <v/>
      </c>
      <c r="I18" s="56">
        <f>IF('A1. Data scoring'!N77&lt;&gt;"N/A","Yes","No")</f>
        <v/>
      </c>
      <c r="J18" s="56">
        <f>IF('A1. Data scoring'!O77&lt;&gt;"N/A","Yes","No")</f>
        <v/>
      </c>
      <c r="K18" s="56">
        <f>IF('A1. Data scoring'!P77&lt;&gt;"N/A","Yes","No")</f>
        <v/>
      </c>
      <c r="L18" s="56">
        <f>IF('A1. Data scoring'!Q77&lt;&gt;"N/A","Yes","No")</f>
        <v/>
      </c>
      <c r="M18" s="56">
        <f>IF('A1. Data scoring'!R77&lt;&gt;"N/A","Yes","No")</f>
        <v/>
      </c>
      <c r="N18" s="56">
        <f>IF('A1. Data scoring'!S77&lt;&gt;"N/A","Yes","No")</f>
        <v/>
      </c>
      <c r="O18" s="56">
        <f>IF('A1. Data scoring'!T77&lt;&gt;"N/A","Yes","No")</f>
        <v/>
      </c>
      <c r="P18" s="56">
        <f>IF('A1. Data scoring'!U77&lt;&gt;"N/A","Yes","No")</f>
        <v/>
      </c>
      <c r="Q18" s="56">
        <f>IF('A1. Data scoring'!V77&lt;&gt;"N/A","Yes","No")</f>
        <v/>
      </c>
      <c r="R18" s="56">
        <f>IF('A1. Data scoring'!W77&lt;&gt;"N/A","Yes","No")</f>
        <v/>
      </c>
      <c r="S18" s="56">
        <f>IF('A1. Data scoring'!X77&lt;&gt;"N/A","Yes","No")</f>
        <v/>
      </c>
      <c r="T18" s="8">
        <f>COUNTIF(C18:S18,"Yes")</f>
        <v/>
      </c>
    </row>
    <row r="19">
      <c r="B19" s="7" t="inlineStr">
        <is>
          <t>TR3(b)</t>
        </is>
      </c>
      <c r="C19" s="56">
        <f>IF('A1. Data scoring'!H83&lt;&gt;"N/A","Yes","No")</f>
        <v/>
      </c>
      <c r="D19" s="56">
        <f>IF('A1. Data scoring'!I83&lt;&gt;"N/A","Yes","No")</f>
        <v/>
      </c>
      <c r="E19" s="56">
        <f>IF('A1. Data scoring'!J83&lt;&gt;"N/A","Yes","No")</f>
        <v/>
      </c>
      <c r="F19" s="56">
        <f>IF('A1. Data scoring'!K83&lt;&gt;"N/A","Yes","No")</f>
        <v/>
      </c>
      <c r="G19" s="56">
        <f>IF('A1. Data scoring'!L83&lt;&gt;"N/A","Yes","No")</f>
        <v/>
      </c>
      <c r="H19" s="56">
        <f>IF('A1. Data scoring'!M83&lt;&gt;"N/A","Yes","No")</f>
        <v/>
      </c>
      <c r="I19" s="56">
        <f>IF('A1. Data scoring'!N83&lt;&gt;"N/A","Yes","No")</f>
        <v/>
      </c>
      <c r="J19" s="56">
        <f>IF('A1. Data scoring'!O83&lt;&gt;"N/A","Yes","No")</f>
        <v/>
      </c>
      <c r="K19" s="56">
        <f>IF('A1. Data scoring'!P83&lt;&gt;"N/A","Yes","No")</f>
        <v/>
      </c>
      <c r="L19" s="56">
        <f>IF('A1. Data scoring'!Q83&lt;&gt;"N/A","Yes","No")</f>
        <v/>
      </c>
      <c r="M19" s="56">
        <f>IF('A1. Data scoring'!R83&lt;&gt;"N/A","Yes","No")</f>
        <v/>
      </c>
      <c r="N19" s="56">
        <f>IF('A1. Data scoring'!S83&lt;&gt;"N/A","Yes","No")</f>
        <v/>
      </c>
      <c r="O19" s="56">
        <f>IF('A1. Data scoring'!T83&lt;&gt;"N/A","Yes","No")</f>
        <v/>
      </c>
      <c r="P19" s="56">
        <f>IF('A1. Data scoring'!U83&lt;&gt;"N/A","Yes","No")</f>
        <v/>
      </c>
      <c r="Q19" s="56">
        <f>IF('A1. Data scoring'!V83&lt;&gt;"N/A","Yes","No")</f>
        <v/>
      </c>
      <c r="R19" s="56">
        <f>IF('A1. Data scoring'!W83&lt;&gt;"N/A","Yes","No")</f>
        <v/>
      </c>
      <c r="S19" s="56">
        <f>IF('A1. Data scoring'!X83&lt;&gt;"N/A","Yes","No")</f>
        <v/>
      </c>
      <c r="T19" s="8">
        <f>COUNTIF(C19:S19,"Yes")</f>
        <v/>
      </c>
    </row>
    <row r="20">
      <c r="B20" s="7" t="inlineStr">
        <is>
          <t>TR3(c)</t>
        </is>
      </c>
      <c r="C20" s="56">
        <f>IF('A1. Data scoring'!H89&lt;&gt;"N/A","Yes","No")</f>
        <v/>
      </c>
      <c r="D20" s="56">
        <f>IF('A1. Data scoring'!I89&lt;&gt;"N/A","Yes","No")</f>
        <v/>
      </c>
      <c r="E20" s="56">
        <f>IF('A1. Data scoring'!J89&lt;&gt;"N/A","Yes","No")</f>
        <v/>
      </c>
      <c r="F20" s="56">
        <f>IF('A1. Data scoring'!K89&lt;&gt;"N/A","Yes","No")</f>
        <v/>
      </c>
      <c r="G20" s="56">
        <f>IF('A1. Data scoring'!L89&lt;&gt;"N/A","Yes","No")</f>
        <v/>
      </c>
      <c r="H20" s="56">
        <f>IF('A1. Data scoring'!M89&lt;&gt;"N/A","Yes","No")</f>
        <v/>
      </c>
      <c r="I20" s="56">
        <f>IF('A1. Data scoring'!N89&lt;&gt;"N/A","Yes","No")</f>
        <v/>
      </c>
      <c r="J20" s="56">
        <f>IF('A1. Data scoring'!O89&lt;&gt;"N/A","Yes","No")</f>
        <v/>
      </c>
      <c r="K20" s="56">
        <f>IF('A1. Data scoring'!P89&lt;&gt;"N/A","Yes","No")</f>
        <v/>
      </c>
      <c r="L20" s="56">
        <f>IF('A1. Data scoring'!Q89&lt;&gt;"N/A","Yes","No")</f>
        <v/>
      </c>
      <c r="M20" s="56">
        <f>IF('A1. Data scoring'!R89&lt;&gt;"N/A","Yes","No")</f>
        <v/>
      </c>
      <c r="N20" s="56">
        <f>IF('A1. Data scoring'!S89&lt;&gt;"N/A","Yes","No")</f>
        <v/>
      </c>
      <c r="O20" s="56">
        <f>IF('A1. Data scoring'!T89&lt;&gt;"N/A","Yes","No")</f>
        <v/>
      </c>
      <c r="P20" s="56">
        <f>IF('A1. Data scoring'!U89&lt;&gt;"N/A","Yes","No")</f>
        <v/>
      </c>
      <c r="Q20" s="56">
        <f>IF('A1. Data scoring'!V89&lt;&gt;"N/A","Yes","No")</f>
        <v/>
      </c>
      <c r="R20" s="56">
        <f>IF('A1. Data scoring'!W89&lt;&gt;"N/A","Yes","No")</f>
        <v/>
      </c>
      <c r="S20" s="56">
        <f>IF('A1. Data scoring'!X89&lt;&gt;"N/A","Yes","No")</f>
        <v/>
      </c>
      <c r="T20" s="8">
        <f>COUNTIF(C20:S20,"Yes")</f>
        <v/>
      </c>
    </row>
    <row r="21">
      <c r="B21" s="7" t="inlineStr">
        <is>
          <t>TR3(d)</t>
        </is>
      </c>
      <c r="C21" s="56">
        <f>IF('A1. Data scoring'!H95&lt;&gt;"N/A","Yes","No")</f>
        <v/>
      </c>
      <c r="D21" s="56">
        <f>IF('A1. Data scoring'!I95&lt;&gt;"N/A","Yes","No")</f>
        <v/>
      </c>
      <c r="E21" s="56">
        <f>IF('A1. Data scoring'!J95&lt;&gt;"N/A","Yes","No")</f>
        <v/>
      </c>
      <c r="F21" s="56">
        <f>IF('A1. Data scoring'!K95&lt;&gt;"N/A","Yes","No")</f>
        <v/>
      </c>
      <c r="G21" s="56">
        <f>IF('A1. Data scoring'!L95&lt;&gt;"N/A","Yes","No")</f>
        <v/>
      </c>
      <c r="H21" s="56">
        <f>IF('A1. Data scoring'!M95&lt;&gt;"N/A","Yes","No")</f>
        <v/>
      </c>
      <c r="I21" s="56">
        <f>IF('A1. Data scoring'!N95&lt;&gt;"N/A","Yes","No")</f>
        <v/>
      </c>
      <c r="J21" s="56">
        <f>IF('A1. Data scoring'!O95&lt;&gt;"N/A","Yes","No")</f>
        <v/>
      </c>
      <c r="K21" s="56">
        <f>IF('A1. Data scoring'!P95&lt;&gt;"N/A","Yes","No")</f>
        <v/>
      </c>
      <c r="L21" s="56">
        <f>IF('A1. Data scoring'!Q95&lt;&gt;"N/A","Yes","No")</f>
        <v/>
      </c>
      <c r="M21" s="56">
        <f>IF('A1. Data scoring'!R95&lt;&gt;"N/A","Yes","No")</f>
        <v/>
      </c>
      <c r="N21" s="56">
        <f>IF('A1. Data scoring'!S95&lt;&gt;"N/A","Yes","No")</f>
        <v/>
      </c>
      <c r="O21" s="56">
        <f>IF('A1. Data scoring'!T95&lt;&gt;"N/A","Yes","No")</f>
        <v/>
      </c>
      <c r="P21" s="56">
        <f>IF('A1. Data scoring'!U95&lt;&gt;"N/A","Yes","No")</f>
        <v/>
      </c>
      <c r="Q21" s="56">
        <f>IF('A1. Data scoring'!V95&lt;&gt;"N/A","Yes","No")</f>
        <v/>
      </c>
      <c r="R21" s="56">
        <f>IF('A1. Data scoring'!W95&lt;&gt;"N/A","Yes","No")</f>
        <v/>
      </c>
      <c r="S21" s="56">
        <f>IF('A1. Data scoring'!X95&lt;&gt;"N/A","Yes","No")</f>
        <v/>
      </c>
      <c r="T21" s="8">
        <f>COUNTIF(C21:S21,"Yes")</f>
        <v/>
      </c>
    </row>
    <row r="22">
      <c r="B22" s="7" t="inlineStr">
        <is>
          <t>CL1(c)</t>
        </is>
      </c>
      <c r="C22" s="56">
        <f>IF('A1. Data scoring'!H101&lt;&gt;"N/A","Yes","No")</f>
        <v/>
      </c>
      <c r="D22" s="56">
        <f>IF('A1. Data scoring'!I101&lt;&gt;"N/A","Yes","No")</f>
        <v/>
      </c>
      <c r="E22" s="56">
        <f>IF('A1. Data scoring'!J101&lt;&gt;"N/A","Yes","No")</f>
        <v/>
      </c>
      <c r="F22" s="56">
        <f>IF('A1. Data scoring'!K101&lt;&gt;"N/A","Yes","No")</f>
        <v/>
      </c>
      <c r="G22" s="56">
        <f>IF('A1. Data scoring'!L101&lt;&gt;"N/A","Yes","No")</f>
        <v/>
      </c>
      <c r="H22" s="56">
        <f>IF('A1. Data scoring'!M101&lt;&gt;"N/A","Yes","No")</f>
        <v/>
      </c>
      <c r="I22" s="56">
        <f>IF('A1. Data scoring'!N101&lt;&gt;"N/A","Yes","No")</f>
        <v/>
      </c>
      <c r="J22" s="56">
        <f>IF('A1. Data scoring'!O101&lt;&gt;"N/A","Yes","No")</f>
        <v/>
      </c>
      <c r="K22" s="56">
        <f>IF('A1. Data scoring'!P101&lt;&gt;"N/A","Yes","No")</f>
        <v/>
      </c>
      <c r="L22" s="56">
        <f>IF('A1. Data scoring'!Q101&lt;&gt;"N/A","Yes","No")</f>
        <v/>
      </c>
      <c r="M22" s="56">
        <f>IF('A1. Data scoring'!R101&lt;&gt;"N/A","Yes","No")</f>
        <v/>
      </c>
      <c r="N22" s="56">
        <f>IF('A1. Data scoring'!S101&lt;&gt;"N/A","Yes","No")</f>
        <v/>
      </c>
      <c r="O22" s="56">
        <f>IF('A1. Data scoring'!T101&lt;&gt;"N/A","Yes","No")</f>
        <v/>
      </c>
      <c r="P22" s="56">
        <f>IF('A1. Data scoring'!U101&lt;&gt;"N/A","Yes","No")</f>
        <v/>
      </c>
      <c r="Q22" s="56">
        <f>IF('A1. Data scoring'!V101&lt;&gt;"N/A","Yes","No")</f>
        <v/>
      </c>
      <c r="R22" s="56">
        <f>IF('A1. Data scoring'!W101&lt;&gt;"N/A","Yes","No")</f>
        <v/>
      </c>
      <c r="S22" s="56">
        <f>IF('A1. Data scoring'!X101&lt;&gt;"N/A","Yes","No")</f>
        <v/>
      </c>
      <c r="T22" s="8">
        <f>COUNTIF(C22:S22,"Yes")</f>
        <v/>
      </c>
    </row>
    <row r="23">
      <c r="B23" s="7" t="inlineStr">
        <is>
          <t>CL2(a)</t>
        </is>
      </c>
      <c r="C23" s="56">
        <f>IF('A1. Data scoring'!H107&lt;&gt;"N/A","Yes","No")</f>
        <v/>
      </c>
      <c r="D23" s="56">
        <f>IF('A1. Data scoring'!I107&lt;&gt;"N/A","Yes","No")</f>
        <v/>
      </c>
      <c r="E23" s="56">
        <f>IF('A1. Data scoring'!J107&lt;&gt;"N/A","Yes","No")</f>
        <v/>
      </c>
      <c r="F23" s="56">
        <f>IF('A1. Data scoring'!K107&lt;&gt;"N/A","Yes","No")</f>
        <v/>
      </c>
      <c r="G23" s="56">
        <f>IF('A1. Data scoring'!L107&lt;&gt;"N/A","Yes","No")</f>
        <v/>
      </c>
      <c r="H23" s="56">
        <f>IF('A1. Data scoring'!M107&lt;&gt;"N/A","Yes","No")</f>
        <v/>
      </c>
      <c r="I23" s="56">
        <f>IF('A1. Data scoring'!N107&lt;&gt;"N/A","Yes","No")</f>
        <v/>
      </c>
      <c r="J23" s="56">
        <f>IF('A1. Data scoring'!O107&lt;&gt;"N/A","Yes","No")</f>
        <v/>
      </c>
      <c r="K23" s="56">
        <f>IF('A1. Data scoring'!P107&lt;&gt;"N/A","Yes","No")</f>
        <v/>
      </c>
      <c r="L23" s="56">
        <f>IF('A1. Data scoring'!Q107&lt;&gt;"N/A","Yes","No")</f>
        <v/>
      </c>
      <c r="M23" s="56">
        <f>IF('A1. Data scoring'!R107&lt;&gt;"N/A","Yes","No")</f>
        <v/>
      </c>
      <c r="N23" s="56">
        <f>IF('A1. Data scoring'!S107&lt;&gt;"N/A","Yes","No")</f>
        <v/>
      </c>
      <c r="O23" s="56">
        <f>IF('A1. Data scoring'!T107&lt;&gt;"N/A","Yes","No")</f>
        <v/>
      </c>
      <c r="P23" s="56">
        <f>IF('A1. Data scoring'!U107&lt;&gt;"N/A","Yes","No")</f>
        <v/>
      </c>
      <c r="Q23" s="56">
        <f>IF('A1. Data scoring'!V107&lt;&gt;"N/A","Yes","No")</f>
        <v/>
      </c>
      <c r="R23" s="56">
        <f>IF('A1. Data scoring'!W107&lt;&gt;"N/A","Yes","No")</f>
        <v/>
      </c>
      <c r="S23" s="56">
        <f>IF('A1. Data scoring'!X107&lt;&gt;"N/A","Yes","No")</f>
        <v/>
      </c>
      <c r="T23" s="8">
        <f>COUNTIF(C23:S23,"Yes")</f>
        <v/>
      </c>
    </row>
    <row r="24">
      <c r="B24" s="7" t="inlineStr">
        <is>
          <t>CL2(c)</t>
        </is>
      </c>
      <c r="C24" s="56">
        <f>IF('A1. Data scoring'!H113&lt;&gt;"N/A","Yes","No")</f>
        <v/>
      </c>
      <c r="D24" s="56">
        <f>IF('A1. Data scoring'!I113&lt;&gt;"N/A","Yes","No")</f>
        <v/>
      </c>
      <c r="E24" s="56">
        <f>IF('A1. Data scoring'!J113&lt;&gt;"N/A","Yes","No")</f>
        <v/>
      </c>
      <c r="F24" s="56">
        <f>IF('A1. Data scoring'!K113&lt;&gt;"N/A","Yes","No")</f>
        <v/>
      </c>
      <c r="G24" s="56">
        <f>IF('A1. Data scoring'!L113&lt;&gt;"N/A","Yes","No")</f>
        <v/>
      </c>
      <c r="H24" s="56">
        <f>IF('A1. Data scoring'!M113&lt;&gt;"N/A","Yes","No")</f>
        <v/>
      </c>
      <c r="I24" s="56">
        <f>IF('A1. Data scoring'!N113&lt;&gt;"N/A","Yes","No")</f>
        <v/>
      </c>
      <c r="J24" s="56">
        <f>IF('A1. Data scoring'!O113&lt;&gt;"N/A","Yes","No")</f>
        <v/>
      </c>
      <c r="K24" s="56">
        <f>IF('A1. Data scoring'!P113&lt;&gt;"N/A","Yes","No")</f>
        <v/>
      </c>
      <c r="L24" s="56">
        <f>IF('A1. Data scoring'!Q113&lt;&gt;"N/A","Yes","No")</f>
        <v/>
      </c>
      <c r="M24" s="56">
        <f>IF('A1. Data scoring'!R113&lt;&gt;"N/A","Yes","No")</f>
        <v/>
      </c>
      <c r="N24" s="56">
        <f>IF('A1. Data scoring'!S113&lt;&gt;"N/A","Yes","No")</f>
        <v/>
      </c>
      <c r="O24" s="56">
        <f>IF('A1. Data scoring'!T113&lt;&gt;"N/A","Yes","No")</f>
        <v/>
      </c>
      <c r="P24" s="56">
        <f>IF('A1. Data scoring'!U113&lt;&gt;"N/A","Yes","No")</f>
        <v/>
      </c>
      <c r="Q24" s="56">
        <f>IF('A1. Data scoring'!V113&lt;&gt;"N/A","Yes","No")</f>
        <v/>
      </c>
      <c r="R24" s="56">
        <f>IF('A1. Data scoring'!W113&lt;&gt;"N/A","Yes","No")</f>
        <v/>
      </c>
      <c r="S24" s="56">
        <f>IF('A1. Data scoring'!X113&lt;&gt;"N/A","Yes","No")</f>
        <v/>
      </c>
      <c r="T24" s="8">
        <f>COUNTIF(C24:S24,"Yes")</f>
        <v/>
      </c>
    </row>
    <row r="25">
      <c r="B25" s="7" t="inlineStr">
        <is>
          <t>CL3(a)</t>
        </is>
      </c>
      <c r="C25" s="56">
        <f>IF('A1. Data scoring'!H119&lt;&gt;"N/A","Yes","No")</f>
        <v/>
      </c>
      <c r="D25" s="56">
        <f>IF('A1. Data scoring'!I119&lt;&gt;"N/A","Yes","No")</f>
        <v/>
      </c>
      <c r="E25" s="56">
        <f>IF('A1. Data scoring'!J119&lt;&gt;"N/A","Yes","No")</f>
        <v/>
      </c>
      <c r="F25" s="56">
        <f>IF('A1. Data scoring'!K119&lt;&gt;"N/A","Yes","No")</f>
        <v/>
      </c>
      <c r="G25" s="56">
        <f>IF('A1. Data scoring'!L119&lt;&gt;"N/A","Yes","No")</f>
        <v/>
      </c>
      <c r="H25" s="56">
        <f>IF('A1. Data scoring'!M119&lt;&gt;"N/A","Yes","No")</f>
        <v/>
      </c>
      <c r="I25" s="56">
        <f>IF('A1. Data scoring'!N119&lt;&gt;"N/A","Yes","No")</f>
        <v/>
      </c>
      <c r="J25" s="56">
        <f>IF('A1. Data scoring'!O119&lt;&gt;"N/A","Yes","No")</f>
        <v/>
      </c>
      <c r="K25" s="56">
        <f>IF('A1. Data scoring'!P119&lt;&gt;"N/A","Yes","No")</f>
        <v/>
      </c>
      <c r="L25" s="56">
        <f>IF('A1. Data scoring'!Q119&lt;&gt;"N/A","Yes","No")</f>
        <v/>
      </c>
      <c r="M25" s="56">
        <f>IF('A1. Data scoring'!R119&lt;&gt;"N/A","Yes","No")</f>
        <v/>
      </c>
      <c r="N25" s="56">
        <f>IF('A1. Data scoring'!S119&lt;&gt;"N/A","Yes","No")</f>
        <v/>
      </c>
      <c r="O25" s="56">
        <f>IF('A1. Data scoring'!T119&lt;&gt;"N/A","Yes","No")</f>
        <v/>
      </c>
      <c r="P25" s="56">
        <f>IF('A1. Data scoring'!U119&lt;&gt;"N/A","Yes","No")</f>
        <v/>
      </c>
      <c r="Q25" s="56">
        <f>IF('A1. Data scoring'!V119&lt;&gt;"N/A","Yes","No")</f>
        <v/>
      </c>
      <c r="R25" s="56">
        <f>IF('A1. Data scoring'!W119&lt;&gt;"N/A","Yes","No")</f>
        <v/>
      </c>
      <c r="S25" s="56">
        <f>IF('A1. Data scoring'!X119&lt;&gt;"N/A","Yes","No")</f>
        <v/>
      </c>
      <c r="T25" s="8">
        <f>COUNTIF(C25:S25,"Yes")</f>
        <v/>
      </c>
    </row>
    <row r="26">
      <c r="B26" s="7" t="inlineStr">
        <is>
          <t>NB1(b)</t>
        </is>
      </c>
      <c r="C26" s="56">
        <f>IF('A1. Data scoring'!H125&lt;&gt;"N/A","Yes","No")</f>
        <v/>
      </c>
      <c r="D26" s="56">
        <f>IF('A1. Data scoring'!I125&lt;&gt;"N/A","Yes","No")</f>
        <v/>
      </c>
      <c r="E26" s="56">
        <f>IF('A1. Data scoring'!J125&lt;&gt;"N/A","Yes","No")</f>
        <v/>
      </c>
      <c r="F26" s="56">
        <f>IF('A1. Data scoring'!K125&lt;&gt;"N/A","Yes","No")</f>
        <v/>
      </c>
      <c r="G26" s="56">
        <f>IF('A1. Data scoring'!L125&lt;&gt;"N/A","Yes","No")</f>
        <v/>
      </c>
      <c r="H26" s="56">
        <f>IF('A1. Data scoring'!M125&lt;&gt;"N/A","Yes","No")</f>
        <v/>
      </c>
      <c r="I26" s="56">
        <f>IF('A1. Data scoring'!N125&lt;&gt;"N/A","Yes","No")</f>
        <v/>
      </c>
      <c r="J26" s="56">
        <f>IF('A1. Data scoring'!O125&lt;&gt;"N/A","Yes","No")</f>
        <v/>
      </c>
      <c r="K26" s="56">
        <f>IF('A1. Data scoring'!P125&lt;&gt;"N/A","Yes","No")</f>
        <v/>
      </c>
      <c r="L26" s="56">
        <f>IF('A1. Data scoring'!Q125&lt;&gt;"N/A","Yes","No")</f>
        <v/>
      </c>
      <c r="M26" s="56">
        <f>IF('A1. Data scoring'!R125&lt;&gt;"N/A","Yes","No")</f>
        <v/>
      </c>
      <c r="N26" s="56">
        <f>IF('A1. Data scoring'!S125&lt;&gt;"N/A","Yes","No")</f>
        <v/>
      </c>
      <c r="O26" s="56">
        <f>IF('A1. Data scoring'!T125&lt;&gt;"N/A","Yes","No")</f>
        <v/>
      </c>
      <c r="P26" s="56">
        <f>IF('A1. Data scoring'!U125&lt;&gt;"N/A","Yes","No")</f>
        <v/>
      </c>
      <c r="Q26" s="56">
        <f>IF('A1. Data scoring'!V125&lt;&gt;"N/A","Yes","No")</f>
        <v/>
      </c>
      <c r="R26" s="56">
        <f>IF('A1. Data scoring'!W125&lt;&gt;"N/A","Yes","No")</f>
        <v/>
      </c>
      <c r="S26" s="56">
        <f>IF('A1. Data scoring'!X125&lt;&gt;"N/A","Yes","No")</f>
        <v/>
      </c>
      <c r="T26" s="8">
        <f>COUNTIF(C26:S26,"Yes")</f>
        <v/>
      </c>
    </row>
    <row r="27">
      <c r="B27" s="7" t="inlineStr">
        <is>
          <t>NB1(c)</t>
        </is>
      </c>
      <c r="C27" s="56">
        <f>IF('A1. Data scoring'!H131&lt;&gt;"N/A","Yes","No")</f>
        <v/>
      </c>
      <c r="D27" s="56">
        <f>IF('A1. Data scoring'!I131&lt;&gt;"N/A","Yes","No")</f>
        <v/>
      </c>
      <c r="E27" s="56">
        <f>IF('A1. Data scoring'!J131&lt;&gt;"N/A","Yes","No")</f>
        <v/>
      </c>
      <c r="F27" s="56">
        <f>IF('A1. Data scoring'!K131&lt;&gt;"N/A","Yes","No")</f>
        <v/>
      </c>
      <c r="G27" s="56">
        <f>IF('A1. Data scoring'!L131&lt;&gt;"N/A","Yes","No")</f>
        <v/>
      </c>
      <c r="H27" s="56">
        <f>IF('A1. Data scoring'!M131&lt;&gt;"N/A","Yes","No")</f>
        <v/>
      </c>
      <c r="I27" s="56">
        <f>IF('A1. Data scoring'!N131&lt;&gt;"N/A","Yes","No")</f>
        <v/>
      </c>
      <c r="J27" s="56">
        <f>IF('A1. Data scoring'!O131&lt;&gt;"N/A","Yes","No")</f>
        <v/>
      </c>
      <c r="K27" s="56">
        <f>IF('A1. Data scoring'!P131&lt;&gt;"N/A","Yes","No")</f>
        <v/>
      </c>
      <c r="L27" s="56">
        <f>IF('A1. Data scoring'!Q131&lt;&gt;"N/A","Yes","No")</f>
        <v/>
      </c>
      <c r="M27" s="56">
        <f>IF('A1. Data scoring'!R131&lt;&gt;"N/A","Yes","No")</f>
        <v/>
      </c>
      <c r="N27" s="56">
        <f>IF('A1. Data scoring'!S131&lt;&gt;"N/A","Yes","No")</f>
        <v/>
      </c>
      <c r="O27" s="56">
        <f>IF('A1. Data scoring'!T131&lt;&gt;"N/A","Yes","No")</f>
        <v/>
      </c>
      <c r="P27" s="56">
        <f>IF('A1. Data scoring'!U131&lt;&gt;"N/A","Yes","No")</f>
        <v/>
      </c>
      <c r="Q27" s="56">
        <f>IF('A1. Data scoring'!V131&lt;&gt;"N/A","Yes","No")</f>
        <v/>
      </c>
      <c r="R27" s="56">
        <f>IF('A1. Data scoring'!W131&lt;&gt;"N/A","Yes","No")</f>
        <v/>
      </c>
      <c r="S27" s="56">
        <f>IF('A1. Data scoring'!X131&lt;&gt;"N/A","Yes","No")</f>
        <v/>
      </c>
      <c r="T27" s="8">
        <f>COUNTIF(C27:S27,"Yes")</f>
        <v/>
      </c>
    </row>
    <row r="28">
      <c r="B28" s="7" t="inlineStr">
        <is>
          <t>NB1(d)</t>
        </is>
      </c>
      <c r="C28" s="56">
        <f>IF('A1. Data scoring'!H137&lt;&gt;"N/A","Yes","No")</f>
        <v/>
      </c>
      <c r="D28" s="56">
        <f>IF('A1. Data scoring'!I137&lt;&gt;"N/A","Yes","No")</f>
        <v/>
      </c>
      <c r="E28" s="56">
        <f>IF('A1. Data scoring'!J137&lt;&gt;"N/A","Yes","No")</f>
        <v/>
      </c>
      <c r="F28" s="56">
        <f>IF('A1. Data scoring'!K137&lt;&gt;"N/A","Yes","No")</f>
        <v/>
      </c>
      <c r="G28" s="56">
        <f>IF('A1. Data scoring'!L137&lt;&gt;"N/A","Yes","No")</f>
        <v/>
      </c>
      <c r="H28" s="56">
        <f>IF('A1. Data scoring'!M137&lt;&gt;"N/A","Yes","No")</f>
        <v/>
      </c>
      <c r="I28" s="56">
        <f>IF('A1. Data scoring'!N137&lt;&gt;"N/A","Yes","No")</f>
        <v/>
      </c>
      <c r="J28" s="56">
        <f>IF('A1. Data scoring'!O137&lt;&gt;"N/A","Yes","No")</f>
        <v/>
      </c>
      <c r="K28" s="56">
        <f>IF('A1. Data scoring'!P137&lt;&gt;"N/A","Yes","No")</f>
        <v/>
      </c>
      <c r="L28" s="56">
        <f>IF('A1. Data scoring'!Q137&lt;&gt;"N/A","Yes","No")</f>
        <v/>
      </c>
      <c r="M28" s="56">
        <f>IF('A1. Data scoring'!R137&lt;&gt;"N/A","Yes","No")</f>
        <v/>
      </c>
      <c r="N28" s="56">
        <f>IF('A1. Data scoring'!S137&lt;&gt;"N/A","Yes","No")</f>
        <v/>
      </c>
      <c r="O28" s="56">
        <f>IF('A1. Data scoring'!T137&lt;&gt;"N/A","Yes","No")</f>
        <v/>
      </c>
      <c r="P28" s="56">
        <f>IF('A1. Data scoring'!U137&lt;&gt;"N/A","Yes","No")</f>
        <v/>
      </c>
      <c r="Q28" s="56">
        <f>IF('A1. Data scoring'!V137&lt;&gt;"N/A","Yes","No")</f>
        <v/>
      </c>
      <c r="R28" s="56">
        <f>IF('A1. Data scoring'!W137&lt;&gt;"N/A","Yes","No")</f>
        <v/>
      </c>
      <c r="S28" s="56">
        <f>IF('A1. Data scoring'!X137&lt;&gt;"N/A","Yes","No")</f>
        <v/>
      </c>
      <c r="T28" s="8">
        <f>COUNTIF(C28:S28,"Yes")</f>
        <v/>
      </c>
    </row>
    <row r="29">
      <c r="B29" s="7" t="inlineStr">
        <is>
          <t>NB2(a)</t>
        </is>
      </c>
      <c r="C29" s="56">
        <f>IF('A1. Data scoring'!H143&lt;&gt;"N/A","Yes","No")</f>
        <v/>
      </c>
      <c r="D29" s="56">
        <f>IF('A1. Data scoring'!I143&lt;&gt;"N/A","Yes","No")</f>
        <v/>
      </c>
      <c r="E29" s="56">
        <f>IF('A1. Data scoring'!J143&lt;&gt;"N/A","Yes","No")</f>
        <v/>
      </c>
      <c r="F29" s="56">
        <f>IF('A1. Data scoring'!K143&lt;&gt;"N/A","Yes","No")</f>
        <v/>
      </c>
      <c r="G29" s="56">
        <f>IF('A1. Data scoring'!L143&lt;&gt;"N/A","Yes","No")</f>
        <v/>
      </c>
      <c r="H29" s="56">
        <f>IF('A1. Data scoring'!M143&lt;&gt;"N/A","Yes","No")</f>
        <v/>
      </c>
      <c r="I29" s="56">
        <f>IF('A1. Data scoring'!N143&lt;&gt;"N/A","Yes","No")</f>
        <v/>
      </c>
      <c r="J29" s="56">
        <f>IF('A1. Data scoring'!O143&lt;&gt;"N/A","Yes","No")</f>
        <v/>
      </c>
      <c r="K29" s="56">
        <f>IF('A1. Data scoring'!P143&lt;&gt;"N/A","Yes","No")</f>
        <v/>
      </c>
      <c r="L29" s="56">
        <f>IF('A1. Data scoring'!Q143&lt;&gt;"N/A","Yes","No")</f>
        <v/>
      </c>
      <c r="M29" s="56">
        <f>IF('A1. Data scoring'!R143&lt;&gt;"N/A","Yes","No")</f>
        <v/>
      </c>
      <c r="N29" s="56">
        <f>IF('A1. Data scoring'!S143&lt;&gt;"N/A","Yes","No")</f>
        <v/>
      </c>
      <c r="O29" s="56">
        <f>IF('A1. Data scoring'!T143&lt;&gt;"N/A","Yes","No")</f>
        <v/>
      </c>
      <c r="P29" s="56">
        <f>IF('A1. Data scoring'!U143&lt;&gt;"N/A","Yes","No")</f>
        <v/>
      </c>
      <c r="Q29" s="56">
        <f>IF('A1. Data scoring'!V143&lt;&gt;"N/A","Yes","No")</f>
        <v/>
      </c>
      <c r="R29" s="56">
        <f>IF('A1. Data scoring'!W143&lt;&gt;"N/A","Yes","No")</f>
        <v/>
      </c>
      <c r="S29" s="56">
        <f>IF('A1. Data scoring'!X143&lt;&gt;"N/A","Yes","No")</f>
        <v/>
      </c>
      <c r="T29" s="8">
        <f>COUNTIF(C29:S29,"Yes")</f>
        <v/>
      </c>
    </row>
    <row r="30">
      <c r="B30" s="7" t="inlineStr">
        <is>
          <t>NB2(b)</t>
        </is>
      </c>
      <c r="C30" s="56">
        <f>IF('A1. Data scoring'!H149&lt;&gt;"N/A","Yes","No")</f>
        <v/>
      </c>
      <c r="D30" s="56">
        <f>IF('A1. Data scoring'!I149&lt;&gt;"N/A","Yes","No")</f>
        <v/>
      </c>
      <c r="E30" s="56">
        <f>IF('A1. Data scoring'!J149&lt;&gt;"N/A","Yes","No")</f>
        <v/>
      </c>
      <c r="F30" s="56">
        <f>IF('A1. Data scoring'!K149&lt;&gt;"N/A","Yes","No")</f>
        <v/>
      </c>
      <c r="G30" s="56">
        <f>IF('A1. Data scoring'!L149&lt;&gt;"N/A","Yes","No")</f>
        <v/>
      </c>
      <c r="H30" s="56">
        <f>IF('A1. Data scoring'!M149&lt;&gt;"N/A","Yes","No")</f>
        <v/>
      </c>
      <c r="I30" s="56">
        <f>IF('A1. Data scoring'!N149&lt;&gt;"N/A","Yes","No")</f>
        <v/>
      </c>
      <c r="J30" s="56">
        <f>IF('A1. Data scoring'!O149&lt;&gt;"N/A","Yes","No")</f>
        <v/>
      </c>
      <c r="K30" s="56">
        <f>IF('A1. Data scoring'!P149&lt;&gt;"N/A","Yes","No")</f>
        <v/>
      </c>
      <c r="L30" s="56">
        <f>IF('A1. Data scoring'!Q149&lt;&gt;"N/A","Yes","No")</f>
        <v/>
      </c>
      <c r="M30" s="56">
        <f>IF('A1. Data scoring'!R149&lt;&gt;"N/A","Yes","No")</f>
        <v/>
      </c>
      <c r="N30" s="56">
        <f>IF('A1. Data scoring'!S149&lt;&gt;"N/A","Yes","No")</f>
        <v/>
      </c>
      <c r="O30" s="56">
        <f>IF('A1. Data scoring'!T149&lt;&gt;"N/A","Yes","No")</f>
        <v/>
      </c>
      <c r="P30" s="56">
        <f>IF('A1. Data scoring'!U149&lt;&gt;"N/A","Yes","No")</f>
        <v/>
      </c>
      <c r="Q30" s="56">
        <f>IF('A1. Data scoring'!V149&lt;&gt;"N/A","Yes","No")</f>
        <v/>
      </c>
      <c r="R30" s="56">
        <f>IF('A1. Data scoring'!W149&lt;&gt;"N/A","Yes","No")</f>
        <v/>
      </c>
      <c r="S30" s="56">
        <f>IF('A1. Data scoring'!X149&lt;&gt;"N/A","Yes","No")</f>
        <v/>
      </c>
      <c r="T30" s="8">
        <f>COUNTIF(C30:S30,"Yes")</f>
        <v/>
      </c>
    </row>
    <row r="31">
      <c r="B31" s="7" t="inlineStr">
        <is>
          <t>NB2(c)</t>
        </is>
      </c>
      <c r="C31" s="56">
        <f>IF('A1. Data scoring'!H155&lt;&gt;"N/A","Yes","No")</f>
        <v/>
      </c>
      <c r="D31" s="56">
        <f>IF('A1. Data scoring'!I155&lt;&gt;"N/A","Yes","No")</f>
        <v/>
      </c>
      <c r="E31" s="56">
        <f>IF('A1. Data scoring'!J155&lt;&gt;"N/A","Yes","No")</f>
        <v/>
      </c>
      <c r="F31" s="56">
        <f>IF('A1. Data scoring'!K155&lt;&gt;"N/A","Yes","No")</f>
        <v/>
      </c>
      <c r="G31" s="56">
        <f>IF('A1. Data scoring'!L155&lt;&gt;"N/A","Yes","No")</f>
        <v/>
      </c>
      <c r="H31" s="56">
        <f>IF('A1. Data scoring'!M155&lt;&gt;"N/A","Yes","No")</f>
        <v/>
      </c>
      <c r="I31" s="56">
        <f>IF('A1. Data scoring'!N155&lt;&gt;"N/A","Yes","No")</f>
        <v/>
      </c>
      <c r="J31" s="56">
        <f>IF('A1. Data scoring'!O155&lt;&gt;"N/A","Yes","No")</f>
        <v/>
      </c>
      <c r="K31" s="56">
        <f>IF('A1. Data scoring'!P155&lt;&gt;"N/A","Yes","No")</f>
        <v/>
      </c>
      <c r="L31" s="56">
        <f>IF('A1. Data scoring'!Q155&lt;&gt;"N/A","Yes","No")</f>
        <v/>
      </c>
      <c r="M31" s="56">
        <f>IF('A1. Data scoring'!R155&lt;&gt;"N/A","Yes","No")</f>
        <v/>
      </c>
      <c r="N31" s="56">
        <f>IF('A1. Data scoring'!S155&lt;&gt;"N/A","Yes","No")</f>
        <v/>
      </c>
      <c r="O31" s="56">
        <f>IF('A1. Data scoring'!T155&lt;&gt;"N/A","Yes","No")</f>
        <v/>
      </c>
      <c r="P31" s="56">
        <f>IF('A1. Data scoring'!U155&lt;&gt;"N/A","Yes","No")</f>
        <v/>
      </c>
      <c r="Q31" s="56">
        <f>IF('A1. Data scoring'!V155&lt;&gt;"N/A","Yes","No")</f>
        <v/>
      </c>
      <c r="R31" s="56">
        <f>IF('A1. Data scoring'!W155&lt;&gt;"N/A","Yes","No")</f>
        <v/>
      </c>
      <c r="S31" s="56">
        <f>IF('A1. Data scoring'!X155&lt;&gt;"N/A","Yes","No")</f>
        <v/>
      </c>
      <c r="T31" s="8">
        <f>COUNTIF(C31:S31,"Yes")</f>
        <v/>
      </c>
    </row>
    <row r="32">
      <c r="B32" s="7" t="inlineStr">
        <is>
          <t>AI1(a)</t>
        </is>
      </c>
      <c r="C32" s="56">
        <f>IF('A1. Data scoring'!H161&lt;&gt;"N/A","Yes","No")</f>
        <v/>
      </c>
      <c r="D32" s="56">
        <f>IF('A1. Data scoring'!I161&lt;&gt;"N/A","Yes","No")</f>
        <v/>
      </c>
      <c r="E32" s="56">
        <f>IF('A1. Data scoring'!J161&lt;&gt;"N/A","Yes","No")</f>
        <v/>
      </c>
      <c r="F32" s="56">
        <f>IF('A1. Data scoring'!K161&lt;&gt;"N/A","Yes","No")</f>
        <v/>
      </c>
      <c r="G32" s="56">
        <f>IF('A1. Data scoring'!L161&lt;&gt;"N/A","Yes","No")</f>
        <v/>
      </c>
      <c r="H32" s="56">
        <f>IF('A1. Data scoring'!M161&lt;&gt;"N/A","Yes","No")</f>
        <v/>
      </c>
      <c r="I32" s="56">
        <f>IF('A1. Data scoring'!N161&lt;&gt;"N/A","Yes","No")</f>
        <v/>
      </c>
      <c r="J32" s="56">
        <f>IF('A1. Data scoring'!O161&lt;&gt;"N/A","Yes","No")</f>
        <v/>
      </c>
      <c r="K32" s="56">
        <f>IF('A1. Data scoring'!P161&lt;&gt;"N/A","Yes","No")</f>
        <v/>
      </c>
      <c r="L32" s="56">
        <f>IF('A1. Data scoring'!Q161&lt;&gt;"N/A","Yes","No")</f>
        <v/>
      </c>
      <c r="M32" s="56">
        <f>IF('A1. Data scoring'!R161&lt;&gt;"N/A","Yes","No")</f>
        <v/>
      </c>
      <c r="N32" s="56">
        <f>IF('A1. Data scoring'!S161&lt;&gt;"N/A","Yes","No")</f>
        <v/>
      </c>
      <c r="O32" s="56">
        <f>IF('A1. Data scoring'!T161&lt;&gt;"N/A","Yes","No")</f>
        <v/>
      </c>
      <c r="P32" s="56">
        <f>IF('A1. Data scoring'!U161&lt;&gt;"N/A","Yes","No")</f>
        <v/>
      </c>
      <c r="Q32" s="56">
        <f>IF('A1. Data scoring'!V161&lt;&gt;"N/A","Yes","No")</f>
        <v/>
      </c>
      <c r="R32" s="56">
        <f>IF('A1. Data scoring'!W161&lt;&gt;"N/A","Yes","No")</f>
        <v/>
      </c>
      <c r="S32" s="56">
        <f>IF('A1. Data scoring'!X161&lt;&gt;"N/A","Yes","No")</f>
        <v/>
      </c>
      <c r="T32" s="8">
        <f>COUNTIF(C32:S32,"Yes")</f>
        <v/>
      </c>
    </row>
    <row r="33">
      <c r="B33" s="7" t="inlineStr">
        <is>
          <t>AI1(b)</t>
        </is>
      </c>
      <c r="C33" s="56">
        <f>IF('A1. Data scoring'!H167&lt;&gt;"N/A","Yes","No")</f>
        <v/>
      </c>
      <c r="D33" s="56">
        <f>IF('A1. Data scoring'!I167&lt;&gt;"N/A","Yes","No")</f>
        <v/>
      </c>
      <c r="E33" s="56">
        <f>IF('A1. Data scoring'!J167&lt;&gt;"N/A","Yes","No")</f>
        <v/>
      </c>
      <c r="F33" s="56">
        <f>IF('A1. Data scoring'!K167&lt;&gt;"N/A","Yes","No")</f>
        <v/>
      </c>
      <c r="G33" s="56">
        <f>IF('A1. Data scoring'!L167&lt;&gt;"N/A","Yes","No")</f>
        <v/>
      </c>
      <c r="H33" s="56">
        <f>IF('A1. Data scoring'!M167&lt;&gt;"N/A","Yes","No")</f>
        <v/>
      </c>
      <c r="I33" s="56">
        <f>IF('A1. Data scoring'!N167&lt;&gt;"N/A","Yes","No")</f>
        <v/>
      </c>
      <c r="J33" s="56">
        <f>IF('A1. Data scoring'!O167&lt;&gt;"N/A","Yes","No")</f>
        <v/>
      </c>
      <c r="K33" s="56">
        <f>IF('A1. Data scoring'!P167&lt;&gt;"N/A","Yes","No")</f>
        <v/>
      </c>
      <c r="L33" s="56">
        <f>IF('A1. Data scoring'!Q167&lt;&gt;"N/A","Yes","No")</f>
        <v/>
      </c>
      <c r="M33" s="56">
        <f>IF('A1. Data scoring'!R167&lt;&gt;"N/A","Yes","No")</f>
        <v/>
      </c>
      <c r="N33" s="56">
        <f>IF('A1. Data scoring'!S167&lt;&gt;"N/A","Yes","No")</f>
        <v/>
      </c>
      <c r="O33" s="56">
        <f>IF('A1. Data scoring'!T167&lt;&gt;"N/A","Yes","No")</f>
        <v/>
      </c>
      <c r="P33" s="56">
        <f>IF('A1. Data scoring'!U167&lt;&gt;"N/A","Yes","No")</f>
        <v/>
      </c>
      <c r="Q33" s="56">
        <f>IF('A1. Data scoring'!V167&lt;&gt;"N/A","Yes","No")</f>
        <v/>
      </c>
      <c r="R33" s="56">
        <f>IF('A1. Data scoring'!W167&lt;&gt;"N/A","Yes","No")</f>
        <v/>
      </c>
      <c r="S33" s="56">
        <f>IF('A1. Data scoring'!X167&lt;&gt;"N/A","Yes","No")</f>
        <v/>
      </c>
      <c r="T33" s="8">
        <f>COUNTIF(C33:S33,"Yes")</f>
        <v/>
      </c>
    </row>
    <row r="34">
      <c r="B34" s="7" t="inlineStr">
        <is>
          <t>EI1(a)</t>
        </is>
      </c>
      <c r="C34" s="56">
        <f>IF('A1. Data scoring'!H173&lt;&gt;"N/A","Yes","No")</f>
        <v/>
      </c>
      <c r="D34" s="56">
        <f>IF('A1. Data scoring'!I173&lt;&gt;"N/A","Yes","No")</f>
        <v/>
      </c>
      <c r="E34" s="56">
        <f>IF('A1. Data scoring'!J173&lt;&gt;"N/A","Yes","No")</f>
        <v/>
      </c>
      <c r="F34" s="56">
        <f>IF('A1. Data scoring'!K173&lt;&gt;"N/A","Yes","No")</f>
        <v/>
      </c>
      <c r="G34" s="56">
        <f>IF('A1. Data scoring'!L173&lt;&gt;"N/A","Yes","No")</f>
        <v/>
      </c>
      <c r="H34" s="56">
        <f>IF('A1. Data scoring'!M173&lt;&gt;"N/A","Yes","No")</f>
        <v/>
      </c>
      <c r="I34" s="56">
        <f>IF('A1. Data scoring'!N173&lt;&gt;"N/A","Yes","No")</f>
        <v/>
      </c>
      <c r="J34" s="56">
        <f>IF('A1. Data scoring'!O173&lt;&gt;"N/A","Yes","No")</f>
        <v/>
      </c>
      <c r="K34" s="56">
        <f>IF('A1. Data scoring'!P173&lt;&gt;"N/A","Yes","No")</f>
        <v/>
      </c>
      <c r="L34" s="56">
        <f>IF('A1. Data scoring'!Q173&lt;&gt;"N/A","Yes","No")</f>
        <v/>
      </c>
      <c r="M34" s="56">
        <f>IF('A1. Data scoring'!R173&lt;&gt;"N/A","Yes","No")</f>
        <v/>
      </c>
      <c r="N34" s="56">
        <f>IF('A1. Data scoring'!S173&lt;&gt;"N/A","Yes","No")</f>
        <v/>
      </c>
      <c r="O34" s="56">
        <f>IF('A1. Data scoring'!T173&lt;&gt;"N/A","Yes","No")</f>
        <v/>
      </c>
      <c r="P34" s="56">
        <f>IF('A1. Data scoring'!U173&lt;&gt;"N/A","Yes","No")</f>
        <v/>
      </c>
      <c r="Q34" s="56">
        <f>IF('A1. Data scoring'!V173&lt;&gt;"N/A","Yes","No")</f>
        <v/>
      </c>
      <c r="R34" s="56">
        <f>IF('A1. Data scoring'!W173&lt;&gt;"N/A","Yes","No")</f>
        <v/>
      </c>
      <c r="S34" s="56">
        <f>IF('A1. Data scoring'!X173&lt;&gt;"N/A","Yes","No")</f>
        <v/>
      </c>
      <c r="T34" s="8">
        <f>COUNTIF(C34:S34,"Yes")</f>
        <v/>
      </c>
    </row>
    <row r="35">
      <c r="B35" s="7" t="inlineStr">
        <is>
          <t>EI1(b)</t>
        </is>
      </c>
      <c r="C35" s="56">
        <f>IF('A1. Data scoring'!H179&lt;&gt;"N/A","Yes","No")</f>
        <v/>
      </c>
      <c r="D35" s="56">
        <f>IF('A1. Data scoring'!I179&lt;&gt;"N/A","Yes","No")</f>
        <v/>
      </c>
      <c r="E35" s="56">
        <f>IF('A1. Data scoring'!J179&lt;&gt;"N/A","Yes","No")</f>
        <v/>
      </c>
      <c r="F35" s="56">
        <f>IF('A1. Data scoring'!K179&lt;&gt;"N/A","Yes","No")</f>
        <v/>
      </c>
      <c r="G35" s="56">
        <f>IF('A1. Data scoring'!L179&lt;&gt;"N/A","Yes","No")</f>
        <v/>
      </c>
      <c r="H35" s="56">
        <f>IF('A1. Data scoring'!M179&lt;&gt;"N/A","Yes","No")</f>
        <v/>
      </c>
      <c r="I35" s="56">
        <f>IF('A1. Data scoring'!N179&lt;&gt;"N/A","Yes","No")</f>
        <v/>
      </c>
      <c r="J35" s="56">
        <f>IF('A1. Data scoring'!O179&lt;&gt;"N/A","Yes","No")</f>
        <v/>
      </c>
      <c r="K35" s="56">
        <f>IF('A1. Data scoring'!P179&lt;&gt;"N/A","Yes","No")</f>
        <v/>
      </c>
      <c r="L35" s="56">
        <f>IF('A1. Data scoring'!Q179&lt;&gt;"N/A","Yes","No")</f>
        <v/>
      </c>
      <c r="M35" s="56">
        <f>IF('A1. Data scoring'!R179&lt;&gt;"N/A","Yes","No")</f>
        <v/>
      </c>
      <c r="N35" s="56">
        <f>IF('A1. Data scoring'!S179&lt;&gt;"N/A","Yes","No")</f>
        <v/>
      </c>
      <c r="O35" s="56">
        <f>IF('A1. Data scoring'!T179&lt;&gt;"N/A","Yes","No")</f>
        <v/>
      </c>
      <c r="P35" s="56">
        <f>IF('A1. Data scoring'!U179&lt;&gt;"N/A","Yes","No")</f>
        <v/>
      </c>
      <c r="Q35" s="56">
        <f>IF('A1. Data scoring'!V179&lt;&gt;"N/A","Yes","No")</f>
        <v/>
      </c>
      <c r="R35" s="56">
        <f>IF('A1. Data scoring'!W179&lt;&gt;"N/A","Yes","No")</f>
        <v/>
      </c>
      <c r="S35" s="56">
        <f>IF('A1. Data scoring'!X179&lt;&gt;"N/A","Yes","No")</f>
        <v/>
      </c>
      <c r="T35" s="8">
        <f>COUNTIF(C35:S35,"Yes")</f>
        <v/>
      </c>
    </row>
    <row r="36">
      <c r="B36" s="7" t="inlineStr">
        <is>
          <t>EI1(c)</t>
        </is>
      </c>
      <c r="C36" s="56">
        <f>IF('A1. Data scoring'!H185&lt;&gt;"N/A","Yes","No")</f>
        <v/>
      </c>
      <c r="D36" s="56">
        <f>IF('A1. Data scoring'!I185&lt;&gt;"N/A","Yes","No")</f>
        <v/>
      </c>
      <c r="E36" s="56">
        <f>IF('A1. Data scoring'!J185&lt;&gt;"N/A","Yes","No")</f>
        <v/>
      </c>
      <c r="F36" s="56">
        <f>IF('A1. Data scoring'!K185&lt;&gt;"N/A","Yes","No")</f>
        <v/>
      </c>
      <c r="G36" s="56">
        <f>IF('A1. Data scoring'!L185&lt;&gt;"N/A","Yes","No")</f>
        <v/>
      </c>
      <c r="H36" s="56">
        <f>IF('A1. Data scoring'!M185&lt;&gt;"N/A","Yes","No")</f>
        <v/>
      </c>
      <c r="I36" s="56">
        <f>IF('A1. Data scoring'!N185&lt;&gt;"N/A","Yes","No")</f>
        <v/>
      </c>
      <c r="J36" s="56">
        <f>IF('A1. Data scoring'!O185&lt;&gt;"N/A","Yes","No")</f>
        <v/>
      </c>
      <c r="K36" s="56">
        <f>IF('A1. Data scoring'!P185&lt;&gt;"N/A","Yes","No")</f>
        <v/>
      </c>
      <c r="L36" s="56">
        <f>IF('A1. Data scoring'!Q185&lt;&gt;"N/A","Yes","No")</f>
        <v/>
      </c>
      <c r="M36" s="56">
        <f>IF('A1. Data scoring'!R185&lt;&gt;"N/A","Yes","No")</f>
        <v/>
      </c>
      <c r="N36" s="56">
        <f>IF('A1. Data scoring'!S185&lt;&gt;"N/A","Yes","No")</f>
        <v/>
      </c>
      <c r="O36" s="56">
        <f>IF('A1. Data scoring'!T185&lt;&gt;"N/A","Yes","No")</f>
        <v/>
      </c>
      <c r="P36" s="56">
        <f>IF('A1. Data scoring'!U185&lt;&gt;"N/A","Yes","No")</f>
        <v/>
      </c>
      <c r="Q36" s="56">
        <f>IF('A1. Data scoring'!V185&lt;&gt;"N/A","Yes","No")</f>
        <v/>
      </c>
      <c r="R36" s="56">
        <f>IF('A1. Data scoring'!W185&lt;&gt;"N/A","Yes","No")</f>
        <v/>
      </c>
      <c r="S36" s="56">
        <f>IF('A1. Data scoring'!X185&lt;&gt;"N/A","Yes","No")</f>
        <v/>
      </c>
      <c r="T36" s="8">
        <f>COUNTIF(C36:S36,"Yes")</f>
        <v/>
      </c>
    </row>
    <row r="37">
      <c r="B37" s="7" t="inlineStr">
        <is>
          <t>EI1(d)</t>
        </is>
      </c>
      <c r="C37" s="56">
        <f>IF('A1. Data scoring'!H191&lt;&gt;"N/A","Yes","No")</f>
        <v/>
      </c>
      <c r="D37" s="56">
        <f>IF('A1. Data scoring'!I191&lt;&gt;"N/A","Yes","No")</f>
        <v/>
      </c>
      <c r="E37" s="56">
        <f>IF('A1. Data scoring'!J191&lt;&gt;"N/A","Yes","No")</f>
        <v/>
      </c>
      <c r="F37" s="56">
        <f>IF('A1. Data scoring'!K191&lt;&gt;"N/A","Yes","No")</f>
        <v/>
      </c>
      <c r="G37" s="56">
        <f>IF('A1. Data scoring'!L191&lt;&gt;"N/A","Yes","No")</f>
        <v/>
      </c>
      <c r="H37" s="56">
        <f>IF('A1. Data scoring'!M191&lt;&gt;"N/A","Yes","No")</f>
        <v/>
      </c>
      <c r="I37" s="56">
        <f>IF('A1. Data scoring'!N191&lt;&gt;"N/A","Yes","No")</f>
        <v/>
      </c>
      <c r="J37" s="56">
        <f>IF('A1. Data scoring'!O191&lt;&gt;"N/A","Yes","No")</f>
        <v/>
      </c>
      <c r="K37" s="56">
        <f>IF('A1. Data scoring'!P191&lt;&gt;"N/A","Yes","No")</f>
        <v/>
      </c>
      <c r="L37" s="56">
        <f>IF('A1. Data scoring'!Q191&lt;&gt;"N/A","Yes","No")</f>
        <v/>
      </c>
      <c r="M37" s="56">
        <f>IF('A1. Data scoring'!R191&lt;&gt;"N/A","Yes","No")</f>
        <v/>
      </c>
      <c r="N37" s="56">
        <f>IF('A1. Data scoring'!S191&lt;&gt;"N/A","Yes","No")</f>
        <v/>
      </c>
      <c r="O37" s="56">
        <f>IF('A1. Data scoring'!T191&lt;&gt;"N/A","Yes","No")</f>
        <v/>
      </c>
      <c r="P37" s="56">
        <f>IF('A1. Data scoring'!U191&lt;&gt;"N/A","Yes","No")</f>
        <v/>
      </c>
      <c r="Q37" s="56">
        <f>IF('A1. Data scoring'!V191&lt;&gt;"N/A","Yes","No")</f>
        <v/>
      </c>
      <c r="R37" s="56">
        <f>IF('A1. Data scoring'!W191&lt;&gt;"N/A","Yes","No")</f>
        <v/>
      </c>
      <c r="S37" s="56">
        <f>IF('A1. Data scoring'!X191&lt;&gt;"N/A","Yes","No")</f>
        <v/>
      </c>
      <c r="T37" s="8">
        <f>COUNTIF(C37:S37,"Yes")</f>
        <v/>
      </c>
    </row>
    <row r="38">
      <c r="B38" s="7" t="inlineStr">
        <is>
          <t>RP1(a)</t>
        </is>
      </c>
      <c r="C38" s="56">
        <f>IF('A1. Data scoring'!H197&lt;&gt;"N/A","Yes","No")</f>
        <v/>
      </c>
      <c r="D38" s="56">
        <f>IF('A1. Data scoring'!I197&lt;&gt;"N/A","Yes","No")</f>
        <v/>
      </c>
      <c r="E38" s="56">
        <f>IF('A1. Data scoring'!J197&lt;&gt;"N/A","Yes","No")</f>
        <v/>
      </c>
      <c r="F38" s="56">
        <f>IF('A1. Data scoring'!K197&lt;&gt;"N/A","Yes","No")</f>
        <v/>
      </c>
      <c r="G38" s="56">
        <f>IF('A1. Data scoring'!L197&lt;&gt;"N/A","Yes","No")</f>
        <v/>
      </c>
      <c r="H38" s="56">
        <f>IF('A1. Data scoring'!M197&lt;&gt;"N/A","Yes","No")</f>
        <v/>
      </c>
      <c r="I38" s="56">
        <f>IF('A1. Data scoring'!N197&lt;&gt;"N/A","Yes","No")</f>
        <v/>
      </c>
      <c r="J38" s="56">
        <f>IF('A1. Data scoring'!O197&lt;&gt;"N/A","Yes","No")</f>
        <v/>
      </c>
      <c r="K38" s="56">
        <f>IF('A1. Data scoring'!P197&lt;&gt;"N/A","Yes","No")</f>
        <v/>
      </c>
      <c r="L38" s="56">
        <f>IF('A1. Data scoring'!Q197&lt;&gt;"N/A","Yes","No")</f>
        <v/>
      </c>
      <c r="M38" s="56">
        <f>IF('A1. Data scoring'!R197&lt;&gt;"N/A","Yes","No")</f>
        <v/>
      </c>
      <c r="N38" s="56">
        <f>IF('A1. Data scoring'!S197&lt;&gt;"N/A","Yes","No")</f>
        <v/>
      </c>
      <c r="O38" s="56">
        <f>IF('A1. Data scoring'!T197&lt;&gt;"N/A","Yes","No")</f>
        <v/>
      </c>
      <c r="P38" s="56">
        <f>IF('A1. Data scoring'!U197&lt;&gt;"N/A","Yes","No")</f>
        <v/>
      </c>
      <c r="Q38" s="56">
        <f>IF('A1. Data scoring'!V197&lt;&gt;"N/A","Yes","No")</f>
        <v/>
      </c>
      <c r="R38" s="56">
        <f>IF('A1. Data scoring'!W197&lt;&gt;"N/A","Yes","No")</f>
        <v/>
      </c>
      <c r="S38" s="56">
        <f>IF('A1. Data scoring'!X197&lt;&gt;"N/A","Yes","No")</f>
        <v/>
      </c>
      <c r="T38" s="8">
        <f>COUNTIF(C38:S38,"Yes")</f>
        <v/>
      </c>
    </row>
    <row r="39">
      <c r="B39" s="7" t="inlineStr">
        <is>
          <t>MS1(a)</t>
        </is>
      </c>
      <c r="C39" s="56">
        <f>IF('A1. Data scoring'!H203&lt;&gt;"N/A","Yes","No")</f>
        <v/>
      </c>
      <c r="D39" s="56">
        <f>IF('A1. Data scoring'!I203&lt;&gt;"N/A","Yes","No")</f>
        <v/>
      </c>
      <c r="E39" s="56">
        <f>IF('A1. Data scoring'!J203&lt;&gt;"N/A","Yes","No")</f>
        <v/>
      </c>
      <c r="F39" s="56">
        <f>IF('A1. Data scoring'!K203&lt;&gt;"N/A","Yes","No")</f>
        <v/>
      </c>
      <c r="G39" s="56">
        <f>IF('A1. Data scoring'!L203&lt;&gt;"N/A","Yes","No")</f>
        <v/>
      </c>
      <c r="H39" s="56">
        <f>IF('A1. Data scoring'!M203&lt;&gt;"N/A","Yes","No")</f>
        <v/>
      </c>
      <c r="I39" s="56">
        <f>IF('A1. Data scoring'!N203&lt;&gt;"N/A","Yes","No")</f>
        <v/>
      </c>
      <c r="J39" s="56">
        <f>IF('A1. Data scoring'!O203&lt;&gt;"N/A","Yes","No")</f>
        <v/>
      </c>
      <c r="K39" s="56">
        <f>IF('A1. Data scoring'!P203&lt;&gt;"N/A","Yes","No")</f>
        <v/>
      </c>
      <c r="L39" s="56">
        <f>IF('A1. Data scoring'!Q203&lt;&gt;"N/A","Yes","No")</f>
        <v/>
      </c>
      <c r="M39" s="56">
        <f>IF('A1. Data scoring'!R203&lt;&gt;"N/A","Yes","No")</f>
        <v/>
      </c>
      <c r="N39" s="56">
        <f>IF('A1. Data scoring'!S203&lt;&gt;"N/A","Yes","No")</f>
        <v/>
      </c>
      <c r="O39" s="56">
        <f>IF('A1. Data scoring'!T203&lt;&gt;"N/A","Yes","No")</f>
        <v/>
      </c>
      <c r="P39" s="56">
        <f>IF('A1. Data scoring'!U203&lt;&gt;"N/A","Yes","No")</f>
        <v/>
      </c>
      <c r="Q39" s="56">
        <f>IF('A1. Data scoring'!V203&lt;&gt;"N/A","Yes","No")</f>
        <v/>
      </c>
      <c r="R39" s="56">
        <f>IF('A1. Data scoring'!W203&lt;&gt;"N/A","Yes","No")</f>
        <v/>
      </c>
      <c r="S39" s="56">
        <f>IF('A1. Data scoring'!X203&lt;&gt;"N/A","Yes","No")</f>
        <v/>
      </c>
      <c r="T39" s="8">
        <f>COUNTIF(C39:S39,"Yes")</f>
        <v/>
      </c>
    </row>
    <row r="40">
      <c r="B40" s="7" t="inlineStr">
        <is>
          <t>RI1(b)</t>
        </is>
      </c>
      <c r="C40" s="56">
        <f>IF('A1. Data scoring'!H209&lt;&gt;"N/A","Yes","No")</f>
        <v/>
      </c>
      <c r="D40" s="56">
        <f>IF('A1. Data scoring'!I209&lt;&gt;"N/A","Yes","No")</f>
        <v/>
      </c>
      <c r="E40" s="56">
        <f>IF('A1. Data scoring'!J209&lt;&gt;"N/A","Yes","No")</f>
        <v/>
      </c>
      <c r="F40" s="56">
        <f>IF('A1. Data scoring'!K209&lt;&gt;"N/A","Yes","No")</f>
        <v/>
      </c>
      <c r="G40" s="56">
        <f>IF('A1. Data scoring'!L209&lt;&gt;"N/A","Yes","No")</f>
        <v/>
      </c>
      <c r="H40" s="56">
        <f>IF('A1. Data scoring'!M209&lt;&gt;"N/A","Yes","No")</f>
        <v/>
      </c>
      <c r="I40" s="56">
        <f>IF('A1. Data scoring'!N209&lt;&gt;"N/A","Yes","No")</f>
        <v/>
      </c>
      <c r="J40" s="56">
        <f>IF('A1. Data scoring'!O209&lt;&gt;"N/A","Yes","No")</f>
        <v/>
      </c>
      <c r="K40" s="56">
        <f>IF('A1. Data scoring'!P209&lt;&gt;"N/A","Yes","No")</f>
        <v/>
      </c>
      <c r="L40" s="56">
        <f>IF('A1. Data scoring'!Q209&lt;&gt;"N/A","Yes","No")</f>
        <v/>
      </c>
      <c r="M40" s="56">
        <f>IF('A1. Data scoring'!R209&lt;&gt;"N/A","Yes","No")</f>
        <v/>
      </c>
      <c r="N40" s="56">
        <f>IF('A1. Data scoring'!S209&lt;&gt;"N/A","Yes","No")</f>
        <v/>
      </c>
      <c r="O40" s="56">
        <f>IF('A1. Data scoring'!T209&lt;&gt;"N/A","Yes","No")</f>
        <v/>
      </c>
      <c r="P40" s="56">
        <f>IF('A1. Data scoring'!U209&lt;&gt;"N/A","Yes","No")</f>
        <v/>
      </c>
      <c r="Q40" s="56">
        <f>IF('A1. Data scoring'!V209&lt;&gt;"N/A","Yes","No")</f>
        <v/>
      </c>
      <c r="R40" s="56">
        <f>IF('A1. Data scoring'!W209&lt;&gt;"N/A","Yes","No")</f>
        <v/>
      </c>
      <c r="S40" s="56">
        <f>IF('A1. Data scoring'!X209&lt;&gt;"N/A","Yes","No")</f>
        <v/>
      </c>
      <c r="T40" s="8">
        <f>COUNTIF(C40:S40,"Yes")</f>
        <v/>
      </c>
    </row>
    <row r="41">
      <c r="B41" s="7" t="inlineStr">
        <is>
          <t>EN1(a)</t>
        </is>
      </c>
      <c r="C41" s="56">
        <f>IF('A1. Data scoring'!H215&lt;&gt;"N/A","Yes","No")</f>
        <v/>
      </c>
      <c r="D41" s="56">
        <f>IF('A1. Data scoring'!I215&lt;&gt;"N/A","Yes","No")</f>
        <v/>
      </c>
      <c r="E41" s="56">
        <f>IF('A1. Data scoring'!J215&lt;&gt;"N/A","Yes","No")</f>
        <v/>
      </c>
      <c r="F41" s="56">
        <f>IF('A1. Data scoring'!K215&lt;&gt;"N/A","Yes","No")</f>
        <v/>
      </c>
      <c r="G41" s="56">
        <f>IF('A1. Data scoring'!L215&lt;&gt;"N/A","Yes","No")</f>
        <v/>
      </c>
      <c r="H41" s="56">
        <f>IF('A1. Data scoring'!M215&lt;&gt;"N/A","Yes","No")</f>
        <v/>
      </c>
      <c r="I41" s="56">
        <f>IF('A1. Data scoring'!N215&lt;&gt;"N/A","Yes","No")</f>
        <v/>
      </c>
      <c r="J41" s="56">
        <f>IF('A1. Data scoring'!O215&lt;&gt;"N/A","Yes","No")</f>
        <v/>
      </c>
      <c r="K41" s="56">
        <f>IF('A1. Data scoring'!P215&lt;&gt;"N/A","Yes","No")</f>
        <v/>
      </c>
      <c r="L41" s="56">
        <f>IF('A1. Data scoring'!Q215&lt;&gt;"N/A","Yes","No")</f>
        <v/>
      </c>
      <c r="M41" s="56">
        <f>IF('A1. Data scoring'!R215&lt;&gt;"N/A","Yes","No")</f>
        <v/>
      </c>
      <c r="N41" s="56">
        <f>IF('A1. Data scoring'!S215&lt;&gt;"N/A","Yes","No")</f>
        <v/>
      </c>
      <c r="O41" s="56">
        <f>IF('A1. Data scoring'!T215&lt;&gt;"N/A","Yes","No")</f>
        <v/>
      </c>
      <c r="P41" s="56">
        <f>IF('A1. Data scoring'!U215&lt;&gt;"N/A","Yes","No")</f>
        <v/>
      </c>
      <c r="Q41" s="56">
        <f>IF('A1. Data scoring'!V215&lt;&gt;"N/A","Yes","No")</f>
        <v/>
      </c>
      <c r="R41" s="56">
        <f>IF('A1. Data scoring'!W215&lt;&gt;"N/A","Yes","No")</f>
        <v/>
      </c>
      <c r="S41" s="56">
        <f>IF('A1. Data scoring'!X215&lt;&gt;"N/A","Yes","No")</f>
        <v/>
      </c>
      <c r="T41" s="8">
        <f>COUNTIF(C41:S41,"Yes")</f>
        <v/>
      </c>
    </row>
    <row r="42">
      <c r="B42" s="7" t="inlineStr">
        <is>
          <t>EN1(b)</t>
        </is>
      </c>
      <c r="C42" s="56">
        <f>IF('A1. Data scoring'!H221&lt;&gt;"N/A","Yes","No")</f>
        <v/>
      </c>
      <c r="D42" s="56">
        <f>IF('A1. Data scoring'!I221&lt;&gt;"N/A","Yes","No")</f>
        <v/>
      </c>
      <c r="E42" s="56">
        <f>IF('A1. Data scoring'!J221&lt;&gt;"N/A","Yes","No")</f>
        <v/>
      </c>
      <c r="F42" s="56">
        <f>IF('A1. Data scoring'!K221&lt;&gt;"N/A","Yes","No")</f>
        <v/>
      </c>
      <c r="G42" s="56">
        <f>IF('A1. Data scoring'!L221&lt;&gt;"N/A","Yes","No")</f>
        <v/>
      </c>
      <c r="H42" s="56">
        <f>IF('A1. Data scoring'!M221&lt;&gt;"N/A","Yes","No")</f>
        <v/>
      </c>
      <c r="I42" s="56">
        <f>IF('A1. Data scoring'!N221&lt;&gt;"N/A","Yes","No")</f>
        <v/>
      </c>
      <c r="J42" s="56">
        <f>IF('A1. Data scoring'!O221&lt;&gt;"N/A","Yes","No")</f>
        <v/>
      </c>
      <c r="K42" s="56">
        <f>IF('A1. Data scoring'!P221&lt;&gt;"N/A","Yes","No")</f>
        <v/>
      </c>
      <c r="L42" s="56">
        <f>IF('A1. Data scoring'!Q221&lt;&gt;"N/A","Yes","No")</f>
        <v/>
      </c>
      <c r="M42" s="56">
        <f>IF('A1. Data scoring'!R221&lt;&gt;"N/A","Yes","No")</f>
        <v/>
      </c>
      <c r="N42" s="56">
        <f>IF('A1. Data scoring'!S221&lt;&gt;"N/A","Yes","No")</f>
        <v/>
      </c>
      <c r="O42" s="56">
        <f>IF('A1. Data scoring'!T221&lt;&gt;"N/A","Yes","No")</f>
        <v/>
      </c>
      <c r="P42" s="56">
        <f>IF('A1. Data scoring'!U221&lt;&gt;"N/A","Yes","No")</f>
        <v/>
      </c>
      <c r="Q42" s="56">
        <f>IF('A1. Data scoring'!V221&lt;&gt;"N/A","Yes","No")</f>
        <v/>
      </c>
      <c r="R42" s="56">
        <f>IF('A1. Data scoring'!W221&lt;&gt;"N/A","Yes","No")</f>
        <v/>
      </c>
      <c r="S42" s="56">
        <f>IF('A1. Data scoring'!X221&lt;&gt;"N/A","Yes","No")</f>
        <v/>
      </c>
      <c r="T42" s="8">
        <f>COUNTIF(C42:S42,"Yes")</f>
        <v/>
      </c>
    </row>
    <row r="43">
      <c r="B43" s="7" t="inlineStr">
        <is>
          <t>EN1(c)</t>
        </is>
      </c>
      <c r="C43" s="56">
        <f>IF('A1. Data scoring'!H227&lt;&gt;"N/A","Yes","No")</f>
        <v/>
      </c>
      <c r="D43" s="56">
        <f>IF('A1. Data scoring'!I227&lt;&gt;"N/A","Yes","No")</f>
        <v/>
      </c>
      <c r="E43" s="56">
        <f>IF('A1. Data scoring'!J227&lt;&gt;"N/A","Yes","No")</f>
        <v/>
      </c>
      <c r="F43" s="56">
        <f>IF('A1. Data scoring'!K227&lt;&gt;"N/A","Yes","No")</f>
        <v/>
      </c>
      <c r="G43" s="56">
        <f>IF('A1. Data scoring'!L227&lt;&gt;"N/A","Yes","No")</f>
        <v/>
      </c>
      <c r="H43" s="56">
        <f>IF('A1. Data scoring'!M227&lt;&gt;"N/A","Yes","No")</f>
        <v/>
      </c>
      <c r="I43" s="56">
        <f>IF('A1. Data scoring'!N227&lt;&gt;"N/A","Yes","No")</f>
        <v/>
      </c>
      <c r="J43" s="56">
        <f>IF('A1. Data scoring'!O227&lt;&gt;"N/A","Yes","No")</f>
        <v/>
      </c>
      <c r="K43" s="56">
        <f>IF('A1. Data scoring'!P227&lt;&gt;"N/A","Yes","No")</f>
        <v/>
      </c>
      <c r="L43" s="56">
        <f>IF('A1. Data scoring'!Q227&lt;&gt;"N/A","Yes","No")</f>
        <v/>
      </c>
      <c r="M43" s="56">
        <f>IF('A1. Data scoring'!R227&lt;&gt;"N/A","Yes","No")</f>
        <v/>
      </c>
      <c r="N43" s="56">
        <f>IF('A1. Data scoring'!S227&lt;&gt;"N/A","Yes","No")</f>
        <v/>
      </c>
      <c r="O43" s="56">
        <f>IF('A1. Data scoring'!T227&lt;&gt;"N/A","Yes","No")</f>
        <v/>
      </c>
      <c r="P43" s="56">
        <f>IF('A1. Data scoring'!U227&lt;&gt;"N/A","Yes","No")</f>
        <v/>
      </c>
      <c r="Q43" s="56">
        <f>IF('A1. Data scoring'!V227&lt;&gt;"N/A","Yes","No")</f>
        <v/>
      </c>
      <c r="R43" s="56">
        <f>IF('A1. Data scoring'!W227&lt;&gt;"N/A","Yes","No")</f>
        <v/>
      </c>
      <c r="S43" s="56">
        <f>IF('A1. Data scoring'!X227&lt;&gt;"N/A","Yes","No")</f>
        <v/>
      </c>
      <c r="T43" s="8">
        <f>COUNTIF(C43:S43,"Yes")</f>
        <v/>
      </c>
    </row>
    <row r="44">
      <c r="B44" s="7" t="inlineStr">
        <is>
          <t>EN1(d)</t>
        </is>
      </c>
      <c r="C44" s="56">
        <f>IF('A1. Data scoring'!H233&lt;&gt;"N/A","Yes","No")</f>
        <v/>
      </c>
      <c r="D44" s="56">
        <f>IF('A1. Data scoring'!I233&lt;&gt;"N/A","Yes","No")</f>
        <v/>
      </c>
      <c r="E44" s="56">
        <f>IF('A1. Data scoring'!J233&lt;&gt;"N/A","Yes","No")</f>
        <v/>
      </c>
      <c r="F44" s="56">
        <f>IF('A1. Data scoring'!K233&lt;&gt;"N/A","Yes","No")</f>
        <v/>
      </c>
      <c r="G44" s="56">
        <f>IF('A1. Data scoring'!L233&lt;&gt;"N/A","Yes","No")</f>
        <v/>
      </c>
      <c r="H44" s="56">
        <f>IF('A1. Data scoring'!M233&lt;&gt;"N/A","Yes","No")</f>
        <v/>
      </c>
      <c r="I44" s="56">
        <f>IF('A1. Data scoring'!N233&lt;&gt;"N/A","Yes","No")</f>
        <v/>
      </c>
      <c r="J44" s="56">
        <f>IF('A1. Data scoring'!O233&lt;&gt;"N/A","Yes","No")</f>
        <v/>
      </c>
      <c r="K44" s="56">
        <f>IF('A1. Data scoring'!P233&lt;&gt;"N/A","Yes","No")</f>
        <v/>
      </c>
      <c r="L44" s="56">
        <f>IF('A1. Data scoring'!Q233&lt;&gt;"N/A","Yes","No")</f>
        <v/>
      </c>
      <c r="M44" s="56">
        <f>IF('A1. Data scoring'!R233&lt;&gt;"N/A","Yes","No")</f>
        <v/>
      </c>
      <c r="N44" s="56">
        <f>IF('A1. Data scoring'!S233&lt;&gt;"N/A","Yes","No")</f>
        <v/>
      </c>
      <c r="O44" s="56">
        <f>IF('A1. Data scoring'!T233&lt;&gt;"N/A","Yes","No")</f>
        <v/>
      </c>
      <c r="P44" s="56">
        <f>IF('A1. Data scoring'!U233&lt;&gt;"N/A","Yes","No")</f>
        <v/>
      </c>
      <c r="Q44" s="56">
        <f>IF('A1. Data scoring'!V233&lt;&gt;"N/A","Yes","No")</f>
        <v/>
      </c>
      <c r="R44" s="56">
        <f>IF('A1. Data scoring'!W233&lt;&gt;"N/A","Yes","No")</f>
        <v/>
      </c>
      <c r="S44" s="56">
        <f>IF('A1. Data scoring'!X233&lt;&gt;"N/A","Yes","No")</f>
        <v/>
      </c>
      <c r="T44" s="8">
        <f>COUNTIF(C44:S44,"Yes")</f>
        <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310"/>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4" customWidth="1" min="1" max="1"/>
    <col width="9" customWidth="1" min="2" max="2"/>
    <col width="34" customWidth="1" min="3" max="3"/>
    <col width="26"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16" customWidth="1" min="16" max="16"/>
    <col width="16" customWidth="1" min="17" max="17"/>
    <col width="40" customWidth="1" min="18" max="18"/>
  </cols>
  <sheetData>
    <row r="1">
      <c r="A1" s="1" t="inlineStr">
        <is>
          <t>↑</t>
        </is>
      </c>
      <c r="B1" s="2" t="inlineStr">
        <is>
          <t>End-2026 target status assessment and reporting</t>
        </is>
      </c>
    </row>
    <row r="2">
      <c r="B2" s="3" t="inlineStr">
        <is>
          <t>T1. Manual target review</t>
        </is>
      </c>
    </row>
    <row r="4" ht="30" customHeight="1">
      <c r="C4" s="32" t="inlineStr">
        <is>
          <t>Description</t>
        </is>
      </c>
      <c r="D4" s="9" t="inlineStr">
        <is>
          <t>Review of individual unit responses for every indicator – only the units asked about each indicator are shown. Values come from A1 (do not type in grey cells); record your review in the 'Reviewer notes' column. Use T2 to focus on a single indicator.</t>
        </is>
      </c>
    </row>
    <row r="5"/>
    <row r="7">
      <c r="B7" s="6" t="inlineStr">
        <is>
          <t>Ref.</t>
        </is>
      </c>
      <c r="C7" s="6" t="inlineStr">
        <is>
          <t>Indicator</t>
        </is>
      </c>
      <c r="D7" s="6" t="inlineStr">
        <is>
          <t>Target progress</t>
        </is>
      </c>
      <c r="E7" s="6" t="inlineStr">
        <is>
          <t>Unit 1</t>
        </is>
      </c>
      <c r="F7" s="6" t="inlineStr">
        <is>
          <t>Unit 2</t>
        </is>
      </c>
      <c r="G7" s="6" t="inlineStr">
        <is>
          <t>Unit 3</t>
        </is>
      </c>
      <c r="H7" s="6" t="inlineStr">
        <is>
          <t>Unit 4</t>
        </is>
      </c>
      <c r="I7" s="6" t="inlineStr">
        <is>
          <t>Unit 5</t>
        </is>
      </c>
      <c r="J7" s="6" t="inlineStr">
        <is>
          <t>Unit 6</t>
        </is>
      </c>
      <c r="K7" s="6" t="inlineStr">
        <is>
          <t>Unit 7</t>
        </is>
      </c>
      <c r="L7" s="6" t="inlineStr">
        <is>
          <t>Unit 8</t>
        </is>
      </c>
      <c r="M7" s="6" t="inlineStr">
        <is>
          <t>Unit 9</t>
        </is>
      </c>
      <c r="N7" s="6" t="inlineStr">
        <is>
          <t>Unit 10</t>
        </is>
      </c>
      <c r="O7" s="6" t="inlineStr">
        <is>
          <t>Unit 11</t>
        </is>
      </c>
      <c r="P7" s="6" t="inlineStr">
        <is>
          <t>Target score (text)</t>
        </is>
      </c>
      <c r="Q7" s="6" t="inlineStr">
        <is>
          <t>Threshold status (SR25 rule)</t>
        </is>
      </c>
      <c r="R7" s="6" t="inlineStr">
        <is>
          <t>Reviewer notes</t>
        </is>
      </c>
    </row>
    <row r="8">
      <c r="B8" s="7" t="inlineStr">
        <is>
          <t>EE1(a)</t>
        </is>
      </c>
      <c r="C8" s="51" t="inlineStr">
        <is>
          <t>Evidence of innovative approaches to sustainability teaching and learning</t>
        </is>
      </c>
      <c r="D8" s="57" t="inlineStr">
        <is>
          <t>Unit</t>
        </is>
      </c>
      <c r="E8" s="57" t="inlineStr">
        <is>
          <t>ABP</t>
        </is>
      </c>
      <c r="F8" s="57" t="inlineStr">
        <is>
          <t>ARTS</t>
        </is>
      </c>
      <c r="G8" s="57" t="inlineStr">
        <is>
          <t>FBE</t>
        </is>
      </c>
      <c r="H8" s="57" t="inlineStr">
        <is>
          <t>SCI</t>
        </is>
      </c>
      <c r="I8" s="57" t="inlineStr">
        <is>
          <t>CI&amp;S – Sustainability Strategy</t>
        </is>
      </c>
      <c r="J8" s="57" t="inlineStr">
        <is>
          <t>Education – Chancellery Education</t>
        </is>
      </c>
      <c r="P8" s="58">
        <f>'A1. Data scoring'!AH11</f>
        <v/>
      </c>
      <c r="Q8" s="58">
        <f>'A1. Data scoring'!AK11</f>
        <v/>
      </c>
      <c r="R8" s="8" t="n"/>
    </row>
    <row r="9" ht="18" customHeight="1">
      <c r="B9" s="59" t="inlineStr">
        <is>
          <t>EE1(a)</t>
        </is>
      </c>
      <c r="D9" s="13" t="inlineStr">
        <is>
          <t>Confirm end-2026 target status</t>
        </is>
      </c>
      <c r="E9" s="60">
        <f>'A1. Data scoring'!H11</f>
        <v/>
      </c>
      <c r="F9" s="60">
        <f>'A1. Data scoring'!I11</f>
        <v/>
      </c>
      <c r="G9" s="60">
        <f>'A1. Data scoring'!J11</f>
        <v/>
      </c>
      <c r="H9" s="60">
        <f>'A1. Data scoring'!K11</f>
        <v/>
      </c>
      <c r="I9" s="60">
        <f>'A1. Data scoring'!M11</f>
        <v/>
      </c>
      <c r="J9" s="60">
        <f>'A1. Data scoring'!U11</f>
        <v/>
      </c>
      <c r="R9" s="61" t="n"/>
    </row>
    <row r="10" ht="60" customHeight="1">
      <c r="B10" s="59" t="inlineStr">
        <is>
          <t>EE1(a)</t>
        </is>
      </c>
      <c r="D10" s="13" t="inlineStr">
        <is>
          <t>OPTION 1:  Target-level reporting</t>
        </is>
      </c>
      <c r="E10" s="60">
        <f>'A1. Data scoring'!H12</f>
        <v/>
      </c>
      <c r="F10" s="60">
        <f>'A1. Data scoring'!I12</f>
        <v/>
      </c>
      <c r="G10" s="60">
        <f>'A1. Data scoring'!J12</f>
        <v/>
      </c>
      <c r="H10" s="60">
        <f>'A1. Data scoring'!K12</f>
        <v/>
      </c>
      <c r="I10" s="60">
        <f>'A1. Data scoring'!M12</f>
        <v/>
      </c>
      <c r="J10" s="60">
        <f>'A1. Data scoring'!U12</f>
        <v/>
      </c>
      <c r="R10" s="61" t="n"/>
    </row>
    <row r="11" ht="60" customHeight="1">
      <c r="B11" s="59" t="inlineStr">
        <is>
          <t>EE1(a)</t>
        </is>
      </c>
      <c r="D11" s="13" t="inlineStr">
        <is>
          <t>OPTION 2:  Indicator level reporting</t>
        </is>
      </c>
      <c r="E11" s="60">
        <f>'A1. Data scoring'!H13</f>
        <v/>
      </c>
      <c r="F11" s="60">
        <f>'A1. Data scoring'!I13</f>
        <v/>
      </c>
      <c r="G11" s="60">
        <f>'A1. Data scoring'!J13</f>
        <v/>
      </c>
      <c r="H11" s="60">
        <f>'A1. Data scoring'!K13</f>
        <v/>
      </c>
      <c r="I11" s="60">
        <f>'A1. Data scoring'!M13</f>
        <v/>
      </c>
      <c r="J11" s="60">
        <f>'A1. Data scoring'!U13</f>
        <v/>
      </c>
      <c r="R11" s="61" t="n"/>
    </row>
    <row r="12" ht="18" customHeight="1">
      <c r="B12" s="59" t="inlineStr">
        <is>
          <t>EE1(a)</t>
        </is>
      </c>
      <c r="D12" s="13" t="inlineStr">
        <is>
          <t>Supporting information/comments</t>
        </is>
      </c>
      <c r="E12" s="60">
        <f>'A1. Data scoring'!H14</f>
        <v/>
      </c>
      <c r="F12" s="60">
        <f>'A1. Data scoring'!I14</f>
        <v/>
      </c>
      <c r="G12" s="60">
        <f>'A1. Data scoring'!J14</f>
        <v/>
      </c>
      <c r="H12" s="60">
        <f>'A1. Data scoring'!K14</f>
        <v/>
      </c>
      <c r="I12" s="60">
        <f>'A1. Data scoring'!M14</f>
        <v/>
      </c>
      <c r="J12" s="60">
        <f>'A1. Data scoring'!U14</f>
        <v/>
      </c>
      <c r="R12" s="61" t="n"/>
    </row>
    <row r="13" ht="18" customHeight="1">
      <c r="B13" s="59" t="inlineStr">
        <is>
          <t>EE1(a)</t>
        </is>
      </c>
      <c r="D13" s="13" t="inlineStr">
        <is>
          <t>Data source and limitations</t>
        </is>
      </c>
      <c r="E13" s="60">
        <f>'A1. Data scoring'!H15</f>
        <v/>
      </c>
      <c r="F13" s="60">
        <f>'A1. Data scoring'!I15</f>
        <v/>
      </c>
      <c r="G13" s="60">
        <f>'A1. Data scoring'!J15</f>
        <v/>
      </c>
      <c r="H13" s="60">
        <f>'A1. Data scoring'!K15</f>
        <v/>
      </c>
      <c r="I13" s="60">
        <f>'A1. Data scoring'!M15</f>
        <v/>
      </c>
      <c r="J13" s="60">
        <f>'A1. Data scoring'!U15</f>
        <v/>
      </c>
      <c r="R13" s="61" t="n"/>
    </row>
    <row r="14" ht="18" customHeight="1">
      <c r="B14" s="59" t="inlineStr">
        <is>
          <t>EE1(a)</t>
        </is>
      </c>
      <c r="D14" s="13" t="inlineStr">
        <is>
          <t>Data owner confirms</t>
        </is>
      </c>
      <c r="E14" s="60">
        <f>'A1. Data scoring'!H16</f>
        <v/>
      </c>
      <c r="F14" s="60">
        <f>'A1. Data scoring'!I16</f>
        <v/>
      </c>
      <c r="G14" s="60">
        <f>'A1. Data scoring'!J16</f>
        <v/>
      </c>
      <c r="H14" s="60">
        <f>'A1. Data scoring'!K16</f>
        <v/>
      </c>
      <c r="I14" s="60">
        <f>'A1. Data scoring'!M16</f>
        <v/>
      </c>
      <c r="J14" s="60">
        <f>'A1. Data scoring'!U16</f>
        <v/>
      </c>
      <c r="R14" s="62" t="n"/>
    </row>
    <row r="16">
      <c r="B16" s="7" t="inlineStr">
        <is>
          <t>EE1(b)</t>
        </is>
      </c>
      <c r="C16" s="51" t="inlineStr">
        <is>
          <t>Pilots of possible approaches for understanding and developing students’ sustainability self-efficacy</t>
        </is>
      </c>
      <c r="D16" s="57" t="inlineStr">
        <is>
          <t>Unit</t>
        </is>
      </c>
      <c r="E16" s="57" t="inlineStr">
        <is>
          <t>ABP</t>
        </is>
      </c>
      <c r="F16" s="57" t="inlineStr">
        <is>
          <t>ARTS</t>
        </is>
      </c>
      <c r="G16" s="57" t="inlineStr">
        <is>
          <t>FBE</t>
        </is>
      </c>
      <c r="H16" s="57" t="inlineStr">
        <is>
          <t>SCI</t>
        </is>
      </c>
      <c r="I16" s="57" t="inlineStr">
        <is>
          <t>CI&amp;S – Sustainability Strategy</t>
        </is>
      </c>
      <c r="J16" s="57" t="inlineStr">
        <is>
          <t>Education – Chancellery Education</t>
        </is>
      </c>
      <c r="P16" s="58">
        <f>'A1. Data scoring'!AH17</f>
        <v/>
      </c>
      <c r="Q16" s="58">
        <f>'A1. Data scoring'!AK17</f>
        <v/>
      </c>
      <c r="R16" s="8" t="n"/>
    </row>
    <row r="17" ht="18" customHeight="1">
      <c r="B17" s="59" t="inlineStr">
        <is>
          <t>EE1(b)</t>
        </is>
      </c>
      <c r="D17" s="13" t="inlineStr">
        <is>
          <t>Confirm end-2026 target status</t>
        </is>
      </c>
      <c r="E17" s="60">
        <f>'A1. Data scoring'!H17</f>
        <v/>
      </c>
      <c r="F17" s="60">
        <f>'A1. Data scoring'!I17</f>
        <v/>
      </c>
      <c r="G17" s="60">
        <f>'A1. Data scoring'!J17</f>
        <v/>
      </c>
      <c r="H17" s="60">
        <f>'A1. Data scoring'!K17</f>
        <v/>
      </c>
      <c r="I17" s="60">
        <f>'A1. Data scoring'!M17</f>
        <v/>
      </c>
      <c r="J17" s="60">
        <f>'A1. Data scoring'!U17</f>
        <v/>
      </c>
      <c r="R17" s="61" t="n"/>
    </row>
    <row r="18" ht="60" customHeight="1">
      <c r="B18" s="59" t="inlineStr">
        <is>
          <t>EE1(b)</t>
        </is>
      </c>
      <c r="D18" s="13" t="inlineStr">
        <is>
          <t>OPTION 1:  Target-level reporting</t>
        </is>
      </c>
      <c r="E18" s="60">
        <f>'A1. Data scoring'!H18</f>
        <v/>
      </c>
      <c r="F18" s="60">
        <f>'A1. Data scoring'!I18</f>
        <v/>
      </c>
      <c r="G18" s="60">
        <f>'A1. Data scoring'!J18</f>
        <v/>
      </c>
      <c r="H18" s="60">
        <f>'A1. Data scoring'!K18</f>
        <v/>
      </c>
      <c r="I18" s="60">
        <f>'A1. Data scoring'!M18</f>
        <v/>
      </c>
      <c r="J18" s="60">
        <f>'A1. Data scoring'!U18</f>
        <v/>
      </c>
      <c r="R18" s="61" t="n"/>
    </row>
    <row r="19" ht="60" customHeight="1">
      <c r="B19" s="59" t="inlineStr">
        <is>
          <t>EE1(b)</t>
        </is>
      </c>
      <c r="D19" s="13" t="inlineStr">
        <is>
          <t>OPTION 2:  Indicator level reporting</t>
        </is>
      </c>
      <c r="E19" s="60">
        <f>'A1. Data scoring'!H19</f>
        <v/>
      </c>
      <c r="F19" s="60">
        <f>'A1. Data scoring'!I19</f>
        <v/>
      </c>
      <c r="G19" s="60">
        <f>'A1. Data scoring'!J19</f>
        <v/>
      </c>
      <c r="H19" s="60">
        <f>'A1. Data scoring'!K19</f>
        <v/>
      </c>
      <c r="I19" s="60">
        <f>'A1. Data scoring'!M19</f>
        <v/>
      </c>
      <c r="J19" s="60">
        <f>'A1. Data scoring'!U19</f>
        <v/>
      </c>
      <c r="R19" s="61" t="n"/>
    </row>
    <row r="20" ht="18" customHeight="1">
      <c r="B20" s="59" t="inlineStr">
        <is>
          <t>EE1(b)</t>
        </is>
      </c>
      <c r="D20" s="13" t="inlineStr">
        <is>
          <t>Supporting information/comments</t>
        </is>
      </c>
      <c r="E20" s="60">
        <f>'A1. Data scoring'!H20</f>
        <v/>
      </c>
      <c r="F20" s="60">
        <f>'A1. Data scoring'!I20</f>
        <v/>
      </c>
      <c r="G20" s="60">
        <f>'A1. Data scoring'!J20</f>
        <v/>
      </c>
      <c r="H20" s="60">
        <f>'A1. Data scoring'!K20</f>
        <v/>
      </c>
      <c r="I20" s="60">
        <f>'A1. Data scoring'!M20</f>
        <v/>
      </c>
      <c r="J20" s="60">
        <f>'A1. Data scoring'!U20</f>
        <v/>
      </c>
      <c r="R20" s="61" t="n"/>
    </row>
    <row r="21" ht="18" customHeight="1">
      <c r="B21" s="59" t="inlineStr">
        <is>
          <t>EE1(b)</t>
        </is>
      </c>
      <c r="D21" s="13" t="inlineStr">
        <is>
          <t>Data source and limitations</t>
        </is>
      </c>
      <c r="E21" s="60">
        <f>'A1. Data scoring'!H21</f>
        <v/>
      </c>
      <c r="F21" s="60">
        <f>'A1. Data scoring'!I21</f>
        <v/>
      </c>
      <c r="G21" s="60">
        <f>'A1. Data scoring'!J21</f>
        <v/>
      </c>
      <c r="H21" s="60">
        <f>'A1. Data scoring'!K21</f>
        <v/>
      </c>
      <c r="I21" s="60">
        <f>'A1. Data scoring'!M21</f>
        <v/>
      </c>
      <c r="J21" s="60">
        <f>'A1. Data scoring'!U21</f>
        <v/>
      </c>
      <c r="R21" s="61" t="n"/>
    </row>
    <row r="22" ht="18" customHeight="1">
      <c r="B22" s="59" t="inlineStr">
        <is>
          <t>EE1(b)</t>
        </is>
      </c>
      <c r="D22" s="13" t="inlineStr">
        <is>
          <t>Data owner confirms</t>
        </is>
      </c>
      <c r="E22" s="60">
        <f>'A1. Data scoring'!H22</f>
        <v/>
      </c>
      <c r="F22" s="60">
        <f>'A1. Data scoring'!I22</f>
        <v/>
      </c>
      <c r="G22" s="60">
        <f>'A1. Data scoring'!J22</f>
        <v/>
      </c>
      <c r="H22" s="60">
        <f>'A1. Data scoring'!K22</f>
        <v/>
      </c>
      <c r="I22" s="60">
        <f>'A1. Data scoring'!M22</f>
        <v/>
      </c>
      <c r="J22" s="60">
        <f>'A1. Data scoring'!U22</f>
        <v/>
      </c>
      <c r="R22" s="62" t="n"/>
    </row>
    <row r="24">
      <c r="B24" s="7" t="inlineStr">
        <is>
          <t>EE1(c)</t>
        </is>
      </c>
      <c r="C24" s="51" t="inlineStr">
        <is>
          <t>Evidence of sustainability focused experiential and co curricular learning (eg Wattle Fellowship; Melbourne Plus)</t>
        </is>
      </c>
      <c r="D24" s="57" t="inlineStr">
        <is>
          <t>Unit</t>
        </is>
      </c>
      <c r="E24" s="57" t="inlineStr">
        <is>
          <t>CI&amp;S – Sustainability Strategy</t>
        </is>
      </c>
      <c r="F24" s="57" t="inlineStr">
        <is>
          <t>SaSS – Student and Scholarly Services</t>
        </is>
      </c>
      <c r="P24" s="58">
        <f>'A1. Data scoring'!AH23</f>
        <v/>
      </c>
      <c r="Q24" s="58">
        <f>'A1. Data scoring'!AK23</f>
        <v/>
      </c>
      <c r="R24" s="8" t="inlineStr">
        <is>
          <t>Faculties answer this indicator in their EE1(a) response (merged question) – review both.</t>
        </is>
      </c>
    </row>
    <row r="25" ht="18" customHeight="1">
      <c r="B25" s="59" t="inlineStr">
        <is>
          <t>EE1(c)</t>
        </is>
      </c>
      <c r="D25" s="13" t="inlineStr">
        <is>
          <t>Confirm end-2026 target status</t>
        </is>
      </c>
      <c r="E25" s="60">
        <f>'A1. Data scoring'!M23</f>
        <v/>
      </c>
      <c r="F25" s="60">
        <f>'A1. Data scoring'!V23</f>
        <v/>
      </c>
      <c r="R25" s="61" t="n"/>
    </row>
    <row r="26" ht="60" customHeight="1">
      <c r="B26" s="59" t="inlineStr">
        <is>
          <t>EE1(c)</t>
        </is>
      </c>
      <c r="D26" s="13" t="inlineStr">
        <is>
          <t>OPTION 1:  Target-level reporting</t>
        </is>
      </c>
      <c r="E26" s="60">
        <f>'A1. Data scoring'!M24</f>
        <v/>
      </c>
      <c r="F26" s="60">
        <f>'A1. Data scoring'!V24</f>
        <v/>
      </c>
      <c r="R26" s="61" t="n"/>
    </row>
    <row r="27" ht="60" customHeight="1">
      <c r="B27" s="59" t="inlineStr">
        <is>
          <t>EE1(c)</t>
        </is>
      </c>
      <c r="D27" s="13" t="inlineStr">
        <is>
          <t>OPTION 2:  Indicator level reporting</t>
        </is>
      </c>
      <c r="E27" s="60">
        <f>'A1. Data scoring'!M25</f>
        <v/>
      </c>
      <c r="F27" s="60">
        <f>'A1. Data scoring'!V25</f>
        <v/>
      </c>
      <c r="R27" s="61" t="n"/>
    </row>
    <row r="28" ht="18" customHeight="1">
      <c r="B28" s="59" t="inlineStr">
        <is>
          <t>EE1(c)</t>
        </is>
      </c>
      <c r="D28" s="13" t="inlineStr">
        <is>
          <t>Supporting information/comments</t>
        </is>
      </c>
      <c r="E28" s="60">
        <f>'A1. Data scoring'!M26</f>
        <v/>
      </c>
      <c r="F28" s="60">
        <f>'A1. Data scoring'!V26</f>
        <v/>
      </c>
      <c r="R28" s="61" t="n"/>
    </row>
    <row r="29" ht="18" customHeight="1">
      <c r="B29" s="59" t="inlineStr">
        <is>
          <t>EE1(c)</t>
        </is>
      </c>
      <c r="D29" s="13" t="inlineStr">
        <is>
          <t>Data source and limitations</t>
        </is>
      </c>
      <c r="E29" s="60">
        <f>'A1. Data scoring'!M27</f>
        <v/>
      </c>
      <c r="F29" s="60">
        <f>'A1. Data scoring'!V27</f>
        <v/>
      </c>
      <c r="R29" s="61" t="n"/>
    </row>
    <row r="30" ht="18" customHeight="1">
      <c r="B30" s="59" t="inlineStr">
        <is>
          <t>EE1(c)</t>
        </is>
      </c>
      <c r="D30" s="13" t="inlineStr">
        <is>
          <t>Data owner confirms</t>
        </is>
      </c>
      <c r="E30" s="60">
        <f>'A1. Data scoring'!M28</f>
        <v/>
      </c>
      <c r="F30" s="60">
        <f>'A1. Data scoring'!V28</f>
        <v/>
      </c>
      <c r="R30" s="62" t="n"/>
    </row>
    <row r="32">
      <c r="B32" s="7" t="inlineStr">
        <is>
          <t>EE1(d)</t>
        </is>
      </c>
      <c r="C32" s="51" t="inlineStr">
        <is>
          <t>Alumni profiles demonstrating how graduates contribute to sustainability through their careers or communities.</t>
        </is>
      </c>
      <c r="D32" s="57" t="inlineStr">
        <is>
          <t>Unit</t>
        </is>
      </c>
      <c r="E32" s="57" t="inlineStr">
        <is>
          <t>SaSS – Student and Scholarly Services</t>
        </is>
      </c>
      <c r="P32" s="58">
        <f>'A1. Data scoring'!AH29</f>
        <v/>
      </c>
      <c r="Q32" s="58">
        <f>'A1. Data scoring'!AK29</f>
        <v/>
      </c>
      <c r="R32" s="8" t="n"/>
    </row>
    <row r="33" ht="18" customHeight="1">
      <c r="B33" s="59" t="inlineStr">
        <is>
          <t>EE1(d)</t>
        </is>
      </c>
      <c r="D33" s="13" t="inlineStr">
        <is>
          <t>Confirm end-2026 target status</t>
        </is>
      </c>
      <c r="E33" s="60">
        <f>'A1. Data scoring'!V29</f>
        <v/>
      </c>
      <c r="R33" s="61" t="n"/>
    </row>
    <row r="34" ht="60" customHeight="1">
      <c r="B34" s="59" t="inlineStr">
        <is>
          <t>EE1(d)</t>
        </is>
      </c>
      <c r="D34" s="13" t="inlineStr">
        <is>
          <t>OPTION 1:  Target-level reporting</t>
        </is>
      </c>
      <c r="E34" s="60">
        <f>'A1. Data scoring'!V30</f>
        <v/>
      </c>
      <c r="R34" s="61" t="n"/>
    </row>
    <row r="35" ht="60" customHeight="1">
      <c r="B35" s="59" t="inlineStr">
        <is>
          <t>EE1(d)</t>
        </is>
      </c>
      <c r="D35" s="13" t="inlineStr">
        <is>
          <t>OPTION 2:  Indicator level reporting</t>
        </is>
      </c>
      <c r="E35" s="60">
        <f>'A1. Data scoring'!V31</f>
        <v/>
      </c>
      <c r="R35" s="61" t="n"/>
    </row>
    <row r="36" ht="18" customHeight="1">
      <c r="B36" s="59" t="inlineStr">
        <is>
          <t>EE1(d)</t>
        </is>
      </c>
      <c r="D36" s="13" t="inlineStr">
        <is>
          <t>Supporting information/comments</t>
        </is>
      </c>
      <c r="E36" s="60">
        <f>'A1. Data scoring'!V32</f>
        <v/>
      </c>
      <c r="R36" s="61" t="n"/>
    </row>
    <row r="37" ht="18" customHeight="1">
      <c r="B37" s="59" t="inlineStr">
        <is>
          <t>EE1(d)</t>
        </is>
      </c>
      <c r="D37" s="13" t="inlineStr">
        <is>
          <t>Data source and limitations</t>
        </is>
      </c>
      <c r="E37" s="60">
        <f>'A1. Data scoring'!V33</f>
        <v/>
      </c>
      <c r="R37" s="61" t="n"/>
    </row>
    <row r="38" ht="18" customHeight="1">
      <c r="B38" s="59" t="inlineStr">
        <is>
          <t>EE1(d)</t>
        </is>
      </c>
      <c r="D38" s="13" t="inlineStr">
        <is>
          <t>Data owner confirms</t>
        </is>
      </c>
      <c r="E38" s="60">
        <f>'A1. Data scoring'!V34</f>
        <v/>
      </c>
      <c r="R38" s="62" t="n"/>
    </row>
    <row r="40">
      <c r="B40" s="7" t="inlineStr">
        <is>
          <t>TR1(a)</t>
        </is>
      </c>
      <c r="C40" s="51" t="inlineStr">
        <is>
          <t>Expert-reviewed evidence of researchers contributing to operational sustainability priorities through partnerships, advisory input, living labs, applied projects or decision-support</t>
        </is>
      </c>
      <c r="D40" s="57" t="inlineStr">
        <is>
          <t>Unit</t>
        </is>
      </c>
      <c r="E40" s="57" t="inlineStr">
        <is>
          <t>ABP</t>
        </is>
      </c>
      <c r="F40" s="57" t="inlineStr">
        <is>
          <t>ARTS</t>
        </is>
      </c>
      <c r="G40" s="57" t="inlineStr">
        <is>
          <t>FBE</t>
        </is>
      </c>
      <c r="H40" s="57" t="inlineStr">
        <is>
          <t>SCI</t>
        </is>
      </c>
      <c r="I40" s="57" t="inlineStr">
        <is>
          <t>CI&amp;S – Sustainability Strategy</t>
        </is>
      </c>
      <c r="P40" s="58">
        <f>'A1. Data scoring'!AH35</f>
        <v/>
      </c>
      <c r="Q40" s="58">
        <f>'A1. Data scoring'!AK35</f>
        <v/>
      </c>
      <c r="R40" s="8" t="n"/>
    </row>
    <row r="41" ht="18" customHeight="1">
      <c r="B41" s="59" t="inlineStr">
        <is>
          <t>TR1(a)</t>
        </is>
      </c>
      <c r="D41" s="13" t="inlineStr">
        <is>
          <t>Confirm end-2026 target status</t>
        </is>
      </c>
      <c r="E41" s="60">
        <f>'A1. Data scoring'!H35</f>
        <v/>
      </c>
      <c r="F41" s="60">
        <f>'A1. Data scoring'!I35</f>
        <v/>
      </c>
      <c r="G41" s="60">
        <f>'A1. Data scoring'!J35</f>
        <v/>
      </c>
      <c r="H41" s="60">
        <f>'A1. Data scoring'!K35</f>
        <v/>
      </c>
      <c r="I41" s="60">
        <f>'A1. Data scoring'!M35</f>
        <v/>
      </c>
      <c r="R41" s="61" t="n"/>
    </row>
    <row r="42" ht="60" customHeight="1">
      <c r="B42" s="59" t="inlineStr">
        <is>
          <t>TR1(a)</t>
        </is>
      </c>
      <c r="D42" s="13" t="inlineStr">
        <is>
          <t>OPTION 1:  Target-level reporting</t>
        </is>
      </c>
      <c r="E42" s="60">
        <f>'A1. Data scoring'!H36</f>
        <v/>
      </c>
      <c r="F42" s="60">
        <f>'A1. Data scoring'!I36</f>
        <v/>
      </c>
      <c r="G42" s="60">
        <f>'A1. Data scoring'!J36</f>
        <v/>
      </c>
      <c r="H42" s="60">
        <f>'A1. Data scoring'!K36</f>
        <v/>
      </c>
      <c r="I42" s="60">
        <f>'A1. Data scoring'!M36</f>
        <v/>
      </c>
      <c r="R42" s="61" t="n"/>
    </row>
    <row r="43" ht="60" customHeight="1">
      <c r="B43" s="59" t="inlineStr">
        <is>
          <t>TR1(a)</t>
        </is>
      </c>
      <c r="D43" s="13" t="inlineStr">
        <is>
          <t>OPTION 2:  Indicator level reporting</t>
        </is>
      </c>
      <c r="E43" s="60">
        <f>'A1. Data scoring'!H37</f>
        <v/>
      </c>
      <c r="F43" s="60">
        <f>'A1. Data scoring'!I37</f>
        <v/>
      </c>
      <c r="G43" s="60">
        <f>'A1. Data scoring'!J37</f>
        <v/>
      </c>
      <c r="H43" s="60">
        <f>'A1. Data scoring'!K37</f>
        <v/>
      </c>
      <c r="I43" s="60">
        <f>'A1. Data scoring'!M37</f>
        <v/>
      </c>
      <c r="R43" s="61" t="n"/>
    </row>
    <row r="44" ht="18" customHeight="1">
      <c r="B44" s="59" t="inlineStr">
        <is>
          <t>TR1(a)</t>
        </is>
      </c>
      <c r="D44" s="13" t="inlineStr">
        <is>
          <t>Supporting information/comments</t>
        </is>
      </c>
      <c r="E44" s="60">
        <f>'A1. Data scoring'!H38</f>
        <v/>
      </c>
      <c r="F44" s="60">
        <f>'A1. Data scoring'!I38</f>
        <v/>
      </c>
      <c r="G44" s="60">
        <f>'A1. Data scoring'!J38</f>
        <v/>
      </c>
      <c r="H44" s="60">
        <f>'A1. Data scoring'!K38</f>
        <v/>
      </c>
      <c r="I44" s="60">
        <f>'A1. Data scoring'!M38</f>
        <v/>
      </c>
      <c r="R44" s="61" t="n"/>
    </row>
    <row r="45" ht="18" customHeight="1">
      <c r="B45" s="59" t="inlineStr">
        <is>
          <t>TR1(a)</t>
        </is>
      </c>
      <c r="D45" s="13" t="inlineStr">
        <is>
          <t>Data source and limitations</t>
        </is>
      </c>
      <c r="E45" s="60">
        <f>'A1. Data scoring'!H39</f>
        <v/>
      </c>
      <c r="F45" s="60">
        <f>'A1. Data scoring'!I39</f>
        <v/>
      </c>
      <c r="G45" s="60">
        <f>'A1. Data scoring'!J39</f>
        <v/>
      </c>
      <c r="H45" s="60">
        <f>'A1. Data scoring'!K39</f>
        <v/>
      </c>
      <c r="I45" s="60">
        <f>'A1. Data scoring'!M39</f>
        <v/>
      </c>
      <c r="R45" s="61" t="n"/>
    </row>
    <row r="46" ht="18" customHeight="1">
      <c r="B46" s="59" t="inlineStr">
        <is>
          <t>TR1(a)</t>
        </is>
      </c>
      <c r="D46" s="13" t="inlineStr">
        <is>
          <t>Data owner confirms</t>
        </is>
      </c>
      <c r="E46" s="60">
        <f>'A1. Data scoring'!H40</f>
        <v/>
      </c>
      <c r="F46" s="60">
        <f>'A1. Data scoring'!I40</f>
        <v/>
      </c>
      <c r="G46" s="60">
        <f>'A1. Data scoring'!J40</f>
        <v/>
      </c>
      <c r="H46" s="60">
        <f>'A1. Data scoring'!K40</f>
        <v/>
      </c>
      <c r="I46" s="60">
        <f>'A1. Data scoring'!M40</f>
        <v/>
      </c>
      <c r="R46" s="62" t="n"/>
    </row>
    <row r="48">
      <c r="B48" s="7" t="inlineStr">
        <is>
          <t>TR1(b)</t>
        </is>
      </c>
      <c r="C48" s="51" t="inlineStr">
        <is>
          <t>Evidence of institutional pathways that enable ongoing collaboration between academic and professional staff</t>
        </is>
      </c>
      <c r="D48" s="57" t="inlineStr">
        <is>
          <t>Unit</t>
        </is>
      </c>
      <c r="E48" s="57" t="inlineStr">
        <is>
          <t>MRE – Research</t>
        </is>
      </c>
      <c r="P48" s="58">
        <f>'A1. Data scoring'!AH41</f>
        <v/>
      </c>
      <c r="Q48" s="58">
        <f>'A1. Data scoring'!AK41</f>
        <v/>
      </c>
      <c r="R48" s="8" t="n"/>
    </row>
    <row r="49" ht="18" customHeight="1">
      <c r="B49" s="59" t="inlineStr">
        <is>
          <t>TR1(b)</t>
        </is>
      </c>
      <c r="D49" s="13" t="inlineStr">
        <is>
          <t>Confirm end-2026 target status</t>
        </is>
      </c>
      <c r="E49" s="60">
        <f>'A1. Data scoring'!R41</f>
        <v/>
      </c>
      <c r="R49" s="61" t="n"/>
    </row>
    <row r="50" ht="60" customHeight="1">
      <c r="B50" s="59" t="inlineStr">
        <is>
          <t>TR1(b)</t>
        </is>
      </c>
      <c r="D50" s="13" t="inlineStr">
        <is>
          <t>OPTION 1:  Target-level reporting</t>
        </is>
      </c>
      <c r="E50" s="60">
        <f>'A1. Data scoring'!R42</f>
        <v/>
      </c>
      <c r="R50" s="61" t="n"/>
    </row>
    <row r="51" ht="60" customHeight="1">
      <c r="B51" s="59" t="inlineStr">
        <is>
          <t>TR1(b)</t>
        </is>
      </c>
      <c r="D51" s="13" t="inlineStr">
        <is>
          <t>OPTION 2:  Indicator level reporting</t>
        </is>
      </c>
      <c r="E51" s="60">
        <f>'A1. Data scoring'!R43</f>
        <v/>
      </c>
      <c r="R51" s="61" t="n"/>
    </row>
    <row r="52" ht="18" customHeight="1">
      <c r="B52" s="59" t="inlineStr">
        <is>
          <t>TR1(b)</t>
        </is>
      </c>
      <c r="D52" s="13" t="inlineStr">
        <is>
          <t>Supporting information/comments</t>
        </is>
      </c>
      <c r="E52" s="60">
        <f>'A1. Data scoring'!R44</f>
        <v/>
      </c>
      <c r="R52" s="61" t="n"/>
    </row>
    <row r="53" ht="18" customHeight="1">
      <c r="B53" s="59" t="inlineStr">
        <is>
          <t>TR1(b)</t>
        </is>
      </c>
      <c r="D53" s="13" t="inlineStr">
        <is>
          <t>Data source and limitations</t>
        </is>
      </c>
      <c r="E53" s="60">
        <f>'A1. Data scoring'!R45</f>
        <v/>
      </c>
      <c r="R53" s="61" t="n"/>
    </row>
    <row r="54" ht="18" customHeight="1">
      <c r="B54" s="59" t="inlineStr">
        <is>
          <t>TR1(b)</t>
        </is>
      </c>
      <c r="D54" s="13" t="inlineStr">
        <is>
          <t>Data owner confirms</t>
        </is>
      </c>
      <c r="E54" s="60">
        <f>'A1. Data scoring'!R46</f>
        <v/>
      </c>
      <c r="R54" s="62" t="n"/>
    </row>
    <row r="56">
      <c r="B56" s="7" t="inlineStr">
        <is>
          <t>TR1(c)</t>
        </is>
      </c>
      <c r="C56" s="51" t="inlineStr">
        <is>
          <t>Expert assessment of the quality, relevance and continuity of these collaborations</t>
        </is>
      </c>
      <c r="D56" s="57" t="inlineStr">
        <is>
          <t>Unit</t>
        </is>
      </c>
      <c r="E56" s="57" t="inlineStr">
        <is>
          <t>MRE – Research</t>
        </is>
      </c>
      <c r="P56" s="58">
        <f>'A1. Data scoring'!AH47</f>
        <v/>
      </c>
      <c r="Q56" s="58">
        <f>'A1. Data scoring'!AK47</f>
        <v/>
      </c>
      <c r="R56" s="8" t="n"/>
    </row>
    <row r="57" ht="18" customHeight="1">
      <c r="B57" s="59" t="inlineStr">
        <is>
          <t>TR1(c)</t>
        </is>
      </c>
      <c r="D57" s="13" t="inlineStr">
        <is>
          <t>Confirm end-2026 target status</t>
        </is>
      </c>
      <c r="E57" s="60">
        <f>'A1. Data scoring'!R47</f>
        <v/>
      </c>
      <c r="R57" s="61" t="n"/>
    </row>
    <row r="58" ht="60" customHeight="1">
      <c r="B58" s="59" t="inlineStr">
        <is>
          <t>TR1(c)</t>
        </is>
      </c>
      <c r="D58" s="13" t="inlineStr">
        <is>
          <t>OPTION 1:  Target-level reporting</t>
        </is>
      </c>
      <c r="E58" s="60">
        <f>'A1. Data scoring'!R48</f>
        <v/>
      </c>
      <c r="R58" s="61" t="n"/>
    </row>
    <row r="59" ht="60" customHeight="1">
      <c r="B59" s="59" t="inlineStr">
        <is>
          <t>TR1(c)</t>
        </is>
      </c>
      <c r="D59" s="13" t="inlineStr">
        <is>
          <t>OPTION 2:  Indicator level reporting</t>
        </is>
      </c>
      <c r="E59" s="60">
        <f>'A1. Data scoring'!R49</f>
        <v/>
      </c>
      <c r="R59" s="61" t="n"/>
    </row>
    <row r="60" ht="18" customHeight="1">
      <c r="B60" s="59" t="inlineStr">
        <is>
          <t>TR1(c)</t>
        </is>
      </c>
      <c r="D60" s="13" t="inlineStr">
        <is>
          <t>Supporting information/comments</t>
        </is>
      </c>
      <c r="E60" s="60">
        <f>'A1. Data scoring'!R50</f>
        <v/>
      </c>
      <c r="R60" s="61" t="n"/>
    </row>
    <row r="61" ht="18" customHeight="1">
      <c r="B61" s="59" t="inlineStr">
        <is>
          <t>TR1(c)</t>
        </is>
      </c>
      <c r="D61" s="13" t="inlineStr">
        <is>
          <t>Data source and limitations</t>
        </is>
      </c>
      <c r="E61" s="60">
        <f>'A1. Data scoring'!R51</f>
        <v/>
      </c>
      <c r="R61" s="61" t="n"/>
    </row>
    <row r="62" ht="18" customHeight="1">
      <c r="B62" s="59" t="inlineStr">
        <is>
          <t>TR1(c)</t>
        </is>
      </c>
      <c r="D62" s="13" t="inlineStr">
        <is>
          <t>Data owner confirms</t>
        </is>
      </c>
      <c r="E62" s="60">
        <f>'A1. Data scoring'!R52</f>
        <v/>
      </c>
      <c r="R62" s="62" t="n"/>
    </row>
    <row r="64">
      <c r="B64" s="7" t="inlineStr">
        <is>
          <t>TR1(d)</t>
        </is>
      </c>
      <c r="C64" s="51" t="inlineStr">
        <is>
          <t>Periodic feedback from participants on the effectiveness and mutual benefit of collaboration mechanisms.</t>
        </is>
      </c>
      <c r="D64" s="57" t="inlineStr">
        <is>
          <t>Unit</t>
        </is>
      </c>
      <c r="E64" s="57" t="inlineStr">
        <is>
          <t>MRE – Research</t>
        </is>
      </c>
      <c r="P64" s="58">
        <f>'A1. Data scoring'!AH53</f>
        <v/>
      </c>
      <c r="Q64" s="58">
        <f>'A1. Data scoring'!AK53</f>
        <v/>
      </c>
      <c r="R64" s="8" t="n"/>
    </row>
    <row r="65" ht="18" customHeight="1">
      <c r="B65" s="59" t="inlineStr">
        <is>
          <t>TR1(d)</t>
        </is>
      </c>
      <c r="D65" s="13" t="inlineStr">
        <is>
          <t>Confirm end-2026 target status</t>
        </is>
      </c>
      <c r="E65" s="60">
        <f>'A1. Data scoring'!R53</f>
        <v/>
      </c>
      <c r="R65" s="61" t="n"/>
    </row>
    <row r="66" ht="60" customHeight="1">
      <c r="B66" s="59" t="inlineStr">
        <is>
          <t>TR1(d)</t>
        </is>
      </c>
      <c r="D66" s="13" t="inlineStr">
        <is>
          <t>OPTION 1:  Target-level reporting</t>
        </is>
      </c>
      <c r="E66" s="60">
        <f>'A1. Data scoring'!R54</f>
        <v/>
      </c>
      <c r="R66" s="61" t="n"/>
    </row>
    <row r="67" ht="60" customHeight="1">
      <c r="B67" s="59" t="inlineStr">
        <is>
          <t>TR1(d)</t>
        </is>
      </c>
      <c r="D67" s="13" t="inlineStr">
        <is>
          <t>OPTION 2:  Indicator level reporting</t>
        </is>
      </c>
      <c r="E67" s="60">
        <f>'A1. Data scoring'!R55</f>
        <v/>
      </c>
      <c r="R67" s="61" t="n"/>
    </row>
    <row r="68" ht="18" customHeight="1">
      <c r="B68" s="59" t="inlineStr">
        <is>
          <t>TR1(d)</t>
        </is>
      </c>
      <c r="D68" s="13" t="inlineStr">
        <is>
          <t>Supporting information/comments</t>
        </is>
      </c>
      <c r="E68" s="60">
        <f>'A1. Data scoring'!R56</f>
        <v/>
      </c>
      <c r="R68" s="61" t="n"/>
    </row>
    <row r="69" ht="18" customHeight="1">
      <c r="B69" s="59" t="inlineStr">
        <is>
          <t>TR1(d)</t>
        </is>
      </c>
      <c r="D69" s="13" t="inlineStr">
        <is>
          <t>Data source and limitations</t>
        </is>
      </c>
      <c r="E69" s="60">
        <f>'A1. Data scoring'!R57</f>
        <v/>
      </c>
      <c r="R69" s="61" t="n"/>
    </row>
    <row r="70" ht="18" customHeight="1">
      <c r="B70" s="59" t="inlineStr">
        <is>
          <t>TR1(d)</t>
        </is>
      </c>
      <c r="D70" s="13" t="inlineStr">
        <is>
          <t>Data owner confirms</t>
        </is>
      </c>
      <c r="E70" s="60">
        <f>'A1. Data scoring'!R58</f>
        <v/>
      </c>
      <c r="R70" s="62" t="n"/>
    </row>
    <row r="72">
      <c r="B72" s="7" t="inlineStr">
        <is>
          <t>TR2(a)</t>
        </is>
      </c>
      <c r="C72" s="51" t="inlineStr">
        <is>
          <t>Evidence of sustainability-related research impact across diverse pathways, could include policy, industry, community, practice, cultural and institutional outcomes</t>
        </is>
      </c>
      <c r="D72" s="57" t="inlineStr">
        <is>
          <t>Unit</t>
        </is>
      </c>
      <c r="E72" s="57" t="inlineStr">
        <is>
          <t>ABP</t>
        </is>
      </c>
      <c r="F72" s="57" t="inlineStr">
        <is>
          <t>ARTS</t>
        </is>
      </c>
      <c r="G72" s="57" t="inlineStr">
        <is>
          <t>FBE</t>
        </is>
      </c>
      <c r="H72" s="57" t="inlineStr">
        <is>
          <t>SCI</t>
        </is>
      </c>
      <c r="I72" s="57" t="inlineStr">
        <is>
          <t>AC&amp;M – Advancement, Communication and Marketing</t>
        </is>
      </c>
      <c r="P72" s="58">
        <f>'A1. Data scoring'!AH59</f>
        <v/>
      </c>
      <c r="Q72" s="58">
        <f>'A1. Data scoring'!AK59</f>
        <v/>
      </c>
      <c r="R72" s="8" t="n"/>
    </row>
    <row r="73" ht="18" customHeight="1">
      <c r="B73" s="59" t="inlineStr">
        <is>
          <t>TR2(a)</t>
        </is>
      </c>
      <c r="D73" s="13" t="inlineStr">
        <is>
          <t>Confirm end-2026 target status</t>
        </is>
      </c>
      <c r="E73" s="60">
        <f>'A1. Data scoring'!H59</f>
        <v/>
      </c>
      <c r="F73" s="60">
        <f>'A1. Data scoring'!I59</f>
        <v/>
      </c>
      <c r="G73" s="60">
        <f>'A1. Data scoring'!J59</f>
        <v/>
      </c>
      <c r="H73" s="60">
        <f>'A1. Data scoring'!K59</f>
        <v/>
      </c>
      <c r="I73" s="60">
        <f>'A1. Data scoring'!S59</f>
        <v/>
      </c>
      <c r="R73" s="61" t="n"/>
    </row>
    <row r="74" ht="60" customHeight="1">
      <c r="B74" s="59" t="inlineStr">
        <is>
          <t>TR2(a)</t>
        </is>
      </c>
      <c r="D74" s="13" t="inlineStr">
        <is>
          <t>OPTION 1:  Target-level reporting</t>
        </is>
      </c>
      <c r="E74" s="60">
        <f>'A1. Data scoring'!H60</f>
        <v/>
      </c>
      <c r="F74" s="60">
        <f>'A1. Data scoring'!I60</f>
        <v/>
      </c>
      <c r="G74" s="60">
        <f>'A1. Data scoring'!J60</f>
        <v/>
      </c>
      <c r="H74" s="60">
        <f>'A1. Data scoring'!K60</f>
        <v/>
      </c>
      <c r="I74" s="60">
        <f>'A1. Data scoring'!S60</f>
        <v/>
      </c>
      <c r="R74" s="61" t="n"/>
    </row>
    <row r="75" ht="60" customHeight="1">
      <c r="B75" s="59" t="inlineStr">
        <is>
          <t>TR2(a)</t>
        </is>
      </c>
      <c r="D75" s="13" t="inlineStr">
        <is>
          <t>OPTION 2:  Indicator level reporting</t>
        </is>
      </c>
      <c r="E75" s="60">
        <f>'A1. Data scoring'!H61</f>
        <v/>
      </c>
      <c r="F75" s="60">
        <f>'A1. Data scoring'!I61</f>
        <v/>
      </c>
      <c r="G75" s="60">
        <f>'A1. Data scoring'!J61</f>
        <v/>
      </c>
      <c r="H75" s="60">
        <f>'A1. Data scoring'!K61</f>
        <v/>
      </c>
      <c r="I75" s="60">
        <f>'A1. Data scoring'!S61</f>
        <v/>
      </c>
      <c r="R75" s="61" t="n"/>
    </row>
    <row r="76" ht="18" customHeight="1">
      <c r="B76" s="59" t="inlineStr">
        <is>
          <t>TR2(a)</t>
        </is>
      </c>
      <c r="D76" s="13" t="inlineStr">
        <is>
          <t>Supporting information/comments</t>
        </is>
      </c>
      <c r="E76" s="60">
        <f>'A1. Data scoring'!H62</f>
        <v/>
      </c>
      <c r="F76" s="60">
        <f>'A1. Data scoring'!I62</f>
        <v/>
      </c>
      <c r="G76" s="60">
        <f>'A1. Data scoring'!J62</f>
        <v/>
      </c>
      <c r="H76" s="60">
        <f>'A1. Data scoring'!K62</f>
        <v/>
      </c>
      <c r="I76" s="60">
        <f>'A1. Data scoring'!S62</f>
        <v/>
      </c>
      <c r="R76" s="61" t="n"/>
    </row>
    <row r="77" ht="18" customHeight="1">
      <c r="B77" s="59" t="inlineStr">
        <is>
          <t>TR2(a)</t>
        </is>
      </c>
      <c r="D77" s="13" t="inlineStr">
        <is>
          <t>Data source and limitations</t>
        </is>
      </c>
      <c r="E77" s="60">
        <f>'A1. Data scoring'!H63</f>
        <v/>
      </c>
      <c r="F77" s="60">
        <f>'A1. Data scoring'!I63</f>
        <v/>
      </c>
      <c r="G77" s="60">
        <f>'A1. Data scoring'!J63</f>
        <v/>
      </c>
      <c r="H77" s="60">
        <f>'A1. Data scoring'!K63</f>
        <v/>
      </c>
      <c r="I77" s="60">
        <f>'A1. Data scoring'!S63</f>
        <v/>
      </c>
      <c r="R77" s="61" t="n"/>
    </row>
    <row r="78" ht="18" customHeight="1">
      <c r="B78" s="59" t="inlineStr">
        <is>
          <t>TR2(a)</t>
        </is>
      </c>
      <c r="D78" s="13" t="inlineStr">
        <is>
          <t>Data owner confirms</t>
        </is>
      </c>
      <c r="E78" s="60">
        <f>'A1. Data scoring'!H64</f>
        <v/>
      </c>
      <c r="F78" s="60">
        <f>'A1. Data scoring'!I64</f>
        <v/>
      </c>
      <c r="G78" s="60">
        <f>'A1. Data scoring'!J64</f>
        <v/>
      </c>
      <c r="H78" s="60">
        <f>'A1. Data scoring'!K64</f>
        <v/>
      </c>
      <c r="I78" s="60">
        <f>'A1. Data scoring'!S64</f>
        <v/>
      </c>
      <c r="R78" s="62" t="n"/>
    </row>
    <row r="80">
      <c r="B80" s="7" t="inlineStr">
        <is>
          <t>TR2(c)</t>
        </is>
      </c>
      <c r="C80" s="51" t="inlineStr">
        <is>
          <t>Expert-reviewed summary of sustainability-related research outputs, outcomes and influence using available institutional evidence sources</t>
        </is>
      </c>
      <c r="D80" s="57" t="inlineStr">
        <is>
          <t>Unit</t>
        </is>
      </c>
      <c r="E80" s="57" t="inlineStr">
        <is>
          <t>MRE – Research</t>
        </is>
      </c>
      <c r="P80" s="58">
        <f>'A1. Data scoring'!AH65</f>
        <v/>
      </c>
      <c r="Q80" s="58">
        <f>'A1. Data scoring'!AK65</f>
        <v/>
      </c>
      <c r="R80" s="8" t="n"/>
    </row>
    <row r="81" ht="18" customHeight="1">
      <c r="B81" s="59" t="inlineStr">
        <is>
          <t>TR2(c)</t>
        </is>
      </c>
      <c r="D81" s="13" t="inlineStr">
        <is>
          <t>Confirm end-2026 target status</t>
        </is>
      </c>
      <c r="E81" s="60">
        <f>'A1. Data scoring'!R65</f>
        <v/>
      </c>
      <c r="R81" s="61" t="n"/>
    </row>
    <row r="82" ht="60" customHeight="1">
      <c r="B82" s="59" t="inlineStr">
        <is>
          <t>TR2(c)</t>
        </is>
      </c>
      <c r="D82" s="13" t="inlineStr">
        <is>
          <t>OPTION 1:  Target-level reporting</t>
        </is>
      </c>
      <c r="E82" s="60">
        <f>'A1. Data scoring'!R66</f>
        <v/>
      </c>
      <c r="R82" s="61" t="n"/>
    </row>
    <row r="83" ht="60" customHeight="1">
      <c r="B83" s="59" t="inlineStr">
        <is>
          <t>TR2(c)</t>
        </is>
      </c>
      <c r="D83" s="13" t="inlineStr">
        <is>
          <t>OPTION 2:  Indicator level reporting</t>
        </is>
      </c>
      <c r="E83" s="60">
        <f>'A1. Data scoring'!R67</f>
        <v/>
      </c>
      <c r="R83" s="61" t="n"/>
    </row>
    <row r="84" ht="18" customHeight="1">
      <c r="B84" s="59" t="inlineStr">
        <is>
          <t>TR2(c)</t>
        </is>
      </c>
      <c r="D84" s="13" t="inlineStr">
        <is>
          <t>Supporting information/comments</t>
        </is>
      </c>
      <c r="E84" s="60">
        <f>'A1. Data scoring'!R68</f>
        <v/>
      </c>
      <c r="R84" s="61" t="n"/>
    </row>
    <row r="85" ht="18" customHeight="1">
      <c r="B85" s="59" t="inlineStr">
        <is>
          <t>TR2(c)</t>
        </is>
      </c>
      <c r="D85" s="13" t="inlineStr">
        <is>
          <t>Data source and limitations</t>
        </is>
      </c>
      <c r="E85" s="60">
        <f>'A1. Data scoring'!R69</f>
        <v/>
      </c>
      <c r="R85" s="61" t="n"/>
    </row>
    <row r="86" ht="18" customHeight="1">
      <c r="B86" s="59" t="inlineStr">
        <is>
          <t>TR2(c)</t>
        </is>
      </c>
      <c r="D86" s="13" t="inlineStr">
        <is>
          <t>Data owner confirms</t>
        </is>
      </c>
      <c r="E86" s="60">
        <f>'A1. Data scoring'!R70</f>
        <v/>
      </c>
      <c r="R86" s="62" t="n"/>
    </row>
    <row r="88">
      <c r="B88" s="7" t="inlineStr">
        <is>
          <t>TR2(d)</t>
        </is>
      </c>
      <c r="C88" s="51" t="inlineStr">
        <is>
          <t>Case-based evidence demonstrating how research has contributed to meaningful sustainability outcomes.</t>
        </is>
      </c>
      <c r="D88" s="57" t="inlineStr">
        <is>
          <t>Unit</t>
        </is>
      </c>
      <c r="E88" s="57" t="inlineStr">
        <is>
          <t>ABP</t>
        </is>
      </c>
      <c r="F88" s="57" t="inlineStr">
        <is>
          <t>ARTS</t>
        </is>
      </c>
      <c r="G88" s="57" t="inlineStr">
        <is>
          <t>FBE</t>
        </is>
      </c>
      <c r="H88" s="57" t="inlineStr">
        <is>
          <t>SCI</t>
        </is>
      </c>
      <c r="I88" s="57" t="inlineStr">
        <is>
          <t>CI&amp;S – Sustainability Strategy</t>
        </is>
      </c>
      <c r="P88" s="58">
        <f>'A1. Data scoring'!AH71</f>
        <v/>
      </c>
      <c r="Q88" s="58">
        <f>'A1. Data scoring'!AK71</f>
        <v/>
      </c>
      <c r="R88" s="8" t="n"/>
    </row>
    <row r="89" ht="18" customHeight="1">
      <c r="B89" s="59" t="inlineStr">
        <is>
          <t>TR2(d)</t>
        </is>
      </c>
      <c r="D89" s="13" t="inlineStr">
        <is>
          <t>Confirm end-2026 target status</t>
        </is>
      </c>
      <c r="E89" s="60">
        <f>'A1. Data scoring'!H71</f>
        <v/>
      </c>
      <c r="F89" s="60">
        <f>'A1. Data scoring'!I71</f>
        <v/>
      </c>
      <c r="G89" s="60">
        <f>'A1. Data scoring'!J71</f>
        <v/>
      </c>
      <c r="H89" s="60">
        <f>'A1. Data scoring'!K71</f>
        <v/>
      </c>
      <c r="I89" s="60">
        <f>'A1. Data scoring'!M71</f>
        <v/>
      </c>
      <c r="R89" s="61" t="n"/>
    </row>
    <row r="90" ht="60" customHeight="1">
      <c r="B90" s="59" t="inlineStr">
        <is>
          <t>TR2(d)</t>
        </is>
      </c>
      <c r="D90" s="13" t="inlineStr">
        <is>
          <t>OPTION 1:  Target-level reporting</t>
        </is>
      </c>
      <c r="E90" s="60">
        <f>'A1. Data scoring'!H72</f>
        <v/>
      </c>
      <c r="F90" s="60">
        <f>'A1. Data scoring'!I72</f>
        <v/>
      </c>
      <c r="G90" s="60">
        <f>'A1. Data scoring'!J72</f>
        <v/>
      </c>
      <c r="H90" s="60">
        <f>'A1. Data scoring'!K72</f>
        <v/>
      </c>
      <c r="I90" s="60">
        <f>'A1. Data scoring'!M72</f>
        <v/>
      </c>
      <c r="R90" s="61" t="n"/>
    </row>
    <row r="91" ht="60" customHeight="1">
      <c r="B91" s="59" t="inlineStr">
        <is>
          <t>TR2(d)</t>
        </is>
      </c>
      <c r="D91" s="13" t="inlineStr">
        <is>
          <t>OPTION 2:  Indicator level reporting</t>
        </is>
      </c>
      <c r="E91" s="60">
        <f>'A1. Data scoring'!H73</f>
        <v/>
      </c>
      <c r="F91" s="60">
        <f>'A1. Data scoring'!I73</f>
        <v/>
      </c>
      <c r="G91" s="60">
        <f>'A1. Data scoring'!J73</f>
        <v/>
      </c>
      <c r="H91" s="60">
        <f>'A1. Data scoring'!K73</f>
        <v/>
      </c>
      <c r="I91" s="60">
        <f>'A1. Data scoring'!M73</f>
        <v/>
      </c>
      <c r="R91" s="61" t="n"/>
    </row>
    <row r="92" ht="18" customHeight="1">
      <c r="B92" s="59" t="inlineStr">
        <is>
          <t>TR2(d)</t>
        </is>
      </c>
      <c r="D92" s="13" t="inlineStr">
        <is>
          <t>Supporting information/comments</t>
        </is>
      </c>
      <c r="E92" s="60">
        <f>'A1. Data scoring'!H74</f>
        <v/>
      </c>
      <c r="F92" s="60">
        <f>'A1. Data scoring'!I74</f>
        <v/>
      </c>
      <c r="G92" s="60">
        <f>'A1. Data scoring'!J74</f>
        <v/>
      </c>
      <c r="H92" s="60">
        <f>'A1. Data scoring'!K74</f>
        <v/>
      </c>
      <c r="I92" s="60">
        <f>'A1. Data scoring'!M74</f>
        <v/>
      </c>
      <c r="R92" s="61" t="n"/>
    </row>
    <row r="93" ht="18" customHeight="1">
      <c r="B93" s="59" t="inlineStr">
        <is>
          <t>TR2(d)</t>
        </is>
      </c>
      <c r="D93" s="13" t="inlineStr">
        <is>
          <t>Data source and limitations</t>
        </is>
      </c>
      <c r="E93" s="60">
        <f>'A1. Data scoring'!H75</f>
        <v/>
      </c>
      <c r="F93" s="60">
        <f>'A1. Data scoring'!I75</f>
        <v/>
      </c>
      <c r="G93" s="60">
        <f>'A1. Data scoring'!J75</f>
        <v/>
      </c>
      <c r="H93" s="60">
        <f>'A1. Data scoring'!K75</f>
        <v/>
      </c>
      <c r="I93" s="60">
        <f>'A1. Data scoring'!M75</f>
        <v/>
      </c>
      <c r="R93" s="61" t="n"/>
    </row>
    <row r="94" ht="18" customHeight="1">
      <c r="B94" s="59" t="inlineStr">
        <is>
          <t>TR2(d)</t>
        </is>
      </c>
      <c r="D94" s="13" t="inlineStr">
        <is>
          <t>Data owner confirms</t>
        </is>
      </c>
      <c r="E94" s="60">
        <f>'A1. Data scoring'!H76</f>
        <v/>
      </c>
      <c r="F94" s="60">
        <f>'A1. Data scoring'!I76</f>
        <v/>
      </c>
      <c r="G94" s="60">
        <f>'A1. Data scoring'!J76</f>
        <v/>
      </c>
      <c r="H94" s="60">
        <f>'A1. Data scoring'!K76</f>
        <v/>
      </c>
      <c r="I94" s="60">
        <f>'A1. Data scoring'!M76</f>
        <v/>
      </c>
      <c r="R94" s="62" t="n"/>
    </row>
    <row r="96">
      <c r="B96" s="7" t="inlineStr">
        <is>
          <t>TR3(a)</t>
        </is>
      </c>
      <c r="C96" s="51" t="inlineStr">
        <is>
          <t>Evidence that sustainability considerations are integrated into relevant research systems, planning processes, guidance, training, induction or support services</t>
        </is>
      </c>
      <c r="D96" s="57" t="inlineStr">
        <is>
          <t>Unit</t>
        </is>
      </c>
      <c r="E96" s="57" t="inlineStr">
        <is>
          <t>MRE – Research</t>
        </is>
      </c>
      <c r="P96" s="58">
        <f>'A1. Data scoring'!AH77</f>
        <v/>
      </c>
      <c r="Q96" s="58">
        <f>'A1. Data scoring'!AK77</f>
        <v/>
      </c>
      <c r="R96" s="8" t="n"/>
    </row>
    <row r="97" ht="18" customHeight="1">
      <c r="B97" s="59" t="inlineStr">
        <is>
          <t>TR3(a)</t>
        </is>
      </c>
      <c r="D97" s="13" t="inlineStr">
        <is>
          <t>Confirm end-2026 target status</t>
        </is>
      </c>
      <c r="E97" s="60">
        <f>'A1. Data scoring'!R77</f>
        <v/>
      </c>
      <c r="R97" s="61" t="n"/>
    </row>
    <row r="98" ht="60" customHeight="1">
      <c r="B98" s="59" t="inlineStr">
        <is>
          <t>TR3(a)</t>
        </is>
      </c>
      <c r="D98" s="13" t="inlineStr">
        <is>
          <t>OPTION 1:  Target-level reporting</t>
        </is>
      </c>
      <c r="E98" s="60">
        <f>'A1. Data scoring'!R78</f>
        <v/>
      </c>
      <c r="R98" s="61" t="n"/>
    </row>
    <row r="99" ht="60" customHeight="1">
      <c r="B99" s="59" t="inlineStr">
        <is>
          <t>TR3(a)</t>
        </is>
      </c>
      <c r="D99" s="13" t="inlineStr">
        <is>
          <t>OPTION 2:  Indicator level reporting</t>
        </is>
      </c>
      <c r="E99" s="60">
        <f>'A1. Data scoring'!R79</f>
        <v/>
      </c>
      <c r="R99" s="61" t="n"/>
    </row>
    <row r="100" ht="18" customHeight="1">
      <c r="B100" s="59" t="inlineStr">
        <is>
          <t>TR3(a)</t>
        </is>
      </c>
      <c r="D100" s="13" t="inlineStr">
        <is>
          <t>Supporting information/comments</t>
        </is>
      </c>
      <c r="E100" s="60">
        <f>'A1. Data scoring'!R80</f>
        <v/>
      </c>
      <c r="R100" s="61" t="n"/>
    </row>
    <row r="101" ht="18" customHeight="1">
      <c r="B101" s="59" t="inlineStr">
        <is>
          <t>TR3(a)</t>
        </is>
      </c>
      <c r="D101" s="13" t="inlineStr">
        <is>
          <t>Data source and limitations</t>
        </is>
      </c>
      <c r="E101" s="60">
        <f>'A1. Data scoring'!R81</f>
        <v/>
      </c>
      <c r="R101" s="61" t="n"/>
    </row>
    <row r="102" ht="18" customHeight="1">
      <c r="B102" s="59" t="inlineStr">
        <is>
          <t>TR3(a)</t>
        </is>
      </c>
      <c r="D102" s="13" t="inlineStr">
        <is>
          <t>Data owner confirms</t>
        </is>
      </c>
      <c r="E102" s="60">
        <f>'A1. Data scoring'!R82</f>
        <v/>
      </c>
      <c r="R102" s="62" t="n"/>
    </row>
    <row r="104">
      <c r="B104" s="7" t="inlineStr">
        <is>
          <t>TR3(b)</t>
        </is>
      </c>
      <c r="C104" s="51" t="inlineStr">
        <is>
          <t>Demonstrated examples of more sustainable research practices in laboratories, fieldwork, procurement, travel or infrastructure use</t>
        </is>
      </c>
      <c r="D104" s="57" t="inlineStr">
        <is>
          <t>Unit</t>
        </is>
      </c>
      <c r="E104" s="57" t="inlineStr">
        <is>
          <t>ABP</t>
        </is>
      </c>
      <c r="F104" s="57" t="inlineStr">
        <is>
          <t>ARTS</t>
        </is>
      </c>
      <c r="G104" s="57" t="inlineStr">
        <is>
          <t>FBE</t>
        </is>
      </c>
      <c r="H104" s="57" t="inlineStr">
        <is>
          <t>SCI</t>
        </is>
      </c>
      <c r="I104" s="57" t="inlineStr">
        <is>
          <t>CI&amp;S – Sustainability Strategy</t>
        </is>
      </c>
      <c r="J104" s="57" t="inlineStr">
        <is>
          <t>CFOG – Procurement</t>
        </is>
      </c>
      <c r="P104" s="58">
        <f>'A1. Data scoring'!AH83</f>
        <v/>
      </c>
      <c r="Q104" s="58">
        <f>'A1. Data scoring'!AK83</f>
        <v/>
      </c>
      <c r="R104" s="8" t="n"/>
    </row>
    <row r="105" ht="18" customHeight="1">
      <c r="B105" s="59" t="inlineStr">
        <is>
          <t>TR3(b)</t>
        </is>
      </c>
      <c r="D105" s="13" t="inlineStr">
        <is>
          <t>Confirm end-2026 target status</t>
        </is>
      </c>
      <c r="E105" s="60">
        <f>'A1. Data scoring'!H83</f>
        <v/>
      </c>
      <c r="F105" s="60">
        <f>'A1. Data scoring'!I83</f>
        <v/>
      </c>
      <c r="G105" s="60">
        <f>'A1. Data scoring'!J83</f>
        <v/>
      </c>
      <c r="H105" s="60">
        <f>'A1. Data scoring'!K83</f>
        <v/>
      </c>
      <c r="I105" s="60">
        <f>'A1. Data scoring'!M83</f>
        <v/>
      </c>
      <c r="J105" s="60">
        <f>'A1. Data scoring'!N83</f>
        <v/>
      </c>
      <c r="R105" s="61" t="n"/>
    </row>
    <row r="106" ht="60" customHeight="1">
      <c r="B106" s="59" t="inlineStr">
        <is>
          <t>TR3(b)</t>
        </is>
      </c>
      <c r="D106" s="13" t="inlineStr">
        <is>
          <t>OPTION 1:  Target-level reporting</t>
        </is>
      </c>
      <c r="E106" s="60">
        <f>'A1. Data scoring'!H84</f>
        <v/>
      </c>
      <c r="F106" s="60">
        <f>'A1. Data scoring'!I84</f>
        <v/>
      </c>
      <c r="G106" s="60">
        <f>'A1. Data scoring'!J84</f>
        <v/>
      </c>
      <c r="H106" s="60">
        <f>'A1. Data scoring'!K84</f>
        <v/>
      </c>
      <c r="I106" s="60">
        <f>'A1. Data scoring'!M84</f>
        <v/>
      </c>
      <c r="J106" s="60">
        <f>'A1. Data scoring'!N84</f>
        <v/>
      </c>
      <c r="R106" s="61" t="n"/>
    </row>
    <row r="107" ht="60" customHeight="1">
      <c r="B107" s="59" t="inlineStr">
        <is>
          <t>TR3(b)</t>
        </is>
      </c>
      <c r="D107" s="13" t="inlineStr">
        <is>
          <t>OPTION 2:  Indicator level reporting</t>
        </is>
      </c>
      <c r="E107" s="60">
        <f>'A1. Data scoring'!H85</f>
        <v/>
      </c>
      <c r="F107" s="60">
        <f>'A1. Data scoring'!I85</f>
        <v/>
      </c>
      <c r="G107" s="60">
        <f>'A1. Data scoring'!J85</f>
        <v/>
      </c>
      <c r="H107" s="60">
        <f>'A1. Data scoring'!K85</f>
        <v/>
      </c>
      <c r="I107" s="60">
        <f>'A1. Data scoring'!M85</f>
        <v/>
      </c>
      <c r="J107" s="60">
        <f>'A1. Data scoring'!N85</f>
        <v/>
      </c>
      <c r="R107" s="61" t="n"/>
    </row>
    <row r="108" ht="18" customHeight="1">
      <c r="B108" s="59" t="inlineStr">
        <is>
          <t>TR3(b)</t>
        </is>
      </c>
      <c r="D108" s="13" t="inlineStr">
        <is>
          <t>Supporting information/comments</t>
        </is>
      </c>
      <c r="E108" s="60">
        <f>'A1. Data scoring'!H86</f>
        <v/>
      </c>
      <c r="F108" s="60">
        <f>'A1. Data scoring'!I86</f>
        <v/>
      </c>
      <c r="G108" s="60">
        <f>'A1. Data scoring'!J86</f>
        <v/>
      </c>
      <c r="H108" s="60">
        <f>'A1. Data scoring'!K86</f>
        <v/>
      </c>
      <c r="I108" s="60">
        <f>'A1. Data scoring'!M86</f>
        <v/>
      </c>
      <c r="J108" s="60">
        <f>'A1. Data scoring'!N86</f>
        <v/>
      </c>
      <c r="R108" s="61" t="n"/>
    </row>
    <row r="109" ht="18" customHeight="1">
      <c r="B109" s="59" t="inlineStr">
        <is>
          <t>TR3(b)</t>
        </is>
      </c>
      <c r="D109" s="13" t="inlineStr">
        <is>
          <t>Data source and limitations</t>
        </is>
      </c>
      <c r="E109" s="60">
        <f>'A1. Data scoring'!H87</f>
        <v/>
      </c>
      <c r="F109" s="60">
        <f>'A1. Data scoring'!I87</f>
        <v/>
      </c>
      <c r="G109" s="60">
        <f>'A1. Data scoring'!J87</f>
        <v/>
      </c>
      <c r="H109" s="60">
        <f>'A1. Data scoring'!K87</f>
        <v/>
      </c>
      <c r="I109" s="60">
        <f>'A1. Data scoring'!M87</f>
        <v/>
      </c>
      <c r="J109" s="60">
        <f>'A1. Data scoring'!N87</f>
        <v/>
      </c>
      <c r="R109" s="61" t="n"/>
    </row>
    <row r="110" ht="18" customHeight="1">
      <c r="B110" s="59" t="inlineStr">
        <is>
          <t>TR3(b)</t>
        </is>
      </c>
      <c r="D110" s="13" t="inlineStr">
        <is>
          <t>Data owner confirms</t>
        </is>
      </c>
      <c r="E110" s="60">
        <f>'A1. Data scoring'!H88</f>
        <v/>
      </c>
      <c r="F110" s="60">
        <f>'A1. Data scoring'!I88</f>
        <v/>
      </c>
      <c r="G110" s="60">
        <f>'A1. Data scoring'!J88</f>
        <v/>
      </c>
      <c r="H110" s="60">
        <f>'A1. Data scoring'!K88</f>
        <v/>
      </c>
      <c r="I110" s="60">
        <f>'A1. Data scoring'!M88</f>
        <v/>
      </c>
      <c r="J110" s="60">
        <f>'A1. Data scoring'!N88</f>
        <v/>
      </c>
      <c r="R110" s="62" t="n"/>
    </row>
    <row r="112">
      <c r="B112" s="7" t="inlineStr">
        <is>
          <t>TR3(c)</t>
        </is>
      </c>
      <c r="C112" s="51" t="inlineStr">
        <is>
          <t>Evidence of progress in sustainability-related research culture, capability and awareness, informed by periodic staff and graduate researcher surveys</t>
        </is>
      </c>
      <c r="D112" s="57" t="inlineStr">
        <is>
          <t>Unit</t>
        </is>
      </c>
      <c r="E112" s="57" t="inlineStr">
        <is>
          <t>MRE – Research</t>
        </is>
      </c>
      <c r="P112" s="58">
        <f>'A1. Data scoring'!AH89</f>
        <v/>
      </c>
      <c r="Q112" s="58">
        <f>'A1. Data scoring'!AK89</f>
        <v/>
      </c>
      <c r="R112" s="8" t="n"/>
    </row>
    <row r="113" ht="18" customHeight="1">
      <c r="B113" s="59" t="inlineStr">
        <is>
          <t>TR3(c)</t>
        </is>
      </c>
      <c r="D113" s="13" t="inlineStr">
        <is>
          <t>Confirm end-2026 target status</t>
        </is>
      </c>
      <c r="E113" s="60">
        <f>'A1. Data scoring'!R89</f>
        <v/>
      </c>
      <c r="R113" s="61" t="n"/>
    </row>
    <row r="114" ht="60" customHeight="1">
      <c r="B114" s="59" t="inlineStr">
        <is>
          <t>TR3(c)</t>
        </is>
      </c>
      <c r="D114" s="13" t="inlineStr">
        <is>
          <t>OPTION 1:  Target-level reporting</t>
        </is>
      </c>
      <c r="E114" s="60">
        <f>'A1. Data scoring'!R90</f>
        <v/>
      </c>
      <c r="R114" s="61" t="n"/>
    </row>
    <row r="115" ht="60" customHeight="1">
      <c r="B115" s="59" t="inlineStr">
        <is>
          <t>TR3(c)</t>
        </is>
      </c>
      <c r="D115" s="13" t="inlineStr">
        <is>
          <t>OPTION 2:  Indicator level reporting</t>
        </is>
      </c>
      <c r="E115" s="60">
        <f>'A1. Data scoring'!R91</f>
        <v/>
      </c>
      <c r="R115" s="61" t="n"/>
    </row>
    <row r="116" ht="18" customHeight="1">
      <c r="B116" s="59" t="inlineStr">
        <is>
          <t>TR3(c)</t>
        </is>
      </c>
      <c r="D116" s="13" t="inlineStr">
        <is>
          <t>Supporting information/comments</t>
        </is>
      </c>
      <c r="E116" s="60">
        <f>'A1. Data scoring'!R92</f>
        <v/>
      </c>
      <c r="R116" s="61" t="n"/>
    </row>
    <row r="117" ht="18" customHeight="1">
      <c r="B117" s="59" t="inlineStr">
        <is>
          <t>TR3(c)</t>
        </is>
      </c>
      <c r="D117" s="13" t="inlineStr">
        <is>
          <t>Data source and limitations</t>
        </is>
      </c>
      <c r="E117" s="60">
        <f>'A1. Data scoring'!R93</f>
        <v/>
      </c>
      <c r="R117" s="61" t="n"/>
    </row>
    <row r="118" ht="18" customHeight="1">
      <c r="B118" s="59" t="inlineStr">
        <is>
          <t>TR3(c)</t>
        </is>
      </c>
      <c r="D118" s="13" t="inlineStr">
        <is>
          <t>Data owner confirms</t>
        </is>
      </c>
      <c r="E118" s="60">
        <f>'A1. Data scoring'!R94</f>
        <v/>
      </c>
      <c r="R118" s="62" t="n"/>
    </row>
    <row r="120">
      <c r="B120" s="7" t="inlineStr">
        <is>
          <t>TR3(d)</t>
        </is>
      </c>
      <c r="C120" s="51" t="inlineStr">
        <is>
          <t>Expert assessment of progress in embedding sustainable research practices across the institution.</t>
        </is>
      </c>
      <c r="D120" s="57" t="inlineStr">
        <is>
          <t>Unit</t>
        </is>
      </c>
      <c r="E120" s="57" t="inlineStr">
        <is>
          <t>MRE – Research</t>
        </is>
      </c>
      <c r="P120" s="58">
        <f>'A1. Data scoring'!AH95</f>
        <v/>
      </c>
      <c r="Q120" s="58">
        <f>'A1. Data scoring'!AK95</f>
        <v/>
      </c>
      <c r="R120" s="8" t="n"/>
    </row>
    <row r="121" ht="18" customHeight="1">
      <c r="B121" s="59" t="inlineStr">
        <is>
          <t>TR3(d)</t>
        </is>
      </c>
      <c r="D121" s="13" t="inlineStr">
        <is>
          <t>Confirm end-2026 target status</t>
        </is>
      </c>
      <c r="E121" s="60">
        <f>'A1. Data scoring'!R95</f>
        <v/>
      </c>
      <c r="R121" s="61" t="n"/>
    </row>
    <row r="122" ht="60" customHeight="1">
      <c r="B122" s="59" t="inlineStr">
        <is>
          <t>TR3(d)</t>
        </is>
      </c>
      <c r="D122" s="13" t="inlineStr">
        <is>
          <t>OPTION 1:  Target-level reporting</t>
        </is>
      </c>
      <c r="E122" s="60">
        <f>'A1. Data scoring'!R96</f>
        <v/>
      </c>
      <c r="R122" s="61" t="n"/>
    </row>
    <row r="123" ht="60" customHeight="1">
      <c r="B123" s="59" t="inlineStr">
        <is>
          <t>TR3(d)</t>
        </is>
      </c>
      <c r="D123" s="13" t="inlineStr">
        <is>
          <t>OPTION 2:  Indicator level reporting</t>
        </is>
      </c>
      <c r="E123" s="60">
        <f>'A1. Data scoring'!R97</f>
        <v/>
      </c>
      <c r="R123" s="61" t="n"/>
    </row>
    <row r="124" ht="18" customHeight="1">
      <c r="B124" s="59" t="inlineStr">
        <is>
          <t>TR3(d)</t>
        </is>
      </c>
      <c r="D124" s="13" t="inlineStr">
        <is>
          <t>Supporting information/comments</t>
        </is>
      </c>
      <c r="E124" s="60">
        <f>'A1. Data scoring'!R98</f>
        <v/>
      </c>
      <c r="R124" s="61" t="n"/>
    </row>
    <row r="125" ht="18" customHeight="1">
      <c r="B125" s="59" t="inlineStr">
        <is>
          <t>TR3(d)</t>
        </is>
      </c>
      <c r="D125" s="13" t="inlineStr">
        <is>
          <t>Data source and limitations</t>
        </is>
      </c>
      <c r="E125" s="60">
        <f>'A1. Data scoring'!R99</f>
        <v/>
      </c>
      <c r="R125" s="61" t="n"/>
    </row>
    <row r="126" ht="18" customHeight="1">
      <c r="B126" s="59" t="inlineStr">
        <is>
          <t>TR3(d)</t>
        </is>
      </c>
      <c r="D126" s="13" t="inlineStr">
        <is>
          <t>Data owner confirms</t>
        </is>
      </c>
      <c r="E126" s="60">
        <f>'A1. Data scoring'!R100</f>
        <v/>
      </c>
      <c r="R126" s="62" t="n"/>
    </row>
    <row r="128">
      <c r="B128" s="7" t="inlineStr">
        <is>
          <t>CL1(c)</t>
        </is>
      </c>
      <c r="C128" s="51" t="inlineStr">
        <is>
          <t>Review of Climate Leadership targets by 2030.[2]</t>
        </is>
      </c>
      <c r="D128" s="57" t="inlineStr">
        <is>
          <t>Unit</t>
        </is>
      </c>
      <c r="E128" s="57" t="inlineStr">
        <is>
          <t>CI&amp;S – Sustainability Strategy</t>
        </is>
      </c>
      <c r="P128" s="58">
        <f>'A1. Data scoring'!AH101</f>
        <v/>
      </c>
      <c r="Q128" s="58">
        <f>'A1. Data scoring'!AK101</f>
        <v/>
      </c>
      <c r="R128" s="8" t="n"/>
    </row>
    <row r="129" ht="18" customHeight="1">
      <c r="B129" s="59" t="inlineStr">
        <is>
          <t>CL1(c)</t>
        </is>
      </c>
      <c r="D129" s="13" t="inlineStr">
        <is>
          <t>Confirm end-2026 target status</t>
        </is>
      </c>
      <c r="E129" s="60">
        <f>'A1. Data scoring'!M101</f>
        <v/>
      </c>
      <c r="R129" s="61" t="n"/>
    </row>
    <row r="130" ht="60" customHeight="1">
      <c r="B130" s="59" t="inlineStr">
        <is>
          <t>CL1(c)</t>
        </is>
      </c>
      <c r="D130" s="13" t="inlineStr">
        <is>
          <t>OPTION 1:  Target-level reporting</t>
        </is>
      </c>
      <c r="E130" s="60">
        <f>'A1. Data scoring'!M102</f>
        <v/>
      </c>
      <c r="R130" s="61" t="n"/>
    </row>
    <row r="131" ht="60" customHeight="1">
      <c r="B131" s="59" t="inlineStr">
        <is>
          <t>CL1(c)</t>
        </is>
      </c>
      <c r="D131" s="13" t="inlineStr">
        <is>
          <t>OPTION 2:  Indicator level reporting</t>
        </is>
      </c>
      <c r="E131" s="60">
        <f>'A1. Data scoring'!M103</f>
        <v/>
      </c>
      <c r="R131" s="61" t="n"/>
    </row>
    <row r="132" ht="18" customHeight="1">
      <c r="B132" s="59" t="inlineStr">
        <is>
          <t>CL1(c)</t>
        </is>
      </c>
      <c r="D132" s="13" t="inlineStr">
        <is>
          <t>Supporting information/comments</t>
        </is>
      </c>
      <c r="E132" s="60">
        <f>'A1. Data scoring'!M104</f>
        <v/>
      </c>
      <c r="R132" s="61" t="n"/>
    </row>
    <row r="133" ht="18" customHeight="1">
      <c r="B133" s="59" t="inlineStr">
        <is>
          <t>CL1(c)</t>
        </is>
      </c>
      <c r="D133" s="13" t="inlineStr">
        <is>
          <t>Data source and limitations</t>
        </is>
      </c>
      <c r="E133" s="60">
        <f>'A1. Data scoring'!M105</f>
        <v/>
      </c>
      <c r="R133" s="61" t="n"/>
    </row>
    <row r="134" ht="18" customHeight="1">
      <c r="B134" s="59" t="inlineStr">
        <is>
          <t>CL1(c)</t>
        </is>
      </c>
      <c r="D134" s="13" t="inlineStr">
        <is>
          <t>Data owner confirms</t>
        </is>
      </c>
      <c r="E134" s="60">
        <f>'A1. Data scoring'!M106</f>
        <v/>
      </c>
      <c r="R134" s="62" t="n"/>
    </row>
    <row r="136">
      <c r="B136" s="7" t="inlineStr">
        <is>
          <t>CL2(a)</t>
        </is>
      </c>
      <c r="C136" s="51" t="inlineStr">
        <is>
          <t>By 2028, develop and document institutional mapping of research and education activities that are designed to contribute to global decarbonisation</t>
        </is>
      </c>
      <c r="D136" s="57" t="inlineStr">
        <is>
          <t>Unit</t>
        </is>
      </c>
      <c r="E136" s="57" t="inlineStr">
        <is>
          <t>AC&amp;M – Advancement, Communication and Marketing</t>
        </is>
      </c>
      <c r="P136" s="58">
        <f>'A1. Data scoring'!AH107</f>
        <v/>
      </c>
      <c r="Q136" s="58">
        <f>'A1. Data scoring'!AK107</f>
        <v/>
      </c>
      <c r="R136" s="8" t="n"/>
    </row>
    <row r="137" ht="18" customHeight="1">
      <c r="B137" s="59" t="inlineStr">
        <is>
          <t>CL2(a)</t>
        </is>
      </c>
      <c r="D137" s="13" t="inlineStr">
        <is>
          <t>Confirm end-2026 target status</t>
        </is>
      </c>
      <c r="E137" s="60">
        <f>'A1. Data scoring'!S107</f>
        <v/>
      </c>
      <c r="R137" s="61" t="n"/>
    </row>
    <row r="138" ht="60" customHeight="1">
      <c r="B138" s="59" t="inlineStr">
        <is>
          <t>CL2(a)</t>
        </is>
      </c>
      <c r="D138" s="13" t="inlineStr">
        <is>
          <t>OPTION 1:  Target-level reporting</t>
        </is>
      </c>
      <c r="E138" s="60">
        <f>'A1. Data scoring'!S108</f>
        <v/>
      </c>
      <c r="R138" s="61" t="n"/>
    </row>
    <row r="139" ht="60" customHeight="1">
      <c r="B139" s="59" t="inlineStr">
        <is>
          <t>CL2(a)</t>
        </is>
      </c>
      <c r="D139" s="13" t="inlineStr">
        <is>
          <t>OPTION 2:  Indicator level reporting</t>
        </is>
      </c>
      <c r="E139" s="60">
        <f>'A1. Data scoring'!S109</f>
        <v/>
      </c>
      <c r="R139" s="61" t="n"/>
    </row>
    <row r="140" ht="18" customHeight="1">
      <c r="B140" s="59" t="inlineStr">
        <is>
          <t>CL2(a)</t>
        </is>
      </c>
      <c r="D140" s="13" t="inlineStr">
        <is>
          <t>Supporting information/comments</t>
        </is>
      </c>
      <c r="E140" s="60">
        <f>'A1. Data scoring'!S110</f>
        <v/>
      </c>
      <c r="R140" s="61" t="n"/>
    </row>
    <row r="141" ht="18" customHeight="1">
      <c r="B141" s="59" t="inlineStr">
        <is>
          <t>CL2(a)</t>
        </is>
      </c>
      <c r="D141" s="13" t="inlineStr">
        <is>
          <t>Data source and limitations</t>
        </is>
      </c>
      <c r="E141" s="60">
        <f>'A1. Data scoring'!S111</f>
        <v/>
      </c>
      <c r="R141" s="61" t="n"/>
    </row>
    <row r="142" ht="18" customHeight="1">
      <c r="B142" s="59" t="inlineStr">
        <is>
          <t>CL2(a)</t>
        </is>
      </c>
      <c r="D142" s="13" t="inlineStr">
        <is>
          <t>Data owner confirms</t>
        </is>
      </c>
      <c r="E142" s="60">
        <f>'A1. Data scoring'!S112</f>
        <v/>
      </c>
      <c r="R142" s="62" t="n"/>
    </row>
    <row r="144">
      <c r="B144" s="7" t="inlineStr">
        <is>
          <t>CL2(c)</t>
        </is>
      </c>
      <c r="C144" s="51" t="inlineStr">
        <is>
          <t>Ongoing communications that evidence the University’s climate action, research and learning to inform policy, sector and community decarbonisation efforts.</t>
        </is>
      </c>
      <c r="D144" s="57" t="inlineStr">
        <is>
          <t>Unit</t>
        </is>
      </c>
      <c r="E144" s="57" t="inlineStr">
        <is>
          <t>AC&amp;M – Advancement, Communication and Marketing</t>
        </is>
      </c>
      <c r="P144" s="58">
        <f>'A1. Data scoring'!AH113</f>
        <v/>
      </c>
      <c r="Q144" s="58">
        <f>'A1. Data scoring'!AK113</f>
        <v/>
      </c>
      <c r="R144" s="8" t="n"/>
    </row>
    <row r="145" ht="18" customHeight="1">
      <c r="B145" s="59" t="inlineStr">
        <is>
          <t>CL2(c)</t>
        </is>
      </c>
      <c r="D145" s="13" t="inlineStr">
        <is>
          <t>Confirm end-2026 target status</t>
        </is>
      </c>
      <c r="E145" s="60">
        <f>'A1. Data scoring'!S113</f>
        <v/>
      </c>
      <c r="R145" s="61" t="n"/>
    </row>
    <row r="146" ht="60" customHeight="1">
      <c r="B146" s="59" t="inlineStr">
        <is>
          <t>CL2(c)</t>
        </is>
      </c>
      <c r="D146" s="13" t="inlineStr">
        <is>
          <t>OPTION 1:  Target-level reporting</t>
        </is>
      </c>
      <c r="E146" s="60">
        <f>'A1. Data scoring'!S114</f>
        <v/>
      </c>
      <c r="R146" s="61" t="n"/>
    </row>
    <row r="147" ht="60" customHeight="1">
      <c r="B147" s="59" t="inlineStr">
        <is>
          <t>CL2(c)</t>
        </is>
      </c>
      <c r="D147" s="13" t="inlineStr">
        <is>
          <t>OPTION 2:  Indicator level reporting</t>
        </is>
      </c>
      <c r="E147" s="60">
        <f>'A1. Data scoring'!S115</f>
        <v/>
      </c>
      <c r="R147" s="61" t="n"/>
    </row>
    <row r="148" ht="18" customHeight="1">
      <c r="B148" s="59" t="inlineStr">
        <is>
          <t>CL2(c)</t>
        </is>
      </c>
      <c r="D148" s="13" t="inlineStr">
        <is>
          <t>Supporting information/comments</t>
        </is>
      </c>
      <c r="E148" s="60">
        <f>'A1. Data scoring'!S116</f>
        <v/>
      </c>
      <c r="R148" s="61" t="n"/>
    </row>
    <row r="149" ht="18" customHeight="1">
      <c r="B149" s="59" t="inlineStr">
        <is>
          <t>CL2(c)</t>
        </is>
      </c>
      <c r="D149" s="13" t="inlineStr">
        <is>
          <t>Data source and limitations</t>
        </is>
      </c>
      <c r="E149" s="60">
        <f>'A1. Data scoring'!S117</f>
        <v/>
      </c>
      <c r="R149" s="61" t="n"/>
    </row>
    <row r="150" ht="18" customHeight="1">
      <c r="B150" s="59" t="inlineStr">
        <is>
          <t>CL2(c)</t>
        </is>
      </c>
      <c r="D150" s="13" t="inlineStr">
        <is>
          <t>Data owner confirms</t>
        </is>
      </c>
      <c r="E150" s="60">
        <f>'A1. Data scoring'!S118</f>
        <v/>
      </c>
      <c r="R150" s="62" t="n"/>
    </row>
    <row r="152">
      <c r="B152" s="7" t="inlineStr">
        <is>
          <t>CL3(a)</t>
        </is>
      </c>
      <c r="C152" s="51"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D152" s="57" t="inlineStr">
        <is>
          <t>Unit</t>
        </is>
      </c>
      <c r="E152" s="57" t="inlineStr">
        <is>
          <t>CI&amp;S – Estate Planning &amp; Development</t>
        </is>
      </c>
      <c r="F152" s="57" t="inlineStr">
        <is>
          <t>Legal &amp; Risk – Risk &amp; resilience</t>
        </is>
      </c>
      <c r="P152" s="58">
        <f>'A1. Data scoring'!AH119</f>
        <v/>
      </c>
      <c r="Q152" s="58">
        <f>'A1. Data scoring'!AK119</f>
        <v/>
      </c>
      <c r="R152" s="8" t="n"/>
    </row>
    <row r="153" ht="18" customHeight="1">
      <c r="B153" s="59" t="inlineStr">
        <is>
          <t>CL3(a)</t>
        </is>
      </c>
      <c r="D153" s="13" t="inlineStr">
        <is>
          <t>Confirm end-2026 target status</t>
        </is>
      </c>
      <c r="E153" s="60">
        <f>'A1. Data scoring'!L119</f>
        <v/>
      </c>
      <c r="F153" s="60">
        <f>'A1. Data scoring'!X119</f>
        <v/>
      </c>
      <c r="R153" s="61" t="n"/>
    </row>
    <row r="154" ht="60" customHeight="1">
      <c r="B154" s="59" t="inlineStr">
        <is>
          <t>CL3(a)</t>
        </is>
      </c>
      <c r="D154" s="13" t="inlineStr">
        <is>
          <t>OPTION 1:  Target-level reporting</t>
        </is>
      </c>
      <c r="E154" s="60">
        <f>'A1. Data scoring'!L120</f>
        <v/>
      </c>
      <c r="F154" s="60">
        <f>'A1. Data scoring'!X120</f>
        <v/>
      </c>
      <c r="R154" s="61" t="n"/>
    </row>
    <row r="155" ht="60" customHeight="1">
      <c r="B155" s="59" t="inlineStr">
        <is>
          <t>CL3(a)</t>
        </is>
      </c>
      <c r="D155" s="13" t="inlineStr">
        <is>
          <t>OPTION 2:  Indicator level reporting</t>
        </is>
      </c>
      <c r="E155" s="60">
        <f>'A1. Data scoring'!L121</f>
        <v/>
      </c>
      <c r="F155" s="60">
        <f>'A1. Data scoring'!X121</f>
        <v/>
      </c>
      <c r="R155" s="61" t="n"/>
    </row>
    <row r="156" ht="18" customHeight="1">
      <c r="B156" s="59" t="inlineStr">
        <is>
          <t>CL3(a)</t>
        </is>
      </c>
      <c r="D156" s="13" t="inlineStr">
        <is>
          <t>Supporting information/comments</t>
        </is>
      </c>
      <c r="E156" s="60">
        <f>'A1. Data scoring'!L122</f>
        <v/>
      </c>
      <c r="F156" s="60">
        <f>'A1. Data scoring'!X122</f>
        <v/>
      </c>
      <c r="R156" s="61" t="n"/>
    </row>
    <row r="157" ht="18" customHeight="1">
      <c r="B157" s="59" t="inlineStr">
        <is>
          <t>CL3(a)</t>
        </is>
      </c>
      <c r="D157" s="13" t="inlineStr">
        <is>
          <t>Data source and limitations</t>
        </is>
      </c>
      <c r="E157" s="60">
        <f>'A1. Data scoring'!L123</f>
        <v/>
      </c>
      <c r="F157" s="60">
        <f>'A1. Data scoring'!X123</f>
        <v/>
      </c>
      <c r="R157" s="61" t="n"/>
    </row>
    <row r="158" ht="18" customHeight="1">
      <c r="B158" s="59" t="inlineStr">
        <is>
          <t>CL3(a)</t>
        </is>
      </c>
      <c r="D158" s="13" t="inlineStr">
        <is>
          <t>Data owner confirms</t>
        </is>
      </c>
      <c r="E158" s="60">
        <f>'A1. Data scoring'!L124</f>
        <v/>
      </c>
      <c r="F158" s="60">
        <f>'A1. Data scoring'!X124</f>
        <v/>
      </c>
      <c r="R158" s="62" t="n"/>
    </row>
    <row r="160">
      <c r="B160" s="7" t="inlineStr">
        <is>
          <t>NB1(b)</t>
        </is>
      </c>
      <c r="C160" s="51" t="inlineStr">
        <is>
          <t>Size, health and diversity of remnant vegetation at the Dookie and Creswick campuses</t>
        </is>
      </c>
      <c r="D160" s="57" t="inlineStr">
        <is>
          <t>Unit</t>
        </is>
      </c>
      <c r="E160" s="57" t="inlineStr">
        <is>
          <t>ESG – Campus Operations &amp; Sustainability Delivery</t>
        </is>
      </c>
      <c r="P160" s="58">
        <f>'A1. Data scoring'!AH125</f>
        <v/>
      </c>
      <c r="Q160" s="58">
        <f>'A1. Data scoring'!AK125</f>
        <v/>
      </c>
      <c r="R160" s="8" t="n"/>
    </row>
    <row r="161" ht="18" customHeight="1">
      <c r="B161" s="59" t="inlineStr">
        <is>
          <t>NB1(b)</t>
        </is>
      </c>
      <c r="D161" s="13" t="inlineStr">
        <is>
          <t>Confirm end-2026 target status</t>
        </is>
      </c>
      <c r="E161" s="60">
        <f>'A1. Data scoring'!P125</f>
        <v/>
      </c>
      <c r="R161" s="61" t="n"/>
    </row>
    <row r="162" ht="60" customHeight="1">
      <c r="B162" s="59" t="inlineStr">
        <is>
          <t>NB1(b)</t>
        </is>
      </c>
      <c r="D162" s="13" t="inlineStr">
        <is>
          <t>OPTION 1:  Target-level reporting</t>
        </is>
      </c>
      <c r="E162" s="60">
        <f>'A1. Data scoring'!P126</f>
        <v/>
      </c>
      <c r="R162" s="61" t="n"/>
    </row>
    <row r="163" ht="60" customHeight="1">
      <c r="B163" s="59" t="inlineStr">
        <is>
          <t>NB1(b)</t>
        </is>
      </c>
      <c r="D163" s="13" t="inlineStr">
        <is>
          <t>OPTION 2:  Indicator level reporting</t>
        </is>
      </c>
      <c r="E163" s="60">
        <f>'A1. Data scoring'!P127</f>
        <v/>
      </c>
      <c r="R163" s="61" t="n"/>
    </row>
    <row r="164" ht="18" customHeight="1">
      <c r="B164" s="59" t="inlineStr">
        <is>
          <t>NB1(b)</t>
        </is>
      </c>
      <c r="D164" s="13" t="inlineStr">
        <is>
          <t>Supporting information/comments</t>
        </is>
      </c>
      <c r="E164" s="60">
        <f>'A1. Data scoring'!P128</f>
        <v/>
      </c>
      <c r="R164" s="61" t="n"/>
    </row>
    <row r="165" ht="18" customHeight="1">
      <c r="B165" s="59" t="inlineStr">
        <is>
          <t>NB1(b)</t>
        </is>
      </c>
      <c r="D165" s="13" t="inlineStr">
        <is>
          <t>Data source and limitations</t>
        </is>
      </c>
      <c r="E165" s="60">
        <f>'A1. Data scoring'!P129</f>
        <v/>
      </c>
      <c r="R165" s="61" t="n"/>
    </row>
    <row r="166" ht="18" customHeight="1">
      <c r="B166" s="59" t="inlineStr">
        <is>
          <t>NB1(b)</t>
        </is>
      </c>
      <c r="D166" s="13" t="inlineStr">
        <is>
          <t>Data owner confirms</t>
        </is>
      </c>
      <c r="E166" s="60">
        <f>'A1. Data scoring'!P130</f>
        <v/>
      </c>
      <c r="R166" s="62" t="n"/>
    </row>
    <row r="168">
      <c r="B168" s="7" t="inlineStr">
        <is>
          <t>NB1(c)</t>
        </is>
      </c>
      <c r="C168" s="51" t="inlineStr">
        <is>
          <t>Defined quality measurement framework</t>
        </is>
      </c>
      <c r="D168" s="57" t="inlineStr">
        <is>
          <t>Unit</t>
        </is>
      </c>
      <c r="E168" s="57" t="inlineStr">
        <is>
          <t>ESG – Campus Operations &amp; Sustainability Delivery</t>
        </is>
      </c>
      <c r="P168" s="58">
        <f>'A1. Data scoring'!AH131</f>
        <v/>
      </c>
      <c r="Q168" s="58">
        <f>'A1. Data scoring'!AK131</f>
        <v/>
      </c>
      <c r="R168" s="8" t="n"/>
    </row>
    <row r="169" ht="18" customHeight="1">
      <c r="B169" s="59" t="inlineStr">
        <is>
          <t>NB1(c)</t>
        </is>
      </c>
      <c r="D169" s="13" t="inlineStr">
        <is>
          <t>Confirm end-2026 target status</t>
        </is>
      </c>
      <c r="E169" s="60">
        <f>'A1. Data scoring'!P131</f>
        <v/>
      </c>
      <c r="R169" s="61" t="n"/>
    </row>
    <row r="170" ht="60" customHeight="1">
      <c r="B170" s="59" t="inlineStr">
        <is>
          <t>NB1(c)</t>
        </is>
      </c>
      <c r="D170" s="13" t="inlineStr">
        <is>
          <t>OPTION 1:  Target-level reporting</t>
        </is>
      </c>
      <c r="E170" s="60">
        <f>'A1. Data scoring'!P132</f>
        <v/>
      </c>
      <c r="R170" s="61" t="n"/>
    </row>
    <row r="171" ht="60" customHeight="1">
      <c r="B171" s="59" t="inlineStr">
        <is>
          <t>NB1(c)</t>
        </is>
      </c>
      <c r="D171" s="13" t="inlineStr">
        <is>
          <t>OPTION 2:  Indicator level reporting</t>
        </is>
      </c>
      <c r="E171" s="60">
        <f>'A1. Data scoring'!P133</f>
        <v/>
      </c>
      <c r="R171" s="61" t="n"/>
    </row>
    <row r="172" ht="18" customHeight="1">
      <c r="B172" s="59" t="inlineStr">
        <is>
          <t>NB1(c)</t>
        </is>
      </c>
      <c r="D172" s="13" t="inlineStr">
        <is>
          <t>Supporting information/comments</t>
        </is>
      </c>
      <c r="E172" s="60">
        <f>'A1. Data scoring'!P134</f>
        <v/>
      </c>
      <c r="R172" s="61" t="n"/>
    </row>
    <row r="173" ht="18" customHeight="1">
      <c r="B173" s="59" t="inlineStr">
        <is>
          <t>NB1(c)</t>
        </is>
      </c>
      <c r="D173" s="13" t="inlineStr">
        <is>
          <t>Data source and limitations</t>
        </is>
      </c>
      <c r="E173" s="60">
        <f>'A1. Data scoring'!P135</f>
        <v/>
      </c>
      <c r="R173" s="61" t="n"/>
    </row>
    <row r="174" ht="18" customHeight="1">
      <c r="B174" s="59" t="inlineStr">
        <is>
          <t>NB1(c)</t>
        </is>
      </c>
      <c r="D174" s="13" t="inlineStr">
        <is>
          <t>Data owner confirms</t>
        </is>
      </c>
      <c r="E174" s="60">
        <f>'A1. Data scoring'!P136</f>
        <v/>
      </c>
      <c r="R174" s="62" t="n"/>
    </row>
    <row r="176">
      <c r="B176" s="7" t="inlineStr">
        <is>
          <t>NB1(d)</t>
        </is>
      </c>
      <c r="C176" s="51" t="inlineStr">
        <is>
          <t>Defined and quantified campus connectivity</t>
        </is>
      </c>
      <c r="D176" s="57" t="inlineStr">
        <is>
          <t>Unit</t>
        </is>
      </c>
      <c r="E176" s="57" t="inlineStr">
        <is>
          <t>ESG – Campus Operations &amp; Sustainability Delivery</t>
        </is>
      </c>
      <c r="P176" s="58">
        <f>'A1. Data scoring'!AH137</f>
        <v/>
      </c>
      <c r="Q176" s="58">
        <f>'A1. Data scoring'!AK137</f>
        <v/>
      </c>
      <c r="R176" s="8" t="n"/>
    </row>
    <row r="177" ht="18" customHeight="1">
      <c r="B177" s="59" t="inlineStr">
        <is>
          <t>NB1(d)</t>
        </is>
      </c>
      <c r="D177" s="13" t="inlineStr">
        <is>
          <t>Confirm end-2026 target status</t>
        </is>
      </c>
      <c r="E177" s="60">
        <f>'A1. Data scoring'!P137</f>
        <v/>
      </c>
      <c r="R177" s="61" t="n"/>
    </row>
    <row r="178" ht="60" customHeight="1">
      <c r="B178" s="59" t="inlineStr">
        <is>
          <t>NB1(d)</t>
        </is>
      </c>
      <c r="D178" s="13" t="inlineStr">
        <is>
          <t>OPTION 1:  Target-level reporting</t>
        </is>
      </c>
      <c r="E178" s="60">
        <f>'A1. Data scoring'!P138</f>
        <v/>
      </c>
      <c r="R178" s="61" t="n"/>
    </row>
    <row r="179" ht="60" customHeight="1">
      <c r="B179" s="59" t="inlineStr">
        <is>
          <t>NB1(d)</t>
        </is>
      </c>
      <c r="D179" s="13" t="inlineStr">
        <is>
          <t>OPTION 2:  Indicator level reporting</t>
        </is>
      </c>
      <c r="E179" s="60">
        <f>'A1. Data scoring'!P139</f>
        <v/>
      </c>
      <c r="R179" s="61" t="n"/>
    </row>
    <row r="180" ht="18" customHeight="1">
      <c r="B180" s="59" t="inlineStr">
        <is>
          <t>NB1(d)</t>
        </is>
      </c>
      <c r="D180" s="13" t="inlineStr">
        <is>
          <t>Supporting information/comments</t>
        </is>
      </c>
      <c r="E180" s="60">
        <f>'A1. Data scoring'!P140</f>
        <v/>
      </c>
      <c r="R180" s="61" t="n"/>
    </row>
    <row r="181" ht="18" customHeight="1">
      <c r="B181" s="59" t="inlineStr">
        <is>
          <t>NB1(d)</t>
        </is>
      </c>
      <c r="D181" s="13" t="inlineStr">
        <is>
          <t>Data source and limitations</t>
        </is>
      </c>
      <c r="E181" s="60">
        <f>'A1. Data scoring'!P141</f>
        <v/>
      </c>
      <c r="R181" s="61" t="n"/>
    </row>
    <row r="182" ht="18" customHeight="1">
      <c r="B182" s="59" t="inlineStr">
        <is>
          <t>NB1(d)</t>
        </is>
      </c>
      <c r="D182" s="13" t="inlineStr">
        <is>
          <t>Data owner confirms</t>
        </is>
      </c>
      <c r="E182" s="60">
        <f>'A1. Data scoring'!P142</f>
        <v/>
      </c>
      <c r="R182" s="62" t="n"/>
    </row>
    <row r="184">
      <c r="B184" s="7" t="inlineStr">
        <is>
          <t>NB2(a)</t>
        </is>
      </c>
      <c r="C184" s="51" t="inlineStr">
        <is>
          <t>Documented baseline nature footprint analysis</t>
        </is>
      </c>
      <c r="D184" s="57" t="inlineStr">
        <is>
          <t>Unit</t>
        </is>
      </c>
      <c r="E184" s="57" t="inlineStr">
        <is>
          <t>MRE – Research</t>
        </is>
      </c>
      <c r="P184" s="58">
        <f>'A1. Data scoring'!AH143</f>
        <v/>
      </c>
      <c r="Q184" s="58">
        <f>'A1. Data scoring'!AK143</f>
        <v/>
      </c>
      <c r="R184" s="8" t="n"/>
    </row>
    <row r="185" ht="18" customHeight="1">
      <c r="B185" s="59" t="inlineStr">
        <is>
          <t>NB2(a)</t>
        </is>
      </c>
      <c r="D185" s="13" t="inlineStr">
        <is>
          <t>Confirm end-2026 target status</t>
        </is>
      </c>
      <c r="E185" s="60">
        <f>'A1. Data scoring'!R143</f>
        <v/>
      </c>
      <c r="R185" s="61" t="n"/>
    </row>
    <row r="186" ht="60" customHeight="1">
      <c r="B186" s="59" t="inlineStr">
        <is>
          <t>NB2(a)</t>
        </is>
      </c>
      <c r="D186" s="13" t="inlineStr">
        <is>
          <t>OPTION 1:  Target-level reporting</t>
        </is>
      </c>
      <c r="E186" s="60">
        <f>'A1. Data scoring'!R144</f>
        <v/>
      </c>
      <c r="R186" s="61" t="n"/>
    </row>
    <row r="187" ht="60" customHeight="1">
      <c r="B187" s="59" t="inlineStr">
        <is>
          <t>NB2(a)</t>
        </is>
      </c>
      <c r="D187" s="13" t="inlineStr">
        <is>
          <t>OPTION 2:  Indicator level reporting</t>
        </is>
      </c>
      <c r="E187" s="60">
        <f>'A1. Data scoring'!R145</f>
        <v/>
      </c>
      <c r="R187" s="61" t="n"/>
    </row>
    <row r="188" ht="18" customHeight="1">
      <c r="B188" s="59" t="inlineStr">
        <is>
          <t>NB2(a)</t>
        </is>
      </c>
      <c r="D188" s="13" t="inlineStr">
        <is>
          <t>Supporting information/comments</t>
        </is>
      </c>
      <c r="E188" s="60">
        <f>'A1. Data scoring'!R146</f>
        <v/>
      </c>
      <c r="R188" s="61" t="n"/>
    </row>
    <row r="189" ht="18" customHeight="1">
      <c r="B189" s="59" t="inlineStr">
        <is>
          <t>NB2(a)</t>
        </is>
      </c>
      <c r="D189" s="13" t="inlineStr">
        <is>
          <t>Data source and limitations</t>
        </is>
      </c>
      <c r="E189" s="60">
        <f>'A1. Data scoring'!R147</f>
        <v/>
      </c>
      <c r="R189" s="61" t="n"/>
    </row>
    <row r="190" ht="18" customHeight="1">
      <c r="B190" s="59" t="inlineStr">
        <is>
          <t>NB2(a)</t>
        </is>
      </c>
      <c r="D190" s="13" t="inlineStr">
        <is>
          <t>Data owner confirms</t>
        </is>
      </c>
      <c r="E190" s="60">
        <f>'A1. Data scoring'!R148</f>
        <v/>
      </c>
      <c r="R190" s="62" t="n"/>
    </row>
    <row r="192">
      <c r="B192" s="7" t="inlineStr">
        <is>
          <t>NB2(b)</t>
        </is>
      </c>
      <c r="C192" s="51" t="inlineStr">
        <is>
          <t>Evidence of established framework to monitor and track supply-chain nature impacts over time</t>
        </is>
      </c>
      <c r="D192" s="57" t="inlineStr">
        <is>
          <t>Unit</t>
        </is>
      </c>
      <c r="E192" s="57" t="inlineStr">
        <is>
          <t>ESG – Campus Operations &amp; Sustainability Delivery</t>
        </is>
      </c>
      <c r="P192" s="58">
        <f>'A1. Data scoring'!AH149</f>
        <v/>
      </c>
      <c r="Q192" s="58">
        <f>'A1. Data scoring'!AK149</f>
        <v/>
      </c>
      <c r="R192" s="8" t="n"/>
    </row>
    <row r="193" ht="18" customHeight="1">
      <c r="B193" s="59" t="inlineStr">
        <is>
          <t>NB2(b)</t>
        </is>
      </c>
      <c r="D193" s="13" t="inlineStr">
        <is>
          <t>Confirm end-2026 target status</t>
        </is>
      </c>
      <c r="E193" s="60">
        <f>'A1. Data scoring'!P149</f>
        <v/>
      </c>
      <c r="R193" s="61" t="n"/>
    </row>
    <row r="194" ht="60" customHeight="1">
      <c r="B194" s="59" t="inlineStr">
        <is>
          <t>NB2(b)</t>
        </is>
      </c>
      <c r="D194" s="13" t="inlineStr">
        <is>
          <t>OPTION 1:  Target-level reporting</t>
        </is>
      </c>
      <c r="E194" s="60">
        <f>'A1. Data scoring'!P150</f>
        <v/>
      </c>
      <c r="R194" s="61" t="n"/>
    </row>
    <row r="195" ht="60" customHeight="1">
      <c r="B195" s="59" t="inlineStr">
        <is>
          <t>NB2(b)</t>
        </is>
      </c>
      <c r="D195" s="13" t="inlineStr">
        <is>
          <t>OPTION 2:  Indicator level reporting</t>
        </is>
      </c>
      <c r="E195" s="60">
        <f>'A1. Data scoring'!P151</f>
        <v/>
      </c>
      <c r="R195" s="61" t="n"/>
    </row>
    <row r="196" ht="18" customHeight="1">
      <c r="B196" s="59" t="inlineStr">
        <is>
          <t>NB2(b)</t>
        </is>
      </c>
      <c r="D196" s="13" t="inlineStr">
        <is>
          <t>Supporting information/comments</t>
        </is>
      </c>
      <c r="E196" s="60">
        <f>'A1. Data scoring'!P152</f>
        <v/>
      </c>
      <c r="R196" s="61" t="n"/>
    </row>
    <row r="197" ht="18" customHeight="1">
      <c r="B197" s="59" t="inlineStr">
        <is>
          <t>NB2(b)</t>
        </is>
      </c>
      <c r="D197" s="13" t="inlineStr">
        <is>
          <t>Data source and limitations</t>
        </is>
      </c>
      <c r="E197" s="60">
        <f>'A1. Data scoring'!P153</f>
        <v/>
      </c>
      <c r="R197" s="61" t="n"/>
    </row>
    <row r="198" ht="18" customHeight="1">
      <c r="B198" s="59" t="inlineStr">
        <is>
          <t>NB2(b)</t>
        </is>
      </c>
      <c r="D198" s="13" t="inlineStr">
        <is>
          <t>Data owner confirms</t>
        </is>
      </c>
      <c r="E198" s="60">
        <f>'A1. Data scoring'!P154</f>
        <v/>
      </c>
      <c r="R198" s="62" t="n"/>
    </row>
    <row r="200">
      <c r="B200" s="7" t="inlineStr">
        <is>
          <t>NB2(c)</t>
        </is>
      </c>
      <c r="C200" s="51" t="inlineStr">
        <is>
          <t>Evidence of prioritised high risk procurement categories or suppliers for nature impact management</t>
        </is>
      </c>
      <c r="D200" s="57" t="inlineStr">
        <is>
          <t>Unit</t>
        </is>
      </c>
      <c r="E200" s="57" t="inlineStr">
        <is>
          <t>CFOG – Procurement</t>
        </is>
      </c>
      <c r="F200" s="57" t="inlineStr">
        <is>
          <t>ESG – Campus Operations &amp; Sustainability Delivery</t>
        </is>
      </c>
      <c r="P200" s="58">
        <f>'A1. Data scoring'!AH155</f>
        <v/>
      </c>
      <c r="Q200" s="58">
        <f>'A1. Data scoring'!AK155</f>
        <v/>
      </c>
      <c r="R200" s="8" t="n"/>
    </row>
    <row r="201" ht="18" customHeight="1">
      <c r="B201" s="59" t="inlineStr">
        <is>
          <t>NB2(c)</t>
        </is>
      </c>
      <c r="D201" s="13" t="inlineStr">
        <is>
          <t>Confirm end-2026 target status</t>
        </is>
      </c>
      <c r="E201" s="60">
        <f>'A1. Data scoring'!N155</f>
        <v/>
      </c>
      <c r="F201" s="60">
        <f>'A1. Data scoring'!P155</f>
        <v/>
      </c>
      <c r="R201" s="61" t="n"/>
    </row>
    <row r="202" ht="60" customHeight="1">
      <c r="B202" s="59" t="inlineStr">
        <is>
          <t>NB2(c)</t>
        </is>
      </c>
      <c r="D202" s="13" t="inlineStr">
        <is>
          <t>OPTION 1:  Target-level reporting</t>
        </is>
      </c>
      <c r="E202" s="60">
        <f>'A1. Data scoring'!N156</f>
        <v/>
      </c>
      <c r="F202" s="60">
        <f>'A1. Data scoring'!P156</f>
        <v/>
      </c>
      <c r="R202" s="61" t="n"/>
    </row>
    <row r="203" ht="60" customHeight="1">
      <c r="B203" s="59" t="inlineStr">
        <is>
          <t>NB2(c)</t>
        </is>
      </c>
      <c r="D203" s="13" t="inlineStr">
        <is>
          <t>OPTION 2:  Indicator level reporting</t>
        </is>
      </c>
      <c r="E203" s="60">
        <f>'A1. Data scoring'!N157</f>
        <v/>
      </c>
      <c r="F203" s="60">
        <f>'A1. Data scoring'!P157</f>
        <v/>
      </c>
      <c r="R203" s="61" t="n"/>
    </row>
    <row r="204" ht="18" customHeight="1">
      <c r="B204" s="59" t="inlineStr">
        <is>
          <t>NB2(c)</t>
        </is>
      </c>
      <c r="D204" s="13" t="inlineStr">
        <is>
          <t>Supporting information/comments</t>
        </is>
      </c>
      <c r="E204" s="60">
        <f>'A1. Data scoring'!N158</f>
        <v/>
      </c>
      <c r="F204" s="60">
        <f>'A1. Data scoring'!P158</f>
        <v/>
      </c>
      <c r="R204" s="61" t="n"/>
    </row>
    <row r="205" ht="18" customHeight="1">
      <c r="B205" s="59" t="inlineStr">
        <is>
          <t>NB2(c)</t>
        </is>
      </c>
      <c r="D205" s="13" t="inlineStr">
        <is>
          <t>Data source and limitations</t>
        </is>
      </c>
      <c r="E205" s="60">
        <f>'A1. Data scoring'!N159</f>
        <v/>
      </c>
      <c r="F205" s="60">
        <f>'A1. Data scoring'!P159</f>
        <v/>
      </c>
      <c r="R205" s="61" t="n"/>
    </row>
    <row r="206" ht="18" customHeight="1">
      <c r="B206" s="59" t="inlineStr">
        <is>
          <t>NB2(c)</t>
        </is>
      </c>
      <c r="D206" s="13" t="inlineStr">
        <is>
          <t>Data owner confirms</t>
        </is>
      </c>
      <c r="E206" s="60">
        <f>'A1. Data scoring'!N160</f>
        <v/>
      </c>
      <c r="F206" s="60">
        <f>'A1. Data scoring'!P160</f>
        <v/>
      </c>
      <c r="R206" s="62" t="n"/>
    </row>
    <row r="208">
      <c r="B208" s="7" t="inlineStr">
        <is>
          <t>AI1(a)</t>
        </is>
      </c>
      <c r="C208" s="51" t="inlineStr">
        <is>
          <t>Established measurement of estimated operational impacts and opportunities (eg operational impacts could include energy, water, emissions and intensity measures)</t>
        </is>
      </c>
      <c r="D208" s="57" t="inlineStr">
        <is>
          <t>Unit</t>
        </is>
      </c>
      <c r="E208" s="57" t="inlineStr">
        <is>
          <t>CI&amp;S – Sustainability Strategy</t>
        </is>
      </c>
      <c r="F208" s="57" t="inlineStr">
        <is>
          <t>CIOG – Responsible AI &amp; digital</t>
        </is>
      </c>
      <c r="P208" s="58">
        <f>'A1. Data scoring'!AH161</f>
        <v/>
      </c>
      <c r="Q208" s="58">
        <f>'A1. Data scoring'!AK161</f>
        <v/>
      </c>
      <c r="R208" s="8" t="n"/>
    </row>
    <row r="209" ht="18" customHeight="1">
      <c r="B209" s="59" t="inlineStr">
        <is>
          <t>AI1(a)</t>
        </is>
      </c>
      <c r="D209" s="13" t="inlineStr">
        <is>
          <t>Confirm end-2026 target status</t>
        </is>
      </c>
      <c r="E209" s="60">
        <f>'A1. Data scoring'!M161</f>
        <v/>
      </c>
      <c r="F209" s="60">
        <f>'A1. Data scoring'!Q161</f>
        <v/>
      </c>
      <c r="R209" s="61" t="n"/>
    </row>
    <row r="210" ht="60" customHeight="1">
      <c r="B210" s="59" t="inlineStr">
        <is>
          <t>AI1(a)</t>
        </is>
      </c>
      <c r="D210" s="13" t="inlineStr">
        <is>
          <t>OPTION 1:  Target-level reporting</t>
        </is>
      </c>
      <c r="E210" s="60">
        <f>'A1. Data scoring'!M162</f>
        <v/>
      </c>
      <c r="F210" s="60">
        <f>'A1. Data scoring'!Q162</f>
        <v/>
      </c>
      <c r="R210" s="61" t="n"/>
    </row>
    <row r="211" ht="60" customHeight="1">
      <c r="B211" s="59" t="inlineStr">
        <is>
          <t>AI1(a)</t>
        </is>
      </c>
      <c r="D211" s="13" t="inlineStr">
        <is>
          <t>OPTION 2:  Indicator level reporting</t>
        </is>
      </c>
      <c r="E211" s="60">
        <f>'A1. Data scoring'!M163</f>
        <v/>
      </c>
      <c r="F211" s="60">
        <f>'A1. Data scoring'!Q163</f>
        <v/>
      </c>
      <c r="R211" s="61" t="n"/>
    </row>
    <row r="212" ht="18" customHeight="1">
      <c r="B212" s="59" t="inlineStr">
        <is>
          <t>AI1(a)</t>
        </is>
      </c>
      <c r="D212" s="13" t="inlineStr">
        <is>
          <t>Supporting information/comments</t>
        </is>
      </c>
      <c r="E212" s="60">
        <f>'A1. Data scoring'!M164</f>
        <v/>
      </c>
      <c r="F212" s="60">
        <f>'A1. Data scoring'!Q164</f>
        <v/>
      </c>
      <c r="R212" s="61" t="n"/>
    </row>
    <row r="213" ht="18" customHeight="1">
      <c r="B213" s="59" t="inlineStr">
        <is>
          <t>AI1(a)</t>
        </is>
      </c>
      <c r="D213" s="13" t="inlineStr">
        <is>
          <t>Data source and limitations</t>
        </is>
      </c>
      <c r="E213" s="60">
        <f>'A1. Data scoring'!M165</f>
        <v/>
      </c>
      <c r="F213" s="60">
        <f>'A1. Data scoring'!Q165</f>
        <v/>
      </c>
      <c r="R213" s="61" t="n"/>
    </row>
    <row r="214" ht="18" customHeight="1">
      <c r="B214" s="59" t="inlineStr">
        <is>
          <t>AI1(a)</t>
        </is>
      </c>
      <c r="D214" s="13" t="inlineStr">
        <is>
          <t>Data owner confirms</t>
        </is>
      </c>
      <c r="E214" s="60">
        <f>'A1. Data scoring'!M166</f>
        <v/>
      </c>
      <c r="F214" s="60">
        <f>'A1. Data scoring'!Q166</f>
        <v/>
      </c>
      <c r="R214" s="62" t="n"/>
    </row>
    <row r="216">
      <c r="B216" s="7" t="inlineStr">
        <is>
          <t>AI1(b)</t>
        </is>
      </c>
      <c r="C216" s="51" t="inlineStr">
        <is>
          <t>Case studies of sustainability and AI-related education, research and collaboration activities.</t>
        </is>
      </c>
      <c r="D216" s="57" t="inlineStr">
        <is>
          <t>Unit</t>
        </is>
      </c>
      <c r="E216" s="57" t="inlineStr">
        <is>
          <t>CI&amp;S – Sustainability Strategy</t>
        </is>
      </c>
      <c r="F216" s="57" t="inlineStr">
        <is>
          <t>CIOG – Responsible AI &amp; digital</t>
        </is>
      </c>
      <c r="P216" s="58">
        <f>'A1. Data scoring'!AH167</f>
        <v/>
      </c>
      <c r="Q216" s="58">
        <f>'A1. Data scoring'!AK167</f>
        <v/>
      </c>
      <c r="R216" s="8" t="n"/>
    </row>
    <row r="217" ht="18" customHeight="1">
      <c r="B217" s="59" t="inlineStr">
        <is>
          <t>AI1(b)</t>
        </is>
      </c>
      <c r="D217" s="13" t="inlineStr">
        <is>
          <t>Confirm end-2026 target status</t>
        </is>
      </c>
      <c r="E217" s="60">
        <f>'A1. Data scoring'!M167</f>
        <v/>
      </c>
      <c r="F217" s="60">
        <f>'A1. Data scoring'!Q167</f>
        <v/>
      </c>
      <c r="R217" s="61" t="n"/>
    </row>
    <row r="218" ht="60" customHeight="1">
      <c r="B218" s="59" t="inlineStr">
        <is>
          <t>AI1(b)</t>
        </is>
      </c>
      <c r="D218" s="13" t="inlineStr">
        <is>
          <t>OPTION 1:  Target-level reporting</t>
        </is>
      </c>
      <c r="E218" s="60">
        <f>'A1. Data scoring'!M168</f>
        <v/>
      </c>
      <c r="F218" s="60">
        <f>'A1. Data scoring'!Q168</f>
        <v/>
      </c>
      <c r="R218" s="61" t="n"/>
    </row>
    <row r="219" ht="60" customHeight="1">
      <c r="B219" s="59" t="inlineStr">
        <is>
          <t>AI1(b)</t>
        </is>
      </c>
      <c r="D219" s="13" t="inlineStr">
        <is>
          <t>OPTION 2:  Indicator level reporting</t>
        </is>
      </c>
      <c r="E219" s="60">
        <f>'A1. Data scoring'!M169</f>
        <v/>
      </c>
      <c r="F219" s="60">
        <f>'A1. Data scoring'!Q169</f>
        <v/>
      </c>
      <c r="R219" s="61" t="n"/>
    </row>
    <row r="220" ht="18" customHeight="1">
      <c r="B220" s="59" t="inlineStr">
        <is>
          <t>AI1(b)</t>
        </is>
      </c>
      <c r="D220" s="13" t="inlineStr">
        <is>
          <t>Supporting information/comments</t>
        </is>
      </c>
      <c r="E220" s="60">
        <f>'A1. Data scoring'!M170</f>
        <v/>
      </c>
      <c r="F220" s="60">
        <f>'A1. Data scoring'!Q170</f>
        <v/>
      </c>
      <c r="R220" s="61" t="n"/>
    </row>
    <row r="221" ht="18" customHeight="1">
      <c r="B221" s="59" t="inlineStr">
        <is>
          <t>AI1(b)</t>
        </is>
      </c>
      <c r="D221" s="13" t="inlineStr">
        <is>
          <t>Data source and limitations</t>
        </is>
      </c>
      <c r="E221" s="60">
        <f>'A1. Data scoring'!M171</f>
        <v/>
      </c>
      <c r="F221" s="60">
        <f>'A1. Data scoring'!Q171</f>
        <v/>
      </c>
      <c r="R221" s="61" t="n"/>
    </row>
    <row r="222" ht="18" customHeight="1">
      <c r="B222" s="59" t="inlineStr">
        <is>
          <t>AI1(b)</t>
        </is>
      </c>
      <c r="D222" s="13" t="inlineStr">
        <is>
          <t>Data owner confirms</t>
        </is>
      </c>
      <c r="E222" s="60">
        <f>'A1. Data scoring'!M172</f>
        <v/>
      </c>
      <c r="F222" s="60">
        <f>'A1. Data scoring'!Q172</f>
        <v/>
      </c>
      <c r="R222" s="62" t="n"/>
    </row>
    <row r="224">
      <c r="B224" s="7" t="inlineStr">
        <is>
          <t>EI1(a)</t>
        </is>
      </c>
      <c r="C224" s="51" t="inlineStr">
        <is>
          <t>Evidence of increased maturity of estate and infrastructure planning, development and operations to support the other priority areas in Sustainability 2030</t>
        </is>
      </c>
      <c r="D224" s="57" t="inlineStr">
        <is>
          <t>Unit</t>
        </is>
      </c>
      <c r="E224" s="57" t="inlineStr">
        <is>
          <t>CI&amp;S – Estate Planning &amp; Development</t>
        </is>
      </c>
      <c r="P224" s="58">
        <f>'A1. Data scoring'!AH173</f>
        <v/>
      </c>
      <c r="Q224" s="58">
        <f>'A1. Data scoring'!AK173</f>
        <v/>
      </c>
      <c r="R224" s="8" t="n"/>
    </row>
    <row r="225" ht="18" customHeight="1">
      <c r="B225" s="59" t="inlineStr">
        <is>
          <t>EI1(a)</t>
        </is>
      </c>
      <c r="D225" s="13" t="inlineStr">
        <is>
          <t>Confirm end-2026 target status</t>
        </is>
      </c>
      <c r="E225" s="60">
        <f>'A1. Data scoring'!L173</f>
        <v/>
      </c>
      <c r="R225" s="61" t="n"/>
    </row>
    <row r="226" ht="60" customHeight="1">
      <c r="B226" s="59" t="inlineStr">
        <is>
          <t>EI1(a)</t>
        </is>
      </c>
      <c r="D226" s="13" t="inlineStr">
        <is>
          <t>OPTION 1:  Target-level reporting</t>
        </is>
      </c>
      <c r="E226" s="60">
        <f>'A1. Data scoring'!L174</f>
        <v/>
      </c>
      <c r="R226" s="61" t="n"/>
    </row>
    <row r="227" ht="60" customHeight="1">
      <c r="B227" s="59" t="inlineStr">
        <is>
          <t>EI1(a)</t>
        </is>
      </c>
      <c r="D227" s="13" t="inlineStr">
        <is>
          <t>OPTION 2:  Indicator level reporting</t>
        </is>
      </c>
      <c r="E227" s="60">
        <f>'A1. Data scoring'!L175</f>
        <v/>
      </c>
      <c r="R227" s="61" t="n"/>
    </row>
    <row r="228" ht="18" customHeight="1">
      <c r="B228" s="59" t="inlineStr">
        <is>
          <t>EI1(a)</t>
        </is>
      </c>
      <c r="D228" s="13" t="inlineStr">
        <is>
          <t>Supporting information/comments</t>
        </is>
      </c>
      <c r="E228" s="60">
        <f>'A1. Data scoring'!L176</f>
        <v/>
      </c>
      <c r="R228" s="61" t="n"/>
    </row>
    <row r="229" ht="18" customHeight="1">
      <c r="B229" s="59" t="inlineStr">
        <is>
          <t>EI1(a)</t>
        </is>
      </c>
      <c r="D229" s="13" t="inlineStr">
        <is>
          <t>Data source and limitations</t>
        </is>
      </c>
      <c r="E229" s="60">
        <f>'A1. Data scoring'!L177</f>
        <v/>
      </c>
      <c r="R229" s="61" t="n"/>
    </row>
    <row r="230" ht="18" customHeight="1">
      <c r="B230" s="59" t="inlineStr">
        <is>
          <t>EI1(a)</t>
        </is>
      </c>
      <c r="D230" s="13" t="inlineStr">
        <is>
          <t>Data owner confirms</t>
        </is>
      </c>
      <c r="E230" s="60">
        <f>'A1. Data scoring'!L178</f>
        <v/>
      </c>
      <c r="R230" s="62" t="n"/>
    </row>
    <row r="232">
      <c r="B232" s="7" t="inlineStr">
        <is>
          <t>EI1(b)</t>
        </is>
      </c>
      <c r="C232" s="51" t="inlineStr">
        <is>
          <t>Estimated sustainability impacts of the University’s estate and infrastructure capital plan to inform progress towards emissions reduction targets and other priority areas (to the extent enabled by available information)</t>
        </is>
      </c>
      <c r="D232" s="57" t="inlineStr">
        <is>
          <t>Unit</t>
        </is>
      </c>
      <c r="E232" s="57" t="inlineStr">
        <is>
          <t>CI&amp;S – Estate Planning &amp; Development</t>
        </is>
      </c>
      <c r="P232" s="58">
        <f>'A1. Data scoring'!AH179</f>
        <v/>
      </c>
      <c r="Q232" s="58">
        <f>'A1. Data scoring'!AK179</f>
        <v/>
      </c>
      <c r="R232" s="8" t="n"/>
    </row>
    <row r="233" ht="18" customHeight="1">
      <c r="B233" s="59" t="inlineStr">
        <is>
          <t>EI1(b)</t>
        </is>
      </c>
      <c r="D233" s="13" t="inlineStr">
        <is>
          <t>Confirm end-2026 target status</t>
        </is>
      </c>
      <c r="E233" s="60">
        <f>'A1. Data scoring'!L179</f>
        <v/>
      </c>
      <c r="R233" s="61" t="n"/>
    </row>
    <row r="234" ht="60" customHeight="1">
      <c r="B234" s="59" t="inlineStr">
        <is>
          <t>EI1(b)</t>
        </is>
      </c>
      <c r="D234" s="13" t="inlineStr">
        <is>
          <t>OPTION 1:  Target-level reporting</t>
        </is>
      </c>
      <c r="E234" s="60">
        <f>'A1. Data scoring'!L180</f>
        <v/>
      </c>
      <c r="R234" s="61" t="n"/>
    </row>
    <row r="235" ht="60" customHeight="1">
      <c r="B235" s="59" t="inlineStr">
        <is>
          <t>EI1(b)</t>
        </is>
      </c>
      <c r="D235" s="13" t="inlineStr">
        <is>
          <t>OPTION 2:  Indicator level reporting</t>
        </is>
      </c>
      <c r="E235" s="60">
        <f>'A1. Data scoring'!L181</f>
        <v/>
      </c>
      <c r="R235" s="61" t="n"/>
    </row>
    <row r="236" ht="18" customHeight="1">
      <c r="B236" s="59" t="inlineStr">
        <is>
          <t>EI1(b)</t>
        </is>
      </c>
      <c r="D236" s="13" t="inlineStr">
        <is>
          <t>Supporting information/comments</t>
        </is>
      </c>
      <c r="E236" s="60">
        <f>'A1. Data scoring'!L182</f>
        <v/>
      </c>
      <c r="R236" s="61" t="n"/>
    </row>
    <row r="237" ht="18" customHeight="1">
      <c r="B237" s="59" t="inlineStr">
        <is>
          <t>EI1(b)</t>
        </is>
      </c>
      <c r="D237" s="13" t="inlineStr">
        <is>
          <t>Data source and limitations</t>
        </is>
      </c>
      <c r="E237" s="60">
        <f>'A1. Data scoring'!L183</f>
        <v/>
      </c>
      <c r="R237" s="61" t="n"/>
    </row>
    <row r="238" ht="18" customHeight="1">
      <c r="B238" s="59" t="inlineStr">
        <is>
          <t>EI1(b)</t>
        </is>
      </c>
      <c r="D238" s="13" t="inlineStr">
        <is>
          <t>Data owner confirms</t>
        </is>
      </c>
      <c r="E238" s="60">
        <f>'A1. Data scoring'!L184</f>
        <v/>
      </c>
      <c r="R238" s="62" t="n"/>
    </row>
    <row r="240">
      <c r="B240" s="7" t="inlineStr">
        <is>
          <t>EI1(c)</t>
        </is>
      </c>
      <c r="C240" s="51" t="inlineStr">
        <is>
          <t>Reporting on relevant activities and impacts for the University’s major estate and infrastructure projects and programs aligned with the other priority areas in Sustainability 2030</t>
        </is>
      </c>
      <c r="D240" s="57" t="inlineStr">
        <is>
          <t>Unit</t>
        </is>
      </c>
      <c r="E240" s="57" t="inlineStr">
        <is>
          <t>CI&amp;S – Estate Planning &amp; Development</t>
        </is>
      </c>
      <c r="P240" s="58">
        <f>'A1. Data scoring'!AH185</f>
        <v/>
      </c>
      <c r="Q240" s="58">
        <f>'A1. Data scoring'!AK185</f>
        <v/>
      </c>
      <c r="R240" s="8" t="n"/>
    </row>
    <row r="241" ht="18" customHeight="1">
      <c r="B241" s="59" t="inlineStr">
        <is>
          <t>EI1(c)</t>
        </is>
      </c>
      <c r="D241" s="13" t="inlineStr">
        <is>
          <t>Confirm end-2026 target status</t>
        </is>
      </c>
      <c r="E241" s="60">
        <f>'A1. Data scoring'!L185</f>
        <v/>
      </c>
      <c r="R241" s="61" t="n"/>
    </row>
    <row r="242" ht="60" customHeight="1">
      <c r="B242" s="59" t="inlineStr">
        <is>
          <t>EI1(c)</t>
        </is>
      </c>
      <c r="D242" s="13" t="inlineStr">
        <is>
          <t>OPTION 1:  Target-level reporting</t>
        </is>
      </c>
      <c r="E242" s="60">
        <f>'A1. Data scoring'!L186</f>
        <v/>
      </c>
      <c r="R242" s="61" t="n"/>
    </row>
    <row r="243" ht="60" customHeight="1">
      <c r="B243" s="59" t="inlineStr">
        <is>
          <t>EI1(c)</t>
        </is>
      </c>
      <c r="D243" s="13" t="inlineStr">
        <is>
          <t>OPTION 2:  Indicator level reporting</t>
        </is>
      </c>
      <c r="E243" s="60">
        <f>'A1. Data scoring'!L187</f>
        <v/>
      </c>
      <c r="R243" s="61" t="n"/>
    </row>
    <row r="244" ht="18" customHeight="1">
      <c r="B244" s="59" t="inlineStr">
        <is>
          <t>EI1(c)</t>
        </is>
      </c>
      <c r="D244" s="13" t="inlineStr">
        <is>
          <t>Supporting information/comments</t>
        </is>
      </c>
      <c r="E244" s="60">
        <f>'A1. Data scoring'!L188</f>
        <v/>
      </c>
      <c r="R244" s="61" t="n"/>
    </row>
    <row r="245" ht="18" customHeight="1">
      <c r="B245" s="59" t="inlineStr">
        <is>
          <t>EI1(c)</t>
        </is>
      </c>
      <c r="D245" s="13" t="inlineStr">
        <is>
          <t>Data source and limitations</t>
        </is>
      </c>
      <c r="E245" s="60">
        <f>'A1. Data scoring'!L189</f>
        <v/>
      </c>
      <c r="R245" s="61" t="n"/>
    </row>
    <row r="246" ht="18" customHeight="1">
      <c r="B246" s="59" t="inlineStr">
        <is>
          <t>EI1(c)</t>
        </is>
      </c>
      <c r="D246" s="13" t="inlineStr">
        <is>
          <t>Data owner confirms</t>
        </is>
      </c>
      <c r="E246" s="60">
        <f>'A1. Data scoring'!L190</f>
        <v/>
      </c>
      <c r="R246" s="62" t="n"/>
    </row>
    <row r="248">
      <c r="B248" s="7" t="inlineStr">
        <is>
          <t>EI1(d)</t>
        </is>
      </c>
      <c r="C248" s="51" t="inlineStr">
        <is>
          <t>Evidence of understanding and integration of Indigenous approaches to sustainability in estate planning and development programs and projects.</t>
        </is>
      </c>
      <c r="D248" s="57" t="inlineStr">
        <is>
          <t>Unit</t>
        </is>
      </c>
      <c r="E248" s="57" t="inlineStr">
        <is>
          <t>CI&amp;S – Estate Planning &amp; Development</t>
        </is>
      </c>
      <c r="P248" s="58">
        <f>'A1. Data scoring'!AH191</f>
        <v/>
      </c>
      <c r="Q248" s="58">
        <f>'A1. Data scoring'!AK191</f>
        <v/>
      </c>
      <c r="R248" s="8" t="n"/>
    </row>
    <row r="249" ht="18" customHeight="1">
      <c r="B249" s="59" t="inlineStr">
        <is>
          <t>EI1(d)</t>
        </is>
      </c>
      <c r="D249" s="13" t="inlineStr">
        <is>
          <t>Confirm end-2026 target status</t>
        </is>
      </c>
      <c r="E249" s="60">
        <f>'A1. Data scoring'!L191</f>
        <v/>
      </c>
      <c r="R249" s="61" t="n"/>
    </row>
    <row r="250" ht="60" customHeight="1">
      <c r="B250" s="59" t="inlineStr">
        <is>
          <t>EI1(d)</t>
        </is>
      </c>
      <c r="D250" s="13" t="inlineStr">
        <is>
          <t>OPTION 1:  Target-level reporting</t>
        </is>
      </c>
      <c r="E250" s="60">
        <f>'A1. Data scoring'!L192</f>
        <v/>
      </c>
      <c r="R250" s="61" t="n"/>
    </row>
    <row r="251" ht="60" customHeight="1">
      <c r="B251" s="59" t="inlineStr">
        <is>
          <t>EI1(d)</t>
        </is>
      </c>
      <c r="D251" s="13" t="inlineStr">
        <is>
          <t>OPTION 2:  Indicator level reporting</t>
        </is>
      </c>
      <c r="E251" s="60">
        <f>'A1. Data scoring'!L193</f>
        <v/>
      </c>
      <c r="R251" s="61" t="n"/>
    </row>
    <row r="252" ht="18" customHeight="1">
      <c r="B252" s="59" t="inlineStr">
        <is>
          <t>EI1(d)</t>
        </is>
      </c>
      <c r="D252" s="13" t="inlineStr">
        <is>
          <t>Supporting information/comments</t>
        </is>
      </c>
      <c r="E252" s="60">
        <f>'A1. Data scoring'!L194</f>
        <v/>
      </c>
      <c r="R252" s="61" t="n"/>
    </row>
    <row r="253" ht="18" customHeight="1">
      <c r="B253" s="59" t="inlineStr">
        <is>
          <t>EI1(d)</t>
        </is>
      </c>
      <c r="D253" s="13" t="inlineStr">
        <is>
          <t>Data source and limitations</t>
        </is>
      </c>
      <c r="E253" s="60">
        <f>'A1. Data scoring'!L195</f>
        <v/>
      </c>
      <c r="R253" s="61" t="n"/>
    </row>
    <row r="254" ht="18" customHeight="1">
      <c r="B254" s="59" t="inlineStr">
        <is>
          <t>EI1(d)</t>
        </is>
      </c>
      <c r="D254" s="13" t="inlineStr">
        <is>
          <t>Data owner confirms</t>
        </is>
      </c>
      <c r="E254" s="60">
        <f>'A1. Data scoring'!L196</f>
        <v/>
      </c>
      <c r="R254" s="62" t="n"/>
    </row>
    <row r="256">
      <c r="B256" s="7" t="inlineStr">
        <is>
          <t>RP1(a)</t>
        </is>
      </c>
      <c r="C256" s="51" t="inlineStr">
        <is>
          <t>Case studies of maturity improvement related to responsible procurement process and systems.</t>
        </is>
      </c>
      <c r="D256" s="57" t="inlineStr">
        <is>
          <t>Unit</t>
        </is>
      </c>
      <c r="E256" s="57" t="inlineStr">
        <is>
          <t>CFOG – Procurement</t>
        </is>
      </c>
      <c r="P256" s="58">
        <f>'A1. Data scoring'!AH197</f>
        <v/>
      </c>
      <c r="Q256" s="58">
        <f>'A1. Data scoring'!AK197</f>
        <v/>
      </c>
      <c r="R256" s="8" t="n"/>
    </row>
    <row r="257" ht="18" customHeight="1">
      <c r="B257" s="59" t="inlineStr">
        <is>
          <t>RP1(a)</t>
        </is>
      </c>
      <c r="D257" s="13" t="inlineStr">
        <is>
          <t>Confirm end-2026 target status</t>
        </is>
      </c>
      <c r="E257" s="60">
        <f>'A1. Data scoring'!N197</f>
        <v/>
      </c>
      <c r="R257" s="61" t="n"/>
    </row>
    <row r="258" ht="60" customHeight="1">
      <c r="B258" s="59" t="inlineStr">
        <is>
          <t>RP1(a)</t>
        </is>
      </c>
      <c r="D258" s="13" t="inlineStr">
        <is>
          <t>OPTION 1:  Target-level reporting</t>
        </is>
      </c>
      <c r="E258" s="60">
        <f>'A1. Data scoring'!N198</f>
        <v/>
      </c>
      <c r="R258" s="61" t="n"/>
    </row>
    <row r="259" ht="60" customHeight="1">
      <c r="B259" s="59" t="inlineStr">
        <is>
          <t>RP1(a)</t>
        </is>
      </c>
      <c r="D259" s="13" t="inlineStr">
        <is>
          <t>OPTION 2:  Indicator level reporting</t>
        </is>
      </c>
      <c r="E259" s="60">
        <f>'A1. Data scoring'!N199</f>
        <v/>
      </c>
      <c r="R259" s="61" t="n"/>
    </row>
    <row r="260" ht="18" customHeight="1">
      <c r="B260" s="59" t="inlineStr">
        <is>
          <t>RP1(a)</t>
        </is>
      </c>
      <c r="D260" s="13" t="inlineStr">
        <is>
          <t>Supporting information/comments</t>
        </is>
      </c>
      <c r="E260" s="60">
        <f>'A1. Data scoring'!N200</f>
        <v/>
      </c>
      <c r="R260" s="61" t="n"/>
    </row>
    <row r="261" ht="18" customHeight="1">
      <c r="B261" s="59" t="inlineStr">
        <is>
          <t>RP1(a)</t>
        </is>
      </c>
      <c r="D261" s="13" t="inlineStr">
        <is>
          <t>Data source and limitations</t>
        </is>
      </c>
      <c r="E261" s="60">
        <f>'A1. Data scoring'!N201</f>
        <v/>
      </c>
      <c r="R261" s="61" t="n"/>
    </row>
    <row r="262" ht="18" customHeight="1">
      <c r="B262" s="59" t="inlineStr">
        <is>
          <t>RP1(a)</t>
        </is>
      </c>
      <c r="D262" s="13" t="inlineStr">
        <is>
          <t>Data owner confirms</t>
        </is>
      </c>
      <c r="E262" s="60">
        <f>'A1. Data scoring'!N202</f>
        <v/>
      </c>
      <c r="R262" s="62" t="n"/>
    </row>
    <row r="264">
      <c r="B264" s="7" t="inlineStr">
        <is>
          <t>MS1(a)</t>
        </is>
      </c>
      <c r="C264" s="51" t="inlineStr">
        <is>
          <t>Annual progress reporting via the Modern Slavery Statement</t>
        </is>
      </c>
      <c r="D264" s="57" t="inlineStr">
        <is>
          <t>Unit</t>
        </is>
      </c>
      <c r="E264" s="57" t="inlineStr">
        <is>
          <t>CI&amp;S – Sustainability Strategy</t>
        </is>
      </c>
      <c r="F264" s="57" t="inlineStr">
        <is>
          <t>CFOG – Procurement</t>
        </is>
      </c>
      <c r="P264" s="58">
        <f>'A1. Data scoring'!AH203</f>
        <v/>
      </c>
      <c r="Q264" s="58">
        <f>'A1. Data scoring'!AK203</f>
        <v/>
      </c>
      <c r="R264" s="8" t="n"/>
    </row>
    <row r="265" ht="18" customHeight="1">
      <c r="B265" s="59" t="inlineStr">
        <is>
          <t>MS1(a)</t>
        </is>
      </c>
      <c r="D265" s="13" t="inlineStr">
        <is>
          <t>Confirm end-2026 target status</t>
        </is>
      </c>
      <c r="E265" s="60">
        <f>'A1. Data scoring'!M203</f>
        <v/>
      </c>
      <c r="F265" s="60">
        <f>'A1. Data scoring'!N203</f>
        <v/>
      </c>
      <c r="R265" s="61" t="n"/>
    </row>
    <row r="266" ht="60" customHeight="1">
      <c r="B266" s="59" t="inlineStr">
        <is>
          <t>MS1(a)</t>
        </is>
      </c>
      <c r="D266" s="13" t="inlineStr">
        <is>
          <t>OPTION 1:  Target-level reporting</t>
        </is>
      </c>
      <c r="E266" s="60">
        <f>'A1. Data scoring'!M204</f>
        <v/>
      </c>
      <c r="F266" s="60">
        <f>'A1. Data scoring'!N204</f>
        <v/>
      </c>
      <c r="R266" s="61" t="n"/>
    </row>
    <row r="267" ht="60" customHeight="1">
      <c r="B267" s="59" t="inlineStr">
        <is>
          <t>MS1(a)</t>
        </is>
      </c>
      <c r="D267" s="13" t="inlineStr">
        <is>
          <t>OPTION 2:  Indicator level reporting</t>
        </is>
      </c>
      <c r="E267" s="60">
        <f>'A1. Data scoring'!M205</f>
        <v/>
      </c>
      <c r="F267" s="60">
        <f>'A1. Data scoring'!N205</f>
        <v/>
      </c>
      <c r="R267" s="61" t="n"/>
    </row>
    <row r="268" ht="18" customHeight="1">
      <c r="B268" s="59" t="inlineStr">
        <is>
          <t>MS1(a)</t>
        </is>
      </c>
      <c r="D268" s="13" t="inlineStr">
        <is>
          <t>Supporting information/comments</t>
        </is>
      </c>
      <c r="E268" s="60">
        <f>'A1. Data scoring'!M206</f>
        <v/>
      </c>
      <c r="F268" s="60">
        <f>'A1. Data scoring'!N206</f>
        <v/>
      </c>
      <c r="R268" s="61" t="n"/>
    </row>
    <row r="269" ht="18" customHeight="1">
      <c r="B269" s="59" t="inlineStr">
        <is>
          <t>MS1(a)</t>
        </is>
      </c>
      <c r="D269" s="13" t="inlineStr">
        <is>
          <t>Data source and limitations</t>
        </is>
      </c>
      <c r="E269" s="60">
        <f>'A1. Data scoring'!M207</f>
        <v/>
      </c>
      <c r="F269" s="60">
        <f>'A1. Data scoring'!N207</f>
        <v/>
      </c>
      <c r="R269" s="61" t="n"/>
    </row>
    <row r="270" ht="18" customHeight="1">
      <c r="B270" s="59" t="inlineStr">
        <is>
          <t>MS1(a)</t>
        </is>
      </c>
      <c r="D270" s="13" t="inlineStr">
        <is>
          <t>Data owner confirms</t>
        </is>
      </c>
      <c r="E270" s="60">
        <f>'A1. Data scoring'!M208</f>
        <v/>
      </c>
      <c r="F270" s="60">
        <f>'A1. Data scoring'!N208</f>
        <v/>
      </c>
      <c r="R270" s="62" t="n"/>
    </row>
    <row r="272">
      <c r="B272" s="7" t="inlineStr">
        <is>
          <t>RI1(b)</t>
        </is>
      </c>
      <c r="C272" s="51" t="inlineStr">
        <is>
          <t>Continuous improvement of the reporting of the University’s sustainability-related investment profile metrics, could include investment in climate mitigation and transition solutions, and compliance with related obligations (eg UNPRI).</t>
        </is>
      </c>
      <c r="D272" s="57" t="inlineStr">
        <is>
          <t>Unit</t>
        </is>
      </c>
      <c r="E272" s="57" t="inlineStr">
        <is>
          <t>CI&amp;S – Sustainability Strategy</t>
        </is>
      </c>
      <c r="F272" s="57" t="inlineStr">
        <is>
          <t>CFOG – Treasury &amp; Investments</t>
        </is>
      </c>
      <c r="P272" s="58">
        <f>'A1. Data scoring'!AH209</f>
        <v/>
      </c>
      <c r="Q272" s="58">
        <f>'A1. Data scoring'!AK209</f>
        <v/>
      </c>
      <c r="R272" s="8" t="n"/>
    </row>
    <row r="273" ht="18" customHeight="1">
      <c r="B273" s="59" t="inlineStr">
        <is>
          <t>RI1(b)</t>
        </is>
      </c>
      <c r="D273" s="13" t="inlineStr">
        <is>
          <t>Confirm end-2026 target status</t>
        </is>
      </c>
      <c r="E273" s="60">
        <f>'A1. Data scoring'!M209</f>
        <v/>
      </c>
      <c r="F273" s="60">
        <f>'A1. Data scoring'!O209</f>
        <v/>
      </c>
      <c r="R273" s="61" t="n"/>
    </row>
    <row r="274" ht="60" customHeight="1">
      <c r="B274" s="59" t="inlineStr">
        <is>
          <t>RI1(b)</t>
        </is>
      </c>
      <c r="D274" s="13" t="inlineStr">
        <is>
          <t>OPTION 1:  Target-level reporting</t>
        </is>
      </c>
      <c r="E274" s="60">
        <f>'A1. Data scoring'!M210</f>
        <v/>
      </c>
      <c r="F274" s="60">
        <f>'A1. Data scoring'!O210</f>
        <v/>
      </c>
      <c r="R274" s="61" t="n"/>
    </row>
    <row r="275" ht="60" customHeight="1">
      <c r="B275" s="59" t="inlineStr">
        <is>
          <t>RI1(b)</t>
        </is>
      </c>
      <c r="D275" s="13" t="inlineStr">
        <is>
          <t>OPTION 2:  Indicator level reporting</t>
        </is>
      </c>
      <c r="E275" s="60">
        <f>'A1. Data scoring'!M211</f>
        <v/>
      </c>
      <c r="F275" s="60">
        <f>'A1. Data scoring'!O211</f>
        <v/>
      </c>
      <c r="R275" s="61" t="n"/>
    </row>
    <row r="276" ht="18" customHeight="1">
      <c r="B276" s="59" t="inlineStr">
        <is>
          <t>RI1(b)</t>
        </is>
      </c>
      <c r="D276" s="13" t="inlineStr">
        <is>
          <t>Supporting information/comments</t>
        </is>
      </c>
      <c r="E276" s="60">
        <f>'A1. Data scoring'!M212</f>
        <v/>
      </c>
      <c r="F276" s="60">
        <f>'A1. Data scoring'!O212</f>
        <v/>
      </c>
      <c r="R276" s="61" t="n"/>
    </row>
    <row r="277" ht="18" customHeight="1">
      <c r="B277" s="59" t="inlineStr">
        <is>
          <t>RI1(b)</t>
        </is>
      </c>
      <c r="D277" s="13" t="inlineStr">
        <is>
          <t>Data source and limitations</t>
        </is>
      </c>
      <c r="E277" s="60">
        <f>'A1. Data scoring'!M213</f>
        <v/>
      </c>
      <c r="F277" s="60">
        <f>'A1. Data scoring'!O213</f>
        <v/>
      </c>
      <c r="R277" s="61" t="n"/>
    </row>
    <row r="278" ht="18" customHeight="1">
      <c r="B278" s="59" t="inlineStr">
        <is>
          <t>RI1(b)</t>
        </is>
      </c>
      <c r="D278" s="13" t="inlineStr">
        <is>
          <t>Data owner confirms</t>
        </is>
      </c>
      <c r="E278" s="60">
        <f>'A1. Data scoring'!M214</f>
        <v/>
      </c>
      <c r="F278" s="60">
        <f>'A1. Data scoring'!O214</f>
        <v/>
      </c>
      <c r="R278" s="62" t="n"/>
    </row>
    <row r="280">
      <c r="B280" s="7" t="inlineStr">
        <is>
          <t>EN1(a)</t>
        </is>
      </c>
      <c r="C280" s="51" t="inlineStr">
        <is>
          <t>Evidence of sustainability outcomes informed by Indigenous knowledges</t>
        </is>
      </c>
      <c r="D280" s="57" t="inlineStr">
        <is>
          <t>Unit</t>
        </is>
      </c>
      <c r="E280" s="57" t="inlineStr">
        <is>
          <t>ABP</t>
        </is>
      </c>
      <c r="F280" s="57" t="inlineStr">
        <is>
          <t>ARTS</t>
        </is>
      </c>
      <c r="G280" s="57" t="inlineStr">
        <is>
          <t>FBE</t>
        </is>
      </c>
      <c r="H280" s="57" t="inlineStr">
        <is>
          <t>SCI</t>
        </is>
      </c>
      <c r="I280" s="57" t="inlineStr">
        <is>
          <t>GCE – Global, Culture and Engagement</t>
        </is>
      </c>
      <c r="J280" s="57" t="inlineStr">
        <is>
          <t>Indigenous – Chancellery Indigenous</t>
        </is>
      </c>
      <c r="P280" s="58">
        <f>'A1. Data scoring'!AH215</f>
        <v/>
      </c>
      <c r="Q280" s="58">
        <f>'A1. Data scoring'!AK215</f>
        <v/>
      </c>
      <c r="R280" s="8" t="n"/>
    </row>
    <row r="281" ht="18" customHeight="1">
      <c r="B281" s="59" t="inlineStr">
        <is>
          <t>EN1(a)</t>
        </is>
      </c>
      <c r="D281" s="13" t="inlineStr">
        <is>
          <t>Confirm end-2026 target status</t>
        </is>
      </c>
      <c r="E281" s="60">
        <f>'A1. Data scoring'!H215</f>
        <v/>
      </c>
      <c r="F281" s="60">
        <f>'A1. Data scoring'!I215</f>
        <v/>
      </c>
      <c r="G281" s="60">
        <f>'A1. Data scoring'!J215</f>
        <v/>
      </c>
      <c r="H281" s="60">
        <f>'A1. Data scoring'!K215</f>
        <v/>
      </c>
      <c r="I281" s="60">
        <f>'A1. Data scoring'!T215</f>
        <v/>
      </c>
      <c r="J281" s="60">
        <f>'A1. Data scoring'!W215</f>
        <v/>
      </c>
      <c r="R281" s="61" t="n"/>
    </row>
    <row r="282" ht="60" customHeight="1">
      <c r="B282" s="59" t="inlineStr">
        <is>
          <t>EN1(a)</t>
        </is>
      </c>
      <c r="D282" s="13" t="inlineStr">
        <is>
          <t>OPTION 1:  Target-level reporting</t>
        </is>
      </c>
      <c r="E282" s="60">
        <f>'A1. Data scoring'!H216</f>
        <v/>
      </c>
      <c r="F282" s="60">
        <f>'A1. Data scoring'!I216</f>
        <v/>
      </c>
      <c r="G282" s="60">
        <f>'A1. Data scoring'!J216</f>
        <v/>
      </c>
      <c r="H282" s="60">
        <f>'A1. Data scoring'!K216</f>
        <v/>
      </c>
      <c r="I282" s="60">
        <f>'A1. Data scoring'!T216</f>
        <v/>
      </c>
      <c r="J282" s="60">
        <f>'A1. Data scoring'!W216</f>
        <v/>
      </c>
      <c r="R282" s="61" t="n"/>
    </row>
    <row r="283" ht="60" customHeight="1">
      <c r="B283" s="59" t="inlineStr">
        <is>
          <t>EN1(a)</t>
        </is>
      </c>
      <c r="D283" s="13" t="inlineStr">
        <is>
          <t>OPTION 2:  Indicator level reporting</t>
        </is>
      </c>
      <c r="E283" s="60">
        <f>'A1. Data scoring'!H217</f>
        <v/>
      </c>
      <c r="F283" s="60">
        <f>'A1. Data scoring'!I217</f>
        <v/>
      </c>
      <c r="G283" s="60">
        <f>'A1. Data scoring'!J217</f>
        <v/>
      </c>
      <c r="H283" s="60">
        <f>'A1. Data scoring'!K217</f>
        <v/>
      </c>
      <c r="I283" s="60">
        <f>'A1. Data scoring'!T217</f>
        <v/>
      </c>
      <c r="J283" s="60">
        <f>'A1. Data scoring'!W217</f>
        <v/>
      </c>
      <c r="R283" s="61" t="n"/>
    </row>
    <row r="284" ht="18" customHeight="1">
      <c r="B284" s="59" t="inlineStr">
        <is>
          <t>EN1(a)</t>
        </is>
      </c>
      <c r="D284" s="13" t="inlineStr">
        <is>
          <t>Supporting information/comments</t>
        </is>
      </c>
      <c r="E284" s="60">
        <f>'A1. Data scoring'!H218</f>
        <v/>
      </c>
      <c r="F284" s="60">
        <f>'A1. Data scoring'!I218</f>
        <v/>
      </c>
      <c r="G284" s="60">
        <f>'A1. Data scoring'!J218</f>
        <v/>
      </c>
      <c r="H284" s="60">
        <f>'A1. Data scoring'!K218</f>
        <v/>
      </c>
      <c r="I284" s="60">
        <f>'A1. Data scoring'!T218</f>
        <v/>
      </c>
      <c r="J284" s="60">
        <f>'A1. Data scoring'!W218</f>
        <v/>
      </c>
      <c r="R284" s="61" t="n"/>
    </row>
    <row r="285" ht="18" customHeight="1">
      <c r="B285" s="59" t="inlineStr">
        <is>
          <t>EN1(a)</t>
        </is>
      </c>
      <c r="D285" s="13" t="inlineStr">
        <is>
          <t>Data source and limitations</t>
        </is>
      </c>
      <c r="E285" s="60">
        <f>'A1. Data scoring'!H219</f>
        <v/>
      </c>
      <c r="F285" s="60">
        <f>'A1. Data scoring'!I219</f>
        <v/>
      </c>
      <c r="G285" s="60">
        <f>'A1. Data scoring'!J219</f>
        <v/>
      </c>
      <c r="H285" s="60">
        <f>'A1. Data scoring'!K219</f>
        <v/>
      </c>
      <c r="I285" s="60">
        <f>'A1. Data scoring'!T219</f>
        <v/>
      </c>
      <c r="J285" s="60">
        <f>'A1. Data scoring'!W219</f>
        <v/>
      </c>
      <c r="R285" s="61" t="n"/>
    </row>
    <row r="286" ht="18" customHeight="1">
      <c r="B286" s="59" t="inlineStr">
        <is>
          <t>EN1(a)</t>
        </is>
      </c>
      <c r="D286" s="13" t="inlineStr">
        <is>
          <t>Data owner confirms</t>
        </is>
      </c>
      <c r="E286" s="60">
        <f>'A1. Data scoring'!H220</f>
        <v/>
      </c>
      <c r="F286" s="60">
        <f>'A1. Data scoring'!I220</f>
        <v/>
      </c>
      <c r="G286" s="60">
        <f>'A1. Data scoring'!J220</f>
        <v/>
      </c>
      <c r="H286" s="60">
        <f>'A1. Data scoring'!K220</f>
        <v/>
      </c>
      <c r="I286" s="60">
        <f>'A1. Data scoring'!T220</f>
        <v/>
      </c>
      <c r="J286" s="60">
        <f>'A1. Data scoring'!W220</f>
        <v/>
      </c>
      <c r="R286" s="62" t="n"/>
    </row>
    <row r="288">
      <c r="B288" s="7" t="inlineStr">
        <is>
          <t>EN1(b)</t>
        </is>
      </c>
      <c r="C288" s="51" t="inlineStr">
        <is>
          <t>Living laboratories enabling applied learning, research and operational sustainability outcomes</t>
        </is>
      </c>
      <c r="D288" s="57" t="inlineStr">
        <is>
          <t>Unit</t>
        </is>
      </c>
      <c r="E288" s="57" t="inlineStr">
        <is>
          <t>ABP</t>
        </is>
      </c>
      <c r="F288" s="57" t="inlineStr">
        <is>
          <t>ARTS</t>
        </is>
      </c>
      <c r="G288" s="57" t="inlineStr">
        <is>
          <t>FBE</t>
        </is>
      </c>
      <c r="H288" s="57" t="inlineStr">
        <is>
          <t>SCI</t>
        </is>
      </c>
      <c r="I288" s="57" t="inlineStr">
        <is>
          <t>CI&amp;S – Sustainability Strategy</t>
        </is>
      </c>
      <c r="P288" s="58">
        <f>'A1. Data scoring'!AH221</f>
        <v/>
      </c>
      <c r="Q288" s="58">
        <f>'A1. Data scoring'!AK221</f>
        <v/>
      </c>
      <c r="R288" s="8" t="n"/>
    </row>
    <row r="289" ht="18" customHeight="1">
      <c r="B289" s="59" t="inlineStr">
        <is>
          <t>EN1(b)</t>
        </is>
      </c>
      <c r="D289" s="13" t="inlineStr">
        <is>
          <t>Confirm end-2026 target status</t>
        </is>
      </c>
      <c r="E289" s="60">
        <f>'A1. Data scoring'!H221</f>
        <v/>
      </c>
      <c r="F289" s="60">
        <f>'A1. Data scoring'!I221</f>
        <v/>
      </c>
      <c r="G289" s="60">
        <f>'A1. Data scoring'!J221</f>
        <v/>
      </c>
      <c r="H289" s="60">
        <f>'A1. Data scoring'!K221</f>
        <v/>
      </c>
      <c r="I289" s="60">
        <f>'A1. Data scoring'!M221</f>
        <v/>
      </c>
      <c r="R289" s="61" t="n"/>
    </row>
    <row r="290" ht="60" customHeight="1">
      <c r="B290" s="59" t="inlineStr">
        <is>
          <t>EN1(b)</t>
        </is>
      </c>
      <c r="D290" s="13" t="inlineStr">
        <is>
          <t>OPTION 1:  Target-level reporting</t>
        </is>
      </c>
      <c r="E290" s="60">
        <f>'A1. Data scoring'!H222</f>
        <v/>
      </c>
      <c r="F290" s="60">
        <f>'A1. Data scoring'!I222</f>
        <v/>
      </c>
      <c r="G290" s="60">
        <f>'A1. Data scoring'!J222</f>
        <v/>
      </c>
      <c r="H290" s="60">
        <f>'A1. Data scoring'!K222</f>
        <v/>
      </c>
      <c r="I290" s="60">
        <f>'A1. Data scoring'!M222</f>
        <v/>
      </c>
      <c r="R290" s="61" t="n"/>
    </row>
    <row r="291" ht="60" customHeight="1">
      <c r="B291" s="59" t="inlineStr">
        <is>
          <t>EN1(b)</t>
        </is>
      </c>
      <c r="D291" s="13" t="inlineStr">
        <is>
          <t>OPTION 2:  Indicator level reporting</t>
        </is>
      </c>
      <c r="E291" s="60">
        <f>'A1. Data scoring'!H223</f>
        <v/>
      </c>
      <c r="F291" s="60">
        <f>'A1. Data scoring'!I223</f>
        <v/>
      </c>
      <c r="G291" s="60">
        <f>'A1. Data scoring'!J223</f>
        <v/>
      </c>
      <c r="H291" s="60">
        <f>'A1. Data scoring'!K223</f>
        <v/>
      </c>
      <c r="I291" s="60">
        <f>'A1. Data scoring'!M223</f>
        <v/>
      </c>
      <c r="R291" s="61" t="n"/>
    </row>
    <row r="292" ht="18" customHeight="1">
      <c r="B292" s="59" t="inlineStr">
        <is>
          <t>EN1(b)</t>
        </is>
      </c>
      <c r="D292" s="13" t="inlineStr">
        <is>
          <t>Supporting information/comments</t>
        </is>
      </c>
      <c r="E292" s="60">
        <f>'A1. Data scoring'!H224</f>
        <v/>
      </c>
      <c r="F292" s="60">
        <f>'A1. Data scoring'!I224</f>
        <v/>
      </c>
      <c r="G292" s="60">
        <f>'A1. Data scoring'!J224</f>
        <v/>
      </c>
      <c r="H292" s="60">
        <f>'A1. Data scoring'!K224</f>
        <v/>
      </c>
      <c r="I292" s="60">
        <f>'A1. Data scoring'!M224</f>
        <v/>
      </c>
      <c r="R292" s="61" t="n"/>
    </row>
    <row r="293" ht="18" customHeight="1">
      <c r="B293" s="59" t="inlineStr">
        <is>
          <t>EN1(b)</t>
        </is>
      </c>
      <c r="D293" s="13" t="inlineStr">
        <is>
          <t>Data source and limitations</t>
        </is>
      </c>
      <c r="E293" s="60">
        <f>'A1. Data scoring'!H225</f>
        <v/>
      </c>
      <c r="F293" s="60">
        <f>'A1. Data scoring'!I225</f>
        <v/>
      </c>
      <c r="G293" s="60">
        <f>'A1. Data scoring'!J225</f>
        <v/>
      </c>
      <c r="H293" s="60">
        <f>'A1. Data scoring'!K225</f>
        <v/>
      </c>
      <c r="I293" s="60">
        <f>'A1. Data scoring'!M225</f>
        <v/>
      </c>
      <c r="R293" s="61" t="n"/>
    </row>
    <row r="294" ht="18" customHeight="1">
      <c r="B294" s="59" t="inlineStr">
        <is>
          <t>EN1(b)</t>
        </is>
      </c>
      <c r="D294" s="13" t="inlineStr">
        <is>
          <t>Data owner confirms</t>
        </is>
      </c>
      <c r="E294" s="60">
        <f>'A1. Data scoring'!H226</f>
        <v/>
      </c>
      <c r="F294" s="60">
        <f>'A1. Data scoring'!I226</f>
        <v/>
      </c>
      <c r="G294" s="60">
        <f>'A1. Data scoring'!J226</f>
        <v/>
      </c>
      <c r="H294" s="60">
        <f>'A1. Data scoring'!K226</f>
        <v/>
      </c>
      <c r="I294" s="60">
        <f>'A1. Data scoring'!M226</f>
        <v/>
      </c>
      <c r="R294" s="62" t="n"/>
    </row>
    <row r="296">
      <c r="B296" s="7" t="inlineStr">
        <is>
          <t>EN1(c)</t>
        </is>
      </c>
      <c r="C296" s="51" t="inlineStr">
        <is>
          <t>Coordinated internal engagement and external partnerships contributing to delivery of sustainability outcomes across priority areas.</t>
        </is>
      </c>
      <c r="D296" s="57" t="inlineStr">
        <is>
          <t>Unit</t>
        </is>
      </c>
      <c r="E296" s="57" t="inlineStr">
        <is>
          <t>ABP</t>
        </is>
      </c>
      <c r="F296" s="57" t="inlineStr">
        <is>
          <t>ARTS</t>
        </is>
      </c>
      <c r="G296" s="57" t="inlineStr">
        <is>
          <t>FBE</t>
        </is>
      </c>
      <c r="H296" s="57" t="inlineStr">
        <is>
          <t>SCI</t>
        </is>
      </c>
      <c r="I296" s="57" t="inlineStr">
        <is>
          <t>CI&amp;S – Sustainability Strategy</t>
        </is>
      </c>
      <c r="J296" s="57" t="inlineStr">
        <is>
          <t>CFOG – Procurement</t>
        </is>
      </c>
      <c r="K296" s="57" t="inlineStr">
        <is>
          <t>ESG – Campus Operations &amp; Sustainability Delivery</t>
        </is>
      </c>
      <c r="L296" s="57" t="inlineStr">
        <is>
          <t>CIOG – Responsible AI &amp; digital</t>
        </is>
      </c>
      <c r="M296" s="57" t="inlineStr">
        <is>
          <t>AC&amp;M – Advancement, Communication and Marketing</t>
        </is>
      </c>
      <c r="N296" s="57" t="inlineStr">
        <is>
          <t>GCE – Global, Culture and Engagement</t>
        </is>
      </c>
      <c r="O296" s="57" t="inlineStr">
        <is>
          <t>Education – Chancellery Education</t>
        </is>
      </c>
      <c r="P296" s="58">
        <f>'A1. Data scoring'!AH227</f>
        <v/>
      </c>
      <c r="Q296" s="58">
        <f>'A1. Data scoring'!AK227</f>
        <v/>
      </c>
      <c r="R296" s="8" t="n"/>
    </row>
    <row r="297" ht="18" customHeight="1">
      <c r="B297" s="59" t="inlineStr">
        <is>
          <t>EN1(c)</t>
        </is>
      </c>
      <c r="D297" s="13" t="inlineStr">
        <is>
          <t>Confirm end-2026 target status</t>
        </is>
      </c>
      <c r="E297" s="60">
        <f>'A1. Data scoring'!H227</f>
        <v/>
      </c>
      <c r="F297" s="60">
        <f>'A1. Data scoring'!I227</f>
        <v/>
      </c>
      <c r="G297" s="60">
        <f>'A1. Data scoring'!J227</f>
        <v/>
      </c>
      <c r="H297" s="60">
        <f>'A1. Data scoring'!K227</f>
        <v/>
      </c>
      <c r="I297" s="60">
        <f>'A1. Data scoring'!M227</f>
        <v/>
      </c>
      <c r="J297" s="60">
        <f>'A1. Data scoring'!N227</f>
        <v/>
      </c>
      <c r="K297" s="60">
        <f>'A1. Data scoring'!P227</f>
        <v/>
      </c>
      <c r="L297" s="60">
        <f>'A1. Data scoring'!Q227</f>
        <v/>
      </c>
      <c r="M297" s="60">
        <f>'A1. Data scoring'!S227</f>
        <v/>
      </c>
      <c r="N297" s="60">
        <f>'A1. Data scoring'!T227</f>
        <v/>
      </c>
      <c r="O297" s="60">
        <f>'A1. Data scoring'!U227</f>
        <v/>
      </c>
      <c r="R297" s="61" t="n"/>
    </row>
    <row r="298" ht="60" customHeight="1">
      <c r="B298" s="59" t="inlineStr">
        <is>
          <t>EN1(c)</t>
        </is>
      </c>
      <c r="D298" s="13" t="inlineStr">
        <is>
          <t>OPTION 1:  Target-level reporting</t>
        </is>
      </c>
      <c r="E298" s="60">
        <f>'A1. Data scoring'!H228</f>
        <v/>
      </c>
      <c r="F298" s="60">
        <f>'A1. Data scoring'!I228</f>
        <v/>
      </c>
      <c r="G298" s="60">
        <f>'A1. Data scoring'!J228</f>
        <v/>
      </c>
      <c r="H298" s="60">
        <f>'A1. Data scoring'!K228</f>
        <v/>
      </c>
      <c r="I298" s="60">
        <f>'A1. Data scoring'!M228</f>
        <v/>
      </c>
      <c r="J298" s="60">
        <f>'A1. Data scoring'!N228</f>
        <v/>
      </c>
      <c r="K298" s="60">
        <f>'A1. Data scoring'!P228</f>
        <v/>
      </c>
      <c r="L298" s="60">
        <f>'A1. Data scoring'!Q228</f>
        <v/>
      </c>
      <c r="M298" s="60">
        <f>'A1. Data scoring'!S228</f>
        <v/>
      </c>
      <c r="N298" s="60">
        <f>'A1. Data scoring'!T228</f>
        <v/>
      </c>
      <c r="O298" s="60">
        <f>'A1. Data scoring'!U228</f>
        <v/>
      </c>
      <c r="R298" s="61" t="n"/>
    </row>
    <row r="299" ht="60" customHeight="1">
      <c r="B299" s="59" t="inlineStr">
        <is>
          <t>EN1(c)</t>
        </is>
      </c>
      <c r="D299" s="13" t="inlineStr">
        <is>
          <t>OPTION 2:  Indicator level reporting</t>
        </is>
      </c>
      <c r="E299" s="60">
        <f>'A1. Data scoring'!H229</f>
        <v/>
      </c>
      <c r="F299" s="60">
        <f>'A1. Data scoring'!I229</f>
        <v/>
      </c>
      <c r="G299" s="60">
        <f>'A1. Data scoring'!J229</f>
        <v/>
      </c>
      <c r="H299" s="60">
        <f>'A1. Data scoring'!K229</f>
        <v/>
      </c>
      <c r="I299" s="60">
        <f>'A1. Data scoring'!M229</f>
        <v/>
      </c>
      <c r="J299" s="60">
        <f>'A1. Data scoring'!N229</f>
        <v/>
      </c>
      <c r="K299" s="60">
        <f>'A1. Data scoring'!P229</f>
        <v/>
      </c>
      <c r="L299" s="60">
        <f>'A1. Data scoring'!Q229</f>
        <v/>
      </c>
      <c r="M299" s="60">
        <f>'A1. Data scoring'!S229</f>
        <v/>
      </c>
      <c r="N299" s="60">
        <f>'A1. Data scoring'!T229</f>
        <v/>
      </c>
      <c r="O299" s="60">
        <f>'A1. Data scoring'!U229</f>
        <v/>
      </c>
      <c r="R299" s="61" t="n"/>
    </row>
    <row r="300" ht="18" customHeight="1">
      <c r="B300" s="59" t="inlineStr">
        <is>
          <t>EN1(c)</t>
        </is>
      </c>
      <c r="D300" s="13" t="inlineStr">
        <is>
          <t>Supporting information/comments</t>
        </is>
      </c>
      <c r="E300" s="60">
        <f>'A1. Data scoring'!H230</f>
        <v/>
      </c>
      <c r="F300" s="60">
        <f>'A1. Data scoring'!I230</f>
        <v/>
      </c>
      <c r="G300" s="60">
        <f>'A1. Data scoring'!J230</f>
        <v/>
      </c>
      <c r="H300" s="60">
        <f>'A1. Data scoring'!K230</f>
        <v/>
      </c>
      <c r="I300" s="60">
        <f>'A1. Data scoring'!M230</f>
        <v/>
      </c>
      <c r="J300" s="60">
        <f>'A1. Data scoring'!N230</f>
        <v/>
      </c>
      <c r="K300" s="60">
        <f>'A1. Data scoring'!P230</f>
        <v/>
      </c>
      <c r="L300" s="60">
        <f>'A1. Data scoring'!Q230</f>
        <v/>
      </c>
      <c r="M300" s="60">
        <f>'A1. Data scoring'!S230</f>
        <v/>
      </c>
      <c r="N300" s="60">
        <f>'A1. Data scoring'!T230</f>
        <v/>
      </c>
      <c r="O300" s="60">
        <f>'A1. Data scoring'!U230</f>
        <v/>
      </c>
      <c r="R300" s="61" t="n"/>
    </row>
    <row r="301" ht="18" customHeight="1">
      <c r="B301" s="59" t="inlineStr">
        <is>
          <t>EN1(c)</t>
        </is>
      </c>
      <c r="D301" s="13" t="inlineStr">
        <is>
          <t>Data source and limitations</t>
        </is>
      </c>
      <c r="E301" s="60">
        <f>'A1. Data scoring'!H231</f>
        <v/>
      </c>
      <c r="F301" s="60">
        <f>'A1. Data scoring'!I231</f>
        <v/>
      </c>
      <c r="G301" s="60">
        <f>'A1. Data scoring'!J231</f>
        <v/>
      </c>
      <c r="H301" s="60">
        <f>'A1. Data scoring'!K231</f>
        <v/>
      </c>
      <c r="I301" s="60">
        <f>'A1. Data scoring'!M231</f>
        <v/>
      </c>
      <c r="J301" s="60">
        <f>'A1. Data scoring'!N231</f>
        <v/>
      </c>
      <c r="K301" s="60">
        <f>'A1. Data scoring'!P231</f>
        <v/>
      </c>
      <c r="L301" s="60">
        <f>'A1. Data scoring'!Q231</f>
        <v/>
      </c>
      <c r="M301" s="60">
        <f>'A1. Data scoring'!S231</f>
        <v/>
      </c>
      <c r="N301" s="60">
        <f>'A1. Data scoring'!T231</f>
        <v/>
      </c>
      <c r="O301" s="60">
        <f>'A1. Data scoring'!U231</f>
        <v/>
      </c>
      <c r="R301" s="61" t="n"/>
    </row>
    <row r="302" ht="18" customHeight="1">
      <c r="B302" s="59" t="inlineStr">
        <is>
          <t>EN1(c)</t>
        </is>
      </c>
      <c r="D302" s="13" t="inlineStr">
        <is>
          <t>Data owner confirms</t>
        </is>
      </c>
      <c r="E302" s="60">
        <f>'A1. Data scoring'!H232</f>
        <v/>
      </c>
      <c r="F302" s="60">
        <f>'A1. Data scoring'!I232</f>
        <v/>
      </c>
      <c r="G302" s="60">
        <f>'A1. Data scoring'!J232</f>
        <v/>
      </c>
      <c r="H302" s="60">
        <f>'A1. Data scoring'!K232</f>
        <v/>
      </c>
      <c r="I302" s="60">
        <f>'A1. Data scoring'!M232</f>
        <v/>
      </c>
      <c r="J302" s="60">
        <f>'A1. Data scoring'!N232</f>
        <v/>
      </c>
      <c r="K302" s="60">
        <f>'A1. Data scoring'!P232</f>
        <v/>
      </c>
      <c r="L302" s="60">
        <f>'A1. Data scoring'!Q232</f>
        <v/>
      </c>
      <c r="M302" s="60">
        <f>'A1. Data scoring'!S232</f>
        <v/>
      </c>
      <c r="N302" s="60">
        <f>'A1. Data scoring'!T232</f>
        <v/>
      </c>
      <c r="O302" s="60">
        <f>'A1. Data scoring'!U232</f>
        <v/>
      </c>
      <c r="R302" s="62" t="n"/>
    </row>
    <row r="304">
      <c r="B304" s="7" t="inlineStr">
        <is>
          <t>EN1(d)</t>
        </is>
      </c>
      <c r="C304" s="51" t="inlineStr">
        <is>
          <t>Sustainability objectives integrated into governance and decision‑making processes, supported by transparent reporting.</t>
        </is>
      </c>
      <c r="D304" s="57" t="inlineStr">
        <is>
          <t>Unit</t>
        </is>
      </c>
      <c r="E304" s="57" t="inlineStr">
        <is>
          <t>CI&amp;S – Sustainability Strategy</t>
        </is>
      </c>
      <c r="F304" s="57" t="inlineStr">
        <is>
          <t>CFOG – Procurement</t>
        </is>
      </c>
      <c r="G304" s="57" t="inlineStr">
        <is>
          <t>ESG – Campus Operations &amp; Sustainability Delivery</t>
        </is>
      </c>
      <c r="H304" s="57" t="inlineStr">
        <is>
          <t>CIOG – Responsible AI &amp; digital</t>
        </is>
      </c>
      <c r="P304" s="58">
        <f>'A1. Data scoring'!AH233</f>
        <v/>
      </c>
      <c r="Q304" s="58">
        <f>'A1. Data scoring'!AK233</f>
        <v/>
      </c>
      <c r="R304" s="8" t="n"/>
    </row>
    <row r="305" ht="18" customHeight="1">
      <c r="B305" s="59" t="inlineStr">
        <is>
          <t>EN1(d)</t>
        </is>
      </c>
      <c r="D305" s="13" t="inlineStr">
        <is>
          <t>Confirm end-2026 target status</t>
        </is>
      </c>
      <c r="E305" s="60">
        <f>'A1. Data scoring'!M233</f>
        <v/>
      </c>
      <c r="F305" s="60">
        <f>'A1. Data scoring'!N233</f>
        <v/>
      </c>
      <c r="G305" s="60">
        <f>'A1. Data scoring'!P233</f>
        <v/>
      </c>
      <c r="H305" s="60">
        <f>'A1. Data scoring'!Q233</f>
        <v/>
      </c>
      <c r="R305" s="61" t="n"/>
    </row>
    <row r="306" ht="60" customHeight="1">
      <c r="B306" s="59" t="inlineStr">
        <is>
          <t>EN1(d)</t>
        </is>
      </c>
      <c r="D306" s="13" t="inlineStr">
        <is>
          <t>OPTION 1:  Target-level reporting</t>
        </is>
      </c>
      <c r="E306" s="60">
        <f>'A1. Data scoring'!M234</f>
        <v/>
      </c>
      <c r="F306" s="60">
        <f>'A1. Data scoring'!N234</f>
        <v/>
      </c>
      <c r="G306" s="60">
        <f>'A1. Data scoring'!P234</f>
        <v/>
      </c>
      <c r="H306" s="60">
        <f>'A1. Data scoring'!Q234</f>
        <v/>
      </c>
      <c r="R306" s="61" t="n"/>
    </row>
    <row r="307" ht="60" customHeight="1">
      <c r="B307" s="59" t="inlineStr">
        <is>
          <t>EN1(d)</t>
        </is>
      </c>
      <c r="D307" s="13" t="inlineStr">
        <is>
          <t>OPTION 2:  Indicator level reporting</t>
        </is>
      </c>
      <c r="E307" s="60">
        <f>'A1. Data scoring'!M235</f>
        <v/>
      </c>
      <c r="F307" s="60">
        <f>'A1. Data scoring'!N235</f>
        <v/>
      </c>
      <c r="G307" s="60">
        <f>'A1. Data scoring'!P235</f>
        <v/>
      </c>
      <c r="H307" s="60">
        <f>'A1. Data scoring'!Q235</f>
        <v/>
      </c>
      <c r="R307" s="61" t="n"/>
    </row>
    <row r="308" ht="18" customHeight="1">
      <c r="B308" s="59" t="inlineStr">
        <is>
          <t>EN1(d)</t>
        </is>
      </c>
      <c r="D308" s="13" t="inlineStr">
        <is>
          <t>Supporting information/comments</t>
        </is>
      </c>
      <c r="E308" s="60">
        <f>'A1. Data scoring'!M236</f>
        <v/>
      </c>
      <c r="F308" s="60">
        <f>'A1. Data scoring'!N236</f>
        <v/>
      </c>
      <c r="G308" s="60">
        <f>'A1. Data scoring'!P236</f>
        <v/>
      </c>
      <c r="H308" s="60">
        <f>'A1. Data scoring'!Q236</f>
        <v/>
      </c>
      <c r="R308" s="61" t="n"/>
    </row>
    <row r="309" ht="18" customHeight="1">
      <c r="B309" s="59" t="inlineStr">
        <is>
          <t>EN1(d)</t>
        </is>
      </c>
      <c r="D309" s="13" t="inlineStr">
        <is>
          <t>Data source and limitations</t>
        </is>
      </c>
      <c r="E309" s="60">
        <f>'A1. Data scoring'!M237</f>
        <v/>
      </c>
      <c r="F309" s="60">
        <f>'A1. Data scoring'!N237</f>
        <v/>
      </c>
      <c r="G309" s="60">
        <f>'A1. Data scoring'!P237</f>
        <v/>
      </c>
      <c r="H309" s="60">
        <f>'A1. Data scoring'!Q237</f>
        <v/>
      </c>
      <c r="R309" s="61" t="n"/>
    </row>
    <row r="310" ht="18" customHeight="1">
      <c r="B310" s="59" t="inlineStr">
        <is>
          <t>EN1(d)</t>
        </is>
      </c>
      <c r="D310" s="13" t="inlineStr">
        <is>
          <t>Data owner confirms</t>
        </is>
      </c>
      <c r="E310" s="60">
        <f>'A1. Data scoring'!M238</f>
        <v/>
      </c>
      <c r="F310" s="60">
        <f>'A1. Data scoring'!N238</f>
        <v/>
      </c>
      <c r="G310" s="60">
        <f>'A1. Data scoring'!P238</f>
        <v/>
      </c>
      <c r="H310" s="60">
        <f>'A1. Data scoring'!Q238</f>
        <v/>
      </c>
      <c r="R310" s="62" t="n"/>
    </row>
  </sheetData>
  <autoFilter ref="B7:R312"/>
  <mergeCells count="77">
    <mergeCell ref="R104:R110"/>
    <mergeCell ref="C185:C190"/>
    <mergeCell ref="C225:C230"/>
    <mergeCell ref="C265:C270"/>
    <mergeCell ref="R264:R270"/>
    <mergeCell ref="C177:C182"/>
    <mergeCell ref="C41:C46"/>
    <mergeCell ref="C201:C206"/>
    <mergeCell ref="C105:C110"/>
    <mergeCell ref="C129:C134"/>
    <mergeCell ref="C17:C22"/>
    <mergeCell ref="R168:R174"/>
    <mergeCell ref="R248:R254"/>
    <mergeCell ref="R232:R238"/>
    <mergeCell ref="R32:R38"/>
    <mergeCell ref="R24:R30"/>
    <mergeCell ref="R80:R86"/>
    <mergeCell ref="C49:C54"/>
    <mergeCell ref="R160:R166"/>
    <mergeCell ref="R200:R206"/>
    <mergeCell ref="C97:C102"/>
    <mergeCell ref="R144:R150"/>
    <mergeCell ref="R272:R278"/>
    <mergeCell ref="C281:C286"/>
    <mergeCell ref="R184:R190"/>
    <mergeCell ref="C113:C118"/>
    <mergeCell ref="R224:R230"/>
    <mergeCell ref="C65:C70"/>
    <mergeCell ref="R112:R118"/>
    <mergeCell ref="D4:J5"/>
    <mergeCell ref="C193:C198"/>
    <mergeCell ref="C273:C278"/>
    <mergeCell ref="R176:R182"/>
    <mergeCell ref="C257:C262"/>
    <mergeCell ref="C297:C302"/>
    <mergeCell ref="C153:C158"/>
    <mergeCell ref="C241:C246"/>
    <mergeCell ref="C209:C214"/>
    <mergeCell ref="C249:C254"/>
    <mergeCell ref="R16:R22"/>
    <mergeCell ref="R304:R310"/>
    <mergeCell ref="C57:C62"/>
    <mergeCell ref="C33:C38"/>
    <mergeCell ref="C73:C78"/>
    <mergeCell ref="R72:R78"/>
    <mergeCell ref="R240:R246"/>
    <mergeCell ref="R56:R62"/>
    <mergeCell ref="C25:C30"/>
    <mergeCell ref="C9:C14"/>
    <mergeCell ref="R120:R126"/>
    <mergeCell ref="R96:R102"/>
    <mergeCell ref="R152:R158"/>
    <mergeCell ref="R48:R54"/>
    <mergeCell ref="R288:R294"/>
    <mergeCell ref="R88:R94"/>
    <mergeCell ref="C169:C174"/>
    <mergeCell ref="R216:R222"/>
    <mergeCell ref="C233:C238"/>
    <mergeCell ref="R280:R286"/>
    <mergeCell ref="C81:C86"/>
    <mergeCell ref="R208:R214"/>
    <mergeCell ref="C161:C166"/>
    <mergeCell ref="C217:C222"/>
    <mergeCell ref="C289:C294"/>
    <mergeCell ref="C145:C150"/>
    <mergeCell ref="C89:C94"/>
    <mergeCell ref="C137:C142"/>
    <mergeCell ref="C121:C126"/>
    <mergeCell ref="C305:C310"/>
    <mergeCell ref="R136:R142"/>
    <mergeCell ref="R8:R14"/>
    <mergeCell ref="R64:R70"/>
    <mergeCell ref="R128:R134"/>
    <mergeCell ref="R256:R262"/>
    <mergeCell ref="R296:R302"/>
    <mergeCell ref="R192:R198"/>
    <mergeCell ref="R40:R46"/>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S21"/>
  <sheetViews>
    <sheetView showGridLines="0" workbookViewId="0">
      <pane xSplit="2" ySplit="14" topLeftCell="C15" activePane="bottomRight" state="frozen"/>
      <selection pane="topRight"/>
      <selection pane="bottomLeft"/>
      <selection pane="bottomRight" activeCell="A1" sqref="A1"/>
    </sheetView>
  </sheetViews>
  <sheetFormatPr baseColWidth="8" defaultRowHeight="15"/>
  <cols>
    <col width="26"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s>
  <sheetData>
    <row r="1">
      <c r="A1" s="1" t="inlineStr">
        <is>
          <t>↑</t>
        </is>
      </c>
      <c r="B1" s="2" t="inlineStr">
        <is>
          <t>End-2026 target status assessment and reporting</t>
        </is>
      </c>
    </row>
    <row r="2">
      <c r="B2" s="3" t="inlineStr">
        <is>
          <t>T2. Single target review</t>
        </is>
      </c>
    </row>
    <row r="4">
      <c r="B4" s="32" t="inlineStr">
        <is>
          <t>Target selected</t>
        </is>
      </c>
      <c r="C4" s="63" t="inlineStr">
        <is>
          <t>EE1(a)</t>
        </is>
      </c>
      <c r="D4" s="64">
        <f>IF($C$4="EE1(c)","Faculties answer this indicator in their EE1(a) response (merged question) – review both.","← select an indicator ref from the dropdown")</f>
        <v/>
      </c>
    </row>
    <row r="5" ht="45" customHeight="1">
      <c r="B5" s="65" t="inlineStr">
        <is>
          <t>Priority area</t>
        </is>
      </c>
      <c r="C5" s="66">
        <f>IFERROR(INDEX('1. Requirements matrix'!$D$6:$D$43,MATCH($C$4,'1. Requirements matrix'!$B$6:$B$43,0)),"")</f>
        <v/>
      </c>
    </row>
    <row r="6" ht="45" customHeight="1">
      <c r="B6" s="65" t="inlineStr">
        <is>
          <t>Target</t>
        </is>
      </c>
      <c r="C6" s="66">
        <f>IFERROR(INDEX('1. Requirements matrix'!$E$6:$E$43,MATCH($C$4,'1. Requirements matrix'!$B$6:$B$43,0)),"")</f>
        <v/>
      </c>
    </row>
    <row r="7" ht="45" customHeight="1">
      <c r="B7" s="65" t="inlineStr">
        <is>
          <t>Indicator</t>
        </is>
      </c>
      <c r="C7" s="66">
        <f>IFERROR(INDEX('1. Requirements matrix'!$F$6:$F$43,MATCH($C$4,'1. Requirements matrix'!$B$6:$B$43,0)),"")</f>
        <v/>
      </c>
    </row>
    <row r="8" ht="45" customHeight="1">
      <c r="B8" s="65" t="inlineStr">
        <is>
          <t>Reporting requirement</t>
        </is>
      </c>
      <c r="C8" s="66">
        <f>IFERROR(INDEX('1. Requirements matrix'!$G$6:$G$43,MATCH($C$4,'1. Requirements matrix'!$B$6:$B$43,0)),"")</f>
        <v/>
      </c>
    </row>
    <row r="9" ht="45" customHeight="1">
      <c r="B9" s="65" t="inlineStr">
        <is>
          <t>Request issued to</t>
        </is>
      </c>
      <c r="C9" s="66">
        <f>IFERROR(INDEX('1. Requirements matrix'!$I$6:$I$43,MATCH($C$4,'1. Requirements matrix'!$B$6:$B$43,0)),"")</f>
        <v/>
      </c>
    </row>
    <row r="11">
      <c r="B11" s="67" t="inlineStr">
        <is>
          <t>Target score (text)</t>
        </is>
      </c>
      <c r="D11" s="67" t="inlineStr">
        <is>
          <t>Threshold status (SR25 rule)</t>
        </is>
      </c>
      <c r="F11" s="67" t="inlineStr">
        <is>
          <t>% met</t>
        </is>
      </c>
      <c r="H11" s="67" t="inlineStr">
        <is>
          <t>Total valid responses</t>
        </is>
      </c>
      <c r="J11" s="67" t="inlineStr">
        <is>
          <t>Requested, no response received</t>
        </is>
      </c>
    </row>
    <row r="12">
      <c r="B12" s="68">
        <f>IFERROR(INDEX('A1. Data scoring'!$AH$11:$AH$238,MATCH($C$4&amp;"|"&amp;"Confirm end-2026 target status",'A1. Data scoring'!$A$11:$A$238,0)),"")</f>
        <v/>
      </c>
      <c r="D12" s="68">
        <f>IFERROR(INDEX('A1. Data scoring'!$AK$11:$AK$238,MATCH($C$4&amp;"|"&amp;"Confirm end-2026 target status",'A1. Data scoring'!$A$11:$A$238,0)),"")</f>
        <v/>
      </c>
      <c r="F12" s="69">
        <f>IFERROR(INDEX('A1. Data scoring'!$AI$11:$AI$238,MATCH($C$4&amp;"|"&amp;"Confirm end-2026 target status",'A1. Data scoring'!$A$11:$A$238,0)),"")</f>
        <v/>
      </c>
      <c r="H12" s="68">
        <f>IFERROR(INDEX('A1. Data scoring'!$AF$11:$AF$238,MATCH($C$4&amp;"|"&amp;"Confirm end-2026 target status",'A1. Data scoring'!$A$11:$A$238,0)),"")</f>
        <v/>
      </c>
      <c r="J12" s="68">
        <f>IFERROR(INDEX('A1. Data scoring'!$Z$11:$Z$238,MATCH($C$4&amp;"|"&amp;"Confirm end-2026 target status",'A1. Data scoring'!$A$11:$A$238,0)),"")</f>
        <v/>
      </c>
    </row>
    <row r="14">
      <c r="B14" s="6" t="inlineStr">
        <is>
          <t>Target progress</t>
        </is>
      </c>
      <c r="C14" s="6" t="inlineStr">
        <is>
          <t>ABP</t>
        </is>
      </c>
      <c r="D14" s="6" t="inlineStr">
        <is>
          <t>ARTS</t>
        </is>
      </c>
      <c r="E14" s="6" t="inlineStr">
        <is>
          <t>FBE</t>
        </is>
      </c>
      <c r="F14" s="6" t="inlineStr">
        <is>
          <t>SCI</t>
        </is>
      </c>
      <c r="G14" s="6" t="inlineStr">
        <is>
          <t>CI&amp;S – Estate Planning &amp; Development</t>
        </is>
      </c>
      <c r="H14" s="6" t="inlineStr">
        <is>
          <t>CI&amp;S – Sustainability Strategy</t>
        </is>
      </c>
      <c r="I14" s="6" t="inlineStr">
        <is>
          <t>CFOG – Procurement</t>
        </is>
      </c>
      <c r="J14" s="6" t="inlineStr">
        <is>
          <t>CFOG – Treasury &amp; Investments</t>
        </is>
      </c>
      <c r="K14" s="6" t="inlineStr">
        <is>
          <t>ESG – Campus Operations &amp; Sustainability Delivery</t>
        </is>
      </c>
      <c r="L14" s="6" t="inlineStr">
        <is>
          <t>CIOG – Responsible AI &amp; digital</t>
        </is>
      </c>
      <c r="M14" s="6" t="inlineStr">
        <is>
          <t>MRE – Research</t>
        </is>
      </c>
      <c r="N14" s="6" t="inlineStr">
        <is>
          <t>AC&amp;M – Advancement, Communication and Marketing</t>
        </is>
      </c>
      <c r="O14" s="6" t="inlineStr">
        <is>
          <t>GCE – Global, Culture and Engagement</t>
        </is>
      </c>
      <c r="P14" s="6" t="inlineStr">
        <is>
          <t>Education – Chancellery Education</t>
        </is>
      </c>
      <c r="Q14" s="6" t="inlineStr">
        <is>
          <t>SaSS – Student and Scholarly Services</t>
        </is>
      </c>
      <c r="R14" s="6" t="inlineStr">
        <is>
          <t>Indigenous – Chancellery Indigenous</t>
        </is>
      </c>
      <c r="S14" s="6" t="inlineStr">
        <is>
          <t>Legal &amp; Risk – Risk &amp; resilience</t>
        </is>
      </c>
    </row>
    <row r="15">
      <c r="B15" s="57" t="inlineStr">
        <is>
          <t>Requested?</t>
        </is>
      </c>
      <c r="C15" s="70">
        <f>IFERROR(INDEX('0.5 Target Check'!C$7:C$44,MATCH($C$4,'0.5 Target Check'!$B$7:$B$44,0)),"")</f>
        <v/>
      </c>
      <c r="D15" s="70">
        <f>IFERROR(INDEX('0.5 Target Check'!D$7:D$44,MATCH($C$4,'0.5 Target Check'!$B$7:$B$44,0)),"")</f>
        <v/>
      </c>
      <c r="E15" s="70">
        <f>IFERROR(INDEX('0.5 Target Check'!E$7:E$44,MATCH($C$4,'0.5 Target Check'!$B$7:$B$44,0)),"")</f>
        <v/>
      </c>
      <c r="F15" s="70">
        <f>IFERROR(INDEX('0.5 Target Check'!F$7:F$44,MATCH($C$4,'0.5 Target Check'!$B$7:$B$44,0)),"")</f>
        <v/>
      </c>
      <c r="G15" s="70">
        <f>IFERROR(INDEX('0.5 Target Check'!G$7:G$44,MATCH($C$4,'0.5 Target Check'!$B$7:$B$44,0)),"")</f>
        <v/>
      </c>
      <c r="H15" s="70">
        <f>IFERROR(INDEX('0.5 Target Check'!H$7:H$44,MATCH($C$4,'0.5 Target Check'!$B$7:$B$44,0)),"")</f>
        <v/>
      </c>
      <c r="I15" s="70">
        <f>IFERROR(INDEX('0.5 Target Check'!I$7:I$44,MATCH($C$4,'0.5 Target Check'!$B$7:$B$44,0)),"")</f>
        <v/>
      </c>
      <c r="J15" s="70">
        <f>IFERROR(INDEX('0.5 Target Check'!J$7:J$44,MATCH($C$4,'0.5 Target Check'!$B$7:$B$44,0)),"")</f>
        <v/>
      </c>
      <c r="K15" s="70">
        <f>IFERROR(INDEX('0.5 Target Check'!K$7:K$44,MATCH($C$4,'0.5 Target Check'!$B$7:$B$44,0)),"")</f>
        <v/>
      </c>
      <c r="L15" s="70">
        <f>IFERROR(INDEX('0.5 Target Check'!L$7:L$44,MATCH($C$4,'0.5 Target Check'!$B$7:$B$44,0)),"")</f>
        <v/>
      </c>
      <c r="M15" s="70">
        <f>IFERROR(INDEX('0.5 Target Check'!M$7:M$44,MATCH($C$4,'0.5 Target Check'!$B$7:$B$44,0)),"")</f>
        <v/>
      </c>
      <c r="N15" s="70">
        <f>IFERROR(INDEX('0.5 Target Check'!N$7:N$44,MATCH($C$4,'0.5 Target Check'!$B$7:$B$44,0)),"")</f>
        <v/>
      </c>
      <c r="O15" s="70">
        <f>IFERROR(INDEX('0.5 Target Check'!O$7:O$44,MATCH($C$4,'0.5 Target Check'!$B$7:$B$44,0)),"")</f>
        <v/>
      </c>
      <c r="P15" s="70">
        <f>IFERROR(INDEX('0.5 Target Check'!P$7:P$44,MATCH($C$4,'0.5 Target Check'!$B$7:$B$44,0)),"")</f>
        <v/>
      </c>
      <c r="Q15" s="70">
        <f>IFERROR(INDEX('0.5 Target Check'!Q$7:Q$44,MATCH($C$4,'0.5 Target Check'!$B$7:$B$44,0)),"")</f>
        <v/>
      </c>
      <c r="R15" s="70">
        <f>IFERROR(INDEX('0.5 Target Check'!R$7:R$44,MATCH($C$4,'0.5 Target Check'!$B$7:$B$44,0)),"")</f>
        <v/>
      </c>
      <c r="S15" s="70">
        <f>IFERROR(INDEX('0.5 Target Check'!S$7:S$44,MATCH($C$4,'0.5 Target Check'!$B$7:$B$44,0)),"")</f>
        <v/>
      </c>
    </row>
    <row r="16" ht="45" customHeight="1">
      <c r="B16" s="7" t="inlineStr">
        <is>
          <t>Confirm end-2026 target status</t>
        </is>
      </c>
      <c r="C16" s="8">
        <f>IFERROR(INDEX('A1. Data scoring'!H$11:H$238,MATCH($C$4&amp;"|"&amp;$B16,'A1. Data scoring'!$A$11:$A$238,0)),"")</f>
        <v/>
      </c>
      <c r="D16" s="8">
        <f>IFERROR(INDEX('A1. Data scoring'!I$11:I$238,MATCH($C$4&amp;"|"&amp;$B16,'A1. Data scoring'!$A$11:$A$238,0)),"")</f>
        <v/>
      </c>
      <c r="E16" s="8">
        <f>IFERROR(INDEX('A1. Data scoring'!J$11:J$238,MATCH($C$4&amp;"|"&amp;$B16,'A1. Data scoring'!$A$11:$A$238,0)),"")</f>
        <v/>
      </c>
      <c r="F16" s="8">
        <f>IFERROR(INDEX('A1. Data scoring'!K$11:K$238,MATCH($C$4&amp;"|"&amp;$B16,'A1. Data scoring'!$A$11:$A$238,0)),"")</f>
        <v/>
      </c>
      <c r="G16" s="8">
        <f>IFERROR(INDEX('A1. Data scoring'!L$11:L$238,MATCH($C$4&amp;"|"&amp;$B16,'A1. Data scoring'!$A$11:$A$238,0)),"")</f>
        <v/>
      </c>
      <c r="H16" s="8">
        <f>IFERROR(INDEX('A1. Data scoring'!M$11:M$238,MATCH($C$4&amp;"|"&amp;$B16,'A1. Data scoring'!$A$11:$A$238,0)),"")</f>
        <v/>
      </c>
      <c r="I16" s="8">
        <f>IFERROR(INDEX('A1. Data scoring'!N$11:N$238,MATCH($C$4&amp;"|"&amp;$B16,'A1. Data scoring'!$A$11:$A$238,0)),"")</f>
        <v/>
      </c>
      <c r="J16" s="8">
        <f>IFERROR(INDEX('A1. Data scoring'!O$11:O$238,MATCH($C$4&amp;"|"&amp;$B16,'A1. Data scoring'!$A$11:$A$238,0)),"")</f>
        <v/>
      </c>
      <c r="K16" s="8">
        <f>IFERROR(INDEX('A1. Data scoring'!P$11:P$238,MATCH($C$4&amp;"|"&amp;$B16,'A1. Data scoring'!$A$11:$A$238,0)),"")</f>
        <v/>
      </c>
      <c r="L16" s="8">
        <f>IFERROR(INDEX('A1. Data scoring'!Q$11:Q$238,MATCH($C$4&amp;"|"&amp;$B16,'A1. Data scoring'!$A$11:$A$238,0)),"")</f>
        <v/>
      </c>
      <c r="M16" s="8">
        <f>IFERROR(INDEX('A1. Data scoring'!R$11:R$238,MATCH($C$4&amp;"|"&amp;$B16,'A1. Data scoring'!$A$11:$A$238,0)),"")</f>
        <v/>
      </c>
      <c r="N16" s="8">
        <f>IFERROR(INDEX('A1. Data scoring'!S$11:S$238,MATCH($C$4&amp;"|"&amp;$B16,'A1. Data scoring'!$A$11:$A$238,0)),"")</f>
        <v/>
      </c>
      <c r="O16" s="8">
        <f>IFERROR(INDEX('A1. Data scoring'!T$11:T$238,MATCH($C$4&amp;"|"&amp;$B16,'A1. Data scoring'!$A$11:$A$238,0)),"")</f>
        <v/>
      </c>
      <c r="P16" s="8">
        <f>IFERROR(INDEX('A1. Data scoring'!U$11:U$238,MATCH($C$4&amp;"|"&amp;$B16,'A1. Data scoring'!$A$11:$A$238,0)),"")</f>
        <v/>
      </c>
      <c r="Q16" s="8">
        <f>IFERROR(INDEX('A1. Data scoring'!V$11:V$238,MATCH($C$4&amp;"|"&amp;$B16,'A1. Data scoring'!$A$11:$A$238,0)),"")</f>
        <v/>
      </c>
      <c r="R16" s="8">
        <f>IFERROR(INDEX('A1. Data scoring'!W$11:W$238,MATCH($C$4&amp;"|"&amp;$B16,'A1. Data scoring'!$A$11:$A$238,0)),"")</f>
        <v/>
      </c>
      <c r="S16" s="8">
        <f>IFERROR(INDEX('A1. Data scoring'!X$11:X$238,MATCH($C$4&amp;"|"&amp;$B16,'A1. Data scoring'!$A$11:$A$238,0)),"")</f>
        <v/>
      </c>
    </row>
    <row r="17" ht="120" customHeight="1">
      <c r="B17" s="7" t="inlineStr">
        <is>
          <t>OPTION 1:  Target-level reporting</t>
        </is>
      </c>
      <c r="C17" s="8">
        <f>IFERROR(INDEX('A1. Data scoring'!H$11:H$238,MATCH($C$4&amp;"|"&amp;$B17,'A1. Data scoring'!$A$11:$A$238,0)),"")</f>
        <v/>
      </c>
      <c r="D17" s="8">
        <f>IFERROR(INDEX('A1. Data scoring'!I$11:I$238,MATCH($C$4&amp;"|"&amp;$B17,'A1. Data scoring'!$A$11:$A$238,0)),"")</f>
        <v/>
      </c>
      <c r="E17" s="8">
        <f>IFERROR(INDEX('A1. Data scoring'!J$11:J$238,MATCH($C$4&amp;"|"&amp;$B17,'A1. Data scoring'!$A$11:$A$238,0)),"")</f>
        <v/>
      </c>
      <c r="F17" s="8">
        <f>IFERROR(INDEX('A1. Data scoring'!K$11:K$238,MATCH($C$4&amp;"|"&amp;$B17,'A1. Data scoring'!$A$11:$A$238,0)),"")</f>
        <v/>
      </c>
      <c r="G17" s="8">
        <f>IFERROR(INDEX('A1. Data scoring'!L$11:L$238,MATCH($C$4&amp;"|"&amp;$B17,'A1. Data scoring'!$A$11:$A$238,0)),"")</f>
        <v/>
      </c>
      <c r="H17" s="8">
        <f>IFERROR(INDEX('A1. Data scoring'!M$11:M$238,MATCH($C$4&amp;"|"&amp;$B17,'A1. Data scoring'!$A$11:$A$238,0)),"")</f>
        <v/>
      </c>
      <c r="I17" s="8">
        <f>IFERROR(INDEX('A1. Data scoring'!N$11:N$238,MATCH($C$4&amp;"|"&amp;$B17,'A1. Data scoring'!$A$11:$A$238,0)),"")</f>
        <v/>
      </c>
      <c r="J17" s="8">
        <f>IFERROR(INDEX('A1. Data scoring'!O$11:O$238,MATCH($C$4&amp;"|"&amp;$B17,'A1. Data scoring'!$A$11:$A$238,0)),"")</f>
        <v/>
      </c>
      <c r="K17" s="8">
        <f>IFERROR(INDEX('A1. Data scoring'!P$11:P$238,MATCH($C$4&amp;"|"&amp;$B17,'A1. Data scoring'!$A$11:$A$238,0)),"")</f>
        <v/>
      </c>
      <c r="L17" s="8">
        <f>IFERROR(INDEX('A1. Data scoring'!Q$11:Q$238,MATCH($C$4&amp;"|"&amp;$B17,'A1. Data scoring'!$A$11:$A$238,0)),"")</f>
        <v/>
      </c>
      <c r="M17" s="8">
        <f>IFERROR(INDEX('A1. Data scoring'!R$11:R$238,MATCH($C$4&amp;"|"&amp;$B17,'A1. Data scoring'!$A$11:$A$238,0)),"")</f>
        <v/>
      </c>
      <c r="N17" s="8">
        <f>IFERROR(INDEX('A1. Data scoring'!S$11:S$238,MATCH($C$4&amp;"|"&amp;$B17,'A1. Data scoring'!$A$11:$A$238,0)),"")</f>
        <v/>
      </c>
      <c r="O17" s="8">
        <f>IFERROR(INDEX('A1. Data scoring'!T$11:T$238,MATCH($C$4&amp;"|"&amp;$B17,'A1. Data scoring'!$A$11:$A$238,0)),"")</f>
        <v/>
      </c>
      <c r="P17" s="8">
        <f>IFERROR(INDEX('A1. Data scoring'!U$11:U$238,MATCH($C$4&amp;"|"&amp;$B17,'A1. Data scoring'!$A$11:$A$238,0)),"")</f>
        <v/>
      </c>
      <c r="Q17" s="8">
        <f>IFERROR(INDEX('A1. Data scoring'!V$11:V$238,MATCH($C$4&amp;"|"&amp;$B17,'A1. Data scoring'!$A$11:$A$238,0)),"")</f>
        <v/>
      </c>
      <c r="R17" s="8">
        <f>IFERROR(INDEX('A1. Data scoring'!W$11:W$238,MATCH($C$4&amp;"|"&amp;$B17,'A1. Data scoring'!$A$11:$A$238,0)),"")</f>
        <v/>
      </c>
      <c r="S17" s="8">
        <f>IFERROR(INDEX('A1. Data scoring'!X$11:X$238,MATCH($C$4&amp;"|"&amp;$B17,'A1. Data scoring'!$A$11:$A$238,0)),"")</f>
        <v/>
      </c>
    </row>
    <row r="18" ht="120" customHeight="1">
      <c r="B18" s="7" t="inlineStr">
        <is>
          <t>OPTION 2:  Indicator level reporting</t>
        </is>
      </c>
      <c r="C18" s="8">
        <f>IFERROR(INDEX('A1. Data scoring'!H$11:H$238,MATCH($C$4&amp;"|"&amp;$B18,'A1. Data scoring'!$A$11:$A$238,0)),"")</f>
        <v/>
      </c>
      <c r="D18" s="8">
        <f>IFERROR(INDEX('A1. Data scoring'!I$11:I$238,MATCH($C$4&amp;"|"&amp;$B18,'A1. Data scoring'!$A$11:$A$238,0)),"")</f>
        <v/>
      </c>
      <c r="E18" s="8">
        <f>IFERROR(INDEX('A1. Data scoring'!J$11:J$238,MATCH($C$4&amp;"|"&amp;$B18,'A1. Data scoring'!$A$11:$A$238,0)),"")</f>
        <v/>
      </c>
      <c r="F18" s="8">
        <f>IFERROR(INDEX('A1. Data scoring'!K$11:K$238,MATCH($C$4&amp;"|"&amp;$B18,'A1. Data scoring'!$A$11:$A$238,0)),"")</f>
        <v/>
      </c>
      <c r="G18" s="8">
        <f>IFERROR(INDEX('A1. Data scoring'!L$11:L$238,MATCH($C$4&amp;"|"&amp;$B18,'A1. Data scoring'!$A$11:$A$238,0)),"")</f>
        <v/>
      </c>
      <c r="H18" s="8">
        <f>IFERROR(INDEX('A1. Data scoring'!M$11:M$238,MATCH($C$4&amp;"|"&amp;$B18,'A1. Data scoring'!$A$11:$A$238,0)),"")</f>
        <v/>
      </c>
      <c r="I18" s="8">
        <f>IFERROR(INDEX('A1. Data scoring'!N$11:N$238,MATCH($C$4&amp;"|"&amp;$B18,'A1. Data scoring'!$A$11:$A$238,0)),"")</f>
        <v/>
      </c>
      <c r="J18" s="8">
        <f>IFERROR(INDEX('A1. Data scoring'!O$11:O$238,MATCH($C$4&amp;"|"&amp;$B18,'A1. Data scoring'!$A$11:$A$238,0)),"")</f>
        <v/>
      </c>
      <c r="K18" s="8">
        <f>IFERROR(INDEX('A1. Data scoring'!P$11:P$238,MATCH($C$4&amp;"|"&amp;$B18,'A1. Data scoring'!$A$11:$A$238,0)),"")</f>
        <v/>
      </c>
      <c r="L18" s="8">
        <f>IFERROR(INDEX('A1. Data scoring'!Q$11:Q$238,MATCH($C$4&amp;"|"&amp;$B18,'A1. Data scoring'!$A$11:$A$238,0)),"")</f>
        <v/>
      </c>
      <c r="M18" s="8">
        <f>IFERROR(INDEX('A1. Data scoring'!R$11:R$238,MATCH($C$4&amp;"|"&amp;$B18,'A1. Data scoring'!$A$11:$A$238,0)),"")</f>
        <v/>
      </c>
      <c r="N18" s="8">
        <f>IFERROR(INDEX('A1. Data scoring'!S$11:S$238,MATCH($C$4&amp;"|"&amp;$B18,'A1. Data scoring'!$A$11:$A$238,0)),"")</f>
        <v/>
      </c>
      <c r="O18" s="8">
        <f>IFERROR(INDEX('A1. Data scoring'!T$11:T$238,MATCH($C$4&amp;"|"&amp;$B18,'A1. Data scoring'!$A$11:$A$238,0)),"")</f>
        <v/>
      </c>
      <c r="P18" s="8">
        <f>IFERROR(INDEX('A1. Data scoring'!U$11:U$238,MATCH($C$4&amp;"|"&amp;$B18,'A1. Data scoring'!$A$11:$A$238,0)),"")</f>
        <v/>
      </c>
      <c r="Q18" s="8">
        <f>IFERROR(INDEX('A1. Data scoring'!V$11:V$238,MATCH($C$4&amp;"|"&amp;$B18,'A1. Data scoring'!$A$11:$A$238,0)),"")</f>
        <v/>
      </c>
      <c r="R18" s="8">
        <f>IFERROR(INDEX('A1. Data scoring'!W$11:W$238,MATCH($C$4&amp;"|"&amp;$B18,'A1. Data scoring'!$A$11:$A$238,0)),"")</f>
        <v/>
      </c>
      <c r="S18" s="8">
        <f>IFERROR(INDEX('A1. Data scoring'!X$11:X$238,MATCH($C$4&amp;"|"&amp;$B18,'A1. Data scoring'!$A$11:$A$238,0)),"")</f>
        <v/>
      </c>
    </row>
    <row r="19" ht="45" customHeight="1">
      <c r="B19" s="7" t="inlineStr">
        <is>
          <t>Supporting information/comments</t>
        </is>
      </c>
      <c r="C19" s="8">
        <f>IFERROR(INDEX('A1. Data scoring'!H$11:H$238,MATCH($C$4&amp;"|"&amp;$B19,'A1. Data scoring'!$A$11:$A$238,0)),"")</f>
        <v/>
      </c>
      <c r="D19" s="8">
        <f>IFERROR(INDEX('A1. Data scoring'!I$11:I$238,MATCH($C$4&amp;"|"&amp;$B19,'A1. Data scoring'!$A$11:$A$238,0)),"")</f>
        <v/>
      </c>
      <c r="E19" s="8">
        <f>IFERROR(INDEX('A1. Data scoring'!J$11:J$238,MATCH($C$4&amp;"|"&amp;$B19,'A1. Data scoring'!$A$11:$A$238,0)),"")</f>
        <v/>
      </c>
      <c r="F19" s="8">
        <f>IFERROR(INDEX('A1. Data scoring'!K$11:K$238,MATCH($C$4&amp;"|"&amp;$B19,'A1. Data scoring'!$A$11:$A$238,0)),"")</f>
        <v/>
      </c>
      <c r="G19" s="8">
        <f>IFERROR(INDEX('A1. Data scoring'!L$11:L$238,MATCH($C$4&amp;"|"&amp;$B19,'A1. Data scoring'!$A$11:$A$238,0)),"")</f>
        <v/>
      </c>
      <c r="H19" s="8">
        <f>IFERROR(INDEX('A1. Data scoring'!M$11:M$238,MATCH($C$4&amp;"|"&amp;$B19,'A1. Data scoring'!$A$11:$A$238,0)),"")</f>
        <v/>
      </c>
      <c r="I19" s="8">
        <f>IFERROR(INDEX('A1. Data scoring'!N$11:N$238,MATCH($C$4&amp;"|"&amp;$B19,'A1. Data scoring'!$A$11:$A$238,0)),"")</f>
        <v/>
      </c>
      <c r="J19" s="8">
        <f>IFERROR(INDEX('A1. Data scoring'!O$11:O$238,MATCH($C$4&amp;"|"&amp;$B19,'A1. Data scoring'!$A$11:$A$238,0)),"")</f>
        <v/>
      </c>
      <c r="K19" s="8">
        <f>IFERROR(INDEX('A1. Data scoring'!P$11:P$238,MATCH($C$4&amp;"|"&amp;$B19,'A1. Data scoring'!$A$11:$A$238,0)),"")</f>
        <v/>
      </c>
      <c r="L19" s="8">
        <f>IFERROR(INDEX('A1. Data scoring'!Q$11:Q$238,MATCH($C$4&amp;"|"&amp;$B19,'A1. Data scoring'!$A$11:$A$238,0)),"")</f>
        <v/>
      </c>
      <c r="M19" s="8">
        <f>IFERROR(INDEX('A1. Data scoring'!R$11:R$238,MATCH($C$4&amp;"|"&amp;$B19,'A1. Data scoring'!$A$11:$A$238,0)),"")</f>
        <v/>
      </c>
      <c r="N19" s="8">
        <f>IFERROR(INDEX('A1. Data scoring'!S$11:S$238,MATCH($C$4&amp;"|"&amp;$B19,'A1. Data scoring'!$A$11:$A$238,0)),"")</f>
        <v/>
      </c>
      <c r="O19" s="8">
        <f>IFERROR(INDEX('A1. Data scoring'!T$11:T$238,MATCH($C$4&amp;"|"&amp;$B19,'A1. Data scoring'!$A$11:$A$238,0)),"")</f>
        <v/>
      </c>
      <c r="P19" s="8">
        <f>IFERROR(INDEX('A1. Data scoring'!U$11:U$238,MATCH($C$4&amp;"|"&amp;$B19,'A1. Data scoring'!$A$11:$A$238,0)),"")</f>
        <v/>
      </c>
      <c r="Q19" s="8">
        <f>IFERROR(INDEX('A1. Data scoring'!V$11:V$238,MATCH($C$4&amp;"|"&amp;$B19,'A1. Data scoring'!$A$11:$A$238,0)),"")</f>
        <v/>
      </c>
      <c r="R19" s="8">
        <f>IFERROR(INDEX('A1. Data scoring'!W$11:W$238,MATCH($C$4&amp;"|"&amp;$B19,'A1. Data scoring'!$A$11:$A$238,0)),"")</f>
        <v/>
      </c>
      <c r="S19" s="8">
        <f>IFERROR(INDEX('A1. Data scoring'!X$11:X$238,MATCH($C$4&amp;"|"&amp;$B19,'A1. Data scoring'!$A$11:$A$238,0)),"")</f>
        <v/>
      </c>
    </row>
    <row r="20" ht="45" customHeight="1">
      <c r="B20" s="7" t="inlineStr">
        <is>
          <t>Data source and limitations</t>
        </is>
      </c>
      <c r="C20" s="8">
        <f>IFERROR(INDEX('A1. Data scoring'!H$11:H$238,MATCH($C$4&amp;"|"&amp;$B20,'A1. Data scoring'!$A$11:$A$238,0)),"")</f>
        <v/>
      </c>
      <c r="D20" s="8">
        <f>IFERROR(INDEX('A1. Data scoring'!I$11:I$238,MATCH($C$4&amp;"|"&amp;$B20,'A1. Data scoring'!$A$11:$A$238,0)),"")</f>
        <v/>
      </c>
      <c r="E20" s="8">
        <f>IFERROR(INDEX('A1. Data scoring'!J$11:J$238,MATCH($C$4&amp;"|"&amp;$B20,'A1. Data scoring'!$A$11:$A$238,0)),"")</f>
        <v/>
      </c>
      <c r="F20" s="8">
        <f>IFERROR(INDEX('A1. Data scoring'!K$11:K$238,MATCH($C$4&amp;"|"&amp;$B20,'A1. Data scoring'!$A$11:$A$238,0)),"")</f>
        <v/>
      </c>
      <c r="G20" s="8">
        <f>IFERROR(INDEX('A1. Data scoring'!L$11:L$238,MATCH($C$4&amp;"|"&amp;$B20,'A1. Data scoring'!$A$11:$A$238,0)),"")</f>
        <v/>
      </c>
      <c r="H20" s="8">
        <f>IFERROR(INDEX('A1. Data scoring'!M$11:M$238,MATCH($C$4&amp;"|"&amp;$B20,'A1. Data scoring'!$A$11:$A$238,0)),"")</f>
        <v/>
      </c>
      <c r="I20" s="8">
        <f>IFERROR(INDEX('A1. Data scoring'!N$11:N$238,MATCH($C$4&amp;"|"&amp;$B20,'A1. Data scoring'!$A$11:$A$238,0)),"")</f>
        <v/>
      </c>
      <c r="J20" s="8">
        <f>IFERROR(INDEX('A1. Data scoring'!O$11:O$238,MATCH($C$4&amp;"|"&amp;$B20,'A1. Data scoring'!$A$11:$A$238,0)),"")</f>
        <v/>
      </c>
      <c r="K20" s="8">
        <f>IFERROR(INDEX('A1. Data scoring'!P$11:P$238,MATCH($C$4&amp;"|"&amp;$B20,'A1. Data scoring'!$A$11:$A$238,0)),"")</f>
        <v/>
      </c>
      <c r="L20" s="8">
        <f>IFERROR(INDEX('A1. Data scoring'!Q$11:Q$238,MATCH($C$4&amp;"|"&amp;$B20,'A1. Data scoring'!$A$11:$A$238,0)),"")</f>
        <v/>
      </c>
      <c r="M20" s="8">
        <f>IFERROR(INDEX('A1. Data scoring'!R$11:R$238,MATCH($C$4&amp;"|"&amp;$B20,'A1. Data scoring'!$A$11:$A$238,0)),"")</f>
        <v/>
      </c>
      <c r="N20" s="8">
        <f>IFERROR(INDEX('A1. Data scoring'!S$11:S$238,MATCH($C$4&amp;"|"&amp;$B20,'A1. Data scoring'!$A$11:$A$238,0)),"")</f>
        <v/>
      </c>
      <c r="O20" s="8">
        <f>IFERROR(INDEX('A1. Data scoring'!T$11:T$238,MATCH($C$4&amp;"|"&amp;$B20,'A1. Data scoring'!$A$11:$A$238,0)),"")</f>
        <v/>
      </c>
      <c r="P20" s="8">
        <f>IFERROR(INDEX('A1. Data scoring'!U$11:U$238,MATCH($C$4&amp;"|"&amp;$B20,'A1. Data scoring'!$A$11:$A$238,0)),"")</f>
        <v/>
      </c>
      <c r="Q20" s="8">
        <f>IFERROR(INDEX('A1. Data scoring'!V$11:V$238,MATCH($C$4&amp;"|"&amp;$B20,'A1. Data scoring'!$A$11:$A$238,0)),"")</f>
        <v/>
      </c>
      <c r="R20" s="8">
        <f>IFERROR(INDEX('A1. Data scoring'!W$11:W$238,MATCH($C$4&amp;"|"&amp;$B20,'A1. Data scoring'!$A$11:$A$238,0)),"")</f>
        <v/>
      </c>
      <c r="S20" s="8">
        <f>IFERROR(INDEX('A1. Data scoring'!X$11:X$238,MATCH($C$4&amp;"|"&amp;$B20,'A1. Data scoring'!$A$11:$A$238,0)),"")</f>
        <v/>
      </c>
    </row>
    <row r="21" ht="45" customHeight="1">
      <c r="B21" s="7" t="inlineStr">
        <is>
          <t>Data owner confirms</t>
        </is>
      </c>
      <c r="C21" s="8">
        <f>IFERROR(INDEX('A1. Data scoring'!H$11:H$238,MATCH($C$4&amp;"|"&amp;$B21,'A1. Data scoring'!$A$11:$A$238,0)),"")</f>
        <v/>
      </c>
      <c r="D21" s="8">
        <f>IFERROR(INDEX('A1. Data scoring'!I$11:I$238,MATCH($C$4&amp;"|"&amp;$B21,'A1. Data scoring'!$A$11:$A$238,0)),"")</f>
        <v/>
      </c>
      <c r="E21" s="8">
        <f>IFERROR(INDEX('A1. Data scoring'!J$11:J$238,MATCH($C$4&amp;"|"&amp;$B21,'A1. Data scoring'!$A$11:$A$238,0)),"")</f>
        <v/>
      </c>
      <c r="F21" s="8">
        <f>IFERROR(INDEX('A1. Data scoring'!K$11:K$238,MATCH($C$4&amp;"|"&amp;$B21,'A1. Data scoring'!$A$11:$A$238,0)),"")</f>
        <v/>
      </c>
      <c r="G21" s="8">
        <f>IFERROR(INDEX('A1. Data scoring'!L$11:L$238,MATCH($C$4&amp;"|"&amp;$B21,'A1. Data scoring'!$A$11:$A$238,0)),"")</f>
        <v/>
      </c>
      <c r="H21" s="8">
        <f>IFERROR(INDEX('A1. Data scoring'!M$11:M$238,MATCH($C$4&amp;"|"&amp;$B21,'A1. Data scoring'!$A$11:$A$238,0)),"")</f>
        <v/>
      </c>
      <c r="I21" s="8">
        <f>IFERROR(INDEX('A1. Data scoring'!N$11:N$238,MATCH($C$4&amp;"|"&amp;$B21,'A1. Data scoring'!$A$11:$A$238,0)),"")</f>
        <v/>
      </c>
      <c r="J21" s="8">
        <f>IFERROR(INDEX('A1. Data scoring'!O$11:O$238,MATCH($C$4&amp;"|"&amp;$B21,'A1. Data scoring'!$A$11:$A$238,0)),"")</f>
        <v/>
      </c>
      <c r="K21" s="8">
        <f>IFERROR(INDEX('A1. Data scoring'!P$11:P$238,MATCH($C$4&amp;"|"&amp;$B21,'A1. Data scoring'!$A$11:$A$238,0)),"")</f>
        <v/>
      </c>
      <c r="L21" s="8">
        <f>IFERROR(INDEX('A1. Data scoring'!Q$11:Q$238,MATCH($C$4&amp;"|"&amp;$B21,'A1. Data scoring'!$A$11:$A$238,0)),"")</f>
        <v/>
      </c>
      <c r="M21" s="8">
        <f>IFERROR(INDEX('A1. Data scoring'!R$11:R$238,MATCH($C$4&amp;"|"&amp;$B21,'A1. Data scoring'!$A$11:$A$238,0)),"")</f>
        <v/>
      </c>
      <c r="N21" s="8">
        <f>IFERROR(INDEX('A1. Data scoring'!S$11:S$238,MATCH($C$4&amp;"|"&amp;$B21,'A1. Data scoring'!$A$11:$A$238,0)),"")</f>
        <v/>
      </c>
      <c r="O21" s="8">
        <f>IFERROR(INDEX('A1. Data scoring'!T$11:T$238,MATCH($C$4&amp;"|"&amp;$B21,'A1. Data scoring'!$A$11:$A$238,0)),"")</f>
        <v/>
      </c>
      <c r="P21" s="8">
        <f>IFERROR(INDEX('A1. Data scoring'!U$11:U$238,MATCH($C$4&amp;"|"&amp;$B21,'A1. Data scoring'!$A$11:$A$238,0)),"")</f>
        <v/>
      </c>
      <c r="Q21" s="8">
        <f>IFERROR(INDEX('A1. Data scoring'!V$11:V$238,MATCH($C$4&amp;"|"&amp;$B21,'A1. Data scoring'!$A$11:$A$238,0)),"")</f>
        <v/>
      </c>
      <c r="R21" s="8">
        <f>IFERROR(INDEX('A1. Data scoring'!W$11:W$238,MATCH($C$4&amp;"|"&amp;$B21,'A1. Data scoring'!$A$11:$A$238,0)),"")</f>
        <v/>
      </c>
      <c r="S21" s="8">
        <f>IFERROR(INDEX('A1. Data scoring'!X$11:X$238,MATCH($C$4&amp;"|"&amp;$B21,'A1. Data scoring'!$A$11:$A$238,0)),"")</f>
        <v/>
      </c>
    </row>
  </sheetData>
  <mergeCells count="5">
    <mergeCell ref="C6:H6"/>
    <mergeCell ref="C5:H5"/>
    <mergeCell ref="C9:H9"/>
    <mergeCell ref="C8:H8"/>
    <mergeCell ref="C7:H7"/>
  </mergeCells>
  <dataValidations count="1">
    <dataValidation sqref="C4" showDropDown="0" showInputMessage="0" showErrorMessage="0" allowBlank="1" errorTitle="Invalid entry" error="Please select from the dropdown" type="list">
      <formula1>='1. Requirements matrix'!$B$6:$B$43</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4"/>
  <sheetViews>
    <sheetView showGridLines="0" workbookViewId="0">
      <selection activeCell="A1" sqref="A1"/>
    </sheetView>
  </sheetViews>
  <sheetFormatPr baseColWidth="8" defaultRowHeight="15"/>
  <cols>
    <col width="9" customWidth="1" min="2" max="2"/>
    <col width="36" customWidth="1" min="3" max="3"/>
    <col width="50" customWidth="1" min="4" max="4"/>
    <col width="60" customWidth="1" min="5" max="5"/>
    <col width="12" customWidth="1" min="6" max="6"/>
    <col width="28" customWidth="1" min="7" max="7"/>
  </cols>
  <sheetData>
    <row r="1">
      <c r="A1" s="1" t="inlineStr">
        <is>
          <t>↑</t>
        </is>
      </c>
      <c r="B1" s="2" t="inlineStr">
        <is>
          <t>End-2026 target status assessment and reporting</t>
        </is>
      </c>
    </row>
    <row r="2">
      <c r="B2" s="3" t="inlineStr">
        <is>
          <t>Faculty request wording log</t>
        </is>
      </c>
    </row>
    <row r="3" ht="45" customHeight="1">
      <c r="B3" s="9" t="inlineStr">
        <is>
          <t>Faculty requests were rewritten in the SR25 style (specific ask, scope, what SST already holds or will collect elsewhere, and a pointer to the faculty's own end-2025 response). The original S2030 Qual-sheet wording is kept here; central-unit requests still use the original wording.</t>
        </is>
      </c>
    </row>
    <row r="5">
      <c r="B5" s="6" t="inlineStr">
        <is>
          <t>Ref</t>
        </is>
      </c>
      <c r="C5" s="6" t="inlineStr">
        <is>
          <t>Indicator</t>
        </is>
      </c>
      <c r="D5" s="6" t="inlineStr">
        <is>
          <t>Original wording (S2030 Qual sheet)</t>
        </is>
      </c>
      <c r="E5" s="6" t="inlineStr">
        <is>
          <t>SR26 faculty request (before faculty-specific opening line)</t>
        </is>
      </c>
      <c r="F5" s="6" t="inlineStr">
        <is>
          <t>Related SR25 ref</t>
        </is>
      </c>
      <c r="G5" s="6" t="inlineStr">
        <is>
          <t>Faculty-specific opening line</t>
        </is>
      </c>
    </row>
    <row r="6" ht="130" customHeight="1">
      <c r="B6" s="7" t="inlineStr">
        <is>
          <t>EE1(a)</t>
        </is>
      </c>
      <c r="C6" s="8" t="inlineStr">
        <is>
          <t>Evidence of innovative approaches to sustainability teaching and learning</t>
        </is>
      </c>
      <c r="D6" s="8" t="inlineStr">
        <is>
          <t>Please describe any innovative approaches used within your Faculty/Portfolio to embed sustainability in teaching and learning. This could include examples of subjects, curriculum design, pedagogies, assessment approaches or learning resources. Please provide links or supporting evidence where available.</t>
        </is>
      </c>
      <c r="E6" s="8" t="inlineStr">
        <is>
          <t>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F6" s="8" t="inlineStr">
        <is>
          <t>4a(ii)</t>
        </is>
      </c>
      <c r="G6" s="8" t="inlineStr">
        <is>
          <t>Points to the faculty's end-2025 response and rating</t>
        </is>
      </c>
    </row>
    <row r="7" ht="130" customHeight="1">
      <c r="B7" s="7" t="inlineStr">
        <is>
          <t>EE1(b)</t>
        </is>
      </c>
      <c r="C7" s="8" t="inlineStr">
        <is>
          <t>Pilots of possible approaches for understanding and developing students’ sustainability self-efficacy</t>
        </is>
      </c>
      <c r="D7" s="8" t="inlineStr">
        <is>
          <t>Please describe any pilots or trials undertaken within your Faculty/Portfolio to understand or strengthen students’ sustainability self-efficacy. This could include the approach used, participating cohorts, what was assessed or learned, and any planned next steps.</t>
        </is>
      </c>
      <c r="E7" s="8"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F7" s="8" t="inlineStr">
        <is>
          <t>N/A – new indicator</t>
        </is>
      </c>
      <c r="G7" s="8" t="inlineStr">
        <is>
          <t>None (new indicator)</t>
        </is>
      </c>
    </row>
    <row r="8" ht="130" customHeight="1">
      <c r="B8" s="7" t="inlineStr">
        <is>
          <t>TR1(a)</t>
        </is>
      </c>
      <c r="C8" s="8" t="inlineStr">
        <is>
          <t>Expert-reviewed evidence of researchers contributing to operational sustainability priorities through partnerships, advisory input, living labs, applied projects or decision-support</t>
        </is>
      </c>
      <c r="D8" s="8" t="inlineStr">
        <is>
          <t>Please provide examples of researchers within your Faculty/Portfolio contributing to University operational sustainability priorities through partnerships, advisory input, living labs, applied projects or decision-support. Briefly describe the operational challenge, researcher contribution and resulting or expected outcome.</t>
        </is>
      </c>
      <c r="E8" s="8" t="inlineStr">
        <is>
          <t>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F8" s="8" t="inlineStr">
        <is>
          <t>2a</t>
        </is>
      </c>
      <c r="G8" s="8" t="inlineStr">
        <is>
          <t>Points to the faculty's end-2025 response and rating</t>
        </is>
      </c>
    </row>
    <row r="9" ht="130" customHeight="1">
      <c r="B9" s="7" t="inlineStr">
        <is>
          <t>TR2(a)</t>
        </is>
      </c>
      <c r="C9" s="8" t="inlineStr">
        <is>
          <t>Evidence of sustainability-related research impact across diverse pathways, could include policy, industry, community, practice, cultural and institutional outcomes</t>
        </is>
      </c>
      <c r="D9" s="8" t="inlineStr">
        <is>
          <t>Please provide examples of sustainability-related research impact from your Faculty/Portfolio across policy, industry, community, practice, cultural or institutional pathways. For key examples, briefly describe the research contribution, partner/user and resulting outcome or influence.</t>
        </is>
      </c>
      <c r="E9" s="8" t="inlineStr">
        <is>
          <t>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F9" s="8" t="inlineStr">
        <is>
          <t>5b(i)</t>
        </is>
      </c>
      <c r="G9" s="8" t="inlineStr">
        <is>
          <t>Points to the faculty's end-2025 response and rating</t>
        </is>
      </c>
    </row>
    <row r="10" ht="130" customHeight="1">
      <c r="B10" s="7" t="inlineStr">
        <is>
          <t>TR2(d)</t>
        </is>
      </c>
      <c r="C10" s="8" t="inlineStr">
        <is>
          <t>Case-based evidence demonstrating how research has contributed to meaningful sustainability outcomes.</t>
        </is>
      </c>
      <c r="D10" s="8" t="inlineStr">
        <is>
          <t>Please provide case studies from your Faculty/Portfolio demonstrating how research has contributed to meaningful sustainability outcomes. Briefly describe the research, stakeholders involved, pathway to impact and evidence of the resulting sustainability outcome.</t>
        </is>
      </c>
      <c r="E10" s="8" t="inlineStr">
        <is>
          <t>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F10" s="8" t="inlineStr">
        <is>
          <t>5b(i)</t>
        </is>
      </c>
      <c r="G10" s="8" t="inlineStr">
        <is>
          <t>Points to the faculty's end-2025 response and rating</t>
        </is>
      </c>
    </row>
    <row r="11" ht="130" customHeight="1">
      <c r="B11" s="7" t="inlineStr">
        <is>
          <t>TR3(b)</t>
        </is>
      </c>
      <c r="C11" s="8" t="inlineStr">
        <is>
          <t>Demonstrated examples of more sustainable research practices in laboratories, fieldwork, procurement, travel or infrastructure use</t>
        </is>
      </c>
      <c r="D11" s="8"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E11" s="8" t="inlineStr">
        <is>
          <t>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F11" s="8" t="inlineStr">
        <is>
          <t>5c(ii)</t>
        </is>
      </c>
      <c r="G11" s="8" t="inlineStr">
        <is>
          <t>Points to the faculty's end-2025 response and rating</t>
        </is>
      </c>
    </row>
    <row r="12" ht="130" customHeight="1">
      <c r="B12" s="7" t="inlineStr">
        <is>
          <t>EN1(a)</t>
        </is>
      </c>
      <c r="C12" s="8" t="inlineStr">
        <is>
          <t>Evidence of sustainability outcomes informed by Indigenous knowledges</t>
        </is>
      </c>
      <c r="D12" s="8"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E12" s="8" t="inlineStr">
        <is>
          <t>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F12" s="8" t="inlineStr">
        <is>
          <t>6a</t>
        </is>
      </c>
      <c r="G12" s="8" t="inlineStr">
        <is>
          <t>Points to the faculty's end-2025 response and rating</t>
        </is>
      </c>
    </row>
    <row r="13" ht="130" customHeight="1">
      <c r="B13" s="7" t="inlineStr">
        <is>
          <t>EN1(b)</t>
        </is>
      </c>
      <c r="C13" s="8" t="inlineStr">
        <is>
          <t>Living laboratories enabling applied learning, research and operational sustainability outcomes</t>
        </is>
      </c>
      <c r="D13" s="8" t="inlineStr">
        <is>
          <t>Comment on living labs in the Faculty - outputs, outcomes, and impact</t>
        </is>
      </c>
      <c r="E13" s="8" t="inlineStr">
        <is>
          <t>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F13" s="8" t="inlineStr">
        <is>
          <t>2a</t>
        </is>
      </c>
      <c r="G13" s="8" t="inlineStr">
        <is>
          <t>Points to the faculty's end-2025 response and rating</t>
        </is>
      </c>
    </row>
    <row r="14" ht="130" customHeight="1">
      <c r="B14" s="7" t="inlineStr">
        <is>
          <t>EN1(c)</t>
        </is>
      </c>
      <c r="C14" s="8" t="inlineStr">
        <is>
          <t>Coordinated internal engagement and external partnerships contributing to delivery of sustainability outcomes across priority areas.</t>
        </is>
      </c>
      <c r="D14" s="8"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E14" s="8" t="inlineStr">
        <is>
          <t>Please list the key sustainability-focused communities of practice, internal networks or external partnerships active in your faculty in 2026 (name, partners, priority area), and give any examples of activity that contributed to a Sustainability 2030 outcome.</t>
        </is>
      </c>
      <c r="F14" s="8" t="inlineStr">
        <is>
          <t>3a(ii)</t>
        </is>
      </c>
      <c r="G14" s="8" t="inlineStr">
        <is>
          <t>Points to the faculty's end-2025 response and rating</t>
        </is>
      </c>
    </row>
  </sheetData>
  <mergeCells count="1">
    <mergeCell ref="B3:G3"/>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N66"/>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4" customWidth="1" min="1" max="1"/>
    <col width="30" customWidth="1" min="2" max="2"/>
    <col width="8" customWidth="1" min="3" max="3"/>
    <col width="26" customWidth="1" min="4" max="4"/>
    <col width="50" customWidth="1" min="5" max="5"/>
    <col width="22" customWidth="1" min="6" max="6"/>
    <col width="22" customWidth="1" min="7" max="7"/>
    <col width="26" customWidth="1" min="8" max="8"/>
    <col width="22" customWidth="1" min="9" max="9"/>
    <col width="22" customWidth="1" min="10" max="10"/>
    <col width="14" customWidth="1" min="11" max="11"/>
    <col width="13" customWidth="1" min="12" max="12"/>
    <col width="13" customWidth="1" min="13" max="13"/>
    <col width="30" customWidth="1" min="14" max="14"/>
  </cols>
  <sheetData>
    <row r="1">
      <c r="A1" s="1" t="inlineStr">
        <is>
          <t>↑</t>
        </is>
      </c>
      <c r="B1" s="2" t="inlineStr">
        <is>
          <t>End-2026 target status assessment and reporting</t>
        </is>
      </c>
    </row>
    <row r="2">
      <c r="B2" s="3" t="inlineStr">
        <is>
          <t>Highlighted stories – compiled</t>
        </is>
      </c>
    </row>
    <row r="3" ht="32" customHeight="1">
      <c r="B3" s="9" t="inlineStr">
        <is>
          <t>Each faculty/unit has 3 story slots, matching rows 10–12 of Tab 2 in its request workbook. Copy (or, in the Teams version, link) the respondent columns; SST completes the gold columns to assign priority areas and shortlist.</t>
        </is>
      </c>
    </row>
    <row r="5">
      <c r="B5" s="6" t="inlineStr">
        <is>
          <t>Faculty / unit</t>
        </is>
      </c>
      <c r="C5" s="6" t="inlineStr">
        <is>
          <t>Story #</t>
        </is>
      </c>
      <c r="D5" s="6" t="inlineStr">
        <is>
          <t>Title</t>
        </is>
      </c>
      <c r="E5" s="6" t="inlineStr">
        <is>
          <t>Description</t>
        </is>
      </c>
      <c r="F5" s="6" t="inlineStr">
        <is>
          <t>Related Sustainability 2030 targets (optional)</t>
        </is>
      </c>
      <c r="G5" s="6" t="inlineStr">
        <is>
          <t>Images and other media</t>
        </is>
      </c>
      <c r="H5" s="6" t="inlineStr">
        <is>
          <t>Links and supporting documentation</t>
        </is>
      </c>
      <c r="I5" s="49" t="inlineStr">
        <is>
          <t>SST: primary priority area</t>
        </is>
      </c>
      <c r="J5" s="49" t="inlineStr">
        <is>
          <t>SST: secondary priority area</t>
        </is>
      </c>
      <c r="K5" s="49" t="inlineStr">
        <is>
          <t>SST: related S2030 indicator ref</t>
        </is>
      </c>
      <c r="L5" s="49" t="inlineStr">
        <is>
          <t>SST: use in report?</t>
        </is>
      </c>
      <c r="M5" s="49" t="inlineStr">
        <is>
          <t>SST: permission to publish?</t>
        </is>
      </c>
      <c r="N5" s="49" t="inlineStr">
        <is>
          <t>SST notes</t>
        </is>
      </c>
    </row>
    <row r="6" ht="60" customHeight="1">
      <c r="B6" s="7" t="inlineStr">
        <is>
          <t>ABP – Faculty of Architecture, Building and Planning</t>
        </is>
      </c>
      <c r="C6" s="51" t="n">
        <v>1</v>
      </c>
      <c r="D6" s="8" t="inlineStr"/>
      <c r="E6" s="8" t="inlineStr"/>
      <c r="F6" s="8" t="inlineStr"/>
      <c r="G6" s="8" t="inlineStr"/>
      <c r="H6" s="8" t="inlineStr"/>
      <c r="I6" s="8" t="inlineStr"/>
      <c r="J6" s="8" t="inlineStr"/>
      <c r="K6" s="8" t="inlineStr"/>
      <c r="L6" s="8" t="inlineStr"/>
      <c r="M6" s="8" t="inlineStr"/>
      <c r="N6" s="8" t="inlineStr"/>
    </row>
    <row r="7" ht="60" customHeight="1">
      <c r="B7" s="7" t="inlineStr"/>
      <c r="C7" s="51" t="n">
        <v>2</v>
      </c>
      <c r="D7" s="8" t="inlineStr"/>
      <c r="E7" s="8" t="inlineStr"/>
      <c r="F7" s="8" t="inlineStr"/>
      <c r="G7" s="8" t="inlineStr"/>
      <c r="H7" s="8" t="inlineStr"/>
      <c r="I7" s="8" t="inlineStr"/>
      <c r="J7" s="8" t="inlineStr"/>
      <c r="K7" s="8" t="inlineStr"/>
      <c r="L7" s="8" t="inlineStr"/>
      <c r="M7" s="8" t="inlineStr"/>
      <c r="N7" s="8" t="inlineStr"/>
    </row>
    <row r="8" ht="60" customHeight="1">
      <c r="B8" s="7" t="inlineStr"/>
      <c r="C8" s="51" t="n">
        <v>3</v>
      </c>
      <c r="D8" s="8" t="inlineStr"/>
      <c r="E8" s="8" t="inlineStr"/>
      <c r="F8" s="8" t="inlineStr"/>
      <c r="G8" s="8" t="inlineStr"/>
      <c r="H8" s="8" t="inlineStr"/>
      <c r="I8" s="8" t="inlineStr"/>
      <c r="J8" s="8" t="inlineStr"/>
      <c r="K8" s="8" t="inlineStr"/>
      <c r="L8" s="8" t="inlineStr"/>
      <c r="M8" s="8" t="inlineStr"/>
      <c r="N8" s="8" t="inlineStr"/>
    </row>
    <row r="9" ht="60" customHeight="1">
      <c r="B9" s="7" t="inlineStr">
        <is>
          <t>ARTS – Faculty of Arts</t>
        </is>
      </c>
      <c r="C9" s="51" t="n">
        <v>1</v>
      </c>
      <c r="D9" s="8" t="inlineStr"/>
      <c r="E9" s="8" t="inlineStr"/>
      <c r="F9" s="8" t="inlineStr"/>
      <c r="G9" s="8" t="inlineStr"/>
      <c r="H9" s="8" t="inlineStr"/>
      <c r="I9" s="8" t="inlineStr"/>
      <c r="J9" s="8" t="inlineStr"/>
      <c r="K9" s="8" t="inlineStr"/>
      <c r="L9" s="8" t="inlineStr"/>
      <c r="M9" s="8" t="inlineStr"/>
      <c r="N9" s="8" t="inlineStr"/>
    </row>
    <row r="10" ht="60" customHeight="1">
      <c r="B10" s="7" t="inlineStr"/>
      <c r="C10" s="51" t="n">
        <v>2</v>
      </c>
      <c r="D10" s="8" t="inlineStr"/>
      <c r="E10" s="8" t="inlineStr"/>
      <c r="F10" s="8" t="inlineStr"/>
      <c r="G10" s="8" t="inlineStr"/>
      <c r="H10" s="8" t="inlineStr"/>
      <c r="I10" s="8" t="inlineStr"/>
      <c r="J10" s="8" t="inlineStr"/>
      <c r="K10" s="8" t="inlineStr"/>
      <c r="L10" s="8" t="inlineStr"/>
      <c r="M10" s="8" t="inlineStr"/>
      <c r="N10" s="8" t="inlineStr"/>
    </row>
    <row r="11" ht="60" customHeight="1">
      <c r="B11" s="7" t="inlineStr"/>
      <c r="C11" s="51" t="n">
        <v>3</v>
      </c>
      <c r="D11" s="8" t="inlineStr"/>
      <c r="E11" s="8" t="inlineStr"/>
      <c r="F11" s="8" t="inlineStr"/>
      <c r="G11" s="8" t="inlineStr"/>
      <c r="H11" s="8" t="inlineStr"/>
      <c r="I11" s="8" t="inlineStr"/>
      <c r="J11" s="8" t="inlineStr"/>
      <c r="K11" s="8" t="inlineStr"/>
      <c r="L11" s="8" t="inlineStr"/>
      <c r="M11" s="8" t="inlineStr"/>
      <c r="N11" s="8" t="inlineStr"/>
    </row>
    <row r="12" ht="60" customHeight="1">
      <c r="B12" s="7" t="inlineStr">
        <is>
          <t>FBE – Faculty of Business and Economics</t>
        </is>
      </c>
      <c r="C12" s="51" t="n">
        <v>1</v>
      </c>
      <c r="D12" s="8" t="inlineStr"/>
      <c r="E12" s="8" t="inlineStr"/>
      <c r="F12" s="8" t="inlineStr"/>
      <c r="G12" s="8" t="inlineStr"/>
      <c r="H12" s="8" t="inlineStr"/>
      <c r="I12" s="8" t="inlineStr"/>
      <c r="J12" s="8" t="inlineStr"/>
      <c r="K12" s="8" t="inlineStr"/>
      <c r="L12" s="8" t="inlineStr"/>
      <c r="M12" s="8" t="inlineStr"/>
      <c r="N12" s="8" t="inlineStr"/>
    </row>
    <row r="13" ht="60" customHeight="1">
      <c r="B13" s="7" t="inlineStr"/>
      <c r="C13" s="51" t="n">
        <v>2</v>
      </c>
      <c r="D13" s="8" t="inlineStr"/>
      <c r="E13" s="8" t="inlineStr"/>
      <c r="F13" s="8" t="inlineStr"/>
      <c r="G13" s="8" t="inlineStr"/>
      <c r="H13" s="8" t="inlineStr"/>
      <c r="I13" s="8" t="inlineStr"/>
      <c r="J13" s="8" t="inlineStr"/>
      <c r="K13" s="8" t="inlineStr"/>
      <c r="L13" s="8" t="inlineStr"/>
      <c r="M13" s="8" t="inlineStr"/>
      <c r="N13" s="8" t="inlineStr"/>
    </row>
    <row r="14" ht="60" customHeight="1">
      <c r="B14" s="7" t="inlineStr"/>
      <c r="C14" s="51" t="n">
        <v>3</v>
      </c>
      <c r="D14" s="8" t="inlineStr"/>
      <c r="E14" s="8" t="inlineStr"/>
      <c r="F14" s="8" t="inlineStr"/>
      <c r="G14" s="8" t="inlineStr"/>
      <c r="H14" s="8" t="inlineStr"/>
      <c r="I14" s="8" t="inlineStr"/>
      <c r="J14" s="8" t="inlineStr"/>
      <c r="K14" s="8" t="inlineStr"/>
      <c r="L14" s="8" t="inlineStr"/>
      <c r="M14" s="8" t="inlineStr"/>
      <c r="N14" s="8" t="inlineStr"/>
    </row>
    <row r="15" ht="60" customHeight="1">
      <c r="B15" s="7" t="inlineStr">
        <is>
          <t>SCI – Faculty of Science</t>
        </is>
      </c>
      <c r="C15" s="51" t="n">
        <v>1</v>
      </c>
      <c r="D15" s="8" t="inlineStr"/>
      <c r="E15" s="8" t="inlineStr"/>
      <c r="F15" s="8" t="inlineStr"/>
      <c r="G15" s="8" t="inlineStr"/>
      <c r="H15" s="8" t="inlineStr"/>
      <c r="I15" s="8" t="inlineStr"/>
      <c r="J15" s="8" t="inlineStr"/>
      <c r="K15" s="8" t="inlineStr"/>
      <c r="L15" s="8" t="inlineStr"/>
      <c r="M15" s="8" t="inlineStr"/>
      <c r="N15" s="8" t="inlineStr"/>
    </row>
    <row r="16" ht="60" customHeight="1">
      <c r="B16" s="7" t="inlineStr"/>
      <c r="C16" s="51" t="n">
        <v>2</v>
      </c>
      <c r="D16" s="8" t="inlineStr"/>
      <c r="E16" s="8" t="inlineStr"/>
      <c r="F16" s="8" t="inlineStr"/>
      <c r="G16" s="8" t="inlineStr"/>
      <c r="H16" s="8" t="inlineStr"/>
      <c r="I16" s="8" t="inlineStr"/>
      <c r="J16" s="8" t="inlineStr"/>
      <c r="K16" s="8" t="inlineStr"/>
      <c r="L16" s="8" t="inlineStr"/>
      <c r="M16" s="8" t="inlineStr"/>
      <c r="N16" s="8" t="inlineStr"/>
    </row>
    <row r="17" ht="60" customHeight="1">
      <c r="B17" s="7" t="inlineStr"/>
      <c r="C17" s="51" t="n">
        <v>3</v>
      </c>
      <c r="D17" s="8" t="inlineStr"/>
      <c r="E17" s="8" t="inlineStr"/>
      <c r="F17" s="8" t="inlineStr"/>
      <c r="G17" s="8" t="inlineStr"/>
      <c r="H17" s="8" t="inlineStr"/>
      <c r="I17" s="8" t="inlineStr"/>
      <c r="J17" s="8" t="inlineStr"/>
      <c r="K17" s="8" t="inlineStr"/>
      <c r="L17" s="8" t="inlineStr"/>
      <c r="M17" s="8" t="inlineStr"/>
      <c r="N17" s="8" t="inlineStr"/>
    </row>
    <row r="18" ht="60" customHeight="1">
      <c r="B18" s="7" t="inlineStr">
        <is>
          <t>Commercial, Infrastructure &amp; Sustainability (CI&amp;S)</t>
        </is>
      </c>
      <c r="C18" s="51" t="n">
        <v>1</v>
      </c>
      <c r="D18" s="8" t="inlineStr"/>
      <c r="E18" s="8" t="inlineStr"/>
      <c r="F18" s="8" t="inlineStr"/>
      <c r="G18" s="8" t="inlineStr"/>
      <c r="H18" s="8" t="inlineStr"/>
      <c r="I18" s="8" t="inlineStr"/>
      <c r="J18" s="8" t="inlineStr"/>
      <c r="K18" s="8" t="inlineStr"/>
      <c r="L18" s="8" t="inlineStr"/>
      <c r="M18" s="8" t="inlineStr"/>
      <c r="N18" s="8" t="inlineStr"/>
    </row>
    <row r="19" ht="60" customHeight="1">
      <c r="B19" s="7" t="inlineStr"/>
      <c r="C19" s="51" t="n">
        <v>2</v>
      </c>
      <c r="D19" s="8" t="inlineStr"/>
      <c r="E19" s="8" t="inlineStr"/>
      <c r="F19" s="8" t="inlineStr"/>
      <c r="G19" s="8" t="inlineStr"/>
      <c r="H19" s="8" t="inlineStr"/>
      <c r="I19" s="8" t="inlineStr"/>
      <c r="J19" s="8" t="inlineStr"/>
      <c r="K19" s="8" t="inlineStr"/>
      <c r="L19" s="8" t="inlineStr"/>
      <c r="M19" s="8" t="inlineStr"/>
      <c r="N19" s="8" t="inlineStr"/>
    </row>
    <row r="20" ht="60" customHeight="1">
      <c r="B20" s="7" t="inlineStr"/>
      <c r="C20" s="51" t="n">
        <v>3</v>
      </c>
      <c r="D20" s="8" t="inlineStr"/>
      <c r="E20" s="8" t="inlineStr"/>
      <c r="F20" s="8" t="inlineStr"/>
      <c r="G20" s="8" t="inlineStr"/>
      <c r="H20" s="8" t="inlineStr"/>
      <c r="I20" s="8" t="inlineStr"/>
      <c r="J20" s="8" t="inlineStr"/>
      <c r="K20" s="8" t="inlineStr"/>
      <c r="L20" s="8" t="inlineStr"/>
      <c r="M20" s="8" t="inlineStr"/>
      <c r="N20" s="8" t="inlineStr"/>
    </row>
    <row r="21" ht="60" customHeight="1">
      <c r="B21" s="7" t="inlineStr">
        <is>
          <t>Chief Finance Officer Group (CFOG)</t>
        </is>
      </c>
      <c r="C21" s="51" t="n">
        <v>1</v>
      </c>
      <c r="D21" s="8" t="inlineStr"/>
      <c r="E21" s="8" t="inlineStr"/>
      <c r="F21" s="8" t="inlineStr"/>
      <c r="G21" s="8" t="inlineStr"/>
      <c r="H21" s="8" t="inlineStr"/>
      <c r="I21" s="8" t="inlineStr"/>
      <c r="J21" s="8" t="inlineStr"/>
      <c r="K21" s="8" t="inlineStr"/>
      <c r="L21" s="8" t="inlineStr"/>
      <c r="M21" s="8" t="inlineStr"/>
      <c r="N21" s="8" t="inlineStr"/>
    </row>
    <row r="22" ht="60" customHeight="1">
      <c r="B22" s="7" t="inlineStr"/>
      <c r="C22" s="51" t="n">
        <v>2</v>
      </c>
      <c r="D22" s="8" t="inlineStr"/>
      <c r="E22" s="8" t="inlineStr"/>
      <c r="F22" s="8" t="inlineStr"/>
      <c r="G22" s="8" t="inlineStr"/>
      <c r="H22" s="8" t="inlineStr"/>
      <c r="I22" s="8" t="inlineStr"/>
      <c r="J22" s="8" t="inlineStr"/>
      <c r="K22" s="8" t="inlineStr"/>
      <c r="L22" s="8" t="inlineStr"/>
      <c r="M22" s="8" t="inlineStr"/>
      <c r="N22" s="8" t="inlineStr"/>
    </row>
    <row r="23" ht="60" customHeight="1">
      <c r="B23" s="7" t="inlineStr"/>
      <c r="C23" s="51" t="n">
        <v>3</v>
      </c>
      <c r="D23" s="8" t="inlineStr"/>
      <c r="E23" s="8" t="inlineStr"/>
      <c r="F23" s="8" t="inlineStr"/>
      <c r="G23" s="8" t="inlineStr"/>
      <c r="H23" s="8" t="inlineStr"/>
      <c r="I23" s="8" t="inlineStr"/>
      <c r="J23" s="8" t="inlineStr"/>
      <c r="K23" s="8" t="inlineStr"/>
      <c r="L23" s="8" t="inlineStr"/>
      <c r="M23" s="8" t="inlineStr"/>
      <c r="N23" s="8" t="inlineStr"/>
    </row>
    <row r="24" ht="60" customHeight="1">
      <c r="B24" s="7" t="inlineStr">
        <is>
          <t>Enterprise Services Group (ESG)</t>
        </is>
      </c>
      <c r="C24" s="51" t="n">
        <v>1</v>
      </c>
      <c r="D24" s="8" t="inlineStr"/>
      <c r="E24" s="8" t="inlineStr"/>
      <c r="F24" s="8" t="inlineStr"/>
      <c r="G24" s="8" t="inlineStr"/>
      <c r="H24" s="8" t="inlineStr"/>
      <c r="I24" s="8" t="inlineStr"/>
      <c r="J24" s="8" t="inlineStr"/>
      <c r="K24" s="8" t="inlineStr"/>
      <c r="L24" s="8" t="inlineStr"/>
      <c r="M24" s="8" t="inlineStr"/>
      <c r="N24" s="8" t="inlineStr"/>
    </row>
    <row r="25" ht="60" customHeight="1">
      <c r="B25" s="7" t="inlineStr"/>
      <c r="C25" s="51" t="n">
        <v>2</v>
      </c>
      <c r="D25" s="8" t="inlineStr"/>
      <c r="E25" s="8" t="inlineStr"/>
      <c r="F25" s="8" t="inlineStr"/>
      <c r="G25" s="8" t="inlineStr"/>
      <c r="H25" s="8" t="inlineStr"/>
      <c r="I25" s="8" t="inlineStr"/>
      <c r="J25" s="8" t="inlineStr"/>
      <c r="K25" s="8" t="inlineStr"/>
      <c r="L25" s="8" t="inlineStr"/>
      <c r="M25" s="8" t="inlineStr"/>
      <c r="N25" s="8" t="inlineStr"/>
    </row>
    <row r="26" ht="60" customHeight="1">
      <c r="B26" s="7" t="inlineStr"/>
      <c r="C26" s="51" t="n">
        <v>3</v>
      </c>
      <c r="D26" s="8" t="inlineStr"/>
      <c r="E26" s="8" t="inlineStr"/>
      <c r="F26" s="8" t="inlineStr"/>
      <c r="G26" s="8" t="inlineStr"/>
      <c r="H26" s="8" t="inlineStr"/>
      <c r="I26" s="8" t="inlineStr"/>
      <c r="J26" s="8" t="inlineStr"/>
      <c r="K26" s="8" t="inlineStr"/>
      <c r="L26" s="8" t="inlineStr"/>
      <c r="M26" s="8" t="inlineStr"/>
      <c r="N26" s="8" t="inlineStr"/>
    </row>
    <row r="27" ht="60" customHeight="1">
      <c r="B27" s="7" t="inlineStr">
        <is>
          <t>Chief Information Officer Group (CIOG)</t>
        </is>
      </c>
      <c r="C27" s="51" t="n">
        <v>1</v>
      </c>
      <c r="D27" s="8" t="inlineStr"/>
      <c r="E27" s="8" t="inlineStr"/>
      <c r="F27" s="8" t="inlineStr"/>
      <c r="G27" s="8" t="inlineStr"/>
      <c r="H27" s="8" t="inlineStr"/>
      <c r="I27" s="8" t="inlineStr"/>
      <c r="J27" s="8" t="inlineStr"/>
      <c r="K27" s="8" t="inlineStr"/>
      <c r="L27" s="8" t="inlineStr"/>
      <c r="M27" s="8" t="inlineStr"/>
      <c r="N27" s="8" t="inlineStr"/>
    </row>
    <row r="28" ht="60" customHeight="1">
      <c r="B28" s="7" t="inlineStr"/>
      <c r="C28" s="51" t="n">
        <v>2</v>
      </c>
      <c r="D28" s="8" t="inlineStr"/>
      <c r="E28" s="8" t="inlineStr"/>
      <c r="F28" s="8" t="inlineStr"/>
      <c r="G28" s="8" t="inlineStr"/>
      <c r="H28" s="8" t="inlineStr"/>
      <c r="I28" s="8" t="inlineStr"/>
      <c r="J28" s="8" t="inlineStr"/>
      <c r="K28" s="8" t="inlineStr"/>
      <c r="L28" s="8" t="inlineStr"/>
      <c r="M28" s="8" t="inlineStr"/>
      <c r="N28" s="8" t="inlineStr"/>
    </row>
    <row r="29" ht="60" customHeight="1">
      <c r="B29" s="7" t="inlineStr"/>
      <c r="C29" s="51" t="n">
        <v>3</v>
      </c>
      <c r="D29" s="8" t="inlineStr"/>
      <c r="E29" s="8" t="inlineStr"/>
      <c r="F29" s="8" t="inlineStr"/>
      <c r="G29" s="8" t="inlineStr"/>
      <c r="H29" s="8" t="inlineStr"/>
      <c r="I29" s="8" t="inlineStr"/>
      <c r="J29" s="8" t="inlineStr"/>
      <c r="K29" s="8" t="inlineStr"/>
      <c r="L29" s="8" t="inlineStr"/>
      <c r="M29" s="8" t="inlineStr"/>
      <c r="N29" s="8" t="inlineStr"/>
    </row>
    <row r="30" ht="60" customHeight="1">
      <c r="B30" s="7" t="inlineStr">
        <is>
          <t>Melbourne Research and Enterprise (MRE)</t>
        </is>
      </c>
      <c r="C30" s="51" t="n">
        <v>1</v>
      </c>
      <c r="D30" s="8" t="inlineStr"/>
      <c r="E30" s="8" t="inlineStr"/>
      <c r="F30" s="8" t="inlineStr"/>
      <c r="G30" s="8" t="inlineStr"/>
      <c r="H30" s="8" t="inlineStr"/>
      <c r="I30" s="8" t="inlineStr"/>
      <c r="J30" s="8" t="inlineStr"/>
      <c r="K30" s="8" t="inlineStr"/>
      <c r="L30" s="8" t="inlineStr"/>
      <c r="M30" s="8" t="inlineStr"/>
      <c r="N30" s="8" t="inlineStr"/>
    </row>
    <row r="31" ht="60" customHeight="1">
      <c r="B31" s="7" t="inlineStr"/>
      <c r="C31" s="51" t="n">
        <v>2</v>
      </c>
      <c r="D31" s="8" t="inlineStr"/>
      <c r="E31" s="8" t="inlineStr"/>
      <c r="F31" s="8" t="inlineStr"/>
      <c r="G31" s="8" t="inlineStr"/>
      <c r="H31" s="8" t="inlineStr"/>
      <c r="I31" s="8" t="inlineStr"/>
      <c r="J31" s="8" t="inlineStr"/>
      <c r="K31" s="8" t="inlineStr"/>
      <c r="L31" s="8" t="inlineStr"/>
      <c r="M31" s="8" t="inlineStr"/>
      <c r="N31" s="8" t="inlineStr"/>
    </row>
    <row r="32" ht="60" customHeight="1">
      <c r="B32" s="7" t="inlineStr"/>
      <c r="C32" s="51" t="n">
        <v>3</v>
      </c>
      <c r="D32" s="8" t="inlineStr"/>
      <c r="E32" s="8" t="inlineStr"/>
      <c r="F32" s="8" t="inlineStr"/>
      <c r="G32" s="8" t="inlineStr"/>
      <c r="H32" s="8" t="inlineStr"/>
      <c r="I32" s="8" t="inlineStr"/>
      <c r="J32" s="8" t="inlineStr"/>
      <c r="K32" s="8" t="inlineStr"/>
      <c r="L32" s="8" t="inlineStr"/>
      <c r="M32" s="8" t="inlineStr"/>
      <c r="N32" s="8" t="inlineStr"/>
    </row>
    <row r="33" ht="60" customHeight="1">
      <c r="B33" s="7" t="inlineStr">
        <is>
          <t>Advancement, Communication and Marketing (AC&amp;M)</t>
        </is>
      </c>
      <c r="C33" s="51" t="n">
        <v>1</v>
      </c>
      <c r="D33" s="8" t="inlineStr"/>
      <c r="E33" s="8" t="inlineStr"/>
      <c r="F33" s="8" t="inlineStr"/>
      <c r="G33" s="8" t="inlineStr"/>
      <c r="H33" s="8" t="inlineStr"/>
      <c r="I33" s="8" t="inlineStr"/>
      <c r="J33" s="8" t="inlineStr"/>
      <c r="K33" s="8" t="inlineStr"/>
      <c r="L33" s="8" t="inlineStr"/>
      <c r="M33" s="8" t="inlineStr"/>
      <c r="N33" s="8" t="inlineStr"/>
    </row>
    <row r="34" ht="60" customHeight="1">
      <c r="B34" s="7" t="inlineStr"/>
      <c r="C34" s="51" t="n">
        <v>2</v>
      </c>
      <c r="D34" s="8" t="inlineStr"/>
      <c r="E34" s="8" t="inlineStr"/>
      <c r="F34" s="8" t="inlineStr"/>
      <c r="G34" s="8" t="inlineStr"/>
      <c r="H34" s="8" t="inlineStr"/>
      <c r="I34" s="8" t="inlineStr"/>
      <c r="J34" s="8" t="inlineStr"/>
      <c r="K34" s="8" t="inlineStr"/>
      <c r="L34" s="8" t="inlineStr"/>
      <c r="M34" s="8" t="inlineStr"/>
      <c r="N34" s="8" t="inlineStr"/>
    </row>
    <row r="35" ht="60" customHeight="1">
      <c r="B35" s="7" t="inlineStr"/>
      <c r="C35" s="51" t="n">
        <v>3</v>
      </c>
      <c r="D35" s="8" t="inlineStr"/>
      <c r="E35" s="8" t="inlineStr"/>
      <c r="F35" s="8" t="inlineStr"/>
      <c r="G35" s="8" t="inlineStr"/>
      <c r="H35" s="8" t="inlineStr"/>
      <c r="I35" s="8" t="inlineStr"/>
      <c r="J35" s="8" t="inlineStr"/>
      <c r="K35" s="8" t="inlineStr"/>
      <c r="L35" s="8" t="inlineStr"/>
      <c r="M35" s="8" t="inlineStr"/>
      <c r="N35" s="8" t="inlineStr"/>
    </row>
    <row r="36" ht="60" customHeight="1">
      <c r="B36" s="7" t="inlineStr">
        <is>
          <t>Global, Culture and Engagement (GCE)</t>
        </is>
      </c>
      <c r="C36" s="51" t="n">
        <v>1</v>
      </c>
      <c r="D36" s="8" t="inlineStr"/>
      <c r="E36" s="8" t="inlineStr"/>
      <c r="F36" s="8" t="inlineStr"/>
      <c r="G36" s="8" t="inlineStr"/>
      <c r="H36" s="8" t="inlineStr"/>
      <c r="I36" s="8" t="inlineStr"/>
      <c r="J36" s="8" t="inlineStr"/>
      <c r="K36" s="8" t="inlineStr"/>
      <c r="L36" s="8" t="inlineStr"/>
      <c r="M36" s="8" t="inlineStr"/>
      <c r="N36" s="8" t="inlineStr"/>
    </row>
    <row r="37" ht="60" customHeight="1">
      <c r="B37" s="7" t="inlineStr"/>
      <c r="C37" s="51" t="n">
        <v>2</v>
      </c>
      <c r="D37" s="8" t="inlineStr"/>
      <c r="E37" s="8" t="inlineStr"/>
      <c r="F37" s="8" t="inlineStr"/>
      <c r="G37" s="8" t="inlineStr"/>
      <c r="H37" s="8" t="inlineStr"/>
      <c r="I37" s="8" t="inlineStr"/>
      <c r="J37" s="8" t="inlineStr"/>
      <c r="K37" s="8" t="inlineStr"/>
      <c r="L37" s="8" t="inlineStr"/>
      <c r="M37" s="8" t="inlineStr"/>
      <c r="N37" s="8" t="inlineStr"/>
    </row>
    <row r="38" ht="60" customHeight="1">
      <c r="B38" s="7" t="inlineStr"/>
      <c r="C38" s="51" t="n">
        <v>3</v>
      </c>
      <c r="D38" s="8" t="inlineStr"/>
      <c r="E38" s="8" t="inlineStr"/>
      <c r="F38" s="8" t="inlineStr"/>
      <c r="G38" s="8" t="inlineStr"/>
      <c r="H38" s="8" t="inlineStr"/>
      <c r="I38" s="8" t="inlineStr"/>
      <c r="J38" s="8" t="inlineStr"/>
      <c r="K38" s="8" t="inlineStr"/>
      <c r="L38" s="8" t="inlineStr"/>
      <c r="M38" s="8" t="inlineStr"/>
      <c r="N38" s="8" t="inlineStr"/>
    </row>
    <row r="39" ht="60" customHeight="1">
      <c r="B39" s="7" t="inlineStr">
        <is>
          <t>Chancellery Education</t>
        </is>
      </c>
      <c r="C39" s="51" t="n">
        <v>1</v>
      </c>
      <c r="D39" s="8" t="inlineStr"/>
      <c r="E39" s="8" t="inlineStr"/>
      <c r="F39" s="8" t="inlineStr"/>
      <c r="G39" s="8" t="inlineStr"/>
      <c r="H39" s="8" t="inlineStr"/>
      <c r="I39" s="8" t="inlineStr"/>
      <c r="J39" s="8" t="inlineStr"/>
      <c r="K39" s="8" t="inlineStr"/>
      <c r="L39" s="8" t="inlineStr"/>
      <c r="M39" s="8" t="inlineStr"/>
      <c r="N39" s="8" t="inlineStr"/>
    </row>
    <row r="40" ht="60" customHeight="1">
      <c r="B40" s="7" t="inlineStr"/>
      <c r="C40" s="51" t="n">
        <v>2</v>
      </c>
      <c r="D40" s="8" t="inlineStr"/>
      <c r="E40" s="8" t="inlineStr"/>
      <c r="F40" s="8" t="inlineStr"/>
      <c r="G40" s="8" t="inlineStr"/>
      <c r="H40" s="8" t="inlineStr"/>
      <c r="I40" s="8" t="inlineStr"/>
      <c r="J40" s="8" t="inlineStr"/>
      <c r="K40" s="8" t="inlineStr"/>
      <c r="L40" s="8" t="inlineStr"/>
      <c r="M40" s="8" t="inlineStr"/>
      <c r="N40" s="8" t="inlineStr"/>
    </row>
    <row r="41" ht="60" customHeight="1">
      <c r="B41" s="7" t="inlineStr"/>
      <c r="C41" s="51" t="n">
        <v>3</v>
      </c>
      <c r="D41" s="8" t="inlineStr"/>
      <c r="E41" s="8" t="inlineStr"/>
      <c r="F41" s="8" t="inlineStr"/>
      <c r="G41" s="8" t="inlineStr"/>
      <c r="H41" s="8" t="inlineStr"/>
      <c r="I41" s="8" t="inlineStr"/>
      <c r="J41" s="8" t="inlineStr"/>
      <c r="K41" s="8" t="inlineStr"/>
      <c r="L41" s="8" t="inlineStr"/>
      <c r="M41" s="8" t="inlineStr"/>
      <c r="N41" s="8" t="inlineStr"/>
    </row>
    <row r="42" ht="60" customHeight="1">
      <c r="B42" s="7" t="inlineStr">
        <is>
          <t>Student and Scholarly Services (SaSS)</t>
        </is>
      </c>
      <c r="C42" s="51" t="n">
        <v>1</v>
      </c>
      <c r="D42" s="8" t="inlineStr"/>
      <c r="E42" s="8" t="inlineStr"/>
      <c r="F42" s="8" t="inlineStr"/>
      <c r="G42" s="8" t="inlineStr"/>
      <c r="H42" s="8" t="inlineStr"/>
      <c r="I42" s="8" t="inlineStr"/>
      <c r="J42" s="8" t="inlineStr"/>
      <c r="K42" s="8" t="inlineStr"/>
      <c r="L42" s="8" t="inlineStr"/>
      <c r="M42" s="8" t="inlineStr"/>
      <c r="N42" s="8" t="inlineStr"/>
    </row>
    <row r="43" ht="60" customHeight="1">
      <c r="B43" s="7" t="inlineStr"/>
      <c r="C43" s="51" t="n">
        <v>2</v>
      </c>
      <c r="D43" s="8" t="inlineStr"/>
      <c r="E43" s="8" t="inlineStr"/>
      <c r="F43" s="8" t="inlineStr"/>
      <c r="G43" s="8" t="inlineStr"/>
      <c r="H43" s="8" t="inlineStr"/>
      <c r="I43" s="8" t="inlineStr"/>
      <c r="J43" s="8" t="inlineStr"/>
      <c r="K43" s="8" t="inlineStr"/>
      <c r="L43" s="8" t="inlineStr"/>
      <c r="M43" s="8" t="inlineStr"/>
      <c r="N43" s="8" t="inlineStr"/>
    </row>
    <row r="44" ht="60" customHeight="1">
      <c r="B44" s="7" t="inlineStr"/>
      <c r="C44" s="51" t="n">
        <v>3</v>
      </c>
      <c r="D44" s="8" t="inlineStr"/>
      <c r="E44" s="8" t="inlineStr"/>
      <c r="F44" s="8" t="inlineStr"/>
      <c r="G44" s="8" t="inlineStr"/>
      <c r="H44" s="8" t="inlineStr"/>
      <c r="I44" s="8" t="inlineStr"/>
      <c r="J44" s="8" t="inlineStr"/>
      <c r="K44" s="8" t="inlineStr"/>
      <c r="L44" s="8" t="inlineStr"/>
      <c r="M44" s="8" t="inlineStr"/>
      <c r="N44" s="8" t="inlineStr"/>
    </row>
    <row r="45" ht="60" customHeight="1">
      <c r="B45" s="7" t="inlineStr">
        <is>
          <t>Chancellery Indigenous</t>
        </is>
      </c>
      <c r="C45" s="51" t="n">
        <v>1</v>
      </c>
      <c r="D45" s="8" t="inlineStr"/>
      <c r="E45" s="8" t="inlineStr"/>
      <c r="F45" s="8" t="inlineStr"/>
      <c r="G45" s="8" t="inlineStr"/>
      <c r="H45" s="8" t="inlineStr"/>
      <c r="I45" s="8" t="inlineStr"/>
      <c r="J45" s="8" t="inlineStr"/>
      <c r="K45" s="8" t="inlineStr"/>
      <c r="L45" s="8" t="inlineStr"/>
      <c r="M45" s="8" t="inlineStr"/>
      <c r="N45" s="8" t="inlineStr"/>
    </row>
    <row r="46" ht="60" customHeight="1">
      <c r="B46" s="7" t="inlineStr"/>
      <c r="C46" s="51" t="n">
        <v>2</v>
      </c>
      <c r="D46" s="8" t="inlineStr"/>
      <c r="E46" s="8" t="inlineStr"/>
      <c r="F46" s="8" t="inlineStr"/>
      <c r="G46" s="8" t="inlineStr"/>
      <c r="H46" s="8" t="inlineStr"/>
      <c r="I46" s="8" t="inlineStr"/>
      <c r="J46" s="8" t="inlineStr"/>
      <c r="K46" s="8" t="inlineStr"/>
      <c r="L46" s="8" t="inlineStr"/>
      <c r="M46" s="8" t="inlineStr"/>
      <c r="N46" s="8" t="inlineStr"/>
    </row>
    <row r="47" ht="60" customHeight="1">
      <c r="B47" s="7" t="inlineStr"/>
      <c r="C47" s="51" t="n">
        <v>3</v>
      </c>
      <c r="D47" s="8" t="inlineStr"/>
      <c r="E47" s="8" t="inlineStr"/>
      <c r="F47" s="8" t="inlineStr"/>
      <c r="G47" s="8" t="inlineStr"/>
      <c r="H47" s="8" t="inlineStr"/>
      <c r="I47" s="8" t="inlineStr"/>
      <c r="J47" s="8" t="inlineStr"/>
      <c r="K47" s="8" t="inlineStr"/>
      <c r="L47" s="8" t="inlineStr"/>
      <c r="M47" s="8" t="inlineStr"/>
      <c r="N47" s="8" t="inlineStr"/>
    </row>
    <row r="48" ht="60" customHeight="1">
      <c r="B48" s="7" t="inlineStr">
        <is>
          <t>Legal and Risk</t>
        </is>
      </c>
      <c r="C48" s="51" t="n">
        <v>1</v>
      </c>
      <c r="D48" s="8" t="inlineStr"/>
      <c r="E48" s="8" t="inlineStr"/>
      <c r="F48" s="8" t="inlineStr"/>
      <c r="G48" s="8" t="inlineStr"/>
      <c r="H48" s="8" t="inlineStr"/>
      <c r="I48" s="8" t="inlineStr"/>
      <c r="J48" s="8" t="inlineStr"/>
      <c r="K48" s="8" t="inlineStr"/>
      <c r="L48" s="8" t="inlineStr"/>
      <c r="M48" s="8" t="inlineStr"/>
      <c r="N48" s="8" t="inlineStr"/>
    </row>
    <row r="49" ht="60" customHeight="1">
      <c r="B49" s="7" t="inlineStr"/>
      <c r="C49" s="51" t="n">
        <v>2</v>
      </c>
      <c r="D49" s="8" t="inlineStr"/>
      <c r="E49" s="8" t="inlineStr"/>
      <c r="F49" s="8" t="inlineStr"/>
      <c r="G49" s="8" t="inlineStr"/>
      <c r="H49" s="8" t="inlineStr"/>
      <c r="I49" s="8" t="inlineStr"/>
      <c r="J49" s="8" t="inlineStr"/>
      <c r="K49" s="8" t="inlineStr"/>
      <c r="L49" s="8" t="inlineStr"/>
      <c r="M49" s="8" t="inlineStr"/>
      <c r="N49" s="8" t="inlineStr"/>
    </row>
    <row r="50" ht="60" customHeight="1">
      <c r="B50" s="7" t="inlineStr"/>
      <c r="C50" s="51" t="n">
        <v>3</v>
      </c>
      <c r="D50" s="8" t="inlineStr"/>
      <c r="E50" s="8" t="inlineStr"/>
      <c r="F50" s="8" t="inlineStr"/>
      <c r="G50" s="8" t="inlineStr"/>
      <c r="H50" s="8" t="inlineStr"/>
      <c r="I50" s="8" t="inlineStr"/>
      <c r="J50" s="8" t="inlineStr"/>
      <c r="K50" s="8" t="inlineStr"/>
      <c r="L50" s="8" t="inlineStr"/>
      <c r="M50" s="8" t="inlineStr"/>
      <c r="N50" s="8" t="inlineStr"/>
    </row>
    <row r="53">
      <c r="B53" s="31" t="inlineStr">
        <is>
          <t>Stories by priority area (SST primary)</t>
        </is>
      </c>
    </row>
    <row r="54">
      <c r="B54" s="6" t="inlineStr">
        <is>
          <t>Priority area</t>
        </is>
      </c>
      <c r="C54" s="6" t="inlineStr">
        <is>
          <t>Stories</t>
        </is>
      </c>
      <c r="D54" s="6" t="inlineStr">
        <is>
          <t>Shortlisted</t>
        </is>
      </c>
    </row>
    <row r="55">
      <c r="B55" s="8" t="inlineStr">
        <is>
          <t>Exceptional education</t>
        </is>
      </c>
      <c r="C55" s="8">
        <f>COUNTIF($I$6:$I$50,B55)</f>
        <v/>
      </c>
      <c r="D55" s="8">
        <f>COUNTIFS($I$6:$I$50,B55,$L$6:$L$50,"Shortlist")</f>
        <v/>
      </c>
    </row>
    <row r="56">
      <c r="B56" s="8" t="inlineStr">
        <is>
          <t>Transformational research</t>
        </is>
      </c>
      <c r="C56" s="8">
        <f>COUNTIF($I$6:$I$50,B56)</f>
        <v/>
      </c>
      <c r="D56" s="8">
        <f>COUNTIFS($I$6:$I$50,B56,$L$6:$L$50,"Shortlist")</f>
        <v/>
      </c>
    </row>
    <row r="57">
      <c r="B57" s="8" t="inlineStr">
        <is>
          <t>Climate leadership</t>
        </is>
      </c>
      <c r="C57" s="8">
        <f>COUNTIF($I$6:$I$50,B57)</f>
        <v/>
      </c>
      <c r="D57" s="8">
        <f>COUNTIFS($I$6:$I$50,B57,$L$6:$L$50,"Shortlist")</f>
        <v/>
      </c>
    </row>
    <row r="58">
      <c r="B58" s="8" t="inlineStr">
        <is>
          <t>Nature and biodiversity</t>
        </is>
      </c>
      <c r="C58" s="8">
        <f>COUNTIF($I$6:$I$50,B58)</f>
        <v/>
      </c>
      <c r="D58" s="8">
        <f>COUNTIFS($I$6:$I$50,B58,$L$6:$L$50,"Shortlist")</f>
        <v/>
      </c>
    </row>
    <row r="59">
      <c r="B59" s="8" t="inlineStr">
        <is>
          <t>Responsible AI</t>
        </is>
      </c>
      <c r="C59" s="8">
        <f>COUNTIF($I$6:$I$50,B59)</f>
        <v/>
      </c>
      <c r="D59" s="8">
        <f>COUNTIFS($I$6:$I$50,B59,$L$6:$L$50,"Shortlist")</f>
        <v/>
      </c>
    </row>
    <row r="60">
      <c r="B60" s="8" t="inlineStr">
        <is>
          <t>Estate and infrastructure</t>
        </is>
      </c>
      <c r="C60" s="8">
        <f>COUNTIF($I$6:$I$50,B60)</f>
        <v/>
      </c>
      <c r="D60" s="8">
        <f>COUNTIFS($I$6:$I$50,B60,$L$6:$L$50,"Shortlist")</f>
        <v/>
      </c>
    </row>
    <row r="61">
      <c r="B61" s="8" t="inlineStr">
        <is>
          <t>Circular economy</t>
        </is>
      </c>
      <c r="C61" s="8">
        <f>COUNTIF($I$6:$I$50,B61)</f>
        <v/>
      </c>
      <c r="D61" s="8">
        <f>COUNTIFS($I$6:$I$50,B61,$L$6:$L$50,"Shortlist")</f>
        <v/>
      </c>
    </row>
    <row r="62">
      <c r="B62" s="8" t="inlineStr">
        <is>
          <t>Responsible procurement</t>
        </is>
      </c>
      <c r="C62" s="8">
        <f>COUNTIF($I$6:$I$50,B62)</f>
        <v/>
      </c>
      <c r="D62" s="8">
        <f>COUNTIFS($I$6:$I$50,B62,$L$6:$L$50,"Shortlist")</f>
        <v/>
      </c>
    </row>
    <row r="63">
      <c r="B63" s="8" t="inlineStr">
        <is>
          <t>Modern slavery and human rights</t>
        </is>
      </c>
      <c r="C63" s="8">
        <f>COUNTIF($I$6:$I$50,B63)</f>
        <v/>
      </c>
      <c r="D63" s="8">
        <f>COUNTIFS($I$6:$I$50,B63,$L$6:$L$50,"Shortlist")</f>
        <v/>
      </c>
    </row>
    <row r="64">
      <c r="B64" s="8" t="inlineStr">
        <is>
          <t>Responsible investments</t>
        </is>
      </c>
      <c r="C64" s="8">
        <f>COUNTIF($I$6:$I$50,B64)</f>
        <v/>
      </c>
      <c r="D64" s="8">
        <f>COUNTIFS($I$6:$I$50,B64,$L$6:$L$50,"Shortlist")</f>
        <v/>
      </c>
    </row>
    <row r="65">
      <c r="B65" s="8" t="inlineStr">
        <is>
          <t>Enablers</t>
        </is>
      </c>
      <c r="C65" s="8">
        <f>COUNTIF($I$6:$I$50,B65)</f>
        <v/>
      </c>
      <c r="D65" s="8">
        <f>COUNTIFS($I$6:$I$50,B65,$L$6:$L$50,"Shortlist")</f>
        <v/>
      </c>
    </row>
    <row r="66">
      <c r="B66" s="8" t="inlineStr">
        <is>
          <t>Not priority-area specific</t>
        </is>
      </c>
      <c r="C66" s="8">
        <f>COUNTIF($I$6:$I$50,B66)</f>
        <v/>
      </c>
      <c r="D66" s="8">
        <f>COUNTIFS($I$6:$I$50,B66,$L$6:$L$50,"Shortlist")</f>
        <v/>
      </c>
    </row>
  </sheetData>
  <mergeCells count="1">
    <mergeCell ref="B3:N3"/>
  </mergeCells>
  <dataValidations count="3">
    <dataValidation sqref="I6:J50" showDropDown="0" showInputMessage="0" showErrorMessage="0" allowBlank="1" errorTitle="Invalid entry" error="Please select from the dropdown" type="list">
      <formula1>=Lists!$L$2:$L$13</formula1>
    </dataValidation>
    <dataValidation sqref="L6:L50" showDropDown="0" showInputMessage="0" showErrorMessage="0" allowBlank="1" errorTitle="Invalid entry" error="Please select from the dropdown" type="list">
      <formula1>"Shortlist,Maybe,No"</formula1>
    </dataValidation>
    <dataValidation sqref="M6:M50" showDropDown="0" showInputMessage="0" showErrorMessage="0" allowBlank="1" errorTitle="Invalid entry" error="Please select from the dropdown" type="list">
      <formula1>"Yes,No,TBC"</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205"/>
  <sheetViews>
    <sheetView showGridLines="0" workbookViewId="0">
      <pane xSplit="3" ySplit="5" topLeftCell="D6" activePane="bottomRight" state="frozen"/>
      <selection pane="topRight"/>
      <selection pane="bottomLeft"/>
      <selection pane="bottomRight" activeCell="A1" sqref="A1"/>
    </sheetView>
  </sheetViews>
  <sheetFormatPr baseColWidth="8" defaultRowHeight="15"/>
  <cols>
    <col width="10" customWidth="1" min="2" max="2"/>
    <col width="9" customWidth="1" min="3" max="3"/>
    <col width="18" customWidth="1" min="4" max="4"/>
    <col width="50" customWidth="1" min="5" max="5"/>
    <col width="40" customWidth="1" min="6" max="6"/>
    <col width="20" customWidth="1" min="7" max="7"/>
    <col width="12" customWidth="1" min="8" max="8"/>
    <col width="30" customWidth="1" min="9" max="9"/>
  </cols>
  <sheetData>
    <row r="1">
      <c r="A1" s="1" t="inlineStr">
        <is>
          <t>↑</t>
        </is>
      </c>
      <c r="B1" s="2" t="inlineStr">
        <is>
          <t>End-2026 target status assessment and reporting</t>
        </is>
      </c>
    </row>
    <row r="2">
      <c r="B2" s="3" t="inlineStr">
        <is>
          <t>Evidence register</t>
        </is>
      </c>
    </row>
    <row r="3">
      <c r="B3" s="20" t="inlineStr">
        <is>
          <t>One line per material claim or figure used in the report: what it supports, where the evidence is, and whether the owner has confirmed it.</t>
        </is>
      </c>
    </row>
    <row r="5">
      <c r="B5" s="6" t="inlineStr">
        <is>
          <t>Evidence ID</t>
        </is>
      </c>
      <c r="C5" s="6" t="inlineStr">
        <is>
          <t>Ref</t>
        </is>
      </c>
      <c r="D5" s="6" t="inlineStr">
        <is>
          <t>Faculty / unit</t>
        </is>
      </c>
      <c r="E5" s="6" t="inlineStr">
        <is>
          <t>Claim or figure in the report</t>
        </is>
      </c>
      <c r="F5" s="6" t="inlineStr">
        <is>
          <t>Evidence (link or file)</t>
        </is>
      </c>
      <c r="G5" s="6" t="inlineStr">
        <is>
          <t>Source</t>
        </is>
      </c>
      <c r="H5" s="6" t="inlineStr">
        <is>
          <t>Owner confirmed?</t>
        </is>
      </c>
      <c r="I5" s="6" t="inlineStr">
        <is>
          <t>Notes</t>
        </is>
      </c>
    </row>
    <row r="6">
      <c r="B6" s="8">
        <f>IF(E6="","","EV-"&amp;TEXT(ROW()-5,"000"))</f>
        <v/>
      </c>
      <c r="C6" s="8" t="n"/>
      <c r="D6" s="8" t="n"/>
      <c r="E6" s="8" t="n"/>
      <c r="F6" s="8" t="n"/>
      <c r="G6" s="8" t="n"/>
      <c r="H6" s="8" t="n"/>
      <c r="I6" s="8" t="n"/>
    </row>
    <row r="7">
      <c r="B7" s="8">
        <f>IF(E7="","","EV-"&amp;TEXT(ROW()-5,"000"))</f>
        <v/>
      </c>
      <c r="C7" s="8" t="n"/>
      <c r="D7" s="8" t="n"/>
      <c r="E7" s="8" t="n"/>
      <c r="F7" s="8" t="n"/>
      <c r="G7" s="8" t="n"/>
      <c r="H7" s="8" t="n"/>
      <c r="I7" s="8" t="n"/>
    </row>
    <row r="8">
      <c r="B8" s="8">
        <f>IF(E8="","","EV-"&amp;TEXT(ROW()-5,"000"))</f>
        <v/>
      </c>
      <c r="C8" s="8" t="n"/>
      <c r="D8" s="8" t="n"/>
      <c r="E8" s="8" t="n"/>
      <c r="F8" s="8" t="n"/>
      <c r="G8" s="8" t="n"/>
      <c r="H8" s="8" t="n"/>
      <c r="I8" s="8" t="n"/>
    </row>
    <row r="9">
      <c r="B9" s="8">
        <f>IF(E9="","","EV-"&amp;TEXT(ROW()-5,"000"))</f>
        <v/>
      </c>
      <c r="C9" s="8" t="n"/>
      <c r="D9" s="8" t="n"/>
      <c r="E9" s="8" t="n"/>
      <c r="F9" s="8" t="n"/>
      <c r="G9" s="8" t="n"/>
      <c r="H9" s="8" t="n"/>
      <c r="I9" s="8" t="n"/>
    </row>
    <row r="10">
      <c r="B10" s="8">
        <f>IF(E10="","","EV-"&amp;TEXT(ROW()-5,"000"))</f>
        <v/>
      </c>
      <c r="C10" s="8" t="n"/>
      <c r="D10" s="8" t="n"/>
      <c r="E10" s="8" t="n"/>
      <c r="F10" s="8" t="n"/>
      <c r="G10" s="8" t="n"/>
      <c r="H10" s="8" t="n"/>
      <c r="I10" s="8" t="n"/>
    </row>
    <row r="11">
      <c r="B11" s="8">
        <f>IF(E11="","","EV-"&amp;TEXT(ROW()-5,"000"))</f>
        <v/>
      </c>
      <c r="C11" s="8" t="n"/>
      <c r="D11" s="8" t="n"/>
      <c r="E11" s="8" t="n"/>
      <c r="F11" s="8" t="n"/>
      <c r="G11" s="8" t="n"/>
      <c r="H11" s="8" t="n"/>
      <c r="I11" s="8" t="n"/>
    </row>
    <row r="12">
      <c r="B12" s="8">
        <f>IF(E12="","","EV-"&amp;TEXT(ROW()-5,"000"))</f>
        <v/>
      </c>
      <c r="C12" s="8" t="n"/>
      <c r="D12" s="8" t="n"/>
      <c r="E12" s="8" t="n"/>
      <c r="F12" s="8" t="n"/>
      <c r="G12" s="8" t="n"/>
      <c r="H12" s="8" t="n"/>
      <c r="I12" s="8" t="n"/>
    </row>
    <row r="13">
      <c r="B13" s="8">
        <f>IF(E13="","","EV-"&amp;TEXT(ROW()-5,"000"))</f>
        <v/>
      </c>
      <c r="C13" s="8" t="n"/>
      <c r="D13" s="8" t="n"/>
      <c r="E13" s="8" t="n"/>
      <c r="F13" s="8" t="n"/>
      <c r="G13" s="8" t="n"/>
      <c r="H13" s="8" t="n"/>
      <c r="I13" s="8" t="n"/>
    </row>
    <row r="14">
      <c r="B14" s="8">
        <f>IF(E14="","","EV-"&amp;TEXT(ROW()-5,"000"))</f>
        <v/>
      </c>
      <c r="C14" s="8" t="n"/>
      <c r="D14" s="8" t="n"/>
      <c r="E14" s="8" t="n"/>
      <c r="F14" s="8" t="n"/>
      <c r="G14" s="8" t="n"/>
      <c r="H14" s="8" t="n"/>
      <c r="I14" s="8" t="n"/>
    </row>
    <row r="15">
      <c r="B15" s="8">
        <f>IF(E15="","","EV-"&amp;TEXT(ROW()-5,"000"))</f>
        <v/>
      </c>
      <c r="C15" s="8" t="n"/>
      <c r="D15" s="8" t="n"/>
      <c r="E15" s="8" t="n"/>
      <c r="F15" s="8" t="n"/>
      <c r="G15" s="8" t="n"/>
      <c r="H15" s="8" t="n"/>
      <c r="I15" s="8" t="n"/>
    </row>
    <row r="16">
      <c r="B16" s="8">
        <f>IF(E16="","","EV-"&amp;TEXT(ROW()-5,"000"))</f>
        <v/>
      </c>
      <c r="C16" s="8" t="n"/>
      <c r="D16" s="8" t="n"/>
      <c r="E16" s="8" t="n"/>
      <c r="F16" s="8" t="n"/>
      <c r="G16" s="8" t="n"/>
      <c r="H16" s="8" t="n"/>
      <c r="I16" s="8" t="n"/>
    </row>
    <row r="17">
      <c r="B17" s="8">
        <f>IF(E17="","","EV-"&amp;TEXT(ROW()-5,"000"))</f>
        <v/>
      </c>
      <c r="C17" s="8" t="n"/>
      <c r="D17" s="8" t="n"/>
      <c r="E17" s="8" t="n"/>
      <c r="F17" s="8" t="n"/>
      <c r="G17" s="8" t="n"/>
      <c r="H17" s="8" t="n"/>
      <c r="I17" s="8" t="n"/>
    </row>
    <row r="18">
      <c r="B18" s="8">
        <f>IF(E18="","","EV-"&amp;TEXT(ROW()-5,"000"))</f>
        <v/>
      </c>
      <c r="C18" s="8" t="n"/>
      <c r="D18" s="8" t="n"/>
      <c r="E18" s="8" t="n"/>
      <c r="F18" s="8" t="n"/>
      <c r="G18" s="8" t="n"/>
      <c r="H18" s="8" t="n"/>
      <c r="I18" s="8" t="n"/>
    </row>
    <row r="19">
      <c r="B19" s="8">
        <f>IF(E19="","","EV-"&amp;TEXT(ROW()-5,"000"))</f>
        <v/>
      </c>
      <c r="C19" s="8" t="n"/>
      <c r="D19" s="8" t="n"/>
      <c r="E19" s="8" t="n"/>
      <c r="F19" s="8" t="n"/>
      <c r="G19" s="8" t="n"/>
      <c r="H19" s="8" t="n"/>
      <c r="I19" s="8" t="n"/>
    </row>
    <row r="20">
      <c r="B20" s="8">
        <f>IF(E20="","","EV-"&amp;TEXT(ROW()-5,"000"))</f>
        <v/>
      </c>
      <c r="C20" s="8" t="n"/>
      <c r="D20" s="8" t="n"/>
      <c r="E20" s="8" t="n"/>
      <c r="F20" s="8" t="n"/>
      <c r="G20" s="8" t="n"/>
      <c r="H20" s="8" t="n"/>
      <c r="I20" s="8" t="n"/>
    </row>
    <row r="21">
      <c r="B21" s="8">
        <f>IF(E21="","","EV-"&amp;TEXT(ROW()-5,"000"))</f>
        <v/>
      </c>
      <c r="C21" s="8" t="n"/>
      <c r="D21" s="8" t="n"/>
      <c r="E21" s="8" t="n"/>
      <c r="F21" s="8" t="n"/>
      <c r="G21" s="8" t="n"/>
      <c r="H21" s="8" t="n"/>
      <c r="I21" s="8" t="n"/>
    </row>
    <row r="22">
      <c r="B22" s="8">
        <f>IF(E22="","","EV-"&amp;TEXT(ROW()-5,"000"))</f>
        <v/>
      </c>
      <c r="C22" s="8" t="n"/>
      <c r="D22" s="8" t="n"/>
      <c r="E22" s="8" t="n"/>
      <c r="F22" s="8" t="n"/>
      <c r="G22" s="8" t="n"/>
      <c r="H22" s="8" t="n"/>
      <c r="I22" s="8" t="n"/>
    </row>
    <row r="23">
      <c r="B23" s="8">
        <f>IF(E23="","","EV-"&amp;TEXT(ROW()-5,"000"))</f>
        <v/>
      </c>
      <c r="C23" s="8" t="n"/>
      <c r="D23" s="8" t="n"/>
      <c r="E23" s="8" t="n"/>
      <c r="F23" s="8" t="n"/>
      <c r="G23" s="8" t="n"/>
      <c r="H23" s="8" t="n"/>
      <c r="I23" s="8" t="n"/>
    </row>
    <row r="24">
      <c r="B24" s="8">
        <f>IF(E24="","","EV-"&amp;TEXT(ROW()-5,"000"))</f>
        <v/>
      </c>
      <c r="C24" s="8" t="n"/>
      <c r="D24" s="8" t="n"/>
      <c r="E24" s="8" t="n"/>
      <c r="F24" s="8" t="n"/>
      <c r="G24" s="8" t="n"/>
      <c r="H24" s="8" t="n"/>
      <c r="I24" s="8" t="n"/>
    </row>
    <row r="25">
      <c r="B25" s="8">
        <f>IF(E25="","","EV-"&amp;TEXT(ROW()-5,"000"))</f>
        <v/>
      </c>
      <c r="C25" s="8" t="n"/>
      <c r="D25" s="8" t="n"/>
      <c r="E25" s="8" t="n"/>
      <c r="F25" s="8" t="n"/>
      <c r="G25" s="8" t="n"/>
      <c r="H25" s="8" t="n"/>
      <c r="I25" s="8" t="n"/>
    </row>
    <row r="26">
      <c r="B26" s="8">
        <f>IF(E26="","","EV-"&amp;TEXT(ROW()-5,"000"))</f>
        <v/>
      </c>
      <c r="C26" s="8" t="n"/>
      <c r="D26" s="8" t="n"/>
      <c r="E26" s="8" t="n"/>
      <c r="F26" s="8" t="n"/>
      <c r="G26" s="8" t="n"/>
      <c r="H26" s="8" t="n"/>
      <c r="I26" s="8" t="n"/>
    </row>
    <row r="27">
      <c r="B27" s="8">
        <f>IF(E27="","","EV-"&amp;TEXT(ROW()-5,"000"))</f>
        <v/>
      </c>
      <c r="C27" s="8" t="n"/>
      <c r="D27" s="8" t="n"/>
      <c r="E27" s="8" t="n"/>
      <c r="F27" s="8" t="n"/>
      <c r="G27" s="8" t="n"/>
      <c r="H27" s="8" t="n"/>
      <c r="I27" s="8" t="n"/>
    </row>
    <row r="28">
      <c r="B28" s="8">
        <f>IF(E28="","","EV-"&amp;TEXT(ROW()-5,"000"))</f>
        <v/>
      </c>
      <c r="C28" s="8" t="n"/>
      <c r="D28" s="8" t="n"/>
      <c r="E28" s="8" t="n"/>
      <c r="F28" s="8" t="n"/>
      <c r="G28" s="8" t="n"/>
      <c r="H28" s="8" t="n"/>
      <c r="I28" s="8" t="n"/>
    </row>
    <row r="29">
      <c r="B29" s="8">
        <f>IF(E29="","","EV-"&amp;TEXT(ROW()-5,"000"))</f>
        <v/>
      </c>
      <c r="C29" s="8" t="n"/>
      <c r="D29" s="8" t="n"/>
      <c r="E29" s="8" t="n"/>
      <c r="F29" s="8" t="n"/>
      <c r="G29" s="8" t="n"/>
      <c r="H29" s="8" t="n"/>
      <c r="I29" s="8" t="n"/>
    </row>
    <row r="30">
      <c r="B30" s="8">
        <f>IF(E30="","","EV-"&amp;TEXT(ROW()-5,"000"))</f>
        <v/>
      </c>
      <c r="C30" s="8" t="n"/>
      <c r="D30" s="8" t="n"/>
      <c r="E30" s="8" t="n"/>
      <c r="F30" s="8" t="n"/>
      <c r="G30" s="8" t="n"/>
      <c r="H30" s="8" t="n"/>
      <c r="I30" s="8" t="n"/>
    </row>
    <row r="31">
      <c r="B31" s="8">
        <f>IF(E31="","","EV-"&amp;TEXT(ROW()-5,"000"))</f>
        <v/>
      </c>
      <c r="C31" s="8" t="n"/>
      <c r="D31" s="8" t="n"/>
      <c r="E31" s="8" t="n"/>
      <c r="F31" s="8" t="n"/>
      <c r="G31" s="8" t="n"/>
      <c r="H31" s="8" t="n"/>
      <c r="I31" s="8" t="n"/>
    </row>
    <row r="32">
      <c r="B32" s="8">
        <f>IF(E32="","","EV-"&amp;TEXT(ROW()-5,"000"))</f>
        <v/>
      </c>
      <c r="C32" s="8" t="n"/>
      <c r="D32" s="8" t="n"/>
      <c r="E32" s="8" t="n"/>
      <c r="F32" s="8" t="n"/>
      <c r="G32" s="8" t="n"/>
      <c r="H32" s="8" t="n"/>
      <c r="I32" s="8" t="n"/>
    </row>
    <row r="33">
      <c r="B33" s="8">
        <f>IF(E33="","","EV-"&amp;TEXT(ROW()-5,"000"))</f>
        <v/>
      </c>
      <c r="C33" s="8" t="n"/>
      <c r="D33" s="8" t="n"/>
      <c r="E33" s="8" t="n"/>
      <c r="F33" s="8" t="n"/>
      <c r="G33" s="8" t="n"/>
      <c r="H33" s="8" t="n"/>
      <c r="I33" s="8" t="n"/>
    </row>
    <row r="34">
      <c r="B34" s="8">
        <f>IF(E34="","","EV-"&amp;TEXT(ROW()-5,"000"))</f>
        <v/>
      </c>
      <c r="C34" s="8" t="n"/>
      <c r="D34" s="8" t="n"/>
      <c r="E34" s="8" t="n"/>
      <c r="F34" s="8" t="n"/>
      <c r="G34" s="8" t="n"/>
      <c r="H34" s="8" t="n"/>
      <c r="I34" s="8" t="n"/>
    </row>
    <row r="35">
      <c r="B35" s="8">
        <f>IF(E35="","","EV-"&amp;TEXT(ROW()-5,"000"))</f>
        <v/>
      </c>
      <c r="C35" s="8" t="n"/>
      <c r="D35" s="8" t="n"/>
      <c r="E35" s="8" t="n"/>
      <c r="F35" s="8" t="n"/>
      <c r="G35" s="8" t="n"/>
      <c r="H35" s="8" t="n"/>
      <c r="I35" s="8" t="n"/>
    </row>
    <row r="36">
      <c r="B36" s="8">
        <f>IF(E36="","","EV-"&amp;TEXT(ROW()-5,"000"))</f>
        <v/>
      </c>
      <c r="C36" s="8" t="n"/>
      <c r="D36" s="8" t="n"/>
      <c r="E36" s="8" t="n"/>
      <c r="F36" s="8" t="n"/>
      <c r="G36" s="8" t="n"/>
      <c r="H36" s="8" t="n"/>
      <c r="I36" s="8" t="n"/>
    </row>
    <row r="37">
      <c r="B37" s="8">
        <f>IF(E37="","","EV-"&amp;TEXT(ROW()-5,"000"))</f>
        <v/>
      </c>
      <c r="C37" s="8" t="n"/>
      <c r="D37" s="8" t="n"/>
      <c r="E37" s="8" t="n"/>
      <c r="F37" s="8" t="n"/>
      <c r="G37" s="8" t="n"/>
      <c r="H37" s="8" t="n"/>
      <c r="I37" s="8" t="n"/>
    </row>
    <row r="38">
      <c r="B38" s="8">
        <f>IF(E38="","","EV-"&amp;TEXT(ROW()-5,"000"))</f>
        <v/>
      </c>
      <c r="C38" s="8" t="n"/>
      <c r="D38" s="8" t="n"/>
      <c r="E38" s="8" t="n"/>
      <c r="F38" s="8" t="n"/>
      <c r="G38" s="8" t="n"/>
      <c r="H38" s="8" t="n"/>
      <c r="I38" s="8" t="n"/>
    </row>
    <row r="39">
      <c r="B39" s="8">
        <f>IF(E39="","","EV-"&amp;TEXT(ROW()-5,"000"))</f>
        <v/>
      </c>
      <c r="C39" s="8" t="n"/>
      <c r="D39" s="8" t="n"/>
      <c r="E39" s="8" t="n"/>
      <c r="F39" s="8" t="n"/>
      <c r="G39" s="8" t="n"/>
      <c r="H39" s="8" t="n"/>
      <c r="I39" s="8" t="n"/>
    </row>
    <row r="40">
      <c r="B40" s="8">
        <f>IF(E40="","","EV-"&amp;TEXT(ROW()-5,"000"))</f>
        <v/>
      </c>
      <c r="C40" s="8" t="n"/>
      <c r="D40" s="8" t="n"/>
      <c r="E40" s="8" t="n"/>
      <c r="F40" s="8" t="n"/>
      <c r="G40" s="8" t="n"/>
      <c r="H40" s="8" t="n"/>
      <c r="I40" s="8" t="n"/>
    </row>
    <row r="41">
      <c r="B41" s="8">
        <f>IF(E41="","","EV-"&amp;TEXT(ROW()-5,"000"))</f>
        <v/>
      </c>
      <c r="C41" s="8" t="n"/>
      <c r="D41" s="8" t="n"/>
      <c r="E41" s="8" t="n"/>
      <c r="F41" s="8" t="n"/>
      <c r="G41" s="8" t="n"/>
      <c r="H41" s="8" t="n"/>
      <c r="I41" s="8" t="n"/>
    </row>
    <row r="42">
      <c r="B42" s="8">
        <f>IF(E42="","","EV-"&amp;TEXT(ROW()-5,"000"))</f>
        <v/>
      </c>
      <c r="C42" s="8" t="n"/>
      <c r="D42" s="8" t="n"/>
      <c r="E42" s="8" t="n"/>
      <c r="F42" s="8" t="n"/>
      <c r="G42" s="8" t="n"/>
      <c r="H42" s="8" t="n"/>
      <c r="I42" s="8" t="n"/>
    </row>
    <row r="43">
      <c r="B43" s="8">
        <f>IF(E43="","","EV-"&amp;TEXT(ROW()-5,"000"))</f>
        <v/>
      </c>
      <c r="C43" s="8" t="n"/>
      <c r="D43" s="8" t="n"/>
      <c r="E43" s="8" t="n"/>
      <c r="F43" s="8" t="n"/>
      <c r="G43" s="8" t="n"/>
      <c r="H43" s="8" t="n"/>
      <c r="I43" s="8" t="n"/>
    </row>
    <row r="44">
      <c r="B44" s="8">
        <f>IF(E44="","","EV-"&amp;TEXT(ROW()-5,"000"))</f>
        <v/>
      </c>
      <c r="C44" s="8" t="n"/>
      <c r="D44" s="8" t="n"/>
      <c r="E44" s="8" t="n"/>
      <c r="F44" s="8" t="n"/>
      <c r="G44" s="8" t="n"/>
      <c r="H44" s="8" t="n"/>
      <c r="I44" s="8" t="n"/>
    </row>
    <row r="45">
      <c r="B45" s="8">
        <f>IF(E45="","","EV-"&amp;TEXT(ROW()-5,"000"))</f>
        <v/>
      </c>
      <c r="C45" s="8" t="n"/>
      <c r="D45" s="8" t="n"/>
      <c r="E45" s="8" t="n"/>
      <c r="F45" s="8" t="n"/>
      <c r="G45" s="8" t="n"/>
      <c r="H45" s="8" t="n"/>
      <c r="I45" s="8" t="n"/>
    </row>
    <row r="46">
      <c r="B46" s="8">
        <f>IF(E46="","","EV-"&amp;TEXT(ROW()-5,"000"))</f>
        <v/>
      </c>
      <c r="C46" s="8" t="n"/>
      <c r="D46" s="8" t="n"/>
      <c r="E46" s="8" t="n"/>
      <c r="F46" s="8" t="n"/>
      <c r="G46" s="8" t="n"/>
      <c r="H46" s="8" t="n"/>
      <c r="I46" s="8" t="n"/>
    </row>
    <row r="47">
      <c r="B47" s="8">
        <f>IF(E47="","","EV-"&amp;TEXT(ROW()-5,"000"))</f>
        <v/>
      </c>
      <c r="C47" s="8" t="n"/>
      <c r="D47" s="8" t="n"/>
      <c r="E47" s="8" t="n"/>
      <c r="F47" s="8" t="n"/>
      <c r="G47" s="8" t="n"/>
      <c r="H47" s="8" t="n"/>
      <c r="I47" s="8" t="n"/>
    </row>
    <row r="48">
      <c r="B48" s="8">
        <f>IF(E48="","","EV-"&amp;TEXT(ROW()-5,"000"))</f>
        <v/>
      </c>
      <c r="C48" s="8" t="n"/>
      <c r="D48" s="8" t="n"/>
      <c r="E48" s="8" t="n"/>
      <c r="F48" s="8" t="n"/>
      <c r="G48" s="8" t="n"/>
      <c r="H48" s="8" t="n"/>
      <c r="I48" s="8" t="n"/>
    </row>
    <row r="49">
      <c r="B49" s="8">
        <f>IF(E49="","","EV-"&amp;TEXT(ROW()-5,"000"))</f>
        <v/>
      </c>
      <c r="C49" s="8" t="n"/>
      <c r="D49" s="8" t="n"/>
      <c r="E49" s="8" t="n"/>
      <c r="F49" s="8" t="n"/>
      <c r="G49" s="8" t="n"/>
      <c r="H49" s="8" t="n"/>
      <c r="I49" s="8" t="n"/>
    </row>
    <row r="50">
      <c r="B50" s="8">
        <f>IF(E50="","","EV-"&amp;TEXT(ROW()-5,"000"))</f>
        <v/>
      </c>
      <c r="C50" s="8" t="n"/>
      <c r="D50" s="8" t="n"/>
      <c r="E50" s="8" t="n"/>
      <c r="F50" s="8" t="n"/>
      <c r="G50" s="8" t="n"/>
      <c r="H50" s="8" t="n"/>
      <c r="I50" s="8" t="n"/>
    </row>
    <row r="51">
      <c r="B51" s="8">
        <f>IF(E51="","","EV-"&amp;TEXT(ROW()-5,"000"))</f>
        <v/>
      </c>
      <c r="C51" s="8" t="n"/>
      <c r="D51" s="8" t="n"/>
      <c r="E51" s="8" t="n"/>
      <c r="F51" s="8" t="n"/>
      <c r="G51" s="8" t="n"/>
      <c r="H51" s="8" t="n"/>
      <c r="I51" s="8" t="n"/>
    </row>
    <row r="52">
      <c r="B52" s="8">
        <f>IF(E52="","","EV-"&amp;TEXT(ROW()-5,"000"))</f>
        <v/>
      </c>
      <c r="C52" s="8" t="n"/>
      <c r="D52" s="8" t="n"/>
      <c r="E52" s="8" t="n"/>
      <c r="F52" s="8" t="n"/>
      <c r="G52" s="8" t="n"/>
      <c r="H52" s="8" t="n"/>
      <c r="I52" s="8" t="n"/>
    </row>
    <row r="53">
      <c r="B53" s="8">
        <f>IF(E53="","","EV-"&amp;TEXT(ROW()-5,"000"))</f>
        <v/>
      </c>
      <c r="C53" s="8" t="n"/>
      <c r="D53" s="8" t="n"/>
      <c r="E53" s="8" t="n"/>
      <c r="F53" s="8" t="n"/>
      <c r="G53" s="8" t="n"/>
      <c r="H53" s="8" t="n"/>
      <c r="I53" s="8" t="n"/>
    </row>
    <row r="54">
      <c r="B54" s="8">
        <f>IF(E54="","","EV-"&amp;TEXT(ROW()-5,"000"))</f>
        <v/>
      </c>
      <c r="C54" s="8" t="n"/>
      <c r="D54" s="8" t="n"/>
      <c r="E54" s="8" t="n"/>
      <c r="F54" s="8" t="n"/>
      <c r="G54" s="8" t="n"/>
      <c r="H54" s="8" t="n"/>
      <c r="I54" s="8" t="n"/>
    </row>
    <row r="55">
      <c r="B55" s="8">
        <f>IF(E55="","","EV-"&amp;TEXT(ROW()-5,"000"))</f>
        <v/>
      </c>
      <c r="C55" s="8" t="n"/>
      <c r="D55" s="8" t="n"/>
      <c r="E55" s="8" t="n"/>
      <c r="F55" s="8" t="n"/>
      <c r="G55" s="8" t="n"/>
      <c r="H55" s="8" t="n"/>
      <c r="I55" s="8" t="n"/>
    </row>
    <row r="56">
      <c r="B56" s="8">
        <f>IF(E56="","","EV-"&amp;TEXT(ROW()-5,"000"))</f>
        <v/>
      </c>
      <c r="C56" s="8" t="n"/>
      <c r="D56" s="8" t="n"/>
      <c r="E56" s="8" t="n"/>
      <c r="F56" s="8" t="n"/>
      <c r="G56" s="8" t="n"/>
      <c r="H56" s="8" t="n"/>
      <c r="I56" s="8" t="n"/>
    </row>
    <row r="57">
      <c r="B57" s="8">
        <f>IF(E57="","","EV-"&amp;TEXT(ROW()-5,"000"))</f>
        <v/>
      </c>
      <c r="C57" s="8" t="n"/>
      <c r="D57" s="8" t="n"/>
      <c r="E57" s="8" t="n"/>
      <c r="F57" s="8" t="n"/>
      <c r="G57" s="8" t="n"/>
      <c r="H57" s="8" t="n"/>
      <c r="I57" s="8" t="n"/>
    </row>
    <row r="58">
      <c r="B58" s="8">
        <f>IF(E58="","","EV-"&amp;TEXT(ROW()-5,"000"))</f>
        <v/>
      </c>
      <c r="C58" s="8" t="n"/>
      <c r="D58" s="8" t="n"/>
      <c r="E58" s="8" t="n"/>
      <c r="F58" s="8" t="n"/>
      <c r="G58" s="8" t="n"/>
      <c r="H58" s="8" t="n"/>
      <c r="I58" s="8" t="n"/>
    </row>
    <row r="59">
      <c r="B59" s="8">
        <f>IF(E59="","","EV-"&amp;TEXT(ROW()-5,"000"))</f>
        <v/>
      </c>
      <c r="C59" s="8" t="n"/>
      <c r="D59" s="8" t="n"/>
      <c r="E59" s="8" t="n"/>
      <c r="F59" s="8" t="n"/>
      <c r="G59" s="8" t="n"/>
      <c r="H59" s="8" t="n"/>
      <c r="I59" s="8" t="n"/>
    </row>
    <row r="60">
      <c r="B60" s="8">
        <f>IF(E60="","","EV-"&amp;TEXT(ROW()-5,"000"))</f>
        <v/>
      </c>
      <c r="C60" s="8" t="n"/>
      <c r="D60" s="8" t="n"/>
      <c r="E60" s="8" t="n"/>
      <c r="F60" s="8" t="n"/>
      <c r="G60" s="8" t="n"/>
      <c r="H60" s="8" t="n"/>
      <c r="I60" s="8" t="n"/>
    </row>
    <row r="61">
      <c r="B61" s="8">
        <f>IF(E61="","","EV-"&amp;TEXT(ROW()-5,"000"))</f>
        <v/>
      </c>
      <c r="C61" s="8" t="n"/>
      <c r="D61" s="8" t="n"/>
      <c r="E61" s="8" t="n"/>
      <c r="F61" s="8" t="n"/>
      <c r="G61" s="8" t="n"/>
      <c r="H61" s="8" t="n"/>
      <c r="I61" s="8" t="n"/>
    </row>
    <row r="62">
      <c r="B62" s="8">
        <f>IF(E62="","","EV-"&amp;TEXT(ROW()-5,"000"))</f>
        <v/>
      </c>
      <c r="C62" s="8" t="n"/>
      <c r="D62" s="8" t="n"/>
      <c r="E62" s="8" t="n"/>
      <c r="F62" s="8" t="n"/>
      <c r="G62" s="8" t="n"/>
      <c r="H62" s="8" t="n"/>
      <c r="I62" s="8" t="n"/>
    </row>
    <row r="63">
      <c r="B63" s="8">
        <f>IF(E63="","","EV-"&amp;TEXT(ROW()-5,"000"))</f>
        <v/>
      </c>
      <c r="C63" s="8" t="n"/>
      <c r="D63" s="8" t="n"/>
      <c r="E63" s="8" t="n"/>
      <c r="F63" s="8" t="n"/>
      <c r="G63" s="8" t="n"/>
      <c r="H63" s="8" t="n"/>
      <c r="I63" s="8" t="n"/>
    </row>
    <row r="64">
      <c r="B64" s="8">
        <f>IF(E64="","","EV-"&amp;TEXT(ROW()-5,"000"))</f>
        <v/>
      </c>
      <c r="C64" s="8" t="n"/>
      <c r="D64" s="8" t="n"/>
      <c r="E64" s="8" t="n"/>
      <c r="F64" s="8" t="n"/>
      <c r="G64" s="8" t="n"/>
      <c r="H64" s="8" t="n"/>
      <c r="I64" s="8" t="n"/>
    </row>
    <row r="65">
      <c r="B65" s="8">
        <f>IF(E65="","","EV-"&amp;TEXT(ROW()-5,"000"))</f>
        <v/>
      </c>
      <c r="C65" s="8" t="n"/>
      <c r="D65" s="8" t="n"/>
      <c r="E65" s="8" t="n"/>
      <c r="F65" s="8" t="n"/>
      <c r="G65" s="8" t="n"/>
      <c r="H65" s="8" t="n"/>
      <c r="I65" s="8" t="n"/>
    </row>
    <row r="66">
      <c r="B66" s="8">
        <f>IF(E66="","","EV-"&amp;TEXT(ROW()-5,"000"))</f>
        <v/>
      </c>
      <c r="C66" s="8" t="n"/>
      <c r="D66" s="8" t="n"/>
      <c r="E66" s="8" t="n"/>
      <c r="F66" s="8" t="n"/>
      <c r="G66" s="8" t="n"/>
      <c r="H66" s="8" t="n"/>
      <c r="I66" s="8" t="n"/>
    </row>
    <row r="67">
      <c r="B67" s="8">
        <f>IF(E67="","","EV-"&amp;TEXT(ROW()-5,"000"))</f>
        <v/>
      </c>
      <c r="C67" s="8" t="n"/>
      <c r="D67" s="8" t="n"/>
      <c r="E67" s="8" t="n"/>
      <c r="F67" s="8" t="n"/>
      <c r="G67" s="8" t="n"/>
      <c r="H67" s="8" t="n"/>
      <c r="I67" s="8" t="n"/>
    </row>
    <row r="68">
      <c r="B68" s="8">
        <f>IF(E68="","","EV-"&amp;TEXT(ROW()-5,"000"))</f>
        <v/>
      </c>
      <c r="C68" s="8" t="n"/>
      <c r="D68" s="8" t="n"/>
      <c r="E68" s="8" t="n"/>
      <c r="F68" s="8" t="n"/>
      <c r="G68" s="8" t="n"/>
      <c r="H68" s="8" t="n"/>
      <c r="I68" s="8" t="n"/>
    </row>
    <row r="69">
      <c r="B69" s="8">
        <f>IF(E69="","","EV-"&amp;TEXT(ROW()-5,"000"))</f>
        <v/>
      </c>
      <c r="C69" s="8" t="n"/>
      <c r="D69" s="8" t="n"/>
      <c r="E69" s="8" t="n"/>
      <c r="F69" s="8" t="n"/>
      <c r="G69" s="8" t="n"/>
      <c r="H69" s="8" t="n"/>
      <c r="I69" s="8" t="n"/>
    </row>
    <row r="70">
      <c r="B70" s="8">
        <f>IF(E70="","","EV-"&amp;TEXT(ROW()-5,"000"))</f>
        <v/>
      </c>
      <c r="C70" s="8" t="n"/>
      <c r="D70" s="8" t="n"/>
      <c r="E70" s="8" t="n"/>
      <c r="F70" s="8" t="n"/>
      <c r="G70" s="8" t="n"/>
      <c r="H70" s="8" t="n"/>
      <c r="I70" s="8" t="n"/>
    </row>
    <row r="71">
      <c r="B71" s="8">
        <f>IF(E71="","","EV-"&amp;TEXT(ROW()-5,"000"))</f>
        <v/>
      </c>
      <c r="C71" s="8" t="n"/>
      <c r="D71" s="8" t="n"/>
      <c r="E71" s="8" t="n"/>
      <c r="F71" s="8" t="n"/>
      <c r="G71" s="8" t="n"/>
      <c r="H71" s="8" t="n"/>
      <c r="I71" s="8" t="n"/>
    </row>
    <row r="72">
      <c r="B72" s="8">
        <f>IF(E72="","","EV-"&amp;TEXT(ROW()-5,"000"))</f>
        <v/>
      </c>
      <c r="C72" s="8" t="n"/>
      <c r="D72" s="8" t="n"/>
      <c r="E72" s="8" t="n"/>
      <c r="F72" s="8" t="n"/>
      <c r="G72" s="8" t="n"/>
      <c r="H72" s="8" t="n"/>
      <c r="I72" s="8" t="n"/>
    </row>
    <row r="73">
      <c r="B73" s="8">
        <f>IF(E73="","","EV-"&amp;TEXT(ROW()-5,"000"))</f>
        <v/>
      </c>
      <c r="C73" s="8" t="n"/>
      <c r="D73" s="8" t="n"/>
      <c r="E73" s="8" t="n"/>
      <c r="F73" s="8" t="n"/>
      <c r="G73" s="8" t="n"/>
      <c r="H73" s="8" t="n"/>
      <c r="I73" s="8" t="n"/>
    </row>
    <row r="74">
      <c r="B74" s="8">
        <f>IF(E74="","","EV-"&amp;TEXT(ROW()-5,"000"))</f>
        <v/>
      </c>
      <c r="C74" s="8" t="n"/>
      <c r="D74" s="8" t="n"/>
      <c r="E74" s="8" t="n"/>
      <c r="F74" s="8" t="n"/>
      <c r="G74" s="8" t="n"/>
      <c r="H74" s="8" t="n"/>
      <c r="I74" s="8" t="n"/>
    </row>
    <row r="75">
      <c r="B75" s="8">
        <f>IF(E75="","","EV-"&amp;TEXT(ROW()-5,"000"))</f>
        <v/>
      </c>
      <c r="C75" s="8" t="n"/>
      <c r="D75" s="8" t="n"/>
      <c r="E75" s="8" t="n"/>
      <c r="F75" s="8" t="n"/>
      <c r="G75" s="8" t="n"/>
      <c r="H75" s="8" t="n"/>
      <c r="I75" s="8" t="n"/>
    </row>
    <row r="76">
      <c r="B76" s="8">
        <f>IF(E76="","","EV-"&amp;TEXT(ROW()-5,"000"))</f>
        <v/>
      </c>
      <c r="C76" s="8" t="n"/>
      <c r="D76" s="8" t="n"/>
      <c r="E76" s="8" t="n"/>
      <c r="F76" s="8" t="n"/>
      <c r="G76" s="8" t="n"/>
      <c r="H76" s="8" t="n"/>
      <c r="I76" s="8" t="n"/>
    </row>
    <row r="77">
      <c r="B77" s="8">
        <f>IF(E77="","","EV-"&amp;TEXT(ROW()-5,"000"))</f>
        <v/>
      </c>
      <c r="C77" s="8" t="n"/>
      <c r="D77" s="8" t="n"/>
      <c r="E77" s="8" t="n"/>
      <c r="F77" s="8" t="n"/>
      <c r="G77" s="8" t="n"/>
      <c r="H77" s="8" t="n"/>
      <c r="I77" s="8" t="n"/>
    </row>
    <row r="78">
      <c r="B78" s="8">
        <f>IF(E78="","","EV-"&amp;TEXT(ROW()-5,"000"))</f>
        <v/>
      </c>
      <c r="C78" s="8" t="n"/>
      <c r="D78" s="8" t="n"/>
      <c r="E78" s="8" t="n"/>
      <c r="F78" s="8" t="n"/>
      <c r="G78" s="8" t="n"/>
      <c r="H78" s="8" t="n"/>
      <c r="I78" s="8" t="n"/>
    </row>
    <row r="79">
      <c r="B79" s="8">
        <f>IF(E79="","","EV-"&amp;TEXT(ROW()-5,"000"))</f>
        <v/>
      </c>
      <c r="C79" s="8" t="n"/>
      <c r="D79" s="8" t="n"/>
      <c r="E79" s="8" t="n"/>
      <c r="F79" s="8" t="n"/>
      <c r="G79" s="8" t="n"/>
      <c r="H79" s="8" t="n"/>
      <c r="I79" s="8" t="n"/>
    </row>
    <row r="80">
      <c r="B80" s="8">
        <f>IF(E80="","","EV-"&amp;TEXT(ROW()-5,"000"))</f>
        <v/>
      </c>
      <c r="C80" s="8" t="n"/>
      <c r="D80" s="8" t="n"/>
      <c r="E80" s="8" t="n"/>
      <c r="F80" s="8" t="n"/>
      <c r="G80" s="8" t="n"/>
      <c r="H80" s="8" t="n"/>
      <c r="I80" s="8" t="n"/>
    </row>
    <row r="81">
      <c r="B81" s="8">
        <f>IF(E81="","","EV-"&amp;TEXT(ROW()-5,"000"))</f>
        <v/>
      </c>
      <c r="C81" s="8" t="n"/>
      <c r="D81" s="8" t="n"/>
      <c r="E81" s="8" t="n"/>
      <c r="F81" s="8" t="n"/>
      <c r="G81" s="8" t="n"/>
      <c r="H81" s="8" t="n"/>
      <c r="I81" s="8" t="n"/>
    </row>
    <row r="82">
      <c r="B82" s="8">
        <f>IF(E82="","","EV-"&amp;TEXT(ROW()-5,"000"))</f>
        <v/>
      </c>
      <c r="C82" s="8" t="n"/>
      <c r="D82" s="8" t="n"/>
      <c r="E82" s="8" t="n"/>
      <c r="F82" s="8" t="n"/>
      <c r="G82" s="8" t="n"/>
      <c r="H82" s="8" t="n"/>
      <c r="I82" s="8" t="n"/>
    </row>
    <row r="83">
      <c r="B83" s="8">
        <f>IF(E83="","","EV-"&amp;TEXT(ROW()-5,"000"))</f>
        <v/>
      </c>
      <c r="C83" s="8" t="n"/>
      <c r="D83" s="8" t="n"/>
      <c r="E83" s="8" t="n"/>
      <c r="F83" s="8" t="n"/>
      <c r="G83" s="8" t="n"/>
      <c r="H83" s="8" t="n"/>
      <c r="I83" s="8" t="n"/>
    </row>
    <row r="84">
      <c r="B84" s="8">
        <f>IF(E84="","","EV-"&amp;TEXT(ROW()-5,"000"))</f>
        <v/>
      </c>
      <c r="C84" s="8" t="n"/>
      <c r="D84" s="8" t="n"/>
      <c r="E84" s="8" t="n"/>
      <c r="F84" s="8" t="n"/>
      <c r="G84" s="8" t="n"/>
      <c r="H84" s="8" t="n"/>
      <c r="I84" s="8" t="n"/>
    </row>
    <row r="85">
      <c r="B85" s="8">
        <f>IF(E85="","","EV-"&amp;TEXT(ROW()-5,"000"))</f>
        <v/>
      </c>
      <c r="C85" s="8" t="n"/>
      <c r="D85" s="8" t="n"/>
      <c r="E85" s="8" t="n"/>
      <c r="F85" s="8" t="n"/>
      <c r="G85" s="8" t="n"/>
      <c r="H85" s="8" t="n"/>
      <c r="I85" s="8" t="n"/>
    </row>
    <row r="86">
      <c r="B86" s="8">
        <f>IF(E86="","","EV-"&amp;TEXT(ROW()-5,"000"))</f>
        <v/>
      </c>
      <c r="C86" s="8" t="n"/>
      <c r="D86" s="8" t="n"/>
      <c r="E86" s="8" t="n"/>
      <c r="F86" s="8" t="n"/>
      <c r="G86" s="8" t="n"/>
      <c r="H86" s="8" t="n"/>
      <c r="I86" s="8" t="n"/>
    </row>
    <row r="87">
      <c r="B87" s="8">
        <f>IF(E87="","","EV-"&amp;TEXT(ROW()-5,"000"))</f>
        <v/>
      </c>
      <c r="C87" s="8" t="n"/>
      <c r="D87" s="8" t="n"/>
      <c r="E87" s="8" t="n"/>
      <c r="F87" s="8" t="n"/>
      <c r="G87" s="8" t="n"/>
      <c r="H87" s="8" t="n"/>
      <c r="I87" s="8" t="n"/>
    </row>
    <row r="88">
      <c r="B88" s="8">
        <f>IF(E88="","","EV-"&amp;TEXT(ROW()-5,"000"))</f>
        <v/>
      </c>
      <c r="C88" s="8" t="n"/>
      <c r="D88" s="8" t="n"/>
      <c r="E88" s="8" t="n"/>
      <c r="F88" s="8" t="n"/>
      <c r="G88" s="8" t="n"/>
      <c r="H88" s="8" t="n"/>
      <c r="I88" s="8" t="n"/>
    </row>
    <row r="89">
      <c r="B89" s="8">
        <f>IF(E89="","","EV-"&amp;TEXT(ROW()-5,"000"))</f>
        <v/>
      </c>
      <c r="C89" s="8" t="n"/>
      <c r="D89" s="8" t="n"/>
      <c r="E89" s="8" t="n"/>
      <c r="F89" s="8" t="n"/>
      <c r="G89" s="8" t="n"/>
      <c r="H89" s="8" t="n"/>
      <c r="I89" s="8" t="n"/>
    </row>
    <row r="90">
      <c r="B90" s="8">
        <f>IF(E90="","","EV-"&amp;TEXT(ROW()-5,"000"))</f>
        <v/>
      </c>
      <c r="C90" s="8" t="n"/>
      <c r="D90" s="8" t="n"/>
      <c r="E90" s="8" t="n"/>
      <c r="F90" s="8" t="n"/>
      <c r="G90" s="8" t="n"/>
      <c r="H90" s="8" t="n"/>
      <c r="I90" s="8" t="n"/>
    </row>
    <row r="91">
      <c r="B91" s="8">
        <f>IF(E91="","","EV-"&amp;TEXT(ROW()-5,"000"))</f>
        <v/>
      </c>
      <c r="C91" s="8" t="n"/>
      <c r="D91" s="8" t="n"/>
      <c r="E91" s="8" t="n"/>
      <c r="F91" s="8" t="n"/>
      <c r="G91" s="8" t="n"/>
      <c r="H91" s="8" t="n"/>
      <c r="I91" s="8" t="n"/>
    </row>
    <row r="92">
      <c r="B92" s="8">
        <f>IF(E92="","","EV-"&amp;TEXT(ROW()-5,"000"))</f>
        <v/>
      </c>
      <c r="C92" s="8" t="n"/>
      <c r="D92" s="8" t="n"/>
      <c r="E92" s="8" t="n"/>
      <c r="F92" s="8" t="n"/>
      <c r="G92" s="8" t="n"/>
      <c r="H92" s="8" t="n"/>
      <c r="I92" s="8" t="n"/>
    </row>
    <row r="93">
      <c r="B93" s="8">
        <f>IF(E93="","","EV-"&amp;TEXT(ROW()-5,"000"))</f>
        <v/>
      </c>
      <c r="C93" s="8" t="n"/>
      <c r="D93" s="8" t="n"/>
      <c r="E93" s="8" t="n"/>
      <c r="F93" s="8" t="n"/>
      <c r="G93" s="8" t="n"/>
      <c r="H93" s="8" t="n"/>
      <c r="I93" s="8" t="n"/>
    </row>
    <row r="94">
      <c r="B94" s="8">
        <f>IF(E94="","","EV-"&amp;TEXT(ROW()-5,"000"))</f>
        <v/>
      </c>
      <c r="C94" s="8" t="n"/>
      <c r="D94" s="8" t="n"/>
      <c r="E94" s="8" t="n"/>
      <c r="F94" s="8" t="n"/>
      <c r="G94" s="8" t="n"/>
      <c r="H94" s="8" t="n"/>
      <c r="I94" s="8" t="n"/>
    </row>
    <row r="95">
      <c r="B95" s="8">
        <f>IF(E95="","","EV-"&amp;TEXT(ROW()-5,"000"))</f>
        <v/>
      </c>
      <c r="C95" s="8" t="n"/>
      <c r="D95" s="8" t="n"/>
      <c r="E95" s="8" t="n"/>
      <c r="F95" s="8" t="n"/>
      <c r="G95" s="8" t="n"/>
      <c r="H95" s="8" t="n"/>
      <c r="I95" s="8" t="n"/>
    </row>
    <row r="96">
      <c r="B96" s="8">
        <f>IF(E96="","","EV-"&amp;TEXT(ROW()-5,"000"))</f>
        <v/>
      </c>
      <c r="C96" s="8" t="n"/>
      <c r="D96" s="8" t="n"/>
      <c r="E96" s="8" t="n"/>
      <c r="F96" s="8" t="n"/>
      <c r="G96" s="8" t="n"/>
      <c r="H96" s="8" t="n"/>
      <c r="I96" s="8" t="n"/>
    </row>
    <row r="97">
      <c r="B97" s="8">
        <f>IF(E97="","","EV-"&amp;TEXT(ROW()-5,"000"))</f>
        <v/>
      </c>
      <c r="C97" s="8" t="n"/>
      <c r="D97" s="8" t="n"/>
      <c r="E97" s="8" t="n"/>
      <c r="F97" s="8" t="n"/>
      <c r="G97" s="8" t="n"/>
      <c r="H97" s="8" t="n"/>
      <c r="I97" s="8" t="n"/>
    </row>
    <row r="98">
      <c r="B98" s="8">
        <f>IF(E98="","","EV-"&amp;TEXT(ROW()-5,"000"))</f>
        <v/>
      </c>
      <c r="C98" s="8" t="n"/>
      <c r="D98" s="8" t="n"/>
      <c r="E98" s="8" t="n"/>
      <c r="F98" s="8" t="n"/>
      <c r="G98" s="8" t="n"/>
      <c r="H98" s="8" t="n"/>
      <c r="I98" s="8" t="n"/>
    </row>
    <row r="99">
      <c r="B99" s="8">
        <f>IF(E99="","","EV-"&amp;TEXT(ROW()-5,"000"))</f>
        <v/>
      </c>
      <c r="C99" s="8" t="n"/>
      <c r="D99" s="8" t="n"/>
      <c r="E99" s="8" t="n"/>
      <c r="F99" s="8" t="n"/>
      <c r="G99" s="8" t="n"/>
      <c r="H99" s="8" t="n"/>
      <c r="I99" s="8" t="n"/>
    </row>
    <row r="100">
      <c r="B100" s="8">
        <f>IF(E100="","","EV-"&amp;TEXT(ROW()-5,"000"))</f>
        <v/>
      </c>
      <c r="C100" s="8" t="n"/>
      <c r="D100" s="8" t="n"/>
      <c r="E100" s="8" t="n"/>
      <c r="F100" s="8" t="n"/>
      <c r="G100" s="8" t="n"/>
      <c r="H100" s="8" t="n"/>
      <c r="I100" s="8" t="n"/>
    </row>
    <row r="101">
      <c r="B101" s="8">
        <f>IF(E101="","","EV-"&amp;TEXT(ROW()-5,"000"))</f>
        <v/>
      </c>
      <c r="C101" s="8" t="n"/>
      <c r="D101" s="8" t="n"/>
      <c r="E101" s="8" t="n"/>
      <c r="F101" s="8" t="n"/>
      <c r="G101" s="8" t="n"/>
      <c r="H101" s="8" t="n"/>
      <c r="I101" s="8" t="n"/>
    </row>
    <row r="102">
      <c r="B102" s="8">
        <f>IF(E102="","","EV-"&amp;TEXT(ROW()-5,"000"))</f>
        <v/>
      </c>
      <c r="C102" s="8" t="n"/>
      <c r="D102" s="8" t="n"/>
      <c r="E102" s="8" t="n"/>
      <c r="F102" s="8" t="n"/>
      <c r="G102" s="8" t="n"/>
      <c r="H102" s="8" t="n"/>
      <c r="I102" s="8" t="n"/>
    </row>
    <row r="103">
      <c r="B103" s="8">
        <f>IF(E103="","","EV-"&amp;TEXT(ROW()-5,"000"))</f>
        <v/>
      </c>
      <c r="C103" s="8" t="n"/>
      <c r="D103" s="8" t="n"/>
      <c r="E103" s="8" t="n"/>
      <c r="F103" s="8" t="n"/>
      <c r="G103" s="8" t="n"/>
      <c r="H103" s="8" t="n"/>
      <c r="I103" s="8" t="n"/>
    </row>
    <row r="104">
      <c r="B104" s="8">
        <f>IF(E104="","","EV-"&amp;TEXT(ROW()-5,"000"))</f>
        <v/>
      </c>
      <c r="C104" s="8" t="n"/>
      <c r="D104" s="8" t="n"/>
      <c r="E104" s="8" t="n"/>
      <c r="F104" s="8" t="n"/>
      <c r="G104" s="8" t="n"/>
      <c r="H104" s="8" t="n"/>
      <c r="I104" s="8" t="n"/>
    </row>
    <row r="105">
      <c r="B105" s="8">
        <f>IF(E105="","","EV-"&amp;TEXT(ROW()-5,"000"))</f>
        <v/>
      </c>
      <c r="C105" s="8" t="n"/>
      <c r="D105" s="8" t="n"/>
      <c r="E105" s="8" t="n"/>
      <c r="F105" s="8" t="n"/>
      <c r="G105" s="8" t="n"/>
      <c r="H105" s="8" t="n"/>
      <c r="I105" s="8" t="n"/>
    </row>
    <row r="106">
      <c r="B106" s="8">
        <f>IF(E106="","","EV-"&amp;TEXT(ROW()-5,"000"))</f>
        <v/>
      </c>
      <c r="C106" s="8" t="n"/>
      <c r="D106" s="8" t="n"/>
      <c r="E106" s="8" t="n"/>
      <c r="F106" s="8" t="n"/>
      <c r="G106" s="8" t="n"/>
      <c r="H106" s="8" t="n"/>
      <c r="I106" s="8" t="n"/>
    </row>
    <row r="107">
      <c r="B107" s="8">
        <f>IF(E107="","","EV-"&amp;TEXT(ROW()-5,"000"))</f>
        <v/>
      </c>
      <c r="C107" s="8" t="n"/>
      <c r="D107" s="8" t="n"/>
      <c r="E107" s="8" t="n"/>
      <c r="F107" s="8" t="n"/>
      <c r="G107" s="8" t="n"/>
      <c r="H107" s="8" t="n"/>
      <c r="I107" s="8" t="n"/>
    </row>
    <row r="108">
      <c r="B108" s="8">
        <f>IF(E108="","","EV-"&amp;TEXT(ROW()-5,"000"))</f>
        <v/>
      </c>
      <c r="C108" s="8" t="n"/>
      <c r="D108" s="8" t="n"/>
      <c r="E108" s="8" t="n"/>
      <c r="F108" s="8" t="n"/>
      <c r="G108" s="8" t="n"/>
      <c r="H108" s="8" t="n"/>
      <c r="I108" s="8" t="n"/>
    </row>
    <row r="109">
      <c r="B109" s="8">
        <f>IF(E109="","","EV-"&amp;TEXT(ROW()-5,"000"))</f>
        <v/>
      </c>
      <c r="C109" s="8" t="n"/>
      <c r="D109" s="8" t="n"/>
      <c r="E109" s="8" t="n"/>
      <c r="F109" s="8" t="n"/>
      <c r="G109" s="8" t="n"/>
      <c r="H109" s="8" t="n"/>
      <c r="I109" s="8" t="n"/>
    </row>
    <row r="110">
      <c r="B110" s="8">
        <f>IF(E110="","","EV-"&amp;TEXT(ROW()-5,"000"))</f>
        <v/>
      </c>
      <c r="C110" s="8" t="n"/>
      <c r="D110" s="8" t="n"/>
      <c r="E110" s="8" t="n"/>
      <c r="F110" s="8" t="n"/>
      <c r="G110" s="8" t="n"/>
      <c r="H110" s="8" t="n"/>
      <c r="I110" s="8" t="n"/>
    </row>
    <row r="111">
      <c r="B111" s="8">
        <f>IF(E111="","","EV-"&amp;TEXT(ROW()-5,"000"))</f>
        <v/>
      </c>
      <c r="C111" s="8" t="n"/>
      <c r="D111" s="8" t="n"/>
      <c r="E111" s="8" t="n"/>
      <c r="F111" s="8" t="n"/>
      <c r="G111" s="8" t="n"/>
      <c r="H111" s="8" t="n"/>
      <c r="I111" s="8" t="n"/>
    </row>
    <row r="112">
      <c r="B112" s="8">
        <f>IF(E112="","","EV-"&amp;TEXT(ROW()-5,"000"))</f>
        <v/>
      </c>
      <c r="C112" s="8" t="n"/>
      <c r="D112" s="8" t="n"/>
      <c r="E112" s="8" t="n"/>
      <c r="F112" s="8" t="n"/>
      <c r="G112" s="8" t="n"/>
      <c r="H112" s="8" t="n"/>
      <c r="I112" s="8" t="n"/>
    </row>
    <row r="113">
      <c r="B113" s="8">
        <f>IF(E113="","","EV-"&amp;TEXT(ROW()-5,"000"))</f>
        <v/>
      </c>
      <c r="C113" s="8" t="n"/>
      <c r="D113" s="8" t="n"/>
      <c r="E113" s="8" t="n"/>
      <c r="F113" s="8" t="n"/>
      <c r="G113" s="8" t="n"/>
      <c r="H113" s="8" t="n"/>
      <c r="I113" s="8" t="n"/>
    </row>
    <row r="114">
      <c r="B114" s="8">
        <f>IF(E114="","","EV-"&amp;TEXT(ROW()-5,"000"))</f>
        <v/>
      </c>
      <c r="C114" s="8" t="n"/>
      <c r="D114" s="8" t="n"/>
      <c r="E114" s="8" t="n"/>
      <c r="F114" s="8" t="n"/>
      <c r="G114" s="8" t="n"/>
      <c r="H114" s="8" t="n"/>
      <c r="I114" s="8" t="n"/>
    </row>
    <row r="115">
      <c r="B115" s="8">
        <f>IF(E115="","","EV-"&amp;TEXT(ROW()-5,"000"))</f>
        <v/>
      </c>
      <c r="C115" s="8" t="n"/>
      <c r="D115" s="8" t="n"/>
      <c r="E115" s="8" t="n"/>
      <c r="F115" s="8" t="n"/>
      <c r="G115" s="8" t="n"/>
      <c r="H115" s="8" t="n"/>
      <c r="I115" s="8" t="n"/>
    </row>
    <row r="116">
      <c r="B116" s="8">
        <f>IF(E116="","","EV-"&amp;TEXT(ROW()-5,"000"))</f>
        <v/>
      </c>
      <c r="C116" s="8" t="n"/>
      <c r="D116" s="8" t="n"/>
      <c r="E116" s="8" t="n"/>
      <c r="F116" s="8" t="n"/>
      <c r="G116" s="8" t="n"/>
      <c r="H116" s="8" t="n"/>
      <c r="I116" s="8" t="n"/>
    </row>
    <row r="117">
      <c r="B117" s="8">
        <f>IF(E117="","","EV-"&amp;TEXT(ROW()-5,"000"))</f>
        <v/>
      </c>
      <c r="C117" s="8" t="n"/>
      <c r="D117" s="8" t="n"/>
      <c r="E117" s="8" t="n"/>
      <c r="F117" s="8" t="n"/>
      <c r="G117" s="8" t="n"/>
      <c r="H117" s="8" t="n"/>
      <c r="I117" s="8" t="n"/>
    </row>
    <row r="118">
      <c r="B118" s="8">
        <f>IF(E118="","","EV-"&amp;TEXT(ROW()-5,"000"))</f>
        <v/>
      </c>
      <c r="C118" s="8" t="n"/>
      <c r="D118" s="8" t="n"/>
      <c r="E118" s="8" t="n"/>
      <c r="F118" s="8" t="n"/>
      <c r="G118" s="8" t="n"/>
      <c r="H118" s="8" t="n"/>
      <c r="I118" s="8" t="n"/>
    </row>
    <row r="119">
      <c r="B119" s="8">
        <f>IF(E119="","","EV-"&amp;TEXT(ROW()-5,"000"))</f>
        <v/>
      </c>
      <c r="C119" s="8" t="n"/>
      <c r="D119" s="8" t="n"/>
      <c r="E119" s="8" t="n"/>
      <c r="F119" s="8" t="n"/>
      <c r="G119" s="8" t="n"/>
      <c r="H119" s="8" t="n"/>
      <c r="I119" s="8" t="n"/>
    </row>
    <row r="120">
      <c r="B120" s="8">
        <f>IF(E120="","","EV-"&amp;TEXT(ROW()-5,"000"))</f>
        <v/>
      </c>
      <c r="C120" s="8" t="n"/>
      <c r="D120" s="8" t="n"/>
      <c r="E120" s="8" t="n"/>
      <c r="F120" s="8" t="n"/>
      <c r="G120" s="8" t="n"/>
      <c r="H120" s="8" t="n"/>
      <c r="I120" s="8" t="n"/>
    </row>
    <row r="121">
      <c r="B121" s="8">
        <f>IF(E121="","","EV-"&amp;TEXT(ROW()-5,"000"))</f>
        <v/>
      </c>
      <c r="C121" s="8" t="n"/>
      <c r="D121" s="8" t="n"/>
      <c r="E121" s="8" t="n"/>
      <c r="F121" s="8" t="n"/>
      <c r="G121" s="8" t="n"/>
      <c r="H121" s="8" t="n"/>
      <c r="I121" s="8" t="n"/>
    </row>
    <row r="122">
      <c r="B122" s="8">
        <f>IF(E122="","","EV-"&amp;TEXT(ROW()-5,"000"))</f>
        <v/>
      </c>
      <c r="C122" s="8" t="n"/>
      <c r="D122" s="8" t="n"/>
      <c r="E122" s="8" t="n"/>
      <c r="F122" s="8" t="n"/>
      <c r="G122" s="8" t="n"/>
      <c r="H122" s="8" t="n"/>
      <c r="I122" s="8" t="n"/>
    </row>
    <row r="123">
      <c r="B123" s="8">
        <f>IF(E123="","","EV-"&amp;TEXT(ROW()-5,"000"))</f>
        <v/>
      </c>
      <c r="C123" s="8" t="n"/>
      <c r="D123" s="8" t="n"/>
      <c r="E123" s="8" t="n"/>
      <c r="F123" s="8" t="n"/>
      <c r="G123" s="8" t="n"/>
      <c r="H123" s="8" t="n"/>
      <c r="I123" s="8" t="n"/>
    </row>
    <row r="124">
      <c r="B124" s="8">
        <f>IF(E124="","","EV-"&amp;TEXT(ROW()-5,"000"))</f>
        <v/>
      </c>
      <c r="C124" s="8" t="n"/>
      <c r="D124" s="8" t="n"/>
      <c r="E124" s="8" t="n"/>
      <c r="F124" s="8" t="n"/>
      <c r="G124" s="8" t="n"/>
      <c r="H124" s="8" t="n"/>
      <c r="I124" s="8" t="n"/>
    </row>
    <row r="125">
      <c r="B125" s="8">
        <f>IF(E125="","","EV-"&amp;TEXT(ROW()-5,"000"))</f>
        <v/>
      </c>
      <c r="C125" s="8" t="n"/>
      <c r="D125" s="8" t="n"/>
      <c r="E125" s="8" t="n"/>
      <c r="F125" s="8" t="n"/>
      <c r="G125" s="8" t="n"/>
      <c r="H125" s="8" t="n"/>
      <c r="I125" s="8" t="n"/>
    </row>
    <row r="126">
      <c r="B126" s="8">
        <f>IF(E126="","","EV-"&amp;TEXT(ROW()-5,"000"))</f>
        <v/>
      </c>
      <c r="C126" s="8" t="n"/>
      <c r="D126" s="8" t="n"/>
      <c r="E126" s="8" t="n"/>
      <c r="F126" s="8" t="n"/>
      <c r="G126" s="8" t="n"/>
      <c r="H126" s="8" t="n"/>
      <c r="I126" s="8" t="n"/>
    </row>
    <row r="127">
      <c r="B127" s="8">
        <f>IF(E127="","","EV-"&amp;TEXT(ROW()-5,"000"))</f>
        <v/>
      </c>
      <c r="C127" s="8" t="n"/>
      <c r="D127" s="8" t="n"/>
      <c r="E127" s="8" t="n"/>
      <c r="F127" s="8" t="n"/>
      <c r="G127" s="8" t="n"/>
      <c r="H127" s="8" t="n"/>
      <c r="I127" s="8" t="n"/>
    </row>
    <row r="128">
      <c r="B128" s="8">
        <f>IF(E128="","","EV-"&amp;TEXT(ROW()-5,"000"))</f>
        <v/>
      </c>
      <c r="C128" s="8" t="n"/>
      <c r="D128" s="8" t="n"/>
      <c r="E128" s="8" t="n"/>
      <c r="F128" s="8" t="n"/>
      <c r="G128" s="8" t="n"/>
      <c r="H128" s="8" t="n"/>
      <c r="I128" s="8" t="n"/>
    </row>
    <row r="129">
      <c r="B129" s="8">
        <f>IF(E129="","","EV-"&amp;TEXT(ROW()-5,"000"))</f>
        <v/>
      </c>
      <c r="C129" s="8" t="n"/>
      <c r="D129" s="8" t="n"/>
      <c r="E129" s="8" t="n"/>
      <c r="F129" s="8" t="n"/>
      <c r="G129" s="8" t="n"/>
      <c r="H129" s="8" t="n"/>
      <c r="I129" s="8" t="n"/>
    </row>
    <row r="130">
      <c r="B130" s="8">
        <f>IF(E130="","","EV-"&amp;TEXT(ROW()-5,"000"))</f>
        <v/>
      </c>
      <c r="C130" s="8" t="n"/>
      <c r="D130" s="8" t="n"/>
      <c r="E130" s="8" t="n"/>
      <c r="F130" s="8" t="n"/>
      <c r="G130" s="8" t="n"/>
      <c r="H130" s="8" t="n"/>
      <c r="I130" s="8" t="n"/>
    </row>
    <row r="131">
      <c r="B131" s="8">
        <f>IF(E131="","","EV-"&amp;TEXT(ROW()-5,"000"))</f>
        <v/>
      </c>
      <c r="C131" s="8" t="n"/>
      <c r="D131" s="8" t="n"/>
      <c r="E131" s="8" t="n"/>
      <c r="F131" s="8" t="n"/>
      <c r="G131" s="8" t="n"/>
      <c r="H131" s="8" t="n"/>
      <c r="I131" s="8" t="n"/>
    </row>
    <row r="132">
      <c r="B132" s="8">
        <f>IF(E132="","","EV-"&amp;TEXT(ROW()-5,"000"))</f>
        <v/>
      </c>
      <c r="C132" s="8" t="n"/>
      <c r="D132" s="8" t="n"/>
      <c r="E132" s="8" t="n"/>
      <c r="F132" s="8" t="n"/>
      <c r="G132" s="8" t="n"/>
      <c r="H132" s="8" t="n"/>
      <c r="I132" s="8" t="n"/>
    </row>
    <row r="133">
      <c r="B133" s="8">
        <f>IF(E133="","","EV-"&amp;TEXT(ROW()-5,"000"))</f>
        <v/>
      </c>
      <c r="C133" s="8" t="n"/>
      <c r="D133" s="8" t="n"/>
      <c r="E133" s="8" t="n"/>
      <c r="F133" s="8" t="n"/>
      <c r="G133" s="8" t="n"/>
      <c r="H133" s="8" t="n"/>
      <c r="I133" s="8" t="n"/>
    </row>
    <row r="134">
      <c r="B134" s="8">
        <f>IF(E134="","","EV-"&amp;TEXT(ROW()-5,"000"))</f>
        <v/>
      </c>
      <c r="C134" s="8" t="n"/>
      <c r="D134" s="8" t="n"/>
      <c r="E134" s="8" t="n"/>
      <c r="F134" s="8" t="n"/>
      <c r="G134" s="8" t="n"/>
      <c r="H134" s="8" t="n"/>
      <c r="I134" s="8" t="n"/>
    </row>
    <row r="135">
      <c r="B135" s="8">
        <f>IF(E135="","","EV-"&amp;TEXT(ROW()-5,"000"))</f>
        <v/>
      </c>
      <c r="C135" s="8" t="n"/>
      <c r="D135" s="8" t="n"/>
      <c r="E135" s="8" t="n"/>
      <c r="F135" s="8" t="n"/>
      <c r="G135" s="8" t="n"/>
      <c r="H135" s="8" t="n"/>
      <c r="I135" s="8" t="n"/>
    </row>
    <row r="136">
      <c r="B136" s="8">
        <f>IF(E136="","","EV-"&amp;TEXT(ROW()-5,"000"))</f>
        <v/>
      </c>
      <c r="C136" s="8" t="n"/>
      <c r="D136" s="8" t="n"/>
      <c r="E136" s="8" t="n"/>
      <c r="F136" s="8" t="n"/>
      <c r="G136" s="8" t="n"/>
      <c r="H136" s="8" t="n"/>
      <c r="I136" s="8" t="n"/>
    </row>
    <row r="137">
      <c r="B137" s="8">
        <f>IF(E137="","","EV-"&amp;TEXT(ROW()-5,"000"))</f>
        <v/>
      </c>
      <c r="C137" s="8" t="n"/>
      <c r="D137" s="8" t="n"/>
      <c r="E137" s="8" t="n"/>
      <c r="F137" s="8" t="n"/>
      <c r="G137" s="8" t="n"/>
      <c r="H137" s="8" t="n"/>
      <c r="I137" s="8" t="n"/>
    </row>
    <row r="138">
      <c r="B138" s="8">
        <f>IF(E138="","","EV-"&amp;TEXT(ROW()-5,"000"))</f>
        <v/>
      </c>
      <c r="C138" s="8" t="n"/>
      <c r="D138" s="8" t="n"/>
      <c r="E138" s="8" t="n"/>
      <c r="F138" s="8" t="n"/>
      <c r="G138" s="8" t="n"/>
      <c r="H138" s="8" t="n"/>
      <c r="I138" s="8" t="n"/>
    </row>
    <row r="139">
      <c r="B139" s="8">
        <f>IF(E139="","","EV-"&amp;TEXT(ROW()-5,"000"))</f>
        <v/>
      </c>
      <c r="C139" s="8" t="n"/>
      <c r="D139" s="8" t="n"/>
      <c r="E139" s="8" t="n"/>
      <c r="F139" s="8" t="n"/>
      <c r="G139" s="8" t="n"/>
      <c r="H139" s="8" t="n"/>
      <c r="I139" s="8" t="n"/>
    </row>
    <row r="140">
      <c r="B140" s="8">
        <f>IF(E140="","","EV-"&amp;TEXT(ROW()-5,"000"))</f>
        <v/>
      </c>
      <c r="C140" s="8" t="n"/>
      <c r="D140" s="8" t="n"/>
      <c r="E140" s="8" t="n"/>
      <c r="F140" s="8" t="n"/>
      <c r="G140" s="8" t="n"/>
      <c r="H140" s="8" t="n"/>
      <c r="I140" s="8" t="n"/>
    </row>
    <row r="141">
      <c r="B141" s="8">
        <f>IF(E141="","","EV-"&amp;TEXT(ROW()-5,"000"))</f>
        <v/>
      </c>
      <c r="C141" s="8" t="n"/>
      <c r="D141" s="8" t="n"/>
      <c r="E141" s="8" t="n"/>
      <c r="F141" s="8" t="n"/>
      <c r="G141" s="8" t="n"/>
      <c r="H141" s="8" t="n"/>
      <c r="I141" s="8" t="n"/>
    </row>
    <row r="142">
      <c r="B142" s="8">
        <f>IF(E142="","","EV-"&amp;TEXT(ROW()-5,"000"))</f>
        <v/>
      </c>
      <c r="C142" s="8" t="n"/>
      <c r="D142" s="8" t="n"/>
      <c r="E142" s="8" t="n"/>
      <c r="F142" s="8" t="n"/>
      <c r="G142" s="8" t="n"/>
      <c r="H142" s="8" t="n"/>
      <c r="I142" s="8" t="n"/>
    </row>
    <row r="143">
      <c r="B143" s="8">
        <f>IF(E143="","","EV-"&amp;TEXT(ROW()-5,"000"))</f>
        <v/>
      </c>
      <c r="C143" s="8" t="n"/>
      <c r="D143" s="8" t="n"/>
      <c r="E143" s="8" t="n"/>
      <c r="F143" s="8" t="n"/>
      <c r="G143" s="8" t="n"/>
      <c r="H143" s="8" t="n"/>
      <c r="I143" s="8" t="n"/>
    </row>
    <row r="144">
      <c r="B144" s="8">
        <f>IF(E144="","","EV-"&amp;TEXT(ROW()-5,"000"))</f>
        <v/>
      </c>
      <c r="C144" s="8" t="n"/>
      <c r="D144" s="8" t="n"/>
      <c r="E144" s="8" t="n"/>
      <c r="F144" s="8" t="n"/>
      <c r="G144" s="8" t="n"/>
      <c r="H144" s="8" t="n"/>
      <c r="I144" s="8" t="n"/>
    </row>
    <row r="145">
      <c r="B145" s="8">
        <f>IF(E145="","","EV-"&amp;TEXT(ROW()-5,"000"))</f>
        <v/>
      </c>
      <c r="C145" s="8" t="n"/>
      <c r="D145" s="8" t="n"/>
      <c r="E145" s="8" t="n"/>
      <c r="F145" s="8" t="n"/>
      <c r="G145" s="8" t="n"/>
      <c r="H145" s="8" t="n"/>
      <c r="I145" s="8" t="n"/>
    </row>
    <row r="146">
      <c r="B146" s="8">
        <f>IF(E146="","","EV-"&amp;TEXT(ROW()-5,"000"))</f>
        <v/>
      </c>
      <c r="C146" s="8" t="n"/>
      <c r="D146" s="8" t="n"/>
      <c r="E146" s="8" t="n"/>
      <c r="F146" s="8" t="n"/>
      <c r="G146" s="8" t="n"/>
      <c r="H146" s="8" t="n"/>
      <c r="I146" s="8" t="n"/>
    </row>
    <row r="147">
      <c r="B147" s="8">
        <f>IF(E147="","","EV-"&amp;TEXT(ROW()-5,"000"))</f>
        <v/>
      </c>
      <c r="C147" s="8" t="n"/>
      <c r="D147" s="8" t="n"/>
      <c r="E147" s="8" t="n"/>
      <c r="F147" s="8" t="n"/>
      <c r="G147" s="8" t="n"/>
      <c r="H147" s="8" t="n"/>
      <c r="I147" s="8" t="n"/>
    </row>
    <row r="148">
      <c r="B148" s="8">
        <f>IF(E148="","","EV-"&amp;TEXT(ROW()-5,"000"))</f>
        <v/>
      </c>
      <c r="C148" s="8" t="n"/>
      <c r="D148" s="8" t="n"/>
      <c r="E148" s="8" t="n"/>
      <c r="F148" s="8" t="n"/>
      <c r="G148" s="8" t="n"/>
      <c r="H148" s="8" t="n"/>
      <c r="I148" s="8" t="n"/>
    </row>
    <row r="149">
      <c r="B149" s="8">
        <f>IF(E149="","","EV-"&amp;TEXT(ROW()-5,"000"))</f>
        <v/>
      </c>
      <c r="C149" s="8" t="n"/>
      <c r="D149" s="8" t="n"/>
      <c r="E149" s="8" t="n"/>
      <c r="F149" s="8" t="n"/>
      <c r="G149" s="8" t="n"/>
      <c r="H149" s="8" t="n"/>
      <c r="I149" s="8" t="n"/>
    </row>
    <row r="150">
      <c r="B150" s="8">
        <f>IF(E150="","","EV-"&amp;TEXT(ROW()-5,"000"))</f>
        <v/>
      </c>
      <c r="C150" s="8" t="n"/>
      <c r="D150" s="8" t="n"/>
      <c r="E150" s="8" t="n"/>
      <c r="F150" s="8" t="n"/>
      <c r="G150" s="8" t="n"/>
      <c r="H150" s="8" t="n"/>
      <c r="I150" s="8" t="n"/>
    </row>
    <row r="151">
      <c r="B151" s="8">
        <f>IF(E151="","","EV-"&amp;TEXT(ROW()-5,"000"))</f>
        <v/>
      </c>
      <c r="C151" s="8" t="n"/>
      <c r="D151" s="8" t="n"/>
      <c r="E151" s="8" t="n"/>
      <c r="F151" s="8" t="n"/>
      <c r="G151" s="8" t="n"/>
      <c r="H151" s="8" t="n"/>
      <c r="I151" s="8" t="n"/>
    </row>
    <row r="152">
      <c r="B152" s="8">
        <f>IF(E152="","","EV-"&amp;TEXT(ROW()-5,"000"))</f>
        <v/>
      </c>
      <c r="C152" s="8" t="n"/>
      <c r="D152" s="8" t="n"/>
      <c r="E152" s="8" t="n"/>
      <c r="F152" s="8" t="n"/>
      <c r="G152" s="8" t="n"/>
      <c r="H152" s="8" t="n"/>
      <c r="I152" s="8" t="n"/>
    </row>
    <row r="153">
      <c r="B153" s="8">
        <f>IF(E153="","","EV-"&amp;TEXT(ROW()-5,"000"))</f>
        <v/>
      </c>
      <c r="C153" s="8" t="n"/>
      <c r="D153" s="8" t="n"/>
      <c r="E153" s="8" t="n"/>
      <c r="F153" s="8" t="n"/>
      <c r="G153" s="8" t="n"/>
      <c r="H153" s="8" t="n"/>
      <c r="I153" s="8" t="n"/>
    </row>
    <row r="154">
      <c r="B154" s="8">
        <f>IF(E154="","","EV-"&amp;TEXT(ROW()-5,"000"))</f>
        <v/>
      </c>
      <c r="C154" s="8" t="n"/>
      <c r="D154" s="8" t="n"/>
      <c r="E154" s="8" t="n"/>
      <c r="F154" s="8" t="n"/>
      <c r="G154" s="8" t="n"/>
      <c r="H154" s="8" t="n"/>
      <c r="I154" s="8" t="n"/>
    </row>
    <row r="155">
      <c r="B155" s="8">
        <f>IF(E155="","","EV-"&amp;TEXT(ROW()-5,"000"))</f>
        <v/>
      </c>
      <c r="C155" s="8" t="n"/>
      <c r="D155" s="8" t="n"/>
      <c r="E155" s="8" t="n"/>
      <c r="F155" s="8" t="n"/>
      <c r="G155" s="8" t="n"/>
      <c r="H155" s="8" t="n"/>
      <c r="I155" s="8" t="n"/>
    </row>
    <row r="156">
      <c r="B156" s="8">
        <f>IF(E156="","","EV-"&amp;TEXT(ROW()-5,"000"))</f>
        <v/>
      </c>
      <c r="C156" s="8" t="n"/>
      <c r="D156" s="8" t="n"/>
      <c r="E156" s="8" t="n"/>
      <c r="F156" s="8" t="n"/>
      <c r="G156" s="8" t="n"/>
      <c r="H156" s="8" t="n"/>
      <c r="I156" s="8" t="n"/>
    </row>
    <row r="157">
      <c r="B157" s="8">
        <f>IF(E157="","","EV-"&amp;TEXT(ROW()-5,"000"))</f>
        <v/>
      </c>
      <c r="C157" s="8" t="n"/>
      <c r="D157" s="8" t="n"/>
      <c r="E157" s="8" t="n"/>
      <c r="F157" s="8" t="n"/>
      <c r="G157" s="8" t="n"/>
      <c r="H157" s="8" t="n"/>
      <c r="I157" s="8" t="n"/>
    </row>
    <row r="158">
      <c r="B158" s="8">
        <f>IF(E158="","","EV-"&amp;TEXT(ROW()-5,"000"))</f>
        <v/>
      </c>
      <c r="C158" s="8" t="n"/>
      <c r="D158" s="8" t="n"/>
      <c r="E158" s="8" t="n"/>
      <c r="F158" s="8" t="n"/>
      <c r="G158" s="8" t="n"/>
      <c r="H158" s="8" t="n"/>
      <c r="I158" s="8" t="n"/>
    </row>
    <row r="159">
      <c r="B159" s="8">
        <f>IF(E159="","","EV-"&amp;TEXT(ROW()-5,"000"))</f>
        <v/>
      </c>
      <c r="C159" s="8" t="n"/>
      <c r="D159" s="8" t="n"/>
      <c r="E159" s="8" t="n"/>
      <c r="F159" s="8" t="n"/>
      <c r="G159" s="8" t="n"/>
      <c r="H159" s="8" t="n"/>
      <c r="I159" s="8" t="n"/>
    </row>
    <row r="160">
      <c r="B160" s="8">
        <f>IF(E160="","","EV-"&amp;TEXT(ROW()-5,"000"))</f>
        <v/>
      </c>
      <c r="C160" s="8" t="n"/>
      <c r="D160" s="8" t="n"/>
      <c r="E160" s="8" t="n"/>
      <c r="F160" s="8" t="n"/>
      <c r="G160" s="8" t="n"/>
      <c r="H160" s="8" t="n"/>
      <c r="I160" s="8" t="n"/>
    </row>
    <row r="161">
      <c r="B161" s="8">
        <f>IF(E161="","","EV-"&amp;TEXT(ROW()-5,"000"))</f>
        <v/>
      </c>
      <c r="C161" s="8" t="n"/>
      <c r="D161" s="8" t="n"/>
      <c r="E161" s="8" t="n"/>
      <c r="F161" s="8" t="n"/>
      <c r="G161" s="8" t="n"/>
      <c r="H161" s="8" t="n"/>
      <c r="I161" s="8" t="n"/>
    </row>
    <row r="162">
      <c r="B162" s="8">
        <f>IF(E162="","","EV-"&amp;TEXT(ROW()-5,"000"))</f>
        <v/>
      </c>
      <c r="C162" s="8" t="n"/>
      <c r="D162" s="8" t="n"/>
      <c r="E162" s="8" t="n"/>
      <c r="F162" s="8" t="n"/>
      <c r="G162" s="8" t="n"/>
      <c r="H162" s="8" t="n"/>
      <c r="I162" s="8" t="n"/>
    </row>
    <row r="163">
      <c r="B163" s="8">
        <f>IF(E163="","","EV-"&amp;TEXT(ROW()-5,"000"))</f>
        <v/>
      </c>
      <c r="C163" s="8" t="n"/>
      <c r="D163" s="8" t="n"/>
      <c r="E163" s="8" t="n"/>
      <c r="F163" s="8" t="n"/>
      <c r="G163" s="8" t="n"/>
      <c r="H163" s="8" t="n"/>
      <c r="I163" s="8" t="n"/>
    </row>
    <row r="164">
      <c r="B164" s="8">
        <f>IF(E164="","","EV-"&amp;TEXT(ROW()-5,"000"))</f>
        <v/>
      </c>
      <c r="C164" s="8" t="n"/>
      <c r="D164" s="8" t="n"/>
      <c r="E164" s="8" t="n"/>
      <c r="F164" s="8" t="n"/>
      <c r="G164" s="8" t="n"/>
      <c r="H164" s="8" t="n"/>
      <c r="I164" s="8" t="n"/>
    </row>
    <row r="165">
      <c r="B165" s="8">
        <f>IF(E165="","","EV-"&amp;TEXT(ROW()-5,"000"))</f>
        <v/>
      </c>
      <c r="C165" s="8" t="n"/>
      <c r="D165" s="8" t="n"/>
      <c r="E165" s="8" t="n"/>
      <c r="F165" s="8" t="n"/>
      <c r="G165" s="8" t="n"/>
      <c r="H165" s="8" t="n"/>
      <c r="I165" s="8" t="n"/>
    </row>
    <row r="166">
      <c r="B166" s="8">
        <f>IF(E166="","","EV-"&amp;TEXT(ROW()-5,"000"))</f>
        <v/>
      </c>
      <c r="C166" s="8" t="n"/>
      <c r="D166" s="8" t="n"/>
      <c r="E166" s="8" t="n"/>
      <c r="F166" s="8" t="n"/>
      <c r="G166" s="8" t="n"/>
      <c r="H166" s="8" t="n"/>
      <c r="I166" s="8" t="n"/>
    </row>
    <row r="167">
      <c r="B167" s="8">
        <f>IF(E167="","","EV-"&amp;TEXT(ROW()-5,"000"))</f>
        <v/>
      </c>
      <c r="C167" s="8" t="n"/>
      <c r="D167" s="8" t="n"/>
      <c r="E167" s="8" t="n"/>
      <c r="F167" s="8" t="n"/>
      <c r="G167" s="8" t="n"/>
      <c r="H167" s="8" t="n"/>
      <c r="I167" s="8" t="n"/>
    </row>
    <row r="168">
      <c r="B168" s="8">
        <f>IF(E168="","","EV-"&amp;TEXT(ROW()-5,"000"))</f>
        <v/>
      </c>
      <c r="C168" s="8" t="n"/>
      <c r="D168" s="8" t="n"/>
      <c r="E168" s="8" t="n"/>
      <c r="F168" s="8" t="n"/>
      <c r="G168" s="8" t="n"/>
      <c r="H168" s="8" t="n"/>
      <c r="I168" s="8" t="n"/>
    </row>
    <row r="169">
      <c r="B169" s="8">
        <f>IF(E169="","","EV-"&amp;TEXT(ROW()-5,"000"))</f>
        <v/>
      </c>
      <c r="C169" s="8" t="n"/>
      <c r="D169" s="8" t="n"/>
      <c r="E169" s="8" t="n"/>
      <c r="F169" s="8" t="n"/>
      <c r="G169" s="8" t="n"/>
      <c r="H169" s="8" t="n"/>
      <c r="I169" s="8" t="n"/>
    </row>
    <row r="170">
      <c r="B170" s="8">
        <f>IF(E170="","","EV-"&amp;TEXT(ROW()-5,"000"))</f>
        <v/>
      </c>
      <c r="C170" s="8" t="n"/>
      <c r="D170" s="8" t="n"/>
      <c r="E170" s="8" t="n"/>
      <c r="F170" s="8" t="n"/>
      <c r="G170" s="8" t="n"/>
      <c r="H170" s="8" t="n"/>
      <c r="I170" s="8" t="n"/>
    </row>
    <row r="171">
      <c r="B171" s="8">
        <f>IF(E171="","","EV-"&amp;TEXT(ROW()-5,"000"))</f>
        <v/>
      </c>
      <c r="C171" s="8" t="n"/>
      <c r="D171" s="8" t="n"/>
      <c r="E171" s="8" t="n"/>
      <c r="F171" s="8" t="n"/>
      <c r="G171" s="8" t="n"/>
      <c r="H171" s="8" t="n"/>
      <c r="I171" s="8" t="n"/>
    </row>
    <row r="172">
      <c r="B172" s="8">
        <f>IF(E172="","","EV-"&amp;TEXT(ROW()-5,"000"))</f>
        <v/>
      </c>
      <c r="C172" s="8" t="n"/>
      <c r="D172" s="8" t="n"/>
      <c r="E172" s="8" t="n"/>
      <c r="F172" s="8" t="n"/>
      <c r="G172" s="8" t="n"/>
      <c r="H172" s="8" t="n"/>
      <c r="I172" s="8" t="n"/>
    </row>
    <row r="173">
      <c r="B173" s="8">
        <f>IF(E173="","","EV-"&amp;TEXT(ROW()-5,"000"))</f>
        <v/>
      </c>
      <c r="C173" s="8" t="n"/>
      <c r="D173" s="8" t="n"/>
      <c r="E173" s="8" t="n"/>
      <c r="F173" s="8" t="n"/>
      <c r="G173" s="8" t="n"/>
      <c r="H173" s="8" t="n"/>
      <c r="I173" s="8" t="n"/>
    </row>
    <row r="174">
      <c r="B174" s="8">
        <f>IF(E174="","","EV-"&amp;TEXT(ROW()-5,"000"))</f>
        <v/>
      </c>
      <c r="C174" s="8" t="n"/>
      <c r="D174" s="8" t="n"/>
      <c r="E174" s="8" t="n"/>
      <c r="F174" s="8" t="n"/>
      <c r="G174" s="8" t="n"/>
      <c r="H174" s="8" t="n"/>
      <c r="I174" s="8" t="n"/>
    </row>
    <row r="175">
      <c r="B175" s="8">
        <f>IF(E175="","","EV-"&amp;TEXT(ROW()-5,"000"))</f>
        <v/>
      </c>
      <c r="C175" s="8" t="n"/>
      <c r="D175" s="8" t="n"/>
      <c r="E175" s="8" t="n"/>
      <c r="F175" s="8" t="n"/>
      <c r="G175" s="8" t="n"/>
      <c r="H175" s="8" t="n"/>
      <c r="I175" s="8" t="n"/>
    </row>
    <row r="176">
      <c r="B176" s="8">
        <f>IF(E176="","","EV-"&amp;TEXT(ROW()-5,"000"))</f>
        <v/>
      </c>
      <c r="C176" s="8" t="n"/>
      <c r="D176" s="8" t="n"/>
      <c r="E176" s="8" t="n"/>
      <c r="F176" s="8" t="n"/>
      <c r="G176" s="8" t="n"/>
      <c r="H176" s="8" t="n"/>
      <c r="I176" s="8" t="n"/>
    </row>
    <row r="177">
      <c r="B177" s="8">
        <f>IF(E177="","","EV-"&amp;TEXT(ROW()-5,"000"))</f>
        <v/>
      </c>
      <c r="C177" s="8" t="n"/>
      <c r="D177" s="8" t="n"/>
      <c r="E177" s="8" t="n"/>
      <c r="F177" s="8" t="n"/>
      <c r="G177" s="8" t="n"/>
      <c r="H177" s="8" t="n"/>
      <c r="I177" s="8" t="n"/>
    </row>
    <row r="178">
      <c r="B178" s="8">
        <f>IF(E178="","","EV-"&amp;TEXT(ROW()-5,"000"))</f>
        <v/>
      </c>
      <c r="C178" s="8" t="n"/>
      <c r="D178" s="8" t="n"/>
      <c r="E178" s="8" t="n"/>
      <c r="F178" s="8" t="n"/>
      <c r="G178" s="8" t="n"/>
      <c r="H178" s="8" t="n"/>
      <c r="I178" s="8" t="n"/>
    </row>
    <row r="179">
      <c r="B179" s="8">
        <f>IF(E179="","","EV-"&amp;TEXT(ROW()-5,"000"))</f>
        <v/>
      </c>
      <c r="C179" s="8" t="n"/>
      <c r="D179" s="8" t="n"/>
      <c r="E179" s="8" t="n"/>
      <c r="F179" s="8" t="n"/>
      <c r="G179" s="8" t="n"/>
      <c r="H179" s="8" t="n"/>
      <c r="I179" s="8" t="n"/>
    </row>
    <row r="180">
      <c r="B180" s="8">
        <f>IF(E180="","","EV-"&amp;TEXT(ROW()-5,"000"))</f>
        <v/>
      </c>
      <c r="C180" s="8" t="n"/>
      <c r="D180" s="8" t="n"/>
      <c r="E180" s="8" t="n"/>
      <c r="F180" s="8" t="n"/>
      <c r="G180" s="8" t="n"/>
      <c r="H180" s="8" t="n"/>
      <c r="I180" s="8" t="n"/>
    </row>
    <row r="181">
      <c r="B181" s="8">
        <f>IF(E181="","","EV-"&amp;TEXT(ROW()-5,"000"))</f>
        <v/>
      </c>
      <c r="C181" s="8" t="n"/>
      <c r="D181" s="8" t="n"/>
      <c r="E181" s="8" t="n"/>
      <c r="F181" s="8" t="n"/>
      <c r="G181" s="8" t="n"/>
      <c r="H181" s="8" t="n"/>
      <c r="I181" s="8" t="n"/>
    </row>
    <row r="182">
      <c r="B182" s="8">
        <f>IF(E182="","","EV-"&amp;TEXT(ROW()-5,"000"))</f>
        <v/>
      </c>
      <c r="C182" s="8" t="n"/>
      <c r="D182" s="8" t="n"/>
      <c r="E182" s="8" t="n"/>
      <c r="F182" s="8" t="n"/>
      <c r="G182" s="8" t="n"/>
      <c r="H182" s="8" t="n"/>
      <c r="I182" s="8" t="n"/>
    </row>
    <row r="183">
      <c r="B183" s="8">
        <f>IF(E183="","","EV-"&amp;TEXT(ROW()-5,"000"))</f>
        <v/>
      </c>
      <c r="C183" s="8" t="n"/>
      <c r="D183" s="8" t="n"/>
      <c r="E183" s="8" t="n"/>
      <c r="F183" s="8" t="n"/>
      <c r="G183" s="8" t="n"/>
      <c r="H183" s="8" t="n"/>
      <c r="I183" s="8" t="n"/>
    </row>
    <row r="184">
      <c r="B184" s="8">
        <f>IF(E184="","","EV-"&amp;TEXT(ROW()-5,"000"))</f>
        <v/>
      </c>
      <c r="C184" s="8" t="n"/>
      <c r="D184" s="8" t="n"/>
      <c r="E184" s="8" t="n"/>
      <c r="F184" s="8" t="n"/>
      <c r="G184" s="8" t="n"/>
      <c r="H184" s="8" t="n"/>
      <c r="I184" s="8" t="n"/>
    </row>
    <row r="185">
      <c r="B185" s="8">
        <f>IF(E185="","","EV-"&amp;TEXT(ROW()-5,"000"))</f>
        <v/>
      </c>
      <c r="C185" s="8" t="n"/>
      <c r="D185" s="8" t="n"/>
      <c r="E185" s="8" t="n"/>
      <c r="F185" s="8" t="n"/>
      <c r="G185" s="8" t="n"/>
      <c r="H185" s="8" t="n"/>
      <c r="I185" s="8" t="n"/>
    </row>
    <row r="186">
      <c r="B186" s="8">
        <f>IF(E186="","","EV-"&amp;TEXT(ROW()-5,"000"))</f>
        <v/>
      </c>
      <c r="C186" s="8" t="n"/>
      <c r="D186" s="8" t="n"/>
      <c r="E186" s="8" t="n"/>
      <c r="F186" s="8" t="n"/>
      <c r="G186" s="8" t="n"/>
      <c r="H186" s="8" t="n"/>
      <c r="I186" s="8" t="n"/>
    </row>
    <row r="187">
      <c r="B187" s="8">
        <f>IF(E187="","","EV-"&amp;TEXT(ROW()-5,"000"))</f>
        <v/>
      </c>
      <c r="C187" s="8" t="n"/>
      <c r="D187" s="8" t="n"/>
      <c r="E187" s="8" t="n"/>
      <c r="F187" s="8" t="n"/>
      <c r="G187" s="8" t="n"/>
      <c r="H187" s="8" t="n"/>
      <c r="I187" s="8" t="n"/>
    </row>
    <row r="188">
      <c r="B188" s="8">
        <f>IF(E188="","","EV-"&amp;TEXT(ROW()-5,"000"))</f>
        <v/>
      </c>
      <c r="C188" s="8" t="n"/>
      <c r="D188" s="8" t="n"/>
      <c r="E188" s="8" t="n"/>
      <c r="F188" s="8" t="n"/>
      <c r="G188" s="8" t="n"/>
      <c r="H188" s="8" t="n"/>
      <c r="I188" s="8" t="n"/>
    </row>
    <row r="189">
      <c r="B189" s="8">
        <f>IF(E189="","","EV-"&amp;TEXT(ROW()-5,"000"))</f>
        <v/>
      </c>
      <c r="C189" s="8" t="n"/>
      <c r="D189" s="8" t="n"/>
      <c r="E189" s="8" t="n"/>
      <c r="F189" s="8" t="n"/>
      <c r="G189" s="8" t="n"/>
      <c r="H189" s="8" t="n"/>
      <c r="I189" s="8" t="n"/>
    </row>
    <row r="190">
      <c r="B190" s="8">
        <f>IF(E190="","","EV-"&amp;TEXT(ROW()-5,"000"))</f>
        <v/>
      </c>
      <c r="C190" s="8" t="n"/>
      <c r="D190" s="8" t="n"/>
      <c r="E190" s="8" t="n"/>
      <c r="F190" s="8" t="n"/>
      <c r="G190" s="8" t="n"/>
      <c r="H190" s="8" t="n"/>
      <c r="I190" s="8" t="n"/>
    </row>
    <row r="191">
      <c r="B191" s="8">
        <f>IF(E191="","","EV-"&amp;TEXT(ROW()-5,"000"))</f>
        <v/>
      </c>
      <c r="C191" s="8" t="n"/>
      <c r="D191" s="8" t="n"/>
      <c r="E191" s="8" t="n"/>
      <c r="F191" s="8" t="n"/>
      <c r="G191" s="8" t="n"/>
      <c r="H191" s="8" t="n"/>
      <c r="I191" s="8" t="n"/>
    </row>
    <row r="192">
      <c r="B192" s="8">
        <f>IF(E192="","","EV-"&amp;TEXT(ROW()-5,"000"))</f>
        <v/>
      </c>
      <c r="C192" s="8" t="n"/>
      <c r="D192" s="8" t="n"/>
      <c r="E192" s="8" t="n"/>
      <c r="F192" s="8" t="n"/>
      <c r="G192" s="8" t="n"/>
      <c r="H192" s="8" t="n"/>
      <c r="I192" s="8" t="n"/>
    </row>
    <row r="193">
      <c r="B193" s="8">
        <f>IF(E193="","","EV-"&amp;TEXT(ROW()-5,"000"))</f>
        <v/>
      </c>
      <c r="C193" s="8" t="n"/>
      <c r="D193" s="8" t="n"/>
      <c r="E193" s="8" t="n"/>
      <c r="F193" s="8" t="n"/>
      <c r="G193" s="8" t="n"/>
      <c r="H193" s="8" t="n"/>
      <c r="I193" s="8" t="n"/>
    </row>
    <row r="194">
      <c r="B194" s="8">
        <f>IF(E194="","","EV-"&amp;TEXT(ROW()-5,"000"))</f>
        <v/>
      </c>
      <c r="C194" s="8" t="n"/>
      <c r="D194" s="8" t="n"/>
      <c r="E194" s="8" t="n"/>
      <c r="F194" s="8" t="n"/>
      <c r="G194" s="8" t="n"/>
      <c r="H194" s="8" t="n"/>
      <c r="I194" s="8" t="n"/>
    </row>
    <row r="195">
      <c r="B195" s="8">
        <f>IF(E195="","","EV-"&amp;TEXT(ROW()-5,"000"))</f>
        <v/>
      </c>
      <c r="C195" s="8" t="n"/>
      <c r="D195" s="8" t="n"/>
      <c r="E195" s="8" t="n"/>
      <c r="F195" s="8" t="n"/>
      <c r="G195" s="8" t="n"/>
      <c r="H195" s="8" t="n"/>
      <c r="I195" s="8" t="n"/>
    </row>
    <row r="196">
      <c r="B196" s="8">
        <f>IF(E196="","","EV-"&amp;TEXT(ROW()-5,"000"))</f>
        <v/>
      </c>
      <c r="C196" s="8" t="n"/>
      <c r="D196" s="8" t="n"/>
      <c r="E196" s="8" t="n"/>
      <c r="F196" s="8" t="n"/>
      <c r="G196" s="8" t="n"/>
      <c r="H196" s="8" t="n"/>
      <c r="I196" s="8" t="n"/>
    </row>
    <row r="197">
      <c r="B197" s="8">
        <f>IF(E197="","","EV-"&amp;TEXT(ROW()-5,"000"))</f>
        <v/>
      </c>
      <c r="C197" s="8" t="n"/>
      <c r="D197" s="8" t="n"/>
      <c r="E197" s="8" t="n"/>
      <c r="F197" s="8" t="n"/>
      <c r="G197" s="8" t="n"/>
      <c r="H197" s="8" t="n"/>
      <c r="I197" s="8" t="n"/>
    </row>
    <row r="198">
      <c r="B198" s="8">
        <f>IF(E198="","","EV-"&amp;TEXT(ROW()-5,"000"))</f>
        <v/>
      </c>
      <c r="C198" s="8" t="n"/>
      <c r="D198" s="8" t="n"/>
      <c r="E198" s="8" t="n"/>
      <c r="F198" s="8" t="n"/>
      <c r="G198" s="8" t="n"/>
      <c r="H198" s="8" t="n"/>
      <c r="I198" s="8" t="n"/>
    </row>
    <row r="199">
      <c r="B199" s="8">
        <f>IF(E199="","","EV-"&amp;TEXT(ROW()-5,"000"))</f>
        <v/>
      </c>
      <c r="C199" s="8" t="n"/>
      <c r="D199" s="8" t="n"/>
      <c r="E199" s="8" t="n"/>
      <c r="F199" s="8" t="n"/>
      <c r="G199" s="8" t="n"/>
      <c r="H199" s="8" t="n"/>
      <c r="I199" s="8" t="n"/>
    </row>
    <row r="200">
      <c r="B200" s="8">
        <f>IF(E200="","","EV-"&amp;TEXT(ROW()-5,"000"))</f>
        <v/>
      </c>
      <c r="C200" s="8" t="n"/>
      <c r="D200" s="8" t="n"/>
      <c r="E200" s="8" t="n"/>
      <c r="F200" s="8" t="n"/>
      <c r="G200" s="8" t="n"/>
      <c r="H200" s="8" t="n"/>
      <c r="I200" s="8" t="n"/>
    </row>
    <row r="201">
      <c r="B201" s="8">
        <f>IF(E201="","","EV-"&amp;TEXT(ROW()-5,"000"))</f>
        <v/>
      </c>
      <c r="C201" s="8" t="n"/>
      <c r="D201" s="8" t="n"/>
      <c r="E201" s="8" t="n"/>
      <c r="F201" s="8" t="n"/>
      <c r="G201" s="8" t="n"/>
      <c r="H201" s="8" t="n"/>
      <c r="I201" s="8" t="n"/>
    </row>
    <row r="202">
      <c r="B202" s="8">
        <f>IF(E202="","","EV-"&amp;TEXT(ROW()-5,"000"))</f>
        <v/>
      </c>
      <c r="C202" s="8" t="n"/>
      <c r="D202" s="8" t="n"/>
      <c r="E202" s="8" t="n"/>
      <c r="F202" s="8" t="n"/>
      <c r="G202" s="8" t="n"/>
      <c r="H202" s="8" t="n"/>
      <c r="I202" s="8" t="n"/>
    </row>
    <row r="203">
      <c r="B203" s="8">
        <f>IF(E203="","","EV-"&amp;TEXT(ROW()-5,"000"))</f>
        <v/>
      </c>
      <c r="C203" s="8" t="n"/>
      <c r="D203" s="8" t="n"/>
      <c r="E203" s="8" t="n"/>
      <c r="F203" s="8" t="n"/>
      <c r="G203" s="8" t="n"/>
      <c r="H203" s="8" t="n"/>
      <c r="I203" s="8" t="n"/>
    </row>
    <row r="204">
      <c r="B204" s="8">
        <f>IF(E204="","","EV-"&amp;TEXT(ROW()-5,"000"))</f>
        <v/>
      </c>
      <c r="C204" s="8" t="n"/>
      <c r="D204" s="8" t="n"/>
      <c r="E204" s="8" t="n"/>
      <c r="F204" s="8" t="n"/>
      <c r="G204" s="8" t="n"/>
      <c r="H204" s="8" t="n"/>
      <c r="I204" s="8" t="n"/>
    </row>
    <row r="205">
      <c r="B205" s="8">
        <f>IF(E205="","","EV-"&amp;TEXT(ROW()-5,"000"))</f>
        <v/>
      </c>
      <c r="C205" s="8" t="n"/>
      <c r="D205" s="8" t="n"/>
      <c r="E205" s="8" t="n"/>
      <c r="F205" s="8" t="n"/>
      <c r="G205" s="8" t="n"/>
      <c r="H205" s="8" t="n"/>
      <c r="I205" s="8" t="n"/>
    </row>
  </sheetData>
  <dataValidations count="1">
    <dataValidation sqref="H6:H205" showDropDown="0" showInputMessage="0" showErrorMessage="0" allowBlank="1" errorTitle="Invalid entry" error="Please select from the dropdown" type="list">
      <formula1>=Lists!$E$2:$E$4</formula1>
    </dataValidation>
  </dataValidation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39"/>
  <sheetViews>
    <sheetView showGridLines="0" workbookViewId="0">
      <selection activeCell="A1" sqref="A1"/>
    </sheetView>
  </sheetViews>
  <sheetFormatPr baseColWidth="8" defaultRowHeight="15"/>
  <cols>
    <col width="4" customWidth="1" min="1" max="1"/>
    <col width="5" customWidth="1" min="2" max="2"/>
    <col width="12" customWidth="1" min="3" max="3"/>
    <col width="60" customWidth="1" min="4" max="4"/>
    <col width="30" customWidth="1" min="5" max="5"/>
    <col width="24" customWidth="1" min="6" max="6"/>
    <col width="18" customWidth="1" min="7" max="7"/>
    <col width="26" customWidth="1" min="8" max="8"/>
    <col width="10" customWidth="1" min="9" max="9"/>
  </cols>
  <sheetData>
    <row r="1">
      <c r="A1" s="1" t="inlineStr">
        <is>
          <t>↑</t>
        </is>
      </c>
      <c r="B1" s="2" t="inlineStr">
        <is>
          <t>End-2026 target status assessment and reporting</t>
        </is>
      </c>
    </row>
    <row r="2">
      <c r="B2" s="3" t="inlineStr">
        <is>
          <t>Issues log</t>
        </is>
      </c>
    </row>
    <row r="4">
      <c r="B4" s="6" t="inlineStr">
        <is>
          <t>#</t>
        </is>
      </c>
      <c r="C4" s="6" t="inlineStr">
        <is>
          <t>Date raised</t>
        </is>
      </c>
      <c r="D4" s="6" t="inlineStr">
        <is>
          <t>Issue / question</t>
        </is>
      </c>
      <c r="E4" s="6" t="inlineStr">
        <is>
          <t>Impact</t>
        </is>
      </c>
      <c r="F4" s="6" t="inlineStr">
        <is>
          <t>Ref / unit</t>
        </is>
      </c>
      <c r="G4" s="6" t="inlineStr">
        <is>
          <t>Owner</t>
        </is>
      </c>
      <c r="H4" s="6" t="inlineStr">
        <is>
          <t>Proposed action</t>
        </is>
      </c>
      <c r="I4" s="6" t="inlineStr">
        <is>
          <t>Status</t>
        </is>
      </c>
    </row>
    <row r="5">
      <c r="B5" s="8" t="n">
        <v>1</v>
      </c>
      <c r="C5" s="45" t="n">
        <v>46300</v>
      </c>
      <c r="D5" s="8" t="inlineStr">
        <is>
          <t>Climate resilience maturity (CL3(a)) and Estate &amp; infrastructure indicators – confirm owner and request with Gerard.</t>
        </is>
      </c>
      <c r="E5" s="8" t="inlineStr"/>
      <c r="F5" s="8" t="inlineStr">
        <is>
          <t>CL3(a); EI1(a)–(d)</t>
        </is>
      </c>
      <c r="G5" s="8" t="inlineStr">
        <is>
          <t>Stefanus</t>
        </is>
      </c>
      <c r="H5" s="8" t="inlineStr">
        <is>
          <t>Meet Gerard</t>
        </is>
      </c>
      <c r="I5" s="8" t="inlineStr">
        <is>
          <t>Open</t>
        </is>
      </c>
    </row>
    <row r="6">
      <c r="B6" s="8" t="n">
        <v>2</v>
      </c>
      <c r="C6" s="45" t="n">
        <v>46300</v>
      </c>
      <c r="D6" s="8" t="inlineStr">
        <is>
          <t>Confirm whether CGOP, CDEP and CDSS structures have changed since the 2025 master spreadsheet stakeholder mapping.</t>
        </is>
      </c>
      <c r="E6" s="8" t="inlineStr"/>
      <c r="F6" s="8" t="inlineStr">
        <is>
          <t>Stakeholder map</t>
        </is>
      </c>
      <c r="G6" s="8" t="inlineStr">
        <is>
          <t>Stefanus</t>
        </is>
      </c>
      <c r="H6" s="8" t="inlineStr">
        <is>
          <t>Confirm with team</t>
        </is>
      </c>
      <c r="I6" s="8" t="inlineStr">
        <is>
          <t>Open</t>
        </is>
      </c>
    </row>
    <row r="7">
      <c r="B7" s="8" t="n">
        <v>3</v>
      </c>
      <c r="C7" s="45" t="n">
        <v>46300</v>
      </c>
      <c r="D7" s="8" t="inlineStr">
        <is>
          <t>Business Services split into CIOG (AI) and ESG (nature &amp; biodiversity, waste &amp; circular economy, part of quant. climate leadership) – confirm contacts.</t>
        </is>
      </c>
      <c r="E7" s="8" t="inlineStr"/>
      <c r="F7" s="8" t="inlineStr">
        <is>
          <t>CIOG; ESG</t>
        </is>
      </c>
      <c r="G7" s="8" t="inlineStr">
        <is>
          <t>TBC</t>
        </is>
      </c>
      <c r="H7" s="8" t="inlineStr">
        <is>
          <t>Confirm contacts</t>
        </is>
      </c>
      <c r="I7" s="8" t="inlineStr">
        <is>
          <t>Open</t>
        </is>
      </c>
    </row>
    <row r="8">
      <c r="B8" s="8" t="n">
        <v>4</v>
      </c>
      <c r="C8" s="45" t="n">
        <v>46300</v>
      </c>
      <c r="D8" s="8" t="inlineStr">
        <is>
          <t>Procurement sits with CFOG (RP1(a) procurement case studies routed to CFOG – Procurement although the Qual sheet names no stakeholder); estate planning centralised in CI&amp;S – requests issued centrally, not to faculties.</t>
        </is>
      </c>
      <c r="E8" s="8" t="inlineStr"/>
      <c r="F8" s="8" t="inlineStr">
        <is>
          <t>CFOG; CI&amp;S</t>
        </is>
      </c>
      <c r="G8" s="8" t="inlineStr">
        <is>
          <t>—</t>
        </is>
      </c>
      <c r="H8" s="8" t="inlineStr">
        <is>
          <t>Noted</t>
        </is>
      </c>
      <c r="I8" s="8" t="inlineStr">
        <is>
          <t>Closed</t>
        </is>
      </c>
    </row>
    <row r="9">
      <c r="B9" s="8" t="n">
        <v>5</v>
      </c>
      <c r="C9" s="45" t="n">
        <v>46300</v>
      </c>
      <c r="D9" s="8" t="inlineStr">
        <is>
          <t>Chancellery units reported separately, as SR25: AC&amp;M, MRE, GCE, Education, SaSS and Indigenous each have their own request and master tab. Alumni (EE1(d)) asked of SaSS only.</t>
        </is>
      </c>
      <c r="E9" s="8" t="inlineStr"/>
      <c r="F9" s="8" t="inlineStr">
        <is>
          <t>Stakeholder map</t>
        </is>
      </c>
      <c r="G9" s="8" t="inlineStr">
        <is>
          <t>Stefanus</t>
        </is>
      </c>
      <c r="H9" s="8" t="inlineStr">
        <is>
          <t>Confirm contacts</t>
        </is>
      </c>
      <c r="I9" s="8" t="inlineStr">
        <is>
          <t>Closed</t>
        </is>
      </c>
    </row>
    <row r="10">
      <c r="B10" s="8" t="n">
        <v>6</v>
      </c>
      <c r="C10" s="45" t="n">
        <v>46300</v>
      </c>
      <c r="D10" s="8" t="inlineStr">
        <is>
          <t>Faculty requests cut down after ABP walkthrough: EE1(a)+(c) merged; CL2(a)/(c) to AC&amp;M only; TR1(b)–(d) and TR3(a)/(c)/(d) to MRE only; EN1(d) not asked of faculties; EE1(d) to SaSS only. Wattle Fellowship to be asked directly (not tracked in master).</t>
        </is>
      </c>
      <c r="E10" s="8" t="inlineStr"/>
      <c r="F10" s="8" t="inlineStr">
        <is>
          <t>Faculties</t>
        </is>
      </c>
      <c r="G10" s="8" t="inlineStr">
        <is>
          <t>Stefanus</t>
        </is>
      </c>
      <c r="H10" s="8" t="inlineStr">
        <is>
          <t>Confirm with team; apply to other faculties</t>
        </is>
      </c>
      <c r="I10" s="8" t="inlineStr">
        <is>
          <t>Open</t>
        </is>
      </c>
    </row>
    <row r="11">
      <c r="B11" s="8" t="n">
        <v>7</v>
      </c>
      <c r="C11" s="45" t="n">
        <v>46300</v>
      </c>
      <c r="D11" s="8" t="inlineStr">
        <is>
          <t>Legal &amp; Risk asked for climate resilience maturity CL3(a), following SR25 (8a(i)/(ii): University Risk 16 Climate Change; flood emergency response plans). CL3(a) is also with CI&amp;S (Gerard) – agree who leads.</t>
        </is>
      </c>
      <c r="E11" s="8" t="inlineStr"/>
      <c r="F11" s="8" t="inlineStr">
        <is>
          <t>CL3(a); L&amp;R; CI&amp;S</t>
        </is>
      </c>
      <c r="G11" s="8" t="inlineStr">
        <is>
          <t>Stefanus</t>
        </is>
      </c>
      <c r="H11" s="8" t="inlineStr">
        <is>
          <t>Confirm with Gerard</t>
        </is>
      </c>
      <c r="I11" s="8" t="inlineStr">
        <is>
          <t>Open</t>
        </is>
      </c>
    </row>
    <row r="12">
      <c r="B12" s="8" t="n">
        <v>8</v>
      </c>
      <c r="C12" s="45" t="n">
        <v>46300</v>
      </c>
      <c r="D12" s="8" t="inlineStr">
        <is>
          <t>TR2(b) 'Documented progress of strategic initiatives, incl. Impact Accelerators' reuses the TR2(d) case-study wording and has no stakeholder in the Qual sheet – left as-is.</t>
        </is>
      </c>
      <c r="E12" s="8" t="inlineStr"/>
      <c r="F12" s="8" t="inlineStr">
        <is>
          <t>TR2(b)</t>
        </is>
      </c>
      <c r="G12" s="8" t="inlineStr">
        <is>
          <t>TBC</t>
        </is>
      </c>
      <c r="H12" s="8" t="inlineStr">
        <is>
          <t>Review wording/owner</t>
        </is>
      </c>
      <c r="I12" s="8" t="inlineStr">
        <is>
          <t>Open</t>
        </is>
      </c>
    </row>
    <row r="13">
      <c r="B13" s="8" t="n">
        <v>9</v>
      </c>
      <c r="C13" s="45" t="n">
        <v>46300</v>
      </c>
      <c r="D13" s="8" t="inlineStr">
        <is>
          <t>Quantitative-only rows (no stakeholder in the Qual sheet) removed from the requirements matrix and moved to '2. Quant coverage'; Databook gaps requested in Tab 4 of the owning central unit's request.</t>
        </is>
      </c>
      <c r="E13" s="8" t="inlineStr"/>
      <c r="F13" s="8" t="inlineStr">
        <is>
          <t>TR2(b); CL1(a)-(b); CL2(b); NB1(a); CE1-2; RP2; RI1(a)</t>
        </is>
      </c>
      <c r="G13" s="8" t="inlineStr">
        <is>
          <t>Stefanus</t>
        </is>
      </c>
      <c r="H13" s="8" t="inlineStr">
        <is>
          <t>Confirm owners and Databook coverage with Chris</t>
        </is>
      </c>
      <c r="I13" s="8" t="inlineStr">
        <is>
          <t>Open</t>
        </is>
      </c>
    </row>
    <row r="14">
      <c r="B14" s="8" t="n">
        <v>10</v>
      </c>
      <c r="C14" s="45" t="n">
        <v>46300</v>
      </c>
      <c r="D14" s="8" t="inlineStr">
        <is>
          <t>Target status rating (Met/Partially met/Not met) retained pending revamp of the traffic-light framework.</t>
        </is>
      </c>
      <c r="E14" s="8" t="inlineStr"/>
      <c r="F14" s="8" t="inlineStr">
        <is>
          <t>All</t>
        </is>
      </c>
      <c r="G14" s="8" t="inlineStr">
        <is>
          <t>Director, Sustainability</t>
        </is>
      </c>
      <c r="H14" s="8" t="inlineStr">
        <is>
          <t>Update templates once agreed</t>
        </is>
      </c>
      <c r="I14" s="8" t="inlineStr">
        <is>
          <t>Open</t>
        </is>
      </c>
    </row>
    <row r="15">
      <c r="B15" s="8" t="n">
        <v>11</v>
      </c>
      <c r="C15" s="45" t="n">
        <v>46300</v>
      </c>
      <c r="D15" s="8" t="inlineStr">
        <is>
          <t>Timeline updated to the team plan: requests issued W1 Nov, responses and stories due 15 Dec 2026, first review W3 Dec, follow-up W3–W4 Dec, consolidation W4 Dec. Databook figures given by 15 Dec are provisional; final figures confirmed Jan–Feb.</t>
        </is>
      </c>
      <c r="E15" s="8" t="inlineStr"/>
      <c r="F15" s="8" t="inlineStr">
        <is>
          <t>All</t>
        </is>
      </c>
      <c r="G15" s="8" t="inlineStr">
        <is>
          <t>Stefanus</t>
        </is>
      </c>
      <c r="H15" s="8" t="inlineStr">
        <is>
          <t>Confirm exact issue date and CDSS contact</t>
        </is>
      </c>
      <c r="I15" s="8" t="inlineStr">
        <is>
          <t>Open</t>
        </is>
      </c>
    </row>
    <row r="16">
      <c r="B16" s="8" t="n">
        <v>12</v>
      </c>
      <c r="C16" s="45" t="n">
        <v>46300</v>
      </c>
      <c r="D16" s="8" t="inlineStr">
        <is>
          <t>20 indicators are requested from each faculty (SR25 sent 10). Monitor burden in pilot.</t>
        </is>
      </c>
      <c r="E16" s="8" t="inlineStr"/>
      <c r="F16" s="8" t="inlineStr">
        <is>
          <t>Faculties</t>
        </is>
      </c>
      <c r="G16" s="8" t="inlineStr">
        <is>
          <t>TBC</t>
        </is>
      </c>
      <c r="H16" s="8" t="inlineStr">
        <is>
          <t>Review after pilot</t>
        </is>
      </c>
      <c r="I16" s="8" t="inlineStr">
        <is>
          <t>Open</t>
        </is>
      </c>
    </row>
    <row r="17">
      <c r="B17" s="8" t="n"/>
      <c r="C17" s="8" t="n"/>
      <c r="D17" s="8" t="n"/>
      <c r="E17" s="8" t="n"/>
      <c r="F17" s="8" t="n"/>
      <c r="G17" s="8" t="n"/>
      <c r="H17" s="8" t="n"/>
      <c r="I17" s="8" t="n"/>
    </row>
    <row r="18">
      <c r="B18" s="8" t="n"/>
      <c r="C18" s="8" t="n"/>
      <c r="D18" s="8" t="n"/>
      <c r="E18" s="8" t="n"/>
      <c r="F18" s="8" t="n"/>
      <c r="G18" s="8" t="n"/>
      <c r="H18" s="8" t="n"/>
      <c r="I18" s="8" t="n"/>
    </row>
    <row r="19">
      <c r="B19" s="8" t="n"/>
      <c r="C19" s="8" t="n"/>
      <c r="D19" s="8" t="n"/>
      <c r="E19" s="8" t="n"/>
      <c r="F19" s="8" t="n"/>
      <c r="G19" s="8" t="n"/>
      <c r="H19" s="8" t="n"/>
      <c r="I19" s="8" t="n"/>
    </row>
    <row r="20">
      <c r="B20" s="8" t="n"/>
      <c r="C20" s="8" t="n"/>
      <c r="D20" s="8" t="n"/>
      <c r="E20" s="8" t="n"/>
      <c r="F20" s="8" t="n"/>
      <c r="G20" s="8" t="n"/>
      <c r="H20" s="8" t="n"/>
      <c r="I20" s="8" t="n"/>
    </row>
    <row r="21">
      <c r="B21" s="8" t="n"/>
      <c r="C21" s="8" t="n"/>
      <c r="D21" s="8" t="n"/>
      <c r="E21" s="8" t="n"/>
      <c r="F21" s="8" t="n"/>
      <c r="G21" s="8" t="n"/>
      <c r="H21" s="8" t="n"/>
      <c r="I21" s="8" t="n"/>
    </row>
    <row r="22">
      <c r="B22" s="8" t="n"/>
      <c r="C22" s="8" t="n"/>
      <c r="D22" s="8" t="n"/>
      <c r="E22" s="8" t="n"/>
      <c r="F22" s="8" t="n"/>
      <c r="G22" s="8" t="n"/>
      <c r="H22" s="8" t="n"/>
      <c r="I22" s="8" t="n"/>
    </row>
    <row r="23">
      <c r="B23" s="8" t="n"/>
      <c r="C23" s="8" t="n"/>
      <c r="D23" s="8" t="n"/>
      <c r="E23" s="8" t="n"/>
      <c r="F23" s="8" t="n"/>
      <c r="G23" s="8" t="n"/>
      <c r="H23" s="8" t="n"/>
      <c r="I23" s="8" t="n"/>
    </row>
    <row r="24">
      <c r="B24" s="8" t="n"/>
      <c r="C24" s="8" t="n"/>
      <c r="D24" s="8" t="n"/>
      <c r="E24" s="8" t="n"/>
      <c r="F24" s="8" t="n"/>
      <c r="G24" s="8" t="n"/>
      <c r="H24" s="8" t="n"/>
      <c r="I24" s="8" t="n"/>
    </row>
    <row r="25">
      <c r="B25" s="8" t="n"/>
      <c r="C25" s="8" t="n"/>
      <c r="D25" s="8" t="n"/>
      <c r="E25" s="8" t="n"/>
      <c r="F25" s="8" t="n"/>
      <c r="G25" s="8" t="n"/>
      <c r="H25" s="8" t="n"/>
      <c r="I25" s="8" t="n"/>
    </row>
    <row r="26">
      <c r="B26" s="8" t="n"/>
      <c r="C26" s="8" t="n"/>
      <c r="D26" s="8" t="n"/>
      <c r="E26" s="8" t="n"/>
      <c r="F26" s="8" t="n"/>
      <c r="G26" s="8" t="n"/>
      <c r="H26" s="8" t="n"/>
      <c r="I26" s="8" t="n"/>
    </row>
    <row r="27">
      <c r="B27" s="8" t="n"/>
      <c r="C27" s="8" t="n"/>
      <c r="D27" s="8" t="n"/>
      <c r="E27" s="8" t="n"/>
      <c r="F27" s="8" t="n"/>
      <c r="G27" s="8" t="n"/>
      <c r="H27" s="8" t="n"/>
      <c r="I27" s="8" t="n"/>
    </row>
    <row r="28">
      <c r="B28" s="8" t="n"/>
      <c r="C28" s="8" t="n"/>
      <c r="D28" s="8" t="n"/>
      <c r="E28" s="8" t="n"/>
      <c r="F28" s="8" t="n"/>
      <c r="G28" s="8" t="n"/>
      <c r="H28" s="8" t="n"/>
      <c r="I28" s="8" t="n"/>
    </row>
    <row r="29">
      <c r="B29" s="8" t="n"/>
      <c r="C29" s="8" t="n"/>
      <c r="D29" s="8" t="n"/>
      <c r="E29" s="8" t="n"/>
      <c r="F29" s="8" t="n"/>
      <c r="G29" s="8" t="n"/>
      <c r="H29" s="8" t="n"/>
      <c r="I29" s="8" t="n"/>
    </row>
    <row r="30">
      <c r="B30" s="8" t="n"/>
      <c r="C30" s="8" t="n"/>
      <c r="D30" s="8" t="n"/>
      <c r="E30" s="8" t="n"/>
      <c r="F30" s="8" t="n"/>
      <c r="G30" s="8" t="n"/>
      <c r="H30" s="8" t="n"/>
      <c r="I30" s="8" t="n"/>
    </row>
    <row r="31">
      <c r="B31" s="8" t="n"/>
      <c r="C31" s="8" t="n"/>
      <c r="D31" s="8" t="n"/>
      <c r="E31" s="8" t="n"/>
      <c r="F31" s="8" t="n"/>
      <c r="G31" s="8" t="n"/>
      <c r="H31" s="8" t="n"/>
      <c r="I31" s="8" t="n"/>
    </row>
    <row r="32">
      <c r="B32" s="8" t="n"/>
      <c r="C32" s="8" t="n"/>
      <c r="D32" s="8" t="n"/>
      <c r="E32" s="8" t="n"/>
      <c r="F32" s="8" t="n"/>
      <c r="G32" s="8" t="n"/>
      <c r="H32" s="8" t="n"/>
      <c r="I32" s="8" t="n"/>
    </row>
    <row r="33">
      <c r="B33" s="8" t="n"/>
      <c r="C33" s="8" t="n"/>
      <c r="D33" s="8" t="n"/>
      <c r="E33" s="8" t="n"/>
      <c r="F33" s="8" t="n"/>
      <c r="G33" s="8" t="n"/>
      <c r="H33" s="8" t="n"/>
      <c r="I33" s="8" t="n"/>
    </row>
    <row r="34">
      <c r="B34" s="8" t="n"/>
      <c r="C34" s="8" t="n"/>
      <c r="D34" s="8" t="n"/>
      <c r="E34" s="8" t="n"/>
      <c r="F34" s="8" t="n"/>
      <c r="G34" s="8" t="n"/>
      <c r="H34" s="8" t="n"/>
      <c r="I34" s="8" t="n"/>
    </row>
    <row r="35">
      <c r="B35" s="8" t="n"/>
      <c r="C35" s="8" t="n"/>
      <c r="D35" s="8" t="n"/>
      <c r="E35" s="8" t="n"/>
      <c r="F35" s="8" t="n"/>
      <c r="G35" s="8" t="n"/>
      <c r="H35" s="8" t="n"/>
      <c r="I35" s="8" t="n"/>
    </row>
    <row r="36">
      <c r="B36" s="8" t="n"/>
      <c r="C36" s="8" t="n"/>
      <c r="D36" s="8" t="n"/>
      <c r="E36" s="8" t="n"/>
      <c r="F36" s="8" t="n"/>
      <c r="G36" s="8" t="n"/>
      <c r="H36" s="8" t="n"/>
      <c r="I36" s="8" t="n"/>
    </row>
    <row r="37">
      <c r="B37" s="8" t="n"/>
      <c r="C37" s="8" t="n"/>
      <c r="D37" s="8" t="n"/>
      <c r="E37" s="8" t="n"/>
      <c r="F37" s="8" t="n"/>
      <c r="G37" s="8" t="n"/>
      <c r="H37" s="8" t="n"/>
      <c r="I37" s="8" t="n"/>
    </row>
    <row r="38">
      <c r="B38" s="8" t="n"/>
      <c r="C38" s="8" t="n"/>
      <c r="D38" s="8" t="n"/>
      <c r="E38" s="8" t="n"/>
      <c r="F38" s="8" t="n"/>
      <c r="G38" s="8" t="n"/>
      <c r="H38" s="8" t="n"/>
      <c r="I38" s="8" t="n"/>
    </row>
    <row r="39">
      <c r="B39" s="8" t="n"/>
      <c r="C39" s="8" t="n"/>
      <c r="D39" s="8" t="n"/>
      <c r="E39" s="8" t="n"/>
      <c r="F39" s="8" t="n"/>
      <c r="G39" s="8" t="n"/>
      <c r="H39" s="8" t="n"/>
      <c r="I39" s="8" t="n"/>
    </row>
  </sheetData>
  <dataValidations count="1">
    <dataValidation sqref="I5:I39" showDropDown="0" showInputMessage="0" showErrorMessage="0" allowBlank="1" errorTitle="Invalid entry" error="Please select from the dropdown" type="list">
      <formula1>"Open,In progress,Closed"</formula1>
    </dataValidation>
  </dataValidation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1:L13"/>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c r="L1" t="inlineStr">
        <is>
          <t>Priority area</t>
        </is>
      </c>
    </row>
    <row r="2">
      <c r="B2" t="inlineStr">
        <is>
          <t>Please select from dropdown</t>
        </is>
      </c>
      <c r="C2" t="inlineStr">
        <is>
          <t>Yes</t>
        </is>
      </c>
      <c r="D2" t="inlineStr">
        <is>
          <t>Not sent</t>
        </is>
      </c>
      <c r="E2" t="inlineStr">
        <is>
          <t>Yes</t>
        </is>
      </c>
      <c r="G2" t="inlineStr">
        <is>
          <t>Met or exceeded</t>
        </is>
      </c>
      <c r="H2" t="n">
        <v>3</v>
      </c>
      <c r="I2" t="n">
        <v>1</v>
      </c>
      <c r="L2" t="inlineStr">
        <is>
          <t>Exceptional education</t>
        </is>
      </c>
    </row>
    <row r="3">
      <c r="B3" t="inlineStr">
        <is>
          <t>Met or exceeded</t>
        </is>
      </c>
      <c r="C3" t="inlineStr">
        <is>
          <t>No</t>
        </is>
      </c>
      <c r="D3" t="inlineStr">
        <is>
          <t>Sent</t>
        </is>
      </c>
      <c r="E3" t="inlineStr">
        <is>
          <t>No</t>
        </is>
      </c>
      <c r="G3" t="inlineStr">
        <is>
          <t>Partially met</t>
        </is>
      </c>
      <c r="H3" t="n">
        <v>2</v>
      </c>
      <c r="I3" t="n">
        <v>1</v>
      </c>
      <c r="L3" t="inlineStr">
        <is>
          <t>Transformational research</t>
        </is>
      </c>
    </row>
    <row r="4">
      <c r="B4" t="inlineStr">
        <is>
          <t>Partially met</t>
        </is>
      </c>
      <c r="C4" t="inlineStr">
        <is>
          <t>Partially – see comments</t>
        </is>
      </c>
      <c r="D4" t="inlineStr">
        <is>
          <t>1:1 meeting</t>
        </is>
      </c>
      <c r="E4" t="inlineStr">
        <is>
          <t>TBC</t>
        </is>
      </c>
      <c r="G4" t="inlineStr">
        <is>
          <t>Not met</t>
        </is>
      </c>
      <c r="H4" t="n">
        <v>1</v>
      </c>
      <c r="I4" t="n">
        <v>1</v>
      </c>
      <c r="L4" t="inlineStr">
        <is>
          <t>Climate leadership</t>
        </is>
      </c>
    </row>
    <row r="5">
      <c r="B5" t="inlineStr">
        <is>
          <t>Not met</t>
        </is>
      </c>
      <c r="D5" t="inlineStr">
        <is>
          <t>Received</t>
        </is>
      </c>
      <c r="G5" t="inlineStr">
        <is>
          <t>Not yet started</t>
        </is>
      </c>
      <c r="H5" t="n">
        <v>0</v>
      </c>
      <c r="I5" t="n">
        <v>1</v>
      </c>
      <c r="L5" t="inlineStr">
        <is>
          <t>Nature and biodiversity</t>
        </is>
      </c>
    </row>
    <row r="6">
      <c r="B6" t="inlineStr">
        <is>
          <t>Not yet started</t>
        </is>
      </c>
      <c r="D6" t="inlineStr">
        <is>
          <t>First review</t>
        </is>
      </c>
      <c r="L6" t="inlineStr">
        <is>
          <t>Responsible AI</t>
        </is>
      </c>
    </row>
    <row r="7">
      <c r="B7" t="inlineStr">
        <is>
          <t>Not applicable</t>
        </is>
      </c>
      <c r="D7" t="inlineStr">
        <is>
          <t>Follow-up</t>
        </is>
      </c>
      <c r="L7" t="inlineStr">
        <is>
          <t>Estate and infrastructure</t>
        </is>
      </c>
    </row>
    <row r="8">
      <c r="D8" t="inlineStr">
        <is>
          <t>Complete</t>
        </is>
      </c>
      <c r="L8" t="inlineStr">
        <is>
          <t>Circular economy</t>
        </is>
      </c>
    </row>
    <row r="9">
      <c r="D9" t="inlineStr">
        <is>
          <t>Not required</t>
        </is>
      </c>
      <c r="L9" t="inlineStr">
        <is>
          <t>Responsible procurement</t>
        </is>
      </c>
    </row>
    <row r="10">
      <c r="L10" t="inlineStr">
        <is>
          <t>Modern slavery and human rights</t>
        </is>
      </c>
    </row>
    <row r="11">
      <c r="L11" t="inlineStr">
        <is>
          <t>Responsible investments</t>
        </is>
      </c>
    </row>
    <row r="12">
      <c r="L12" t="inlineStr">
        <is>
          <t>Enablers</t>
        </is>
      </c>
    </row>
    <row r="13">
      <c r="L13" t="inlineStr">
        <is>
          <t>Not priority-area specific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2026-10-07T01:05:38Z</dcterms:created>
  <dcterms:modified xmlns:dcterms="http://purl.org/dc/terms/" xmlns:xsi="http://www.w3.org/2001/XMLSchema-instance" xsi:type="dcterms:W3CDTF">2026-10-07T01:05:59Z</dcterms:modified>
</cp:coreProperties>
</file>