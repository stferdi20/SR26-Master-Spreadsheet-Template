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v0.7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Open case-study calls (University-wide + faculty networks)</t>
        </is>
      </c>
      <c r="C24" s="13" t="inlineStr">
        <is>
          <t>Close early Dec</t>
        </is>
      </c>
      <c r="D24" s="14" t="n">
        <v>46315</v>
      </c>
      <c r="E24" s="14" t="n">
        <v>46360</v>
      </c>
      <c r="F24" s="13" t="inlineStr">
        <is>
          <t>SST</t>
        </is>
      </c>
      <c r="G24" s="13" t="inlineStr"/>
      <c r="H24" s="13" t="inlineStr">
        <is>
          <t>Comms</t>
        </is>
      </c>
      <c r="I24" s="13" t="inlineStr">
        <is>
          <t>All staff</t>
        </is>
      </c>
      <c r="J24" s="13" t="inlineStr">
        <is>
          <t>Medium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Evidence collection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Issue tailored requests (faculties, central units)</t>
        </is>
      </c>
      <c r="C26" s="13" t="inlineStr">
        <is>
          <t>Request tracker</t>
        </is>
      </c>
      <c r="D26" s="14" t="n">
        <v>46328</v>
      </c>
      <c r="E26" s="14" t="n">
        <v>46346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Highlighted stories due</t>
        </is>
      </c>
      <c r="C27" s="13" t="inlineStr">
        <is>
          <t>4 Dec (TBC)</t>
        </is>
      </c>
      <c r="D27" s="14" t="n">
        <v>46360</v>
      </c>
      <c r="E27" s="14" t="n">
        <v>46360</v>
      </c>
      <c r="F27" s="13" t="inlineStr"/>
      <c r="G27" s="13" t="inlineStr"/>
      <c r="H27" s="13" t="inlineStr"/>
      <c r="I27" s="13" t="inlineStr"/>
      <c r="J27" s="13" t="inlineStr">
        <is>
          <t>Milestone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Collect narrative, evidence, case studies; maintain evidence register</t>
        </is>
      </c>
      <c r="C28" s="13" t="inlineStr"/>
      <c r="D28" s="14" t="n">
        <v>46328</v>
      </c>
      <c r="E28" s="14" t="n">
        <v>46416</v>
      </c>
      <c r="F28" s="13" t="inlineStr">
        <is>
          <t>SST</t>
        </is>
      </c>
      <c r="G28" s="13" t="inlineStr"/>
      <c r="H28" s="13" t="inlineStr"/>
      <c r="I28" s="13" t="inlineStr"/>
      <c r="J28" s="13" t="inlineStr">
        <is>
          <t>High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Reminders / chasing</t>
        </is>
      </c>
      <c r="C29" s="13" t="inlineStr"/>
      <c r="D29" s="14" t="n">
        <v>46349</v>
      </c>
      <c r="E29" s="14" t="n">
        <v>46409</v>
      </c>
      <c r="F29" s="13" t="inlineStr">
        <is>
          <t>SST</t>
        </is>
      </c>
      <c r="G29" s="13" t="inlineStr"/>
      <c r="H29" s="13" t="inlineStr"/>
      <c r="I29" s="13" t="inlineStr"/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Commence drafting</t>
        </is>
      </c>
      <c r="C30" s="13" t="inlineStr"/>
      <c r="D30" s="14" t="n">
        <v>46357</v>
      </c>
      <c r="E30" s="14" t="n">
        <v>46416</v>
      </c>
      <c r="F30" s="13" t="inlineStr">
        <is>
          <t>SST</t>
        </is>
      </c>
      <c r="G30" s="13" t="inlineStr"/>
      <c r="H30" s="13" t="inlineStr"/>
      <c r="I30" s="13" t="inlineStr"/>
      <c r="J30" s="13" t="inlineStr">
        <is>
          <t>Medium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1" t="inlineStr">
        <is>
          <t>Drafting &amp; data validation (Jan 2027)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</row>
    <row r="32">
      <c r="B32" s="13" t="inlineStr">
        <is>
          <t>Reporting requests due</t>
        </is>
      </c>
      <c r="C32" s="13" t="inlineStr">
        <is>
          <t>15 Jan (TBC)</t>
        </is>
      </c>
      <c r="D32" s="14" t="n">
        <v>46402</v>
      </c>
      <c r="E32" s="14" t="n">
        <v>46402</v>
      </c>
      <c r="F32" s="13" t="inlineStr"/>
      <c r="G32" s="13" t="inlineStr"/>
      <c r="H32" s="13" t="inlineStr"/>
      <c r="I32" s="13" t="inlineStr"/>
      <c r="J32" s="13" t="inlineStr">
        <is>
          <t>Milestone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Targeted support meetings (new owners, complex indicators, late respondents)</t>
        </is>
      </c>
      <c r="C33" s="13" t="inlineStr"/>
      <c r="D33" s="14" t="n">
        <v>46391</v>
      </c>
      <c r="E33" s="14" t="n">
        <v>46409</v>
      </c>
      <c r="F33" s="13" t="inlineStr">
        <is>
          <t>SST</t>
        </is>
      </c>
      <c r="G33" s="13" t="inlineStr"/>
      <c r="H33" s="13" t="inlineStr"/>
      <c r="I33" s="13" t="inlineStr">
        <is>
          <t>Data owners</t>
        </is>
      </c>
      <c r="J33" s="13" t="inlineStr">
        <is>
          <t>Medium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3" t="inlineStr">
        <is>
          <t>Confirm provisional quantitative data (Databook)</t>
        </is>
      </c>
      <c r="C34" s="13" t="inlineStr"/>
      <c r="D34" s="14" t="n">
        <v>46391</v>
      </c>
      <c r="E34" s="14" t="n">
        <v>46416</v>
      </c>
      <c r="F34" s="13" t="inlineStr">
        <is>
          <t>SST</t>
        </is>
      </c>
      <c r="G34" s="13" t="inlineStr"/>
      <c r="H34" s="13" t="inlineStr">
        <is>
          <t>Data owners</t>
        </is>
      </c>
      <c r="I34" s="13" t="inlineStr"/>
      <c r="J34" s="13" t="inlineStr">
        <is>
          <t>High</t>
        </is>
      </c>
      <c r="K34" s="13" t="inlineStr">
        <is>
          <t>Not yet started</t>
        </is>
      </c>
      <c r="L34">
        <f>IF(AND(L$9+6&gt;=$D34,L$9&lt;=$E34),1,"")</f>
        <v/>
      </c>
      <c r="M34">
        <f>IF(AND(M$9+6&gt;=$D34,M$9&lt;=$E34),1,"")</f>
        <v/>
      </c>
      <c r="N34">
        <f>IF(AND(N$9+6&gt;=$D34,N$9&lt;=$E34),1,"")</f>
        <v/>
      </c>
      <c r="O34">
        <f>IF(AND(O$9+6&gt;=$D34,O$9&lt;=$E34),1,"")</f>
        <v/>
      </c>
      <c r="P34">
        <f>IF(AND(P$9+6&gt;=$D34,P$9&lt;=$E34),1,"")</f>
        <v/>
      </c>
      <c r="Q34">
        <f>IF(AND(Q$9+6&gt;=$D34,Q$9&lt;=$E34),1,"")</f>
        <v/>
      </c>
      <c r="R34">
        <f>IF(AND(R$9+6&gt;=$D34,R$9&lt;=$E34),1,"")</f>
        <v/>
      </c>
      <c r="S34">
        <f>IF(AND(S$9+6&gt;=$D34,S$9&lt;=$E34),1,"")</f>
        <v/>
      </c>
      <c r="T34">
        <f>IF(AND(T$9+6&gt;=$D34,T$9&lt;=$E34),1,"")</f>
        <v/>
      </c>
      <c r="U34">
        <f>IF(AND(U$9+6&gt;=$D34,U$9&lt;=$E34),1,"")</f>
        <v/>
      </c>
      <c r="V34">
        <f>IF(AND(V$9+6&gt;=$D34,V$9&lt;=$E34),1,"")</f>
        <v/>
      </c>
      <c r="W34">
        <f>IF(AND(W$9+6&gt;=$D34,W$9&lt;=$E34),1,"")</f>
        <v/>
      </c>
      <c r="X34">
        <f>IF(AND(X$9+6&gt;=$D34,X$9&lt;=$E34),1,"")</f>
        <v/>
      </c>
      <c r="Y34">
        <f>IF(AND(Y$9+6&gt;=$D34,Y$9&lt;=$E34),1,"")</f>
        <v/>
      </c>
      <c r="Z34">
        <f>IF(AND(Z$9+6&gt;=$D34,Z$9&lt;=$E34),1,"")</f>
        <v/>
      </c>
      <c r="AA34">
        <f>IF(AND(AA$9+6&gt;=$D34,AA$9&lt;=$E34),1,"")</f>
        <v/>
      </c>
      <c r="AB34">
        <f>IF(AND(AB$9+6&gt;=$D34,AB$9&lt;=$E34),1,"")</f>
        <v/>
      </c>
      <c r="AC34">
        <f>IF(AND(AC$9+6&gt;=$D34,AC$9&lt;=$E34),1,"")</f>
        <v/>
      </c>
      <c r="AD34">
        <f>IF(AND(AD$9+6&gt;=$D34,AD$9&lt;=$E34),1,"")</f>
        <v/>
      </c>
      <c r="AE34">
        <f>IF(AND(AE$9+6&gt;=$D34,AE$9&lt;=$E34),1,"")</f>
        <v/>
      </c>
      <c r="AF34">
        <f>IF(AND(AF$9+6&gt;=$D34,AF$9&lt;=$E34),1,"")</f>
        <v/>
      </c>
      <c r="AG34">
        <f>IF(AND(AG$9+6&gt;=$D34,AG$9&lt;=$E34),1,"")</f>
        <v/>
      </c>
      <c r="AH34">
        <f>IF(AND(AH$9+6&gt;=$D34,AH$9&lt;=$E34),1,"")</f>
        <v/>
      </c>
      <c r="AI34">
        <f>IF(AND(AI$9+6&gt;=$D34,AI$9&lt;=$E34),1,"")</f>
        <v/>
      </c>
      <c r="AJ34">
        <f>IF(AND(AJ$9+6&gt;=$D34,AJ$9&lt;=$E34),1,"")</f>
        <v/>
      </c>
      <c r="AK34">
        <f>IF(AND(AK$9+6&gt;=$D34,AK$9&lt;=$E34),1,"")</f>
        <v/>
      </c>
      <c r="AL34">
        <f>IF(AND(AL$9+6&gt;=$D34,AL$9&lt;=$E34),1,"")</f>
        <v/>
      </c>
      <c r="AM34">
        <f>IF(AND(AM$9+6&gt;=$D34,AM$9&lt;=$E34),1,"")</f>
        <v/>
      </c>
      <c r="AN34">
        <f>IF(AND(AN$9+6&gt;=$D34,AN$9&lt;=$E34),1,"")</f>
        <v/>
      </c>
      <c r="AO34">
        <f>IF(AND(AO$9+6&gt;=$D34,AO$9&lt;=$E34),1,"")</f>
        <v/>
      </c>
      <c r="AP34">
        <f>IF(AND(AP$9+6&gt;=$D34,AP$9&lt;=$E34),1,"")</f>
        <v/>
      </c>
      <c r="AQ34">
        <f>IF(AND(AQ$9+6&gt;=$D34,AQ$9&lt;=$E34),1,"")</f>
        <v/>
      </c>
      <c r="AR34">
        <f>IF(AND(AR$9+6&gt;=$D34,AR$9&lt;=$E34),1,"")</f>
        <v/>
      </c>
      <c r="AS34">
        <f>IF(AND(AS$9+6&gt;=$D34,AS$9&lt;=$E34),1,"")</f>
        <v/>
      </c>
      <c r="AT34">
        <f>IF(AND(AT$9+6&gt;=$D34,AT$9&lt;=$E34),1,"")</f>
        <v/>
      </c>
      <c r="AU34">
        <f>IF(AND(AU$9+6&gt;=$D34,AU$9&lt;=$E34),1,"")</f>
        <v/>
      </c>
      <c r="AV34">
        <f>IF(AND(AV$9+6&gt;=$D34,AV$9&lt;=$E34),1,"")</f>
        <v/>
      </c>
      <c r="AW34">
        <f>IF(AND(AW$9+6&gt;=$D34,AW$9&lt;=$E34),1,"")</f>
        <v/>
      </c>
      <c r="AX34">
        <f>IF(AND(AX$9+6&gt;=$D34,AX$9&lt;=$E34),1,"")</f>
        <v/>
      </c>
      <c r="AY34">
        <f>IF(AND(AY$9+6&gt;=$D34,AY$9&lt;=$E34),1,"")</f>
        <v/>
      </c>
      <c r="AZ34">
        <f>IF(AND(AZ$9+6&gt;=$D34,AZ$9&lt;=$E34),1,"")</f>
        <v/>
      </c>
      <c r="BA34">
        <f>IF(AND(BA$9+6&gt;=$D34,BA$9&lt;=$E34),1,"")</f>
        <v/>
      </c>
      <c r="BB34">
        <f>IF(AND(BB$9+6&gt;=$D34,BB$9&lt;=$E34),1,"")</f>
        <v/>
      </c>
      <c r="BC34">
        <f>IF(AND(BC$9+6&gt;=$D34,BC$9&lt;=$E34),1,"")</f>
        <v/>
      </c>
      <c r="BD34">
        <f>IF(AND(BD$9+6&gt;=$D34,BD$9&lt;=$E34),1,"")</f>
        <v/>
      </c>
      <c r="BE34">
        <f>IF(AND(BE$9+6&gt;=$D34,BE$9&lt;=$E34),1,"")</f>
        <v/>
      </c>
      <c r="BF34">
        <f>IF(AND(BF$9+6&gt;=$D34,BF$9&lt;=$E34),1,"")</f>
        <v/>
      </c>
      <c r="BG34">
        <f>IF(AND(BG$9+6&gt;=$D34,BG$9&lt;=$E34),1,"")</f>
        <v/>
      </c>
    </row>
    <row r="35">
      <c r="B35" s="13" t="inlineStr">
        <is>
          <t>Preliminary target status assessment (internal) – A1/T2 tabs</t>
        </is>
      </c>
      <c r="C35" s="13" t="inlineStr"/>
      <c r="D35" s="14" t="n">
        <v>46405</v>
      </c>
      <c r="E35" s="14" t="n">
        <v>46423</v>
      </c>
      <c r="F35" s="13" t="inlineStr">
        <is>
          <t>Rose (TBC)</t>
        </is>
      </c>
      <c r="G35" s="13" t="inlineStr">
        <is>
          <t>Director, Sustainability</t>
        </is>
      </c>
      <c r="H35" s="13" t="inlineStr">
        <is>
          <t>SST</t>
        </is>
      </c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Full draft + issues paper; close evidence gaps</t>
        </is>
      </c>
      <c r="C36" s="13" t="inlineStr"/>
      <c r="D36" s="14" t="n">
        <v>46398</v>
      </c>
      <c r="E36" s="14" t="n">
        <v>46423</v>
      </c>
      <c r="F36" s="13" t="inlineStr">
        <is>
          <t>SST</t>
        </is>
      </c>
      <c r="G36" s="13" t="inlineStr">
        <is>
          <t>Director, Sustainability</t>
        </is>
      </c>
      <c r="H36" s="13" t="inlineStr"/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1" t="inlineStr">
        <is>
          <t>Review &amp; governance (Feb–May 2027)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</row>
    <row r="38">
      <c r="B38" s="13" t="inlineStr">
        <is>
          <t>VCAG papers due (Review Group findings)</t>
        </is>
      </c>
      <c r="C38" s="13" t="inlineStr">
        <is>
          <t>10 Feb</t>
        </is>
      </c>
      <c r="D38" s="14" t="n">
        <v>46428</v>
      </c>
      <c r="E38" s="14" t="n">
        <v>46428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Milestone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3" t="inlineStr">
        <is>
          <t>Sustainability Reporting Review Group</t>
        </is>
      </c>
      <c r="C39" s="13" t="inlineStr">
        <is>
          <t>~15 Feb (8–10 Feb TBC)</t>
        </is>
      </c>
      <c r="D39" s="14" t="n">
        <v>46426</v>
      </c>
      <c r="E39" s="14" t="n">
        <v>46433</v>
      </c>
      <c r="F39" s="13" t="inlineStr">
        <is>
          <t>Rose (convenor, TBC)</t>
        </is>
      </c>
      <c r="G39" s="13" t="inlineStr"/>
      <c r="H39" s="13" t="inlineStr"/>
      <c r="I39" s="13" t="inlineStr"/>
      <c r="J39" s="13" t="inlineStr">
        <is>
          <t>Milestone</t>
        </is>
      </c>
      <c r="K39" s="13" t="inlineStr">
        <is>
          <t>Not yet started</t>
        </is>
      </c>
      <c r="L39">
        <f>IF(AND(L$9+6&gt;=$D39,L$9&lt;=$E39),1,"")</f>
        <v/>
      </c>
      <c r="M39">
        <f>IF(AND(M$9+6&gt;=$D39,M$9&lt;=$E39),1,"")</f>
        <v/>
      </c>
      <c r="N39">
        <f>IF(AND(N$9+6&gt;=$D39,N$9&lt;=$E39),1,"")</f>
        <v/>
      </c>
      <c r="O39">
        <f>IF(AND(O$9+6&gt;=$D39,O$9&lt;=$E39),1,"")</f>
        <v/>
      </c>
      <c r="P39">
        <f>IF(AND(P$9+6&gt;=$D39,P$9&lt;=$E39),1,"")</f>
        <v/>
      </c>
      <c r="Q39">
        <f>IF(AND(Q$9+6&gt;=$D39,Q$9&lt;=$E39),1,"")</f>
        <v/>
      </c>
      <c r="R39">
        <f>IF(AND(R$9+6&gt;=$D39,R$9&lt;=$E39),1,"")</f>
        <v/>
      </c>
      <c r="S39">
        <f>IF(AND(S$9+6&gt;=$D39,S$9&lt;=$E39),1,"")</f>
        <v/>
      </c>
      <c r="T39">
        <f>IF(AND(T$9+6&gt;=$D39,T$9&lt;=$E39),1,"")</f>
        <v/>
      </c>
      <c r="U39">
        <f>IF(AND(U$9+6&gt;=$D39,U$9&lt;=$E39),1,"")</f>
        <v/>
      </c>
      <c r="V39">
        <f>IF(AND(V$9+6&gt;=$D39,V$9&lt;=$E39),1,"")</f>
        <v/>
      </c>
      <c r="W39">
        <f>IF(AND(W$9+6&gt;=$D39,W$9&lt;=$E39),1,"")</f>
        <v/>
      </c>
      <c r="X39">
        <f>IF(AND(X$9+6&gt;=$D39,X$9&lt;=$E39),1,"")</f>
        <v/>
      </c>
      <c r="Y39">
        <f>IF(AND(Y$9+6&gt;=$D39,Y$9&lt;=$E39),1,"")</f>
        <v/>
      </c>
      <c r="Z39">
        <f>IF(AND(Z$9+6&gt;=$D39,Z$9&lt;=$E39),1,"")</f>
        <v/>
      </c>
      <c r="AA39">
        <f>IF(AND(AA$9+6&gt;=$D39,AA$9&lt;=$E39),1,"")</f>
        <v/>
      </c>
      <c r="AB39">
        <f>IF(AND(AB$9+6&gt;=$D39,AB$9&lt;=$E39),1,"")</f>
        <v/>
      </c>
      <c r="AC39">
        <f>IF(AND(AC$9+6&gt;=$D39,AC$9&lt;=$E39),1,"")</f>
        <v/>
      </c>
      <c r="AD39">
        <f>IF(AND(AD$9+6&gt;=$D39,AD$9&lt;=$E39),1,"")</f>
        <v/>
      </c>
      <c r="AE39">
        <f>IF(AND(AE$9+6&gt;=$D39,AE$9&lt;=$E39),1,"")</f>
        <v/>
      </c>
      <c r="AF39">
        <f>IF(AND(AF$9+6&gt;=$D39,AF$9&lt;=$E39),1,"")</f>
        <v/>
      </c>
      <c r="AG39">
        <f>IF(AND(AG$9+6&gt;=$D39,AG$9&lt;=$E39),1,"")</f>
        <v/>
      </c>
      <c r="AH39">
        <f>IF(AND(AH$9+6&gt;=$D39,AH$9&lt;=$E39),1,"")</f>
        <v/>
      </c>
      <c r="AI39">
        <f>IF(AND(AI$9+6&gt;=$D39,AI$9&lt;=$E39),1,"")</f>
        <v/>
      </c>
      <c r="AJ39">
        <f>IF(AND(AJ$9+6&gt;=$D39,AJ$9&lt;=$E39),1,"")</f>
        <v/>
      </c>
      <c r="AK39">
        <f>IF(AND(AK$9+6&gt;=$D39,AK$9&lt;=$E39),1,"")</f>
        <v/>
      </c>
      <c r="AL39">
        <f>IF(AND(AL$9+6&gt;=$D39,AL$9&lt;=$E39),1,"")</f>
        <v/>
      </c>
      <c r="AM39">
        <f>IF(AND(AM$9+6&gt;=$D39,AM$9&lt;=$E39),1,"")</f>
        <v/>
      </c>
      <c r="AN39">
        <f>IF(AND(AN$9+6&gt;=$D39,AN$9&lt;=$E39),1,"")</f>
        <v/>
      </c>
      <c r="AO39">
        <f>IF(AND(AO$9+6&gt;=$D39,AO$9&lt;=$E39),1,"")</f>
        <v/>
      </c>
      <c r="AP39">
        <f>IF(AND(AP$9+6&gt;=$D39,AP$9&lt;=$E39),1,"")</f>
        <v/>
      </c>
      <c r="AQ39">
        <f>IF(AND(AQ$9+6&gt;=$D39,AQ$9&lt;=$E39),1,"")</f>
        <v/>
      </c>
      <c r="AR39">
        <f>IF(AND(AR$9+6&gt;=$D39,AR$9&lt;=$E39),1,"")</f>
        <v/>
      </c>
      <c r="AS39">
        <f>IF(AND(AS$9+6&gt;=$D39,AS$9&lt;=$E39),1,"")</f>
        <v/>
      </c>
      <c r="AT39">
        <f>IF(AND(AT$9+6&gt;=$D39,AT$9&lt;=$E39),1,"")</f>
        <v/>
      </c>
      <c r="AU39">
        <f>IF(AND(AU$9+6&gt;=$D39,AU$9&lt;=$E39),1,"")</f>
        <v/>
      </c>
      <c r="AV39">
        <f>IF(AND(AV$9+6&gt;=$D39,AV$9&lt;=$E39),1,"")</f>
        <v/>
      </c>
      <c r="AW39">
        <f>IF(AND(AW$9+6&gt;=$D39,AW$9&lt;=$E39),1,"")</f>
        <v/>
      </c>
      <c r="AX39">
        <f>IF(AND(AX$9+6&gt;=$D39,AX$9&lt;=$E39),1,"")</f>
        <v/>
      </c>
      <c r="AY39">
        <f>IF(AND(AY$9+6&gt;=$D39,AY$9&lt;=$E39),1,"")</f>
        <v/>
      </c>
      <c r="AZ39">
        <f>IF(AND(AZ$9+6&gt;=$D39,AZ$9&lt;=$E39),1,"")</f>
        <v/>
      </c>
      <c r="BA39">
        <f>IF(AND(BA$9+6&gt;=$D39,BA$9&lt;=$E39),1,"")</f>
        <v/>
      </c>
      <c r="BB39">
        <f>IF(AND(BB$9+6&gt;=$D39,BB$9&lt;=$E39),1,"")</f>
        <v/>
      </c>
      <c r="BC39">
        <f>IF(AND(BC$9+6&gt;=$D39,BC$9&lt;=$E39),1,"")</f>
        <v/>
      </c>
      <c r="BD39">
        <f>IF(AND(BD$9+6&gt;=$D39,BD$9&lt;=$E39),1,"")</f>
        <v/>
      </c>
      <c r="BE39">
        <f>IF(AND(BE$9+6&gt;=$D39,BE$9&lt;=$E39),1,"")</f>
        <v/>
      </c>
      <c r="BF39">
        <f>IF(AND(BF$9+6&gt;=$D39,BF$9&lt;=$E39),1,"")</f>
        <v/>
      </c>
      <c r="BG39">
        <f>IF(AND(BG$9+6&gt;=$D39,BG$9&lt;=$E39),1,"")</f>
        <v/>
      </c>
    </row>
    <row r="40">
      <c r="B40" s="13" t="inlineStr">
        <is>
          <t>VCAG – notes Review Group findings</t>
        </is>
      </c>
      <c r="C40" s="13" t="inlineStr">
        <is>
          <t>16 Feb</t>
        </is>
      </c>
      <c r="D40" s="14" t="n">
        <v>46434</v>
      </c>
      <c r="E40" s="14" t="n">
        <v>46434</v>
      </c>
      <c r="F40" s="13" t="inlineStr"/>
      <c r="G40" s="13" t="inlineStr"/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Investment Management Committee – Responsible Investments section</t>
        </is>
      </c>
      <c r="C41" s="13" t="inlineStr">
        <is>
          <t>~25 Feb (papers ~18 Feb)</t>
        </is>
      </c>
      <c r="D41" s="14" t="n">
        <v>46436</v>
      </c>
      <c r="E41" s="14" t="n">
        <v>46443</v>
      </c>
      <c r="F41" s="13" t="inlineStr">
        <is>
          <t>SST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Full-report finalisation; Strategic Comms review; reconcile Annual Report data</t>
        </is>
      </c>
      <c r="C42" s="13" t="inlineStr"/>
      <c r="D42" s="14" t="n">
        <v>46434</v>
      </c>
      <c r="E42" s="14" t="n">
        <v>46444</v>
      </c>
      <c r="F42" s="13" t="inlineStr">
        <is>
          <t>SST</t>
        </is>
      </c>
      <c r="G42" s="13" t="inlineStr"/>
      <c r="H42" s="13" t="inlineStr">
        <is>
          <t>Strategic Comms</t>
        </is>
      </c>
      <c r="I42" s="13" t="inlineStr"/>
      <c r="J42" s="13" t="inlineStr">
        <is>
          <t>High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VCAG – notes full report</t>
        </is>
      </c>
      <c r="C43" s="13" t="inlineStr">
        <is>
          <t>~2 Mar (papers ~25 Feb)</t>
        </is>
      </c>
      <c r="D43" s="14" t="n">
        <v>46448</v>
      </c>
      <c r="E43" s="14" t="n">
        <v>46448</v>
      </c>
      <c r="F43" s="13" t="inlineStr"/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University Executive – notes report</t>
        </is>
      </c>
      <c r="C44" s="13" t="inlineStr">
        <is>
          <t>~25 Mar (papers ~12 Mar)</t>
        </is>
      </c>
      <c r="D44" s="14" t="n">
        <v>46471</v>
      </c>
      <c r="E44" s="14" t="n">
        <v>46471</v>
      </c>
      <c r="F44" s="13" t="inlineStr"/>
      <c r="G44" s="13" t="inlineStr"/>
      <c r="H44" s="13" t="inlineStr"/>
      <c r="I44" s="13" t="inlineStr"/>
      <c r="J44" s="13" t="inlineStr">
        <is>
          <t>Milestone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University Council – approves report</t>
        </is>
      </c>
      <c r="C45" s="13" t="inlineStr">
        <is>
          <t>~6 May (papers ~10 Apr)</t>
        </is>
      </c>
      <c r="D45" s="14" t="n">
        <v>46513</v>
      </c>
      <c r="E45" s="14" t="n">
        <v>46513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1" t="inlineStr">
        <is>
          <t>Publication &amp; close-out (May–Jun 2027)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</row>
    <row r="47">
      <c r="B47" s="13" t="inlineStr">
        <is>
          <t>Web build; QA, accessibility and web checks; agree analytics measures</t>
        </is>
      </c>
      <c r="C47" s="13" t="inlineStr">
        <is>
          <t>Before launch</t>
        </is>
      </c>
      <c r="D47" s="14" t="n">
        <v>46447</v>
      </c>
      <c r="E47" s="14" t="n">
        <v>46535</v>
      </c>
      <c r="F47" s="13" t="inlineStr">
        <is>
          <t>Comms/digital</t>
        </is>
      </c>
      <c r="G47" s="13" t="inlineStr"/>
      <c r="H47" s="13" t="inlineStr">
        <is>
          <t>SST</t>
        </is>
      </c>
      <c r="I47" s="13" t="inlineStr"/>
      <c r="J47" s="13" t="inlineStr">
        <is>
          <t>High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3" t="inlineStr">
        <is>
          <t>Publish report (year-specific URL + landing page)</t>
        </is>
      </c>
      <c r="C48" s="13" t="inlineStr">
        <is>
          <t>June</t>
        </is>
      </c>
      <c r="D48" s="14" t="n">
        <v>46539</v>
      </c>
      <c r="E48" s="14" t="n">
        <v>46568</v>
      </c>
      <c r="F48" s="13" t="inlineStr">
        <is>
          <t>Comms/digital</t>
        </is>
      </c>
      <c r="G48" s="13" t="inlineStr">
        <is>
          <t>Director, Sustainability</t>
        </is>
      </c>
      <c r="H48" s="13" t="inlineStr"/>
      <c r="I48" s="13" t="inlineStr"/>
      <c r="J48" s="13" t="inlineStr">
        <is>
          <t>Milestone</t>
        </is>
      </c>
      <c r="K48" s="13" t="inlineStr">
        <is>
          <t>Not yet started</t>
        </is>
      </c>
      <c r="L48">
        <f>IF(AND(L$9+6&gt;=$D48,L$9&lt;=$E48),1,"")</f>
        <v/>
      </c>
      <c r="M48">
        <f>IF(AND(M$9+6&gt;=$D48,M$9&lt;=$E48),1,"")</f>
        <v/>
      </c>
      <c r="N48">
        <f>IF(AND(N$9+6&gt;=$D48,N$9&lt;=$E48),1,"")</f>
        <v/>
      </c>
      <c r="O48">
        <f>IF(AND(O$9+6&gt;=$D48,O$9&lt;=$E48),1,"")</f>
        <v/>
      </c>
      <c r="P48">
        <f>IF(AND(P$9+6&gt;=$D48,P$9&lt;=$E48),1,"")</f>
        <v/>
      </c>
      <c r="Q48">
        <f>IF(AND(Q$9+6&gt;=$D48,Q$9&lt;=$E48),1,"")</f>
        <v/>
      </c>
      <c r="R48">
        <f>IF(AND(R$9+6&gt;=$D48,R$9&lt;=$E48),1,"")</f>
        <v/>
      </c>
      <c r="S48">
        <f>IF(AND(S$9+6&gt;=$D48,S$9&lt;=$E48),1,"")</f>
        <v/>
      </c>
      <c r="T48">
        <f>IF(AND(T$9+6&gt;=$D48,T$9&lt;=$E48),1,"")</f>
        <v/>
      </c>
      <c r="U48">
        <f>IF(AND(U$9+6&gt;=$D48,U$9&lt;=$E48),1,"")</f>
        <v/>
      </c>
      <c r="V48">
        <f>IF(AND(V$9+6&gt;=$D48,V$9&lt;=$E48),1,"")</f>
        <v/>
      </c>
      <c r="W48">
        <f>IF(AND(W$9+6&gt;=$D48,W$9&lt;=$E48),1,"")</f>
        <v/>
      </c>
      <c r="X48">
        <f>IF(AND(X$9+6&gt;=$D48,X$9&lt;=$E48),1,"")</f>
        <v/>
      </c>
      <c r="Y48">
        <f>IF(AND(Y$9+6&gt;=$D48,Y$9&lt;=$E48),1,"")</f>
        <v/>
      </c>
      <c r="Z48">
        <f>IF(AND(Z$9+6&gt;=$D48,Z$9&lt;=$E48),1,"")</f>
        <v/>
      </c>
      <c r="AA48">
        <f>IF(AND(AA$9+6&gt;=$D48,AA$9&lt;=$E48),1,"")</f>
        <v/>
      </c>
      <c r="AB48">
        <f>IF(AND(AB$9+6&gt;=$D48,AB$9&lt;=$E48),1,"")</f>
        <v/>
      </c>
      <c r="AC48">
        <f>IF(AND(AC$9+6&gt;=$D48,AC$9&lt;=$E48),1,"")</f>
        <v/>
      </c>
      <c r="AD48">
        <f>IF(AND(AD$9+6&gt;=$D48,AD$9&lt;=$E48),1,"")</f>
        <v/>
      </c>
      <c r="AE48">
        <f>IF(AND(AE$9+6&gt;=$D48,AE$9&lt;=$E48),1,"")</f>
        <v/>
      </c>
      <c r="AF48">
        <f>IF(AND(AF$9+6&gt;=$D48,AF$9&lt;=$E48),1,"")</f>
        <v/>
      </c>
      <c r="AG48">
        <f>IF(AND(AG$9+6&gt;=$D48,AG$9&lt;=$E48),1,"")</f>
        <v/>
      </c>
      <c r="AH48">
        <f>IF(AND(AH$9+6&gt;=$D48,AH$9&lt;=$E48),1,"")</f>
        <v/>
      </c>
      <c r="AI48">
        <f>IF(AND(AI$9+6&gt;=$D48,AI$9&lt;=$E48),1,"")</f>
        <v/>
      </c>
      <c r="AJ48">
        <f>IF(AND(AJ$9+6&gt;=$D48,AJ$9&lt;=$E48),1,"")</f>
        <v/>
      </c>
      <c r="AK48">
        <f>IF(AND(AK$9+6&gt;=$D48,AK$9&lt;=$E48),1,"")</f>
        <v/>
      </c>
      <c r="AL48">
        <f>IF(AND(AL$9+6&gt;=$D48,AL$9&lt;=$E48),1,"")</f>
        <v/>
      </c>
      <c r="AM48">
        <f>IF(AND(AM$9+6&gt;=$D48,AM$9&lt;=$E48),1,"")</f>
        <v/>
      </c>
      <c r="AN48">
        <f>IF(AND(AN$9+6&gt;=$D48,AN$9&lt;=$E48),1,"")</f>
        <v/>
      </c>
      <c r="AO48">
        <f>IF(AND(AO$9+6&gt;=$D48,AO$9&lt;=$E48),1,"")</f>
        <v/>
      </c>
      <c r="AP48">
        <f>IF(AND(AP$9+6&gt;=$D48,AP$9&lt;=$E48),1,"")</f>
        <v/>
      </c>
      <c r="AQ48">
        <f>IF(AND(AQ$9+6&gt;=$D48,AQ$9&lt;=$E48),1,"")</f>
        <v/>
      </c>
      <c r="AR48">
        <f>IF(AND(AR$9+6&gt;=$D48,AR$9&lt;=$E48),1,"")</f>
        <v/>
      </c>
      <c r="AS48">
        <f>IF(AND(AS$9+6&gt;=$D48,AS$9&lt;=$E48),1,"")</f>
        <v/>
      </c>
      <c r="AT48">
        <f>IF(AND(AT$9+6&gt;=$D48,AT$9&lt;=$E48),1,"")</f>
        <v/>
      </c>
      <c r="AU48">
        <f>IF(AND(AU$9+6&gt;=$D48,AU$9&lt;=$E48),1,"")</f>
        <v/>
      </c>
      <c r="AV48">
        <f>IF(AND(AV$9+6&gt;=$D48,AV$9&lt;=$E48),1,"")</f>
        <v/>
      </c>
      <c r="AW48">
        <f>IF(AND(AW$9+6&gt;=$D48,AW$9&lt;=$E48),1,"")</f>
        <v/>
      </c>
      <c r="AX48">
        <f>IF(AND(AX$9+6&gt;=$D48,AX$9&lt;=$E48),1,"")</f>
        <v/>
      </c>
      <c r="AY48">
        <f>IF(AND(AY$9+6&gt;=$D48,AY$9&lt;=$E48),1,"")</f>
        <v/>
      </c>
      <c r="AZ48">
        <f>IF(AND(AZ$9+6&gt;=$D48,AZ$9&lt;=$E48),1,"")</f>
        <v/>
      </c>
      <c r="BA48">
        <f>IF(AND(BA$9+6&gt;=$D48,BA$9&lt;=$E48),1,"")</f>
        <v/>
      </c>
      <c r="BB48">
        <f>IF(AND(BB$9+6&gt;=$D48,BB$9&lt;=$E48),1,"")</f>
        <v/>
      </c>
      <c r="BC48">
        <f>IF(AND(BC$9+6&gt;=$D48,BC$9&lt;=$E48),1,"")</f>
        <v/>
      </c>
      <c r="BD48">
        <f>IF(AND(BD$9+6&gt;=$D48,BD$9&lt;=$E48),1,"")</f>
        <v/>
      </c>
      <c r="BE48">
        <f>IF(AND(BE$9+6&gt;=$D48,BE$9&lt;=$E48),1,"")</f>
        <v/>
      </c>
      <c r="BF48">
        <f>IF(AND(BF$9+6&gt;=$D48,BF$9&lt;=$E48),1,"")</f>
        <v/>
      </c>
      <c r="BG48">
        <f>IF(AND(BG$9+6&gt;=$D48,BG$9&lt;=$E48),1,"")</f>
        <v/>
      </c>
    </row>
    <row r="49">
      <c r="B49" s="13" t="inlineStr">
        <is>
          <t>Monitor engagement; project retrospective; improvements for 2027 cycle</t>
        </is>
      </c>
      <c r="C49" s="13" t="inlineStr"/>
      <c r="D49" s="14" t="n">
        <v>46539</v>
      </c>
      <c r="E49" s="14" t="n">
        <v>46598</v>
      </c>
      <c r="F49" s="13" t="inlineStr">
        <is>
          <t>SST</t>
        </is>
      </c>
      <c r="G49" s="13" t="inlineStr"/>
      <c r="H49" s="13" t="inlineStr">
        <is>
          <t>Comms, design</t>
        </is>
      </c>
      <c r="I49" s="13" t="inlineStr"/>
      <c r="J49" s="13" t="inlineStr">
        <is>
          <t>Medium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</sheetData>
  <conditionalFormatting sqref="L10:BG49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49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Received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Under review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2026-10-06T04:35:50Z</dcterms:created>
  <dcterms:modified xmlns:dcterms="http://purl.org/dc/terms/" xmlns:xsi="http://www.w3.org/2001/XMLSchema-instance" xsi:type="dcterms:W3CDTF">2026-10-06T04:35:50Z</dcterms:modified>
</cp:coreProperties>
</file>