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summary'!$B$10:$AC$200</definedName>
    <definedName name="_xlnm._FilterDatabase" localSheetId="20" hidden="1">'T1. Manual target review'!$B$7:$R$274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8">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7">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10" fillId="0" borderId="0" pivotButton="0" quotePrefix="0" xfId="0"/>
    <xf numFmtId="0" fontId="11"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0" pivotButton="0" quotePrefix="0" xfId="0"/>
    <xf numFmtId="0" fontId="13" fillId="7" borderId="0" pivotButton="0" quotePrefix="0" xfId="0"/>
    <xf numFmtId="0" fontId="14" fillId="0" borderId="0"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0" borderId="0" pivotButton="0" quotePrefix="0" xfId="0"/>
    <xf numFmtId="0" fontId="13" fillId="0" borderId="0" pivotButton="0" quotePrefix="0" xfId="0"/>
    <xf numFmtId="0" fontId="17"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8" fillId="0" borderId="1" applyAlignment="1" pivotButton="0" quotePrefix="0" xfId="0">
      <alignment vertical="top" wrapText="1"/>
    </xf>
    <xf numFmtId="0" fontId="18" fillId="7" borderId="0" pivotButton="0" quotePrefix="0" xfId="0"/>
    <xf numFmtId="0" fontId="19" fillId="2" borderId="0" applyAlignment="1" pivotButton="0" quotePrefix="0" xfId="0">
      <alignment horizontal="center" vertical="center" wrapText="1"/>
    </xf>
    <xf numFmtId="0" fontId="20" fillId="16" borderId="0" applyAlignment="1" pivotButton="0" quotePrefix="0" xfId="0">
      <alignment horizontal="center" vertical="center" wrapText="1"/>
    </xf>
    <xf numFmtId="0" fontId="22" fillId="16" borderId="1" applyAlignment="1" pivotButton="0" quotePrefix="0" xfId="0">
      <alignment horizontal="center" vertical="center" wrapText="1"/>
    </xf>
    <xf numFmtId="0" fontId="21" fillId="7" borderId="1" applyAlignment="1" pivotButton="0" quotePrefix="0" xfId="0">
      <alignment horizontal="center" vertical="center" wrapText="1"/>
    </xf>
    <xf numFmtId="0" fontId="8" fillId="3" borderId="1" applyAlignment="1" pivotButton="0" quotePrefix="0" xfId="0">
      <alignment vertical="top" wrapText="1"/>
    </xf>
    <xf numFmtId="0" fontId="23" fillId="0" borderId="0" pivotButton="0" quotePrefix="0" xfId="0"/>
    <xf numFmtId="0" fontId="8" fillId="7" borderId="1" applyAlignment="1" pivotButton="0" quotePrefix="0" xfId="0">
      <alignment vertical="top"/>
    </xf>
    <xf numFmtId="0" fontId="7" fillId="10" borderId="1" applyAlignment="1" pivotButton="0" quotePrefix="0" xfId="0">
      <alignment vertical="top" wrapText="1"/>
    </xf>
    <xf numFmtId="0" fontId="7" fillId="4" borderId="1" applyAlignment="1" pivotButton="0" quotePrefix="0" xfId="0">
      <alignment vertical="top" wrapText="1"/>
    </xf>
    <xf numFmtId="0" fontId="24"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25" fillId="16" borderId="5" pivotButton="0" quotePrefix="0" xfId="0"/>
    <xf numFmtId="0" fontId="26" fillId="0" borderId="0" pivotButton="0" quotePrefix="0" xfId="0"/>
    <xf numFmtId="0" fontId="4" fillId="2" borderId="1" pivotButton="0" quotePrefix="0" xfId="0"/>
    <xf numFmtId="0" fontId="0" fillId="0" borderId="1" applyAlignment="1" pivotButton="0" quotePrefix="0" xfId="0">
      <alignment vertical="top" wrapText="1"/>
    </xf>
    <xf numFmtId="0" fontId="13" fillId="0" borderId="0" applyAlignment="1" pivotButton="0" quotePrefix="0" xfId="0">
      <alignment vertical="top" wrapText="1"/>
    </xf>
    <xf numFmtId="0" fontId="27" fillId="0" borderId="0" pivotButton="0" quotePrefix="0" xfId="0"/>
    <xf numFmtId="0" fontId="8"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v0.14 – pilot with 4 faculties (ABP, ARTS, FBE, SCI) and 11 central units (CI&amp;S, CFOG, ESG, CIOG, MRE, AC&amp;M, GCE, Education, SaSS, Indigenous, L&amp;R).</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60" customHeight="1">
      <c r="B7" s="4" t="inlineStr">
        <is>
          <t>Key dates (TBC)</t>
        </is>
      </c>
      <c r="C7" s="5"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05"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owner-confirmed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570"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SR26 sustainability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 Education</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 Education</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CI&amp;S, SaSS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SaSS</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MRE</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MRE</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MRE</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 AC&amp;M</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MRE</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MRE</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MRE</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AC&amp;M</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AC&amp;M</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 GCE, Indigenous</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 AC&amp;M, GCE, Education</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SaSS</t>
        </is>
      </c>
      <c r="K6" s="8" t="inlineStr">
        <is>
          <t>Owner confirms existing figures and provides CY2026 (provisional by 15 Dec, final Jan–Feb) – Tab 4 of owner's request</t>
        </is>
      </c>
      <c r="L6" s="8" t="inlineStr">
        <is>
          <t>SaSS request – Tab 4</t>
        </is>
      </c>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SaSS</t>
        </is>
      </c>
      <c r="K7" s="8" t="inlineStr">
        <is>
          <t>Owner provides CY2026 (and earlier years if available) and confirms metric definition – Tab 4 of owner's request</t>
        </is>
      </c>
      <c r="L7" s="8" t="inlineStr">
        <is>
          <t>SaSS request – Tab 4</t>
        </is>
      </c>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by 15 Dec, final Jan–Feb)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by 15 Dec, final Jan–Feb)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by 15 Dec, final Jan–Feb)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by 15 Dec, final Jan–Feb)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by 15 Dec, final Jan–Feb)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by 15 Dec, final Jan–Feb)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by 15 Dec, final Jan–Feb)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SaSS</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SaSS</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SaSS</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SaSS</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SaSS</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c r="A1" s="1" t="inlineStr">
        <is>
          <t>↑</t>
        </is>
      </c>
      <c r="B1" s="2" t="inlineStr">
        <is>
          <t>SR26 sustainability reporting</t>
        </is>
      </c>
    </row>
    <row r="2">
      <c r="B2" s="3" t="inlineStr">
        <is>
          <t>3. Stakeholder map (SR25 → SR26)</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AC&amp;M</t>
        </is>
      </c>
      <c r="C16" s="8" t="inlineStr">
        <is>
          <t>Advancement, Communication and Marketing (AC&amp;M)</t>
        </is>
      </c>
      <c r="D16" s="8" t="inlineStr">
        <is>
          <t>Chancellery – Advancement, Communications &amp; Marketing</t>
        </is>
      </c>
      <c r="E16" s="8" t="inlineStr">
        <is>
          <t>AC&amp;M – Advancement, Communication and Marketing</t>
        </is>
      </c>
      <c r="F16" s="8" t="inlineStr">
        <is>
          <t>TBC</t>
        </is>
      </c>
      <c r="G16" s="8" t="inlineStr"/>
    </row>
    <row r="17">
      <c r="B17" s="8" t="inlineStr">
        <is>
          <t>GCE</t>
        </is>
      </c>
      <c r="C17" s="8" t="inlineStr">
        <is>
          <t>Global, Culture and Engagement (GCE)</t>
        </is>
      </c>
      <c r="D17" s="8" t="inlineStr">
        <is>
          <t>Chancellery – Global, Culture and Engagement</t>
        </is>
      </c>
      <c r="E17" s="8" t="inlineStr">
        <is>
          <t>GCE – Global, Culture and Engagement</t>
        </is>
      </c>
      <c r="F17" s="8" t="inlineStr">
        <is>
          <t>TBC</t>
        </is>
      </c>
      <c r="G17" s="8" t="inlineStr"/>
    </row>
    <row r="18">
      <c r="B18" s="8" t="inlineStr">
        <is>
          <t>Education</t>
        </is>
      </c>
      <c r="C18" s="8" t="inlineStr">
        <is>
          <t>Chancellery Education</t>
        </is>
      </c>
      <c r="D18" s="8" t="inlineStr">
        <is>
          <t>Chancellery – Chancellery Education</t>
        </is>
      </c>
      <c r="E18" s="8" t="inlineStr">
        <is>
          <t>Education – Chancellery Education</t>
        </is>
      </c>
      <c r="F18" s="8" t="inlineStr">
        <is>
          <t>TBC</t>
        </is>
      </c>
      <c r="G18" s="8" t="inlineStr"/>
    </row>
    <row r="19">
      <c r="B19" s="8" t="inlineStr">
        <is>
          <t>SaSS</t>
        </is>
      </c>
      <c r="C19" s="8" t="inlineStr">
        <is>
          <t>Student and Scholarly Services (SaSS)</t>
        </is>
      </c>
      <c r="D19" s="8" t="inlineStr">
        <is>
          <t>Chancellery – Student and scholarly services</t>
        </is>
      </c>
      <c r="E19" s="8" t="inlineStr">
        <is>
          <t>SaSS – Student and Scholarly Services</t>
        </is>
      </c>
      <c r="F19" s="8" t="inlineStr">
        <is>
          <t>TBC</t>
        </is>
      </c>
      <c r="G19" s="8" t="inlineStr"/>
    </row>
    <row r="20">
      <c r="B20" s="8" t="inlineStr">
        <is>
          <t>Indigenous</t>
        </is>
      </c>
      <c r="C20" s="8" t="inlineStr">
        <is>
          <t>Chancellery Indigenous</t>
        </is>
      </c>
      <c r="D20" s="8" t="inlineStr">
        <is>
          <t>Chancellery – Chancellery Indigenous</t>
        </is>
      </c>
      <c r="E20" s="8" t="inlineStr">
        <is>
          <t>Indigenous – Chancellery Indigenous</t>
        </is>
      </c>
      <c r="F20" s="8" t="inlineStr">
        <is>
          <t>TBC</t>
        </is>
      </c>
      <c r="G20" s="8" t="inlineStr"/>
    </row>
    <row r="21">
      <c r="B21" s="8" t="inlineStr">
        <is>
          <t>L&amp;R</t>
        </is>
      </c>
      <c r="C21" s="8" t="inlineStr">
        <is>
          <t>Legal and Risk</t>
        </is>
      </c>
      <c r="D21" s="8" t="inlineStr">
        <is>
          <t>Legal and Risk</t>
        </is>
      </c>
      <c r="E21" s="8" t="inlineStr">
        <is>
          <t>Legal &amp; Risk – Risk &amp; resilience</t>
        </is>
      </c>
      <c r="F21" s="8" t="inlineStr">
        <is>
          <t>TBC</t>
        </is>
      </c>
      <c r="G21" s="8" t="inlineStr"/>
    </row>
    <row r="22">
      <c r="B22" s="8" t="inlineStr">
        <is>
          <t>TBC</t>
        </is>
      </c>
      <c r="C22" s="8" t="inlineStr">
        <is>
          <t>CGOP / CDEP / CDSS</t>
        </is>
      </c>
      <c r="D22" s="8" t="inlineStr">
        <is>
          <t>Not in SR25 master</t>
        </is>
      </c>
      <c r="E22" s="8" t="inlineStr">
        <is>
          <t>—</t>
        </is>
      </c>
      <c r="F22" s="8" t="inlineStr">
        <is>
          <t>TBC</t>
        </is>
      </c>
      <c r="G22" s="8" t="inlineStr">
        <is>
          <t>Structure changes TBC – confirm before requests are issued.</t>
        </is>
      </c>
    </row>
    <row r="25">
      <c r="B25" s="20"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c r="B1" s="21" t="inlineStr">
        <is>
          <t>Sustainability 2030 – SR26 reporting roles (RASCI)</t>
        </is>
      </c>
    </row>
    <row r="2" ht="48" customHeight="1">
      <c r="B2" s="9"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ht="45" customHeight="1">
      <c r="H3" t="inlineStr">
        <is>
          <t>SST contact (SR25 – confirm) &gt;&gt;</t>
        </is>
      </c>
      <c r="I3" s="22" t="inlineStr">
        <is>
          <t>ABP Gerard; Arts Rose; FBE Katie; SCI Katie</t>
        </is>
      </c>
      <c r="J3" s="22" t="inlineStr">
        <is>
          <t>Director</t>
        </is>
      </c>
      <c r="K3" s="22" t="inlineStr">
        <is>
          <t>Gerard and Davina</t>
        </is>
      </c>
      <c r="L3" s="22" t="inlineStr">
        <is>
          <t>Director</t>
        </is>
      </c>
      <c r="M3" s="22" t="inlineStr">
        <is>
          <t>Chris</t>
        </is>
      </c>
      <c r="N3" s="22" t="inlineStr">
        <is>
          <t>Chris</t>
        </is>
      </c>
      <c r="O3" s="22" t="inlineStr">
        <is>
          <t>All</t>
        </is>
      </c>
      <c r="P3" s="22" t="inlineStr">
        <is>
          <t>TBC</t>
        </is>
      </c>
      <c r="Q3" s="22" t="inlineStr">
        <is>
          <t>Gerard</t>
        </is>
      </c>
      <c r="R3" s="22" t="inlineStr">
        <is>
          <t>Director</t>
        </is>
      </c>
      <c r="S3" s="22" t="inlineStr">
        <is>
          <t>Director</t>
        </is>
      </c>
      <c r="T3" s="22" t="inlineStr">
        <is>
          <t>Rose</t>
        </is>
      </c>
      <c r="U3" s="22" t="inlineStr">
        <is>
          <t>Gerard</t>
        </is>
      </c>
      <c r="V3" s="22" t="inlineStr">
        <is>
          <t>Katie</t>
        </is>
      </c>
      <c r="W3" s="22" t="inlineStr">
        <is>
          <t>Rose</t>
        </is>
      </c>
      <c r="X3" s="22" t="inlineStr">
        <is>
          <t>Gerard</t>
        </is>
      </c>
      <c r="Y3" s="22" t="inlineStr">
        <is>
          <t>All</t>
        </is>
      </c>
    </row>
    <row r="4">
      <c r="H4" t="inlineStr">
        <is>
          <t>Portfolio / Faculty &gt;&gt;</t>
        </is>
      </c>
      <c r="I4" s="22" t="inlineStr">
        <is>
          <t>Faculty (consolidated)</t>
        </is>
      </c>
      <c r="J4" s="22" t="inlineStr">
        <is>
          <t>COO portfolio (consolidated)</t>
        </is>
      </c>
      <c r="K4" s="22" t="inlineStr">
        <is>
          <t>COO portfolio</t>
        </is>
      </c>
      <c r="L4" s="22" t="inlineStr">
        <is>
          <t>COO portfolio</t>
        </is>
      </c>
      <c r="M4" s="22" t="inlineStr">
        <is>
          <t>COO portfolio</t>
        </is>
      </c>
      <c r="N4" s="22" t="inlineStr">
        <is>
          <t>COO portfolio</t>
        </is>
      </c>
      <c r="O4" s="22" t="inlineStr">
        <is>
          <t>COO portfolio</t>
        </is>
      </c>
      <c r="P4" s="22" t="inlineStr">
        <is>
          <t>COO portfolio</t>
        </is>
      </c>
      <c r="Q4" s="22" t="inlineStr">
        <is>
          <t>COO portfolio</t>
        </is>
      </c>
      <c r="R4" s="22" t="inlineStr">
        <is>
          <t>Chancellery (consolidated)</t>
        </is>
      </c>
      <c r="S4" s="22" t="inlineStr">
        <is>
          <t>Chancellery</t>
        </is>
      </c>
      <c r="T4" s="22" t="inlineStr">
        <is>
          <t>Chancellery</t>
        </is>
      </c>
      <c r="U4" s="22" t="inlineStr">
        <is>
          <t>Chancellery</t>
        </is>
      </c>
      <c r="V4" s="22" t="inlineStr">
        <is>
          <t>Chancellery</t>
        </is>
      </c>
      <c r="W4" s="22" t="inlineStr">
        <is>
          <t>Chancellery</t>
        </is>
      </c>
      <c r="X4" s="22" t="inlineStr">
        <is>
          <t>Chancellery</t>
        </is>
      </c>
      <c r="Y4" s="22" t="inlineStr">
        <is>
          <t>Sustainability Strategy</t>
        </is>
      </c>
    </row>
    <row r="5">
      <c r="I5" s="23" t="inlineStr">
        <is>
          <t>Areas Accountable and/or Responsible for SR26 reporting (green = consolidated portfolio, white = individual area)</t>
        </is>
      </c>
    </row>
    <row r="6" ht="60" customHeight="1">
      <c r="A6" s="6" t="inlineStr">
        <is>
          <t>Number</t>
        </is>
      </c>
      <c r="B6" s="6" t="inlineStr">
        <is>
          <t>Category</t>
        </is>
      </c>
      <c r="C6" s="6" t="inlineStr">
        <is>
          <t>Domain</t>
        </is>
      </c>
      <c r="D6" s="6" t="inlineStr">
        <is>
          <t>Priority area</t>
        </is>
      </c>
      <c r="E6" s="6" t="inlineStr">
        <is>
          <t>Target / indicator</t>
        </is>
      </c>
      <c r="F6" s="6" t="inlineStr">
        <is>
          <t>Type</t>
        </is>
      </c>
      <c r="G6" s="6" t="inlineStr">
        <is>
          <t>Related SR25 ref</t>
        </is>
      </c>
      <c r="H6" s="6" t="inlineStr">
        <is>
          <t>Activity area &gt;&gt;</t>
        </is>
      </c>
      <c r="I6" s="24" t="inlineStr">
        <is>
          <t>Faculties (ABP, ARTS, FBE, SCI)</t>
        </is>
      </c>
      <c r="J6" s="24" t="inlineStr">
        <is>
          <t>COO portfolio (all)</t>
        </is>
      </c>
      <c r="K6" s="25" t="inlineStr">
        <is>
          <t>CI&amp;S – Estate Planning &amp; Development</t>
        </is>
      </c>
      <c r="L6" s="25" t="inlineStr">
        <is>
          <t>CI&amp;S – Sustainability Strategy</t>
        </is>
      </c>
      <c r="M6" s="25" t="inlineStr">
        <is>
          <t>CFOG – Procurement</t>
        </is>
      </c>
      <c r="N6" s="25" t="inlineStr">
        <is>
          <t>CFOG – Treasury &amp; Investments</t>
        </is>
      </c>
      <c r="O6" s="25" t="inlineStr">
        <is>
          <t>ESG – Campus Operations &amp; Sustainability Delivery</t>
        </is>
      </c>
      <c r="P6" s="25" t="inlineStr">
        <is>
          <t>CIOG – Responsible AI &amp; digital</t>
        </is>
      </c>
      <c r="Q6" s="25" t="inlineStr">
        <is>
          <t>Legal &amp; Risk – Risk &amp; resilience</t>
        </is>
      </c>
      <c r="R6" s="24" t="inlineStr">
        <is>
          <t>Chancellery (all)</t>
        </is>
      </c>
      <c r="S6" s="25" t="inlineStr">
        <is>
          <t>MRE – Research</t>
        </is>
      </c>
      <c r="T6" s="25" t="inlineStr">
        <is>
          <t>AC&amp;M – Advancement, Communication and Marketing</t>
        </is>
      </c>
      <c r="U6" s="25" t="inlineStr">
        <is>
          <t>GCE – Global, Culture and Engagement</t>
        </is>
      </c>
      <c r="V6" s="25" t="inlineStr">
        <is>
          <t>Education – Chancellery Education</t>
        </is>
      </c>
      <c r="W6" s="25" t="inlineStr">
        <is>
          <t>SaSS – Student and Scholarly Services</t>
        </is>
      </c>
      <c r="X6" s="25" t="inlineStr">
        <is>
          <t>Indigenous – Chancellery Indigenous</t>
        </is>
      </c>
      <c r="Y6" s="25" t="inlineStr">
        <is>
          <t>SST (compiles / Databook)</t>
        </is>
      </c>
    </row>
    <row r="7">
      <c r="A7" s="26" t="inlineStr">
        <is>
          <t>D1</t>
        </is>
      </c>
      <c r="B7" s="26" t="inlineStr">
        <is>
          <t>Domain</t>
        </is>
      </c>
      <c r="C7" s="26" t="inlineStr"/>
      <c r="D7" s="26" t="inlineStr"/>
      <c r="E7" s="26" t="inlineStr">
        <is>
          <t>Education and research</t>
        </is>
      </c>
      <c r="F7" s="26" t="n"/>
      <c r="G7" s="26" t="n"/>
      <c r="H7" s="26" t="n"/>
      <c r="I7" s="26" t="n"/>
      <c r="J7" s="26" t="n"/>
      <c r="K7" s="26" t="n"/>
      <c r="L7" s="26" t="n"/>
      <c r="M7" s="26" t="n"/>
      <c r="N7" s="26" t="n"/>
      <c r="O7" s="26" t="n"/>
      <c r="P7" s="26" t="n"/>
      <c r="Q7" s="26" t="n"/>
      <c r="R7" s="26" t="n"/>
      <c r="S7" s="26" t="n"/>
      <c r="T7" s="26" t="n"/>
      <c r="U7" s="26" t="n"/>
      <c r="V7" s="26" t="n"/>
      <c r="W7" s="26" t="n"/>
      <c r="X7" s="26" t="n"/>
      <c r="Y7" s="26" t="n"/>
    </row>
    <row r="8">
      <c r="A8" s="27" t="inlineStr">
        <is>
          <t>EE</t>
        </is>
      </c>
      <c r="B8" s="27" t="inlineStr">
        <is>
          <t>Priority</t>
        </is>
      </c>
      <c r="C8" s="27" t="inlineStr"/>
      <c r="D8" s="27" t="inlineStr"/>
      <c r="E8" s="27" t="inlineStr">
        <is>
          <t>Exceptional education</t>
        </is>
      </c>
      <c r="F8" s="27" t="n"/>
      <c r="G8" s="27" t="n"/>
      <c r="H8" s="27" t="n"/>
      <c r="I8" s="27" t="n"/>
      <c r="J8" s="27" t="n"/>
      <c r="K8" s="27" t="n"/>
      <c r="L8" s="27" t="n"/>
      <c r="M8" s="27" t="n"/>
      <c r="N8" s="27" t="n"/>
      <c r="O8" s="27" t="n"/>
      <c r="P8" s="27" t="n"/>
      <c r="Q8" s="27" t="n"/>
      <c r="R8" s="27" t="n"/>
      <c r="S8" s="27" t="n"/>
      <c r="T8" s="27" t="n"/>
      <c r="U8" s="27" t="n"/>
      <c r="V8" s="27" t="n"/>
      <c r="W8" s="27" t="n"/>
      <c r="X8" s="27" t="n"/>
      <c r="Y8" s="27" t="n"/>
    </row>
    <row r="9" ht="45" customHeight="1">
      <c r="A9" s="28" t="inlineStr">
        <is>
          <t>EE1</t>
        </is>
      </c>
      <c r="B9" s="28" t="inlineStr">
        <is>
          <t>Target</t>
        </is>
      </c>
      <c r="C9" s="28" t="inlineStr">
        <is>
          <t>Education and research</t>
        </is>
      </c>
      <c r="D9" s="28" t="inlineStr">
        <is>
          <t>Exceptional education</t>
        </is>
      </c>
      <c r="E9" s="28" t="inlineStr">
        <is>
          <t>Provide our students with learning experiences that help them build the knowledge, skills and relationships to lead change for sustainable societies.</t>
        </is>
      </c>
    </row>
    <row r="10" ht="42" customHeight="1">
      <c r="A10" s="29" t="inlineStr">
        <is>
          <t>EE1(a)</t>
        </is>
      </c>
      <c r="B10" s="29" t="inlineStr">
        <is>
          <t>Indicator</t>
        </is>
      </c>
      <c r="C10" s="29" t="inlineStr">
        <is>
          <t>Education and research</t>
        </is>
      </c>
      <c r="D10" s="29" t="inlineStr">
        <is>
          <t>Exceptional education</t>
        </is>
      </c>
      <c r="E10" s="29" t="inlineStr">
        <is>
          <t>Evidence of innovative approaches to sustainability teaching and learning</t>
        </is>
      </c>
      <c r="F10" s="29" t="inlineStr">
        <is>
          <t>Qualitative</t>
        </is>
      </c>
      <c r="G10" s="29" t="inlineStr">
        <is>
          <t>4a(ii)</t>
        </is>
      </c>
      <c r="I10" s="30" t="inlineStr">
        <is>
          <t>R</t>
        </is>
      </c>
      <c r="J10" s="30" t="inlineStr">
        <is>
          <t>A and R</t>
        </is>
      </c>
      <c r="K10" s="30" t="n"/>
      <c r="L10" s="30" t="inlineStr">
        <is>
          <t>R</t>
        </is>
      </c>
      <c r="M10" s="30" t="n"/>
      <c r="N10" s="30" t="n"/>
      <c r="O10" s="30" t="n"/>
      <c r="P10" s="30" t="n"/>
      <c r="Q10" s="30" t="n"/>
      <c r="R10" s="30" t="inlineStr">
        <is>
          <t>A and R</t>
        </is>
      </c>
      <c r="S10" s="30" t="n"/>
      <c r="T10" s="30" t="n"/>
      <c r="U10" s="30" t="n"/>
      <c r="V10" s="30" t="inlineStr">
        <is>
          <t>R</t>
        </is>
      </c>
      <c r="W10" s="30" t="n"/>
      <c r="X10" s="30" t="n"/>
      <c r="Y10" s="30" t="inlineStr">
        <is>
          <t>S</t>
        </is>
      </c>
    </row>
    <row r="11" ht="42" customHeight="1">
      <c r="A11" s="29" t="inlineStr">
        <is>
          <t>EE1(b)</t>
        </is>
      </c>
      <c r="B11" s="29" t="inlineStr">
        <is>
          <t>Indicator</t>
        </is>
      </c>
      <c r="C11" s="29" t="inlineStr">
        <is>
          <t>Education and research</t>
        </is>
      </c>
      <c r="D11" s="29" t="inlineStr">
        <is>
          <t>Exceptional education</t>
        </is>
      </c>
      <c r="E11" s="29" t="inlineStr">
        <is>
          <t>Pilots of possible approaches for understanding and developing students’ sustainability self-efficacy</t>
        </is>
      </c>
      <c r="F11" s="29" t="inlineStr">
        <is>
          <t>Qualitative</t>
        </is>
      </c>
      <c r="G11" s="29" t="inlineStr"/>
      <c r="I11" s="30" t="inlineStr">
        <is>
          <t>R</t>
        </is>
      </c>
      <c r="J11" s="30" t="inlineStr">
        <is>
          <t>A and R</t>
        </is>
      </c>
      <c r="K11" s="30" t="n"/>
      <c r="L11" s="30" t="inlineStr">
        <is>
          <t>R</t>
        </is>
      </c>
      <c r="M11" s="30" t="n"/>
      <c r="N11" s="30" t="n"/>
      <c r="O11" s="30" t="n"/>
      <c r="P11" s="30" t="n"/>
      <c r="Q11" s="30" t="n"/>
      <c r="R11" s="30" t="inlineStr">
        <is>
          <t>A and R</t>
        </is>
      </c>
      <c r="S11" s="30" t="n"/>
      <c r="T11" s="30" t="n"/>
      <c r="U11" s="30" t="n"/>
      <c r="V11" s="30" t="inlineStr">
        <is>
          <t>R</t>
        </is>
      </c>
      <c r="W11" s="30" t="n"/>
      <c r="X11" s="30" t="n"/>
      <c r="Y11" s="30" t="inlineStr">
        <is>
          <t>S</t>
        </is>
      </c>
    </row>
    <row r="12" ht="42" customHeight="1">
      <c r="A12" s="29" t="inlineStr">
        <is>
          <t>EE1(c)</t>
        </is>
      </c>
      <c r="B12" s="29" t="inlineStr">
        <is>
          <t>Indicator</t>
        </is>
      </c>
      <c r="C12" s="29" t="inlineStr">
        <is>
          <t>Education and research</t>
        </is>
      </c>
      <c r="D12" s="29" t="inlineStr">
        <is>
          <t>Exceptional education</t>
        </is>
      </c>
      <c r="E12" s="29" t="inlineStr">
        <is>
          <t>Evidence of sustainability focused experiential and co curricular learning (eg Wattle Fellowship; Melbourne Plus)</t>
        </is>
      </c>
      <c r="F12" s="29" t="inlineStr">
        <is>
          <t>Mixed</t>
        </is>
      </c>
      <c r="G12" s="29" t="inlineStr"/>
      <c r="I12" s="30" t="n"/>
      <c r="J12" s="30" t="inlineStr">
        <is>
          <t>A and R</t>
        </is>
      </c>
      <c r="K12" s="30" t="n"/>
      <c r="L12" s="30" t="inlineStr">
        <is>
          <t>R</t>
        </is>
      </c>
      <c r="M12" s="30" t="n"/>
      <c r="N12" s="30" t="n"/>
      <c r="O12" s="30" t="n"/>
      <c r="P12" s="30" t="n"/>
      <c r="Q12" s="30" t="n"/>
      <c r="R12" s="30" t="inlineStr">
        <is>
          <t>A and R</t>
        </is>
      </c>
      <c r="S12" s="30" t="n"/>
      <c r="T12" s="30" t="n"/>
      <c r="U12" s="30" t="n"/>
      <c r="V12" s="30" t="n"/>
      <c r="W12" s="30" t="inlineStr">
        <is>
          <t>R</t>
        </is>
      </c>
      <c r="X12" s="30" t="n"/>
      <c r="Y12" s="30" t="inlineStr">
        <is>
          <t>S</t>
        </is>
      </c>
    </row>
    <row r="13" ht="42" customHeight="1">
      <c r="A13" s="29" t="inlineStr">
        <is>
          <t>EE1(d)</t>
        </is>
      </c>
      <c r="B13" s="29" t="inlineStr">
        <is>
          <t>Indicator</t>
        </is>
      </c>
      <c r="C13" s="29" t="inlineStr">
        <is>
          <t>Education and research</t>
        </is>
      </c>
      <c r="D13" s="29" t="inlineStr">
        <is>
          <t>Exceptional education</t>
        </is>
      </c>
      <c r="E13" s="29" t="inlineStr">
        <is>
          <t>Alumni profiles demonstrating how graduates contribute to sustainability through their careers or communities.</t>
        </is>
      </c>
      <c r="F13" s="29" t="inlineStr">
        <is>
          <t>Mixed</t>
        </is>
      </c>
      <c r="G13" s="29" t="inlineStr">
        <is>
          <t>4b(i)</t>
        </is>
      </c>
      <c r="I13" s="30" t="n"/>
      <c r="J13" s="30" t="n"/>
      <c r="K13" s="30" t="n"/>
      <c r="L13" s="30" t="n"/>
      <c r="M13" s="30" t="n"/>
      <c r="N13" s="30" t="n"/>
      <c r="O13" s="30" t="n"/>
      <c r="P13" s="30" t="n"/>
      <c r="Q13" s="30" t="n"/>
      <c r="R13" s="30" t="inlineStr">
        <is>
          <t>A and R</t>
        </is>
      </c>
      <c r="S13" s="30" t="n"/>
      <c r="T13" s="30" t="n"/>
      <c r="U13" s="30" t="n"/>
      <c r="V13" s="30" t="n"/>
      <c r="W13" s="30" t="inlineStr">
        <is>
          <t>R</t>
        </is>
      </c>
      <c r="X13" s="30" t="n"/>
      <c r="Y13" s="30" t="inlineStr">
        <is>
          <t>S</t>
        </is>
      </c>
    </row>
    <row r="14">
      <c r="A14" s="27" t="inlineStr">
        <is>
          <t>TR</t>
        </is>
      </c>
      <c r="B14" s="27" t="inlineStr">
        <is>
          <t>Priority</t>
        </is>
      </c>
      <c r="C14" s="27" t="inlineStr"/>
      <c r="D14" s="27" t="inlineStr"/>
      <c r="E14" s="27" t="inlineStr">
        <is>
          <t>Transformational research</t>
        </is>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row>
    <row r="15" ht="45" customHeight="1">
      <c r="A15" s="28" t="inlineStr">
        <is>
          <t>TR1</t>
        </is>
      </c>
      <c r="B15" s="28" t="inlineStr">
        <is>
          <t>Target</t>
        </is>
      </c>
      <c r="C15" s="28" t="inlineStr">
        <is>
          <t>Education and research</t>
        </is>
      </c>
      <c r="D15" s="28" t="inlineStr">
        <is>
          <t>Transformational research</t>
        </is>
      </c>
      <c r="E15" s="28" t="inlineStr">
        <is>
          <t>Utilise the expertise of the University’s researchers through mutually beneficial partnerships to help address the University’s operational sustainability challenges.</t>
        </is>
      </c>
    </row>
    <row r="16" ht="42" customHeight="1">
      <c r="A16" s="29" t="inlineStr">
        <is>
          <t>TR1(a)</t>
        </is>
      </c>
      <c r="B16" s="29" t="inlineStr">
        <is>
          <t>Indicator</t>
        </is>
      </c>
      <c r="C16" s="29" t="inlineStr">
        <is>
          <t>Education and research</t>
        </is>
      </c>
      <c r="D16" s="29" t="inlineStr">
        <is>
          <t>Transformational research</t>
        </is>
      </c>
      <c r="E16" s="29" t="inlineStr">
        <is>
          <t>Expert-reviewed evidence of researchers contributing to operational sustainability priorities through partnerships, advisory input, living labs, applied projects or decision-support</t>
        </is>
      </c>
      <c r="F16" s="29" t="inlineStr">
        <is>
          <t>Qualitative</t>
        </is>
      </c>
      <c r="G16" s="29" t="inlineStr">
        <is>
          <t>2a</t>
        </is>
      </c>
      <c r="I16" s="30" t="inlineStr">
        <is>
          <t>R</t>
        </is>
      </c>
      <c r="J16" s="30" t="inlineStr">
        <is>
          <t>A and R</t>
        </is>
      </c>
      <c r="K16" s="30" t="n"/>
      <c r="L16" s="30" t="inlineStr">
        <is>
          <t>R</t>
        </is>
      </c>
      <c r="M16" s="30" t="n"/>
      <c r="N16" s="30" t="n"/>
      <c r="O16" s="30" t="n"/>
      <c r="P16" s="30" t="n"/>
      <c r="Q16" s="30" t="n"/>
      <c r="R16" s="30" t="n"/>
      <c r="S16" s="30" t="n"/>
      <c r="T16" s="30" t="n"/>
      <c r="U16" s="30" t="n"/>
      <c r="V16" s="30" t="n"/>
      <c r="W16" s="30" t="n"/>
      <c r="X16" s="30" t="n"/>
      <c r="Y16" s="30" t="inlineStr">
        <is>
          <t>S</t>
        </is>
      </c>
    </row>
    <row r="17" ht="42" customHeight="1">
      <c r="A17" s="29" t="inlineStr">
        <is>
          <t>TR1(b)</t>
        </is>
      </c>
      <c r="B17" s="29" t="inlineStr">
        <is>
          <t>Indicator</t>
        </is>
      </c>
      <c r="C17" s="29" t="inlineStr">
        <is>
          <t>Education and research</t>
        </is>
      </c>
      <c r="D17" s="29" t="inlineStr">
        <is>
          <t>Transformational research</t>
        </is>
      </c>
      <c r="E17" s="29" t="inlineStr">
        <is>
          <t>Evidence of institutional pathways that enable ongoing collaboration between academic and professional staff</t>
        </is>
      </c>
      <c r="F17" s="29" t="inlineStr">
        <is>
          <t>Qualitative</t>
        </is>
      </c>
      <c r="G17" s="29" t="inlineStr"/>
      <c r="I17" s="30" t="n"/>
      <c r="J17" s="30" t="n"/>
      <c r="K17" s="30" t="n"/>
      <c r="L17" s="30" t="n"/>
      <c r="M17" s="30" t="n"/>
      <c r="N17" s="30" t="n"/>
      <c r="O17" s="30" t="n"/>
      <c r="P17" s="30" t="n"/>
      <c r="Q17" s="30" t="n"/>
      <c r="R17" s="30" t="inlineStr">
        <is>
          <t>A and R</t>
        </is>
      </c>
      <c r="S17" s="30" t="inlineStr">
        <is>
          <t>R</t>
        </is>
      </c>
      <c r="T17" s="30" t="n"/>
      <c r="U17" s="30" t="n"/>
      <c r="V17" s="30" t="n"/>
      <c r="W17" s="30" t="n"/>
      <c r="X17" s="30" t="n"/>
      <c r="Y17" s="30" t="inlineStr">
        <is>
          <t>S</t>
        </is>
      </c>
    </row>
    <row r="18" ht="42" customHeight="1">
      <c r="A18" s="29" t="inlineStr">
        <is>
          <t>TR1(c)</t>
        </is>
      </c>
      <c r="B18" s="29" t="inlineStr">
        <is>
          <t>Indicator</t>
        </is>
      </c>
      <c r="C18" s="29" t="inlineStr">
        <is>
          <t>Education and research</t>
        </is>
      </c>
      <c r="D18" s="29" t="inlineStr">
        <is>
          <t>Transformational research</t>
        </is>
      </c>
      <c r="E18" s="29" t="inlineStr">
        <is>
          <t>Expert assessment of the quality, relevance and continuity of these collaborations</t>
        </is>
      </c>
      <c r="F18" s="29" t="inlineStr">
        <is>
          <t>Qualitative</t>
        </is>
      </c>
      <c r="G18" s="29" t="inlineStr"/>
      <c r="I18" s="30" t="n"/>
      <c r="J18" s="30" t="n"/>
      <c r="K18" s="30" t="n"/>
      <c r="L18" s="30" t="n"/>
      <c r="M18" s="30" t="n"/>
      <c r="N18" s="30" t="n"/>
      <c r="O18" s="30" t="n"/>
      <c r="P18" s="30" t="n"/>
      <c r="Q18" s="30" t="n"/>
      <c r="R18" s="30" t="inlineStr">
        <is>
          <t>A and R</t>
        </is>
      </c>
      <c r="S18" s="30" t="inlineStr">
        <is>
          <t>R</t>
        </is>
      </c>
      <c r="T18" s="30" t="n"/>
      <c r="U18" s="30" t="n"/>
      <c r="V18" s="30" t="n"/>
      <c r="W18" s="30" t="n"/>
      <c r="X18" s="30" t="n"/>
      <c r="Y18" s="30" t="inlineStr">
        <is>
          <t>S</t>
        </is>
      </c>
    </row>
    <row r="19" ht="42" customHeight="1">
      <c r="A19" s="29" t="inlineStr">
        <is>
          <t>TR1(d)</t>
        </is>
      </c>
      <c r="B19" s="29" t="inlineStr">
        <is>
          <t>Indicator</t>
        </is>
      </c>
      <c r="C19" s="29" t="inlineStr">
        <is>
          <t>Education and research</t>
        </is>
      </c>
      <c r="D19" s="29" t="inlineStr">
        <is>
          <t>Transformational research</t>
        </is>
      </c>
      <c r="E19" s="29" t="inlineStr">
        <is>
          <t>Periodic feedback from participants on the effectiveness and mutual benefit of collaboration mechanisms.</t>
        </is>
      </c>
      <c r="F19" s="29" t="inlineStr">
        <is>
          <t>Qualitative</t>
        </is>
      </c>
      <c r="G19" s="29" t="inlineStr"/>
      <c r="I19" s="30" t="n"/>
      <c r="J19" s="30" t="n"/>
      <c r="K19" s="30" t="n"/>
      <c r="L19" s="30" t="n"/>
      <c r="M19" s="30" t="n"/>
      <c r="N19" s="30" t="n"/>
      <c r="O19" s="30" t="n"/>
      <c r="P19" s="30" t="n"/>
      <c r="Q19" s="30" t="n"/>
      <c r="R19" s="30" t="inlineStr">
        <is>
          <t>A and R</t>
        </is>
      </c>
      <c r="S19" s="30" t="inlineStr">
        <is>
          <t>R</t>
        </is>
      </c>
      <c r="T19" s="30" t="n"/>
      <c r="U19" s="30" t="n"/>
      <c r="V19" s="30" t="n"/>
      <c r="W19" s="30" t="n"/>
      <c r="X19" s="30" t="n"/>
      <c r="Y19" s="30" t="inlineStr">
        <is>
          <t>S</t>
        </is>
      </c>
    </row>
    <row r="20" ht="45" customHeight="1">
      <c r="A20" s="28" t="inlineStr">
        <is>
          <t>TR2</t>
        </is>
      </c>
      <c r="B20" s="28" t="inlineStr">
        <is>
          <t>Target</t>
        </is>
      </c>
      <c r="C20" s="28" t="inlineStr">
        <is>
          <t>Education and research</t>
        </is>
      </c>
      <c r="D20" s="28" t="inlineStr">
        <is>
          <t>Transformational research</t>
        </is>
      </c>
      <c r="E20" s="28" t="inlineStr">
        <is>
          <t>Deliver high-quality research and partnerships that contribute to sustainability outcomes and demonstrable societal benefit.</t>
        </is>
      </c>
    </row>
    <row r="21" ht="42" customHeight="1">
      <c r="A21" s="29" t="inlineStr">
        <is>
          <t>TR2(a)</t>
        </is>
      </c>
      <c r="B21" s="29" t="inlineStr">
        <is>
          <t>Indicator</t>
        </is>
      </c>
      <c r="C21" s="29" t="inlineStr">
        <is>
          <t>Education and research</t>
        </is>
      </c>
      <c r="D21" s="29" t="inlineStr">
        <is>
          <t>Transformational research</t>
        </is>
      </c>
      <c r="E21" s="29" t="inlineStr">
        <is>
          <t>Evidence of sustainability-related research impact across diverse pathways, could include policy, industry, community, practice, cultural and institutional outcomes</t>
        </is>
      </c>
      <c r="F21" s="29" t="inlineStr">
        <is>
          <t>Qualitative</t>
        </is>
      </c>
      <c r="G21" s="29" t="inlineStr">
        <is>
          <t>5b(i)</t>
        </is>
      </c>
      <c r="I21" s="30" t="inlineStr">
        <is>
          <t>R</t>
        </is>
      </c>
      <c r="J21" s="30" t="n"/>
      <c r="K21" s="30" t="n"/>
      <c r="L21" s="30" t="n"/>
      <c r="M21" s="30" t="n"/>
      <c r="N21" s="30" t="n"/>
      <c r="O21" s="30" t="n"/>
      <c r="P21" s="30" t="n"/>
      <c r="Q21" s="30" t="n"/>
      <c r="R21" s="30" t="inlineStr">
        <is>
          <t>A and R</t>
        </is>
      </c>
      <c r="S21" s="30" t="n"/>
      <c r="T21" s="30" t="inlineStr">
        <is>
          <t>R</t>
        </is>
      </c>
      <c r="U21" s="30" t="n"/>
      <c r="V21" s="30" t="n"/>
      <c r="W21" s="30" t="n"/>
      <c r="X21" s="30" t="n"/>
      <c r="Y21" s="30" t="inlineStr">
        <is>
          <t>S</t>
        </is>
      </c>
    </row>
    <row r="22" ht="42" customHeight="1">
      <c r="A22" s="29" t="inlineStr">
        <is>
          <t>TR2(b)</t>
        </is>
      </c>
      <c r="B22" s="29" t="inlineStr">
        <is>
          <t>Indicator</t>
        </is>
      </c>
      <c r="C22" s="29" t="inlineStr">
        <is>
          <t>Education and research</t>
        </is>
      </c>
      <c r="D22" s="29" t="inlineStr">
        <is>
          <t>Transformational research</t>
        </is>
      </c>
      <c r="E22" s="29" t="inlineStr">
        <is>
          <t>Documented progress of relevant strategic initiatives, including Impact Accelerators</t>
        </is>
      </c>
      <c r="F22" s="29" t="inlineStr">
        <is>
          <t>Quantitative</t>
        </is>
      </c>
      <c r="G22" s="29" t="inlineStr"/>
      <c r="I22" s="30" t="n"/>
      <c r="J22" s="30" t="n"/>
      <c r="K22" s="30" t="n"/>
      <c r="L22" s="30" t="n"/>
      <c r="M22" s="30" t="n"/>
      <c r="N22" s="30" t="n"/>
      <c r="O22" s="30" t="n"/>
      <c r="P22" s="30" t="n"/>
      <c r="Q22" s="30" t="n"/>
      <c r="R22" s="30" t="inlineStr">
        <is>
          <t>A and R</t>
        </is>
      </c>
      <c r="S22" s="30" t="inlineStr">
        <is>
          <t>R (quant)</t>
        </is>
      </c>
      <c r="T22" s="30" t="n"/>
      <c r="U22" s="30" t="n"/>
      <c r="V22" s="30" t="n"/>
      <c r="W22" s="30" t="n"/>
      <c r="X22" s="30" t="n"/>
      <c r="Y22" s="30" t="inlineStr">
        <is>
          <t>S</t>
        </is>
      </c>
    </row>
    <row r="23" ht="42" customHeight="1">
      <c r="A23" s="29" t="inlineStr">
        <is>
          <t>TR2(c)</t>
        </is>
      </c>
      <c r="B23" s="29" t="inlineStr">
        <is>
          <t>Indicator</t>
        </is>
      </c>
      <c r="C23" s="29" t="inlineStr">
        <is>
          <t>Education and research</t>
        </is>
      </c>
      <c r="D23" s="29" t="inlineStr">
        <is>
          <t>Transformational research</t>
        </is>
      </c>
      <c r="E23" s="29" t="inlineStr">
        <is>
          <t>Expert-reviewed summary of sustainability-related research outputs, outcomes and influence using available institutional evidence sources</t>
        </is>
      </c>
      <c r="F23" s="29" t="inlineStr">
        <is>
          <t>Mixed</t>
        </is>
      </c>
      <c r="G23" s="29" t="inlineStr"/>
      <c r="I23" s="30" t="n"/>
      <c r="J23" s="30" t="n"/>
      <c r="K23" s="30" t="n"/>
      <c r="L23" s="30" t="n"/>
      <c r="M23" s="30" t="n"/>
      <c r="N23" s="30" t="n"/>
      <c r="O23" s="30" t="n"/>
      <c r="P23" s="30" t="n"/>
      <c r="Q23" s="30" t="n"/>
      <c r="R23" s="30" t="inlineStr">
        <is>
          <t>A and R</t>
        </is>
      </c>
      <c r="S23" s="30" t="inlineStr">
        <is>
          <t>R</t>
        </is>
      </c>
      <c r="T23" s="30" t="n"/>
      <c r="U23" s="30" t="n"/>
      <c r="V23" s="30" t="n"/>
      <c r="W23" s="30" t="n"/>
      <c r="X23" s="30" t="n"/>
      <c r="Y23" s="30" t="inlineStr">
        <is>
          <t>S</t>
        </is>
      </c>
    </row>
    <row r="24" ht="42" customHeight="1">
      <c r="A24" s="29" t="inlineStr">
        <is>
          <t>TR2(d)</t>
        </is>
      </c>
      <c r="B24" s="29" t="inlineStr">
        <is>
          <t>Indicator</t>
        </is>
      </c>
      <c r="C24" s="29" t="inlineStr">
        <is>
          <t>Education and research</t>
        </is>
      </c>
      <c r="D24" s="29" t="inlineStr">
        <is>
          <t>Transformational research</t>
        </is>
      </c>
      <c r="E24" s="29" t="inlineStr">
        <is>
          <t>Case-based evidence demonstrating how research has contributed to meaningful sustainability outcomes.</t>
        </is>
      </c>
      <c r="F24" s="29" t="inlineStr">
        <is>
          <t>Qualitative</t>
        </is>
      </c>
      <c r="G24" s="29" t="inlineStr">
        <is>
          <t>5b(i)</t>
        </is>
      </c>
      <c r="I24" s="30" t="inlineStr">
        <is>
          <t>R</t>
        </is>
      </c>
      <c r="J24" s="30" t="inlineStr">
        <is>
          <t>A and R</t>
        </is>
      </c>
      <c r="K24" s="30" t="n"/>
      <c r="L24" s="30" t="inlineStr">
        <is>
          <t>R</t>
        </is>
      </c>
      <c r="M24" s="30" t="n"/>
      <c r="N24" s="30" t="n"/>
      <c r="O24" s="30" t="n"/>
      <c r="P24" s="30" t="n"/>
      <c r="Q24" s="30" t="n"/>
      <c r="R24" s="30" t="n"/>
      <c r="S24" s="30" t="n"/>
      <c r="T24" s="30" t="n"/>
      <c r="U24" s="30" t="n"/>
      <c r="V24" s="30" t="n"/>
      <c r="W24" s="30" t="n"/>
      <c r="X24" s="30" t="n"/>
      <c r="Y24" s="30" t="inlineStr">
        <is>
          <t>S</t>
        </is>
      </c>
    </row>
    <row r="25" ht="45" customHeight="1">
      <c r="A25" s="28" t="inlineStr">
        <is>
          <t>TR3</t>
        </is>
      </c>
      <c r="B25" s="28" t="inlineStr">
        <is>
          <t>Target</t>
        </is>
      </c>
      <c r="C25" s="28" t="inlineStr">
        <is>
          <t>Education and research</t>
        </is>
      </c>
      <c r="D25" s="28" t="inlineStr">
        <is>
          <t>Transformational research</t>
        </is>
      </c>
      <c r="E25" s="28" t="inlineStr">
        <is>
          <t>Embed sustainability within research systems, processes, capability and culture, so research is conducted responsibly, efficiently and with reduced environmental impact.</t>
        </is>
      </c>
    </row>
    <row r="26" ht="42" customHeight="1">
      <c r="A26" s="29" t="inlineStr">
        <is>
          <t>TR3(a)</t>
        </is>
      </c>
      <c r="B26" s="29" t="inlineStr">
        <is>
          <t>Indicator</t>
        </is>
      </c>
      <c r="C26" s="29" t="inlineStr">
        <is>
          <t>Education and research</t>
        </is>
      </c>
      <c r="D26" s="29" t="inlineStr">
        <is>
          <t>Transformational research</t>
        </is>
      </c>
      <c r="E26" s="29" t="inlineStr">
        <is>
          <t>Evidence that sustainability considerations are integrated into relevant research systems, planning processes, guidance, training, induction or support services</t>
        </is>
      </c>
      <c r="F26" s="29" t="inlineStr">
        <is>
          <t>Qualitative</t>
        </is>
      </c>
      <c r="G26" s="29" t="inlineStr">
        <is>
          <t>5c(ii)</t>
        </is>
      </c>
      <c r="I26" s="30" t="n"/>
      <c r="J26" s="30" t="n"/>
      <c r="K26" s="30" t="n"/>
      <c r="L26" s="30" t="n"/>
      <c r="M26" s="30" t="n"/>
      <c r="N26" s="30" t="n"/>
      <c r="O26" s="30" t="n"/>
      <c r="P26" s="30" t="n"/>
      <c r="Q26" s="30" t="n"/>
      <c r="R26" s="30" t="inlineStr">
        <is>
          <t>A and R</t>
        </is>
      </c>
      <c r="S26" s="30" t="inlineStr">
        <is>
          <t>R</t>
        </is>
      </c>
      <c r="T26" s="30" t="n"/>
      <c r="U26" s="30" t="n"/>
      <c r="V26" s="30" t="n"/>
      <c r="W26" s="30" t="n"/>
      <c r="X26" s="30" t="n"/>
      <c r="Y26" s="30" t="inlineStr">
        <is>
          <t>S</t>
        </is>
      </c>
    </row>
    <row r="27" ht="42" customHeight="1">
      <c r="A27" s="29" t="inlineStr">
        <is>
          <t>TR3(b)</t>
        </is>
      </c>
      <c r="B27" s="29" t="inlineStr">
        <is>
          <t>Indicator</t>
        </is>
      </c>
      <c r="C27" s="29" t="inlineStr">
        <is>
          <t>Education and research</t>
        </is>
      </c>
      <c r="D27" s="29" t="inlineStr">
        <is>
          <t>Transformational research</t>
        </is>
      </c>
      <c r="E27" s="29" t="inlineStr">
        <is>
          <t>Demonstrated examples of more sustainable research practices in laboratories, fieldwork, procurement, travel or infrastructure use</t>
        </is>
      </c>
      <c r="F27" s="29" t="inlineStr">
        <is>
          <t>Mixed</t>
        </is>
      </c>
      <c r="G27" s="29" t="inlineStr">
        <is>
          <t>5c(ii)</t>
        </is>
      </c>
      <c r="I27" s="30" t="inlineStr">
        <is>
          <t>R</t>
        </is>
      </c>
      <c r="J27" s="30" t="inlineStr">
        <is>
          <t>A and R</t>
        </is>
      </c>
      <c r="K27" s="30" t="n"/>
      <c r="L27" s="30" t="inlineStr">
        <is>
          <t>R</t>
        </is>
      </c>
      <c r="M27" s="30" t="inlineStr">
        <is>
          <t>R</t>
        </is>
      </c>
      <c r="N27" s="30" t="n"/>
      <c r="O27" s="30" t="n"/>
      <c r="P27" s="30" t="n"/>
      <c r="Q27" s="30" t="n"/>
      <c r="R27" s="30" t="inlineStr">
        <is>
          <t>A and R</t>
        </is>
      </c>
      <c r="S27" s="30" t="inlineStr">
        <is>
          <t>R (quant)</t>
        </is>
      </c>
      <c r="T27" s="30" t="n"/>
      <c r="U27" s="30" t="n"/>
      <c r="V27" s="30" t="n"/>
      <c r="W27" s="30" t="n"/>
      <c r="X27" s="30" t="n"/>
      <c r="Y27" s="30" t="inlineStr">
        <is>
          <t>S</t>
        </is>
      </c>
    </row>
    <row r="28" ht="42" customHeight="1">
      <c r="A28" s="29" t="inlineStr">
        <is>
          <t>TR3(c)</t>
        </is>
      </c>
      <c r="B28" s="29" t="inlineStr">
        <is>
          <t>Indicator</t>
        </is>
      </c>
      <c r="C28" s="29" t="inlineStr">
        <is>
          <t>Education and research</t>
        </is>
      </c>
      <c r="D28" s="29" t="inlineStr">
        <is>
          <t>Transformational research</t>
        </is>
      </c>
      <c r="E28" s="29" t="inlineStr">
        <is>
          <t>Evidence of progress in sustainability-related research culture, capability and awareness, informed by periodic staff and graduate researcher surveys</t>
        </is>
      </c>
      <c r="F28" s="29" t="inlineStr">
        <is>
          <t>Qualitative</t>
        </is>
      </c>
      <c r="G28" s="29" t="inlineStr"/>
      <c r="I28" s="30" t="n"/>
      <c r="J28" s="30" t="n"/>
      <c r="K28" s="30" t="n"/>
      <c r="L28" s="30" t="n"/>
      <c r="M28" s="30" t="n"/>
      <c r="N28" s="30" t="n"/>
      <c r="O28" s="30" t="n"/>
      <c r="P28" s="30" t="n"/>
      <c r="Q28" s="30" t="n"/>
      <c r="R28" s="30" t="inlineStr">
        <is>
          <t>A and R</t>
        </is>
      </c>
      <c r="S28" s="30" t="inlineStr">
        <is>
          <t>R</t>
        </is>
      </c>
      <c r="T28" s="30" t="n"/>
      <c r="U28" s="30" t="n"/>
      <c r="V28" s="30" t="n"/>
      <c r="W28" s="30" t="n"/>
      <c r="X28" s="30" t="n"/>
      <c r="Y28" s="30" t="inlineStr">
        <is>
          <t>S</t>
        </is>
      </c>
    </row>
    <row r="29" ht="42" customHeight="1">
      <c r="A29" s="29" t="inlineStr">
        <is>
          <t>TR3(d)</t>
        </is>
      </c>
      <c r="B29" s="29" t="inlineStr">
        <is>
          <t>Indicator</t>
        </is>
      </c>
      <c r="C29" s="29" t="inlineStr">
        <is>
          <t>Education and research</t>
        </is>
      </c>
      <c r="D29" s="29" t="inlineStr">
        <is>
          <t>Transformational research</t>
        </is>
      </c>
      <c r="E29" s="29" t="inlineStr">
        <is>
          <t>Expert assessment of progress in embedding sustainable research practices across the institution.</t>
        </is>
      </c>
      <c r="F29" s="29" t="inlineStr">
        <is>
          <t>Qualitative</t>
        </is>
      </c>
      <c r="G29" s="29" t="inlineStr"/>
      <c r="I29" s="30" t="n"/>
      <c r="J29" s="30" t="n"/>
      <c r="K29" s="30" t="n"/>
      <c r="L29" s="30" t="n"/>
      <c r="M29" s="30" t="n"/>
      <c r="N29" s="30" t="n"/>
      <c r="O29" s="30" t="n"/>
      <c r="P29" s="30" t="n"/>
      <c r="Q29" s="30" t="n"/>
      <c r="R29" s="30" t="inlineStr">
        <is>
          <t>A and R</t>
        </is>
      </c>
      <c r="S29" s="30" t="inlineStr">
        <is>
          <t>R</t>
        </is>
      </c>
      <c r="T29" s="30" t="n"/>
      <c r="U29" s="30" t="n"/>
      <c r="V29" s="30" t="n"/>
      <c r="W29" s="30" t="n"/>
      <c r="X29" s="30" t="n"/>
      <c r="Y29" s="30" t="inlineStr">
        <is>
          <t>S</t>
        </is>
      </c>
    </row>
    <row r="30">
      <c r="A30" s="26" t="inlineStr">
        <is>
          <t>D2</t>
        </is>
      </c>
      <c r="B30" s="26" t="inlineStr">
        <is>
          <t>Domain</t>
        </is>
      </c>
      <c r="C30" s="26" t="inlineStr"/>
      <c r="D30" s="26" t="inlineStr"/>
      <c r="E30" s="26" t="inlineStr">
        <is>
          <t>Sustainability leadership</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row>
    <row r="31">
      <c r="A31" s="27" t="inlineStr">
        <is>
          <t>CL</t>
        </is>
      </c>
      <c r="B31" s="27" t="inlineStr">
        <is>
          <t>Priority</t>
        </is>
      </c>
      <c r="C31" s="27" t="inlineStr"/>
      <c r="D31" s="27" t="inlineStr"/>
      <c r="E31" s="27" t="inlineStr">
        <is>
          <t>Climate leadership</t>
        </is>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row>
    <row r="32" ht="45" customHeight="1">
      <c r="A32" s="28" t="inlineStr">
        <is>
          <t>CL1</t>
        </is>
      </c>
      <c r="B32" s="28" t="inlineStr">
        <is>
          <t>Target</t>
        </is>
      </c>
      <c r="C32" s="28" t="inlineStr">
        <is>
          <t>Sustainability leadership</t>
        </is>
      </c>
      <c r="D32" s="28" t="inlineStr">
        <is>
          <t>Climate leadership</t>
        </is>
      </c>
      <c r="E32" s="2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42" customHeight="1">
      <c r="A33" s="29" t="inlineStr">
        <is>
          <t>CL1(a)</t>
        </is>
      </c>
      <c r="B33" s="29" t="inlineStr">
        <is>
          <t>Indicator</t>
        </is>
      </c>
      <c r="C33" s="29" t="inlineStr">
        <is>
          <t>Sustainability leadership</t>
        </is>
      </c>
      <c r="D33" s="29" t="inlineStr">
        <is>
          <t>Climate leadership</t>
        </is>
      </c>
      <c r="E33" s="29" t="inlineStr">
        <is>
          <t>Annual Greenhouse Gas Inventory (including emissions scopes 1, 2 and 3) demonstrates carbon emission reductions, including maintaining procurement of 100% renewable electricity for all scope 2 sources[1]</t>
        </is>
      </c>
      <c r="F33" s="29" t="inlineStr">
        <is>
          <t>Quantitative</t>
        </is>
      </c>
      <c r="G33" s="29" t="inlineStr"/>
      <c r="I33" s="30" t="n"/>
      <c r="J33" s="30" t="inlineStr">
        <is>
          <t>A and R</t>
        </is>
      </c>
      <c r="K33" s="30" t="n"/>
      <c r="L33" s="30" t="n"/>
      <c r="M33" s="30" t="n"/>
      <c r="N33" s="30" t="n"/>
      <c r="O33" s="30" t="inlineStr">
        <is>
          <t>R (quant)</t>
        </is>
      </c>
      <c r="P33" s="30" t="n"/>
      <c r="Q33" s="30" t="n"/>
      <c r="R33" s="30" t="n"/>
      <c r="S33" s="30" t="n"/>
      <c r="T33" s="30" t="n"/>
      <c r="U33" s="30" t="n"/>
      <c r="V33" s="30" t="n"/>
      <c r="W33" s="30" t="n"/>
      <c r="X33" s="30" t="n"/>
      <c r="Y33" s="30" t="inlineStr">
        <is>
          <t>S</t>
        </is>
      </c>
    </row>
    <row r="34" ht="42" customHeight="1">
      <c r="A34" s="29" t="inlineStr">
        <is>
          <t>CL1(b)</t>
        </is>
      </c>
      <c r="B34" s="29" t="inlineStr">
        <is>
          <t>Indicator</t>
        </is>
      </c>
      <c r="C34" s="29" t="inlineStr">
        <is>
          <t>Sustainability leadership</t>
        </is>
      </c>
      <c r="D34" s="29" t="inlineStr">
        <is>
          <t>Climate leadership</t>
        </is>
      </c>
      <c r="E34" s="29" t="inlineStr">
        <is>
          <t>Development of Greenhouse Gas  intensity metrics</t>
        </is>
      </c>
      <c r="F34" s="29" t="inlineStr">
        <is>
          <t>Quantitative</t>
        </is>
      </c>
      <c r="G34" s="29" t="inlineStr"/>
      <c r="I34" s="30" t="n"/>
      <c r="J34" s="30" t="inlineStr">
        <is>
          <t>A and R</t>
        </is>
      </c>
      <c r="K34" s="30" t="n"/>
      <c r="L34" s="30" t="n"/>
      <c r="M34" s="30" t="n"/>
      <c r="N34" s="30" t="n"/>
      <c r="O34" s="30" t="inlineStr">
        <is>
          <t>R (quant)</t>
        </is>
      </c>
      <c r="P34" s="30" t="n"/>
      <c r="Q34" s="30" t="n"/>
      <c r="R34" s="30" t="n"/>
      <c r="S34" s="30" t="n"/>
      <c r="T34" s="30" t="n"/>
      <c r="U34" s="30" t="n"/>
      <c r="V34" s="30" t="n"/>
      <c r="W34" s="30" t="n"/>
      <c r="X34" s="30" t="n"/>
      <c r="Y34" s="30" t="inlineStr">
        <is>
          <t>S</t>
        </is>
      </c>
    </row>
    <row r="35" ht="42" customHeight="1">
      <c r="A35" s="29" t="inlineStr">
        <is>
          <t>CL1(c)</t>
        </is>
      </c>
      <c r="B35" s="29" t="inlineStr">
        <is>
          <t>Indicator</t>
        </is>
      </c>
      <c r="C35" s="29" t="inlineStr">
        <is>
          <t>Sustainability leadership</t>
        </is>
      </c>
      <c r="D35" s="29" t="inlineStr">
        <is>
          <t>Climate leadership</t>
        </is>
      </c>
      <c r="E35" s="29" t="inlineStr">
        <is>
          <t>Review of Climate Leadership targets by 2030.[2]</t>
        </is>
      </c>
      <c r="F35" s="29" t="inlineStr">
        <is>
          <t>Mixed</t>
        </is>
      </c>
      <c r="G35" s="29" t="inlineStr"/>
      <c r="I35" s="30" t="n"/>
      <c r="J35" s="30" t="inlineStr">
        <is>
          <t>A and R</t>
        </is>
      </c>
      <c r="K35" s="30" t="n"/>
      <c r="L35" s="30" t="inlineStr">
        <is>
          <t>R</t>
        </is>
      </c>
      <c r="M35" s="30" t="n"/>
      <c r="N35" s="30" t="n"/>
      <c r="O35" s="30" t="n"/>
      <c r="P35" s="30" t="n"/>
      <c r="Q35" s="30" t="n"/>
      <c r="R35" s="30" t="n"/>
      <c r="S35" s="30" t="n"/>
      <c r="T35" s="30" t="n"/>
      <c r="U35" s="30" t="n"/>
      <c r="V35" s="30" t="n"/>
      <c r="W35" s="30" t="n"/>
      <c r="X35" s="30" t="n"/>
      <c r="Y35" s="30" t="inlineStr">
        <is>
          <t>S</t>
        </is>
      </c>
    </row>
    <row r="36" ht="45" customHeight="1">
      <c r="A36" s="28" t="inlineStr">
        <is>
          <t>CL2</t>
        </is>
      </c>
      <c r="B36" s="28" t="inlineStr">
        <is>
          <t>Target</t>
        </is>
      </c>
      <c r="C36" s="28" t="inlineStr">
        <is>
          <t>Sustainability leadership</t>
        </is>
      </c>
      <c r="D36" s="28" t="inlineStr">
        <is>
          <t>Climate leadership</t>
        </is>
      </c>
      <c r="E36" s="28" t="inlineStr">
        <is>
          <t>Develop understanding of our research and education programs that contribute to accelerating global decarbonisation and our own climate transition.</t>
        </is>
      </c>
    </row>
    <row r="37" ht="42" customHeight="1">
      <c r="A37" s="29" t="inlineStr">
        <is>
          <t>CL2(a)</t>
        </is>
      </c>
      <c r="B37" s="29" t="inlineStr">
        <is>
          <t>Indicator</t>
        </is>
      </c>
      <c r="C37" s="29" t="inlineStr">
        <is>
          <t>Sustainability leadership</t>
        </is>
      </c>
      <c r="D37" s="29" t="inlineStr">
        <is>
          <t>Climate leadership</t>
        </is>
      </c>
      <c r="E37" s="29" t="inlineStr">
        <is>
          <t>By 2028, develop and document institutional mapping of research and education activities that are designed to contribute to global decarbonisation</t>
        </is>
      </c>
      <c r="F37" s="29" t="inlineStr">
        <is>
          <t>Mixed</t>
        </is>
      </c>
      <c r="G37" s="29" t="inlineStr"/>
      <c r="I37" s="30" t="n"/>
      <c r="J37" s="30" t="n"/>
      <c r="K37" s="30" t="n"/>
      <c r="L37" s="30" t="n"/>
      <c r="M37" s="30" t="n"/>
      <c r="N37" s="30" t="n"/>
      <c r="O37" s="30" t="n"/>
      <c r="P37" s="30" t="n"/>
      <c r="Q37" s="30" t="n"/>
      <c r="R37" s="30" t="inlineStr">
        <is>
          <t>A and R</t>
        </is>
      </c>
      <c r="S37" s="30" t="n"/>
      <c r="T37" s="30" t="inlineStr">
        <is>
          <t>R</t>
        </is>
      </c>
      <c r="U37" s="30" t="n"/>
      <c r="V37" s="30" t="n"/>
      <c r="W37" s="30" t="n"/>
      <c r="X37" s="30" t="n"/>
      <c r="Y37" s="30" t="inlineStr">
        <is>
          <t>R (compile)</t>
        </is>
      </c>
    </row>
    <row r="38" ht="42" customHeight="1">
      <c r="A38" s="29" t="inlineStr">
        <is>
          <t>CL2(b)</t>
        </is>
      </c>
      <c r="B38" s="29" t="inlineStr">
        <is>
          <t>Indicator</t>
        </is>
      </c>
      <c r="C38" s="29" t="inlineStr">
        <is>
          <t>Sustainability leadership</t>
        </is>
      </c>
      <c r="D38" s="29" t="inlineStr">
        <is>
          <t>Climate leadership</t>
        </is>
      </c>
      <c r="E38" s="29" t="inlineStr">
        <is>
          <t>Prioritised pipeline of decarbonisation focused research and education opportunities aligned with University emissions reduction priorities from 2028</t>
        </is>
      </c>
      <c r="F38" s="29" t="inlineStr">
        <is>
          <t>Quantitative</t>
        </is>
      </c>
      <c r="G38" s="29" t="inlineStr"/>
      <c r="I38" s="30" t="n"/>
      <c r="J38" s="30" t="n"/>
      <c r="K38" s="30" t="n"/>
      <c r="L38" s="30" t="n"/>
      <c r="M38" s="30" t="n"/>
      <c r="N38" s="30" t="n"/>
      <c r="O38" s="30" t="n"/>
      <c r="P38" s="30" t="n"/>
      <c r="Q38" s="30" t="n"/>
      <c r="R38" s="30" t="n"/>
      <c r="S38" s="30" t="n"/>
      <c r="T38" s="30" t="n"/>
      <c r="U38" s="30" t="n"/>
      <c r="V38" s="30" t="n"/>
      <c r="W38" s="30" t="n"/>
      <c r="X38" s="30" t="n"/>
      <c r="Y38" s="30" t="inlineStr">
        <is>
          <t>R (compile)</t>
        </is>
      </c>
    </row>
    <row r="39" ht="42" customHeight="1">
      <c r="A39" s="29" t="inlineStr">
        <is>
          <t>CL2(c)</t>
        </is>
      </c>
      <c r="B39" s="29" t="inlineStr">
        <is>
          <t>Indicator</t>
        </is>
      </c>
      <c r="C39" s="29" t="inlineStr">
        <is>
          <t>Sustainability leadership</t>
        </is>
      </c>
      <c r="D39" s="29" t="inlineStr">
        <is>
          <t>Climate leadership</t>
        </is>
      </c>
      <c r="E39" s="29" t="inlineStr">
        <is>
          <t>Ongoing communications that evidence the University’s climate action, research and learning to inform policy, sector and community decarbonisation efforts.</t>
        </is>
      </c>
      <c r="F39" s="29" t="inlineStr">
        <is>
          <t>Mixed</t>
        </is>
      </c>
      <c r="G39" s="29" t="inlineStr"/>
      <c r="I39" s="30" t="n"/>
      <c r="J39" s="30" t="n"/>
      <c r="K39" s="30" t="n"/>
      <c r="L39" s="30" t="n"/>
      <c r="M39" s="30" t="n"/>
      <c r="N39" s="30" t="n"/>
      <c r="O39" s="30" t="n"/>
      <c r="P39" s="30" t="n"/>
      <c r="Q39" s="30" t="n"/>
      <c r="R39" s="30" t="inlineStr">
        <is>
          <t>A and R</t>
        </is>
      </c>
      <c r="S39" s="30" t="n"/>
      <c r="T39" s="30" t="inlineStr">
        <is>
          <t>R</t>
        </is>
      </c>
      <c r="U39" s="30" t="n"/>
      <c r="V39" s="30" t="n"/>
      <c r="W39" s="30" t="n"/>
      <c r="X39" s="30" t="n"/>
      <c r="Y39" s="30" t="inlineStr">
        <is>
          <t>R (compile)</t>
        </is>
      </c>
    </row>
    <row r="40" ht="45" customHeight="1">
      <c r="A40" s="28" t="inlineStr">
        <is>
          <t>CL3</t>
        </is>
      </c>
      <c r="B40" s="28" t="inlineStr">
        <is>
          <t>Target</t>
        </is>
      </c>
      <c r="C40" s="28" t="inlineStr">
        <is>
          <t>Sustainability leadership</t>
        </is>
      </c>
      <c r="D40" s="28" t="inlineStr">
        <is>
          <t>Climate leadership</t>
        </is>
      </c>
      <c r="E40" s="28" t="inlineStr">
        <is>
          <t>Reach and maintain high levels of climate-change resilience maturity</t>
        </is>
      </c>
    </row>
    <row r="41" ht="42" customHeight="1">
      <c r="A41" s="29" t="inlineStr">
        <is>
          <t>CL3(a)</t>
        </is>
      </c>
      <c r="B41" s="29" t="inlineStr">
        <is>
          <t>Indicator</t>
        </is>
      </c>
      <c r="C41" s="29" t="inlineStr">
        <is>
          <t>Sustainability leadership</t>
        </is>
      </c>
      <c r="D41" s="29" t="inlineStr">
        <is>
          <t>Climate leadership</t>
        </is>
      </c>
      <c r="E41" s="29"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9" t="inlineStr">
        <is>
          <t>Mixed</t>
        </is>
      </c>
      <c r="G41" s="29" t="inlineStr"/>
      <c r="I41" s="30" t="n"/>
      <c r="J41" s="30" t="inlineStr">
        <is>
          <t>A and R</t>
        </is>
      </c>
      <c r="K41" s="30" t="inlineStr">
        <is>
          <t>R</t>
        </is>
      </c>
      <c r="L41" s="30" t="n"/>
      <c r="M41" s="30" t="n"/>
      <c r="N41" s="30" t="n"/>
      <c r="O41" s="30" t="n"/>
      <c r="P41" s="30" t="n"/>
      <c r="Q41" s="30" t="inlineStr">
        <is>
          <t>R</t>
        </is>
      </c>
      <c r="R41" s="30" t="n"/>
      <c r="S41" s="30" t="n"/>
      <c r="T41" s="30" t="n"/>
      <c r="U41" s="30" t="n"/>
      <c r="V41" s="30" t="n"/>
      <c r="W41" s="30" t="n"/>
      <c r="X41" s="30" t="n"/>
      <c r="Y41" s="30" t="inlineStr">
        <is>
          <t>S</t>
        </is>
      </c>
    </row>
    <row r="42">
      <c r="A42" s="27" t="inlineStr">
        <is>
          <t>NB</t>
        </is>
      </c>
      <c r="B42" s="27" t="inlineStr">
        <is>
          <t>Priority</t>
        </is>
      </c>
      <c r="C42" s="27" t="inlineStr"/>
      <c r="D42" s="27" t="inlineStr"/>
      <c r="E42" s="27" t="inlineStr">
        <is>
          <t>Nature and biodiversity</t>
        </is>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row>
    <row r="43" ht="45" customHeight="1">
      <c r="A43" s="28" t="inlineStr">
        <is>
          <t>NB1</t>
        </is>
      </c>
      <c r="B43" s="28" t="inlineStr">
        <is>
          <t>Target</t>
        </is>
      </c>
      <c r="C43" s="28" t="inlineStr">
        <is>
          <t>Sustainability leadership</t>
        </is>
      </c>
      <c r="D43" s="28" t="inlineStr">
        <is>
          <t>Nature and biodiversity</t>
        </is>
      </c>
      <c r="E43" s="28" t="inlineStr">
        <is>
          <t>Achieve an increase of biodiversity relative to defined baseline years for each campus.</t>
        </is>
      </c>
    </row>
    <row r="44" ht="42" customHeight="1">
      <c r="A44" s="29" t="inlineStr">
        <is>
          <t>NB1(a)</t>
        </is>
      </c>
      <c r="B44" s="29" t="inlineStr">
        <is>
          <t>Indicator</t>
        </is>
      </c>
      <c r="C44" s="29" t="inlineStr">
        <is>
          <t>Sustainability leadership</t>
        </is>
      </c>
      <c r="D44" s="29" t="inlineStr">
        <is>
          <t>Nature and biodiversity</t>
        </is>
      </c>
      <c r="E44" s="29" t="inlineStr">
        <is>
          <t>Monitoring of biodiversity metrics from the Biodiversity Baseline Data Project</t>
        </is>
      </c>
      <c r="F44" s="29" t="inlineStr">
        <is>
          <t>Quantitative</t>
        </is>
      </c>
      <c r="G44" s="29" t="inlineStr"/>
      <c r="I44" s="30" t="n"/>
      <c r="J44" s="30" t="inlineStr">
        <is>
          <t>A and R</t>
        </is>
      </c>
      <c r="K44" s="30" t="n"/>
      <c r="L44" s="30" t="n"/>
      <c r="M44" s="30" t="n"/>
      <c r="N44" s="30" t="n"/>
      <c r="O44" s="30" t="inlineStr">
        <is>
          <t>R (quant)</t>
        </is>
      </c>
      <c r="P44" s="30" t="n"/>
      <c r="Q44" s="30" t="n"/>
      <c r="R44" s="30" t="n"/>
      <c r="S44" s="30" t="n"/>
      <c r="T44" s="30" t="n"/>
      <c r="U44" s="30" t="n"/>
      <c r="V44" s="30" t="n"/>
      <c r="W44" s="30" t="n"/>
      <c r="X44" s="30" t="n"/>
      <c r="Y44" s="30" t="inlineStr">
        <is>
          <t>S</t>
        </is>
      </c>
    </row>
    <row r="45" ht="42" customHeight="1">
      <c r="A45" s="29" t="inlineStr">
        <is>
          <t>NB1(b)</t>
        </is>
      </c>
      <c r="B45" s="29" t="inlineStr">
        <is>
          <t>Indicator</t>
        </is>
      </c>
      <c r="C45" s="29" t="inlineStr">
        <is>
          <t>Sustainability leadership</t>
        </is>
      </c>
      <c r="D45" s="29" t="inlineStr">
        <is>
          <t>Nature and biodiversity</t>
        </is>
      </c>
      <c r="E45" s="29" t="inlineStr">
        <is>
          <t>Size, health and diversity of remnant vegetation at the Dookie and Creswick campuses</t>
        </is>
      </c>
      <c r="F45" s="29" t="inlineStr">
        <is>
          <t>Mixed</t>
        </is>
      </c>
      <c r="G45" s="29" t="inlineStr"/>
      <c r="I45" s="30" t="n"/>
      <c r="J45" s="30" t="inlineStr">
        <is>
          <t>A and R</t>
        </is>
      </c>
      <c r="K45" s="30" t="n"/>
      <c r="L45" s="30" t="n"/>
      <c r="M45" s="30" t="n"/>
      <c r="N45" s="30" t="n"/>
      <c r="O45" s="30" t="inlineStr">
        <is>
          <t>R</t>
        </is>
      </c>
      <c r="P45" s="30" t="n"/>
      <c r="Q45" s="30" t="n"/>
      <c r="R45" s="30" t="n"/>
      <c r="S45" s="30" t="n"/>
      <c r="T45" s="30" t="n"/>
      <c r="U45" s="30" t="n"/>
      <c r="V45" s="30" t="n"/>
      <c r="W45" s="30" t="n"/>
      <c r="X45" s="30" t="n"/>
      <c r="Y45" s="30" t="inlineStr">
        <is>
          <t>S</t>
        </is>
      </c>
    </row>
    <row r="46" ht="42" customHeight="1">
      <c r="A46" s="29" t="inlineStr">
        <is>
          <t>NB1(c)</t>
        </is>
      </c>
      <c r="B46" s="29" t="inlineStr">
        <is>
          <t>Indicator</t>
        </is>
      </c>
      <c r="C46" s="29" t="inlineStr">
        <is>
          <t>Sustainability leadership</t>
        </is>
      </c>
      <c r="D46" s="29" t="inlineStr">
        <is>
          <t>Nature and biodiversity</t>
        </is>
      </c>
      <c r="E46" s="29" t="inlineStr">
        <is>
          <t>Defined quality measurement framework</t>
        </is>
      </c>
      <c r="F46" s="29" t="inlineStr">
        <is>
          <t>Mixed</t>
        </is>
      </c>
      <c r="G46" s="29" t="inlineStr"/>
      <c r="I46" s="30" t="n"/>
      <c r="J46" s="30" t="inlineStr">
        <is>
          <t>A and R</t>
        </is>
      </c>
      <c r="K46" s="30" t="n"/>
      <c r="L46" s="30" t="n"/>
      <c r="M46" s="30" t="n"/>
      <c r="N46" s="30" t="n"/>
      <c r="O46" s="30" t="inlineStr">
        <is>
          <t>R</t>
        </is>
      </c>
      <c r="P46" s="30" t="n"/>
      <c r="Q46" s="30" t="n"/>
      <c r="R46" s="30" t="n"/>
      <c r="S46" s="30" t="n"/>
      <c r="T46" s="30" t="n"/>
      <c r="U46" s="30" t="n"/>
      <c r="V46" s="30" t="n"/>
      <c r="W46" s="30" t="n"/>
      <c r="X46" s="30" t="n"/>
      <c r="Y46" s="30" t="inlineStr">
        <is>
          <t>S</t>
        </is>
      </c>
    </row>
    <row r="47" ht="42" customHeight="1">
      <c r="A47" s="29" t="inlineStr">
        <is>
          <t>NB1(d)</t>
        </is>
      </c>
      <c r="B47" s="29" t="inlineStr">
        <is>
          <t>Indicator</t>
        </is>
      </c>
      <c r="C47" s="29" t="inlineStr">
        <is>
          <t>Sustainability leadership</t>
        </is>
      </c>
      <c r="D47" s="29" t="inlineStr">
        <is>
          <t>Nature and biodiversity</t>
        </is>
      </c>
      <c r="E47" s="29" t="inlineStr">
        <is>
          <t>Defined and quantified campus connectivity</t>
        </is>
      </c>
      <c r="F47" s="29" t="inlineStr">
        <is>
          <t>Mixed</t>
        </is>
      </c>
      <c r="G47" s="29" t="inlineStr"/>
      <c r="I47" s="30" t="n"/>
      <c r="J47" s="30" t="inlineStr">
        <is>
          <t>A and R</t>
        </is>
      </c>
      <c r="K47" s="30" t="n"/>
      <c r="L47" s="30" t="n"/>
      <c r="M47" s="30" t="n"/>
      <c r="N47" s="30" t="n"/>
      <c r="O47" s="30" t="inlineStr">
        <is>
          <t>R</t>
        </is>
      </c>
      <c r="P47" s="30" t="n"/>
      <c r="Q47" s="30" t="n"/>
      <c r="R47" s="30" t="n"/>
      <c r="S47" s="30" t="n"/>
      <c r="T47" s="30" t="n"/>
      <c r="U47" s="30" t="n"/>
      <c r="V47" s="30" t="n"/>
      <c r="W47" s="30" t="n"/>
      <c r="X47" s="30" t="n"/>
      <c r="Y47" s="30" t="inlineStr">
        <is>
          <t>S</t>
        </is>
      </c>
    </row>
    <row r="48" ht="45" customHeight="1">
      <c r="A48" s="28" t="inlineStr">
        <is>
          <t>NB2</t>
        </is>
      </c>
      <c r="B48" s="28" t="inlineStr">
        <is>
          <t>Target</t>
        </is>
      </c>
      <c r="C48" s="28" t="inlineStr">
        <is>
          <t>Sustainability leadership</t>
        </is>
      </c>
      <c r="D48" s="28" t="inlineStr">
        <is>
          <t>Nature and biodiversity</t>
        </is>
      </c>
      <c r="E48" s="28" t="inlineStr">
        <is>
          <t>Improve our understanding of our supply chain impacts on nature.</t>
        </is>
      </c>
    </row>
    <row r="49" ht="42" customHeight="1">
      <c r="A49" s="29" t="inlineStr">
        <is>
          <t>NB2(a)</t>
        </is>
      </c>
      <c r="B49" s="29" t="inlineStr">
        <is>
          <t>Indicator</t>
        </is>
      </c>
      <c r="C49" s="29" t="inlineStr">
        <is>
          <t>Sustainability leadership</t>
        </is>
      </c>
      <c r="D49" s="29" t="inlineStr">
        <is>
          <t>Nature and biodiversity</t>
        </is>
      </c>
      <c r="E49" s="29" t="inlineStr">
        <is>
          <t>Documented baseline nature footprint analysis</t>
        </is>
      </c>
      <c r="F49" s="29" t="inlineStr">
        <is>
          <t>Mixed</t>
        </is>
      </c>
      <c r="G49" s="29" t="inlineStr"/>
      <c r="I49" s="30" t="n"/>
      <c r="J49" s="30" t="n"/>
      <c r="K49" s="30" t="n"/>
      <c r="L49" s="30" t="n"/>
      <c r="M49" s="30" t="n"/>
      <c r="N49" s="30" t="n"/>
      <c r="O49" s="30" t="n"/>
      <c r="P49" s="30" t="n"/>
      <c r="Q49" s="30" t="n"/>
      <c r="R49" s="30" t="inlineStr">
        <is>
          <t>A and R</t>
        </is>
      </c>
      <c r="S49" s="30" t="inlineStr">
        <is>
          <t>R</t>
        </is>
      </c>
      <c r="T49" s="30" t="n"/>
      <c r="U49" s="30" t="n"/>
      <c r="V49" s="30" t="n"/>
      <c r="W49" s="30" t="n"/>
      <c r="X49" s="30" t="n"/>
      <c r="Y49" s="30" t="inlineStr">
        <is>
          <t>S</t>
        </is>
      </c>
    </row>
    <row r="50" ht="42" customHeight="1">
      <c r="A50" s="29" t="inlineStr">
        <is>
          <t>NB2(b)</t>
        </is>
      </c>
      <c r="B50" s="29" t="inlineStr">
        <is>
          <t>Indicator</t>
        </is>
      </c>
      <c r="C50" s="29" t="inlineStr">
        <is>
          <t>Sustainability leadership</t>
        </is>
      </c>
      <c r="D50" s="29" t="inlineStr">
        <is>
          <t>Nature and biodiversity</t>
        </is>
      </c>
      <c r="E50" s="29" t="inlineStr">
        <is>
          <t>Evidence of established framework to monitor and track supply-chain nature impacts over time</t>
        </is>
      </c>
      <c r="F50" s="29" t="inlineStr">
        <is>
          <t>Qualitative</t>
        </is>
      </c>
      <c r="G50" s="29" t="inlineStr"/>
      <c r="I50" s="30" t="n"/>
      <c r="J50" s="30" t="inlineStr">
        <is>
          <t>A and R</t>
        </is>
      </c>
      <c r="K50" s="30" t="n"/>
      <c r="L50" s="30" t="n"/>
      <c r="M50" s="30" t="n"/>
      <c r="N50" s="30" t="n"/>
      <c r="O50" s="30" t="inlineStr">
        <is>
          <t>R</t>
        </is>
      </c>
      <c r="P50" s="30" t="n"/>
      <c r="Q50" s="30" t="n"/>
      <c r="R50" s="30" t="n"/>
      <c r="S50" s="30" t="n"/>
      <c r="T50" s="30" t="n"/>
      <c r="U50" s="30" t="n"/>
      <c r="V50" s="30" t="n"/>
      <c r="W50" s="30" t="n"/>
      <c r="X50" s="30" t="n"/>
      <c r="Y50" s="30" t="inlineStr">
        <is>
          <t>S</t>
        </is>
      </c>
    </row>
    <row r="51" ht="42" customHeight="1">
      <c r="A51" s="29" t="inlineStr">
        <is>
          <t>NB2(c)</t>
        </is>
      </c>
      <c r="B51" s="29" t="inlineStr">
        <is>
          <t>Indicator</t>
        </is>
      </c>
      <c r="C51" s="29" t="inlineStr">
        <is>
          <t>Sustainability leadership</t>
        </is>
      </c>
      <c r="D51" s="29" t="inlineStr">
        <is>
          <t>Nature and biodiversity</t>
        </is>
      </c>
      <c r="E51" s="29" t="inlineStr">
        <is>
          <t>Evidence of prioritised high risk procurement categories or suppliers for nature impact management</t>
        </is>
      </c>
      <c r="F51" s="29" t="inlineStr">
        <is>
          <t>Qualitative</t>
        </is>
      </c>
      <c r="G51" s="29" t="inlineStr"/>
      <c r="I51" s="30" t="n"/>
      <c r="J51" s="30" t="inlineStr">
        <is>
          <t>A and R</t>
        </is>
      </c>
      <c r="K51" s="30" t="n"/>
      <c r="L51" s="30" t="n"/>
      <c r="M51" s="30" t="inlineStr">
        <is>
          <t>R</t>
        </is>
      </c>
      <c r="N51" s="30" t="n"/>
      <c r="O51" s="30" t="inlineStr">
        <is>
          <t>R</t>
        </is>
      </c>
      <c r="P51" s="30" t="n"/>
      <c r="Q51" s="30" t="n"/>
      <c r="R51" s="30" t="n"/>
      <c r="S51" s="30" t="n"/>
      <c r="T51" s="30" t="n"/>
      <c r="U51" s="30" t="n"/>
      <c r="V51" s="30" t="n"/>
      <c r="W51" s="30" t="n"/>
      <c r="X51" s="30" t="n"/>
      <c r="Y51" s="30" t="inlineStr">
        <is>
          <t>S</t>
        </is>
      </c>
    </row>
    <row r="52">
      <c r="A52" s="27" t="inlineStr">
        <is>
          <t>AI</t>
        </is>
      </c>
      <c r="B52" s="27" t="inlineStr">
        <is>
          <t>Priority</t>
        </is>
      </c>
      <c r="C52" s="27" t="inlineStr"/>
      <c r="D52" s="27" t="inlineStr"/>
      <c r="E52" s="27" t="inlineStr">
        <is>
          <t>Responsible AI</t>
        </is>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row>
    <row r="53" ht="45" customHeight="1">
      <c r="A53" s="28" t="inlineStr">
        <is>
          <t>AI1</t>
        </is>
      </c>
      <c r="B53" s="28" t="inlineStr">
        <is>
          <t>Target</t>
        </is>
      </c>
      <c r="C53" s="28" t="inlineStr">
        <is>
          <t>Sustainability leadership</t>
        </is>
      </c>
      <c r="D53" s="28" t="inlineStr">
        <is>
          <t>Responsible AI</t>
        </is>
      </c>
      <c r="E53" s="28" t="inlineStr">
        <is>
          <t>Improve understanding of our sustainability-related risks and opportunities of AI technologies by 2028.</t>
        </is>
      </c>
    </row>
    <row r="54" ht="42" customHeight="1">
      <c r="A54" s="29" t="inlineStr">
        <is>
          <t>AI1(a)</t>
        </is>
      </c>
      <c r="B54" s="29" t="inlineStr">
        <is>
          <t>Indicator</t>
        </is>
      </c>
      <c r="C54" s="29" t="inlineStr">
        <is>
          <t>Sustainability leadership</t>
        </is>
      </c>
      <c r="D54" s="29" t="inlineStr">
        <is>
          <t>Responsible AI</t>
        </is>
      </c>
      <c r="E54" s="29" t="inlineStr">
        <is>
          <t>Established measurement of estimated operational impacts and opportunities (eg operational impacts could include energy, water, emissions and intensity measures)</t>
        </is>
      </c>
      <c r="F54" s="29" t="inlineStr">
        <is>
          <t>Mixed</t>
        </is>
      </c>
      <c r="G54" s="29" t="inlineStr"/>
      <c r="I54" s="30" t="n"/>
      <c r="J54" s="30" t="inlineStr">
        <is>
          <t>A and R</t>
        </is>
      </c>
      <c r="K54" s="30" t="n"/>
      <c r="L54" s="30" t="inlineStr">
        <is>
          <t>R</t>
        </is>
      </c>
      <c r="M54" s="30" t="n"/>
      <c r="N54" s="30" t="n"/>
      <c r="O54" s="30" t="n"/>
      <c r="P54" s="30" t="inlineStr">
        <is>
          <t>R</t>
        </is>
      </c>
      <c r="Q54" s="30" t="n"/>
      <c r="R54" s="30" t="n"/>
      <c r="S54" s="30" t="n"/>
      <c r="T54" s="30" t="n"/>
      <c r="U54" s="30" t="n"/>
      <c r="V54" s="30" t="n"/>
      <c r="W54" s="30" t="n"/>
      <c r="X54" s="30" t="n"/>
      <c r="Y54" s="30" t="inlineStr">
        <is>
          <t>S</t>
        </is>
      </c>
    </row>
    <row r="55" ht="42" customHeight="1">
      <c r="A55" s="29" t="inlineStr">
        <is>
          <t>AI1(b)</t>
        </is>
      </c>
      <c r="B55" s="29" t="inlineStr">
        <is>
          <t>Indicator</t>
        </is>
      </c>
      <c r="C55" s="29" t="inlineStr">
        <is>
          <t>Sustainability leadership</t>
        </is>
      </c>
      <c r="D55" s="29" t="inlineStr">
        <is>
          <t>Responsible AI</t>
        </is>
      </c>
      <c r="E55" s="29" t="inlineStr">
        <is>
          <t>Case studies of sustainability and AI-related education, research and collaboration activities.</t>
        </is>
      </c>
      <c r="F55" s="29" t="inlineStr">
        <is>
          <t>Qualitative</t>
        </is>
      </c>
      <c r="G55" s="29" t="inlineStr"/>
      <c r="I55" s="30" t="n"/>
      <c r="J55" s="30" t="inlineStr">
        <is>
          <t>A and R</t>
        </is>
      </c>
      <c r="K55" s="30" t="n"/>
      <c r="L55" s="30" t="inlineStr">
        <is>
          <t>R</t>
        </is>
      </c>
      <c r="M55" s="30" t="n"/>
      <c r="N55" s="30" t="n"/>
      <c r="O55" s="30" t="n"/>
      <c r="P55" s="30" t="inlineStr">
        <is>
          <t>R</t>
        </is>
      </c>
      <c r="Q55" s="30" t="n"/>
      <c r="R55" s="30" t="n"/>
      <c r="S55" s="30" t="n"/>
      <c r="T55" s="30" t="n"/>
      <c r="U55" s="30" t="n"/>
      <c r="V55" s="30" t="n"/>
      <c r="W55" s="30" t="n"/>
      <c r="X55" s="30" t="n"/>
      <c r="Y55" s="30" t="inlineStr">
        <is>
          <t>S</t>
        </is>
      </c>
    </row>
    <row r="56">
      <c r="A56" s="26" t="inlineStr">
        <is>
          <t>D3</t>
        </is>
      </c>
      <c r="B56" s="26" t="inlineStr">
        <is>
          <t>Domain</t>
        </is>
      </c>
      <c r="C56" s="26" t="inlineStr"/>
      <c r="D56" s="26" t="inlineStr"/>
      <c r="E56" s="26" t="inlineStr">
        <is>
          <t>Resilient University</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row>
    <row r="57">
      <c r="A57" s="27" t="inlineStr">
        <is>
          <t>EI</t>
        </is>
      </c>
      <c r="B57" s="27" t="inlineStr">
        <is>
          <t>Priority</t>
        </is>
      </c>
      <c r="C57" s="27" t="inlineStr"/>
      <c r="D57" s="27" t="inlineStr"/>
      <c r="E57" s="27" t="inlineStr">
        <is>
          <t>Estate and infrastructure</t>
        </is>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row>
    <row r="58" ht="45" customHeight="1">
      <c r="A58" s="28" t="inlineStr">
        <is>
          <t>EI1</t>
        </is>
      </c>
      <c r="B58" s="28" t="inlineStr">
        <is>
          <t>Target</t>
        </is>
      </c>
      <c r="C58" s="28" t="inlineStr">
        <is>
          <t>Resilient University</t>
        </is>
      </c>
      <c r="D58" s="28" t="inlineStr">
        <is>
          <t>Estate and infrastructure</t>
        </is>
      </c>
      <c r="E58" s="28" t="inlineStr">
        <is>
          <t>Integrate environmental sustainability in the way that the University achieves strategic and operational objectives for our estate and infrastructure.</t>
        </is>
      </c>
    </row>
    <row r="59" ht="42" customHeight="1">
      <c r="A59" s="29" t="inlineStr">
        <is>
          <t>EI1(a)</t>
        </is>
      </c>
      <c r="B59" s="29" t="inlineStr">
        <is>
          <t>Indicator</t>
        </is>
      </c>
      <c r="C59" s="29" t="inlineStr">
        <is>
          <t>Resilient University</t>
        </is>
      </c>
      <c r="D59" s="29" t="inlineStr">
        <is>
          <t>Estate and infrastructure</t>
        </is>
      </c>
      <c r="E59" s="29" t="inlineStr">
        <is>
          <t>Evidence of increased maturity of estate and infrastructure planning, development and operations to support the other priority areas in Sustainability 2030</t>
        </is>
      </c>
      <c r="F59" s="29" t="inlineStr">
        <is>
          <t>Mixed</t>
        </is>
      </c>
      <c r="G59" s="29" t="inlineStr"/>
      <c r="I59" s="30" t="n"/>
      <c r="J59" s="30" t="inlineStr">
        <is>
          <t>A and R</t>
        </is>
      </c>
      <c r="K59" s="30" t="inlineStr">
        <is>
          <t>R</t>
        </is>
      </c>
      <c r="L59" s="30" t="n"/>
      <c r="M59" s="30" t="n"/>
      <c r="N59" s="30" t="n"/>
      <c r="O59" s="30" t="n"/>
      <c r="P59" s="30" t="n"/>
      <c r="Q59" s="30" t="n"/>
      <c r="R59" s="30" t="n"/>
      <c r="S59" s="30" t="n"/>
      <c r="T59" s="30" t="n"/>
      <c r="U59" s="30" t="n"/>
      <c r="V59" s="30" t="n"/>
      <c r="W59" s="30" t="n"/>
      <c r="X59" s="30" t="n"/>
      <c r="Y59" s="30" t="inlineStr">
        <is>
          <t>S</t>
        </is>
      </c>
    </row>
    <row r="60" ht="42" customHeight="1">
      <c r="A60" s="29" t="inlineStr">
        <is>
          <t>EI1(b)</t>
        </is>
      </c>
      <c r="B60" s="29" t="inlineStr">
        <is>
          <t>Indicator</t>
        </is>
      </c>
      <c r="C60" s="29" t="inlineStr">
        <is>
          <t>Resilient University</t>
        </is>
      </c>
      <c r="D60" s="29" t="inlineStr">
        <is>
          <t>Estate and infrastructure</t>
        </is>
      </c>
      <c r="E60" s="29" t="inlineStr">
        <is>
          <t>Estimated sustainability impacts of the University’s estate and infrastructure capital plan to inform progress towards emissions reduction targets and other priority areas (to the extent enabled by available information)</t>
        </is>
      </c>
      <c r="F60" s="29" t="inlineStr">
        <is>
          <t>Mixed</t>
        </is>
      </c>
      <c r="G60" s="29" t="inlineStr"/>
      <c r="I60" s="30" t="n"/>
      <c r="J60" s="30" t="inlineStr">
        <is>
          <t>A and R</t>
        </is>
      </c>
      <c r="K60" s="30" t="inlineStr">
        <is>
          <t>R</t>
        </is>
      </c>
      <c r="L60" s="30" t="n"/>
      <c r="M60" s="30" t="n"/>
      <c r="N60" s="30" t="n"/>
      <c r="O60" s="30" t="n"/>
      <c r="P60" s="30" t="n"/>
      <c r="Q60" s="30" t="n"/>
      <c r="R60" s="30" t="n"/>
      <c r="S60" s="30" t="n"/>
      <c r="T60" s="30" t="n"/>
      <c r="U60" s="30" t="n"/>
      <c r="V60" s="30" t="n"/>
      <c r="W60" s="30" t="n"/>
      <c r="X60" s="30" t="n"/>
      <c r="Y60" s="30" t="inlineStr">
        <is>
          <t>S</t>
        </is>
      </c>
    </row>
    <row r="61" ht="42" customHeight="1">
      <c r="A61" s="29" t="inlineStr">
        <is>
          <t>EI1(c)</t>
        </is>
      </c>
      <c r="B61" s="29" t="inlineStr">
        <is>
          <t>Indicator</t>
        </is>
      </c>
      <c r="C61" s="29" t="inlineStr">
        <is>
          <t>Resilient University</t>
        </is>
      </c>
      <c r="D61" s="29" t="inlineStr">
        <is>
          <t>Estate and infrastructure</t>
        </is>
      </c>
      <c r="E61" s="29" t="inlineStr">
        <is>
          <t>Reporting on relevant activities and impacts for the University’s major estate and infrastructure projects and programs aligned with the other priority areas in Sustainability 2030</t>
        </is>
      </c>
      <c r="F61" s="29" t="inlineStr">
        <is>
          <t>Mixed</t>
        </is>
      </c>
      <c r="G61" s="29" t="inlineStr"/>
      <c r="I61" s="30" t="n"/>
      <c r="J61" s="30" t="inlineStr">
        <is>
          <t>A and R</t>
        </is>
      </c>
      <c r="K61" s="30" t="inlineStr">
        <is>
          <t>R</t>
        </is>
      </c>
      <c r="L61" s="30" t="n"/>
      <c r="M61" s="30" t="n"/>
      <c r="N61" s="30" t="n"/>
      <c r="O61" s="30" t="n"/>
      <c r="P61" s="30" t="n"/>
      <c r="Q61" s="30" t="n"/>
      <c r="R61" s="30" t="n"/>
      <c r="S61" s="30" t="n"/>
      <c r="T61" s="30" t="n"/>
      <c r="U61" s="30" t="n"/>
      <c r="V61" s="30" t="n"/>
      <c r="W61" s="30" t="n"/>
      <c r="X61" s="30" t="n"/>
      <c r="Y61" s="30" t="inlineStr">
        <is>
          <t>S</t>
        </is>
      </c>
    </row>
    <row r="62" ht="42" customHeight="1">
      <c r="A62" s="29" t="inlineStr">
        <is>
          <t>EI1(d)</t>
        </is>
      </c>
      <c r="B62" s="29" t="inlineStr">
        <is>
          <t>Indicator</t>
        </is>
      </c>
      <c r="C62" s="29" t="inlineStr">
        <is>
          <t>Resilient University</t>
        </is>
      </c>
      <c r="D62" s="29" t="inlineStr">
        <is>
          <t>Estate and infrastructure</t>
        </is>
      </c>
      <c r="E62" s="29" t="inlineStr">
        <is>
          <t>Evidence of understanding and integration of Indigenous approaches to sustainability in estate planning and development programs and projects.</t>
        </is>
      </c>
      <c r="F62" s="29" t="inlineStr">
        <is>
          <t>Qualitative</t>
        </is>
      </c>
      <c r="G62" s="29" t="inlineStr"/>
      <c r="I62" s="30" t="n"/>
      <c r="J62" s="30" t="inlineStr">
        <is>
          <t>A and R</t>
        </is>
      </c>
      <c r="K62" s="30" t="inlineStr">
        <is>
          <t>R</t>
        </is>
      </c>
      <c r="L62" s="30" t="n"/>
      <c r="M62" s="30" t="n"/>
      <c r="N62" s="30" t="n"/>
      <c r="O62" s="30" t="n"/>
      <c r="P62" s="30" t="n"/>
      <c r="Q62" s="30" t="n"/>
      <c r="R62" s="30" t="n"/>
      <c r="S62" s="30" t="n"/>
      <c r="T62" s="30" t="n"/>
      <c r="U62" s="30" t="n"/>
      <c r="V62" s="30" t="n"/>
      <c r="W62" s="30" t="n"/>
      <c r="X62" s="30" t="n"/>
      <c r="Y62" s="30" t="inlineStr">
        <is>
          <t>S</t>
        </is>
      </c>
    </row>
    <row r="63">
      <c r="A63" s="27" t="inlineStr">
        <is>
          <t>CE</t>
        </is>
      </c>
      <c r="B63" s="27" t="inlineStr">
        <is>
          <t>Priority</t>
        </is>
      </c>
      <c r="C63" s="27" t="inlineStr"/>
      <c r="D63" s="27" t="inlineStr"/>
      <c r="E63" s="27" t="inlineStr">
        <is>
          <t>Circular economy</t>
        </is>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row>
    <row r="64" ht="45" customHeight="1">
      <c r="A64" s="28" t="inlineStr">
        <is>
          <t>CE1</t>
        </is>
      </c>
      <c r="B64" s="28" t="inlineStr">
        <is>
          <t>Target</t>
        </is>
      </c>
      <c r="C64" s="28" t="inlineStr">
        <is>
          <t>Resilient University</t>
        </is>
      </c>
      <c r="D64" s="28" t="inlineStr">
        <is>
          <t>Circular economy</t>
        </is>
      </c>
      <c r="E64" s="28" t="inlineStr">
        <is>
          <t>Reduce waste to landfill by 10% by CY2030 on the CY2025 baseline.</t>
        </is>
      </c>
    </row>
    <row r="65" ht="42" customHeight="1">
      <c r="A65" s="29" t="inlineStr">
        <is>
          <t>CE1(a)</t>
        </is>
      </c>
      <c r="B65" s="29" t="inlineStr">
        <is>
          <t>Indicator</t>
        </is>
      </c>
      <c r="C65" s="29" t="inlineStr">
        <is>
          <t>Resilient University</t>
        </is>
      </c>
      <c r="D65" s="29" t="inlineStr">
        <is>
          <t>Circular economy</t>
        </is>
      </c>
      <c r="E65" s="29" t="inlineStr">
        <is>
          <t>Comparison of year-to-year tonnes of waste (absolute).</t>
        </is>
      </c>
      <c r="F65" s="29" t="inlineStr">
        <is>
          <t>Quantitative</t>
        </is>
      </c>
      <c r="G65" s="29" t="inlineStr"/>
      <c r="I65" s="30" t="n"/>
      <c r="J65" s="30" t="inlineStr">
        <is>
          <t>A and R</t>
        </is>
      </c>
      <c r="K65" s="30" t="n"/>
      <c r="L65" s="30" t="n"/>
      <c r="M65" s="30" t="n"/>
      <c r="N65" s="30" t="n"/>
      <c r="O65" s="30" t="inlineStr">
        <is>
          <t>R (quant)</t>
        </is>
      </c>
      <c r="P65" s="30" t="n"/>
      <c r="Q65" s="30" t="n"/>
      <c r="R65" s="30" t="n"/>
      <c r="S65" s="30" t="n"/>
      <c r="T65" s="30" t="n"/>
      <c r="U65" s="30" t="n"/>
      <c r="V65" s="30" t="n"/>
      <c r="W65" s="30" t="n"/>
      <c r="X65" s="30" t="n"/>
      <c r="Y65" s="30" t="inlineStr">
        <is>
          <t>S</t>
        </is>
      </c>
    </row>
    <row r="66" ht="45" customHeight="1">
      <c r="A66" s="28" t="inlineStr">
        <is>
          <t>CE2</t>
        </is>
      </c>
      <c r="B66" s="28" t="inlineStr">
        <is>
          <t>Target</t>
        </is>
      </c>
      <c r="C66" s="28" t="inlineStr">
        <is>
          <t>Resilient University</t>
        </is>
      </c>
      <c r="D66" s="28" t="inlineStr">
        <is>
          <t>Circular economy</t>
        </is>
      </c>
      <c r="E66" s="28" t="inlineStr">
        <is>
          <t>Increase diversion of recyclable materials from landfill by 10% by CY2030 on the CY2025 baseline.</t>
        </is>
      </c>
    </row>
    <row r="67" ht="42" customHeight="1">
      <c r="A67" s="29" t="inlineStr">
        <is>
          <t>CE2(a)</t>
        </is>
      </c>
      <c r="B67" s="29" t="inlineStr">
        <is>
          <t>Indicator</t>
        </is>
      </c>
      <c r="C67" s="29" t="inlineStr">
        <is>
          <t>Resilient University</t>
        </is>
      </c>
      <c r="D67" s="29" t="inlineStr">
        <is>
          <t>Circular economy</t>
        </is>
      </c>
      <c r="E67" s="29" t="inlineStr">
        <is>
          <t>Comparison of year-to-year tonnes of recyclables (absolute).</t>
        </is>
      </c>
      <c r="F67" s="29" t="inlineStr">
        <is>
          <t>Quantitative</t>
        </is>
      </c>
      <c r="G67" s="29" t="inlineStr"/>
      <c r="I67" s="30" t="n"/>
      <c r="J67" s="30" t="inlineStr">
        <is>
          <t>A and R</t>
        </is>
      </c>
      <c r="K67" s="30" t="n"/>
      <c r="L67" s="30" t="n"/>
      <c r="M67" s="30" t="n"/>
      <c r="N67" s="30" t="n"/>
      <c r="O67" s="30" t="inlineStr">
        <is>
          <t>R (quant)</t>
        </is>
      </c>
      <c r="P67" s="30" t="n"/>
      <c r="Q67" s="30" t="n"/>
      <c r="R67" s="30" t="n"/>
      <c r="S67" s="30" t="n"/>
      <c r="T67" s="30" t="n"/>
      <c r="U67" s="30" t="n"/>
      <c r="V67" s="30" t="n"/>
      <c r="W67" s="30" t="n"/>
      <c r="X67" s="30" t="n"/>
      <c r="Y67" s="30" t="inlineStr">
        <is>
          <t>S</t>
        </is>
      </c>
    </row>
    <row r="68">
      <c r="A68" s="27" t="inlineStr">
        <is>
          <t>RP</t>
        </is>
      </c>
      <c r="B68" s="27" t="inlineStr">
        <is>
          <t>Priority</t>
        </is>
      </c>
      <c r="C68" s="27" t="inlineStr"/>
      <c r="D68" s="27" t="inlineStr"/>
      <c r="E68" s="27" t="inlineStr">
        <is>
          <t>Responsible procurement</t>
        </is>
      </c>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row>
    <row r="69" ht="45" customHeight="1">
      <c r="A69" s="28" t="inlineStr">
        <is>
          <t>RP1</t>
        </is>
      </c>
      <c r="B69" s="28" t="inlineStr">
        <is>
          <t>Target</t>
        </is>
      </c>
      <c r="C69" s="28" t="inlineStr">
        <is>
          <t>Resilient University</t>
        </is>
      </c>
      <c r="D69" s="28" t="inlineStr">
        <is>
          <t>Responsible procurement</t>
        </is>
      </c>
      <c r="E69" s="28" t="inlineStr">
        <is>
          <t>Strengthen our ethical and sustainable procurement approach.</t>
        </is>
      </c>
    </row>
    <row r="70" ht="42" customHeight="1">
      <c r="A70" s="29" t="inlineStr">
        <is>
          <t>RP1(a)</t>
        </is>
      </c>
      <c r="B70" s="29" t="inlineStr">
        <is>
          <t>Indicator</t>
        </is>
      </c>
      <c r="C70" s="29" t="inlineStr">
        <is>
          <t>Resilient University</t>
        </is>
      </c>
      <c r="D70" s="29" t="inlineStr">
        <is>
          <t>Responsible procurement</t>
        </is>
      </c>
      <c r="E70" s="29" t="inlineStr">
        <is>
          <t>Case studies of maturity improvement related to responsible procurement process and systems.</t>
        </is>
      </c>
      <c r="F70" s="29" t="inlineStr">
        <is>
          <t>Mixed</t>
        </is>
      </c>
      <c r="G70" s="29" t="inlineStr"/>
      <c r="I70" s="30" t="n"/>
      <c r="J70" s="30" t="inlineStr">
        <is>
          <t>A and R</t>
        </is>
      </c>
      <c r="K70" s="30" t="n"/>
      <c r="L70" s="30" t="n"/>
      <c r="M70" s="30" t="inlineStr">
        <is>
          <t>R</t>
        </is>
      </c>
      <c r="N70" s="30" t="n"/>
      <c r="O70" s="30" t="n"/>
      <c r="P70" s="30" t="n"/>
      <c r="Q70" s="30" t="n"/>
      <c r="R70" s="30" t="n"/>
      <c r="S70" s="30" t="n"/>
      <c r="T70" s="30" t="n"/>
      <c r="U70" s="30" t="n"/>
      <c r="V70" s="30" t="n"/>
      <c r="W70" s="30" t="n"/>
      <c r="X70" s="30" t="n"/>
      <c r="Y70" s="30" t="inlineStr">
        <is>
          <t>S</t>
        </is>
      </c>
    </row>
    <row r="71" ht="45" customHeight="1">
      <c r="A71" s="28" t="inlineStr">
        <is>
          <t>RP2</t>
        </is>
      </c>
      <c r="B71" s="28" t="inlineStr">
        <is>
          <t>Target</t>
        </is>
      </c>
      <c r="C71" s="28" t="inlineStr">
        <is>
          <t>Resilient University</t>
        </is>
      </c>
      <c r="D71" s="28" t="inlineStr">
        <is>
          <t>Responsible procurement</t>
        </is>
      </c>
      <c r="E71" s="28" t="inlineStr">
        <is>
          <t>Increase our Indigenous and social spend, reaching 3% Indigenous and 1% social spend of addressable procurement by 2030.</t>
        </is>
      </c>
    </row>
    <row r="72" ht="42" customHeight="1">
      <c r="A72" s="29" t="inlineStr">
        <is>
          <t>RP2(a)</t>
        </is>
      </c>
      <c r="B72" s="29" t="inlineStr">
        <is>
          <t>Indicator</t>
        </is>
      </c>
      <c r="C72" s="29" t="inlineStr">
        <is>
          <t>Resilient University</t>
        </is>
      </c>
      <c r="D72" s="29" t="inlineStr">
        <is>
          <t>Responsible procurement</t>
        </is>
      </c>
      <c r="E72" s="29" t="inlineStr">
        <is>
          <t>Percentage of Indigenous spend of total addressable procurement spend</t>
        </is>
      </c>
      <c r="F72" s="29" t="inlineStr">
        <is>
          <t>Quantitative</t>
        </is>
      </c>
      <c r="G72" s="29" t="inlineStr"/>
      <c r="I72" s="30" t="n"/>
      <c r="J72" s="30" t="inlineStr">
        <is>
          <t>A and R</t>
        </is>
      </c>
      <c r="K72" s="30" t="n"/>
      <c r="L72" s="30" t="n"/>
      <c r="M72" s="30" t="inlineStr">
        <is>
          <t>R (quant)</t>
        </is>
      </c>
      <c r="N72" s="30" t="n"/>
      <c r="O72" s="30" t="n"/>
      <c r="P72" s="30" t="n"/>
      <c r="Q72" s="30" t="n"/>
      <c r="R72" s="30" t="n"/>
      <c r="S72" s="30" t="n"/>
      <c r="T72" s="30" t="n"/>
      <c r="U72" s="30" t="n"/>
      <c r="V72" s="30" t="n"/>
      <c r="W72" s="30" t="n"/>
      <c r="X72" s="30" t="n"/>
      <c r="Y72" s="30" t="inlineStr">
        <is>
          <t>S</t>
        </is>
      </c>
    </row>
    <row r="73" ht="42" customHeight="1">
      <c r="A73" s="29" t="inlineStr">
        <is>
          <t>RP2(b)</t>
        </is>
      </c>
      <c r="B73" s="29" t="inlineStr">
        <is>
          <t>Indicator</t>
        </is>
      </c>
      <c r="C73" s="29" t="inlineStr">
        <is>
          <t>Resilient University</t>
        </is>
      </c>
      <c r="D73" s="29" t="inlineStr">
        <is>
          <t>Responsible procurement</t>
        </is>
      </c>
      <c r="E73" s="29" t="inlineStr">
        <is>
          <t>Percentage of social spend of total addressable procurement spend.</t>
        </is>
      </c>
      <c r="F73" s="29" t="inlineStr">
        <is>
          <t>Quantitative</t>
        </is>
      </c>
      <c r="G73" s="29" t="inlineStr"/>
      <c r="I73" s="30" t="n"/>
      <c r="J73" s="30" t="inlineStr">
        <is>
          <t>A and R</t>
        </is>
      </c>
      <c r="K73" s="30" t="n"/>
      <c r="L73" s="30" t="n"/>
      <c r="M73" s="30" t="inlineStr">
        <is>
          <t>R (quant)</t>
        </is>
      </c>
      <c r="N73" s="30" t="n"/>
      <c r="O73" s="30" t="n"/>
      <c r="P73" s="30" t="n"/>
      <c r="Q73" s="30" t="n"/>
      <c r="R73" s="30" t="n"/>
      <c r="S73" s="30" t="n"/>
      <c r="T73" s="30" t="n"/>
      <c r="U73" s="30" t="n"/>
      <c r="V73" s="30" t="n"/>
      <c r="W73" s="30" t="n"/>
      <c r="X73" s="30" t="n"/>
      <c r="Y73" s="30" t="inlineStr">
        <is>
          <t>S</t>
        </is>
      </c>
    </row>
    <row r="74">
      <c r="A74" s="27" t="inlineStr">
        <is>
          <t>MS</t>
        </is>
      </c>
      <c r="B74" s="27" t="inlineStr">
        <is>
          <t>Priority</t>
        </is>
      </c>
      <c r="C74" s="27" t="inlineStr"/>
      <c r="D74" s="27" t="inlineStr"/>
      <c r="E74" s="27" t="inlineStr">
        <is>
          <t>Modern slavery and human rights</t>
        </is>
      </c>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ht="45" customHeight="1">
      <c r="A75" s="28" t="inlineStr">
        <is>
          <t>MS1</t>
        </is>
      </c>
      <c r="B75" s="28" t="inlineStr">
        <is>
          <t>Target</t>
        </is>
      </c>
      <c r="C75" s="28" t="inlineStr">
        <is>
          <t>Resilient University</t>
        </is>
      </c>
      <c r="D75" s="28" t="inlineStr">
        <is>
          <t>Modern slavery and human rights</t>
        </is>
      </c>
      <c r="E75" s="28" t="inlineStr">
        <is>
          <t>Manage our approach to modern slavery and human rights-related risks and opportunities.</t>
        </is>
      </c>
    </row>
    <row r="76" ht="42" customHeight="1">
      <c r="A76" s="29" t="inlineStr">
        <is>
          <t>MS1(a)</t>
        </is>
      </c>
      <c r="B76" s="29" t="inlineStr">
        <is>
          <t>Indicator</t>
        </is>
      </c>
      <c r="C76" s="29" t="inlineStr">
        <is>
          <t>Resilient University</t>
        </is>
      </c>
      <c r="D76" s="29" t="inlineStr">
        <is>
          <t>Modern slavery and human rights</t>
        </is>
      </c>
      <c r="E76" s="29" t="inlineStr">
        <is>
          <t>Annual progress reporting via the Modern Slavery Statement</t>
        </is>
      </c>
      <c r="F76" s="29" t="inlineStr">
        <is>
          <t>Qualitative</t>
        </is>
      </c>
      <c r="G76" s="29" t="inlineStr"/>
      <c r="I76" s="30" t="n"/>
      <c r="J76" s="30" t="inlineStr">
        <is>
          <t>A and R</t>
        </is>
      </c>
      <c r="K76" s="30" t="n"/>
      <c r="L76" s="30" t="inlineStr">
        <is>
          <t>R</t>
        </is>
      </c>
      <c r="M76" s="30" t="inlineStr">
        <is>
          <t>R</t>
        </is>
      </c>
      <c r="N76" s="30" t="n"/>
      <c r="O76" s="30" t="n"/>
      <c r="P76" s="30" t="n"/>
      <c r="Q76" s="30" t="n"/>
      <c r="R76" s="30" t="n"/>
      <c r="S76" s="30" t="n"/>
      <c r="T76" s="30" t="n"/>
      <c r="U76" s="30" t="n"/>
      <c r="V76" s="30" t="n"/>
      <c r="W76" s="30" t="n"/>
      <c r="X76" s="30" t="n"/>
      <c r="Y76" s="30" t="inlineStr">
        <is>
          <t>S</t>
        </is>
      </c>
    </row>
    <row r="77">
      <c r="A77" s="27" t="inlineStr">
        <is>
          <t>RI</t>
        </is>
      </c>
      <c r="B77" s="27" t="inlineStr">
        <is>
          <t>Priority</t>
        </is>
      </c>
      <c r="C77" s="27" t="inlineStr"/>
      <c r="D77" s="27" t="inlineStr"/>
      <c r="E77" s="27" t="inlineStr">
        <is>
          <t>Responsible investments</t>
        </is>
      </c>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ht="45" customHeight="1">
      <c r="A78" s="28" t="inlineStr">
        <is>
          <t>RI1</t>
        </is>
      </c>
      <c r="B78" s="28" t="inlineStr">
        <is>
          <t>Target</t>
        </is>
      </c>
      <c r="C78" s="28" t="inlineStr">
        <is>
          <t>Resilient University</t>
        </is>
      </c>
      <c r="D78" s="28" t="inlineStr">
        <is>
          <t>Responsible investments</t>
        </is>
      </c>
      <c r="E78" s="28" t="inlineStr">
        <is>
          <t>Achieve net zero financed emissions for the University’s investment portfolio by 2050.</t>
        </is>
      </c>
    </row>
    <row r="79" ht="42" customHeight="1">
      <c r="A79" s="29" t="inlineStr">
        <is>
          <t>RI1(a)</t>
        </is>
      </c>
      <c r="B79" s="29" t="inlineStr">
        <is>
          <t>Indicator</t>
        </is>
      </c>
      <c r="C79" s="29" t="inlineStr">
        <is>
          <t>Resilient University</t>
        </is>
      </c>
      <c r="D79" s="29" t="inlineStr">
        <is>
          <t>Responsible investments</t>
        </is>
      </c>
      <c r="E79" s="29" t="inlineStr">
        <is>
          <t>Annual monitoring and reporting on the investment portfolio’s net zero transition progress, including tracking the percentage of assets under management (AUM) managed by investment managers aligned with (or committed to) net zero by 2050</t>
        </is>
      </c>
      <c r="F79" s="29" t="inlineStr">
        <is>
          <t>Quantitative</t>
        </is>
      </c>
      <c r="G79" s="29" t="inlineStr"/>
      <c r="I79" s="30" t="n"/>
      <c r="J79" s="30" t="inlineStr">
        <is>
          <t>A and R</t>
        </is>
      </c>
      <c r="K79" s="30" t="n"/>
      <c r="L79" s="30" t="n"/>
      <c r="M79" s="30" t="n"/>
      <c r="N79" s="30" t="inlineStr">
        <is>
          <t>R (quant)</t>
        </is>
      </c>
      <c r="O79" s="30" t="n"/>
      <c r="P79" s="30" t="n"/>
      <c r="Q79" s="30" t="n"/>
      <c r="R79" s="30" t="n"/>
      <c r="S79" s="30" t="n"/>
      <c r="T79" s="30" t="n"/>
      <c r="U79" s="30" t="n"/>
      <c r="V79" s="30" t="n"/>
      <c r="W79" s="30" t="n"/>
      <c r="X79" s="30" t="n"/>
      <c r="Y79" s="30" t="inlineStr">
        <is>
          <t>S</t>
        </is>
      </c>
    </row>
    <row r="80" ht="42" customHeight="1">
      <c r="A80" s="29" t="inlineStr">
        <is>
          <t>RI1(b)</t>
        </is>
      </c>
      <c r="B80" s="29" t="inlineStr">
        <is>
          <t>Indicator</t>
        </is>
      </c>
      <c r="C80" s="29" t="inlineStr">
        <is>
          <t>Resilient University</t>
        </is>
      </c>
      <c r="D80" s="29" t="inlineStr">
        <is>
          <t>Responsible investments</t>
        </is>
      </c>
      <c r="E80" s="29" t="inlineStr">
        <is>
          <t>Continuous improvement of the reporting of the University’s sustainability-related investment profile metrics, could include investment in climate mitigation and transition solutions, and compliance with related obligations (eg UNPRI).</t>
        </is>
      </c>
      <c r="F80" s="29" t="inlineStr">
        <is>
          <t>Mixed</t>
        </is>
      </c>
      <c r="G80" s="29" t="inlineStr"/>
      <c r="I80" s="30" t="n"/>
      <c r="J80" s="30" t="inlineStr">
        <is>
          <t>A and R</t>
        </is>
      </c>
      <c r="K80" s="30" t="n"/>
      <c r="L80" s="30" t="inlineStr">
        <is>
          <t>R</t>
        </is>
      </c>
      <c r="M80" s="30" t="n"/>
      <c r="N80" s="30" t="inlineStr">
        <is>
          <t>R</t>
        </is>
      </c>
      <c r="O80" s="30" t="n"/>
      <c r="P80" s="30" t="n"/>
      <c r="Q80" s="30" t="n"/>
      <c r="R80" s="30" t="n"/>
      <c r="S80" s="30" t="n"/>
      <c r="T80" s="30" t="n"/>
      <c r="U80" s="30" t="n"/>
      <c r="V80" s="30" t="n"/>
      <c r="W80" s="30" t="n"/>
      <c r="X80" s="30" t="n"/>
      <c r="Y80" s="30" t="inlineStr">
        <is>
          <t>S</t>
        </is>
      </c>
    </row>
    <row r="81">
      <c r="A81" s="26" t="inlineStr">
        <is>
          <t>D4</t>
        </is>
      </c>
      <c r="B81" s="26" t="inlineStr">
        <is>
          <t>Domain</t>
        </is>
      </c>
      <c r="C81" s="26" t="inlineStr"/>
      <c r="D81" s="26" t="inlineStr"/>
      <c r="E81" s="26" t="inlineStr">
        <is>
          <t>Enablers</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row>
    <row r="82">
      <c r="A82" s="27" t="inlineStr">
        <is>
          <t>EN</t>
        </is>
      </c>
      <c r="B82" s="27" t="inlineStr">
        <is>
          <t>Priority</t>
        </is>
      </c>
      <c r="C82" s="27" t="inlineStr"/>
      <c r="D82" s="27" t="inlineStr"/>
      <c r="E82" s="27" t="inlineStr">
        <is>
          <t>Enablers</t>
        </is>
      </c>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ht="45" customHeight="1">
      <c r="A83" s="28" t="inlineStr">
        <is>
          <t>EN1</t>
        </is>
      </c>
      <c r="B83" s="28" t="inlineStr">
        <is>
          <t>Target</t>
        </is>
      </c>
      <c r="C83" s="28" t="inlineStr">
        <is>
          <t>Enablers</t>
        </is>
      </c>
      <c r="D83" s="28" t="inlineStr">
        <is>
          <t>Enablers</t>
        </is>
      </c>
      <c r="E83" s="28" t="inlineStr">
        <is>
          <t>Enablers</t>
        </is>
      </c>
    </row>
    <row r="84" ht="42" customHeight="1">
      <c r="A84" s="29" t="inlineStr">
        <is>
          <t>EN1(a)</t>
        </is>
      </c>
      <c r="B84" s="29" t="inlineStr">
        <is>
          <t>Indicator</t>
        </is>
      </c>
      <c r="C84" s="29" t="inlineStr">
        <is>
          <t>Enablers</t>
        </is>
      </c>
      <c r="D84" s="29" t="inlineStr">
        <is>
          <t>Enablers</t>
        </is>
      </c>
      <c r="E84" s="29" t="inlineStr">
        <is>
          <t>Evidence of sustainability outcomes informed by Indigenous knowledges</t>
        </is>
      </c>
      <c r="F84" s="29" t="inlineStr">
        <is>
          <t>Qualitative</t>
        </is>
      </c>
      <c r="G84" s="29" t="inlineStr">
        <is>
          <t>6a</t>
        </is>
      </c>
      <c r="I84" s="30" t="inlineStr">
        <is>
          <t>R</t>
        </is>
      </c>
      <c r="J84" s="30" t="n"/>
      <c r="K84" s="30" t="n"/>
      <c r="L84" s="30" t="n"/>
      <c r="M84" s="30" t="n"/>
      <c r="N84" s="30" t="n"/>
      <c r="O84" s="30" t="n"/>
      <c r="P84" s="30" t="n"/>
      <c r="Q84" s="30" t="n"/>
      <c r="R84" s="30" t="inlineStr">
        <is>
          <t>A and R</t>
        </is>
      </c>
      <c r="S84" s="30" t="n"/>
      <c r="T84" s="30" t="n"/>
      <c r="U84" s="30" t="inlineStr">
        <is>
          <t>R</t>
        </is>
      </c>
      <c r="V84" s="30" t="n"/>
      <c r="W84" s="30" t="n"/>
      <c r="X84" s="30" t="inlineStr">
        <is>
          <t>R</t>
        </is>
      </c>
      <c r="Y84" s="30" t="inlineStr">
        <is>
          <t>S</t>
        </is>
      </c>
    </row>
    <row r="85" ht="42" customHeight="1">
      <c r="A85" s="29" t="inlineStr">
        <is>
          <t>EN1(b)</t>
        </is>
      </c>
      <c r="B85" s="29" t="inlineStr">
        <is>
          <t>Indicator</t>
        </is>
      </c>
      <c r="C85" s="29" t="inlineStr">
        <is>
          <t>Enablers</t>
        </is>
      </c>
      <c r="D85" s="29" t="inlineStr">
        <is>
          <t>Enablers</t>
        </is>
      </c>
      <c r="E85" s="29" t="inlineStr">
        <is>
          <t>Living laboratories enabling applied learning, research and operational sustainability outcomes</t>
        </is>
      </c>
      <c r="F85" s="29" t="inlineStr">
        <is>
          <t>Mixed</t>
        </is>
      </c>
      <c r="G85" s="29" t="inlineStr">
        <is>
          <t>2a</t>
        </is>
      </c>
      <c r="I85" s="30" t="inlineStr">
        <is>
          <t>R</t>
        </is>
      </c>
      <c r="J85" s="30" t="inlineStr">
        <is>
          <t>A and R</t>
        </is>
      </c>
      <c r="K85" s="30" t="inlineStr">
        <is>
          <t>R (quant)</t>
        </is>
      </c>
      <c r="L85" s="30" t="inlineStr">
        <is>
          <t>R</t>
        </is>
      </c>
      <c r="M85" s="30" t="n"/>
      <c r="N85" s="30" t="n"/>
      <c r="O85" s="30" t="n"/>
      <c r="P85" s="30" t="n"/>
      <c r="Q85" s="30" t="n"/>
      <c r="R85" s="30" t="n"/>
      <c r="S85" s="30" t="n"/>
      <c r="T85" s="30" t="n"/>
      <c r="U85" s="30" t="n"/>
      <c r="V85" s="30" t="n"/>
      <c r="W85" s="30" t="n"/>
      <c r="X85" s="30" t="n"/>
      <c r="Y85" s="30" t="inlineStr">
        <is>
          <t>S</t>
        </is>
      </c>
    </row>
    <row r="86" ht="42" customHeight="1">
      <c r="A86" s="29" t="inlineStr">
        <is>
          <t>EN1(c)</t>
        </is>
      </c>
      <c r="B86" s="29" t="inlineStr">
        <is>
          <t>Indicator</t>
        </is>
      </c>
      <c r="C86" s="29" t="inlineStr">
        <is>
          <t>Enablers</t>
        </is>
      </c>
      <c r="D86" s="29" t="inlineStr">
        <is>
          <t>Enablers</t>
        </is>
      </c>
      <c r="E86" s="29" t="inlineStr">
        <is>
          <t>Coordinated internal engagement and external partnerships contributing to delivery of sustainability outcomes across priority areas.</t>
        </is>
      </c>
      <c r="F86" s="29" t="inlineStr">
        <is>
          <t>Qualitative</t>
        </is>
      </c>
      <c r="G86" s="29" t="inlineStr">
        <is>
          <t>3a(ii)</t>
        </is>
      </c>
      <c r="I86" s="30" t="inlineStr">
        <is>
          <t>R</t>
        </is>
      </c>
      <c r="J86" s="30" t="inlineStr">
        <is>
          <t>A and R</t>
        </is>
      </c>
      <c r="K86" s="30" t="n"/>
      <c r="L86" s="30" t="inlineStr">
        <is>
          <t>R</t>
        </is>
      </c>
      <c r="M86" s="30" t="inlineStr">
        <is>
          <t>R</t>
        </is>
      </c>
      <c r="N86" s="30" t="n"/>
      <c r="O86" s="30" t="inlineStr">
        <is>
          <t>R</t>
        </is>
      </c>
      <c r="P86" s="30" t="inlineStr">
        <is>
          <t>R</t>
        </is>
      </c>
      <c r="Q86" s="30" t="n"/>
      <c r="R86" s="30" t="inlineStr">
        <is>
          <t>A and R</t>
        </is>
      </c>
      <c r="S86" s="30" t="n"/>
      <c r="T86" s="30" t="inlineStr">
        <is>
          <t>R</t>
        </is>
      </c>
      <c r="U86" s="30" t="inlineStr">
        <is>
          <t>R</t>
        </is>
      </c>
      <c r="V86" s="30" t="inlineStr">
        <is>
          <t>R</t>
        </is>
      </c>
      <c r="W86" s="30" t="n"/>
      <c r="X86" s="30" t="n"/>
      <c r="Y86" s="30" t="inlineStr">
        <is>
          <t>S</t>
        </is>
      </c>
    </row>
    <row r="87" ht="42" customHeight="1">
      <c r="A87" s="29" t="inlineStr">
        <is>
          <t>EN1(d)</t>
        </is>
      </c>
      <c r="B87" s="29" t="inlineStr">
        <is>
          <t>Indicator</t>
        </is>
      </c>
      <c r="C87" s="29" t="inlineStr">
        <is>
          <t>Enablers</t>
        </is>
      </c>
      <c r="D87" s="29" t="inlineStr">
        <is>
          <t>Enablers</t>
        </is>
      </c>
      <c r="E87" s="29" t="inlineStr">
        <is>
          <t>Sustainability objectives integrated into governance and decision‑making processes, supported by transparent reporting.</t>
        </is>
      </c>
      <c r="F87" s="29" t="inlineStr">
        <is>
          <t>Qualitative</t>
        </is>
      </c>
      <c r="G87" s="29" t="inlineStr"/>
      <c r="I87" s="30" t="n"/>
      <c r="J87" s="30" t="inlineStr">
        <is>
          <t>A and R</t>
        </is>
      </c>
      <c r="K87" s="30" t="n"/>
      <c r="L87" s="30" t="inlineStr">
        <is>
          <t>R</t>
        </is>
      </c>
      <c r="M87" s="30" t="inlineStr">
        <is>
          <t>R</t>
        </is>
      </c>
      <c r="N87" s="30" t="n"/>
      <c r="O87" s="30" t="inlineStr">
        <is>
          <t>R</t>
        </is>
      </c>
      <c r="P87" s="30" t="inlineStr">
        <is>
          <t>R</t>
        </is>
      </c>
      <c r="Q87" s="30" t="n"/>
      <c r="R87" s="30" t="n"/>
      <c r="S87" s="30" t="n"/>
      <c r="T87" s="30" t="n"/>
      <c r="U87" s="30" t="n"/>
      <c r="V87" s="30" t="n"/>
      <c r="W87" s="30" t="n"/>
      <c r="X87" s="30" t="n"/>
      <c r="Y87" s="30" t="inlineStr">
        <is>
          <t>S</t>
        </is>
      </c>
    </row>
    <row r="89">
      <c r="E89" s="31" t="inlineStr">
        <is>
          <t>Summary</t>
        </is>
      </c>
    </row>
    <row r="90" ht="45" customHeight="1">
      <c r="E90" s="32" t="inlineStr">
        <is>
          <t>Area &gt;&gt;</t>
        </is>
      </c>
      <c r="I90" s="33">
        <f>I6</f>
        <v/>
      </c>
      <c r="J90" s="33">
        <f>J6</f>
        <v/>
      </c>
      <c r="K90" s="33">
        <f>K6</f>
        <v/>
      </c>
      <c r="L90" s="33">
        <f>L6</f>
        <v/>
      </c>
      <c r="M90" s="33">
        <f>M6</f>
        <v/>
      </c>
      <c r="N90" s="33">
        <f>N6</f>
        <v/>
      </c>
      <c r="O90" s="33">
        <f>O6</f>
        <v/>
      </c>
      <c r="P90" s="33">
        <f>P6</f>
        <v/>
      </c>
      <c r="Q90" s="33">
        <f>Q6</f>
        <v/>
      </c>
      <c r="R90" s="33">
        <f>R6</f>
        <v/>
      </c>
      <c r="S90" s="33">
        <f>S6</f>
        <v/>
      </c>
      <c r="T90" s="33">
        <f>T6</f>
        <v/>
      </c>
      <c r="U90" s="33">
        <f>U6</f>
        <v/>
      </c>
      <c r="V90" s="33">
        <f>V6</f>
        <v/>
      </c>
      <c r="W90" s="33">
        <f>W6</f>
        <v/>
      </c>
      <c r="X90" s="33">
        <f>X6</f>
        <v/>
      </c>
      <c r="Y90" s="33">
        <f>Y6</f>
        <v/>
      </c>
    </row>
    <row r="91">
      <c r="E91" t="inlineStr">
        <is>
          <t>Accountable</t>
        </is>
      </c>
      <c r="F91" s="34" t="inlineStr">
        <is>
          <t>A</t>
        </is>
      </c>
      <c r="I91" s="35">
        <f>COUNTIF(I10:I87,$F91)</f>
        <v/>
      </c>
      <c r="J91" s="35">
        <f>COUNTIF(J10:J87,$F91)</f>
        <v/>
      </c>
      <c r="K91" s="35">
        <f>COUNTIF(K10:K87,$F91)</f>
        <v/>
      </c>
      <c r="L91" s="35">
        <f>COUNTIF(L10:L87,$F91)</f>
        <v/>
      </c>
      <c r="M91" s="35">
        <f>COUNTIF(M10:M87,$F91)</f>
        <v/>
      </c>
      <c r="N91" s="35">
        <f>COUNTIF(N10:N87,$F91)</f>
        <v/>
      </c>
      <c r="O91" s="35">
        <f>COUNTIF(O10:O87,$F91)</f>
        <v/>
      </c>
      <c r="P91" s="35">
        <f>COUNTIF(P10:P87,$F91)</f>
        <v/>
      </c>
      <c r="Q91" s="35">
        <f>COUNTIF(Q10:Q87,$F91)</f>
        <v/>
      </c>
      <c r="R91" s="35">
        <f>COUNTIF(R10:R87,$F91)</f>
        <v/>
      </c>
      <c r="S91" s="35">
        <f>COUNTIF(S10:S87,$F91)</f>
        <v/>
      </c>
      <c r="T91" s="35">
        <f>COUNTIF(T10:T87,$F91)</f>
        <v/>
      </c>
      <c r="U91" s="35">
        <f>COUNTIF(U10:U87,$F91)</f>
        <v/>
      </c>
      <c r="V91" s="35">
        <f>COUNTIF(V10:V87,$F91)</f>
        <v/>
      </c>
      <c r="W91" s="35">
        <f>COUNTIF(W10:W87,$F91)</f>
        <v/>
      </c>
      <c r="X91" s="35">
        <f>COUNTIF(X10:X87,$F91)</f>
        <v/>
      </c>
      <c r="Y91" s="35">
        <f>COUNTIF(Y10:Y87,$F91)</f>
        <v/>
      </c>
    </row>
    <row r="92">
      <c r="E92" t="inlineStr">
        <is>
          <t>Accountable and Responsible</t>
        </is>
      </c>
      <c r="F92" s="36" t="inlineStr">
        <is>
          <t>A and R</t>
        </is>
      </c>
      <c r="I92" s="35">
        <f>COUNTIF(I10:I87,$F92)</f>
        <v/>
      </c>
      <c r="J92" s="35">
        <f>COUNTIF(J10:J87,$F92)</f>
        <v/>
      </c>
      <c r="K92" s="35">
        <f>COUNTIF(K10:K87,$F92)</f>
        <v/>
      </c>
      <c r="L92" s="35">
        <f>COUNTIF(L10:L87,$F92)</f>
        <v/>
      </c>
      <c r="M92" s="35">
        <f>COUNTIF(M10:M87,$F92)</f>
        <v/>
      </c>
      <c r="N92" s="35">
        <f>COUNTIF(N10:N87,$F92)</f>
        <v/>
      </c>
      <c r="O92" s="35">
        <f>COUNTIF(O10:O87,$F92)</f>
        <v/>
      </c>
      <c r="P92" s="35">
        <f>COUNTIF(P10:P87,$F92)</f>
        <v/>
      </c>
      <c r="Q92" s="35">
        <f>COUNTIF(Q10:Q87,$F92)</f>
        <v/>
      </c>
      <c r="R92" s="35">
        <f>COUNTIF(R10:R87,$F92)</f>
        <v/>
      </c>
      <c r="S92" s="35">
        <f>COUNTIF(S10:S87,$F92)</f>
        <v/>
      </c>
      <c r="T92" s="35">
        <f>COUNTIF(T10:T87,$F92)</f>
        <v/>
      </c>
      <c r="U92" s="35">
        <f>COUNTIF(U10:U87,$F92)</f>
        <v/>
      </c>
      <c r="V92" s="35">
        <f>COUNTIF(V10:V87,$F92)</f>
        <v/>
      </c>
      <c r="W92" s="35">
        <f>COUNTIF(W10:W87,$F92)</f>
        <v/>
      </c>
      <c r="X92" s="35">
        <f>COUNTIF(X10:X87,$F92)</f>
        <v/>
      </c>
      <c r="Y92" s="35">
        <f>COUNTIF(Y10:Y87,$F92)</f>
        <v/>
      </c>
    </row>
    <row r="93">
      <c r="E93" t="inlineStr">
        <is>
          <t>Responsible – narrative request</t>
        </is>
      </c>
      <c r="F93" s="37" t="inlineStr">
        <is>
          <t>R</t>
        </is>
      </c>
      <c r="I93" s="35">
        <f>COUNTIF(I10:I87,$F93)</f>
        <v/>
      </c>
      <c r="J93" s="35">
        <f>COUNTIF(J10:J87,$F93)</f>
        <v/>
      </c>
      <c r="K93" s="35">
        <f>COUNTIF(K10:K87,$F93)</f>
        <v/>
      </c>
      <c r="L93" s="35">
        <f>COUNTIF(L10:L87,$F93)</f>
        <v/>
      </c>
      <c r="M93" s="35">
        <f>COUNTIF(M10:M87,$F93)</f>
        <v/>
      </c>
      <c r="N93" s="35">
        <f>COUNTIF(N10:N87,$F93)</f>
        <v/>
      </c>
      <c r="O93" s="35">
        <f>COUNTIF(O10:O87,$F93)</f>
        <v/>
      </c>
      <c r="P93" s="35">
        <f>COUNTIF(P10:P87,$F93)</f>
        <v/>
      </c>
      <c r="Q93" s="35">
        <f>COUNTIF(Q10:Q87,$F93)</f>
        <v/>
      </c>
      <c r="R93" s="35">
        <f>COUNTIF(R10:R87,$F93)</f>
        <v/>
      </c>
      <c r="S93" s="35">
        <f>COUNTIF(S10:S87,$F93)</f>
        <v/>
      </c>
      <c r="T93" s="35">
        <f>COUNTIF(T10:T87,$F93)</f>
        <v/>
      </c>
      <c r="U93" s="35">
        <f>COUNTIF(U10:U87,$F93)</f>
        <v/>
      </c>
      <c r="V93" s="35">
        <f>COUNTIF(V10:V87,$F93)</f>
        <v/>
      </c>
      <c r="W93" s="35">
        <f>COUNTIF(W10:W87,$F93)</f>
        <v/>
      </c>
      <c r="X93" s="35">
        <f>COUNTIF(X10:X87,$F93)</f>
        <v/>
      </c>
      <c r="Y93" s="35">
        <f>COUNTIF(Y10:Y87,$F93)</f>
        <v/>
      </c>
    </row>
    <row r="94">
      <c r="E94" t="inlineStr">
        <is>
          <t>Responsible – figures for the Databook (Tab 4)</t>
        </is>
      </c>
      <c r="F94" s="38" t="inlineStr">
        <is>
          <t>R (quant)</t>
        </is>
      </c>
      <c r="I94" s="35">
        <f>COUNTIF(I10:I87,$F94)</f>
        <v/>
      </c>
      <c r="J94" s="35">
        <f>COUNTIF(J10:J87,$F94)</f>
        <v/>
      </c>
      <c r="K94" s="35">
        <f>COUNTIF(K10:K87,$F94)</f>
        <v/>
      </c>
      <c r="L94" s="35">
        <f>COUNTIF(L10:L87,$F94)</f>
        <v/>
      </c>
      <c r="M94" s="35">
        <f>COUNTIF(M10:M87,$F94)</f>
        <v/>
      </c>
      <c r="N94" s="35">
        <f>COUNTIF(N10:N87,$F94)</f>
        <v/>
      </c>
      <c r="O94" s="35">
        <f>COUNTIF(O10:O87,$F94)</f>
        <v/>
      </c>
      <c r="P94" s="35">
        <f>COUNTIF(P10:P87,$F94)</f>
        <v/>
      </c>
      <c r="Q94" s="35">
        <f>COUNTIF(Q10:Q87,$F94)</f>
        <v/>
      </c>
      <c r="R94" s="35">
        <f>COUNTIF(R10:R87,$F94)</f>
        <v/>
      </c>
      <c r="S94" s="35">
        <f>COUNTIF(S10:S87,$F94)</f>
        <v/>
      </c>
      <c r="T94" s="35">
        <f>COUNTIF(T10:T87,$F94)</f>
        <v/>
      </c>
      <c r="U94" s="35">
        <f>COUNTIF(U10:U87,$F94)</f>
        <v/>
      </c>
      <c r="V94" s="35">
        <f>COUNTIF(V10:V87,$F94)</f>
        <v/>
      </c>
      <c r="W94" s="35">
        <f>COUNTIF(W10:W87,$F94)</f>
        <v/>
      </c>
      <c r="X94" s="35">
        <f>COUNTIF(X10:X87,$F94)</f>
        <v/>
      </c>
      <c r="Y94" s="35">
        <f>COUNTIF(Y10:Y87,$F94)</f>
        <v/>
      </c>
    </row>
    <row r="95">
      <c r="E95" t="inlineStr">
        <is>
          <t>SST compiles from other responses / no request</t>
        </is>
      </c>
      <c r="F95" s="39" t="inlineStr">
        <is>
          <t>R (compile)</t>
        </is>
      </c>
      <c r="I95" s="35">
        <f>COUNTIF(I10:I87,$F95)</f>
        <v/>
      </c>
      <c r="J95" s="35">
        <f>COUNTIF(J10:J87,$F95)</f>
        <v/>
      </c>
      <c r="K95" s="35">
        <f>COUNTIF(K10:K87,$F95)</f>
        <v/>
      </c>
      <c r="L95" s="35">
        <f>COUNTIF(L10:L87,$F95)</f>
        <v/>
      </c>
      <c r="M95" s="35">
        <f>COUNTIF(M10:M87,$F95)</f>
        <v/>
      </c>
      <c r="N95" s="35">
        <f>COUNTIF(N10:N87,$F95)</f>
        <v/>
      </c>
      <c r="O95" s="35">
        <f>COUNTIF(O10:O87,$F95)</f>
        <v/>
      </c>
      <c r="P95" s="35">
        <f>COUNTIF(P10:P87,$F95)</f>
        <v/>
      </c>
      <c r="Q95" s="35">
        <f>COUNTIF(Q10:Q87,$F95)</f>
        <v/>
      </c>
      <c r="R95" s="35">
        <f>COUNTIF(R10:R87,$F95)</f>
        <v/>
      </c>
      <c r="S95" s="35">
        <f>COUNTIF(S10:S87,$F95)</f>
        <v/>
      </c>
      <c r="T95" s="35">
        <f>COUNTIF(T10:T87,$F95)</f>
        <v/>
      </c>
      <c r="U95" s="35">
        <f>COUNTIF(U10:U87,$F95)</f>
        <v/>
      </c>
      <c r="V95" s="35">
        <f>COUNTIF(V10:V87,$F95)</f>
        <v/>
      </c>
      <c r="W95" s="35">
        <f>COUNTIF(W10:W87,$F95)</f>
        <v/>
      </c>
      <c r="X95" s="35">
        <f>COUNTIF(X10:X87,$F95)</f>
        <v/>
      </c>
      <c r="Y95" s="35">
        <f>COUNTIF(Y10:Y87,$F95)</f>
        <v/>
      </c>
    </row>
    <row r="96">
      <c r="E96" t="inlineStr">
        <is>
          <t>Support</t>
        </is>
      </c>
      <c r="F96" s="40" t="inlineStr">
        <is>
          <t>S</t>
        </is>
      </c>
      <c r="I96" s="35">
        <f>COUNTIF(I10:I87,$F96)</f>
        <v/>
      </c>
      <c r="J96" s="35">
        <f>COUNTIF(J10:J87,$F96)</f>
        <v/>
      </c>
      <c r="K96" s="35">
        <f>COUNTIF(K10:K87,$F96)</f>
        <v/>
      </c>
      <c r="L96" s="35">
        <f>COUNTIF(L10:L87,$F96)</f>
        <v/>
      </c>
      <c r="M96" s="35">
        <f>COUNTIF(M10:M87,$F96)</f>
        <v/>
      </c>
      <c r="N96" s="35">
        <f>COUNTIF(N10:N87,$F96)</f>
        <v/>
      </c>
      <c r="O96" s="35">
        <f>COUNTIF(O10:O87,$F96)</f>
        <v/>
      </c>
      <c r="P96" s="35">
        <f>COUNTIF(P10:P87,$F96)</f>
        <v/>
      </c>
      <c r="Q96" s="35">
        <f>COUNTIF(Q10:Q87,$F96)</f>
        <v/>
      </c>
      <c r="R96" s="35">
        <f>COUNTIF(R10:R87,$F96)</f>
        <v/>
      </c>
      <c r="S96" s="35">
        <f>COUNTIF(S10:S87,$F96)</f>
        <v/>
      </c>
      <c r="T96" s="35">
        <f>COUNTIF(T10:T87,$F96)</f>
        <v/>
      </c>
      <c r="U96" s="35">
        <f>COUNTIF(U10:U87,$F96)</f>
        <v/>
      </c>
      <c r="V96" s="35">
        <f>COUNTIF(V10:V87,$F96)</f>
        <v/>
      </c>
      <c r="W96" s="35">
        <f>COUNTIF(W10:W87,$F96)</f>
        <v/>
      </c>
      <c r="X96" s="35">
        <f>COUNTIF(X10:X87,$F96)</f>
        <v/>
      </c>
      <c r="Y96" s="35">
        <f>COUNTIF(Y10:Y87,$F96)</f>
        <v/>
      </c>
    </row>
    <row r="97">
      <c r="E97" t="inlineStr">
        <is>
          <t>Consulted</t>
        </is>
      </c>
      <c r="F97" s="41" t="inlineStr">
        <is>
          <t>C</t>
        </is>
      </c>
      <c r="I97" s="35">
        <f>COUNTIF(I10:I87,$F97)</f>
        <v/>
      </c>
      <c r="J97" s="35">
        <f>COUNTIF(J10:J87,$F97)</f>
        <v/>
      </c>
      <c r="K97" s="35">
        <f>COUNTIF(K10:K87,$F97)</f>
        <v/>
      </c>
      <c r="L97" s="35">
        <f>COUNTIF(L10:L87,$F97)</f>
        <v/>
      </c>
      <c r="M97" s="35">
        <f>COUNTIF(M10:M87,$F97)</f>
        <v/>
      </c>
      <c r="N97" s="35">
        <f>COUNTIF(N10:N87,$F97)</f>
        <v/>
      </c>
      <c r="O97" s="35">
        <f>COUNTIF(O10:O87,$F97)</f>
        <v/>
      </c>
      <c r="P97" s="35">
        <f>COUNTIF(P10:P87,$F97)</f>
        <v/>
      </c>
      <c r="Q97" s="35">
        <f>COUNTIF(Q10:Q87,$F97)</f>
        <v/>
      </c>
      <c r="R97" s="35">
        <f>COUNTIF(R10:R87,$F97)</f>
        <v/>
      </c>
      <c r="S97" s="35">
        <f>COUNTIF(S10:S87,$F97)</f>
        <v/>
      </c>
      <c r="T97" s="35">
        <f>COUNTIF(T10:T87,$F97)</f>
        <v/>
      </c>
      <c r="U97" s="35">
        <f>COUNTIF(U10:U87,$F97)</f>
        <v/>
      </c>
      <c r="V97" s="35">
        <f>COUNTIF(V10:V87,$F97)</f>
        <v/>
      </c>
      <c r="W97" s="35">
        <f>COUNTIF(W10:W87,$F97)</f>
        <v/>
      </c>
      <c r="X97" s="35">
        <f>COUNTIF(X10:X87,$F97)</f>
        <v/>
      </c>
      <c r="Y97" s="35">
        <f>COUNTIF(Y10:Y87,$F97)</f>
        <v/>
      </c>
    </row>
    <row r="98">
      <c r="E98" t="inlineStr">
        <is>
          <t>Informed</t>
        </is>
      </c>
      <c r="F98" s="42" t="inlineStr">
        <is>
          <t>I</t>
        </is>
      </c>
      <c r="I98" s="35">
        <f>COUNTIF(I10:I87,$F98)</f>
        <v/>
      </c>
      <c r="J98" s="35">
        <f>COUNTIF(J10:J87,$F98)</f>
        <v/>
      </c>
      <c r="K98" s="35">
        <f>COUNTIF(K10:K87,$F98)</f>
        <v/>
      </c>
      <c r="L98" s="35">
        <f>COUNTIF(L10:L87,$F98)</f>
        <v/>
      </c>
      <c r="M98" s="35">
        <f>COUNTIF(M10:M87,$F98)</f>
        <v/>
      </c>
      <c r="N98" s="35">
        <f>COUNTIF(N10:N87,$F98)</f>
        <v/>
      </c>
      <c r="O98" s="35">
        <f>COUNTIF(O10:O87,$F98)</f>
        <v/>
      </c>
      <c r="P98" s="35">
        <f>COUNTIF(P10:P87,$F98)</f>
        <v/>
      </c>
      <c r="Q98" s="35">
        <f>COUNTIF(Q10:Q87,$F98)</f>
        <v/>
      </c>
      <c r="R98" s="35">
        <f>COUNTIF(R10:R87,$F98)</f>
        <v/>
      </c>
      <c r="S98" s="35">
        <f>COUNTIF(S10:S87,$F98)</f>
        <v/>
      </c>
      <c r="T98" s="35">
        <f>COUNTIF(T10:T87,$F98)</f>
        <v/>
      </c>
      <c r="U98" s="35">
        <f>COUNTIF(U10:U87,$F98)</f>
        <v/>
      </c>
      <c r="V98" s="35">
        <f>COUNTIF(V10:V87,$F98)</f>
        <v/>
      </c>
      <c r="W98" s="35">
        <f>COUNTIF(W10:W87,$F98)</f>
        <v/>
      </c>
      <c r="X98" s="35">
        <f>COUNTIF(X10:X87,$F98)</f>
        <v/>
      </c>
      <c r="Y98" s="35">
        <f>COUNTIF(Y10:Y87,$F98)</f>
        <v/>
      </c>
    </row>
    <row r="99">
      <c r="E99" s="32" t="inlineStr">
        <is>
          <t>Total A</t>
        </is>
      </c>
      <c r="I99" s="23">
        <f>I91+I92</f>
        <v/>
      </c>
      <c r="J99" s="23">
        <f>J91+J92</f>
        <v/>
      </c>
      <c r="K99" s="23">
        <f>K91+K92</f>
        <v/>
      </c>
      <c r="L99" s="23">
        <f>L91+L92</f>
        <v/>
      </c>
      <c r="M99" s="23">
        <f>M91+M92</f>
        <v/>
      </c>
      <c r="N99" s="23">
        <f>N91+N92</f>
        <v/>
      </c>
      <c r="O99" s="23">
        <f>O91+O92</f>
        <v/>
      </c>
      <c r="P99" s="23">
        <f>P91+P92</f>
        <v/>
      </c>
      <c r="Q99" s="23">
        <f>Q91+Q92</f>
        <v/>
      </c>
      <c r="R99" s="23">
        <f>R91+R92</f>
        <v/>
      </c>
      <c r="S99" s="23">
        <f>S91+S92</f>
        <v/>
      </c>
      <c r="T99" s="23">
        <f>T91+T92</f>
        <v/>
      </c>
      <c r="U99" s="23">
        <f>U91+U92</f>
        <v/>
      </c>
      <c r="V99" s="23">
        <f>V91+V92</f>
        <v/>
      </c>
      <c r="W99" s="23">
        <f>W91+W92</f>
        <v/>
      </c>
      <c r="X99" s="23">
        <f>X91+X92</f>
        <v/>
      </c>
      <c r="Y99" s="23">
        <f>Y91+Y92</f>
        <v/>
      </c>
    </row>
    <row r="100">
      <c r="E100" s="32" t="inlineStr">
        <is>
          <t>Total R (all types)</t>
        </is>
      </c>
      <c r="I100" s="23">
        <f>I92+I93+I94+I95</f>
        <v/>
      </c>
      <c r="J100" s="23">
        <f>J92+J93+J94+J95</f>
        <v/>
      </c>
      <c r="K100" s="23">
        <f>K92+K93+K94+K95</f>
        <v/>
      </c>
      <c r="L100" s="23">
        <f>L92+L93+L94+L95</f>
        <v/>
      </c>
      <c r="M100" s="23">
        <f>M92+M93+M94+M95</f>
        <v/>
      </c>
      <c r="N100" s="23">
        <f>N92+N93+N94+N95</f>
        <v/>
      </c>
      <c r="O100" s="23">
        <f>O92+O93+O94+O95</f>
        <v/>
      </c>
      <c r="P100" s="23">
        <f>P92+P93+P94+P95</f>
        <v/>
      </c>
      <c r="Q100" s="23">
        <f>Q92+Q93+Q94+Q95</f>
        <v/>
      </c>
      <c r="R100" s="23">
        <f>R92+R93+R94+R95</f>
        <v/>
      </c>
      <c r="S100" s="23">
        <f>S92+S93+S94+S95</f>
        <v/>
      </c>
      <c r="T100" s="23">
        <f>T92+T93+T94+T95</f>
        <v/>
      </c>
      <c r="U100" s="23">
        <f>U92+U93+U94+U95</f>
        <v/>
      </c>
      <c r="V100" s="23">
        <f>V92+V93+V94+V95</f>
        <v/>
      </c>
      <c r="W100" s="23">
        <f>W92+W93+W94+W95</f>
        <v/>
      </c>
      <c r="X100" s="23">
        <f>X92+X93+X94+X95</f>
        <v/>
      </c>
      <c r="Y100" s="23">
        <f>Y92+Y93+Y94+Y95</f>
        <v/>
      </c>
    </row>
    <row r="101">
      <c r="E101" s="32" t="inlineStr">
        <is>
          <t>Total indicators involved</t>
        </is>
      </c>
      <c r="I101" s="23">
        <f>SUM(I91:I98)</f>
        <v/>
      </c>
      <c r="J101" s="23">
        <f>SUM(J91:J98)</f>
        <v/>
      </c>
      <c r="K101" s="23">
        <f>SUM(K91:K98)</f>
        <v/>
      </c>
      <c r="L101" s="23">
        <f>SUM(L91:L98)</f>
        <v/>
      </c>
      <c r="M101" s="23">
        <f>SUM(M91:M98)</f>
        <v/>
      </c>
      <c r="N101" s="23">
        <f>SUM(N91:N98)</f>
        <v/>
      </c>
      <c r="O101" s="23">
        <f>SUM(O91:O98)</f>
        <v/>
      </c>
      <c r="P101" s="23">
        <f>SUM(P91:P98)</f>
        <v/>
      </c>
      <c r="Q101" s="23">
        <f>SUM(Q91:Q98)</f>
        <v/>
      </c>
      <c r="R101" s="23">
        <f>SUM(R91:R98)</f>
        <v/>
      </c>
      <c r="S101" s="23">
        <f>SUM(S91:S98)</f>
        <v/>
      </c>
      <c r="T101" s="23">
        <f>SUM(T91:T98)</f>
        <v/>
      </c>
      <c r="U101" s="23">
        <f>SUM(U91:U98)</f>
        <v/>
      </c>
      <c r="V101" s="23">
        <f>SUM(V91:V98)</f>
        <v/>
      </c>
      <c r="W101" s="23">
        <f>SUM(W91:W98)</f>
        <v/>
      </c>
      <c r="X101" s="23">
        <f>SUM(X91:X98)</f>
        <v/>
      </c>
      <c r="Y101" s="23">
        <f>SUM(Y91:Y98)</f>
        <v/>
      </c>
    </row>
  </sheetData>
  <autoFilter ref="A6:Y87"/>
  <mergeCells count="2">
    <mergeCell ref="I5:Y5"/>
    <mergeCell ref="B2:G2"/>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6"/>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SR26 sustainability reporting</t>
        </is>
      </c>
    </row>
    <row r="2">
      <c r="B2" s="3" t="inlineStr">
        <is>
          <t>4. Request tracker</t>
        </is>
      </c>
    </row>
    <row r="4">
      <c r="B4" s="31" t="inlineStr">
        <is>
          <t>Summary</t>
        </is>
      </c>
    </row>
    <row r="5">
      <c r="C5" s="32" t="inlineStr">
        <is>
          <t>Not sent</t>
        </is>
      </c>
      <c r="E5" s="32" t="inlineStr">
        <is>
          <t>Sent</t>
        </is>
      </c>
      <c r="G5" s="32" t="inlineStr">
        <is>
          <t>1:1 meeting</t>
        </is>
      </c>
      <c r="I5" s="32" t="inlineStr">
        <is>
          <t>Received</t>
        </is>
      </c>
      <c r="L5" s="32" t="inlineStr">
        <is>
          <t>Response rate</t>
        </is>
      </c>
      <c r="N5" s="32" t="inlineStr">
        <is>
          <t>Rows owner-confirmed</t>
        </is>
      </c>
    </row>
    <row r="6">
      <c r="C6">
        <f>COUNTIF($N$10:$N$26,"Not sent")</f>
        <v/>
      </c>
      <c r="E6">
        <f>COUNTIF($N$10:$N$26,"Sent")</f>
        <v/>
      </c>
      <c r="G6">
        <f>COUNTIF($N$10:$N$26,"1:1 meeting")</f>
        <v/>
      </c>
      <c r="I6">
        <f>COUNTIF($N$10:$N$26,"Received")</f>
        <v/>
      </c>
      <c r="L6" s="43">
        <f>IFERROR((COUNTIF($N$10:$N$26,"Received")+COUNTIF($N$10:$N$26,"First review")+COUNTIF($N$10:$N$26,"Follow-up")+COUNTIF($N$10:$N$26,"Complete"))/(COUNTA($N$10:$N$26)-COUNTIF($N$10:$N$26,"Not required")),0)</f>
        <v/>
      </c>
      <c r="N6">
        <f>SUM($M$10:$M$26)&amp;" / "&amp;SUM($F$10:$F$26)</f>
        <v/>
      </c>
    </row>
    <row r="7">
      <c r="C7" s="32" t="inlineStr">
        <is>
          <t>First review</t>
        </is>
      </c>
      <c r="E7" s="32" t="inlineStr">
        <is>
          <t>Follow-up</t>
        </is>
      </c>
      <c r="G7" s="32" t="inlineStr">
        <is>
          <t>Complete</t>
        </is>
      </c>
      <c r="I7" s="32" t="inlineStr">
        <is>
          <t>Not required</t>
        </is>
      </c>
    </row>
    <row r="8">
      <c r="C8">
        <f>COUNTIF($N$10:$N$26,"First review")</f>
        <v/>
      </c>
      <c r="E8">
        <f>COUNTIF($N$10:$N$26,"Follow-up")</f>
        <v/>
      </c>
      <c r="G8">
        <f>COUNTIF($N$10:$N$26,"Complete")</f>
        <v/>
      </c>
      <c r="I8">
        <f>COUNTIF($N$10:$N$26,"Not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Optional 1:1 meeting (date)</t>
        </is>
      </c>
      <c r="L9" s="6" t="inlineStr">
        <is>
          <t>Rows answered (auto)</t>
        </is>
      </c>
      <c r="M9" s="6" t="inlineStr">
        <is>
          <t>Owner confirmed rows (auto)</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9</v>
      </c>
      <c r="G10" s="8" t="inlineStr">
        <is>
          <t>ABP - SR26 sustainability reporting request.xlsx</t>
        </is>
      </c>
      <c r="H10" s="44" t="n"/>
      <c r="I10" s="44" t="n">
        <v>46371</v>
      </c>
      <c r="J10" s="44">
        <f>IF(I10="","",I10-7)</f>
        <v/>
      </c>
      <c r="K10" s="44" t="inlineStr"/>
      <c r="L10" s="8">
        <f>SUMPRODUCT(--((LEN('Faculties'!$L$10:$L$19)+LEN('Faculties'!$M$10:$M$19))&gt;0))</f>
        <v/>
      </c>
      <c r="M10" s="8">
        <f>COUNTIF('Faculties'!$P$10:$P$19,"Yes")</f>
        <v/>
      </c>
      <c r="N10" s="8" t="inlineStr">
        <is>
          <t>Not sent</t>
        </is>
      </c>
      <c r="O10" s="8">
        <f>IF(OR(I10="",L10&gt;=F10),"",MAX(0,TODAY()-I10))</f>
        <v/>
      </c>
      <c r="P10" s="8" t="inlineStr"/>
    </row>
    <row r="11">
      <c r="B11" s="8" t="inlineStr">
        <is>
          <t>F2</t>
        </is>
      </c>
      <c r="C11" s="8" t="inlineStr">
        <is>
          <t>Faculty</t>
        </is>
      </c>
      <c r="D11" s="8" t="inlineStr">
        <is>
          <t>ARTS – Faculty of Arts</t>
        </is>
      </c>
      <c r="E11" s="8" t="inlineStr">
        <is>
          <t>TBC</t>
        </is>
      </c>
      <c r="F11" s="8" t="n">
        <v>9</v>
      </c>
      <c r="G11" s="8" t="inlineStr">
        <is>
          <t>ARTS - SR26 sustainability reporting request.xlsx</t>
        </is>
      </c>
      <c r="H11" s="44" t="n"/>
      <c r="I11" s="44" t="n">
        <v>46371</v>
      </c>
      <c r="J11" s="44">
        <f>IF(I11="","",I11-7)</f>
        <v/>
      </c>
      <c r="K11" s="44" t="inlineStr"/>
      <c r="L11" s="8">
        <f>SUMPRODUCT(--((LEN('Faculties'!$L$26:$L$35)+LEN('Faculties'!$M$26:$M$35))&gt;0))</f>
        <v/>
      </c>
      <c r="M11" s="8">
        <f>COUNTIF('Faculties'!$P$26:$P$35,"Yes")</f>
        <v/>
      </c>
      <c r="N11" s="8" t="inlineStr">
        <is>
          <t>Not sent</t>
        </is>
      </c>
      <c r="O11" s="8">
        <f>IF(OR(I11="",L11&gt;=F11),"",MAX(0,TODAY()-I11))</f>
        <v/>
      </c>
      <c r="P11" s="8" t="inlineStr"/>
    </row>
    <row r="12">
      <c r="B12" s="8" t="inlineStr">
        <is>
          <t>F3</t>
        </is>
      </c>
      <c r="C12" s="8" t="inlineStr">
        <is>
          <t>Faculty</t>
        </is>
      </c>
      <c r="D12" s="8" t="inlineStr">
        <is>
          <t>FBE – Faculty of Business and Economics</t>
        </is>
      </c>
      <c r="E12" s="8" t="inlineStr">
        <is>
          <t>TBC</t>
        </is>
      </c>
      <c r="F12" s="8" t="n">
        <v>9</v>
      </c>
      <c r="G12" s="8" t="inlineStr">
        <is>
          <t>FBE - SR26 sustainability reporting request.xlsx</t>
        </is>
      </c>
      <c r="H12" s="44" t="n"/>
      <c r="I12" s="44" t="n">
        <v>46371</v>
      </c>
      <c r="J12" s="44">
        <f>IF(I12="","",I12-7)</f>
        <v/>
      </c>
      <c r="K12" s="44" t="inlineStr"/>
      <c r="L12" s="8">
        <f>SUMPRODUCT(--((LEN('Faculties'!$L$42:$L$51)+LEN('Faculties'!$M$42:$M$51))&gt;0))</f>
        <v/>
      </c>
      <c r="M12" s="8">
        <f>COUNTIF('Faculties'!$P$42:$P$51,"Yes")</f>
        <v/>
      </c>
      <c r="N12" s="8" t="inlineStr">
        <is>
          <t>Not sent</t>
        </is>
      </c>
      <c r="O12" s="8">
        <f>IF(OR(I12="",L12&gt;=F12),"",MAX(0,TODAY()-I12))</f>
        <v/>
      </c>
      <c r="P12" s="8" t="inlineStr"/>
    </row>
    <row r="13">
      <c r="B13" s="8" t="inlineStr">
        <is>
          <t>F4</t>
        </is>
      </c>
      <c r="C13" s="8" t="inlineStr">
        <is>
          <t>Faculty</t>
        </is>
      </c>
      <c r="D13" s="8" t="inlineStr">
        <is>
          <t>SCI – Faculty of Science</t>
        </is>
      </c>
      <c r="E13" s="8" t="inlineStr">
        <is>
          <t>TBC</t>
        </is>
      </c>
      <c r="F13" s="8" t="n">
        <v>9</v>
      </c>
      <c r="G13" s="8" t="inlineStr">
        <is>
          <t>SCI - SR26 sustainability reporting request.xlsx</t>
        </is>
      </c>
      <c r="H13" s="44" t="n"/>
      <c r="I13" s="44" t="n">
        <v>46371</v>
      </c>
      <c r="J13" s="44">
        <f>IF(I13="","",I13-7)</f>
        <v/>
      </c>
      <c r="K13" s="44" t="inlineStr"/>
      <c r="L13" s="8">
        <f>SUMPRODUCT(--((LEN('Faculties'!$L$58:$L$67)+LEN('Faculties'!$M$58:$M$67))&gt;0))</f>
        <v/>
      </c>
      <c r="M13" s="8">
        <f>COUNTIF('Faculties'!$P$58:$P$67,"Yes")</f>
        <v/>
      </c>
      <c r="N13" s="8" t="inlineStr">
        <is>
          <t>Not sent</t>
        </is>
      </c>
      <c r="O13" s="8">
        <f>IF(OR(I13="",L13&gt;=F13),"",MAX(0,TODAY()-I13))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SR26 sustainability reporting request.xlsx</t>
        </is>
      </c>
      <c r="H14" s="44" t="n"/>
      <c r="I14" s="44" t="n">
        <v>46371</v>
      </c>
      <c r="J14" s="44">
        <f>IF(I14="","",I14-7)</f>
        <v/>
      </c>
      <c r="K14" s="44" t="inlineStr"/>
      <c r="L14" s="8">
        <f>SUMPRODUCT(--((LEN('CI&amp;S'!$L$10:$L$15)+LEN('CI&amp;S'!$M$10:$M$15))&gt;0))</f>
        <v/>
      </c>
      <c r="M14" s="8">
        <f>COUNTIF('CI&amp;S'!$P$10:$P$15,"Yes")</f>
        <v/>
      </c>
      <c r="N14" s="8" t="inlineStr">
        <is>
          <t>Not sent</t>
        </is>
      </c>
      <c r="O14" s="8">
        <f>IF(OR(I14="",L14&gt;=F14),"",MAX(0,TODAY()-I14))</f>
        <v/>
      </c>
      <c r="P14" s="8" t="inlineStr"/>
    </row>
    <row r="15">
      <c r="B15" s="8" t="inlineStr">
        <is>
          <t>C2</t>
        </is>
      </c>
      <c r="C15" s="8" t="inlineStr">
        <is>
          <t>Central</t>
        </is>
      </c>
      <c r="D15" s="8" t="inlineStr">
        <is>
          <t>CI&amp;S – Sustainability Strategy (incl. CLLAP)</t>
        </is>
      </c>
      <c r="E15" s="8" t="inlineStr">
        <is>
          <t>TBC</t>
        </is>
      </c>
      <c r="F15" s="8" t="n">
        <v>14</v>
      </c>
      <c r="G15" s="8" t="inlineStr">
        <is>
          <t>CIandS - SR26 sustainability reporting request.xlsx</t>
        </is>
      </c>
      <c r="H15" s="44" t="n"/>
      <c r="I15" s="44" t="n">
        <v>46371</v>
      </c>
      <c r="J15" s="44">
        <f>IF(I15="","",I15-7)</f>
        <v/>
      </c>
      <c r="K15" s="44" t="inlineStr"/>
      <c r="L15" s="8">
        <f>SUMPRODUCT(--((LEN('CI&amp;S'!$L$22:$L$36)+LEN('CI&amp;S'!$M$22:$M$36))&gt;0))</f>
        <v/>
      </c>
      <c r="M15" s="8">
        <f>COUNTIF('CI&amp;S'!$P$22:$P$36,"Yes")</f>
        <v/>
      </c>
      <c r="N15" s="8" t="inlineStr">
        <is>
          <t>Not sent</t>
        </is>
      </c>
      <c r="O15" s="8">
        <f>IF(OR(I15="",L15&gt;=F15),"",MAX(0,TODAY()-I15))</f>
        <v/>
      </c>
      <c r="P15" s="8" t="inlineStr"/>
    </row>
    <row r="16">
      <c r="B16" s="8" t="inlineStr">
        <is>
          <t>C3</t>
        </is>
      </c>
      <c r="C16" s="8" t="inlineStr">
        <is>
          <t>Central</t>
        </is>
      </c>
      <c r="D16" s="8" t="inlineStr">
        <is>
          <t>CFOG – Procurement</t>
        </is>
      </c>
      <c r="E16" s="8" t="inlineStr">
        <is>
          <t>TBC</t>
        </is>
      </c>
      <c r="F16" s="8" t="n">
        <v>6</v>
      </c>
      <c r="G16" s="8" t="inlineStr">
        <is>
          <t>CFOG - SR26 sustainability reporting request.xlsx</t>
        </is>
      </c>
      <c r="H16" s="44" t="n"/>
      <c r="I16" s="44" t="n">
        <v>46371</v>
      </c>
      <c r="J16" s="44">
        <f>IF(I16="","",I16-7)</f>
        <v/>
      </c>
      <c r="K16" s="44" t="inlineStr"/>
      <c r="L16" s="8">
        <f>SUMPRODUCT(--((LEN('CFOG'!$L$10:$L$16)+LEN('CFOG'!$M$10:$M$16))&gt;0))</f>
        <v/>
      </c>
      <c r="M16" s="8">
        <f>COUNTIF('CFOG'!$P$10:$P$16,"Yes")</f>
        <v/>
      </c>
      <c r="N16" s="8" t="inlineStr">
        <is>
          <t>Not sent</t>
        </is>
      </c>
      <c r="O16" s="8">
        <f>IF(OR(I16="",L16&gt;=F16),"",MAX(0,TODAY()-I16))</f>
        <v/>
      </c>
      <c r="P16" s="8" t="inlineStr"/>
    </row>
    <row r="17">
      <c r="B17" s="8" t="inlineStr">
        <is>
          <t>C4</t>
        </is>
      </c>
      <c r="C17" s="8" t="inlineStr">
        <is>
          <t>Central</t>
        </is>
      </c>
      <c r="D17" s="8" t="inlineStr">
        <is>
          <t>CFOG – Treasury &amp; Investments</t>
        </is>
      </c>
      <c r="E17" s="8" t="inlineStr">
        <is>
          <t>TBC</t>
        </is>
      </c>
      <c r="F17" s="8" t="n">
        <v>1</v>
      </c>
      <c r="G17" s="8" t="inlineStr">
        <is>
          <t>CFOG - SR26 sustainability reporting request.xlsx</t>
        </is>
      </c>
      <c r="H17" s="44" t="n"/>
      <c r="I17" s="44" t="n">
        <v>46371</v>
      </c>
      <c r="J17" s="44">
        <f>IF(I17="","",I17-7)</f>
        <v/>
      </c>
      <c r="K17" s="44" t="inlineStr"/>
      <c r="L17" s="8">
        <f>SUMPRODUCT(--((LEN('CFOG'!$L$23:$L$24)+LEN('CFOG'!$M$23:$M$24))&gt;0))</f>
        <v/>
      </c>
      <c r="M17" s="8">
        <f>COUNTIF('CFOG'!$P$23:$P$24,"Yes")</f>
        <v/>
      </c>
      <c r="N17" s="8" t="inlineStr">
        <is>
          <t>Not sent</t>
        </is>
      </c>
      <c r="O17" s="8">
        <f>IF(OR(I17="",L17&gt;=F17),"",MAX(0,TODAY()-I17))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SR26 sustainability reporting request.xlsx</t>
        </is>
      </c>
      <c r="H18" s="44" t="n"/>
      <c r="I18" s="44" t="n">
        <v>46371</v>
      </c>
      <c r="J18" s="44">
        <f>IF(I18="","",I18-7)</f>
        <v/>
      </c>
      <c r="K18" s="44" t="inlineStr"/>
      <c r="L18" s="8">
        <f>SUMPRODUCT(--((LEN('ESG'!$L$10:$L$17)+LEN('ESG'!$M$10:$M$17))&gt;0))</f>
        <v/>
      </c>
      <c r="M18" s="8">
        <f>COUNTIF('ESG'!$P$10:$P$17,"Yes")</f>
        <v/>
      </c>
      <c r="N18" s="8" t="inlineStr">
        <is>
          <t>Not sent</t>
        </is>
      </c>
      <c r="O18" s="8">
        <f>IF(OR(I18="",L18&gt;=F18),"",MAX(0,TODAY()-I18))</f>
        <v/>
      </c>
      <c r="P18" s="8" t="inlineStr"/>
    </row>
    <row r="19">
      <c r="B19" s="8" t="inlineStr">
        <is>
          <t>C6</t>
        </is>
      </c>
      <c r="C19" s="8" t="inlineStr">
        <is>
          <t>Central</t>
        </is>
      </c>
      <c r="D19" s="8" t="inlineStr">
        <is>
          <t>CIOG – Responsible AI &amp; digital</t>
        </is>
      </c>
      <c r="E19" s="8" t="inlineStr">
        <is>
          <t>TBC</t>
        </is>
      </c>
      <c r="F19" s="8" t="n">
        <v>4</v>
      </c>
      <c r="G19" s="8" t="inlineStr">
        <is>
          <t>CIOG - SR26 sustainability reporting request.xlsx</t>
        </is>
      </c>
      <c r="H19" s="44" t="n"/>
      <c r="I19" s="44" t="n">
        <v>46371</v>
      </c>
      <c r="J19" s="44">
        <f>IF(I19="","",I19-7)</f>
        <v/>
      </c>
      <c r="K19" s="44" t="inlineStr"/>
      <c r="L19" s="8">
        <f>SUMPRODUCT(--((LEN('CIOG'!$L$10:$L$14)+LEN('CIOG'!$M$10:$M$14))&gt;0))</f>
        <v/>
      </c>
      <c r="M19" s="8">
        <f>COUNTIF('CIOG'!$P$10:$P$14,"Yes")</f>
        <v/>
      </c>
      <c r="N19" s="8" t="inlineStr">
        <is>
          <t>Not sent</t>
        </is>
      </c>
      <c r="O19" s="8">
        <f>IF(OR(I19="",L19&gt;=F19),"",MAX(0,TODAY()-I19))</f>
        <v/>
      </c>
      <c r="P19" s="8" t="inlineStr"/>
    </row>
    <row r="20">
      <c r="B20" s="8" t="inlineStr">
        <is>
          <t>C7</t>
        </is>
      </c>
      <c r="C20" s="8" t="inlineStr">
        <is>
          <t>Central</t>
        </is>
      </c>
      <c r="D20" s="8" t="inlineStr">
        <is>
          <t>MRE – Research (incl. MBI – TBC)</t>
        </is>
      </c>
      <c r="E20" s="8" t="inlineStr">
        <is>
          <t>TBC</t>
        </is>
      </c>
      <c r="F20" s="8" t="n">
        <v>8</v>
      </c>
      <c r="G20" s="8" t="inlineStr">
        <is>
          <t>MRE - SR26 sustainability reporting request.xlsx</t>
        </is>
      </c>
      <c r="H20" s="44" t="n"/>
      <c r="I20" s="44" t="n">
        <v>46371</v>
      </c>
      <c r="J20" s="44">
        <f>IF(I20="","",I20-7)</f>
        <v/>
      </c>
      <c r="K20" s="44" t="inlineStr"/>
      <c r="L20" s="8">
        <f>SUMPRODUCT(--((LEN('MRE'!$L$10:$L$18)+LEN('MRE'!$M$10:$M$18))&gt;0))</f>
        <v/>
      </c>
      <c r="M20" s="8">
        <f>COUNTIF('MRE'!$P$10:$P$18,"Yes")</f>
        <v/>
      </c>
      <c r="N20" s="8" t="inlineStr">
        <is>
          <t>Not sent</t>
        </is>
      </c>
      <c r="O20" s="8">
        <f>IF(OR(I20="",L20&gt;=F20),"",MAX(0,TODAY()-I20))</f>
        <v/>
      </c>
      <c r="P20" s="8" t="inlineStr"/>
    </row>
    <row r="21">
      <c r="B21" s="8" t="inlineStr">
        <is>
          <t>C8</t>
        </is>
      </c>
      <c r="C21" s="8" t="inlineStr">
        <is>
          <t>Central</t>
        </is>
      </c>
      <c r="D21" s="8" t="inlineStr">
        <is>
          <t>AC&amp;M – Advancement, Communication and Marketing</t>
        </is>
      </c>
      <c r="E21" s="8" t="inlineStr">
        <is>
          <t>TBC</t>
        </is>
      </c>
      <c r="F21" s="8" t="n">
        <v>4</v>
      </c>
      <c r="G21" s="8" t="inlineStr">
        <is>
          <t>ACM - SR26 sustainability reporting request.xlsx</t>
        </is>
      </c>
      <c r="H21" s="44" t="n"/>
      <c r="I21" s="44" t="n">
        <v>46371</v>
      </c>
      <c r="J21" s="44">
        <f>IF(I21="","",I21-7)</f>
        <v/>
      </c>
      <c r="K21" s="44" t="inlineStr"/>
      <c r="L21" s="8">
        <f>SUMPRODUCT(--((LEN('AC&amp;M'!$L$10:$L$14)+LEN('AC&amp;M'!$M$10:$M$14))&gt;0))</f>
        <v/>
      </c>
      <c r="M21" s="8">
        <f>COUNTIF('AC&amp;M'!$P$10:$P$14,"Yes")</f>
        <v/>
      </c>
      <c r="N21" s="8" t="inlineStr">
        <is>
          <t>Not sent</t>
        </is>
      </c>
      <c r="O21" s="8">
        <f>IF(OR(I21="",L21&gt;=F21),"",MAX(0,TODAY()-I21))</f>
        <v/>
      </c>
      <c r="P21" s="8" t="inlineStr"/>
    </row>
    <row r="22">
      <c r="B22" s="8" t="inlineStr">
        <is>
          <t>C9</t>
        </is>
      </c>
      <c r="C22" s="8" t="inlineStr">
        <is>
          <t>Central</t>
        </is>
      </c>
      <c r="D22" s="8" t="inlineStr">
        <is>
          <t>GCE – Global, Culture and Engagement</t>
        </is>
      </c>
      <c r="E22" s="8" t="inlineStr">
        <is>
          <t>TBC</t>
        </is>
      </c>
      <c r="F22" s="8" t="n">
        <v>2</v>
      </c>
      <c r="G22" s="8" t="inlineStr">
        <is>
          <t>GCE - SR26 sustainability reporting request.xlsx</t>
        </is>
      </c>
      <c r="H22" s="44" t="n"/>
      <c r="I22" s="44" t="n">
        <v>46371</v>
      </c>
      <c r="J22" s="44">
        <f>IF(I22="","",I22-7)</f>
        <v/>
      </c>
      <c r="K22" s="44" t="inlineStr"/>
      <c r="L22" s="8">
        <f>SUMPRODUCT(--((LEN('GCE'!$L$10:$L$12)+LEN('GCE'!$M$10:$M$12))&gt;0))</f>
        <v/>
      </c>
      <c r="M22" s="8">
        <f>COUNTIF('GCE'!$P$10:$P$12,"Yes")</f>
        <v/>
      </c>
      <c r="N22" s="8" t="inlineStr">
        <is>
          <t>Not sent</t>
        </is>
      </c>
      <c r="O22" s="8">
        <f>IF(OR(I22="",L22&gt;=F22),"",MAX(0,TODAY()-I22))</f>
        <v/>
      </c>
      <c r="P22" s="8" t="inlineStr"/>
    </row>
    <row r="23">
      <c r="B23" s="8" t="inlineStr">
        <is>
          <t>C10</t>
        </is>
      </c>
      <c r="C23" s="8" t="inlineStr">
        <is>
          <t>Central</t>
        </is>
      </c>
      <c r="D23" s="8" t="inlineStr">
        <is>
          <t>Education – Chancellery Education</t>
        </is>
      </c>
      <c r="E23" s="8" t="inlineStr">
        <is>
          <t>TBC</t>
        </is>
      </c>
      <c r="F23" s="8" t="n">
        <v>3</v>
      </c>
      <c r="G23" s="8" t="inlineStr">
        <is>
          <t>Education - SR26 sustainability reporting request.xlsx</t>
        </is>
      </c>
      <c r="H23" s="44" t="n"/>
      <c r="I23" s="44" t="n">
        <v>46371</v>
      </c>
      <c r="J23" s="44">
        <f>IF(I23="","",I23-7)</f>
        <v/>
      </c>
      <c r="K23" s="44" t="inlineStr"/>
      <c r="L23" s="8">
        <f>SUMPRODUCT(--((LEN('Education'!$L$10:$L$13)+LEN('Education'!$M$10:$M$13))&gt;0))</f>
        <v/>
      </c>
      <c r="M23" s="8">
        <f>COUNTIF('Education'!$P$10:$P$13,"Yes")</f>
        <v/>
      </c>
      <c r="N23" s="8" t="inlineStr">
        <is>
          <t>Not sent</t>
        </is>
      </c>
      <c r="O23" s="8">
        <f>IF(OR(I23="",L23&gt;=F23),"",MAX(0,TODAY()-I23))</f>
        <v/>
      </c>
      <c r="P23" s="8" t="inlineStr"/>
    </row>
    <row r="24">
      <c r="B24" s="8" t="inlineStr">
        <is>
          <t>C11</t>
        </is>
      </c>
      <c r="C24" s="8" t="inlineStr">
        <is>
          <t>Central</t>
        </is>
      </c>
      <c r="D24" s="8" t="inlineStr">
        <is>
          <t>SaSS – Student and Scholarly Services</t>
        </is>
      </c>
      <c r="E24" s="8" t="inlineStr">
        <is>
          <t>TBC</t>
        </is>
      </c>
      <c r="F24" s="8" t="n">
        <v>2</v>
      </c>
      <c r="G24" s="8" t="inlineStr">
        <is>
          <t>SaSS - SR26 sustainability reporting request.xlsx</t>
        </is>
      </c>
      <c r="H24" s="44" t="n"/>
      <c r="I24" s="44" t="n">
        <v>46371</v>
      </c>
      <c r="J24" s="44">
        <f>IF(I24="","",I24-7)</f>
        <v/>
      </c>
      <c r="K24" s="44" t="inlineStr"/>
      <c r="L24" s="8">
        <f>SUMPRODUCT(--((LEN('SaSS'!$L$10:$L$12)+LEN('SaSS'!$M$10:$M$12))&gt;0))</f>
        <v/>
      </c>
      <c r="M24" s="8">
        <f>COUNTIF('SaSS'!$P$10:$P$12,"Yes")</f>
        <v/>
      </c>
      <c r="N24" s="8" t="inlineStr">
        <is>
          <t>Not sent</t>
        </is>
      </c>
      <c r="O24" s="8">
        <f>IF(OR(I24="",L24&gt;=F24),"",MAX(0,TODAY()-I24))</f>
        <v/>
      </c>
      <c r="P24" s="8" t="inlineStr"/>
    </row>
    <row r="25">
      <c r="B25" s="8" t="inlineStr">
        <is>
          <t>C12</t>
        </is>
      </c>
      <c r="C25" s="8" t="inlineStr">
        <is>
          <t>Central</t>
        </is>
      </c>
      <c r="D25" s="8" t="inlineStr">
        <is>
          <t>Indigenous – Chancellery Indigenous</t>
        </is>
      </c>
      <c r="E25" s="8" t="inlineStr">
        <is>
          <t>TBC</t>
        </is>
      </c>
      <c r="F25" s="8" t="n">
        <v>1</v>
      </c>
      <c r="G25" s="8" t="inlineStr">
        <is>
          <t>Indigenous - SR26 sustainability reporting request.xlsx</t>
        </is>
      </c>
      <c r="H25" s="44" t="n"/>
      <c r="I25" s="44" t="n">
        <v>46371</v>
      </c>
      <c r="J25" s="44">
        <f>IF(I25="","",I25-7)</f>
        <v/>
      </c>
      <c r="K25" s="44" t="inlineStr"/>
      <c r="L25" s="8">
        <f>SUMPRODUCT(--((LEN('Indigenous'!$L$10:$L$11)+LEN('Indigenous'!$M$10:$M$11))&gt;0))</f>
        <v/>
      </c>
      <c r="M25" s="8">
        <f>COUNTIF('Indigenous'!$P$10:$P$11,"Yes")</f>
        <v/>
      </c>
      <c r="N25" s="8" t="inlineStr">
        <is>
          <t>Not sent</t>
        </is>
      </c>
      <c r="O25" s="8">
        <f>IF(OR(I25="",L25&gt;=F25),"",MAX(0,TODAY()-I25))</f>
        <v/>
      </c>
      <c r="P25" s="8" t="inlineStr"/>
    </row>
    <row r="26">
      <c r="B26" s="8" t="inlineStr">
        <is>
          <t>C13</t>
        </is>
      </c>
      <c r="C26" s="8" t="inlineStr">
        <is>
          <t>Central</t>
        </is>
      </c>
      <c r="D26" s="8" t="inlineStr">
        <is>
          <t>Legal &amp; Risk – Risk &amp; resilience</t>
        </is>
      </c>
      <c r="E26" s="8" t="inlineStr">
        <is>
          <t>TBC</t>
        </is>
      </c>
      <c r="F26" s="8" t="n">
        <v>1</v>
      </c>
      <c r="G26" s="8" t="inlineStr">
        <is>
          <t>LandR - SR26 sustainability reporting request.xlsx</t>
        </is>
      </c>
      <c r="H26" s="44" t="n"/>
      <c r="I26" s="44" t="n">
        <v>46371</v>
      </c>
      <c r="J26" s="44">
        <f>IF(I26="","",I26-7)</f>
        <v/>
      </c>
      <c r="K26" s="44" t="inlineStr"/>
      <c r="L26" s="8">
        <f>SUMPRODUCT(--((LEN('L&amp;R'!$L$10:$L$11)+LEN('L&amp;R'!$M$10:$M$11))&gt;0))</f>
        <v/>
      </c>
      <c r="M26" s="8">
        <f>COUNTIF('L&amp;R'!$P$10:$P$11,"Yes")</f>
        <v/>
      </c>
      <c r="N26" s="8" t="inlineStr">
        <is>
          <t>Not sent</t>
        </is>
      </c>
      <c r="O26" s="8">
        <f>IF(OR(I26="",L26&gt;=F26),"",MAX(0,TODAY()-I26))</f>
        <v/>
      </c>
      <c r="P26" s="8" t="inlineStr"/>
    </row>
  </sheetData>
  <dataValidations count="1">
    <dataValidation sqref="N10:N26" showDropDown="0" showInputMessage="0" showErrorMessage="0" allowBlank="1" errorTitle="Invalid entry" error="Please select from the dropdown" type="list">
      <formula1>=Lists!$D$2:$D$9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Q6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Faculties</t>
        </is>
      </c>
    </row>
    <row r="3">
      <c r="B3" s="20" t="inlineStr">
        <is>
          <t>Consolidated responses – paste from returned request workbooks (identical column layout). Click [+] above Columns H–K for end-2025 responses.</t>
        </is>
      </c>
    </row>
    <row r="5">
      <c r="B5" s="45" t="inlineStr">
        <is>
          <t>1.1  ABP – Faculty of Architecture, Building and Planning</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EE1(a)</t>
        </is>
      </c>
      <c r="C10" s="50" t="inlineStr">
        <is>
          <t>Exceptional education</t>
        </is>
      </c>
      <c r="D10" s="50" t="inlineStr">
        <is>
          <t>Provide our students with learning experiences that help them build the knowledge, skills and relationships to lead change for sustainable societies.</t>
        </is>
      </c>
      <c r="E10" s="50" t="inlineStr">
        <is>
          <t>Evidence of innovative approaches to sustainability teaching and learning</t>
        </is>
      </c>
      <c r="F10" s="8"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10">
        <f>IF([1]'1. Reporting template'!L16="","",[1]'1. Reporting template'!L16)</f>
        <v/>
      </c>
      <c r="M10" s="10">
        <f>IF([1]'1. Reporting template'!M16="","",[1]'1. Reporting template'!M16)</f>
        <v/>
      </c>
      <c r="N10" s="10">
        <f>IF([1]'1. Reporting template'!N16="","",[1]'1. Reporting template'!N16)</f>
        <v/>
      </c>
      <c r="O10" s="10">
        <f>IF([1]'1. Reporting template'!O16="","",[1]'1. Reporting template'!O16)</f>
        <v/>
      </c>
      <c r="P10" s="10">
        <f>IF([1]'1. Reporting template'!P16="","",[1]'1. Reporting template'!P16)</f>
        <v/>
      </c>
      <c r="Q10" s="10">
        <f>IF([1]'1. Reporting template'!Q16="","",[1]'1. Reporting template'!Q16)</f>
        <v/>
      </c>
    </row>
    <row r="11" ht="150" customHeight="1">
      <c r="B11" s="7" t="inlineStr">
        <is>
          <t>EE1(b)</t>
        </is>
      </c>
      <c r="C11" s="50" t="inlineStr">
        <is>
          <t>Exceptional education</t>
        </is>
      </c>
      <c r="D11" s="50" t="inlineStr">
        <is>
          <t>Provide our students with learning experiences that help them build the knowledge, skills and relationships to lead change for sustainable societies.</t>
        </is>
      </c>
      <c r="E11" s="50"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10">
        <f>IF([1]'1. Reporting template'!L17="","",[1]'1. Reporting template'!L17)</f>
        <v/>
      </c>
      <c r="M11" s="10">
        <f>IF([1]'1. Reporting template'!M17="","",[1]'1. Reporting template'!M17)</f>
        <v/>
      </c>
      <c r="N11" s="10">
        <f>IF([1]'1. Reporting template'!N17="","",[1]'1. Reporting template'!N17)</f>
        <v/>
      </c>
      <c r="O11" s="10">
        <f>IF([1]'1. Reporting template'!O17="","",[1]'1. Reporting template'!O17)</f>
        <v/>
      </c>
      <c r="P11" s="10">
        <f>IF([1]'1. Reporting template'!P17="","",[1]'1. Reporting template'!P17)</f>
        <v/>
      </c>
      <c r="Q11" s="10">
        <f>IF([1]'1. Reporting template'!Q17="","",[1]'1. Reporting template'!Q17)</f>
        <v/>
      </c>
    </row>
    <row r="12" ht="150" customHeight="1">
      <c r="B12" s="7" t="inlineStr">
        <is>
          <t>TR1(a)</t>
        </is>
      </c>
      <c r="C12" s="50" t="inlineStr">
        <is>
          <t>Transformational research</t>
        </is>
      </c>
      <c r="D12" s="50" t="inlineStr">
        <is>
          <t>Utilise the expertise of the University’s researchers through mutually beneficial partnerships to help address the University’s operational sustainability challenges.</t>
        </is>
      </c>
      <c r="E12" s="50" t="inlineStr">
        <is>
          <t>Expert-reviewed evidence of researchers contributing to operational sustainability priorities through partnerships, advisory input, living labs, applied projects or decision-support</t>
        </is>
      </c>
      <c r="F12" s="8"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8" t="inlineStr">
        <is>
          <t>We will report on examples of researchers helping solve the University's own operational sustainability challenges, alongside CLLAP projects reported by CI&amp;S, and share them with operational teams to identify further collaboration.</t>
        </is>
      </c>
      <c r="H12" s="8" t="inlineStr">
        <is>
          <t>2a</t>
        </is>
      </c>
      <c r="I12" s="8" t="inlineStr">
        <is>
          <t>Met or exceeded</t>
        </is>
      </c>
      <c r="J12"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8" t="inlineStr"/>
      <c r="L12" s="10">
        <f>IF([1]'1. Reporting template'!L18="","",[1]'1. Reporting template'!L18)</f>
        <v/>
      </c>
      <c r="M12" s="10">
        <f>IF([1]'1. Reporting template'!M18="","",[1]'1. Reporting template'!M18)</f>
        <v/>
      </c>
      <c r="N12" s="10">
        <f>IF([1]'1. Reporting template'!N18="","",[1]'1. Reporting template'!N18)</f>
        <v/>
      </c>
      <c r="O12" s="10">
        <f>IF([1]'1. Reporting template'!O18="","",[1]'1. Reporting template'!O18)</f>
        <v/>
      </c>
      <c r="P12" s="10">
        <f>IF([1]'1. Reporting template'!P18="","",[1]'1. Reporting template'!P18)</f>
        <v/>
      </c>
      <c r="Q12" s="10">
        <f>IF([1]'1. Reporting template'!Q18="","",[1]'1. Reporting template'!Q18)</f>
        <v/>
      </c>
    </row>
    <row r="13" ht="150" customHeight="1">
      <c r="B13" s="7" t="inlineStr">
        <is>
          <t>TR2(a)</t>
        </is>
      </c>
      <c r="C13" s="50" t="inlineStr">
        <is>
          <t>Transformational research</t>
        </is>
      </c>
      <c r="D13" s="50" t="inlineStr">
        <is>
          <t>Deliver high-quality research and partnerships that contribute to sustainability outcomes and demonstrable societal benefit.</t>
        </is>
      </c>
      <c r="E13" s="50" t="inlineStr">
        <is>
          <t>Evidence of sustainability-related research impact across diverse pathways, could include policy, industry, community, practice, cultural and institutional outcomes</t>
        </is>
      </c>
      <c r="F13" s="8"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8" t="inlineStr">
        <is>
          <t>We will collate research impact examples across faculties to show the breadth of sustainability-related research impact in the Transformational research section of the 2026 Sustainability Report, complementing University-wide metrics from MRE.</t>
        </is>
      </c>
      <c r="H13" s="8" t="inlineStr">
        <is>
          <t>5b(i)</t>
        </is>
      </c>
      <c r="I13" s="8" t="inlineStr">
        <is>
          <t>Met or exceeded</t>
        </is>
      </c>
      <c r="J13"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8" t="inlineStr">
        <is>
          <t>www.beyondepic.io</t>
        </is>
      </c>
      <c r="L13" s="10">
        <f>IF([1]'1. Reporting template'!L19="","",[1]'1. Reporting template'!L19)</f>
        <v/>
      </c>
      <c r="M13" s="10">
        <f>IF([1]'1. Reporting template'!M19="","",[1]'1. Reporting template'!M19)</f>
        <v/>
      </c>
      <c r="N13" s="10">
        <f>IF([1]'1. Reporting template'!N19="","",[1]'1. Reporting template'!N19)</f>
        <v/>
      </c>
      <c r="O13" s="10">
        <f>IF([1]'1. Reporting template'!O19="","",[1]'1. Reporting template'!O19)</f>
        <v/>
      </c>
      <c r="P13" s="10">
        <f>IF([1]'1. Reporting template'!P19="","",[1]'1. Reporting template'!P19)</f>
        <v/>
      </c>
      <c r="Q13" s="10">
        <f>IF([1]'1. Reporting template'!Q19="","",[1]'1. Reporting template'!Q19)</f>
        <v/>
      </c>
    </row>
    <row r="14" ht="150" customHeight="1">
      <c r="B14" s="7" t="inlineStr">
        <is>
          <t>TR2(d)</t>
        </is>
      </c>
      <c r="C14" s="50" t="inlineStr">
        <is>
          <t>Transformational research</t>
        </is>
      </c>
      <c r="D14" s="50" t="inlineStr">
        <is>
          <t>Deliver high-quality research and partnerships that contribute to sustainability outcomes and demonstrable societal benefit.</t>
        </is>
      </c>
      <c r="E14" s="50" t="inlineStr">
        <is>
          <t>Case-based evidence demonstrating how research has contributed to meaningful sustainability outcomes.</t>
        </is>
      </c>
      <c r="F14" s="8"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8" t="inlineStr">
        <is>
          <t>We will select the strongest examples to develop as full research case studies for the 2026 Sustainability Report (we may contact you for more detail and images).</t>
        </is>
      </c>
      <c r="H14" s="8" t="inlineStr">
        <is>
          <t>5b(i)</t>
        </is>
      </c>
      <c r="I14" s="8" t="inlineStr">
        <is>
          <t>Met or exceeded</t>
        </is>
      </c>
      <c r="J14"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8" t="inlineStr">
        <is>
          <t>www.beyondepic.io</t>
        </is>
      </c>
      <c r="L14" s="10">
        <f>IF([1]'1. Reporting template'!L20="","",[1]'1. Reporting template'!L20)</f>
        <v/>
      </c>
      <c r="M14" s="10">
        <f>IF([1]'1. Reporting template'!M20="","",[1]'1. Reporting template'!M20)</f>
        <v/>
      </c>
      <c r="N14" s="10">
        <f>IF([1]'1. Reporting template'!N20="","",[1]'1. Reporting template'!N20)</f>
        <v/>
      </c>
      <c r="O14" s="10">
        <f>IF([1]'1. Reporting template'!O20="","",[1]'1. Reporting template'!O20)</f>
        <v/>
      </c>
      <c r="P14" s="10">
        <f>IF([1]'1. Reporting template'!P20="","",[1]'1. Reporting template'!P20)</f>
        <v/>
      </c>
      <c r="Q14" s="10">
        <f>IF([1]'1. Reporting template'!Q20="","",[1]'1. Reporting template'!Q20)</f>
        <v/>
      </c>
    </row>
    <row r="15" ht="150" customHeight="1">
      <c r="B15" s="7" t="inlineStr">
        <is>
          <t>TR3(b)</t>
        </is>
      </c>
      <c r="C15" s="50" t="inlineStr">
        <is>
          <t>Transformational research</t>
        </is>
      </c>
      <c r="D15" s="50" t="inlineStr">
        <is>
          <t>Embed sustainability within research systems, processes, capability and culture, so research is conducted responsibly, efficiently and with reduced environmental impact.</t>
        </is>
      </c>
      <c r="E15" s="50" t="inlineStr">
        <is>
          <t>Demonstrated examples of more sustainable research practices in laboratories, fieldwork, procurement, travel or infrastructure use</t>
        </is>
      </c>
      <c r="F15" s="8"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8" t="inlineStr">
        <is>
          <t>We will report on ways the University is making research practices more sustainable in the 2026 Sustainability Report, and share practical examples (e.g. green labs) across faculties.</t>
        </is>
      </c>
      <c r="H15" s="8" t="inlineStr">
        <is>
          <t>5c(ii)</t>
        </is>
      </c>
      <c r="I15" s="8" t="inlineStr">
        <is>
          <t>Partially met</t>
        </is>
      </c>
      <c r="J15"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8" t="inlineStr"/>
      <c r="L15" s="10">
        <f>IF([1]'1. Reporting template'!L21="","",[1]'1. Reporting template'!L21)</f>
        <v/>
      </c>
      <c r="M15" s="10">
        <f>IF([1]'1. Reporting template'!M21="","",[1]'1. Reporting template'!M21)</f>
        <v/>
      </c>
      <c r="N15" s="10">
        <f>IF([1]'1. Reporting template'!N21="","",[1]'1. Reporting template'!N21)</f>
        <v/>
      </c>
      <c r="O15" s="10">
        <f>IF([1]'1. Reporting template'!O21="","",[1]'1. Reporting template'!O21)</f>
        <v/>
      </c>
      <c r="P15" s="10">
        <f>IF([1]'1. Reporting template'!P21="","",[1]'1. Reporting template'!P21)</f>
        <v/>
      </c>
      <c r="Q15" s="10">
        <f>IF([1]'1. Reporting template'!Q21="","",[1]'1. Reporting template'!Q21)</f>
        <v/>
      </c>
    </row>
    <row r="16" ht="150" customHeight="1">
      <c r="B16" s="7" t="inlineStr">
        <is>
          <t>EN1(a)</t>
        </is>
      </c>
      <c r="C16" s="50" t="inlineStr">
        <is>
          <t>Enablers</t>
        </is>
      </c>
      <c r="D16" s="50" t="inlineStr">
        <is>
          <t>Enablers</t>
        </is>
      </c>
      <c r="E16" s="50" t="inlineStr">
        <is>
          <t>Evidence of sustainability outcomes informed by Indigenous knowledges</t>
        </is>
      </c>
      <c r="F16" s="8"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8" t="inlineStr">
        <is>
          <t>We will report on the ways Indigenous knowledges inform sustainability activities across the University, and develop selected examples into case studies with appropriate permissions.</t>
        </is>
      </c>
      <c r="H16" s="8" t="inlineStr">
        <is>
          <t>6a</t>
        </is>
      </c>
      <c r="I16" s="8" t="inlineStr">
        <is>
          <t>Met or exceeded</t>
        </is>
      </c>
      <c r="J1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8" t="inlineStr"/>
      <c r="L16" s="10">
        <f>IF([1]'1. Reporting template'!L22="","",[1]'1. Reporting template'!L22)</f>
        <v/>
      </c>
      <c r="M16" s="10">
        <f>IF([1]'1. Reporting template'!M22="","",[1]'1. Reporting template'!M22)</f>
        <v/>
      </c>
      <c r="N16" s="10">
        <f>IF([1]'1. Reporting template'!N22="","",[1]'1. Reporting template'!N22)</f>
        <v/>
      </c>
      <c r="O16" s="10">
        <f>IF([1]'1. Reporting template'!O22="","",[1]'1. Reporting template'!O22)</f>
        <v/>
      </c>
      <c r="P16" s="10">
        <f>IF([1]'1. Reporting template'!P22="","",[1]'1. Reporting template'!P22)</f>
        <v/>
      </c>
      <c r="Q16" s="10">
        <f>IF([1]'1. Reporting template'!Q22="","",[1]'1. Reporting template'!Q22)</f>
        <v/>
      </c>
    </row>
    <row r="17" ht="150" customHeight="1">
      <c r="B17" s="7" t="inlineStr">
        <is>
          <t>EN1(b)</t>
        </is>
      </c>
      <c r="C17" s="50" t="inlineStr">
        <is>
          <t>Enablers</t>
        </is>
      </c>
      <c r="D17" s="50" t="inlineStr">
        <is>
          <t>Enablers</t>
        </is>
      </c>
      <c r="E17" s="50" t="inlineStr">
        <is>
          <t>Living laboratories enabling applied learning, research and operational sustainability outcomes</t>
        </is>
      </c>
      <c r="F17" s="8"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8" t="inlineStr">
        <is>
          <t>We will share examples of sustainability-related living labs from across the University in the 2026 Sustainability Report, alongside CLLAP projects reported by CI&amp;S.</t>
        </is>
      </c>
      <c r="H17" s="8" t="inlineStr">
        <is>
          <t>2a</t>
        </is>
      </c>
      <c r="I17" s="8" t="inlineStr">
        <is>
          <t>Met or exceeded</t>
        </is>
      </c>
      <c r="J1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8" t="inlineStr"/>
      <c r="L17" s="10">
        <f>IF([1]'1. Reporting template'!L23="","",[1]'1. Reporting template'!L23)</f>
        <v/>
      </c>
      <c r="M17" s="10">
        <f>IF([1]'1. Reporting template'!M23="","",[1]'1. Reporting template'!M23)</f>
        <v/>
      </c>
      <c r="N17" s="10">
        <f>IF([1]'1. Reporting template'!N23="","",[1]'1. Reporting template'!N23)</f>
        <v/>
      </c>
      <c r="O17" s="10">
        <f>IF([1]'1. Reporting template'!O23="","",[1]'1. Reporting template'!O23)</f>
        <v/>
      </c>
      <c r="P17" s="10">
        <f>IF([1]'1. Reporting template'!P23="","",[1]'1. Reporting template'!P23)</f>
        <v/>
      </c>
      <c r="Q17" s="10">
        <f>IF([1]'1. Reporting template'!Q23="","",[1]'1. Reporting template'!Q23)</f>
        <v/>
      </c>
    </row>
    <row r="18" ht="150" customHeight="1">
      <c r="B18" s="7" t="inlineStr">
        <is>
          <t>EN1(c)</t>
        </is>
      </c>
      <c r="C18" s="50" t="inlineStr">
        <is>
          <t>Enablers</t>
        </is>
      </c>
      <c r="D18" s="50" t="inlineStr">
        <is>
          <t>Enablers</t>
        </is>
      </c>
      <c r="E18" s="50" t="inlineStr">
        <is>
          <t>Coordinated internal engagement and external partnerships contributing to delivery of sustainability outcomes across priority areas.</t>
        </is>
      </c>
      <c r="F18" s="8"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8" t="inlineStr">
        <is>
          <t>We will report on internal engagement and partnerships contributing to Sustainability 2030 outcomes, and update our record of sustainability-focused communities of practice and contacts across the University.</t>
        </is>
      </c>
      <c r="H18" s="8" t="inlineStr">
        <is>
          <t>3a(ii)</t>
        </is>
      </c>
      <c r="I18" s="8" t="inlineStr">
        <is>
          <t>Met or exceeded</t>
        </is>
      </c>
      <c r="J1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8" t="inlineStr"/>
      <c r="L18" s="10">
        <f>IF([1]'1. Reporting template'!L24="","",[1]'1. Reporting template'!L24)</f>
        <v/>
      </c>
      <c r="M18" s="10">
        <f>IF([1]'1. Reporting template'!M24="","",[1]'1. Reporting template'!M24)</f>
        <v/>
      </c>
      <c r="N18" s="10">
        <f>IF([1]'1. Reporting template'!N24="","",[1]'1. Reporting template'!N24)</f>
        <v/>
      </c>
      <c r="O18" s="10">
        <f>IF([1]'1. Reporting template'!O24="","",[1]'1. Reporting template'!O24)</f>
        <v/>
      </c>
      <c r="P18" s="10">
        <f>IF([1]'1. Reporting template'!P24="","",[1]'1. Reporting template'!P24)</f>
        <v/>
      </c>
      <c r="Q18" s="10">
        <f>IF([1]'1. Reporting template'!Q24="","",[1]'1. Reporting template'!Q24)</f>
        <v/>
      </c>
    </row>
    <row r="19"/>
    <row r="21">
      <c r="B21" s="45" t="inlineStr">
        <is>
          <t>1.2  ARTS – Faculty of Arts</t>
        </is>
      </c>
    </row>
    <row r="23">
      <c r="C23" s="46" t="inlineStr">
        <is>
          <t>Sustainability 2030 target and indicator</t>
        </is>
      </c>
      <c r="H23" s="46" t="inlineStr">
        <is>
          <t>SR25 response</t>
        </is>
      </c>
      <c r="L23" s="47" t="inlineStr">
        <is>
          <t>End-2026 reporting (PLEASE COMPLETE THIS SECTION)</t>
        </is>
      </c>
    </row>
    <row r="24">
      <c r="B24" s="6" t="inlineStr">
        <is>
          <t>Ref</t>
        </is>
      </c>
      <c r="C24" s="6" t="inlineStr">
        <is>
          <t>Priority area</t>
        </is>
      </c>
      <c r="D24" s="6" t="inlineStr">
        <is>
          <t>Sustainability 2030 target</t>
        </is>
      </c>
      <c r="E24" s="6" t="inlineStr">
        <is>
          <t>Indicator</t>
        </is>
      </c>
      <c r="F24" s="6" t="inlineStr">
        <is>
          <t>2026 Reporting request</t>
        </is>
      </c>
      <c r="G24" s="6" t="inlineStr">
        <is>
          <t>How SST will use this data</t>
        </is>
      </c>
      <c r="H24" s="6" t="inlineStr">
        <is>
          <t>Related SR25 ref</t>
        </is>
      </c>
      <c r="I24" s="6" t="inlineStr">
        <is>
          <t>End-2025 confirmed status</t>
        </is>
      </c>
      <c r="J24" s="6" t="inlineStr">
        <is>
          <t>End-2025 reporting response</t>
        </is>
      </c>
      <c r="K24" s="6" t="inlineStr">
        <is>
          <t>Links and supporting information</t>
        </is>
      </c>
      <c r="L24" s="48" t="inlineStr">
        <is>
          <t>OPTION 1:  Target-level reporting (Column D)</t>
        </is>
      </c>
      <c r="M24" s="48" t="inlineStr">
        <is>
          <t>OPTION 2:  Indicator level reporting (Column E/F)</t>
        </is>
      </c>
      <c r="N24" s="48" t="inlineStr">
        <is>
          <t>Supporting information/comments</t>
        </is>
      </c>
      <c r="O24" s="48" t="inlineStr">
        <is>
          <t>Data source and limitations</t>
        </is>
      </c>
      <c r="P24" s="48" t="inlineStr">
        <is>
          <t>Data owner confirms information is accurate</t>
        </is>
      </c>
      <c r="Q24" s="48" t="inlineStr">
        <is>
          <t>Confirmed by (name, role, date)</t>
        </is>
      </c>
    </row>
    <row r="25">
      <c r="B25" s="49" t="inlineStr"/>
      <c r="C25" s="49" t="inlineStr"/>
      <c r="D25" s="49" t="inlineStr"/>
      <c r="E25" s="49" t="inlineStr"/>
      <c r="F25" s="49" t="inlineStr"/>
      <c r="G25" s="49" t="inlineStr"/>
      <c r="H25" s="49" t="inlineStr"/>
      <c r="I25" s="49" t="inlineStr"/>
      <c r="J25" s="49" t="inlineStr"/>
      <c r="K25" s="49" t="inlineStr"/>
      <c r="L25" s="49" t="inlineStr">
        <is>
          <t>A general update on activities in relation to the overarching target (Column D)</t>
        </is>
      </c>
      <c r="M25" s="49" t="inlineStr">
        <is>
          <t>Data and commentary in direct response to the reporting request (Column F)</t>
        </is>
      </c>
      <c r="N25" s="49" t="inlineStr">
        <is>
          <t>Any additional information (e.g. links, images, documents)</t>
        </is>
      </c>
      <c r="O25" s="49" t="inlineStr">
        <is>
          <t>Where did this information come from (system, report, survey, person)? Note any gaps or limitations.</t>
        </is>
      </c>
      <c r="P25" s="49" t="inlineStr">
        <is>
          <t>Select 'Yes' to confirm the information provided is accurate and can be used for reporting</t>
        </is>
      </c>
      <c r="Q25" s="49" t="inlineStr">
        <is>
          <t>Name, role and date of the person confirming</t>
        </is>
      </c>
    </row>
    <row r="26" ht="150" customHeight="1">
      <c r="B26" s="7" t="inlineStr">
        <is>
          <t>EE1(a)</t>
        </is>
      </c>
      <c r="C26" s="50" t="inlineStr">
        <is>
          <t>Exceptional education</t>
        </is>
      </c>
      <c r="D26" s="50" t="inlineStr">
        <is>
          <t>Provide our students with learning experiences that help them build the knowledge, skills and relationships to lead change for sustainable societies.</t>
        </is>
      </c>
      <c r="E26" s="50" t="inlineStr">
        <is>
          <t>Evidence of innovative approaches to sustainability teaching and learning</t>
        </is>
      </c>
      <c r="F26" s="8"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8" t="inlineStr">
        <is>
          <t>4a(ii)</t>
        </is>
      </c>
      <c r="I26" s="8" t="inlineStr">
        <is>
          <t>Partially met</t>
        </is>
      </c>
      <c r="J26"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8" t="inlineStr"/>
      <c r="L26" s="8" t="n"/>
      <c r="M26" s="8" t="n"/>
      <c r="N26" s="8" t="n"/>
      <c r="O26" s="8" t="n"/>
      <c r="P26" s="8" t="n"/>
      <c r="Q26" s="8" t="n"/>
    </row>
    <row r="27" ht="150" customHeight="1">
      <c r="B27" s="7" t="inlineStr">
        <is>
          <t>EE1(b)</t>
        </is>
      </c>
      <c r="C27" s="50" t="inlineStr">
        <is>
          <t>Exceptional education</t>
        </is>
      </c>
      <c r="D27" s="50" t="inlineStr">
        <is>
          <t>Provide our students with learning experiences that help them build the knowledge, skills and relationships to lead change for sustainable societies.</t>
        </is>
      </c>
      <c r="E27" s="50" t="inlineStr">
        <is>
          <t>Pilots of possible approaches for understanding and developing students’ sustainability self-efficacy</t>
        </is>
      </c>
      <c r="F2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8" t="inlineStr">
        <is>
          <t>This is a new indicator. We will use responses to establish a baseline of how (and whether) faculties are understanding student sustainability self-efficacy, and report on early pilots in the 2026 Sustainability Report. A nil response is useful to us.</t>
        </is>
      </c>
      <c r="H27" s="8" t="inlineStr">
        <is>
          <t>N/A – new indicator</t>
        </is>
      </c>
      <c r="I27" s="8" t="inlineStr"/>
      <c r="J27" s="8" t="inlineStr"/>
      <c r="K27" s="8" t="inlineStr"/>
      <c r="L27" s="8" t="n"/>
      <c r="M27" s="8" t="n"/>
      <c r="N27" s="8" t="n"/>
      <c r="O27" s="8" t="n"/>
      <c r="P27" s="8" t="n"/>
      <c r="Q27" s="8" t="n"/>
    </row>
    <row r="28" ht="150" customHeight="1">
      <c r="B28" s="7" t="inlineStr">
        <is>
          <t>TR1(a)</t>
        </is>
      </c>
      <c r="C28" s="50" t="inlineStr">
        <is>
          <t>Transformational research</t>
        </is>
      </c>
      <c r="D28" s="50" t="inlineStr">
        <is>
          <t>Utilise the expertise of the University’s researchers through mutually beneficial partnerships to help address the University’s operational sustainability challenges.</t>
        </is>
      </c>
      <c r="E28" s="50" t="inlineStr">
        <is>
          <t>Expert-reviewed evidence of researchers contributing to operational sustainability priorities through partnerships, advisory input, living labs, applied projects or decision-support</t>
        </is>
      </c>
      <c r="F28" s="8"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8" t="inlineStr">
        <is>
          <t>We will report on examples of researchers helping solve the University's own operational sustainability challenges, alongside CLLAP projects reported by CI&amp;S, and share them with operational teams to identify further collaboration.</t>
        </is>
      </c>
      <c r="H28" s="8" t="inlineStr">
        <is>
          <t>2a</t>
        </is>
      </c>
      <c r="I28" s="8" t="inlineStr">
        <is>
          <t>Met or exceeded</t>
        </is>
      </c>
      <c r="J28" s="8" t="inlineStr">
        <is>
          <t>See attached report. (RH note: Saved in responses folder)</t>
        </is>
      </c>
      <c r="K28" s="8" t="inlineStr">
        <is>
          <t>Draft report on the Living Lab project is here: Report John Medley Living Lab Project FINAL.docx</t>
        </is>
      </c>
      <c r="L28" s="8" t="n"/>
      <c r="M28" s="8" t="n"/>
      <c r="N28" s="8" t="n"/>
      <c r="O28" s="8" t="n"/>
      <c r="P28" s="8" t="n"/>
      <c r="Q28" s="8" t="n"/>
    </row>
    <row r="29" ht="150" customHeight="1">
      <c r="B29" s="7" t="inlineStr">
        <is>
          <t>TR2(a)</t>
        </is>
      </c>
      <c r="C29" s="50" t="inlineStr">
        <is>
          <t>Transformational research</t>
        </is>
      </c>
      <c r="D29" s="50" t="inlineStr">
        <is>
          <t>Deliver high-quality research and partnerships that contribute to sustainability outcomes and demonstrable societal benefit.</t>
        </is>
      </c>
      <c r="E29" s="50" t="inlineStr">
        <is>
          <t>Evidence of sustainability-related research impact across diverse pathways, could include policy, industry, community, practice, cultural and institutional outcomes</t>
        </is>
      </c>
      <c r="F29" s="8"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8" t="inlineStr">
        <is>
          <t>We will collate research impact examples across faculties to show the breadth of sustainability-related research impact in the Transformational research section of the 2026 Sustainability Report, complementing University-wide metrics from MRE.</t>
        </is>
      </c>
      <c r="H29" s="8" t="inlineStr">
        <is>
          <t>5b(i)</t>
        </is>
      </c>
      <c r="I29" s="8" t="inlineStr">
        <is>
          <t>Met or exceeded</t>
        </is>
      </c>
      <c r="J29" s="8" t="inlineStr">
        <is>
          <t>In addition to the matters listed at mid-2025, the Ass Dean joined the Board of MBI and hosted a major showcase of MBI activities to Arts Faculty researchers which boosted involvement in the BDI's researech clusters</t>
        </is>
      </c>
      <c r="K29" s="8" t="inlineStr"/>
      <c r="L29" s="8" t="n"/>
      <c r="M29" s="8" t="n"/>
      <c r="N29" s="8" t="n"/>
      <c r="O29" s="8" t="n"/>
      <c r="P29" s="8" t="n"/>
      <c r="Q29" s="8" t="n"/>
    </row>
    <row r="30" ht="150" customHeight="1">
      <c r="B30" s="7" t="inlineStr">
        <is>
          <t>TR2(d)</t>
        </is>
      </c>
      <c r="C30" s="50" t="inlineStr">
        <is>
          <t>Transformational research</t>
        </is>
      </c>
      <c r="D30" s="50" t="inlineStr">
        <is>
          <t>Deliver high-quality research and partnerships that contribute to sustainability outcomes and demonstrable societal benefit.</t>
        </is>
      </c>
      <c r="E30" s="50" t="inlineStr">
        <is>
          <t>Case-based evidence demonstrating how research has contributed to meaningful sustainability outcomes.</t>
        </is>
      </c>
      <c r="F30" s="8"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8" t="inlineStr">
        <is>
          <t>We will select the strongest examples to develop as full research case studies for the 2026 Sustainability Report (we may contact you for more detail and images).</t>
        </is>
      </c>
      <c r="H30" s="8" t="inlineStr">
        <is>
          <t>5b(i)</t>
        </is>
      </c>
      <c r="I30" s="8" t="inlineStr">
        <is>
          <t>Met or exceeded</t>
        </is>
      </c>
      <c r="J30" s="8" t="inlineStr">
        <is>
          <t>In addition to the matters listed at mid-2025, the Ass Dean joined the Board of MBI and hosted a major showcase of MBI activities to Arts Faculty researchers which boosted involvement in the BDI's researech clusters</t>
        </is>
      </c>
      <c r="K30" s="8" t="inlineStr"/>
      <c r="L30" s="8" t="n"/>
      <c r="M30" s="8" t="n"/>
      <c r="N30" s="8" t="n"/>
      <c r="O30" s="8" t="n"/>
      <c r="P30" s="8" t="n"/>
      <c r="Q30" s="8" t="n"/>
    </row>
    <row r="31" ht="150" customHeight="1">
      <c r="B31" s="7" t="inlineStr">
        <is>
          <t>TR3(b)</t>
        </is>
      </c>
      <c r="C31" s="50" t="inlineStr">
        <is>
          <t>Transformational research</t>
        </is>
      </c>
      <c r="D31" s="50" t="inlineStr">
        <is>
          <t>Embed sustainability within research systems, processes, capability and culture, so research is conducted responsibly, efficiently and with reduced environmental impact.</t>
        </is>
      </c>
      <c r="E31" s="50" t="inlineStr">
        <is>
          <t>Demonstrated examples of more sustainable research practices in laboratories, fieldwork, procurement, travel or infrastructure use</t>
        </is>
      </c>
      <c r="F31" s="8"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8" t="inlineStr">
        <is>
          <t>We will report on ways the University is making research practices more sustainable in the 2026 Sustainability Report, and share practical examples (e.g. green labs) across faculties.</t>
        </is>
      </c>
      <c r="H31" s="8" t="inlineStr">
        <is>
          <t>5c(ii)</t>
        </is>
      </c>
      <c r="I31" s="8" t="inlineStr">
        <is>
          <t>Not met</t>
        </is>
      </c>
      <c r="J31" s="8" t="inlineStr">
        <is>
          <t>This needs more specific attention
In general terms, the Faculty has focused on reducing air travel, the major environmental impact of our research activity.</t>
        </is>
      </c>
      <c r="K31" s="8" t="inlineStr"/>
      <c r="L31" s="8" t="n"/>
      <c r="M31" s="8" t="n"/>
      <c r="N31" s="8" t="n"/>
      <c r="O31" s="8" t="n"/>
      <c r="P31" s="8" t="n"/>
      <c r="Q31" s="8" t="n"/>
    </row>
    <row r="32" ht="150" customHeight="1">
      <c r="B32" s="7" t="inlineStr">
        <is>
          <t>EN1(a)</t>
        </is>
      </c>
      <c r="C32" s="50" t="inlineStr">
        <is>
          <t>Enablers</t>
        </is>
      </c>
      <c r="D32" s="50" t="inlineStr">
        <is>
          <t>Enablers</t>
        </is>
      </c>
      <c r="E32" s="50" t="inlineStr">
        <is>
          <t>Evidence of sustainability outcomes informed by Indigenous knowledges</t>
        </is>
      </c>
      <c r="F32" s="8"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8" t="inlineStr">
        <is>
          <t>We will report on the ways Indigenous knowledges inform sustainability activities across the University, and develop selected examples into case studies with appropriate permissions.</t>
        </is>
      </c>
      <c r="H32" s="8" t="inlineStr">
        <is>
          <t>6a</t>
        </is>
      </c>
      <c r="I32" s="8" t="inlineStr">
        <is>
          <t>Partially met</t>
        </is>
      </c>
      <c r="J32"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8" t="inlineStr"/>
      <c r="L32" s="8" t="n"/>
      <c r="M32" s="8" t="n"/>
      <c r="N32" s="8" t="n"/>
      <c r="O32" s="8" t="n"/>
      <c r="P32" s="8" t="n"/>
      <c r="Q32" s="8" t="n"/>
    </row>
    <row r="33" ht="150" customHeight="1">
      <c r="B33" s="7" t="inlineStr">
        <is>
          <t>EN1(b)</t>
        </is>
      </c>
      <c r="C33" s="50" t="inlineStr">
        <is>
          <t>Enablers</t>
        </is>
      </c>
      <c r="D33" s="50" t="inlineStr">
        <is>
          <t>Enablers</t>
        </is>
      </c>
      <c r="E33" s="50" t="inlineStr">
        <is>
          <t>Living laboratories enabling applied learning, research and operational sustainability outcomes</t>
        </is>
      </c>
      <c r="F33" s="8"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8" t="inlineStr">
        <is>
          <t>We will share examples of sustainability-related living labs from across the University in the 2026 Sustainability Report, alongside CLLAP projects reported by CI&amp;S.</t>
        </is>
      </c>
      <c r="H33" s="8" t="inlineStr">
        <is>
          <t>2a</t>
        </is>
      </c>
      <c r="I33" s="8" t="inlineStr">
        <is>
          <t>Met or exceeded</t>
        </is>
      </c>
      <c r="J33" s="8" t="inlineStr">
        <is>
          <t>See attached report. (RH note: Saved in responses folder)</t>
        </is>
      </c>
      <c r="K33" s="8" t="inlineStr">
        <is>
          <t>Draft report on the Living Lab project is here: Report John Medley Living Lab Project FINAL.docx</t>
        </is>
      </c>
      <c r="L33" s="8" t="n"/>
      <c r="M33" s="8" t="n"/>
      <c r="N33" s="8" t="n"/>
      <c r="O33" s="8" t="n"/>
      <c r="P33" s="8" t="n"/>
      <c r="Q33" s="8" t="n"/>
    </row>
    <row r="34" ht="150" customHeight="1">
      <c r="B34" s="7" t="inlineStr">
        <is>
          <t>EN1(c)</t>
        </is>
      </c>
      <c r="C34" s="50" t="inlineStr">
        <is>
          <t>Enablers</t>
        </is>
      </c>
      <c r="D34" s="50" t="inlineStr">
        <is>
          <t>Enablers</t>
        </is>
      </c>
      <c r="E34" s="50" t="inlineStr">
        <is>
          <t>Coordinated internal engagement and external partnerships contributing to delivery of sustainability outcomes across priority areas.</t>
        </is>
      </c>
      <c r="F34" s="8"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8" t="inlineStr">
        <is>
          <t>We will report on internal engagement and partnerships contributing to Sustainability 2030 outcomes, and update our record of sustainability-focused communities of practice and contacts across the University.</t>
        </is>
      </c>
      <c r="H34" s="8" t="inlineStr">
        <is>
          <t>3a(ii)</t>
        </is>
      </c>
      <c r="I34" s="8" t="inlineStr">
        <is>
          <t>Partially met</t>
        </is>
      </c>
      <c r="J34"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8" t="inlineStr"/>
      <c r="L34" s="8" t="n"/>
      <c r="M34" s="8" t="n"/>
      <c r="N34" s="8" t="n"/>
      <c r="O34" s="8" t="n"/>
      <c r="P34" s="8" t="n"/>
      <c r="Q34" s="8" t="n"/>
    </row>
    <row r="35"/>
    <row r="37">
      <c r="B37" s="45" t="inlineStr">
        <is>
          <t>1.3  FBE – Faculty of Business and Economics</t>
        </is>
      </c>
    </row>
    <row r="39">
      <c r="C39" s="46" t="inlineStr">
        <is>
          <t>Sustainability 2030 target and indicator</t>
        </is>
      </c>
      <c r="H39" s="46" t="inlineStr">
        <is>
          <t>SR25 response</t>
        </is>
      </c>
      <c r="L39" s="47" t="inlineStr">
        <is>
          <t>End-2026 reporting (PLEASE COMPLETE THIS SECTION)</t>
        </is>
      </c>
    </row>
    <row r="40">
      <c r="B40" s="6" t="inlineStr">
        <is>
          <t>Ref</t>
        </is>
      </c>
      <c r="C40" s="6" t="inlineStr">
        <is>
          <t>Priority area</t>
        </is>
      </c>
      <c r="D40" s="6" t="inlineStr">
        <is>
          <t>Sustainability 2030 target</t>
        </is>
      </c>
      <c r="E40" s="6" t="inlineStr">
        <is>
          <t>Indicator</t>
        </is>
      </c>
      <c r="F40" s="6" t="inlineStr">
        <is>
          <t>2026 Reporting request</t>
        </is>
      </c>
      <c r="G40" s="6" t="inlineStr">
        <is>
          <t>How SST will use this data</t>
        </is>
      </c>
      <c r="H40" s="6" t="inlineStr">
        <is>
          <t>Related SR25 ref</t>
        </is>
      </c>
      <c r="I40" s="6" t="inlineStr">
        <is>
          <t>End-2025 confirmed status</t>
        </is>
      </c>
      <c r="J40" s="6" t="inlineStr">
        <is>
          <t>End-2025 reporting response</t>
        </is>
      </c>
      <c r="K40" s="6" t="inlineStr">
        <is>
          <t>Links and supporting information</t>
        </is>
      </c>
      <c r="L40" s="48" t="inlineStr">
        <is>
          <t>OPTION 1:  Target-level reporting (Column D)</t>
        </is>
      </c>
      <c r="M40" s="48" t="inlineStr">
        <is>
          <t>OPTION 2:  Indicator level reporting (Column E/F)</t>
        </is>
      </c>
      <c r="N40" s="48" t="inlineStr">
        <is>
          <t>Supporting information/comments</t>
        </is>
      </c>
      <c r="O40" s="48" t="inlineStr">
        <is>
          <t>Data source and limitations</t>
        </is>
      </c>
      <c r="P40" s="48" t="inlineStr">
        <is>
          <t>Data owner confirms information is accurate</t>
        </is>
      </c>
      <c r="Q40" s="48" t="inlineStr">
        <is>
          <t>Confirmed by (name, role, date)</t>
        </is>
      </c>
    </row>
    <row r="41">
      <c r="B41" s="49" t="inlineStr"/>
      <c r="C41" s="49" t="inlineStr"/>
      <c r="D41" s="49" t="inlineStr"/>
      <c r="E41" s="49" t="inlineStr"/>
      <c r="F41" s="49" t="inlineStr"/>
      <c r="G41" s="49" t="inlineStr"/>
      <c r="H41" s="49" t="inlineStr"/>
      <c r="I41" s="49" t="inlineStr"/>
      <c r="J41" s="49" t="inlineStr"/>
      <c r="K41" s="49" t="inlineStr"/>
      <c r="L41" s="49" t="inlineStr">
        <is>
          <t>A general update on activities in relation to the overarching target (Column D)</t>
        </is>
      </c>
      <c r="M41" s="49" t="inlineStr">
        <is>
          <t>Data and commentary in direct response to the reporting request (Column F)</t>
        </is>
      </c>
      <c r="N41" s="49" t="inlineStr">
        <is>
          <t>Any additional information (e.g. links, images, documents)</t>
        </is>
      </c>
      <c r="O41" s="49" t="inlineStr">
        <is>
          <t>Where did this information come from (system, report, survey, person)? Note any gaps or limitations.</t>
        </is>
      </c>
      <c r="P41" s="49" t="inlineStr">
        <is>
          <t>Select 'Yes' to confirm the information provided is accurate and can be used for reporting</t>
        </is>
      </c>
      <c r="Q41" s="49" t="inlineStr">
        <is>
          <t>Name, role and date of the person confirming</t>
        </is>
      </c>
    </row>
    <row r="42" ht="150" customHeight="1">
      <c r="B42" s="7" t="inlineStr">
        <is>
          <t>EE1(a)</t>
        </is>
      </c>
      <c r="C42" s="50" t="inlineStr">
        <is>
          <t>Exceptional education</t>
        </is>
      </c>
      <c r="D42" s="50" t="inlineStr">
        <is>
          <t>Provide our students with learning experiences that help them build the knowledge, skills and relationships to lead change for sustainable societies.</t>
        </is>
      </c>
      <c r="E42" s="50" t="inlineStr">
        <is>
          <t>Evidence of innovative approaches to sustainability teaching and learning</t>
        </is>
      </c>
      <c r="F42" s="8"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8" t="inlineStr">
        <is>
          <t>4a(ii)</t>
        </is>
      </c>
      <c r="I42" s="8" t="inlineStr">
        <is>
          <t>Partially met</t>
        </is>
      </c>
      <c r="J42"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8" t="inlineStr"/>
      <c r="L42" s="8" t="n"/>
      <c r="M42" s="8" t="n"/>
      <c r="N42" s="8" t="n"/>
      <c r="O42" s="8" t="n"/>
      <c r="P42" s="8" t="n"/>
      <c r="Q42" s="8" t="n"/>
    </row>
    <row r="43" ht="150" customHeight="1">
      <c r="B43" s="7" t="inlineStr">
        <is>
          <t>EE1(b)</t>
        </is>
      </c>
      <c r="C43" s="50" t="inlineStr">
        <is>
          <t>Exceptional education</t>
        </is>
      </c>
      <c r="D43" s="50" t="inlineStr">
        <is>
          <t>Provide our students with learning experiences that help them build the knowledge, skills and relationships to lead change for sustainable societies.</t>
        </is>
      </c>
      <c r="E43" s="50" t="inlineStr">
        <is>
          <t>Pilots of possible approaches for understanding and developing students’ sustainability self-efficacy</t>
        </is>
      </c>
      <c r="F43"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8" t="inlineStr">
        <is>
          <t>This is a new indicator. We will use responses to establish a baseline of how (and whether) faculties are understanding student sustainability self-efficacy, and report on early pilots in the 2026 Sustainability Report. A nil response is useful to us.</t>
        </is>
      </c>
      <c r="H43" s="8" t="inlineStr">
        <is>
          <t>N/A – new indicator</t>
        </is>
      </c>
      <c r="I43" s="8" t="inlineStr"/>
      <c r="J43" s="8" t="inlineStr"/>
      <c r="K43" s="8" t="inlineStr"/>
      <c r="L43" s="8" t="n"/>
      <c r="M43" s="8" t="n"/>
      <c r="N43" s="8" t="n"/>
      <c r="O43" s="8" t="n"/>
      <c r="P43" s="8" t="n"/>
      <c r="Q43" s="8" t="n"/>
    </row>
    <row r="44" ht="150" customHeight="1">
      <c r="B44" s="7" t="inlineStr">
        <is>
          <t>TR1(a)</t>
        </is>
      </c>
      <c r="C44" s="50" t="inlineStr">
        <is>
          <t>Transformational research</t>
        </is>
      </c>
      <c r="D44" s="50" t="inlineStr">
        <is>
          <t>Utilise the expertise of the University’s researchers through mutually beneficial partnerships to help address the University’s operational sustainability challenges.</t>
        </is>
      </c>
      <c r="E44" s="50" t="inlineStr">
        <is>
          <t>Expert-reviewed evidence of researchers contributing to operational sustainability priorities through partnerships, advisory input, living labs, applied projects or decision-support</t>
        </is>
      </c>
      <c r="F44" s="8"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8" t="inlineStr">
        <is>
          <t>We will report on examples of researchers helping solve the University's own operational sustainability challenges, alongside CLLAP projects reported by CI&amp;S, and share them with operational teams to identify further collaboration.</t>
        </is>
      </c>
      <c r="H44" s="8" t="inlineStr">
        <is>
          <t>2a</t>
        </is>
      </c>
      <c r="I44" s="8" t="inlineStr">
        <is>
          <t>Partially met</t>
        </is>
      </c>
      <c r="J44" s="8" t="inlineStr">
        <is>
          <t>CLLAP report on University Investor Stewardship provided separately</t>
        </is>
      </c>
      <c r="K44" s="8" t="inlineStr"/>
      <c r="L44" s="8" t="n"/>
      <c r="M44" s="8" t="n"/>
      <c r="N44" s="8" t="n"/>
      <c r="O44" s="8" t="n"/>
      <c r="P44" s="8" t="n"/>
      <c r="Q44" s="8" t="n"/>
    </row>
    <row r="45" ht="150" customHeight="1">
      <c r="B45" s="7" t="inlineStr">
        <is>
          <t>TR2(a)</t>
        </is>
      </c>
      <c r="C45" s="50" t="inlineStr">
        <is>
          <t>Transformational research</t>
        </is>
      </c>
      <c r="D45" s="50" t="inlineStr">
        <is>
          <t>Deliver high-quality research and partnerships that contribute to sustainability outcomes and demonstrable societal benefit.</t>
        </is>
      </c>
      <c r="E45" s="50"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Partially met</t>
        </is>
      </c>
      <c r="J45"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8" t="inlineStr">
        <is>
          <t>https://fbe.unimelb.edu.au/research/our-research-at-a-glance</t>
        </is>
      </c>
      <c r="L45" s="8" t="n"/>
      <c r="M45" s="8" t="n"/>
      <c r="N45" s="8" t="n"/>
      <c r="O45" s="8" t="n"/>
      <c r="P45" s="8" t="n"/>
      <c r="Q45" s="8" t="n"/>
    </row>
    <row r="46" ht="150" customHeight="1">
      <c r="B46" s="7" t="inlineStr">
        <is>
          <t>TR2(d)</t>
        </is>
      </c>
      <c r="C46" s="50" t="inlineStr">
        <is>
          <t>Transformational research</t>
        </is>
      </c>
      <c r="D46" s="50" t="inlineStr">
        <is>
          <t>Deliver high-quality research and partnerships that contribute to sustainability outcomes and demonstrable societal benefit.</t>
        </is>
      </c>
      <c r="E46" s="50" t="inlineStr">
        <is>
          <t>Case-based evidence demonstrating how research has contributed to meaningful sustainability outcomes.</t>
        </is>
      </c>
      <c r="F46" s="8"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Partially met</t>
        </is>
      </c>
      <c r="J46"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8" t="inlineStr">
        <is>
          <t>https://fbe.unimelb.edu.au/research/our-research-at-a-glance</t>
        </is>
      </c>
      <c r="L46" s="8" t="n"/>
      <c r="M46" s="8" t="n"/>
      <c r="N46" s="8" t="n"/>
      <c r="O46" s="8" t="n"/>
      <c r="P46" s="8" t="n"/>
      <c r="Q46" s="8" t="n"/>
    </row>
    <row r="47" ht="150" customHeight="1">
      <c r="B47" s="7" t="inlineStr">
        <is>
          <t>TR3(b)</t>
        </is>
      </c>
      <c r="C47" s="50" t="inlineStr">
        <is>
          <t>Transformational research</t>
        </is>
      </c>
      <c r="D47" s="50" t="inlineStr">
        <is>
          <t>Embed sustainability within research systems, processes, capability and culture, so research is conducted responsibly, efficiently and with reduced environmental impact.</t>
        </is>
      </c>
      <c r="E47" s="50" t="inlineStr">
        <is>
          <t>Demonstrated examples of more sustainable research practices in laboratories, fieldwork, procurement, travel or infrastructure use</t>
        </is>
      </c>
      <c r="F47" s="8"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8" t="inlineStr">
        <is>
          <t>We will report on ways the University is making research practices more sustainable in the 2026 Sustainability Report, and share practical examples (e.g. green labs) across faculties.</t>
        </is>
      </c>
      <c r="H47" s="8" t="inlineStr">
        <is>
          <t>5c(ii)</t>
        </is>
      </c>
      <c r="I47" s="8" t="inlineStr">
        <is>
          <t>Partially met</t>
        </is>
      </c>
      <c r="J47"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8" t="inlineStr">
        <is>
          <t>https://fbe.unimelb.edu.au/managementmarketing/research/the-sustainability-hub</t>
        </is>
      </c>
      <c r="L47" s="8" t="n"/>
      <c r="M47" s="8" t="n"/>
      <c r="N47" s="8" t="n"/>
      <c r="O47" s="8" t="n"/>
      <c r="P47" s="8" t="n"/>
      <c r="Q47" s="8" t="n"/>
    </row>
    <row r="48" ht="150" customHeight="1">
      <c r="B48" s="7" t="inlineStr">
        <is>
          <t>EN1(a)</t>
        </is>
      </c>
      <c r="C48" s="50" t="inlineStr">
        <is>
          <t>Enablers</t>
        </is>
      </c>
      <c r="D48" s="50" t="inlineStr">
        <is>
          <t>Enablers</t>
        </is>
      </c>
      <c r="E48" s="50" t="inlineStr">
        <is>
          <t>Evidence of sustainability outcomes informed by Indigenous knowledges</t>
        </is>
      </c>
      <c r="F48" s="8"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8" t="inlineStr">
        <is>
          <t>We will report on the ways Indigenous knowledges inform sustainability activities across the University, and develop selected examples into case studies with appropriate permissions.</t>
        </is>
      </c>
      <c r="H48" s="8" t="inlineStr">
        <is>
          <t>6a</t>
        </is>
      </c>
      <c r="I48" s="8" t="inlineStr">
        <is>
          <t>Partially met</t>
        </is>
      </c>
      <c r="J48"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8" t="inlineStr">
        <is>
          <t>https://dilinduwa.com.au/
https://mabocentre.com/</t>
        </is>
      </c>
      <c r="L48" s="8" t="n"/>
      <c r="M48" s="8" t="n"/>
      <c r="N48" s="8" t="n"/>
      <c r="O48" s="8" t="n"/>
      <c r="P48" s="8" t="n"/>
      <c r="Q48" s="8" t="n"/>
    </row>
    <row r="49" ht="150" customHeight="1">
      <c r="B49" s="7" t="inlineStr">
        <is>
          <t>EN1(b)</t>
        </is>
      </c>
      <c r="C49" s="50" t="inlineStr">
        <is>
          <t>Enablers</t>
        </is>
      </c>
      <c r="D49" s="50" t="inlineStr">
        <is>
          <t>Enablers</t>
        </is>
      </c>
      <c r="E49" s="50" t="inlineStr">
        <is>
          <t>Living laboratories enabling applied learning, research and operational sustainability outcomes</t>
        </is>
      </c>
      <c r="F49" s="8"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8" t="inlineStr">
        <is>
          <t>We will share examples of sustainability-related living labs from across the University in the 2026 Sustainability Report, alongside CLLAP projects reported by CI&amp;S.</t>
        </is>
      </c>
      <c r="H49" s="8" t="inlineStr">
        <is>
          <t>2a</t>
        </is>
      </c>
      <c r="I49" s="8" t="inlineStr">
        <is>
          <t>Partially met</t>
        </is>
      </c>
      <c r="J49" s="8" t="inlineStr">
        <is>
          <t>CLLAP report on University Investor Stewardship provided separately</t>
        </is>
      </c>
      <c r="K49" s="8" t="inlineStr"/>
      <c r="L49" s="8" t="n"/>
      <c r="M49" s="8" t="n"/>
      <c r="N49" s="8" t="n"/>
      <c r="O49" s="8" t="n"/>
      <c r="P49" s="8" t="n"/>
      <c r="Q49" s="8" t="n"/>
    </row>
    <row r="50" ht="150" customHeight="1">
      <c r="B50" s="7" t="inlineStr">
        <is>
          <t>EN1(c)</t>
        </is>
      </c>
      <c r="C50" s="50" t="inlineStr">
        <is>
          <t>Enablers</t>
        </is>
      </c>
      <c r="D50" s="50" t="inlineStr">
        <is>
          <t>Enablers</t>
        </is>
      </c>
      <c r="E50" s="50" t="inlineStr">
        <is>
          <t>Coordinated internal engagement and external partnerships contributing to delivery of sustainability outcomes across priority areas.</t>
        </is>
      </c>
      <c r="F50" s="8"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8" t="inlineStr">
        <is>
          <t>We will report on internal engagement and partnerships contributing to Sustainability 2030 outcomes, and update our record of sustainability-focused communities of practice and contacts across the University.</t>
        </is>
      </c>
      <c r="H50" s="8" t="inlineStr">
        <is>
          <t>3a(ii)</t>
        </is>
      </c>
      <c r="I50" s="8" t="inlineStr">
        <is>
          <t>Partially met</t>
        </is>
      </c>
      <c r="J50"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8" t="inlineStr"/>
      <c r="L50" s="8" t="n"/>
      <c r="M50" s="8" t="n"/>
      <c r="N50" s="8" t="n"/>
      <c r="O50" s="8" t="n"/>
      <c r="P50" s="8" t="n"/>
      <c r="Q50" s="8" t="n"/>
    </row>
    <row r="51"/>
    <row r="53">
      <c r="B53" s="45" t="inlineStr">
        <is>
          <t>1.4  SCI – Faculty of Science</t>
        </is>
      </c>
    </row>
    <row r="55">
      <c r="C55" s="46" t="inlineStr">
        <is>
          <t>Sustainability 2030 target and indicator</t>
        </is>
      </c>
      <c r="H55" s="46" t="inlineStr">
        <is>
          <t>SR25 response</t>
        </is>
      </c>
      <c r="L55" s="47" t="inlineStr">
        <is>
          <t>End-2026 reporting (PLEASE COMPLETE THIS SECTION)</t>
        </is>
      </c>
    </row>
    <row r="56">
      <c r="B56" s="6" t="inlineStr">
        <is>
          <t>Ref</t>
        </is>
      </c>
      <c r="C56" s="6" t="inlineStr">
        <is>
          <t>Priority area</t>
        </is>
      </c>
      <c r="D56" s="6" t="inlineStr">
        <is>
          <t>Sustainability 2030 target</t>
        </is>
      </c>
      <c r="E56" s="6" t="inlineStr">
        <is>
          <t>Indicator</t>
        </is>
      </c>
      <c r="F56" s="6" t="inlineStr">
        <is>
          <t>2026 Reporting request</t>
        </is>
      </c>
      <c r="G56" s="6" t="inlineStr">
        <is>
          <t>How SST will use this data</t>
        </is>
      </c>
      <c r="H56" s="6" t="inlineStr">
        <is>
          <t>Related SR25 ref</t>
        </is>
      </c>
      <c r="I56" s="6" t="inlineStr">
        <is>
          <t>End-2025 confirmed status</t>
        </is>
      </c>
      <c r="J56" s="6" t="inlineStr">
        <is>
          <t>End-2025 reporting response</t>
        </is>
      </c>
      <c r="K56" s="6" t="inlineStr">
        <is>
          <t>Links and supporting information</t>
        </is>
      </c>
      <c r="L56" s="48" t="inlineStr">
        <is>
          <t>OPTION 1:  Target-level reporting (Column D)</t>
        </is>
      </c>
      <c r="M56" s="48" t="inlineStr">
        <is>
          <t>OPTION 2:  Indicator level reporting (Column E/F)</t>
        </is>
      </c>
      <c r="N56" s="48" t="inlineStr">
        <is>
          <t>Supporting information/comments</t>
        </is>
      </c>
      <c r="O56" s="48" t="inlineStr">
        <is>
          <t>Data source and limitations</t>
        </is>
      </c>
      <c r="P56" s="48" t="inlineStr">
        <is>
          <t>Data owner confirms information is accurate</t>
        </is>
      </c>
      <c r="Q56" s="48" t="inlineStr">
        <is>
          <t>Confirmed by (name, role, date)</t>
        </is>
      </c>
    </row>
    <row r="57">
      <c r="B57" s="49" t="inlineStr"/>
      <c r="C57" s="49" t="inlineStr"/>
      <c r="D57" s="49" t="inlineStr"/>
      <c r="E57" s="49" t="inlineStr"/>
      <c r="F57" s="49" t="inlineStr"/>
      <c r="G57" s="49" t="inlineStr"/>
      <c r="H57" s="49" t="inlineStr"/>
      <c r="I57" s="49" t="inlineStr"/>
      <c r="J57" s="49" t="inlineStr"/>
      <c r="K57" s="49" t="inlineStr"/>
      <c r="L57" s="49" t="inlineStr">
        <is>
          <t>A general update on activities in relation to the overarching target (Column D)</t>
        </is>
      </c>
      <c r="M57" s="49" t="inlineStr">
        <is>
          <t>Data and commentary in direct response to the reporting request (Column F)</t>
        </is>
      </c>
      <c r="N57" s="49" t="inlineStr">
        <is>
          <t>Any additional information (e.g. links, images, documents)</t>
        </is>
      </c>
      <c r="O57" s="49" t="inlineStr">
        <is>
          <t>Where did this information come from (system, report, survey, person)? Note any gaps or limitations.</t>
        </is>
      </c>
      <c r="P57" s="49" t="inlineStr">
        <is>
          <t>Select 'Yes' to confirm the information provided is accurate and can be used for reporting</t>
        </is>
      </c>
      <c r="Q57" s="49" t="inlineStr">
        <is>
          <t>Name, role and date of the person confirming</t>
        </is>
      </c>
    </row>
    <row r="58" ht="150" customHeight="1">
      <c r="B58" s="7" t="inlineStr">
        <is>
          <t>EE1(a)</t>
        </is>
      </c>
      <c r="C58" s="50" t="inlineStr">
        <is>
          <t>Exceptional education</t>
        </is>
      </c>
      <c r="D58" s="50" t="inlineStr">
        <is>
          <t>Provide our students with learning experiences that help them build the knowledge, skills and relationships to lead change for sustainable societies.</t>
        </is>
      </c>
      <c r="E58" s="50" t="inlineStr">
        <is>
          <t>Evidence of innovative approaches to sustainability teaching and learning</t>
        </is>
      </c>
      <c r="F58" s="8"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8" t="inlineStr">
        <is>
          <t>4a(ii)</t>
        </is>
      </c>
      <c r="I58" s="8" t="inlineStr">
        <is>
          <t>Met or exceeded</t>
        </is>
      </c>
      <c r="J58"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8" t="inlineStr"/>
      <c r="L58" s="8" t="n"/>
      <c r="M58" s="8" t="n"/>
      <c r="N58" s="8" t="n"/>
      <c r="O58" s="8" t="n"/>
      <c r="P58" s="8" t="n"/>
      <c r="Q58" s="8" t="n"/>
    </row>
    <row r="59" ht="150" customHeight="1">
      <c r="B59" s="7" t="inlineStr">
        <is>
          <t>EE1(b)</t>
        </is>
      </c>
      <c r="C59" s="50" t="inlineStr">
        <is>
          <t>Exceptional education</t>
        </is>
      </c>
      <c r="D59" s="50" t="inlineStr">
        <is>
          <t>Provide our students with learning experiences that help them build the knowledge, skills and relationships to lead change for sustainable societies.</t>
        </is>
      </c>
      <c r="E59" s="50" t="inlineStr">
        <is>
          <t>Pilots of possible approaches for understanding and developing students’ sustainability self-efficacy</t>
        </is>
      </c>
      <c r="F59"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8" t="inlineStr">
        <is>
          <t>This is a new indicator. We will use responses to establish a baseline of how (and whether) faculties are understanding student sustainability self-efficacy, and report on early pilots in the 2026 Sustainability Report. A nil response is useful to us.</t>
        </is>
      </c>
      <c r="H59" s="8" t="inlineStr">
        <is>
          <t>N/A – new indicator</t>
        </is>
      </c>
      <c r="I59" s="8" t="inlineStr"/>
      <c r="J59" s="8" t="inlineStr"/>
      <c r="K59" s="8" t="inlineStr"/>
      <c r="L59" s="8" t="n"/>
      <c r="M59" s="8" t="n"/>
      <c r="N59" s="8" t="n"/>
      <c r="O59" s="8" t="n"/>
      <c r="P59" s="8" t="n"/>
      <c r="Q59" s="8" t="n"/>
    </row>
    <row r="60" ht="150" customHeight="1">
      <c r="B60" s="7" t="inlineStr">
        <is>
          <t>TR1(a)</t>
        </is>
      </c>
      <c r="C60" s="50" t="inlineStr">
        <is>
          <t>Transformational research</t>
        </is>
      </c>
      <c r="D60" s="50" t="inlineStr">
        <is>
          <t>Utilise the expertise of the University’s researchers through mutually beneficial partnerships to help address the University’s operational sustainability challenges.</t>
        </is>
      </c>
      <c r="E60" s="50" t="inlineStr">
        <is>
          <t>Expert-reviewed evidence of researchers contributing to operational sustainability priorities through partnerships, advisory input, living labs, applied projects or decision-support</t>
        </is>
      </c>
      <c r="F60" s="8"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8" t="inlineStr">
        <is>
          <t>We will report on examples of researchers helping solve the University's own operational sustainability challenges, alongside CLLAP projects reported by CI&amp;S, and share them with operational teams to identify further collaboration.</t>
        </is>
      </c>
      <c r="H60" s="8" t="inlineStr">
        <is>
          <t>2a</t>
        </is>
      </c>
      <c r="I60" s="8" t="inlineStr">
        <is>
          <t>Partially met</t>
        </is>
      </c>
      <c r="J60"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8" t="inlineStr">
        <is>
          <t>https://www.unimelb.edu.au/newsroom/news/2024/october/native-harvest-cookbook-aims-to-put-indigenous-food-in-every-aussie-kitchen
https://theconversation.com/we-planted-two-woody-meadows-a-decade-ago-to-see-what-would-thrive-now-the-concept-is-popular-across-australia-269611</t>
        </is>
      </c>
      <c r="L60" s="8" t="n"/>
      <c r="M60" s="8" t="n"/>
      <c r="N60" s="8" t="n"/>
      <c r="O60" s="8" t="n"/>
      <c r="P60" s="8" t="n"/>
      <c r="Q60" s="8" t="n"/>
    </row>
    <row r="61" ht="150" customHeight="1">
      <c r="B61" s="7" t="inlineStr">
        <is>
          <t>TR2(a)</t>
        </is>
      </c>
      <c r="C61" s="50" t="inlineStr">
        <is>
          <t>Transformational research</t>
        </is>
      </c>
      <c r="D61" s="50" t="inlineStr">
        <is>
          <t>Deliver high-quality research and partnerships that contribute to sustainability outcomes and demonstrable societal benefit.</t>
        </is>
      </c>
      <c r="E61" s="50" t="inlineStr">
        <is>
          <t>Evidence of sustainability-related research impact across diverse pathways, could include policy, industry, community, practice, cultural and institutional outcomes</t>
        </is>
      </c>
      <c r="F61" s="8"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8" t="inlineStr">
        <is>
          <t>We will collate research impact examples across faculties to show the breadth of sustainability-related research impact in the Transformational research section of the 2026 Sustainability Report, complementing University-wide metrics from MRE.</t>
        </is>
      </c>
      <c r="H61" s="8" t="inlineStr">
        <is>
          <t>5b(i)</t>
        </is>
      </c>
      <c r="I61" s="8" t="inlineStr">
        <is>
          <t>Met or exceeded</t>
        </is>
      </c>
      <c r="J61"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8" t="inlineStr"/>
      <c r="L61" s="8" t="n"/>
      <c r="M61" s="8" t="n"/>
      <c r="N61" s="8" t="n"/>
      <c r="O61" s="8" t="n"/>
      <c r="P61" s="8" t="n"/>
      <c r="Q61" s="8" t="n"/>
    </row>
    <row r="62" ht="150" customHeight="1">
      <c r="B62" s="7" t="inlineStr">
        <is>
          <t>TR2(d)</t>
        </is>
      </c>
      <c r="C62" s="50" t="inlineStr">
        <is>
          <t>Transformational research</t>
        </is>
      </c>
      <c r="D62" s="50" t="inlineStr">
        <is>
          <t>Deliver high-quality research and partnerships that contribute to sustainability outcomes and demonstrable societal benefit.</t>
        </is>
      </c>
      <c r="E62" s="50" t="inlineStr">
        <is>
          <t>Case-based evidence demonstrating how research has contributed to meaningful sustainability outcomes.</t>
        </is>
      </c>
      <c r="F62" s="8"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8" t="inlineStr">
        <is>
          <t>We will select the strongest examples to develop as full research case studies for the 2026 Sustainability Report (we may contact you for more detail and images).</t>
        </is>
      </c>
      <c r="H62" s="8" t="inlineStr">
        <is>
          <t>5b(i)</t>
        </is>
      </c>
      <c r="I62" s="8" t="inlineStr">
        <is>
          <t>Met or exceeded</t>
        </is>
      </c>
      <c r="J62"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8" t="inlineStr"/>
      <c r="L62" s="8" t="n"/>
      <c r="M62" s="8" t="n"/>
      <c r="N62" s="8" t="n"/>
      <c r="O62" s="8" t="n"/>
      <c r="P62" s="8" t="n"/>
      <c r="Q62" s="8" t="n"/>
    </row>
    <row r="63" ht="150" customHeight="1">
      <c r="B63" s="7" t="inlineStr">
        <is>
          <t>TR3(b)</t>
        </is>
      </c>
      <c r="C63" s="50" t="inlineStr">
        <is>
          <t>Transformational research</t>
        </is>
      </c>
      <c r="D63" s="50" t="inlineStr">
        <is>
          <t>Embed sustainability within research systems, processes, capability and culture, so research is conducted responsibly, efficiently and with reduced environmental impact.</t>
        </is>
      </c>
      <c r="E63" s="50" t="inlineStr">
        <is>
          <t>Demonstrated examples of more sustainable research practices in laboratories, fieldwork, procurement, travel or infrastructure use</t>
        </is>
      </c>
      <c r="F63" s="8"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8" t="inlineStr">
        <is>
          <t>We will report on ways the University is making research practices more sustainable in the 2026 Sustainability Report, and share practical examples (e.g. green labs) across faculties.</t>
        </is>
      </c>
      <c r="H63" s="8" t="inlineStr">
        <is>
          <t>5c(ii)</t>
        </is>
      </c>
      <c r="I63" s="8" t="inlineStr">
        <is>
          <t>Partially met</t>
        </is>
      </c>
      <c r="J63"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8" t="inlineStr"/>
      <c r="L63" s="8" t="n"/>
      <c r="M63" s="8" t="n"/>
      <c r="N63" s="8" t="n"/>
      <c r="O63" s="8" t="n"/>
      <c r="P63" s="8" t="n"/>
      <c r="Q63" s="8" t="n"/>
    </row>
    <row r="64" ht="150" customHeight="1">
      <c r="B64" s="7" t="inlineStr">
        <is>
          <t>EN1(a)</t>
        </is>
      </c>
      <c r="C64" s="50" t="inlineStr">
        <is>
          <t>Enablers</t>
        </is>
      </c>
      <c r="D64" s="50" t="inlineStr">
        <is>
          <t>Enablers</t>
        </is>
      </c>
      <c r="E64" s="50" t="inlineStr">
        <is>
          <t>Evidence of sustainability outcomes informed by Indigenous knowledges</t>
        </is>
      </c>
      <c r="F64" s="8"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8" t="inlineStr">
        <is>
          <t>We will report on the ways Indigenous knowledges inform sustainability activities across the University, and develop selected examples into case studies with appropriate permissions.</t>
        </is>
      </c>
      <c r="H64" s="8" t="inlineStr">
        <is>
          <t>6a</t>
        </is>
      </c>
      <c r="I64" s="8" t="inlineStr">
        <is>
          <t>Partially met</t>
        </is>
      </c>
      <c r="J64"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8" t="inlineStr"/>
      <c r="L64" s="8" t="n"/>
      <c r="M64" s="8" t="n"/>
      <c r="N64" s="8" t="n"/>
      <c r="O64" s="8" t="n"/>
      <c r="P64" s="8" t="n"/>
      <c r="Q64" s="8" t="n"/>
    </row>
    <row r="65" ht="150" customHeight="1">
      <c r="B65" s="7" t="inlineStr">
        <is>
          <t>EN1(b)</t>
        </is>
      </c>
      <c r="C65" s="50" t="inlineStr">
        <is>
          <t>Enablers</t>
        </is>
      </c>
      <c r="D65" s="50" t="inlineStr">
        <is>
          <t>Enablers</t>
        </is>
      </c>
      <c r="E65" s="50" t="inlineStr">
        <is>
          <t>Living laboratories enabling applied learning, research and operational sustainability outcomes</t>
        </is>
      </c>
      <c r="F65" s="8"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8" t="inlineStr">
        <is>
          <t>We will share examples of sustainability-related living labs from across the University in the 2026 Sustainability Report, alongside CLLAP projects reported by CI&amp;S.</t>
        </is>
      </c>
      <c r="H65" s="8" t="inlineStr">
        <is>
          <t>2a</t>
        </is>
      </c>
      <c r="I65" s="8" t="inlineStr">
        <is>
          <t>Partially met</t>
        </is>
      </c>
      <c r="J6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8" t="inlineStr">
        <is>
          <t>https://www.unimelb.edu.au/newsroom/news/2024/october/native-harvest-cookbook-aims-to-put-indigenous-food-in-every-aussie-kitchen
https://theconversation.com/we-planted-two-woody-meadows-a-decade-ago-to-see-what-would-thrive-now-the-concept-is-popular-across-australia-269611</t>
        </is>
      </c>
      <c r="L65" s="8" t="n"/>
      <c r="M65" s="8" t="n"/>
      <c r="N65" s="8" t="n"/>
      <c r="O65" s="8" t="n"/>
      <c r="P65" s="8" t="n"/>
      <c r="Q65" s="8" t="n"/>
    </row>
    <row r="66" ht="150" customHeight="1">
      <c r="B66" s="7" t="inlineStr">
        <is>
          <t>EN1(c)</t>
        </is>
      </c>
      <c r="C66" s="50" t="inlineStr">
        <is>
          <t>Enablers</t>
        </is>
      </c>
      <c r="D66" s="50" t="inlineStr">
        <is>
          <t>Enablers</t>
        </is>
      </c>
      <c r="E66" s="50" t="inlineStr">
        <is>
          <t>Coordinated internal engagement and external partnerships contributing to delivery of sustainability outcomes across priority areas.</t>
        </is>
      </c>
      <c r="F66" s="8"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8" t="inlineStr">
        <is>
          <t>We will report on internal engagement and partnerships contributing to Sustainability 2030 outcomes, and update our record of sustainability-focused communities of practice and contacts across the University.</t>
        </is>
      </c>
      <c r="H66" s="8" t="inlineStr">
        <is>
          <t>3a(ii)</t>
        </is>
      </c>
      <c r="I66" s="8" t="inlineStr">
        <is>
          <t>Met or exceeded</t>
        </is>
      </c>
      <c r="J66"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8" t="inlineStr"/>
      <c r="L66" s="8" t="n"/>
      <c r="M66" s="8" t="n"/>
      <c r="N66" s="8" t="n"/>
      <c r="O66" s="8" t="n"/>
      <c r="P66" s="8" t="n"/>
      <c r="Q66" s="8" t="n"/>
    </row>
    <row r="67"/>
  </sheetData>
  <mergeCells count="8">
    <mergeCell ref="L7:Q7"/>
    <mergeCell ref="C7:G7"/>
    <mergeCell ref="L23:Q23"/>
    <mergeCell ref="C55:G55"/>
    <mergeCell ref="L39:Q39"/>
    <mergeCell ref="C23:G23"/>
    <mergeCell ref="C39:G39"/>
    <mergeCell ref="L55:Q55"/>
  </mergeCells>
  <dataValidations count="4">
    <dataValidation sqref="P10:P18" showDropDown="0" showInputMessage="0" showErrorMessage="0" allowBlank="1" errorTitle="Invalid entry" error="Please select from the dropdown" type="list">
      <formula1>=Lists!$C$2:$C$4</formula1>
    </dataValidation>
    <dataValidation sqref="P26:P34" showDropDown="0" showInputMessage="0" showErrorMessage="0" allowBlank="1" errorTitle="Invalid entry" error="Please select from the dropdown" type="list">
      <formula1>=Lists!$C$2:$C$4</formula1>
    </dataValidation>
    <dataValidation sqref="P42:P50" showDropDown="0" showInputMessage="0" showErrorMessage="0" allowBlank="1" errorTitle="Invalid entry" error="Please select from the dropdown" type="list">
      <formula1>=Lists!$C$2:$C$4</formula1>
    </dataValidation>
    <dataValidation sqref="P58:P6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Q36"/>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Commercial, Infrastructure &amp; Sustainability (CI&amp;S)</t>
        </is>
      </c>
    </row>
    <row r="3">
      <c r="B3" s="20" t="inlineStr">
        <is>
          <t>Consolidated responses – paste from returned request workbooks (identical column layout). Click [+] above Columns H–K for end-2025 responses.</t>
        </is>
      </c>
    </row>
    <row r="5">
      <c r="B5" s="45" t="inlineStr">
        <is>
          <t>1.1  CI&amp;S – Estate Planning &amp; Development (TBC: confirm with Gerard)</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row>
    <row r="11" ht="150" customHeight="1">
      <c r="B11" s="7" t="inlineStr">
        <is>
          <t>EI1(a)</t>
        </is>
      </c>
      <c r="C11" s="50" t="inlineStr">
        <is>
          <t>Estate and infrastructure</t>
        </is>
      </c>
      <c r="D11" s="50" t="inlineStr">
        <is>
          <t>Integrate environmental sustainability in the way that the University achieves strategic and operational objectives for our estate and infrastructure.</t>
        </is>
      </c>
      <c r="E11" s="50"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row>
    <row r="12" ht="150" customHeight="1">
      <c r="B12" s="7" t="inlineStr">
        <is>
          <t>EI1(b)</t>
        </is>
      </c>
      <c r="C12" s="50" t="inlineStr">
        <is>
          <t>Estate and infrastructure</t>
        </is>
      </c>
      <c r="D12" s="50" t="inlineStr">
        <is>
          <t>Integrate environmental sustainability in the way that the University achieves strategic and operational objectives for our estate and infrastructure.</t>
        </is>
      </c>
      <c r="E12" s="50"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row>
    <row r="13" ht="150" customHeight="1">
      <c r="B13" s="7" t="inlineStr">
        <is>
          <t>EI1(c)</t>
        </is>
      </c>
      <c r="C13" s="50" t="inlineStr">
        <is>
          <t>Estate and infrastructure</t>
        </is>
      </c>
      <c r="D13" s="50" t="inlineStr">
        <is>
          <t>Integrate environmental sustainability in the way that the University achieves strategic and operational objectives for our estate and infrastructure.</t>
        </is>
      </c>
      <c r="E13" s="50"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row>
    <row r="14" ht="150" customHeight="1">
      <c r="B14" s="7" t="inlineStr">
        <is>
          <t>EI1(d)</t>
        </is>
      </c>
      <c r="C14" s="50" t="inlineStr">
        <is>
          <t>Estate and infrastructure</t>
        </is>
      </c>
      <c r="D14" s="50" t="inlineStr">
        <is>
          <t>Integrate environmental sustainability in the way that the University achieves strategic and operational objectives for our estate and infrastructure.</t>
        </is>
      </c>
      <c r="E14" s="50"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row>
    <row r="15"/>
    <row r="17">
      <c r="B17" s="45" t="inlineStr">
        <is>
          <t>1.2  CI&amp;S – Sustainability Strategy (incl. CLLAP)</t>
        </is>
      </c>
    </row>
    <row r="19">
      <c r="C19" s="46" t="inlineStr">
        <is>
          <t>Sustainability 2030 target and indicator</t>
        </is>
      </c>
      <c r="H19" s="46" t="inlineStr">
        <is>
          <t>SR25 response</t>
        </is>
      </c>
      <c r="L19" s="47"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48" t="inlineStr">
        <is>
          <t>OPTION 1:  Target-level reporting (Column D)</t>
        </is>
      </c>
      <c r="M20" s="48" t="inlineStr">
        <is>
          <t>OPTION 2:  Indicator level reporting (Column E/F)</t>
        </is>
      </c>
      <c r="N20" s="48" t="inlineStr">
        <is>
          <t>Supporting information/comments</t>
        </is>
      </c>
      <c r="O20" s="48" t="inlineStr">
        <is>
          <t>Data source and limitations</t>
        </is>
      </c>
      <c r="P20" s="48" t="inlineStr">
        <is>
          <t>Data owner confirms information is accurate</t>
        </is>
      </c>
      <c r="Q20" s="48" t="inlineStr">
        <is>
          <t>Confirmed by (name, role, date)</t>
        </is>
      </c>
    </row>
    <row r="21">
      <c r="B21" s="49" t="inlineStr"/>
      <c r="C21" s="49" t="inlineStr"/>
      <c r="D21" s="49" t="inlineStr"/>
      <c r="E21" s="49" t="inlineStr"/>
      <c r="F21" s="49" t="inlineStr"/>
      <c r="G21" s="49" t="inlineStr"/>
      <c r="H21" s="49" t="inlineStr"/>
      <c r="I21" s="49" t="inlineStr"/>
      <c r="J21" s="49" t="inlineStr"/>
      <c r="K21" s="49" t="inlineStr"/>
      <c r="L21" s="49" t="inlineStr">
        <is>
          <t>A general update on activities in relation to the overarching target (Column D)</t>
        </is>
      </c>
      <c r="M21" s="49" t="inlineStr">
        <is>
          <t>Data and commentary in direct response to the reporting request (Column F)</t>
        </is>
      </c>
      <c r="N21" s="49" t="inlineStr">
        <is>
          <t>Any additional information (e.g. links, images, documents)</t>
        </is>
      </c>
      <c r="O21" s="49" t="inlineStr">
        <is>
          <t>Where did this information come from (system, report, survey, person)? Note any gaps or limitations.</t>
        </is>
      </c>
      <c r="P21" s="49" t="inlineStr">
        <is>
          <t>Select 'Yes' to confirm the information provided is accurate and can be used for reporting</t>
        </is>
      </c>
      <c r="Q21" s="49" t="inlineStr">
        <is>
          <t>Name, role and date of the person confirming</t>
        </is>
      </c>
    </row>
    <row r="22" ht="150" customHeight="1">
      <c r="B22" s="7" t="inlineStr">
        <is>
          <t>EE1(a)</t>
        </is>
      </c>
      <c r="C22" s="50" t="inlineStr">
        <is>
          <t>Exceptional education</t>
        </is>
      </c>
      <c r="D22" s="50" t="inlineStr">
        <is>
          <t>Provide our students with learning experiences that help them build the knowledge, skills and relationships to lead change for sustainable societies.</t>
        </is>
      </c>
      <c r="E22" s="50"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8" t="inlineStr">
        <is>
          <t>N/A – new indicator</t>
        </is>
      </c>
      <c r="I22" s="8" t="inlineStr"/>
      <c r="J22" s="8" t="inlineStr"/>
      <c r="K22" s="8" t="inlineStr"/>
      <c r="L22" s="8" t="n"/>
      <c r="M22" s="8" t="n"/>
      <c r="N22" s="8" t="n"/>
      <c r="O22" s="8" t="n"/>
      <c r="P22" s="8" t="n"/>
      <c r="Q22" s="8" t="n"/>
    </row>
    <row r="23" ht="150" customHeight="1">
      <c r="B23" s="7" t="inlineStr">
        <is>
          <t>EE1(b)</t>
        </is>
      </c>
      <c r="C23" s="50" t="inlineStr">
        <is>
          <t>Exceptional education</t>
        </is>
      </c>
      <c r="D23" s="50" t="inlineStr">
        <is>
          <t>Provide our students with learning experiences that help them build the knowledge, skills and relationships to lead change for sustainable societies.</t>
        </is>
      </c>
      <c r="E23" s="50"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row>
    <row r="24" ht="150" customHeight="1">
      <c r="B24" s="7" t="inlineStr">
        <is>
          <t>EE1(c)</t>
        </is>
      </c>
      <c r="C24" s="50" t="inlineStr">
        <is>
          <t>Exceptional education</t>
        </is>
      </c>
      <c r="D24" s="50" t="inlineStr">
        <is>
          <t>Provide our students with learning experiences that help them build the knowledge, skills and relationships to lead change for sustainable societies.</t>
        </is>
      </c>
      <c r="E24" s="50"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row>
    <row r="25" ht="150" customHeight="1">
      <c r="B25" s="7" t="inlineStr">
        <is>
          <t>TR1(a)</t>
        </is>
      </c>
      <c r="C25" s="50" t="inlineStr">
        <is>
          <t>Transformational research</t>
        </is>
      </c>
      <c r="D25" s="50" t="inlineStr">
        <is>
          <t>Utilise the expertise of the University’s researchers through mutually beneficial partnerships to help address the University’s operational sustainability challenges.</t>
        </is>
      </c>
      <c r="E25" s="50" t="inlineStr">
        <is>
          <t>Expert-reviewed evidence of researchers contributing to operational sustainability priorities through partnerships, advisory input, living labs, applied projects or decision-support</t>
        </is>
      </c>
      <c r="F25" s="8" t="inlineStr">
        <is>
          <t>In end-2025 reporting your area reported on the related SP2030 target 5a(ii)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8" t="inlineStr">
        <is>
          <t>We will report on examples of researchers helping solve the University's own operational sustainability challenges, alongside CLLAP projects reported by CI&amp;S, and share them with operational teams to identify further collaboration.</t>
        </is>
      </c>
      <c r="H25" s="8" t="inlineStr">
        <is>
          <t>5a(ii)</t>
        </is>
      </c>
      <c r="I25" s="8" t="inlineStr">
        <is>
          <t>Partially met</t>
        </is>
      </c>
      <c r="J25" s="8" t="inlineStr">
        <is>
          <t>Tangible improvement in some areas, but not all (haven't done ASRS, for example).</t>
        </is>
      </c>
      <c r="K25" s="8" t="inlineStr"/>
      <c r="L25" s="8" t="n"/>
      <c r="M25" s="8" t="n"/>
      <c r="N25" s="8" t="n"/>
      <c r="O25" s="8" t="n"/>
      <c r="P25" s="8" t="n"/>
      <c r="Q25" s="8" t="n"/>
    </row>
    <row r="26" ht="150" customHeight="1">
      <c r="B26" s="7" t="inlineStr">
        <is>
          <t>TR2(d)</t>
        </is>
      </c>
      <c r="C26" s="50" t="inlineStr">
        <is>
          <t>Transformational research</t>
        </is>
      </c>
      <c r="D26" s="50" t="inlineStr">
        <is>
          <t>Deliver high-quality research and partnerships that contribute to sustainability outcomes and demonstrable societal benefit.</t>
        </is>
      </c>
      <c r="E26" s="50" t="inlineStr">
        <is>
          <t>Case-based evidence demonstrating how research has contributed to meaningful sustainability outcomes.</t>
        </is>
      </c>
      <c r="F2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8" t="inlineStr">
        <is>
          <t>We will select the strongest examples to develop as full research case studies for the 2026 Sustainability Report (we may contact you for more detail and images).</t>
        </is>
      </c>
      <c r="H26" s="8" t="inlineStr">
        <is>
          <t>N/A – new indicator</t>
        </is>
      </c>
      <c r="I26" s="8" t="inlineStr"/>
      <c r="J26" s="8" t="inlineStr"/>
      <c r="K26" s="8" t="inlineStr"/>
      <c r="L26" s="8" t="n"/>
      <c r="M26" s="8" t="n"/>
      <c r="N26" s="8" t="n"/>
      <c r="O26" s="8" t="n"/>
      <c r="P26" s="8" t="n"/>
      <c r="Q26" s="8" t="n"/>
    </row>
    <row r="27" ht="150" customHeight="1">
      <c r="B27" s="7" t="inlineStr">
        <is>
          <t>TR3(b)</t>
        </is>
      </c>
      <c r="C27" s="50" t="inlineStr">
        <is>
          <t>Transformational research</t>
        </is>
      </c>
      <c r="D27" s="50" t="inlineStr">
        <is>
          <t>Embed sustainability within research systems, processes, capability and culture, so research is conducted responsibly, efficiently and with reduced environmental impact.</t>
        </is>
      </c>
      <c r="E27" s="50" t="inlineStr">
        <is>
          <t>Demonstrated examples of more sustainable research practices in laboratories, fieldwork, procurement, travel or infrastructure use</t>
        </is>
      </c>
      <c r="F2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8" t="inlineStr">
        <is>
          <t>We will report on ways the University is making research practices more sustainable in the 2026 Sustainability Report, and share practical examples (e.g. green labs) across faculties.</t>
        </is>
      </c>
      <c r="H27" s="8" t="inlineStr">
        <is>
          <t>N/A – new indicator</t>
        </is>
      </c>
      <c r="I27" s="8" t="inlineStr"/>
      <c r="J27" s="8" t="inlineStr"/>
      <c r="K27" s="8" t="inlineStr"/>
      <c r="L27" s="8" t="n"/>
      <c r="M27" s="8" t="n"/>
      <c r="N27" s="8" t="n"/>
      <c r="O27" s="8" t="n"/>
      <c r="P27" s="8" t="n"/>
      <c r="Q27" s="8" t="n"/>
    </row>
    <row r="28" ht="150" customHeight="1">
      <c r="B28" s="7" t="inlineStr">
        <is>
          <t>CL1(c)</t>
        </is>
      </c>
      <c r="C28" s="50" t="inlineStr">
        <is>
          <t>Climate leadership</t>
        </is>
      </c>
      <c r="D28" s="50"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50" t="inlineStr">
        <is>
          <t>Review of Climate Leadership targets by 2030.[2]</t>
        </is>
      </c>
      <c r="F28" s="8" t="inlineStr">
        <is>
          <t>(Reporting request TBC)</t>
        </is>
      </c>
      <c r="G28" s="8" t="inlineStr">
        <is>
          <t>For internal planning: we will record the status of the planned review of Climate Leadership targets (due by 2030).</t>
        </is>
      </c>
      <c r="H28" s="8" t="inlineStr">
        <is>
          <t>N/A – new indicator</t>
        </is>
      </c>
      <c r="I28" s="8" t="inlineStr"/>
      <c r="J28" s="8" t="inlineStr"/>
      <c r="K28" s="8" t="inlineStr"/>
      <c r="L28" s="8" t="n"/>
      <c r="M28" s="8" t="n"/>
      <c r="N28" s="8" t="n"/>
      <c r="O28" s="8" t="n"/>
      <c r="P28" s="8" t="n"/>
      <c r="Q28" s="8" t="n"/>
    </row>
    <row r="29" ht="150" customHeight="1">
      <c r="B29" s="7" t="inlineStr">
        <is>
          <t>AI1(a)</t>
        </is>
      </c>
      <c r="C29" s="50" t="inlineStr">
        <is>
          <t>Responsible AI</t>
        </is>
      </c>
      <c r="D29" s="50" t="inlineStr">
        <is>
          <t>Improve understanding of our sustainability-related risks and opportunities of AI technologies by 2028.</t>
        </is>
      </c>
      <c r="E29" s="50" t="inlineStr">
        <is>
          <t>Established measurement of estimated operational impacts and opportunities (eg operational impacts could include energy, water, emissions and intensity measures)</t>
        </is>
      </c>
      <c r="F29" s="8" t="inlineStr">
        <is>
          <t>(Reporting request TBC)</t>
        </is>
      </c>
      <c r="G29" s="8" t="inlineStr">
        <is>
          <t>We will provide a high-level overview of AI's estimated operational impacts and opportunities in 2026, ahead of more detailed measurement from 2027.</t>
        </is>
      </c>
      <c r="H29" s="8" t="inlineStr">
        <is>
          <t>N/A – new indicator</t>
        </is>
      </c>
      <c r="I29" s="8" t="inlineStr"/>
      <c r="J29" s="8" t="inlineStr"/>
      <c r="K29" s="8" t="inlineStr"/>
      <c r="L29" s="8" t="n"/>
      <c r="M29" s="8" t="n"/>
      <c r="N29" s="8" t="n"/>
      <c r="O29" s="8" t="n"/>
      <c r="P29" s="8" t="n"/>
      <c r="Q29" s="8" t="n"/>
    </row>
    <row r="30" ht="150" customHeight="1">
      <c r="B30" s="7" t="inlineStr">
        <is>
          <t>AI1(b)</t>
        </is>
      </c>
      <c r="C30" s="50" t="inlineStr">
        <is>
          <t>Responsible AI</t>
        </is>
      </c>
      <c r="D30" s="50" t="inlineStr">
        <is>
          <t>Improve understanding of our sustainability-related risks and opportunities of AI technologies by 2028.</t>
        </is>
      </c>
      <c r="E30" s="50" t="inlineStr">
        <is>
          <t>Case studies of sustainability and AI-related education, research and collaboration activities.</t>
        </is>
      </c>
      <c r="F30" s="8" t="inlineStr">
        <is>
          <t>Please provide case studies from your Faculty/Portfolio of sustainability and AI-related education, research or collaboration activities, describing the activity, participants or partners, sustainability issue addressed and key outcomes or lessons.</t>
        </is>
      </c>
      <c r="G30" s="8" t="inlineStr">
        <is>
          <t>We will select examples of sustainability and AI-related education, research and collaboration as case studies for the new Responsible AI section of the 2026 Sustainability Report.</t>
        </is>
      </c>
      <c r="H30" s="8" t="inlineStr">
        <is>
          <t>N/A – new indicator</t>
        </is>
      </c>
      <c r="I30" s="8" t="inlineStr"/>
      <c r="J30" s="8" t="inlineStr"/>
      <c r="K30" s="8" t="inlineStr"/>
      <c r="L30" s="8" t="n"/>
      <c r="M30" s="8" t="n"/>
      <c r="N30" s="8" t="n"/>
      <c r="O30" s="8" t="n"/>
      <c r="P30" s="8" t="n"/>
      <c r="Q30" s="8" t="n"/>
    </row>
    <row r="31" ht="150" customHeight="1">
      <c r="B31" s="7" t="inlineStr">
        <is>
          <t>MS1(a)</t>
        </is>
      </c>
      <c r="C31" s="50" t="inlineStr">
        <is>
          <t>Modern slavery and human rights</t>
        </is>
      </c>
      <c r="D31" s="50" t="inlineStr">
        <is>
          <t>Manage our approach to modern slavery and human rights-related risks and opportunities.</t>
        </is>
      </c>
      <c r="E31" s="50" t="inlineStr">
        <is>
          <t>Annual progress reporting via the Modern Slavery Statement</t>
        </is>
      </c>
      <c r="F31" s="8" t="inlineStr">
        <is>
          <t>We did not receive an end-2025 response for the related SP2030 target 11c(ii), so please include any relevant activity from across 2026.
Annual Modern Slavery Statement, with case studies</t>
        </is>
      </c>
      <c r="G31" s="8" t="inlineStr">
        <is>
          <t>We will draw on the annual Modern Slavery Statement and case studies to report on the University's approach to modern slavery and human rights risks (timing to be aligned with the Statement).</t>
        </is>
      </c>
      <c r="H31" s="8" t="inlineStr">
        <is>
          <t>11c(ii)</t>
        </is>
      </c>
      <c r="I31" s="8" t="inlineStr"/>
      <c r="J31" s="8" t="inlineStr"/>
      <c r="K31" s="8" t="inlineStr"/>
      <c r="L31" s="8" t="n"/>
      <c r="M31" s="8" t="n"/>
      <c r="N31" s="8" t="n"/>
      <c r="O31" s="8" t="n"/>
      <c r="P31" s="8" t="n"/>
      <c r="Q31" s="8" t="n"/>
    </row>
    <row r="32" ht="150" customHeight="1">
      <c r="B32" s="7" t="inlineStr">
        <is>
          <t>RI1(b)</t>
        </is>
      </c>
      <c r="C32" s="50" t="inlineStr">
        <is>
          <t>Responsible investments</t>
        </is>
      </c>
      <c r="D32" s="50" t="inlineStr">
        <is>
          <t>Achieve net zero financed emissions for the University’s investment portfolio by 2050.</t>
        </is>
      </c>
      <c r="E32" s="50" t="inlineStr">
        <is>
          <t>Continuous improvement of the reporting of the University’s sustainability-related investment profile metrics, could include investment in climate mitigation and transition solutions, and compliance with related obligations (eg UNPRI).</t>
        </is>
      </c>
      <c r="F32"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8" t="inlineStr">
        <is>
          <t>We will report on sustainability-related investment portfolio metrics and the University's compliance with related obligations (e.g. UNPRI) in the Responsible investments section of the 2026 Sustainability Report.</t>
        </is>
      </c>
      <c r="H32" s="8" t="inlineStr">
        <is>
          <t>12b(i)</t>
        </is>
      </c>
      <c r="I32" s="8" t="inlineStr"/>
      <c r="J32" s="8" t="inlineStr"/>
      <c r="K32" s="8" t="inlineStr"/>
      <c r="L32" s="8" t="n"/>
      <c r="M32" s="8" t="n"/>
      <c r="N32" s="8" t="n"/>
      <c r="O32" s="8" t="n"/>
      <c r="P32" s="8" t="n"/>
      <c r="Q32" s="8" t="n"/>
    </row>
    <row r="33" ht="150" customHeight="1">
      <c r="B33" s="7" t="inlineStr">
        <is>
          <t>EN1(b)</t>
        </is>
      </c>
      <c r="C33" s="50" t="inlineStr">
        <is>
          <t>Enablers</t>
        </is>
      </c>
      <c r="D33" s="50" t="inlineStr">
        <is>
          <t>Enablers</t>
        </is>
      </c>
      <c r="E33" s="50" t="inlineStr">
        <is>
          <t>Living laboratories enabling applied learning, research and operational sustainability outcomes</t>
        </is>
      </c>
      <c r="F33" s="8" t="inlineStr">
        <is>
          <t>We did not receive an end-2025 response for the related SP2030 target 2a, so please include any relevant activity from across 2026.
Please comment on sustainability-related living labs in your area – their activities, outputs, outcomes and impact.</t>
        </is>
      </c>
      <c r="G33" s="8" t="inlineStr">
        <is>
          <t>We will share examples of sustainability-related living labs from across the University in the 2026 Sustainability Report, alongside CLLAP projects reported by CI&amp;S.</t>
        </is>
      </c>
      <c r="H33" s="8" t="inlineStr">
        <is>
          <t>2a</t>
        </is>
      </c>
      <c r="I33" s="8" t="inlineStr"/>
      <c r="J33" s="8" t="inlineStr"/>
      <c r="K33" s="8" t="inlineStr"/>
      <c r="L33" s="8" t="n"/>
      <c r="M33" s="8" t="n"/>
      <c r="N33" s="8" t="n"/>
      <c r="O33" s="8" t="n"/>
      <c r="P33" s="8" t="n"/>
      <c r="Q33" s="8" t="n"/>
    </row>
    <row r="34" ht="150" customHeight="1">
      <c r="B34" s="7" t="inlineStr">
        <is>
          <t>EN1(c)</t>
        </is>
      </c>
      <c r="C34" s="50" t="inlineStr">
        <is>
          <t>Enablers</t>
        </is>
      </c>
      <c r="D34" s="50" t="inlineStr">
        <is>
          <t>Enablers</t>
        </is>
      </c>
      <c r="E34" s="50" t="inlineStr">
        <is>
          <t>Coordinated internal engagement and external partnerships contributing to delivery of sustainability outcomes across priority areas.</t>
        </is>
      </c>
      <c r="F3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8" t="inlineStr">
        <is>
          <t>We will report on internal engagement and partnerships contributing to Sustainability 2030 outcomes, and update our record of sustainability-focused communities of practice and contacts across the University.</t>
        </is>
      </c>
      <c r="H34" s="8" t="inlineStr">
        <is>
          <t>N/A – new indicator</t>
        </is>
      </c>
      <c r="I34" s="8" t="inlineStr"/>
      <c r="J34" s="8" t="inlineStr"/>
      <c r="K34" s="8" t="inlineStr"/>
      <c r="L34" s="8" t="n"/>
      <c r="M34" s="8" t="n"/>
      <c r="N34" s="8" t="n"/>
      <c r="O34" s="8" t="n"/>
      <c r="P34" s="8" t="n"/>
      <c r="Q34" s="8" t="n"/>
    </row>
    <row r="35" ht="150" customHeight="1">
      <c r="B35" s="7" t="inlineStr">
        <is>
          <t>EN1(d)</t>
        </is>
      </c>
      <c r="C35" s="50" t="inlineStr">
        <is>
          <t>Enablers</t>
        </is>
      </c>
      <c r="D35" s="50" t="inlineStr">
        <is>
          <t>Enablers</t>
        </is>
      </c>
      <c r="E35" s="50" t="inlineStr">
        <is>
          <t>Sustainability objectives integrated into governance and decision‑making processes, supported by transparent reporting.</t>
        </is>
      </c>
      <c r="F3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8" t="inlineStr">
        <is>
          <t>We will report on how sustainability is integrated into governance and decision-making across faculties and portfolios, and use responses as a baseline for the governance enabler from 2027.</t>
        </is>
      </c>
      <c r="H35" s="8" t="inlineStr">
        <is>
          <t>N/A – new indicator</t>
        </is>
      </c>
      <c r="I35" s="8" t="inlineStr"/>
      <c r="J35" s="8" t="inlineStr"/>
      <c r="K35" s="8" t="inlineStr"/>
      <c r="L35" s="8" t="n"/>
      <c r="M35" s="8" t="n"/>
      <c r="N35" s="8" t="n"/>
      <c r="O35" s="8" t="n"/>
      <c r="P35" s="8" t="n"/>
      <c r="Q35" s="8" t="n"/>
    </row>
    <row r="36"/>
  </sheetData>
  <mergeCells count="4">
    <mergeCell ref="L7:Q7"/>
    <mergeCell ref="C7:G7"/>
    <mergeCell ref="L19:Q19"/>
    <mergeCell ref="C19:G19"/>
  </mergeCells>
  <dataValidations count="2">
    <dataValidation sqref="P10:P14" showDropDown="0" showInputMessage="0" showErrorMessage="0" allowBlank="1" errorTitle="Invalid entry" error="Please select from the dropdown" type="list">
      <formula1>=Lists!$C$2:$C$4</formula1>
    </dataValidation>
    <dataValidation sqref="P22:P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Q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Chief Finance Officer Group (CFOG)</t>
        </is>
      </c>
    </row>
    <row r="3">
      <c r="B3" s="20" t="inlineStr">
        <is>
          <t>Consolidated responses – paste from returned request workbooks (identical column layout). Click [+] above Columns H–K for end-2025 responses.</t>
        </is>
      </c>
    </row>
    <row r="5">
      <c r="B5" s="45" t="inlineStr">
        <is>
          <t>1.1  CFOG – Procurement</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TR3(b)</t>
        </is>
      </c>
      <c r="C10" s="50" t="inlineStr">
        <is>
          <t>Transformational research</t>
        </is>
      </c>
      <c r="D10" s="50" t="inlineStr">
        <is>
          <t>Embed sustainability within research systems, processes, capability and culture, so research is conducted responsibly, efficiently and with reduced environmental impact.</t>
        </is>
      </c>
      <c r="E10" s="50"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row>
    <row r="11" ht="150" customHeight="1">
      <c r="B11" s="7" t="inlineStr">
        <is>
          <t>NB2(c)</t>
        </is>
      </c>
      <c r="C11" s="50" t="inlineStr">
        <is>
          <t>Nature and biodiversity</t>
        </is>
      </c>
      <c r="D11" s="50" t="inlineStr">
        <is>
          <t>Improve our understanding of our supply chain impacts on nature.</t>
        </is>
      </c>
      <c r="E11" s="50"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row>
    <row r="12" ht="150" customHeight="1">
      <c r="B12" s="7" t="inlineStr">
        <is>
          <t>RP1(a)</t>
        </is>
      </c>
      <c r="C12" s="50" t="inlineStr">
        <is>
          <t>Responsible procurement</t>
        </is>
      </c>
      <c r="D12" s="50" t="inlineStr">
        <is>
          <t>Strengthen our ethical and sustainable procurement approach.</t>
        </is>
      </c>
      <c r="E12" s="50" t="inlineStr">
        <is>
          <t>Case studies of maturity improvement related to responsible procurement process and systems.</t>
        </is>
      </c>
      <c r="F12" s="8" t="inlineStr">
        <is>
          <t>In end-2025 reporting your area reported on the related SP2030 target 11c(iii)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row>
    <row r="13" ht="150" customHeight="1">
      <c r="B13" s="7" t="inlineStr">
        <is>
          <t>MS1(a)</t>
        </is>
      </c>
      <c r="C13" s="50" t="inlineStr">
        <is>
          <t>Modern slavery and human rights</t>
        </is>
      </c>
      <c r="D13" s="50" t="inlineStr">
        <is>
          <t>Manage our approach to modern slavery and human rights-related risks and opportunities.</t>
        </is>
      </c>
      <c r="E13" s="50" t="inlineStr">
        <is>
          <t>Annual progress reporting via the Modern Slavery Statement</t>
        </is>
      </c>
      <c r="F13" s="8" t="inlineStr">
        <is>
          <t>In end-2025 reporting your area reported on the related SP2030 target 11c(i)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row>
    <row r="14" ht="150" customHeight="1">
      <c r="B14" s="7" t="inlineStr">
        <is>
          <t>EN1(c)</t>
        </is>
      </c>
      <c r="C14" s="50" t="inlineStr">
        <is>
          <t>Enablers</t>
        </is>
      </c>
      <c r="D14" s="50" t="inlineStr">
        <is>
          <t>Enablers</t>
        </is>
      </c>
      <c r="E14" s="50"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row>
    <row r="15" ht="150" customHeight="1">
      <c r="B15" s="7" t="inlineStr">
        <is>
          <t>EN1(d)</t>
        </is>
      </c>
      <c r="C15" s="50" t="inlineStr">
        <is>
          <t>Enablers</t>
        </is>
      </c>
      <c r="D15" s="50" t="inlineStr">
        <is>
          <t>Enablers</t>
        </is>
      </c>
      <c r="E15" s="50"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row>
    <row r="16"/>
    <row r="18">
      <c r="B18" s="45" t="inlineStr">
        <is>
          <t>1.2  CFOG – Treasury &amp; Investments</t>
        </is>
      </c>
    </row>
    <row r="20">
      <c r="C20" s="46" t="inlineStr">
        <is>
          <t>Sustainability 2030 target and indicator</t>
        </is>
      </c>
      <c r="H20" s="46" t="inlineStr">
        <is>
          <t>SR25 response</t>
        </is>
      </c>
      <c r="L20" s="47"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48" t="inlineStr">
        <is>
          <t>OPTION 1:  Target-level reporting (Column D)</t>
        </is>
      </c>
      <c r="M21" s="48" t="inlineStr">
        <is>
          <t>OPTION 2:  Indicator level reporting (Column E/F)</t>
        </is>
      </c>
      <c r="N21" s="48" t="inlineStr">
        <is>
          <t>Supporting information/comments</t>
        </is>
      </c>
      <c r="O21" s="48" t="inlineStr">
        <is>
          <t>Data source and limitations</t>
        </is>
      </c>
      <c r="P21" s="48" t="inlineStr">
        <is>
          <t>Data owner confirms information is accurate</t>
        </is>
      </c>
      <c r="Q21" s="48" t="inlineStr">
        <is>
          <t>Confirmed by (name, role, date)</t>
        </is>
      </c>
    </row>
    <row r="22">
      <c r="B22" s="49" t="inlineStr"/>
      <c r="C22" s="49" t="inlineStr"/>
      <c r="D22" s="49" t="inlineStr"/>
      <c r="E22" s="49" t="inlineStr"/>
      <c r="F22" s="49" t="inlineStr"/>
      <c r="G22" s="49" t="inlineStr"/>
      <c r="H22" s="49" t="inlineStr"/>
      <c r="I22" s="49" t="inlineStr"/>
      <c r="J22" s="49" t="inlineStr"/>
      <c r="K22" s="49" t="inlineStr"/>
      <c r="L22" s="49" t="inlineStr">
        <is>
          <t>A general update on activities in relation to the overarching target (Column D)</t>
        </is>
      </c>
      <c r="M22" s="49" t="inlineStr">
        <is>
          <t>Data and commentary in direct response to the reporting request (Column F)</t>
        </is>
      </c>
      <c r="N22" s="49" t="inlineStr">
        <is>
          <t>Any additional information (e.g. links, images, documents)</t>
        </is>
      </c>
      <c r="O22" s="49" t="inlineStr">
        <is>
          <t>Where did this information come from (system, report, survey, person)? Note any gaps or limitations.</t>
        </is>
      </c>
      <c r="P22" s="49" t="inlineStr">
        <is>
          <t>Select 'Yes' to confirm the information provided is accurate and can be used for reporting</t>
        </is>
      </c>
      <c r="Q22" s="49" t="inlineStr">
        <is>
          <t>Name, role and date of the person confirming</t>
        </is>
      </c>
    </row>
    <row r="23" ht="150" customHeight="1">
      <c r="B23" s="7" t="inlineStr">
        <is>
          <t>RI1(b)</t>
        </is>
      </c>
      <c r="C23" s="50" t="inlineStr">
        <is>
          <t>Responsible investments</t>
        </is>
      </c>
      <c r="D23" s="50" t="inlineStr">
        <is>
          <t>Achieve net zero financed emissions for the University’s investment portfolio by 2050.</t>
        </is>
      </c>
      <c r="E23" s="50"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row>
    <row r="24"/>
  </sheetData>
  <mergeCells count="4">
    <mergeCell ref="L7:Q7"/>
    <mergeCell ref="C7:G7"/>
    <mergeCell ref="C20:G20"/>
    <mergeCell ref="L20:Q20"/>
  </mergeCells>
  <dataValidations count="2">
    <dataValidation sqref="P10:P15" showDropDown="0" showInputMessage="0" showErrorMessage="0" allowBlank="1" errorTitle="Invalid entry" error="Please select from the dropdown" type="list">
      <formula1>=Lists!$C$2:$C$4</formula1>
    </dataValidation>
    <dataValidation sqref="P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Q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Enterprise Services Group (ESG)</t>
        </is>
      </c>
    </row>
    <row r="3">
      <c r="B3" s="20" t="inlineStr">
        <is>
          <t>Consolidated responses – paste from returned request workbooks (identical column layout). Click [+] above Columns H–K for end-2025 responses.</t>
        </is>
      </c>
    </row>
    <row r="5">
      <c r="B5" s="45" t="inlineStr">
        <is>
          <t>1.1  ESG – Campus Operations &amp; Sustainability Delivery</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NB1(b)</t>
        </is>
      </c>
      <c r="C10" s="50" t="inlineStr">
        <is>
          <t>Nature and biodiversity</t>
        </is>
      </c>
      <c r="D10" s="50" t="inlineStr">
        <is>
          <t>Achieve an increase of biodiversity relative to defined baseline years for each campus.</t>
        </is>
      </c>
      <c r="E10" s="50" t="inlineStr">
        <is>
          <t>Size, health and diversity of remnant vegetation at the Dookie and Creswick campuses</t>
        </is>
      </c>
      <c r="F10" s="8" t="inlineStr">
        <is>
          <t>In end-2025 reporting your area reported on the related SP2030 target 9a(ii)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row>
    <row r="11" ht="150" customHeight="1">
      <c r="B11" s="7" t="inlineStr">
        <is>
          <t>NB1(c)</t>
        </is>
      </c>
      <c r="C11" s="50" t="inlineStr">
        <is>
          <t>Nature and biodiversity</t>
        </is>
      </c>
      <c r="D11" s="50" t="inlineStr">
        <is>
          <t>Achieve an increase of biodiversity relative to defined baseline years for each campus.</t>
        </is>
      </c>
      <c r="E11" s="50" t="inlineStr">
        <is>
          <t>Defined quality measurement framework</t>
        </is>
      </c>
      <c r="F11" s="8" t="inlineStr">
        <is>
          <t>In end-2025 reporting your area reported on the related SP2030 target 9a(i)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row>
    <row r="12" ht="150" customHeight="1">
      <c r="B12" s="7" t="inlineStr">
        <is>
          <t>NB1(d)</t>
        </is>
      </c>
      <c r="C12" s="50" t="inlineStr">
        <is>
          <t>Nature and biodiversity</t>
        </is>
      </c>
      <c r="D12" s="50" t="inlineStr">
        <is>
          <t>Achieve an increase of biodiversity relative to defined baseline years for each campus.</t>
        </is>
      </c>
      <c r="E12" s="50"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row>
    <row r="13" ht="150" customHeight="1">
      <c r="B13" s="7" t="inlineStr">
        <is>
          <t>NB2(b)</t>
        </is>
      </c>
      <c r="C13" s="50" t="inlineStr">
        <is>
          <t>Nature and biodiversity</t>
        </is>
      </c>
      <c r="D13" s="50" t="inlineStr">
        <is>
          <t>Improve our understanding of our supply chain impacts on nature.</t>
        </is>
      </c>
      <c r="E13" s="50"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row>
    <row r="14" ht="150" customHeight="1">
      <c r="B14" s="7" t="inlineStr">
        <is>
          <t>NB2(c)</t>
        </is>
      </c>
      <c r="C14" s="50" t="inlineStr">
        <is>
          <t>Nature and biodiversity</t>
        </is>
      </c>
      <c r="D14" s="50" t="inlineStr">
        <is>
          <t>Improve our understanding of our supply chain impacts on nature.</t>
        </is>
      </c>
      <c r="E14" s="50"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row>
    <row r="15" ht="150" customHeight="1">
      <c r="B15" s="7" t="inlineStr">
        <is>
          <t>EN1(c)</t>
        </is>
      </c>
      <c r="C15" s="50" t="inlineStr">
        <is>
          <t>Enablers</t>
        </is>
      </c>
      <c r="D15" s="50" t="inlineStr">
        <is>
          <t>Enablers</t>
        </is>
      </c>
      <c r="E15" s="50" t="inlineStr">
        <is>
          <t>Coordinated internal engagement and external partnerships contributing to delivery of sustainability outcomes across priority areas.</t>
        </is>
      </c>
      <c r="F15" s="8" t="inlineStr">
        <is>
          <t>In end-2025 reporting your area reported on the related SP2030 target 7a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row>
    <row r="16" ht="150" customHeight="1">
      <c r="B16" s="7" t="inlineStr">
        <is>
          <t>EN1(d)</t>
        </is>
      </c>
      <c r="C16" s="50" t="inlineStr">
        <is>
          <t>Enablers</t>
        </is>
      </c>
      <c r="D16" s="50" t="inlineStr">
        <is>
          <t>Enablers</t>
        </is>
      </c>
      <c r="E16" s="50"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row>
    <row r="17"/>
  </sheetData>
  <mergeCells count="2">
    <mergeCell ref="L7:Q7"/>
    <mergeCell ref="C7:G7"/>
  </mergeCells>
  <dataValidations count="1">
    <dataValidation sqref="P10:P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Q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Chief Information Officer Group (CIOG)</t>
        </is>
      </c>
    </row>
    <row r="3">
      <c r="B3" s="20" t="inlineStr">
        <is>
          <t>Consolidated responses – paste from returned request workbooks (identical column layout). Click [+] above Columns H–K for end-2025 responses.</t>
        </is>
      </c>
    </row>
    <row r="5">
      <c r="B5" s="45" t="inlineStr">
        <is>
          <t>1.1  CIOG – Responsible AI &amp; digital</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AI1(a)</t>
        </is>
      </c>
      <c r="C10" s="50" t="inlineStr">
        <is>
          <t>Responsible AI</t>
        </is>
      </c>
      <c r="D10" s="50" t="inlineStr">
        <is>
          <t>Improve understanding of our sustainability-related risks and opportunities of AI technologies by 2028.</t>
        </is>
      </c>
      <c r="E10" s="50"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row>
    <row r="11" ht="150" customHeight="1">
      <c r="B11" s="7" t="inlineStr">
        <is>
          <t>AI1(b)</t>
        </is>
      </c>
      <c r="C11" s="50" t="inlineStr">
        <is>
          <t>Responsible AI</t>
        </is>
      </c>
      <c r="D11" s="50" t="inlineStr">
        <is>
          <t>Improve understanding of our sustainability-related risks and opportunities of AI technologies by 2028.</t>
        </is>
      </c>
      <c r="E11" s="50"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row>
    <row r="12" ht="150" customHeight="1">
      <c r="B12" s="7" t="inlineStr">
        <is>
          <t>EN1(c)</t>
        </is>
      </c>
      <c r="C12" s="50" t="inlineStr">
        <is>
          <t>Enablers</t>
        </is>
      </c>
      <c r="D12" s="50" t="inlineStr">
        <is>
          <t>Enablers</t>
        </is>
      </c>
      <c r="E12" s="50"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row>
    <row r="13" ht="150" customHeight="1">
      <c r="B13" s="7" t="inlineStr">
        <is>
          <t>EN1(d)</t>
        </is>
      </c>
      <c r="C13" s="50" t="inlineStr">
        <is>
          <t>Enablers</t>
        </is>
      </c>
      <c r="D13" s="50" t="inlineStr">
        <is>
          <t>Enablers</t>
        </is>
      </c>
      <c r="E13" s="50"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Q18"/>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Melbourne Research and Enterprise (MRE)</t>
        </is>
      </c>
    </row>
    <row r="3">
      <c r="B3" s="20" t="inlineStr">
        <is>
          <t>Consolidated responses – paste from returned request workbooks (identical column layout). Click [+] above Columns H–K for end-2025 responses.</t>
        </is>
      </c>
    </row>
    <row r="5">
      <c r="B5" s="45" t="inlineStr">
        <is>
          <t>1.1  MRE – Research (incl. MBI – TBC)</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TR1(b)</t>
        </is>
      </c>
      <c r="C10" s="50" t="inlineStr">
        <is>
          <t>Transformational research</t>
        </is>
      </c>
      <c r="D10" s="50" t="inlineStr">
        <is>
          <t>Utilise the expertise of the University’s researchers through mutually beneficial partnerships to help address the University’s operational sustainability challenges.</t>
        </is>
      </c>
      <c r="E10" s="50" t="inlineStr">
        <is>
          <t>Evidence of institutional pathways that enable ongoing collaboration between academic and professional staff</t>
        </is>
      </c>
      <c r="F10"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8" t="inlineStr">
        <is>
          <t>We will map existing academic–professional collaboration mechanisms across faculties to establish a baseline for this new indicator and identify models other faculties could adopt.</t>
        </is>
      </c>
      <c r="H10" s="8" t="inlineStr">
        <is>
          <t>N/A – new indicator</t>
        </is>
      </c>
      <c r="I10" s="8" t="inlineStr"/>
      <c r="J10" s="8" t="inlineStr"/>
      <c r="K10" s="8" t="inlineStr"/>
      <c r="L10" s="8" t="n"/>
      <c r="M10" s="8" t="n"/>
      <c r="N10" s="8" t="n"/>
      <c r="O10" s="8" t="n"/>
      <c r="P10" s="8" t="n"/>
      <c r="Q10" s="8" t="n"/>
    </row>
    <row r="11" ht="150" customHeight="1">
      <c r="B11" s="7" t="inlineStr">
        <is>
          <t>TR1(c)</t>
        </is>
      </c>
      <c r="C11" s="50" t="inlineStr">
        <is>
          <t>Transformational research</t>
        </is>
      </c>
      <c r="D11" s="50" t="inlineStr">
        <is>
          <t>Utilise the expertise of the University’s researchers through mutually beneficial partnerships to help address the University’s operational sustainability challenges.</t>
        </is>
      </c>
      <c r="E11" s="50" t="inlineStr">
        <is>
          <t>Expert assessment of the quality, relevance and continuity of these collaborations</t>
        </is>
      </c>
      <c r="F11"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8" t="inlineStr">
        <is>
          <t>We will use your assessment to describe the quality and continuity of research–operations collaboration in the 2026 report, and as baseline evidence for the interim target status assessment from 2027.</t>
        </is>
      </c>
      <c r="H11" s="8" t="inlineStr">
        <is>
          <t>N/A – new indicator</t>
        </is>
      </c>
      <c r="I11" s="8" t="inlineStr"/>
      <c r="J11" s="8" t="inlineStr"/>
      <c r="K11" s="8" t="inlineStr"/>
      <c r="L11" s="8" t="n"/>
      <c r="M11" s="8" t="n"/>
      <c r="N11" s="8" t="n"/>
      <c r="O11" s="8" t="n"/>
      <c r="P11" s="8" t="n"/>
      <c r="Q11" s="8" t="n"/>
    </row>
    <row r="12" ht="150" customHeight="1">
      <c r="B12" s="7" t="inlineStr">
        <is>
          <t>TR1(d)</t>
        </is>
      </c>
      <c r="C12" s="50" t="inlineStr">
        <is>
          <t>Transformational research</t>
        </is>
      </c>
      <c r="D12" s="50" t="inlineStr">
        <is>
          <t>Utilise the expertise of the University’s researchers through mutually beneficial partnerships to help address the University’s operational sustainability challenges.</t>
        </is>
      </c>
      <c r="E12" s="50" t="inlineStr">
        <is>
          <t>Periodic feedback from participants on the effectiveness and mutual benefit of collaboration mechanisms.</t>
        </is>
      </c>
      <c r="F12"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8" t="inlineStr">
        <is>
          <t>We will use any feedback to understand whether collaboration mechanisms are working and to inform improvements. Where none has been collected, this helps us plan how to gather feedback from 2027.</t>
        </is>
      </c>
      <c r="H12" s="8" t="inlineStr">
        <is>
          <t>N/A – new indicator</t>
        </is>
      </c>
      <c r="I12" s="8" t="inlineStr"/>
      <c r="J12" s="8" t="inlineStr"/>
      <c r="K12" s="8" t="inlineStr"/>
      <c r="L12" s="8" t="n"/>
      <c r="M12" s="8" t="n"/>
      <c r="N12" s="8" t="n"/>
      <c r="O12" s="8" t="n"/>
      <c r="P12" s="8" t="n"/>
      <c r="Q12" s="8" t="n"/>
    </row>
    <row r="13" ht="150" customHeight="1">
      <c r="B13" s="7" t="inlineStr">
        <is>
          <t>TR2(c)</t>
        </is>
      </c>
      <c r="C13" s="50" t="inlineStr">
        <is>
          <t>Transformational research</t>
        </is>
      </c>
      <c r="D13" s="50" t="inlineStr">
        <is>
          <t>Deliver high-quality research and partnerships that contribute to sustainability outcomes and demonstrable societal benefit.</t>
        </is>
      </c>
      <c r="E13" s="50" t="inlineStr">
        <is>
          <t>Expert-reviewed summary of sustainability-related research outputs, outcomes and influence using available institutional evidence sources</t>
        </is>
      </c>
      <c r="F13" s="8" t="inlineStr">
        <is>
          <t>In end-2025 reporting your area reported on the related SP2030 target 5b(iii) (see Column J – click [+] above Columns I–K). Please build on this rather than repeating it, focusing on what is new in 2026.
currently mapped to the SDGs using SciVal</t>
        </is>
      </c>
      <c r="G13" s="8" t="inlineStr">
        <is>
          <t>We will use institutional research output data (e.g. SDG-mapped publications via SciVal) to provide the University-wide quantitative picture of sustainability-related research in the 2026 Sustainability Report.</t>
        </is>
      </c>
      <c r="H13" s="8" t="inlineStr">
        <is>
          <t>5b(iii)</t>
        </is>
      </c>
      <c r="I13" s="8" t="inlineStr">
        <is>
          <t>Met or exceeded</t>
        </is>
      </c>
      <c r="J13" s="8" t="inlineStr">
        <is>
          <t>The University’s research outputs continue to be extensively mentioned in patents, policy, news and social media.</t>
        </is>
      </c>
      <c r="K13" s="8" t="inlineStr"/>
      <c r="L13" s="8" t="n"/>
      <c r="M13" s="8" t="n"/>
      <c r="N13" s="8" t="n"/>
      <c r="O13" s="8" t="n"/>
      <c r="P13" s="8" t="n"/>
      <c r="Q13" s="8" t="n"/>
    </row>
    <row r="14" ht="150" customHeight="1">
      <c r="B14" s="7" t="inlineStr">
        <is>
          <t>TR3(a)</t>
        </is>
      </c>
      <c r="C14" s="50" t="inlineStr">
        <is>
          <t>Transformational research</t>
        </is>
      </c>
      <c r="D14" s="50" t="inlineStr">
        <is>
          <t>Embed sustainability within research systems, processes, capability and culture, so research is conducted responsibly, efficiently and with reduced environmental impact.</t>
        </is>
      </c>
      <c r="E14" s="50" t="inlineStr">
        <is>
          <t>Evidence that sustainability considerations are integrated into relevant research systems, planning processes, guidance, training, induction or support services</t>
        </is>
      </c>
      <c r="F14" s="8" t="inlineStr">
        <is>
          <t>In end-2025 reporting your area reported on the related SP2030 target 5c(i)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8" t="inlineStr">
        <is>
          <t>We will report on how sustainability is being built into research systems and support across the University, and use responses to establish a baseline for this new target.</t>
        </is>
      </c>
      <c r="H14" s="8" t="inlineStr">
        <is>
          <t>5c(i)</t>
        </is>
      </c>
      <c r="I14" s="8" t="inlineStr">
        <is>
          <t>Partially met</t>
        </is>
      </c>
      <c r="J14" s="8"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8" t="inlineStr"/>
      <c r="L14" s="8" t="n"/>
      <c r="M14" s="8" t="n"/>
      <c r="N14" s="8" t="n"/>
      <c r="O14" s="8" t="n"/>
      <c r="P14" s="8" t="n"/>
      <c r="Q14" s="8" t="n"/>
    </row>
    <row r="15" ht="150" customHeight="1">
      <c r="B15" s="7" t="inlineStr">
        <is>
          <t>TR3(c)</t>
        </is>
      </c>
      <c r="C15" s="50" t="inlineStr">
        <is>
          <t>Transformational research</t>
        </is>
      </c>
      <c r="D15" s="50" t="inlineStr">
        <is>
          <t>Embed sustainability within research systems, processes, capability and culture, so research is conducted responsibly, efficiently and with reduced environmental impact.</t>
        </is>
      </c>
      <c r="E15" s="50" t="inlineStr">
        <is>
          <t>Evidence of progress in sustainability-related research culture, capability and awareness, informed by periodic staff and graduate researcher surveys</t>
        </is>
      </c>
      <c r="F15"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8" t="inlineStr">
        <is>
          <t>We will use any survey or capability data to describe changes in sustainability-related research culture. Where no evidence exists, this helps us plan University-wide measurement (e.g. staff and graduate researcher surveys) from 2027.</t>
        </is>
      </c>
      <c r="H15" s="8" t="inlineStr">
        <is>
          <t>N/A – new indicator</t>
        </is>
      </c>
      <c r="I15" s="8" t="inlineStr"/>
      <c r="J15" s="8" t="inlineStr"/>
      <c r="K15" s="8" t="inlineStr"/>
      <c r="L15" s="8" t="n"/>
      <c r="M15" s="8" t="n"/>
      <c r="N15" s="8" t="n"/>
      <c r="O15" s="8" t="n"/>
      <c r="P15" s="8" t="n"/>
      <c r="Q15" s="8" t="n"/>
    </row>
    <row r="16" ht="150" customHeight="1">
      <c r="B16" s="7" t="inlineStr">
        <is>
          <t>TR3(d)</t>
        </is>
      </c>
      <c r="C16" s="50" t="inlineStr">
        <is>
          <t>Transformational research</t>
        </is>
      </c>
      <c r="D16" s="50" t="inlineStr">
        <is>
          <t>Embed sustainability within research systems, processes, capability and culture, so research is conducted responsibly, efficiently and with reduced environmental impact.</t>
        </is>
      </c>
      <c r="E16" s="50" t="inlineStr">
        <is>
          <t>Expert assessment of progress in embedding sustainable research practices across the institution.</t>
        </is>
      </c>
      <c r="F16" s="8" t="inlineStr">
        <is>
          <t>Faculty/Portfolio’s assessment of progress in embedding sustainable research practices, highlighting areas of strong progress, remaining gaps and priority actions for further improvement.</t>
        </is>
      </c>
      <c r="G16" s="8" t="inlineStr">
        <is>
          <t>We will use faculty self-assessments to identify strengths, gaps and priority actions in embedding sustainable research practices, to inform internal management reporting and the Transformational research working group.</t>
        </is>
      </c>
      <c r="H16" s="8" t="inlineStr">
        <is>
          <t>N/A – new indicator</t>
        </is>
      </c>
      <c r="I16" s="8" t="inlineStr"/>
      <c r="J16" s="8" t="inlineStr"/>
      <c r="K16" s="8" t="inlineStr"/>
      <c r="L16" s="8" t="n"/>
      <c r="M16" s="8" t="n"/>
      <c r="N16" s="8" t="n"/>
      <c r="O16" s="8" t="n"/>
      <c r="P16" s="8" t="n"/>
      <c r="Q16" s="8" t="n"/>
    </row>
    <row r="17" ht="150" customHeight="1">
      <c r="B17" s="7" t="inlineStr">
        <is>
          <t>NB2(a)</t>
        </is>
      </c>
      <c r="C17" s="50" t="inlineStr">
        <is>
          <t>Nature and biodiversity</t>
        </is>
      </c>
      <c r="D17" s="50" t="inlineStr">
        <is>
          <t>Improve our understanding of our supply chain impacts on nature.</t>
        </is>
      </c>
      <c r="E17" s="50" t="inlineStr">
        <is>
          <t>Documented baseline nature footprint analysis</t>
        </is>
      </c>
      <c r="F17" s="8" t="inlineStr">
        <is>
          <t>Impact Encore Measurement</t>
        </is>
      </c>
      <c r="G17" s="8" t="inlineStr">
        <is>
          <t>We will report on the baseline nature footprint of the University's supply chain in the Nature and biodiversity section of the 2026 Sustainability Report.</t>
        </is>
      </c>
      <c r="H17" s="8" t="inlineStr">
        <is>
          <t>N/A – new indicator</t>
        </is>
      </c>
      <c r="I17" s="8" t="inlineStr"/>
      <c r="J17" s="8" t="inlineStr"/>
      <c r="K17" s="8" t="inlineStr"/>
      <c r="L17" s="8" t="n"/>
      <c r="M17" s="8" t="n"/>
      <c r="N17" s="8" t="n"/>
      <c r="O17" s="8" t="n"/>
      <c r="P17" s="8" t="n"/>
      <c r="Q17" s="8" t="n"/>
    </row>
    <row r="18"/>
  </sheetData>
  <mergeCells count="2">
    <mergeCell ref="L7:Q7"/>
    <mergeCell ref="C7:G7"/>
  </mergeCells>
  <dataValidations count="1">
    <dataValidation sqref="P10:P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Q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Advancement, Communication and Marketing (AC&amp;M)</t>
        </is>
      </c>
    </row>
    <row r="3">
      <c r="B3" s="20" t="inlineStr">
        <is>
          <t>Consolidated responses – paste from returned request workbooks (identical column layout). Click [+] above Columns H–K for end-2025 responses.</t>
        </is>
      </c>
    </row>
    <row r="5">
      <c r="B5" s="45" t="inlineStr">
        <is>
          <t>1.1  AC&amp;M – Advancement, Communication and Marketing</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TR2(a)</t>
        </is>
      </c>
      <c r="C10" s="50" t="inlineStr">
        <is>
          <t>Transformational research</t>
        </is>
      </c>
      <c r="D10" s="50" t="inlineStr">
        <is>
          <t>Deliver high-quality research and partnerships that contribute to sustainability outcomes and demonstrable societal benefit.</t>
        </is>
      </c>
      <c r="E10" s="50" t="inlineStr">
        <is>
          <t>Evidence of sustainability-related research impact across diverse pathways, could include policy, industry, community, practice, cultural and institutional outcomes</t>
        </is>
      </c>
      <c r="F10" s="8" t="inlineStr">
        <is>
          <t>In end-2025 reporting your area reported on the related SP2030 target 5b(ii)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8" t="inlineStr">
        <is>
          <t>We will collate research impact examples across faculties to show the breadth of sustainability-related research impact in the Transformational research section of the 2026 Sustainability Report, complementing University-wide metrics from MRE.</t>
        </is>
      </c>
      <c r="H10" s="8" t="inlineStr">
        <is>
          <t>5b(ii)</t>
        </is>
      </c>
      <c r="I10" s="8" t="inlineStr">
        <is>
          <t>Met or exceeded</t>
        </is>
      </c>
      <c r="J10"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t="n"/>
      <c r="M10" s="8" t="n"/>
      <c r="N10" s="8" t="n"/>
      <c r="O10" s="8" t="n"/>
      <c r="P10" s="8" t="n"/>
      <c r="Q10" s="8" t="n"/>
    </row>
    <row r="11" ht="150" customHeight="1">
      <c r="B11" s="7" t="inlineStr">
        <is>
          <t>CL2(a)</t>
        </is>
      </c>
      <c r="C11" s="50" t="inlineStr">
        <is>
          <t>Climate leadership</t>
        </is>
      </c>
      <c r="D11" s="50" t="inlineStr">
        <is>
          <t>Develop understanding of our research and education programs that contribute to accelerating global decarbonisation and our own climate transition.</t>
        </is>
      </c>
      <c r="E11" s="50" t="inlineStr">
        <is>
          <t>By 2028, develop and document institutional mapping of research and education activities that are designed to contribute to global decarbonisation</t>
        </is>
      </c>
      <c r="F1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8" t="inlineStr">
        <is>
          <t>We will use these examples to show how the University communicates climate research and learning to external audiences, and as an input to the institutional decarbonisation research and education mapping due by 2028.</t>
        </is>
      </c>
      <c r="H11" s="8" t="inlineStr">
        <is>
          <t>N/A – new indicator</t>
        </is>
      </c>
      <c r="I11" s="8" t="inlineStr"/>
      <c r="J11" s="8" t="inlineStr"/>
      <c r="K11" s="8" t="inlineStr"/>
      <c r="L11" s="8" t="n"/>
      <c r="M11" s="8" t="n"/>
      <c r="N11" s="8" t="n"/>
      <c r="O11" s="8" t="n"/>
      <c r="P11" s="8" t="n"/>
      <c r="Q11" s="8" t="n"/>
    </row>
    <row r="12" ht="150" customHeight="1">
      <c r="B12" s="7" t="inlineStr">
        <is>
          <t>CL2(c)</t>
        </is>
      </c>
      <c r="C12" s="50" t="inlineStr">
        <is>
          <t>Climate leadership</t>
        </is>
      </c>
      <c r="D12" s="50" t="inlineStr">
        <is>
          <t>Develop understanding of our research and education programs that contribute to accelerating global decarbonisation and our own climate transition.</t>
        </is>
      </c>
      <c r="E12" s="50" t="inlineStr">
        <is>
          <t>Ongoing communications that evidence the University’s climate action, research and learning to inform policy, sector and community decarbonisation efforts.</t>
        </is>
      </c>
      <c r="F12" s="8" t="inlineStr">
        <is>
          <t>In end-2025 reporting your area reported on the related SP2030 target 5b(ii)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8" t="inlineStr">
        <is>
          <t>We will report on the University's ongoing climate communications in the Climate leadership section of the 2026 Sustainability Report, alongside contributions from Melbourne Climate Futures and the Melbourne Energy Institute.</t>
        </is>
      </c>
      <c r="H12" s="8" t="inlineStr">
        <is>
          <t>5b(ii)</t>
        </is>
      </c>
      <c r="I12" s="8" t="inlineStr">
        <is>
          <t>Met or exceeded</t>
        </is>
      </c>
      <c r="J12"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t="n"/>
      <c r="M12" s="8" t="n"/>
      <c r="N12" s="8" t="n"/>
      <c r="O12" s="8" t="n"/>
      <c r="P12" s="8" t="n"/>
      <c r="Q12" s="8" t="n"/>
    </row>
    <row r="13" ht="150" customHeight="1">
      <c r="B13" s="7" t="inlineStr">
        <is>
          <t>EN1(c)</t>
        </is>
      </c>
      <c r="C13" s="50" t="inlineStr">
        <is>
          <t>Enablers</t>
        </is>
      </c>
      <c r="D13" s="50" t="inlineStr">
        <is>
          <t>Enablers</t>
        </is>
      </c>
      <c r="E13" s="50" t="inlineStr">
        <is>
          <t>Coordinated internal engagement and external partnerships contributing to delivery of sustainability outcomes across priority areas.</t>
        </is>
      </c>
      <c r="F13" s="8" t="inlineStr">
        <is>
          <t>In end-2025 reporting your area reported on the related SP2030 target 3e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8" t="inlineStr">
        <is>
          <t>We will report on internal engagement and partnerships contributing to Sustainability 2030 outcomes, and update our record of sustainability-focused communities of practice and contacts across the University.</t>
        </is>
      </c>
      <c r="H13" s="8" t="inlineStr">
        <is>
          <t>3e</t>
        </is>
      </c>
      <c r="I13" s="8" t="inlineStr">
        <is>
          <t>Met or exceeded</t>
        </is>
      </c>
      <c r="J13" s="8"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8" t="inlineStr"/>
      <c r="L13" s="8" t="n"/>
      <c r="M13" s="8" t="n"/>
      <c r="N13" s="8" t="n"/>
      <c r="O13" s="8" t="n"/>
      <c r="P13" s="8" t="n"/>
      <c r="Q13" s="8" t="n"/>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Q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Global, Culture and Engagement (GCE)</t>
        </is>
      </c>
    </row>
    <row r="3">
      <c r="B3" s="20" t="inlineStr">
        <is>
          <t>Consolidated responses – paste from returned request workbooks (identical column layout). Click [+] above Columns H–K for end-2025 responses.</t>
        </is>
      </c>
    </row>
    <row r="5">
      <c r="B5" s="45" t="inlineStr">
        <is>
          <t>1.1  GCE – Global, Culture and Engagement</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EN1(a)</t>
        </is>
      </c>
      <c r="C10" s="50" t="inlineStr">
        <is>
          <t>Enablers</t>
        </is>
      </c>
      <c r="D10" s="50" t="inlineStr">
        <is>
          <t>Enablers</t>
        </is>
      </c>
      <c r="E10" s="50" t="inlineStr">
        <is>
          <t>Evidence of sustainability outcomes informed by Indigenous knowledges</t>
        </is>
      </c>
      <c r="F1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N/A – new indicator</t>
        </is>
      </c>
      <c r="I10" s="8" t="inlineStr"/>
      <c r="J10" s="8" t="inlineStr"/>
      <c r="K10" s="8" t="inlineStr"/>
      <c r="L10" s="8" t="n"/>
      <c r="M10" s="8" t="n"/>
      <c r="N10" s="8" t="n"/>
      <c r="O10" s="8" t="n"/>
      <c r="P10" s="8" t="n"/>
      <c r="Q10" s="8" t="n"/>
    </row>
    <row r="11" ht="150" customHeight="1">
      <c r="B11" s="7" t="inlineStr">
        <is>
          <t>EN1(c)</t>
        </is>
      </c>
      <c r="C11" s="50" t="inlineStr">
        <is>
          <t>Enablers</t>
        </is>
      </c>
      <c r="D11" s="50" t="inlineStr">
        <is>
          <t>Enablers</t>
        </is>
      </c>
      <c r="E11" s="50" t="inlineStr">
        <is>
          <t>Coordinated internal engagement and external partnerships contributing to delivery of sustainability outcomes across priority areas.</t>
        </is>
      </c>
      <c r="F11" s="8" t="inlineStr">
        <is>
          <t>In end-2025 reporting your area reported on the related SP2030 target 7c(ii)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8" t="inlineStr">
        <is>
          <t>We will report on internal engagement and partnerships contributing to Sustainability 2030 outcomes, and update our record of sustainability-focused communities of practice and contacts across the University.</t>
        </is>
      </c>
      <c r="H11" s="8" t="inlineStr">
        <is>
          <t>7c(ii)</t>
        </is>
      </c>
      <c r="I11" s="8" t="inlineStr">
        <is>
          <t>Met or exceeded</t>
        </is>
      </c>
      <c r="J11" s="8"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8"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t="n"/>
      <c r="M11" s="8" t="n"/>
      <c r="N11" s="8" t="n"/>
      <c r="O11" s="8" t="n"/>
      <c r="P11" s="8" t="n"/>
      <c r="Q11" s="8" t="n"/>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Q13"/>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Chancellery Education</t>
        </is>
      </c>
    </row>
    <row r="3">
      <c r="B3" s="20" t="inlineStr">
        <is>
          <t>Consolidated responses – paste from returned request workbooks (identical column layout). Click [+] above Columns H–K for end-2025 responses.</t>
        </is>
      </c>
    </row>
    <row r="5">
      <c r="B5" s="45" t="inlineStr">
        <is>
          <t>1.1  Education – Chancellery Education</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EE1(a)</t>
        </is>
      </c>
      <c r="C10" s="50" t="inlineStr">
        <is>
          <t>Exceptional education</t>
        </is>
      </c>
      <c r="D10" s="50" t="inlineStr">
        <is>
          <t>Provide our students with learning experiences that help them build the knowledge, skills and relationships to lead change for sustainable societies.</t>
        </is>
      </c>
      <c r="E10" s="50" t="inlineStr">
        <is>
          <t>Evidence of innovative approaches to sustainability teaching and learning</t>
        </is>
      </c>
      <c r="F10" s="8" t="inlineStr">
        <is>
          <t>In end-2025 reporting your area reported on the related SP2030 target 4a(ii)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Not yet started</t>
        </is>
      </c>
      <c r="J10" s="8"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8" t="inlineStr">
        <is>
          <t>As per mid-2025: this is unfunded (including new curriculum management system). Faculties are pursuing this but central efforts are on hold.</t>
        </is>
      </c>
      <c r="L10" s="8" t="n"/>
      <c r="M10" s="8" t="n"/>
      <c r="N10" s="8" t="n"/>
      <c r="O10" s="8" t="n"/>
      <c r="P10" s="8" t="n"/>
      <c r="Q10" s="8" t="n"/>
    </row>
    <row r="11" ht="150" customHeight="1">
      <c r="B11" s="7" t="inlineStr">
        <is>
          <t>EE1(b)</t>
        </is>
      </c>
      <c r="C11" s="50" t="inlineStr">
        <is>
          <t>Exceptional education</t>
        </is>
      </c>
      <c r="D11" s="50" t="inlineStr">
        <is>
          <t>Provide our students with learning experiences that help them build the knowledge, skills and relationships to lead change for sustainable societies.</t>
        </is>
      </c>
      <c r="E11" s="50" t="inlineStr">
        <is>
          <t>Pilots of possible approaches for understanding and developing students’ sustainability self-efficacy</t>
        </is>
      </c>
      <c r="F11"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row>
    <row r="12" ht="150" customHeight="1">
      <c r="B12" s="7" t="inlineStr">
        <is>
          <t>EN1(c)</t>
        </is>
      </c>
      <c r="C12" s="50" t="inlineStr">
        <is>
          <t>Enablers</t>
        </is>
      </c>
      <c r="D12" s="50" t="inlineStr">
        <is>
          <t>Enablers</t>
        </is>
      </c>
      <c r="E12" s="50" t="inlineStr">
        <is>
          <t>Coordinated internal engagement and external partnerships contributing to delivery of sustainability outcomes across priority areas.</t>
        </is>
      </c>
      <c r="F12" s="8"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is>
          <t>3a(ii)</t>
        </is>
      </c>
      <c r="I12" s="8" t="inlineStr"/>
      <c r="J12" s="8" t="inlineStr"/>
      <c r="K12" s="8" t="inlineStr">
        <is>
          <t>As per mid-2025: this is not relevant to Ed portfolio. Suggest removing.</t>
        </is>
      </c>
      <c r="L12" s="8" t="n"/>
      <c r="M12" s="8" t="n"/>
      <c r="N12" s="8" t="n"/>
      <c r="O12" s="8" t="n"/>
      <c r="P12" s="8" t="n"/>
      <c r="Q12" s="8" t="n"/>
    </row>
    <row r="13"/>
  </sheetData>
  <mergeCells count="2">
    <mergeCell ref="L7:Q7"/>
    <mergeCell ref="C7:G7"/>
  </mergeCells>
  <dataValidations count="1">
    <dataValidation sqref="P10:P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Q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Student and Scholarly Services (SaSS)</t>
        </is>
      </c>
    </row>
    <row r="3">
      <c r="B3" s="20" t="inlineStr">
        <is>
          <t>Consolidated responses – paste from returned request workbooks (identical column layout). Click [+] above Columns H–K for end-2025 responses.</t>
        </is>
      </c>
    </row>
    <row r="5">
      <c r="B5" s="45" t="inlineStr">
        <is>
          <t>1.1  SaSS – Student and Scholarly Services</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EE1(c)</t>
        </is>
      </c>
      <c r="C10" s="50" t="inlineStr">
        <is>
          <t>Exceptional education</t>
        </is>
      </c>
      <c r="D10" s="50" t="inlineStr">
        <is>
          <t>Provide our students with learning experiences that help them build the knowledge, skills and relationships to lead change for sustainable societies.</t>
        </is>
      </c>
      <c r="E10" s="50" t="inlineStr">
        <is>
          <t>Evidence of sustainability focused experiential and co curricular learning (eg Wattle Fellowship; Melbourne Plus)</t>
        </is>
      </c>
      <c r="F10" s="8" t="inlineStr">
        <is>
          <t>In end-2025 reporting your area reported on the related SP2030 target 3b(vii)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8" t="inlineStr">
        <is>
          <t>We will combine faculty examples with central Wattle Fellowship and Melbourne Plus data to report on the range and reach of sustainability-focused experiential and co-curricular learning across the University.</t>
        </is>
      </c>
      <c r="H10" s="8" t="inlineStr">
        <is>
          <t>3b(vii)</t>
        </is>
      </c>
      <c r="I10" s="8" t="inlineStr">
        <is>
          <t>Met or exceeded</t>
        </is>
      </c>
      <c r="J10" s="8" t="inlineStr">
        <is>
          <t>Number of student particpation in a sustainability activity in 2025: 466 (14% increase YTY from 2024).
Number of total credentials released for Sustainability Advocacy in 2025: 297 (29% increase YTY from 2024)</t>
        </is>
      </c>
      <c r="K10" s="8" t="inlineStr">
        <is>
          <t>See also case studies on Melbourne Plus in the Chanc. Ed. SASS spreadsheet.</t>
        </is>
      </c>
      <c r="L10" s="8" t="n"/>
      <c r="M10" s="8" t="n"/>
      <c r="N10" s="8" t="n"/>
      <c r="O10" s="8" t="n"/>
      <c r="P10" s="8" t="n"/>
      <c r="Q10" s="8" t="n"/>
    </row>
    <row r="11" ht="150" customHeight="1">
      <c r="B11" s="7" t="inlineStr">
        <is>
          <t>EE1(d)</t>
        </is>
      </c>
      <c r="C11" s="50" t="inlineStr">
        <is>
          <t>Exceptional education</t>
        </is>
      </c>
      <c r="D11" s="50" t="inlineStr">
        <is>
          <t>Provide our students with learning experiences that help them build the knowledge, skills and relationships to lead change for sustainable societies.</t>
        </is>
      </c>
      <c r="E11" s="50" t="inlineStr">
        <is>
          <t>Alumni profiles demonstrating how graduates contribute to sustainability through their careers or communities.</t>
        </is>
      </c>
      <c r="F11" s="8" t="inlineStr">
        <is>
          <t>In end-2025 reporting your area reported on the related SP2030 target 3b(ii)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8" t="inlineStr">
        <is>
          <t>We will use nominated alumni to develop short graduate profiles for the 2026 Sustainability Report (subject to consent), and record any faculty approaches to tracking graduate outcomes to inform how this indicator is measured from 2027.</t>
        </is>
      </c>
      <c r="H11" s="8" t="inlineStr">
        <is>
          <t>3b(ii)</t>
        </is>
      </c>
      <c r="I11" s="8" t="inlineStr">
        <is>
          <t>Met or exceeded</t>
        </is>
      </c>
      <c r="J11" s="8"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8" t="inlineStr">
        <is>
          <t>See details in Chancellery Ed. (SASS) spreadsheet, including data on sustainability-themed event participation in UOM managed student accommodation</t>
        </is>
      </c>
      <c r="L11" s="8" t="n"/>
      <c r="M11" s="8" t="n"/>
      <c r="N11" s="8" t="n"/>
      <c r="O11" s="8" t="n"/>
      <c r="P11" s="8" t="n"/>
      <c r="Q11" s="8" t="n"/>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Q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Chancellery Indigenous</t>
        </is>
      </c>
    </row>
    <row r="3">
      <c r="B3" s="20" t="inlineStr">
        <is>
          <t>Consolidated responses – paste from returned request workbooks (identical column layout). Click [+] above Columns H–K for end-2025 responses.</t>
        </is>
      </c>
    </row>
    <row r="5">
      <c r="B5" s="45" t="inlineStr">
        <is>
          <t>1.1  Indigenous – Chancellery Indigenous</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EN1(a)</t>
        </is>
      </c>
      <c r="C10" s="50" t="inlineStr">
        <is>
          <t>Enablers</t>
        </is>
      </c>
      <c r="D10" s="50" t="inlineStr">
        <is>
          <t>Enablers</t>
        </is>
      </c>
      <c r="E10" s="50" t="inlineStr">
        <is>
          <t>Evidence of sustainability outcomes informed by Indigenous knowledges</t>
        </is>
      </c>
      <c r="F10" s="8"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6a</t>
        </is>
      </c>
      <c r="I10" s="8" t="inlineStr"/>
      <c r="J10" s="8" t="inlineStr"/>
      <c r="K10" s="8" t="inlineStr"/>
      <c r="L10" s="8" t="n"/>
      <c r="M10" s="8" t="n"/>
      <c r="N10" s="8" t="n"/>
      <c r="O10" s="8" t="n"/>
      <c r="P10" s="8" t="n"/>
      <c r="Q10" s="8" t="n"/>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Q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c r="A1" s="1" t="inlineStr">
        <is>
          <t>↑</t>
        </is>
      </c>
      <c r="B1" s="2" t="inlineStr">
        <is>
          <t>SR26 sustainability reporting</t>
        </is>
      </c>
    </row>
    <row r="2">
      <c r="B2" s="3" t="inlineStr">
        <is>
          <t>Legal and Risk</t>
        </is>
      </c>
    </row>
    <row r="3">
      <c r="B3" s="20" t="inlineStr">
        <is>
          <t>Consolidated responses – paste from returned request workbooks (identical column layout). Click [+] above Columns H–K for end-2025 responses.</t>
        </is>
      </c>
    </row>
    <row r="5">
      <c r="B5" s="45" t="inlineStr">
        <is>
          <t>1.1  Legal &amp; Risk – Risk &amp; resilience</t>
        </is>
      </c>
    </row>
    <row r="7">
      <c r="C7" s="46" t="inlineStr">
        <is>
          <t>Sustainability 2030 target and indicator</t>
        </is>
      </c>
      <c r="H7" s="46" t="inlineStr">
        <is>
          <t>SR25 response</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OPTION 1:  Target-level reporting (Column D)</t>
        </is>
      </c>
      <c r="M8" s="48" t="inlineStr">
        <is>
          <t>OPTION 2:  Indicator level reporting (Column E/F)</t>
        </is>
      </c>
      <c r="N8" s="48" t="inlineStr">
        <is>
          <t>Supporting information/comments</t>
        </is>
      </c>
      <c r="O8" s="48" t="inlineStr">
        <is>
          <t>Data source and limitations</t>
        </is>
      </c>
      <c r="P8" s="48" t="inlineStr">
        <is>
          <t>Data owner confirms information is accurate</t>
        </is>
      </c>
      <c r="Q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A general update on activities in relation to the overarching target (Column D)</t>
        </is>
      </c>
      <c r="M9" s="49" t="inlineStr">
        <is>
          <t>Data and commentary in direct response to the reporting request (Column F)</t>
        </is>
      </c>
      <c r="N9" s="49" t="inlineStr">
        <is>
          <t>Any additional information (e.g. links, images, documents)</t>
        </is>
      </c>
      <c r="O9" s="49" t="inlineStr">
        <is>
          <t>Where did this information come from (system, report, survey, person)? Note any gaps or limitations.</t>
        </is>
      </c>
      <c r="P9" s="49" t="inlineStr">
        <is>
          <t>Select 'Yes' to confirm the information provided is accurate and can be used for reporting</t>
        </is>
      </c>
      <c r="Q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C200"/>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6" max="26"/>
    <col width="13" customWidth="1" min="27" max="27"/>
    <col width="13" customWidth="1" min="28" max="28"/>
    <col width="13" customWidth="1" min="29" max="29"/>
  </cols>
  <sheetData>
    <row r="1">
      <c r="A1" s="1" t="inlineStr">
        <is>
          <t>↑</t>
        </is>
      </c>
      <c r="B1" s="2" t="inlineStr">
        <is>
          <t>SR26 sustainability reporting</t>
        </is>
      </c>
    </row>
    <row r="2">
      <c r="B2" s="3" t="inlineStr">
        <is>
          <t>A1. Response summary</t>
        </is>
      </c>
    </row>
    <row r="4">
      <c r="C4" s="32" t="inlineStr">
        <is>
          <t>Description</t>
        </is>
      </c>
      <c r="D4" s="9"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awaiting response and owner-confirmed.</t>
        </is>
      </c>
    </row>
    <row r="5"/>
    <row r="6"/>
    <row r="9">
      <c r="H9" s="51" t="inlineStr">
        <is>
          <t>Faculty</t>
        </is>
      </c>
      <c r="I9" s="51" t="inlineStr">
        <is>
          <t>Faculty</t>
        </is>
      </c>
      <c r="J9" s="51" t="inlineStr">
        <is>
          <t>Faculty</t>
        </is>
      </c>
      <c r="K9" s="51" t="inlineStr">
        <is>
          <t>Faculty</t>
        </is>
      </c>
      <c r="L9" s="51" t="inlineStr">
        <is>
          <t>Central</t>
        </is>
      </c>
      <c r="M9" s="51" t="inlineStr">
        <is>
          <t>Central</t>
        </is>
      </c>
      <c r="N9" s="51" t="inlineStr">
        <is>
          <t>Central</t>
        </is>
      </c>
      <c r="O9" s="51" t="inlineStr">
        <is>
          <t>Central</t>
        </is>
      </c>
      <c r="P9" s="51" t="inlineStr">
        <is>
          <t>Central</t>
        </is>
      </c>
      <c r="Q9" s="51" t="inlineStr">
        <is>
          <t>Central</t>
        </is>
      </c>
      <c r="R9" s="51" t="inlineStr">
        <is>
          <t>Central</t>
        </is>
      </c>
      <c r="S9" s="51" t="inlineStr">
        <is>
          <t>Central</t>
        </is>
      </c>
      <c r="T9" s="51" t="inlineStr">
        <is>
          <t>Central</t>
        </is>
      </c>
      <c r="U9" s="51" t="inlineStr">
        <is>
          <t>Central</t>
        </is>
      </c>
      <c r="V9" s="51" t="inlineStr">
        <is>
          <t>Central</t>
        </is>
      </c>
      <c r="W9" s="51" t="inlineStr">
        <is>
          <t>Central</t>
        </is>
      </c>
      <c r="X9" s="51"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AC&amp;M – Advancement, Communication and Marketing</t>
        </is>
      </c>
      <c r="T10" s="6" t="inlineStr">
        <is>
          <t>GCE – Global, Culture and Engagement</t>
        </is>
      </c>
      <c r="U10" s="6" t="inlineStr">
        <is>
          <t>Education – Chancellery Education</t>
        </is>
      </c>
      <c r="V10" s="6" t="inlineStr">
        <is>
          <t>SaSS – Student and Scholarly Services</t>
        </is>
      </c>
      <c r="W10" s="6" t="inlineStr">
        <is>
          <t>Indigenous – Chancellery Indigenous</t>
        </is>
      </c>
      <c r="X10" s="6" t="inlineStr">
        <is>
          <t>Legal &amp; Risk – Risk &amp; resilience</t>
        </is>
      </c>
      <c r="Y10" s="6" t="n"/>
      <c r="Z10" s="6" t="inlineStr">
        <is>
          <t>Units asked</t>
        </is>
      </c>
      <c r="AA10" s="6" t="inlineStr">
        <is>
          <t>Responses received</t>
        </is>
      </c>
      <c r="AB10" s="6" t="inlineStr">
        <is>
          <t>Awaiting response</t>
        </is>
      </c>
      <c r="AC10" s="6" t="inlineStr">
        <is>
          <t>Owner confirmed</t>
        </is>
      </c>
    </row>
    <row r="11">
      <c r="A11">
        <f>F11&amp;"|"&amp;G11</f>
        <v/>
      </c>
      <c r="B11" s="7" t="inlineStr">
        <is>
          <t>EE1(a)</t>
        </is>
      </c>
      <c r="C11" s="50" t="inlineStr">
        <is>
          <t>Exceptional education</t>
        </is>
      </c>
      <c r="D11" s="50" t="inlineStr">
        <is>
          <t>Evidence of innovative approaches to sustainability teaching and learning</t>
        </is>
      </c>
      <c r="E11" s="50"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50" t="inlineStr">
        <is>
          <t>EE1(a)</t>
        </is>
      </c>
      <c r="G11" s="50" t="inlineStr">
        <is>
          <t>OPTION 1:  Target-level reporting</t>
        </is>
      </c>
      <c r="H11" s="52">
        <f>IFERROR(IF(INDEX('Faculties'!$L$10:$L$19,MATCH($F11,'Faculties'!$B$10:$B$19,0))="","Cell will autofill based on response",INDEX('Faculties'!$L$10:$L$19,MATCH($F11,'Faculties'!$B$10:$B$19,0))),"N/A")</f>
        <v/>
      </c>
      <c r="I11" s="52">
        <f>IFERROR(IF(INDEX('Faculties'!$L$26:$L$35,MATCH($F11,'Faculties'!$B$26:$B$35,0))="","Cell will autofill based on response",INDEX('Faculties'!$L$26:$L$35,MATCH($F11,'Faculties'!$B$26:$B$35,0))),"N/A")</f>
        <v/>
      </c>
      <c r="J11" s="52">
        <f>IFERROR(IF(INDEX('Faculties'!$L$42:$L$51,MATCH($F11,'Faculties'!$B$42:$B$51,0))="","Cell will autofill based on response",INDEX('Faculties'!$L$42:$L$51,MATCH($F11,'Faculties'!$B$42:$B$51,0))),"N/A")</f>
        <v/>
      </c>
      <c r="K11" s="52">
        <f>IFERROR(IF(INDEX('Faculties'!$L$58:$L$67,MATCH($F11,'Faculties'!$B$58:$B$67,0))="","Cell will autofill based on response",INDEX('Faculties'!$L$58:$L$67,MATCH($F11,'Faculties'!$B$58:$B$67,0))),"N/A")</f>
        <v/>
      </c>
      <c r="L11" s="52">
        <f>IFERROR(IF(INDEX('CI&amp;S'!$L$10:$L$15,MATCH($F11,'CI&amp;S'!$B$10:$B$15,0))="","Cell will autofill based on response",INDEX('CI&amp;S'!$L$10:$L$15,MATCH($F11,'CI&amp;S'!$B$10:$B$15,0))),"N/A")</f>
        <v/>
      </c>
      <c r="M11" s="52">
        <f>IFERROR(IF(INDEX('CI&amp;S'!$L$22:$L$36,MATCH($F11,'CI&amp;S'!$B$22:$B$36,0))="","Cell will autofill based on response",INDEX('CI&amp;S'!$L$22:$L$36,MATCH($F11,'CI&amp;S'!$B$22:$B$36,0))),"N/A")</f>
        <v/>
      </c>
      <c r="N11" s="52">
        <f>IFERROR(IF(INDEX('CFOG'!$L$10:$L$16,MATCH($F11,'CFOG'!$B$10:$B$16,0))="","Cell will autofill based on response",INDEX('CFOG'!$L$10:$L$16,MATCH($F11,'CFOG'!$B$10:$B$16,0))),"N/A")</f>
        <v/>
      </c>
      <c r="O11" s="52">
        <f>IFERROR(IF(INDEX('CFOG'!$L$23:$L$24,MATCH($F11,'CFOG'!$B$23:$B$24,0))="","Cell will autofill based on response",INDEX('CFOG'!$L$23:$L$24,MATCH($F11,'CFOG'!$B$23:$B$24,0))),"N/A")</f>
        <v/>
      </c>
      <c r="P11" s="52">
        <f>IFERROR(IF(INDEX('ESG'!$L$10:$L$17,MATCH($F11,'ESG'!$B$10:$B$17,0))="","Cell will autofill based on response",INDEX('ESG'!$L$10:$L$17,MATCH($F11,'ESG'!$B$10:$B$17,0))),"N/A")</f>
        <v/>
      </c>
      <c r="Q11" s="52">
        <f>IFERROR(IF(INDEX('CIOG'!$L$10:$L$14,MATCH($F11,'CIOG'!$B$10:$B$14,0))="","Cell will autofill based on response",INDEX('CIOG'!$L$10:$L$14,MATCH($F11,'CIOG'!$B$10:$B$14,0))),"N/A")</f>
        <v/>
      </c>
      <c r="R11" s="52">
        <f>IFERROR(IF(INDEX('MRE'!$L$10:$L$18,MATCH($F11,'MRE'!$B$10:$B$18,0))="","Cell will autofill based on response",INDEX('MRE'!$L$10:$L$18,MATCH($F11,'MRE'!$B$10:$B$18,0))),"N/A")</f>
        <v/>
      </c>
      <c r="S11" s="52">
        <f>IFERROR(IF(INDEX('AC&amp;M'!$L$10:$L$14,MATCH($F11,'AC&amp;M'!$B$10:$B$14,0))="","Cell will autofill based on response",INDEX('AC&amp;M'!$L$10:$L$14,MATCH($F11,'AC&amp;M'!$B$10:$B$14,0))),"N/A")</f>
        <v/>
      </c>
      <c r="T11" s="52">
        <f>IFERROR(IF(INDEX('GCE'!$L$10:$L$12,MATCH($F11,'GCE'!$B$10:$B$12,0))="","Cell will autofill based on response",INDEX('GCE'!$L$10:$L$12,MATCH($F11,'GCE'!$B$10:$B$12,0))),"N/A")</f>
        <v/>
      </c>
      <c r="U11" s="52">
        <f>IFERROR(IF(INDEX('Education'!$L$10:$L$13,MATCH($F11,'Education'!$B$10:$B$13,0))="","Cell will autofill based on response",INDEX('Education'!$L$10:$L$13,MATCH($F11,'Education'!$B$10:$B$13,0))),"N/A")</f>
        <v/>
      </c>
      <c r="V11" s="52">
        <f>IFERROR(IF(INDEX('SaSS'!$L$10:$L$12,MATCH($F11,'SaSS'!$B$10:$B$12,0))="","Cell will autofill based on response",INDEX('SaSS'!$L$10:$L$12,MATCH($F11,'SaSS'!$B$10:$B$12,0))),"N/A")</f>
        <v/>
      </c>
      <c r="W11" s="52">
        <f>IFERROR(IF(INDEX('Indigenous'!$L$10:$L$11,MATCH($F11,'Indigenous'!$B$10:$B$11,0))="","Cell will autofill based on response",INDEX('Indigenous'!$L$10:$L$11,MATCH($F11,'Indigenous'!$B$10:$B$11,0))),"N/A")</f>
        <v/>
      </c>
      <c r="X11" s="52">
        <f>IFERROR(IF(INDEX('L&amp;R'!$L$10:$L$11,MATCH($F11,'L&amp;R'!$B$10:$B$11,0))="","Cell will autofill based on response",INDEX('L&amp;R'!$L$10:$L$11,MATCH($F11,'L&amp;R'!$B$10:$B$11,0))),"N/A")</f>
        <v/>
      </c>
      <c r="Z11" s="10">
        <f>SUMPRODUCT(--($H11:$X11&lt;&gt;"N/A"))</f>
        <v/>
      </c>
      <c r="AA11" s="10">
        <f>SUMPRODUCT(--(((($H11:$X11&lt;&gt;"N/A")*($H11:$X11&lt;&gt;"Cell will autofill based on response"))+(($H12:$X12&lt;&gt;"N/A")*($H12:$X12&lt;&gt;"Cell will autofill based on response")))&gt;0))</f>
        <v/>
      </c>
      <c r="AB11" s="10">
        <f>Z11-AA11</f>
        <v/>
      </c>
      <c r="AC11" s="10">
        <f>COUNTIF($H15:$X15,"Yes")</f>
        <v/>
      </c>
    </row>
    <row r="12">
      <c r="A12">
        <f>F12&amp;"|"&amp;G12</f>
        <v/>
      </c>
      <c r="B12" s="13" t="inlineStr"/>
      <c r="C12" s="8" t="inlineStr"/>
      <c r="D12" s="8" t="inlineStr"/>
      <c r="E12" s="8" t="inlineStr"/>
      <c r="F12" s="8" t="inlineStr">
        <is>
          <t>EE1(a)</t>
        </is>
      </c>
      <c r="G12" s="8" t="inlineStr">
        <is>
          <t>OPTION 2:  Indicator level reporting</t>
        </is>
      </c>
      <c r="H12" s="52">
        <f>IFERROR(IF(INDEX('Faculties'!$M$10:$M$19,MATCH($F12,'Faculties'!$B$10:$B$19,0))="","Cell will autofill based on response",INDEX('Faculties'!$M$10:$M$19,MATCH($F12,'Faculties'!$B$10:$B$19,0))),"N/A")</f>
        <v/>
      </c>
      <c r="I12" s="52">
        <f>IFERROR(IF(INDEX('Faculties'!$M$26:$M$35,MATCH($F12,'Faculties'!$B$26:$B$35,0))="","Cell will autofill based on response",INDEX('Faculties'!$M$26:$M$35,MATCH($F12,'Faculties'!$B$26:$B$35,0))),"N/A")</f>
        <v/>
      </c>
      <c r="J12" s="52">
        <f>IFERROR(IF(INDEX('Faculties'!$M$42:$M$51,MATCH($F12,'Faculties'!$B$42:$B$51,0))="","Cell will autofill based on response",INDEX('Faculties'!$M$42:$M$51,MATCH($F12,'Faculties'!$B$42:$B$51,0))),"N/A")</f>
        <v/>
      </c>
      <c r="K12" s="52">
        <f>IFERROR(IF(INDEX('Faculties'!$M$58:$M$67,MATCH($F12,'Faculties'!$B$58:$B$67,0))="","Cell will autofill based on response",INDEX('Faculties'!$M$58:$M$67,MATCH($F12,'Faculties'!$B$58:$B$67,0))),"N/A")</f>
        <v/>
      </c>
      <c r="L12" s="52">
        <f>IFERROR(IF(INDEX('CI&amp;S'!$M$10:$M$15,MATCH($F12,'CI&amp;S'!$B$10:$B$15,0))="","Cell will autofill based on response",INDEX('CI&amp;S'!$M$10:$M$15,MATCH($F12,'CI&amp;S'!$B$10:$B$15,0))),"N/A")</f>
        <v/>
      </c>
      <c r="M12" s="52">
        <f>IFERROR(IF(INDEX('CI&amp;S'!$M$22:$M$36,MATCH($F12,'CI&amp;S'!$B$22:$B$36,0))="","Cell will autofill based on response",INDEX('CI&amp;S'!$M$22:$M$36,MATCH($F12,'CI&amp;S'!$B$22:$B$36,0))),"N/A")</f>
        <v/>
      </c>
      <c r="N12" s="52">
        <f>IFERROR(IF(INDEX('CFOG'!$M$10:$M$16,MATCH($F12,'CFOG'!$B$10:$B$16,0))="","Cell will autofill based on response",INDEX('CFOG'!$M$10:$M$16,MATCH($F12,'CFOG'!$B$10:$B$16,0))),"N/A")</f>
        <v/>
      </c>
      <c r="O12" s="52">
        <f>IFERROR(IF(INDEX('CFOG'!$M$23:$M$24,MATCH($F12,'CFOG'!$B$23:$B$24,0))="","Cell will autofill based on response",INDEX('CFOG'!$M$23:$M$24,MATCH($F12,'CFOG'!$B$23:$B$24,0))),"N/A")</f>
        <v/>
      </c>
      <c r="P12" s="52">
        <f>IFERROR(IF(INDEX('ESG'!$M$10:$M$17,MATCH($F12,'ESG'!$B$10:$B$17,0))="","Cell will autofill based on response",INDEX('ESG'!$M$10:$M$17,MATCH($F12,'ESG'!$B$10:$B$17,0))),"N/A")</f>
        <v/>
      </c>
      <c r="Q12" s="52">
        <f>IFERROR(IF(INDEX('CIOG'!$M$10:$M$14,MATCH($F12,'CIOG'!$B$10:$B$14,0))="","Cell will autofill based on response",INDEX('CIOG'!$M$10:$M$14,MATCH($F12,'CIOG'!$B$10:$B$14,0))),"N/A")</f>
        <v/>
      </c>
      <c r="R12" s="52">
        <f>IFERROR(IF(INDEX('MRE'!$M$10:$M$18,MATCH($F12,'MRE'!$B$10:$B$18,0))="","Cell will autofill based on response",INDEX('MRE'!$M$10:$M$18,MATCH($F12,'MRE'!$B$10:$B$18,0))),"N/A")</f>
        <v/>
      </c>
      <c r="S12" s="52">
        <f>IFERROR(IF(INDEX('AC&amp;M'!$M$10:$M$14,MATCH($F12,'AC&amp;M'!$B$10:$B$14,0))="","Cell will autofill based on response",INDEX('AC&amp;M'!$M$10:$M$14,MATCH($F12,'AC&amp;M'!$B$10:$B$14,0))),"N/A")</f>
        <v/>
      </c>
      <c r="T12" s="52">
        <f>IFERROR(IF(INDEX('GCE'!$M$10:$M$12,MATCH($F12,'GCE'!$B$10:$B$12,0))="","Cell will autofill based on response",INDEX('GCE'!$M$10:$M$12,MATCH($F12,'GCE'!$B$10:$B$12,0))),"N/A")</f>
        <v/>
      </c>
      <c r="U12" s="52">
        <f>IFERROR(IF(INDEX('Education'!$M$10:$M$13,MATCH($F12,'Education'!$B$10:$B$13,0))="","Cell will autofill based on response",INDEX('Education'!$M$10:$M$13,MATCH($F12,'Education'!$B$10:$B$13,0))),"N/A")</f>
        <v/>
      </c>
      <c r="V12" s="52">
        <f>IFERROR(IF(INDEX('SaSS'!$M$10:$M$12,MATCH($F12,'SaSS'!$B$10:$B$12,0))="","Cell will autofill based on response",INDEX('SaSS'!$M$10:$M$12,MATCH($F12,'SaSS'!$B$10:$B$12,0))),"N/A")</f>
        <v/>
      </c>
      <c r="W12" s="52">
        <f>IFERROR(IF(INDEX('Indigenous'!$M$10:$M$11,MATCH($F12,'Indigenous'!$B$10:$B$11,0))="","Cell will autofill based on response",INDEX('Indigenous'!$M$10:$M$11,MATCH($F12,'Indigenous'!$B$10:$B$11,0))),"N/A")</f>
        <v/>
      </c>
      <c r="X12" s="52">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Supporting information/comments</t>
        </is>
      </c>
      <c r="H13" s="52">
        <f>IFERROR(IF(INDEX('Faculties'!$N$10:$N$19,MATCH($F13,'Faculties'!$B$10:$B$19,0))="","Cell will autofill based on response",INDEX('Faculties'!$N$10:$N$19,MATCH($F13,'Faculties'!$B$10:$B$19,0))),"N/A")</f>
        <v/>
      </c>
      <c r="I13" s="52">
        <f>IFERROR(IF(INDEX('Faculties'!$N$26:$N$35,MATCH($F13,'Faculties'!$B$26:$B$35,0))="","Cell will autofill based on response",INDEX('Faculties'!$N$26:$N$35,MATCH($F13,'Faculties'!$B$26:$B$35,0))),"N/A")</f>
        <v/>
      </c>
      <c r="J13" s="52">
        <f>IFERROR(IF(INDEX('Faculties'!$N$42:$N$51,MATCH($F13,'Faculties'!$B$42:$B$51,0))="","Cell will autofill based on response",INDEX('Faculties'!$N$42:$N$51,MATCH($F13,'Faculties'!$B$42:$B$51,0))),"N/A")</f>
        <v/>
      </c>
      <c r="K13" s="52">
        <f>IFERROR(IF(INDEX('Faculties'!$N$58:$N$67,MATCH($F13,'Faculties'!$B$58:$B$67,0))="","Cell will autofill based on response",INDEX('Faculties'!$N$58:$N$67,MATCH($F13,'Faculties'!$B$58:$B$67,0))),"N/A")</f>
        <v/>
      </c>
      <c r="L13" s="52">
        <f>IFERROR(IF(INDEX('CI&amp;S'!$N$10:$N$15,MATCH($F13,'CI&amp;S'!$B$10:$B$15,0))="","Cell will autofill based on response",INDEX('CI&amp;S'!$N$10:$N$15,MATCH($F13,'CI&amp;S'!$B$10:$B$15,0))),"N/A")</f>
        <v/>
      </c>
      <c r="M13" s="52">
        <f>IFERROR(IF(INDEX('CI&amp;S'!$N$22:$N$36,MATCH($F13,'CI&amp;S'!$B$22:$B$36,0))="","Cell will autofill based on response",INDEX('CI&amp;S'!$N$22:$N$36,MATCH($F13,'CI&amp;S'!$B$22:$B$36,0))),"N/A")</f>
        <v/>
      </c>
      <c r="N13" s="52">
        <f>IFERROR(IF(INDEX('CFOG'!$N$10:$N$16,MATCH($F13,'CFOG'!$B$10:$B$16,0))="","Cell will autofill based on response",INDEX('CFOG'!$N$10:$N$16,MATCH($F13,'CFOG'!$B$10:$B$16,0))),"N/A")</f>
        <v/>
      </c>
      <c r="O13" s="52">
        <f>IFERROR(IF(INDEX('CFOG'!$N$23:$N$24,MATCH($F13,'CFOG'!$B$23:$B$24,0))="","Cell will autofill based on response",INDEX('CFOG'!$N$23:$N$24,MATCH($F13,'CFOG'!$B$23:$B$24,0))),"N/A")</f>
        <v/>
      </c>
      <c r="P13" s="52">
        <f>IFERROR(IF(INDEX('ESG'!$N$10:$N$17,MATCH($F13,'ESG'!$B$10:$B$17,0))="","Cell will autofill based on response",INDEX('ESG'!$N$10:$N$17,MATCH($F13,'ESG'!$B$10:$B$17,0))),"N/A")</f>
        <v/>
      </c>
      <c r="Q13" s="52">
        <f>IFERROR(IF(INDEX('CIOG'!$N$10:$N$14,MATCH($F13,'CIOG'!$B$10:$B$14,0))="","Cell will autofill based on response",INDEX('CIOG'!$N$10:$N$14,MATCH($F13,'CIOG'!$B$10:$B$14,0))),"N/A")</f>
        <v/>
      </c>
      <c r="R13" s="52">
        <f>IFERROR(IF(INDEX('MRE'!$N$10:$N$18,MATCH($F13,'MRE'!$B$10:$B$18,0))="","Cell will autofill based on response",INDEX('MRE'!$N$10:$N$18,MATCH($F13,'MRE'!$B$10:$B$18,0))),"N/A")</f>
        <v/>
      </c>
      <c r="S13" s="52">
        <f>IFERROR(IF(INDEX('AC&amp;M'!$N$10:$N$14,MATCH($F13,'AC&amp;M'!$B$10:$B$14,0))="","Cell will autofill based on response",INDEX('AC&amp;M'!$N$10:$N$14,MATCH($F13,'AC&amp;M'!$B$10:$B$14,0))),"N/A")</f>
        <v/>
      </c>
      <c r="T13" s="52">
        <f>IFERROR(IF(INDEX('GCE'!$N$10:$N$12,MATCH($F13,'GCE'!$B$10:$B$12,0))="","Cell will autofill based on response",INDEX('GCE'!$N$10:$N$12,MATCH($F13,'GCE'!$B$10:$B$12,0))),"N/A")</f>
        <v/>
      </c>
      <c r="U13" s="52">
        <f>IFERROR(IF(INDEX('Education'!$N$10:$N$13,MATCH($F13,'Education'!$B$10:$B$13,0))="","Cell will autofill based on response",INDEX('Education'!$N$10:$N$13,MATCH($F13,'Education'!$B$10:$B$13,0))),"N/A")</f>
        <v/>
      </c>
      <c r="V13" s="52">
        <f>IFERROR(IF(INDEX('SaSS'!$N$10:$N$12,MATCH($F13,'SaSS'!$B$10:$B$12,0))="","Cell will autofill based on response",INDEX('SaSS'!$N$10:$N$12,MATCH($F13,'SaSS'!$B$10:$B$12,0))),"N/A")</f>
        <v/>
      </c>
      <c r="W13" s="52">
        <f>IFERROR(IF(INDEX('Indigenous'!$N$10:$N$11,MATCH($F13,'Indigenous'!$B$10:$B$11,0))="","Cell will autofill based on response",INDEX('Indigenous'!$N$10:$N$11,MATCH($F13,'Indigenous'!$B$10:$B$11,0))),"N/A")</f>
        <v/>
      </c>
      <c r="X13" s="52">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Data source and limitations</t>
        </is>
      </c>
      <c r="H14" s="52">
        <f>IFERROR(IF(INDEX('Faculties'!$O$10:$O$19,MATCH($F14,'Faculties'!$B$10:$B$19,0))="","Cell will autofill based on response",INDEX('Faculties'!$O$10:$O$19,MATCH($F14,'Faculties'!$B$10:$B$19,0))),"N/A")</f>
        <v/>
      </c>
      <c r="I14" s="52">
        <f>IFERROR(IF(INDEX('Faculties'!$O$26:$O$35,MATCH($F14,'Faculties'!$B$26:$B$35,0))="","Cell will autofill based on response",INDEX('Faculties'!$O$26:$O$35,MATCH($F14,'Faculties'!$B$26:$B$35,0))),"N/A")</f>
        <v/>
      </c>
      <c r="J14" s="52">
        <f>IFERROR(IF(INDEX('Faculties'!$O$42:$O$51,MATCH($F14,'Faculties'!$B$42:$B$51,0))="","Cell will autofill based on response",INDEX('Faculties'!$O$42:$O$51,MATCH($F14,'Faculties'!$B$42:$B$51,0))),"N/A")</f>
        <v/>
      </c>
      <c r="K14" s="52">
        <f>IFERROR(IF(INDEX('Faculties'!$O$58:$O$67,MATCH($F14,'Faculties'!$B$58:$B$67,0))="","Cell will autofill based on response",INDEX('Faculties'!$O$58:$O$67,MATCH($F14,'Faculties'!$B$58:$B$67,0))),"N/A")</f>
        <v/>
      </c>
      <c r="L14" s="52">
        <f>IFERROR(IF(INDEX('CI&amp;S'!$O$10:$O$15,MATCH($F14,'CI&amp;S'!$B$10:$B$15,0))="","Cell will autofill based on response",INDEX('CI&amp;S'!$O$10:$O$15,MATCH($F14,'CI&amp;S'!$B$10:$B$15,0))),"N/A")</f>
        <v/>
      </c>
      <c r="M14" s="52">
        <f>IFERROR(IF(INDEX('CI&amp;S'!$O$22:$O$36,MATCH($F14,'CI&amp;S'!$B$22:$B$36,0))="","Cell will autofill based on response",INDEX('CI&amp;S'!$O$22:$O$36,MATCH($F14,'CI&amp;S'!$B$22:$B$36,0))),"N/A")</f>
        <v/>
      </c>
      <c r="N14" s="52">
        <f>IFERROR(IF(INDEX('CFOG'!$O$10:$O$16,MATCH($F14,'CFOG'!$B$10:$B$16,0))="","Cell will autofill based on response",INDEX('CFOG'!$O$10:$O$16,MATCH($F14,'CFOG'!$B$10:$B$16,0))),"N/A")</f>
        <v/>
      </c>
      <c r="O14" s="52">
        <f>IFERROR(IF(INDEX('CFOG'!$O$23:$O$24,MATCH($F14,'CFOG'!$B$23:$B$24,0))="","Cell will autofill based on response",INDEX('CFOG'!$O$23:$O$24,MATCH($F14,'CFOG'!$B$23:$B$24,0))),"N/A")</f>
        <v/>
      </c>
      <c r="P14" s="52">
        <f>IFERROR(IF(INDEX('ESG'!$O$10:$O$17,MATCH($F14,'ESG'!$B$10:$B$17,0))="","Cell will autofill based on response",INDEX('ESG'!$O$10:$O$17,MATCH($F14,'ESG'!$B$10:$B$17,0))),"N/A")</f>
        <v/>
      </c>
      <c r="Q14" s="52">
        <f>IFERROR(IF(INDEX('CIOG'!$O$10:$O$14,MATCH($F14,'CIOG'!$B$10:$B$14,0))="","Cell will autofill based on response",INDEX('CIOG'!$O$10:$O$14,MATCH($F14,'CIOG'!$B$10:$B$14,0))),"N/A")</f>
        <v/>
      </c>
      <c r="R14" s="52">
        <f>IFERROR(IF(INDEX('MRE'!$O$10:$O$18,MATCH($F14,'MRE'!$B$10:$B$18,0))="","Cell will autofill based on response",INDEX('MRE'!$O$10:$O$18,MATCH($F14,'MRE'!$B$10:$B$18,0))),"N/A")</f>
        <v/>
      </c>
      <c r="S14" s="52">
        <f>IFERROR(IF(INDEX('AC&amp;M'!$O$10:$O$14,MATCH($F14,'AC&amp;M'!$B$10:$B$14,0))="","Cell will autofill based on response",INDEX('AC&amp;M'!$O$10:$O$14,MATCH($F14,'AC&amp;M'!$B$10:$B$14,0))),"N/A")</f>
        <v/>
      </c>
      <c r="T14" s="52">
        <f>IFERROR(IF(INDEX('GCE'!$O$10:$O$12,MATCH($F14,'GCE'!$B$10:$B$12,0))="","Cell will autofill based on response",INDEX('GCE'!$O$10:$O$12,MATCH($F14,'GCE'!$B$10:$B$12,0))),"N/A")</f>
        <v/>
      </c>
      <c r="U14" s="52">
        <f>IFERROR(IF(INDEX('Education'!$O$10:$O$13,MATCH($F14,'Education'!$B$10:$B$13,0))="","Cell will autofill based on response",INDEX('Education'!$O$10:$O$13,MATCH($F14,'Education'!$B$10:$B$13,0))),"N/A")</f>
        <v/>
      </c>
      <c r="V14" s="52">
        <f>IFERROR(IF(INDEX('SaSS'!$O$10:$O$12,MATCH($F14,'SaSS'!$B$10:$B$12,0))="","Cell will autofill based on response",INDEX('SaSS'!$O$10:$O$12,MATCH($F14,'SaSS'!$B$10:$B$12,0))),"N/A")</f>
        <v/>
      </c>
      <c r="W14" s="52">
        <f>IFERROR(IF(INDEX('Indigenous'!$O$10:$O$11,MATCH($F14,'Indigenous'!$B$10:$B$11,0))="","Cell will autofill based on response",INDEX('Indigenous'!$O$10:$O$11,MATCH($F14,'Indigenous'!$B$10:$B$11,0))),"N/A")</f>
        <v/>
      </c>
      <c r="X14" s="52">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owner confirms</t>
        </is>
      </c>
      <c r="H15" s="52">
        <f>IFERROR(IF(INDEX('Faculties'!$P$10:$P$19,MATCH($F15,'Faculties'!$B$10:$B$19,0))="","Cell will autofill based on response",INDEX('Faculties'!$P$10:$P$19,MATCH($F15,'Faculties'!$B$10:$B$19,0))),"N/A")</f>
        <v/>
      </c>
      <c r="I15" s="52">
        <f>IFERROR(IF(INDEX('Faculties'!$P$26:$P$35,MATCH($F15,'Faculties'!$B$26:$B$35,0))="","Cell will autofill based on response",INDEX('Faculties'!$P$26:$P$35,MATCH($F15,'Faculties'!$B$26:$B$35,0))),"N/A")</f>
        <v/>
      </c>
      <c r="J15" s="52">
        <f>IFERROR(IF(INDEX('Faculties'!$P$42:$P$51,MATCH($F15,'Faculties'!$B$42:$B$51,0))="","Cell will autofill based on response",INDEX('Faculties'!$P$42:$P$51,MATCH($F15,'Faculties'!$B$42:$B$51,0))),"N/A")</f>
        <v/>
      </c>
      <c r="K15" s="52">
        <f>IFERROR(IF(INDEX('Faculties'!$P$58:$P$67,MATCH($F15,'Faculties'!$B$58:$B$67,0))="","Cell will autofill based on response",INDEX('Faculties'!$P$58:$P$67,MATCH($F15,'Faculties'!$B$58:$B$67,0))),"N/A")</f>
        <v/>
      </c>
      <c r="L15" s="52">
        <f>IFERROR(IF(INDEX('CI&amp;S'!$P$10:$P$15,MATCH($F15,'CI&amp;S'!$B$10:$B$15,0))="","Cell will autofill based on response",INDEX('CI&amp;S'!$P$10:$P$15,MATCH($F15,'CI&amp;S'!$B$10:$B$15,0))),"N/A")</f>
        <v/>
      </c>
      <c r="M15" s="52">
        <f>IFERROR(IF(INDEX('CI&amp;S'!$P$22:$P$36,MATCH($F15,'CI&amp;S'!$B$22:$B$36,0))="","Cell will autofill based on response",INDEX('CI&amp;S'!$P$22:$P$36,MATCH($F15,'CI&amp;S'!$B$22:$B$36,0))),"N/A")</f>
        <v/>
      </c>
      <c r="N15" s="52">
        <f>IFERROR(IF(INDEX('CFOG'!$P$10:$P$16,MATCH($F15,'CFOG'!$B$10:$B$16,0))="","Cell will autofill based on response",INDEX('CFOG'!$P$10:$P$16,MATCH($F15,'CFOG'!$B$10:$B$16,0))),"N/A")</f>
        <v/>
      </c>
      <c r="O15" s="52">
        <f>IFERROR(IF(INDEX('CFOG'!$P$23:$P$24,MATCH($F15,'CFOG'!$B$23:$B$24,0))="","Cell will autofill based on response",INDEX('CFOG'!$P$23:$P$24,MATCH($F15,'CFOG'!$B$23:$B$24,0))),"N/A")</f>
        <v/>
      </c>
      <c r="P15" s="52">
        <f>IFERROR(IF(INDEX('ESG'!$P$10:$P$17,MATCH($F15,'ESG'!$B$10:$B$17,0))="","Cell will autofill based on response",INDEX('ESG'!$P$10:$P$17,MATCH($F15,'ESG'!$B$10:$B$17,0))),"N/A")</f>
        <v/>
      </c>
      <c r="Q15" s="52">
        <f>IFERROR(IF(INDEX('CIOG'!$P$10:$P$14,MATCH($F15,'CIOG'!$B$10:$B$14,0))="","Cell will autofill based on response",INDEX('CIOG'!$P$10:$P$14,MATCH($F15,'CIOG'!$B$10:$B$14,0))),"N/A")</f>
        <v/>
      </c>
      <c r="R15" s="52">
        <f>IFERROR(IF(INDEX('MRE'!$P$10:$P$18,MATCH($F15,'MRE'!$B$10:$B$18,0))="","Cell will autofill based on response",INDEX('MRE'!$P$10:$P$18,MATCH($F15,'MRE'!$B$10:$B$18,0))),"N/A")</f>
        <v/>
      </c>
      <c r="S15" s="52">
        <f>IFERROR(IF(INDEX('AC&amp;M'!$P$10:$P$14,MATCH($F15,'AC&amp;M'!$B$10:$B$14,0))="","Cell will autofill based on response",INDEX('AC&amp;M'!$P$10:$P$14,MATCH($F15,'AC&amp;M'!$B$10:$B$14,0))),"N/A")</f>
        <v/>
      </c>
      <c r="T15" s="52">
        <f>IFERROR(IF(INDEX('GCE'!$P$10:$P$12,MATCH($F15,'GCE'!$B$10:$B$12,0))="","Cell will autofill based on response",INDEX('GCE'!$P$10:$P$12,MATCH($F15,'GCE'!$B$10:$B$12,0))),"N/A")</f>
        <v/>
      </c>
      <c r="U15" s="52">
        <f>IFERROR(IF(INDEX('Education'!$P$10:$P$13,MATCH($F15,'Education'!$B$10:$B$13,0))="","Cell will autofill based on response",INDEX('Education'!$P$10:$P$13,MATCH($F15,'Education'!$B$10:$B$13,0))),"N/A")</f>
        <v/>
      </c>
      <c r="V15" s="52">
        <f>IFERROR(IF(INDEX('SaSS'!$P$10:$P$12,MATCH($F15,'SaSS'!$B$10:$B$12,0))="","Cell will autofill based on response",INDEX('SaSS'!$P$10:$P$12,MATCH($F15,'SaSS'!$B$10:$B$12,0))),"N/A")</f>
        <v/>
      </c>
      <c r="W15" s="52">
        <f>IFERROR(IF(INDEX('Indigenous'!$P$10:$P$11,MATCH($F15,'Indigenous'!$B$10:$B$11,0))="","Cell will autofill based on response",INDEX('Indigenous'!$P$10:$P$11,MATCH($F15,'Indigenous'!$B$10:$B$11,0))),"N/A")</f>
        <v/>
      </c>
      <c r="X15" s="52">
        <f>IFERROR(IF(INDEX('L&amp;R'!$P$10:$P$11,MATCH($F15,'L&amp;R'!$B$10:$B$11,0))="","Cell will autofill based on response",INDEX('L&amp;R'!$P$10:$P$11,MATCH($F15,'L&amp;R'!$B$10:$B$11,0))),"N/A")</f>
        <v/>
      </c>
    </row>
    <row r="16">
      <c r="A16">
        <f>F16&amp;"|"&amp;G16</f>
        <v/>
      </c>
      <c r="B16" s="7" t="inlineStr">
        <is>
          <t>EE1(b)</t>
        </is>
      </c>
      <c r="C16" s="50" t="inlineStr">
        <is>
          <t>Exceptional education</t>
        </is>
      </c>
      <c r="D16" s="50" t="inlineStr">
        <is>
          <t>Pilots of possible approaches for understanding and developing students’ sustainability self-efficacy</t>
        </is>
      </c>
      <c r="E16" s="50"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6" s="50" t="inlineStr">
        <is>
          <t>EE1(b)</t>
        </is>
      </c>
      <c r="G16" s="50" t="inlineStr">
        <is>
          <t>OPTION 1:  Target-level reporting</t>
        </is>
      </c>
      <c r="H16" s="52">
        <f>IFERROR(IF(INDEX('Faculties'!$L$10:$L$19,MATCH($F16,'Faculties'!$B$10:$B$19,0))="","Cell will autofill based on response",INDEX('Faculties'!$L$10:$L$19,MATCH($F16,'Faculties'!$B$10:$B$19,0))),"N/A")</f>
        <v/>
      </c>
      <c r="I16" s="52">
        <f>IFERROR(IF(INDEX('Faculties'!$L$26:$L$35,MATCH($F16,'Faculties'!$B$26:$B$35,0))="","Cell will autofill based on response",INDEX('Faculties'!$L$26:$L$35,MATCH($F16,'Faculties'!$B$26:$B$35,0))),"N/A")</f>
        <v/>
      </c>
      <c r="J16" s="52">
        <f>IFERROR(IF(INDEX('Faculties'!$L$42:$L$51,MATCH($F16,'Faculties'!$B$42:$B$51,0))="","Cell will autofill based on response",INDEX('Faculties'!$L$42:$L$51,MATCH($F16,'Faculties'!$B$42:$B$51,0))),"N/A")</f>
        <v/>
      </c>
      <c r="K16" s="52">
        <f>IFERROR(IF(INDEX('Faculties'!$L$58:$L$67,MATCH($F16,'Faculties'!$B$58:$B$67,0))="","Cell will autofill based on response",INDEX('Faculties'!$L$58:$L$67,MATCH($F16,'Faculties'!$B$58:$B$67,0))),"N/A")</f>
        <v/>
      </c>
      <c r="L16" s="52">
        <f>IFERROR(IF(INDEX('CI&amp;S'!$L$10:$L$15,MATCH($F16,'CI&amp;S'!$B$10:$B$15,0))="","Cell will autofill based on response",INDEX('CI&amp;S'!$L$10:$L$15,MATCH($F16,'CI&amp;S'!$B$10:$B$15,0))),"N/A")</f>
        <v/>
      </c>
      <c r="M16" s="52">
        <f>IFERROR(IF(INDEX('CI&amp;S'!$L$22:$L$36,MATCH($F16,'CI&amp;S'!$B$22:$B$36,0))="","Cell will autofill based on response",INDEX('CI&amp;S'!$L$22:$L$36,MATCH($F16,'CI&amp;S'!$B$22:$B$36,0))),"N/A")</f>
        <v/>
      </c>
      <c r="N16" s="52">
        <f>IFERROR(IF(INDEX('CFOG'!$L$10:$L$16,MATCH($F16,'CFOG'!$B$10:$B$16,0))="","Cell will autofill based on response",INDEX('CFOG'!$L$10:$L$16,MATCH($F16,'CFOG'!$B$10:$B$16,0))),"N/A")</f>
        <v/>
      </c>
      <c r="O16" s="52">
        <f>IFERROR(IF(INDEX('CFOG'!$L$23:$L$24,MATCH($F16,'CFOG'!$B$23:$B$24,0))="","Cell will autofill based on response",INDEX('CFOG'!$L$23:$L$24,MATCH($F16,'CFOG'!$B$23:$B$24,0))),"N/A")</f>
        <v/>
      </c>
      <c r="P16" s="52">
        <f>IFERROR(IF(INDEX('ESG'!$L$10:$L$17,MATCH($F16,'ESG'!$B$10:$B$17,0))="","Cell will autofill based on response",INDEX('ESG'!$L$10:$L$17,MATCH($F16,'ESG'!$B$10:$B$17,0))),"N/A")</f>
        <v/>
      </c>
      <c r="Q16" s="52">
        <f>IFERROR(IF(INDEX('CIOG'!$L$10:$L$14,MATCH($F16,'CIOG'!$B$10:$B$14,0))="","Cell will autofill based on response",INDEX('CIOG'!$L$10:$L$14,MATCH($F16,'CIOG'!$B$10:$B$14,0))),"N/A")</f>
        <v/>
      </c>
      <c r="R16" s="52">
        <f>IFERROR(IF(INDEX('MRE'!$L$10:$L$18,MATCH($F16,'MRE'!$B$10:$B$18,0))="","Cell will autofill based on response",INDEX('MRE'!$L$10:$L$18,MATCH($F16,'MRE'!$B$10:$B$18,0))),"N/A")</f>
        <v/>
      </c>
      <c r="S16" s="52">
        <f>IFERROR(IF(INDEX('AC&amp;M'!$L$10:$L$14,MATCH($F16,'AC&amp;M'!$B$10:$B$14,0))="","Cell will autofill based on response",INDEX('AC&amp;M'!$L$10:$L$14,MATCH($F16,'AC&amp;M'!$B$10:$B$14,0))),"N/A")</f>
        <v/>
      </c>
      <c r="T16" s="52">
        <f>IFERROR(IF(INDEX('GCE'!$L$10:$L$12,MATCH($F16,'GCE'!$B$10:$B$12,0))="","Cell will autofill based on response",INDEX('GCE'!$L$10:$L$12,MATCH($F16,'GCE'!$B$10:$B$12,0))),"N/A")</f>
        <v/>
      </c>
      <c r="U16" s="52">
        <f>IFERROR(IF(INDEX('Education'!$L$10:$L$13,MATCH($F16,'Education'!$B$10:$B$13,0))="","Cell will autofill based on response",INDEX('Education'!$L$10:$L$13,MATCH($F16,'Education'!$B$10:$B$13,0))),"N/A")</f>
        <v/>
      </c>
      <c r="V16" s="52">
        <f>IFERROR(IF(INDEX('SaSS'!$L$10:$L$12,MATCH($F16,'SaSS'!$B$10:$B$12,0))="","Cell will autofill based on response",INDEX('SaSS'!$L$10:$L$12,MATCH($F16,'SaSS'!$B$10:$B$12,0))),"N/A")</f>
        <v/>
      </c>
      <c r="W16" s="52">
        <f>IFERROR(IF(INDEX('Indigenous'!$L$10:$L$11,MATCH($F16,'Indigenous'!$B$10:$B$11,0))="","Cell will autofill based on response",INDEX('Indigenous'!$L$10:$L$11,MATCH($F16,'Indigenous'!$B$10:$B$11,0))),"N/A")</f>
        <v/>
      </c>
      <c r="X16" s="52">
        <f>IFERROR(IF(INDEX('L&amp;R'!$L$10:$L$11,MATCH($F16,'L&amp;R'!$B$10:$B$11,0))="","Cell will autofill based on response",INDEX('L&amp;R'!$L$10:$L$11,MATCH($F16,'L&amp;R'!$B$10:$B$11,0))),"N/A")</f>
        <v/>
      </c>
      <c r="Z16" s="10">
        <f>SUMPRODUCT(--($H16:$X16&lt;&gt;"N/A"))</f>
        <v/>
      </c>
      <c r="AA16" s="10">
        <f>SUMPRODUCT(--(((($H16:$X16&lt;&gt;"N/A")*($H16:$X16&lt;&gt;"Cell will autofill based on response"))+(($H17:$X17&lt;&gt;"N/A")*($H17:$X17&lt;&gt;"Cell will autofill based on response")))&gt;0))</f>
        <v/>
      </c>
      <c r="AB16" s="10">
        <f>Z16-AA16</f>
        <v/>
      </c>
      <c r="AC16" s="10">
        <f>COUNTIF($H20:$X20,"Yes")</f>
        <v/>
      </c>
    </row>
    <row r="17">
      <c r="A17">
        <f>F17&amp;"|"&amp;G17</f>
        <v/>
      </c>
      <c r="B17" s="13" t="inlineStr"/>
      <c r="C17" s="8" t="inlineStr"/>
      <c r="D17" s="8" t="inlineStr"/>
      <c r="E17" s="8" t="inlineStr"/>
      <c r="F17" s="8" t="inlineStr">
        <is>
          <t>EE1(b)</t>
        </is>
      </c>
      <c r="G17" s="8" t="inlineStr">
        <is>
          <t>OPTION 2:  Indicator level reporting</t>
        </is>
      </c>
      <c r="H17" s="52">
        <f>IFERROR(IF(INDEX('Faculties'!$M$10:$M$19,MATCH($F17,'Faculties'!$B$10:$B$19,0))="","Cell will autofill based on response",INDEX('Faculties'!$M$10:$M$19,MATCH($F17,'Faculties'!$B$10:$B$19,0))),"N/A")</f>
        <v/>
      </c>
      <c r="I17" s="52">
        <f>IFERROR(IF(INDEX('Faculties'!$M$26:$M$35,MATCH($F17,'Faculties'!$B$26:$B$35,0))="","Cell will autofill based on response",INDEX('Faculties'!$M$26:$M$35,MATCH($F17,'Faculties'!$B$26:$B$35,0))),"N/A")</f>
        <v/>
      </c>
      <c r="J17" s="52">
        <f>IFERROR(IF(INDEX('Faculties'!$M$42:$M$51,MATCH($F17,'Faculties'!$B$42:$B$51,0))="","Cell will autofill based on response",INDEX('Faculties'!$M$42:$M$51,MATCH($F17,'Faculties'!$B$42:$B$51,0))),"N/A")</f>
        <v/>
      </c>
      <c r="K17" s="52">
        <f>IFERROR(IF(INDEX('Faculties'!$M$58:$M$67,MATCH($F17,'Faculties'!$B$58:$B$67,0))="","Cell will autofill based on response",INDEX('Faculties'!$M$58:$M$67,MATCH($F17,'Faculties'!$B$58:$B$67,0))),"N/A")</f>
        <v/>
      </c>
      <c r="L17" s="52">
        <f>IFERROR(IF(INDEX('CI&amp;S'!$M$10:$M$15,MATCH($F17,'CI&amp;S'!$B$10:$B$15,0))="","Cell will autofill based on response",INDEX('CI&amp;S'!$M$10:$M$15,MATCH($F17,'CI&amp;S'!$B$10:$B$15,0))),"N/A")</f>
        <v/>
      </c>
      <c r="M17" s="52">
        <f>IFERROR(IF(INDEX('CI&amp;S'!$M$22:$M$36,MATCH($F17,'CI&amp;S'!$B$22:$B$36,0))="","Cell will autofill based on response",INDEX('CI&amp;S'!$M$22:$M$36,MATCH($F17,'CI&amp;S'!$B$22:$B$36,0))),"N/A")</f>
        <v/>
      </c>
      <c r="N17" s="52">
        <f>IFERROR(IF(INDEX('CFOG'!$M$10:$M$16,MATCH($F17,'CFOG'!$B$10:$B$16,0))="","Cell will autofill based on response",INDEX('CFOG'!$M$10:$M$16,MATCH($F17,'CFOG'!$B$10:$B$16,0))),"N/A")</f>
        <v/>
      </c>
      <c r="O17" s="52">
        <f>IFERROR(IF(INDEX('CFOG'!$M$23:$M$24,MATCH($F17,'CFOG'!$B$23:$B$24,0))="","Cell will autofill based on response",INDEX('CFOG'!$M$23:$M$24,MATCH($F17,'CFOG'!$B$23:$B$24,0))),"N/A")</f>
        <v/>
      </c>
      <c r="P17" s="52">
        <f>IFERROR(IF(INDEX('ESG'!$M$10:$M$17,MATCH($F17,'ESG'!$B$10:$B$17,0))="","Cell will autofill based on response",INDEX('ESG'!$M$10:$M$17,MATCH($F17,'ESG'!$B$10:$B$17,0))),"N/A")</f>
        <v/>
      </c>
      <c r="Q17" s="52">
        <f>IFERROR(IF(INDEX('CIOG'!$M$10:$M$14,MATCH($F17,'CIOG'!$B$10:$B$14,0))="","Cell will autofill based on response",INDEX('CIOG'!$M$10:$M$14,MATCH($F17,'CIOG'!$B$10:$B$14,0))),"N/A")</f>
        <v/>
      </c>
      <c r="R17" s="52">
        <f>IFERROR(IF(INDEX('MRE'!$M$10:$M$18,MATCH($F17,'MRE'!$B$10:$B$18,0))="","Cell will autofill based on response",INDEX('MRE'!$M$10:$M$18,MATCH($F17,'MRE'!$B$10:$B$18,0))),"N/A")</f>
        <v/>
      </c>
      <c r="S17" s="52">
        <f>IFERROR(IF(INDEX('AC&amp;M'!$M$10:$M$14,MATCH($F17,'AC&amp;M'!$B$10:$B$14,0))="","Cell will autofill based on response",INDEX('AC&amp;M'!$M$10:$M$14,MATCH($F17,'AC&amp;M'!$B$10:$B$14,0))),"N/A")</f>
        <v/>
      </c>
      <c r="T17" s="52">
        <f>IFERROR(IF(INDEX('GCE'!$M$10:$M$12,MATCH($F17,'GCE'!$B$10:$B$12,0))="","Cell will autofill based on response",INDEX('GCE'!$M$10:$M$12,MATCH($F17,'GCE'!$B$10:$B$12,0))),"N/A")</f>
        <v/>
      </c>
      <c r="U17" s="52">
        <f>IFERROR(IF(INDEX('Education'!$M$10:$M$13,MATCH($F17,'Education'!$B$10:$B$13,0))="","Cell will autofill based on response",INDEX('Education'!$M$10:$M$13,MATCH($F17,'Education'!$B$10:$B$13,0))),"N/A")</f>
        <v/>
      </c>
      <c r="V17" s="52">
        <f>IFERROR(IF(INDEX('SaSS'!$M$10:$M$12,MATCH($F17,'SaSS'!$B$10:$B$12,0))="","Cell will autofill based on response",INDEX('SaSS'!$M$10:$M$12,MATCH($F17,'SaSS'!$B$10:$B$12,0))),"N/A")</f>
        <v/>
      </c>
      <c r="W17" s="52">
        <f>IFERROR(IF(INDEX('Indigenous'!$M$10:$M$11,MATCH($F17,'Indigenous'!$B$10:$B$11,0))="","Cell will autofill based on response",INDEX('Indigenous'!$M$10:$M$11,MATCH($F17,'Indigenous'!$B$10:$B$11,0))),"N/A")</f>
        <v/>
      </c>
      <c r="X17" s="52">
        <f>IFERROR(IF(INDEX('L&amp;R'!$M$10:$M$11,MATCH($F17,'L&amp;R'!$B$10:$B$11,0))="","Cell will autofill based on response",INDEX('L&amp;R'!$M$10:$M$11,MATCH($F17,'L&amp;R'!$B$10:$B$11,0))),"N/A")</f>
        <v/>
      </c>
    </row>
    <row r="18">
      <c r="A18">
        <f>F18&amp;"|"&amp;G18</f>
        <v/>
      </c>
      <c r="B18" s="13" t="inlineStr"/>
      <c r="C18" s="8" t="inlineStr"/>
      <c r="D18" s="8" t="inlineStr"/>
      <c r="E18" s="8" t="inlineStr"/>
      <c r="F18" s="8" t="inlineStr">
        <is>
          <t>EE1(b)</t>
        </is>
      </c>
      <c r="G18" s="8" t="inlineStr">
        <is>
          <t>Supporting information/comments</t>
        </is>
      </c>
      <c r="H18" s="52">
        <f>IFERROR(IF(INDEX('Faculties'!$N$10:$N$19,MATCH($F18,'Faculties'!$B$10:$B$19,0))="","Cell will autofill based on response",INDEX('Faculties'!$N$10:$N$19,MATCH($F18,'Faculties'!$B$10:$B$19,0))),"N/A")</f>
        <v/>
      </c>
      <c r="I18" s="52">
        <f>IFERROR(IF(INDEX('Faculties'!$N$26:$N$35,MATCH($F18,'Faculties'!$B$26:$B$35,0))="","Cell will autofill based on response",INDEX('Faculties'!$N$26:$N$35,MATCH($F18,'Faculties'!$B$26:$B$35,0))),"N/A")</f>
        <v/>
      </c>
      <c r="J18" s="52">
        <f>IFERROR(IF(INDEX('Faculties'!$N$42:$N$51,MATCH($F18,'Faculties'!$B$42:$B$51,0))="","Cell will autofill based on response",INDEX('Faculties'!$N$42:$N$51,MATCH($F18,'Faculties'!$B$42:$B$51,0))),"N/A")</f>
        <v/>
      </c>
      <c r="K18" s="52">
        <f>IFERROR(IF(INDEX('Faculties'!$N$58:$N$67,MATCH($F18,'Faculties'!$B$58:$B$67,0))="","Cell will autofill based on response",INDEX('Faculties'!$N$58:$N$67,MATCH($F18,'Faculties'!$B$58:$B$67,0))),"N/A")</f>
        <v/>
      </c>
      <c r="L18" s="52">
        <f>IFERROR(IF(INDEX('CI&amp;S'!$N$10:$N$15,MATCH($F18,'CI&amp;S'!$B$10:$B$15,0))="","Cell will autofill based on response",INDEX('CI&amp;S'!$N$10:$N$15,MATCH($F18,'CI&amp;S'!$B$10:$B$15,0))),"N/A")</f>
        <v/>
      </c>
      <c r="M18" s="52">
        <f>IFERROR(IF(INDEX('CI&amp;S'!$N$22:$N$36,MATCH($F18,'CI&amp;S'!$B$22:$B$36,0))="","Cell will autofill based on response",INDEX('CI&amp;S'!$N$22:$N$36,MATCH($F18,'CI&amp;S'!$B$22:$B$36,0))),"N/A")</f>
        <v/>
      </c>
      <c r="N18" s="52">
        <f>IFERROR(IF(INDEX('CFOG'!$N$10:$N$16,MATCH($F18,'CFOG'!$B$10:$B$16,0))="","Cell will autofill based on response",INDEX('CFOG'!$N$10:$N$16,MATCH($F18,'CFOG'!$B$10:$B$16,0))),"N/A")</f>
        <v/>
      </c>
      <c r="O18" s="52">
        <f>IFERROR(IF(INDEX('CFOG'!$N$23:$N$24,MATCH($F18,'CFOG'!$B$23:$B$24,0))="","Cell will autofill based on response",INDEX('CFOG'!$N$23:$N$24,MATCH($F18,'CFOG'!$B$23:$B$24,0))),"N/A")</f>
        <v/>
      </c>
      <c r="P18" s="52">
        <f>IFERROR(IF(INDEX('ESG'!$N$10:$N$17,MATCH($F18,'ESG'!$B$10:$B$17,0))="","Cell will autofill based on response",INDEX('ESG'!$N$10:$N$17,MATCH($F18,'ESG'!$B$10:$B$17,0))),"N/A")</f>
        <v/>
      </c>
      <c r="Q18" s="52">
        <f>IFERROR(IF(INDEX('CIOG'!$N$10:$N$14,MATCH($F18,'CIOG'!$B$10:$B$14,0))="","Cell will autofill based on response",INDEX('CIOG'!$N$10:$N$14,MATCH($F18,'CIOG'!$B$10:$B$14,0))),"N/A")</f>
        <v/>
      </c>
      <c r="R18" s="52">
        <f>IFERROR(IF(INDEX('MRE'!$N$10:$N$18,MATCH($F18,'MRE'!$B$10:$B$18,0))="","Cell will autofill based on response",INDEX('MRE'!$N$10:$N$18,MATCH($F18,'MRE'!$B$10:$B$18,0))),"N/A")</f>
        <v/>
      </c>
      <c r="S18" s="52">
        <f>IFERROR(IF(INDEX('AC&amp;M'!$N$10:$N$14,MATCH($F18,'AC&amp;M'!$B$10:$B$14,0))="","Cell will autofill based on response",INDEX('AC&amp;M'!$N$10:$N$14,MATCH($F18,'AC&amp;M'!$B$10:$B$14,0))),"N/A")</f>
        <v/>
      </c>
      <c r="T18" s="52">
        <f>IFERROR(IF(INDEX('GCE'!$N$10:$N$12,MATCH($F18,'GCE'!$B$10:$B$12,0))="","Cell will autofill based on response",INDEX('GCE'!$N$10:$N$12,MATCH($F18,'GCE'!$B$10:$B$12,0))),"N/A")</f>
        <v/>
      </c>
      <c r="U18" s="52">
        <f>IFERROR(IF(INDEX('Education'!$N$10:$N$13,MATCH($F18,'Education'!$B$10:$B$13,0))="","Cell will autofill based on response",INDEX('Education'!$N$10:$N$13,MATCH($F18,'Education'!$B$10:$B$13,0))),"N/A")</f>
        <v/>
      </c>
      <c r="V18" s="52">
        <f>IFERROR(IF(INDEX('SaSS'!$N$10:$N$12,MATCH($F18,'SaSS'!$B$10:$B$12,0))="","Cell will autofill based on response",INDEX('SaSS'!$N$10:$N$12,MATCH($F18,'SaSS'!$B$10:$B$12,0))),"N/A")</f>
        <v/>
      </c>
      <c r="W18" s="52">
        <f>IFERROR(IF(INDEX('Indigenous'!$N$10:$N$11,MATCH($F18,'Indigenous'!$B$10:$B$11,0))="","Cell will autofill based on response",INDEX('Indigenous'!$N$10:$N$11,MATCH($F18,'Indigenous'!$B$10:$B$11,0))),"N/A")</f>
        <v/>
      </c>
      <c r="X18" s="52">
        <f>IFERROR(IF(INDEX('L&amp;R'!$N$10:$N$11,MATCH($F18,'L&amp;R'!$B$10:$B$11,0))="","Cell will autofill based on response",INDEX('L&amp;R'!$N$10:$N$11,MATCH($F18,'L&amp;R'!$B$10:$B$11,0))),"N/A")</f>
        <v/>
      </c>
    </row>
    <row r="19">
      <c r="A19">
        <f>F19&amp;"|"&amp;G19</f>
        <v/>
      </c>
      <c r="B19" s="13" t="inlineStr"/>
      <c r="C19" s="8" t="inlineStr"/>
      <c r="D19" s="8" t="inlineStr"/>
      <c r="E19" s="8" t="inlineStr"/>
      <c r="F19" s="8" t="inlineStr">
        <is>
          <t>EE1(b)</t>
        </is>
      </c>
      <c r="G19" s="8" t="inlineStr">
        <is>
          <t>Data source and limitations</t>
        </is>
      </c>
      <c r="H19" s="52">
        <f>IFERROR(IF(INDEX('Faculties'!$O$10:$O$19,MATCH($F19,'Faculties'!$B$10:$B$19,0))="","Cell will autofill based on response",INDEX('Faculties'!$O$10:$O$19,MATCH($F19,'Faculties'!$B$10:$B$19,0))),"N/A")</f>
        <v/>
      </c>
      <c r="I19" s="52">
        <f>IFERROR(IF(INDEX('Faculties'!$O$26:$O$35,MATCH($F19,'Faculties'!$B$26:$B$35,0))="","Cell will autofill based on response",INDEX('Faculties'!$O$26:$O$35,MATCH($F19,'Faculties'!$B$26:$B$35,0))),"N/A")</f>
        <v/>
      </c>
      <c r="J19" s="52">
        <f>IFERROR(IF(INDEX('Faculties'!$O$42:$O$51,MATCH($F19,'Faculties'!$B$42:$B$51,0))="","Cell will autofill based on response",INDEX('Faculties'!$O$42:$O$51,MATCH($F19,'Faculties'!$B$42:$B$51,0))),"N/A")</f>
        <v/>
      </c>
      <c r="K19" s="52">
        <f>IFERROR(IF(INDEX('Faculties'!$O$58:$O$67,MATCH($F19,'Faculties'!$B$58:$B$67,0))="","Cell will autofill based on response",INDEX('Faculties'!$O$58:$O$67,MATCH($F19,'Faculties'!$B$58:$B$67,0))),"N/A")</f>
        <v/>
      </c>
      <c r="L19" s="52">
        <f>IFERROR(IF(INDEX('CI&amp;S'!$O$10:$O$15,MATCH($F19,'CI&amp;S'!$B$10:$B$15,0))="","Cell will autofill based on response",INDEX('CI&amp;S'!$O$10:$O$15,MATCH($F19,'CI&amp;S'!$B$10:$B$15,0))),"N/A")</f>
        <v/>
      </c>
      <c r="M19" s="52">
        <f>IFERROR(IF(INDEX('CI&amp;S'!$O$22:$O$36,MATCH($F19,'CI&amp;S'!$B$22:$B$36,0))="","Cell will autofill based on response",INDEX('CI&amp;S'!$O$22:$O$36,MATCH($F19,'CI&amp;S'!$B$22:$B$36,0))),"N/A")</f>
        <v/>
      </c>
      <c r="N19" s="52">
        <f>IFERROR(IF(INDEX('CFOG'!$O$10:$O$16,MATCH($F19,'CFOG'!$B$10:$B$16,0))="","Cell will autofill based on response",INDEX('CFOG'!$O$10:$O$16,MATCH($F19,'CFOG'!$B$10:$B$16,0))),"N/A")</f>
        <v/>
      </c>
      <c r="O19" s="52">
        <f>IFERROR(IF(INDEX('CFOG'!$O$23:$O$24,MATCH($F19,'CFOG'!$B$23:$B$24,0))="","Cell will autofill based on response",INDEX('CFOG'!$O$23:$O$24,MATCH($F19,'CFOG'!$B$23:$B$24,0))),"N/A")</f>
        <v/>
      </c>
      <c r="P19" s="52">
        <f>IFERROR(IF(INDEX('ESG'!$O$10:$O$17,MATCH($F19,'ESG'!$B$10:$B$17,0))="","Cell will autofill based on response",INDEX('ESG'!$O$10:$O$17,MATCH($F19,'ESG'!$B$10:$B$17,0))),"N/A")</f>
        <v/>
      </c>
      <c r="Q19" s="52">
        <f>IFERROR(IF(INDEX('CIOG'!$O$10:$O$14,MATCH($F19,'CIOG'!$B$10:$B$14,0))="","Cell will autofill based on response",INDEX('CIOG'!$O$10:$O$14,MATCH($F19,'CIOG'!$B$10:$B$14,0))),"N/A")</f>
        <v/>
      </c>
      <c r="R19" s="52">
        <f>IFERROR(IF(INDEX('MRE'!$O$10:$O$18,MATCH($F19,'MRE'!$B$10:$B$18,0))="","Cell will autofill based on response",INDEX('MRE'!$O$10:$O$18,MATCH($F19,'MRE'!$B$10:$B$18,0))),"N/A")</f>
        <v/>
      </c>
      <c r="S19" s="52">
        <f>IFERROR(IF(INDEX('AC&amp;M'!$O$10:$O$14,MATCH($F19,'AC&amp;M'!$B$10:$B$14,0))="","Cell will autofill based on response",INDEX('AC&amp;M'!$O$10:$O$14,MATCH($F19,'AC&amp;M'!$B$10:$B$14,0))),"N/A")</f>
        <v/>
      </c>
      <c r="T19" s="52">
        <f>IFERROR(IF(INDEX('GCE'!$O$10:$O$12,MATCH($F19,'GCE'!$B$10:$B$12,0))="","Cell will autofill based on response",INDEX('GCE'!$O$10:$O$12,MATCH($F19,'GCE'!$B$10:$B$12,0))),"N/A")</f>
        <v/>
      </c>
      <c r="U19" s="52">
        <f>IFERROR(IF(INDEX('Education'!$O$10:$O$13,MATCH($F19,'Education'!$B$10:$B$13,0))="","Cell will autofill based on response",INDEX('Education'!$O$10:$O$13,MATCH($F19,'Education'!$B$10:$B$13,0))),"N/A")</f>
        <v/>
      </c>
      <c r="V19" s="52">
        <f>IFERROR(IF(INDEX('SaSS'!$O$10:$O$12,MATCH($F19,'SaSS'!$B$10:$B$12,0))="","Cell will autofill based on response",INDEX('SaSS'!$O$10:$O$12,MATCH($F19,'SaSS'!$B$10:$B$12,0))),"N/A")</f>
        <v/>
      </c>
      <c r="W19" s="52">
        <f>IFERROR(IF(INDEX('Indigenous'!$O$10:$O$11,MATCH($F19,'Indigenous'!$B$10:$B$11,0))="","Cell will autofill based on response",INDEX('Indigenous'!$O$10:$O$11,MATCH($F19,'Indigenous'!$B$10:$B$11,0))),"N/A")</f>
        <v/>
      </c>
      <c r="X19" s="52">
        <f>IFERROR(IF(INDEX('L&amp;R'!$O$10:$O$11,MATCH($F19,'L&amp;R'!$B$10:$B$11,0))="","Cell will autofill based on response",INDEX('L&amp;R'!$O$10:$O$11,MATCH($F19,'L&amp;R'!$B$10:$B$11,0))),"N/A")</f>
        <v/>
      </c>
    </row>
    <row r="20">
      <c r="A20">
        <f>F20&amp;"|"&amp;G20</f>
        <v/>
      </c>
      <c r="B20" s="13" t="inlineStr"/>
      <c r="C20" s="8" t="inlineStr"/>
      <c r="D20" s="8" t="inlineStr"/>
      <c r="E20" s="8" t="inlineStr"/>
      <c r="F20" s="8" t="inlineStr">
        <is>
          <t>EE1(b)</t>
        </is>
      </c>
      <c r="G20" s="8" t="inlineStr">
        <is>
          <t>Data owner confirms</t>
        </is>
      </c>
      <c r="H20" s="52">
        <f>IFERROR(IF(INDEX('Faculties'!$P$10:$P$19,MATCH($F20,'Faculties'!$B$10:$B$19,0))="","Cell will autofill based on response",INDEX('Faculties'!$P$10:$P$19,MATCH($F20,'Faculties'!$B$10:$B$19,0))),"N/A")</f>
        <v/>
      </c>
      <c r="I20" s="52">
        <f>IFERROR(IF(INDEX('Faculties'!$P$26:$P$35,MATCH($F20,'Faculties'!$B$26:$B$35,0))="","Cell will autofill based on response",INDEX('Faculties'!$P$26:$P$35,MATCH($F20,'Faculties'!$B$26:$B$35,0))),"N/A")</f>
        <v/>
      </c>
      <c r="J20" s="52">
        <f>IFERROR(IF(INDEX('Faculties'!$P$42:$P$51,MATCH($F20,'Faculties'!$B$42:$B$51,0))="","Cell will autofill based on response",INDEX('Faculties'!$P$42:$P$51,MATCH($F20,'Faculties'!$B$42:$B$51,0))),"N/A")</f>
        <v/>
      </c>
      <c r="K20" s="52">
        <f>IFERROR(IF(INDEX('Faculties'!$P$58:$P$67,MATCH($F20,'Faculties'!$B$58:$B$67,0))="","Cell will autofill based on response",INDEX('Faculties'!$P$58:$P$67,MATCH($F20,'Faculties'!$B$58:$B$67,0))),"N/A")</f>
        <v/>
      </c>
      <c r="L20" s="52">
        <f>IFERROR(IF(INDEX('CI&amp;S'!$P$10:$P$15,MATCH($F20,'CI&amp;S'!$B$10:$B$15,0))="","Cell will autofill based on response",INDEX('CI&amp;S'!$P$10:$P$15,MATCH($F20,'CI&amp;S'!$B$10:$B$15,0))),"N/A")</f>
        <v/>
      </c>
      <c r="M20" s="52">
        <f>IFERROR(IF(INDEX('CI&amp;S'!$P$22:$P$36,MATCH($F20,'CI&amp;S'!$B$22:$B$36,0))="","Cell will autofill based on response",INDEX('CI&amp;S'!$P$22:$P$36,MATCH($F20,'CI&amp;S'!$B$22:$B$36,0))),"N/A")</f>
        <v/>
      </c>
      <c r="N20" s="52">
        <f>IFERROR(IF(INDEX('CFOG'!$P$10:$P$16,MATCH($F20,'CFOG'!$B$10:$B$16,0))="","Cell will autofill based on response",INDEX('CFOG'!$P$10:$P$16,MATCH($F20,'CFOG'!$B$10:$B$16,0))),"N/A")</f>
        <v/>
      </c>
      <c r="O20" s="52">
        <f>IFERROR(IF(INDEX('CFOG'!$P$23:$P$24,MATCH($F20,'CFOG'!$B$23:$B$24,0))="","Cell will autofill based on response",INDEX('CFOG'!$P$23:$P$24,MATCH($F20,'CFOG'!$B$23:$B$24,0))),"N/A")</f>
        <v/>
      </c>
      <c r="P20" s="52">
        <f>IFERROR(IF(INDEX('ESG'!$P$10:$P$17,MATCH($F20,'ESG'!$B$10:$B$17,0))="","Cell will autofill based on response",INDEX('ESG'!$P$10:$P$17,MATCH($F20,'ESG'!$B$10:$B$17,0))),"N/A")</f>
        <v/>
      </c>
      <c r="Q20" s="52">
        <f>IFERROR(IF(INDEX('CIOG'!$P$10:$P$14,MATCH($F20,'CIOG'!$B$10:$B$14,0))="","Cell will autofill based on response",INDEX('CIOG'!$P$10:$P$14,MATCH($F20,'CIOG'!$B$10:$B$14,0))),"N/A")</f>
        <v/>
      </c>
      <c r="R20" s="52">
        <f>IFERROR(IF(INDEX('MRE'!$P$10:$P$18,MATCH($F20,'MRE'!$B$10:$B$18,0))="","Cell will autofill based on response",INDEX('MRE'!$P$10:$P$18,MATCH($F20,'MRE'!$B$10:$B$18,0))),"N/A")</f>
        <v/>
      </c>
      <c r="S20" s="52">
        <f>IFERROR(IF(INDEX('AC&amp;M'!$P$10:$P$14,MATCH($F20,'AC&amp;M'!$B$10:$B$14,0))="","Cell will autofill based on response",INDEX('AC&amp;M'!$P$10:$P$14,MATCH($F20,'AC&amp;M'!$B$10:$B$14,0))),"N/A")</f>
        <v/>
      </c>
      <c r="T20" s="52">
        <f>IFERROR(IF(INDEX('GCE'!$P$10:$P$12,MATCH($F20,'GCE'!$B$10:$B$12,0))="","Cell will autofill based on response",INDEX('GCE'!$P$10:$P$12,MATCH($F20,'GCE'!$B$10:$B$12,0))),"N/A")</f>
        <v/>
      </c>
      <c r="U20" s="52">
        <f>IFERROR(IF(INDEX('Education'!$P$10:$P$13,MATCH($F20,'Education'!$B$10:$B$13,0))="","Cell will autofill based on response",INDEX('Education'!$P$10:$P$13,MATCH($F20,'Education'!$B$10:$B$13,0))),"N/A")</f>
        <v/>
      </c>
      <c r="V20" s="52">
        <f>IFERROR(IF(INDEX('SaSS'!$P$10:$P$12,MATCH($F20,'SaSS'!$B$10:$B$12,0))="","Cell will autofill based on response",INDEX('SaSS'!$P$10:$P$12,MATCH($F20,'SaSS'!$B$10:$B$12,0))),"N/A")</f>
        <v/>
      </c>
      <c r="W20" s="52">
        <f>IFERROR(IF(INDEX('Indigenous'!$P$10:$P$11,MATCH($F20,'Indigenous'!$B$10:$B$11,0))="","Cell will autofill based on response",INDEX('Indigenous'!$P$10:$P$11,MATCH($F20,'Indigenous'!$B$10:$B$11,0))),"N/A")</f>
        <v/>
      </c>
      <c r="X20" s="52">
        <f>IFERROR(IF(INDEX('L&amp;R'!$P$10:$P$11,MATCH($F20,'L&amp;R'!$B$10:$B$11,0))="","Cell will autofill based on response",INDEX('L&amp;R'!$P$10:$P$11,MATCH($F20,'L&amp;R'!$B$10:$B$11,0))),"N/A")</f>
        <v/>
      </c>
    </row>
    <row r="21">
      <c r="A21">
        <f>F21&amp;"|"&amp;G21</f>
        <v/>
      </c>
      <c r="B21" s="7" t="inlineStr">
        <is>
          <t>EE1(c)</t>
        </is>
      </c>
      <c r="C21" s="50" t="inlineStr">
        <is>
          <t>Exceptional education</t>
        </is>
      </c>
      <c r="D21" s="50" t="inlineStr">
        <is>
          <t>Evidence of sustainability focused experiential and co curricular learning (eg Wattle Fellowship; Melbourne Plus)</t>
        </is>
      </c>
      <c r="E21" s="50"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1" s="50" t="inlineStr">
        <is>
          <t>EE1(c)</t>
        </is>
      </c>
      <c r="G21" s="50" t="inlineStr">
        <is>
          <t>OPTION 1:  Target-level reporting</t>
        </is>
      </c>
      <c r="H21" s="52">
        <f>IFERROR(IF(INDEX('Faculties'!$L$10:$L$19,MATCH($F21,'Faculties'!$B$10:$B$19,0))="","Cell will autofill based on response",INDEX('Faculties'!$L$10:$L$19,MATCH($F21,'Faculties'!$B$10:$B$19,0))),"N/A")</f>
        <v/>
      </c>
      <c r="I21" s="52">
        <f>IFERROR(IF(INDEX('Faculties'!$L$26:$L$35,MATCH($F21,'Faculties'!$B$26:$B$35,0))="","Cell will autofill based on response",INDEX('Faculties'!$L$26:$L$35,MATCH($F21,'Faculties'!$B$26:$B$35,0))),"N/A")</f>
        <v/>
      </c>
      <c r="J21" s="52">
        <f>IFERROR(IF(INDEX('Faculties'!$L$42:$L$51,MATCH($F21,'Faculties'!$B$42:$B$51,0))="","Cell will autofill based on response",INDEX('Faculties'!$L$42:$L$51,MATCH($F21,'Faculties'!$B$42:$B$51,0))),"N/A")</f>
        <v/>
      </c>
      <c r="K21" s="52">
        <f>IFERROR(IF(INDEX('Faculties'!$L$58:$L$67,MATCH($F21,'Faculties'!$B$58:$B$67,0))="","Cell will autofill based on response",INDEX('Faculties'!$L$58:$L$67,MATCH($F21,'Faculties'!$B$58:$B$67,0))),"N/A")</f>
        <v/>
      </c>
      <c r="L21" s="52">
        <f>IFERROR(IF(INDEX('CI&amp;S'!$L$10:$L$15,MATCH($F21,'CI&amp;S'!$B$10:$B$15,0))="","Cell will autofill based on response",INDEX('CI&amp;S'!$L$10:$L$15,MATCH($F21,'CI&amp;S'!$B$10:$B$15,0))),"N/A")</f>
        <v/>
      </c>
      <c r="M21" s="52">
        <f>IFERROR(IF(INDEX('CI&amp;S'!$L$22:$L$36,MATCH($F21,'CI&amp;S'!$B$22:$B$36,0))="","Cell will autofill based on response",INDEX('CI&amp;S'!$L$22:$L$36,MATCH($F21,'CI&amp;S'!$B$22:$B$36,0))),"N/A")</f>
        <v/>
      </c>
      <c r="N21" s="52">
        <f>IFERROR(IF(INDEX('CFOG'!$L$10:$L$16,MATCH($F21,'CFOG'!$B$10:$B$16,0))="","Cell will autofill based on response",INDEX('CFOG'!$L$10:$L$16,MATCH($F21,'CFOG'!$B$10:$B$16,0))),"N/A")</f>
        <v/>
      </c>
      <c r="O21" s="52">
        <f>IFERROR(IF(INDEX('CFOG'!$L$23:$L$24,MATCH($F21,'CFOG'!$B$23:$B$24,0))="","Cell will autofill based on response",INDEX('CFOG'!$L$23:$L$24,MATCH($F21,'CFOG'!$B$23:$B$24,0))),"N/A")</f>
        <v/>
      </c>
      <c r="P21" s="52">
        <f>IFERROR(IF(INDEX('ESG'!$L$10:$L$17,MATCH($F21,'ESG'!$B$10:$B$17,0))="","Cell will autofill based on response",INDEX('ESG'!$L$10:$L$17,MATCH($F21,'ESG'!$B$10:$B$17,0))),"N/A")</f>
        <v/>
      </c>
      <c r="Q21" s="52">
        <f>IFERROR(IF(INDEX('CIOG'!$L$10:$L$14,MATCH($F21,'CIOG'!$B$10:$B$14,0))="","Cell will autofill based on response",INDEX('CIOG'!$L$10:$L$14,MATCH($F21,'CIOG'!$B$10:$B$14,0))),"N/A")</f>
        <v/>
      </c>
      <c r="R21" s="52">
        <f>IFERROR(IF(INDEX('MRE'!$L$10:$L$18,MATCH($F21,'MRE'!$B$10:$B$18,0))="","Cell will autofill based on response",INDEX('MRE'!$L$10:$L$18,MATCH($F21,'MRE'!$B$10:$B$18,0))),"N/A")</f>
        <v/>
      </c>
      <c r="S21" s="52">
        <f>IFERROR(IF(INDEX('AC&amp;M'!$L$10:$L$14,MATCH($F21,'AC&amp;M'!$B$10:$B$14,0))="","Cell will autofill based on response",INDEX('AC&amp;M'!$L$10:$L$14,MATCH($F21,'AC&amp;M'!$B$10:$B$14,0))),"N/A")</f>
        <v/>
      </c>
      <c r="T21" s="52">
        <f>IFERROR(IF(INDEX('GCE'!$L$10:$L$12,MATCH($F21,'GCE'!$B$10:$B$12,0))="","Cell will autofill based on response",INDEX('GCE'!$L$10:$L$12,MATCH($F21,'GCE'!$B$10:$B$12,0))),"N/A")</f>
        <v/>
      </c>
      <c r="U21" s="52">
        <f>IFERROR(IF(INDEX('Education'!$L$10:$L$13,MATCH($F21,'Education'!$B$10:$B$13,0))="","Cell will autofill based on response",INDEX('Education'!$L$10:$L$13,MATCH($F21,'Education'!$B$10:$B$13,0))),"N/A")</f>
        <v/>
      </c>
      <c r="V21" s="52">
        <f>IFERROR(IF(INDEX('SaSS'!$L$10:$L$12,MATCH($F21,'SaSS'!$B$10:$B$12,0))="","Cell will autofill based on response",INDEX('SaSS'!$L$10:$L$12,MATCH($F21,'SaSS'!$B$10:$B$12,0))),"N/A")</f>
        <v/>
      </c>
      <c r="W21" s="52">
        <f>IFERROR(IF(INDEX('Indigenous'!$L$10:$L$11,MATCH($F21,'Indigenous'!$B$10:$B$11,0))="","Cell will autofill based on response",INDEX('Indigenous'!$L$10:$L$11,MATCH($F21,'Indigenous'!$B$10:$B$11,0))),"N/A")</f>
        <v/>
      </c>
      <c r="X21" s="52">
        <f>IFERROR(IF(INDEX('L&amp;R'!$L$10:$L$11,MATCH($F21,'L&amp;R'!$B$10:$B$11,0))="","Cell will autofill based on response",INDEX('L&amp;R'!$L$10:$L$11,MATCH($F21,'L&amp;R'!$B$10:$B$11,0))),"N/A")</f>
        <v/>
      </c>
      <c r="Z21" s="10">
        <f>SUMPRODUCT(--($H21:$X21&lt;&gt;"N/A"))</f>
        <v/>
      </c>
      <c r="AA21" s="10">
        <f>SUMPRODUCT(--(((($H21:$X21&lt;&gt;"N/A")*($H21:$X21&lt;&gt;"Cell will autofill based on response"))+(($H22:$X22&lt;&gt;"N/A")*($H22:$X22&lt;&gt;"Cell will autofill based on response")))&gt;0))</f>
        <v/>
      </c>
      <c r="AB21" s="10">
        <f>Z21-AA21</f>
        <v/>
      </c>
      <c r="AC21" s="10">
        <f>COUNTIF($H25:$X25,"Yes")</f>
        <v/>
      </c>
    </row>
    <row r="22">
      <c r="A22">
        <f>F22&amp;"|"&amp;G22</f>
        <v/>
      </c>
      <c r="B22" s="13" t="inlineStr"/>
      <c r="C22" s="8" t="inlineStr"/>
      <c r="D22" s="8" t="inlineStr"/>
      <c r="E22" s="8" t="inlineStr"/>
      <c r="F22" s="8" t="inlineStr">
        <is>
          <t>EE1(c)</t>
        </is>
      </c>
      <c r="G22" s="8" t="inlineStr">
        <is>
          <t>OPTION 2:  Indicator level reporting</t>
        </is>
      </c>
      <c r="H22" s="52">
        <f>IFERROR(IF(INDEX('Faculties'!$M$10:$M$19,MATCH($F22,'Faculties'!$B$10:$B$19,0))="","Cell will autofill based on response",INDEX('Faculties'!$M$10:$M$19,MATCH($F22,'Faculties'!$B$10:$B$19,0))),"N/A")</f>
        <v/>
      </c>
      <c r="I22" s="52">
        <f>IFERROR(IF(INDEX('Faculties'!$M$26:$M$35,MATCH($F22,'Faculties'!$B$26:$B$35,0))="","Cell will autofill based on response",INDEX('Faculties'!$M$26:$M$35,MATCH($F22,'Faculties'!$B$26:$B$35,0))),"N/A")</f>
        <v/>
      </c>
      <c r="J22" s="52">
        <f>IFERROR(IF(INDEX('Faculties'!$M$42:$M$51,MATCH($F22,'Faculties'!$B$42:$B$51,0))="","Cell will autofill based on response",INDEX('Faculties'!$M$42:$M$51,MATCH($F22,'Faculties'!$B$42:$B$51,0))),"N/A")</f>
        <v/>
      </c>
      <c r="K22" s="52">
        <f>IFERROR(IF(INDEX('Faculties'!$M$58:$M$67,MATCH($F22,'Faculties'!$B$58:$B$67,0))="","Cell will autofill based on response",INDEX('Faculties'!$M$58:$M$67,MATCH($F22,'Faculties'!$B$58:$B$67,0))),"N/A")</f>
        <v/>
      </c>
      <c r="L22" s="52">
        <f>IFERROR(IF(INDEX('CI&amp;S'!$M$10:$M$15,MATCH($F22,'CI&amp;S'!$B$10:$B$15,0))="","Cell will autofill based on response",INDEX('CI&amp;S'!$M$10:$M$15,MATCH($F22,'CI&amp;S'!$B$10:$B$15,0))),"N/A")</f>
        <v/>
      </c>
      <c r="M22" s="52">
        <f>IFERROR(IF(INDEX('CI&amp;S'!$M$22:$M$36,MATCH($F22,'CI&amp;S'!$B$22:$B$36,0))="","Cell will autofill based on response",INDEX('CI&amp;S'!$M$22:$M$36,MATCH($F22,'CI&amp;S'!$B$22:$B$36,0))),"N/A")</f>
        <v/>
      </c>
      <c r="N22" s="52">
        <f>IFERROR(IF(INDEX('CFOG'!$M$10:$M$16,MATCH($F22,'CFOG'!$B$10:$B$16,0))="","Cell will autofill based on response",INDEX('CFOG'!$M$10:$M$16,MATCH($F22,'CFOG'!$B$10:$B$16,0))),"N/A")</f>
        <v/>
      </c>
      <c r="O22" s="52">
        <f>IFERROR(IF(INDEX('CFOG'!$M$23:$M$24,MATCH($F22,'CFOG'!$B$23:$B$24,0))="","Cell will autofill based on response",INDEX('CFOG'!$M$23:$M$24,MATCH($F22,'CFOG'!$B$23:$B$24,0))),"N/A")</f>
        <v/>
      </c>
      <c r="P22" s="52">
        <f>IFERROR(IF(INDEX('ESG'!$M$10:$M$17,MATCH($F22,'ESG'!$B$10:$B$17,0))="","Cell will autofill based on response",INDEX('ESG'!$M$10:$M$17,MATCH($F22,'ESG'!$B$10:$B$17,0))),"N/A")</f>
        <v/>
      </c>
      <c r="Q22" s="52">
        <f>IFERROR(IF(INDEX('CIOG'!$M$10:$M$14,MATCH($F22,'CIOG'!$B$10:$B$14,0))="","Cell will autofill based on response",INDEX('CIOG'!$M$10:$M$14,MATCH($F22,'CIOG'!$B$10:$B$14,0))),"N/A")</f>
        <v/>
      </c>
      <c r="R22" s="52">
        <f>IFERROR(IF(INDEX('MRE'!$M$10:$M$18,MATCH($F22,'MRE'!$B$10:$B$18,0))="","Cell will autofill based on response",INDEX('MRE'!$M$10:$M$18,MATCH($F22,'MRE'!$B$10:$B$18,0))),"N/A")</f>
        <v/>
      </c>
      <c r="S22" s="52">
        <f>IFERROR(IF(INDEX('AC&amp;M'!$M$10:$M$14,MATCH($F22,'AC&amp;M'!$B$10:$B$14,0))="","Cell will autofill based on response",INDEX('AC&amp;M'!$M$10:$M$14,MATCH($F22,'AC&amp;M'!$B$10:$B$14,0))),"N/A")</f>
        <v/>
      </c>
      <c r="T22" s="52">
        <f>IFERROR(IF(INDEX('GCE'!$M$10:$M$12,MATCH($F22,'GCE'!$B$10:$B$12,0))="","Cell will autofill based on response",INDEX('GCE'!$M$10:$M$12,MATCH($F22,'GCE'!$B$10:$B$12,0))),"N/A")</f>
        <v/>
      </c>
      <c r="U22" s="52">
        <f>IFERROR(IF(INDEX('Education'!$M$10:$M$13,MATCH($F22,'Education'!$B$10:$B$13,0))="","Cell will autofill based on response",INDEX('Education'!$M$10:$M$13,MATCH($F22,'Education'!$B$10:$B$13,0))),"N/A")</f>
        <v/>
      </c>
      <c r="V22" s="52">
        <f>IFERROR(IF(INDEX('SaSS'!$M$10:$M$12,MATCH($F22,'SaSS'!$B$10:$B$12,0))="","Cell will autofill based on response",INDEX('SaSS'!$M$10:$M$12,MATCH($F22,'SaSS'!$B$10:$B$12,0))),"N/A")</f>
        <v/>
      </c>
      <c r="W22" s="52">
        <f>IFERROR(IF(INDEX('Indigenous'!$M$10:$M$11,MATCH($F22,'Indigenous'!$B$10:$B$11,0))="","Cell will autofill based on response",INDEX('Indigenous'!$M$10:$M$11,MATCH($F22,'Indigenous'!$B$10:$B$11,0))),"N/A")</f>
        <v/>
      </c>
      <c r="X22" s="52">
        <f>IFERROR(IF(INDEX('L&amp;R'!$M$10:$M$11,MATCH($F22,'L&amp;R'!$B$10:$B$11,0))="","Cell will autofill based on response",INDEX('L&amp;R'!$M$10:$M$11,MATCH($F22,'L&amp;R'!$B$10:$B$11,0))),"N/A")</f>
        <v/>
      </c>
    </row>
    <row r="23">
      <c r="A23">
        <f>F23&amp;"|"&amp;G23</f>
        <v/>
      </c>
      <c r="B23" s="13" t="inlineStr"/>
      <c r="C23" s="8" t="inlineStr"/>
      <c r="D23" s="8" t="inlineStr"/>
      <c r="E23" s="8" t="inlineStr"/>
      <c r="F23" s="8" t="inlineStr">
        <is>
          <t>EE1(c)</t>
        </is>
      </c>
      <c r="G23" s="8" t="inlineStr">
        <is>
          <t>Supporting information/comments</t>
        </is>
      </c>
      <c r="H23" s="52">
        <f>IFERROR(IF(INDEX('Faculties'!$N$10:$N$19,MATCH($F23,'Faculties'!$B$10:$B$19,0))="","Cell will autofill based on response",INDEX('Faculties'!$N$10:$N$19,MATCH($F23,'Faculties'!$B$10:$B$19,0))),"N/A")</f>
        <v/>
      </c>
      <c r="I23" s="52">
        <f>IFERROR(IF(INDEX('Faculties'!$N$26:$N$35,MATCH($F23,'Faculties'!$B$26:$B$35,0))="","Cell will autofill based on response",INDEX('Faculties'!$N$26:$N$35,MATCH($F23,'Faculties'!$B$26:$B$35,0))),"N/A")</f>
        <v/>
      </c>
      <c r="J23" s="52">
        <f>IFERROR(IF(INDEX('Faculties'!$N$42:$N$51,MATCH($F23,'Faculties'!$B$42:$B$51,0))="","Cell will autofill based on response",INDEX('Faculties'!$N$42:$N$51,MATCH($F23,'Faculties'!$B$42:$B$51,0))),"N/A")</f>
        <v/>
      </c>
      <c r="K23" s="52">
        <f>IFERROR(IF(INDEX('Faculties'!$N$58:$N$67,MATCH($F23,'Faculties'!$B$58:$B$67,0))="","Cell will autofill based on response",INDEX('Faculties'!$N$58:$N$67,MATCH($F23,'Faculties'!$B$58:$B$67,0))),"N/A")</f>
        <v/>
      </c>
      <c r="L23" s="52">
        <f>IFERROR(IF(INDEX('CI&amp;S'!$N$10:$N$15,MATCH($F23,'CI&amp;S'!$B$10:$B$15,0))="","Cell will autofill based on response",INDEX('CI&amp;S'!$N$10:$N$15,MATCH($F23,'CI&amp;S'!$B$10:$B$15,0))),"N/A")</f>
        <v/>
      </c>
      <c r="M23" s="52">
        <f>IFERROR(IF(INDEX('CI&amp;S'!$N$22:$N$36,MATCH($F23,'CI&amp;S'!$B$22:$B$36,0))="","Cell will autofill based on response",INDEX('CI&amp;S'!$N$22:$N$36,MATCH($F23,'CI&amp;S'!$B$22:$B$36,0))),"N/A")</f>
        <v/>
      </c>
      <c r="N23" s="52">
        <f>IFERROR(IF(INDEX('CFOG'!$N$10:$N$16,MATCH($F23,'CFOG'!$B$10:$B$16,0))="","Cell will autofill based on response",INDEX('CFOG'!$N$10:$N$16,MATCH($F23,'CFOG'!$B$10:$B$16,0))),"N/A")</f>
        <v/>
      </c>
      <c r="O23" s="52">
        <f>IFERROR(IF(INDEX('CFOG'!$N$23:$N$24,MATCH($F23,'CFOG'!$B$23:$B$24,0))="","Cell will autofill based on response",INDEX('CFOG'!$N$23:$N$24,MATCH($F23,'CFOG'!$B$23:$B$24,0))),"N/A")</f>
        <v/>
      </c>
      <c r="P23" s="52">
        <f>IFERROR(IF(INDEX('ESG'!$N$10:$N$17,MATCH($F23,'ESG'!$B$10:$B$17,0))="","Cell will autofill based on response",INDEX('ESG'!$N$10:$N$17,MATCH($F23,'ESG'!$B$10:$B$17,0))),"N/A")</f>
        <v/>
      </c>
      <c r="Q23" s="52">
        <f>IFERROR(IF(INDEX('CIOG'!$N$10:$N$14,MATCH($F23,'CIOG'!$B$10:$B$14,0))="","Cell will autofill based on response",INDEX('CIOG'!$N$10:$N$14,MATCH($F23,'CIOG'!$B$10:$B$14,0))),"N/A")</f>
        <v/>
      </c>
      <c r="R23" s="52">
        <f>IFERROR(IF(INDEX('MRE'!$N$10:$N$18,MATCH($F23,'MRE'!$B$10:$B$18,0))="","Cell will autofill based on response",INDEX('MRE'!$N$10:$N$18,MATCH($F23,'MRE'!$B$10:$B$18,0))),"N/A")</f>
        <v/>
      </c>
      <c r="S23" s="52">
        <f>IFERROR(IF(INDEX('AC&amp;M'!$N$10:$N$14,MATCH($F23,'AC&amp;M'!$B$10:$B$14,0))="","Cell will autofill based on response",INDEX('AC&amp;M'!$N$10:$N$14,MATCH($F23,'AC&amp;M'!$B$10:$B$14,0))),"N/A")</f>
        <v/>
      </c>
      <c r="T23" s="52">
        <f>IFERROR(IF(INDEX('GCE'!$N$10:$N$12,MATCH($F23,'GCE'!$B$10:$B$12,0))="","Cell will autofill based on response",INDEX('GCE'!$N$10:$N$12,MATCH($F23,'GCE'!$B$10:$B$12,0))),"N/A")</f>
        <v/>
      </c>
      <c r="U23" s="52">
        <f>IFERROR(IF(INDEX('Education'!$N$10:$N$13,MATCH($F23,'Education'!$B$10:$B$13,0))="","Cell will autofill based on response",INDEX('Education'!$N$10:$N$13,MATCH($F23,'Education'!$B$10:$B$13,0))),"N/A")</f>
        <v/>
      </c>
      <c r="V23" s="52">
        <f>IFERROR(IF(INDEX('SaSS'!$N$10:$N$12,MATCH($F23,'SaSS'!$B$10:$B$12,0))="","Cell will autofill based on response",INDEX('SaSS'!$N$10:$N$12,MATCH($F23,'SaSS'!$B$10:$B$12,0))),"N/A")</f>
        <v/>
      </c>
      <c r="W23" s="52">
        <f>IFERROR(IF(INDEX('Indigenous'!$N$10:$N$11,MATCH($F23,'Indigenous'!$B$10:$B$11,0))="","Cell will autofill based on response",INDEX('Indigenous'!$N$10:$N$11,MATCH($F23,'Indigenous'!$B$10:$B$11,0))),"N/A")</f>
        <v/>
      </c>
      <c r="X23" s="52">
        <f>IFERROR(IF(INDEX('L&amp;R'!$N$10:$N$11,MATCH($F23,'L&amp;R'!$B$10:$B$11,0))="","Cell will autofill based on response",INDEX('L&amp;R'!$N$10:$N$11,MATCH($F23,'L&amp;R'!$B$10:$B$11,0))),"N/A")</f>
        <v/>
      </c>
    </row>
    <row r="24">
      <c r="A24">
        <f>F24&amp;"|"&amp;G24</f>
        <v/>
      </c>
      <c r="B24" s="13" t="inlineStr"/>
      <c r="C24" s="8" t="inlineStr"/>
      <c r="D24" s="8" t="inlineStr"/>
      <c r="E24" s="8" t="inlineStr"/>
      <c r="F24" s="8" t="inlineStr">
        <is>
          <t>EE1(c)</t>
        </is>
      </c>
      <c r="G24" s="8" t="inlineStr">
        <is>
          <t>Data source and limitations</t>
        </is>
      </c>
      <c r="H24" s="52">
        <f>IFERROR(IF(INDEX('Faculties'!$O$10:$O$19,MATCH($F24,'Faculties'!$B$10:$B$19,0))="","Cell will autofill based on response",INDEX('Faculties'!$O$10:$O$19,MATCH($F24,'Faculties'!$B$10:$B$19,0))),"N/A")</f>
        <v/>
      </c>
      <c r="I24" s="52">
        <f>IFERROR(IF(INDEX('Faculties'!$O$26:$O$35,MATCH($F24,'Faculties'!$B$26:$B$35,0))="","Cell will autofill based on response",INDEX('Faculties'!$O$26:$O$35,MATCH($F24,'Faculties'!$B$26:$B$35,0))),"N/A")</f>
        <v/>
      </c>
      <c r="J24" s="52">
        <f>IFERROR(IF(INDEX('Faculties'!$O$42:$O$51,MATCH($F24,'Faculties'!$B$42:$B$51,0))="","Cell will autofill based on response",INDEX('Faculties'!$O$42:$O$51,MATCH($F24,'Faculties'!$B$42:$B$51,0))),"N/A")</f>
        <v/>
      </c>
      <c r="K24" s="52">
        <f>IFERROR(IF(INDEX('Faculties'!$O$58:$O$67,MATCH($F24,'Faculties'!$B$58:$B$67,0))="","Cell will autofill based on response",INDEX('Faculties'!$O$58:$O$67,MATCH($F24,'Faculties'!$B$58:$B$67,0))),"N/A")</f>
        <v/>
      </c>
      <c r="L24" s="52">
        <f>IFERROR(IF(INDEX('CI&amp;S'!$O$10:$O$15,MATCH($F24,'CI&amp;S'!$B$10:$B$15,0))="","Cell will autofill based on response",INDEX('CI&amp;S'!$O$10:$O$15,MATCH($F24,'CI&amp;S'!$B$10:$B$15,0))),"N/A")</f>
        <v/>
      </c>
      <c r="M24" s="52">
        <f>IFERROR(IF(INDEX('CI&amp;S'!$O$22:$O$36,MATCH($F24,'CI&amp;S'!$B$22:$B$36,0))="","Cell will autofill based on response",INDEX('CI&amp;S'!$O$22:$O$36,MATCH($F24,'CI&amp;S'!$B$22:$B$36,0))),"N/A")</f>
        <v/>
      </c>
      <c r="N24" s="52">
        <f>IFERROR(IF(INDEX('CFOG'!$O$10:$O$16,MATCH($F24,'CFOG'!$B$10:$B$16,0))="","Cell will autofill based on response",INDEX('CFOG'!$O$10:$O$16,MATCH($F24,'CFOG'!$B$10:$B$16,0))),"N/A")</f>
        <v/>
      </c>
      <c r="O24" s="52">
        <f>IFERROR(IF(INDEX('CFOG'!$O$23:$O$24,MATCH($F24,'CFOG'!$B$23:$B$24,0))="","Cell will autofill based on response",INDEX('CFOG'!$O$23:$O$24,MATCH($F24,'CFOG'!$B$23:$B$24,0))),"N/A")</f>
        <v/>
      </c>
      <c r="P24" s="52">
        <f>IFERROR(IF(INDEX('ESG'!$O$10:$O$17,MATCH($F24,'ESG'!$B$10:$B$17,0))="","Cell will autofill based on response",INDEX('ESG'!$O$10:$O$17,MATCH($F24,'ESG'!$B$10:$B$17,0))),"N/A")</f>
        <v/>
      </c>
      <c r="Q24" s="52">
        <f>IFERROR(IF(INDEX('CIOG'!$O$10:$O$14,MATCH($F24,'CIOG'!$B$10:$B$14,0))="","Cell will autofill based on response",INDEX('CIOG'!$O$10:$O$14,MATCH($F24,'CIOG'!$B$10:$B$14,0))),"N/A")</f>
        <v/>
      </c>
      <c r="R24" s="52">
        <f>IFERROR(IF(INDEX('MRE'!$O$10:$O$18,MATCH($F24,'MRE'!$B$10:$B$18,0))="","Cell will autofill based on response",INDEX('MRE'!$O$10:$O$18,MATCH($F24,'MRE'!$B$10:$B$18,0))),"N/A")</f>
        <v/>
      </c>
      <c r="S24" s="52">
        <f>IFERROR(IF(INDEX('AC&amp;M'!$O$10:$O$14,MATCH($F24,'AC&amp;M'!$B$10:$B$14,0))="","Cell will autofill based on response",INDEX('AC&amp;M'!$O$10:$O$14,MATCH($F24,'AC&amp;M'!$B$10:$B$14,0))),"N/A")</f>
        <v/>
      </c>
      <c r="T24" s="52">
        <f>IFERROR(IF(INDEX('GCE'!$O$10:$O$12,MATCH($F24,'GCE'!$B$10:$B$12,0))="","Cell will autofill based on response",INDEX('GCE'!$O$10:$O$12,MATCH($F24,'GCE'!$B$10:$B$12,0))),"N/A")</f>
        <v/>
      </c>
      <c r="U24" s="52">
        <f>IFERROR(IF(INDEX('Education'!$O$10:$O$13,MATCH($F24,'Education'!$B$10:$B$13,0))="","Cell will autofill based on response",INDEX('Education'!$O$10:$O$13,MATCH($F24,'Education'!$B$10:$B$13,0))),"N/A")</f>
        <v/>
      </c>
      <c r="V24" s="52">
        <f>IFERROR(IF(INDEX('SaSS'!$O$10:$O$12,MATCH($F24,'SaSS'!$B$10:$B$12,0))="","Cell will autofill based on response",INDEX('SaSS'!$O$10:$O$12,MATCH($F24,'SaSS'!$B$10:$B$12,0))),"N/A")</f>
        <v/>
      </c>
      <c r="W24" s="52">
        <f>IFERROR(IF(INDEX('Indigenous'!$O$10:$O$11,MATCH($F24,'Indigenous'!$B$10:$B$11,0))="","Cell will autofill based on response",INDEX('Indigenous'!$O$10:$O$11,MATCH($F24,'Indigenous'!$B$10:$B$11,0))),"N/A")</f>
        <v/>
      </c>
      <c r="X24" s="52">
        <f>IFERROR(IF(INDEX('L&amp;R'!$O$10:$O$11,MATCH($F24,'L&amp;R'!$B$10:$B$11,0))="","Cell will autofill based on response",INDEX('L&amp;R'!$O$10:$O$11,MATCH($F24,'L&amp;R'!$B$10:$B$11,0))),"N/A")</f>
        <v/>
      </c>
    </row>
    <row r="25">
      <c r="A25">
        <f>F25&amp;"|"&amp;G25</f>
        <v/>
      </c>
      <c r="B25" s="13" t="inlineStr"/>
      <c r="C25" s="8" t="inlineStr"/>
      <c r="D25" s="8" t="inlineStr"/>
      <c r="E25" s="8" t="inlineStr"/>
      <c r="F25" s="8" t="inlineStr">
        <is>
          <t>EE1(c)</t>
        </is>
      </c>
      <c r="G25" s="8" t="inlineStr">
        <is>
          <t>Data owner confirms</t>
        </is>
      </c>
      <c r="H25" s="52">
        <f>IFERROR(IF(INDEX('Faculties'!$P$10:$P$19,MATCH($F25,'Faculties'!$B$10:$B$19,0))="","Cell will autofill based on response",INDEX('Faculties'!$P$10:$P$19,MATCH($F25,'Faculties'!$B$10:$B$19,0))),"N/A")</f>
        <v/>
      </c>
      <c r="I25" s="52">
        <f>IFERROR(IF(INDEX('Faculties'!$P$26:$P$35,MATCH($F25,'Faculties'!$B$26:$B$35,0))="","Cell will autofill based on response",INDEX('Faculties'!$P$26:$P$35,MATCH($F25,'Faculties'!$B$26:$B$35,0))),"N/A")</f>
        <v/>
      </c>
      <c r="J25" s="52">
        <f>IFERROR(IF(INDEX('Faculties'!$P$42:$P$51,MATCH($F25,'Faculties'!$B$42:$B$51,0))="","Cell will autofill based on response",INDEX('Faculties'!$P$42:$P$51,MATCH($F25,'Faculties'!$B$42:$B$51,0))),"N/A")</f>
        <v/>
      </c>
      <c r="K25" s="52">
        <f>IFERROR(IF(INDEX('Faculties'!$P$58:$P$67,MATCH($F25,'Faculties'!$B$58:$B$67,0))="","Cell will autofill based on response",INDEX('Faculties'!$P$58:$P$67,MATCH($F25,'Faculties'!$B$58:$B$67,0))),"N/A")</f>
        <v/>
      </c>
      <c r="L25" s="52">
        <f>IFERROR(IF(INDEX('CI&amp;S'!$P$10:$P$15,MATCH($F25,'CI&amp;S'!$B$10:$B$15,0))="","Cell will autofill based on response",INDEX('CI&amp;S'!$P$10:$P$15,MATCH($F25,'CI&amp;S'!$B$10:$B$15,0))),"N/A")</f>
        <v/>
      </c>
      <c r="M25" s="52">
        <f>IFERROR(IF(INDEX('CI&amp;S'!$P$22:$P$36,MATCH($F25,'CI&amp;S'!$B$22:$B$36,0))="","Cell will autofill based on response",INDEX('CI&amp;S'!$P$22:$P$36,MATCH($F25,'CI&amp;S'!$B$22:$B$36,0))),"N/A")</f>
        <v/>
      </c>
      <c r="N25" s="52">
        <f>IFERROR(IF(INDEX('CFOG'!$P$10:$P$16,MATCH($F25,'CFOG'!$B$10:$B$16,0))="","Cell will autofill based on response",INDEX('CFOG'!$P$10:$P$16,MATCH($F25,'CFOG'!$B$10:$B$16,0))),"N/A")</f>
        <v/>
      </c>
      <c r="O25" s="52">
        <f>IFERROR(IF(INDEX('CFOG'!$P$23:$P$24,MATCH($F25,'CFOG'!$B$23:$B$24,0))="","Cell will autofill based on response",INDEX('CFOG'!$P$23:$P$24,MATCH($F25,'CFOG'!$B$23:$B$24,0))),"N/A")</f>
        <v/>
      </c>
      <c r="P25" s="52">
        <f>IFERROR(IF(INDEX('ESG'!$P$10:$P$17,MATCH($F25,'ESG'!$B$10:$B$17,0))="","Cell will autofill based on response",INDEX('ESG'!$P$10:$P$17,MATCH($F25,'ESG'!$B$10:$B$17,0))),"N/A")</f>
        <v/>
      </c>
      <c r="Q25" s="52">
        <f>IFERROR(IF(INDEX('CIOG'!$P$10:$P$14,MATCH($F25,'CIOG'!$B$10:$B$14,0))="","Cell will autofill based on response",INDEX('CIOG'!$P$10:$P$14,MATCH($F25,'CIOG'!$B$10:$B$14,0))),"N/A")</f>
        <v/>
      </c>
      <c r="R25" s="52">
        <f>IFERROR(IF(INDEX('MRE'!$P$10:$P$18,MATCH($F25,'MRE'!$B$10:$B$18,0))="","Cell will autofill based on response",INDEX('MRE'!$P$10:$P$18,MATCH($F25,'MRE'!$B$10:$B$18,0))),"N/A")</f>
        <v/>
      </c>
      <c r="S25" s="52">
        <f>IFERROR(IF(INDEX('AC&amp;M'!$P$10:$P$14,MATCH($F25,'AC&amp;M'!$B$10:$B$14,0))="","Cell will autofill based on response",INDEX('AC&amp;M'!$P$10:$P$14,MATCH($F25,'AC&amp;M'!$B$10:$B$14,0))),"N/A")</f>
        <v/>
      </c>
      <c r="T25" s="52">
        <f>IFERROR(IF(INDEX('GCE'!$P$10:$P$12,MATCH($F25,'GCE'!$B$10:$B$12,0))="","Cell will autofill based on response",INDEX('GCE'!$P$10:$P$12,MATCH($F25,'GCE'!$B$10:$B$12,0))),"N/A")</f>
        <v/>
      </c>
      <c r="U25" s="52">
        <f>IFERROR(IF(INDEX('Education'!$P$10:$P$13,MATCH($F25,'Education'!$B$10:$B$13,0))="","Cell will autofill based on response",INDEX('Education'!$P$10:$P$13,MATCH($F25,'Education'!$B$10:$B$13,0))),"N/A")</f>
        <v/>
      </c>
      <c r="V25" s="52">
        <f>IFERROR(IF(INDEX('SaSS'!$P$10:$P$12,MATCH($F25,'SaSS'!$B$10:$B$12,0))="","Cell will autofill based on response",INDEX('SaSS'!$P$10:$P$12,MATCH($F25,'SaSS'!$B$10:$B$12,0))),"N/A")</f>
        <v/>
      </c>
      <c r="W25" s="52">
        <f>IFERROR(IF(INDEX('Indigenous'!$P$10:$P$11,MATCH($F25,'Indigenous'!$B$10:$B$11,0))="","Cell will autofill based on response",INDEX('Indigenous'!$P$10:$P$11,MATCH($F25,'Indigenous'!$B$10:$B$11,0))),"N/A")</f>
        <v/>
      </c>
      <c r="X25" s="52">
        <f>IFERROR(IF(INDEX('L&amp;R'!$P$10:$P$11,MATCH($F25,'L&amp;R'!$B$10:$B$11,0))="","Cell will autofill based on response",INDEX('L&amp;R'!$P$10:$P$11,MATCH($F25,'L&amp;R'!$B$10:$B$11,0))),"N/A")</f>
        <v/>
      </c>
    </row>
    <row r="26">
      <c r="A26">
        <f>F26&amp;"|"&amp;G26</f>
        <v/>
      </c>
      <c r="B26" s="7" t="inlineStr">
        <is>
          <t>EE1(d)</t>
        </is>
      </c>
      <c r="C26" s="50" t="inlineStr">
        <is>
          <t>Exceptional education</t>
        </is>
      </c>
      <c r="D26" s="50" t="inlineStr">
        <is>
          <t>Alumni profiles demonstrating how graduates contribute to sustainability through their careers or communities.</t>
        </is>
      </c>
      <c r="E26" s="50"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6" s="50" t="inlineStr">
        <is>
          <t>EE1(d)</t>
        </is>
      </c>
      <c r="G26" s="50" t="inlineStr">
        <is>
          <t>OPTION 1:  Target-level reporting</t>
        </is>
      </c>
      <c r="H26" s="52">
        <f>IFERROR(IF(INDEX('Faculties'!$L$10:$L$19,MATCH($F26,'Faculties'!$B$10:$B$19,0))="","Cell will autofill based on response",INDEX('Faculties'!$L$10:$L$19,MATCH($F26,'Faculties'!$B$10:$B$19,0))),"N/A")</f>
        <v/>
      </c>
      <c r="I26" s="52">
        <f>IFERROR(IF(INDEX('Faculties'!$L$26:$L$35,MATCH($F26,'Faculties'!$B$26:$B$35,0))="","Cell will autofill based on response",INDEX('Faculties'!$L$26:$L$35,MATCH($F26,'Faculties'!$B$26:$B$35,0))),"N/A")</f>
        <v/>
      </c>
      <c r="J26" s="52">
        <f>IFERROR(IF(INDEX('Faculties'!$L$42:$L$51,MATCH($F26,'Faculties'!$B$42:$B$51,0))="","Cell will autofill based on response",INDEX('Faculties'!$L$42:$L$51,MATCH($F26,'Faculties'!$B$42:$B$51,0))),"N/A")</f>
        <v/>
      </c>
      <c r="K26" s="52">
        <f>IFERROR(IF(INDEX('Faculties'!$L$58:$L$67,MATCH($F26,'Faculties'!$B$58:$B$67,0))="","Cell will autofill based on response",INDEX('Faculties'!$L$58:$L$67,MATCH($F26,'Faculties'!$B$58:$B$67,0))),"N/A")</f>
        <v/>
      </c>
      <c r="L26" s="52">
        <f>IFERROR(IF(INDEX('CI&amp;S'!$L$10:$L$15,MATCH($F26,'CI&amp;S'!$B$10:$B$15,0))="","Cell will autofill based on response",INDEX('CI&amp;S'!$L$10:$L$15,MATCH($F26,'CI&amp;S'!$B$10:$B$15,0))),"N/A")</f>
        <v/>
      </c>
      <c r="M26" s="52">
        <f>IFERROR(IF(INDEX('CI&amp;S'!$L$22:$L$36,MATCH($F26,'CI&amp;S'!$B$22:$B$36,0))="","Cell will autofill based on response",INDEX('CI&amp;S'!$L$22:$L$36,MATCH($F26,'CI&amp;S'!$B$22:$B$36,0))),"N/A")</f>
        <v/>
      </c>
      <c r="N26" s="52">
        <f>IFERROR(IF(INDEX('CFOG'!$L$10:$L$16,MATCH($F26,'CFOG'!$B$10:$B$16,0))="","Cell will autofill based on response",INDEX('CFOG'!$L$10:$L$16,MATCH($F26,'CFOG'!$B$10:$B$16,0))),"N/A")</f>
        <v/>
      </c>
      <c r="O26" s="52">
        <f>IFERROR(IF(INDEX('CFOG'!$L$23:$L$24,MATCH($F26,'CFOG'!$B$23:$B$24,0))="","Cell will autofill based on response",INDEX('CFOG'!$L$23:$L$24,MATCH($F26,'CFOG'!$B$23:$B$24,0))),"N/A")</f>
        <v/>
      </c>
      <c r="P26" s="52">
        <f>IFERROR(IF(INDEX('ESG'!$L$10:$L$17,MATCH($F26,'ESG'!$B$10:$B$17,0))="","Cell will autofill based on response",INDEX('ESG'!$L$10:$L$17,MATCH($F26,'ESG'!$B$10:$B$17,0))),"N/A")</f>
        <v/>
      </c>
      <c r="Q26" s="52">
        <f>IFERROR(IF(INDEX('CIOG'!$L$10:$L$14,MATCH($F26,'CIOG'!$B$10:$B$14,0))="","Cell will autofill based on response",INDEX('CIOG'!$L$10:$L$14,MATCH($F26,'CIOG'!$B$10:$B$14,0))),"N/A")</f>
        <v/>
      </c>
      <c r="R26" s="52">
        <f>IFERROR(IF(INDEX('MRE'!$L$10:$L$18,MATCH($F26,'MRE'!$B$10:$B$18,0))="","Cell will autofill based on response",INDEX('MRE'!$L$10:$L$18,MATCH($F26,'MRE'!$B$10:$B$18,0))),"N/A")</f>
        <v/>
      </c>
      <c r="S26" s="52">
        <f>IFERROR(IF(INDEX('AC&amp;M'!$L$10:$L$14,MATCH($F26,'AC&amp;M'!$B$10:$B$14,0))="","Cell will autofill based on response",INDEX('AC&amp;M'!$L$10:$L$14,MATCH($F26,'AC&amp;M'!$B$10:$B$14,0))),"N/A")</f>
        <v/>
      </c>
      <c r="T26" s="52">
        <f>IFERROR(IF(INDEX('GCE'!$L$10:$L$12,MATCH($F26,'GCE'!$B$10:$B$12,0))="","Cell will autofill based on response",INDEX('GCE'!$L$10:$L$12,MATCH($F26,'GCE'!$B$10:$B$12,0))),"N/A")</f>
        <v/>
      </c>
      <c r="U26" s="52">
        <f>IFERROR(IF(INDEX('Education'!$L$10:$L$13,MATCH($F26,'Education'!$B$10:$B$13,0))="","Cell will autofill based on response",INDEX('Education'!$L$10:$L$13,MATCH($F26,'Education'!$B$10:$B$13,0))),"N/A")</f>
        <v/>
      </c>
      <c r="V26" s="52">
        <f>IFERROR(IF(INDEX('SaSS'!$L$10:$L$12,MATCH($F26,'SaSS'!$B$10:$B$12,0))="","Cell will autofill based on response",INDEX('SaSS'!$L$10:$L$12,MATCH($F26,'SaSS'!$B$10:$B$12,0))),"N/A")</f>
        <v/>
      </c>
      <c r="W26" s="52">
        <f>IFERROR(IF(INDEX('Indigenous'!$L$10:$L$11,MATCH($F26,'Indigenous'!$B$10:$B$11,0))="","Cell will autofill based on response",INDEX('Indigenous'!$L$10:$L$11,MATCH($F26,'Indigenous'!$B$10:$B$11,0))),"N/A")</f>
        <v/>
      </c>
      <c r="X26" s="52">
        <f>IFERROR(IF(INDEX('L&amp;R'!$L$10:$L$11,MATCH($F26,'L&amp;R'!$B$10:$B$11,0))="","Cell will autofill based on response",INDEX('L&amp;R'!$L$10:$L$11,MATCH($F26,'L&amp;R'!$B$10:$B$11,0))),"N/A")</f>
        <v/>
      </c>
      <c r="Z26" s="10">
        <f>SUMPRODUCT(--($H26:$X26&lt;&gt;"N/A"))</f>
        <v/>
      </c>
      <c r="AA26" s="10">
        <f>SUMPRODUCT(--(((($H26:$X26&lt;&gt;"N/A")*($H26:$X26&lt;&gt;"Cell will autofill based on response"))+(($H27:$X27&lt;&gt;"N/A")*($H27:$X27&lt;&gt;"Cell will autofill based on response")))&gt;0))</f>
        <v/>
      </c>
      <c r="AB26" s="10">
        <f>Z26-AA26</f>
        <v/>
      </c>
      <c r="AC26" s="10">
        <f>COUNTIF($H30:$X30,"Yes")</f>
        <v/>
      </c>
    </row>
    <row r="27">
      <c r="A27">
        <f>F27&amp;"|"&amp;G27</f>
        <v/>
      </c>
      <c r="B27" s="13" t="inlineStr"/>
      <c r="C27" s="8" t="inlineStr"/>
      <c r="D27" s="8" t="inlineStr"/>
      <c r="E27" s="8" t="inlineStr"/>
      <c r="F27" s="8" t="inlineStr">
        <is>
          <t>EE1(d)</t>
        </is>
      </c>
      <c r="G27" s="8" t="inlineStr">
        <is>
          <t>OPTION 2:  Indicator level reporting</t>
        </is>
      </c>
      <c r="H27" s="52">
        <f>IFERROR(IF(INDEX('Faculties'!$M$10:$M$19,MATCH($F27,'Faculties'!$B$10:$B$19,0))="","Cell will autofill based on response",INDEX('Faculties'!$M$10:$M$19,MATCH($F27,'Faculties'!$B$10:$B$19,0))),"N/A")</f>
        <v/>
      </c>
      <c r="I27" s="52">
        <f>IFERROR(IF(INDEX('Faculties'!$M$26:$M$35,MATCH($F27,'Faculties'!$B$26:$B$35,0))="","Cell will autofill based on response",INDEX('Faculties'!$M$26:$M$35,MATCH($F27,'Faculties'!$B$26:$B$35,0))),"N/A")</f>
        <v/>
      </c>
      <c r="J27" s="52">
        <f>IFERROR(IF(INDEX('Faculties'!$M$42:$M$51,MATCH($F27,'Faculties'!$B$42:$B$51,0))="","Cell will autofill based on response",INDEX('Faculties'!$M$42:$M$51,MATCH($F27,'Faculties'!$B$42:$B$51,0))),"N/A")</f>
        <v/>
      </c>
      <c r="K27" s="52">
        <f>IFERROR(IF(INDEX('Faculties'!$M$58:$M$67,MATCH($F27,'Faculties'!$B$58:$B$67,0))="","Cell will autofill based on response",INDEX('Faculties'!$M$58:$M$67,MATCH($F27,'Faculties'!$B$58:$B$67,0))),"N/A")</f>
        <v/>
      </c>
      <c r="L27" s="52">
        <f>IFERROR(IF(INDEX('CI&amp;S'!$M$10:$M$15,MATCH($F27,'CI&amp;S'!$B$10:$B$15,0))="","Cell will autofill based on response",INDEX('CI&amp;S'!$M$10:$M$15,MATCH($F27,'CI&amp;S'!$B$10:$B$15,0))),"N/A")</f>
        <v/>
      </c>
      <c r="M27" s="52">
        <f>IFERROR(IF(INDEX('CI&amp;S'!$M$22:$M$36,MATCH($F27,'CI&amp;S'!$B$22:$B$36,0))="","Cell will autofill based on response",INDEX('CI&amp;S'!$M$22:$M$36,MATCH($F27,'CI&amp;S'!$B$22:$B$36,0))),"N/A")</f>
        <v/>
      </c>
      <c r="N27" s="52">
        <f>IFERROR(IF(INDEX('CFOG'!$M$10:$M$16,MATCH($F27,'CFOG'!$B$10:$B$16,0))="","Cell will autofill based on response",INDEX('CFOG'!$M$10:$M$16,MATCH($F27,'CFOG'!$B$10:$B$16,0))),"N/A")</f>
        <v/>
      </c>
      <c r="O27" s="52">
        <f>IFERROR(IF(INDEX('CFOG'!$M$23:$M$24,MATCH($F27,'CFOG'!$B$23:$B$24,0))="","Cell will autofill based on response",INDEX('CFOG'!$M$23:$M$24,MATCH($F27,'CFOG'!$B$23:$B$24,0))),"N/A")</f>
        <v/>
      </c>
      <c r="P27" s="52">
        <f>IFERROR(IF(INDEX('ESG'!$M$10:$M$17,MATCH($F27,'ESG'!$B$10:$B$17,0))="","Cell will autofill based on response",INDEX('ESG'!$M$10:$M$17,MATCH($F27,'ESG'!$B$10:$B$17,0))),"N/A")</f>
        <v/>
      </c>
      <c r="Q27" s="52">
        <f>IFERROR(IF(INDEX('CIOG'!$M$10:$M$14,MATCH($F27,'CIOG'!$B$10:$B$14,0))="","Cell will autofill based on response",INDEX('CIOG'!$M$10:$M$14,MATCH($F27,'CIOG'!$B$10:$B$14,0))),"N/A")</f>
        <v/>
      </c>
      <c r="R27" s="52">
        <f>IFERROR(IF(INDEX('MRE'!$M$10:$M$18,MATCH($F27,'MRE'!$B$10:$B$18,0))="","Cell will autofill based on response",INDEX('MRE'!$M$10:$M$18,MATCH($F27,'MRE'!$B$10:$B$18,0))),"N/A")</f>
        <v/>
      </c>
      <c r="S27" s="52">
        <f>IFERROR(IF(INDEX('AC&amp;M'!$M$10:$M$14,MATCH($F27,'AC&amp;M'!$B$10:$B$14,0))="","Cell will autofill based on response",INDEX('AC&amp;M'!$M$10:$M$14,MATCH($F27,'AC&amp;M'!$B$10:$B$14,0))),"N/A")</f>
        <v/>
      </c>
      <c r="T27" s="52">
        <f>IFERROR(IF(INDEX('GCE'!$M$10:$M$12,MATCH($F27,'GCE'!$B$10:$B$12,0))="","Cell will autofill based on response",INDEX('GCE'!$M$10:$M$12,MATCH($F27,'GCE'!$B$10:$B$12,0))),"N/A")</f>
        <v/>
      </c>
      <c r="U27" s="52">
        <f>IFERROR(IF(INDEX('Education'!$M$10:$M$13,MATCH($F27,'Education'!$B$10:$B$13,0))="","Cell will autofill based on response",INDEX('Education'!$M$10:$M$13,MATCH($F27,'Education'!$B$10:$B$13,0))),"N/A")</f>
        <v/>
      </c>
      <c r="V27" s="52">
        <f>IFERROR(IF(INDEX('SaSS'!$M$10:$M$12,MATCH($F27,'SaSS'!$B$10:$B$12,0))="","Cell will autofill based on response",INDEX('SaSS'!$M$10:$M$12,MATCH($F27,'SaSS'!$B$10:$B$12,0))),"N/A")</f>
        <v/>
      </c>
      <c r="W27" s="52">
        <f>IFERROR(IF(INDEX('Indigenous'!$M$10:$M$11,MATCH($F27,'Indigenous'!$B$10:$B$11,0))="","Cell will autofill based on response",INDEX('Indigenous'!$M$10:$M$11,MATCH($F27,'Indigenous'!$B$10:$B$11,0))),"N/A")</f>
        <v/>
      </c>
      <c r="X27" s="52">
        <f>IFERROR(IF(INDEX('L&amp;R'!$M$10:$M$11,MATCH($F27,'L&amp;R'!$B$10:$B$11,0))="","Cell will autofill based on response",INDEX('L&amp;R'!$M$10:$M$11,MATCH($F27,'L&amp;R'!$B$10:$B$11,0))),"N/A")</f>
        <v/>
      </c>
    </row>
    <row r="28">
      <c r="A28">
        <f>F28&amp;"|"&amp;G28</f>
        <v/>
      </c>
      <c r="B28" s="13" t="inlineStr"/>
      <c r="C28" s="8" t="inlineStr"/>
      <c r="D28" s="8" t="inlineStr"/>
      <c r="E28" s="8" t="inlineStr"/>
      <c r="F28" s="8" t="inlineStr">
        <is>
          <t>EE1(d)</t>
        </is>
      </c>
      <c r="G28" s="8" t="inlineStr">
        <is>
          <t>Supporting information/comments</t>
        </is>
      </c>
      <c r="H28" s="52">
        <f>IFERROR(IF(INDEX('Faculties'!$N$10:$N$19,MATCH($F28,'Faculties'!$B$10:$B$19,0))="","Cell will autofill based on response",INDEX('Faculties'!$N$10:$N$19,MATCH($F28,'Faculties'!$B$10:$B$19,0))),"N/A")</f>
        <v/>
      </c>
      <c r="I28" s="52">
        <f>IFERROR(IF(INDEX('Faculties'!$N$26:$N$35,MATCH($F28,'Faculties'!$B$26:$B$35,0))="","Cell will autofill based on response",INDEX('Faculties'!$N$26:$N$35,MATCH($F28,'Faculties'!$B$26:$B$35,0))),"N/A")</f>
        <v/>
      </c>
      <c r="J28" s="52">
        <f>IFERROR(IF(INDEX('Faculties'!$N$42:$N$51,MATCH($F28,'Faculties'!$B$42:$B$51,0))="","Cell will autofill based on response",INDEX('Faculties'!$N$42:$N$51,MATCH($F28,'Faculties'!$B$42:$B$51,0))),"N/A")</f>
        <v/>
      </c>
      <c r="K28" s="52">
        <f>IFERROR(IF(INDEX('Faculties'!$N$58:$N$67,MATCH($F28,'Faculties'!$B$58:$B$67,0))="","Cell will autofill based on response",INDEX('Faculties'!$N$58:$N$67,MATCH($F28,'Faculties'!$B$58:$B$67,0))),"N/A")</f>
        <v/>
      </c>
      <c r="L28" s="52">
        <f>IFERROR(IF(INDEX('CI&amp;S'!$N$10:$N$15,MATCH($F28,'CI&amp;S'!$B$10:$B$15,0))="","Cell will autofill based on response",INDEX('CI&amp;S'!$N$10:$N$15,MATCH($F28,'CI&amp;S'!$B$10:$B$15,0))),"N/A")</f>
        <v/>
      </c>
      <c r="M28" s="52">
        <f>IFERROR(IF(INDEX('CI&amp;S'!$N$22:$N$36,MATCH($F28,'CI&amp;S'!$B$22:$B$36,0))="","Cell will autofill based on response",INDEX('CI&amp;S'!$N$22:$N$36,MATCH($F28,'CI&amp;S'!$B$22:$B$36,0))),"N/A")</f>
        <v/>
      </c>
      <c r="N28" s="52">
        <f>IFERROR(IF(INDEX('CFOG'!$N$10:$N$16,MATCH($F28,'CFOG'!$B$10:$B$16,0))="","Cell will autofill based on response",INDEX('CFOG'!$N$10:$N$16,MATCH($F28,'CFOG'!$B$10:$B$16,0))),"N/A")</f>
        <v/>
      </c>
      <c r="O28" s="52">
        <f>IFERROR(IF(INDEX('CFOG'!$N$23:$N$24,MATCH($F28,'CFOG'!$B$23:$B$24,0))="","Cell will autofill based on response",INDEX('CFOG'!$N$23:$N$24,MATCH($F28,'CFOG'!$B$23:$B$24,0))),"N/A")</f>
        <v/>
      </c>
      <c r="P28" s="52">
        <f>IFERROR(IF(INDEX('ESG'!$N$10:$N$17,MATCH($F28,'ESG'!$B$10:$B$17,0))="","Cell will autofill based on response",INDEX('ESG'!$N$10:$N$17,MATCH($F28,'ESG'!$B$10:$B$17,0))),"N/A")</f>
        <v/>
      </c>
      <c r="Q28" s="52">
        <f>IFERROR(IF(INDEX('CIOG'!$N$10:$N$14,MATCH($F28,'CIOG'!$B$10:$B$14,0))="","Cell will autofill based on response",INDEX('CIOG'!$N$10:$N$14,MATCH($F28,'CIOG'!$B$10:$B$14,0))),"N/A")</f>
        <v/>
      </c>
      <c r="R28" s="52">
        <f>IFERROR(IF(INDEX('MRE'!$N$10:$N$18,MATCH($F28,'MRE'!$B$10:$B$18,0))="","Cell will autofill based on response",INDEX('MRE'!$N$10:$N$18,MATCH($F28,'MRE'!$B$10:$B$18,0))),"N/A")</f>
        <v/>
      </c>
      <c r="S28" s="52">
        <f>IFERROR(IF(INDEX('AC&amp;M'!$N$10:$N$14,MATCH($F28,'AC&amp;M'!$B$10:$B$14,0))="","Cell will autofill based on response",INDEX('AC&amp;M'!$N$10:$N$14,MATCH($F28,'AC&amp;M'!$B$10:$B$14,0))),"N/A")</f>
        <v/>
      </c>
      <c r="T28" s="52">
        <f>IFERROR(IF(INDEX('GCE'!$N$10:$N$12,MATCH($F28,'GCE'!$B$10:$B$12,0))="","Cell will autofill based on response",INDEX('GCE'!$N$10:$N$12,MATCH($F28,'GCE'!$B$10:$B$12,0))),"N/A")</f>
        <v/>
      </c>
      <c r="U28" s="52">
        <f>IFERROR(IF(INDEX('Education'!$N$10:$N$13,MATCH($F28,'Education'!$B$10:$B$13,0))="","Cell will autofill based on response",INDEX('Education'!$N$10:$N$13,MATCH($F28,'Education'!$B$10:$B$13,0))),"N/A")</f>
        <v/>
      </c>
      <c r="V28" s="52">
        <f>IFERROR(IF(INDEX('SaSS'!$N$10:$N$12,MATCH($F28,'SaSS'!$B$10:$B$12,0))="","Cell will autofill based on response",INDEX('SaSS'!$N$10:$N$12,MATCH($F28,'SaSS'!$B$10:$B$12,0))),"N/A")</f>
        <v/>
      </c>
      <c r="W28" s="52">
        <f>IFERROR(IF(INDEX('Indigenous'!$N$10:$N$11,MATCH($F28,'Indigenous'!$B$10:$B$11,0))="","Cell will autofill based on response",INDEX('Indigenous'!$N$10:$N$11,MATCH($F28,'Indigenous'!$B$10:$B$11,0))),"N/A")</f>
        <v/>
      </c>
      <c r="X28" s="52">
        <f>IFERROR(IF(INDEX('L&amp;R'!$N$10:$N$11,MATCH($F28,'L&amp;R'!$B$10:$B$11,0))="","Cell will autofill based on response",INDEX('L&amp;R'!$N$10:$N$11,MATCH($F28,'L&amp;R'!$B$10:$B$11,0))),"N/A")</f>
        <v/>
      </c>
    </row>
    <row r="29">
      <c r="A29">
        <f>F29&amp;"|"&amp;G29</f>
        <v/>
      </c>
      <c r="B29" s="13" t="inlineStr"/>
      <c r="C29" s="8" t="inlineStr"/>
      <c r="D29" s="8" t="inlineStr"/>
      <c r="E29" s="8" t="inlineStr"/>
      <c r="F29" s="8" t="inlineStr">
        <is>
          <t>EE1(d)</t>
        </is>
      </c>
      <c r="G29" s="8" t="inlineStr">
        <is>
          <t>Data source and limitations</t>
        </is>
      </c>
      <c r="H29" s="52">
        <f>IFERROR(IF(INDEX('Faculties'!$O$10:$O$19,MATCH($F29,'Faculties'!$B$10:$B$19,0))="","Cell will autofill based on response",INDEX('Faculties'!$O$10:$O$19,MATCH($F29,'Faculties'!$B$10:$B$19,0))),"N/A")</f>
        <v/>
      </c>
      <c r="I29" s="52">
        <f>IFERROR(IF(INDEX('Faculties'!$O$26:$O$35,MATCH($F29,'Faculties'!$B$26:$B$35,0))="","Cell will autofill based on response",INDEX('Faculties'!$O$26:$O$35,MATCH($F29,'Faculties'!$B$26:$B$35,0))),"N/A")</f>
        <v/>
      </c>
      <c r="J29" s="52">
        <f>IFERROR(IF(INDEX('Faculties'!$O$42:$O$51,MATCH($F29,'Faculties'!$B$42:$B$51,0))="","Cell will autofill based on response",INDEX('Faculties'!$O$42:$O$51,MATCH($F29,'Faculties'!$B$42:$B$51,0))),"N/A")</f>
        <v/>
      </c>
      <c r="K29" s="52">
        <f>IFERROR(IF(INDEX('Faculties'!$O$58:$O$67,MATCH($F29,'Faculties'!$B$58:$B$67,0))="","Cell will autofill based on response",INDEX('Faculties'!$O$58:$O$67,MATCH($F29,'Faculties'!$B$58:$B$67,0))),"N/A")</f>
        <v/>
      </c>
      <c r="L29" s="52">
        <f>IFERROR(IF(INDEX('CI&amp;S'!$O$10:$O$15,MATCH($F29,'CI&amp;S'!$B$10:$B$15,0))="","Cell will autofill based on response",INDEX('CI&amp;S'!$O$10:$O$15,MATCH($F29,'CI&amp;S'!$B$10:$B$15,0))),"N/A")</f>
        <v/>
      </c>
      <c r="M29" s="52">
        <f>IFERROR(IF(INDEX('CI&amp;S'!$O$22:$O$36,MATCH($F29,'CI&amp;S'!$B$22:$B$36,0))="","Cell will autofill based on response",INDEX('CI&amp;S'!$O$22:$O$36,MATCH($F29,'CI&amp;S'!$B$22:$B$36,0))),"N/A")</f>
        <v/>
      </c>
      <c r="N29" s="52">
        <f>IFERROR(IF(INDEX('CFOG'!$O$10:$O$16,MATCH($F29,'CFOG'!$B$10:$B$16,0))="","Cell will autofill based on response",INDEX('CFOG'!$O$10:$O$16,MATCH($F29,'CFOG'!$B$10:$B$16,0))),"N/A")</f>
        <v/>
      </c>
      <c r="O29" s="52">
        <f>IFERROR(IF(INDEX('CFOG'!$O$23:$O$24,MATCH($F29,'CFOG'!$B$23:$B$24,0))="","Cell will autofill based on response",INDEX('CFOG'!$O$23:$O$24,MATCH($F29,'CFOG'!$B$23:$B$24,0))),"N/A")</f>
        <v/>
      </c>
      <c r="P29" s="52">
        <f>IFERROR(IF(INDEX('ESG'!$O$10:$O$17,MATCH($F29,'ESG'!$B$10:$B$17,0))="","Cell will autofill based on response",INDEX('ESG'!$O$10:$O$17,MATCH($F29,'ESG'!$B$10:$B$17,0))),"N/A")</f>
        <v/>
      </c>
      <c r="Q29" s="52">
        <f>IFERROR(IF(INDEX('CIOG'!$O$10:$O$14,MATCH($F29,'CIOG'!$B$10:$B$14,0))="","Cell will autofill based on response",INDEX('CIOG'!$O$10:$O$14,MATCH($F29,'CIOG'!$B$10:$B$14,0))),"N/A")</f>
        <v/>
      </c>
      <c r="R29" s="52">
        <f>IFERROR(IF(INDEX('MRE'!$O$10:$O$18,MATCH($F29,'MRE'!$B$10:$B$18,0))="","Cell will autofill based on response",INDEX('MRE'!$O$10:$O$18,MATCH($F29,'MRE'!$B$10:$B$18,0))),"N/A")</f>
        <v/>
      </c>
      <c r="S29" s="52">
        <f>IFERROR(IF(INDEX('AC&amp;M'!$O$10:$O$14,MATCH($F29,'AC&amp;M'!$B$10:$B$14,0))="","Cell will autofill based on response",INDEX('AC&amp;M'!$O$10:$O$14,MATCH($F29,'AC&amp;M'!$B$10:$B$14,0))),"N/A")</f>
        <v/>
      </c>
      <c r="T29" s="52">
        <f>IFERROR(IF(INDEX('GCE'!$O$10:$O$12,MATCH($F29,'GCE'!$B$10:$B$12,0))="","Cell will autofill based on response",INDEX('GCE'!$O$10:$O$12,MATCH($F29,'GCE'!$B$10:$B$12,0))),"N/A")</f>
        <v/>
      </c>
      <c r="U29" s="52">
        <f>IFERROR(IF(INDEX('Education'!$O$10:$O$13,MATCH($F29,'Education'!$B$10:$B$13,0))="","Cell will autofill based on response",INDEX('Education'!$O$10:$O$13,MATCH($F29,'Education'!$B$10:$B$13,0))),"N/A")</f>
        <v/>
      </c>
      <c r="V29" s="52">
        <f>IFERROR(IF(INDEX('SaSS'!$O$10:$O$12,MATCH($F29,'SaSS'!$B$10:$B$12,0))="","Cell will autofill based on response",INDEX('SaSS'!$O$10:$O$12,MATCH($F29,'SaSS'!$B$10:$B$12,0))),"N/A")</f>
        <v/>
      </c>
      <c r="W29" s="52">
        <f>IFERROR(IF(INDEX('Indigenous'!$O$10:$O$11,MATCH($F29,'Indigenous'!$B$10:$B$11,0))="","Cell will autofill based on response",INDEX('Indigenous'!$O$10:$O$11,MATCH($F29,'Indigenous'!$B$10:$B$11,0))),"N/A")</f>
        <v/>
      </c>
      <c r="X29" s="52">
        <f>IFERROR(IF(INDEX('L&amp;R'!$O$10:$O$11,MATCH($F29,'L&amp;R'!$B$10:$B$11,0))="","Cell will autofill based on response",INDEX('L&amp;R'!$O$10:$O$11,MATCH($F29,'L&amp;R'!$B$10:$B$11,0))),"N/A")</f>
        <v/>
      </c>
    </row>
    <row r="30">
      <c r="A30">
        <f>F30&amp;"|"&amp;G30</f>
        <v/>
      </c>
      <c r="B30" s="13" t="inlineStr"/>
      <c r="C30" s="8" t="inlineStr"/>
      <c r="D30" s="8" t="inlineStr"/>
      <c r="E30" s="8" t="inlineStr"/>
      <c r="F30" s="8" t="inlineStr">
        <is>
          <t>EE1(d)</t>
        </is>
      </c>
      <c r="G30" s="8" t="inlineStr">
        <is>
          <t>Data owner confirms</t>
        </is>
      </c>
      <c r="H30" s="52">
        <f>IFERROR(IF(INDEX('Faculties'!$P$10:$P$19,MATCH($F30,'Faculties'!$B$10:$B$19,0))="","Cell will autofill based on response",INDEX('Faculties'!$P$10:$P$19,MATCH($F30,'Faculties'!$B$10:$B$19,0))),"N/A")</f>
        <v/>
      </c>
      <c r="I30" s="52">
        <f>IFERROR(IF(INDEX('Faculties'!$P$26:$P$35,MATCH($F30,'Faculties'!$B$26:$B$35,0))="","Cell will autofill based on response",INDEX('Faculties'!$P$26:$P$35,MATCH($F30,'Faculties'!$B$26:$B$35,0))),"N/A")</f>
        <v/>
      </c>
      <c r="J30" s="52">
        <f>IFERROR(IF(INDEX('Faculties'!$P$42:$P$51,MATCH($F30,'Faculties'!$B$42:$B$51,0))="","Cell will autofill based on response",INDEX('Faculties'!$P$42:$P$51,MATCH($F30,'Faculties'!$B$42:$B$51,0))),"N/A")</f>
        <v/>
      </c>
      <c r="K30" s="52">
        <f>IFERROR(IF(INDEX('Faculties'!$P$58:$P$67,MATCH($F30,'Faculties'!$B$58:$B$67,0))="","Cell will autofill based on response",INDEX('Faculties'!$P$58:$P$67,MATCH($F30,'Faculties'!$B$58:$B$67,0))),"N/A")</f>
        <v/>
      </c>
      <c r="L30" s="52">
        <f>IFERROR(IF(INDEX('CI&amp;S'!$P$10:$P$15,MATCH($F30,'CI&amp;S'!$B$10:$B$15,0))="","Cell will autofill based on response",INDEX('CI&amp;S'!$P$10:$P$15,MATCH($F30,'CI&amp;S'!$B$10:$B$15,0))),"N/A")</f>
        <v/>
      </c>
      <c r="M30" s="52">
        <f>IFERROR(IF(INDEX('CI&amp;S'!$P$22:$P$36,MATCH($F30,'CI&amp;S'!$B$22:$B$36,0))="","Cell will autofill based on response",INDEX('CI&amp;S'!$P$22:$P$36,MATCH($F30,'CI&amp;S'!$B$22:$B$36,0))),"N/A")</f>
        <v/>
      </c>
      <c r="N30" s="52">
        <f>IFERROR(IF(INDEX('CFOG'!$P$10:$P$16,MATCH($F30,'CFOG'!$B$10:$B$16,0))="","Cell will autofill based on response",INDEX('CFOG'!$P$10:$P$16,MATCH($F30,'CFOG'!$B$10:$B$16,0))),"N/A")</f>
        <v/>
      </c>
      <c r="O30" s="52">
        <f>IFERROR(IF(INDEX('CFOG'!$P$23:$P$24,MATCH($F30,'CFOG'!$B$23:$B$24,0))="","Cell will autofill based on response",INDEX('CFOG'!$P$23:$P$24,MATCH($F30,'CFOG'!$B$23:$B$24,0))),"N/A")</f>
        <v/>
      </c>
      <c r="P30" s="52">
        <f>IFERROR(IF(INDEX('ESG'!$P$10:$P$17,MATCH($F30,'ESG'!$B$10:$B$17,0))="","Cell will autofill based on response",INDEX('ESG'!$P$10:$P$17,MATCH($F30,'ESG'!$B$10:$B$17,0))),"N/A")</f>
        <v/>
      </c>
      <c r="Q30" s="52">
        <f>IFERROR(IF(INDEX('CIOG'!$P$10:$P$14,MATCH($F30,'CIOG'!$B$10:$B$14,0))="","Cell will autofill based on response",INDEX('CIOG'!$P$10:$P$14,MATCH($F30,'CIOG'!$B$10:$B$14,0))),"N/A")</f>
        <v/>
      </c>
      <c r="R30" s="52">
        <f>IFERROR(IF(INDEX('MRE'!$P$10:$P$18,MATCH($F30,'MRE'!$B$10:$B$18,0))="","Cell will autofill based on response",INDEX('MRE'!$P$10:$P$18,MATCH($F30,'MRE'!$B$10:$B$18,0))),"N/A")</f>
        <v/>
      </c>
      <c r="S30" s="52">
        <f>IFERROR(IF(INDEX('AC&amp;M'!$P$10:$P$14,MATCH($F30,'AC&amp;M'!$B$10:$B$14,0))="","Cell will autofill based on response",INDEX('AC&amp;M'!$P$10:$P$14,MATCH($F30,'AC&amp;M'!$B$10:$B$14,0))),"N/A")</f>
        <v/>
      </c>
      <c r="T30" s="52">
        <f>IFERROR(IF(INDEX('GCE'!$P$10:$P$12,MATCH($F30,'GCE'!$B$10:$B$12,0))="","Cell will autofill based on response",INDEX('GCE'!$P$10:$P$12,MATCH($F30,'GCE'!$B$10:$B$12,0))),"N/A")</f>
        <v/>
      </c>
      <c r="U30" s="52">
        <f>IFERROR(IF(INDEX('Education'!$P$10:$P$13,MATCH($F30,'Education'!$B$10:$B$13,0))="","Cell will autofill based on response",INDEX('Education'!$P$10:$P$13,MATCH($F30,'Education'!$B$10:$B$13,0))),"N/A")</f>
        <v/>
      </c>
      <c r="V30" s="52">
        <f>IFERROR(IF(INDEX('SaSS'!$P$10:$P$12,MATCH($F30,'SaSS'!$B$10:$B$12,0))="","Cell will autofill based on response",INDEX('SaSS'!$P$10:$P$12,MATCH($F30,'SaSS'!$B$10:$B$12,0))),"N/A")</f>
        <v/>
      </c>
      <c r="W30" s="52">
        <f>IFERROR(IF(INDEX('Indigenous'!$P$10:$P$11,MATCH($F30,'Indigenous'!$B$10:$B$11,0))="","Cell will autofill based on response",INDEX('Indigenous'!$P$10:$P$11,MATCH($F30,'Indigenous'!$B$10:$B$11,0))),"N/A")</f>
        <v/>
      </c>
      <c r="X30" s="52">
        <f>IFERROR(IF(INDEX('L&amp;R'!$P$10:$P$11,MATCH($F30,'L&amp;R'!$B$10:$B$11,0))="","Cell will autofill based on response",INDEX('L&amp;R'!$P$10:$P$11,MATCH($F30,'L&amp;R'!$B$10:$B$11,0))),"N/A")</f>
        <v/>
      </c>
    </row>
    <row r="31">
      <c r="A31">
        <f>F31&amp;"|"&amp;G31</f>
        <v/>
      </c>
      <c r="B31" s="7" t="inlineStr">
        <is>
          <t>TR1(a)</t>
        </is>
      </c>
      <c r="C31" s="50" t="inlineStr">
        <is>
          <t>Transformational research</t>
        </is>
      </c>
      <c r="D31" s="50" t="inlineStr">
        <is>
          <t>Expert-reviewed evidence of researchers contributing to operational sustainability priorities through partnerships, advisory input, living labs, applied projects or decision-support</t>
        </is>
      </c>
      <c r="E31" s="50"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1" s="50" t="inlineStr">
        <is>
          <t>TR1(a)</t>
        </is>
      </c>
      <c r="G31" s="50" t="inlineStr">
        <is>
          <t>OPTION 1:  Target-level reporting</t>
        </is>
      </c>
      <c r="H31" s="52">
        <f>IFERROR(IF(INDEX('Faculties'!$L$10:$L$19,MATCH($F31,'Faculties'!$B$10:$B$19,0))="","Cell will autofill based on response",INDEX('Faculties'!$L$10:$L$19,MATCH($F31,'Faculties'!$B$10:$B$19,0))),"N/A")</f>
        <v/>
      </c>
      <c r="I31" s="52">
        <f>IFERROR(IF(INDEX('Faculties'!$L$26:$L$35,MATCH($F31,'Faculties'!$B$26:$B$35,0))="","Cell will autofill based on response",INDEX('Faculties'!$L$26:$L$35,MATCH($F31,'Faculties'!$B$26:$B$35,0))),"N/A")</f>
        <v/>
      </c>
      <c r="J31" s="52">
        <f>IFERROR(IF(INDEX('Faculties'!$L$42:$L$51,MATCH($F31,'Faculties'!$B$42:$B$51,0))="","Cell will autofill based on response",INDEX('Faculties'!$L$42:$L$51,MATCH($F31,'Faculties'!$B$42:$B$51,0))),"N/A")</f>
        <v/>
      </c>
      <c r="K31" s="52">
        <f>IFERROR(IF(INDEX('Faculties'!$L$58:$L$67,MATCH($F31,'Faculties'!$B$58:$B$67,0))="","Cell will autofill based on response",INDEX('Faculties'!$L$58:$L$67,MATCH($F31,'Faculties'!$B$58:$B$67,0))),"N/A")</f>
        <v/>
      </c>
      <c r="L31" s="52">
        <f>IFERROR(IF(INDEX('CI&amp;S'!$L$10:$L$15,MATCH($F31,'CI&amp;S'!$B$10:$B$15,0))="","Cell will autofill based on response",INDEX('CI&amp;S'!$L$10:$L$15,MATCH($F31,'CI&amp;S'!$B$10:$B$15,0))),"N/A")</f>
        <v/>
      </c>
      <c r="M31" s="52">
        <f>IFERROR(IF(INDEX('CI&amp;S'!$L$22:$L$36,MATCH($F31,'CI&amp;S'!$B$22:$B$36,0))="","Cell will autofill based on response",INDEX('CI&amp;S'!$L$22:$L$36,MATCH($F31,'CI&amp;S'!$B$22:$B$36,0))),"N/A")</f>
        <v/>
      </c>
      <c r="N31" s="52">
        <f>IFERROR(IF(INDEX('CFOG'!$L$10:$L$16,MATCH($F31,'CFOG'!$B$10:$B$16,0))="","Cell will autofill based on response",INDEX('CFOG'!$L$10:$L$16,MATCH($F31,'CFOG'!$B$10:$B$16,0))),"N/A")</f>
        <v/>
      </c>
      <c r="O31" s="52">
        <f>IFERROR(IF(INDEX('CFOG'!$L$23:$L$24,MATCH($F31,'CFOG'!$B$23:$B$24,0))="","Cell will autofill based on response",INDEX('CFOG'!$L$23:$L$24,MATCH($F31,'CFOG'!$B$23:$B$24,0))),"N/A")</f>
        <v/>
      </c>
      <c r="P31" s="52">
        <f>IFERROR(IF(INDEX('ESG'!$L$10:$L$17,MATCH($F31,'ESG'!$B$10:$B$17,0))="","Cell will autofill based on response",INDEX('ESG'!$L$10:$L$17,MATCH($F31,'ESG'!$B$10:$B$17,0))),"N/A")</f>
        <v/>
      </c>
      <c r="Q31" s="52">
        <f>IFERROR(IF(INDEX('CIOG'!$L$10:$L$14,MATCH($F31,'CIOG'!$B$10:$B$14,0))="","Cell will autofill based on response",INDEX('CIOG'!$L$10:$L$14,MATCH($F31,'CIOG'!$B$10:$B$14,0))),"N/A")</f>
        <v/>
      </c>
      <c r="R31" s="52">
        <f>IFERROR(IF(INDEX('MRE'!$L$10:$L$18,MATCH($F31,'MRE'!$B$10:$B$18,0))="","Cell will autofill based on response",INDEX('MRE'!$L$10:$L$18,MATCH($F31,'MRE'!$B$10:$B$18,0))),"N/A")</f>
        <v/>
      </c>
      <c r="S31" s="52">
        <f>IFERROR(IF(INDEX('AC&amp;M'!$L$10:$L$14,MATCH($F31,'AC&amp;M'!$B$10:$B$14,0))="","Cell will autofill based on response",INDEX('AC&amp;M'!$L$10:$L$14,MATCH($F31,'AC&amp;M'!$B$10:$B$14,0))),"N/A")</f>
        <v/>
      </c>
      <c r="T31" s="52">
        <f>IFERROR(IF(INDEX('GCE'!$L$10:$L$12,MATCH($F31,'GCE'!$B$10:$B$12,0))="","Cell will autofill based on response",INDEX('GCE'!$L$10:$L$12,MATCH($F31,'GCE'!$B$10:$B$12,0))),"N/A")</f>
        <v/>
      </c>
      <c r="U31" s="52">
        <f>IFERROR(IF(INDEX('Education'!$L$10:$L$13,MATCH($F31,'Education'!$B$10:$B$13,0))="","Cell will autofill based on response",INDEX('Education'!$L$10:$L$13,MATCH($F31,'Education'!$B$10:$B$13,0))),"N/A")</f>
        <v/>
      </c>
      <c r="V31" s="52">
        <f>IFERROR(IF(INDEX('SaSS'!$L$10:$L$12,MATCH($F31,'SaSS'!$B$10:$B$12,0))="","Cell will autofill based on response",INDEX('SaSS'!$L$10:$L$12,MATCH($F31,'SaSS'!$B$10:$B$12,0))),"N/A")</f>
        <v/>
      </c>
      <c r="W31" s="52">
        <f>IFERROR(IF(INDEX('Indigenous'!$L$10:$L$11,MATCH($F31,'Indigenous'!$B$10:$B$11,0))="","Cell will autofill based on response",INDEX('Indigenous'!$L$10:$L$11,MATCH($F31,'Indigenous'!$B$10:$B$11,0))),"N/A")</f>
        <v/>
      </c>
      <c r="X31" s="52">
        <f>IFERROR(IF(INDEX('L&amp;R'!$L$10:$L$11,MATCH($F31,'L&amp;R'!$B$10:$B$11,0))="","Cell will autofill based on response",INDEX('L&amp;R'!$L$10:$L$11,MATCH($F31,'L&amp;R'!$B$10:$B$11,0))),"N/A")</f>
        <v/>
      </c>
      <c r="Z31" s="10">
        <f>SUMPRODUCT(--($H31:$X31&lt;&gt;"N/A"))</f>
        <v/>
      </c>
      <c r="AA31" s="10">
        <f>SUMPRODUCT(--(((($H31:$X31&lt;&gt;"N/A")*($H31:$X31&lt;&gt;"Cell will autofill based on response"))+(($H32:$X32&lt;&gt;"N/A")*($H32:$X32&lt;&gt;"Cell will autofill based on response")))&gt;0))</f>
        <v/>
      </c>
      <c r="AB31" s="10">
        <f>Z31-AA31</f>
        <v/>
      </c>
      <c r="AC31" s="10">
        <f>COUNTIF($H35:$X35,"Yes")</f>
        <v/>
      </c>
    </row>
    <row r="32">
      <c r="A32">
        <f>F32&amp;"|"&amp;G32</f>
        <v/>
      </c>
      <c r="B32" s="13" t="inlineStr"/>
      <c r="C32" s="8" t="inlineStr"/>
      <c r="D32" s="8" t="inlineStr"/>
      <c r="E32" s="8" t="inlineStr"/>
      <c r="F32" s="8" t="inlineStr">
        <is>
          <t>TR1(a)</t>
        </is>
      </c>
      <c r="G32" s="8" t="inlineStr">
        <is>
          <t>OPTION 2:  Indicator level reporting</t>
        </is>
      </c>
      <c r="H32" s="52">
        <f>IFERROR(IF(INDEX('Faculties'!$M$10:$M$19,MATCH($F32,'Faculties'!$B$10:$B$19,0))="","Cell will autofill based on response",INDEX('Faculties'!$M$10:$M$19,MATCH($F32,'Faculties'!$B$10:$B$19,0))),"N/A")</f>
        <v/>
      </c>
      <c r="I32" s="52">
        <f>IFERROR(IF(INDEX('Faculties'!$M$26:$M$35,MATCH($F32,'Faculties'!$B$26:$B$35,0))="","Cell will autofill based on response",INDEX('Faculties'!$M$26:$M$35,MATCH($F32,'Faculties'!$B$26:$B$35,0))),"N/A")</f>
        <v/>
      </c>
      <c r="J32" s="52">
        <f>IFERROR(IF(INDEX('Faculties'!$M$42:$M$51,MATCH($F32,'Faculties'!$B$42:$B$51,0))="","Cell will autofill based on response",INDEX('Faculties'!$M$42:$M$51,MATCH($F32,'Faculties'!$B$42:$B$51,0))),"N/A")</f>
        <v/>
      </c>
      <c r="K32" s="52">
        <f>IFERROR(IF(INDEX('Faculties'!$M$58:$M$67,MATCH($F32,'Faculties'!$B$58:$B$67,0))="","Cell will autofill based on response",INDEX('Faculties'!$M$58:$M$67,MATCH($F32,'Faculties'!$B$58:$B$67,0))),"N/A")</f>
        <v/>
      </c>
      <c r="L32" s="52">
        <f>IFERROR(IF(INDEX('CI&amp;S'!$M$10:$M$15,MATCH($F32,'CI&amp;S'!$B$10:$B$15,0))="","Cell will autofill based on response",INDEX('CI&amp;S'!$M$10:$M$15,MATCH($F32,'CI&amp;S'!$B$10:$B$15,0))),"N/A")</f>
        <v/>
      </c>
      <c r="M32" s="52">
        <f>IFERROR(IF(INDEX('CI&amp;S'!$M$22:$M$36,MATCH($F32,'CI&amp;S'!$B$22:$B$36,0))="","Cell will autofill based on response",INDEX('CI&amp;S'!$M$22:$M$36,MATCH($F32,'CI&amp;S'!$B$22:$B$36,0))),"N/A")</f>
        <v/>
      </c>
      <c r="N32" s="52">
        <f>IFERROR(IF(INDEX('CFOG'!$M$10:$M$16,MATCH($F32,'CFOG'!$B$10:$B$16,0))="","Cell will autofill based on response",INDEX('CFOG'!$M$10:$M$16,MATCH($F32,'CFOG'!$B$10:$B$16,0))),"N/A")</f>
        <v/>
      </c>
      <c r="O32" s="52">
        <f>IFERROR(IF(INDEX('CFOG'!$M$23:$M$24,MATCH($F32,'CFOG'!$B$23:$B$24,0))="","Cell will autofill based on response",INDEX('CFOG'!$M$23:$M$24,MATCH($F32,'CFOG'!$B$23:$B$24,0))),"N/A")</f>
        <v/>
      </c>
      <c r="P32" s="52">
        <f>IFERROR(IF(INDEX('ESG'!$M$10:$M$17,MATCH($F32,'ESG'!$B$10:$B$17,0))="","Cell will autofill based on response",INDEX('ESG'!$M$10:$M$17,MATCH($F32,'ESG'!$B$10:$B$17,0))),"N/A")</f>
        <v/>
      </c>
      <c r="Q32" s="52">
        <f>IFERROR(IF(INDEX('CIOG'!$M$10:$M$14,MATCH($F32,'CIOG'!$B$10:$B$14,0))="","Cell will autofill based on response",INDEX('CIOG'!$M$10:$M$14,MATCH($F32,'CIOG'!$B$10:$B$14,0))),"N/A")</f>
        <v/>
      </c>
      <c r="R32" s="52">
        <f>IFERROR(IF(INDEX('MRE'!$M$10:$M$18,MATCH($F32,'MRE'!$B$10:$B$18,0))="","Cell will autofill based on response",INDEX('MRE'!$M$10:$M$18,MATCH($F32,'MRE'!$B$10:$B$18,0))),"N/A")</f>
        <v/>
      </c>
      <c r="S32" s="52">
        <f>IFERROR(IF(INDEX('AC&amp;M'!$M$10:$M$14,MATCH($F32,'AC&amp;M'!$B$10:$B$14,0))="","Cell will autofill based on response",INDEX('AC&amp;M'!$M$10:$M$14,MATCH($F32,'AC&amp;M'!$B$10:$B$14,0))),"N/A")</f>
        <v/>
      </c>
      <c r="T32" s="52">
        <f>IFERROR(IF(INDEX('GCE'!$M$10:$M$12,MATCH($F32,'GCE'!$B$10:$B$12,0))="","Cell will autofill based on response",INDEX('GCE'!$M$10:$M$12,MATCH($F32,'GCE'!$B$10:$B$12,0))),"N/A")</f>
        <v/>
      </c>
      <c r="U32" s="52">
        <f>IFERROR(IF(INDEX('Education'!$M$10:$M$13,MATCH($F32,'Education'!$B$10:$B$13,0))="","Cell will autofill based on response",INDEX('Education'!$M$10:$M$13,MATCH($F32,'Education'!$B$10:$B$13,0))),"N/A")</f>
        <v/>
      </c>
      <c r="V32" s="52">
        <f>IFERROR(IF(INDEX('SaSS'!$M$10:$M$12,MATCH($F32,'SaSS'!$B$10:$B$12,0))="","Cell will autofill based on response",INDEX('SaSS'!$M$10:$M$12,MATCH($F32,'SaSS'!$B$10:$B$12,0))),"N/A")</f>
        <v/>
      </c>
      <c r="W32" s="52">
        <f>IFERROR(IF(INDEX('Indigenous'!$M$10:$M$11,MATCH($F32,'Indigenous'!$B$10:$B$11,0))="","Cell will autofill based on response",INDEX('Indigenous'!$M$10:$M$11,MATCH($F32,'Indigenous'!$B$10:$B$11,0))),"N/A")</f>
        <v/>
      </c>
      <c r="X32" s="52">
        <f>IFERROR(IF(INDEX('L&amp;R'!$M$10:$M$11,MATCH($F32,'L&amp;R'!$B$10:$B$11,0))="","Cell will autofill based on response",INDEX('L&amp;R'!$M$10:$M$11,MATCH($F32,'L&amp;R'!$B$10:$B$11,0))),"N/A")</f>
        <v/>
      </c>
    </row>
    <row r="33">
      <c r="A33">
        <f>F33&amp;"|"&amp;G33</f>
        <v/>
      </c>
      <c r="B33" s="13" t="inlineStr"/>
      <c r="C33" s="8" t="inlineStr"/>
      <c r="D33" s="8" t="inlineStr"/>
      <c r="E33" s="8" t="inlineStr"/>
      <c r="F33" s="8" t="inlineStr">
        <is>
          <t>TR1(a)</t>
        </is>
      </c>
      <c r="G33" s="8" t="inlineStr">
        <is>
          <t>Supporting information/comments</t>
        </is>
      </c>
      <c r="H33" s="52">
        <f>IFERROR(IF(INDEX('Faculties'!$N$10:$N$19,MATCH($F33,'Faculties'!$B$10:$B$19,0))="","Cell will autofill based on response",INDEX('Faculties'!$N$10:$N$19,MATCH($F33,'Faculties'!$B$10:$B$19,0))),"N/A")</f>
        <v/>
      </c>
      <c r="I33" s="52">
        <f>IFERROR(IF(INDEX('Faculties'!$N$26:$N$35,MATCH($F33,'Faculties'!$B$26:$B$35,0))="","Cell will autofill based on response",INDEX('Faculties'!$N$26:$N$35,MATCH($F33,'Faculties'!$B$26:$B$35,0))),"N/A")</f>
        <v/>
      </c>
      <c r="J33" s="52">
        <f>IFERROR(IF(INDEX('Faculties'!$N$42:$N$51,MATCH($F33,'Faculties'!$B$42:$B$51,0))="","Cell will autofill based on response",INDEX('Faculties'!$N$42:$N$51,MATCH($F33,'Faculties'!$B$42:$B$51,0))),"N/A")</f>
        <v/>
      </c>
      <c r="K33" s="52">
        <f>IFERROR(IF(INDEX('Faculties'!$N$58:$N$67,MATCH($F33,'Faculties'!$B$58:$B$67,0))="","Cell will autofill based on response",INDEX('Faculties'!$N$58:$N$67,MATCH($F33,'Faculties'!$B$58:$B$67,0))),"N/A")</f>
        <v/>
      </c>
      <c r="L33" s="52">
        <f>IFERROR(IF(INDEX('CI&amp;S'!$N$10:$N$15,MATCH($F33,'CI&amp;S'!$B$10:$B$15,0))="","Cell will autofill based on response",INDEX('CI&amp;S'!$N$10:$N$15,MATCH($F33,'CI&amp;S'!$B$10:$B$15,0))),"N/A")</f>
        <v/>
      </c>
      <c r="M33" s="52">
        <f>IFERROR(IF(INDEX('CI&amp;S'!$N$22:$N$36,MATCH($F33,'CI&amp;S'!$B$22:$B$36,0))="","Cell will autofill based on response",INDEX('CI&amp;S'!$N$22:$N$36,MATCH($F33,'CI&amp;S'!$B$22:$B$36,0))),"N/A")</f>
        <v/>
      </c>
      <c r="N33" s="52">
        <f>IFERROR(IF(INDEX('CFOG'!$N$10:$N$16,MATCH($F33,'CFOG'!$B$10:$B$16,0))="","Cell will autofill based on response",INDEX('CFOG'!$N$10:$N$16,MATCH($F33,'CFOG'!$B$10:$B$16,0))),"N/A")</f>
        <v/>
      </c>
      <c r="O33" s="52">
        <f>IFERROR(IF(INDEX('CFOG'!$N$23:$N$24,MATCH($F33,'CFOG'!$B$23:$B$24,0))="","Cell will autofill based on response",INDEX('CFOG'!$N$23:$N$24,MATCH($F33,'CFOG'!$B$23:$B$24,0))),"N/A")</f>
        <v/>
      </c>
      <c r="P33" s="52">
        <f>IFERROR(IF(INDEX('ESG'!$N$10:$N$17,MATCH($F33,'ESG'!$B$10:$B$17,0))="","Cell will autofill based on response",INDEX('ESG'!$N$10:$N$17,MATCH($F33,'ESG'!$B$10:$B$17,0))),"N/A")</f>
        <v/>
      </c>
      <c r="Q33" s="52">
        <f>IFERROR(IF(INDEX('CIOG'!$N$10:$N$14,MATCH($F33,'CIOG'!$B$10:$B$14,0))="","Cell will autofill based on response",INDEX('CIOG'!$N$10:$N$14,MATCH($F33,'CIOG'!$B$10:$B$14,0))),"N/A")</f>
        <v/>
      </c>
      <c r="R33" s="52">
        <f>IFERROR(IF(INDEX('MRE'!$N$10:$N$18,MATCH($F33,'MRE'!$B$10:$B$18,0))="","Cell will autofill based on response",INDEX('MRE'!$N$10:$N$18,MATCH($F33,'MRE'!$B$10:$B$18,0))),"N/A")</f>
        <v/>
      </c>
      <c r="S33" s="52">
        <f>IFERROR(IF(INDEX('AC&amp;M'!$N$10:$N$14,MATCH($F33,'AC&amp;M'!$B$10:$B$14,0))="","Cell will autofill based on response",INDEX('AC&amp;M'!$N$10:$N$14,MATCH($F33,'AC&amp;M'!$B$10:$B$14,0))),"N/A")</f>
        <v/>
      </c>
      <c r="T33" s="52">
        <f>IFERROR(IF(INDEX('GCE'!$N$10:$N$12,MATCH($F33,'GCE'!$B$10:$B$12,0))="","Cell will autofill based on response",INDEX('GCE'!$N$10:$N$12,MATCH($F33,'GCE'!$B$10:$B$12,0))),"N/A")</f>
        <v/>
      </c>
      <c r="U33" s="52">
        <f>IFERROR(IF(INDEX('Education'!$N$10:$N$13,MATCH($F33,'Education'!$B$10:$B$13,0))="","Cell will autofill based on response",INDEX('Education'!$N$10:$N$13,MATCH($F33,'Education'!$B$10:$B$13,0))),"N/A")</f>
        <v/>
      </c>
      <c r="V33" s="52">
        <f>IFERROR(IF(INDEX('SaSS'!$N$10:$N$12,MATCH($F33,'SaSS'!$B$10:$B$12,0))="","Cell will autofill based on response",INDEX('SaSS'!$N$10:$N$12,MATCH($F33,'SaSS'!$B$10:$B$12,0))),"N/A")</f>
        <v/>
      </c>
      <c r="W33" s="52">
        <f>IFERROR(IF(INDEX('Indigenous'!$N$10:$N$11,MATCH($F33,'Indigenous'!$B$10:$B$11,0))="","Cell will autofill based on response",INDEX('Indigenous'!$N$10:$N$11,MATCH($F33,'Indigenous'!$B$10:$B$11,0))),"N/A")</f>
        <v/>
      </c>
      <c r="X33" s="52">
        <f>IFERROR(IF(INDEX('L&amp;R'!$N$10:$N$11,MATCH($F33,'L&amp;R'!$B$10:$B$11,0))="","Cell will autofill based on response",INDEX('L&amp;R'!$N$10:$N$11,MATCH($F33,'L&amp;R'!$B$10:$B$11,0))),"N/A")</f>
        <v/>
      </c>
    </row>
    <row r="34">
      <c r="A34">
        <f>F34&amp;"|"&amp;G34</f>
        <v/>
      </c>
      <c r="B34" s="13" t="inlineStr"/>
      <c r="C34" s="8" t="inlineStr"/>
      <c r="D34" s="8" t="inlineStr"/>
      <c r="E34" s="8" t="inlineStr"/>
      <c r="F34" s="8" t="inlineStr">
        <is>
          <t>TR1(a)</t>
        </is>
      </c>
      <c r="G34" s="8" t="inlineStr">
        <is>
          <t>Data source and limitations</t>
        </is>
      </c>
      <c r="H34" s="52">
        <f>IFERROR(IF(INDEX('Faculties'!$O$10:$O$19,MATCH($F34,'Faculties'!$B$10:$B$19,0))="","Cell will autofill based on response",INDEX('Faculties'!$O$10:$O$19,MATCH($F34,'Faculties'!$B$10:$B$19,0))),"N/A")</f>
        <v/>
      </c>
      <c r="I34" s="52">
        <f>IFERROR(IF(INDEX('Faculties'!$O$26:$O$35,MATCH($F34,'Faculties'!$B$26:$B$35,0))="","Cell will autofill based on response",INDEX('Faculties'!$O$26:$O$35,MATCH($F34,'Faculties'!$B$26:$B$35,0))),"N/A")</f>
        <v/>
      </c>
      <c r="J34" s="52">
        <f>IFERROR(IF(INDEX('Faculties'!$O$42:$O$51,MATCH($F34,'Faculties'!$B$42:$B$51,0))="","Cell will autofill based on response",INDEX('Faculties'!$O$42:$O$51,MATCH($F34,'Faculties'!$B$42:$B$51,0))),"N/A")</f>
        <v/>
      </c>
      <c r="K34" s="52">
        <f>IFERROR(IF(INDEX('Faculties'!$O$58:$O$67,MATCH($F34,'Faculties'!$B$58:$B$67,0))="","Cell will autofill based on response",INDEX('Faculties'!$O$58:$O$67,MATCH($F34,'Faculties'!$B$58:$B$67,0))),"N/A")</f>
        <v/>
      </c>
      <c r="L34" s="52">
        <f>IFERROR(IF(INDEX('CI&amp;S'!$O$10:$O$15,MATCH($F34,'CI&amp;S'!$B$10:$B$15,0))="","Cell will autofill based on response",INDEX('CI&amp;S'!$O$10:$O$15,MATCH($F34,'CI&amp;S'!$B$10:$B$15,0))),"N/A")</f>
        <v/>
      </c>
      <c r="M34" s="52">
        <f>IFERROR(IF(INDEX('CI&amp;S'!$O$22:$O$36,MATCH($F34,'CI&amp;S'!$B$22:$B$36,0))="","Cell will autofill based on response",INDEX('CI&amp;S'!$O$22:$O$36,MATCH($F34,'CI&amp;S'!$B$22:$B$36,0))),"N/A")</f>
        <v/>
      </c>
      <c r="N34" s="52">
        <f>IFERROR(IF(INDEX('CFOG'!$O$10:$O$16,MATCH($F34,'CFOG'!$B$10:$B$16,0))="","Cell will autofill based on response",INDEX('CFOG'!$O$10:$O$16,MATCH($F34,'CFOG'!$B$10:$B$16,0))),"N/A")</f>
        <v/>
      </c>
      <c r="O34" s="52">
        <f>IFERROR(IF(INDEX('CFOG'!$O$23:$O$24,MATCH($F34,'CFOG'!$B$23:$B$24,0))="","Cell will autofill based on response",INDEX('CFOG'!$O$23:$O$24,MATCH($F34,'CFOG'!$B$23:$B$24,0))),"N/A")</f>
        <v/>
      </c>
      <c r="P34" s="52">
        <f>IFERROR(IF(INDEX('ESG'!$O$10:$O$17,MATCH($F34,'ESG'!$B$10:$B$17,0))="","Cell will autofill based on response",INDEX('ESG'!$O$10:$O$17,MATCH($F34,'ESG'!$B$10:$B$17,0))),"N/A")</f>
        <v/>
      </c>
      <c r="Q34" s="52">
        <f>IFERROR(IF(INDEX('CIOG'!$O$10:$O$14,MATCH($F34,'CIOG'!$B$10:$B$14,0))="","Cell will autofill based on response",INDEX('CIOG'!$O$10:$O$14,MATCH($F34,'CIOG'!$B$10:$B$14,0))),"N/A")</f>
        <v/>
      </c>
      <c r="R34" s="52">
        <f>IFERROR(IF(INDEX('MRE'!$O$10:$O$18,MATCH($F34,'MRE'!$B$10:$B$18,0))="","Cell will autofill based on response",INDEX('MRE'!$O$10:$O$18,MATCH($F34,'MRE'!$B$10:$B$18,0))),"N/A")</f>
        <v/>
      </c>
      <c r="S34" s="52">
        <f>IFERROR(IF(INDEX('AC&amp;M'!$O$10:$O$14,MATCH($F34,'AC&amp;M'!$B$10:$B$14,0))="","Cell will autofill based on response",INDEX('AC&amp;M'!$O$10:$O$14,MATCH($F34,'AC&amp;M'!$B$10:$B$14,0))),"N/A")</f>
        <v/>
      </c>
      <c r="T34" s="52">
        <f>IFERROR(IF(INDEX('GCE'!$O$10:$O$12,MATCH($F34,'GCE'!$B$10:$B$12,0))="","Cell will autofill based on response",INDEX('GCE'!$O$10:$O$12,MATCH($F34,'GCE'!$B$10:$B$12,0))),"N/A")</f>
        <v/>
      </c>
      <c r="U34" s="52">
        <f>IFERROR(IF(INDEX('Education'!$O$10:$O$13,MATCH($F34,'Education'!$B$10:$B$13,0))="","Cell will autofill based on response",INDEX('Education'!$O$10:$O$13,MATCH($F34,'Education'!$B$10:$B$13,0))),"N/A")</f>
        <v/>
      </c>
      <c r="V34" s="52">
        <f>IFERROR(IF(INDEX('SaSS'!$O$10:$O$12,MATCH($F34,'SaSS'!$B$10:$B$12,0))="","Cell will autofill based on response",INDEX('SaSS'!$O$10:$O$12,MATCH($F34,'SaSS'!$B$10:$B$12,0))),"N/A")</f>
        <v/>
      </c>
      <c r="W34" s="52">
        <f>IFERROR(IF(INDEX('Indigenous'!$O$10:$O$11,MATCH($F34,'Indigenous'!$B$10:$B$11,0))="","Cell will autofill based on response",INDEX('Indigenous'!$O$10:$O$11,MATCH($F34,'Indigenous'!$B$10:$B$11,0))),"N/A")</f>
        <v/>
      </c>
      <c r="X34" s="52">
        <f>IFERROR(IF(INDEX('L&amp;R'!$O$10:$O$11,MATCH($F34,'L&amp;R'!$B$10:$B$11,0))="","Cell will autofill based on response",INDEX('L&amp;R'!$O$10:$O$11,MATCH($F34,'L&amp;R'!$B$10:$B$11,0))),"N/A")</f>
        <v/>
      </c>
    </row>
    <row r="35">
      <c r="A35">
        <f>F35&amp;"|"&amp;G35</f>
        <v/>
      </c>
      <c r="B35" s="13" t="inlineStr"/>
      <c r="C35" s="8" t="inlineStr"/>
      <c r="D35" s="8" t="inlineStr"/>
      <c r="E35" s="8" t="inlineStr"/>
      <c r="F35" s="8" t="inlineStr">
        <is>
          <t>TR1(a)</t>
        </is>
      </c>
      <c r="G35" s="8" t="inlineStr">
        <is>
          <t>Data owner confirms</t>
        </is>
      </c>
      <c r="H35" s="52">
        <f>IFERROR(IF(INDEX('Faculties'!$P$10:$P$19,MATCH($F35,'Faculties'!$B$10:$B$19,0))="","Cell will autofill based on response",INDEX('Faculties'!$P$10:$P$19,MATCH($F35,'Faculties'!$B$10:$B$19,0))),"N/A")</f>
        <v/>
      </c>
      <c r="I35" s="52">
        <f>IFERROR(IF(INDEX('Faculties'!$P$26:$P$35,MATCH($F35,'Faculties'!$B$26:$B$35,0))="","Cell will autofill based on response",INDEX('Faculties'!$P$26:$P$35,MATCH($F35,'Faculties'!$B$26:$B$35,0))),"N/A")</f>
        <v/>
      </c>
      <c r="J35" s="52">
        <f>IFERROR(IF(INDEX('Faculties'!$P$42:$P$51,MATCH($F35,'Faculties'!$B$42:$B$51,0))="","Cell will autofill based on response",INDEX('Faculties'!$P$42:$P$51,MATCH($F35,'Faculties'!$B$42:$B$51,0))),"N/A")</f>
        <v/>
      </c>
      <c r="K35" s="52">
        <f>IFERROR(IF(INDEX('Faculties'!$P$58:$P$67,MATCH($F35,'Faculties'!$B$58:$B$67,0))="","Cell will autofill based on response",INDEX('Faculties'!$P$58:$P$67,MATCH($F35,'Faculties'!$B$58:$B$67,0))),"N/A")</f>
        <v/>
      </c>
      <c r="L35" s="52">
        <f>IFERROR(IF(INDEX('CI&amp;S'!$P$10:$P$15,MATCH($F35,'CI&amp;S'!$B$10:$B$15,0))="","Cell will autofill based on response",INDEX('CI&amp;S'!$P$10:$P$15,MATCH($F35,'CI&amp;S'!$B$10:$B$15,0))),"N/A")</f>
        <v/>
      </c>
      <c r="M35" s="52">
        <f>IFERROR(IF(INDEX('CI&amp;S'!$P$22:$P$36,MATCH($F35,'CI&amp;S'!$B$22:$B$36,0))="","Cell will autofill based on response",INDEX('CI&amp;S'!$P$22:$P$36,MATCH($F35,'CI&amp;S'!$B$22:$B$36,0))),"N/A")</f>
        <v/>
      </c>
      <c r="N35" s="52">
        <f>IFERROR(IF(INDEX('CFOG'!$P$10:$P$16,MATCH($F35,'CFOG'!$B$10:$B$16,0))="","Cell will autofill based on response",INDEX('CFOG'!$P$10:$P$16,MATCH($F35,'CFOG'!$B$10:$B$16,0))),"N/A")</f>
        <v/>
      </c>
      <c r="O35" s="52">
        <f>IFERROR(IF(INDEX('CFOG'!$P$23:$P$24,MATCH($F35,'CFOG'!$B$23:$B$24,0))="","Cell will autofill based on response",INDEX('CFOG'!$P$23:$P$24,MATCH($F35,'CFOG'!$B$23:$B$24,0))),"N/A")</f>
        <v/>
      </c>
      <c r="P35" s="52">
        <f>IFERROR(IF(INDEX('ESG'!$P$10:$P$17,MATCH($F35,'ESG'!$B$10:$B$17,0))="","Cell will autofill based on response",INDEX('ESG'!$P$10:$P$17,MATCH($F35,'ESG'!$B$10:$B$17,0))),"N/A")</f>
        <v/>
      </c>
      <c r="Q35" s="52">
        <f>IFERROR(IF(INDEX('CIOG'!$P$10:$P$14,MATCH($F35,'CIOG'!$B$10:$B$14,0))="","Cell will autofill based on response",INDEX('CIOG'!$P$10:$P$14,MATCH($F35,'CIOG'!$B$10:$B$14,0))),"N/A")</f>
        <v/>
      </c>
      <c r="R35" s="52">
        <f>IFERROR(IF(INDEX('MRE'!$P$10:$P$18,MATCH($F35,'MRE'!$B$10:$B$18,0))="","Cell will autofill based on response",INDEX('MRE'!$P$10:$P$18,MATCH($F35,'MRE'!$B$10:$B$18,0))),"N/A")</f>
        <v/>
      </c>
      <c r="S35" s="52">
        <f>IFERROR(IF(INDEX('AC&amp;M'!$P$10:$P$14,MATCH($F35,'AC&amp;M'!$B$10:$B$14,0))="","Cell will autofill based on response",INDEX('AC&amp;M'!$P$10:$P$14,MATCH($F35,'AC&amp;M'!$B$10:$B$14,0))),"N/A")</f>
        <v/>
      </c>
      <c r="T35" s="52">
        <f>IFERROR(IF(INDEX('GCE'!$P$10:$P$12,MATCH($F35,'GCE'!$B$10:$B$12,0))="","Cell will autofill based on response",INDEX('GCE'!$P$10:$P$12,MATCH($F35,'GCE'!$B$10:$B$12,0))),"N/A")</f>
        <v/>
      </c>
      <c r="U35" s="52">
        <f>IFERROR(IF(INDEX('Education'!$P$10:$P$13,MATCH($F35,'Education'!$B$10:$B$13,0))="","Cell will autofill based on response",INDEX('Education'!$P$10:$P$13,MATCH($F35,'Education'!$B$10:$B$13,0))),"N/A")</f>
        <v/>
      </c>
      <c r="V35" s="52">
        <f>IFERROR(IF(INDEX('SaSS'!$P$10:$P$12,MATCH($F35,'SaSS'!$B$10:$B$12,0))="","Cell will autofill based on response",INDEX('SaSS'!$P$10:$P$12,MATCH($F35,'SaSS'!$B$10:$B$12,0))),"N/A")</f>
        <v/>
      </c>
      <c r="W35" s="52">
        <f>IFERROR(IF(INDEX('Indigenous'!$P$10:$P$11,MATCH($F35,'Indigenous'!$B$10:$B$11,0))="","Cell will autofill based on response",INDEX('Indigenous'!$P$10:$P$11,MATCH($F35,'Indigenous'!$B$10:$B$11,0))),"N/A")</f>
        <v/>
      </c>
      <c r="X35" s="52">
        <f>IFERROR(IF(INDEX('L&amp;R'!$P$10:$P$11,MATCH($F35,'L&amp;R'!$B$10:$B$11,0))="","Cell will autofill based on response",INDEX('L&amp;R'!$P$10:$P$11,MATCH($F35,'L&amp;R'!$B$10:$B$11,0))),"N/A")</f>
        <v/>
      </c>
    </row>
    <row r="36">
      <c r="A36">
        <f>F36&amp;"|"&amp;G36</f>
        <v/>
      </c>
      <c r="B36" s="7" t="inlineStr">
        <is>
          <t>TR1(b)</t>
        </is>
      </c>
      <c r="C36" s="50" t="inlineStr">
        <is>
          <t>Transformational research</t>
        </is>
      </c>
      <c r="D36" s="50" t="inlineStr">
        <is>
          <t>Evidence of institutional pathways that enable ongoing collaboration between academic and professional staff</t>
        </is>
      </c>
      <c r="E36" s="50"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6" s="50" t="inlineStr">
        <is>
          <t>TR1(b)</t>
        </is>
      </c>
      <c r="G36" s="50" t="inlineStr">
        <is>
          <t>OPTION 1:  Target-level reporting</t>
        </is>
      </c>
      <c r="H36" s="52">
        <f>IFERROR(IF(INDEX('Faculties'!$L$10:$L$19,MATCH($F36,'Faculties'!$B$10:$B$19,0))="","Cell will autofill based on response",INDEX('Faculties'!$L$10:$L$19,MATCH($F36,'Faculties'!$B$10:$B$19,0))),"N/A")</f>
        <v/>
      </c>
      <c r="I36" s="52">
        <f>IFERROR(IF(INDEX('Faculties'!$L$26:$L$35,MATCH($F36,'Faculties'!$B$26:$B$35,0))="","Cell will autofill based on response",INDEX('Faculties'!$L$26:$L$35,MATCH($F36,'Faculties'!$B$26:$B$35,0))),"N/A")</f>
        <v/>
      </c>
      <c r="J36" s="52">
        <f>IFERROR(IF(INDEX('Faculties'!$L$42:$L$51,MATCH($F36,'Faculties'!$B$42:$B$51,0))="","Cell will autofill based on response",INDEX('Faculties'!$L$42:$L$51,MATCH($F36,'Faculties'!$B$42:$B$51,0))),"N/A")</f>
        <v/>
      </c>
      <c r="K36" s="52">
        <f>IFERROR(IF(INDEX('Faculties'!$L$58:$L$67,MATCH($F36,'Faculties'!$B$58:$B$67,0))="","Cell will autofill based on response",INDEX('Faculties'!$L$58:$L$67,MATCH($F36,'Faculties'!$B$58:$B$67,0))),"N/A")</f>
        <v/>
      </c>
      <c r="L36" s="52">
        <f>IFERROR(IF(INDEX('CI&amp;S'!$L$10:$L$15,MATCH($F36,'CI&amp;S'!$B$10:$B$15,0))="","Cell will autofill based on response",INDEX('CI&amp;S'!$L$10:$L$15,MATCH($F36,'CI&amp;S'!$B$10:$B$15,0))),"N/A")</f>
        <v/>
      </c>
      <c r="M36" s="52">
        <f>IFERROR(IF(INDEX('CI&amp;S'!$L$22:$L$36,MATCH($F36,'CI&amp;S'!$B$22:$B$36,0))="","Cell will autofill based on response",INDEX('CI&amp;S'!$L$22:$L$36,MATCH($F36,'CI&amp;S'!$B$22:$B$36,0))),"N/A")</f>
        <v/>
      </c>
      <c r="N36" s="52">
        <f>IFERROR(IF(INDEX('CFOG'!$L$10:$L$16,MATCH($F36,'CFOG'!$B$10:$B$16,0))="","Cell will autofill based on response",INDEX('CFOG'!$L$10:$L$16,MATCH($F36,'CFOG'!$B$10:$B$16,0))),"N/A")</f>
        <v/>
      </c>
      <c r="O36" s="52">
        <f>IFERROR(IF(INDEX('CFOG'!$L$23:$L$24,MATCH($F36,'CFOG'!$B$23:$B$24,0))="","Cell will autofill based on response",INDEX('CFOG'!$L$23:$L$24,MATCH($F36,'CFOG'!$B$23:$B$24,0))),"N/A")</f>
        <v/>
      </c>
      <c r="P36" s="52">
        <f>IFERROR(IF(INDEX('ESG'!$L$10:$L$17,MATCH($F36,'ESG'!$B$10:$B$17,0))="","Cell will autofill based on response",INDEX('ESG'!$L$10:$L$17,MATCH($F36,'ESG'!$B$10:$B$17,0))),"N/A")</f>
        <v/>
      </c>
      <c r="Q36" s="52">
        <f>IFERROR(IF(INDEX('CIOG'!$L$10:$L$14,MATCH($F36,'CIOG'!$B$10:$B$14,0))="","Cell will autofill based on response",INDEX('CIOG'!$L$10:$L$14,MATCH($F36,'CIOG'!$B$10:$B$14,0))),"N/A")</f>
        <v/>
      </c>
      <c r="R36" s="52">
        <f>IFERROR(IF(INDEX('MRE'!$L$10:$L$18,MATCH($F36,'MRE'!$B$10:$B$18,0))="","Cell will autofill based on response",INDEX('MRE'!$L$10:$L$18,MATCH($F36,'MRE'!$B$10:$B$18,0))),"N/A")</f>
        <v/>
      </c>
      <c r="S36" s="52">
        <f>IFERROR(IF(INDEX('AC&amp;M'!$L$10:$L$14,MATCH($F36,'AC&amp;M'!$B$10:$B$14,0))="","Cell will autofill based on response",INDEX('AC&amp;M'!$L$10:$L$14,MATCH($F36,'AC&amp;M'!$B$10:$B$14,0))),"N/A")</f>
        <v/>
      </c>
      <c r="T36" s="52">
        <f>IFERROR(IF(INDEX('GCE'!$L$10:$L$12,MATCH($F36,'GCE'!$B$10:$B$12,0))="","Cell will autofill based on response",INDEX('GCE'!$L$10:$L$12,MATCH($F36,'GCE'!$B$10:$B$12,0))),"N/A")</f>
        <v/>
      </c>
      <c r="U36" s="52">
        <f>IFERROR(IF(INDEX('Education'!$L$10:$L$13,MATCH($F36,'Education'!$B$10:$B$13,0))="","Cell will autofill based on response",INDEX('Education'!$L$10:$L$13,MATCH($F36,'Education'!$B$10:$B$13,0))),"N/A")</f>
        <v/>
      </c>
      <c r="V36" s="52">
        <f>IFERROR(IF(INDEX('SaSS'!$L$10:$L$12,MATCH($F36,'SaSS'!$B$10:$B$12,0))="","Cell will autofill based on response",INDEX('SaSS'!$L$10:$L$12,MATCH($F36,'SaSS'!$B$10:$B$12,0))),"N/A")</f>
        <v/>
      </c>
      <c r="W36" s="52">
        <f>IFERROR(IF(INDEX('Indigenous'!$L$10:$L$11,MATCH($F36,'Indigenous'!$B$10:$B$11,0))="","Cell will autofill based on response",INDEX('Indigenous'!$L$10:$L$11,MATCH($F36,'Indigenous'!$B$10:$B$11,0))),"N/A")</f>
        <v/>
      </c>
      <c r="X36" s="52">
        <f>IFERROR(IF(INDEX('L&amp;R'!$L$10:$L$11,MATCH($F36,'L&amp;R'!$B$10:$B$11,0))="","Cell will autofill based on response",INDEX('L&amp;R'!$L$10:$L$11,MATCH($F36,'L&amp;R'!$B$10:$B$11,0))),"N/A")</f>
        <v/>
      </c>
      <c r="Z36" s="10">
        <f>SUMPRODUCT(--($H36:$X36&lt;&gt;"N/A"))</f>
        <v/>
      </c>
      <c r="AA36" s="10">
        <f>SUMPRODUCT(--(((($H36:$X36&lt;&gt;"N/A")*($H36:$X36&lt;&gt;"Cell will autofill based on response"))+(($H37:$X37&lt;&gt;"N/A")*($H37:$X37&lt;&gt;"Cell will autofill based on response")))&gt;0))</f>
        <v/>
      </c>
      <c r="AB36" s="10">
        <f>Z36-AA36</f>
        <v/>
      </c>
      <c r="AC36" s="10">
        <f>COUNTIF($H40:$X40,"Yes")</f>
        <v/>
      </c>
    </row>
    <row r="37">
      <c r="A37">
        <f>F37&amp;"|"&amp;G37</f>
        <v/>
      </c>
      <c r="B37" s="13" t="inlineStr"/>
      <c r="C37" s="8" t="inlineStr"/>
      <c r="D37" s="8" t="inlineStr"/>
      <c r="E37" s="8" t="inlineStr"/>
      <c r="F37" s="8" t="inlineStr">
        <is>
          <t>TR1(b)</t>
        </is>
      </c>
      <c r="G37" s="8" t="inlineStr">
        <is>
          <t>OPTION 2:  Indicator level reporting</t>
        </is>
      </c>
      <c r="H37" s="52">
        <f>IFERROR(IF(INDEX('Faculties'!$M$10:$M$19,MATCH($F37,'Faculties'!$B$10:$B$19,0))="","Cell will autofill based on response",INDEX('Faculties'!$M$10:$M$19,MATCH($F37,'Faculties'!$B$10:$B$19,0))),"N/A")</f>
        <v/>
      </c>
      <c r="I37" s="52">
        <f>IFERROR(IF(INDEX('Faculties'!$M$26:$M$35,MATCH($F37,'Faculties'!$B$26:$B$35,0))="","Cell will autofill based on response",INDEX('Faculties'!$M$26:$M$35,MATCH($F37,'Faculties'!$B$26:$B$35,0))),"N/A")</f>
        <v/>
      </c>
      <c r="J37" s="52">
        <f>IFERROR(IF(INDEX('Faculties'!$M$42:$M$51,MATCH($F37,'Faculties'!$B$42:$B$51,0))="","Cell will autofill based on response",INDEX('Faculties'!$M$42:$M$51,MATCH($F37,'Faculties'!$B$42:$B$51,0))),"N/A")</f>
        <v/>
      </c>
      <c r="K37" s="52">
        <f>IFERROR(IF(INDEX('Faculties'!$M$58:$M$67,MATCH($F37,'Faculties'!$B$58:$B$67,0))="","Cell will autofill based on response",INDEX('Faculties'!$M$58:$M$67,MATCH($F37,'Faculties'!$B$58:$B$67,0))),"N/A")</f>
        <v/>
      </c>
      <c r="L37" s="52">
        <f>IFERROR(IF(INDEX('CI&amp;S'!$M$10:$M$15,MATCH($F37,'CI&amp;S'!$B$10:$B$15,0))="","Cell will autofill based on response",INDEX('CI&amp;S'!$M$10:$M$15,MATCH($F37,'CI&amp;S'!$B$10:$B$15,0))),"N/A")</f>
        <v/>
      </c>
      <c r="M37" s="52">
        <f>IFERROR(IF(INDEX('CI&amp;S'!$M$22:$M$36,MATCH($F37,'CI&amp;S'!$B$22:$B$36,0))="","Cell will autofill based on response",INDEX('CI&amp;S'!$M$22:$M$36,MATCH($F37,'CI&amp;S'!$B$22:$B$36,0))),"N/A")</f>
        <v/>
      </c>
      <c r="N37" s="52">
        <f>IFERROR(IF(INDEX('CFOG'!$M$10:$M$16,MATCH($F37,'CFOG'!$B$10:$B$16,0))="","Cell will autofill based on response",INDEX('CFOG'!$M$10:$M$16,MATCH($F37,'CFOG'!$B$10:$B$16,0))),"N/A")</f>
        <v/>
      </c>
      <c r="O37" s="52">
        <f>IFERROR(IF(INDEX('CFOG'!$M$23:$M$24,MATCH($F37,'CFOG'!$B$23:$B$24,0))="","Cell will autofill based on response",INDEX('CFOG'!$M$23:$M$24,MATCH($F37,'CFOG'!$B$23:$B$24,0))),"N/A")</f>
        <v/>
      </c>
      <c r="P37" s="52">
        <f>IFERROR(IF(INDEX('ESG'!$M$10:$M$17,MATCH($F37,'ESG'!$B$10:$B$17,0))="","Cell will autofill based on response",INDEX('ESG'!$M$10:$M$17,MATCH($F37,'ESG'!$B$10:$B$17,0))),"N/A")</f>
        <v/>
      </c>
      <c r="Q37" s="52">
        <f>IFERROR(IF(INDEX('CIOG'!$M$10:$M$14,MATCH($F37,'CIOG'!$B$10:$B$14,0))="","Cell will autofill based on response",INDEX('CIOG'!$M$10:$M$14,MATCH($F37,'CIOG'!$B$10:$B$14,0))),"N/A")</f>
        <v/>
      </c>
      <c r="R37" s="52">
        <f>IFERROR(IF(INDEX('MRE'!$M$10:$M$18,MATCH($F37,'MRE'!$B$10:$B$18,0))="","Cell will autofill based on response",INDEX('MRE'!$M$10:$M$18,MATCH($F37,'MRE'!$B$10:$B$18,0))),"N/A")</f>
        <v/>
      </c>
      <c r="S37" s="52">
        <f>IFERROR(IF(INDEX('AC&amp;M'!$M$10:$M$14,MATCH($F37,'AC&amp;M'!$B$10:$B$14,0))="","Cell will autofill based on response",INDEX('AC&amp;M'!$M$10:$M$14,MATCH($F37,'AC&amp;M'!$B$10:$B$14,0))),"N/A")</f>
        <v/>
      </c>
      <c r="T37" s="52">
        <f>IFERROR(IF(INDEX('GCE'!$M$10:$M$12,MATCH($F37,'GCE'!$B$10:$B$12,0))="","Cell will autofill based on response",INDEX('GCE'!$M$10:$M$12,MATCH($F37,'GCE'!$B$10:$B$12,0))),"N/A")</f>
        <v/>
      </c>
      <c r="U37" s="52">
        <f>IFERROR(IF(INDEX('Education'!$M$10:$M$13,MATCH($F37,'Education'!$B$10:$B$13,0))="","Cell will autofill based on response",INDEX('Education'!$M$10:$M$13,MATCH($F37,'Education'!$B$10:$B$13,0))),"N/A")</f>
        <v/>
      </c>
      <c r="V37" s="52">
        <f>IFERROR(IF(INDEX('SaSS'!$M$10:$M$12,MATCH($F37,'SaSS'!$B$10:$B$12,0))="","Cell will autofill based on response",INDEX('SaSS'!$M$10:$M$12,MATCH($F37,'SaSS'!$B$10:$B$12,0))),"N/A")</f>
        <v/>
      </c>
      <c r="W37" s="52">
        <f>IFERROR(IF(INDEX('Indigenous'!$M$10:$M$11,MATCH($F37,'Indigenous'!$B$10:$B$11,0))="","Cell will autofill based on response",INDEX('Indigenous'!$M$10:$M$11,MATCH($F37,'Indigenous'!$B$10:$B$11,0))),"N/A")</f>
        <v/>
      </c>
      <c r="X37" s="52">
        <f>IFERROR(IF(INDEX('L&amp;R'!$M$10:$M$11,MATCH($F37,'L&amp;R'!$B$10:$B$11,0))="","Cell will autofill based on response",INDEX('L&amp;R'!$M$10:$M$11,MATCH($F37,'L&amp;R'!$B$10:$B$11,0))),"N/A")</f>
        <v/>
      </c>
    </row>
    <row r="38">
      <c r="A38">
        <f>F38&amp;"|"&amp;G38</f>
        <v/>
      </c>
      <c r="B38" s="13" t="inlineStr"/>
      <c r="C38" s="8" t="inlineStr"/>
      <c r="D38" s="8" t="inlineStr"/>
      <c r="E38" s="8" t="inlineStr"/>
      <c r="F38" s="8" t="inlineStr">
        <is>
          <t>TR1(b)</t>
        </is>
      </c>
      <c r="G38" s="8" t="inlineStr">
        <is>
          <t>Supporting information/comments</t>
        </is>
      </c>
      <c r="H38" s="52">
        <f>IFERROR(IF(INDEX('Faculties'!$N$10:$N$19,MATCH($F38,'Faculties'!$B$10:$B$19,0))="","Cell will autofill based on response",INDEX('Faculties'!$N$10:$N$19,MATCH($F38,'Faculties'!$B$10:$B$19,0))),"N/A")</f>
        <v/>
      </c>
      <c r="I38" s="52">
        <f>IFERROR(IF(INDEX('Faculties'!$N$26:$N$35,MATCH($F38,'Faculties'!$B$26:$B$35,0))="","Cell will autofill based on response",INDEX('Faculties'!$N$26:$N$35,MATCH($F38,'Faculties'!$B$26:$B$35,0))),"N/A")</f>
        <v/>
      </c>
      <c r="J38" s="52">
        <f>IFERROR(IF(INDEX('Faculties'!$N$42:$N$51,MATCH($F38,'Faculties'!$B$42:$B$51,0))="","Cell will autofill based on response",INDEX('Faculties'!$N$42:$N$51,MATCH($F38,'Faculties'!$B$42:$B$51,0))),"N/A")</f>
        <v/>
      </c>
      <c r="K38" s="52">
        <f>IFERROR(IF(INDEX('Faculties'!$N$58:$N$67,MATCH($F38,'Faculties'!$B$58:$B$67,0))="","Cell will autofill based on response",INDEX('Faculties'!$N$58:$N$67,MATCH($F38,'Faculties'!$B$58:$B$67,0))),"N/A")</f>
        <v/>
      </c>
      <c r="L38" s="52">
        <f>IFERROR(IF(INDEX('CI&amp;S'!$N$10:$N$15,MATCH($F38,'CI&amp;S'!$B$10:$B$15,0))="","Cell will autofill based on response",INDEX('CI&amp;S'!$N$10:$N$15,MATCH($F38,'CI&amp;S'!$B$10:$B$15,0))),"N/A")</f>
        <v/>
      </c>
      <c r="M38" s="52">
        <f>IFERROR(IF(INDEX('CI&amp;S'!$N$22:$N$36,MATCH($F38,'CI&amp;S'!$B$22:$B$36,0))="","Cell will autofill based on response",INDEX('CI&amp;S'!$N$22:$N$36,MATCH($F38,'CI&amp;S'!$B$22:$B$36,0))),"N/A")</f>
        <v/>
      </c>
      <c r="N38" s="52">
        <f>IFERROR(IF(INDEX('CFOG'!$N$10:$N$16,MATCH($F38,'CFOG'!$B$10:$B$16,0))="","Cell will autofill based on response",INDEX('CFOG'!$N$10:$N$16,MATCH($F38,'CFOG'!$B$10:$B$16,0))),"N/A")</f>
        <v/>
      </c>
      <c r="O38" s="52">
        <f>IFERROR(IF(INDEX('CFOG'!$N$23:$N$24,MATCH($F38,'CFOG'!$B$23:$B$24,0))="","Cell will autofill based on response",INDEX('CFOG'!$N$23:$N$24,MATCH($F38,'CFOG'!$B$23:$B$24,0))),"N/A")</f>
        <v/>
      </c>
      <c r="P38" s="52">
        <f>IFERROR(IF(INDEX('ESG'!$N$10:$N$17,MATCH($F38,'ESG'!$B$10:$B$17,0))="","Cell will autofill based on response",INDEX('ESG'!$N$10:$N$17,MATCH($F38,'ESG'!$B$10:$B$17,0))),"N/A")</f>
        <v/>
      </c>
      <c r="Q38" s="52">
        <f>IFERROR(IF(INDEX('CIOG'!$N$10:$N$14,MATCH($F38,'CIOG'!$B$10:$B$14,0))="","Cell will autofill based on response",INDEX('CIOG'!$N$10:$N$14,MATCH($F38,'CIOG'!$B$10:$B$14,0))),"N/A")</f>
        <v/>
      </c>
      <c r="R38" s="52">
        <f>IFERROR(IF(INDEX('MRE'!$N$10:$N$18,MATCH($F38,'MRE'!$B$10:$B$18,0))="","Cell will autofill based on response",INDEX('MRE'!$N$10:$N$18,MATCH($F38,'MRE'!$B$10:$B$18,0))),"N/A")</f>
        <v/>
      </c>
      <c r="S38" s="52">
        <f>IFERROR(IF(INDEX('AC&amp;M'!$N$10:$N$14,MATCH($F38,'AC&amp;M'!$B$10:$B$14,0))="","Cell will autofill based on response",INDEX('AC&amp;M'!$N$10:$N$14,MATCH($F38,'AC&amp;M'!$B$10:$B$14,0))),"N/A")</f>
        <v/>
      </c>
      <c r="T38" s="52">
        <f>IFERROR(IF(INDEX('GCE'!$N$10:$N$12,MATCH($F38,'GCE'!$B$10:$B$12,0))="","Cell will autofill based on response",INDEX('GCE'!$N$10:$N$12,MATCH($F38,'GCE'!$B$10:$B$12,0))),"N/A")</f>
        <v/>
      </c>
      <c r="U38" s="52">
        <f>IFERROR(IF(INDEX('Education'!$N$10:$N$13,MATCH($F38,'Education'!$B$10:$B$13,0))="","Cell will autofill based on response",INDEX('Education'!$N$10:$N$13,MATCH($F38,'Education'!$B$10:$B$13,0))),"N/A")</f>
        <v/>
      </c>
      <c r="V38" s="52">
        <f>IFERROR(IF(INDEX('SaSS'!$N$10:$N$12,MATCH($F38,'SaSS'!$B$10:$B$12,0))="","Cell will autofill based on response",INDEX('SaSS'!$N$10:$N$12,MATCH($F38,'SaSS'!$B$10:$B$12,0))),"N/A")</f>
        <v/>
      </c>
      <c r="W38" s="52">
        <f>IFERROR(IF(INDEX('Indigenous'!$N$10:$N$11,MATCH($F38,'Indigenous'!$B$10:$B$11,0))="","Cell will autofill based on response",INDEX('Indigenous'!$N$10:$N$11,MATCH($F38,'Indigenous'!$B$10:$B$11,0))),"N/A")</f>
        <v/>
      </c>
      <c r="X38" s="52">
        <f>IFERROR(IF(INDEX('L&amp;R'!$N$10:$N$11,MATCH($F38,'L&amp;R'!$B$10:$B$11,0))="","Cell will autofill based on response",INDEX('L&amp;R'!$N$10:$N$11,MATCH($F38,'L&amp;R'!$B$10:$B$11,0))),"N/A")</f>
        <v/>
      </c>
    </row>
    <row r="39">
      <c r="A39">
        <f>F39&amp;"|"&amp;G39</f>
        <v/>
      </c>
      <c r="B39" s="13" t="inlineStr"/>
      <c r="C39" s="8" t="inlineStr"/>
      <c r="D39" s="8" t="inlineStr"/>
      <c r="E39" s="8" t="inlineStr"/>
      <c r="F39" s="8" t="inlineStr">
        <is>
          <t>TR1(b)</t>
        </is>
      </c>
      <c r="G39" s="8" t="inlineStr">
        <is>
          <t>Data source and limitations</t>
        </is>
      </c>
      <c r="H39" s="52">
        <f>IFERROR(IF(INDEX('Faculties'!$O$10:$O$19,MATCH($F39,'Faculties'!$B$10:$B$19,0))="","Cell will autofill based on response",INDEX('Faculties'!$O$10:$O$19,MATCH($F39,'Faculties'!$B$10:$B$19,0))),"N/A")</f>
        <v/>
      </c>
      <c r="I39" s="52">
        <f>IFERROR(IF(INDEX('Faculties'!$O$26:$O$35,MATCH($F39,'Faculties'!$B$26:$B$35,0))="","Cell will autofill based on response",INDEX('Faculties'!$O$26:$O$35,MATCH($F39,'Faculties'!$B$26:$B$35,0))),"N/A")</f>
        <v/>
      </c>
      <c r="J39" s="52">
        <f>IFERROR(IF(INDEX('Faculties'!$O$42:$O$51,MATCH($F39,'Faculties'!$B$42:$B$51,0))="","Cell will autofill based on response",INDEX('Faculties'!$O$42:$O$51,MATCH($F39,'Faculties'!$B$42:$B$51,0))),"N/A")</f>
        <v/>
      </c>
      <c r="K39" s="52">
        <f>IFERROR(IF(INDEX('Faculties'!$O$58:$O$67,MATCH($F39,'Faculties'!$B$58:$B$67,0))="","Cell will autofill based on response",INDEX('Faculties'!$O$58:$O$67,MATCH($F39,'Faculties'!$B$58:$B$67,0))),"N/A")</f>
        <v/>
      </c>
      <c r="L39" s="52">
        <f>IFERROR(IF(INDEX('CI&amp;S'!$O$10:$O$15,MATCH($F39,'CI&amp;S'!$B$10:$B$15,0))="","Cell will autofill based on response",INDEX('CI&amp;S'!$O$10:$O$15,MATCH($F39,'CI&amp;S'!$B$10:$B$15,0))),"N/A")</f>
        <v/>
      </c>
      <c r="M39" s="52">
        <f>IFERROR(IF(INDEX('CI&amp;S'!$O$22:$O$36,MATCH($F39,'CI&amp;S'!$B$22:$B$36,0))="","Cell will autofill based on response",INDEX('CI&amp;S'!$O$22:$O$36,MATCH($F39,'CI&amp;S'!$B$22:$B$36,0))),"N/A")</f>
        <v/>
      </c>
      <c r="N39" s="52">
        <f>IFERROR(IF(INDEX('CFOG'!$O$10:$O$16,MATCH($F39,'CFOG'!$B$10:$B$16,0))="","Cell will autofill based on response",INDEX('CFOG'!$O$10:$O$16,MATCH($F39,'CFOG'!$B$10:$B$16,0))),"N/A")</f>
        <v/>
      </c>
      <c r="O39" s="52">
        <f>IFERROR(IF(INDEX('CFOG'!$O$23:$O$24,MATCH($F39,'CFOG'!$B$23:$B$24,0))="","Cell will autofill based on response",INDEX('CFOG'!$O$23:$O$24,MATCH($F39,'CFOG'!$B$23:$B$24,0))),"N/A")</f>
        <v/>
      </c>
      <c r="P39" s="52">
        <f>IFERROR(IF(INDEX('ESG'!$O$10:$O$17,MATCH($F39,'ESG'!$B$10:$B$17,0))="","Cell will autofill based on response",INDEX('ESG'!$O$10:$O$17,MATCH($F39,'ESG'!$B$10:$B$17,0))),"N/A")</f>
        <v/>
      </c>
      <c r="Q39" s="52">
        <f>IFERROR(IF(INDEX('CIOG'!$O$10:$O$14,MATCH($F39,'CIOG'!$B$10:$B$14,0))="","Cell will autofill based on response",INDEX('CIOG'!$O$10:$O$14,MATCH($F39,'CIOG'!$B$10:$B$14,0))),"N/A")</f>
        <v/>
      </c>
      <c r="R39" s="52">
        <f>IFERROR(IF(INDEX('MRE'!$O$10:$O$18,MATCH($F39,'MRE'!$B$10:$B$18,0))="","Cell will autofill based on response",INDEX('MRE'!$O$10:$O$18,MATCH($F39,'MRE'!$B$10:$B$18,0))),"N/A")</f>
        <v/>
      </c>
      <c r="S39" s="52">
        <f>IFERROR(IF(INDEX('AC&amp;M'!$O$10:$O$14,MATCH($F39,'AC&amp;M'!$B$10:$B$14,0))="","Cell will autofill based on response",INDEX('AC&amp;M'!$O$10:$O$14,MATCH($F39,'AC&amp;M'!$B$10:$B$14,0))),"N/A")</f>
        <v/>
      </c>
      <c r="T39" s="52">
        <f>IFERROR(IF(INDEX('GCE'!$O$10:$O$12,MATCH($F39,'GCE'!$B$10:$B$12,0))="","Cell will autofill based on response",INDEX('GCE'!$O$10:$O$12,MATCH($F39,'GCE'!$B$10:$B$12,0))),"N/A")</f>
        <v/>
      </c>
      <c r="U39" s="52">
        <f>IFERROR(IF(INDEX('Education'!$O$10:$O$13,MATCH($F39,'Education'!$B$10:$B$13,0))="","Cell will autofill based on response",INDEX('Education'!$O$10:$O$13,MATCH($F39,'Education'!$B$10:$B$13,0))),"N/A")</f>
        <v/>
      </c>
      <c r="V39" s="52">
        <f>IFERROR(IF(INDEX('SaSS'!$O$10:$O$12,MATCH($F39,'SaSS'!$B$10:$B$12,0))="","Cell will autofill based on response",INDEX('SaSS'!$O$10:$O$12,MATCH($F39,'SaSS'!$B$10:$B$12,0))),"N/A")</f>
        <v/>
      </c>
      <c r="W39" s="52">
        <f>IFERROR(IF(INDEX('Indigenous'!$O$10:$O$11,MATCH($F39,'Indigenous'!$B$10:$B$11,0))="","Cell will autofill based on response",INDEX('Indigenous'!$O$10:$O$11,MATCH($F39,'Indigenous'!$B$10:$B$11,0))),"N/A")</f>
        <v/>
      </c>
      <c r="X39" s="52">
        <f>IFERROR(IF(INDEX('L&amp;R'!$O$10:$O$11,MATCH($F39,'L&amp;R'!$B$10:$B$11,0))="","Cell will autofill based on response",INDEX('L&amp;R'!$O$10:$O$11,MATCH($F39,'L&amp;R'!$B$10:$B$11,0))),"N/A")</f>
        <v/>
      </c>
    </row>
    <row r="40">
      <c r="A40">
        <f>F40&amp;"|"&amp;G40</f>
        <v/>
      </c>
      <c r="B40" s="13" t="inlineStr"/>
      <c r="C40" s="8" t="inlineStr"/>
      <c r="D40" s="8" t="inlineStr"/>
      <c r="E40" s="8" t="inlineStr"/>
      <c r="F40" s="8" t="inlineStr">
        <is>
          <t>TR1(b)</t>
        </is>
      </c>
      <c r="G40" s="8" t="inlineStr">
        <is>
          <t>Data owner confirms</t>
        </is>
      </c>
      <c r="H40" s="52">
        <f>IFERROR(IF(INDEX('Faculties'!$P$10:$P$19,MATCH($F40,'Faculties'!$B$10:$B$19,0))="","Cell will autofill based on response",INDEX('Faculties'!$P$10:$P$19,MATCH($F40,'Faculties'!$B$10:$B$19,0))),"N/A")</f>
        <v/>
      </c>
      <c r="I40" s="52">
        <f>IFERROR(IF(INDEX('Faculties'!$P$26:$P$35,MATCH($F40,'Faculties'!$B$26:$B$35,0))="","Cell will autofill based on response",INDEX('Faculties'!$P$26:$P$35,MATCH($F40,'Faculties'!$B$26:$B$35,0))),"N/A")</f>
        <v/>
      </c>
      <c r="J40" s="52">
        <f>IFERROR(IF(INDEX('Faculties'!$P$42:$P$51,MATCH($F40,'Faculties'!$B$42:$B$51,0))="","Cell will autofill based on response",INDEX('Faculties'!$P$42:$P$51,MATCH($F40,'Faculties'!$B$42:$B$51,0))),"N/A")</f>
        <v/>
      </c>
      <c r="K40" s="52">
        <f>IFERROR(IF(INDEX('Faculties'!$P$58:$P$67,MATCH($F40,'Faculties'!$B$58:$B$67,0))="","Cell will autofill based on response",INDEX('Faculties'!$P$58:$P$67,MATCH($F40,'Faculties'!$B$58:$B$67,0))),"N/A")</f>
        <v/>
      </c>
      <c r="L40" s="52">
        <f>IFERROR(IF(INDEX('CI&amp;S'!$P$10:$P$15,MATCH($F40,'CI&amp;S'!$B$10:$B$15,0))="","Cell will autofill based on response",INDEX('CI&amp;S'!$P$10:$P$15,MATCH($F40,'CI&amp;S'!$B$10:$B$15,0))),"N/A")</f>
        <v/>
      </c>
      <c r="M40" s="52">
        <f>IFERROR(IF(INDEX('CI&amp;S'!$P$22:$P$36,MATCH($F40,'CI&amp;S'!$B$22:$B$36,0))="","Cell will autofill based on response",INDEX('CI&amp;S'!$P$22:$P$36,MATCH($F40,'CI&amp;S'!$B$22:$B$36,0))),"N/A")</f>
        <v/>
      </c>
      <c r="N40" s="52">
        <f>IFERROR(IF(INDEX('CFOG'!$P$10:$P$16,MATCH($F40,'CFOG'!$B$10:$B$16,0))="","Cell will autofill based on response",INDEX('CFOG'!$P$10:$P$16,MATCH($F40,'CFOG'!$B$10:$B$16,0))),"N/A")</f>
        <v/>
      </c>
      <c r="O40" s="52">
        <f>IFERROR(IF(INDEX('CFOG'!$P$23:$P$24,MATCH($F40,'CFOG'!$B$23:$B$24,0))="","Cell will autofill based on response",INDEX('CFOG'!$P$23:$P$24,MATCH($F40,'CFOG'!$B$23:$B$24,0))),"N/A")</f>
        <v/>
      </c>
      <c r="P40" s="52">
        <f>IFERROR(IF(INDEX('ESG'!$P$10:$P$17,MATCH($F40,'ESG'!$B$10:$B$17,0))="","Cell will autofill based on response",INDEX('ESG'!$P$10:$P$17,MATCH($F40,'ESG'!$B$10:$B$17,0))),"N/A")</f>
        <v/>
      </c>
      <c r="Q40" s="52">
        <f>IFERROR(IF(INDEX('CIOG'!$P$10:$P$14,MATCH($F40,'CIOG'!$B$10:$B$14,0))="","Cell will autofill based on response",INDEX('CIOG'!$P$10:$P$14,MATCH($F40,'CIOG'!$B$10:$B$14,0))),"N/A")</f>
        <v/>
      </c>
      <c r="R40" s="52">
        <f>IFERROR(IF(INDEX('MRE'!$P$10:$P$18,MATCH($F40,'MRE'!$B$10:$B$18,0))="","Cell will autofill based on response",INDEX('MRE'!$P$10:$P$18,MATCH($F40,'MRE'!$B$10:$B$18,0))),"N/A")</f>
        <v/>
      </c>
      <c r="S40" s="52">
        <f>IFERROR(IF(INDEX('AC&amp;M'!$P$10:$P$14,MATCH($F40,'AC&amp;M'!$B$10:$B$14,0))="","Cell will autofill based on response",INDEX('AC&amp;M'!$P$10:$P$14,MATCH($F40,'AC&amp;M'!$B$10:$B$14,0))),"N/A")</f>
        <v/>
      </c>
      <c r="T40" s="52">
        <f>IFERROR(IF(INDEX('GCE'!$P$10:$P$12,MATCH($F40,'GCE'!$B$10:$B$12,0))="","Cell will autofill based on response",INDEX('GCE'!$P$10:$P$12,MATCH($F40,'GCE'!$B$10:$B$12,0))),"N/A")</f>
        <v/>
      </c>
      <c r="U40" s="52">
        <f>IFERROR(IF(INDEX('Education'!$P$10:$P$13,MATCH($F40,'Education'!$B$10:$B$13,0))="","Cell will autofill based on response",INDEX('Education'!$P$10:$P$13,MATCH($F40,'Education'!$B$10:$B$13,0))),"N/A")</f>
        <v/>
      </c>
      <c r="V40" s="52">
        <f>IFERROR(IF(INDEX('SaSS'!$P$10:$P$12,MATCH($F40,'SaSS'!$B$10:$B$12,0))="","Cell will autofill based on response",INDEX('SaSS'!$P$10:$P$12,MATCH($F40,'SaSS'!$B$10:$B$12,0))),"N/A")</f>
        <v/>
      </c>
      <c r="W40" s="52">
        <f>IFERROR(IF(INDEX('Indigenous'!$P$10:$P$11,MATCH($F40,'Indigenous'!$B$10:$B$11,0))="","Cell will autofill based on response",INDEX('Indigenous'!$P$10:$P$11,MATCH($F40,'Indigenous'!$B$10:$B$11,0))),"N/A")</f>
        <v/>
      </c>
      <c r="X40" s="52">
        <f>IFERROR(IF(INDEX('L&amp;R'!$P$10:$P$11,MATCH($F40,'L&amp;R'!$B$10:$B$11,0))="","Cell will autofill based on response",INDEX('L&amp;R'!$P$10:$P$11,MATCH($F40,'L&amp;R'!$B$10:$B$11,0))),"N/A")</f>
        <v/>
      </c>
    </row>
    <row r="41">
      <c r="A41">
        <f>F41&amp;"|"&amp;G41</f>
        <v/>
      </c>
      <c r="B41" s="7" t="inlineStr">
        <is>
          <t>TR1(c)</t>
        </is>
      </c>
      <c r="C41" s="50" t="inlineStr">
        <is>
          <t>Transformational research</t>
        </is>
      </c>
      <c r="D41" s="50" t="inlineStr">
        <is>
          <t>Expert assessment of the quality, relevance and continuity of these collaborations</t>
        </is>
      </c>
      <c r="E41" s="50"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1" s="50" t="inlineStr">
        <is>
          <t>TR1(c)</t>
        </is>
      </c>
      <c r="G41" s="50" t="inlineStr">
        <is>
          <t>OPTION 1:  Target-level reporting</t>
        </is>
      </c>
      <c r="H41" s="52">
        <f>IFERROR(IF(INDEX('Faculties'!$L$10:$L$19,MATCH($F41,'Faculties'!$B$10:$B$19,0))="","Cell will autofill based on response",INDEX('Faculties'!$L$10:$L$19,MATCH($F41,'Faculties'!$B$10:$B$19,0))),"N/A")</f>
        <v/>
      </c>
      <c r="I41" s="52">
        <f>IFERROR(IF(INDEX('Faculties'!$L$26:$L$35,MATCH($F41,'Faculties'!$B$26:$B$35,0))="","Cell will autofill based on response",INDEX('Faculties'!$L$26:$L$35,MATCH($F41,'Faculties'!$B$26:$B$35,0))),"N/A")</f>
        <v/>
      </c>
      <c r="J41" s="52">
        <f>IFERROR(IF(INDEX('Faculties'!$L$42:$L$51,MATCH($F41,'Faculties'!$B$42:$B$51,0))="","Cell will autofill based on response",INDEX('Faculties'!$L$42:$L$51,MATCH($F41,'Faculties'!$B$42:$B$51,0))),"N/A")</f>
        <v/>
      </c>
      <c r="K41" s="52">
        <f>IFERROR(IF(INDEX('Faculties'!$L$58:$L$67,MATCH($F41,'Faculties'!$B$58:$B$67,0))="","Cell will autofill based on response",INDEX('Faculties'!$L$58:$L$67,MATCH($F41,'Faculties'!$B$58:$B$67,0))),"N/A")</f>
        <v/>
      </c>
      <c r="L41" s="52">
        <f>IFERROR(IF(INDEX('CI&amp;S'!$L$10:$L$15,MATCH($F41,'CI&amp;S'!$B$10:$B$15,0))="","Cell will autofill based on response",INDEX('CI&amp;S'!$L$10:$L$15,MATCH($F41,'CI&amp;S'!$B$10:$B$15,0))),"N/A")</f>
        <v/>
      </c>
      <c r="M41" s="52">
        <f>IFERROR(IF(INDEX('CI&amp;S'!$L$22:$L$36,MATCH($F41,'CI&amp;S'!$B$22:$B$36,0))="","Cell will autofill based on response",INDEX('CI&amp;S'!$L$22:$L$36,MATCH($F41,'CI&amp;S'!$B$22:$B$36,0))),"N/A")</f>
        <v/>
      </c>
      <c r="N41" s="52">
        <f>IFERROR(IF(INDEX('CFOG'!$L$10:$L$16,MATCH($F41,'CFOG'!$B$10:$B$16,0))="","Cell will autofill based on response",INDEX('CFOG'!$L$10:$L$16,MATCH($F41,'CFOG'!$B$10:$B$16,0))),"N/A")</f>
        <v/>
      </c>
      <c r="O41" s="52">
        <f>IFERROR(IF(INDEX('CFOG'!$L$23:$L$24,MATCH($F41,'CFOG'!$B$23:$B$24,0))="","Cell will autofill based on response",INDEX('CFOG'!$L$23:$L$24,MATCH($F41,'CFOG'!$B$23:$B$24,0))),"N/A")</f>
        <v/>
      </c>
      <c r="P41" s="52">
        <f>IFERROR(IF(INDEX('ESG'!$L$10:$L$17,MATCH($F41,'ESG'!$B$10:$B$17,0))="","Cell will autofill based on response",INDEX('ESG'!$L$10:$L$17,MATCH($F41,'ESG'!$B$10:$B$17,0))),"N/A")</f>
        <v/>
      </c>
      <c r="Q41" s="52">
        <f>IFERROR(IF(INDEX('CIOG'!$L$10:$L$14,MATCH($F41,'CIOG'!$B$10:$B$14,0))="","Cell will autofill based on response",INDEX('CIOG'!$L$10:$L$14,MATCH($F41,'CIOG'!$B$10:$B$14,0))),"N/A")</f>
        <v/>
      </c>
      <c r="R41" s="52">
        <f>IFERROR(IF(INDEX('MRE'!$L$10:$L$18,MATCH($F41,'MRE'!$B$10:$B$18,0))="","Cell will autofill based on response",INDEX('MRE'!$L$10:$L$18,MATCH($F41,'MRE'!$B$10:$B$18,0))),"N/A")</f>
        <v/>
      </c>
      <c r="S41" s="52">
        <f>IFERROR(IF(INDEX('AC&amp;M'!$L$10:$L$14,MATCH($F41,'AC&amp;M'!$B$10:$B$14,0))="","Cell will autofill based on response",INDEX('AC&amp;M'!$L$10:$L$14,MATCH($F41,'AC&amp;M'!$B$10:$B$14,0))),"N/A")</f>
        <v/>
      </c>
      <c r="T41" s="52">
        <f>IFERROR(IF(INDEX('GCE'!$L$10:$L$12,MATCH($F41,'GCE'!$B$10:$B$12,0))="","Cell will autofill based on response",INDEX('GCE'!$L$10:$L$12,MATCH($F41,'GCE'!$B$10:$B$12,0))),"N/A")</f>
        <v/>
      </c>
      <c r="U41" s="52">
        <f>IFERROR(IF(INDEX('Education'!$L$10:$L$13,MATCH($F41,'Education'!$B$10:$B$13,0))="","Cell will autofill based on response",INDEX('Education'!$L$10:$L$13,MATCH($F41,'Education'!$B$10:$B$13,0))),"N/A")</f>
        <v/>
      </c>
      <c r="V41" s="52">
        <f>IFERROR(IF(INDEX('SaSS'!$L$10:$L$12,MATCH($F41,'SaSS'!$B$10:$B$12,0))="","Cell will autofill based on response",INDEX('SaSS'!$L$10:$L$12,MATCH($F41,'SaSS'!$B$10:$B$12,0))),"N/A")</f>
        <v/>
      </c>
      <c r="W41" s="52">
        <f>IFERROR(IF(INDEX('Indigenous'!$L$10:$L$11,MATCH($F41,'Indigenous'!$B$10:$B$11,0))="","Cell will autofill based on response",INDEX('Indigenous'!$L$10:$L$11,MATCH($F41,'Indigenous'!$B$10:$B$11,0))),"N/A")</f>
        <v/>
      </c>
      <c r="X41" s="52">
        <f>IFERROR(IF(INDEX('L&amp;R'!$L$10:$L$11,MATCH($F41,'L&amp;R'!$B$10:$B$11,0))="","Cell will autofill based on response",INDEX('L&amp;R'!$L$10:$L$11,MATCH($F41,'L&amp;R'!$B$10:$B$11,0))),"N/A")</f>
        <v/>
      </c>
      <c r="Z41" s="10">
        <f>SUMPRODUCT(--($H41:$X41&lt;&gt;"N/A"))</f>
        <v/>
      </c>
      <c r="AA41" s="10">
        <f>SUMPRODUCT(--(((($H41:$X41&lt;&gt;"N/A")*($H41:$X41&lt;&gt;"Cell will autofill based on response"))+(($H42:$X42&lt;&gt;"N/A")*($H42:$X42&lt;&gt;"Cell will autofill based on response")))&gt;0))</f>
        <v/>
      </c>
      <c r="AB41" s="10">
        <f>Z41-AA41</f>
        <v/>
      </c>
      <c r="AC41" s="10">
        <f>COUNTIF($H45:$X45,"Yes")</f>
        <v/>
      </c>
    </row>
    <row r="42">
      <c r="A42">
        <f>F42&amp;"|"&amp;G42</f>
        <v/>
      </c>
      <c r="B42" s="13" t="inlineStr"/>
      <c r="C42" s="8" t="inlineStr"/>
      <c r="D42" s="8" t="inlineStr"/>
      <c r="E42" s="8" t="inlineStr"/>
      <c r="F42" s="8" t="inlineStr">
        <is>
          <t>TR1(c)</t>
        </is>
      </c>
      <c r="G42" s="8" t="inlineStr">
        <is>
          <t>OPTION 2:  Indicator level reporting</t>
        </is>
      </c>
      <c r="H42" s="52">
        <f>IFERROR(IF(INDEX('Faculties'!$M$10:$M$19,MATCH($F42,'Faculties'!$B$10:$B$19,0))="","Cell will autofill based on response",INDEX('Faculties'!$M$10:$M$19,MATCH($F42,'Faculties'!$B$10:$B$19,0))),"N/A")</f>
        <v/>
      </c>
      <c r="I42" s="52">
        <f>IFERROR(IF(INDEX('Faculties'!$M$26:$M$35,MATCH($F42,'Faculties'!$B$26:$B$35,0))="","Cell will autofill based on response",INDEX('Faculties'!$M$26:$M$35,MATCH($F42,'Faculties'!$B$26:$B$35,0))),"N/A")</f>
        <v/>
      </c>
      <c r="J42" s="52">
        <f>IFERROR(IF(INDEX('Faculties'!$M$42:$M$51,MATCH($F42,'Faculties'!$B$42:$B$51,0))="","Cell will autofill based on response",INDEX('Faculties'!$M$42:$M$51,MATCH($F42,'Faculties'!$B$42:$B$51,0))),"N/A")</f>
        <v/>
      </c>
      <c r="K42" s="52">
        <f>IFERROR(IF(INDEX('Faculties'!$M$58:$M$67,MATCH($F42,'Faculties'!$B$58:$B$67,0))="","Cell will autofill based on response",INDEX('Faculties'!$M$58:$M$67,MATCH($F42,'Faculties'!$B$58:$B$67,0))),"N/A")</f>
        <v/>
      </c>
      <c r="L42" s="52">
        <f>IFERROR(IF(INDEX('CI&amp;S'!$M$10:$M$15,MATCH($F42,'CI&amp;S'!$B$10:$B$15,0))="","Cell will autofill based on response",INDEX('CI&amp;S'!$M$10:$M$15,MATCH($F42,'CI&amp;S'!$B$10:$B$15,0))),"N/A")</f>
        <v/>
      </c>
      <c r="M42" s="52">
        <f>IFERROR(IF(INDEX('CI&amp;S'!$M$22:$M$36,MATCH($F42,'CI&amp;S'!$B$22:$B$36,0))="","Cell will autofill based on response",INDEX('CI&amp;S'!$M$22:$M$36,MATCH($F42,'CI&amp;S'!$B$22:$B$36,0))),"N/A")</f>
        <v/>
      </c>
      <c r="N42" s="52">
        <f>IFERROR(IF(INDEX('CFOG'!$M$10:$M$16,MATCH($F42,'CFOG'!$B$10:$B$16,0))="","Cell will autofill based on response",INDEX('CFOG'!$M$10:$M$16,MATCH($F42,'CFOG'!$B$10:$B$16,0))),"N/A")</f>
        <v/>
      </c>
      <c r="O42" s="52">
        <f>IFERROR(IF(INDEX('CFOG'!$M$23:$M$24,MATCH($F42,'CFOG'!$B$23:$B$24,0))="","Cell will autofill based on response",INDEX('CFOG'!$M$23:$M$24,MATCH($F42,'CFOG'!$B$23:$B$24,0))),"N/A")</f>
        <v/>
      </c>
      <c r="P42" s="52">
        <f>IFERROR(IF(INDEX('ESG'!$M$10:$M$17,MATCH($F42,'ESG'!$B$10:$B$17,0))="","Cell will autofill based on response",INDEX('ESG'!$M$10:$M$17,MATCH($F42,'ESG'!$B$10:$B$17,0))),"N/A")</f>
        <v/>
      </c>
      <c r="Q42" s="52">
        <f>IFERROR(IF(INDEX('CIOG'!$M$10:$M$14,MATCH($F42,'CIOG'!$B$10:$B$14,0))="","Cell will autofill based on response",INDEX('CIOG'!$M$10:$M$14,MATCH($F42,'CIOG'!$B$10:$B$14,0))),"N/A")</f>
        <v/>
      </c>
      <c r="R42" s="52">
        <f>IFERROR(IF(INDEX('MRE'!$M$10:$M$18,MATCH($F42,'MRE'!$B$10:$B$18,0))="","Cell will autofill based on response",INDEX('MRE'!$M$10:$M$18,MATCH($F42,'MRE'!$B$10:$B$18,0))),"N/A")</f>
        <v/>
      </c>
      <c r="S42" s="52">
        <f>IFERROR(IF(INDEX('AC&amp;M'!$M$10:$M$14,MATCH($F42,'AC&amp;M'!$B$10:$B$14,0))="","Cell will autofill based on response",INDEX('AC&amp;M'!$M$10:$M$14,MATCH($F42,'AC&amp;M'!$B$10:$B$14,0))),"N/A")</f>
        <v/>
      </c>
      <c r="T42" s="52">
        <f>IFERROR(IF(INDEX('GCE'!$M$10:$M$12,MATCH($F42,'GCE'!$B$10:$B$12,0))="","Cell will autofill based on response",INDEX('GCE'!$M$10:$M$12,MATCH($F42,'GCE'!$B$10:$B$12,0))),"N/A")</f>
        <v/>
      </c>
      <c r="U42" s="52">
        <f>IFERROR(IF(INDEX('Education'!$M$10:$M$13,MATCH($F42,'Education'!$B$10:$B$13,0))="","Cell will autofill based on response",INDEX('Education'!$M$10:$M$13,MATCH($F42,'Education'!$B$10:$B$13,0))),"N/A")</f>
        <v/>
      </c>
      <c r="V42" s="52">
        <f>IFERROR(IF(INDEX('SaSS'!$M$10:$M$12,MATCH($F42,'SaSS'!$B$10:$B$12,0))="","Cell will autofill based on response",INDEX('SaSS'!$M$10:$M$12,MATCH($F42,'SaSS'!$B$10:$B$12,0))),"N/A")</f>
        <v/>
      </c>
      <c r="W42" s="52">
        <f>IFERROR(IF(INDEX('Indigenous'!$M$10:$M$11,MATCH($F42,'Indigenous'!$B$10:$B$11,0))="","Cell will autofill based on response",INDEX('Indigenous'!$M$10:$M$11,MATCH($F42,'Indigenous'!$B$10:$B$11,0))),"N/A")</f>
        <v/>
      </c>
      <c r="X42" s="52">
        <f>IFERROR(IF(INDEX('L&amp;R'!$M$10:$M$11,MATCH($F42,'L&amp;R'!$B$10:$B$11,0))="","Cell will autofill based on response",INDEX('L&amp;R'!$M$10:$M$11,MATCH($F42,'L&amp;R'!$B$10:$B$11,0))),"N/A")</f>
        <v/>
      </c>
    </row>
    <row r="43">
      <c r="A43">
        <f>F43&amp;"|"&amp;G43</f>
        <v/>
      </c>
      <c r="B43" s="13" t="inlineStr"/>
      <c r="C43" s="8" t="inlineStr"/>
      <c r="D43" s="8" t="inlineStr"/>
      <c r="E43" s="8" t="inlineStr"/>
      <c r="F43" s="8" t="inlineStr">
        <is>
          <t>TR1(c)</t>
        </is>
      </c>
      <c r="G43" s="8" t="inlineStr">
        <is>
          <t>Supporting information/comments</t>
        </is>
      </c>
      <c r="H43" s="52">
        <f>IFERROR(IF(INDEX('Faculties'!$N$10:$N$19,MATCH($F43,'Faculties'!$B$10:$B$19,0))="","Cell will autofill based on response",INDEX('Faculties'!$N$10:$N$19,MATCH($F43,'Faculties'!$B$10:$B$19,0))),"N/A")</f>
        <v/>
      </c>
      <c r="I43" s="52">
        <f>IFERROR(IF(INDEX('Faculties'!$N$26:$N$35,MATCH($F43,'Faculties'!$B$26:$B$35,0))="","Cell will autofill based on response",INDEX('Faculties'!$N$26:$N$35,MATCH($F43,'Faculties'!$B$26:$B$35,0))),"N/A")</f>
        <v/>
      </c>
      <c r="J43" s="52">
        <f>IFERROR(IF(INDEX('Faculties'!$N$42:$N$51,MATCH($F43,'Faculties'!$B$42:$B$51,0))="","Cell will autofill based on response",INDEX('Faculties'!$N$42:$N$51,MATCH($F43,'Faculties'!$B$42:$B$51,0))),"N/A")</f>
        <v/>
      </c>
      <c r="K43" s="52">
        <f>IFERROR(IF(INDEX('Faculties'!$N$58:$N$67,MATCH($F43,'Faculties'!$B$58:$B$67,0))="","Cell will autofill based on response",INDEX('Faculties'!$N$58:$N$67,MATCH($F43,'Faculties'!$B$58:$B$67,0))),"N/A")</f>
        <v/>
      </c>
      <c r="L43" s="52">
        <f>IFERROR(IF(INDEX('CI&amp;S'!$N$10:$N$15,MATCH($F43,'CI&amp;S'!$B$10:$B$15,0))="","Cell will autofill based on response",INDEX('CI&amp;S'!$N$10:$N$15,MATCH($F43,'CI&amp;S'!$B$10:$B$15,0))),"N/A")</f>
        <v/>
      </c>
      <c r="M43" s="52">
        <f>IFERROR(IF(INDEX('CI&amp;S'!$N$22:$N$36,MATCH($F43,'CI&amp;S'!$B$22:$B$36,0))="","Cell will autofill based on response",INDEX('CI&amp;S'!$N$22:$N$36,MATCH($F43,'CI&amp;S'!$B$22:$B$36,0))),"N/A")</f>
        <v/>
      </c>
      <c r="N43" s="52">
        <f>IFERROR(IF(INDEX('CFOG'!$N$10:$N$16,MATCH($F43,'CFOG'!$B$10:$B$16,0))="","Cell will autofill based on response",INDEX('CFOG'!$N$10:$N$16,MATCH($F43,'CFOG'!$B$10:$B$16,0))),"N/A")</f>
        <v/>
      </c>
      <c r="O43" s="52">
        <f>IFERROR(IF(INDEX('CFOG'!$N$23:$N$24,MATCH($F43,'CFOG'!$B$23:$B$24,0))="","Cell will autofill based on response",INDEX('CFOG'!$N$23:$N$24,MATCH($F43,'CFOG'!$B$23:$B$24,0))),"N/A")</f>
        <v/>
      </c>
      <c r="P43" s="52">
        <f>IFERROR(IF(INDEX('ESG'!$N$10:$N$17,MATCH($F43,'ESG'!$B$10:$B$17,0))="","Cell will autofill based on response",INDEX('ESG'!$N$10:$N$17,MATCH($F43,'ESG'!$B$10:$B$17,0))),"N/A")</f>
        <v/>
      </c>
      <c r="Q43" s="52">
        <f>IFERROR(IF(INDEX('CIOG'!$N$10:$N$14,MATCH($F43,'CIOG'!$B$10:$B$14,0))="","Cell will autofill based on response",INDEX('CIOG'!$N$10:$N$14,MATCH($F43,'CIOG'!$B$10:$B$14,0))),"N/A")</f>
        <v/>
      </c>
      <c r="R43" s="52">
        <f>IFERROR(IF(INDEX('MRE'!$N$10:$N$18,MATCH($F43,'MRE'!$B$10:$B$18,0))="","Cell will autofill based on response",INDEX('MRE'!$N$10:$N$18,MATCH($F43,'MRE'!$B$10:$B$18,0))),"N/A")</f>
        <v/>
      </c>
      <c r="S43" s="52">
        <f>IFERROR(IF(INDEX('AC&amp;M'!$N$10:$N$14,MATCH($F43,'AC&amp;M'!$B$10:$B$14,0))="","Cell will autofill based on response",INDEX('AC&amp;M'!$N$10:$N$14,MATCH($F43,'AC&amp;M'!$B$10:$B$14,0))),"N/A")</f>
        <v/>
      </c>
      <c r="T43" s="52">
        <f>IFERROR(IF(INDEX('GCE'!$N$10:$N$12,MATCH($F43,'GCE'!$B$10:$B$12,0))="","Cell will autofill based on response",INDEX('GCE'!$N$10:$N$12,MATCH($F43,'GCE'!$B$10:$B$12,0))),"N/A")</f>
        <v/>
      </c>
      <c r="U43" s="52">
        <f>IFERROR(IF(INDEX('Education'!$N$10:$N$13,MATCH($F43,'Education'!$B$10:$B$13,0))="","Cell will autofill based on response",INDEX('Education'!$N$10:$N$13,MATCH($F43,'Education'!$B$10:$B$13,0))),"N/A")</f>
        <v/>
      </c>
      <c r="V43" s="52">
        <f>IFERROR(IF(INDEX('SaSS'!$N$10:$N$12,MATCH($F43,'SaSS'!$B$10:$B$12,0))="","Cell will autofill based on response",INDEX('SaSS'!$N$10:$N$12,MATCH($F43,'SaSS'!$B$10:$B$12,0))),"N/A")</f>
        <v/>
      </c>
      <c r="W43" s="52">
        <f>IFERROR(IF(INDEX('Indigenous'!$N$10:$N$11,MATCH($F43,'Indigenous'!$B$10:$B$11,0))="","Cell will autofill based on response",INDEX('Indigenous'!$N$10:$N$11,MATCH($F43,'Indigenous'!$B$10:$B$11,0))),"N/A")</f>
        <v/>
      </c>
      <c r="X43" s="52">
        <f>IFERROR(IF(INDEX('L&amp;R'!$N$10:$N$11,MATCH($F43,'L&amp;R'!$B$10:$B$11,0))="","Cell will autofill based on response",INDEX('L&amp;R'!$N$10:$N$11,MATCH($F43,'L&amp;R'!$B$10:$B$11,0))),"N/A")</f>
        <v/>
      </c>
    </row>
    <row r="44">
      <c r="A44">
        <f>F44&amp;"|"&amp;G44</f>
        <v/>
      </c>
      <c r="B44" s="13" t="inlineStr"/>
      <c r="C44" s="8" t="inlineStr"/>
      <c r="D44" s="8" t="inlineStr"/>
      <c r="E44" s="8" t="inlineStr"/>
      <c r="F44" s="8" t="inlineStr">
        <is>
          <t>TR1(c)</t>
        </is>
      </c>
      <c r="G44" s="8" t="inlineStr">
        <is>
          <t>Data source and limitations</t>
        </is>
      </c>
      <c r="H44" s="52">
        <f>IFERROR(IF(INDEX('Faculties'!$O$10:$O$19,MATCH($F44,'Faculties'!$B$10:$B$19,0))="","Cell will autofill based on response",INDEX('Faculties'!$O$10:$O$19,MATCH($F44,'Faculties'!$B$10:$B$19,0))),"N/A")</f>
        <v/>
      </c>
      <c r="I44" s="52">
        <f>IFERROR(IF(INDEX('Faculties'!$O$26:$O$35,MATCH($F44,'Faculties'!$B$26:$B$35,0))="","Cell will autofill based on response",INDEX('Faculties'!$O$26:$O$35,MATCH($F44,'Faculties'!$B$26:$B$35,0))),"N/A")</f>
        <v/>
      </c>
      <c r="J44" s="52">
        <f>IFERROR(IF(INDEX('Faculties'!$O$42:$O$51,MATCH($F44,'Faculties'!$B$42:$B$51,0))="","Cell will autofill based on response",INDEX('Faculties'!$O$42:$O$51,MATCH($F44,'Faculties'!$B$42:$B$51,0))),"N/A")</f>
        <v/>
      </c>
      <c r="K44" s="52">
        <f>IFERROR(IF(INDEX('Faculties'!$O$58:$O$67,MATCH($F44,'Faculties'!$B$58:$B$67,0))="","Cell will autofill based on response",INDEX('Faculties'!$O$58:$O$67,MATCH($F44,'Faculties'!$B$58:$B$67,0))),"N/A")</f>
        <v/>
      </c>
      <c r="L44" s="52">
        <f>IFERROR(IF(INDEX('CI&amp;S'!$O$10:$O$15,MATCH($F44,'CI&amp;S'!$B$10:$B$15,0))="","Cell will autofill based on response",INDEX('CI&amp;S'!$O$10:$O$15,MATCH($F44,'CI&amp;S'!$B$10:$B$15,0))),"N/A")</f>
        <v/>
      </c>
      <c r="M44" s="52">
        <f>IFERROR(IF(INDEX('CI&amp;S'!$O$22:$O$36,MATCH($F44,'CI&amp;S'!$B$22:$B$36,0))="","Cell will autofill based on response",INDEX('CI&amp;S'!$O$22:$O$36,MATCH($F44,'CI&amp;S'!$B$22:$B$36,0))),"N/A")</f>
        <v/>
      </c>
      <c r="N44" s="52">
        <f>IFERROR(IF(INDEX('CFOG'!$O$10:$O$16,MATCH($F44,'CFOG'!$B$10:$B$16,0))="","Cell will autofill based on response",INDEX('CFOG'!$O$10:$O$16,MATCH($F44,'CFOG'!$B$10:$B$16,0))),"N/A")</f>
        <v/>
      </c>
      <c r="O44" s="52">
        <f>IFERROR(IF(INDEX('CFOG'!$O$23:$O$24,MATCH($F44,'CFOG'!$B$23:$B$24,0))="","Cell will autofill based on response",INDEX('CFOG'!$O$23:$O$24,MATCH($F44,'CFOG'!$B$23:$B$24,0))),"N/A")</f>
        <v/>
      </c>
      <c r="P44" s="52">
        <f>IFERROR(IF(INDEX('ESG'!$O$10:$O$17,MATCH($F44,'ESG'!$B$10:$B$17,0))="","Cell will autofill based on response",INDEX('ESG'!$O$10:$O$17,MATCH($F44,'ESG'!$B$10:$B$17,0))),"N/A")</f>
        <v/>
      </c>
      <c r="Q44" s="52">
        <f>IFERROR(IF(INDEX('CIOG'!$O$10:$O$14,MATCH($F44,'CIOG'!$B$10:$B$14,0))="","Cell will autofill based on response",INDEX('CIOG'!$O$10:$O$14,MATCH($F44,'CIOG'!$B$10:$B$14,0))),"N/A")</f>
        <v/>
      </c>
      <c r="R44" s="52">
        <f>IFERROR(IF(INDEX('MRE'!$O$10:$O$18,MATCH($F44,'MRE'!$B$10:$B$18,0))="","Cell will autofill based on response",INDEX('MRE'!$O$10:$O$18,MATCH($F44,'MRE'!$B$10:$B$18,0))),"N/A")</f>
        <v/>
      </c>
      <c r="S44" s="52">
        <f>IFERROR(IF(INDEX('AC&amp;M'!$O$10:$O$14,MATCH($F44,'AC&amp;M'!$B$10:$B$14,0))="","Cell will autofill based on response",INDEX('AC&amp;M'!$O$10:$O$14,MATCH($F44,'AC&amp;M'!$B$10:$B$14,0))),"N/A")</f>
        <v/>
      </c>
      <c r="T44" s="52">
        <f>IFERROR(IF(INDEX('GCE'!$O$10:$O$12,MATCH($F44,'GCE'!$B$10:$B$12,0))="","Cell will autofill based on response",INDEX('GCE'!$O$10:$O$12,MATCH($F44,'GCE'!$B$10:$B$12,0))),"N/A")</f>
        <v/>
      </c>
      <c r="U44" s="52">
        <f>IFERROR(IF(INDEX('Education'!$O$10:$O$13,MATCH($F44,'Education'!$B$10:$B$13,0))="","Cell will autofill based on response",INDEX('Education'!$O$10:$O$13,MATCH($F44,'Education'!$B$10:$B$13,0))),"N/A")</f>
        <v/>
      </c>
      <c r="V44" s="52">
        <f>IFERROR(IF(INDEX('SaSS'!$O$10:$O$12,MATCH($F44,'SaSS'!$B$10:$B$12,0))="","Cell will autofill based on response",INDEX('SaSS'!$O$10:$O$12,MATCH($F44,'SaSS'!$B$10:$B$12,0))),"N/A")</f>
        <v/>
      </c>
      <c r="W44" s="52">
        <f>IFERROR(IF(INDEX('Indigenous'!$O$10:$O$11,MATCH($F44,'Indigenous'!$B$10:$B$11,0))="","Cell will autofill based on response",INDEX('Indigenous'!$O$10:$O$11,MATCH($F44,'Indigenous'!$B$10:$B$11,0))),"N/A")</f>
        <v/>
      </c>
      <c r="X44" s="52">
        <f>IFERROR(IF(INDEX('L&amp;R'!$O$10:$O$11,MATCH($F44,'L&amp;R'!$B$10:$B$11,0))="","Cell will autofill based on response",INDEX('L&amp;R'!$O$10:$O$11,MATCH($F44,'L&amp;R'!$B$10:$B$11,0))),"N/A")</f>
        <v/>
      </c>
    </row>
    <row r="45">
      <c r="A45">
        <f>F45&amp;"|"&amp;G45</f>
        <v/>
      </c>
      <c r="B45" s="13" t="inlineStr"/>
      <c r="C45" s="8" t="inlineStr"/>
      <c r="D45" s="8" t="inlineStr"/>
      <c r="E45" s="8" t="inlineStr"/>
      <c r="F45" s="8" t="inlineStr">
        <is>
          <t>TR1(c)</t>
        </is>
      </c>
      <c r="G45" s="8" t="inlineStr">
        <is>
          <t>Data owner confirms</t>
        </is>
      </c>
      <c r="H45" s="52">
        <f>IFERROR(IF(INDEX('Faculties'!$P$10:$P$19,MATCH($F45,'Faculties'!$B$10:$B$19,0))="","Cell will autofill based on response",INDEX('Faculties'!$P$10:$P$19,MATCH($F45,'Faculties'!$B$10:$B$19,0))),"N/A")</f>
        <v/>
      </c>
      <c r="I45" s="52">
        <f>IFERROR(IF(INDEX('Faculties'!$P$26:$P$35,MATCH($F45,'Faculties'!$B$26:$B$35,0))="","Cell will autofill based on response",INDEX('Faculties'!$P$26:$P$35,MATCH($F45,'Faculties'!$B$26:$B$35,0))),"N/A")</f>
        <v/>
      </c>
      <c r="J45" s="52">
        <f>IFERROR(IF(INDEX('Faculties'!$P$42:$P$51,MATCH($F45,'Faculties'!$B$42:$B$51,0))="","Cell will autofill based on response",INDEX('Faculties'!$P$42:$P$51,MATCH($F45,'Faculties'!$B$42:$B$51,0))),"N/A")</f>
        <v/>
      </c>
      <c r="K45" s="52">
        <f>IFERROR(IF(INDEX('Faculties'!$P$58:$P$67,MATCH($F45,'Faculties'!$B$58:$B$67,0))="","Cell will autofill based on response",INDEX('Faculties'!$P$58:$P$67,MATCH($F45,'Faculties'!$B$58:$B$67,0))),"N/A")</f>
        <v/>
      </c>
      <c r="L45" s="52">
        <f>IFERROR(IF(INDEX('CI&amp;S'!$P$10:$P$15,MATCH($F45,'CI&amp;S'!$B$10:$B$15,0))="","Cell will autofill based on response",INDEX('CI&amp;S'!$P$10:$P$15,MATCH($F45,'CI&amp;S'!$B$10:$B$15,0))),"N/A")</f>
        <v/>
      </c>
      <c r="M45" s="52">
        <f>IFERROR(IF(INDEX('CI&amp;S'!$P$22:$P$36,MATCH($F45,'CI&amp;S'!$B$22:$B$36,0))="","Cell will autofill based on response",INDEX('CI&amp;S'!$P$22:$P$36,MATCH($F45,'CI&amp;S'!$B$22:$B$36,0))),"N/A")</f>
        <v/>
      </c>
      <c r="N45" s="52">
        <f>IFERROR(IF(INDEX('CFOG'!$P$10:$P$16,MATCH($F45,'CFOG'!$B$10:$B$16,0))="","Cell will autofill based on response",INDEX('CFOG'!$P$10:$P$16,MATCH($F45,'CFOG'!$B$10:$B$16,0))),"N/A")</f>
        <v/>
      </c>
      <c r="O45" s="52">
        <f>IFERROR(IF(INDEX('CFOG'!$P$23:$P$24,MATCH($F45,'CFOG'!$B$23:$B$24,0))="","Cell will autofill based on response",INDEX('CFOG'!$P$23:$P$24,MATCH($F45,'CFOG'!$B$23:$B$24,0))),"N/A")</f>
        <v/>
      </c>
      <c r="P45" s="52">
        <f>IFERROR(IF(INDEX('ESG'!$P$10:$P$17,MATCH($F45,'ESG'!$B$10:$B$17,0))="","Cell will autofill based on response",INDEX('ESG'!$P$10:$P$17,MATCH($F45,'ESG'!$B$10:$B$17,0))),"N/A")</f>
        <v/>
      </c>
      <c r="Q45" s="52">
        <f>IFERROR(IF(INDEX('CIOG'!$P$10:$P$14,MATCH($F45,'CIOG'!$B$10:$B$14,0))="","Cell will autofill based on response",INDEX('CIOG'!$P$10:$P$14,MATCH($F45,'CIOG'!$B$10:$B$14,0))),"N/A")</f>
        <v/>
      </c>
      <c r="R45" s="52">
        <f>IFERROR(IF(INDEX('MRE'!$P$10:$P$18,MATCH($F45,'MRE'!$B$10:$B$18,0))="","Cell will autofill based on response",INDEX('MRE'!$P$10:$P$18,MATCH($F45,'MRE'!$B$10:$B$18,0))),"N/A")</f>
        <v/>
      </c>
      <c r="S45" s="52">
        <f>IFERROR(IF(INDEX('AC&amp;M'!$P$10:$P$14,MATCH($F45,'AC&amp;M'!$B$10:$B$14,0))="","Cell will autofill based on response",INDEX('AC&amp;M'!$P$10:$P$14,MATCH($F45,'AC&amp;M'!$B$10:$B$14,0))),"N/A")</f>
        <v/>
      </c>
      <c r="T45" s="52">
        <f>IFERROR(IF(INDEX('GCE'!$P$10:$P$12,MATCH($F45,'GCE'!$B$10:$B$12,0))="","Cell will autofill based on response",INDEX('GCE'!$P$10:$P$12,MATCH($F45,'GCE'!$B$10:$B$12,0))),"N/A")</f>
        <v/>
      </c>
      <c r="U45" s="52">
        <f>IFERROR(IF(INDEX('Education'!$P$10:$P$13,MATCH($F45,'Education'!$B$10:$B$13,0))="","Cell will autofill based on response",INDEX('Education'!$P$10:$P$13,MATCH($F45,'Education'!$B$10:$B$13,0))),"N/A")</f>
        <v/>
      </c>
      <c r="V45" s="52">
        <f>IFERROR(IF(INDEX('SaSS'!$P$10:$P$12,MATCH($F45,'SaSS'!$B$10:$B$12,0))="","Cell will autofill based on response",INDEX('SaSS'!$P$10:$P$12,MATCH($F45,'SaSS'!$B$10:$B$12,0))),"N/A")</f>
        <v/>
      </c>
      <c r="W45" s="52">
        <f>IFERROR(IF(INDEX('Indigenous'!$P$10:$P$11,MATCH($F45,'Indigenous'!$B$10:$B$11,0))="","Cell will autofill based on response",INDEX('Indigenous'!$P$10:$P$11,MATCH($F45,'Indigenous'!$B$10:$B$11,0))),"N/A")</f>
        <v/>
      </c>
      <c r="X45" s="52">
        <f>IFERROR(IF(INDEX('L&amp;R'!$P$10:$P$11,MATCH($F45,'L&amp;R'!$B$10:$B$11,0))="","Cell will autofill based on response",INDEX('L&amp;R'!$P$10:$P$11,MATCH($F45,'L&amp;R'!$B$10:$B$11,0))),"N/A")</f>
        <v/>
      </c>
    </row>
    <row r="46">
      <c r="A46">
        <f>F46&amp;"|"&amp;G46</f>
        <v/>
      </c>
      <c r="B46" s="7" t="inlineStr">
        <is>
          <t>TR1(d)</t>
        </is>
      </c>
      <c r="C46" s="50" t="inlineStr">
        <is>
          <t>Transformational research</t>
        </is>
      </c>
      <c r="D46" s="50" t="inlineStr">
        <is>
          <t>Periodic feedback from participants on the effectiveness and mutual benefit of collaboration mechanisms.</t>
        </is>
      </c>
      <c r="E46" s="50"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46" s="50" t="inlineStr">
        <is>
          <t>TR1(d)</t>
        </is>
      </c>
      <c r="G46" s="50" t="inlineStr">
        <is>
          <t>OPTION 1:  Target-level reporting</t>
        </is>
      </c>
      <c r="H46" s="52">
        <f>IFERROR(IF(INDEX('Faculties'!$L$10:$L$19,MATCH($F46,'Faculties'!$B$10:$B$19,0))="","Cell will autofill based on response",INDEX('Faculties'!$L$10:$L$19,MATCH($F46,'Faculties'!$B$10:$B$19,0))),"N/A")</f>
        <v/>
      </c>
      <c r="I46" s="52">
        <f>IFERROR(IF(INDEX('Faculties'!$L$26:$L$35,MATCH($F46,'Faculties'!$B$26:$B$35,0))="","Cell will autofill based on response",INDEX('Faculties'!$L$26:$L$35,MATCH($F46,'Faculties'!$B$26:$B$35,0))),"N/A")</f>
        <v/>
      </c>
      <c r="J46" s="52">
        <f>IFERROR(IF(INDEX('Faculties'!$L$42:$L$51,MATCH($F46,'Faculties'!$B$42:$B$51,0))="","Cell will autofill based on response",INDEX('Faculties'!$L$42:$L$51,MATCH($F46,'Faculties'!$B$42:$B$51,0))),"N/A")</f>
        <v/>
      </c>
      <c r="K46" s="52">
        <f>IFERROR(IF(INDEX('Faculties'!$L$58:$L$67,MATCH($F46,'Faculties'!$B$58:$B$67,0))="","Cell will autofill based on response",INDEX('Faculties'!$L$58:$L$67,MATCH($F46,'Faculties'!$B$58:$B$67,0))),"N/A")</f>
        <v/>
      </c>
      <c r="L46" s="52">
        <f>IFERROR(IF(INDEX('CI&amp;S'!$L$10:$L$15,MATCH($F46,'CI&amp;S'!$B$10:$B$15,0))="","Cell will autofill based on response",INDEX('CI&amp;S'!$L$10:$L$15,MATCH($F46,'CI&amp;S'!$B$10:$B$15,0))),"N/A")</f>
        <v/>
      </c>
      <c r="M46" s="52">
        <f>IFERROR(IF(INDEX('CI&amp;S'!$L$22:$L$36,MATCH($F46,'CI&amp;S'!$B$22:$B$36,0))="","Cell will autofill based on response",INDEX('CI&amp;S'!$L$22:$L$36,MATCH($F46,'CI&amp;S'!$B$22:$B$36,0))),"N/A")</f>
        <v/>
      </c>
      <c r="N46" s="52">
        <f>IFERROR(IF(INDEX('CFOG'!$L$10:$L$16,MATCH($F46,'CFOG'!$B$10:$B$16,0))="","Cell will autofill based on response",INDEX('CFOG'!$L$10:$L$16,MATCH($F46,'CFOG'!$B$10:$B$16,0))),"N/A")</f>
        <v/>
      </c>
      <c r="O46" s="52">
        <f>IFERROR(IF(INDEX('CFOG'!$L$23:$L$24,MATCH($F46,'CFOG'!$B$23:$B$24,0))="","Cell will autofill based on response",INDEX('CFOG'!$L$23:$L$24,MATCH($F46,'CFOG'!$B$23:$B$24,0))),"N/A")</f>
        <v/>
      </c>
      <c r="P46" s="52">
        <f>IFERROR(IF(INDEX('ESG'!$L$10:$L$17,MATCH($F46,'ESG'!$B$10:$B$17,0))="","Cell will autofill based on response",INDEX('ESG'!$L$10:$L$17,MATCH($F46,'ESG'!$B$10:$B$17,0))),"N/A")</f>
        <v/>
      </c>
      <c r="Q46" s="52">
        <f>IFERROR(IF(INDEX('CIOG'!$L$10:$L$14,MATCH($F46,'CIOG'!$B$10:$B$14,0))="","Cell will autofill based on response",INDEX('CIOG'!$L$10:$L$14,MATCH($F46,'CIOG'!$B$10:$B$14,0))),"N/A")</f>
        <v/>
      </c>
      <c r="R46" s="52">
        <f>IFERROR(IF(INDEX('MRE'!$L$10:$L$18,MATCH($F46,'MRE'!$B$10:$B$18,0))="","Cell will autofill based on response",INDEX('MRE'!$L$10:$L$18,MATCH($F46,'MRE'!$B$10:$B$18,0))),"N/A")</f>
        <v/>
      </c>
      <c r="S46" s="52">
        <f>IFERROR(IF(INDEX('AC&amp;M'!$L$10:$L$14,MATCH($F46,'AC&amp;M'!$B$10:$B$14,0))="","Cell will autofill based on response",INDEX('AC&amp;M'!$L$10:$L$14,MATCH($F46,'AC&amp;M'!$B$10:$B$14,0))),"N/A")</f>
        <v/>
      </c>
      <c r="T46" s="52">
        <f>IFERROR(IF(INDEX('GCE'!$L$10:$L$12,MATCH($F46,'GCE'!$B$10:$B$12,0))="","Cell will autofill based on response",INDEX('GCE'!$L$10:$L$12,MATCH($F46,'GCE'!$B$10:$B$12,0))),"N/A")</f>
        <v/>
      </c>
      <c r="U46" s="52">
        <f>IFERROR(IF(INDEX('Education'!$L$10:$L$13,MATCH($F46,'Education'!$B$10:$B$13,0))="","Cell will autofill based on response",INDEX('Education'!$L$10:$L$13,MATCH($F46,'Education'!$B$10:$B$13,0))),"N/A")</f>
        <v/>
      </c>
      <c r="V46" s="52">
        <f>IFERROR(IF(INDEX('SaSS'!$L$10:$L$12,MATCH($F46,'SaSS'!$B$10:$B$12,0))="","Cell will autofill based on response",INDEX('SaSS'!$L$10:$L$12,MATCH($F46,'SaSS'!$B$10:$B$12,0))),"N/A")</f>
        <v/>
      </c>
      <c r="W46" s="52">
        <f>IFERROR(IF(INDEX('Indigenous'!$L$10:$L$11,MATCH($F46,'Indigenous'!$B$10:$B$11,0))="","Cell will autofill based on response",INDEX('Indigenous'!$L$10:$L$11,MATCH($F46,'Indigenous'!$B$10:$B$11,0))),"N/A")</f>
        <v/>
      </c>
      <c r="X46" s="52">
        <f>IFERROR(IF(INDEX('L&amp;R'!$L$10:$L$11,MATCH($F46,'L&amp;R'!$B$10:$B$11,0))="","Cell will autofill based on response",INDEX('L&amp;R'!$L$10:$L$11,MATCH($F46,'L&amp;R'!$B$10:$B$11,0))),"N/A")</f>
        <v/>
      </c>
      <c r="Z46" s="10">
        <f>SUMPRODUCT(--($H46:$X46&lt;&gt;"N/A"))</f>
        <v/>
      </c>
      <c r="AA46" s="10">
        <f>SUMPRODUCT(--(((($H46:$X46&lt;&gt;"N/A")*($H46:$X46&lt;&gt;"Cell will autofill based on response"))+(($H47:$X47&lt;&gt;"N/A")*($H47:$X47&lt;&gt;"Cell will autofill based on response")))&gt;0))</f>
        <v/>
      </c>
      <c r="AB46" s="10">
        <f>Z46-AA46</f>
        <v/>
      </c>
      <c r="AC46" s="10">
        <f>COUNTIF($H50:$X50,"Yes")</f>
        <v/>
      </c>
    </row>
    <row r="47">
      <c r="A47">
        <f>F47&amp;"|"&amp;G47</f>
        <v/>
      </c>
      <c r="B47" s="13" t="inlineStr"/>
      <c r="C47" s="8" t="inlineStr"/>
      <c r="D47" s="8" t="inlineStr"/>
      <c r="E47" s="8" t="inlineStr"/>
      <c r="F47" s="8" t="inlineStr">
        <is>
          <t>TR1(d)</t>
        </is>
      </c>
      <c r="G47" s="8" t="inlineStr">
        <is>
          <t>OPTION 2:  Indicator level reporting</t>
        </is>
      </c>
      <c r="H47" s="52">
        <f>IFERROR(IF(INDEX('Faculties'!$M$10:$M$19,MATCH($F47,'Faculties'!$B$10:$B$19,0))="","Cell will autofill based on response",INDEX('Faculties'!$M$10:$M$19,MATCH($F47,'Faculties'!$B$10:$B$19,0))),"N/A")</f>
        <v/>
      </c>
      <c r="I47" s="52">
        <f>IFERROR(IF(INDEX('Faculties'!$M$26:$M$35,MATCH($F47,'Faculties'!$B$26:$B$35,0))="","Cell will autofill based on response",INDEX('Faculties'!$M$26:$M$35,MATCH($F47,'Faculties'!$B$26:$B$35,0))),"N/A")</f>
        <v/>
      </c>
      <c r="J47" s="52">
        <f>IFERROR(IF(INDEX('Faculties'!$M$42:$M$51,MATCH($F47,'Faculties'!$B$42:$B$51,0))="","Cell will autofill based on response",INDEX('Faculties'!$M$42:$M$51,MATCH($F47,'Faculties'!$B$42:$B$51,0))),"N/A")</f>
        <v/>
      </c>
      <c r="K47" s="52">
        <f>IFERROR(IF(INDEX('Faculties'!$M$58:$M$67,MATCH($F47,'Faculties'!$B$58:$B$67,0))="","Cell will autofill based on response",INDEX('Faculties'!$M$58:$M$67,MATCH($F47,'Faculties'!$B$58:$B$67,0))),"N/A")</f>
        <v/>
      </c>
      <c r="L47" s="52">
        <f>IFERROR(IF(INDEX('CI&amp;S'!$M$10:$M$15,MATCH($F47,'CI&amp;S'!$B$10:$B$15,0))="","Cell will autofill based on response",INDEX('CI&amp;S'!$M$10:$M$15,MATCH($F47,'CI&amp;S'!$B$10:$B$15,0))),"N/A")</f>
        <v/>
      </c>
      <c r="M47" s="52">
        <f>IFERROR(IF(INDEX('CI&amp;S'!$M$22:$M$36,MATCH($F47,'CI&amp;S'!$B$22:$B$36,0))="","Cell will autofill based on response",INDEX('CI&amp;S'!$M$22:$M$36,MATCH($F47,'CI&amp;S'!$B$22:$B$36,0))),"N/A")</f>
        <v/>
      </c>
      <c r="N47" s="52">
        <f>IFERROR(IF(INDEX('CFOG'!$M$10:$M$16,MATCH($F47,'CFOG'!$B$10:$B$16,0))="","Cell will autofill based on response",INDEX('CFOG'!$M$10:$M$16,MATCH($F47,'CFOG'!$B$10:$B$16,0))),"N/A")</f>
        <v/>
      </c>
      <c r="O47" s="52">
        <f>IFERROR(IF(INDEX('CFOG'!$M$23:$M$24,MATCH($F47,'CFOG'!$B$23:$B$24,0))="","Cell will autofill based on response",INDEX('CFOG'!$M$23:$M$24,MATCH($F47,'CFOG'!$B$23:$B$24,0))),"N/A")</f>
        <v/>
      </c>
      <c r="P47" s="52">
        <f>IFERROR(IF(INDEX('ESG'!$M$10:$M$17,MATCH($F47,'ESG'!$B$10:$B$17,0))="","Cell will autofill based on response",INDEX('ESG'!$M$10:$M$17,MATCH($F47,'ESG'!$B$10:$B$17,0))),"N/A")</f>
        <v/>
      </c>
      <c r="Q47" s="52">
        <f>IFERROR(IF(INDEX('CIOG'!$M$10:$M$14,MATCH($F47,'CIOG'!$B$10:$B$14,0))="","Cell will autofill based on response",INDEX('CIOG'!$M$10:$M$14,MATCH($F47,'CIOG'!$B$10:$B$14,0))),"N/A")</f>
        <v/>
      </c>
      <c r="R47" s="52">
        <f>IFERROR(IF(INDEX('MRE'!$M$10:$M$18,MATCH($F47,'MRE'!$B$10:$B$18,0))="","Cell will autofill based on response",INDEX('MRE'!$M$10:$M$18,MATCH($F47,'MRE'!$B$10:$B$18,0))),"N/A")</f>
        <v/>
      </c>
      <c r="S47" s="52">
        <f>IFERROR(IF(INDEX('AC&amp;M'!$M$10:$M$14,MATCH($F47,'AC&amp;M'!$B$10:$B$14,0))="","Cell will autofill based on response",INDEX('AC&amp;M'!$M$10:$M$14,MATCH($F47,'AC&amp;M'!$B$10:$B$14,0))),"N/A")</f>
        <v/>
      </c>
      <c r="T47" s="52">
        <f>IFERROR(IF(INDEX('GCE'!$M$10:$M$12,MATCH($F47,'GCE'!$B$10:$B$12,0))="","Cell will autofill based on response",INDEX('GCE'!$M$10:$M$12,MATCH($F47,'GCE'!$B$10:$B$12,0))),"N/A")</f>
        <v/>
      </c>
      <c r="U47" s="52">
        <f>IFERROR(IF(INDEX('Education'!$M$10:$M$13,MATCH($F47,'Education'!$B$10:$B$13,0))="","Cell will autofill based on response",INDEX('Education'!$M$10:$M$13,MATCH($F47,'Education'!$B$10:$B$13,0))),"N/A")</f>
        <v/>
      </c>
      <c r="V47" s="52">
        <f>IFERROR(IF(INDEX('SaSS'!$M$10:$M$12,MATCH($F47,'SaSS'!$B$10:$B$12,0))="","Cell will autofill based on response",INDEX('SaSS'!$M$10:$M$12,MATCH($F47,'SaSS'!$B$10:$B$12,0))),"N/A")</f>
        <v/>
      </c>
      <c r="W47" s="52">
        <f>IFERROR(IF(INDEX('Indigenous'!$M$10:$M$11,MATCH($F47,'Indigenous'!$B$10:$B$11,0))="","Cell will autofill based on response",INDEX('Indigenous'!$M$10:$M$11,MATCH($F47,'Indigenous'!$B$10:$B$11,0))),"N/A")</f>
        <v/>
      </c>
      <c r="X47" s="52">
        <f>IFERROR(IF(INDEX('L&amp;R'!$M$10:$M$11,MATCH($F47,'L&amp;R'!$B$10:$B$11,0))="","Cell will autofill based on response",INDEX('L&amp;R'!$M$10:$M$11,MATCH($F47,'L&amp;R'!$B$10:$B$11,0))),"N/A")</f>
        <v/>
      </c>
    </row>
    <row r="48">
      <c r="A48">
        <f>F48&amp;"|"&amp;G48</f>
        <v/>
      </c>
      <c r="B48" s="13" t="inlineStr"/>
      <c r="C48" s="8" t="inlineStr"/>
      <c r="D48" s="8" t="inlineStr"/>
      <c r="E48" s="8" t="inlineStr"/>
      <c r="F48" s="8" t="inlineStr">
        <is>
          <t>TR1(d)</t>
        </is>
      </c>
      <c r="G48" s="8" t="inlineStr">
        <is>
          <t>Supporting information/comments</t>
        </is>
      </c>
      <c r="H48" s="52">
        <f>IFERROR(IF(INDEX('Faculties'!$N$10:$N$19,MATCH($F48,'Faculties'!$B$10:$B$19,0))="","Cell will autofill based on response",INDEX('Faculties'!$N$10:$N$19,MATCH($F48,'Faculties'!$B$10:$B$19,0))),"N/A")</f>
        <v/>
      </c>
      <c r="I48" s="52">
        <f>IFERROR(IF(INDEX('Faculties'!$N$26:$N$35,MATCH($F48,'Faculties'!$B$26:$B$35,0))="","Cell will autofill based on response",INDEX('Faculties'!$N$26:$N$35,MATCH($F48,'Faculties'!$B$26:$B$35,0))),"N/A")</f>
        <v/>
      </c>
      <c r="J48" s="52">
        <f>IFERROR(IF(INDEX('Faculties'!$N$42:$N$51,MATCH($F48,'Faculties'!$B$42:$B$51,0))="","Cell will autofill based on response",INDEX('Faculties'!$N$42:$N$51,MATCH($F48,'Faculties'!$B$42:$B$51,0))),"N/A")</f>
        <v/>
      </c>
      <c r="K48" s="52">
        <f>IFERROR(IF(INDEX('Faculties'!$N$58:$N$67,MATCH($F48,'Faculties'!$B$58:$B$67,0))="","Cell will autofill based on response",INDEX('Faculties'!$N$58:$N$67,MATCH($F48,'Faculties'!$B$58:$B$67,0))),"N/A")</f>
        <v/>
      </c>
      <c r="L48" s="52">
        <f>IFERROR(IF(INDEX('CI&amp;S'!$N$10:$N$15,MATCH($F48,'CI&amp;S'!$B$10:$B$15,0))="","Cell will autofill based on response",INDEX('CI&amp;S'!$N$10:$N$15,MATCH($F48,'CI&amp;S'!$B$10:$B$15,0))),"N/A")</f>
        <v/>
      </c>
      <c r="M48" s="52">
        <f>IFERROR(IF(INDEX('CI&amp;S'!$N$22:$N$36,MATCH($F48,'CI&amp;S'!$B$22:$B$36,0))="","Cell will autofill based on response",INDEX('CI&amp;S'!$N$22:$N$36,MATCH($F48,'CI&amp;S'!$B$22:$B$36,0))),"N/A")</f>
        <v/>
      </c>
      <c r="N48" s="52">
        <f>IFERROR(IF(INDEX('CFOG'!$N$10:$N$16,MATCH($F48,'CFOG'!$B$10:$B$16,0))="","Cell will autofill based on response",INDEX('CFOG'!$N$10:$N$16,MATCH($F48,'CFOG'!$B$10:$B$16,0))),"N/A")</f>
        <v/>
      </c>
      <c r="O48" s="52">
        <f>IFERROR(IF(INDEX('CFOG'!$N$23:$N$24,MATCH($F48,'CFOG'!$B$23:$B$24,0))="","Cell will autofill based on response",INDEX('CFOG'!$N$23:$N$24,MATCH($F48,'CFOG'!$B$23:$B$24,0))),"N/A")</f>
        <v/>
      </c>
      <c r="P48" s="52">
        <f>IFERROR(IF(INDEX('ESG'!$N$10:$N$17,MATCH($F48,'ESG'!$B$10:$B$17,0))="","Cell will autofill based on response",INDEX('ESG'!$N$10:$N$17,MATCH($F48,'ESG'!$B$10:$B$17,0))),"N/A")</f>
        <v/>
      </c>
      <c r="Q48" s="52">
        <f>IFERROR(IF(INDEX('CIOG'!$N$10:$N$14,MATCH($F48,'CIOG'!$B$10:$B$14,0))="","Cell will autofill based on response",INDEX('CIOG'!$N$10:$N$14,MATCH($F48,'CIOG'!$B$10:$B$14,0))),"N/A")</f>
        <v/>
      </c>
      <c r="R48" s="52">
        <f>IFERROR(IF(INDEX('MRE'!$N$10:$N$18,MATCH($F48,'MRE'!$B$10:$B$18,0))="","Cell will autofill based on response",INDEX('MRE'!$N$10:$N$18,MATCH($F48,'MRE'!$B$10:$B$18,0))),"N/A")</f>
        <v/>
      </c>
      <c r="S48" s="52">
        <f>IFERROR(IF(INDEX('AC&amp;M'!$N$10:$N$14,MATCH($F48,'AC&amp;M'!$B$10:$B$14,0))="","Cell will autofill based on response",INDEX('AC&amp;M'!$N$10:$N$14,MATCH($F48,'AC&amp;M'!$B$10:$B$14,0))),"N/A")</f>
        <v/>
      </c>
      <c r="T48" s="52">
        <f>IFERROR(IF(INDEX('GCE'!$N$10:$N$12,MATCH($F48,'GCE'!$B$10:$B$12,0))="","Cell will autofill based on response",INDEX('GCE'!$N$10:$N$12,MATCH($F48,'GCE'!$B$10:$B$12,0))),"N/A")</f>
        <v/>
      </c>
      <c r="U48" s="52">
        <f>IFERROR(IF(INDEX('Education'!$N$10:$N$13,MATCH($F48,'Education'!$B$10:$B$13,0))="","Cell will autofill based on response",INDEX('Education'!$N$10:$N$13,MATCH($F48,'Education'!$B$10:$B$13,0))),"N/A")</f>
        <v/>
      </c>
      <c r="V48" s="52">
        <f>IFERROR(IF(INDEX('SaSS'!$N$10:$N$12,MATCH($F48,'SaSS'!$B$10:$B$12,0))="","Cell will autofill based on response",INDEX('SaSS'!$N$10:$N$12,MATCH($F48,'SaSS'!$B$10:$B$12,0))),"N/A")</f>
        <v/>
      </c>
      <c r="W48" s="52">
        <f>IFERROR(IF(INDEX('Indigenous'!$N$10:$N$11,MATCH($F48,'Indigenous'!$B$10:$B$11,0))="","Cell will autofill based on response",INDEX('Indigenous'!$N$10:$N$11,MATCH($F48,'Indigenous'!$B$10:$B$11,0))),"N/A")</f>
        <v/>
      </c>
      <c r="X48" s="52">
        <f>IFERROR(IF(INDEX('L&amp;R'!$N$10:$N$11,MATCH($F48,'L&amp;R'!$B$10:$B$11,0))="","Cell will autofill based on response",INDEX('L&amp;R'!$N$10:$N$11,MATCH($F48,'L&amp;R'!$B$10:$B$11,0))),"N/A")</f>
        <v/>
      </c>
    </row>
    <row r="49">
      <c r="A49">
        <f>F49&amp;"|"&amp;G49</f>
        <v/>
      </c>
      <c r="B49" s="13" t="inlineStr"/>
      <c r="C49" s="8" t="inlineStr"/>
      <c r="D49" s="8" t="inlineStr"/>
      <c r="E49" s="8" t="inlineStr"/>
      <c r="F49" s="8" t="inlineStr">
        <is>
          <t>TR1(d)</t>
        </is>
      </c>
      <c r="G49" s="8" t="inlineStr">
        <is>
          <t>Data source and limitations</t>
        </is>
      </c>
      <c r="H49" s="52">
        <f>IFERROR(IF(INDEX('Faculties'!$O$10:$O$19,MATCH($F49,'Faculties'!$B$10:$B$19,0))="","Cell will autofill based on response",INDEX('Faculties'!$O$10:$O$19,MATCH($F49,'Faculties'!$B$10:$B$19,0))),"N/A")</f>
        <v/>
      </c>
      <c r="I49" s="52">
        <f>IFERROR(IF(INDEX('Faculties'!$O$26:$O$35,MATCH($F49,'Faculties'!$B$26:$B$35,0))="","Cell will autofill based on response",INDEX('Faculties'!$O$26:$O$35,MATCH($F49,'Faculties'!$B$26:$B$35,0))),"N/A")</f>
        <v/>
      </c>
      <c r="J49" s="52">
        <f>IFERROR(IF(INDEX('Faculties'!$O$42:$O$51,MATCH($F49,'Faculties'!$B$42:$B$51,0))="","Cell will autofill based on response",INDEX('Faculties'!$O$42:$O$51,MATCH($F49,'Faculties'!$B$42:$B$51,0))),"N/A")</f>
        <v/>
      </c>
      <c r="K49" s="52">
        <f>IFERROR(IF(INDEX('Faculties'!$O$58:$O$67,MATCH($F49,'Faculties'!$B$58:$B$67,0))="","Cell will autofill based on response",INDEX('Faculties'!$O$58:$O$67,MATCH($F49,'Faculties'!$B$58:$B$67,0))),"N/A")</f>
        <v/>
      </c>
      <c r="L49" s="52">
        <f>IFERROR(IF(INDEX('CI&amp;S'!$O$10:$O$15,MATCH($F49,'CI&amp;S'!$B$10:$B$15,0))="","Cell will autofill based on response",INDEX('CI&amp;S'!$O$10:$O$15,MATCH($F49,'CI&amp;S'!$B$10:$B$15,0))),"N/A")</f>
        <v/>
      </c>
      <c r="M49" s="52">
        <f>IFERROR(IF(INDEX('CI&amp;S'!$O$22:$O$36,MATCH($F49,'CI&amp;S'!$B$22:$B$36,0))="","Cell will autofill based on response",INDEX('CI&amp;S'!$O$22:$O$36,MATCH($F49,'CI&amp;S'!$B$22:$B$36,0))),"N/A")</f>
        <v/>
      </c>
      <c r="N49" s="52">
        <f>IFERROR(IF(INDEX('CFOG'!$O$10:$O$16,MATCH($F49,'CFOG'!$B$10:$B$16,0))="","Cell will autofill based on response",INDEX('CFOG'!$O$10:$O$16,MATCH($F49,'CFOG'!$B$10:$B$16,0))),"N/A")</f>
        <v/>
      </c>
      <c r="O49" s="52">
        <f>IFERROR(IF(INDEX('CFOG'!$O$23:$O$24,MATCH($F49,'CFOG'!$B$23:$B$24,0))="","Cell will autofill based on response",INDEX('CFOG'!$O$23:$O$24,MATCH($F49,'CFOG'!$B$23:$B$24,0))),"N/A")</f>
        <v/>
      </c>
      <c r="P49" s="52">
        <f>IFERROR(IF(INDEX('ESG'!$O$10:$O$17,MATCH($F49,'ESG'!$B$10:$B$17,0))="","Cell will autofill based on response",INDEX('ESG'!$O$10:$O$17,MATCH($F49,'ESG'!$B$10:$B$17,0))),"N/A")</f>
        <v/>
      </c>
      <c r="Q49" s="52">
        <f>IFERROR(IF(INDEX('CIOG'!$O$10:$O$14,MATCH($F49,'CIOG'!$B$10:$B$14,0))="","Cell will autofill based on response",INDEX('CIOG'!$O$10:$O$14,MATCH($F49,'CIOG'!$B$10:$B$14,0))),"N/A")</f>
        <v/>
      </c>
      <c r="R49" s="52">
        <f>IFERROR(IF(INDEX('MRE'!$O$10:$O$18,MATCH($F49,'MRE'!$B$10:$B$18,0))="","Cell will autofill based on response",INDEX('MRE'!$O$10:$O$18,MATCH($F49,'MRE'!$B$10:$B$18,0))),"N/A")</f>
        <v/>
      </c>
      <c r="S49" s="52">
        <f>IFERROR(IF(INDEX('AC&amp;M'!$O$10:$O$14,MATCH($F49,'AC&amp;M'!$B$10:$B$14,0))="","Cell will autofill based on response",INDEX('AC&amp;M'!$O$10:$O$14,MATCH($F49,'AC&amp;M'!$B$10:$B$14,0))),"N/A")</f>
        <v/>
      </c>
      <c r="T49" s="52">
        <f>IFERROR(IF(INDEX('GCE'!$O$10:$O$12,MATCH($F49,'GCE'!$B$10:$B$12,0))="","Cell will autofill based on response",INDEX('GCE'!$O$10:$O$12,MATCH($F49,'GCE'!$B$10:$B$12,0))),"N/A")</f>
        <v/>
      </c>
      <c r="U49" s="52">
        <f>IFERROR(IF(INDEX('Education'!$O$10:$O$13,MATCH($F49,'Education'!$B$10:$B$13,0))="","Cell will autofill based on response",INDEX('Education'!$O$10:$O$13,MATCH($F49,'Education'!$B$10:$B$13,0))),"N/A")</f>
        <v/>
      </c>
      <c r="V49" s="52">
        <f>IFERROR(IF(INDEX('SaSS'!$O$10:$O$12,MATCH($F49,'SaSS'!$B$10:$B$12,0))="","Cell will autofill based on response",INDEX('SaSS'!$O$10:$O$12,MATCH($F49,'SaSS'!$B$10:$B$12,0))),"N/A")</f>
        <v/>
      </c>
      <c r="W49" s="52">
        <f>IFERROR(IF(INDEX('Indigenous'!$O$10:$O$11,MATCH($F49,'Indigenous'!$B$10:$B$11,0))="","Cell will autofill based on response",INDEX('Indigenous'!$O$10:$O$11,MATCH($F49,'Indigenous'!$B$10:$B$11,0))),"N/A")</f>
        <v/>
      </c>
      <c r="X49" s="52">
        <f>IFERROR(IF(INDEX('L&amp;R'!$O$10:$O$11,MATCH($F49,'L&amp;R'!$B$10:$B$11,0))="","Cell will autofill based on response",INDEX('L&amp;R'!$O$10:$O$11,MATCH($F49,'L&amp;R'!$B$10:$B$11,0))),"N/A")</f>
        <v/>
      </c>
    </row>
    <row r="50">
      <c r="A50">
        <f>F50&amp;"|"&amp;G50</f>
        <v/>
      </c>
      <c r="B50" s="13" t="inlineStr"/>
      <c r="C50" s="8" t="inlineStr"/>
      <c r="D50" s="8" t="inlineStr"/>
      <c r="E50" s="8" t="inlineStr"/>
      <c r="F50" s="8" t="inlineStr">
        <is>
          <t>TR1(d)</t>
        </is>
      </c>
      <c r="G50" s="8" t="inlineStr">
        <is>
          <t>Data owner confirms</t>
        </is>
      </c>
      <c r="H50" s="52">
        <f>IFERROR(IF(INDEX('Faculties'!$P$10:$P$19,MATCH($F50,'Faculties'!$B$10:$B$19,0))="","Cell will autofill based on response",INDEX('Faculties'!$P$10:$P$19,MATCH($F50,'Faculties'!$B$10:$B$19,0))),"N/A")</f>
        <v/>
      </c>
      <c r="I50" s="52">
        <f>IFERROR(IF(INDEX('Faculties'!$P$26:$P$35,MATCH($F50,'Faculties'!$B$26:$B$35,0))="","Cell will autofill based on response",INDEX('Faculties'!$P$26:$P$35,MATCH($F50,'Faculties'!$B$26:$B$35,0))),"N/A")</f>
        <v/>
      </c>
      <c r="J50" s="52">
        <f>IFERROR(IF(INDEX('Faculties'!$P$42:$P$51,MATCH($F50,'Faculties'!$B$42:$B$51,0))="","Cell will autofill based on response",INDEX('Faculties'!$P$42:$P$51,MATCH($F50,'Faculties'!$B$42:$B$51,0))),"N/A")</f>
        <v/>
      </c>
      <c r="K50" s="52">
        <f>IFERROR(IF(INDEX('Faculties'!$P$58:$P$67,MATCH($F50,'Faculties'!$B$58:$B$67,0))="","Cell will autofill based on response",INDEX('Faculties'!$P$58:$P$67,MATCH($F50,'Faculties'!$B$58:$B$67,0))),"N/A")</f>
        <v/>
      </c>
      <c r="L50" s="52">
        <f>IFERROR(IF(INDEX('CI&amp;S'!$P$10:$P$15,MATCH($F50,'CI&amp;S'!$B$10:$B$15,0))="","Cell will autofill based on response",INDEX('CI&amp;S'!$P$10:$P$15,MATCH($F50,'CI&amp;S'!$B$10:$B$15,0))),"N/A")</f>
        <v/>
      </c>
      <c r="M50" s="52">
        <f>IFERROR(IF(INDEX('CI&amp;S'!$P$22:$P$36,MATCH($F50,'CI&amp;S'!$B$22:$B$36,0))="","Cell will autofill based on response",INDEX('CI&amp;S'!$P$22:$P$36,MATCH($F50,'CI&amp;S'!$B$22:$B$36,0))),"N/A")</f>
        <v/>
      </c>
      <c r="N50" s="52">
        <f>IFERROR(IF(INDEX('CFOG'!$P$10:$P$16,MATCH($F50,'CFOG'!$B$10:$B$16,0))="","Cell will autofill based on response",INDEX('CFOG'!$P$10:$P$16,MATCH($F50,'CFOG'!$B$10:$B$16,0))),"N/A")</f>
        <v/>
      </c>
      <c r="O50" s="52">
        <f>IFERROR(IF(INDEX('CFOG'!$P$23:$P$24,MATCH($F50,'CFOG'!$B$23:$B$24,0))="","Cell will autofill based on response",INDEX('CFOG'!$P$23:$P$24,MATCH($F50,'CFOG'!$B$23:$B$24,0))),"N/A")</f>
        <v/>
      </c>
      <c r="P50" s="52">
        <f>IFERROR(IF(INDEX('ESG'!$P$10:$P$17,MATCH($F50,'ESG'!$B$10:$B$17,0))="","Cell will autofill based on response",INDEX('ESG'!$P$10:$P$17,MATCH($F50,'ESG'!$B$10:$B$17,0))),"N/A")</f>
        <v/>
      </c>
      <c r="Q50" s="52">
        <f>IFERROR(IF(INDEX('CIOG'!$P$10:$P$14,MATCH($F50,'CIOG'!$B$10:$B$14,0))="","Cell will autofill based on response",INDEX('CIOG'!$P$10:$P$14,MATCH($F50,'CIOG'!$B$10:$B$14,0))),"N/A")</f>
        <v/>
      </c>
      <c r="R50" s="52">
        <f>IFERROR(IF(INDEX('MRE'!$P$10:$P$18,MATCH($F50,'MRE'!$B$10:$B$18,0))="","Cell will autofill based on response",INDEX('MRE'!$P$10:$P$18,MATCH($F50,'MRE'!$B$10:$B$18,0))),"N/A")</f>
        <v/>
      </c>
      <c r="S50" s="52">
        <f>IFERROR(IF(INDEX('AC&amp;M'!$P$10:$P$14,MATCH($F50,'AC&amp;M'!$B$10:$B$14,0))="","Cell will autofill based on response",INDEX('AC&amp;M'!$P$10:$P$14,MATCH($F50,'AC&amp;M'!$B$10:$B$14,0))),"N/A")</f>
        <v/>
      </c>
      <c r="T50" s="52">
        <f>IFERROR(IF(INDEX('GCE'!$P$10:$P$12,MATCH($F50,'GCE'!$B$10:$B$12,0))="","Cell will autofill based on response",INDEX('GCE'!$P$10:$P$12,MATCH($F50,'GCE'!$B$10:$B$12,0))),"N/A")</f>
        <v/>
      </c>
      <c r="U50" s="52">
        <f>IFERROR(IF(INDEX('Education'!$P$10:$P$13,MATCH($F50,'Education'!$B$10:$B$13,0))="","Cell will autofill based on response",INDEX('Education'!$P$10:$P$13,MATCH($F50,'Education'!$B$10:$B$13,0))),"N/A")</f>
        <v/>
      </c>
      <c r="V50" s="52">
        <f>IFERROR(IF(INDEX('SaSS'!$P$10:$P$12,MATCH($F50,'SaSS'!$B$10:$B$12,0))="","Cell will autofill based on response",INDEX('SaSS'!$P$10:$P$12,MATCH($F50,'SaSS'!$B$10:$B$12,0))),"N/A")</f>
        <v/>
      </c>
      <c r="W50" s="52">
        <f>IFERROR(IF(INDEX('Indigenous'!$P$10:$P$11,MATCH($F50,'Indigenous'!$B$10:$B$11,0))="","Cell will autofill based on response",INDEX('Indigenous'!$P$10:$P$11,MATCH($F50,'Indigenous'!$B$10:$B$11,0))),"N/A")</f>
        <v/>
      </c>
      <c r="X50" s="52">
        <f>IFERROR(IF(INDEX('L&amp;R'!$P$10:$P$11,MATCH($F50,'L&amp;R'!$B$10:$B$11,0))="","Cell will autofill based on response",INDEX('L&amp;R'!$P$10:$P$11,MATCH($F50,'L&amp;R'!$B$10:$B$11,0))),"N/A")</f>
        <v/>
      </c>
    </row>
    <row r="51">
      <c r="A51">
        <f>F51&amp;"|"&amp;G51</f>
        <v/>
      </c>
      <c r="B51" s="7" t="inlineStr">
        <is>
          <t>TR2(a)</t>
        </is>
      </c>
      <c r="C51" s="50" t="inlineStr">
        <is>
          <t>Transformational research</t>
        </is>
      </c>
      <c r="D51" s="50" t="inlineStr">
        <is>
          <t>Evidence of sustainability-related research impact across diverse pathways, could include policy, industry, community, practice, cultural and institutional outcomes</t>
        </is>
      </c>
      <c r="E51" s="50"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1" s="50" t="inlineStr">
        <is>
          <t>TR2(a)</t>
        </is>
      </c>
      <c r="G51" s="50" t="inlineStr">
        <is>
          <t>OPTION 1:  Target-level reporting</t>
        </is>
      </c>
      <c r="H51" s="52">
        <f>IFERROR(IF(INDEX('Faculties'!$L$10:$L$19,MATCH($F51,'Faculties'!$B$10:$B$19,0))="","Cell will autofill based on response",INDEX('Faculties'!$L$10:$L$19,MATCH($F51,'Faculties'!$B$10:$B$19,0))),"N/A")</f>
        <v/>
      </c>
      <c r="I51" s="52">
        <f>IFERROR(IF(INDEX('Faculties'!$L$26:$L$35,MATCH($F51,'Faculties'!$B$26:$B$35,0))="","Cell will autofill based on response",INDEX('Faculties'!$L$26:$L$35,MATCH($F51,'Faculties'!$B$26:$B$35,0))),"N/A")</f>
        <v/>
      </c>
      <c r="J51" s="52">
        <f>IFERROR(IF(INDEX('Faculties'!$L$42:$L$51,MATCH($F51,'Faculties'!$B$42:$B$51,0))="","Cell will autofill based on response",INDEX('Faculties'!$L$42:$L$51,MATCH($F51,'Faculties'!$B$42:$B$51,0))),"N/A")</f>
        <v/>
      </c>
      <c r="K51" s="52">
        <f>IFERROR(IF(INDEX('Faculties'!$L$58:$L$67,MATCH($F51,'Faculties'!$B$58:$B$67,0))="","Cell will autofill based on response",INDEX('Faculties'!$L$58:$L$67,MATCH($F51,'Faculties'!$B$58:$B$67,0))),"N/A")</f>
        <v/>
      </c>
      <c r="L51" s="52">
        <f>IFERROR(IF(INDEX('CI&amp;S'!$L$10:$L$15,MATCH($F51,'CI&amp;S'!$B$10:$B$15,0))="","Cell will autofill based on response",INDEX('CI&amp;S'!$L$10:$L$15,MATCH($F51,'CI&amp;S'!$B$10:$B$15,0))),"N/A")</f>
        <v/>
      </c>
      <c r="M51" s="52">
        <f>IFERROR(IF(INDEX('CI&amp;S'!$L$22:$L$36,MATCH($F51,'CI&amp;S'!$B$22:$B$36,0))="","Cell will autofill based on response",INDEX('CI&amp;S'!$L$22:$L$36,MATCH($F51,'CI&amp;S'!$B$22:$B$36,0))),"N/A")</f>
        <v/>
      </c>
      <c r="N51" s="52">
        <f>IFERROR(IF(INDEX('CFOG'!$L$10:$L$16,MATCH($F51,'CFOG'!$B$10:$B$16,0))="","Cell will autofill based on response",INDEX('CFOG'!$L$10:$L$16,MATCH($F51,'CFOG'!$B$10:$B$16,0))),"N/A")</f>
        <v/>
      </c>
      <c r="O51" s="52">
        <f>IFERROR(IF(INDEX('CFOG'!$L$23:$L$24,MATCH($F51,'CFOG'!$B$23:$B$24,0))="","Cell will autofill based on response",INDEX('CFOG'!$L$23:$L$24,MATCH($F51,'CFOG'!$B$23:$B$24,0))),"N/A")</f>
        <v/>
      </c>
      <c r="P51" s="52">
        <f>IFERROR(IF(INDEX('ESG'!$L$10:$L$17,MATCH($F51,'ESG'!$B$10:$B$17,0))="","Cell will autofill based on response",INDEX('ESG'!$L$10:$L$17,MATCH($F51,'ESG'!$B$10:$B$17,0))),"N/A")</f>
        <v/>
      </c>
      <c r="Q51" s="52">
        <f>IFERROR(IF(INDEX('CIOG'!$L$10:$L$14,MATCH($F51,'CIOG'!$B$10:$B$14,0))="","Cell will autofill based on response",INDEX('CIOG'!$L$10:$L$14,MATCH($F51,'CIOG'!$B$10:$B$14,0))),"N/A")</f>
        <v/>
      </c>
      <c r="R51" s="52">
        <f>IFERROR(IF(INDEX('MRE'!$L$10:$L$18,MATCH($F51,'MRE'!$B$10:$B$18,0))="","Cell will autofill based on response",INDEX('MRE'!$L$10:$L$18,MATCH($F51,'MRE'!$B$10:$B$18,0))),"N/A")</f>
        <v/>
      </c>
      <c r="S51" s="52">
        <f>IFERROR(IF(INDEX('AC&amp;M'!$L$10:$L$14,MATCH($F51,'AC&amp;M'!$B$10:$B$14,0))="","Cell will autofill based on response",INDEX('AC&amp;M'!$L$10:$L$14,MATCH($F51,'AC&amp;M'!$B$10:$B$14,0))),"N/A")</f>
        <v/>
      </c>
      <c r="T51" s="52">
        <f>IFERROR(IF(INDEX('GCE'!$L$10:$L$12,MATCH($F51,'GCE'!$B$10:$B$12,0))="","Cell will autofill based on response",INDEX('GCE'!$L$10:$L$12,MATCH($F51,'GCE'!$B$10:$B$12,0))),"N/A")</f>
        <v/>
      </c>
      <c r="U51" s="52">
        <f>IFERROR(IF(INDEX('Education'!$L$10:$L$13,MATCH($F51,'Education'!$B$10:$B$13,0))="","Cell will autofill based on response",INDEX('Education'!$L$10:$L$13,MATCH($F51,'Education'!$B$10:$B$13,0))),"N/A")</f>
        <v/>
      </c>
      <c r="V51" s="52">
        <f>IFERROR(IF(INDEX('SaSS'!$L$10:$L$12,MATCH($F51,'SaSS'!$B$10:$B$12,0))="","Cell will autofill based on response",INDEX('SaSS'!$L$10:$L$12,MATCH($F51,'SaSS'!$B$10:$B$12,0))),"N/A")</f>
        <v/>
      </c>
      <c r="W51" s="52">
        <f>IFERROR(IF(INDEX('Indigenous'!$L$10:$L$11,MATCH($F51,'Indigenous'!$B$10:$B$11,0))="","Cell will autofill based on response",INDEX('Indigenous'!$L$10:$L$11,MATCH($F51,'Indigenous'!$B$10:$B$11,0))),"N/A")</f>
        <v/>
      </c>
      <c r="X51" s="52">
        <f>IFERROR(IF(INDEX('L&amp;R'!$L$10:$L$11,MATCH($F51,'L&amp;R'!$B$10:$B$11,0))="","Cell will autofill based on response",INDEX('L&amp;R'!$L$10:$L$11,MATCH($F51,'L&amp;R'!$B$10:$B$11,0))),"N/A")</f>
        <v/>
      </c>
      <c r="Z51" s="10">
        <f>SUMPRODUCT(--($H51:$X51&lt;&gt;"N/A"))</f>
        <v/>
      </c>
      <c r="AA51" s="10">
        <f>SUMPRODUCT(--(((($H51:$X51&lt;&gt;"N/A")*($H51:$X51&lt;&gt;"Cell will autofill based on response"))+(($H52:$X52&lt;&gt;"N/A")*($H52:$X52&lt;&gt;"Cell will autofill based on response")))&gt;0))</f>
        <v/>
      </c>
      <c r="AB51" s="10">
        <f>Z51-AA51</f>
        <v/>
      </c>
      <c r="AC51" s="10">
        <f>COUNTIF($H55:$X55,"Yes")</f>
        <v/>
      </c>
    </row>
    <row r="52">
      <c r="A52">
        <f>F52&amp;"|"&amp;G52</f>
        <v/>
      </c>
      <c r="B52" s="13" t="inlineStr"/>
      <c r="C52" s="8" t="inlineStr"/>
      <c r="D52" s="8" t="inlineStr"/>
      <c r="E52" s="8" t="inlineStr"/>
      <c r="F52" s="8" t="inlineStr">
        <is>
          <t>TR2(a)</t>
        </is>
      </c>
      <c r="G52" s="8" t="inlineStr">
        <is>
          <t>OPTION 2:  Indicator level reporting</t>
        </is>
      </c>
      <c r="H52" s="52">
        <f>IFERROR(IF(INDEX('Faculties'!$M$10:$M$19,MATCH($F52,'Faculties'!$B$10:$B$19,0))="","Cell will autofill based on response",INDEX('Faculties'!$M$10:$M$19,MATCH($F52,'Faculties'!$B$10:$B$19,0))),"N/A")</f>
        <v/>
      </c>
      <c r="I52" s="52">
        <f>IFERROR(IF(INDEX('Faculties'!$M$26:$M$35,MATCH($F52,'Faculties'!$B$26:$B$35,0))="","Cell will autofill based on response",INDEX('Faculties'!$M$26:$M$35,MATCH($F52,'Faculties'!$B$26:$B$35,0))),"N/A")</f>
        <v/>
      </c>
      <c r="J52" s="52">
        <f>IFERROR(IF(INDEX('Faculties'!$M$42:$M$51,MATCH($F52,'Faculties'!$B$42:$B$51,0))="","Cell will autofill based on response",INDEX('Faculties'!$M$42:$M$51,MATCH($F52,'Faculties'!$B$42:$B$51,0))),"N/A")</f>
        <v/>
      </c>
      <c r="K52" s="52">
        <f>IFERROR(IF(INDEX('Faculties'!$M$58:$M$67,MATCH($F52,'Faculties'!$B$58:$B$67,0))="","Cell will autofill based on response",INDEX('Faculties'!$M$58:$M$67,MATCH($F52,'Faculties'!$B$58:$B$67,0))),"N/A")</f>
        <v/>
      </c>
      <c r="L52" s="52">
        <f>IFERROR(IF(INDEX('CI&amp;S'!$M$10:$M$15,MATCH($F52,'CI&amp;S'!$B$10:$B$15,0))="","Cell will autofill based on response",INDEX('CI&amp;S'!$M$10:$M$15,MATCH($F52,'CI&amp;S'!$B$10:$B$15,0))),"N/A")</f>
        <v/>
      </c>
      <c r="M52" s="52">
        <f>IFERROR(IF(INDEX('CI&amp;S'!$M$22:$M$36,MATCH($F52,'CI&amp;S'!$B$22:$B$36,0))="","Cell will autofill based on response",INDEX('CI&amp;S'!$M$22:$M$36,MATCH($F52,'CI&amp;S'!$B$22:$B$36,0))),"N/A")</f>
        <v/>
      </c>
      <c r="N52" s="52">
        <f>IFERROR(IF(INDEX('CFOG'!$M$10:$M$16,MATCH($F52,'CFOG'!$B$10:$B$16,0))="","Cell will autofill based on response",INDEX('CFOG'!$M$10:$M$16,MATCH($F52,'CFOG'!$B$10:$B$16,0))),"N/A")</f>
        <v/>
      </c>
      <c r="O52" s="52">
        <f>IFERROR(IF(INDEX('CFOG'!$M$23:$M$24,MATCH($F52,'CFOG'!$B$23:$B$24,0))="","Cell will autofill based on response",INDEX('CFOG'!$M$23:$M$24,MATCH($F52,'CFOG'!$B$23:$B$24,0))),"N/A")</f>
        <v/>
      </c>
      <c r="P52" s="52">
        <f>IFERROR(IF(INDEX('ESG'!$M$10:$M$17,MATCH($F52,'ESG'!$B$10:$B$17,0))="","Cell will autofill based on response",INDEX('ESG'!$M$10:$M$17,MATCH($F52,'ESG'!$B$10:$B$17,0))),"N/A")</f>
        <v/>
      </c>
      <c r="Q52" s="52">
        <f>IFERROR(IF(INDEX('CIOG'!$M$10:$M$14,MATCH($F52,'CIOG'!$B$10:$B$14,0))="","Cell will autofill based on response",INDEX('CIOG'!$M$10:$M$14,MATCH($F52,'CIOG'!$B$10:$B$14,0))),"N/A")</f>
        <v/>
      </c>
      <c r="R52" s="52">
        <f>IFERROR(IF(INDEX('MRE'!$M$10:$M$18,MATCH($F52,'MRE'!$B$10:$B$18,0))="","Cell will autofill based on response",INDEX('MRE'!$M$10:$M$18,MATCH($F52,'MRE'!$B$10:$B$18,0))),"N/A")</f>
        <v/>
      </c>
      <c r="S52" s="52">
        <f>IFERROR(IF(INDEX('AC&amp;M'!$M$10:$M$14,MATCH($F52,'AC&amp;M'!$B$10:$B$14,0))="","Cell will autofill based on response",INDEX('AC&amp;M'!$M$10:$M$14,MATCH($F52,'AC&amp;M'!$B$10:$B$14,0))),"N/A")</f>
        <v/>
      </c>
      <c r="T52" s="52">
        <f>IFERROR(IF(INDEX('GCE'!$M$10:$M$12,MATCH($F52,'GCE'!$B$10:$B$12,0))="","Cell will autofill based on response",INDEX('GCE'!$M$10:$M$12,MATCH($F52,'GCE'!$B$10:$B$12,0))),"N/A")</f>
        <v/>
      </c>
      <c r="U52" s="52">
        <f>IFERROR(IF(INDEX('Education'!$M$10:$M$13,MATCH($F52,'Education'!$B$10:$B$13,0))="","Cell will autofill based on response",INDEX('Education'!$M$10:$M$13,MATCH($F52,'Education'!$B$10:$B$13,0))),"N/A")</f>
        <v/>
      </c>
      <c r="V52" s="52">
        <f>IFERROR(IF(INDEX('SaSS'!$M$10:$M$12,MATCH($F52,'SaSS'!$B$10:$B$12,0))="","Cell will autofill based on response",INDEX('SaSS'!$M$10:$M$12,MATCH($F52,'SaSS'!$B$10:$B$12,0))),"N/A")</f>
        <v/>
      </c>
      <c r="W52" s="52">
        <f>IFERROR(IF(INDEX('Indigenous'!$M$10:$M$11,MATCH($F52,'Indigenous'!$B$10:$B$11,0))="","Cell will autofill based on response",INDEX('Indigenous'!$M$10:$M$11,MATCH($F52,'Indigenous'!$B$10:$B$11,0))),"N/A")</f>
        <v/>
      </c>
      <c r="X52" s="52">
        <f>IFERROR(IF(INDEX('L&amp;R'!$M$10:$M$11,MATCH($F52,'L&amp;R'!$B$10:$B$11,0))="","Cell will autofill based on response",INDEX('L&amp;R'!$M$10:$M$11,MATCH($F52,'L&amp;R'!$B$10:$B$11,0))),"N/A")</f>
        <v/>
      </c>
    </row>
    <row r="53">
      <c r="A53">
        <f>F53&amp;"|"&amp;G53</f>
        <v/>
      </c>
      <c r="B53" s="13" t="inlineStr"/>
      <c r="C53" s="8" t="inlineStr"/>
      <c r="D53" s="8" t="inlineStr"/>
      <c r="E53" s="8" t="inlineStr"/>
      <c r="F53" s="8" t="inlineStr">
        <is>
          <t>TR2(a)</t>
        </is>
      </c>
      <c r="G53" s="8" t="inlineStr">
        <is>
          <t>Supporting information/comments</t>
        </is>
      </c>
      <c r="H53" s="52">
        <f>IFERROR(IF(INDEX('Faculties'!$N$10:$N$19,MATCH($F53,'Faculties'!$B$10:$B$19,0))="","Cell will autofill based on response",INDEX('Faculties'!$N$10:$N$19,MATCH($F53,'Faculties'!$B$10:$B$19,0))),"N/A")</f>
        <v/>
      </c>
      <c r="I53" s="52">
        <f>IFERROR(IF(INDEX('Faculties'!$N$26:$N$35,MATCH($F53,'Faculties'!$B$26:$B$35,0))="","Cell will autofill based on response",INDEX('Faculties'!$N$26:$N$35,MATCH($F53,'Faculties'!$B$26:$B$35,0))),"N/A")</f>
        <v/>
      </c>
      <c r="J53" s="52">
        <f>IFERROR(IF(INDEX('Faculties'!$N$42:$N$51,MATCH($F53,'Faculties'!$B$42:$B$51,0))="","Cell will autofill based on response",INDEX('Faculties'!$N$42:$N$51,MATCH($F53,'Faculties'!$B$42:$B$51,0))),"N/A")</f>
        <v/>
      </c>
      <c r="K53" s="52">
        <f>IFERROR(IF(INDEX('Faculties'!$N$58:$N$67,MATCH($F53,'Faculties'!$B$58:$B$67,0))="","Cell will autofill based on response",INDEX('Faculties'!$N$58:$N$67,MATCH($F53,'Faculties'!$B$58:$B$67,0))),"N/A")</f>
        <v/>
      </c>
      <c r="L53" s="52">
        <f>IFERROR(IF(INDEX('CI&amp;S'!$N$10:$N$15,MATCH($F53,'CI&amp;S'!$B$10:$B$15,0))="","Cell will autofill based on response",INDEX('CI&amp;S'!$N$10:$N$15,MATCH($F53,'CI&amp;S'!$B$10:$B$15,0))),"N/A")</f>
        <v/>
      </c>
      <c r="M53" s="52">
        <f>IFERROR(IF(INDEX('CI&amp;S'!$N$22:$N$36,MATCH($F53,'CI&amp;S'!$B$22:$B$36,0))="","Cell will autofill based on response",INDEX('CI&amp;S'!$N$22:$N$36,MATCH($F53,'CI&amp;S'!$B$22:$B$36,0))),"N/A")</f>
        <v/>
      </c>
      <c r="N53" s="52">
        <f>IFERROR(IF(INDEX('CFOG'!$N$10:$N$16,MATCH($F53,'CFOG'!$B$10:$B$16,0))="","Cell will autofill based on response",INDEX('CFOG'!$N$10:$N$16,MATCH($F53,'CFOG'!$B$10:$B$16,0))),"N/A")</f>
        <v/>
      </c>
      <c r="O53" s="52">
        <f>IFERROR(IF(INDEX('CFOG'!$N$23:$N$24,MATCH($F53,'CFOG'!$B$23:$B$24,0))="","Cell will autofill based on response",INDEX('CFOG'!$N$23:$N$24,MATCH($F53,'CFOG'!$B$23:$B$24,0))),"N/A")</f>
        <v/>
      </c>
      <c r="P53" s="52">
        <f>IFERROR(IF(INDEX('ESG'!$N$10:$N$17,MATCH($F53,'ESG'!$B$10:$B$17,0))="","Cell will autofill based on response",INDEX('ESG'!$N$10:$N$17,MATCH($F53,'ESG'!$B$10:$B$17,0))),"N/A")</f>
        <v/>
      </c>
      <c r="Q53" s="52">
        <f>IFERROR(IF(INDEX('CIOG'!$N$10:$N$14,MATCH($F53,'CIOG'!$B$10:$B$14,0))="","Cell will autofill based on response",INDEX('CIOG'!$N$10:$N$14,MATCH($F53,'CIOG'!$B$10:$B$14,0))),"N/A")</f>
        <v/>
      </c>
      <c r="R53" s="52">
        <f>IFERROR(IF(INDEX('MRE'!$N$10:$N$18,MATCH($F53,'MRE'!$B$10:$B$18,0))="","Cell will autofill based on response",INDEX('MRE'!$N$10:$N$18,MATCH($F53,'MRE'!$B$10:$B$18,0))),"N/A")</f>
        <v/>
      </c>
      <c r="S53" s="52">
        <f>IFERROR(IF(INDEX('AC&amp;M'!$N$10:$N$14,MATCH($F53,'AC&amp;M'!$B$10:$B$14,0))="","Cell will autofill based on response",INDEX('AC&amp;M'!$N$10:$N$14,MATCH($F53,'AC&amp;M'!$B$10:$B$14,0))),"N/A")</f>
        <v/>
      </c>
      <c r="T53" s="52">
        <f>IFERROR(IF(INDEX('GCE'!$N$10:$N$12,MATCH($F53,'GCE'!$B$10:$B$12,0))="","Cell will autofill based on response",INDEX('GCE'!$N$10:$N$12,MATCH($F53,'GCE'!$B$10:$B$12,0))),"N/A")</f>
        <v/>
      </c>
      <c r="U53" s="52">
        <f>IFERROR(IF(INDEX('Education'!$N$10:$N$13,MATCH($F53,'Education'!$B$10:$B$13,0))="","Cell will autofill based on response",INDEX('Education'!$N$10:$N$13,MATCH($F53,'Education'!$B$10:$B$13,0))),"N/A")</f>
        <v/>
      </c>
      <c r="V53" s="52">
        <f>IFERROR(IF(INDEX('SaSS'!$N$10:$N$12,MATCH($F53,'SaSS'!$B$10:$B$12,0))="","Cell will autofill based on response",INDEX('SaSS'!$N$10:$N$12,MATCH($F53,'SaSS'!$B$10:$B$12,0))),"N/A")</f>
        <v/>
      </c>
      <c r="W53" s="52">
        <f>IFERROR(IF(INDEX('Indigenous'!$N$10:$N$11,MATCH($F53,'Indigenous'!$B$10:$B$11,0))="","Cell will autofill based on response",INDEX('Indigenous'!$N$10:$N$11,MATCH($F53,'Indigenous'!$B$10:$B$11,0))),"N/A")</f>
        <v/>
      </c>
      <c r="X53" s="52">
        <f>IFERROR(IF(INDEX('L&amp;R'!$N$10:$N$11,MATCH($F53,'L&amp;R'!$B$10:$B$11,0))="","Cell will autofill based on response",INDEX('L&amp;R'!$N$10:$N$11,MATCH($F53,'L&amp;R'!$B$10:$B$11,0))),"N/A")</f>
        <v/>
      </c>
    </row>
    <row r="54">
      <c r="A54">
        <f>F54&amp;"|"&amp;G54</f>
        <v/>
      </c>
      <c r="B54" s="13" t="inlineStr"/>
      <c r="C54" s="8" t="inlineStr"/>
      <c r="D54" s="8" t="inlineStr"/>
      <c r="E54" s="8" t="inlineStr"/>
      <c r="F54" s="8" t="inlineStr">
        <is>
          <t>TR2(a)</t>
        </is>
      </c>
      <c r="G54" s="8" t="inlineStr">
        <is>
          <t>Data source and limitations</t>
        </is>
      </c>
      <c r="H54" s="52">
        <f>IFERROR(IF(INDEX('Faculties'!$O$10:$O$19,MATCH($F54,'Faculties'!$B$10:$B$19,0))="","Cell will autofill based on response",INDEX('Faculties'!$O$10:$O$19,MATCH($F54,'Faculties'!$B$10:$B$19,0))),"N/A")</f>
        <v/>
      </c>
      <c r="I54" s="52">
        <f>IFERROR(IF(INDEX('Faculties'!$O$26:$O$35,MATCH($F54,'Faculties'!$B$26:$B$35,0))="","Cell will autofill based on response",INDEX('Faculties'!$O$26:$O$35,MATCH($F54,'Faculties'!$B$26:$B$35,0))),"N/A")</f>
        <v/>
      </c>
      <c r="J54" s="52">
        <f>IFERROR(IF(INDEX('Faculties'!$O$42:$O$51,MATCH($F54,'Faculties'!$B$42:$B$51,0))="","Cell will autofill based on response",INDEX('Faculties'!$O$42:$O$51,MATCH($F54,'Faculties'!$B$42:$B$51,0))),"N/A")</f>
        <v/>
      </c>
      <c r="K54" s="52">
        <f>IFERROR(IF(INDEX('Faculties'!$O$58:$O$67,MATCH($F54,'Faculties'!$B$58:$B$67,0))="","Cell will autofill based on response",INDEX('Faculties'!$O$58:$O$67,MATCH($F54,'Faculties'!$B$58:$B$67,0))),"N/A")</f>
        <v/>
      </c>
      <c r="L54" s="52">
        <f>IFERROR(IF(INDEX('CI&amp;S'!$O$10:$O$15,MATCH($F54,'CI&amp;S'!$B$10:$B$15,0))="","Cell will autofill based on response",INDEX('CI&amp;S'!$O$10:$O$15,MATCH($F54,'CI&amp;S'!$B$10:$B$15,0))),"N/A")</f>
        <v/>
      </c>
      <c r="M54" s="52">
        <f>IFERROR(IF(INDEX('CI&amp;S'!$O$22:$O$36,MATCH($F54,'CI&amp;S'!$B$22:$B$36,0))="","Cell will autofill based on response",INDEX('CI&amp;S'!$O$22:$O$36,MATCH($F54,'CI&amp;S'!$B$22:$B$36,0))),"N/A")</f>
        <v/>
      </c>
      <c r="N54" s="52">
        <f>IFERROR(IF(INDEX('CFOG'!$O$10:$O$16,MATCH($F54,'CFOG'!$B$10:$B$16,0))="","Cell will autofill based on response",INDEX('CFOG'!$O$10:$O$16,MATCH($F54,'CFOG'!$B$10:$B$16,0))),"N/A")</f>
        <v/>
      </c>
      <c r="O54" s="52">
        <f>IFERROR(IF(INDEX('CFOG'!$O$23:$O$24,MATCH($F54,'CFOG'!$B$23:$B$24,0))="","Cell will autofill based on response",INDEX('CFOG'!$O$23:$O$24,MATCH($F54,'CFOG'!$B$23:$B$24,0))),"N/A")</f>
        <v/>
      </c>
      <c r="P54" s="52">
        <f>IFERROR(IF(INDEX('ESG'!$O$10:$O$17,MATCH($F54,'ESG'!$B$10:$B$17,0))="","Cell will autofill based on response",INDEX('ESG'!$O$10:$O$17,MATCH($F54,'ESG'!$B$10:$B$17,0))),"N/A")</f>
        <v/>
      </c>
      <c r="Q54" s="52">
        <f>IFERROR(IF(INDEX('CIOG'!$O$10:$O$14,MATCH($F54,'CIOG'!$B$10:$B$14,0))="","Cell will autofill based on response",INDEX('CIOG'!$O$10:$O$14,MATCH($F54,'CIOG'!$B$10:$B$14,0))),"N/A")</f>
        <v/>
      </c>
      <c r="R54" s="52">
        <f>IFERROR(IF(INDEX('MRE'!$O$10:$O$18,MATCH($F54,'MRE'!$B$10:$B$18,0))="","Cell will autofill based on response",INDEX('MRE'!$O$10:$O$18,MATCH($F54,'MRE'!$B$10:$B$18,0))),"N/A")</f>
        <v/>
      </c>
      <c r="S54" s="52">
        <f>IFERROR(IF(INDEX('AC&amp;M'!$O$10:$O$14,MATCH($F54,'AC&amp;M'!$B$10:$B$14,0))="","Cell will autofill based on response",INDEX('AC&amp;M'!$O$10:$O$14,MATCH($F54,'AC&amp;M'!$B$10:$B$14,0))),"N/A")</f>
        <v/>
      </c>
      <c r="T54" s="52">
        <f>IFERROR(IF(INDEX('GCE'!$O$10:$O$12,MATCH($F54,'GCE'!$B$10:$B$12,0))="","Cell will autofill based on response",INDEX('GCE'!$O$10:$O$12,MATCH($F54,'GCE'!$B$10:$B$12,0))),"N/A")</f>
        <v/>
      </c>
      <c r="U54" s="52">
        <f>IFERROR(IF(INDEX('Education'!$O$10:$O$13,MATCH($F54,'Education'!$B$10:$B$13,0))="","Cell will autofill based on response",INDEX('Education'!$O$10:$O$13,MATCH($F54,'Education'!$B$10:$B$13,0))),"N/A")</f>
        <v/>
      </c>
      <c r="V54" s="52">
        <f>IFERROR(IF(INDEX('SaSS'!$O$10:$O$12,MATCH($F54,'SaSS'!$B$10:$B$12,0))="","Cell will autofill based on response",INDEX('SaSS'!$O$10:$O$12,MATCH($F54,'SaSS'!$B$10:$B$12,0))),"N/A")</f>
        <v/>
      </c>
      <c r="W54" s="52">
        <f>IFERROR(IF(INDEX('Indigenous'!$O$10:$O$11,MATCH($F54,'Indigenous'!$B$10:$B$11,0))="","Cell will autofill based on response",INDEX('Indigenous'!$O$10:$O$11,MATCH($F54,'Indigenous'!$B$10:$B$11,0))),"N/A")</f>
        <v/>
      </c>
      <c r="X54" s="52">
        <f>IFERROR(IF(INDEX('L&amp;R'!$O$10:$O$11,MATCH($F54,'L&amp;R'!$B$10:$B$11,0))="","Cell will autofill based on response",INDEX('L&amp;R'!$O$10:$O$11,MATCH($F54,'L&amp;R'!$B$10:$B$11,0))),"N/A")</f>
        <v/>
      </c>
    </row>
    <row r="55">
      <c r="A55">
        <f>F55&amp;"|"&amp;G55</f>
        <v/>
      </c>
      <c r="B55" s="13" t="inlineStr"/>
      <c r="C55" s="8" t="inlineStr"/>
      <c r="D55" s="8" t="inlineStr"/>
      <c r="E55" s="8" t="inlineStr"/>
      <c r="F55" s="8" t="inlineStr">
        <is>
          <t>TR2(a)</t>
        </is>
      </c>
      <c r="G55" s="8" t="inlineStr">
        <is>
          <t>Data owner confirms</t>
        </is>
      </c>
      <c r="H55" s="52">
        <f>IFERROR(IF(INDEX('Faculties'!$P$10:$P$19,MATCH($F55,'Faculties'!$B$10:$B$19,0))="","Cell will autofill based on response",INDEX('Faculties'!$P$10:$P$19,MATCH($F55,'Faculties'!$B$10:$B$19,0))),"N/A")</f>
        <v/>
      </c>
      <c r="I55" s="52">
        <f>IFERROR(IF(INDEX('Faculties'!$P$26:$P$35,MATCH($F55,'Faculties'!$B$26:$B$35,0))="","Cell will autofill based on response",INDEX('Faculties'!$P$26:$P$35,MATCH($F55,'Faculties'!$B$26:$B$35,0))),"N/A")</f>
        <v/>
      </c>
      <c r="J55" s="52">
        <f>IFERROR(IF(INDEX('Faculties'!$P$42:$P$51,MATCH($F55,'Faculties'!$B$42:$B$51,0))="","Cell will autofill based on response",INDEX('Faculties'!$P$42:$P$51,MATCH($F55,'Faculties'!$B$42:$B$51,0))),"N/A")</f>
        <v/>
      </c>
      <c r="K55" s="52">
        <f>IFERROR(IF(INDEX('Faculties'!$P$58:$P$67,MATCH($F55,'Faculties'!$B$58:$B$67,0))="","Cell will autofill based on response",INDEX('Faculties'!$P$58:$P$67,MATCH($F55,'Faculties'!$B$58:$B$67,0))),"N/A")</f>
        <v/>
      </c>
      <c r="L55" s="52">
        <f>IFERROR(IF(INDEX('CI&amp;S'!$P$10:$P$15,MATCH($F55,'CI&amp;S'!$B$10:$B$15,0))="","Cell will autofill based on response",INDEX('CI&amp;S'!$P$10:$P$15,MATCH($F55,'CI&amp;S'!$B$10:$B$15,0))),"N/A")</f>
        <v/>
      </c>
      <c r="M55" s="52">
        <f>IFERROR(IF(INDEX('CI&amp;S'!$P$22:$P$36,MATCH($F55,'CI&amp;S'!$B$22:$B$36,0))="","Cell will autofill based on response",INDEX('CI&amp;S'!$P$22:$P$36,MATCH($F55,'CI&amp;S'!$B$22:$B$36,0))),"N/A")</f>
        <v/>
      </c>
      <c r="N55" s="52">
        <f>IFERROR(IF(INDEX('CFOG'!$P$10:$P$16,MATCH($F55,'CFOG'!$B$10:$B$16,0))="","Cell will autofill based on response",INDEX('CFOG'!$P$10:$P$16,MATCH($F55,'CFOG'!$B$10:$B$16,0))),"N/A")</f>
        <v/>
      </c>
      <c r="O55" s="52">
        <f>IFERROR(IF(INDEX('CFOG'!$P$23:$P$24,MATCH($F55,'CFOG'!$B$23:$B$24,0))="","Cell will autofill based on response",INDEX('CFOG'!$P$23:$P$24,MATCH($F55,'CFOG'!$B$23:$B$24,0))),"N/A")</f>
        <v/>
      </c>
      <c r="P55" s="52">
        <f>IFERROR(IF(INDEX('ESG'!$P$10:$P$17,MATCH($F55,'ESG'!$B$10:$B$17,0))="","Cell will autofill based on response",INDEX('ESG'!$P$10:$P$17,MATCH($F55,'ESG'!$B$10:$B$17,0))),"N/A")</f>
        <v/>
      </c>
      <c r="Q55" s="52">
        <f>IFERROR(IF(INDEX('CIOG'!$P$10:$P$14,MATCH($F55,'CIOG'!$B$10:$B$14,0))="","Cell will autofill based on response",INDEX('CIOG'!$P$10:$P$14,MATCH($F55,'CIOG'!$B$10:$B$14,0))),"N/A")</f>
        <v/>
      </c>
      <c r="R55" s="52">
        <f>IFERROR(IF(INDEX('MRE'!$P$10:$P$18,MATCH($F55,'MRE'!$B$10:$B$18,0))="","Cell will autofill based on response",INDEX('MRE'!$P$10:$P$18,MATCH($F55,'MRE'!$B$10:$B$18,0))),"N/A")</f>
        <v/>
      </c>
      <c r="S55" s="52">
        <f>IFERROR(IF(INDEX('AC&amp;M'!$P$10:$P$14,MATCH($F55,'AC&amp;M'!$B$10:$B$14,0))="","Cell will autofill based on response",INDEX('AC&amp;M'!$P$10:$P$14,MATCH($F55,'AC&amp;M'!$B$10:$B$14,0))),"N/A")</f>
        <v/>
      </c>
      <c r="T55" s="52">
        <f>IFERROR(IF(INDEX('GCE'!$P$10:$P$12,MATCH($F55,'GCE'!$B$10:$B$12,0))="","Cell will autofill based on response",INDEX('GCE'!$P$10:$P$12,MATCH($F55,'GCE'!$B$10:$B$12,0))),"N/A")</f>
        <v/>
      </c>
      <c r="U55" s="52">
        <f>IFERROR(IF(INDEX('Education'!$P$10:$P$13,MATCH($F55,'Education'!$B$10:$B$13,0))="","Cell will autofill based on response",INDEX('Education'!$P$10:$P$13,MATCH($F55,'Education'!$B$10:$B$13,0))),"N/A")</f>
        <v/>
      </c>
      <c r="V55" s="52">
        <f>IFERROR(IF(INDEX('SaSS'!$P$10:$P$12,MATCH($F55,'SaSS'!$B$10:$B$12,0))="","Cell will autofill based on response",INDEX('SaSS'!$P$10:$P$12,MATCH($F55,'SaSS'!$B$10:$B$12,0))),"N/A")</f>
        <v/>
      </c>
      <c r="W55" s="52">
        <f>IFERROR(IF(INDEX('Indigenous'!$P$10:$P$11,MATCH($F55,'Indigenous'!$B$10:$B$11,0))="","Cell will autofill based on response",INDEX('Indigenous'!$P$10:$P$11,MATCH($F55,'Indigenous'!$B$10:$B$11,0))),"N/A")</f>
        <v/>
      </c>
      <c r="X55" s="52">
        <f>IFERROR(IF(INDEX('L&amp;R'!$P$10:$P$11,MATCH($F55,'L&amp;R'!$B$10:$B$11,0))="","Cell will autofill based on response",INDEX('L&amp;R'!$P$10:$P$11,MATCH($F55,'L&amp;R'!$B$10:$B$11,0))),"N/A")</f>
        <v/>
      </c>
    </row>
    <row r="56">
      <c r="A56">
        <f>F56&amp;"|"&amp;G56</f>
        <v/>
      </c>
      <c r="B56" s="7" t="inlineStr">
        <is>
          <t>TR2(c)</t>
        </is>
      </c>
      <c r="C56" s="50" t="inlineStr">
        <is>
          <t>Transformational research</t>
        </is>
      </c>
      <c r="D56" s="50" t="inlineStr">
        <is>
          <t>Expert-reviewed summary of sustainability-related research outputs, outcomes and influence using available institutional evidence sources</t>
        </is>
      </c>
      <c r="E56" s="50" t="inlineStr">
        <is>
          <t>currently mapped to the SDGs using SciVal</t>
        </is>
      </c>
      <c r="F56" s="50" t="inlineStr">
        <is>
          <t>TR2(c)</t>
        </is>
      </c>
      <c r="G56" s="50" t="inlineStr">
        <is>
          <t>OPTION 1:  Target-level reporting</t>
        </is>
      </c>
      <c r="H56" s="52">
        <f>IFERROR(IF(INDEX('Faculties'!$L$10:$L$19,MATCH($F56,'Faculties'!$B$10:$B$19,0))="","Cell will autofill based on response",INDEX('Faculties'!$L$10:$L$19,MATCH($F56,'Faculties'!$B$10:$B$19,0))),"N/A")</f>
        <v/>
      </c>
      <c r="I56" s="52">
        <f>IFERROR(IF(INDEX('Faculties'!$L$26:$L$35,MATCH($F56,'Faculties'!$B$26:$B$35,0))="","Cell will autofill based on response",INDEX('Faculties'!$L$26:$L$35,MATCH($F56,'Faculties'!$B$26:$B$35,0))),"N/A")</f>
        <v/>
      </c>
      <c r="J56" s="52">
        <f>IFERROR(IF(INDEX('Faculties'!$L$42:$L$51,MATCH($F56,'Faculties'!$B$42:$B$51,0))="","Cell will autofill based on response",INDEX('Faculties'!$L$42:$L$51,MATCH($F56,'Faculties'!$B$42:$B$51,0))),"N/A")</f>
        <v/>
      </c>
      <c r="K56" s="52">
        <f>IFERROR(IF(INDEX('Faculties'!$L$58:$L$67,MATCH($F56,'Faculties'!$B$58:$B$67,0))="","Cell will autofill based on response",INDEX('Faculties'!$L$58:$L$67,MATCH($F56,'Faculties'!$B$58:$B$67,0))),"N/A")</f>
        <v/>
      </c>
      <c r="L56" s="52">
        <f>IFERROR(IF(INDEX('CI&amp;S'!$L$10:$L$15,MATCH($F56,'CI&amp;S'!$B$10:$B$15,0))="","Cell will autofill based on response",INDEX('CI&amp;S'!$L$10:$L$15,MATCH($F56,'CI&amp;S'!$B$10:$B$15,0))),"N/A")</f>
        <v/>
      </c>
      <c r="M56" s="52">
        <f>IFERROR(IF(INDEX('CI&amp;S'!$L$22:$L$36,MATCH($F56,'CI&amp;S'!$B$22:$B$36,0))="","Cell will autofill based on response",INDEX('CI&amp;S'!$L$22:$L$36,MATCH($F56,'CI&amp;S'!$B$22:$B$36,0))),"N/A")</f>
        <v/>
      </c>
      <c r="N56" s="52">
        <f>IFERROR(IF(INDEX('CFOG'!$L$10:$L$16,MATCH($F56,'CFOG'!$B$10:$B$16,0))="","Cell will autofill based on response",INDEX('CFOG'!$L$10:$L$16,MATCH($F56,'CFOG'!$B$10:$B$16,0))),"N/A")</f>
        <v/>
      </c>
      <c r="O56" s="52">
        <f>IFERROR(IF(INDEX('CFOG'!$L$23:$L$24,MATCH($F56,'CFOG'!$B$23:$B$24,0))="","Cell will autofill based on response",INDEX('CFOG'!$L$23:$L$24,MATCH($F56,'CFOG'!$B$23:$B$24,0))),"N/A")</f>
        <v/>
      </c>
      <c r="P56" s="52">
        <f>IFERROR(IF(INDEX('ESG'!$L$10:$L$17,MATCH($F56,'ESG'!$B$10:$B$17,0))="","Cell will autofill based on response",INDEX('ESG'!$L$10:$L$17,MATCH($F56,'ESG'!$B$10:$B$17,0))),"N/A")</f>
        <v/>
      </c>
      <c r="Q56" s="52">
        <f>IFERROR(IF(INDEX('CIOG'!$L$10:$L$14,MATCH($F56,'CIOG'!$B$10:$B$14,0))="","Cell will autofill based on response",INDEX('CIOG'!$L$10:$L$14,MATCH($F56,'CIOG'!$B$10:$B$14,0))),"N/A")</f>
        <v/>
      </c>
      <c r="R56" s="52">
        <f>IFERROR(IF(INDEX('MRE'!$L$10:$L$18,MATCH($F56,'MRE'!$B$10:$B$18,0))="","Cell will autofill based on response",INDEX('MRE'!$L$10:$L$18,MATCH($F56,'MRE'!$B$10:$B$18,0))),"N/A")</f>
        <v/>
      </c>
      <c r="S56" s="52">
        <f>IFERROR(IF(INDEX('AC&amp;M'!$L$10:$L$14,MATCH($F56,'AC&amp;M'!$B$10:$B$14,0))="","Cell will autofill based on response",INDEX('AC&amp;M'!$L$10:$L$14,MATCH($F56,'AC&amp;M'!$B$10:$B$14,0))),"N/A")</f>
        <v/>
      </c>
      <c r="T56" s="52">
        <f>IFERROR(IF(INDEX('GCE'!$L$10:$L$12,MATCH($F56,'GCE'!$B$10:$B$12,0))="","Cell will autofill based on response",INDEX('GCE'!$L$10:$L$12,MATCH($F56,'GCE'!$B$10:$B$12,0))),"N/A")</f>
        <v/>
      </c>
      <c r="U56" s="52">
        <f>IFERROR(IF(INDEX('Education'!$L$10:$L$13,MATCH($F56,'Education'!$B$10:$B$13,0))="","Cell will autofill based on response",INDEX('Education'!$L$10:$L$13,MATCH($F56,'Education'!$B$10:$B$13,0))),"N/A")</f>
        <v/>
      </c>
      <c r="V56" s="52">
        <f>IFERROR(IF(INDEX('SaSS'!$L$10:$L$12,MATCH($F56,'SaSS'!$B$10:$B$12,0))="","Cell will autofill based on response",INDEX('SaSS'!$L$10:$L$12,MATCH($F56,'SaSS'!$B$10:$B$12,0))),"N/A")</f>
        <v/>
      </c>
      <c r="W56" s="52">
        <f>IFERROR(IF(INDEX('Indigenous'!$L$10:$L$11,MATCH($F56,'Indigenous'!$B$10:$B$11,0))="","Cell will autofill based on response",INDEX('Indigenous'!$L$10:$L$11,MATCH($F56,'Indigenous'!$B$10:$B$11,0))),"N/A")</f>
        <v/>
      </c>
      <c r="X56" s="52">
        <f>IFERROR(IF(INDEX('L&amp;R'!$L$10:$L$11,MATCH($F56,'L&amp;R'!$B$10:$B$11,0))="","Cell will autofill based on response",INDEX('L&amp;R'!$L$10:$L$11,MATCH($F56,'L&amp;R'!$B$10:$B$11,0))),"N/A")</f>
        <v/>
      </c>
      <c r="Z56" s="10">
        <f>SUMPRODUCT(--($H56:$X56&lt;&gt;"N/A"))</f>
        <v/>
      </c>
      <c r="AA56" s="10">
        <f>SUMPRODUCT(--(((($H56:$X56&lt;&gt;"N/A")*($H56:$X56&lt;&gt;"Cell will autofill based on response"))+(($H57:$X57&lt;&gt;"N/A")*($H57:$X57&lt;&gt;"Cell will autofill based on response")))&gt;0))</f>
        <v/>
      </c>
      <c r="AB56" s="10">
        <f>Z56-AA56</f>
        <v/>
      </c>
      <c r="AC56" s="10">
        <f>COUNTIF($H60:$X60,"Yes")</f>
        <v/>
      </c>
    </row>
    <row r="57">
      <c r="A57">
        <f>F57&amp;"|"&amp;G57</f>
        <v/>
      </c>
      <c r="B57" s="13" t="inlineStr"/>
      <c r="C57" s="8" t="inlineStr"/>
      <c r="D57" s="8" t="inlineStr"/>
      <c r="E57" s="8" t="inlineStr"/>
      <c r="F57" s="8" t="inlineStr">
        <is>
          <t>TR2(c)</t>
        </is>
      </c>
      <c r="G57" s="8" t="inlineStr">
        <is>
          <t>OPTION 2:  Indicator level reporting</t>
        </is>
      </c>
      <c r="H57" s="52">
        <f>IFERROR(IF(INDEX('Faculties'!$M$10:$M$19,MATCH($F57,'Faculties'!$B$10:$B$19,0))="","Cell will autofill based on response",INDEX('Faculties'!$M$10:$M$19,MATCH($F57,'Faculties'!$B$10:$B$19,0))),"N/A")</f>
        <v/>
      </c>
      <c r="I57" s="52">
        <f>IFERROR(IF(INDEX('Faculties'!$M$26:$M$35,MATCH($F57,'Faculties'!$B$26:$B$35,0))="","Cell will autofill based on response",INDEX('Faculties'!$M$26:$M$35,MATCH($F57,'Faculties'!$B$26:$B$35,0))),"N/A")</f>
        <v/>
      </c>
      <c r="J57" s="52">
        <f>IFERROR(IF(INDEX('Faculties'!$M$42:$M$51,MATCH($F57,'Faculties'!$B$42:$B$51,0))="","Cell will autofill based on response",INDEX('Faculties'!$M$42:$M$51,MATCH($F57,'Faculties'!$B$42:$B$51,0))),"N/A")</f>
        <v/>
      </c>
      <c r="K57" s="52">
        <f>IFERROR(IF(INDEX('Faculties'!$M$58:$M$67,MATCH($F57,'Faculties'!$B$58:$B$67,0))="","Cell will autofill based on response",INDEX('Faculties'!$M$58:$M$67,MATCH($F57,'Faculties'!$B$58:$B$67,0))),"N/A")</f>
        <v/>
      </c>
      <c r="L57" s="52">
        <f>IFERROR(IF(INDEX('CI&amp;S'!$M$10:$M$15,MATCH($F57,'CI&amp;S'!$B$10:$B$15,0))="","Cell will autofill based on response",INDEX('CI&amp;S'!$M$10:$M$15,MATCH($F57,'CI&amp;S'!$B$10:$B$15,0))),"N/A")</f>
        <v/>
      </c>
      <c r="M57" s="52">
        <f>IFERROR(IF(INDEX('CI&amp;S'!$M$22:$M$36,MATCH($F57,'CI&amp;S'!$B$22:$B$36,0))="","Cell will autofill based on response",INDEX('CI&amp;S'!$M$22:$M$36,MATCH($F57,'CI&amp;S'!$B$22:$B$36,0))),"N/A")</f>
        <v/>
      </c>
      <c r="N57" s="52">
        <f>IFERROR(IF(INDEX('CFOG'!$M$10:$M$16,MATCH($F57,'CFOG'!$B$10:$B$16,0))="","Cell will autofill based on response",INDEX('CFOG'!$M$10:$M$16,MATCH($F57,'CFOG'!$B$10:$B$16,0))),"N/A")</f>
        <v/>
      </c>
      <c r="O57" s="52">
        <f>IFERROR(IF(INDEX('CFOG'!$M$23:$M$24,MATCH($F57,'CFOG'!$B$23:$B$24,0))="","Cell will autofill based on response",INDEX('CFOG'!$M$23:$M$24,MATCH($F57,'CFOG'!$B$23:$B$24,0))),"N/A")</f>
        <v/>
      </c>
      <c r="P57" s="52">
        <f>IFERROR(IF(INDEX('ESG'!$M$10:$M$17,MATCH($F57,'ESG'!$B$10:$B$17,0))="","Cell will autofill based on response",INDEX('ESG'!$M$10:$M$17,MATCH($F57,'ESG'!$B$10:$B$17,0))),"N/A")</f>
        <v/>
      </c>
      <c r="Q57" s="52">
        <f>IFERROR(IF(INDEX('CIOG'!$M$10:$M$14,MATCH($F57,'CIOG'!$B$10:$B$14,0))="","Cell will autofill based on response",INDEX('CIOG'!$M$10:$M$14,MATCH($F57,'CIOG'!$B$10:$B$14,0))),"N/A")</f>
        <v/>
      </c>
      <c r="R57" s="52">
        <f>IFERROR(IF(INDEX('MRE'!$M$10:$M$18,MATCH($F57,'MRE'!$B$10:$B$18,0))="","Cell will autofill based on response",INDEX('MRE'!$M$10:$M$18,MATCH($F57,'MRE'!$B$10:$B$18,0))),"N/A")</f>
        <v/>
      </c>
      <c r="S57" s="52">
        <f>IFERROR(IF(INDEX('AC&amp;M'!$M$10:$M$14,MATCH($F57,'AC&amp;M'!$B$10:$B$14,0))="","Cell will autofill based on response",INDEX('AC&amp;M'!$M$10:$M$14,MATCH($F57,'AC&amp;M'!$B$10:$B$14,0))),"N/A")</f>
        <v/>
      </c>
      <c r="T57" s="52">
        <f>IFERROR(IF(INDEX('GCE'!$M$10:$M$12,MATCH($F57,'GCE'!$B$10:$B$12,0))="","Cell will autofill based on response",INDEX('GCE'!$M$10:$M$12,MATCH($F57,'GCE'!$B$10:$B$12,0))),"N/A")</f>
        <v/>
      </c>
      <c r="U57" s="52">
        <f>IFERROR(IF(INDEX('Education'!$M$10:$M$13,MATCH($F57,'Education'!$B$10:$B$13,0))="","Cell will autofill based on response",INDEX('Education'!$M$10:$M$13,MATCH($F57,'Education'!$B$10:$B$13,0))),"N/A")</f>
        <v/>
      </c>
      <c r="V57" s="52">
        <f>IFERROR(IF(INDEX('SaSS'!$M$10:$M$12,MATCH($F57,'SaSS'!$B$10:$B$12,0))="","Cell will autofill based on response",INDEX('SaSS'!$M$10:$M$12,MATCH($F57,'SaSS'!$B$10:$B$12,0))),"N/A")</f>
        <v/>
      </c>
      <c r="W57" s="52">
        <f>IFERROR(IF(INDEX('Indigenous'!$M$10:$M$11,MATCH($F57,'Indigenous'!$B$10:$B$11,0))="","Cell will autofill based on response",INDEX('Indigenous'!$M$10:$M$11,MATCH($F57,'Indigenous'!$B$10:$B$11,0))),"N/A")</f>
        <v/>
      </c>
      <c r="X57" s="52">
        <f>IFERROR(IF(INDEX('L&amp;R'!$M$10:$M$11,MATCH($F57,'L&amp;R'!$B$10:$B$11,0))="","Cell will autofill based on response",INDEX('L&amp;R'!$M$10:$M$11,MATCH($F57,'L&amp;R'!$B$10:$B$11,0))),"N/A")</f>
        <v/>
      </c>
    </row>
    <row r="58">
      <c r="A58">
        <f>F58&amp;"|"&amp;G58</f>
        <v/>
      </c>
      <c r="B58" s="13" t="inlineStr"/>
      <c r="C58" s="8" t="inlineStr"/>
      <c r="D58" s="8" t="inlineStr"/>
      <c r="E58" s="8" t="inlineStr"/>
      <c r="F58" s="8" t="inlineStr">
        <is>
          <t>TR2(c)</t>
        </is>
      </c>
      <c r="G58" s="8" t="inlineStr">
        <is>
          <t>Supporting information/comments</t>
        </is>
      </c>
      <c r="H58" s="52">
        <f>IFERROR(IF(INDEX('Faculties'!$N$10:$N$19,MATCH($F58,'Faculties'!$B$10:$B$19,0))="","Cell will autofill based on response",INDEX('Faculties'!$N$10:$N$19,MATCH($F58,'Faculties'!$B$10:$B$19,0))),"N/A")</f>
        <v/>
      </c>
      <c r="I58" s="52">
        <f>IFERROR(IF(INDEX('Faculties'!$N$26:$N$35,MATCH($F58,'Faculties'!$B$26:$B$35,0))="","Cell will autofill based on response",INDEX('Faculties'!$N$26:$N$35,MATCH($F58,'Faculties'!$B$26:$B$35,0))),"N/A")</f>
        <v/>
      </c>
      <c r="J58" s="52">
        <f>IFERROR(IF(INDEX('Faculties'!$N$42:$N$51,MATCH($F58,'Faculties'!$B$42:$B$51,0))="","Cell will autofill based on response",INDEX('Faculties'!$N$42:$N$51,MATCH($F58,'Faculties'!$B$42:$B$51,0))),"N/A")</f>
        <v/>
      </c>
      <c r="K58" s="52">
        <f>IFERROR(IF(INDEX('Faculties'!$N$58:$N$67,MATCH($F58,'Faculties'!$B$58:$B$67,0))="","Cell will autofill based on response",INDEX('Faculties'!$N$58:$N$67,MATCH($F58,'Faculties'!$B$58:$B$67,0))),"N/A")</f>
        <v/>
      </c>
      <c r="L58" s="52">
        <f>IFERROR(IF(INDEX('CI&amp;S'!$N$10:$N$15,MATCH($F58,'CI&amp;S'!$B$10:$B$15,0))="","Cell will autofill based on response",INDEX('CI&amp;S'!$N$10:$N$15,MATCH($F58,'CI&amp;S'!$B$10:$B$15,0))),"N/A")</f>
        <v/>
      </c>
      <c r="M58" s="52">
        <f>IFERROR(IF(INDEX('CI&amp;S'!$N$22:$N$36,MATCH($F58,'CI&amp;S'!$B$22:$B$36,0))="","Cell will autofill based on response",INDEX('CI&amp;S'!$N$22:$N$36,MATCH($F58,'CI&amp;S'!$B$22:$B$36,0))),"N/A")</f>
        <v/>
      </c>
      <c r="N58" s="52">
        <f>IFERROR(IF(INDEX('CFOG'!$N$10:$N$16,MATCH($F58,'CFOG'!$B$10:$B$16,0))="","Cell will autofill based on response",INDEX('CFOG'!$N$10:$N$16,MATCH($F58,'CFOG'!$B$10:$B$16,0))),"N/A")</f>
        <v/>
      </c>
      <c r="O58" s="52">
        <f>IFERROR(IF(INDEX('CFOG'!$N$23:$N$24,MATCH($F58,'CFOG'!$B$23:$B$24,0))="","Cell will autofill based on response",INDEX('CFOG'!$N$23:$N$24,MATCH($F58,'CFOG'!$B$23:$B$24,0))),"N/A")</f>
        <v/>
      </c>
      <c r="P58" s="52">
        <f>IFERROR(IF(INDEX('ESG'!$N$10:$N$17,MATCH($F58,'ESG'!$B$10:$B$17,0))="","Cell will autofill based on response",INDEX('ESG'!$N$10:$N$17,MATCH($F58,'ESG'!$B$10:$B$17,0))),"N/A")</f>
        <v/>
      </c>
      <c r="Q58" s="52">
        <f>IFERROR(IF(INDEX('CIOG'!$N$10:$N$14,MATCH($F58,'CIOG'!$B$10:$B$14,0))="","Cell will autofill based on response",INDEX('CIOG'!$N$10:$N$14,MATCH($F58,'CIOG'!$B$10:$B$14,0))),"N/A")</f>
        <v/>
      </c>
      <c r="R58" s="52">
        <f>IFERROR(IF(INDEX('MRE'!$N$10:$N$18,MATCH($F58,'MRE'!$B$10:$B$18,0))="","Cell will autofill based on response",INDEX('MRE'!$N$10:$N$18,MATCH($F58,'MRE'!$B$10:$B$18,0))),"N/A")</f>
        <v/>
      </c>
      <c r="S58" s="52">
        <f>IFERROR(IF(INDEX('AC&amp;M'!$N$10:$N$14,MATCH($F58,'AC&amp;M'!$B$10:$B$14,0))="","Cell will autofill based on response",INDEX('AC&amp;M'!$N$10:$N$14,MATCH($F58,'AC&amp;M'!$B$10:$B$14,0))),"N/A")</f>
        <v/>
      </c>
      <c r="T58" s="52">
        <f>IFERROR(IF(INDEX('GCE'!$N$10:$N$12,MATCH($F58,'GCE'!$B$10:$B$12,0))="","Cell will autofill based on response",INDEX('GCE'!$N$10:$N$12,MATCH($F58,'GCE'!$B$10:$B$12,0))),"N/A")</f>
        <v/>
      </c>
      <c r="U58" s="52">
        <f>IFERROR(IF(INDEX('Education'!$N$10:$N$13,MATCH($F58,'Education'!$B$10:$B$13,0))="","Cell will autofill based on response",INDEX('Education'!$N$10:$N$13,MATCH($F58,'Education'!$B$10:$B$13,0))),"N/A")</f>
        <v/>
      </c>
      <c r="V58" s="52">
        <f>IFERROR(IF(INDEX('SaSS'!$N$10:$N$12,MATCH($F58,'SaSS'!$B$10:$B$12,0))="","Cell will autofill based on response",INDEX('SaSS'!$N$10:$N$12,MATCH($F58,'SaSS'!$B$10:$B$12,0))),"N/A")</f>
        <v/>
      </c>
      <c r="W58" s="52">
        <f>IFERROR(IF(INDEX('Indigenous'!$N$10:$N$11,MATCH($F58,'Indigenous'!$B$10:$B$11,0))="","Cell will autofill based on response",INDEX('Indigenous'!$N$10:$N$11,MATCH($F58,'Indigenous'!$B$10:$B$11,0))),"N/A")</f>
        <v/>
      </c>
      <c r="X58" s="52">
        <f>IFERROR(IF(INDEX('L&amp;R'!$N$10:$N$11,MATCH($F58,'L&amp;R'!$B$10:$B$11,0))="","Cell will autofill based on response",INDEX('L&amp;R'!$N$10:$N$11,MATCH($F58,'L&amp;R'!$B$10:$B$11,0))),"N/A")</f>
        <v/>
      </c>
    </row>
    <row r="59">
      <c r="A59">
        <f>F59&amp;"|"&amp;G59</f>
        <v/>
      </c>
      <c r="B59" s="13" t="inlineStr"/>
      <c r="C59" s="8" t="inlineStr"/>
      <c r="D59" s="8" t="inlineStr"/>
      <c r="E59" s="8" t="inlineStr"/>
      <c r="F59" s="8" t="inlineStr">
        <is>
          <t>TR2(c)</t>
        </is>
      </c>
      <c r="G59" s="8" t="inlineStr">
        <is>
          <t>Data source and limitations</t>
        </is>
      </c>
      <c r="H59" s="52">
        <f>IFERROR(IF(INDEX('Faculties'!$O$10:$O$19,MATCH($F59,'Faculties'!$B$10:$B$19,0))="","Cell will autofill based on response",INDEX('Faculties'!$O$10:$O$19,MATCH($F59,'Faculties'!$B$10:$B$19,0))),"N/A")</f>
        <v/>
      </c>
      <c r="I59" s="52">
        <f>IFERROR(IF(INDEX('Faculties'!$O$26:$O$35,MATCH($F59,'Faculties'!$B$26:$B$35,0))="","Cell will autofill based on response",INDEX('Faculties'!$O$26:$O$35,MATCH($F59,'Faculties'!$B$26:$B$35,0))),"N/A")</f>
        <v/>
      </c>
      <c r="J59" s="52">
        <f>IFERROR(IF(INDEX('Faculties'!$O$42:$O$51,MATCH($F59,'Faculties'!$B$42:$B$51,0))="","Cell will autofill based on response",INDEX('Faculties'!$O$42:$O$51,MATCH($F59,'Faculties'!$B$42:$B$51,0))),"N/A")</f>
        <v/>
      </c>
      <c r="K59" s="52">
        <f>IFERROR(IF(INDEX('Faculties'!$O$58:$O$67,MATCH($F59,'Faculties'!$B$58:$B$67,0))="","Cell will autofill based on response",INDEX('Faculties'!$O$58:$O$67,MATCH($F59,'Faculties'!$B$58:$B$67,0))),"N/A")</f>
        <v/>
      </c>
      <c r="L59" s="52">
        <f>IFERROR(IF(INDEX('CI&amp;S'!$O$10:$O$15,MATCH($F59,'CI&amp;S'!$B$10:$B$15,0))="","Cell will autofill based on response",INDEX('CI&amp;S'!$O$10:$O$15,MATCH($F59,'CI&amp;S'!$B$10:$B$15,0))),"N/A")</f>
        <v/>
      </c>
      <c r="M59" s="52">
        <f>IFERROR(IF(INDEX('CI&amp;S'!$O$22:$O$36,MATCH($F59,'CI&amp;S'!$B$22:$B$36,0))="","Cell will autofill based on response",INDEX('CI&amp;S'!$O$22:$O$36,MATCH($F59,'CI&amp;S'!$B$22:$B$36,0))),"N/A")</f>
        <v/>
      </c>
      <c r="N59" s="52">
        <f>IFERROR(IF(INDEX('CFOG'!$O$10:$O$16,MATCH($F59,'CFOG'!$B$10:$B$16,0))="","Cell will autofill based on response",INDEX('CFOG'!$O$10:$O$16,MATCH($F59,'CFOG'!$B$10:$B$16,0))),"N/A")</f>
        <v/>
      </c>
      <c r="O59" s="52">
        <f>IFERROR(IF(INDEX('CFOG'!$O$23:$O$24,MATCH($F59,'CFOG'!$B$23:$B$24,0))="","Cell will autofill based on response",INDEX('CFOG'!$O$23:$O$24,MATCH($F59,'CFOG'!$B$23:$B$24,0))),"N/A")</f>
        <v/>
      </c>
      <c r="P59" s="52">
        <f>IFERROR(IF(INDEX('ESG'!$O$10:$O$17,MATCH($F59,'ESG'!$B$10:$B$17,0))="","Cell will autofill based on response",INDEX('ESG'!$O$10:$O$17,MATCH($F59,'ESG'!$B$10:$B$17,0))),"N/A")</f>
        <v/>
      </c>
      <c r="Q59" s="52">
        <f>IFERROR(IF(INDEX('CIOG'!$O$10:$O$14,MATCH($F59,'CIOG'!$B$10:$B$14,0))="","Cell will autofill based on response",INDEX('CIOG'!$O$10:$O$14,MATCH($F59,'CIOG'!$B$10:$B$14,0))),"N/A")</f>
        <v/>
      </c>
      <c r="R59" s="52">
        <f>IFERROR(IF(INDEX('MRE'!$O$10:$O$18,MATCH($F59,'MRE'!$B$10:$B$18,0))="","Cell will autofill based on response",INDEX('MRE'!$O$10:$O$18,MATCH($F59,'MRE'!$B$10:$B$18,0))),"N/A")</f>
        <v/>
      </c>
      <c r="S59" s="52">
        <f>IFERROR(IF(INDEX('AC&amp;M'!$O$10:$O$14,MATCH($F59,'AC&amp;M'!$B$10:$B$14,0))="","Cell will autofill based on response",INDEX('AC&amp;M'!$O$10:$O$14,MATCH($F59,'AC&amp;M'!$B$10:$B$14,0))),"N/A")</f>
        <v/>
      </c>
      <c r="T59" s="52">
        <f>IFERROR(IF(INDEX('GCE'!$O$10:$O$12,MATCH($F59,'GCE'!$B$10:$B$12,0))="","Cell will autofill based on response",INDEX('GCE'!$O$10:$O$12,MATCH($F59,'GCE'!$B$10:$B$12,0))),"N/A")</f>
        <v/>
      </c>
      <c r="U59" s="52">
        <f>IFERROR(IF(INDEX('Education'!$O$10:$O$13,MATCH($F59,'Education'!$B$10:$B$13,0))="","Cell will autofill based on response",INDEX('Education'!$O$10:$O$13,MATCH($F59,'Education'!$B$10:$B$13,0))),"N/A")</f>
        <v/>
      </c>
      <c r="V59" s="52">
        <f>IFERROR(IF(INDEX('SaSS'!$O$10:$O$12,MATCH($F59,'SaSS'!$B$10:$B$12,0))="","Cell will autofill based on response",INDEX('SaSS'!$O$10:$O$12,MATCH($F59,'SaSS'!$B$10:$B$12,0))),"N/A")</f>
        <v/>
      </c>
      <c r="W59" s="52">
        <f>IFERROR(IF(INDEX('Indigenous'!$O$10:$O$11,MATCH($F59,'Indigenous'!$B$10:$B$11,0))="","Cell will autofill based on response",INDEX('Indigenous'!$O$10:$O$11,MATCH($F59,'Indigenous'!$B$10:$B$11,0))),"N/A")</f>
        <v/>
      </c>
      <c r="X59" s="52">
        <f>IFERROR(IF(INDEX('L&amp;R'!$O$10:$O$11,MATCH($F59,'L&amp;R'!$B$10:$B$11,0))="","Cell will autofill based on response",INDEX('L&amp;R'!$O$10:$O$11,MATCH($F59,'L&amp;R'!$B$10:$B$11,0))),"N/A")</f>
        <v/>
      </c>
    </row>
    <row r="60">
      <c r="A60">
        <f>F60&amp;"|"&amp;G60</f>
        <v/>
      </c>
      <c r="B60" s="13" t="inlineStr"/>
      <c r="C60" s="8" t="inlineStr"/>
      <c r="D60" s="8" t="inlineStr"/>
      <c r="E60" s="8" t="inlineStr"/>
      <c r="F60" s="8" t="inlineStr">
        <is>
          <t>TR2(c)</t>
        </is>
      </c>
      <c r="G60" s="8" t="inlineStr">
        <is>
          <t>Data owner confirms</t>
        </is>
      </c>
      <c r="H60" s="52">
        <f>IFERROR(IF(INDEX('Faculties'!$P$10:$P$19,MATCH($F60,'Faculties'!$B$10:$B$19,0))="","Cell will autofill based on response",INDEX('Faculties'!$P$10:$P$19,MATCH($F60,'Faculties'!$B$10:$B$19,0))),"N/A")</f>
        <v/>
      </c>
      <c r="I60" s="52">
        <f>IFERROR(IF(INDEX('Faculties'!$P$26:$P$35,MATCH($F60,'Faculties'!$B$26:$B$35,0))="","Cell will autofill based on response",INDEX('Faculties'!$P$26:$P$35,MATCH($F60,'Faculties'!$B$26:$B$35,0))),"N/A")</f>
        <v/>
      </c>
      <c r="J60" s="52">
        <f>IFERROR(IF(INDEX('Faculties'!$P$42:$P$51,MATCH($F60,'Faculties'!$B$42:$B$51,0))="","Cell will autofill based on response",INDEX('Faculties'!$P$42:$P$51,MATCH($F60,'Faculties'!$B$42:$B$51,0))),"N/A")</f>
        <v/>
      </c>
      <c r="K60" s="52">
        <f>IFERROR(IF(INDEX('Faculties'!$P$58:$P$67,MATCH($F60,'Faculties'!$B$58:$B$67,0))="","Cell will autofill based on response",INDEX('Faculties'!$P$58:$P$67,MATCH($F60,'Faculties'!$B$58:$B$67,0))),"N/A")</f>
        <v/>
      </c>
      <c r="L60" s="52">
        <f>IFERROR(IF(INDEX('CI&amp;S'!$P$10:$P$15,MATCH($F60,'CI&amp;S'!$B$10:$B$15,0))="","Cell will autofill based on response",INDEX('CI&amp;S'!$P$10:$P$15,MATCH($F60,'CI&amp;S'!$B$10:$B$15,0))),"N/A")</f>
        <v/>
      </c>
      <c r="M60" s="52">
        <f>IFERROR(IF(INDEX('CI&amp;S'!$P$22:$P$36,MATCH($F60,'CI&amp;S'!$B$22:$B$36,0))="","Cell will autofill based on response",INDEX('CI&amp;S'!$P$22:$P$36,MATCH($F60,'CI&amp;S'!$B$22:$B$36,0))),"N/A")</f>
        <v/>
      </c>
      <c r="N60" s="52">
        <f>IFERROR(IF(INDEX('CFOG'!$P$10:$P$16,MATCH($F60,'CFOG'!$B$10:$B$16,0))="","Cell will autofill based on response",INDEX('CFOG'!$P$10:$P$16,MATCH($F60,'CFOG'!$B$10:$B$16,0))),"N/A")</f>
        <v/>
      </c>
      <c r="O60" s="52">
        <f>IFERROR(IF(INDEX('CFOG'!$P$23:$P$24,MATCH($F60,'CFOG'!$B$23:$B$24,0))="","Cell will autofill based on response",INDEX('CFOG'!$P$23:$P$24,MATCH($F60,'CFOG'!$B$23:$B$24,0))),"N/A")</f>
        <v/>
      </c>
      <c r="P60" s="52">
        <f>IFERROR(IF(INDEX('ESG'!$P$10:$P$17,MATCH($F60,'ESG'!$B$10:$B$17,0))="","Cell will autofill based on response",INDEX('ESG'!$P$10:$P$17,MATCH($F60,'ESG'!$B$10:$B$17,0))),"N/A")</f>
        <v/>
      </c>
      <c r="Q60" s="52">
        <f>IFERROR(IF(INDEX('CIOG'!$P$10:$P$14,MATCH($F60,'CIOG'!$B$10:$B$14,0))="","Cell will autofill based on response",INDEX('CIOG'!$P$10:$P$14,MATCH($F60,'CIOG'!$B$10:$B$14,0))),"N/A")</f>
        <v/>
      </c>
      <c r="R60" s="52">
        <f>IFERROR(IF(INDEX('MRE'!$P$10:$P$18,MATCH($F60,'MRE'!$B$10:$B$18,0))="","Cell will autofill based on response",INDEX('MRE'!$P$10:$P$18,MATCH($F60,'MRE'!$B$10:$B$18,0))),"N/A")</f>
        <v/>
      </c>
      <c r="S60" s="52">
        <f>IFERROR(IF(INDEX('AC&amp;M'!$P$10:$P$14,MATCH($F60,'AC&amp;M'!$B$10:$B$14,0))="","Cell will autofill based on response",INDEX('AC&amp;M'!$P$10:$P$14,MATCH($F60,'AC&amp;M'!$B$10:$B$14,0))),"N/A")</f>
        <v/>
      </c>
      <c r="T60" s="52">
        <f>IFERROR(IF(INDEX('GCE'!$P$10:$P$12,MATCH($F60,'GCE'!$B$10:$B$12,0))="","Cell will autofill based on response",INDEX('GCE'!$P$10:$P$12,MATCH($F60,'GCE'!$B$10:$B$12,0))),"N/A")</f>
        <v/>
      </c>
      <c r="U60" s="52">
        <f>IFERROR(IF(INDEX('Education'!$P$10:$P$13,MATCH($F60,'Education'!$B$10:$B$13,0))="","Cell will autofill based on response",INDEX('Education'!$P$10:$P$13,MATCH($F60,'Education'!$B$10:$B$13,0))),"N/A")</f>
        <v/>
      </c>
      <c r="V60" s="52">
        <f>IFERROR(IF(INDEX('SaSS'!$P$10:$P$12,MATCH($F60,'SaSS'!$B$10:$B$12,0))="","Cell will autofill based on response",INDEX('SaSS'!$P$10:$P$12,MATCH($F60,'SaSS'!$B$10:$B$12,0))),"N/A")</f>
        <v/>
      </c>
      <c r="W60" s="52">
        <f>IFERROR(IF(INDEX('Indigenous'!$P$10:$P$11,MATCH($F60,'Indigenous'!$B$10:$B$11,0))="","Cell will autofill based on response",INDEX('Indigenous'!$P$10:$P$11,MATCH($F60,'Indigenous'!$B$10:$B$11,0))),"N/A")</f>
        <v/>
      </c>
      <c r="X60" s="52">
        <f>IFERROR(IF(INDEX('L&amp;R'!$P$10:$P$11,MATCH($F60,'L&amp;R'!$B$10:$B$11,0))="","Cell will autofill based on response",INDEX('L&amp;R'!$P$10:$P$11,MATCH($F60,'L&amp;R'!$B$10:$B$11,0))),"N/A")</f>
        <v/>
      </c>
    </row>
    <row r="61">
      <c r="A61">
        <f>F61&amp;"|"&amp;G61</f>
        <v/>
      </c>
      <c r="B61" s="7" t="inlineStr">
        <is>
          <t>TR2(d)</t>
        </is>
      </c>
      <c r="C61" s="50" t="inlineStr">
        <is>
          <t>Transformational research</t>
        </is>
      </c>
      <c r="D61" s="50" t="inlineStr">
        <is>
          <t>Case-based evidence demonstrating how research has contributed to meaningful sustainability outcomes.</t>
        </is>
      </c>
      <c r="E61" s="50"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61" s="50" t="inlineStr">
        <is>
          <t>TR2(d)</t>
        </is>
      </c>
      <c r="G61" s="50" t="inlineStr">
        <is>
          <t>OPTION 1:  Target-level reporting</t>
        </is>
      </c>
      <c r="H61" s="52">
        <f>IFERROR(IF(INDEX('Faculties'!$L$10:$L$19,MATCH($F61,'Faculties'!$B$10:$B$19,0))="","Cell will autofill based on response",INDEX('Faculties'!$L$10:$L$19,MATCH($F61,'Faculties'!$B$10:$B$19,0))),"N/A")</f>
        <v/>
      </c>
      <c r="I61" s="52">
        <f>IFERROR(IF(INDEX('Faculties'!$L$26:$L$35,MATCH($F61,'Faculties'!$B$26:$B$35,0))="","Cell will autofill based on response",INDEX('Faculties'!$L$26:$L$35,MATCH($F61,'Faculties'!$B$26:$B$35,0))),"N/A")</f>
        <v/>
      </c>
      <c r="J61" s="52">
        <f>IFERROR(IF(INDEX('Faculties'!$L$42:$L$51,MATCH($F61,'Faculties'!$B$42:$B$51,0))="","Cell will autofill based on response",INDEX('Faculties'!$L$42:$L$51,MATCH($F61,'Faculties'!$B$42:$B$51,0))),"N/A")</f>
        <v/>
      </c>
      <c r="K61" s="52">
        <f>IFERROR(IF(INDEX('Faculties'!$L$58:$L$67,MATCH($F61,'Faculties'!$B$58:$B$67,0))="","Cell will autofill based on response",INDEX('Faculties'!$L$58:$L$67,MATCH($F61,'Faculties'!$B$58:$B$67,0))),"N/A")</f>
        <v/>
      </c>
      <c r="L61" s="52">
        <f>IFERROR(IF(INDEX('CI&amp;S'!$L$10:$L$15,MATCH($F61,'CI&amp;S'!$B$10:$B$15,0))="","Cell will autofill based on response",INDEX('CI&amp;S'!$L$10:$L$15,MATCH($F61,'CI&amp;S'!$B$10:$B$15,0))),"N/A")</f>
        <v/>
      </c>
      <c r="M61" s="52">
        <f>IFERROR(IF(INDEX('CI&amp;S'!$L$22:$L$36,MATCH($F61,'CI&amp;S'!$B$22:$B$36,0))="","Cell will autofill based on response",INDEX('CI&amp;S'!$L$22:$L$36,MATCH($F61,'CI&amp;S'!$B$22:$B$36,0))),"N/A")</f>
        <v/>
      </c>
      <c r="N61" s="52">
        <f>IFERROR(IF(INDEX('CFOG'!$L$10:$L$16,MATCH($F61,'CFOG'!$B$10:$B$16,0))="","Cell will autofill based on response",INDEX('CFOG'!$L$10:$L$16,MATCH($F61,'CFOG'!$B$10:$B$16,0))),"N/A")</f>
        <v/>
      </c>
      <c r="O61" s="52">
        <f>IFERROR(IF(INDEX('CFOG'!$L$23:$L$24,MATCH($F61,'CFOG'!$B$23:$B$24,0))="","Cell will autofill based on response",INDEX('CFOG'!$L$23:$L$24,MATCH($F61,'CFOG'!$B$23:$B$24,0))),"N/A")</f>
        <v/>
      </c>
      <c r="P61" s="52">
        <f>IFERROR(IF(INDEX('ESG'!$L$10:$L$17,MATCH($F61,'ESG'!$B$10:$B$17,0))="","Cell will autofill based on response",INDEX('ESG'!$L$10:$L$17,MATCH($F61,'ESG'!$B$10:$B$17,0))),"N/A")</f>
        <v/>
      </c>
      <c r="Q61" s="52">
        <f>IFERROR(IF(INDEX('CIOG'!$L$10:$L$14,MATCH($F61,'CIOG'!$B$10:$B$14,0))="","Cell will autofill based on response",INDEX('CIOG'!$L$10:$L$14,MATCH($F61,'CIOG'!$B$10:$B$14,0))),"N/A")</f>
        <v/>
      </c>
      <c r="R61" s="52">
        <f>IFERROR(IF(INDEX('MRE'!$L$10:$L$18,MATCH($F61,'MRE'!$B$10:$B$18,0))="","Cell will autofill based on response",INDEX('MRE'!$L$10:$L$18,MATCH($F61,'MRE'!$B$10:$B$18,0))),"N/A")</f>
        <v/>
      </c>
      <c r="S61" s="52">
        <f>IFERROR(IF(INDEX('AC&amp;M'!$L$10:$L$14,MATCH($F61,'AC&amp;M'!$B$10:$B$14,0))="","Cell will autofill based on response",INDEX('AC&amp;M'!$L$10:$L$14,MATCH($F61,'AC&amp;M'!$B$10:$B$14,0))),"N/A")</f>
        <v/>
      </c>
      <c r="T61" s="52">
        <f>IFERROR(IF(INDEX('GCE'!$L$10:$L$12,MATCH($F61,'GCE'!$B$10:$B$12,0))="","Cell will autofill based on response",INDEX('GCE'!$L$10:$L$12,MATCH($F61,'GCE'!$B$10:$B$12,0))),"N/A")</f>
        <v/>
      </c>
      <c r="U61" s="52">
        <f>IFERROR(IF(INDEX('Education'!$L$10:$L$13,MATCH($F61,'Education'!$B$10:$B$13,0))="","Cell will autofill based on response",INDEX('Education'!$L$10:$L$13,MATCH($F61,'Education'!$B$10:$B$13,0))),"N/A")</f>
        <v/>
      </c>
      <c r="V61" s="52">
        <f>IFERROR(IF(INDEX('SaSS'!$L$10:$L$12,MATCH($F61,'SaSS'!$B$10:$B$12,0))="","Cell will autofill based on response",INDEX('SaSS'!$L$10:$L$12,MATCH($F61,'SaSS'!$B$10:$B$12,0))),"N/A")</f>
        <v/>
      </c>
      <c r="W61" s="52">
        <f>IFERROR(IF(INDEX('Indigenous'!$L$10:$L$11,MATCH($F61,'Indigenous'!$B$10:$B$11,0))="","Cell will autofill based on response",INDEX('Indigenous'!$L$10:$L$11,MATCH($F61,'Indigenous'!$B$10:$B$11,0))),"N/A")</f>
        <v/>
      </c>
      <c r="X61" s="52">
        <f>IFERROR(IF(INDEX('L&amp;R'!$L$10:$L$11,MATCH($F61,'L&amp;R'!$B$10:$B$11,0))="","Cell will autofill based on response",INDEX('L&amp;R'!$L$10:$L$11,MATCH($F61,'L&amp;R'!$B$10:$B$11,0))),"N/A")</f>
        <v/>
      </c>
      <c r="Z61" s="10">
        <f>SUMPRODUCT(--($H61:$X61&lt;&gt;"N/A"))</f>
        <v/>
      </c>
      <c r="AA61" s="10">
        <f>SUMPRODUCT(--(((($H61:$X61&lt;&gt;"N/A")*($H61:$X61&lt;&gt;"Cell will autofill based on response"))+(($H62:$X62&lt;&gt;"N/A")*($H62:$X62&lt;&gt;"Cell will autofill based on response")))&gt;0))</f>
        <v/>
      </c>
      <c r="AB61" s="10">
        <f>Z61-AA61</f>
        <v/>
      </c>
      <c r="AC61" s="10">
        <f>COUNTIF($H65:$X65,"Yes")</f>
        <v/>
      </c>
    </row>
    <row r="62">
      <c r="A62">
        <f>F62&amp;"|"&amp;G62</f>
        <v/>
      </c>
      <c r="B62" s="13" t="inlineStr"/>
      <c r="C62" s="8" t="inlineStr"/>
      <c r="D62" s="8" t="inlineStr"/>
      <c r="E62" s="8" t="inlineStr"/>
      <c r="F62" s="8" t="inlineStr">
        <is>
          <t>TR2(d)</t>
        </is>
      </c>
      <c r="G62" s="8" t="inlineStr">
        <is>
          <t>OPTION 2:  Indicator level reporting</t>
        </is>
      </c>
      <c r="H62" s="52">
        <f>IFERROR(IF(INDEX('Faculties'!$M$10:$M$19,MATCH($F62,'Faculties'!$B$10:$B$19,0))="","Cell will autofill based on response",INDEX('Faculties'!$M$10:$M$19,MATCH($F62,'Faculties'!$B$10:$B$19,0))),"N/A")</f>
        <v/>
      </c>
      <c r="I62" s="52">
        <f>IFERROR(IF(INDEX('Faculties'!$M$26:$M$35,MATCH($F62,'Faculties'!$B$26:$B$35,0))="","Cell will autofill based on response",INDEX('Faculties'!$M$26:$M$35,MATCH($F62,'Faculties'!$B$26:$B$35,0))),"N/A")</f>
        <v/>
      </c>
      <c r="J62" s="52">
        <f>IFERROR(IF(INDEX('Faculties'!$M$42:$M$51,MATCH($F62,'Faculties'!$B$42:$B$51,0))="","Cell will autofill based on response",INDEX('Faculties'!$M$42:$M$51,MATCH($F62,'Faculties'!$B$42:$B$51,0))),"N/A")</f>
        <v/>
      </c>
      <c r="K62" s="52">
        <f>IFERROR(IF(INDEX('Faculties'!$M$58:$M$67,MATCH($F62,'Faculties'!$B$58:$B$67,0))="","Cell will autofill based on response",INDEX('Faculties'!$M$58:$M$67,MATCH($F62,'Faculties'!$B$58:$B$67,0))),"N/A")</f>
        <v/>
      </c>
      <c r="L62" s="52">
        <f>IFERROR(IF(INDEX('CI&amp;S'!$M$10:$M$15,MATCH($F62,'CI&amp;S'!$B$10:$B$15,0))="","Cell will autofill based on response",INDEX('CI&amp;S'!$M$10:$M$15,MATCH($F62,'CI&amp;S'!$B$10:$B$15,0))),"N/A")</f>
        <v/>
      </c>
      <c r="M62" s="52">
        <f>IFERROR(IF(INDEX('CI&amp;S'!$M$22:$M$36,MATCH($F62,'CI&amp;S'!$B$22:$B$36,0))="","Cell will autofill based on response",INDEX('CI&amp;S'!$M$22:$M$36,MATCH($F62,'CI&amp;S'!$B$22:$B$36,0))),"N/A")</f>
        <v/>
      </c>
      <c r="N62" s="52">
        <f>IFERROR(IF(INDEX('CFOG'!$M$10:$M$16,MATCH($F62,'CFOG'!$B$10:$B$16,0))="","Cell will autofill based on response",INDEX('CFOG'!$M$10:$M$16,MATCH($F62,'CFOG'!$B$10:$B$16,0))),"N/A")</f>
        <v/>
      </c>
      <c r="O62" s="52">
        <f>IFERROR(IF(INDEX('CFOG'!$M$23:$M$24,MATCH($F62,'CFOG'!$B$23:$B$24,0))="","Cell will autofill based on response",INDEX('CFOG'!$M$23:$M$24,MATCH($F62,'CFOG'!$B$23:$B$24,0))),"N/A")</f>
        <v/>
      </c>
      <c r="P62" s="52">
        <f>IFERROR(IF(INDEX('ESG'!$M$10:$M$17,MATCH($F62,'ESG'!$B$10:$B$17,0))="","Cell will autofill based on response",INDEX('ESG'!$M$10:$M$17,MATCH($F62,'ESG'!$B$10:$B$17,0))),"N/A")</f>
        <v/>
      </c>
      <c r="Q62" s="52">
        <f>IFERROR(IF(INDEX('CIOG'!$M$10:$M$14,MATCH($F62,'CIOG'!$B$10:$B$14,0))="","Cell will autofill based on response",INDEX('CIOG'!$M$10:$M$14,MATCH($F62,'CIOG'!$B$10:$B$14,0))),"N/A")</f>
        <v/>
      </c>
      <c r="R62" s="52">
        <f>IFERROR(IF(INDEX('MRE'!$M$10:$M$18,MATCH($F62,'MRE'!$B$10:$B$18,0))="","Cell will autofill based on response",INDEX('MRE'!$M$10:$M$18,MATCH($F62,'MRE'!$B$10:$B$18,0))),"N/A")</f>
        <v/>
      </c>
      <c r="S62" s="52">
        <f>IFERROR(IF(INDEX('AC&amp;M'!$M$10:$M$14,MATCH($F62,'AC&amp;M'!$B$10:$B$14,0))="","Cell will autofill based on response",INDEX('AC&amp;M'!$M$10:$M$14,MATCH($F62,'AC&amp;M'!$B$10:$B$14,0))),"N/A")</f>
        <v/>
      </c>
      <c r="T62" s="52">
        <f>IFERROR(IF(INDEX('GCE'!$M$10:$M$12,MATCH($F62,'GCE'!$B$10:$B$12,0))="","Cell will autofill based on response",INDEX('GCE'!$M$10:$M$12,MATCH($F62,'GCE'!$B$10:$B$12,0))),"N/A")</f>
        <v/>
      </c>
      <c r="U62" s="52">
        <f>IFERROR(IF(INDEX('Education'!$M$10:$M$13,MATCH($F62,'Education'!$B$10:$B$13,0))="","Cell will autofill based on response",INDEX('Education'!$M$10:$M$13,MATCH($F62,'Education'!$B$10:$B$13,0))),"N/A")</f>
        <v/>
      </c>
      <c r="V62" s="52">
        <f>IFERROR(IF(INDEX('SaSS'!$M$10:$M$12,MATCH($F62,'SaSS'!$B$10:$B$12,0))="","Cell will autofill based on response",INDEX('SaSS'!$M$10:$M$12,MATCH($F62,'SaSS'!$B$10:$B$12,0))),"N/A")</f>
        <v/>
      </c>
      <c r="W62" s="52">
        <f>IFERROR(IF(INDEX('Indigenous'!$M$10:$M$11,MATCH($F62,'Indigenous'!$B$10:$B$11,0))="","Cell will autofill based on response",INDEX('Indigenous'!$M$10:$M$11,MATCH($F62,'Indigenous'!$B$10:$B$11,0))),"N/A")</f>
        <v/>
      </c>
      <c r="X62" s="52">
        <f>IFERROR(IF(INDEX('L&amp;R'!$M$10:$M$11,MATCH($F62,'L&amp;R'!$B$10:$B$11,0))="","Cell will autofill based on response",INDEX('L&amp;R'!$M$10:$M$11,MATCH($F62,'L&amp;R'!$B$10:$B$11,0))),"N/A")</f>
        <v/>
      </c>
    </row>
    <row r="63">
      <c r="A63">
        <f>F63&amp;"|"&amp;G63</f>
        <v/>
      </c>
      <c r="B63" s="13" t="inlineStr"/>
      <c r="C63" s="8" t="inlineStr"/>
      <c r="D63" s="8" t="inlineStr"/>
      <c r="E63" s="8" t="inlineStr"/>
      <c r="F63" s="8" t="inlineStr">
        <is>
          <t>TR2(d)</t>
        </is>
      </c>
      <c r="G63" s="8" t="inlineStr">
        <is>
          <t>Supporting information/comments</t>
        </is>
      </c>
      <c r="H63" s="52">
        <f>IFERROR(IF(INDEX('Faculties'!$N$10:$N$19,MATCH($F63,'Faculties'!$B$10:$B$19,0))="","Cell will autofill based on response",INDEX('Faculties'!$N$10:$N$19,MATCH($F63,'Faculties'!$B$10:$B$19,0))),"N/A")</f>
        <v/>
      </c>
      <c r="I63" s="52">
        <f>IFERROR(IF(INDEX('Faculties'!$N$26:$N$35,MATCH($F63,'Faculties'!$B$26:$B$35,0))="","Cell will autofill based on response",INDEX('Faculties'!$N$26:$N$35,MATCH($F63,'Faculties'!$B$26:$B$35,0))),"N/A")</f>
        <v/>
      </c>
      <c r="J63" s="52">
        <f>IFERROR(IF(INDEX('Faculties'!$N$42:$N$51,MATCH($F63,'Faculties'!$B$42:$B$51,0))="","Cell will autofill based on response",INDEX('Faculties'!$N$42:$N$51,MATCH($F63,'Faculties'!$B$42:$B$51,0))),"N/A")</f>
        <v/>
      </c>
      <c r="K63" s="52">
        <f>IFERROR(IF(INDEX('Faculties'!$N$58:$N$67,MATCH($F63,'Faculties'!$B$58:$B$67,0))="","Cell will autofill based on response",INDEX('Faculties'!$N$58:$N$67,MATCH($F63,'Faculties'!$B$58:$B$67,0))),"N/A")</f>
        <v/>
      </c>
      <c r="L63" s="52">
        <f>IFERROR(IF(INDEX('CI&amp;S'!$N$10:$N$15,MATCH($F63,'CI&amp;S'!$B$10:$B$15,0))="","Cell will autofill based on response",INDEX('CI&amp;S'!$N$10:$N$15,MATCH($F63,'CI&amp;S'!$B$10:$B$15,0))),"N/A")</f>
        <v/>
      </c>
      <c r="M63" s="52">
        <f>IFERROR(IF(INDEX('CI&amp;S'!$N$22:$N$36,MATCH($F63,'CI&amp;S'!$B$22:$B$36,0))="","Cell will autofill based on response",INDEX('CI&amp;S'!$N$22:$N$36,MATCH($F63,'CI&amp;S'!$B$22:$B$36,0))),"N/A")</f>
        <v/>
      </c>
      <c r="N63" s="52">
        <f>IFERROR(IF(INDEX('CFOG'!$N$10:$N$16,MATCH($F63,'CFOG'!$B$10:$B$16,0))="","Cell will autofill based on response",INDEX('CFOG'!$N$10:$N$16,MATCH($F63,'CFOG'!$B$10:$B$16,0))),"N/A")</f>
        <v/>
      </c>
      <c r="O63" s="52">
        <f>IFERROR(IF(INDEX('CFOG'!$N$23:$N$24,MATCH($F63,'CFOG'!$B$23:$B$24,0))="","Cell will autofill based on response",INDEX('CFOG'!$N$23:$N$24,MATCH($F63,'CFOG'!$B$23:$B$24,0))),"N/A")</f>
        <v/>
      </c>
      <c r="P63" s="52">
        <f>IFERROR(IF(INDEX('ESG'!$N$10:$N$17,MATCH($F63,'ESG'!$B$10:$B$17,0))="","Cell will autofill based on response",INDEX('ESG'!$N$10:$N$17,MATCH($F63,'ESG'!$B$10:$B$17,0))),"N/A")</f>
        <v/>
      </c>
      <c r="Q63" s="52">
        <f>IFERROR(IF(INDEX('CIOG'!$N$10:$N$14,MATCH($F63,'CIOG'!$B$10:$B$14,0))="","Cell will autofill based on response",INDEX('CIOG'!$N$10:$N$14,MATCH($F63,'CIOG'!$B$10:$B$14,0))),"N/A")</f>
        <v/>
      </c>
      <c r="R63" s="52">
        <f>IFERROR(IF(INDEX('MRE'!$N$10:$N$18,MATCH($F63,'MRE'!$B$10:$B$18,0))="","Cell will autofill based on response",INDEX('MRE'!$N$10:$N$18,MATCH($F63,'MRE'!$B$10:$B$18,0))),"N/A")</f>
        <v/>
      </c>
      <c r="S63" s="52">
        <f>IFERROR(IF(INDEX('AC&amp;M'!$N$10:$N$14,MATCH($F63,'AC&amp;M'!$B$10:$B$14,0))="","Cell will autofill based on response",INDEX('AC&amp;M'!$N$10:$N$14,MATCH($F63,'AC&amp;M'!$B$10:$B$14,0))),"N/A")</f>
        <v/>
      </c>
      <c r="T63" s="52">
        <f>IFERROR(IF(INDEX('GCE'!$N$10:$N$12,MATCH($F63,'GCE'!$B$10:$B$12,0))="","Cell will autofill based on response",INDEX('GCE'!$N$10:$N$12,MATCH($F63,'GCE'!$B$10:$B$12,0))),"N/A")</f>
        <v/>
      </c>
      <c r="U63" s="52">
        <f>IFERROR(IF(INDEX('Education'!$N$10:$N$13,MATCH($F63,'Education'!$B$10:$B$13,0))="","Cell will autofill based on response",INDEX('Education'!$N$10:$N$13,MATCH($F63,'Education'!$B$10:$B$13,0))),"N/A")</f>
        <v/>
      </c>
      <c r="V63" s="52">
        <f>IFERROR(IF(INDEX('SaSS'!$N$10:$N$12,MATCH($F63,'SaSS'!$B$10:$B$12,0))="","Cell will autofill based on response",INDEX('SaSS'!$N$10:$N$12,MATCH($F63,'SaSS'!$B$10:$B$12,0))),"N/A")</f>
        <v/>
      </c>
      <c r="W63" s="52">
        <f>IFERROR(IF(INDEX('Indigenous'!$N$10:$N$11,MATCH($F63,'Indigenous'!$B$10:$B$11,0))="","Cell will autofill based on response",INDEX('Indigenous'!$N$10:$N$11,MATCH($F63,'Indigenous'!$B$10:$B$11,0))),"N/A")</f>
        <v/>
      </c>
      <c r="X63" s="52">
        <f>IFERROR(IF(INDEX('L&amp;R'!$N$10:$N$11,MATCH($F63,'L&amp;R'!$B$10:$B$11,0))="","Cell will autofill based on response",INDEX('L&amp;R'!$N$10:$N$11,MATCH($F63,'L&amp;R'!$B$10:$B$11,0))),"N/A")</f>
        <v/>
      </c>
    </row>
    <row r="64">
      <c r="A64">
        <f>F64&amp;"|"&amp;G64</f>
        <v/>
      </c>
      <c r="B64" s="13" t="inlineStr"/>
      <c r="C64" s="8" t="inlineStr"/>
      <c r="D64" s="8" t="inlineStr"/>
      <c r="E64" s="8" t="inlineStr"/>
      <c r="F64" s="8" t="inlineStr">
        <is>
          <t>TR2(d)</t>
        </is>
      </c>
      <c r="G64" s="8" t="inlineStr">
        <is>
          <t>Data source and limitations</t>
        </is>
      </c>
      <c r="H64" s="52">
        <f>IFERROR(IF(INDEX('Faculties'!$O$10:$O$19,MATCH($F64,'Faculties'!$B$10:$B$19,0))="","Cell will autofill based on response",INDEX('Faculties'!$O$10:$O$19,MATCH($F64,'Faculties'!$B$10:$B$19,0))),"N/A")</f>
        <v/>
      </c>
      <c r="I64" s="52">
        <f>IFERROR(IF(INDEX('Faculties'!$O$26:$O$35,MATCH($F64,'Faculties'!$B$26:$B$35,0))="","Cell will autofill based on response",INDEX('Faculties'!$O$26:$O$35,MATCH($F64,'Faculties'!$B$26:$B$35,0))),"N/A")</f>
        <v/>
      </c>
      <c r="J64" s="52">
        <f>IFERROR(IF(INDEX('Faculties'!$O$42:$O$51,MATCH($F64,'Faculties'!$B$42:$B$51,0))="","Cell will autofill based on response",INDEX('Faculties'!$O$42:$O$51,MATCH($F64,'Faculties'!$B$42:$B$51,0))),"N/A")</f>
        <v/>
      </c>
      <c r="K64" s="52">
        <f>IFERROR(IF(INDEX('Faculties'!$O$58:$O$67,MATCH($F64,'Faculties'!$B$58:$B$67,0))="","Cell will autofill based on response",INDEX('Faculties'!$O$58:$O$67,MATCH($F64,'Faculties'!$B$58:$B$67,0))),"N/A")</f>
        <v/>
      </c>
      <c r="L64" s="52">
        <f>IFERROR(IF(INDEX('CI&amp;S'!$O$10:$O$15,MATCH($F64,'CI&amp;S'!$B$10:$B$15,0))="","Cell will autofill based on response",INDEX('CI&amp;S'!$O$10:$O$15,MATCH($F64,'CI&amp;S'!$B$10:$B$15,0))),"N/A")</f>
        <v/>
      </c>
      <c r="M64" s="52">
        <f>IFERROR(IF(INDEX('CI&amp;S'!$O$22:$O$36,MATCH($F64,'CI&amp;S'!$B$22:$B$36,0))="","Cell will autofill based on response",INDEX('CI&amp;S'!$O$22:$O$36,MATCH($F64,'CI&amp;S'!$B$22:$B$36,0))),"N/A")</f>
        <v/>
      </c>
      <c r="N64" s="52">
        <f>IFERROR(IF(INDEX('CFOG'!$O$10:$O$16,MATCH($F64,'CFOG'!$B$10:$B$16,0))="","Cell will autofill based on response",INDEX('CFOG'!$O$10:$O$16,MATCH($F64,'CFOG'!$B$10:$B$16,0))),"N/A")</f>
        <v/>
      </c>
      <c r="O64" s="52">
        <f>IFERROR(IF(INDEX('CFOG'!$O$23:$O$24,MATCH($F64,'CFOG'!$B$23:$B$24,0))="","Cell will autofill based on response",INDEX('CFOG'!$O$23:$O$24,MATCH($F64,'CFOG'!$B$23:$B$24,0))),"N/A")</f>
        <v/>
      </c>
      <c r="P64" s="52">
        <f>IFERROR(IF(INDEX('ESG'!$O$10:$O$17,MATCH($F64,'ESG'!$B$10:$B$17,0))="","Cell will autofill based on response",INDEX('ESG'!$O$10:$O$17,MATCH($F64,'ESG'!$B$10:$B$17,0))),"N/A")</f>
        <v/>
      </c>
      <c r="Q64" s="52">
        <f>IFERROR(IF(INDEX('CIOG'!$O$10:$O$14,MATCH($F64,'CIOG'!$B$10:$B$14,0))="","Cell will autofill based on response",INDEX('CIOG'!$O$10:$O$14,MATCH($F64,'CIOG'!$B$10:$B$14,0))),"N/A")</f>
        <v/>
      </c>
      <c r="R64" s="52">
        <f>IFERROR(IF(INDEX('MRE'!$O$10:$O$18,MATCH($F64,'MRE'!$B$10:$B$18,0))="","Cell will autofill based on response",INDEX('MRE'!$O$10:$O$18,MATCH($F64,'MRE'!$B$10:$B$18,0))),"N/A")</f>
        <v/>
      </c>
      <c r="S64" s="52">
        <f>IFERROR(IF(INDEX('AC&amp;M'!$O$10:$O$14,MATCH($F64,'AC&amp;M'!$B$10:$B$14,0))="","Cell will autofill based on response",INDEX('AC&amp;M'!$O$10:$O$14,MATCH($F64,'AC&amp;M'!$B$10:$B$14,0))),"N/A")</f>
        <v/>
      </c>
      <c r="T64" s="52">
        <f>IFERROR(IF(INDEX('GCE'!$O$10:$O$12,MATCH($F64,'GCE'!$B$10:$B$12,0))="","Cell will autofill based on response",INDEX('GCE'!$O$10:$O$12,MATCH($F64,'GCE'!$B$10:$B$12,0))),"N/A")</f>
        <v/>
      </c>
      <c r="U64" s="52">
        <f>IFERROR(IF(INDEX('Education'!$O$10:$O$13,MATCH($F64,'Education'!$B$10:$B$13,0))="","Cell will autofill based on response",INDEX('Education'!$O$10:$O$13,MATCH($F64,'Education'!$B$10:$B$13,0))),"N/A")</f>
        <v/>
      </c>
      <c r="V64" s="52">
        <f>IFERROR(IF(INDEX('SaSS'!$O$10:$O$12,MATCH($F64,'SaSS'!$B$10:$B$12,0))="","Cell will autofill based on response",INDEX('SaSS'!$O$10:$O$12,MATCH($F64,'SaSS'!$B$10:$B$12,0))),"N/A")</f>
        <v/>
      </c>
      <c r="W64" s="52">
        <f>IFERROR(IF(INDEX('Indigenous'!$O$10:$O$11,MATCH($F64,'Indigenous'!$B$10:$B$11,0))="","Cell will autofill based on response",INDEX('Indigenous'!$O$10:$O$11,MATCH($F64,'Indigenous'!$B$10:$B$11,0))),"N/A")</f>
        <v/>
      </c>
      <c r="X64" s="52">
        <f>IFERROR(IF(INDEX('L&amp;R'!$O$10:$O$11,MATCH($F64,'L&amp;R'!$B$10:$B$11,0))="","Cell will autofill based on response",INDEX('L&amp;R'!$O$10:$O$11,MATCH($F64,'L&amp;R'!$B$10:$B$11,0))),"N/A")</f>
        <v/>
      </c>
    </row>
    <row r="65">
      <c r="A65">
        <f>F65&amp;"|"&amp;G65</f>
        <v/>
      </c>
      <c r="B65" s="13" t="inlineStr"/>
      <c r="C65" s="8" t="inlineStr"/>
      <c r="D65" s="8" t="inlineStr"/>
      <c r="E65" s="8" t="inlineStr"/>
      <c r="F65" s="8" t="inlineStr">
        <is>
          <t>TR2(d)</t>
        </is>
      </c>
      <c r="G65" s="8" t="inlineStr">
        <is>
          <t>Data owner confirms</t>
        </is>
      </c>
      <c r="H65" s="52">
        <f>IFERROR(IF(INDEX('Faculties'!$P$10:$P$19,MATCH($F65,'Faculties'!$B$10:$B$19,0))="","Cell will autofill based on response",INDEX('Faculties'!$P$10:$P$19,MATCH($F65,'Faculties'!$B$10:$B$19,0))),"N/A")</f>
        <v/>
      </c>
      <c r="I65" s="52">
        <f>IFERROR(IF(INDEX('Faculties'!$P$26:$P$35,MATCH($F65,'Faculties'!$B$26:$B$35,0))="","Cell will autofill based on response",INDEX('Faculties'!$P$26:$P$35,MATCH($F65,'Faculties'!$B$26:$B$35,0))),"N/A")</f>
        <v/>
      </c>
      <c r="J65" s="52">
        <f>IFERROR(IF(INDEX('Faculties'!$P$42:$P$51,MATCH($F65,'Faculties'!$B$42:$B$51,0))="","Cell will autofill based on response",INDEX('Faculties'!$P$42:$P$51,MATCH($F65,'Faculties'!$B$42:$B$51,0))),"N/A")</f>
        <v/>
      </c>
      <c r="K65" s="52">
        <f>IFERROR(IF(INDEX('Faculties'!$P$58:$P$67,MATCH($F65,'Faculties'!$B$58:$B$67,0))="","Cell will autofill based on response",INDEX('Faculties'!$P$58:$P$67,MATCH($F65,'Faculties'!$B$58:$B$67,0))),"N/A")</f>
        <v/>
      </c>
      <c r="L65" s="52">
        <f>IFERROR(IF(INDEX('CI&amp;S'!$P$10:$P$15,MATCH($F65,'CI&amp;S'!$B$10:$B$15,0))="","Cell will autofill based on response",INDEX('CI&amp;S'!$P$10:$P$15,MATCH($F65,'CI&amp;S'!$B$10:$B$15,0))),"N/A")</f>
        <v/>
      </c>
      <c r="M65" s="52">
        <f>IFERROR(IF(INDEX('CI&amp;S'!$P$22:$P$36,MATCH($F65,'CI&amp;S'!$B$22:$B$36,0))="","Cell will autofill based on response",INDEX('CI&amp;S'!$P$22:$P$36,MATCH($F65,'CI&amp;S'!$B$22:$B$36,0))),"N/A")</f>
        <v/>
      </c>
      <c r="N65" s="52">
        <f>IFERROR(IF(INDEX('CFOG'!$P$10:$P$16,MATCH($F65,'CFOG'!$B$10:$B$16,0))="","Cell will autofill based on response",INDEX('CFOG'!$P$10:$P$16,MATCH($F65,'CFOG'!$B$10:$B$16,0))),"N/A")</f>
        <v/>
      </c>
      <c r="O65" s="52">
        <f>IFERROR(IF(INDEX('CFOG'!$P$23:$P$24,MATCH($F65,'CFOG'!$B$23:$B$24,0))="","Cell will autofill based on response",INDEX('CFOG'!$P$23:$P$24,MATCH($F65,'CFOG'!$B$23:$B$24,0))),"N/A")</f>
        <v/>
      </c>
      <c r="P65" s="52">
        <f>IFERROR(IF(INDEX('ESG'!$P$10:$P$17,MATCH($F65,'ESG'!$B$10:$B$17,0))="","Cell will autofill based on response",INDEX('ESG'!$P$10:$P$17,MATCH($F65,'ESG'!$B$10:$B$17,0))),"N/A")</f>
        <v/>
      </c>
      <c r="Q65" s="52">
        <f>IFERROR(IF(INDEX('CIOG'!$P$10:$P$14,MATCH($F65,'CIOG'!$B$10:$B$14,0))="","Cell will autofill based on response",INDEX('CIOG'!$P$10:$P$14,MATCH($F65,'CIOG'!$B$10:$B$14,0))),"N/A")</f>
        <v/>
      </c>
      <c r="R65" s="52">
        <f>IFERROR(IF(INDEX('MRE'!$P$10:$P$18,MATCH($F65,'MRE'!$B$10:$B$18,0))="","Cell will autofill based on response",INDEX('MRE'!$P$10:$P$18,MATCH($F65,'MRE'!$B$10:$B$18,0))),"N/A")</f>
        <v/>
      </c>
      <c r="S65" s="52">
        <f>IFERROR(IF(INDEX('AC&amp;M'!$P$10:$P$14,MATCH($F65,'AC&amp;M'!$B$10:$B$14,0))="","Cell will autofill based on response",INDEX('AC&amp;M'!$P$10:$P$14,MATCH($F65,'AC&amp;M'!$B$10:$B$14,0))),"N/A")</f>
        <v/>
      </c>
      <c r="T65" s="52">
        <f>IFERROR(IF(INDEX('GCE'!$P$10:$P$12,MATCH($F65,'GCE'!$B$10:$B$12,0))="","Cell will autofill based on response",INDEX('GCE'!$P$10:$P$12,MATCH($F65,'GCE'!$B$10:$B$12,0))),"N/A")</f>
        <v/>
      </c>
      <c r="U65" s="52">
        <f>IFERROR(IF(INDEX('Education'!$P$10:$P$13,MATCH($F65,'Education'!$B$10:$B$13,0))="","Cell will autofill based on response",INDEX('Education'!$P$10:$P$13,MATCH($F65,'Education'!$B$10:$B$13,0))),"N/A")</f>
        <v/>
      </c>
      <c r="V65" s="52">
        <f>IFERROR(IF(INDEX('SaSS'!$P$10:$P$12,MATCH($F65,'SaSS'!$B$10:$B$12,0))="","Cell will autofill based on response",INDEX('SaSS'!$P$10:$P$12,MATCH($F65,'SaSS'!$B$10:$B$12,0))),"N/A")</f>
        <v/>
      </c>
      <c r="W65" s="52">
        <f>IFERROR(IF(INDEX('Indigenous'!$P$10:$P$11,MATCH($F65,'Indigenous'!$B$10:$B$11,0))="","Cell will autofill based on response",INDEX('Indigenous'!$P$10:$P$11,MATCH($F65,'Indigenous'!$B$10:$B$11,0))),"N/A")</f>
        <v/>
      </c>
      <c r="X65" s="52">
        <f>IFERROR(IF(INDEX('L&amp;R'!$P$10:$P$11,MATCH($F65,'L&amp;R'!$B$10:$B$11,0))="","Cell will autofill based on response",INDEX('L&amp;R'!$P$10:$P$11,MATCH($F65,'L&amp;R'!$B$10:$B$11,0))),"N/A")</f>
        <v/>
      </c>
    </row>
    <row r="66">
      <c r="A66">
        <f>F66&amp;"|"&amp;G66</f>
        <v/>
      </c>
      <c r="B66" s="7" t="inlineStr">
        <is>
          <t>TR3(a)</t>
        </is>
      </c>
      <c r="C66" s="50" t="inlineStr">
        <is>
          <t>Transformational research</t>
        </is>
      </c>
      <c r="D66" s="50" t="inlineStr">
        <is>
          <t>Evidence that sustainability considerations are integrated into relevant research systems, planning processes, guidance, training, induction or support services</t>
        </is>
      </c>
      <c r="E66" s="50" t="inlineStr">
        <is>
          <t>Please describe how sustainability considerations are integrated into research systems, planning processes, guidance, training, induction or support services within your Faculty/Portfolio, could include examples of any new or improved processes.</t>
        </is>
      </c>
      <c r="F66" s="50" t="inlineStr">
        <is>
          <t>TR3(a)</t>
        </is>
      </c>
      <c r="G66" s="50" t="inlineStr">
        <is>
          <t>OPTION 1:  Target-level reporting</t>
        </is>
      </c>
      <c r="H66" s="52">
        <f>IFERROR(IF(INDEX('Faculties'!$L$10:$L$19,MATCH($F66,'Faculties'!$B$10:$B$19,0))="","Cell will autofill based on response",INDEX('Faculties'!$L$10:$L$19,MATCH($F66,'Faculties'!$B$10:$B$19,0))),"N/A")</f>
        <v/>
      </c>
      <c r="I66" s="52">
        <f>IFERROR(IF(INDEX('Faculties'!$L$26:$L$35,MATCH($F66,'Faculties'!$B$26:$B$35,0))="","Cell will autofill based on response",INDEX('Faculties'!$L$26:$L$35,MATCH($F66,'Faculties'!$B$26:$B$35,0))),"N/A")</f>
        <v/>
      </c>
      <c r="J66" s="52">
        <f>IFERROR(IF(INDEX('Faculties'!$L$42:$L$51,MATCH($F66,'Faculties'!$B$42:$B$51,0))="","Cell will autofill based on response",INDEX('Faculties'!$L$42:$L$51,MATCH($F66,'Faculties'!$B$42:$B$51,0))),"N/A")</f>
        <v/>
      </c>
      <c r="K66" s="52">
        <f>IFERROR(IF(INDEX('Faculties'!$L$58:$L$67,MATCH($F66,'Faculties'!$B$58:$B$67,0))="","Cell will autofill based on response",INDEX('Faculties'!$L$58:$L$67,MATCH($F66,'Faculties'!$B$58:$B$67,0))),"N/A")</f>
        <v/>
      </c>
      <c r="L66" s="52">
        <f>IFERROR(IF(INDEX('CI&amp;S'!$L$10:$L$15,MATCH($F66,'CI&amp;S'!$B$10:$B$15,0))="","Cell will autofill based on response",INDEX('CI&amp;S'!$L$10:$L$15,MATCH($F66,'CI&amp;S'!$B$10:$B$15,0))),"N/A")</f>
        <v/>
      </c>
      <c r="M66" s="52">
        <f>IFERROR(IF(INDEX('CI&amp;S'!$L$22:$L$36,MATCH($F66,'CI&amp;S'!$B$22:$B$36,0))="","Cell will autofill based on response",INDEX('CI&amp;S'!$L$22:$L$36,MATCH($F66,'CI&amp;S'!$B$22:$B$36,0))),"N/A")</f>
        <v/>
      </c>
      <c r="N66" s="52">
        <f>IFERROR(IF(INDEX('CFOG'!$L$10:$L$16,MATCH($F66,'CFOG'!$B$10:$B$16,0))="","Cell will autofill based on response",INDEX('CFOG'!$L$10:$L$16,MATCH($F66,'CFOG'!$B$10:$B$16,0))),"N/A")</f>
        <v/>
      </c>
      <c r="O66" s="52">
        <f>IFERROR(IF(INDEX('CFOG'!$L$23:$L$24,MATCH($F66,'CFOG'!$B$23:$B$24,0))="","Cell will autofill based on response",INDEX('CFOG'!$L$23:$L$24,MATCH($F66,'CFOG'!$B$23:$B$24,0))),"N/A")</f>
        <v/>
      </c>
      <c r="P66" s="52">
        <f>IFERROR(IF(INDEX('ESG'!$L$10:$L$17,MATCH($F66,'ESG'!$B$10:$B$17,0))="","Cell will autofill based on response",INDEX('ESG'!$L$10:$L$17,MATCH($F66,'ESG'!$B$10:$B$17,0))),"N/A")</f>
        <v/>
      </c>
      <c r="Q66" s="52">
        <f>IFERROR(IF(INDEX('CIOG'!$L$10:$L$14,MATCH($F66,'CIOG'!$B$10:$B$14,0))="","Cell will autofill based on response",INDEX('CIOG'!$L$10:$L$14,MATCH($F66,'CIOG'!$B$10:$B$14,0))),"N/A")</f>
        <v/>
      </c>
      <c r="R66" s="52">
        <f>IFERROR(IF(INDEX('MRE'!$L$10:$L$18,MATCH($F66,'MRE'!$B$10:$B$18,0))="","Cell will autofill based on response",INDEX('MRE'!$L$10:$L$18,MATCH($F66,'MRE'!$B$10:$B$18,0))),"N/A")</f>
        <v/>
      </c>
      <c r="S66" s="52">
        <f>IFERROR(IF(INDEX('AC&amp;M'!$L$10:$L$14,MATCH($F66,'AC&amp;M'!$B$10:$B$14,0))="","Cell will autofill based on response",INDEX('AC&amp;M'!$L$10:$L$14,MATCH($F66,'AC&amp;M'!$B$10:$B$14,0))),"N/A")</f>
        <v/>
      </c>
      <c r="T66" s="52">
        <f>IFERROR(IF(INDEX('GCE'!$L$10:$L$12,MATCH($F66,'GCE'!$B$10:$B$12,0))="","Cell will autofill based on response",INDEX('GCE'!$L$10:$L$12,MATCH($F66,'GCE'!$B$10:$B$12,0))),"N/A")</f>
        <v/>
      </c>
      <c r="U66" s="52">
        <f>IFERROR(IF(INDEX('Education'!$L$10:$L$13,MATCH($F66,'Education'!$B$10:$B$13,0))="","Cell will autofill based on response",INDEX('Education'!$L$10:$L$13,MATCH($F66,'Education'!$B$10:$B$13,0))),"N/A")</f>
        <v/>
      </c>
      <c r="V66" s="52">
        <f>IFERROR(IF(INDEX('SaSS'!$L$10:$L$12,MATCH($F66,'SaSS'!$B$10:$B$12,0))="","Cell will autofill based on response",INDEX('SaSS'!$L$10:$L$12,MATCH($F66,'SaSS'!$B$10:$B$12,0))),"N/A")</f>
        <v/>
      </c>
      <c r="W66" s="52">
        <f>IFERROR(IF(INDEX('Indigenous'!$L$10:$L$11,MATCH($F66,'Indigenous'!$B$10:$B$11,0))="","Cell will autofill based on response",INDEX('Indigenous'!$L$10:$L$11,MATCH($F66,'Indigenous'!$B$10:$B$11,0))),"N/A")</f>
        <v/>
      </c>
      <c r="X66" s="52">
        <f>IFERROR(IF(INDEX('L&amp;R'!$L$10:$L$11,MATCH($F66,'L&amp;R'!$B$10:$B$11,0))="","Cell will autofill based on response",INDEX('L&amp;R'!$L$10:$L$11,MATCH($F66,'L&amp;R'!$B$10:$B$11,0))),"N/A")</f>
        <v/>
      </c>
      <c r="Z66" s="10">
        <f>SUMPRODUCT(--($H66:$X66&lt;&gt;"N/A"))</f>
        <v/>
      </c>
      <c r="AA66" s="10">
        <f>SUMPRODUCT(--(((($H66:$X66&lt;&gt;"N/A")*($H66:$X66&lt;&gt;"Cell will autofill based on response"))+(($H67:$X67&lt;&gt;"N/A")*($H67:$X67&lt;&gt;"Cell will autofill based on response")))&gt;0))</f>
        <v/>
      </c>
      <c r="AB66" s="10">
        <f>Z66-AA66</f>
        <v/>
      </c>
      <c r="AC66" s="10">
        <f>COUNTIF($H70:$X70,"Yes")</f>
        <v/>
      </c>
    </row>
    <row r="67">
      <c r="A67">
        <f>F67&amp;"|"&amp;G67</f>
        <v/>
      </c>
      <c r="B67" s="13" t="inlineStr"/>
      <c r="C67" s="8" t="inlineStr"/>
      <c r="D67" s="8" t="inlineStr"/>
      <c r="E67" s="8" t="inlineStr"/>
      <c r="F67" s="8" t="inlineStr">
        <is>
          <t>TR3(a)</t>
        </is>
      </c>
      <c r="G67" s="8" t="inlineStr">
        <is>
          <t>OPTION 2:  Indicator level reporting</t>
        </is>
      </c>
      <c r="H67" s="52">
        <f>IFERROR(IF(INDEX('Faculties'!$M$10:$M$19,MATCH($F67,'Faculties'!$B$10:$B$19,0))="","Cell will autofill based on response",INDEX('Faculties'!$M$10:$M$19,MATCH($F67,'Faculties'!$B$10:$B$19,0))),"N/A")</f>
        <v/>
      </c>
      <c r="I67" s="52">
        <f>IFERROR(IF(INDEX('Faculties'!$M$26:$M$35,MATCH($F67,'Faculties'!$B$26:$B$35,0))="","Cell will autofill based on response",INDEX('Faculties'!$M$26:$M$35,MATCH($F67,'Faculties'!$B$26:$B$35,0))),"N/A")</f>
        <v/>
      </c>
      <c r="J67" s="52">
        <f>IFERROR(IF(INDEX('Faculties'!$M$42:$M$51,MATCH($F67,'Faculties'!$B$42:$B$51,0))="","Cell will autofill based on response",INDEX('Faculties'!$M$42:$M$51,MATCH($F67,'Faculties'!$B$42:$B$51,0))),"N/A")</f>
        <v/>
      </c>
      <c r="K67" s="52">
        <f>IFERROR(IF(INDEX('Faculties'!$M$58:$M$67,MATCH($F67,'Faculties'!$B$58:$B$67,0))="","Cell will autofill based on response",INDEX('Faculties'!$M$58:$M$67,MATCH($F67,'Faculties'!$B$58:$B$67,0))),"N/A")</f>
        <v/>
      </c>
      <c r="L67" s="52">
        <f>IFERROR(IF(INDEX('CI&amp;S'!$M$10:$M$15,MATCH($F67,'CI&amp;S'!$B$10:$B$15,0))="","Cell will autofill based on response",INDEX('CI&amp;S'!$M$10:$M$15,MATCH($F67,'CI&amp;S'!$B$10:$B$15,0))),"N/A")</f>
        <v/>
      </c>
      <c r="M67" s="52">
        <f>IFERROR(IF(INDEX('CI&amp;S'!$M$22:$M$36,MATCH($F67,'CI&amp;S'!$B$22:$B$36,0))="","Cell will autofill based on response",INDEX('CI&amp;S'!$M$22:$M$36,MATCH($F67,'CI&amp;S'!$B$22:$B$36,0))),"N/A")</f>
        <v/>
      </c>
      <c r="N67" s="52">
        <f>IFERROR(IF(INDEX('CFOG'!$M$10:$M$16,MATCH($F67,'CFOG'!$B$10:$B$16,0))="","Cell will autofill based on response",INDEX('CFOG'!$M$10:$M$16,MATCH($F67,'CFOG'!$B$10:$B$16,0))),"N/A")</f>
        <v/>
      </c>
      <c r="O67" s="52">
        <f>IFERROR(IF(INDEX('CFOG'!$M$23:$M$24,MATCH($F67,'CFOG'!$B$23:$B$24,0))="","Cell will autofill based on response",INDEX('CFOG'!$M$23:$M$24,MATCH($F67,'CFOG'!$B$23:$B$24,0))),"N/A")</f>
        <v/>
      </c>
      <c r="P67" s="52">
        <f>IFERROR(IF(INDEX('ESG'!$M$10:$M$17,MATCH($F67,'ESG'!$B$10:$B$17,0))="","Cell will autofill based on response",INDEX('ESG'!$M$10:$M$17,MATCH($F67,'ESG'!$B$10:$B$17,0))),"N/A")</f>
        <v/>
      </c>
      <c r="Q67" s="52">
        <f>IFERROR(IF(INDEX('CIOG'!$M$10:$M$14,MATCH($F67,'CIOG'!$B$10:$B$14,0))="","Cell will autofill based on response",INDEX('CIOG'!$M$10:$M$14,MATCH($F67,'CIOG'!$B$10:$B$14,0))),"N/A")</f>
        <v/>
      </c>
      <c r="R67" s="52">
        <f>IFERROR(IF(INDEX('MRE'!$M$10:$M$18,MATCH($F67,'MRE'!$B$10:$B$18,0))="","Cell will autofill based on response",INDEX('MRE'!$M$10:$M$18,MATCH($F67,'MRE'!$B$10:$B$18,0))),"N/A")</f>
        <v/>
      </c>
      <c r="S67" s="52">
        <f>IFERROR(IF(INDEX('AC&amp;M'!$M$10:$M$14,MATCH($F67,'AC&amp;M'!$B$10:$B$14,0))="","Cell will autofill based on response",INDEX('AC&amp;M'!$M$10:$M$14,MATCH($F67,'AC&amp;M'!$B$10:$B$14,0))),"N/A")</f>
        <v/>
      </c>
      <c r="T67" s="52">
        <f>IFERROR(IF(INDEX('GCE'!$M$10:$M$12,MATCH($F67,'GCE'!$B$10:$B$12,0))="","Cell will autofill based on response",INDEX('GCE'!$M$10:$M$12,MATCH($F67,'GCE'!$B$10:$B$12,0))),"N/A")</f>
        <v/>
      </c>
      <c r="U67" s="52">
        <f>IFERROR(IF(INDEX('Education'!$M$10:$M$13,MATCH($F67,'Education'!$B$10:$B$13,0))="","Cell will autofill based on response",INDEX('Education'!$M$10:$M$13,MATCH($F67,'Education'!$B$10:$B$13,0))),"N/A")</f>
        <v/>
      </c>
      <c r="V67" s="52">
        <f>IFERROR(IF(INDEX('SaSS'!$M$10:$M$12,MATCH($F67,'SaSS'!$B$10:$B$12,0))="","Cell will autofill based on response",INDEX('SaSS'!$M$10:$M$12,MATCH($F67,'SaSS'!$B$10:$B$12,0))),"N/A")</f>
        <v/>
      </c>
      <c r="W67" s="52">
        <f>IFERROR(IF(INDEX('Indigenous'!$M$10:$M$11,MATCH($F67,'Indigenous'!$B$10:$B$11,0))="","Cell will autofill based on response",INDEX('Indigenous'!$M$10:$M$11,MATCH($F67,'Indigenous'!$B$10:$B$11,0))),"N/A")</f>
        <v/>
      </c>
      <c r="X67" s="52">
        <f>IFERROR(IF(INDEX('L&amp;R'!$M$10:$M$11,MATCH($F67,'L&amp;R'!$B$10:$B$11,0))="","Cell will autofill based on response",INDEX('L&amp;R'!$M$10:$M$11,MATCH($F67,'L&amp;R'!$B$10:$B$11,0))),"N/A")</f>
        <v/>
      </c>
    </row>
    <row r="68">
      <c r="A68">
        <f>F68&amp;"|"&amp;G68</f>
        <v/>
      </c>
      <c r="B68" s="13" t="inlineStr"/>
      <c r="C68" s="8" t="inlineStr"/>
      <c r="D68" s="8" t="inlineStr"/>
      <c r="E68" s="8" t="inlineStr"/>
      <c r="F68" s="8" t="inlineStr">
        <is>
          <t>TR3(a)</t>
        </is>
      </c>
      <c r="G68" s="8" t="inlineStr">
        <is>
          <t>Supporting information/comments</t>
        </is>
      </c>
      <c r="H68" s="52">
        <f>IFERROR(IF(INDEX('Faculties'!$N$10:$N$19,MATCH($F68,'Faculties'!$B$10:$B$19,0))="","Cell will autofill based on response",INDEX('Faculties'!$N$10:$N$19,MATCH($F68,'Faculties'!$B$10:$B$19,0))),"N/A")</f>
        <v/>
      </c>
      <c r="I68" s="52">
        <f>IFERROR(IF(INDEX('Faculties'!$N$26:$N$35,MATCH($F68,'Faculties'!$B$26:$B$35,0))="","Cell will autofill based on response",INDEX('Faculties'!$N$26:$N$35,MATCH($F68,'Faculties'!$B$26:$B$35,0))),"N/A")</f>
        <v/>
      </c>
      <c r="J68" s="52">
        <f>IFERROR(IF(INDEX('Faculties'!$N$42:$N$51,MATCH($F68,'Faculties'!$B$42:$B$51,0))="","Cell will autofill based on response",INDEX('Faculties'!$N$42:$N$51,MATCH($F68,'Faculties'!$B$42:$B$51,0))),"N/A")</f>
        <v/>
      </c>
      <c r="K68" s="52">
        <f>IFERROR(IF(INDEX('Faculties'!$N$58:$N$67,MATCH($F68,'Faculties'!$B$58:$B$67,0))="","Cell will autofill based on response",INDEX('Faculties'!$N$58:$N$67,MATCH($F68,'Faculties'!$B$58:$B$67,0))),"N/A")</f>
        <v/>
      </c>
      <c r="L68" s="52">
        <f>IFERROR(IF(INDEX('CI&amp;S'!$N$10:$N$15,MATCH($F68,'CI&amp;S'!$B$10:$B$15,0))="","Cell will autofill based on response",INDEX('CI&amp;S'!$N$10:$N$15,MATCH($F68,'CI&amp;S'!$B$10:$B$15,0))),"N/A")</f>
        <v/>
      </c>
      <c r="M68" s="52">
        <f>IFERROR(IF(INDEX('CI&amp;S'!$N$22:$N$36,MATCH($F68,'CI&amp;S'!$B$22:$B$36,0))="","Cell will autofill based on response",INDEX('CI&amp;S'!$N$22:$N$36,MATCH($F68,'CI&amp;S'!$B$22:$B$36,0))),"N/A")</f>
        <v/>
      </c>
      <c r="N68" s="52">
        <f>IFERROR(IF(INDEX('CFOG'!$N$10:$N$16,MATCH($F68,'CFOG'!$B$10:$B$16,0))="","Cell will autofill based on response",INDEX('CFOG'!$N$10:$N$16,MATCH($F68,'CFOG'!$B$10:$B$16,0))),"N/A")</f>
        <v/>
      </c>
      <c r="O68" s="52">
        <f>IFERROR(IF(INDEX('CFOG'!$N$23:$N$24,MATCH($F68,'CFOG'!$B$23:$B$24,0))="","Cell will autofill based on response",INDEX('CFOG'!$N$23:$N$24,MATCH($F68,'CFOG'!$B$23:$B$24,0))),"N/A")</f>
        <v/>
      </c>
      <c r="P68" s="52">
        <f>IFERROR(IF(INDEX('ESG'!$N$10:$N$17,MATCH($F68,'ESG'!$B$10:$B$17,0))="","Cell will autofill based on response",INDEX('ESG'!$N$10:$N$17,MATCH($F68,'ESG'!$B$10:$B$17,0))),"N/A")</f>
        <v/>
      </c>
      <c r="Q68" s="52">
        <f>IFERROR(IF(INDEX('CIOG'!$N$10:$N$14,MATCH($F68,'CIOG'!$B$10:$B$14,0))="","Cell will autofill based on response",INDEX('CIOG'!$N$10:$N$14,MATCH($F68,'CIOG'!$B$10:$B$14,0))),"N/A")</f>
        <v/>
      </c>
      <c r="R68" s="52">
        <f>IFERROR(IF(INDEX('MRE'!$N$10:$N$18,MATCH($F68,'MRE'!$B$10:$B$18,0))="","Cell will autofill based on response",INDEX('MRE'!$N$10:$N$18,MATCH($F68,'MRE'!$B$10:$B$18,0))),"N/A")</f>
        <v/>
      </c>
      <c r="S68" s="52">
        <f>IFERROR(IF(INDEX('AC&amp;M'!$N$10:$N$14,MATCH($F68,'AC&amp;M'!$B$10:$B$14,0))="","Cell will autofill based on response",INDEX('AC&amp;M'!$N$10:$N$14,MATCH($F68,'AC&amp;M'!$B$10:$B$14,0))),"N/A")</f>
        <v/>
      </c>
      <c r="T68" s="52">
        <f>IFERROR(IF(INDEX('GCE'!$N$10:$N$12,MATCH($F68,'GCE'!$B$10:$B$12,0))="","Cell will autofill based on response",INDEX('GCE'!$N$10:$N$12,MATCH($F68,'GCE'!$B$10:$B$12,0))),"N/A")</f>
        <v/>
      </c>
      <c r="U68" s="52">
        <f>IFERROR(IF(INDEX('Education'!$N$10:$N$13,MATCH($F68,'Education'!$B$10:$B$13,0))="","Cell will autofill based on response",INDEX('Education'!$N$10:$N$13,MATCH($F68,'Education'!$B$10:$B$13,0))),"N/A")</f>
        <v/>
      </c>
      <c r="V68" s="52">
        <f>IFERROR(IF(INDEX('SaSS'!$N$10:$N$12,MATCH($F68,'SaSS'!$B$10:$B$12,0))="","Cell will autofill based on response",INDEX('SaSS'!$N$10:$N$12,MATCH($F68,'SaSS'!$B$10:$B$12,0))),"N/A")</f>
        <v/>
      </c>
      <c r="W68" s="52">
        <f>IFERROR(IF(INDEX('Indigenous'!$N$10:$N$11,MATCH($F68,'Indigenous'!$B$10:$B$11,0))="","Cell will autofill based on response",INDEX('Indigenous'!$N$10:$N$11,MATCH($F68,'Indigenous'!$B$10:$B$11,0))),"N/A")</f>
        <v/>
      </c>
      <c r="X68" s="52">
        <f>IFERROR(IF(INDEX('L&amp;R'!$N$10:$N$11,MATCH($F68,'L&amp;R'!$B$10:$B$11,0))="","Cell will autofill based on response",INDEX('L&amp;R'!$N$10:$N$11,MATCH($F68,'L&amp;R'!$B$10:$B$11,0))),"N/A")</f>
        <v/>
      </c>
    </row>
    <row r="69">
      <c r="A69">
        <f>F69&amp;"|"&amp;G69</f>
        <v/>
      </c>
      <c r="B69" s="13" t="inlineStr"/>
      <c r="C69" s="8" t="inlineStr"/>
      <c r="D69" s="8" t="inlineStr"/>
      <c r="E69" s="8" t="inlineStr"/>
      <c r="F69" s="8" t="inlineStr">
        <is>
          <t>TR3(a)</t>
        </is>
      </c>
      <c r="G69" s="8" t="inlineStr">
        <is>
          <t>Data source and limitations</t>
        </is>
      </c>
      <c r="H69" s="52">
        <f>IFERROR(IF(INDEX('Faculties'!$O$10:$O$19,MATCH($F69,'Faculties'!$B$10:$B$19,0))="","Cell will autofill based on response",INDEX('Faculties'!$O$10:$O$19,MATCH($F69,'Faculties'!$B$10:$B$19,0))),"N/A")</f>
        <v/>
      </c>
      <c r="I69" s="52">
        <f>IFERROR(IF(INDEX('Faculties'!$O$26:$O$35,MATCH($F69,'Faculties'!$B$26:$B$35,0))="","Cell will autofill based on response",INDEX('Faculties'!$O$26:$O$35,MATCH($F69,'Faculties'!$B$26:$B$35,0))),"N/A")</f>
        <v/>
      </c>
      <c r="J69" s="52">
        <f>IFERROR(IF(INDEX('Faculties'!$O$42:$O$51,MATCH($F69,'Faculties'!$B$42:$B$51,0))="","Cell will autofill based on response",INDEX('Faculties'!$O$42:$O$51,MATCH($F69,'Faculties'!$B$42:$B$51,0))),"N/A")</f>
        <v/>
      </c>
      <c r="K69" s="52">
        <f>IFERROR(IF(INDEX('Faculties'!$O$58:$O$67,MATCH($F69,'Faculties'!$B$58:$B$67,0))="","Cell will autofill based on response",INDEX('Faculties'!$O$58:$O$67,MATCH($F69,'Faculties'!$B$58:$B$67,0))),"N/A")</f>
        <v/>
      </c>
      <c r="L69" s="52">
        <f>IFERROR(IF(INDEX('CI&amp;S'!$O$10:$O$15,MATCH($F69,'CI&amp;S'!$B$10:$B$15,0))="","Cell will autofill based on response",INDEX('CI&amp;S'!$O$10:$O$15,MATCH($F69,'CI&amp;S'!$B$10:$B$15,0))),"N/A")</f>
        <v/>
      </c>
      <c r="M69" s="52">
        <f>IFERROR(IF(INDEX('CI&amp;S'!$O$22:$O$36,MATCH($F69,'CI&amp;S'!$B$22:$B$36,0))="","Cell will autofill based on response",INDEX('CI&amp;S'!$O$22:$O$36,MATCH($F69,'CI&amp;S'!$B$22:$B$36,0))),"N/A")</f>
        <v/>
      </c>
      <c r="N69" s="52">
        <f>IFERROR(IF(INDEX('CFOG'!$O$10:$O$16,MATCH($F69,'CFOG'!$B$10:$B$16,0))="","Cell will autofill based on response",INDEX('CFOG'!$O$10:$O$16,MATCH($F69,'CFOG'!$B$10:$B$16,0))),"N/A")</f>
        <v/>
      </c>
      <c r="O69" s="52">
        <f>IFERROR(IF(INDEX('CFOG'!$O$23:$O$24,MATCH($F69,'CFOG'!$B$23:$B$24,0))="","Cell will autofill based on response",INDEX('CFOG'!$O$23:$O$24,MATCH($F69,'CFOG'!$B$23:$B$24,0))),"N/A")</f>
        <v/>
      </c>
      <c r="P69" s="52">
        <f>IFERROR(IF(INDEX('ESG'!$O$10:$O$17,MATCH($F69,'ESG'!$B$10:$B$17,0))="","Cell will autofill based on response",INDEX('ESG'!$O$10:$O$17,MATCH($F69,'ESG'!$B$10:$B$17,0))),"N/A")</f>
        <v/>
      </c>
      <c r="Q69" s="52">
        <f>IFERROR(IF(INDEX('CIOG'!$O$10:$O$14,MATCH($F69,'CIOG'!$B$10:$B$14,0))="","Cell will autofill based on response",INDEX('CIOG'!$O$10:$O$14,MATCH($F69,'CIOG'!$B$10:$B$14,0))),"N/A")</f>
        <v/>
      </c>
      <c r="R69" s="52">
        <f>IFERROR(IF(INDEX('MRE'!$O$10:$O$18,MATCH($F69,'MRE'!$B$10:$B$18,0))="","Cell will autofill based on response",INDEX('MRE'!$O$10:$O$18,MATCH($F69,'MRE'!$B$10:$B$18,0))),"N/A")</f>
        <v/>
      </c>
      <c r="S69" s="52">
        <f>IFERROR(IF(INDEX('AC&amp;M'!$O$10:$O$14,MATCH($F69,'AC&amp;M'!$B$10:$B$14,0))="","Cell will autofill based on response",INDEX('AC&amp;M'!$O$10:$O$14,MATCH($F69,'AC&amp;M'!$B$10:$B$14,0))),"N/A")</f>
        <v/>
      </c>
      <c r="T69" s="52">
        <f>IFERROR(IF(INDEX('GCE'!$O$10:$O$12,MATCH($F69,'GCE'!$B$10:$B$12,0))="","Cell will autofill based on response",INDEX('GCE'!$O$10:$O$12,MATCH($F69,'GCE'!$B$10:$B$12,0))),"N/A")</f>
        <v/>
      </c>
      <c r="U69" s="52">
        <f>IFERROR(IF(INDEX('Education'!$O$10:$O$13,MATCH($F69,'Education'!$B$10:$B$13,0))="","Cell will autofill based on response",INDEX('Education'!$O$10:$O$13,MATCH($F69,'Education'!$B$10:$B$13,0))),"N/A")</f>
        <v/>
      </c>
      <c r="V69" s="52">
        <f>IFERROR(IF(INDEX('SaSS'!$O$10:$O$12,MATCH($F69,'SaSS'!$B$10:$B$12,0))="","Cell will autofill based on response",INDEX('SaSS'!$O$10:$O$12,MATCH($F69,'SaSS'!$B$10:$B$12,0))),"N/A")</f>
        <v/>
      </c>
      <c r="W69" s="52">
        <f>IFERROR(IF(INDEX('Indigenous'!$O$10:$O$11,MATCH($F69,'Indigenous'!$B$10:$B$11,0))="","Cell will autofill based on response",INDEX('Indigenous'!$O$10:$O$11,MATCH($F69,'Indigenous'!$B$10:$B$11,0))),"N/A")</f>
        <v/>
      </c>
      <c r="X69" s="52">
        <f>IFERROR(IF(INDEX('L&amp;R'!$O$10:$O$11,MATCH($F69,'L&amp;R'!$B$10:$B$11,0))="","Cell will autofill based on response",INDEX('L&amp;R'!$O$10:$O$11,MATCH($F69,'L&amp;R'!$B$10:$B$11,0))),"N/A")</f>
        <v/>
      </c>
    </row>
    <row r="70">
      <c r="A70">
        <f>F70&amp;"|"&amp;G70</f>
        <v/>
      </c>
      <c r="B70" s="13" t="inlineStr"/>
      <c r="C70" s="8" t="inlineStr"/>
      <c r="D70" s="8" t="inlineStr"/>
      <c r="E70" s="8" t="inlineStr"/>
      <c r="F70" s="8" t="inlineStr">
        <is>
          <t>TR3(a)</t>
        </is>
      </c>
      <c r="G70" s="8" t="inlineStr">
        <is>
          <t>Data owner confirms</t>
        </is>
      </c>
      <c r="H70" s="52">
        <f>IFERROR(IF(INDEX('Faculties'!$P$10:$P$19,MATCH($F70,'Faculties'!$B$10:$B$19,0))="","Cell will autofill based on response",INDEX('Faculties'!$P$10:$P$19,MATCH($F70,'Faculties'!$B$10:$B$19,0))),"N/A")</f>
        <v/>
      </c>
      <c r="I70" s="52">
        <f>IFERROR(IF(INDEX('Faculties'!$P$26:$P$35,MATCH($F70,'Faculties'!$B$26:$B$35,0))="","Cell will autofill based on response",INDEX('Faculties'!$P$26:$P$35,MATCH($F70,'Faculties'!$B$26:$B$35,0))),"N/A")</f>
        <v/>
      </c>
      <c r="J70" s="52">
        <f>IFERROR(IF(INDEX('Faculties'!$P$42:$P$51,MATCH($F70,'Faculties'!$B$42:$B$51,0))="","Cell will autofill based on response",INDEX('Faculties'!$P$42:$P$51,MATCH($F70,'Faculties'!$B$42:$B$51,0))),"N/A")</f>
        <v/>
      </c>
      <c r="K70" s="52">
        <f>IFERROR(IF(INDEX('Faculties'!$P$58:$P$67,MATCH($F70,'Faculties'!$B$58:$B$67,0))="","Cell will autofill based on response",INDEX('Faculties'!$P$58:$P$67,MATCH($F70,'Faculties'!$B$58:$B$67,0))),"N/A")</f>
        <v/>
      </c>
      <c r="L70" s="52">
        <f>IFERROR(IF(INDEX('CI&amp;S'!$P$10:$P$15,MATCH($F70,'CI&amp;S'!$B$10:$B$15,0))="","Cell will autofill based on response",INDEX('CI&amp;S'!$P$10:$P$15,MATCH($F70,'CI&amp;S'!$B$10:$B$15,0))),"N/A")</f>
        <v/>
      </c>
      <c r="M70" s="52">
        <f>IFERROR(IF(INDEX('CI&amp;S'!$P$22:$P$36,MATCH($F70,'CI&amp;S'!$B$22:$B$36,0))="","Cell will autofill based on response",INDEX('CI&amp;S'!$P$22:$P$36,MATCH($F70,'CI&amp;S'!$B$22:$B$36,0))),"N/A")</f>
        <v/>
      </c>
      <c r="N70" s="52">
        <f>IFERROR(IF(INDEX('CFOG'!$P$10:$P$16,MATCH($F70,'CFOG'!$B$10:$B$16,0))="","Cell will autofill based on response",INDEX('CFOG'!$P$10:$P$16,MATCH($F70,'CFOG'!$B$10:$B$16,0))),"N/A")</f>
        <v/>
      </c>
      <c r="O70" s="52">
        <f>IFERROR(IF(INDEX('CFOG'!$P$23:$P$24,MATCH($F70,'CFOG'!$B$23:$B$24,0))="","Cell will autofill based on response",INDEX('CFOG'!$P$23:$P$24,MATCH($F70,'CFOG'!$B$23:$B$24,0))),"N/A")</f>
        <v/>
      </c>
      <c r="P70" s="52">
        <f>IFERROR(IF(INDEX('ESG'!$P$10:$P$17,MATCH($F70,'ESG'!$B$10:$B$17,0))="","Cell will autofill based on response",INDEX('ESG'!$P$10:$P$17,MATCH($F70,'ESG'!$B$10:$B$17,0))),"N/A")</f>
        <v/>
      </c>
      <c r="Q70" s="52">
        <f>IFERROR(IF(INDEX('CIOG'!$P$10:$P$14,MATCH($F70,'CIOG'!$B$10:$B$14,0))="","Cell will autofill based on response",INDEX('CIOG'!$P$10:$P$14,MATCH($F70,'CIOG'!$B$10:$B$14,0))),"N/A")</f>
        <v/>
      </c>
      <c r="R70" s="52">
        <f>IFERROR(IF(INDEX('MRE'!$P$10:$P$18,MATCH($F70,'MRE'!$B$10:$B$18,0))="","Cell will autofill based on response",INDEX('MRE'!$P$10:$P$18,MATCH($F70,'MRE'!$B$10:$B$18,0))),"N/A")</f>
        <v/>
      </c>
      <c r="S70" s="52">
        <f>IFERROR(IF(INDEX('AC&amp;M'!$P$10:$P$14,MATCH($F70,'AC&amp;M'!$B$10:$B$14,0))="","Cell will autofill based on response",INDEX('AC&amp;M'!$P$10:$P$14,MATCH($F70,'AC&amp;M'!$B$10:$B$14,0))),"N/A")</f>
        <v/>
      </c>
      <c r="T70" s="52">
        <f>IFERROR(IF(INDEX('GCE'!$P$10:$P$12,MATCH($F70,'GCE'!$B$10:$B$12,0))="","Cell will autofill based on response",INDEX('GCE'!$P$10:$P$12,MATCH($F70,'GCE'!$B$10:$B$12,0))),"N/A")</f>
        <v/>
      </c>
      <c r="U70" s="52">
        <f>IFERROR(IF(INDEX('Education'!$P$10:$P$13,MATCH($F70,'Education'!$B$10:$B$13,0))="","Cell will autofill based on response",INDEX('Education'!$P$10:$P$13,MATCH($F70,'Education'!$B$10:$B$13,0))),"N/A")</f>
        <v/>
      </c>
      <c r="V70" s="52">
        <f>IFERROR(IF(INDEX('SaSS'!$P$10:$P$12,MATCH($F70,'SaSS'!$B$10:$B$12,0))="","Cell will autofill based on response",INDEX('SaSS'!$P$10:$P$12,MATCH($F70,'SaSS'!$B$10:$B$12,0))),"N/A")</f>
        <v/>
      </c>
      <c r="W70" s="52">
        <f>IFERROR(IF(INDEX('Indigenous'!$P$10:$P$11,MATCH($F70,'Indigenous'!$B$10:$B$11,0))="","Cell will autofill based on response",INDEX('Indigenous'!$P$10:$P$11,MATCH($F70,'Indigenous'!$B$10:$B$11,0))),"N/A")</f>
        <v/>
      </c>
      <c r="X70" s="52">
        <f>IFERROR(IF(INDEX('L&amp;R'!$P$10:$P$11,MATCH($F70,'L&amp;R'!$B$10:$B$11,0))="","Cell will autofill based on response",INDEX('L&amp;R'!$P$10:$P$11,MATCH($F70,'L&amp;R'!$B$10:$B$11,0))),"N/A")</f>
        <v/>
      </c>
    </row>
    <row r="71">
      <c r="A71">
        <f>F71&amp;"|"&amp;G71</f>
        <v/>
      </c>
      <c r="B71" s="7" t="inlineStr">
        <is>
          <t>TR3(b)</t>
        </is>
      </c>
      <c r="C71" s="50" t="inlineStr">
        <is>
          <t>Transformational research</t>
        </is>
      </c>
      <c r="D71" s="50" t="inlineStr">
        <is>
          <t>Demonstrated examples of more sustainable research practices in laboratories, fieldwork, procurement, travel or infrastructure use</t>
        </is>
      </c>
      <c r="E71" s="50"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71" s="50" t="inlineStr">
        <is>
          <t>TR3(b)</t>
        </is>
      </c>
      <c r="G71" s="50" t="inlineStr">
        <is>
          <t>OPTION 1:  Target-level reporting</t>
        </is>
      </c>
      <c r="H71" s="52">
        <f>IFERROR(IF(INDEX('Faculties'!$L$10:$L$19,MATCH($F71,'Faculties'!$B$10:$B$19,0))="","Cell will autofill based on response",INDEX('Faculties'!$L$10:$L$19,MATCH($F71,'Faculties'!$B$10:$B$19,0))),"N/A")</f>
        <v/>
      </c>
      <c r="I71" s="52">
        <f>IFERROR(IF(INDEX('Faculties'!$L$26:$L$35,MATCH($F71,'Faculties'!$B$26:$B$35,0))="","Cell will autofill based on response",INDEX('Faculties'!$L$26:$L$35,MATCH($F71,'Faculties'!$B$26:$B$35,0))),"N/A")</f>
        <v/>
      </c>
      <c r="J71" s="52">
        <f>IFERROR(IF(INDEX('Faculties'!$L$42:$L$51,MATCH($F71,'Faculties'!$B$42:$B$51,0))="","Cell will autofill based on response",INDEX('Faculties'!$L$42:$L$51,MATCH($F71,'Faculties'!$B$42:$B$51,0))),"N/A")</f>
        <v/>
      </c>
      <c r="K71" s="52">
        <f>IFERROR(IF(INDEX('Faculties'!$L$58:$L$67,MATCH($F71,'Faculties'!$B$58:$B$67,0))="","Cell will autofill based on response",INDEX('Faculties'!$L$58:$L$67,MATCH($F71,'Faculties'!$B$58:$B$67,0))),"N/A")</f>
        <v/>
      </c>
      <c r="L71" s="52">
        <f>IFERROR(IF(INDEX('CI&amp;S'!$L$10:$L$15,MATCH($F71,'CI&amp;S'!$B$10:$B$15,0))="","Cell will autofill based on response",INDEX('CI&amp;S'!$L$10:$L$15,MATCH($F71,'CI&amp;S'!$B$10:$B$15,0))),"N/A")</f>
        <v/>
      </c>
      <c r="M71" s="52">
        <f>IFERROR(IF(INDEX('CI&amp;S'!$L$22:$L$36,MATCH($F71,'CI&amp;S'!$B$22:$B$36,0))="","Cell will autofill based on response",INDEX('CI&amp;S'!$L$22:$L$36,MATCH($F71,'CI&amp;S'!$B$22:$B$36,0))),"N/A")</f>
        <v/>
      </c>
      <c r="N71" s="52">
        <f>IFERROR(IF(INDEX('CFOG'!$L$10:$L$16,MATCH($F71,'CFOG'!$B$10:$B$16,0))="","Cell will autofill based on response",INDEX('CFOG'!$L$10:$L$16,MATCH($F71,'CFOG'!$B$10:$B$16,0))),"N/A")</f>
        <v/>
      </c>
      <c r="O71" s="52">
        <f>IFERROR(IF(INDEX('CFOG'!$L$23:$L$24,MATCH($F71,'CFOG'!$B$23:$B$24,0))="","Cell will autofill based on response",INDEX('CFOG'!$L$23:$L$24,MATCH($F71,'CFOG'!$B$23:$B$24,0))),"N/A")</f>
        <v/>
      </c>
      <c r="P71" s="52">
        <f>IFERROR(IF(INDEX('ESG'!$L$10:$L$17,MATCH($F71,'ESG'!$B$10:$B$17,0))="","Cell will autofill based on response",INDEX('ESG'!$L$10:$L$17,MATCH($F71,'ESG'!$B$10:$B$17,0))),"N/A")</f>
        <v/>
      </c>
      <c r="Q71" s="52">
        <f>IFERROR(IF(INDEX('CIOG'!$L$10:$L$14,MATCH($F71,'CIOG'!$B$10:$B$14,0))="","Cell will autofill based on response",INDEX('CIOG'!$L$10:$L$14,MATCH($F71,'CIOG'!$B$10:$B$14,0))),"N/A")</f>
        <v/>
      </c>
      <c r="R71" s="52">
        <f>IFERROR(IF(INDEX('MRE'!$L$10:$L$18,MATCH($F71,'MRE'!$B$10:$B$18,0))="","Cell will autofill based on response",INDEX('MRE'!$L$10:$L$18,MATCH($F71,'MRE'!$B$10:$B$18,0))),"N/A")</f>
        <v/>
      </c>
      <c r="S71" s="52">
        <f>IFERROR(IF(INDEX('AC&amp;M'!$L$10:$L$14,MATCH($F71,'AC&amp;M'!$B$10:$B$14,0))="","Cell will autofill based on response",INDEX('AC&amp;M'!$L$10:$L$14,MATCH($F71,'AC&amp;M'!$B$10:$B$14,0))),"N/A")</f>
        <v/>
      </c>
      <c r="T71" s="52">
        <f>IFERROR(IF(INDEX('GCE'!$L$10:$L$12,MATCH($F71,'GCE'!$B$10:$B$12,0))="","Cell will autofill based on response",INDEX('GCE'!$L$10:$L$12,MATCH($F71,'GCE'!$B$10:$B$12,0))),"N/A")</f>
        <v/>
      </c>
      <c r="U71" s="52">
        <f>IFERROR(IF(INDEX('Education'!$L$10:$L$13,MATCH($F71,'Education'!$B$10:$B$13,0))="","Cell will autofill based on response",INDEX('Education'!$L$10:$L$13,MATCH($F71,'Education'!$B$10:$B$13,0))),"N/A")</f>
        <v/>
      </c>
      <c r="V71" s="52">
        <f>IFERROR(IF(INDEX('SaSS'!$L$10:$L$12,MATCH($F71,'SaSS'!$B$10:$B$12,0))="","Cell will autofill based on response",INDEX('SaSS'!$L$10:$L$12,MATCH($F71,'SaSS'!$B$10:$B$12,0))),"N/A")</f>
        <v/>
      </c>
      <c r="W71" s="52">
        <f>IFERROR(IF(INDEX('Indigenous'!$L$10:$L$11,MATCH($F71,'Indigenous'!$B$10:$B$11,0))="","Cell will autofill based on response",INDEX('Indigenous'!$L$10:$L$11,MATCH($F71,'Indigenous'!$B$10:$B$11,0))),"N/A")</f>
        <v/>
      </c>
      <c r="X71" s="52">
        <f>IFERROR(IF(INDEX('L&amp;R'!$L$10:$L$11,MATCH($F71,'L&amp;R'!$B$10:$B$11,0))="","Cell will autofill based on response",INDEX('L&amp;R'!$L$10:$L$11,MATCH($F71,'L&amp;R'!$B$10:$B$11,0))),"N/A")</f>
        <v/>
      </c>
      <c r="Z71" s="10">
        <f>SUMPRODUCT(--($H71:$X71&lt;&gt;"N/A"))</f>
        <v/>
      </c>
      <c r="AA71" s="10">
        <f>SUMPRODUCT(--(((($H71:$X71&lt;&gt;"N/A")*($H71:$X71&lt;&gt;"Cell will autofill based on response"))+(($H72:$X72&lt;&gt;"N/A")*($H72:$X72&lt;&gt;"Cell will autofill based on response")))&gt;0))</f>
        <v/>
      </c>
      <c r="AB71" s="10">
        <f>Z71-AA71</f>
        <v/>
      </c>
      <c r="AC71" s="10">
        <f>COUNTIF($H75:$X75,"Yes")</f>
        <v/>
      </c>
    </row>
    <row r="72">
      <c r="A72">
        <f>F72&amp;"|"&amp;G72</f>
        <v/>
      </c>
      <c r="B72" s="13" t="inlineStr"/>
      <c r="C72" s="8" t="inlineStr"/>
      <c r="D72" s="8" t="inlineStr"/>
      <c r="E72" s="8" t="inlineStr"/>
      <c r="F72" s="8" t="inlineStr">
        <is>
          <t>TR3(b)</t>
        </is>
      </c>
      <c r="G72" s="8" t="inlineStr">
        <is>
          <t>OPTION 2:  Indicator level reporting</t>
        </is>
      </c>
      <c r="H72" s="52">
        <f>IFERROR(IF(INDEX('Faculties'!$M$10:$M$19,MATCH($F72,'Faculties'!$B$10:$B$19,0))="","Cell will autofill based on response",INDEX('Faculties'!$M$10:$M$19,MATCH($F72,'Faculties'!$B$10:$B$19,0))),"N/A")</f>
        <v/>
      </c>
      <c r="I72" s="52">
        <f>IFERROR(IF(INDEX('Faculties'!$M$26:$M$35,MATCH($F72,'Faculties'!$B$26:$B$35,0))="","Cell will autofill based on response",INDEX('Faculties'!$M$26:$M$35,MATCH($F72,'Faculties'!$B$26:$B$35,0))),"N/A")</f>
        <v/>
      </c>
      <c r="J72" s="52">
        <f>IFERROR(IF(INDEX('Faculties'!$M$42:$M$51,MATCH($F72,'Faculties'!$B$42:$B$51,0))="","Cell will autofill based on response",INDEX('Faculties'!$M$42:$M$51,MATCH($F72,'Faculties'!$B$42:$B$51,0))),"N/A")</f>
        <v/>
      </c>
      <c r="K72" s="52">
        <f>IFERROR(IF(INDEX('Faculties'!$M$58:$M$67,MATCH($F72,'Faculties'!$B$58:$B$67,0))="","Cell will autofill based on response",INDEX('Faculties'!$M$58:$M$67,MATCH($F72,'Faculties'!$B$58:$B$67,0))),"N/A")</f>
        <v/>
      </c>
      <c r="L72" s="52">
        <f>IFERROR(IF(INDEX('CI&amp;S'!$M$10:$M$15,MATCH($F72,'CI&amp;S'!$B$10:$B$15,0))="","Cell will autofill based on response",INDEX('CI&amp;S'!$M$10:$M$15,MATCH($F72,'CI&amp;S'!$B$10:$B$15,0))),"N/A")</f>
        <v/>
      </c>
      <c r="M72" s="52">
        <f>IFERROR(IF(INDEX('CI&amp;S'!$M$22:$M$36,MATCH($F72,'CI&amp;S'!$B$22:$B$36,0))="","Cell will autofill based on response",INDEX('CI&amp;S'!$M$22:$M$36,MATCH($F72,'CI&amp;S'!$B$22:$B$36,0))),"N/A")</f>
        <v/>
      </c>
      <c r="N72" s="52">
        <f>IFERROR(IF(INDEX('CFOG'!$M$10:$M$16,MATCH($F72,'CFOG'!$B$10:$B$16,0))="","Cell will autofill based on response",INDEX('CFOG'!$M$10:$M$16,MATCH($F72,'CFOG'!$B$10:$B$16,0))),"N/A")</f>
        <v/>
      </c>
      <c r="O72" s="52">
        <f>IFERROR(IF(INDEX('CFOG'!$M$23:$M$24,MATCH($F72,'CFOG'!$B$23:$B$24,0))="","Cell will autofill based on response",INDEX('CFOG'!$M$23:$M$24,MATCH($F72,'CFOG'!$B$23:$B$24,0))),"N/A")</f>
        <v/>
      </c>
      <c r="P72" s="52">
        <f>IFERROR(IF(INDEX('ESG'!$M$10:$M$17,MATCH($F72,'ESG'!$B$10:$B$17,0))="","Cell will autofill based on response",INDEX('ESG'!$M$10:$M$17,MATCH($F72,'ESG'!$B$10:$B$17,0))),"N/A")</f>
        <v/>
      </c>
      <c r="Q72" s="52">
        <f>IFERROR(IF(INDEX('CIOG'!$M$10:$M$14,MATCH($F72,'CIOG'!$B$10:$B$14,0))="","Cell will autofill based on response",INDEX('CIOG'!$M$10:$M$14,MATCH($F72,'CIOG'!$B$10:$B$14,0))),"N/A")</f>
        <v/>
      </c>
      <c r="R72" s="52">
        <f>IFERROR(IF(INDEX('MRE'!$M$10:$M$18,MATCH($F72,'MRE'!$B$10:$B$18,0))="","Cell will autofill based on response",INDEX('MRE'!$M$10:$M$18,MATCH($F72,'MRE'!$B$10:$B$18,0))),"N/A")</f>
        <v/>
      </c>
      <c r="S72" s="52">
        <f>IFERROR(IF(INDEX('AC&amp;M'!$M$10:$M$14,MATCH($F72,'AC&amp;M'!$B$10:$B$14,0))="","Cell will autofill based on response",INDEX('AC&amp;M'!$M$10:$M$14,MATCH($F72,'AC&amp;M'!$B$10:$B$14,0))),"N/A")</f>
        <v/>
      </c>
      <c r="T72" s="52">
        <f>IFERROR(IF(INDEX('GCE'!$M$10:$M$12,MATCH($F72,'GCE'!$B$10:$B$12,0))="","Cell will autofill based on response",INDEX('GCE'!$M$10:$M$12,MATCH($F72,'GCE'!$B$10:$B$12,0))),"N/A")</f>
        <v/>
      </c>
      <c r="U72" s="52">
        <f>IFERROR(IF(INDEX('Education'!$M$10:$M$13,MATCH($F72,'Education'!$B$10:$B$13,0))="","Cell will autofill based on response",INDEX('Education'!$M$10:$M$13,MATCH($F72,'Education'!$B$10:$B$13,0))),"N/A")</f>
        <v/>
      </c>
      <c r="V72" s="52">
        <f>IFERROR(IF(INDEX('SaSS'!$M$10:$M$12,MATCH($F72,'SaSS'!$B$10:$B$12,0))="","Cell will autofill based on response",INDEX('SaSS'!$M$10:$M$12,MATCH($F72,'SaSS'!$B$10:$B$12,0))),"N/A")</f>
        <v/>
      </c>
      <c r="W72" s="52">
        <f>IFERROR(IF(INDEX('Indigenous'!$M$10:$M$11,MATCH($F72,'Indigenous'!$B$10:$B$11,0))="","Cell will autofill based on response",INDEX('Indigenous'!$M$10:$M$11,MATCH($F72,'Indigenous'!$B$10:$B$11,0))),"N/A")</f>
        <v/>
      </c>
      <c r="X72" s="52">
        <f>IFERROR(IF(INDEX('L&amp;R'!$M$10:$M$11,MATCH($F72,'L&amp;R'!$B$10:$B$11,0))="","Cell will autofill based on response",INDEX('L&amp;R'!$M$10:$M$11,MATCH($F72,'L&amp;R'!$B$10:$B$11,0))),"N/A")</f>
        <v/>
      </c>
    </row>
    <row r="73">
      <c r="A73">
        <f>F73&amp;"|"&amp;G73</f>
        <v/>
      </c>
      <c r="B73" s="13" t="inlineStr"/>
      <c r="C73" s="8" t="inlineStr"/>
      <c r="D73" s="8" t="inlineStr"/>
      <c r="E73" s="8" t="inlineStr"/>
      <c r="F73" s="8" t="inlineStr">
        <is>
          <t>TR3(b)</t>
        </is>
      </c>
      <c r="G73" s="8" t="inlineStr">
        <is>
          <t>Supporting information/comments</t>
        </is>
      </c>
      <c r="H73" s="52">
        <f>IFERROR(IF(INDEX('Faculties'!$N$10:$N$19,MATCH($F73,'Faculties'!$B$10:$B$19,0))="","Cell will autofill based on response",INDEX('Faculties'!$N$10:$N$19,MATCH($F73,'Faculties'!$B$10:$B$19,0))),"N/A")</f>
        <v/>
      </c>
      <c r="I73" s="52">
        <f>IFERROR(IF(INDEX('Faculties'!$N$26:$N$35,MATCH($F73,'Faculties'!$B$26:$B$35,0))="","Cell will autofill based on response",INDEX('Faculties'!$N$26:$N$35,MATCH($F73,'Faculties'!$B$26:$B$35,0))),"N/A")</f>
        <v/>
      </c>
      <c r="J73" s="52">
        <f>IFERROR(IF(INDEX('Faculties'!$N$42:$N$51,MATCH($F73,'Faculties'!$B$42:$B$51,0))="","Cell will autofill based on response",INDEX('Faculties'!$N$42:$N$51,MATCH($F73,'Faculties'!$B$42:$B$51,0))),"N/A")</f>
        <v/>
      </c>
      <c r="K73" s="52">
        <f>IFERROR(IF(INDEX('Faculties'!$N$58:$N$67,MATCH($F73,'Faculties'!$B$58:$B$67,0))="","Cell will autofill based on response",INDEX('Faculties'!$N$58:$N$67,MATCH($F73,'Faculties'!$B$58:$B$67,0))),"N/A")</f>
        <v/>
      </c>
      <c r="L73" s="52">
        <f>IFERROR(IF(INDEX('CI&amp;S'!$N$10:$N$15,MATCH($F73,'CI&amp;S'!$B$10:$B$15,0))="","Cell will autofill based on response",INDEX('CI&amp;S'!$N$10:$N$15,MATCH($F73,'CI&amp;S'!$B$10:$B$15,0))),"N/A")</f>
        <v/>
      </c>
      <c r="M73" s="52">
        <f>IFERROR(IF(INDEX('CI&amp;S'!$N$22:$N$36,MATCH($F73,'CI&amp;S'!$B$22:$B$36,0))="","Cell will autofill based on response",INDEX('CI&amp;S'!$N$22:$N$36,MATCH($F73,'CI&amp;S'!$B$22:$B$36,0))),"N/A")</f>
        <v/>
      </c>
      <c r="N73" s="52">
        <f>IFERROR(IF(INDEX('CFOG'!$N$10:$N$16,MATCH($F73,'CFOG'!$B$10:$B$16,0))="","Cell will autofill based on response",INDEX('CFOG'!$N$10:$N$16,MATCH($F73,'CFOG'!$B$10:$B$16,0))),"N/A")</f>
        <v/>
      </c>
      <c r="O73" s="52">
        <f>IFERROR(IF(INDEX('CFOG'!$N$23:$N$24,MATCH($F73,'CFOG'!$B$23:$B$24,0))="","Cell will autofill based on response",INDEX('CFOG'!$N$23:$N$24,MATCH($F73,'CFOG'!$B$23:$B$24,0))),"N/A")</f>
        <v/>
      </c>
      <c r="P73" s="52">
        <f>IFERROR(IF(INDEX('ESG'!$N$10:$N$17,MATCH($F73,'ESG'!$B$10:$B$17,0))="","Cell will autofill based on response",INDEX('ESG'!$N$10:$N$17,MATCH($F73,'ESG'!$B$10:$B$17,0))),"N/A")</f>
        <v/>
      </c>
      <c r="Q73" s="52">
        <f>IFERROR(IF(INDEX('CIOG'!$N$10:$N$14,MATCH($F73,'CIOG'!$B$10:$B$14,0))="","Cell will autofill based on response",INDEX('CIOG'!$N$10:$N$14,MATCH($F73,'CIOG'!$B$10:$B$14,0))),"N/A")</f>
        <v/>
      </c>
      <c r="R73" s="52">
        <f>IFERROR(IF(INDEX('MRE'!$N$10:$N$18,MATCH($F73,'MRE'!$B$10:$B$18,0))="","Cell will autofill based on response",INDEX('MRE'!$N$10:$N$18,MATCH($F73,'MRE'!$B$10:$B$18,0))),"N/A")</f>
        <v/>
      </c>
      <c r="S73" s="52">
        <f>IFERROR(IF(INDEX('AC&amp;M'!$N$10:$N$14,MATCH($F73,'AC&amp;M'!$B$10:$B$14,0))="","Cell will autofill based on response",INDEX('AC&amp;M'!$N$10:$N$14,MATCH($F73,'AC&amp;M'!$B$10:$B$14,0))),"N/A")</f>
        <v/>
      </c>
      <c r="T73" s="52">
        <f>IFERROR(IF(INDEX('GCE'!$N$10:$N$12,MATCH($F73,'GCE'!$B$10:$B$12,0))="","Cell will autofill based on response",INDEX('GCE'!$N$10:$N$12,MATCH($F73,'GCE'!$B$10:$B$12,0))),"N/A")</f>
        <v/>
      </c>
      <c r="U73" s="52">
        <f>IFERROR(IF(INDEX('Education'!$N$10:$N$13,MATCH($F73,'Education'!$B$10:$B$13,0))="","Cell will autofill based on response",INDEX('Education'!$N$10:$N$13,MATCH($F73,'Education'!$B$10:$B$13,0))),"N/A")</f>
        <v/>
      </c>
      <c r="V73" s="52">
        <f>IFERROR(IF(INDEX('SaSS'!$N$10:$N$12,MATCH($F73,'SaSS'!$B$10:$B$12,0))="","Cell will autofill based on response",INDEX('SaSS'!$N$10:$N$12,MATCH($F73,'SaSS'!$B$10:$B$12,0))),"N/A")</f>
        <v/>
      </c>
      <c r="W73" s="52">
        <f>IFERROR(IF(INDEX('Indigenous'!$N$10:$N$11,MATCH($F73,'Indigenous'!$B$10:$B$11,0))="","Cell will autofill based on response",INDEX('Indigenous'!$N$10:$N$11,MATCH($F73,'Indigenous'!$B$10:$B$11,0))),"N/A")</f>
        <v/>
      </c>
      <c r="X73" s="52">
        <f>IFERROR(IF(INDEX('L&amp;R'!$N$10:$N$11,MATCH($F73,'L&amp;R'!$B$10:$B$11,0))="","Cell will autofill based on response",INDEX('L&amp;R'!$N$10:$N$11,MATCH($F73,'L&amp;R'!$B$10:$B$11,0))),"N/A")</f>
        <v/>
      </c>
    </row>
    <row r="74">
      <c r="A74">
        <f>F74&amp;"|"&amp;G74</f>
        <v/>
      </c>
      <c r="B74" s="13" t="inlineStr"/>
      <c r="C74" s="8" t="inlineStr"/>
      <c r="D74" s="8" t="inlineStr"/>
      <c r="E74" s="8" t="inlineStr"/>
      <c r="F74" s="8" t="inlineStr">
        <is>
          <t>TR3(b)</t>
        </is>
      </c>
      <c r="G74" s="8" t="inlineStr">
        <is>
          <t>Data source and limitations</t>
        </is>
      </c>
      <c r="H74" s="52">
        <f>IFERROR(IF(INDEX('Faculties'!$O$10:$O$19,MATCH($F74,'Faculties'!$B$10:$B$19,0))="","Cell will autofill based on response",INDEX('Faculties'!$O$10:$O$19,MATCH($F74,'Faculties'!$B$10:$B$19,0))),"N/A")</f>
        <v/>
      </c>
      <c r="I74" s="52">
        <f>IFERROR(IF(INDEX('Faculties'!$O$26:$O$35,MATCH($F74,'Faculties'!$B$26:$B$35,0))="","Cell will autofill based on response",INDEX('Faculties'!$O$26:$O$35,MATCH($F74,'Faculties'!$B$26:$B$35,0))),"N/A")</f>
        <v/>
      </c>
      <c r="J74" s="52">
        <f>IFERROR(IF(INDEX('Faculties'!$O$42:$O$51,MATCH($F74,'Faculties'!$B$42:$B$51,0))="","Cell will autofill based on response",INDEX('Faculties'!$O$42:$O$51,MATCH($F74,'Faculties'!$B$42:$B$51,0))),"N/A")</f>
        <v/>
      </c>
      <c r="K74" s="52">
        <f>IFERROR(IF(INDEX('Faculties'!$O$58:$O$67,MATCH($F74,'Faculties'!$B$58:$B$67,0))="","Cell will autofill based on response",INDEX('Faculties'!$O$58:$O$67,MATCH($F74,'Faculties'!$B$58:$B$67,0))),"N/A")</f>
        <v/>
      </c>
      <c r="L74" s="52">
        <f>IFERROR(IF(INDEX('CI&amp;S'!$O$10:$O$15,MATCH($F74,'CI&amp;S'!$B$10:$B$15,0))="","Cell will autofill based on response",INDEX('CI&amp;S'!$O$10:$O$15,MATCH($F74,'CI&amp;S'!$B$10:$B$15,0))),"N/A")</f>
        <v/>
      </c>
      <c r="M74" s="52">
        <f>IFERROR(IF(INDEX('CI&amp;S'!$O$22:$O$36,MATCH($F74,'CI&amp;S'!$B$22:$B$36,0))="","Cell will autofill based on response",INDEX('CI&amp;S'!$O$22:$O$36,MATCH($F74,'CI&amp;S'!$B$22:$B$36,0))),"N/A")</f>
        <v/>
      </c>
      <c r="N74" s="52">
        <f>IFERROR(IF(INDEX('CFOG'!$O$10:$O$16,MATCH($F74,'CFOG'!$B$10:$B$16,0))="","Cell will autofill based on response",INDEX('CFOG'!$O$10:$O$16,MATCH($F74,'CFOG'!$B$10:$B$16,0))),"N/A")</f>
        <v/>
      </c>
      <c r="O74" s="52">
        <f>IFERROR(IF(INDEX('CFOG'!$O$23:$O$24,MATCH($F74,'CFOG'!$B$23:$B$24,0))="","Cell will autofill based on response",INDEX('CFOG'!$O$23:$O$24,MATCH($F74,'CFOG'!$B$23:$B$24,0))),"N/A")</f>
        <v/>
      </c>
      <c r="P74" s="52">
        <f>IFERROR(IF(INDEX('ESG'!$O$10:$O$17,MATCH($F74,'ESG'!$B$10:$B$17,0))="","Cell will autofill based on response",INDEX('ESG'!$O$10:$O$17,MATCH($F74,'ESG'!$B$10:$B$17,0))),"N/A")</f>
        <v/>
      </c>
      <c r="Q74" s="52">
        <f>IFERROR(IF(INDEX('CIOG'!$O$10:$O$14,MATCH($F74,'CIOG'!$B$10:$B$14,0))="","Cell will autofill based on response",INDEX('CIOG'!$O$10:$O$14,MATCH($F74,'CIOG'!$B$10:$B$14,0))),"N/A")</f>
        <v/>
      </c>
      <c r="R74" s="52">
        <f>IFERROR(IF(INDEX('MRE'!$O$10:$O$18,MATCH($F74,'MRE'!$B$10:$B$18,0))="","Cell will autofill based on response",INDEX('MRE'!$O$10:$O$18,MATCH($F74,'MRE'!$B$10:$B$18,0))),"N/A")</f>
        <v/>
      </c>
      <c r="S74" s="52">
        <f>IFERROR(IF(INDEX('AC&amp;M'!$O$10:$O$14,MATCH($F74,'AC&amp;M'!$B$10:$B$14,0))="","Cell will autofill based on response",INDEX('AC&amp;M'!$O$10:$O$14,MATCH($F74,'AC&amp;M'!$B$10:$B$14,0))),"N/A")</f>
        <v/>
      </c>
      <c r="T74" s="52">
        <f>IFERROR(IF(INDEX('GCE'!$O$10:$O$12,MATCH($F74,'GCE'!$B$10:$B$12,0))="","Cell will autofill based on response",INDEX('GCE'!$O$10:$O$12,MATCH($F74,'GCE'!$B$10:$B$12,0))),"N/A")</f>
        <v/>
      </c>
      <c r="U74" s="52">
        <f>IFERROR(IF(INDEX('Education'!$O$10:$O$13,MATCH($F74,'Education'!$B$10:$B$13,0))="","Cell will autofill based on response",INDEX('Education'!$O$10:$O$13,MATCH($F74,'Education'!$B$10:$B$13,0))),"N/A")</f>
        <v/>
      </c>
      <c r="V74" s="52">
        <f>IFERROR(IF(INDEX('SaSS'!$O$10:$O$12,MATCH($F74,'SaSS'!$B$10:$B$12,0))="","Cell will autofill based on response",INDEX('SaSS'!$O$10:$O$12,MATCH($F74,'SaSS'!$B$10:$B$12,0))),"N/A")</f>
        <v/>
      </c>
      <c r="W74" s="52">
        <f>IFERROR(IF(INDEX('Indigenous'!$O$10:$O$11,MATCH($F74,'Indigenous'!$B$10:$B$11,0))="","Cell will autofill based on response",INDEX('Indigenous'!$O$10:$O$11,MATCH($F74,'Indigenous'!$B$10:$B$11,0))),"N/A")</f>
        <v/>
      </c>
      <c r="X74" s="52">
        <f>IFERROR(IF(INDEX('L&amp;R'!$O$10:$O$11,MATCH($F74,'L&amp;R'!$B$10:$B$11,0))="","Cell will autofill based on response",INDEX('L&amp;R'!$O$10:$O$11,MATCH($F74,'L&amp;R'!$B$10:$B$11,0))),"N/A")</f>
        <v/>
      </c>
    </row>
    <row r="75">
      <c r="A75">
        <f>F75&amp;"|"&amp;G75</f>
        <v/>
      </c>
      <c r="B75" s="13" t="inlineStr"/>
      <c r="C75" s="8" t="inlineStr"/>
      <c r="D75" s="8" t="inlineStr"/>
      <c r="E75" s="8" t="inlineStr"/>
      <c r="F75" s="8" t="inlineStr">
        <is>
          <t>TR3(b)</t>
        </is>
      </c>
      <c r="G75" s="8" t="inlineStr">
        <is>
          <t>Data owner confirms</t>
        </is>
      </c>
      <c r="H75" s="52">
        <f>IFERROR(IF(INDEX('Faculties'!$P$10:$P$19,MATCH($F75,'Faculties'!$B$10:$B$19,0))="","Cell will autofill based on response",INDEX('Faculties'!$P$10:$P$19,MATCH($F75,'Faculties'!$B$10:$B$19,0))),"N/A")</f>
        <v/>
      </c>
      <c r="I75" s="52">
        <f>IFERROR(IF(INDEX('Faculties'!$P$26:$P$35,MATCH($F75,'Faculties'!$B$26:$B$35,0))="","Cell will autofill based on response",INDEX('Faculties'!$P$26:$P$35,MATCH($F75,'Faculties'!$B$26:$B$35,0))),"N/A")</f>
        <v/>
      </c>
      <c r="J75" s="52">
        <f>IFERROR(IF(INDEX('Faculties'!$P$42:$P$51,MATCH($F75,'Faculties'!$B$42:$B$51,0))="","Cell will autofill based on response",INDEX('Faculties'!$P$42:$P$51,MATCH($F75,'Faculties'!$B$42:$B$51,0))),"N/A")</f>
        <v/>
      </c>
      <c r="K75" s="52">
        <f>IFERROR(IF(INDEX('Faculties'!$P$58:$P$67,MATCH($F75,'Faculties'!$B$58:$B$67,0))="","Cell will autofill based on response",INDEX('Faculties'!$P$58:$P$67,MATCH($F75,'Faculties'!$B$58:$B$67,0))),"N/A")</f>
        <v/>
      </c>
      <c r="L75" s="52">
        <f>IFERROR(IF(INDEX('CI&amp;S'!$P$10:$P$15,MATCH($F75,'CI&amp;S'!$B$10:$B$15,0))="","Cell will autofill based on response",INDEX('CI&amp;S'!$P$10:$P$15,MATCH($F75,'CI&amp;S'!$B$10:$B$15,0))),"N/A")</f>
        <v/>
      </c>
      <c r="M75" s="52">
        <f>IFERROR(IF(INDEX('CI&amp;S'!$P$22:$P$36,MATCH($F75,'CI&amp;S'!$B$22:$B$36,0))="","Cell will autofill based on response",INDEX('CI&amp;S'!$P$22:$P$36,MATCH($F75,'CI&amp;S'!$B$22:$B$36,0))),"N/A")</f>
        <v/>
      </c>
      <c r="N75" s="52">
        <f>IFERROR(IF(INDEX('CFOG'!$P$10:$P$16,MATCH($F75,'CFOG'!$B$10:$B$16,0))="","Cell will autofill based on response",INDEX('CFOG'!$P$10:$P$16,MATCH($F75,'CFOG'!$B$10:$B$16,0))),"N/A")</f>
        <v/>
      </c>
      <c r="O75" s="52">
        <f>IFERROR(IF(INDEX('CFOG'!$P$23:$P$24,MATCH($F75,'CFOG'!$B$23:$B$24,0))="","Cell will autofill based on response",INDEX('CFOG'!$P$23:$P$24,MATCH($F75,'CFOG'!$B$23:$B$24,0))),"N/A")</f>
        <v/>
      </c>
      <c r="P75" s="52">
        <f>IFERROR(IF(INDEX('ESG'!$P$10:$P$17,MATCH($F75,'ESG'!$B$10:$B$17,0))="","Cell will autofill based on response",INDEX('ESG'!$P$10:$P$17,MATCH($F75,'ESG'!$B$10:$B$17,0))),"N/A")</f>
        <v/>
      </c>
      <c r="Q75" s="52">
        <f>IFERROR(IF(INDEX('CIOG'!$P$10:$P$14,MATCH($F75,'CIOG'!$B$10:$B$14,0))="","Cell will autofill based on response",INDEX('CIOG'!$P$10:$P$14,MATCH($F75,'CIOG'!$B$10:$B$14,0))),"N/A")</f>
        <v/>
      </c>
      <c r="R75" s="52">
        <f>IFERROR(IF(INDEX('MRE'!$P$10:$P$18,MATCH($F75,'MRE'!$B$10:$B$18,0))="","Cell will autofill based on response",INDEX('MRE'!$P$10:$P$18,MATCH($F75,'MRE'!$B$10:$B$18,0))),"N/A")</f>
        <v/>
      </c>
      <c r="S75" s="52">
        <f>IFERROR(IF(INDEX('AC&amp;M'!$P$10:$P$14,MATCH($F75,'AC&amp;M'!$B$10:$B$14,0))="","Cell will autofill based on response",INDEX('AC&amp;M'!$P$10:$P$14,MATCH($F75,'AC&amp;M'!$B$10:$B$14,0))),"N/A")</f>
        <v/>
      </c>
      <c r="T75" s="52">
        <f>IFERROR(IF(INDEX('GCE'!$P$10:$P$12,MATCH($F75,'GCE'!$B$10:$B$12,0))="","Cell will autofill based on response",INDEX('GCE'!$P$10:$P$12,MATCH($F75,'GCE'!$B$10:$B$12,0))),"N/A")</f>
        <v/>
      </c>
      <c r="U75" s="52">
        <f>IFERROR(IF(INDEX('Education'!$P$10:$P$13,MATCH($F75,'Education'!$B$10:$B$13,0))="","Cell will autofill based on response",INDEX('Education'!$P$10:$P$13,MATCH($F75,'Education'!$B$10:$B$13,0))),"N/A")</f>
        <v/>
      </c>
      <c r="V75" s="52">
        <f>IFERROR(IF(INDEX('SaSS'!$P$10:$P$12,MATCH($F75,'SaSS'!$B$10:$B$12,0))="","Cell will autofill based on response",INDEX('SaSS'!$P$10:$P$12,MATCH($F75,'SaSS'!$B$10:$B$12,0))),"N/A")</f>
        <v/>
      </c>
      <c r="W75" s="52">
        <f>IFERROR(IF(INDEX('Indigenous'!$P$10:$P$11,MATCH($F75,'Indigenous'!$B$10:$B$11,0))="","Cell will autofill based on response",INDEX('Indigenous'!$P$10:$P$11,MATCH($F75,'Indigenous'!$B$10:$B$11,0))),"N/A")</f>
        <v/>
      </c>
      <c r="X75" s="52">
        <f>IFERROR(IF(INDEX('L&amp;R'!$P$10:$P$11,MATCH($F75,'L&amp;R'!$B$10:$B$11,0))="","Cell will autofill based on response",INDEX('L&amp;R'!$P$10:$P$11,MATCH($F75,'L&amp;R'!$B$10:$B$11,0))),"N/A")</f>
        <v/>
      </c>
    </row>
    <row r="76">
      <c r="A76">
        <f>F76&amp;"|"&amp;G76</f>
        <v/>
      </c>
      <c r="B76" s="7" t="inlineStr">
        <is>
          <t>TR3(c)</t>
        </is>
      </c>
      <c r="C76" s="50" t="inlineStr">
        <is>
          <t>Transformational research</t>
        </is>
      </c>
      <c r="D76" s="50" t="inlineStr">
        <is>
          <t>Evidence of progress in sustainability-related research culture, capability and awareness, informed by periodic staff and graduate researcher surveys</t>
        </is>
      </c>
      <c r="E76" s="50"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76" s="50" t="inlineStr">
        <is>
          <t>TR3(c)</t>
        </is>
      </c>
      <c r="G76" s="50" t="inlineStr">
        <is>
          <t>OPTION 1:  Target-level reporting</t>
        </is>
      </c>
      <c r="H76" s="52">
        <f>IFERROR(IF(INDEX('Faculties'!$L$10:$L$19,MATCH($F76,'Faculties'!$B$10:$B$19,0))="","Cell will autofill based on response",INDEX('Faculties'!$L$10:$L$19,MATCH($F76,'Faculties'!$B$10:$B$19,0))),"N/A")</f>
        <v/>
      </c>
      <c r="I76" s="52">
        <f>IFERROR(IF(INDEX('Faculties'!$L$26:$L$35,MATCH($F76,'Faculties'!$B$26:$B$35,0))="","Cell will autofill based on response",INDEX('Faculties'!$L$26:$L$35,MATCH($F76,'Faculties'!$B$26:$B$35,0))),"N/A")</f>
        <v/>
      </c>
      <c r="J76" s="52">
        <f>IFERROR(IF(INDEX('Faculties'!$L$42:$L$51,MATCH($F76,'Faculties'!$B$42:$B$51,0))="","Cell will autofill based on response",INDEX('Faculties'!$L$42:$L$51,MATCH($F76,'Faculties'!$B$42:$B$51,0))),"N/A")</f>
        <v/>
      </c>
      <c r="K76" s="52">
        <f>IFERROR(IF(INDEX('Faculties'!$L$58:$L$67,MATCH($F76,'Faculties'!$B$58:$B$67,0))="","Cell will autofill based on response",INDEX('Faculties'!$L$58:$L$67,MATCH($F76,'Faculties'!$B$58:$B$67,0))),"N/A")</f>
        <v/>
      </c>
      <c r="L76" s="52">
        <f>IFERROR(IF(INDEX('CI&amp;S'!$L$10:$L$15,MATCH($F76,'CI&amp;S'!$B$10:$B$15,0))="","Cell will autofill based on response",INDEX('CI&amp;S'!$L$10:$L$15,MATCH($F76,'CI&amp;S'!$B$10:$B$15,0))),"N/A")</f>
        <v/>
      </c>
      <c r="M76" s="52">
        <f>IFERROR(IF(INDEX('CI&amp;S'!$L$22:$L$36,MATCH($F76,'CI&amp;S'!$B$22:$B$36,0))="","Cell will autofill based on response",INDEX('CI&amp;S'!$L$22:$L$36,MATCH($F76,'CI&amp;S'!$B$22:$B$36,0))),"N/A")</f>
        <v/>
      </c>
      <c r="N76" s="52">
        <f>IFERROR(IF(INDEX('CFOG'!$L$10:$L$16,MATCH($F76,'CFOG'!$B$10:$B$16,0))="","Cell will autofill based on response",INDEX('CFOG'!$L$10:$L$16,MATCH($F76,'CFOG'!$B$10:$B$16,0))),"N/A")</f>
        <v/>
      </c>
      <c r="O76" s="52">
        <f>IFERROR(IF(INDEX('CFOG'!$L$23:$L$24,MATCH($F76,'CFOG'!$B$23:$B$24,0))="","Cell will autofill based on response",INDEX('CFOG'!$L$23:$L$24,MATCH($F76,'CFOG'!$B$23:$B$24,0))),"N/A")</f>
        <v/>
      </c>
      <c r="P76" s="52">
        <f>IFERROR(IF(INDEX('ESG'!$L$10:$L$17,MATCH($F76,'ESG'!$B$10:$B$17,0))="","Cell will autofill based on response",INDEX('ESG'!$L$10:$L$17,MATCH($F76,'ESG'!$B$10:$B$17,0))),"N/A")</f>
        <v/>
      </c>
      <c r="Q76" s="52">
        <f>IFERROR(IF(INDEX('CIOG'!$L$10:$L$14,MATCH($F76,'CIOG'!$B$10:$B$14,0))="","Cell will autofill based on response",INDEX('CIOG'!$L$10:$L$14,MATCH($F76,'CIOG'!$B$10:$B$14,0))),"N/A")</f>
        <v/>
      </c>
      <c r="R76" s="52">
        <f>IFERROR(IF(INDEX('MRE'!$L$10:$L$18,MATCH($F76,'MRE'!$B$10:$B$18,0))="","Cell will autofill based on response",INDEX('MRE'!$L$10:$L$18,MATCH($F76,'MRE'!$B$10:$B$18,0))),"N/A")</f>
        <v/>
      </c>
      <c r="S76" s="52">
        <f>IFERROR(IF(INDEX('AC&amp;M'!$L$10:$L$14,MATCH($F76,'AC&amp;M'!$B$10:$B$14,0))="","Cell will autofill based on response",INDEX('AC&amp;M'!$L$10:$L$14,MATCH($F76,'AC&amp;M'!$B$10:$B$14,0))),"N/A")</f>
        <v/>
      </c>
      <c r="T76" s="52">
        <f>IFERROR(IF(INDEX('GCE'!$L$10:$L$12,MATCH($F76,'GCE'!$B$10:$B$12,0))="","Cell will autofill based on response",INDEX('GCE'!$L$10:$L$12,MATCH($F76,'GCE'!$B$10:$B$12,0))),"N/A")</f>
        <v/>
      </c>
      <c r="U76" s="52">
        <f>IFERROR(IF(INDEX('Education'!$L$10:$L$13,MATCH($F76,'Education'!$B$10:$B$13,0))="","Cell will autofill based on response",INDEX('Education'!$L$10:$L$13,MATCH($F76,'Education'!$B$10:$B$13,0))),"N/A")</f>
        <v/>
      </c>
      <c r="V76" s="52">
        <f>IFERROR(IF(INDEX('SaSS'!$L$10:$L$12,MATCH($F76,'SaSS'!$B$10:$B$12,0))="","Cell will autofill based on response",INDEX('SaSS'!$L$10:$L$12,MATCH($F76,'SaSS'!$B$10:$B$12,0))),"N/A")</f>
        <v/>
      </c>
      <c r="W76" s="52">
        <f>IFERROR(IF(INDEX('Indigenous'!$L$10:$L$11,MATCH($F76,'Indigenous'!$B$10:$B$11,0))="","Cell will autofill based on response",INDEX('Indigenous'!$L$10:$L$11,MATCH($F76,'Indigenous'!$B$10:$B$11,0))),"N/A")</f>
        <v/>
      </c>
      <c r="X76" s="52">
        <f>IFERROR(IF(INDEX('L&amp;R'!$L$10:$L$11,MATCH($F76,'L&amp;R'!$B$10:$B$11,0))="","Cell will autofill based on response",INDEX('L&amp;R'!$L$10:$L$11,MATCH($F76,'L&amp;R'!$B$10:$B$11,0))),"N/A")</f>
        <v/>
      </c>
      <c r="Z76" s="10">
        <f>SUMPRODUCT(--($H76:$X76&lt;&gt;"N/A"))</f>
        <v/>
      </c>
      <c r="AA76" s="10">
        <f>SUMPRODUCT(--(((($H76:$X76&lt;&gt;"N/A")*($H76:$X76&lt;&gt;"Cell will autofill based on response"))+(($H77:$X77&lt;&gt;"N/A")*($H77:$X77&lt;&gt;"Cell will autofill based on response")))&gt;0))</f>
        <v/>
      </c>
      <c r="AB76" s="10">
        <f>Z76-AA76</f>
        <v/>
      </c>
      <c r="AC76" s="10">
        <f>COUNTIF($H80:$X80,"Yes")</f>
        <v/>
      </c>
    </row>
    <row r="77">
      <c r="A77">
        <f>F77&amp;"|"&amp;G77</f>
        <v/>
      </c>
      <c r="B77" s="13" t="inlineStr"/>
      <c r="C77" s="8" t="inlineStr"/>
      <c r="D77" s="8" t="inlineStr"/>
      <c r="E77" s="8" t="inlineStr"/>
      <c r="F77" s="8" t="inlineStr">
        <is>
          <t>TR3(c)</t>
        </is>
      </c>
      <c r="G77" s="8" t="inlineStr">
        <is>
          <t>OPTION 2:  Indicator level reporting</t>
        </is>
      </c>
      <c r="H77" s="52">
        <f>IFERROR(IF(INDEX('Faculties'!$M$10:$M$19,MATCH($F77,'Faculties'!$B$10:$B$19,0))="","Cell will autofill based on response",INDEX('Faculties'!$M$10:$M$19,MATCH($F77,'Faculties'!$B$10:$B$19,0))),"N/A")</f>
        <v/>
      </c>
      <c r="I77" s="52">
        <f>IFERROR(IF(INDEX('Faculties'!$M$26:$M$35,MATCH($F77,'Faculties'!$B$26:$B$35,0))="","Cell will autofill based on response",INDEX('Faculties'!$M$26:$M$35,MATCH($F77,'Faculties'!$B$26:$B$35,0))),"N/A")</f>
        <v/>
      </c>
      <c r="J77" s="52">
        <f>IFERROR(IF(INDEX('Faculties'!$M$42:$M$51,MATCH($F77,'Faculties'!$B$42:$B$51,0))="","Cell will autofill based on response",INDEX('Faculties'!$M$42:$M$51,MATCH($F77,'Faculties'!$B$42:$B$51,0))),"N/A")</f>
        <v/>
      </c>
      <c r="K77" s="52">
        <f>IFERROR(IF(INDEX('Faculties'!$M$58:$M$67,MATCH($F77,'Faculties'!$B$58:$B$67,0))="","Cell will autofill based on response",INDEX('Faculties'!$M$58:$M$67,MATCH($F77,'Faculties'!$B$58:$B$67,0))),"N/A")</f>
        <v/>
      </c>
      <c r="L77" s="52">
        <f>IFERROR(IF(INDEX('CI&amp;S'!$M$10:$M$15,MATCH($F77,'CI&amp;S'!$B$10:$B$15,0))="","Cell will autofill based on response",INDEX('CI&amp;S'!$M$10:$M$15,MATCH($F77,'CI&amp;S'!$B$10:$B$15,0))),"N/A")</f>
        <v/>
      </c>
      <c r="M77" s="52">
        <f>IFERROR(IF(INDEX('CI&amp;S'!$M$22:$M$36,MATCH($F77,'CI&amp;S'!$B$22:$B$36,0))="","Cell will autofill based on response",INDEX('CI&amp;S'!$M$22:$M$36,MATCH($F77,'CI&amp;S'!$B$22:$B$36,0))),"N/A")</f>
        <v/>
      </c>
      <c r="N77" s="52">
        <f>IFERROR(IF(INDEX('CFOG'!$M$10:$M$16,MATCH($F77,'CFOG'!$B$10:$B$16,0))="","Cell will autofill based on response",INDEX('CFOG'!$M$10:$M$16,MATCH($F77,'CFOG'!$B$10:$B$16,0))),"N/A")</f>
        <v/>
      </c>
      <c r="O77" s="52">
        <f>IFERROR(IF(INDEX('CFOG'!$M$23:$M$24,MATCH($F77,'CFOG'!$B$23:$B$24,0))="","Cell will autofill based on response",INDEX('CFOG'!$M$23:$M$24,MATCH($F77,'CFOG'!$B$23:$B$24,0))),"N/A")</f>
        <v/>
      </c>
      <c r="P77" s="52">
        <f>IFERROR(IF(INDEX('ESG'!$M$10:$M$17,MATCH($F77,'ESG'!$B$10:$B$17,0))="","Cell will autofill based on response",INDEX('ESG'!$M$10:$M$17,MATCH($F77,'ESG'!$B$10:$B$17,0))),"N/A")</f>
        <v/>
      </c>
      <c r="Q77" s="52">
        <f>IFERROR(IF(INDEX('CIOG'!$M$10:$M$14,MATCH($F77,'CIOG'!$B$10:$B$14,0))="","Cell will autofill based on response",INDEX('CIOG'!$M$10:$M$14,MATCH($F77,'CIOG'!$B$10:$B$14,0))),"N/A")</f>
        <v/>
      </c>
      <c r="R77" s="52">
        <f>IFERROR(IF(INDEX('MRE'!$M$10:$M$18,MATCH($F77,'MRE'!$B$10:$B$18,0))="","Cell will autofill based on response",INDEX('MRE'!$M$10:$M$18,MATCH($F77,'MRE'!$B$10:$B$18,0))),"N/A")</f>
        <v/>
      </c>
      <c r="S77" s="52">
        <f>IFERROR(IF(INDEX('AC&amp;M'!$M$10:$M$14,MATCH($F77,'AC&amp;M'!$B$10:$B$14,0))="","Cell will autofill based on response",INDEX('AC&amp;M'!$M$10:$M$14,MATCH($F77,'AC&amp;M'!$B$10:$B$14,0))),"N/A")</f>
        <v/>
      </c>
      <c r="T77" s="52">
        <f>IFERROR(IF(INDEX('GCE'!$M$10:$M$12,MATCH($F77,'GCE'!$B$10:$B$12,0))="","Cell will autofill based on response",INDEX('GCE'!$M$10:$M$12,MATCH($F77,'GCE'!$B$10:$B$12,0))),"N/A")</f>
        <v/>
      </c>
      <c r="U77" s="52">
        <f>IFERROR(IF(INDEX('Education'!$M$10:$M$13,MATCH($F77,'Education'!$B$10:$B$13,0))="","Cell will autofill based on response",INDEX('Education'!$M$10:$M$13,MATCH($F77,'Education'!$B$10:$B$13,0))),"N/A")</f>
        <v/>
      </c>
      <c r="V77" s="52">
        <f>IFERROR(IF(INDEX('SaSS'!$M$10:$M$12,MATCH($F77,'SaSS'!$B$10:$B$12,0))="","Cell will autofill based on response",INDEX('SaSS'!$M$10:$M$12,MATCH($F77,'SaSS'!$B$10:$B$12,0))),"N/A")</f>
        <v/>
      </c>
      <c r="W77" s="52">
        <f>IFERROR(IF(INDEX('Indigenous'!$M$10:$M$11,MATCH($F77,'Indigenous'!$B$10:$B$11,0))="","Cell will autofill based on response",INDEX('Indigenous'!$M$10:$M$11,MATCH($F77,'Indigenous'!$B$10:$B$11,0))),"N/A")</f>
        <v/>
      </c>
      <c r="X77" s="52">
        <f>IFERROR(IF(INDEX('L&amp;R'!$M$10:$M$11,MATCH($F77,'L&amp;R'!$B$10:$B$11,0))="","Cell will autofill based on response",INDEX('L&amp;R'!$M$10:$M$11,MATCH($F77,'L&amp;R'!$B$10:$B$11,0))),"N/A")</f>
        <v/>
      </c>
    </row>
    <row r="78">
      <c r="A78">
        <f>F78&amp;"|"&amp;G78</f>
        <v/>
      </c>
      <c r="B78" s="13" t="inlineStr"/>
      <c r="C78" s="8" t="inlineStr"/>
      <c r="D78" s="8" t="inlineStr"/>
      <c r="E78" s="8" t="inlineStr"/>
      <c r="F78" s="8" t="inlineStr">
        <is>
          <t>TR3(c)</t>
        </is>
      </c>
      <c r="G78" s="8" t="inlineStr">
        <is>
          <t>Supporting information/comments</t>
        </is>
      </c>
      <c r="H78" s="52">
        <f>IFERROR(IF(INDEX('Faculties'!$N$10:$N$19,MATCH($F78,'Faculties'!$B$10:$B$19,0))="","Cell will autofill based on response",INDEX('Faculties'!$N$10:$N$19,MATCH($F78,'Faculties'!$B$10:$B$19,0))),"N/A")</f>
        <v/>
      </c>
      <c r="I78" s="52">
        <f>IFERROR(IF(INDEX('Faculties'!$N$26:$N$35,MATCH($F78,'Faculties'!$B$26:$B$35,0))="","Cell will autofill based on response",INDEX('Faculties'!$N$26:$N$35,MATCH($F78,'Faculties'!$B$26:$B$35,0))),"N/A")</f>
        <v/>
      </c>
      <c r="J78" s="52">
        <f>IFERROR(IF(INDEX('Faculties'!$N$42:$N$51,MATCH($F78,'Faculties'!$B$42:$B$51,0))="","Cell will autofill based on response",INDEX('Faculties'!$N$42:$N$51,MATCH($F78,'Faculties'!$B$42:$B$51,0))),"N/A")</f>
        <v/>
      </c>
      <c r="K78" s="52">
        <f>IFERROR(IF(INDEX('Faculties'!$N$58:$N$67,MATCH($F78,'Faculties'!$B$58:$B$67,0))="","Cell will autofill based on response",INDEX('Faculties'!$N$58:$N$67,MATCH($F78,'Faculties'!$B$58:$B$67,0))),"N/A")</f>
        <v/>
      </c>
      <c r="L78" s="52">
        <f>IFERROR(IF(INDEX('CI&amp;S'!$N$10:$N$15,MATCH($F78,'CI&amp;S'!$B$10:$B$15,0))="","Cell will autofill based on response",INDEX('CI&amp;S'!$N$10:$N$15,MATCH($F78,'CI&amp;S'!$B$10:$B$15,0))),"N/A")</f>
        <v/>
      </c>
      <c r="M78" s="52">
        <f>IFERROR(IF(INDEX('CI&amp;S'!$N$22:$N$36,MATCH($F78,'CI&amp;S'!$B$22:$B$36,0))="","Cell will autofill based on response",INDEX('CI&amp;S'!$N$22:$N$36,MATCH($F78,'CI&amp;S'!$B$22:$B$36,0))),"N/A")</f>
        <v/>
      </c>
      <c r="N78" s="52">
        <f>IFERROR(IF(INDEX('CFOG'!$N$10:$N$16,MATCH($F78,'CFOG'!$B$10:$B$16,0))="","Cell will autofill based on response",INDEX('CFOG'!$N$10:$N$16,MATCH($F78,'CFOG'!$B$10:$B$16,0))),"N/A")</f>
        <v/>
      </c>
      <c r="O78" s="52">
        <f>IFERROR(IF(INDEX('CFOG'!$N$23:$N$24,MATCH($F78,'CFOG'!$B$23:$B$24,0))="","Cell will autofill based on response",INDEX('CFOG'!$N$23:$N$24,MATCH($F78,'CFOG'!$B$23:$B$24,0))),"N/A")</f>
        <v/>
      </c>
      <c r="P78" s="52">
        <f>IFERROR(IF(INDEX('ESG'!$N$10:$N$17,MATCH($F78,'ESG'!$B$10:$B$17,0))="","Cell will autofill based on response",INDEX('ESG'!$N$10:$N$17,MATCH($F78,'ESG'!$B$10:$B$17,0))),"N/A")</f>
        <v/>
      </c>
      <c r="Q78" s="52">
        <f>IFERROR(IF(INDEX('CIOG'!$N$10:$N$14,MATCH($F78,'CIOG'!$B$10:$B$14,0))="","Cell will autofill based on response",INDEX('CIOG'!$N$10:$N$14,MATCH($F78,'CIOG'!$B$10:$B$14,0))),"N/A")</f>
        <v/>
      </c>
      <c r="R78" s="52">
        <f>IFERROR(IF(INDEX('MRE'!$N$10:$N$18,MATCH($F78,'MRE'!$B$10:$B$18,0))="","Cell will autofill based on response",INDEX('MRE'!$N$10:$N$18,MATCH($F78,'MRE'!$B$10:$B$18,0))),"N/A")</f>
        <v/>
      </c>
      <c r="S78" s="52">
        <f>IFERROR(IF(INDEX('AC&amp;M'!$N$10:$N$14,MATCH($F78,'AC&amp;M'!$B$10:$B$14,0))="","Cell will autofill based on response",INDEX('AC&amp;M'!$N$10:$N$14,MATCH($F78,'AC&amp;M'!$B$10:$B$14,0))),"N/A")</f>
        <v/>
      </c>
      <c r="T78" s="52">
        <f>IFERROR(IF(INDEX('GCE'!$N$10:$N$12,MATCH($F78,'GCE'!$B$10:$B$12,0))="","Cell will autofill based on response",INDEX('GCE'!$N$10:$N$12,MATCH($F78,'GCE'!$B$10:$B$12,0))),"N/A")</f>
        <v/>
      </c>
      <c r="U78" s="52">
        <f>IFERROR(IF(INDEX('Education'!$N$10:$N$13,MATCH($F78,'Education'!$B$10:$B$13,0))="","Cell will autofill based on response",INDEX('Education'!$N$10:$N$13,MATCH($F78,'Education'!$B$10:$B$13,0))),"N/A")</f>
        <v/>
      </c>
      <c r="V78" s="52">
        <f>IFERROR(IF(INDEX('SaSS'!$N$10:$N$12,MATCH($F78,'SaSS'!$B$10:$B$12,0))="","Cell will autofill based on response",INDEX('SaSS'!$N$10:$N$12,MATCH($F78,'SaSS'!$B$10:$B$12,0))),"N/A")</f>
        <v/>
      </c>
      <c r="W78" s="52">
        <f>IFERROR(IF(INDEX('Indigenous'!$N$10:$N$11,MATCH($F78,'Indigenous'!$B$10:$B$11,0))="","Cell will autofill based on response",INDEX('Indigenous'!$N$10:$N$11,MATCH($F78,'Indigenous'!$B$10:$B$11,0))),"N/A")</f>
        <v/>
      </c>
      <c r="X78" s="52">
        <f>IFERROR(IF(INDEX('L&amp;R'!$N$10:$N$11,MATCH($F78,'L&amp;R'!$B$10:$B$11,0))="","Cell will autofill based on response",INDEX('L&amp;R'!$N$10:$N$11,MATCH($F78,'L&amp;R'!$B$10:$B$11,0))),"N/A")</f>
        <v/>
      </c>
    </row>
    <row r="79">
      <c r="A79">
        <f>F79&amp;"|"&amp;G79</f>
        <v/>
      </c>
      <c r="B79" s="13" t="inlineStr"/>
      <c r="C79" s="8" t="inlineStr"/>
      <c r="D79" s="8" t="inlineStr"/>
      <c r="E79" s="8" t="inlineStr"/>
      <c r="F79" s="8" t="inlineStr">
        <is>
          <t>TR3(c)</t>
        </is>
      </c>
      <c r="G79" s="8" t="inlineStr">
        <is>
          <t>Data source and limitations</t>
        </is>
      </c>
      <c r="H79" s="52">
        <f>IFERROR(IF(INDEX('Faculties'!$O$10:$O$19,MATCH($F79,'Faculties'!$B$10:$B$19,0))="","Cell will autofill based on response",INDEX('Faculties'!$O$10:$O$19,MATCH($F79,'Faculties'!$B$10:$B$19,0))),"N/A")</f>
        <v/>
      </c>
      <c r="I79" s="52">
        <f>IFERROR(IF(INDEX('Faculties'!$O$26:$O$35,MATCH($F79,'Faculties'!$B$26:$B$35,0))="","Cell will autofill based on response",INDEX('Faculties'!$O$26:$O$35,MATCH($F79,'Faculties'!$B$26:$B$35,0))),"N/A")</f>
        <v/>
      </c>
      <c r="J79" s="52">
        <f>IFERROR(IF(INDEX('Faculties'!$O$42:$O$51,MATCH($F79,'Faculties'!$B$42:$B$51,0))="","Cell will autofill based on response",INDEX('Faculties'!$O$42:$O$51,MATCH($F79,'Faculties'!$B$42:$B$51,0))),"N/A")</f>
        <v/>
      </c>
      <c r="K79" s="52">
        <f>IFERROR(IF(INDEX('Faculties'!$O$58:$O$67,MATCH($F79,'Faculties'!$B$58:$B$67,0))="","Cell will autofill based on response",INDEX('Faculties'!$O$58:$O$67,MATCH($F79,'Faculties'!$B$58:$B$67,0))),"N/A")</f>
        <v/>
      </c>
      <c r="L79" s="52">
        <f>IFERROR(IF(INDEX('CI&amp;S'!$O$10:$O$15,MATCH($F79,'CI&amp;S'!$B$10:$B$15,0))="","Cell will autofill based on response",INDEX('CI&amp;S'!$O$10:$O$15,MATCH($F79,'CI&amp;S'!$B$10:$B$15,0))),"N/A")</f>
        <v/>
      </c>
      <c r="M79" s="52">
        <f>IFERROR(IF(INDEX('CI&amp;S'!$O$22:$O$36,MATCH($F79,'CI&amp;S'!$B$22:$B$36,0))="","Cell will autofill based on response",INDEX('CI&amp;S'!$O$22:$O$36,MATCH($F79,'CI&amp;S'!$B$22:$B$36,0))),"N/A")</f>
        <v/>
      </c>
      <c r="N79" s="52">
        <f>IFERROR(IF(INDEX('CFOG'!$O$10:$O$16,MATCH($F79,'CFOG'!$B$10:$B$16,0))="","Cell will autofill based on response",INDEX('CFOG'!$O$10:$O$16,MATCH($F79,'CFOG'!$B$10:$B$16,0))),"N/A")</f>
        <v/>
      </c>
      <c r="O79" s="52">
        <f>IFERROR(IF(INDEX('CFOG'!$O$23:$O$24,MATCH($F79,'CFOG'!$B$23:$B$24,0))="","Cell will autofill based on response",INDEX('CFOG'!$O$23:$O$24,MATCH($F79,'CFOG'!$B$23:$B$24,0))),"N/A")</f>
        <v/>
      </c>
      <c r="P79" s="52">
        <f>IFERROR(IF(INDEX('ESG'!$O$10:$O$17,MATCH($F79,'ESG'!$B$10:$B$17,0))="","Cell will autofill based on response",INDEX('ESG'!$O$10:$O$17,MATCH($F79,'ESG'!$B$10:$B$17,0))),"N/A")</f>
        <v/>
      </c>
      <c r="Q79" s="52">
        <f>IFERROR(IF(INDEX('CIOG'!$O$10:$O$14,MATCH($F79,'CIOG'!$B$10:$B$14,0))="","Cell will autofill based on response",INDEX('CIOG'!$O$10:$O$14,MATCH($F79,'CIOG'!$B$10:$B$14,0))),"N/A")</f>
        <v/>
      </c>
      <c r="R79" s="52">
        <f>IFERROR(IF(INDEX('MRE'!$O$10:$O$18,MATCH($F79,'MRE'!$B$10:$B$18,0))="","Cell will autofill based on response",INDEX('MRE'!$O$10:$O$18,MATCH($F79,'MRE'!$B$10:$B$18,0))),"N/A")</f>
        <v/>
      </c>
      <c r="S79" s="52">
        <f>IFERROR(IF(INDEX('AC&amp;M'!$O$10:$O$14,MATCH($F79,'AC&amp;M'!$B$10:$B$14,0))="","Cell will autofill based on response",INDEX('AC&amp;M'!$O$10:$O$14,MATCH($F79,'AC&amp;M'!$B$10:$B$14,0))),"N/A")</f>
        <v/>
      </c>
      <c r="T79" s="52">
        <f>IFERROR(IF(INDEX('GCE'!$O$10:$O$12,MATCH($F79,'GCE'!$B$10:$B$12,0))="","Cell will autofill based on response",INDEX('GCE'!$O$10:$O$12,MATCH($F79,'GCE'!$B$10:$B$12,0))),"N/A")</f>
        <v/>
      </c>
      <c r="U79" s="52">
        <f>IFERROR(IF(INDEX('Education'!$O$10:$O$13,MATCH($F79,'Education'!$B$10:$B$13,0))="","Cell will autofill based on response",INDEX('Education'!$O$10:$O$13,MATCH($F79,'Education'!$B$10:$B$13,0))),"N/A")</f>
        <v/>
      </c>
      <c r="V79" s="52">
        <f>IFERROR(IF(INDEX('SaSS'!$O$10:$O$12,MATCH($F79,'SaSS'!$B$10:$B$12,0))="","Cell will autofill based on response",INDEX('SaSS'!$O$10:$O$12,MATCH($F79,'SaSS'!$B$10:$B$12,0))),"N/A")</f>
        <v/>
      </c>
      <c r="W79" s="52">
        <f>IFERROR(IF(INDEX('Indigenous'!$O$10:$O$11,MATCH($F79,'Indigenous'!$B$10:$B$11,0))="","Cell will autofill based on response",INDEX('Indigenous'!$O$10:$O$11,MATCH($F79,'Indigenous'!$B$10:$B$11,0))),"N/A")</f>
        <v/>
      </c>
      <c r="X79" s="52">
        <f>IFERROR(IF(INDEX('L&amp;R'!$O$10:$O$11,MATCH($F79,'L&amp;R'!$B$10:$B$11,0))="","Cell will autofill based on response",INDEX('L&amp;R'!$O$10:$O$11,MATCH($F79,'L&amp;R'!$B$10:$B$11,0))),"N/A")</f>
        <v/>
      </c>
    </row>
    <row r="80">
      <c r="A80">
        <f>F80&amp;"|"&amp;G80</f>
        <v/>
      </c>
      <c r="B80" s="13" t="inlineStr"/>
      <c r="C80" s="8" t="inlineStr"/>
      <c r="D80" s="8" t="inlineStr"/>
      <c r="E80" s="8" t="inlineStr"/>
      <c r="F80" s="8" t="inlineStr">
        <is>
          <t>TR3(c)</t>
        </is>
      </c>
      <c r="G80" s="8" t="inlineStr">
        <is>
          <t>Data owner confirms</t>
        </is>
      </c>
      <c r="H80" s="52">
        <f>IFERROR(IF(INDEX('Faculties'!$P$10:$P$19,MATCH($F80,'Faculties'!$B$10:$B$19,0))="","Cell will autofill based on response",INDEX('Faculties'!$P$10:$P$19,MATCH($F80,'Faculties'!$B$10:$B$19,0))),"N/A")</f>
        <v/>
      </c>
      <c r="I80" s="52">
        <f>IFERROR(IF(INDEX('Faculties'!$P$26:$P$35,MATCH($F80,'Faculties'!$B$26:$B$35,0))="","Cell will autofill based on response",INDEX('Faculties'!$P$26:$P$35,MATCH($F80,'Faculties'!$B$26:$B$35,0))),"N/A")</f>
        <v/>
      </c>
      <c r="J80" s="52">
        <f>IFERROR(IF(INDEX('Faculties'!$P$42:$P$51,MATCH($F80,'Faculties'!$B$42:$B$51,0))="","Cell will autofill based on response",INDEX('Faculties'!$P$42:$P$51,MATCH($F80,'Faculties'!$B$42:$B$51,0))),"N/A")</f>
        <v/>
      </c>
      <c r="K80" s="52">
        <f>IFERROR(IF(INDEX('Faculties'!$P$58:$P$67,MATCH($F80,'Faculties'!$B$58:$B$67,0))="","Cell will autofill based on response",INDEX('Faculties'!$P$58:$P$67,MATCH($F80,'Faculties'!$B$58:$B$67,0))),"N/A")</f>
        <v/>
      </c>
      <c r="L80" s="52">
        <f>IFERROR(IF(INDEX('CI&amp;S'!$P$10:$P$15,MATCH($F80,'CI&amp;S'!$B$10:$B$15,0))="","Cell will autofill based on response",INDEX('CI&amp;S'!$P$10:$P$15,MATCH($F80,'CI&amp;S'!$B$10:$B$15,0))),"N/A")</f>
        <v/>
      </c>
      <c r="M80" s="52">
        <f>IFERROR(IF(INDEX('CI&amp;S'!$P$22:$P$36,MATCH($F80,'CI&amp;S'!$B$22:$B$36,0))="","Cell will autofill based on response",INDEX('CI&amp;S'!$P$22:$P$36,MATCH($F80,'CI&amp;S'!$B$22:$B$36,0))),"N/A")</f>
        <v/>
      </c>
      <c r="N80" s="52">
        <f>IFERROR(IF(INDEX('CFOG'!$P$10:$P$16,MATCH($F80,'CFOG'!$B$10:$B$16,0))="","Cell will autofill based on response",INDEX('CFOG'!$P$10:$P$16,MATCH($F80,'CFOG'!$B$10:$B$16,0))),"N/A")</f>
        <v/>
      </c>
      <c r="O80" s="52">
        <f>IFERROR(IF(INDEX('CFOG'!$P$23:$P$24,MATCH($F80,'CFOG'!$B$23:$B$24,0))="","Cell will autofill based on response",INDEX('CFOG'!$P$23:$P$24,MATCH($F80,'CFOG'!$B$23:$B$24,0))),"N/A")</f>
        <v/>
      </c>
      <c r="P80" s="52">
        <f>IFERROR(IF(INDEX('ESG'!$P$10:$P$17,MATCH($F80,'ESG'!$B$10:$B$17,0))="","Cell will autofill based on response",INDEX('ESG'!$P$10:$P$17,MATCH($F80,'ESG'!$B$10:$B$17,0))),"N/A")</f>
        <v/>
      </c>
      <c r="Q80" s="52">
        <f>IFERROR(IF(INDEX('CIOG'!$P$10:$P$14,MATCH($F80,'CIOG'!$B$10:$B$14,0))="","Cell will autofill based on response",INDEX('CIOG'!$P$10:$P$14,MATCH($F80,'CIOG'!$B$10:$B$14,0))),"N/A")</f>
        <v/>
      </c>
      <c r="R80" s="52">
        <f>IFERROR(IF(INDEX('MRE'!$P$10:$P$18,MATCH($F80,'MRE'!$B$10:$B$18,0))="","Cell will autofill based on response",INDEX('MRE'!$P$10:$P$18,MATCH($F80,'MRE'!$B$10:$B$18,0))),"N/A")</f>
        <v/>
      </c>
      <c r="S80" s="52">
        <f>IFERROR(IF(INDEX('AC&amp;M'!$P$10:$P$14,MATCH($F80,'AC&amp;M'!$B$10:$B$14,0))="","Cell will autofill based on response",INDEX('AC&amp;M'!$P$10:$P$14,MATCH($F80,'AC&amp;M'!$B$10:$B$14,0))),"N/A")</f>
        <v/>
      </c>
      <c r="T80" s="52">
        <f>IFERROR(IF(INDEX('GCE'!$P$10:$P$12,MATCH($F80,'GCE'!$B$10:$B$12,0))="","Cell will autofill based on response",INDEX('GCE'!$P$10:$P$12,MATCH($F80,'GCE'!$B$10:$B$12,0))),"N/A")</f>
        <v/>
      </c>
      <c r="U80" s="52">
        <f>IFERROR(IF(INDEX('Education'!$P$10:$P$13,MATCH($F80,'Education'!$B$10:$B$13,0))="","Cell will autofill based on response",INDEX('Education'!$P$10:$P$13,MATCH($F80,'Education'!$B$10:$B$13,0))),"N/A")</f>
        <v/>
      </c>
      <c r="V80" s="52">
        <f>IFERROR(IF(INDEX('SaSS'!$P$10:$P$12,MATCH($F80,'SaSS'!$B$10:$B$12,0))="","Cell will autofill based on response",INDEX('SaSS'!$P$10:$P$12,MATCH($F80,'SaSS'!$B$10:$B$12,0))),"N/A")</f>
        <v/>
      </c>
      <c r="W80" s="52">
        <f>IFERROR(IF(INDEX('Indigenous'!$P$10:$P$11,MATCH($F80,'Indigenous'!$B$10:$B$11,0))="","Cell will autofill based on response",INDEX('Indigenous'!$P$10:$P$11,MATCH($F80,'Indigenous'!$B$10:$B$11,0))),"N/A")</f>
        <v/>
      </c>
      <c r="X80" s="52">
        <f>IFERROR(IF(INDEX('L&amp;R'!$P$10:$P$11,MATCH($F80,'L&amp;R'!$B$10:$B$11,0))="","Cell will autofill based on response",INDEX('L&amp;R'!$P$10:$P$11,MATCH($F80,'L&amp;R'!$B$10:$B$11,0))),"N/A")</f>
        <v/>
      </c>
    </row>
    <row r="81">
      <c r="A81">
        <f>F81&amp;"|"&amp;G81</f>
        <v/>
      </c>
      <c r="B81" s="7" t="inlineStr">
        <is>
          <t>TR3(d)</t>
        </is>
      </c>
      <c r="C81" s="50" t="inlineStr">
        <is>
          <t>Transformational research</t>
        </is>
      </c>
      <c r="D81" s="50" t="inlineStr">
        <is>
          <t>Expert assessment of progress in embedding sustainable research practices across the institution.</t>
        </is>
      </c>
      <c r="E81" s="50" t="inlineStr">
        <is>
          <t>Faculty/Portfolio’s assessment of progress in embedding sustainable research practices, highlighting areas of strong progress, remaining gaps and priority actions for further improvement.</t>
        </is>
      </c>
      <c r="F81" s="50" t="inlineStr">
        <is>
          <t>TR3(d)</t>
        </is>
      </c>
      <c r="G81" s="50" t="inlineStr">
        <is>
          <t>OPTION 1:  Target-level reporting</t>
        </is>
      </c>
      <c r="H81" s="52">
        <f>IFERROR(IF(INDEX('Faculties'!$L$10:$L$19,MATCH($F81,'Faculties'!$B$10:$B$19,0))="","Cell will autofill based on response",INDEX('Faculties'!$L$10:$L$19,MATCH($F81,'Faculties'!$B$10:$B$19,0))),"N/A")</f>
        <v/>
      </c>
      <c r="I81" s="52">
        <f>IFERROR(IF(INDEX('Faculties'!$L$26:$L$35,MATCH($F81,'Faculties'!$B$26:$B$35,0))="","Cell will autofill based on response",INDEX('Faculties'!$L$26:$L$35,MATCH($F81,'Faculties'!$B$26:$B$35,0))),"N/A")</f>
        <v/>
      </c>
      <c r="J81" s="52">
        <f>IFERROR(IF(INDEX('Faculties'!$L$42:$L$51,MATCH($F81,'Faculties'!$B$42:$B$51,0))="","Cell will autofill based on response",INDEX('Faculties'!$L$42:$L$51,MATCH($F81,'Faculties'!$B$42:$B$51,0))),"N/A")</f>
        <v/>
      </c>
      <c r="K81" s="52">
        <f>IFERROR(IF(INDEX('Faculties'!$L$58:$L$67,MATCH($F81,'Faculties'!$B$58:$B$67,0))="","Cell will autofill based on response",INDEX('Faculties'!$L$58:$L$67,MATCH($F81,'Faculties'!$B$58:$B$67,0))),"N/A")</f>
        <v/>
      </c>
      <c r="L81" s="52">
        <f>IFERROR(IF(INDEX('CI&amp;S'!$L$10:$L$15,MATCH($F81,'CI&amp;S'!$B$10:$B$15,0))="","Cell will autofill based on response",INDEX('CI&amp;S'!$L$10:$L$15,MATCH($F81,'CI&amp;S'!$B$10:$B$15,0))),"N/A")</f>
        <v/>
      </c>
      <c r="M81" s="52">
        <f>IFERROR(IF(INDEX('CI&amp;S'!$L$22:$L$36,MATCH($F81,'CI&amp;S'!$B$22:$B$36,0))="","Cell will autofill based on response",INDEX('CI&amp;S'!$L$22:$L$36,MATCH($F81,'CI&amp;S'!$B$22:$B$36,0))),"N/A")</f>
        <v/>
      </c>
      <c r="N81" s="52">
        <f>IFERROR(IF(INDEX('CFOG'!$L$10:$L$16,MATCH($F81,'CFOG'!$B$10:$B$16,0))="","Cell will autofill based on response",INDEX('CFOG'!$L$10:$L$16,MATCH($F81,'CFOG'!$B$10:$B$16,0))),"N/A")</f>
        <v/>
      </c>
      <c r="O81" s="52">
        <f>IFERROR(IF(INDEX('CFOG'!$L$23:$L$24,MATCH($F81,'CFOG'!$B$23:$B$24,0))="","Cell will autofill based on response",INDEX('CFOG'!$L$23:$L$24,MATCH($F81,'CFOG'!$B$23:$B$24,0))),"N/A")</f>
        <v/>
      </c>
      <c r="P81" s="52">
        <f>IFERROR(IF(INDEX('ESG'!$L$10:$L$17,MATCH($F81,'ESG'!$B$10:$B$17,0))="","Cell will autofill based on response",INDEX('ESG'!$L$10:$L$17,MATCH($F81,'ESG'!$B$10:$B$17,0))),"N/A")</f>
        <v/>
      </c>
      <c r="Q81" s="52">
        <f>IFERROR(IF(INDEX('CIOG'!$L$10:$L$14,MATCH($F81,'CIOG'!$B$10:$B$14,0))="","Cell will autofill based on response",INDEX('CIOG'!$L$10:$L$14,MATCH($F81,'CIOG'!$B$10:$B$14,0))),"N/A")</f>
        <v/>
      </c>
      <c r="R81" s="52">
        <f>IFERROR(IF(INDEX('MRE'!$L$10:$L$18,MATCH($F81,'MRE'!$B$10:$B$18,0))="","Cell will autofill based on response",INDEX('MRE'!$L$10:$L$18,MATCH($F81,'MRE'!$B$10:$B$18,0))),"N/A")</f>
        <v/>
      </c>
      <c r="S81" s="52">
        <f>IFERROR(IF(INDEX('AC&amp;M'!$L$10:$L$14,MATCH($F81,'AC&amp;M'!$B$10:$B$14,0))="","Cell will autofill based on response",INDEX('AC&amp;M'!$L$10:$L$14,MATCH($F81,'AC&amp;M'!$B$10:$B$14,0))),"N/A")</f>
        <v/>
      </c>
      <c r="T81" s="52">
        <f>IFERROR(IF(INDEX('GCE'!$L$10:$L$12,MATCH($F81,'GCE'!$B$10:$B$12,0))="","Cell will autofill based on response",INDEX('GCE'!$L$10:$L$12,MATCH($F81,'GCE'!$B$10:$B$12,0))),"N/A")</f>
        <v/>
      </c>
      <c r="U81" s="52">
        <f>IFERROR(IF(INDEX('Education'!$L$10:$L$13,MATCH($F81,'Education'!$B$10:$B$13,0))="","Cell will autofill based on response",INDEX('Education'!$L$10:$L$13,MATCH($F81,'Education'!$B$10:$B$13,0))),"N/A")</f>
        <v/>
      </c>
      <c r="V81" s="52">
        <f>IFERROR(IF(INDEX('SaSS'!$L$10:$L$12,MATCH($F81,'SaSS'!$B$10:$B$12,0))="","Cell will autofill based on response",INDEX('SaSS'!$L$10:$L$12,MATCH($F81,'SaSS'!$B$10:$B$12,0))),"N/A")</f>
        <v/>
      </c>
      <c r="W81" s="52">
        <f>IFERROR(IF(INDEX('Indigenous'!$L$10:$L$11,MATCH($F81,'Indigenous'!$B$10:$B$11,0))="","Cell will autofill based on response",INDEX('Indigenous'!$L$10:$L$11,MATCH($F81,'Indigenous'!$B$10:$B$11,0))),"N/A")</f>
        <v/>
      </c>
      <c r="X81" s="52">
        <f>IFERROR(IF(INDEX('L&amp;R'!$L$10:$L$11,MATCH($F81,'L&amp;R'!$B$10:$B$11,0))="","Cell will autofill based on response",INDEX('L&amp;R'!$L$10:$L$11,MATCH($F81,'L&amp;R'!$B$10:$B$11,0))),"N/A")</f>
        <v/>
      </c>
      <c r="Z81" s="10">
        <f>SUMPRODUCT(--($H81:$X81&lt;&gt;"N/A"))</f>
        <v/>
      </c>
      <c r="AA81" s="10">
        <f>SUMPRODUCT(--(((($H81:$X81&lt;&gt;"N/A")*($H81:$X81&lt;&gt;"Cell will autofill based on response"))+(($H82:$X82&lt;&gt;"N/A")*($H82:$X82&lt;&gt;"Cell will autofill based on response")))&gt;0))</f>
        <v/>
      </c>
      <c r="AB81" s="10">
        <f>Z81-AA81</f>
        <v/>
      </c>
      <c r="AC81" s="10">
        <f>COUNTIF($H85:$X85,"Yes")</f>
        <v/>
      </c>
    </row>
    <row r="82">
      <c r="A82">
        <f>F82&amp;"|"&amp;G82</f>
        <v/>
      </c>
      <c r="B82" s="13" t="inlineStr"/>
      <c r="C82" s="8" t="inlineStr"/>
      <c r="D82" s="8" t="inlineStr"/>
      <c r="E82" s="8" t="inlineStr"/>
      <c r="F82" s="8" t="inlineStr">
        <is>
          <t>TR3(d)</t>
        </is>
      </c>
      <c r="G82" s="8" t="inlineStr">
        <is>
          <t>OPTION 2:  Indicator level reporting</t>
        </is>
      </c>
      <c r="H82" s="52">
        <f>IFERROR(IF(INDEX('Faculties'!$M$10:$M$19,MATCH($F82,'Faculties'!$B$10:$B$19,0))="","Cell will autofill based on response",INDEX('Faculties'!$M$10:$M$19,MATCH($F82,'Faculties'!$B$10:$B$19,0))),"N/A")</f>
        <v/>
      </c>
      <c r="I82" s="52">
        <f>IFERROR(IF(INDEX('Faculties'!$M$26:$M$35,MATCH($F82,'Faculties'!$B$26:$B$35,0))="","Cell will autofill based on response",INDEX('Faculties'!$M$26:$M$35,MATCH($F82,'Faculties'!$B$26:$B$35,0))),"N/A")</f>
        <v/>
      </c>
      <c r="J82" s="52">
        <f>IFERROR(IF(INDEX('Faculties'!$M$42:$M$51,MATCH($F82,'Faculties'!$B$42:$B$51,0))="","Cell will autofill based on response",INDEX('Faculties'!$M$42:$M$51,MATCH($F82,'Faculties'!$B$42:$B$51,0))),"N/A")</f>
        <v/>
      </c>
      <c r="K82" s="52">
        <f>IFERROR(IF(INDEX('Faculties'!$M$58:$M$67,MATCH($F82,'Faculties'!$B$58:$B$67,0))="","Cell will autofill based on response",INDEX('Faculties'!$M$58:$M$67,MATCH($F82,'Faculties'!$B$58:$B$67,0))),"N/A")</f>
        <v/>
      </c>
      <c r="L82" s="52">
        <f>IFERROR(IF(INDEX('CI&amp;S'!$M$10:$M$15,MATCH($F82,'CI&amp;S'!$B$10:$B$15,0))="","Cell will autofill based on response",INDEX('CI&amp;S'!$M$10:$M$15,MATCH($F82,'CI&amp;S'!$B$10:$B$15,0))),"N/A")</f>
        <v/>
      </c>
      <c r="M82" s="52">
        <f>IFERROR(IF(INDEX('CI&amp;S'!$M$22:$M$36,MATCH($F82,'CI&amp;S'!$B$22:$B$36,0))="","Cell will autofill based on response",INDEX('CI&amp;S'!$M$22:$M$36,MATCH($F82,'CI&amp;S'!$B$22:$B$36,0))),"N/A")</f>
        <v/>
      </c>
      <c r="N82" s="52">
        <f>IFERROR(IF(INDEX('CFOG'!$M$10:$M$16,MATCH($F82,'CFOG'!$B$10:$B$16,0))="","Cell will autofill based on response",INDEX('CFOG'!$M$10:$M$16,MATCH($F82,'CFOG'!$B$10:$B$16,0))),"N/A")</f>
        <v/>
      </c>
      <c r="O82" s="52">
        <f>IFERROR(IF(INDEX('CFOG'!$M$23:$M$24,MATCH($F82,'CFOG'!$B$23:$B$24,0))="","Cell will autofill based on response",INDEX('CFOG'!$M$23:$M$24,MATCH($F82,'CFOG'!$B$23:$B$24,0))),"N/A")</f>
        <v/>
      </c>
      <c r="P82" s="52">
        <f>IFERROR(IF(INDEX('ESG'!$M$10:$M$17,MATCH($F82,'ESG'!$B$10:$B$17,0))="","Cell will autofill based on response",INDEX('ESG'!$M$10:$M$17,MATCH($F82,'ESG'!$B$10:$B$17,0))),"N/A")</f>
        <v/>
      </c>
      <c r="Q82" s="52">
        <f>IFERROR(IF(INDEX('CIOG'!$M$10:$M$14,MATCH($F82,'CIOG'!$B$10:$B$14,0))="","Cell will autofill based on response",INDEX('CIOG'!$M$10:$M$14,MATCH($F82,'CIOG'!$B$10:$B$14,0))),"N/A")</f>
        <v/>
      </c>
      <c r="R82" s="52">
        <f>IFERROR(IF(INDEX('MRE'!$M$10:$M$18,MATCH($F82,'MRE'!$B$10:$B$18,0))="","Cell will autofill based on response",INDEX('MRE'!$M$10:$M$18,MATCH($F82,'MRE'!$B$10:$B$18,0))),"N/A")</f>
        <v/>
      </c>
      <c r="S82" s="52">
        <f>IFERROR(IF(INDEX('AC&amp;M'!$M$10:$M$14,MATCH($F82,'AC&amp;M'!$B$10:$B$14,0))="","Cell will autofill based on response",INDEX('AC&amp;M'!$M$10:$M$14,MATCH($F82,'AC&amp;M'!$B$10:$B$14,0))),"N/A")</f>
        <v/>
      </c>
      <c r="T82" s="52">
        <f>IFERROR(IF(INDEX('GCE'!$M$10:$M$12,MATCH($F82,'GCE'!$B$10:$B$12,0))="","Cell will autofill based on response",INDEX('GCE'!$M$10:$M$12,MATCH($F82,'GCE'!$B$10:$B$12,0))),"N/A")</f>
        <v/>
      </c>
      <c r="U82" s="52">
        <f>IFERROR(IF(INDEX('Education'!$M$10:$M$13,MATCH($F82,'Education'!$B$10:$B$13,0))="","Cell will autofill based on response",INDEX('Education'!$M$10:$M$13,MATCH($F82,'Education'!$B$10:$B$13,0))),"N/A")</f>
        <v/>
      </c>
      <c r="V82" s="52">
        <f>IFERROR(IF(INDEX('SaSS'!$M$10:$M$12,MATCH($F82,'SaSS'!$B$10:$B$12,0))="","Cell will autofill based on response",INDEX('SaSS'!$M$10:$M$12,MATCH($F82,'SaSS'!$B$10:$B$12,0))),"N/A")</f>
        <v/>
      </c>
      <c r="W82" s="52">
        <f>IFERROR(IF(INDEX('Indigenous'!$M$10:$M$11,MATCH($F82,'Indigenous'!$B$10:$B$11,0))="","Cell will autofill based on response",INDEX('Indigenous'!$M$10:$M$11,MATCH($F82,'Indigenous'!$B$10:$B$11,0))),"N/A")</f>
        <v/>
      </c>
      <c r="X82" s="52">
        <f>IFERROR(IF(INDEX('L&amp;R'!$M$10:$M$11,MATCH($F82,'L&amp;R'!$B$10:$B$11,0))="","Cell will autofill based on response",INDEX('L&amp;R'!$M$10:$M$11,MATCH($F82,'L&amp;R'!$B$10:$B$11,0))),"N/A")</f>
        <v/>
      </c>
    </row>
    <row r="83">
      <c r="A83">
        <f>F83&amp;"|"&amp;G83</f>
        <v/>
      </c>
      <c r="B83" s="13" t="inlineStr"/>
      <c r="C83" s="8" t="inlineStr"/>
      <c r="D83" s="8" t="inlineStr"/>
      <c r="E83" s="8" t="inlineStr"/>
      <c r="F83" s="8" t="inlineStr">
        <is>
          <t>TR3(d)</t>
        </is>
      </c>
      <c r="G83" s="8" t="inlineStr">
        <is>
          <t>Supporting information/comments</t>
        </is>
      </c>
      <c r="H83" s="52">
        <f>IFERROR(IF(INDEX('Faculties'!$N$10:$N$19,MATCH($F83,'Faculties'!$B$10:$B$19,0))="","Cell will autofill based on response",INDEX('Faculties'!$N$10:$N$19,MATCH($F83,'Faculties'!$B$10:$B$19,0))),"N/A")</f>
        <v/>
      </c>
      <c r="I83" s="52">
        <f>IFERROR(IF(INDEX('Faculties'!$N$26:$N$35,MATCH($F83,'Faculties'!$B$26:$B$35,0))="","Cell will autofill based on response",INDEX('Faculties'!$N$26:$N$35,MATCH($F83,'Faculties'!$B$26:$B$35,0))),"N/A")</f>
        <v/>
      </c>
      <c r="J83" s="52">
        <f>IFERROR(IF(INDEX('Faculties'!$N$42:$N$51,MATCH($F83,'Faculties'!$B$42:$B$51,0))="","Cell will autofill based on response",INDEX('Faculties'!$N$42:$N$51,MATCH($F83,'Faculties'!$B$42:$B$51,0))),"N/A")</f>
        <v/>
      </c>
      <c r="K83" s="52">
        <f>IFERROR(IF(INDEX('Faculties'!$N$58:$N$67,MATCH($F83,'Faculties'!$B$58:$B$67,0))="","Cell will autofill based on response",INDEX('Faculties'!$N$58:$N$67,MATCH($F83,'Faculties'!$B$58:$B$67,0))),"N/A")</f>
        <v/>
      </c>
      <c r="L83" s="52">
        <f>IFERROR(IF(INDEX('CI&amp;S'!$N$10:$N$15,MATCH($F83,'CI&amp;S'!$B$10:$B$15,0))="","Cell will autofill based on response",INDEX('CI&amp;S'!$N$10:$N$15,MATCH($F83,'CI&amp;S'!$B$10:$B$15,0))),"N/A")</f>
        <v/>
      </c>
      <c r="M83" s="52">
        <f>IFERROR(IF(INDEX('CI&amp;S'!$N$22:$N$36,MATCH($F83,'CI&amp;S'!$B$22:$B$36,0))="","Cell will autofill based on response",INDEX('CI&amp;S'!$N$22:$N$36,MATCH($F83,'CI&amp;S'!$B$22:$B$36,0))),"N/A")</f>
        <v/>
      </c>
      <c r="N83" s="52">
        <f>IFERROR(IF(INDEX('CFOG'!$N$10:$N$16,MATCH($F83,'CFOG'!$B$10:$B$16,0))="","Cell will autofill based on response",INDEX('CFOG'!$N$10:$N$16,MATCH($F83,'CFOG'!$B$10:$B$16,0))),"N/A")</f>
        <v/>
      </c>
      <c r="O83" s="52">
        <f>IFERROR(IF(INDEX('CFOG'!$N$23:$N$24,MATCH($F83,'CFOG'!$B$23:$B$24,0))="","Cell will autofill based on response",INDEX('CFOG'!$N$23:$N$24,MATCH($F83,'CFOG'!$B$23:$B$24,0))),"N/A")</f>
        <v/>
      </c>
      <c r="P83" s="52">
        <f>IFERROR(IF(INDEX('ESG'!$N$10:$N$17,MATCH($F83,'ESG'!$B$10:$B$17,0))="","Cell will autofill based on response",INDEX('ESG'!$N$10:$N$17,MATCH($F83,'ESG'!$B$10:$B$17,0))),"N/A")</f>
        <v/>
      </c>
      <c r="Q83" s="52">
        <f>IFERROR(IF(INDEX('CIOG'!$N$10:$N$14,MATCH($F83,'CIOG'!$B$10:$B$14,0))="","Cell will autofill based on response",INDEX('CIOG'!$N$10:$N$14,MATCH($F83,'CIOG'!$B$10:$B$14,0))),"N/A")</f>
        <v/>
      </c>
      <c r="R83" s="52">
        <f>IFERROR(IF(INDEX('MRE'!$N$10:$N$18,MATCH($F83,'MRE'!$B$10:$B$18,0))="","Cell will autofill based on response",INDEX('MRE'!$N$10:$N$18,MATCH($F83,'MRE'!$B$10:$B$18,0))),"N/A")</f>
        <v/>
      </c>
      <c r="S83" s="52">
        <f>IFERROR(IF(INDEX('AC&amp;M'!$N$10:$N$14,MATCH($F83,'AC&amp;M'!$B$10:$B$14,0))="","Cell will autofill based on response",INDEX('AC&amp;M'!$N$10:$N$14,MATCH($F83,'AC&amp;M'!$B$10:$B$14,0))),"N/A")</f>
        <v/>
      </c>
      <c r="T83" s="52">
        <f>IFERROR(IF(INDEX('GCE'!$N$10:$N$12,MATCH($F83,'GCE'!$B$10:$B$12,0))="","Cell will autofill based on response",INDEX('GCE'!$N$10:$N$12,MATCH($F83,'GCE'!$B$10:$B$12,0))),"N/A")</f>
        <v/>
      </c>
      <c r="U83" s="52">
        <f>IFERROR(IF(INDEX('Education'!$N$10:$N$13,MATCH($F83,'Education'!$B$10:$B$13,0))="","Cell will autofill based on response",INDEX('Education'!$N$10:$N$13,MATCH($F83,'Education'!$B$10:$B$13,0))),"N/A")</f>
        <v/>
      </c>
      <c r="V83" s="52">
        <f>IFERROR(IF(INDEX('SaSS'!$N$10:$N$12,MATCH($F83,'SaSS'!$B$10:$B$12,0))="","Cell will autofill based on response",INDEX('SaSS'!$N$10:$N$12,MATCH($F83,'SaSS'!$B$10:$B$12,0))),"N/A")</f>
        <v/>
      </c>
      <c r="W83" s="52">
        <f>IFERROR(IF(INDEX('Indigenous'!$N$10:$N$11,MATCH($F83,'Indigenous'!$B$10:$B$11,0))="","Cell will autofill based on response",INDEX('Indigenous'!$N$10:$N$11,MATCH($F83,'Indigenous'!$B$10:$B$11,0))),"N/A")</f>
        <v/>
      </c>
      <c r="X83" s="52">
        <f>IFERROR(IF(INDEX('L&amp;R'!$N$10:$N$11,MATCH($F83,'L&amp;R'!$B$10:$B$11,0))="","Cell will autofill based on response",INDEX('L&amp;R'!$N$10:$N$11,MATCH($F83,'L&amp;R'!$B$10:$B$11,0))),"N/A")</f>
        <v/>
      </c>
    </row>
    <row r="84">
      <c r="A84">
        <f>F84&amp;"|"&amp;G84</f>
        <v/>
      </c>
      <c r="B84" s="13" t="inlineStr"/>
      <c r="C84" s="8" t="inlineStr"/>
      <c r="D84" s="8" t="inlineStr"/>
      <c r="E84" s="8" t="inlineStr"/>
      <c r="F84" s="8" t="inlineStr">
        <is>
          <t>TR3(d)</t>
        </is>
      </c>
      <c r="G84" s="8" t="inlineStr">
        <is>
          <t>Data source and limitations</t>
        </is>
      </c>
      <c r="H84" s="52">
        <f>IFERROR(IF(INDEX('Faculties'!$O$10:$O$19,MATCH($F84,'Faculties'!$B$10:$B$19,0))="","Cell will autofill based on response",INDEX('Faculties'!$O$10:$O$19,MATCH($F84,'Faculties'!$B$10:$B$19,0))),"N/A")</f>
        <v/>
      </c>
      <c r="I84" s="52">
        <f>IFERROR(IF(INDEX('Faculties'!$O$26:$O$35,MATCH($F84,'Faculties'!$B$26:$B$35,0))="","Cell will autofill based on response",INDEX('Faculties'!$O$26:$O$35,MATCH($F84,'Faculties'!$B$26:$B$35,0))),"N/A")</f>
        <v/>
      </c>
      <c r="J84" s="52">
        <f>IFERROR(IF(INDEX('Faculties'!$O$42:$O$51,MATCH($F84,'Faculties'!$B$42:$B$51,0))="","Cell will autofill based on response",INDEX('Faculties'!$O$42:$O$51,MATCH($F84,'Faculties'!$B$42:$B$51,0))),"N/A")</f>
        <v/>
      </c>
      <c r="K84" s="52">
        <f>IFERROR(IF(INDEX('Faculties'!$O$58:$O$67,MATCH($F84,'Faculties'!$B$58:$B$67,0))="","Cell will autofill based on response",INDEX('Faculties'!$O$58:$O$67,MATCH($F84,'Faculties'!$B$58:$B$67,0))),"N/A")</f>
        <v/>
      </c>
      <c r="L84" s="52">
        <f>IFERROR(IF(INDEX('CI&amp;S'!$O$10:$O$15,MATCH($F84,'CI&amp;S'!$B$10:$B$15,0))="","Cell will autofill based on response",INDEX('CI&amp;S'!$O$10:$O$15,MATCH($F84,'CI&amp;S'!$B$10:$B$15,0))),"N/A")</f>
        <v/>
      </c>
      <c r="M84" s="52">
        <f>IFERROR(IF(INDEX('CI&amp;S'!$O$22:$O$36,MATCH($F84,'CI&amp;S'!$B$22:$B$36,0))="","Cell will autofill based on response",INDEX('CI&amp;S'!$O$22:$O$36,MATCH($F84,'CI&amp;S'!$B$22:$B$36,0))),"N/A")</f>
        <v/>
      </c>
      <c r="N84" s="52">
        <f>IFERROR(IF(INDEX('CFOG'!$O$10:$O$16,MATCH($F84,'CFOG'!$B$10:$B$16,0))="","Cell will autofill based on response",INDEX('CFOG'!$O$10:$O$16,MATCH($F84,'CFOG'!$B$10:$B$16,0))),"N/A")</f>
        <v/>
      </c>
      <c r="O84" s="52">
        <f>IFERROR(IF(INDEX('CFOG'!$O$23:$O$24,MATCH($F84,'CFOG'!$B$23:$B$24,0))="","Cell will autofill based on response",INDEX('CFOG'!$O$23:$O$24,MATCH($F84,'CFOG'!$B$23:$B$24,0))),"N/A")</f>
        <v/>
      </c>
      <c r="P84" s="52">
        <f>IFERROR(IF(INDEX('ESG'!$O$10:$O$17,MATCH($F84,'ESG'!$B$10:$B$17,0))="","Cell will autofill based on response",INDEX('ESG'!$O$10:$O$17,MATCH($F84,'ESG'!$B$10:$B$17,0))),"N/A")</f>
        <v/>
      </c>
      <c r="Q84" s="52">
        <f>IFERROR(IF(INDEX('CIOG'!$O$10:$O$14,MATCH($F84,'CIOG'!$B$10:$B$14,0))="","Cell will autofill based on response",INDEX('CIOG'!$O$10:$O$14,MATCH($F84,'CIOG'!$B$10:$B$14,0))),"N/A")</f>
        <v/>
      </c>
      <c r="R84" s="52">
        <f>IFERROR(IF(INDEX('MRE'!$O$10:$O$18,MATCH($F84,'MRE'!$B$10:$B$18,0))="","Cell will autofill based on response",INDEX('MRE'!$O$10:$O$18,MATCH($F84,'MRE'!$B$10:$B$18,0))),"N/A")</f>
        <v/>
      </c>
      <c r="S84" s="52">
        <f>IFERROR(IF(INDEX('AC&amp;M'!$O$10:$O$14,MATCH($F84,'AC&amp;M'!$B$10:$B$14,0))="","Cell will autofill based on response",INDEX('AC&amp;M'!$O$10:$O$14,MATCH($F84,'AC&amp;M'!$B$10:$B$14,0))),"N/A")</f>
        <v/>
      </c>
      <c r="T84" s="52">
        <f>IFERROR(IF(INDEX('GCE'!$O$10:$O$12,MATCH($F84,'GCE'!$B$10:$B$12,0))="","Cell will autofill based on response",INDEX('GCE'!$O$10:$O$12,MATCH($F84,'GCE'!$B$10:$B$12,0))),"N/A")</f>
        <v/>
      </c>
      <c r="U84" s="52">
        <f>IFERROR(IF(INDEX('Education'!$O$10:$O$13,MATCH($F84,'Education'!$B$10:$B$13,0))="","Cell will autofill based on response",INDEX('Education'!$O$10:$O$13,MATCH($F84,'Education'!$B$10:$B$13,0))),"N/A")</f>
        <v/>
      </c>
      <c r="V84" s="52">
        <f>IFERROR(IF(INDEX('SaSS'!$O$10:$O$12,MATCH($F84,'SaSS'!$B$10:$B$12,0))="","Cell will autofill based on response",INDEX('SaSS'!$O$10:$O$12,MATCH($F84,'SaSS'!$B$10:$B$12,0))),"N/A")</f>
        <v/>
      </c>
      <c r="W84" s="52">
        <f>IFERROR(IF(INDEX('Indigenous'!$O$10:$O$11,MATCH($F84,'Indigenous'!$B$10:$B$11,0))="","Cell will autofill based on response",INDEX('Indigenous'!$O$10:$O$11,MATCH($F84,'Indigenous'!$B$10:$B$11,0))),"N/A")</f>
        <v/>
      </c>
      <c r="X84" s="52">
        <f>IFERROR(IF(INDEX('L&amp;R'!$O$10:$O$11,MATCH($F84,'L&amp;R'!$B$10:$B$11,0))="","Cell will autofill based on response",INDEX('L&amp;R'!$O$10:$O$11,MATCH($F84,'L&amp;R'!$B$10:$B$11,0))),"N/A")</f>
        <v/>
      </c>
    </row>
    <row r="85">
      <c r="A85">
        <f>F85&amp;"|"&amp;G85</f>
        <v/>
      </c>
      <c r="B85" s="13" t="inlineStr"/>
      <c r="C85" s="8" t="inlineStr"/>
      <c r="D85" s="8" t="inlineStr"/>
      <c r="E85" s="8" t="inlineStr"/>
      <c r="F85" s="8" t="inlineStr">
        <is>
          <t>TR3(d)</t>
        </is>
      </c>
      <c r="G85" s="8" t="inlineStr">
        <is>
          <t>Data owner confirms</t>
        </is>
      </c>
      <c r="H85" s="52">
        <f>IFERROR(IF(INDEX('Faculties'!$P$10:$P$19,MATCH($F85,'Faculties'!$B$10:$B$19,0))="","Cell will autofill based on response",INDEX('Faculties'!$P$10:$P$19,MATCH($F85,'Faculties'!$B$10:$B$19,0))),"N/A")</f>
        <v/>
      </c>
      <c r="I85" s="52">
        <f>IFERROR(IF(INDEX('Faculties'!$P$26:$P$35,MATCH($F85,'Faculties'!$B$26:$B$35,0))="","Cell will autofill based on response",INDEX('Faculties'!$P$26:$P$35,MATCH($F85,'Faculties'!$B$26:$B$35,0))),"N/A")</f>
        <v/>
      </c>
      <c r="J85" s="52">
        <f>IFERROR(IF(INDEX('Faculties'!$P$42:$P$51,MATCH($F85,'Faculties'!$B$42:$B$51,0))="","Cell will autofill based on response",INDEX('Faculties'!$P$42:$P$51,MATCH($F85,'Faculties'!$B$42:$B$51,0))),"N/A")</f>
        <v/>
      </c>
      <c r="K85" s="52">
        <f>IFERROR(IF(INDEX('Faculties'!$P$58:$P$67,MATCH($F85,'Faculties'!$B$58:$B$67,0))="","Cell will autofill based on response",INDEX('Faculties'!$P$58:$P$67,MATCH($F85,'Faculties'!$B$58:$B$67,0))),"N/A")</f>
        <v/>
      </c>
      <c r="L85" s="52">
        <f>IFERROR(IF(INDEX('CI&amp;S'!$P$10:$P$15,MATCH($F85,'CI&amp;S'!$B$10:$B$15,0))="","Cell will autofill based on response",INDEX('CI&amp;S'!$P$10:$P$15,MATCH($F85,'CI&amp;S'!$B$10:$B$15,0))),"N/A")</f>
        <v/>
      </c>
      <c r="M85" s="52">
        <f>IFERROR(IF(INDEX('CI&amp;S'!$P$22:$P$36,MATCH($F85,'CI&amp;S'!$B$22:$B$36,0))="","Cell will autofill based on response",INDEX('CI&amp;S'!$P$22:$P$36,MATCH($F85,'CI&amp;S'!$B$22:$B$36,0))),"N/A")</f>
        <v/>
      </c>
      <c r="N85" s="52">
        <f>IFERROR(IF(INDEX('CFOG'!$P$10:$P$16,MATCH($F85,'CFOG'!$B$10:$B$16,0))="","Cell will autofill based on response",INDEX('CFOG'!$P$10:$P$16,MATCH($F85,'CFOG'!$B$10:$B$16,0))),"N/A")</f>
        <v/>
      </c>
      <c r="O85" s="52">
        <f>IFERROR(IF(INDEX('CFOG'!$P$23:$P$24,MATCH($F85,'CFOG'!$B$23:$B$24,0))="","Cell will autofill based on response",INDEX('CFOG'!$P$23:$P$24,MATCH($F85,'CFOG'!$B$23:$B$24,0))),"N/A")</f>
        <v/>
      </c>
      <c r="P85" s="52">
        <f>IFERROR(IF(INDEX('ESG'!$P$10:$P$17,MATCH($F85,'ESG'!$B$10:$B$17,0))="","Cell will autofill based on response",INDEX('ESG'!$P$10:$P$17,MATCH($F85,'ESG'!$B$10:$B$17,0))),"N/A")</f>
        <v/>
      </c>
      <c r="Q85" s="52">
        <f>IFERROR(IF(INDEX('CIOG'!$P$10:$P$14,MATCH($F85,'CIOG'!$B$10:$B$14,0))="","Cell will autofill based on response",INDEX('CIOG'!$P$10:$P$14,MATCH($F85,'CIOG'!$B$10:$B$14,0))),"N/A")</f>
        <v/>
      </c>
      <c r="R85" s="52">
        <f>IFERROR(IF(INDEX('MRE'!$P$10:$P$18,MATCH($F85,'MRE'!$B$10:$B$18,0))="","Cell will autofill based on response",INDEX('MRE'!$P$10:$P$18,MATCH($F85,'MRE'!$B$10:$B$18,0))),"N/A")</f>
        <v/>
      </c>
      <c r="S85" s="52">
        <f>IFERROR(IF(INDEX('AC&amp;M'!$P$10:$P$14,MATCH($F85,'AC&amp;M'!$B$10:$B$14,0))="","Cell will autofill based on response",INDEX('AC&amp;M'!$P$10:$P$14,MATCH($F85,'AC&amp;M'!$B$10:$B$14,0))),"N/A")</f>
        <v/>
      </c>
      <c r="T85" s="52">
        <f>IFERROR(IF(INDEX('GCE'!$P$10:$P$12,MATCH($F85,'GCE'!$B$10:$B$12,0))="","Cell will autofill based on response",INDEX('GCE'!$P$10:$P$12,MATCH($F85,'GCE'!$B$10:$B$12,0))),"N/A")</f>
        <v/>
      </c>
      <c r="U85" s="52">
        <f>IFERROR(IF(INDEX('Education'!$P$10:$P$13,MATCH($F85,'Education'!$B$10:$B$13,0))="","Cell will autofill based on response",INDEX('Education'!$P$10:$P$13,MATCH($F85,'Education'!$B$10:$B$13,0))),"N/A")</f>
        <v/>
      </c>
      <c r="V85" s="52">
        <f>IFERROR(IF(INDEX('SaSS'!$P$10:$P$12,MATCH($F85,'SaSS'!$B$10:$B$12,0))="","Cell will autofill based on response",INDEX('SaSS'!$P$10:$P$12,MATCH($F85,'SaSS'!$B$10:$B$12,0))),"N/A")</f>
        <v/>
      </c>
      <c r="W85" s="52">
        <f>IFERROR(IF(INDEX('Indigenous'!$P$10:$P$11,MATCH($F85,'Indigenous'!$B$10:$B$11,0))="","Cell will autofill based on response",INDEX('Indigenous'!$P$10:$P$11,MATCH($F85,'Indigenous'!$B$10:$B$11,0))),"N/A")</f>
        <v/>
      </c>
      <c r="X85" s="52">
        <f>IFERROR(IF(INDEX('L&amp;R'!$P$10:$P$11,MATCH($F85,'L&amp;R'!$B$10:$B$11,0))="","Cell will autofill based on response",INDEX('L&amp;R'!$P$10:$P$11,MATCH($F85,'L&amp;R'!$B$10:$B$11,0))),"N/A")</f>
        <v/>
      </c>
    </row>
    <row r="86">
      <c r="A86">
        <f>F86&amp;"|"&amp;G86</f>
        <v/>
      </c>
      <c r="B86" s="7" t="inlineStr">
        <is>
          <t>CL1(c)</t>
        </is>
      </c>
      <c r="C86" s="50" t="inlineStr">
        <is>
          <t>Climate leadership</t>
        </is>
      </c>
      <c r="D86" s="50" t="inlineStr">
        <is>
          <t>Review of Climate Leadership targets by 2030.[2]</t>
        </is>
      </c>
      <c r="E86" s="50" t="inlineStr"/>
      <c r="F86" s="50" t="inlineStr">
        <is>
          <t>CL1(c)</t>
        </is>
      </c>
      <c r="G86" s="50" t="inlineStr">
        <is>
          <t>OPTION 1:  Target-level reporting</t>
        </is>
      </c>
      <c r="H86" s="52">
        <f>IFERROR(IF(INDEX('Faculties'!$L$10:$L$19,MATCH($F86,'Faculties'!$B$10:$B$19,0))="","Cell will autofill based on response",INDEX('Faculties'!$L$10:$L$19,MATCH($F86,'Faculties'!$B$10:$B$19,0))),"N/A")</f>
        <v/>
      </c>
      <c r="I86" s="52">
        <f>IFERROR(IF(INDEX('Faculties'!$L$26:$L$35,MATCH($F86,'Faculties'!$B$26:$B$35,0))="","Cell will autofill based on response",INDEX('Faculties'!$L$26:$L$35,MATCH($F86,'Faculties'!$B$26:$B$35,0))),"N/A")</f>
        <v/>
      </c>
      <c r="J86" s="52">
        <f>IFERROR(IF(INDEX('Faculties'!$L$42:$L$51,MATCH($F86,'Faculties'!$B$42:$B$51,0))="","Cell will autofill based on response",INDEX('Faculties'!$L$42:$L$51,MATCH($F86,'Faculties'!$B$42:$B$51,0))),"N/A")</f>
        <v/>
      </c>
      <c r="K86" s="52">
        <f>IFERROR(IF(INDEX('Faculties'!$L$58:$L$67,MATCH($F86,'Faculties'!$B$58:$B$67,0))="","Cell will autofill based on response",INDEX('Faculties'!$L$58:$L$67,MATCH($F86,'Faculties'!$B$58:$B$67,0))),"N/A")</f>
        <v/>
      </c>
      <c r="L86" s="52">
        <f>IFERROR(IF(INDEX('CI&amp;S'!$L$10:$L$15,MATCH($F86,'CI&amp;S'!$B$10:$B$15,0))="","Cell will autofill based on response",INDEX('CI&amp;S'!$L$10:$L$15,MATCH($F86,'CI&amp;S'!$B$10:$B$15,0))),"N/A")</f>
        <v/>
      </c>
      <c r="M86" s="52">
        <f>IFERROR(IF(INDEX('CI&amp;S'!$L$22:$L$36,MATCH($F86,'CI&amp;S'!$B$22:$B$36,0))="","Cell will autofill based on response",INDEX('CI&amp;S'!$L$22:$L$36,MATCH($F86,'CI&amp;S'!$B$22:$B$36,0))),"N/A")</f>
        <v/>
      </c>
      <c r="N86" s="52">
        <f>IFERROR(IF(INDEX('CFOG'!$L$10:$L$16,MATCH($F86,'CFOG'!$B$10:$B$16,0))="","Cell will autofill based on response",INDEX('CFOG'!$L$10:$L$16,MATCH($F86,'CFOG'!$B$10:$B$16,0))),"N/A")</f>
        <v/>
      </c>
      <c r="O86" s="52">
        <f>IFERROR(IF(INDEX('CFOG'!$L$23:$L$24,MATCH($F86,'CFOG'!$B$23:$B$24,0))="","Cell will autofill based on response",INDEX('CFOG'!$L$23:$L$24,MATCH($F86,'CFOG'!$B$23:$B$24,0))),"N/A")</f>
        <v/>
      </c>
      <c r="P86" s="52">
        <f>IFERROR(IF(INDEX('ESG'!$L$10:$L$17,MATCH($F86,'ESG'!$B$10:$B$17,0))="","Cell will autofill based on response",INDEX('ESG'!$L$10:$L$17,MATCH($F86,'ESG'!$B$10:$B$17,0))),"N/A")</f>
        <v/>
      </c>
      <c r="Q86" s="52">
        <f>IFERROR(IF(INDEX('CIOG'!$L$10:$L$14,MATCH($F86,'CIOG'!$B$10:$B$14,0))="","Cell will autofill based on response",INDEX('CIOG'!$L$10:$L$14,MATCH($F86,'CIOG'!$B$10:$B$14,0))),"N/A")</f>
        <v/>
      </c>
      <c r="R86" s="52">
        <f>IFERROR(IF(INDEX('MRE'!$L$10:$L$18,MATCH($F86,'MRE'!$B$10:$B$18,0))="","Cell will autofill based on response",INDEX('MRE'!$L$10:$L$18,MATCH($F86,'MRE'!$B$10:$B$18,0))),"N/A")</f>
        <v/>
      </c>
      <c r="S86" s="52">
        <f>IFERROR(IF(INDEX('AC&amp;M'!$L$10:$L$14,MATCH($F86,'AC&amp;M'!$B$10:$B$14,0))="","Cell will autofill based on response",INDEX('AC&amp;M'!$L$10:$L$14,MATCH($F86,'AC&amp;M'!$B$10:$B$14,0))),"N/A")</f>
        <v/>
      </c>
      <c r="T86" s="52">
        <f>IFERROR(IF(INDEX('GCE'!$L$10:$L$12,MATCH($F86,'GCE'!$B$10:$B$12,0))="","Cell will autofill based on response",INDEX('GCE'!$L$10:$L$12,MATCH($F86,'GCE'!$B$10:$B$12,0))),"N/A")</f>
        <v/>
      </c>
      <c r="U86" s="52">
        <f>IFERROR(IF(INDEX('Education'!$L$10:$L$13,MATCH($F86,'Education'!$B$10:$B$13,0))="","Cell will autofill based on response",INDEX('Education'!$L$10:$L$13,MATCH($F86,'Education'!$B$10:$B$13,0))),"N/A")</f>
        <v/>
      </c>
      <c r="V86" s="52">
        <f>IFERROR(IF(INDEX('SaSS'!$L$10:$L$12,MATCH($F86,'SaSS'!$B$10:$B$12,0))="","Cell will autofill based on response",INDEX('SaSS'!$L$10:$L$12,MATCH($F86,'SaSS'!$B$10:$B$12,0))),"N/A")</f>
        <v/>
      </c>
      <c r="W86" s="52">
        <f>IFERROR(IF(INDEX('Indigenous'!$L$10:$L$11,MATCH($F86,'Indigenous'!$B$10:$B$11,0))="","Cell will autofill based on response",INDEX('Indigenous'!$L$10:$L$11,MATCH($F86,'Indigenous'!$B$10:$B$11,0))),"N/A")</f>
        <v/>
      </c>
      <c r="X86" s="52">
        <f>IFERROR(IF(INDEX('L&amp;R'!$L$10:$L$11,MATCH($F86,'L&amp;R'!$B$10:$B$11,0))="","Cell will autofill based on response",INDEX('L&amp;R'!$L$10:$L$11,MATCH($F86,'L&amp;R'!$B$10:$B$11,0))),"N/A")</f>
        <v/>
      </c>
      <c r="Z86" s="10">
        <f>SUMPRODUCT(--($H86:$X86&lt;&gt;"N/A"))</f>
        <v/>
      </c>
      <c r="AA86" s="10">
        <f>SUMPRODUCT(--(((($H86:$X86&lt;&gt;"N/A")*($H86:$X86&lt;&gt;"Cell will autofill based on response"))+(($H87:$X87&lt;&gt;"N/A")*($H87:$X87&lt;&gt;"Cell will autofill based on response")))&gt;0))</f>
        <v/>
      </c>
      <c r="AB86" s="10">
        <f>Z86-AA86</f>
        <v/>
      </c>
      <c r="AC86" s="10">
        <f>COUNTIF($H90:$X90,"Yes")</f>
        <v/>
      </c>
    </row>
    <row r="87">
      <c r="A87">
        <f>F87&amp;"|"&amp;G87</f>
        <v/>
      </c>
      <c r="B87" s="13" t="inlineStr"/>
      <c r="C87" s="8" t="inlineStr"/>
      <c r="D87" s="8" t="inlineStr"/>
      <c r="E87" s="8" t="inlineStr"/>
      <c r="F87" s="8" t="inlineStr">
        <is>
          <t>CL1(c)</t>
        </is>
      </c>
      <c r="G87" s="8" t="inlineStr">
        <is>
          <t>OPTION 2:  Indicator level reporting</t>
        </is>
      </c>
      <c r="H87" s="52">
        <f>IFERROR(IF(INDEX('Faculties'!$M$10:$M$19,MATCH($F87,'Faculties'!$B$10:$B$19,0))="","Cell will autofill based on response",INDEX('Faculties'!$M$10:$M$19,MATCH($F87,'Faculties'!$B$10:$B$19,0))),"N/A")</f>
        <v/>
      </c>
      <c r="I87" s="52">
        <f>IFERROR(IF(INDEX('Faculties'!$M$26:$M$35,MATCH($F87,'Faculties'!$B$26:$B$35,0))="","Cell will autofill based on response",INDEX('Faculties'!$M$26:$M$35,MATCH($F87,'Faculties'!$B$26:$B$35,0))),"N/A")</f>
        <v/>
      </c>
      <c r="J87" s="52">
        <f>IFERROR(IF(INDEX('Faculties'!$M$42:$M$51,MATCH($F87,'Faculties'!$B$42:$B$51,0))="","Cell will autofill based on response",INDEX('Faculties'!$M$42:$M$51,MATCH($F87,'Faculties'!$B$42:$B$51,0))),"N/A")</f>
        <v/>
      </c>
      <c r="K87" s="52">
        <f>IFERROR(IF(INDEX('Faculties'!$M$58:$M$67,MATCH($F87,'Faculties'!$B$58:$B$67,0))="","Cell will autofill based on response",INDEX('Faculties'!$M$58:$M$67,MATCH($F87,'Faculties'!$B$58:$B$67,0))),"N/A")</f>
        <v/>
      </c>
      <c r="L87" s="52">
        <f>IFERROR(IF(INDEX('CI&amp;S'!$M$10:$M$15,MATCH($F87,'CI&amp;S'!$B$10:$B$15,0))="","Cell will autofill based on response",INDEX('CI&amp;S'!$M$10:$M$15,MATCH($F87,'CI&amp;S'!$B$10:$B$15,0))),"N/A")</f>
        <v/>
      </c>
      <c r="M87" s="52">
        <f>IFERROR(IF(INDEX('CI&amp;S'!$M$22:$M$36,MATCH($F87,'CI&amp;S'!$B$22:$B$36,0))="","Cell will autofill based on response",INDEX('CI&amp;S'!$M$22:$M$36,MATCH($F87,'CI&amp;S'!$B$22:$B$36,0))),"N/A")</f>
        <v/>
      </c>
      <c r="N87" s="52">
        <f>IFERROR(IF(INDEX('CFOG'!$M$10:$M$16,MATCH($F87,'CFOG'!$B$10:$B$16,0))="","Cell will autofill based on response",INDEX('CFOG'!$M$10:$M$16,MATCH($F87,'CFOG'!$B$10:$B$16,0))),"N/A")</f>
        <v/>
      </c>
      <c r="O87" s="52">
        <f>IFERROR(IF(INDEX('CFOG'!$M$23:$M$24,MATCH($F87,'CFOG'!$B$23:$B$24,0))="","Cell will autofill based on response",INDEX('CFOG'!$M$23:$M$24,MATCH($F87,'CFOG'!$B$23:$B$24,0))),"N/A")</f>
        <v/>
      </c>
      <c r="P87" s="52">
        <f>IFERROR(IF(INDEX('ESG'!$M$10:$M$17,MATCH($F87,'ESG'!$B$10:$B$17,0))="","Cell will autofill based on response",INDEX('ESG'!$M$10:$M$17,MATCH($F87,'ESG'!$B$10:$B$17,0))),"N/A")</f>
        <v/>
      </c>
      <c r="Q87" s="52">
        <f>IFERROR(IF(INDEX('CIOG'!$M$10:$M$14,MATCH($F87,'CIOG'!$B$10:$B$14,0))="","Cell will autofill based on response",INDEX('CIOG'!$M$10:$M$14,MATCH($F87,'CIOG'!$B$10:$B$14,0))),"N/A")</f>
        <v/>
      </c>
      <c r="R87" s="52">
        <f>IFERROR(IF(INDEX('MRE'!$M$10:$M$18,MATCH($F87,'MRE'!$B$10:$B$18,0))="","Cell will autofill based on response",INDEX('MRE'!$M$10:$M$18,MATCH($F87,'MRE'!$B$10:$B$18,0))),"N/A")</f>
        <v/>
      </c>
      <c r="S87" s="52">
        <f>IFERROR(IF(INDEX('AC&amp;M'!$M$10:$M$14,MATCH($F87,'AC&amp;M'!$B$10:$B$14,0))="","Cell will autofill based on response",INDEX('AC&amp;M'!$M$10:$M$14,MATCH($F87,'AC&amp;M'!$B$10:$B$14,0))),"N/A")</f>
        <v/>
      </c>
      <c r="T87" s="52">
        <f>IFERROR(IF(INDEX('GCE'!$M$10:$M$12,MATCH($F87,'GCE'!$B$10:$B$12,0))="","Cell will autofill based on response",INDEX('GCE'!$M$10:$M$12,MATCH($F87,'GCE'!$B$10:$B$12,0))),"N/A")</f>
        <v/>
      </c>
      <c r="U87" s="52">
        <f>IFERROR(IF(INDEX('Education'!$M$10:$M$13,MATCH($F87,'Education'!$B$10:$B$13,0))="","Cell will autofill based on response",INDEX('Education'!$M$10:$M$13,MATCH($F87,'Education'!$B$10:$B$13,0))),"N/A")</f>
        <v/>
      </c>
      <c r="V87" s="52">
        <f>IFERROR(IF(INDEX('SaSS'!$M$10:$M$12,MATCH($F87,'SaSS'!$B$10:$B$12,0))="","Cell will autofill based on response",INDEX('SaSS'!$M$10:$M$12,MATCH($F87,'SaSS'!$B$10:$B$12,0))),"N/A")</f>
        <v/>
      </c>
      <c r="W87" s="52">
        <f>IFERROR(IF(INDEX('Indigenous'!$M$10:$M$11,MATCH($F87,'Indigenous'!$B$10:$B$11,0))="","Cell will autofill based on response",INDEX('Indigenous'!$M$10:$M$11,MATCH($F87,'Indigenous'!$B$10:$B$11,0))),"N/A")</f>
        <v/>
      </c>
      <c r="X87" s="52">
        <f>IFERROR(IF(INDEX('L&amp;R'!$M$10:$M$11,MATCH($F87,'L&amp;R'!$B$10:$B$11,0))="","Cell will autofill based on response",INDEX('L&amp;R'!$M$10:$M$11,MATCH($F87,'L&amp;R'!$B$10:$B$11,0))),"N/A")</f>
        <v/>
      </c>
    </row>
    <row r="88">
      <c r="A88">
        <f>F88&amp;"|"&amp;G88</f>
        <v/>
      </c>
      <c r="B88" s="13" t="inlineStr"/>
      <c r="C88" s="8" t="inlineStr"/>
      <c r="D88" s="8" t="inlineStr"/>
      <c r="E88" s="8" t="inlineStr"/>
      <c r="F88" s="8" t="inlineStr">
        <is>
          <t>CL1(c)</t>
        </is>
      </c>
      <c r="G88" s="8" t="inlineStr">
        <is>
          <t>Supporting information/comments</t>
        </is>
      </c>
      <c r="H88" s="52">
        <f>IFERROR(IF(INDEX('Faculties'!$N$10:$N$19,MATCH($F88,'Faculties'!$B$10:$B$19,0))="","Cell will autofill based on response",INDEX('Faculties'!$N$10:$N$19,MATCH($F88,'Faculties'!$B$10:$B$19,0))),"N/A")</f>
        <v/>
      </c>
      <c r="I88" s="52">
        <f>IFERROR(IF(INDEX('Faculties'!$N$26:$N$35,MATCH($F88,'Faculties'!$B$26:$B$35,0))="","Cell will autofill based on response",INDEX('Faculties'!$N$26:$N$35,MATCH($F88,'Faculties'!$B$26:$B$35,0))),"N/A")</f>
        <v/>
      </c>
      <c r="J88" s="52">
        <f>IFERROR(IF(INDEX('Faculties'!$N$42:$N$51,MATCH($F88,'Faculties'!$B$42:$B$51,0))="","Cell will autofill based on response",INDEX('Faculties'!$N$42:$N$51,MATCH($F88,'Faculties'!$B$42:$B$51,0))),"N/A")</f>
        <v/>
      </c>
      <c r="K88" s="52">
        <f>IFERROR(IF(INDEX('Faculties'!$N$58:$N$67,MATCH($F88,'Faculties'!$B$58:$B$67,0))="","Cell will autofill based on response",INDEX('Faculties'!$N$58:$N$67,MATCH($F88,'Faculties'!$B$58:$B$67,0))),"N/A")</f>
        <v/>
      </c>
      <c r="L88" s="52">
        <f>IFERROR(IF(INDEX('CI&amp;S'!$N$10:$N$15,MATCH($F88,'CI&amp;S'!$B$10:$B$15,0))="","Cell will autofill based on response",INDEX('CI&amp;S'!$N$10:$N$15,MATCH($F88,'CI&amp;S'!$B$10:$B$15,0))),"N/A")</f>
        <v/>
      </c>
      <c r="M88" s="52">
        <f>IFERROR(IF(INDEX('CI&amp;S'!$N$22:$N$36,MATCH($F88,'CI&amp;S'!$B$22:$B$36,0))="","Cell will autofill based on response",INDEX('CI&amp;S'!$N$22:$N$36,MATCH($F88,'CI&amp;S'!$B$22:$B$36,0))),"N/A")</f>
        <v/>
      </c>
      <c r="N88" s="52">
        <f>IFERROR(IF(INDEX('CFOG'!$N$10:$N$16,MATCH($F88,'CFOG'!$B$10:$B$16,0))="","Cell will autofill based on response",INDEX('CFOG'!$N$10:$N$16,MATCH($F88,'CFOG'!$B$10:$B$16,0))),"N/A")</f>
        <v/>
      </c>
      <c r="O88" s="52">
        <f>IFERROR(IF(INDEX('CFOG'!$N$23:$N$24,MATCH($F88,'CFOG'!$B$23:$B$24,0))="","Cell will autofill based on response",INDEX('CFOG'!$N$23:$N$24,MATCH($F88,'CFOG'!$B$23:$B$24,0))),"N/A")</f>
        <v/>
      </c>
      <c r="P88" s="52">
        <f>IFERROR(IF(INDEX('ESG'!$N$10:$N$17,MATCH($F88,'ESG'!$B$10:$B$17,0))="","Cell will autofill based on response",INDEX('ESG'!$N$10:$N$17,MATCH($F88,'ESG'!$B$10:$B$17,0))),"N/A")</f>
        <v/>
      </c>
      <c r="Q88" s="52">
        <f>IFERROR(IF(INDEX('CIOG'!$N$10:$N$14,MATCH($F88,'CIOG'!$B$10:$B$14,0))="","Cell will autofill based on response",INDEX('CIOG'!$N$10:$N$14,MATCH($F88,'CIOG'!$B$10:$B$14,0))),"N/A")</f>
        <v/>
      </c>
      <c r="R88" s="52">
        <f>IFERROR(IF(INDEX('MRE'!$N$10:$N$18,MATCH($F88,'MRE'!$B$10:$B$18,0))="","Cell will autofill based on response",INDEX('MRE'!$N$10:$N$18,MATCH($F88,'MRE'!$B$10:$B$18,0))),"N/A")</f>
        <v/>
      </c>
      <c r="S88" s="52">
        <f>IFERROR(IF(INDEX('AC&amp;M'!$N$10:$N$14,MATCH($F88,'AC&amp;M'!$B$10:$B$14,0))="","Cell will autofill based on response",INDEX('AC&amp;M'!$N$10:$N$14,MATCH($F88,'AC&amp;M'!$B$10:$B$14,0))),"N/A")</f>
        <v/>
      </c>
      <c r="T88" s="52">
        <f>IFERROR(IF(INDEX('GCE'!$N$10:$N$12,MATCH($F88,'GCE'!$B$10:$B$12,0))="","Cell will autofill based on response",INDEX('GCE'!$N$10:$N$12,MATCH($F88,'GCE'!$B$10:$B$12,0))),"N/A")</f>
        <v/>
      </c>
      <c r="U88" s="52">
        <f>IFERROR(IF(INDEX('Education'!$N$10:$N$13,MATCH($F88,'Education'!$B$10:$B$13,0))="","Cell will autofill based on response",INDEX('Education'!$N$10:$N$13,MATCH($F88,'Education'!$B$10:$B$13,0))),"N/A")</f>
        <v/>
      </c>
      <c r="V88" s="52">
        <f>IFERROR(IF(INDEX('SaSS'!$N$10:$N$12,MATCH($F88,'SaSS'!$B$10:$B$12,0))="","Cell will autofill based on response",INDEX('SaSS'!$N$10:$N$12,MATCH($F88,'SaSS'!$B$10:$B$12,0))),"N/A")</f>
        <v/>
      </c>
      <c r="W88" s="52">
        <f>IFERROR(IF(INDEX('Indigenous'!$N$10:$N$11,MATCH($F88,'Indigenous'!$B$10:$B$11,0))="","Cell will autofill based on response",INDEX('Indigenous'!$N$10:$N$11,MATCH($F88,'Indigenous'!$B$10:$B$11,0))),"N/A")</f>
        <v/>
      </c>
      <c r="X88" s="52">
        <f>IFERROR(IF(INDEX('L&amp;R'!$N$10:$N$11,MATCH($F88,'L&amp;R'!$B$10:$B$11,0))="","Cell will autofill based on response",INDEX('L&amp;R'!$N$10:$N$11,MATCH($F88,'L&amp;R'!$B$10:$B$11,0))),"N/A")</f>
        <v/>
      </c>
    </row>
    <row r="89">
      <c r="A89">
        <f>F89&amp;"|"&amp;G89</f>
        <v/>
      </c>
      <c r="B89" s="13" t="inlineStr"/>
      <c r="C89" s="8" t="inlineStr"/>
      <c r="D89" s="8" t="inlineStr"/>
      <c r="E89" s="8" t="inlineStr"/>
      <c r="F89" s="8" t="inlineStr">
        <is>
          <t>CL1(c)</t>
        </is>
      </c>
      <c r="G89" s="8" t="inlineStr">
        <is>
          <t>Data source and limitations</t>
        </is>
      </c>
      <c r="H89" s="52">
        <f>IFERROR(IF(INDEX('Faculties'!$O$10:$O$19,MATCH($F89,'Faculties'!$B$10:$B$19,0))="","Cell will autofill based on response",INDEX('Faculties'!$O$10:$O$19,MATCH($F89,'Faculties'!$B$10:$B$19,0))),"N/A")</f>
        <v/>
      </c>
      <c r="I89" s="52">
        <f>IFERROR(IF(INDEX('Faculties'!$O$26:$O$35,MATCH($F89,'Faculties'!$B$26:$B$35,0))="","Cell will autofill based on response",INDEX('Faculties'!$O$26:$O$35,MATCH($F89,'Faculties'!$B$26:$B$35,0))),"N/A")</f>
        <v/>
      </c>
      <c r="J89" s="52">
        <f>IFERROR(IF(INDEX('Faculties'!$O$42:$O$51,MATCH($F89,'Faculties'!$B$42:$B$51,0))="","Cell will autofill based on response",INDEX('Faculties'!$O$42:$O$51,MATCH($F89,'Faculties'!$B$42:$B$51,0))),"N/A")</f>
        <v/>
      </c>
      <c r="K89" s="52">
        <f>IFERROR(IF(INDEX('Faculties'!$O$58:$O$67,MATCH($F89,'Faculties'!$B$58:$B$67,0))="","Cell will autofill based on response",INDEX('Faculties'!$O$58:$O$67,MATCH($F89,'Faculties'!$B$58:$B$67,0))),"N/A")</f>
        <v/>
      </c>
      <c r="L89" s="52">
        <f>IFERROR(IF(INDEX('CI&amp;S'!$O$10:$O$15,MATCH($F89,'CI&amp;S'!$B$10:$B$15,0))="","Cell will autofill based on response",INDEX('CI&amp;S'!$O$10:$O$15,MATCH($F89,'CI&amp;S'!$B$10:$B$15,0))),"N/A")</f>
        <v/>
      </c>
      <c r="M89" s="52">
        <f>IFERROR(IF(INDEX('CI&amp;S'!$O$22:$O$36,MATCH($F89,'CI&amp;S'!$B$22:$B$36,0))="","Cell will autofill based on response",INDEX('CI&amp;S'!$O$22:$O$36,MATCH($F89,'CI&amp;S'!$B$22:$B$36,0))),"N/A")</f>
        <v/>
      </c>
      <c r="N89" s="52">
        <f>IFERROR(IF(INDEX('CFOG'!$O$10:$O$16,MATCH($F89,'CFOG'!$B$10:$B$16,0))="","Cell will autofill based on response",INDEX('CFOG'!$O$10:$O$16,MATCH($F89,'CFOG'!$B$10:$B$16,0))),"N/A")</f>
        <v/>
      </c>
      <c r="O89" s="52">
        <f>IFERROR(IF(INDEX('CFOG'!$O$23:$O$24,MATCH($F89,'CFOG'!$B$23:$B$24,0))="","Cell will autofill based on response",INDEX('CFOG'!$O$23:$O$24,MATCH($F89,'CFOG'!$B$23:$B$24,0))),"N/A")</f>
        <v/>
      </c>
      <c r="P89" s="52">
        <f>IFERROR(IF(INDEX('ESG'!$O$10:$O$17,MATCH($F89,'ESG'!$B$10:$B$17,0))="","Cell will autofill based on response",INDEX('ESG'!$O$10:$O$17,MATCH($F89,'ESG'!$B$10:$B$17,0))),"N/A")</f>
        <v/>
      </c>
      <c r="Q89" s="52">
        <f>IFERROR(IF(INDEX('CIOG'!$O$10:$O$14,MATCH($F89,'CIOG'!$B$10:$B$14,0))="","Cell will autofill based on response",INDEX('CIOG'!$O$10:$O$14,MATCH($F89,'CIOG'!$B$10:$B$14,0))),"N/A")</f>
        <v/>
      </c>
      <c r="R89" s="52">
        <f>IFERROR(IF(INDEX('MRE'!$O$10:$O$18,MATCH($F89,'MRE'!$B$10:$B$18,0))="","Cell will autofill based on response",INDEX('MRE'!$O$10:$O$18,MATCH($F89,'MRE'!$B$10:$B$18,0))),"N/A")</f>
        <v/>
      </c>
      <c r="S89" s="52">
        <f>IFERROR(IF(INDEX('AC&amp;M'!$O$10:$O$14,MATCH($F89,'AC&amp;M'!$B$10:$B$14,0))="","Cell will autofill based on response",INDEX('AC&amp;M'!$O$10:$O$14,MATCH($F89,'AC&amp;M'!$B$10:$B$14,0))),"N/A")</f>
        <v/>
      </c>
      <c r="T89" s="52">
        <f>IFERROR(IF(INDEX('GCE'!$O$10:$O$12,MATCH($F89,'GCE'!$B$10:$B$12,0))="","Cell will autofill based on response",INDEX('GCE'!$O$10:$O$12,MATCH($F89,'GCE'!$B$10:$B$12,0))),"N/A")</f>
        <v/>
      </c>
      <c r="U89" s="52">
        <f>IFERROR(IF(INDEX('Education'!$O$10:$O$13,MATCH($F89,'Education'!$B$10:$B$13,0))="","Cell will autofill based on response",INDEX('Education'!$O$10:$O$13,MATCH($F89,'Education'!$B$10:$B$13,0))),"N/A")</f>
        <v/>
      </c>
      <c r="V89" s="52">
        <f>IFERROR(IF(INDEX('SaSS'!$O$10:$O$12,MATCH($F89,'SaSS'!$B$10:$B$12,0))="","Cell will autofill based on response",INDEX('SaSS'!$O$10:$O$12,MATCH($F89,'SaSS'!$B$10:$B$12,0))),"N/A")</f>
        <v/>
      </c>
      <c r="W89" s="52">
        <f>IFERROR(IF(INDEX('Indigenous'!$O$10:$O$11,MATCH($F89,'Indigenous'!$B$10:$B$11,0))="","Cell will autofill based on response",INDEX('Indigenous'!$O$10:$O$11,MATCH($F89,'Indigenous'!$B$10:$B$11,0))),"N/A")</f>
        <v/>
      </c>
      <c r="X89" s="52">
        <f>IFERROR(IF(INDEX('L&amp;R'!$O$10:$O$11,MATCH($F89,'L&amp;R'!$B$10:$B$11,0))="","Cell will autofill based on response",INDEX('L&amp;R'!$O$10:$O$11,MATCH($F89,'L&amp;R'!$B$10:$B$11,0))),"N/A")</f>
        <v/>
      </c>
    </row>
    <row r="90">
      <c r="A90">
        <f>F90&amp;"|"&amp;G90</f>
        <v/>
      </c>
      <c r="B90" s="13" t="inlineStr"/>
      <c r="C90" s="8" t="inlineStr"/>
      <c r="D90" s="8" t="inlineStr"/>
      <c r="E90" s="8" t="inlineStr"/>
      <c r="F90" s="8" t="inlineStr">
        <is>
          <t>CL1(c)</t>
        </is>
      </c>
      <c r="G90" s="8" t="inlineStr">
        <is>
          <t>Data owner confirms</t>
        </is>
      </c>
      <c r="H90" s="52">
        <f>IFERROR(IF(INDEX('Faculties'!$P$10:$P$19,MATCH($F90,'Faculties'!$B$10:$B$19,0))="","Cell will autofill based on response",INDEX('Faculties'!$P$10:$P$19,MATCH($F90,'Faculties'!$B$10:$B$19,0))),"N/A")</f>
        <v/>
      </c>
      <c r="I90" s="52">
        <f>IFERROR(IF(INDEX('Faculties'!$P$26:$P$35,MATCH($F90,'Faculties'!$B$26:$B$35,0))="","Cell will autofill based on response",INDEX('Faculties'!$P$26:$P$35,MATCH($F90,'Faculties'!$B$26:$B$35,0))),"N/A")</f>
        <v/>
      </c>
      <c r="J90" s="52">
        <f>IFERROR(IF(INDEX('Faculties'!$P$42:$P$51,MATCH($F90,'Faculties'!$B$42:$B$51,0))="","Cell will autofill based on response",INDEX('Faculties'!$P$42:$P$51,MATCH($F90,'Faculties'!$B$42:$B$51,0))),"N/A")</f>
        <v/>
      </c>
      <c r="K90" s="52">
        <f>IFERROR(IF(INDEX('Faculties'!$P$58:$P$67,MATCH($F90,'Faculties'!$B$58:$B$67,0))="","Cell will autofill based on response",INDEX('Faculties'!$P$58:$P$67,MATCH($F90,'Faculties'!$B$58:$B$67,0))),"N/A")</f>
        <v/>
      </c>
      <c r="L90" s="52">
        <f>IFERROR(IF(INDEX('CI&amp;S'!$P$10:$P$15,MATCH($F90,'CI&amp;S'!$B$10:$B$15,0))="","Cell will autofill based on response",INDEX('CI&amp;S'!$P$10:$P$15,MATCH($F90,'CI&amp;S'!$B$10:$B$15,0))),"N/A")</f>
        <v/>
      </c>
      <c r="M90" s="52">
        <f>IFERROR(IF(INDEX('CI&amp;S'!$P$22:$P$36,MATCH($F90,'CI&amp;S'!$B$22:$B$36,0))="","Cell will autofill based on response",INDEX('CI&amp;S'!$P$22:$P$36,MATCH($F90,'CI&amp;S'!$B$22:$B$36,0))),"N/A")</f>
        <v/>
      </c>
      <c r="N90" s="52">
        <f>IFERROR(IF(INDEX('CFOG'!$P$10:$P$16,MATCH($F90,'CFOG'!$B$10:$B$16,0))="","Cell will autofill based on response",INDEX('CFOG'!$P$10:$P$16,MATCH($F90,'CFOG'!$B$10:$B$16,0))),"N/A")</f>
        <v/>
      </c>
      <c r="O90" s="52">
        <f>IFERROR(IF(INDEX('CFOG'!$P$23:$P$24,MATCH($F90,'CFOG'!$B$23:$B$24,0))="","Cell will autofill based on response",INDEX('CFOG'!$P$23:$P$24,MATCH($F90,'CFOG'!$B$23:$B$24,0))),"N/A")</f>
        <v/>
      </c>
      <c r="P90" s="52">
        <f>IFERROR(IF(INDEX('ESG'!$P$10:$P$17,MATCH($F90,'ESG'!$B$10:$B$17,0))="","Cell will autofill based on response",INDEX('ESG'!$P$10:$P$17,MATCH($F90,'ESG'!$B$10:$B$17,0))),"N/A")</f>
        <v/>
      </c>
      <c r="Q90" s="52">
        <f>IFERROR(IF(INDEX('CIOG'!$P$10:$P$14,MATCH($F90,'CIOG'!$B$10:$B$14,0))="","Cell will autofill based on response",INDEX('CIOG'!$P$10:$P$14,MATCH($F90,'CIOG'!$B$10:$B$14,0))),"N/A")</f>
        <v/>
      </c>
      <c r="R90" s="52">
        <f>IFERROR(IF(INDEX('MRE'!$P$10:$P$18,MATCH($F90,'MRE'!$B$10:$B$18,0))="","Cell will autofill based on response",INDEX('MRE'!$P$10:$P$18,MATCH($F90,'MRE'!$B$10:$B$18,0))),"N/A")</f>
        <v/>
      </c>
      <c r="S90" s="52">
        <f>IFERROR(IF(INDEX('AC&amp;M'!$P$10:$P$14,MATCH($F90,'AC&amp;M'!$B$10:$B$14,0))="","Cell will autofill based on response",INDEX('AC&amp;M'!$P$10:$P$14,MATCH($F90,'AC&amp;M'!$B$10:$B$14,0))),"N/A")</f>
        <v/>
      </c>
      <c r="T90" s="52">
        <f>IFERROR(IF(INDEX('GCE'!$P$10:$P$12,MATCH($F90,'GCE'!$B$10:$B$12,0))="","Cell will autofill based on response",INDEX('GCE'!$P$10:$P$12,MATCH($F90,'GCE'!$B$10:$B$12,0))),"N/A")</f>
        <v/>
      </c>
      <c r="U90" s="52">
        <f>IFERROR(IF(INDEX('Education'!$P$10:$P$13,MATCH($F90,'Education'!$B$10:$B$13,0))="","Cell will autofill based on response",INDEX('Education'!$P$10:$P$13,MATCH($F90,'Education'!$B$10:$B$13,0))),"N/A")</f>
        <v/>
      </c>
      <c r="V90" s="52">
        <f>IFERROR(IF(INDEX('SaSS'!$P$10:$P$12,MATCH($F90,'SaSS'!$B$10:$B$12,0))="","Cell will autofill based on response",INDEX('SaSS'!$P$10:$P$12,MATCH($F90,'SaSS'!$B$10:$B$12,0))),"N/A")</f>
        <v/>
      </c>
      <c r="W90" s="52">
        <f>IFERROR(IF(INDEX('Indigenous'!$P$10:$P$11,MATCH($F90,'Indigenous'!$B$10:$B$11,0))="","Cell will autofill based on response",INDEX('Indigenous'!$P$10:$P$11,MATCH($F90,'Indigenous'!$B$10:$B$11,0))),"N/A")</f>
        <v/>
      </c>
      <c r="X90" s="52">
        <f>IFERROR(IF(INDEX('L&amp;R'!$P$10:$P$11,MATCH($F90,'L&amp;R'!$B$10:$B$11,0))="","Cell will autofill based on response",INDEX('L&amp;R'!$P$10:$P$11,MATCH($F90,'L&amp;R'!$B$10:$B$11,0))),"N/A")</f>
        <v/>
      </c>
    </row>
    <row r="91">
      <c r="A91">
        <f>F91&amp;"|"&amp;G91</f>
        <v/>
      </c>
      <c r="B91" s="7" t="inlineStr">
        <is>
          <t>CL2(a)</t>
        </is>
      </c>
      <c r="C91" s="50" t="inlineStr">
        <is>
          <t>Climate leadership</t>
        </is>
      </c>
      <c r="D91" s="50" t="inlineStr">
        <is>
          <t>By 2028, develop and document institutional mapping of research and education activities that are designed to contribute to global decarbonisation</t>
        </is>
      </c>
      <c r="E91" s="50"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91" s="50" t="inlineStr">
        <is>
          <t>CL2(a)</t>
        </is>
      </c>
      <c r="G91" s="50" t="inlineStr">
        <is>
          <t>OPTION 1:  Target-level reporting</t>
        </is>
      </c>
      <c r="H91" s="52">
        <f>IFERROR(IF(INDEX('Faculties'!$L$10:$L$19,MATCH($F91,'Faculties'!$B$10:$B$19,0))="","Cell will autofill based on response",INDEX('Faculties'!$L$10:$L$19,MATCH($F91,'Faculties'!$B$10:$B$19,0))),"N/A")</f>
        <v/>
      </c>
      <c r="I91" s="52">
        <f>IFERROR(IF(INDEX('Faculties'!$L$26:$L$35,MATCH($F91,'Faculties'!$B$26:$B$35,0))="","Cell will autofill based on response",INDEX('Faculties'!$L$26:$L$35,MATCH($F91,'Faculties'!$B$26:$B$35,0))),"N/A")</f>
        <v/>
      </c>
      <c r="J91" s="52">
        <f>IFERROR(IF(INDEX('Faculties'!$L$42:$L$51,MATCH($F91,'Faculties'!$B$42:$B$51,0))="","Cell will autofill based on response",INDEX('Faculties'!$L$42:$L$51,MATCH($F91,'Faculties'!$B$42:$B$51,0))),"N/A")</f>
        <v/>
      </c>
      <c r="K91" s="52">
        <f>IFERROR(IF(INDEX('Faculties'!$L$58:$L$67,MATCH($F91,'Faculties'!$B$58:$B$67,0))="","Cell will autofill based on response",INDEX('Faculties'!$L$58:$L$67,MATCH($F91,'Faculties'!$B$58:$B$67,0))),"N/A")</f>
        <v/>
      </c>
      <c r="L91" s="52">
        <f>IFERROR(IF(INDEX('CI&amp;S'!$L$10:$L$15,MATCH($F91,'CI&amp;S'!$B$10:$B$15,0))="","Cell will autofill based on response",INDEX('CI&amp;S'!$L$10:$L$15,MATCH($F91,'CI&amp;S'!$B$10:$B$15,0))),"N/A")</f>
        <v/>
      </c>
      <c r="M91" s="52">
        <f>IFERROR(IF(INDEX('CI&amp;S'!$L$22:$L$36,MATCH($F91,'CI&amp;S'!$B$22:$B$36,0))="","Cell will autofill based on response",INDEX('CI&amp;S'!$L$22:$L$36,MATCH($F91,'CI&amp;S'!$B$22:$B$36,0))),"N/A")</f>
        <v/>
      </c>
      <c r="N91" s="52">
        <f>IFERROR(IF(INDEX('CFOG'!$L$10:$L$16,MATCH($F91,'CFOG'!$B$10:$B$16,0))="","Cell will autofill based on response",INDEX('CFOG'!$L$10:$L$16,MATCH($F91,'CFOG'!$B$10:$B$16,0))),"N/A")</f>
        <v/>
      </c>
      <c r="O91" s="52">
        <f>IFERROR(IF(INDEX('CFOG'!$L$23:$L$24,MATCH($F91,'CFOG'!$B$23:$B$24,0))="","Cell will autofill based on response",INDEX('CFOG'!$L$23:$L$24,MATCH($F91,'CFOG'!$B$23:$B$24,0))),"N/A")</f>
        <v/>
      </c>
      <c r="P91" s="52">
        <f>IFERROR(IF(INDEX('ESG'!$L$10:$L$17,MATCH($F91,'ESG'!$B$10:$B$17,0))="","Cell will autofill based on response",INDEX('ESG'!$L$10:$L$17,MATCH($F91,'ESG'!$B$10:$B$17,0))),"N/A")</f>
        <v/>
      </c>
      <c r="Q91" s="52">
        <f>IFERROR(IF(INDEX('CIOG'!$L$10:$L$14,MATCH($F91,'CIOG'!$B$10:$B$14,0))="","Cell will autofill based on response",INDEX('CIOG'!$L$10:$L$14,MATCH($F91,'CIOG'!$B$10:$B$14,0))),"N/A")</f>
        <v/>
      </c>
      <c r="R91" s="52">
        <f>IFERROR(IF(INDEX('MRE'!$L$10:$L$18,MATCH($F91,'MRE'!$B$10:$B$18,0))="","Cell will autofill based on response",INDEX('MRE'!$L$10:$L$18,MATCH($F91,'MRE'!$B$10:$B$18,0))),"N/A")</f>
        <v/>
      </c>
      <c r="S91" s="52">
        <f>IFERROR(IF(INDEX('AC&amp;M'!$L$10:$L$14,MATCH($F91,'AC&amp;M'!$B$10:$B$14,0))="","Cell will autofill based on response",INDEX('AC&amp;M'!$L$10:$L$14,MATCH($F91,'AC&amp;M'!$B$10:$B$14,0))),"N/A")</f>
        <v/>
      </c>
      <c r="T91" s="52">
        <f>IFERROR(IF(INDEX('GCE'!$L$10:$L$12,MATCH($F91,'GCE'!$B$10:$B$12,0))="","Cell will autofill based on response",INDEX('GCE'!$L$10:$L$12,MATCH($F91,'GCE'!$B$10:$B$12,0))),"N/A")</f>
        <v/>
      </c>
      <c r="U91" s="52">
        <f>IFERROR(IF(INDEX('Education'!$L$10:$L$13,MATCH($F91,'Education'!$B$10:$B$13,0))="","Cell will autofill based on response",INDEX('Education'!$L$10:$L$13,MATCH($F91,'Education'!$B$10:$B$13,0))),"N/A")</f>
        <v/>
      </c>
      <c r="V91" s="52">
        <f>IFERROR(IF(INDEX('SaSS'!$L$10:$L$12,MATCH($F91,'SaSS'!$B$10:$B$12,0))="","Cell will autofill based on response",INDEX('SaSS'!$L$10:$L$12,MATCH($F91,'SaSS'!$B$10:$B$12,0))),"N/A")</f>
        <v/>
      </c>
      <c r="W91" s="52">
        <f>IFERROR(IF(INDEX('Indigenous'!$L$10:$L$11,MATCH($F91,'Indigenous'!$B$10:$B$11,0))="","Cell will autofill based on response",INDEX('Indigenous'!$L$10:$L$11,MATCH($F91,'Indigenous'!$B$10:$B$11,0))),"N/A")</f>
        <v/>
      </c>
      <c r="X91" s="52">
        <f>IFERROR(IF(INDEX('L&amp;R'!$L$10:$L$11,MATCH($F91,'L&amp;R'!$B$10:$B$11,0))="","Cell will autofill based on response",INDEX('L&amp;R'!$L$10:$L$11,MATCH($F91,'L&amp;R'!$B$10:$B$11,0))),"N/A")</f>
        <v/>
      </c>
      <c r="Z91" s="10">
        <f>SUMPRODUCT(--($H91:$X91&lt;&gt;"N/A"))</f>
        <v/>
      </c>
      <c r="AA91" s="10">
        <f>SUMPRODUCT(--(((($H91:$X91&lt;&gt;"N/A")*($H91:$X91&lt;&gt;"Cell will autofill based on response"))+(($H92:$X92&lt;&gt;"N/A")*($H92:$X92&lt;&gt;"Cell will autofill based on response")))&gt;0))</f>
        <v/>
      </c>
      <c r="AB91" s="10">
        <f>Z91-AA91</f>
        <v/>
      </c>
      <c r="AC91" s="10">
        <f>COUNTIF($H95:$X95,"Yes")</f>
        <v/>
      </c>
    </row>
    <row r="92">
      <c r="A92">
        <f>F92&amp;"|"&amp;G92</f>
        <v/>
      </c>
      <c r="B92" s="13" t="inlineStr"/>
      <c r="C92" s="8" t="inlineStr"/>
      <c r="D92" s="8" t="inlineStr"/>
      <c r="E92" s="8" t="inlineStr"/>
      <c r="F92" s="8" t="inlineStr">
        <is>
          <t>CL2(a)</t>
        </is>
      </c>
      <c r="G92" s="8" t="inlineStr">
        <is>
          <t>OPTION 2:  Indicator level reporting</t>
        </is>
      </c>
      <c r="H92" s="52">
        <f>IFERROR(IF(INDEX('Faculties'!$M$10:$M$19,MATCH($F92,'Faculties'!$B$10:$B$19,0))="","Cell will autofill based on response",INDEX('Faculties'!$M$10:$M$19,MATCH($F92,'Faculties'!$B$10:$B$19,0))),"N/A")</f>
        <v/>
      </c>
      <c r="I92" s="52">
        <f>IFERROR(IF(INDEX('Faculties'!$M$26:$M$35,MATCH($F92,'Faculties'!$B$26:$B$35,0))="","Cell will autofill based on response",INDEX('Faculties'!$M$26:$M$35,MATCH($F92,'Faculties'!$B$26:$B$35,0))),"N/A")</f>
        <v/>
      </c>
      <c r="J92" s="52">
        <f>IFERROR(IF(INDEX('Faculties'!$M$42:$M$51,MATCH($F92,'Faculties'!$B$42:$B$51,0))="","Cell will autofill based on response",INDEX('Faculties'!$M$42:$M$51,MATCH($F92,'Faculties'!$B$42:$B$51,0))),"N/A")</f>
        <v/>
      </c>
      <c r="K92" s="52">
        <f>IFERROR(IF(INDEX('Faculties'!$M$58:$M$67,MATCH($F92,'Faculties'!$B$58:$B$67,0))="","Cell will autofill based on response",INDEX('Faculties'!$M$58:$M$67,MATCH($F92,'Faculties'!$B$58:$B$67,0))),"N/A")</f>
        <v/>
      </c>
      <c r="L92" s="52">
        <f>IFERROR(IF(INDEX('CI&amp;S'!$M$10:$M$15,MATCH($F92,'CI&amp;S'!$B$10:$B$15,0))="","Cell will autofill based on response",INDEX('CI&amp;S'!$M$10:$M$15,MATCH($F92,'CI&amp;S'!$B$10:$B$15,0))),"N/A")</f>
        <v/>
      </c>
      <c r="M92" s="52">
        <f>IFERROR(IF(INDEX('CI&amp;S'!$M$22:$M$36,MATCH($F92,'CI&amp;S'!$B$22:$B$36,0))="","Cell will autofill based on response",INDEX('CI&amp;S'!$M$22:$M$36,MATCH($F92,'CI&amp;S'!$B$22:$B$36,0))),"N/A")</f>
        <v/>
      </c>
      <c r="N92" s="52">
        <f>IFERROR(IF(INDEX('CFOG'!$M$10:$M$16,MATCH($F92,'CFOG'!$B$10:$B$16,0))="","Cell will autofill based on response",INDEX('CFOG'!$M$10:$M$16,MATCH($F92,'CFOG'!$B$10:$B$16,0))),"N/A")</f>
        <v/>
      </c>
      <c r="O92" s="52">
        <f>IFERROR(IF(INDEX('CFOG'!$M$23:$M$24,MATCH($F92,'CFOG'!$B$23:$B$24,0))="","Cell will autofill based on response",INDEX('CFOG'!$M$23:$M$24,MATCH($F92,'CFOG'!$B$23:$B$24,0))),"N/A")</f>
        <v/>
      </c>
      <c r="P92" s="52">
        <f>IFERROR(IF(INDEX('ESG'!$M$10:$M$17,MATCH($F92,'ESG'!$B$10:$B$17,0))="","Cell will autofill based on response",INDEX('ESG'!$M$10:$M$17,MATCH($F92,'ESG'!$B$10:$B$17,0))),"N/A")</f>
        <v/>
      </c>
      <c r="Q92" s="52">
        <f>IFERROR(IF(INDEX('CIOG'!$M$10:$M$14,MATCH($F92,'CIOG'!$B$10:$B$14,0))="","Cell will autofill based on response",INDEX('CIOG'!$M$10:$M$14,MATCH($F92,'CIOG'!$B$10:$B$14,0))),"N/A")</f>
        <v/>
      </c>
      <c r="R92" s="52">
        <f>IFERROR(IF(INDEX('MRE'!$M$10:$M$18,MATCH($F92,'MRE'!$B$10:$B$18,0))="","Cell will autofill based on response",INDEX('MRE'!$M$10:$M$18,MATCH($F92,'MRE'!$B$10:$B$18,0))),"N/A")</f>
        <v/>
      </c>
      <c r="S92" s="52">
        <f>IFERROR(IF(INDEX('AC&amp;M'!$M$10:$M$14,MATCH($F92,'AC&amp;M'!$B$10:$B$14,0))="","Cell will autofill based on response",INDEX('AC&amp;M'!$M$10:$M$14,MATCH($F92,'AC&amp;M'!$B$10:$B$14,0))),"N/A")</f>
        <v/>
      </c>
      <c r="T92" s="52">
        <f>IFERROR(IF(INDEX('GCE'!$M$10:$M$12,MATCH($F92,'GCE'!$B$10:$B$12,0))="","Cell will autofill based on response",INDEX('GCE'!$M$10:$M$12,MATCH($F92,'GCE'!$B$10:$B$12,0))),"N/A")</f>
        <v/>
      </c>
      <c r="U92" s="52">
        <f>IFERROR(IF(INDEX('Education'!$M$10:$M$13,MATCH($F92,'Education'!$B$10:$B$13,0))="","Cell will autofill based on response",INDEX('Education'!$M$10:$M$13,MATCH($F92,'Education'!$B$10:$B$13,0))),"N/A")</f>
        <v/>
      </c>
      <c r="V92" s="52">
        <f>IFERROR(IF(INDEX('SaSS'!$M$10:$M$12,MATCH($F92,'SaSS'!$B$10:$B$12,0))="","Cell will autofill based on response",INDEX('SaSS'!$M$10:$M$12,MATCH($F92,'SaSS'!$B$10:$B$12,0))),"N/A")</f>
        <v/>
      </c>
      <c r="W92" s="52">
        <f>IFERROR(IF(INDEX('Indigenous'!$M$10:$M$11,MATCH($F92,'Indigenous'!$B$10:$B$11,0))="","Cell will autofill based on response",INDEX('Indigenous'!$M$10:$M$11,MATCH($F92,'Indigenous'!$B$10:$B$11,0))),"N/A")</f>
        <v/>
      </c>
      <c r="X92" s="52">
        <f>IFERROR(IF(INDEX('L&amp;R'!$M$10:$M$11,MATCH($F92,'L&amp;R'!$B$10:$B$11,0))="","Cell will autofill based on response",INDEX('L&amp;R'!$M$10:$M$11,MATCH($F92,'L&amp;R'!$B$10:$B$11,0))),"N/A")</f>
        <v/>
      </c>
    </row>
    <row r="93">
      <c r="A93">
        <f>F93&amp;"|"&amp;G93</f>
        <v/>
      </c>
      <c r="B93" s="13" t="inlineStr"/>
      <c r="C93" s="8" t="inlineStr"/>
      <c r="D93" s="8" t="inlineStr"/>
      <c r="E93" s="8" t="inlineStr"/>
      <c r="F93" s="8" t="inlineStr">
        <is>
          <t>CL2(a)</t>
        </is>
      </c>
      <c r="G93" s="8" t="inlineStr">
        <is>
          <t>Supporting information/comments</t>
        </is>
      </c>
      <c r="H93" s="52">
        <f>IFERROR(IF(INDEX('Faculties'!$N$10:$N$19,MATCH($F93,'Faculties'!$B$10:$B$19,0))="","Cell will autofill based on response",INDEX('Faculties'!$N$10:$N$19,MATCH($F93,'Faculties'!$B$10:$B$19,0))),"N/A")</f>
        <v/>
      </c>
      <c r="I93" s="52">
        <f>IFERROR(IF(INDEX('Faculties'!$N$26:$N$35,MATCH($F93,'Faculties'!$B$26:$B$35,0))="","Cell will autofill based on response",INDEX('Faculties'!$N$26:$N$35,MATCH($F93,'Faculties'!$B$26:$B$35,0))),"N/A")</f>
        <v/>
      </c>
      <c r="J93" s="52">
        <f>IFERROR(IF(INDEX('Faculties'!$N$42:$N$51,MATCH($F93,'Faculties'!$B$42:$B$51,0))="","Cell will autofill based on response",INDEX('Faculties'!$N$42:$N$51,MATCH($F93,'Faculties'!$B$42:$B$51,0))),"N/A")</f>
        <v/>
      </c>
      <c r="K93" s="52">
        <f>IFERROR(IF(INDEX('Faculties'!$N$58:$N$67,MATCH($F93,'Faculties'!$B$58:$B$67,0))="","Cell will autofill based on response",INDEX('Faculties'!$N$58:$N$67,MATCH($F93,'Faculties'!$B$58:$B$67,0))),"N/A")</f>
        <v/>
      </c>
      <c r="L93" s="52">
        <f>IFERROR(IF(INDEX('CI&amp;S'!$N$10:$N$15,MATCH($F93,'CI&amp;S'!$B$10:$B$15,0))="","Cell will autofill based on response",INDEX('CI&amp;S'!$N$10:$N$15,MATCH($F93,'CI&amp;S'!$B$10:$B$15,0))),"N/A")</f>
        <v/>
      </c>
      <c r="M93" s="52">
        <f>IFERROR(IF(INDEX('CI&amp;S'!$N$22:$N$36,MATCH($F93,'CI&amp;S'!$B$22:$B$36,0))="","Cell will autofill based on response",INDEX('CI&amp;S'!$N$22:$N$36,MATCH($F93,'CI&amp;S'!$B$22:$B$36,0))),"N/A")</f>
        <v/>
      </c>
      <c r="N93" s="52">
        <f>IFERROR(IF(INDEX('CFOG'!$N$10:$N$16,MATCH($F93,'CFOG'!$B$10:$B$16,0))="","Cell will autofill based on response",INDEX('CFOG'!$N$10:$N$16,MATCH($F93,'CFOG'!$B$10:$B$16,0))),"N/A")</f>
        <v/>
      </c>
      <c r="O93" s="52">
        <f>IFERROR(IF(INDEX('CFOG'!$N$23:$N$24,MATCH($F93,'CFOG'!$B$23:$B$24,0))="","Cell will autofill based on response",INDEX('CFOG'!$N$23:$N$24,MATCH($F93,'CFOG'!$B$23:$B$24,0))),"N/A")</f>
        <v/>
      </c>
      <c r="P93" s="52">
        <f>IFERROR(IF(INDEX('ESG'!$N$10:$N$17,MATCH($F93,'ESG'!$B$10:$B$17,0))="","Cell will autofill based on response",INDEX('ESG'!$N$10:$N$17,MATCH($F93,'ESG'!$B$10:$B$17,0))),"N/A")</f>
        <v/>
      </c>
      <c r="Q93" s="52">
        <f>IFERROR(IF(INDEX('CIOG'!$N$10:$N$14,MATCH($F93,'CIOG'!$B$10:$B$14,0))="","Cell will autofill based on response",INDEX('CIOG'!$N$10:$N$14,MATCH($F93,'CIOG'!$B$10:$B$14,0))),"N/A")</f>
        <v/>
      </c>
      <c r="R93" s="52">
        <f>IFERROR(IF(INDEX('MRE'!$N$10:$N$18,MATCH($F93,'MRE'!$B$10:$B$18,0))="","Cell will autofill based on response",INDEX('MRE'!$N$10:$N$18,MATCH($F93,'MRE'!$B$10:$B$18,0))),"N/A")</f>
        <v/>
      </c>
      <c r="S93" s="52">
        <f>IFERROR(IF(INDEX('AC&amp;M'!$N$10:$N$14,MATCH($F93,'AC&amp;M'!$B$10:$B$14,0))="","Cell will autofill based on response",INDEX('AC&amp;M'!$N$10:$N$14,MATCH($F93,'AC&amp;M'!$B$10:$B$14,0))),"N/A")</f>
        <v/>
      </c>
      <c r="T93" s="52">
        <f>IFERROR(IF(INDEX('GCE'!$N$10:$N$12,MATCH($F93,'GCE'!$B$10:$B$12,0))="","Cell will autofill based on response",INDEX('GCE'!$N$10:$N$12,MATCH($F93,'GCE'!$B$10:$B$12,0))),"N/A")</f>
        <v/>
      </c>
      <c r="U93" s="52">
        <f>IFERROR(IF(INDEX('Education'!$N$10:$N$13,MATCH($F93,'Education'!$B$10:$B$13,0))="","Cell will autofill based on response",INDEX('Education'!$N$10:$N$13,MATCH($F93,'Education'!$B$10:$B$13,0))),"N/A")</f>
        <v/>
      </c>
      <c r="V93" s="52">
        <f>IFERROR(IF(INDEX('SaSS'!$N$10:$N$12,MATCH($F93,'SaSS'!$B$10:$B$12,0))="","Cell will autofill based on response",INDEX('SaSS'!$N$10:$N$12,MATCH($F93,'SaSS'!$B$10:$B$12,0))),"N/A")</f>
        <v/>
      </c>
      <c r="W93" s="52">
        <f>IFERROR(IF(INDEX('Indigenous'!$N$10:$N$11,MATCH($F93,'Indigenous'!$B$10:$B$11,0))="","Cell will autofill based on response",INDEX('Indigenous'!$N$10:$N$11,MATCH($F93,'Indigenous'!$B$10:$B$11,0))),"N/A")</f>
        <v/>
      </c>
      <c r="X93" s="52">
        <f>IFERROR(IF(INDEX('L&amp;R'!$N$10:$N$11,MATCH($F93,'L&amp;R'!$B$10:$B$11,0))="","Cell will autofill based on response",INDEX('L&amp;R'!$N$10:$N$11,MATCH($F93,'L&amp;R'!$B$10:$B$11,0))),"N/A")</f>
        <v/>
      </c>
    </row>
    <row r="94">
      <c r="A94">
        <f>F94&amp;"|"&amp;G94</f>
        <v/>
      </c>
      <c r="B94" s="13" t="inlineStr"/>
      <c r="C94" s="8" t="inlineStr"/>
      <c r="D94" s="8" t="inlineStr"/>
      <c r="E94" s="8" t="inlineStr"/>
      <c r="F94" s="8" t="inlineStr">
        <is>
          <t>CL2(a)</t>
        </is>
      </c>
      <c r="G94" s="8" t="inlineStr">
        <is>
          <t>Data source and limitations</t>
        </is>
      </c>
      <c r="H94" s="52">
        <f>IFERROR(IF(INDEX('Faculties'!$O$10:$O$19,MATCH($F94,'Faculties'!$B$10:$B$19,0))="","Cell will autofill based on response",INDEX('Faculties'!$O$10:$O$19,MATCH($F94,'Faculties'!$B$10:$B$19,0))),"N/A")</f>
        <v/>
      </c>
      <c r="I94" s="52">
        <f>IFERROR(IF(INDEX('Faculties'!$O$26:$O$35,MATCH($F94,'Faculties'!$B$26:$B$35,0))="","Cell will autofill based on response",INDEX('Faculties'!$O$26:$O$35,MATCH($F94,'Faculties'!$B$26:$B$35,0))),"N/A")</f>
        <v/>
      </c>
      <c r="J94" s="52">
        <f>IFERROR(IF(INDEX('Faculties'!$O$42:$O$51,MATCH($F94,'Faculties'!$B$42:$B$51,0))="","Cell will autofill based on response",INDEX('Faculties'!$O$42:$O$51,MATCH($F94,'Faculties'!$B$42:$B$51,0))),"N/A")</f>
        <v/>
      </c>
      <c r="K94" s="52">
        <f>IFERROR(IF(INDEX('Faculties'!$O$58:$O$67,MATCH($F94,'Faculties'!$B$58:$B$67,0))="","Cell will autofill based on response",INDEX('Faculties'!$O$58:$O$67,MATCH($F94,'Faculties'!$B$58:$B$67,0))),"N/A")</f>
        <v/>
      </c>
      <c r="L94" s="52">
        <f>IFERROR(IF(INDEX('CI&amp;S'!$O$10:$O$15,MATCH($F94,'CI&amp;S'!$B$10:$B$15,0))="","Cell will autofill based on response",INDEX('CI&amp;S'!$O$10:$O$15,MATCH($F94,'CI&amp;S'!$B$10:$B$15,0))),"N/A")</f>
        <v/>
      </c>
      <c r="M94" s="52">
        <f>IFERROR(IF(INDEX('CI&amp;S'!$O$22:$O$36,MATCH($F94,'CI&amp;S'!$B$22:$B$36,0))="","Cell will autofill based on response",INDEX('CI&amp;S'!$O$22:$O$36,MATCH($F94,'CI&amp;S'!$B$22:$B$36,0))),"N/A")</f>
        <v/>
      </c>
      <c r="N94" s="52">
        <f>IFERROR(IF(INDEX('CFOG'!$O$10:$O$16,MATCH($F94,'CFOG'!$B$10:$B$16,0))="","Cell will autofill based on response",INDEX('CFOG'!$O$10:$O$16,MATCH($F94,'CFOG'!$B$10:$B$16,0))),"N/A")</f>
        <v/>
      </c>
      <c r="O94" s="52">
        <f>IFERROR(IF(INDEX('CFOG'!$O$23:$O$24,MATCH($F94,'CFOG'!$B$23:$B$24,0))="","Cell will autofill based on response",INDEX('CFOG'!$O$23:$O$24,MATCH($F94,'CFOG'!$B$23:$B$24,0))),"N/A")</f>
        <v/>
      </c>
      <c r="P94" s="52">
        <f>IFERROR(IF(INDEX('ESG'!$O$10:$O$17,MATCH($F94,'ESG'!$B$10:$B$17,0))="","Cell will autofill based on response",INDEX('ESG'!$O$10:$O$17,MATCH($F94,'ESG'!$B$10:$B$17,0))),"N/A")</f>
        <v/>
      </c>
      <c r="Q94" s="52">
        <f>IFERROR(IF(INDEX('CIOG'!$O$10:$O$14,MATCH($F94,'CIOG'!$B$10:$B$14,0))="","Cell will autofill based on response",INDEX('CIOG'!$O$10:$O$14,MATCH($F94,'CIOG'!$B$10:$B$14,0))),"N/A")</f>
        <v/>
      </c>
      <c r="R94" s="52">
        <f>IFERROR(IF(INDEX('MRE'!$O$10:$O$18,MATCH($F94,'MRE'!$B$10:$B$18,0))="","Cell will autofill based on response",INDEX('MRE'!$O$10:$O$18,MATCH($F94,'MRE'!$B$10:$B$18,0))),"N/A")</f>
        <v/>
      </c>
      <c r="S94" s="52">
        <f>IFERROR(IF(INDEX('AC&amp;M'!$O$10:$O$14,MATCH($F94,'AC&amp;M'!$B$10:$B$14,0))="","Cell will autofill based on response",INDEX('AC&amp;M'!$O$10:$O$14,MATCH($F94,'AC&amp;M'!$B$10:$B$14,0))),"N/A")</f>
        <v/>
      </c>
      <c r="T94" s="52">
        <f>IFERROR(IF(INDEX('GCE'!$O$10:$O$12,MATCH($F94,'GCE'!$B$10:$B$12,0))="","Cell will autofill based on response",INDEX('GCE'!$O$10:$O$12,MATCH($F94,'GCE'!$B$10:$B$12,0))),"N/A")</f>
        <v/>
      </c>
      <c r="U94" s="52">
        <f>IFERROR(IF(INDEX('Education'!$O$10:$O$13,MATCH($F94,'Education'!$B$10:$B$13,0))="","Cell will autofill based on response",INDEX('Education'!$O$10:$O$13,MATCH($F94,'Education'!$B$10:$B$13,0))),"N/A")</f>
        <v/>
      </c>
      <c r="V94" s="52">
        <f>IFERROR(IF(INDEX('SaSS'!$O$10:$O$12,MATCH($F94,'SaSS'!$B$10:$B$12,0))="","Cell will autofill based on response",INDEX('SaSS'!$O$10:$O$12,MATCH($F94,'SaSS'!$B$10:$B$12,0))),"N/A")</f>
        <v/>
      </c>
      <c r="W94" s="52">
        <f>IFERROR(IF(INDEX('Indigenous'!$O$10:$O$11,MATCH($F94,'Indigenous'!$B$10:$B$11,0))="","Cell will autofill based on response",INDEX('Indigenous'!$O$10:$O$11,MATCH($F94,'Indigenous'!$B$10:$B$11,0))),"N/A")</f>
        <v/>
      </c>
      <c r="X94" s="52">
        <f>IFERROR(IF(INDEX('L&amp;R'!$O$10:$O$11,MATCH($F94,'L&amp;R'!$B$10:$B$11,0))="","Cell will autofill based on response",INDEX('L&amp;R'!$O$10:$O$11,MATCH($F94,'L&amp;R'!$B$10:$B$11,0))),"N/A")</f>
        <v/>
      </c>
    </row>
    <row r="95">
      <c r="A95">
        <f>F95&amp;"|"&amp;G95</f>
        <v/>
      </c>
      <c r="B95" s="13" t="inlineStr"/>
      <c r="C95" s="8" t="inlineStr"/>
      <c r="D95" s="8" t="inlineStr"/>
      <c r="E95" s="8" t="inlineStr"/>
      <c r="F95" s="8" t="inlineStr">
        <is>
          <t>CL2(a)</t>
        </is>
      </c>
      <c r="G95" s="8" t="inlineStr">
        <is>
          <t>Data owner confirms</t>
        </is>
      </c>
      <c r="H95" s="52">
        <f>IFERROR(IF(INDEX('Faculties'!$P$10:$P$19,MATCH($F95,'Faculties'!$B$10:$B$19,0))="","Cell will autofill based on response",INDEX('Faculties'!$P$10:$P$19,MATCH($F95,'Faculties'!$B$10:$B$19,0))),"N/A")</f>
        <v/>
      </c>
      <c r="I95" s="52">
        <f>IFERROR(IF(INDEX('Faculties'!$P$26:$P$35,MATCH($F95,'Faculties'!$B$26:$B$35,0))="","Cell will autofill based on response",INDEX('Faculties'!$P$26:$P$35,MATCH($F95,'Faculties'!$B$26:$B$35,0))),"N/A")</f>
        <v/>
      </c>
      <c r="J95" s="52">
        <f>IFERROR(IF(INDEX('Faculties'!$P$42:$P$51,MATCH($F95,'Faculties'!$B$42:$B$51,0))="","Cell will autofill based on response",INDEX('Faculties'!$P$42:$P$51,MATCH($F95,'Faculties'!$B$42:$B$51,0))),"N/A")</f>
        <v/>
      </c>
      <c r="K95" s="52">
        <f>IFERROR(IF(INDEX('Faculties'!$P$58:$P$67,MATCH($F95,'Faculties'!$B$58:$B$67,0))="","Cell will autofill based on response",INDEX('Faculties'!$P$58:$P$67,MATCH($F95,'Faculties'!$B$58:$B$67,0))),"N/A")</f>
        <v/>
      </c>
      <c r="L95" s="52">
        <f>IFERROR(IF(INDEX('CI&amp;S'!$P$10:$P$15,MATCH($F95,'CI&amp;S'!$B$10:$B$15,0))="","Cell will autofill based on response",INDEX('CI&amp;S'!$P$10:$P$15,MATCH($F95,'CI&amp;S'!$B$10:$B$15,0))),"N/A")</f>
        <v/>
      </c>
      <c r="M95" s="52">
        <f>IFERROR(IF(INDEX('CI&amp;S'!$P$22:$P$36,MATCH($F95,'CI&amp;S'!$B$22:$B$36,0))="","Cell will autofill based on response",INDEX('CI&amp;S'!$P$22:$P$36,MATCH($F95,'CI&amp;S'!$B$22:$B$36,0))),"N/A")</f>
        <v/>
      </c>
      <c r="N95" s="52">
        <f>IFERROR(IF(INDEX('CFOG'!$P$10:$P$16,MATCH($F95,'CFOG'!$B$10:$B$16,0))="","Cell will autofill based on response",INDEX('CFOG'!$P$10:$P$16,MATCH($F95,'CFOG'!$B$10:$B$16,0))),"N/A")</f>
        <v/>
      </c>
      <c r="O95" s="52">
        <f>IFERROR(IF(INDEX('CFOG'!$P$23:$P$24,MATCH($F95,'CFOG'!$B$23:$B$24,0))="","Cell will autofill based on response",INDEX('CFOG'!$P$23:$P$24,MATCH($F95,'CFOG'!$B$23:$B$24,0))),"N/A")</f>
        <v/>
      </c>
      <c r="P95" s="52">
        <f>IFERROR(IF(INDEX('ESG'!$P$10:$P$17,MATCH($F95,'ESG'!$B$10:$B$17,0))="","Cell will autofill based on response",INDEX('ESG'!$P$10:$P$17,MATCH($F95,'ESG'!$B$10:$B$17,0))),"N/A")</f>
        <v/>
      </c>
      <c r="Q95" s="52">
        <f>IFERROR(IF(INDEX('CIOG'!$P$10:$P$14,MATCH($F95,'CIOG'!$B$10:$B$14,0))="","Cell will autofill based on response",INDEX('CIOG'!$P$10:$P$14,MATCH($F95,'CIOG'!$B$10:$B$14,0))),"N/A")</f>
        <v/>
      </c>
      <c r="R95" s="52">
        <f>IFERROR(IF(INDEX('MRE'!$P$10:$P$18,MATCH($F95,'MRE'!$B$10:$B$18,0))="","Cell will autofill based on response",INDEX('MRE'!$P$10:$P$18,MATCH($F95,'MRE'!$B$10:$B$18,0))),"N/A")</f>
        <v/>
      </c>
      <c r="S95" s="52">
        <f>IFERROR(IF(INDEX('AC&amp;M'!$P$10:$P$14,MATCH($F95,'AC&amp;M'!$B$10:$B$14,0))="","Cell will autofill based on response",INDEX('AC&amp;M'!$P$10:$P$14,MATCH($F95,'AC&amp;M'!$B$10:$B$14,0))),"N/A")</f>
        <v/>
      </c>
      <c r="T95" s="52">
        <f>IFERROR(IF(INDEX('GCE'!$P$10:$P$12,MATCH($F95,'GCE'!$B$10:$B$12,0))="","Cell will autofill based on response",INDEX('GCE'!$P$10:$P$12,MATCH($F95,'GCE'!$B$10:$B$12,0))),"N/A")</f>
        <v/>
      </c>
      <c r="U95" s="52">
        <f>IFERROR(IF(INDEX('Education'!$P$10:$P$13,MATCH($F95,'Education'!$B$10:$B$13,0))="","Cell will autofill based on response",INDEX('Education'!$P$10:$P$13,MATCH($F95,'Education'!$B$10:$B$13,0))),"N/A")</f>
        <v/>
      </c>
      <c r="V95" s="52">
        <f>IFERROR(IF(INDEX('SaSS'!$P$10:$P$12,MATCH($F95,'SaSS'!$B$10:$B$12,0))="","Cell will autofill based on response",INDEX('SaSS'!$P$10:$P$12,MATCH($F95,'SaSS'!$B$10:$B$12,0))),"N/A")</f>
        <v/>
      </c>
      <c r="W95" s="52">
        <f>IFERROR(IF(INDEX('Indigenous'!$P$10:$P$11,MATCH($F95,'Indigenous'!$B$10:$B$11,0))="","Cell will autofill based on response",INDEX('Indigenous'!$P$10:$P$11,MATCH($F95,'Indigenous'!$B$10:$B$11,0))),"N/A")</f>
        <v/>
      </c>
      <c r="X95" s="52">
        <f>IFERROR(IF(INDEX('L&amp;R'!$P$10:$P$11,MATCH($F95,'L&amp;R'!$B$10:$B$11,0))="","Cell will autofill based on response",INDEX('L&amp;R'!$P$10:$P$11,MATCH($F95,'L&amp;R'!$B$10:$B$11,0))),"N/A")</f>
        <v/>
      </c>
    </row>
    <row r="96">
      <c r="A96">
        <f>F96&amp;"|"&amp;G96</f>
        <v/>
      </c>
      <c r="B96" s="7" t="inlineStr">
        <is>
          <t>CL2(c)</t>
        </is>
      </c>
      <c r="C96" s="50" t="inlineStr">
        <is>
          <t>Climate leadership</t>
        </is>
      </c>
      <c r="D96" s="50" t="inlineStr">
        <is>
          <t>Ongoing communications that evidence the University’s climate action, research and learning to inform policy, sector and community decarbonisation efforts.</t>
        </is>
      </c>
      <c r="E96" s="50" t="inlineStr">
        <is>
          <t>List and describe communications from the faculty in terms of climate action, research and learning to inform policy, sector and community decarbonisation efforts</t>
        </is>
      </c>
      <c r="F96" s="50" t="inlineStr">
        <is>
          <t>CL2(c)</t>
        </is>
      </c>
      <c r="G96" s="50" t="inlineStr">
        <is>
          <t>OPTION 1:  Target-level reporting</t>
        </is>
      </c>
      <c r="H96" s="52">
        <f>IFERROR(IF(INDEX('Faculties'!$L$10:$L$19,MATCH($F96,'Faculties'!$B$10:$B$19,0))="","Cell will autofill based on response",INDEX('Faculties'!$L$10:$L$19,MATCH($F96,'Faculties'!$B$10:$B$19,0))),"N/A")</f>
        <v/>
      </c>
      <c r="I96" s="52">
        <f>IFERROR(IF(INDEX('Faculties'!$L$26:$L$35,MATCH($F96,'Faculties'!$B$26:$B$35,0))="","Cell will autofill based on response",INDEX('Faculties'!$L$26:$L$35,MATCH($F96,'Faculties'!$B$26:$B$35,0))),"N/A")</f>
        <v/>
      </c>
      <c r="J96" s="52">
        <f>IFERROR(IF(INDEX('Faculties'!$L$42:$L$51,MATCH($F96,'Faculties'!$B$42:$B$51,0))="","Cell will autofill based on response",INDEX('Faculties'!$L$42:$L$51,MATCH($F96,'Faculties'!$B$42:$B$51,0))),"N/A")</f>
        <v/>
      </c>
      <c r="K96" s="52">
        <f>IFERROR(IF(INDEX('Faculties'!$L$58:$L$67,MATCH($F96,'Faculties'!$B$58:$B$67,0))="","Cell will autofill based on response",INDEX('Faculties'!$L$58:$L$67,MATCH($F96,'Faculties'!$B$58:$B$67,0))),"N/A")</f>
        <v/>
      </c>
      <c r="L96" s="52">
        <f>IFERROR(IF(INDEX('CI&amp;S'!$L$10:$L$15,MATCH($F96,'CI&amp;S'!$B$10:$B$15,0))="","Cell will autofill based on response",INDEX('CI&amp;S'!$L$10:$L$15,MATCH($F96,'CI&amp;S'!$B$10:$B$15,0))),"N/A")</f>
        <v/>
      </c>
      <c r="M96" s="52">
        <f>IFERROR(IF(INDEX('CI&amp;S'!$L$22:$L$36,MATCH($F96,'CI&amp;S'!$B$22:$B$36,0))="","Cell will autofill based on response",INDEX('CI&amp;S'!$L$22:$L$36,MATCH($F96,'CI&amp;S'!$B$22:$B$36,0))),"N/A")</f>
        <v/>
      </c>
      <c r="N96" s="52">
        <f>IFERROR(IF(INDEX('CFOG'!$L$10:$L$16,MATCH($F96,'CFOG'!$B$10:$B$16,0))="","Cell will autofill based on response",INDEX('CFOG'!$L$10:$L$16,MATCH($F96,'CFOG'!$B$10:$B$16,0))),"N/A")</f>
        <v/>
      </c>
      <c r="O96" s="52">
        <f>IFERROR(IF(INDEX('CFOG'!$L$23:$L$24,MATCH($F96,'CFOG'!$B$23:$B$24,0))="","Cell will autofill based on response",INDEX('CFOG'!$L$23:$L$24,MATCH($F96,'CFOG'!$B$23:$B$24,0))),"N/A")</f>
        <v/>
      </c>
      <c r="P96" s="52">
        <f>IFERROR(IF(INDEX('ESG'!$L$10:$L$17,MATCH($F96,'ESG'!$B$10:$B$17,0))="","Cell will autofill based on response",INDEX('ESG'!$L$10:$L$17,MATCH($F96,'ESG'!$B$10:$B$17,0))),"N/A")</f>
        <v/>
      </c>
      <c r="Q96" s="52">
        <f>IFERROR(IF(INDEX('CIOG'!$L$10:$L$14,MATCH($F96,'CIOG'!$B$10:$B$14,0))="","Cell will autofill based on response",INDEX('CIOG'!$L$10:$L$14,MATCH($F96,'CIOG'!$B$10:$B$14,0))),"N/A")</f>
        <v/>
      </c>
      <c r="R96" s="52">
        <f>IFERROR(IF(INDEX('MRE'!$L$10:$L$18,MATCH($F96,'MRE'!$B$10:$B$18,0))="","Cell will autofill based on response",INDEX('MRE'!$L$10:$L$18,MATCH($F96,'MRE'!$B$10:$B$18,0))),"N/A")</f>
        <v/>
      </c>
      <c r="S96" s="52">
        <f>IFERROR(IF(INDEX('AC&amp;M'!$L$10:$L$14,MATCH($F96,'AC&amp;M'!$B$10:$B$14,0))="","Cell will autofill based on response",INDEX('AC&amp;M'!$L$10:$L$14,MATCH($F96,'AC&amp;M'!$B$10:$B$14,0))),"N/A")</f>
        <v/>
      </c>
      <c r="T96" s="52">
        <f>IFERROR(IF(INDEX('GCE'!$L$10:$L$12,MATCH($F96,'GCE'!$B$10:$B$12,0))="","Cell will autofill based on response",INDEX('GCE'!$L$10:$L$12,MATCH($F96,'GCE'!$B$10:$B$12,0))),"N/A")</f>
        <v/>
      </c>
      <c r="U96" s="52">
        <f>IFERROR(IF(INDEX('Education'!$L$10:$L$13,MATCH($F96,'Education'!$B$10:$B$13,0))="","Cell will autofill based on response",INDEX('Education'!$L$10:$L$13,MATCH($F96,'Education'!$B$10:$B$13,0))),"N/A")</f>
        <v/>
      </c>
      <c r="V96" s="52">
        <f>IFERROR(IF(INDEX('SaSS'!$L$10:$L$12,MATCH($F96,'SaSS'!$B$10:$B$12,0))="","Cell will autofill based on response",INDEX('SaSS'!$L$10:$L$12,MATCH($F96,'SaSS'!$B$10:$B$12,0))),"N/A")</f>
        <v/>
      </c>
      <c r="W96" s="52">
        <f>IFERROR(IF(INDEX('Indigenous'!$L$10:$L$11,MATCH($F96,'Indigenous'!$B$10:$B$11,0))="","Cell will autofill based on response",INDEX('Indigenous'!$L$10:$L$11,MATCH($F96,'Indigenous'!$B$10:$B$11,0))),"N/A")</f>
        <v/>
      </c>
      <c r="X96" s="52">
        <f>IFERROR(IF(INDEX('L&amp;R'!$L$10:$L$11,MATCH($F96,'L&amp;R'!$B$10:$B$11,0))="","Cell will autofill based on response",INDEX('L&amp;R'!$L$10:$L$11,MATCH($F96,'L&amp;R'!$B$10:$B$11,0))),"N/A")</f>
        <v/>
      </c>
      <c r="Z96" s="10">
        <f>SUMPRODUCT(--($H96:$X96&lt;&gt;"N/A"))</f>
        <v/>
      </c>
      <c r="AA96" s="10">
        <f>SUMPRODUCT(--(((($H96:$X96&lt;&gt;"N/A")*($H96:$X96&lt;&gt;"Cell will autofill based on response"))+(($H97:$X97&lt;&gt;"N/A")*($H97:$X97&lt;&gt;"Cell will autofill based on response")))&gt;0))</f>
        <v/>
      </c>
      <c r="AB96" s="10">
        <f>Z96-AA96</f>
        <v/>
      </c>
      <c r="AC96" s="10">
        <f>COUNTIF($H100:$X100,"Yes")</f>
        <v/>
      </c>
    </row>
    <row r="97">
      <c r="A97">
        <f>F97&amp;"|"&amp;G97</f>
        <v/>
      </c>
      <c r="B97" s="13" t="inlineStr"/>
      <c r="C97" s="8" t="inlineStr"/>
      <c r="D97" s="8" t="inlineStr"/>
      <c r="E97" s="8" t="inlineStr"/>
      <c r="F97" s="8" t="inlineStr">
        <is>
          <t>CL2(c)</t>
        </is>
      </c>
      <c r="G97" s="8" t="inlineStr">
        <is>
          <t>OPTION 2:  Indicator level reporting</t>
        </is>
      </c>
      <c r="H97" s="52">
        <f>IFERROR(IF(INDEX('Faculties'!$M$10:$M$19,MATCH($F97,'Faculties'!$B$10:$B$19,0))="","Cell will autofill based on response",INDEX('Faculties'!$M$10:$M$19,MATCH($F97,'Faculties'!$B$10:$B$19,0))),"N/A")</f>
        <v/>
      </c>
      <c r="I97" s="52">
        <f>IFERROR(IF(INDEX('Faculties'!$M$26:$M$35,MATCH($F97,'Faculties'!$B$26:$B$35,0))="","Cell will autofill based on response",INDEX('Faculties'!$M$26:$M$35,MATCH($F97,'Faculties'!$B$26:$B$35,0))),"N/A")</f>
        <v/>
      </c>
      <c r="J97" s="52">
        <f>IFERROR(IF(INDEX('Faculties'!$M$42:$M$51,MATCH($F97,'Faculties'!$B$42:$B$51,0))="","Cell will autofill based on response",INDEX('Faculties'!$M$42:$M$51,MATCH($F97,'Faculties'!$B$42:$B$51,0))),"N/A")</f>
        <v/>
      </c>
      <c r="K97" s="52">
        <f>IFERROR(IF(INDEX('Faculties'!$M$58:$M$67,MATCH($F97,'Faculties'!$B$58:$B$67,0))="","Cell will autofill based on response",INDEX('Faculties'!$M$58:$M$67,MATCH($F97,'Faculties'!$B$58:$B$67,0))),"N/A")</f>
        <v/>
      </c>
      <c r="L97" s="52">
        <f>IFERROR(IF(INDEX('CI&amp;S'!$M$10:$M$15,MATCH($F97,'CI&amp;S'!$B$10:$B$15,0))="","Cell will autofill based on response",INDEX('CI&amp;S'!$M$10:$M$15,MATCH($F97,'CI&amp;S'!$B$10:$B$15,0))),"N/A")</f>
        <v/>
      </c>
      <c r="M97" s="52">
        <f>IFERROR(IF(INDEX('CI&amp;S'!$M$22:$M$36,MATCH($F97,'CI&amp;S'!$B$22:$B$36,0))="","Cell will autofill based on response",INDEX('CI&amp;S'!$M$22:$M$36,MATCH($F97,'CI&amp;S'!$B$22:$B$36,0))),"N/A")</f>
        <v/>
      </c>
      <c r="N97" s="52">
        <f>IFERROR(IF(INDEX('CFOG'!$M$10:$M$16,MATCH($F97,'CFOG'!$B$10:$B$16,0))="","Cell will autofill based on response",INDEX('CFOG'!$M$10:$M$16,MATCH($F97,'CFOG'!$B$10:$B$16,0))),"N/A")</f>
        <v/>
      </c>
      <c r="O97" s="52">
        <f>IFERROR(IF(INDEX('CFOG'!$M$23:$M$24,MATCH($F97,'CFOG'!$B$23:$B$24,0))="","Cell will autofill based on response",INDEX('CFOG'!$M$23:$M$24,MATCH($F97,'CFOG'!$B$23:$B$24,0))),"N/A")</f>
        <v/>
      </c>
      <c r="P97" s="52">
        <f>IFERROR(IF(INDEX('ESG'!$M$10:$M$17,MATCH($F97,'ESG'!$B$10:$B$17,0))="","Cell will autofill based on response",INDEX('ESG'!$M$10:$M$17,MATCH($F97,'ESG'!$B$10:$B$17,0))),"N/A")</f>
        <v/>
      </c>
      <c r="Q97" s="52">
        <f>IFERROR(IF(INDEX('CIOG'!$M$10:$M$14,MATCH($F97,'CIOG'!$B$10:$B$14,0))="","Cell will autofill based on response",INDEX('CIOG'!$M$10:$M$14,MATCH($F97,'CIOG'!$B$10:$B$14,0))),"N/A")</f>
        <v/>
      </c>
      <c r="R97" s="52">
        <f>IFERROR(IF(INDEX('MRE'!$M$10:$M$18,MATCH($F97,'MRE'!$B$10:$B$18,0))="","Cell will autofill based on response",INDEX('MRE'!$M$10:$M$18,MATCH($F97,'MRE'!$B$10:$B$18,0))),"N/A")</f>
        <v/>
      </c>
      <c r="S97" s="52">
        <f>IFERROR(IF(INDEX('AC&amp;M'!$M$10:$M$14,MATCH($F97,'AC&amp;M'!$B$10:$B$14,0))="","Cell will autofill based on response",INDEX('AC&amp;M'!$M$10:$M$14,MATCH($F97,'AC&amp;M'!$B$10:$B$14,0))),"N/A")</f>
        <v/>
      </c>
      <c r="T97" s="52">
        <f>IFERROR(IF(INDEX('GCE'!$M$10:$M$12,MATCH($F97,'GCE'!$B$10:$B$12,0))="","Cell will autofill based on response",INDEX('GCE'!$M$10:$M$12,MATCH($F97,'GCE'!$B$10:$B$12,0))),"N/A")</f>
        <v/>
      </c>
      <c r="U97" s="52">
        <f>IFERROR(IF(INDEX('Education'!$M$10:$M$13,MATCH($F97,'Education'!$B$10:$B$13,0))="","Cell will autofill based on response",INDEX('Education'!$M$10:$M$13,MATCH($F97,'Education'!$B$10:$B$13,0))),"N/A")</f>
        <v/>
      </c>
      <c r="V97" s="52">
        <f>IFERROR(IF(INDEX('SaSS'!$M$10:$M$12,MATCH($F97,'SaSS'!$B$10:$B$12,0))="","Cell will autofill based on response",INDEX('SaSS'!$M$10:$M$12,MATCH($F97,'SaSS'!$B$10:$B$12,0))),"N/A")</f>
        <v/>
      </c>
      <c r="W97" s="52">
        <f>IFERROR(IF(INDEX('Indigenous'!$M$10:$M$11,MATCH($F97,'Indigenous'!$B$10:$B$11,0))="","Cell will autofill based on response",INDEX('Indigenous'!$M$10:$M$11,MATCH($F97,'Indigenous'!$B$10:$B$11,0))),"N/A")</f>
        <v/>
      </c>
      <c r="X97" s="52">
        <f>IFERROR(IF(INDEX('L&amp;R'!$M$10:$M$11,MATCH($F97,'L&amp;R'!$B$10:$B$11,0))="","Cell will autofill based on response",INDEX('L&amp;R'!$M$10:$M$11,MATCH($F97,'L&amp;R'!$B$10:$B$11,0))),"N/A")</f>
        <v/>
      </c>
    </row>
    <row r="98">
      <c r="A98">
        <f>F98&amp;"|"&amp;G98</f>
        <v/>
      </c>
      <c r="B98" s="13" t="inlineStr"/>
      <c r="C98" s="8" t="inlineStr"/>
      <c r="D98" s="8" t="inlineStr"/>
      <c r="E98" s="8" t="inlineStr"/>
      <c r="F98" s="8" t="inlineStr">
        <is>
          <t>CL2(c)</t>
        </is>
      </c>
      <c r="G98" s="8" t="inlineStr">
        <is>
          <t>Supporting information/comments</t>
        </is>
      </c>
      <c r="H98" s="52">
        <f>IFERROR(IF(INDEX('Faculties'!$N$10:$N$19,MATCH($F98,'Faculties'!$B$10:$B$19,0))="","Cell will autofill based on response",INDEX('Faculties'!$N$10:$N$19,MATCH($F98,'Faculties'!$B$10:$B$19,0))),"N/A")</f>
        <v/>
      </c>
      <c r="I98" s="52">
        <f>IFERROR(IF(INDEX('Faculties'!$N$26:$N$35,MATCH($F98,'Faculties'!$B$26:$B$35,0))="","Cell will autofill based on response",INDEX('Faculties'!$N$26:$N$35,MATCH($F98,'Faculties'!$B$26:$B$35,0))),"N/A")</f>
        <v/>
      </c>
      <c r="J98" s="52">
        <f>IFERROR(IF(INDEX('Faculties'!$N$42:$N$51,MATCH($F98,'Faculties'!$B$42:$B$51,0))="","Cell will autofill based on response",INDEX('Faculties'!$N$42:$N$51,MATCH($F98,'Faculties'!$B$42:$B$51,0))),"N/A")</f>
        <v/>
      </c>
      <c r="K98" s="52">
        <f>IFERROR(IF(INDEX('Faculties'!$N$58:$N$67,MATCH($F98,'Faculties'!$B$58:$B$67,0))="","Cell will autofill based on response",INDEX('Faculties'!$N$58:$N$67,MATCH($F98,'Faculties'!$B$58:$B$67,0))),"N/A")</f>
        <v/>
      </c>
      <c r="L98" s="52">
        <f>IFERROR(IF(INDEX('CI&amp;S'!$N$10:$N$15,MATCH($F98,'CI&amp;S'!$B$10:$B$15,0))="","Cell will autofill based on response",INDEX('CI&amp;S'!$N$10:$N$15,MATCH($F98,'CI&amp;S'!$B$10:$B$15,0))),"N/A")</f>
        <v/>
      </c>
      <c r="M98" s="52">
        <f>IFERROR(IF(INDEX('CI&amp;S'!$N$22:$N$36,MATCH($F98,'CI&amp;S'!$B$22:$B$36,0))="","Cell will autofill based on response",INDEX('CI&amp;S'!$N$22:$N$36,MATCH($F98,'CI&amp;S'!$B$22:$B$36,0))),"N/A")</f>
        <v/>
      </c>
      <c r="N98" s="52">
        <f>IFERROR(IF(INDEX('CFOG'!$N$10:$N$16,MATCH($F98,'CFOG'!$B$10:$B$16,0))="","Cell will autofill based on response",INDEX('CFOG'!$N$10:$N$16,MATCH($F98,'CFOG'!$B$10:$B$16,0))),"N/A")</f>
        <v/>
      </c>
      <c r="O98" s="52">
        <f>IFERROR(IF(INDEX('CFOG'!$N$23:$N$24,MATCH($F98,'CFOG'!$B$23:$B$24,0))="","Cell will autofill based on response",INDEX('CFOG'!$N$23:$N$24,MATCH($F98,'CFOG'!$B$23:$B$24,0))),"N/A")</f>
        <v/>
      </c>
      <c r="P98" s="52">
        <f>IFERROR(IF(INDEX('ESG'!$N$10:$N$17,MATCH($F98,'ESG'!$B$10:$B$17,0))="","Cell will autofill based on response",INDEX('ESG'!$N$10:$N$17,MATCH($F98,'ESG'!$B$10:$B$17,0))),"N/A")</f>
        <v/>
      </c>
      <c r="Q98" s="52">
        <f>IFERROR(IF(INDEX('CIOG'!$N$10:$N$14,MATCH($F98,'CIOG'!$B$10:$B$14,0))="","Cell will autofill based on response",INDEX('CIOG'!$N$10:$N$14,MATCH($F98,'CIOG'!$B$10:$B$14,0))),"N/A")</f>
        <v/>
      </c>
      <c r="R98" s="52">
        <f>IFERROR(IF(INDEX('MRE'!$N$10:$N$18,MATCH($F98,'MRE'!$B$10:$B$18,0))="","Cell will autofill based on response",INDEX('MRE'!$N$10:$N$18,MATCH($F98,'MRE'!$B$10:$B$18,0))),"N/A")</f>
        <v/>
      </c>
      <c r="S98" s="52">
        <f>IFERROR(IF(INDEX('AC&amp;M'!$N$10:$N$14,MATCH($F98,'AC&amp;M'!$B$10:$B$14,0))="","Cell will autofill based on response",INDEX('AC&amp;M'!$N$10:$N$14,MATCH($F98,'AC&amp;M'!$B$10:$B$14,0))),"N/A")</f>
        <v/>
      </c>
      <c r="T98" s="52">
        <f>IFERROR(IF(INDEX('GCE'!$N$10:$N$12,MATCH($F98,'GCE'!$B$10:$B$12,0))="","Cell will autofill based on response",INDEX('GCE'!$N$10:$N$12,MATCH($F98,'GCE'!$B$10:$B$12,0))),"N/A")</f>
        <v/>
      </c>
      <c r="U98" s="52">
        <f>IFERROR(IF(INDEX('Education'!$N$10:$N$13,MATCH($F98,'Education'!$B$10:$B$13,0))="","Cell will autofill based on response",INDEX('Education'!$N$10:$N$13,MATCH($F98,'Education'!$B$10:$B$13,0))),"N/A")</f>
        <v/>
      </c>
      <c r="V98" s="52">
        <f>IFERROR(IF(INDEX('SaSS'!$N$10:$N$12,MATCH($F98,'SaSS'!$B$10:$B$12,0))="","Cell will autofill based on response",INDEX('SaSS'!$N$10:$N$12,MATCH($F98,'SaSS'!$B$10:$B$12,0))),"N/A")</f>
        <v/>
      </c>
      <c r="W98" s="52">
        <f>IFERROR(IF(INDEX('Indigenous'!$N$10:$N$11,MATCH($F98,'Indigenous'!$B$10:$B$11,0))="","Cell will autofill based on response",INDEX('Indigenous'!$N$10:$N$11,MATCH($F98,'Indigenous'!$B$10:$B$11,0))),"N/A")</f>
        <v/>
      </c>
      <c r="X98" s="52">
        <f>IFERROR(IF(INDEX('L&amp;R'!$N$10:$N$11,MATCH($F98,'L&amp;R'!$B$10:$B$11,0))="","Cell will autofill based on response",INDEX('L&amp;R'!$N$10:$N$11,MATCH($F98,'L&amp;R'!$B$10:$B$11,0))),"N/A")</f>
        <v/>
      </c>
    </row>
    <row r="99">
      <c r="A99">
        <f>F99&amp;"|"&amp;G99</f>
        <v/>
      </c>
      <c r="B99" s="13" t="inlineStr"/>
      <c r="C99" s="8" t="inlineStr"/>
      <c r="D99" s="8" t="inlineStr"/>
      <c r="E99" s="8" t="inlineStr"/>
      <c r="F99" s="8" t="inlineStr">
        <is>
          <t>CL2(c)</t>
        </is>
      </c>
      <c r="G99" s="8" t="inlineStr">
        <is>
          <t>Data source and limitations</t>
        </is>
      </c>
      <c r="H99" s="52">
        <f>IFERROR(IF(INDEX('Faculties'!$O$10:$O$19,MATCH($F99,'Faculties'!$B$10:$B$19,0))="","Cell will autofill based on response",INDEX('Faculties'!$O$10:$O$19,MATCH($F99,'Faculties'!$B$10:$B$19,0))),"N/A")</f>
        <v/>
      </c>
      <c r="I99" s="52">
        <f>IFERROR(IF(INDEX('Faculties'!$O$26:$O$35,MATCH($F99,'Faculties'!$B$26:$B$35,0))="","Cell will autofill based on response",INDEX('Faculties'!$O$26:$O$35,MATCH($F99,'Faculties'!$B$26:$B$35,0))),"N/A")</f>
        <v/>
      </c>
      <c r="J99" s="52">
        <f>IFERROR(IF(INDEX('Faculties'!$O$42:$O$51,MATCH($F99,'Faculties'!$B$42:$B$51,0))="","Cell will autofill based on response",INDEX('Faculties'!$O$42:$O$51,MATCH($F99,'Faculties'!$B$42:$B$51,0))),"N/A")</f>
        <v/>
      </c>
      <c r="K99" s="52">
        <f>IFERROR(IF(INDEX('Faculties'!$O$58:$O$67,MATCH($F99,'Faculties'!$B$58:$B$67,0))="","Cell will autofill based on response",INDEX('Faculties'!$O$58:$O$67,MATCH($F99,'Faculties'!$B$58:$B$67,0))),"N/A")</f>
        <v/>
      </c>
      <c r="L99" s="52">
        <f>IFERROR(IF(INDEX('CI&amp;S'!$O$10:$O$15,MATCH($F99,'CI&amp;S'!$B$10:$B$15,0))="","Cell will autofill based on response",INDEX('CI&amp;S'!$O$10:$O$15,MATCH($F99,'CI&amp;S'!$B$10:$B$15,0))),"N/A")</f>
        <v/>
      </c>
      <c r="M99" s="52">
        <f>IFERROR(IF(INDEX('CI&amp;S'!$O$22:$O$36,MATCH($F99,'CI&amp;S'!$B$22:$B$36,0))="","Cell will autofill based on response",INDEX('CI&amp;S'!$O$22:$O$36,MATCH($F99,'CI&amp;S'!$B$22:$B$36,0))),"N/A")</f>
        <v/>
      </c>
      <c r="N99" s="52">
        <f>IFERROR(IF(INDEX('CFOG'!$O$10:$O$16,MATCH($F99,'CFOG'!$B$10:$B$16,0))="","Cell will autofill based on response",INDEX('CFOG'!$O$10:$O$16,MATCH($F99,'CFOG'!$B$10:$B$16,0))),"N/A")</f>
        <v/>
      </c>
      <c r="O99" s="52">
        <f>IFERROR(IF(INDEX('CFOG'!$O$23:$O$24,MATCH($F99,'CFOG'!$B$23:$B$24,0))="","Cell will autofill based on response",INDEX('CFOG'!$O$23:$O$24,MATCH($F99,'CFOG'!$B$23:$B$24,0))),"N/A")</f>
        <v/>
      </c>
      <c r="P99" s="52">
        <f>IFERROR(IF(INDEX('ESG'!$O$10:$O$17,MATCH($F99,'ESG'!$B$10:$B$17,0))="","Cell will autofill based on response",INDEX('ESG'!$O$10:$O$17,MATCH($F99,'ESG'!$B$10:$B$17,0))),"N/A")</f>
        <v/>
      </c>
      <c r="Q99" s="52">
        <f>IFERROR(IF(INDEX('CIOG'!$O$10:$O$14,MATCH($F99,'CIOG'!$B$10:$B$14,0))="","Cell will autofill based on response",INDEX('CIOG'!$O$10:$O$14,MATCH($F99,'CIOG'!$B$10:$B$14,0))),"N/A")</f>
        <v/>
      </c>
      <c r="R99" s="52">
        <f>IFERROR(IF(INDEX('MRE'!$O$10:$O$18,MATCH($F99,'MRE'!$B$10:$B$18,0))="","Cell will autofill based on response",INDEX('MRE'!$O$10:$O$18,MATCH($F99,'MRE'!$B$10:$B$18,0))),"N/A")</f>
        <v/>
      </c>
      <c r="S99" s="52">
        <f>IFERROR(IF(INDEX('AC&amp;M'!$O$10:$O$14,MATCH($F99,'AC&amp;M'!$B$10:$B$14,0))="","Cell will autofill based on response",INDEX('AC&amp;M'!$O$10:$O$14,MATCH($F99,'AC&amp;M'!$B$10:$B$14,0))),"N/A")</f>
        <v/>
      </c>
      <c r="T99" s="52">
        <f>IFERROR(IF(INDEX('GCE'!$O$10:$O$12,MATCH($F99,'GCE'!$B$10:$B$12,0))="","Cell will autofill based on response",INDEX('GCE'!$O$10:$O$12,MATCH($F99,'GCE'!$B$10:$B$12,0))),"N/A")</f>
        <v/>
      </c>
      <c r="U99" s="52">
        <f>IFERROR(IF(INDEX('Education'!$O$10:$O$13,MATCH($F99,'Education'!$B$10:$B$13,0))="","Cell will autofill based on response",INDEX('Education'!$O$10:$O$13,MATCH($F99,'Education'!$B$10:$B$13,0))),"N/A")</f>
        <v/>
      </c>
      <c r="V99" s="52">
        <f>IFERROR(IF(INDEX('SaSS'!$O$10:$O$12,MATCH($F99,'SaSS'!$B$10:$B$12,0))="","Cell will autofill based on response",INDEX('SaSS'!$O$10:$O$12,MATCH($F99,'SaSS'!$B$10:$B$12,0))),"N/A")</f>
        <v/>
      </c>
      <c r="W99" s="52">
        <f>IFERROR(IF(INDEX('Indigenous'!$O$10:$O$11,MATCH($F99,'Indigenous'!$B$10:$B$11,0))="","Cell will autofill based on response",INDEX('Indigenous'!$O$10:$O$11,MATCH($F99,'Indigenous'!$B$10:$B$11,0))),"N/A")</f>
        <v/>
      </c>
      <c r="X99" s="52">
        <f>IFERROR(IF(INDEX('L&amp;R'!$O$10:$O$11,MATCH($F99,'L&amp;R'!$B$10:$B$11,0))="","Cell will autofill based on response",INDEX('L&amp;R'!$O$10:$O$11,MATCH($F99,'L&amp;R'!$B$10:$B$11,0))),"N/A")</f>
        <v/>
      </c>
    </row>
    <row r="100">
      <c r="A100">
        <f>F100&amp;"|"&amp;G100</f>
        <v/>
      </c>
      <c r="B100" s="13" t="inlineStr"/>
      <c r="C100" s="8" t="inlineStr"/>
      <c r="D100" s="8" t="inlineStr"/>
      <c r="E100" s="8" t="inlineStr"/>
      <c r="F100" s="8" t="inlineStr">
        <is>
          <t>CL2(c)</t>
        </is>
      </c>
      <c r="G100" s="8" t="inlineStr">
        <is>
          <t>Data owner confirms</t>
        </is>
      </c>
      <c r="H100" s="52">
        <f>IFERROR(IF(INDEX('Faculties'!$P$10:$P$19,MATCH($F100,'Faculties'!$B$10:$B$19,0))="","Cell will autofill based on response",INDEX('Faculties'!$P$10:$P$19,MATCH($F100,'Faculties'!$B$10:$B$19,0))),"N/A")</f>
        <v/>
      </c>
      <c r="I100" s="52">
        <f>IFERROR(IF(INDEX('Faculties'!$P$26:$P$35,MATCH($F100,'Faculties'!$B$26:$B$35,0))="","Cell will autofill based on response",INDEX('Faculties'!$P$26:$P$35,MATCH($F100,'Faculties'!$B$26:$B$35,0))),"N/A")</f>
        <v/>
      </c>
      <c r="J100" s="52">
        <f>IFERROR(IF(INDEX('Faculties'!$P$42:$P$51,MATCH($F100,'Faculties'!$B$42:$B$51,0))="","Cell will autofill based on response",INDEX('Faculties'!$P$42:$P$51,MATCH($F100,'Faculties'!$B$42:$B$51,0))),"N/A")</f>
        <v/>
      </c>
      <c r="K100" s="52">
        <f>IFERROR(IF(INDEX('Faculties'!$P$58:$P$67,MATCH($F100,'Faculties'!$B$58:$B$67,0))="","Cell will autofill based on response",INDEX('Faculties'!$P$58:$P$67,MATCH($F100,'Faculties'!$B$58:$B$67,0))),"N/A")</f>
        <v/>
      </c>
      <c r="L100" s="52">
        <f>IFERROR(IF(INDEX('CI&amp;S'!$P$10:$P$15,MATCH($F100,'CI&amp;S'!$B$10:$B$15,0))="","Cell will autofill based on response",INDEX('CI&amp;S'!$P$10:$P$15,MATCH($F100,'CI&amp;S'!$B$10:$B$15,0))),"N/A")</f>
        <v/>
      </c>
      <c r="M100" s="52">
        <f>IFERROR(IF(INDEX('CI&amp;S'!$P$22:$P$36,MATCH($F100,'CI&amp;S'!$B$22:$B$36,0))="","Cell will autofill based on response",INDEX('CI&amp;S'!$P$22:$P$36,MATCH($F100,'CI&amp;S'!$B$22:$B$36,0))),"N/A")</f>
        <v/>
      </c>
      <c r="N100" s="52">
        <f>IFERROR(IF(INDEX('CFOG'!$P$10:$P$16,MATCH($F100,'CFOG'!$B$10:$B$16,0))="","Cell will autofill based on response",INDEX('CFOG'!$P$10:$P$16,MATCH($F100,'CFOG'!$B$10:$B$16,0))),"N/A")</f>
        <v/>
      </c>
      <c r="O100" s="52">
        <f>IFERROR(IF(INDEX('CFOG'!$P$23:$P$24,MATCH($F100,'CFOG'!$B$23:$B$24,0))="","Cell will autofill based on response",INDEX('CFOG'!$P$23:$P$24,MATCH($F100,'CFOG'!$B$23:$B$24,0))),"N/A")</f>
        <v/>
      </c>
      <c r="P100" s="52">
        <f>IFERROR(IF(INDEX('ESG'!$P$10:$P$17,MATCH($F100,'ESG'!$B$10:$B$17,0))="","Cell will autofill based on response",INDEX('ESG'!$P$10:$P$17,MATCH($F100,'ESG'!$B$10:$B$17,0))),"N/A")</f>
        <v/>
      </c>
      <c r="Q100" s="52">
        <f>IFERROR(IF(INDEX('CIOG'!$P$10:$P$14,MATCH($F100,'CIOG'!$B$10:$B$14,0))="","Cell will autofill based on response",INDEX('CIOG'!$P$10:$P$14,MATCH($F100,'CIOG'!$B$10:$B$14,0))),"N/A")</f>
        <v/>
      </c>
      <c r="R100" s="52">
        <f>IFERROR(IF(INDEX('MRE'!$P$10:$P$18,MATCH($F100,'MRE'!$B$10:$B$18,0))="","Cell will autofill based on response",INDEX('MRE'!$P$10:$P$18,MATCH($F100,'MRE'!$B$10:$B$18,0))),"N/A")</f>
        <v/>
      </c>
      <c r="S100" s="52">
        <f>IFERROR(IF(INDEX('AC&amp;M'!$P$10:$P$14,MATCH($F100,'AC&amp;M'!$B$10:$B$14,0))="","Cell will autofill based on response",INDEX('AC&amp;M'!$P$10:$P$14,MATCH($F100,'AC&amp;M'!$B$10:$B$14,0))),"N/A")</f>
        <v/>
      </c>
      <c r="T100" s="52">
        <f>IFERROR(IF(INDEX('GCE'!$P$10:$P$12,MATCH($F100,'GCE'!$B$10:$B$12,0))="","Cell will autofill based on response",INDEX('GCE'!$P$10:$P$12,MATCH($F100,'GCE'!$B$10:$B$12,0))),"N/A")</f>
        <v/>
      </c>
      <c r="U100" s="52">
        <f>IFERROR(IF(INDEX('Education'!$P$10:$P$13,MATCH($F100,'Education'!$B$10:$B$13,0))="","Cell will autofill based on response",INDEX('Education'!$P$10:$P$13,MATCH($F100,'Education'!$B$10:$B$13,0))),"N/A")</f>
        <v/>
      </c>
      <c r="V100" s="52">
        <f>IFERROR(IF(INDEX('SaSS'!$P$10:$P$12,MATCH($F100,'SaSS'!$B$10:$B$12,0))="","Cell will autofill based on response",INDEX('SaSS'!$P$10:$P$12,MATCH($F100,'SaSS'!$B$10:$B$12,0))),"N/A")</f>
        <v/>
      </c>
      <c r="W100" s="52">
        <f>IFERROR(IF(INDEX('Indigenous'!$P$10:$P$11,MATCH($F100,'Indigenous'!$B$10:$B$11,0))="","Cell will autofill based on response",INDEX('Indigenous'!$P$10:$P$11,MATCH($F100,'Indigenous'!$B$10:$B$11,0))),"N/A")</f>
        <v/>
      </c>
      <c r="X100" s="52">
        <f>IFERROR(IF(INDEX('L&amp;R'!$P$10:$P$11,MATCH($F100,'L&amp;R'!$B$10:$B$11,0))="","Cell will autofill based on response",INDEX('L&amp;R'!$P$10:$P$11,MATCH($F100,'L&amp;R'!$B$10:$B$11,0))),"N/A")</f>
        <v/>
      </c>
    </row>
    <row r="101">
      <c r="A101">
        <f>F101&amp;"|"&amp;G101</f>
        <v/>
      </c>
      <c r="B101" s="7" t="inlineStr">
        <is>
          <t>CL3(a)</t>
        </is>
      </c>
      <c r="C101" s="50" t="inlineStr">
        <is>
          <t>Climate leadership</t>
        </is>
      </c>
      <c r="D101"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01" s="50" t="inlineStr">
        <is>
          <t>Provide update of University maturity assesment. Include maturity ratings, key gaps and priority improvement actions.when available</t>
        </is>
      </c>
      <c r="F101" s="50" t="inlineStr">
        <is>
          <t>CL3(a)</t>
        </is>
      </c>
      <c r="G101" s="50" t="inlineStr">
        <is>
          <t>OPTION 1:  Target-level reporting</t>
        </is>
      </c>
      <c r="H101" s="52">
        <f>IFERROR(IF(INDEX('Faculties'!$L$10:$L$19,MATCH($F101,'Faculties'!$B$10:$B$19,0))="","Cell will autofill based on response",INDEX('Faculties'!$L$10:$L$19,MATCH($F101,'Faculties'!$B$10:$B$19,0))),"N/A")</f>
        <v/>
      </c>
      <c r="I101" s="52">
        <f>IFERROR(IF(INDEX('Faculties'!$L$26:$L$35,MATCH($F101,'Faculties'!$B$26:$B$35,0))="","Cell will autofill based on response",INDEX('Faculties'!$L$26:$L$35,MATCH($F101,'Faculties'!$B$26:$B$35,0))),"N/A")</f>
        <v/>
      </c>
      <c r="J101" s="52">
        <f>IFERROR(IF(INDEX('Faculties'!$L$42:$L$51,MATCH($F101,'Faculties'!$B$42:$B$51,0))="","Cell will autofill based on response",INDEX('Faculties'!$L$42:$L$51,MATCH($F101,'Faculties'!$B$42:$B$51,0))),"N/A")</f>
        <v/>
      </c>
      <c r="K101" s="52">
        <f>IFERROR(IF(INDEX('Faculties'!$L$58:$L$67,MATCH($F101,'Faculties'!$B$58:$B$67,0))="","Cell will autofill based on response",INDEX('Faculties'!$L$58:$L$67,MATCH($F101,'Faculties'!$B$58:$B$67,0))),"N/A")</f>
        <v/>
      </c>
      <c r="L101" s="52">
        <f>IFERROR(IF(INDEX('CI&amp;S'!$L$10:$L$15,MATCH($F101,'CI&amp;S'!$B$10:$B$15,0))="","Cell will autofill based on response",INDEX('CI&amp;S'!$L$10:$L$15,MATCH($F101,'CI&amp;S'!$B$10:$B$15,0))),"N/A")</f>
        <v/>
      </c>
      <c r="M101" s="52">
        <f>IFERROR(IF(INDEX('CI&amp;S'!$L$22:$L$36,MATCH($F101,'CI&amp;S'!$B$22:$B$36,0))="","Cell will autofill based on response",INDEX('CI&amp;S'!$L$22:$L$36,MATCH($F101,'CI&amp;S'!$B$22:$B$36,0))),"N/A")</f>
        <v/>
      </c>
      <c r="N101" s="52">
        <f>IFERROR(IF(INDEX('CFOG'!$L$10:$L$16,MATCH($F101,'CFOG'!$B$10:$B$16,0))="","Cell will autofill based on response",INDEX('CFOG'!$L$10:$L$16,MATCH($F101,'CFOG'!$B$10:$B$16,0))),"N/A")</f>
        <v/>
      </c>
      <c r="O101" s="52">
        <f>IFERROR(IF(INDEX('CFOG'!$L$23:$L$24,MATCH($F101,'CFOG'!$B$23:$B$24,0))="","Cell will autofill based on response",INDEX('CFOG'!$L$23:$L$24,MATCH($F101,'CFOG'!$B$23:$B$24,0))),"N/A")</f>
        <v/>
      </c>
      <c r="P101" s="52">
        <f>IFERROR(IF(INDEX('ESG'!$L$10:$L$17,MATCH($F101,'ESG'!$B$10:$B$17,0))="","Cell will autofill based on response",INDEX('ESG'!$L$10:$L$17,MATCH($F101,'ESG'!$B$10:$B$17,0))),"N/A")</f>
        <v/>
      </c>
      <c r="Q101" s="52">
        <f>IFERROR(IF(INDEX('CIOG'!$L$10:$L$14,MATCH($F101,'CIOG'!$B$10:$B$14,0))="","Cell will autofill based on response",INDEX('CIOG'!$L$10:$L$14,MATCH($F101,'CIOG'!$B$10:$B$14,0))),"N/A")</f>
        <v/>
      </c>
      <c r="R101" s="52">
        <f>IFERROR(IF(INDEX('MRE'!$L$10:$L$18,MATCH($F101,'MRE'!$B$10:$B$18,0))="","Cell will autofill based on response",INDEX('MRE'!$L$10:$L$18,MATCH($F101,'MRE'!$B$10:$B$18,0))),"N/A")</f>
        <v/>
      </c>
      <c r="S101" s="52">
        <f>IFERROR(IF(INDEX('AC&amp;M'!$L$10:$L$14,MATCH($F101,'AC&amp;M'!$B$10:$B$14,0))="","Cell will autofill based on response",INDEX('AC&amp;M'!$L$10:$L$14,MATCH($F101,'AC&amp;M'!$B$10:$B$14,0))),"N/A")</f>
        <v/>
      </c>
      <c r="T101" s="52">
        <f>IFERROR(IF(INDEX('GCE'!$L$10:$L$12,MATCH($F101,'GCE'!$B$10:$B$12,0))="","Cell will autofill based on response",INDEX('GCE'!$L$10:$L$12,MATCH($F101,'GCE'!$B$10:$B$12,0))),"N/A")</f>
        <v/>
      </c>
      <c r="U101" s="52">
        <f>IFERROR(IF(INDEX('Education'!$L$10:$L$13,MATCH($F101,'Education'!$B$10:$B$13,0))="","Cell will autofill based on response",INDEX('Education'!$L$10:$L$13,MATCH($F101,'Education'!$B$10:$B$13,0))),"N/A")</f>
        <v/>
      </c>
      <c r="V101" s="52">
        <f>IFERROR(IF(INDEX('SaSS'!$L$10:$L$12,MATCH($F101,'SaSS'!$B$10:$B$12,0))="","Cell will autofill based on response",INDEX('SaSS'!$L$10:$L$12,MATCH($F101,'SaSS'!$B$10:$B$12,0))),"N/A")</f>
        <v/>
      </c>
      <c r="W101" s="52">
        <f>IFERROR(IF(INDEX('Indigenous'!$L$10:$L$11,MATCH($F101,'Indigenous'!$B$10:$B$11,0))="","Cell will autofill based on response",INDEX('Indigenous'!$L$10:$L$11,MATCH($F101,'Indigenous'!$B$10:$B$11,0))),"N/A")</f>
        <v/>
      </c>
      <c r="X101" s="52">
        <f>IFERROR(IF(INDEX('L&amp;R'!$L$10:$L$11,MATCH($F101,'L&amp;R'!$B$10:$B$11,0))="","Cell will autofill based on response",INDEX('L&amp;R'!$L$10:$L$11,MATCH($F101,'L&amp;R'!$B$10:$B$11,0))),"N/A")</f>
        <v/>
      </c>
      <c r="Z101" s="10">
        <f>SUMPRODUCT(--($H101:$X101&lt;&gt;"N/A"))</f>
        <v/>
      </c>
      <c r="AA101" s="10">
        <f>SUMPRODUCT(--(((($H101:$X101&lt;&gt;"N/A")*($H101:$X101&lt;&gt;"Cell will autofill based on response"))+(($H102:$X102&lt;&gt;"N/A")*($H102:$X102&lt;&gt;"Cell will autofill based on response")))&gt;0))</f>
        <v/>
      </c>
      <c r="AB101" s="10">
        <f>Z101-AA101</f>
        <v/>
      </c>
      <c r="AC101" s="10">
        <f>COUNTIF($H105:$X105,"Yes")</f>
        <v/>
      </c>
    </row>
    <row r="102">
      <c r="A102">
        <f>F102&amp;"|"&amp;G102</f>
        <v/>
      </c>
      <c r="B102" s="13" t="inlineStr"/>
      <c r="C102" s="8" t="inlineStr"/>
      <c r="D102" s="8" t="inlineStr"/>
      <c r="E102" s="8" t="inlineStr"/>
      <c r="F102" s="8" t="inlineStr">
        <is>
          <t>CL3(a)</t>
        </is>
      </c>
      <c r="G102" s="8" t="inlineStr">
        <is>
          <t>OPTION 2:  Indicator level reporting</t>
        </is>
      </c>
      <c r="H102" s="52">
        <f>IFERROR(IF(INDEX('Faculties'!$M$10:$M$19,MATCH($F102,'Faculties'!$B$10:$B$19,0))="","Cell will autofill based on response",INDEX('Faculties'!$M$10:$M$19,MATCH($F102,'Faculties'!$B$10:$B$19,0))),"N/A")</f>
        <v/>
      </c>
      <c r="I102" s="52">
        <f>IFERROR(IF(INDEX('Faculties'!$M$26:$M$35,MATCH($F102,'Faculties'!$B$26:$B$35,0))="","Cell will autofill based on response",INDEX('Faculties'!$M$26:$M$35,MATCH($F102,'Faculties'!$B$26:$B$35,0))),"N/A")</f>
        <v/>
      </c>
      <c r="J102" s="52">
        <f>IFERROR(IF(INDEX('Faculties'!$M$42:$M$51,MATCH($F102,'Faculties'!$B$42:$B$51,0))="","Cell will autofill based on response",INDEX('Faculties'!$M$42:$M$51,MATCH($F102,'Faculties'!$B$42:$B$51,0))),"N/A")</f>
        <v/>
      </c>
      <c r="K102" s="52">
        <f>IFERROR(IF(INDEX('Faculties'!$M$58:$M$67,MATCH($F102,'Faculties'!$B$58:$B$67,0))="","Cell will autofill based on response",INDEX('Faculties'!$M$58:$M$67,MATCH($F102,'Faculties'!$B$58:$B$67,0))),"N/A")</f>
        <v/>
      </c>
      <c r="L102" s="52">
        <f>IFERROR(IF(INDEX('CI&amp;S'!$M$10:$M$15,MATCH($F102,'CI&amp;S'!$B$10:$B$15,0))="","Cell will autofill based on response",INDEX('CI&amp;S'!$M$10:$M$15,MATCH($F102,'CI&amp;S'!$B$10:$B$15,0))),"N/A")</f>
        <v/>
      </c>
      <c r="M102" s="52">
        <f>IFERROR(IF(INDEX('CI&amp;S'!$M$22:$M$36,MATCH($F102,'CI&amp;S'!$B$22:$B$36,0))="","Cell will autofill based on response",INDEX('CI&amp;S'!$M$22:$M$36,MATCH($F102,'CI&amp;S'!$B$22:$B$36,0))),"N/A")</f>
        <v/>
      </c>
      <c r="N102" s="52">
        <f>IFERROR(IF(INDEX('CFOG'!$M$10:$M$16,MATCH($F102,'CFOG'!$B$10:$B$16,0))="","Cell will autofill based on response",INDEX('CFOG'!$M$10:$M$16,MATCH($F102,'CFOG'!$B$10:$B$16,0))),"N/A")</f>
        <v/>
      </c>
      <c r="O102" s="52">
        <f>IFERROR(IF(INDEX('CFOG'!$M$23:$M$24,MATCH($F102,'CFOG'!$B$23:$B$24,0))="","Cell will autofill based on response",INDEX('CFOG'!$M$23:$M$24,MATCH($F102,'CFOG'!$B$23:$B$24,0))),"N/A")</f>
        <v/>
      </c>
      <c r="P102" s="52">
        <f>IFERROR(IF(INDEX('ESG'!$M$10:$M$17,MATCH($F102,'ESG'!$B$10:$B$17,0))="","Cell will autofill based on response",INDEX('ESG'!$M$10:$M$17,MATCH($F102,'ESG'!$B$10:$B$17,0))),"N/A")</f>
        <v/>
      </c>
      <c r="Q102" s="52">
        <f>IFERROR(IF(INDEX('CIOG'!$M$10:$M$14,MATCH($F102,'CIOG'!$B$10:$B$14,0))="","Cell will autofill based on response",INDEX('CIOG'!$M$10:$M$14,MATCH($F102,'CIOG'!$B$10:$B$14,0))),"N/A")</f>
        <v/>
      </c>
      <c r="R102" s="52">
        <f>IFERROR(IF(INDEX('MRE'!$M$10:$M$18,MATCH($F102,'MRE'!$B$10:$B$18,0))="","Cell will autofill based on response",INDEX('MRE'!$M$10:$M$18,MATCH($F102,'MRE'!$B$10:$B$18,0))),"N/A")</f>
        <v/>
      </c>
      <c r="S102" s="52">
        <f>IFERROR(IF(INDEX('AC&amp;M'!$M$10:$M$14,MATCH($F102,'AC&amp;M'!$B$10:$B$14,0))="","Cell will autofill based on response",INDEX('AC&amp;M'!$M$10:$M$14,MATCH($F102,'AC&amp;M'!$B$10:$B$14,0))),"N/A")</f>
        <v/>
      </c>
      <c r="T102" s="52">
        <f>IFERROR(IF(INDEX('GCE'!$M$10:$M$12,MATCH($F102,'GCE'!$B$10:$B$12,0))="","Cell will autofill based on response",INDEX('GCE'!$M$10:$M$12,MATCH($F102,'GCE'!$B$10:$B$12,0))),"N/A")</f>
        <v/>
      </c>
      <c r="U102" s="52">
        <f>IFERROR(IF(INDEX('Education'!$M$10:$M$13,MATCH($F102,'Education'!$B$10:$B$13,0))="","Cell will autofill based on response",INDEX('Education'!$M$10:$M$13,MATCH($F102,'Education'!$B$10:$B$13,0))),"N/A")</f>
        <v/>
      </c>
      <c r="V102" s="52">
        <f>IFERROR(IF(INDEX('SaSS'!$M$10:$M$12,MATCH($F102,'SaSS'!$B$10:$B$12,0))="","Cell will autofill based on response",INDEX('SaSS'!$M$10:$M$12,MATCH($F102,'SaSS'!$B$10:$B$12,0))),"N/A")</f>
        <v/>
      </c>
      <c r="W102" s="52">
        <f>IFERROR(IF(INDEX('Indigenous'!$M$10:$M$11,MATCH($F102,'Indigenous'!$B$10:$B$11,0))="","Cell will autofill based on response",INDEX('Indigenous'!$M$10:$M$11,MATCH($F102,'Indigenous'!$B$10:$B$11,0))),"N/A")</f>
        <v/>
      </c>
      <c r="X102" s="52">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CL3(a)</t>
        </is>
      </c>
      <c r="G103" s="8" t="inlineStr">
        <is>
          <t>Supporting information/comments</t>
        </is>
      </c>
      <c r="H103" s="52">
        <f>IFERROR(IF(INDEX('Faculties'!$N$10:$N$19,MATCH($F103,'Faculties'!$B$10:$B$19,0))="","Cell will autofill based on response",INDEX('Faculties'!$N$10:$N$19,MATCH($F103,'Faculties'!$B$10:$B$19,0))),"N/A")</f>
        <v/>
      </c>
      <c r="I103" s="52">
        <f>IFERROR(IF(INDEX('Faculties'!$N$26:$N$35,MATCH($F103,'Faculties'!$B$26:$B$35,0))="","Cell will autofill based on response",INDEX('Faculties'!$N$26:$N$35,MATCH($F103,'Faculties'!$B$26:$B$35,0))),"N/A")</f>
        <v/>
      </c>
      <c r="J103" s="52">
        <f>IFERROR(IF(INDEX('Faculties'!$N$42:$N$51,MATCH($F103,'Faculties'!$B$42:$B$51,0))="","Cell will autofill based on response",INDEX('Faculties'!$N$42:$N$51,MATCH($F103,'Faculties'!$B$42:$B$51,0))),"N/A")</f>
        <v/>
      </c>
      <c r="K103" s="52">
        <f>IFERROR(IF(INDEX('Faculties'!$N$58:$N$67,MATCH($F103,'Faculties'!$B$58:$B$67,0))="","Cell will autofill based on response",INDEX('Faculties'!$N$58:$N$67,MATCH($F103,'Faculties'!$B$58:$B$67,0))),"N/A")</f>
        <v/>
      </c>
      <c r="L103" s="52">
        <f>IFERROR(IF(INDEX('CI&amp;S'!$N$10:$N$15,MATCH($F103,'CI&amp;S'!$B$10:$B$15,0))="","Cell will autofill based on response",INDEX('CI&amp;S'!$N$10:$N$15,MATCH($F103,'CI&amp;S'!$B$10:$B$15,0))),"N/A")</f>
        <v/>
      </c>
      <c r="M103" s="52">
        <f>IFERROR(IF(INDEX('CI&amp;S'!$N$22:$N$36,MATCH($F103,'CI&amp;S'!$B$22:$B$36,0))="","Cell will autofill based on response",INDEX('CI&amp;S'!$N$22:$N$36,MATCH($F103,'CI&amp;S'!$B$22:$B$36,0))),"N/A")</f>
        <v/>
      </c>
      <c r="N103" s="52">
        <f>IFERROR(IF(INDEX('CFOG'!$N$10:$N$16,MATCH($F103,'CFOG'!$B$10:$B$16,0))="","Cell will autofill based on response",INDEX('CFOG'!$N$10:$N$16,MATCH($F103,'CFOG'!$B$10:$B$16,0))),"N/A")</f>
        <v/>
      </c>
      <c r="O103" s="52">
        <f>IFERROR(IF(INDEX('CFOG'!$N$23:$N$24,MATCH($F103,'CFOG'!$B$23:$B$24,0))="","Cell will autofill based on response",INDEX('CFOG'!$N$23:$N$24,MATCH($F103,'CFOG'!$B$23:$B$24,0))),"N/A")</f>
        <v/>
      </c>
      <c r="P103" s="52">
        <f>IFERROR(IF(INDEX('ESG'!$N$10:$N$17,MATCH($F103,'ESG'!$B$10:$B$17,0))="","Cell will autofill based on response",INDEX('ESG'!$N$10:$N$17,MATCH($F103,'ESG'!$B$10:$B$17,0))),"N/A")</f>
        <v/>
      </c>
      <c r="Q103" s="52">
        <f>IFERROR(IF(INDEX('CIOG'!$N$10:$N$14,MATCH($F103,'CIOG'!$B$10:$B$14,0))="","Cell will autofill based on response",INDEX('CIOG'!$N$10:$N$14,MATCH($F103,'CIOG'!$B$10:$B$14,0))),"N/A")</f>
        <v/>
      </c>
      <c r="R103" s="52">
        <f>IFERROR(IF(INDEX('MRE'!$N$10:$N$18,MATCH($F103,'MRE'!$B$10:$B$18,0))="","Cell will autofill based on response",INDEX('MRE'!$N$10:$N$18,MATCH($F103,'MRE'!$B$10:$B$18,0))),"N/A")</f>
        <v/>
      </c>
      <c r="S103" s="52">
        <f>IFERROR(IF(INDEX('AC&amp;M'!$N$10:$N$14,MATCH($F103,'AC&amp;M'!$B$10:$B$14,0))="","Cell will autofill based on response",INDEX('AC&amp;M'!$N$10:$N$14,MATCH($F103,'AC&amp;M'!$B$10:$B$14,0))),"N/A")</f>
        <v/>
      </c>
      <c r="T103" s="52">
        <f>IFERROR(IF(INDEX('GCE'!$N$10:$N$12,MATCH($F103,'GCE'!$B$10:$B$12,0))="","Cell will autofill based on response",INDEX('GCE'!$N$10:$N$12,MATCH($F103,'GCE'!$B$10:$B$12,0))),"N/A")</f>
        <v/>
      </c>
      <c r="U103" s="52">
        <f>IFERROR(IF(INDEX('Education'!$N$10:$N$13,MATCH($F103,'Education'!$B$10:$B$13,0))="","Cell will autofill based on response",INDEX('Education'!$N$10:$N$13,MATCH($F103,'Education'!$B$10:$B$13,0))),"N/A")</f>
        <v/>
      </c>
      <c r="V103" s="52">
        <f>IFERROR(IF(INDEX('SaSS'!$N$10:$N$12,MATCH($F103,'SaSS'!$B$10:$B$12,0))="","Cell will autofill based on response",INDEX('SaSS'!$N$10:$N$12,MATCH($F103,'SaSS'!$B$10:$B$12,0))),"N/A")</f>
        <v/>
      </c>
      <c r="W103" s="52">
        <f>IFERROR(IF(INDEX('Indigenous'!$N$10:$N$11,MATCH($F103,'Indigenous'!$B$10:$B$11,0))="","Cell will autofill based on response",INDEX('Indigenous'!$N$10:$N$11,MATCH($F103,'Indigenous'!$B$10:$B$11,0))),"N/A")</f>
        <v/>
      </c>
      <c r="X103" s="52">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CL3(a)</t>
        </is>
      </c>
      <c r="G104" s="8" t="inlineStr">
        <is>
          <t>Data source and limitations</t>
        </is>
      </c>
      <c r="H104" s="52">
        <f>IFERROR(IF(INDEX('Faculties'!$O$10:$O$19,MATCH($F104,'Faculties'!$B$10:$B$19,0))="","Cell will autofill based on response",INDEX('Faculties'!$O$10:$O$19,MATCH($F104,'Faculties'!$B$10:$B$19,0))),"N/A")</f>
        <v/>
      </c>
      <c r="I104" s="52">
        <f>IFERROR(IF(INDEX('Faculties'!$O$26:$O$35,MATCH($F104,'Faculties'!$B$26:$B$35,0))="","Cell will autofill based on response",INDEX('Faculties'!$O$26:$O$35,MATCH($F104,'Faculties'!$B$26:$B$35,0))),"N/A")</f>
        <v/>
      </c>
      <c r="J104" s="52">
        <f>IFERROR(IF(INDEX('Faculties'!$O$42:$O$51,MATCH($F104,'Faculties'!$B$42:$B$51,0))="","Cell will autofill based on response",INDEX('Faculties'!$O$42:$O$51,MATCH($F104,'Faculties'!$B$42:$B$51,0))),"N/A")</f>
        <v/>
      </c>
      <c r="K104" s="52">
        <f>IFERROR(IF(INDEX('Faculties'!$O$58:$O$67,MATCH($F104,'Faculties'!$B$58:$B$67,0))="","Cell will autofill based on response",INDEX('Faculties'!$O$58:$O$67,MATCH($F104,'Faculties'!$B$58:$B$67,0))),"N/A")</f>
        <v/>
      </c>
      <c r="L104" s="52">
        <f>IFERROR(IF(INDEX('CI&amp;S'!$O$10:$O$15,MATCH($F104,'CI&amp;S'!$B$10:$B$15,0))="","Cell will autofill based on response",INDEX('CI&amp;S'!$O$10:$O$15,MATCH($F104,'CI&amp;S'!$B$10:$B$15,0))),"N/A")</f>
        <v/>
      </c>
      <c r="M104" s="52">
        <f>IFERROR(IF(INDEX('CI&amp;S'!$O$22:$O$36,MATCH($F104,'CI&amp;S'!$B$22:$B$36,0))="","Cell will autofill based on response",INDEX('CI&amp;S'!$O$22:$O$36,MATCH($F104,'CI&amp;S'!$B$22:$B$36,0))),"N/A")</f>
        <v/>
      </c>
      <c r="N104" s="52">
        <f>IFERROR(IF(INDEX('CFOG'!$O$10:$O$16,MATCH($F104,'CFOG'!$B$10:$B$16,0))="","Cell will autofill based on response",INDEX('CFOG'!$O$10:$O$16,MATCH($F104,'CFOG'!$B$10:$B$16,0))),"N/A")</f>
        <v/>
      </c>
      <c r="O104" s="52">
        <f>IFERROR(IF(INDEX('CFOG'!$O$23:$O$24,MATCH($F104,'CFOG'!$B$23:$B$24,0))="","Cell will autofill based on response",INDEX('CFOG'!$O$23:$O$24,MATCH($F104,'CFOG'!$B$23:$B$24,0))),"N/A")</f>
        <v/>
      </c>
      <c r="P104" s="52">
        <f>IFERROR(IF(INDEX('ESG'!$O$10:$O$17,MATCH($F104,'ESG'!$B$10:$B$17,0))="","Cell will autofill based on response",INDEX('ESG'!$O$10:$O$17,MATCH($F104,'ESG'!$B$10:$B$17,0))),"N/A")</f>
        <v/>
      </c>
      <c r="Q104" s="52">
        <f>IFERROR(IF(INDEX('CIOG'!$O$10:$O$14,MATCH($F104,'CIOG'!$B$10:$B$14,0))="","Cell will autofill based on response",INDEX('CIOG'!$O$10:$O$14,MATCH($F104,'CIOG'!$B$10:$B$14,0))),"N/A")</f>
        <v/>
      </c>
      <c r="R104" s="52">
        <f>IFERROR(IF(INDEX('MRE'!$O$10:$O$18,MATCH($F104,'MRE'!$B$10:$B$18,0))="","Cell will autofill based on response",INDEX('MRE'!$O$10:$O$18,MATCH($F104,'MRE'!$B$10:$B$18,0))),"N/A")</f>
        <v/>
      </c>
      <c r="S104" s="52">
        <f>IFERROR(IF(INDEX('AC&amp;M'!$O$10:$O$14,MATCH($F104,'AC&amp;M'!$B$10:$B$14,0))="","Cell will autofill based on response",INDEX('AC&amp;M'!$O$10:$O$14,MATCH($F104,'AC&amp;M'!$B$10:$B$14,0))),"N/A")</f>
        <v/>
      </c>
      <c r="T104" s="52">
        <f>IFERROR(IF(INDEX('GCE'!$O$10:$O$12,MATCH($F104,'GCE'!$B$10:$B$12,0))="","Cell will autofill based on response",INDEX('GCE'!$O$10:$O$12,MATCH($F104,'GCE'!$B$10:$B$12,0))),"N/A")</f>
        <v/>
      </c>
      <c r="U104" s="52">
        <f>IFERROR(IF(INDEX('Education'!$O$10:$O$13,MATCH($F104,'Education'!$B$10:$B$13,0))="","Cell will autofill based on response",INDEX('Education'!$O$10:$O$13,MATCH($F104,'Education'!$B$10:$B$13,0))),"N/A")</f>
        <v/>
      </c>
      <c r="V104" s="52">
        <f>IFERROR(IF(INDEX('SaSS'!$O$10:$O$12,MATCH($F104,'SaSS'!$B$10:$B$12,0))="","Cell will autofill based on response",INDEX('SaSS'!$O$10:$O$12,MATCH($F104,'SaSS'!$B$10:$B$12,0))),"N/A")</f>
        <v/>
      </c>
      <c r="W104" s="52">
        <f>IFERROR(IF(INDEX('Indigenous'!$O$10:$O$11,MATCH($F104,'Indigenous'!$B$10:$B$11,0))="","Cell will autofill based on response",INDEX('Indigenous'!$O$10:$O$11,MATCH($F104,'Indigenous'!$B$10:$B$11,0))),"N/A")</f>
        <v/>
      </c>
      <c r="X104" s="52">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CL3(a)</t>
        </is>
      </c>
      <c r="G105" s="8" t="inlineStr">
        <is>
          <t>Data owner confirms</t>
        </is>
      </c>
      <c r="H105" s="52">
        <f>IFERROR(IF(INDEX('Faculties'!$P$10:$P$19,MATCH($F105,'Faculties'!$B$10:$B$19,0))="","Cell will autofill based on response",INDEX('Faculties'!$P$10:$P$19,MATCH($F105,'Faculties'!$B$10:$B$19,0))),"N/A")</f>
        <v/>
      </c>
      <c r="I105" s="52">
        <f>IFERROR(IF(INDEX('Faculties'!$P$26:$P$35,MATCH($F105,'Faculties'!$B$26:$B$35,0))="","Cell will autofill based on response",INDEX('Faculties'!$P$26:$P$35,MATCH($F105,'Faculties'!$B$26:$B$35,0))),"N/A")</f>
        <v/>
      </c>
      <c r="J105" s="52">
        <f>IFERROR(IF(INDEX('Faculties'!$P$42:$P$51,MATCH($F105,'Faculties'!$B$42:$B$51,0))="","Cell will autofill based on response",INDEX('Faculties'!$P$42:$P$51,MATCH($F105,'Faculties'!$B$42:$B$51,0))),"N/A")</f>
        <v/>
      </c>
      <c r="K105" s="52">
        <f>IFERROR(IF(INDEX('Faculties'!$P$58:$P$67,MATCH($F105,'Faculties'!$B$58:$B$67,0))="","Cell will autofill based on response",INDEX('Faculties'!$P$58:$P$67,MATCH($F105,'Faculties'!$B$58:$B$67,0))),"N/A")</f>
        <v/>
      </c>
      <c r="L105" s="52">
        <f>IFERROR(IF(INDEX('CI&amp;S'!$P$10:$P$15,MATCH($F105,'CI&amp;S'!$B$10:$B$15,0))="","Cell will autofill based on response",INDEX('CI&amp;S'!$P$10:$P$15,MATCH($F105,'CI&amp;S'!$B$10:$B$15,0))),"N/A")</f>
        <v/>
      </c>
      <c r="M105" s="52">
        <f>IFERROR(IF(INDEX('CI&amp;S'!$P$22:$P$36,MATCH($F105,'CI&amp;S'!$B$22:$B$36,0))="","Cell will autofill based on response",INDEX('CI&amp;S'!$P$22:$P$36,MATCH($F105,'CI&amp;S'!$B$22:$B$36,0))),"N/A")</f>
        <v/>
      </c>
      <c r="N105" s="52">
        <f>IFERROR(IF(INDEX('CFOG'!$P$10:$P$16,MATCH($F105,'CFOG'!$B$10:$B$16,0))="","Cell will autofill based on response",INDEX('CFOG'!$P$10:$P$16,MATCH($F105,'CFOG'!$B$10:$B$16,0))),"N/A")</f>
        <v/>
      </c>
      <c r="O105" s="52">
        <f>IFERROR(IF(INDEX('CFOG'!$P$23:$P$24,MATCH($F105,'CFOG'!$B$23:$B$24,0))="","Cell will autofill based on response",INDEX('CFOG'!$P$23:$P$24,MATCH($F105,'CFOG'!$B$23:$B$24,0))),"N/A")</f>
        <v/>
      </c>
      <c r="P105" s="52">
        <f>IFERROR(IF(INDEX('ESG'!$P$10:$P$17,MATCH($F105,'ESG'!$B$10:$B$17,0))="","Cell will autofill based on response",INDEX('ESG'!$P$10:$P$17,MATCH($F105,'ESG'!$B$10:$B$17,0))),"N/A")</f>
        <v/>
      </c>
      <c r="Q105" s="52">
        <f>IFERROR(IF(INDEX('CIOG'!$P$10:$P$14,MATCH($F105,'CIOG'!$B$10:$B$14,0))="","Cell will autofill based on response",INDEX('CIOG'!$P$10:$P$14,MATCH($F105,'CIOG'!$B$10:$B$14,0))),"N/A")</f>
        <v/>
      </c>
      <c r="R105" s="52">
        <f>IFERROR(IF(INDEX('MRE'!$P$10:$P$18,MATCH($F105,'MRE'!$B$10:$B$18,0))="","Cell will autofill based on response",INDEX('MRE'!$P$10:$P$18,MATCH($F105,'MRE'!$B$10:$B$18,0))),"N/A")</f>
        <v/>
      </c>
      <c r="S105" s="52">
        <f>IFERROR(IF(INDEX('AC&amp;M'!$P$10:$P$14,MATCH($F105,'AC&amp;M'!$B$10:$B$14,0))="","Cell will autofill based on response",INDEX('AC&amp;M'!$P$10:$P$14,MATCH($F105,'AC&amp;M'!$B$10:$B$14,0))),"N/A")</f>
        <v/>
      </c>
      <c r="T105" s="52">
        <f>IFERROR(IF(INDEX('GCE'!$P$10:$P$12,MATCH($F105,'GCE'!$B$10:$B$12,0))="","Cell will autofill based on response",INDEX('GCE'!$P$10:$P$12,MATCH($F105,'GCE'!$B$10:$B$12,0))),"N/A")</f>
        <v/>
      </c>
      <c r="U105" s="52">
        <f>IFERROR(IF(INDEX('Education'!$P$10:$P$13,MATCH($F105,'Education'!$B$10:$B$13,0))="","Cell will autofill based on response",INDEX('Education'!$P$10:$P$13,MATCH($F105,'Education'!$B$10:$B$13,0))),"N/A")</f>
        <v/>
      </c>
      <c r="V105" s="52">
        <f>IFERROR(IF(INDEX('SaSS'!$P$10:$P$12,MATCH($F105,'SaSS'!$B$10:$B$12,0))="","Cell will autofill based on response",INDEX('SaSS'!$P$10:$P$12,MATCH($F105,'SaSS'!$B$10:$B$12,0))),"N/A")</f>
        <v/>
      </c>
      <c r="W105" s="52">
        <f>IFERROR(IF(INDEX('Indigenous'!$P$10:$P$11,MATCH($F105,'Indigenous'!$B$10:$B$11,0))="","Cell will autofill based on response",INDEX('Indigenous'!$P$10:$P$11,MATCH($F105,'Indigenous'!$B$10:$B$11,0))),"N/A")</f>
        <v/>
      </c>
      <c r="X105" s="52">
        <f>IFERROR(IF(INDEX('L&amp;R'!$P$10:$P$11,MATCH($F105,'L&amp;R'!$B$10:$B$11,0))="","Cell will autofill based on response",INDEX('L&amp;R'!$P$10:$P$11,MATCH($F105,'L&amp;R'!$B$10:$B$11,0))),"N/A")</f>
        <v/>
      </c>
    </row>
    <row r="106">
      <c r="A106">
        <f>F106&amp;"|"&amp;G106</f>
        <v/>
      </c>
      <c r="B106" s="7" t="inlineStr">
        <is>
          <t>NB1(b)</t>
        </is>
      </c>
      <c r="C106" s="50" t="inlineStr">
        <is>
          <t>Nature and biodiversity</t>
        </is>
      </c>
      <c r="D106" s="50" t="inlineStr">
        <is>
          <t>Size, health and diversity of remnant vegetation at the Dookie and Creswick campuses</t>
        </is>
      </c>
      <c r="E106" s="50" t="inlineStr"/>
      <c r="F106" s="50" t="inlineStr">
        <is>
          <t>NB1(b)</t>
        </is>
      </c>
      <c r="G106" s="50" t="inlineStr">
        <is>
          <t>OPTION 1:  Target-level reporting</t>
        </is>
      </c>
      <c r="H106" s="52">
        <f>IFERROR(IF(INDEX('Faculties'!$L$10:$L$19,MATCH($F106,'Faculties'!$B$10:$B$19,0))="","Cell will autofill based on response",INDEX('Faculties'!$L$10:$L$19,MATCH($F106,'Faculties'!$B$10:$B$19,0))),"N/A")</f>
        <v/>
      </c>
      <c r="I106" s="52">
        <f>IFERROR(IF(INDEX('Faculties'!$L$26:$L$35,MATCH($F106,'Faculties'!$B$26:$B$35,0))="","Cell will autofill based on response",INDEX('Faculties'!$L$26:$L$35,MATCH($F106,'Faculties'!$B$26:$B$35,0))),"N/A")</f>
        <v/>
      </c>
      <c r="J106" s="52">
        <f>IFERROR(IF(INDEX('Faculties'!$L$42:$L$51,MATCH($F106,'Faculties'!$B$42:$B$51,0))="","Cell will autofill based on response",INDEX('Faculties'!$L$42:$L$51,MATCH($F106,'Faculties'!$B$42:$B$51,0))),"N/A")</f>
        <v/>
      </c>
      <c r="K106" s="52">
        <f>IFERROR(IF(INDEX('Faculties'!$L$58:$L$67,MATCH($F106,'Faculties'!$B$58:$B$67,0))="","Cell will autofill based on response",INDEX('Faculties'!$L$58:$L$67,MATCH($F106,'Faculties'!$B$58:$B$67,0))),"N/A")</f>
        <v/>
      </c>
      <c r="L106" s="52">
        <f>IFERROR(IF(INDEX('CI&amp;S'!$L$10:$L$15,MATCH($F106,'CI&amp;S'!$B$10:$B$15,0))="","Cell will autofill based on response",INDEX('CI&amp;S'!$L$10:$L$15,MATCH($F106,'CI&amp;S'!$B$10:$B$15,0))),"N/A")</f>
        <v/>
      </c>
      <c r="M106" s="52">
        <f>IFERROR(IF(INDEX('CI&amp;S'!$L$22:$L$36,MATCH($F106,'CI&amp;S'!$B$22:$B$36,0))="","Cell will autofill based on response",INDEX('CI&amp;S'!$L$22:$L$36,MATCH($F106,'CI&amp;S'!$B$22:$B$36,0))),"N/A")</f>
        <v/>
      </c>
      <c r="N106" s="52">
        <f>IFERROR(IF(INDEX('CFOG'!$L$10:$L$16,MATCH($F106,'CFOG'!$B$10:$B$16,0))="","Cell will autofill based on response",INDEX('CFOG'!$L$10:$L$16,MATCH($F106,'CFOG'!$B$10:$B$16,0))),"N/A")</f>
        <v/>
      </c>
      <c r="O106" s="52">
        <f>IFERROR(IF(INDEX('CFOG'!$L$23:$L$24,MATCH($F106,'CFOG'!$B$23:$B$24,0))="","Cell will autofill based on response",INDEX('CFOG'!$L$23:$L$24,MATCH($F106,'CFOG'!$B$23:$B$24,0))),"N/A")</f>
        <v/>
      </c>
      <c r="P106" s="52">
        <f>IFERROR(IF(INDEX('ESG'!$L$10:$L$17,MATCH($F106,'ESG'!$B$10:$B$17,0))="","Cell will autofill based on response",INDEX('ESG'!$L$10:$L$17,MATCH($F106,'ESG'!$B$10:$B$17,0))),"N/A")</f>
        <v/>
      </c>
      <c r="Q106" s="52">
        <f>IFERROR(IF(INDEX('CIOG'!$L$10:$L$14,MATCH($F106,'CIOG'!$B$10:$B$14,0))="","Cell will autofill based on response",INDEX('CIOG'!$L$10:$L$14,MATCH($F106,'CIOG'!$B$10:$B$14,0))),"N/A")</f>
        <v/>
      </c>
      <c r="R106" s="52">
        <f>IFERROR(IF(INDEX('MRE'!$L$10:$L$18,MATCH($F106,'MRE'!$B$10:$B$18,0))="","Cell will autofill based on response",INDEX('MRE'!$L$10:$L$18,MATCH($F106,'MRE'!$B$10:$B$18,0))),"N/A")</f>
        <v/>
      </c>
      <c r="S106" s="52">
        <f>IFERROR(IF(INDEX('AC&amp;M'!$L$10:$L$14,MATCH($F106,'AC&amp;M'!$B$10:$B$14,0))="","Cell will autofill based on response",INDEX('AC&amp;M'!$L$10:$L$14,MATCH($F106,'AC&amp;M'!$B$10:$B$14,0))),"N/A")</f>
        <v/>
      </c>
      <c r="T106" s="52">
        <f>IFERROR(IF(INDEX('GCE'!$L$10:$L$12,MATCH($F106,'GCE'!$B$10:$B$12,0))="","Cell will autofill based on response",INDEX('GCE'!$L$10:$L$12,MATCH($F106,'GCE'!$B$10:$B$12,0))),"N/A")</f>
        <v/>
      </c>
      <c r="U106" s="52">
        <f>IFERROR(IF(INDEX('Education'!$L$10:$L$13,MATCH($F106,'Education'!$B$10:$B$13,0))="","Cell will autofill based on response",INDEX('Education'!$L$10:$L$13,MATCH($F106,'Education'!$B$10:$B$13,0))),"N/A")</f>
        <v/>
      </c>
      <c r="V106" s="52">
        <f>IFERROR(IF(INDEX('SaSS'!$L$10:$L$12,MATCH($F106,'SaSS'!$B$10:$B$12,0))="","Cell will autofill based on response",INDEX('SaSS'!$L$10:$L$12,MATCH($F106,'SaSS'!$B$10:$B$12,0))),"N/A")</f>
        <v/>
      </c>
      <c r="W106" s="52">
        <f>IFERROR(IF(INDEX('Indigenous'!$L$10:$L$11,MATCH($F106,'Indigenous'!$B$10:$B$11,0))="","Cell will autofill based on response",INDEX('Indigenous'!$L$10:$L$11,MATCH($F106,'Indigenous'!$B$10:$B$11,0))),"N/A")</f>
        <v/>
      </c>
      <c r="X106" s="52">
        <f>IFERROR(IF(INDEX('L&amp;R'!$L$10:$L$11,MATCH($F106,'L&amp;R'!$B$10:$B$11,0))="","Cell will autofill based on response",INDEX('L&amp;R'!$L$10:$L$11,MATCH($F106,'L&amp;R'!$B$10:$B$11,0))),"N/A")</f>
        <v/>
      </c>
      <c r="Z106" s="10">
        <f>SUMPRODUCT(--($H106:$X106&lt;&gt;"N/A"))</f>
        <v/>
      </c>
      <c r="AA106" s="10">
        <f>SUMPRODUCT(--(((($H106:$X106&lt;&gt;"N/A")*($H106:$X106&lt;&gt;"Cell will autofill based on response"))+(($H107:$X107&lt;&gt;"N/A")*($H107:$X107&lt;&gt;"Cell will autofill based on response")))&gt;0))</f>
        <v/>
      </c>
      <c r="AB106" s="10">
        <f>Z106-AA106</f>
        <v/>
      </c>
      <c r="AC106" s="10">
        <f>COUNTIF($H110:$X110,"Yes")</f>
        <v/>
      </c>
    </row>
    <row r="107">
      <c r="A107">
        <f>F107&amp;"|"&amp;G107</f>
        <v/>
      </c>
      <c r="B107" s="13" t="inlineStr"/>
      <c r="C107" s="8" t="inlineStr"/>
      <c r="D107" s="8" t="inlineStr"/>
      <c r="E107" s="8" t="inlineStr"/>
      <c r="F107" s="8" t="inlineStr">
        <is>
          <t>NB1(b)</t>
        </is>
      </c>
      <c r="G107" s="8" t="inlineStr">
        <is>
          <t>OPTION 2:  Indicator level reporting</t>
        </is>
      </c>
      <c r="H107" s="52">
        <f>IFERROR(IF(INDEX('Faculties'!$M$10:$M$19,MATCH($F107,'Faculties'!$B$10:$B$19,0))="","Cell will autofill based on response",INDEX('Faculties'!$M$10:$M$19,MATCH($F107,'Faculties'!$B$10:$B$19,0))),"N/A")</f>
        <v/>
      </c>
      <c r="I107" s="52">
        <f>IFERROR(IF(INDEX('Faculties'!$M$26:$M$35,MATCH($F107,'Faculties'!$B$26:$B$35,0))="","Cell will autofill based on response",INDEX('Faculties'!$M$26:$M$35,MATCH($F107,'Faculties'!$B$26:$B$35,0))),"N/A")</f>
        <v/>
      </c>
      <c r="J107" s="52">
        <f>IFERROR(IF(INDEX('Faculties'!$M$42:$M$51,MATCH($F107,'Faculties'!$B$42:$B$51,0))="","Cell will autofill based on response",INDEX('Faculties'!$M$42:$M$51,MATCH($F107,'Faculties'!$B$42:$B$51,0))),"N/A")</f>
        <v/>
      </c>
      <c r="K107" s="52">
        <f>IFERROR(IF(INDEX('Faculties'!$M$58:$M$67,MATCH($F107,'Faculties'!$B$58:$B$67,0))="","Cell will autofill based on response",INDEX('Faculties'!$M$58:$M$67,MATCH($F107,'Faculties'!$B$58:$B$67,0))),"N/A")</f>
        <v/>
      </c>
      <c r="L107" s="52">
        <f>IFERROR(IF(INDEX('CI&amp;S'!$M$10:$M$15,MATCH($F107,'CI&amp;S'!$B$10:$B$15,0))="","Cell will autofill based on response",INDEX('CI&amp;S'!$M$10:$M$15,MATCH($F107,'CI&amp;S'!$B$10:$B$15,0))),"N/A")</f>
        <v/>
      </c>
      <c r="M107" s="52">
        <f>IFERROR(IF(INDEX('CI&amp;S'!$M$22:$M$36,MATCH($F107,'CI&amp;S'!$B$22:$B$36,0))="","Cell will autofill based on response",INDEX('CI&amp;S'!$M$22:$M$36,MATCH($F107,'CI&amp;S'!$B$22:$B$36,0))),"N/A")</f>
        <v/>
      </c>
      <c r="N107" s="52">
        <f>IFERROR(IF(INDEX('CFOG'!$M$10:$M$16,MATCH($F107,'CFOG'!$B$10:$B$16,0))="","Cell will autofill based on response",INDEX('CFOG'!$M$10:$M$16,MATCH($F107,'CFOG'!$B$10:$B$16,0))),"N/A")</f>
        <v/>
      </c>
      <c r="O107" s="52">
        <f>IFERROR(IF(INDEX('CFOG'!$M$23:$M$24,MATCH($F107,'CFOG'!$B$23:$B$24,0))="","Cell will autofill based on response",INDEX('CFOG'!$M$23:$M$24,MATCH($F107,'CFOG'!$B$23:$B$24,0))),"N/A")</f>
        <v/>
      </c>
      <c r="P107" s="52">
        <f>IFERROR(IF(INDEX('ESG'!$M$10:$M$17,MATCH($F107,'ESG'!$B$10:$B$17,0))="","Cell will autofill based on response",INDEX('ESG'!$M$10:$M$17,MATCH($F107,'ESG'!$B$10:$B$17,0))),"N/A")</f>
        <v/>
      </c>
      <c r="Q107" s="52">
        <f>IFERROR(IF(INDEX('CIOG'!$M$10:$M$14,MATCH($F107,'CIOG'!$B$10:$B$14,0))="","Cell will autofill based on response",INDEX('CIOG'!$M$10:$M$14,MATCH($F107,'CIOG'!$B$10:$B$14,0))),"N/A")</f>
        <v/>
      </c>
      <c r="R107" s="52">
        <f>IFERROR(IF(INDEX('MRE'!$M$10:$M$18,MATCH($F107,'MRE'!$B$10:$B$18,0))="","Cell will autofill based on response",INDEX('MRE'!$M$10:$M$18,MATCH($F107,'MRE'!$B$10:$B$18,0))),"N/A")</f>
        <v/>
      </c>
      <c r="S107" s="52">
        <f>IFERROR(IF(INDEX('AC&amp;M'!$M$10:$M$14,MATCH($F107,'AC&amp;M'!$B$10:$B$14,0))="","Cell will autofill based on response",INDEX('AC&amp;M'!$M$10:$M$14,MATCH($F107,'AC&amp;M'!$B$10:$B$14,0))),"N/A")</f>
        <v/>
      </c>
      <c r="T107" s="52">
        <f>IFERROR(IF(INDEX('GCE'!$M$10:$M$12,MATCH($F107,'GCE'!$B$10:$B$12,0))="","Cell will autofill based on response",INDEX('GCE'!$M$10:$M$12,MATCH($F107,'GCE'!$B$10:$B$12,0))),"N/A")</f>
        <v/>
      </c>
      <c r="U107" s="52">
        <f>IFERROR(IF(INDEX('Education'!$M$10:$M$13,MATCH($F107,'Education'!$B$10:$B$13,0))="","Cell will autofill based on response",INDEX('Education'!$M$10:$M$13,MATCH($F107,'Education'!$B$10:$B$13,0))),"N/A")</f>
        <v/>
      </c>
      <c r="V107" s="52">
        <f>IFERROR(IF(INDEX('SaSS'!$M$10:$M$12,MATCH($F107,'SaSS'!$B$10:$B$12,0))="","Cell will autofill based on response",INDEX('SaSS'!$M$10:$M$12,MATCH($F107,'SaSS'!$B$10:$B$12,0))),"N/A")</f>
        <v/>
      </c>
      <c r="W107" s="52">
        <f>IFERROR(IF(INDEX('Indigenous'!$M$10:$M$11,MATCH($F107,'Indigenous'!$B$10:$B$11,0))="","Cell will autofill based on response",INDEX('Indigenous'!$M$10:$M$11,MATCH($F107,'Indigenous'!$B$10:$B$11,0))),"N/A")</f>
        <v/>
      </c>
      <c r="X107" s="52">
        <f>IFERROR(IF(INDEX('L&amp;R'!$M$10:$M$11,MATCH($F107,'L&amp;R'!$B$10:$B$11,0))="","Cell will autofill based on response",INDEX('L&amp;R'!$M$10:$M$11,MATCH($F107,'L&amp;R'!$B$10:$B$11,0))),"N/A")</f>
        <v/>
      </c>
    </row>
    <row r="108">
      <c r="A108">
        <f>F108&amp;"|"&amp;G108</f>
        <v/>
      </c>
      <c r="B108" s="13" t="inlineStr"/>
      <c r="C108" s="8" t="inlineStr"/>
      <c r="D108" s="8" t="inlineStr"/>
      <c r="E108" s="8" t="inlineStr"/>
      <c r="F108" s="8" t="inlineStr">
        <is>
          <t>NB1(b)</t>
        </is>
      </c>
      <c r="G108" s="8" t="inlineStr">
        <is>
          <t>Supporting information/comments</t>
        </is>
      </c>
      <c r="H108" s="52">
        <f>IFERROR(IF(INDEX('Faculties'!$N$10:$N$19,MATCH($F108,'Faculties'!$B$10:$B$19,0))="","Cell will autofill based on response",INDEX('Faculties'!$N$10:$N$19,MATCH($F108,'Faculties'!$B$10:$B$19,0))),"N/A")</f>
        <v/>
      </c>
      <c r="I108" s="52">
        <f>IFERROR(IF(INDEX('Faculties'!$N$26:$N$35,MATCH($F108,'Faculties'!$B$26:$B$35,0))="","Cell will autofill based on response",INDEX('Faculties'!$N$26:$N$35,MATCH($F108,'Faculties'!$B$26:$B$35,0))),"N/A")</f>
        <v/>
      </c>
      <c r="J108" s="52">
        <f>IFERROR(IF(INDEX('Faculties'!$N$42:$N$51,MATCH($F108,'Faculties'!$B$42:$B$51,0))="","Cell will autofill based on response",INDEX('Faculties'!$N$42:$N$51,MATCH($F108,'Faculties'!$B$42:$B$51,0))),"N/A")</f>
        <v/>
      </c>
      <c r="K108" s="52">
        <f>IFERROR(IF(INDEX('Faculties'!$N$58:$N$67,MATCH($F108,'Faculties'!$B$58:$B$67,0))="","Cell will autofill based on response",INDEX('Faculties'!$N$58:$N$67,MATCH($F108,'Faculties'!$B$58:$B$67,0))),"N/A")</f>
        <v/>
      </c>
      <c r="L108" s="52">
        <f>IFERROR(IF(INDEX('CI&amp;S'!$N$10:$N$15,MATCH($F108,'CI&amp;S'!$B$10:$B$15,0))="","Cell will autofill based on response",INDEX('CI&amp;S'!$N$10:$N$15,MATCH($F108,'CI&amp;S'!$B$10:$B$15,0))),"N/A")</f>
        <v/>
      </c>
      <c r="M108" s="52">
        <f>IFERROR(IF(INDEX('CI&amp;S'!$N$22:$N$36,MATCH($F108,'CI&amp;S'!$B$22:$B$36,0))="","Cell will autofill based on response",INDEX('CI&amp;S'!$N$22:$N$36,MATCH($F108,'CI&amp;S'!$B$22:$B$36,0))),"N/A")</f>
        <v/>
      </c>
      <c r="N108" s="52">
        <f>IFERROR(IF(INDEX('CFOG'!$N$10:$N$16,MATCH($F108,'CFOG'!$B$10:$B$16,0))="","Cell will autofill based on response",INDEX('CFOG'!$N$10:$N$16,MATCH($F108,'CFOG'!$B$10:$B$16,0))),"N/A")</f>
        <v/>
      </c>
      <c r="O108" s="52">
        <f>IFERROR(IF(INDEX('CFOG'!$N$23:$N$24,MATCH($F108,'CFOG'!$B$23:$B$24,0))="","Cell will autofill based on response",INDEX('CFOG'!$N$23:$N$24,MATCH($F108,'CFOG'!$B$23:$B$24,0))),"N/A")</f>
        <v/>
      </c>
      <c r="P108" s="52">
        <f>IFERROR(IF(INDEX('ESG'!$N$10:$N$17,MATCH($F108,'ESG'!$B$10:$B$17,0))="","Cell will autofill based on response",INDEX('ESG'!$N$10:$N$17,MATCH($F108,'ESG'!$B$10:$B$17,0))),"N/A")</f>
        <v/>
      </c>
      <c r="Q108" s="52">
        <f>IFERROR(IF(INDEX('CIOG'!$N$10:$N$14,MATCH($F108,'CIOG'!$B$10:$B$14,0))="","Cell will autofill based on response",INDEX('CIOG'!$N$10:$N$14,MATCH($F108,'CIOG'!$B$10:$B$14,0))),"N/A")</f>
        <v/>
      </c>
      <c r="R108" s="52">
        <f>IFERROR(IF(INDEX('MRE'!$N$10:$N$18,MATCH($F108,'MRE'!$B$10:$B$18,0))="","Cell will autofill based on response",INDEX('MRE'!$N$10:$N$18,MATCH($F108,'MRE'!$B$10:$B$18,0))),"N/A")</f>
        <v/>
      </c>
      <c r="S108" s="52">
        <f>IFERROR(IF(INDEX('AC&amp;M'!$N$10:$N$14,MATCH($F108,'AC&amp;M'!$B$10:$B$14,0))="","Cell will autofill based on response",INDEX('AC&amp;M'!$N$10:$N$14,MATCH($F108,'AC&amp;M'!$B$10:$B$14,0))),"N/A")</f>
        <v/>
      </c>
      <c r="T108" s="52">
        <f>IFERROR(IF(INDEX('GCE'!$N$10:$N$12,MATCH($F108,'GCE'!$B$10:$B$12,0))="","Cell will autofill based on response",INDEX('GCE'!$N$10:$N$12,MATCH($F108,'GCE'!$B$10:$B$12,0))),"N/A")</f>
        <v/>
      </c>
      <c r="U108" s="52">
        <f>IFERROR(IF(INDEX('Education'!$N$10:$N$13,MATCH($F108,'Education'!$B$10:$B$13,0))="","Cell will autofill based on response",INDEX('Education'!$N$10:$N$13,MATCH($F108,'Education'!$B$10:$B$13,0))),"N/A")</f>
        <v/>
      </c>
      <c r="V108" s="52">
        <f>IFERROR(IF(INDEX('SaSS'!$N$10:$N$12,MATCH($F108,'SaSS'!$B$10:$B$12,0))="","Cell will autofill based on response",INDEX('SaSS'!$N$10:$N$12,MATCH($F108,'SaSS'!$B$10:$B$12,0))),"N/A")</f>
        <v/>
      </c>
      <c r="W108" s="52">
        <f>IFERROR(IF(INDEX('Indigenous'!$N$10:$N$11,MATCH($F108,'Indigenous'!$B$10:$B$11,0))="","Cell will autofill based on response",INDEX('Indigenous'!$N$10:$N$11,MATCH($F108,'Indigenous'!$B$10:$B$11,0))),"N/A")</f>
        <v/>
      </c>
      <c r="X108" s="52">
        <f>IFERROR(IF(INDEX('L&amp;R'!$N$10:$N$11,MATCH($F108,'L&amp;R'!$B$10:$B$11,0))="","Cell will autofill based on response",INDEX('L&amp;R'!$N$10:$N$11,MATCH($F108,'L&amp;R'!$B$10:$B$11,0))),"N/A")</f>
        <v/>
      </c>
    </row>
    <row r="109">
      <c r="A109">
        <f>F109&amp;"|"&amp;G109</f>
        <v/>
      </c>
      <c r="B109" s="13" t="inlineStr"/>
      <c r="C109" s="8" t="inlineStr"/>
      <c r="D109" s="8" t="inlineStr"/>
      <c r="E109" s="8" t="inlineStr"/>
      <c r="F109" s="8" t="inlineStr">
        <is>
          <t>NB1(b)</t>
        </is>
      </c>
      <c r="G109" s="8" t="inlineStr">
        <is>
          <t>Data source and limitations</t>
        </is>
      </c>
      <c r="H109" s="52">
        <f>IFERROR(IF(INDEX('Faculties'!$O$10:$O$19,MATCH($F109,'Faculties'!$B$10:$B$19,0))="","Cell will autofill based on response",INDEX('Faculties'!$O$10:$O$19,MATCH($F109,'Faculties'!$B$10:$B$19,0))),"N/A")</f>
        <v/>
      </c>
      <c r="I109" s="52">
        <f>IFERROR(IF(INDEX('Faculties'!$O$26:$O$35,MATCH($F109,'Faculties'!$B$26:$B$35,0))="","Cell will autofill based on response",INDEX('Faculties'!$O$26:$O$35,MATCH($F109,'Faculties'!$B$26:$B$35,0))),"N/A")</f>
        <v/>
      </c>
      <c r="J109" s="52">
        <f>IFERROR(IF(INDEX('Faculties'!$O$42:$O$51,MATCH($F109,'Faculties'!$B$42:$B$51,0))="","Cell will autofill based on response",INDEX('Faculties'!$O$42:$O$51,MATCH($F109,'Faculties'!$B$42:$B$51,0))),"N/A")</f>
        <v/>
      </c>
      <c r="K109" s="52">
        <f>IFERROR(IF(INDEX('Faculties'!$O$58:$O$67,MATCH($F109,'Faculties'!$B$58:$B$67,0))="","Cell will autofill based on response",INDEX('Faculties'!$O$58:$O$67,MATCH($F109,'Faculties'!$B$58:$B$67,0))),"N/A")</f>
        <v/>
      </c>
      <c r="L109" s="52">
        <f>IFERROR(IF(INDEX('CI&amp;S'!$O$10:$O$15,MATCH($F109,'CI&amp;S'!$B$10:$B$15,0))="","Cell will autofill based on response",INDEX('CI&amp;S'!$O$10:$O$15,MATCH($F109,'CI&amp;S'!$B$10:$B$15,0))),"N/A")</f>
        <v/>
      </c>
      <c r="M109" s="52">
        <f>IFERROR(IF(INDEX('CI&amp;S'!$O$22:$O$36,MATCH($F109,'CI&amp;S'!$B$22:$B$36,0))="","Cell will autofill based on response",INDEX('CI&amp;S'!$O$22:$O$36,MATCH($F109,'CI&amp;S'!$B$22:$B$36,0))),"N/A")</f>
        <v/>
      </c>
      <c r="N109" s="52">
        <f>IFERROR(IF(INDEX('CFOG'!$O$10:$O$16,MATCH($F109,'CFOG'!$B$10:$B$16,0))="","Cell will autofill based on response",INDEX('CFOG'!$O$10:$O$16,MATCH($F109,'CFOG'!$B$10:$B$16,0))),"N/A")</f>
        <v/>
      </c>
      <c r="O109" s="52">
        <f>IFERROR(IF(INDEX('CFOG'!$O$23:$O$24,MATCH($F109,'CFOG'!$B$23:$B$24,0))="","Cell will autofill based on response",INDEX('CFOG'!$O$23:$O$24,MATCH($F109,'CFOG'!$B$23:$B$24,0))),"N/A")</f>
        <v/>
      </c>
      <c r="P109" s="52">
        <f>IFERROR(IF(INDEX('ESG'!$O$10:$O$17,MATCH($F109,'ESG'!$B$10:$B$17,0))="","Cell will autofill based on response",INDEX('ESG'!$O$10:$O$17,MATCH($F109,'ESG'!$B$10:$B$17,0))),"N/A")</f>
        <v/>
      </c>
      <c r="Q109" s="52">
        <f>IFERROR(IF(INDEX('CIOG'!$O$10:$O$14,MATCH($F109,'CIOG'!$B$10:$B$14,0))="","Cell will autofill based on response",INDEX('CIOG'!$O$10:$O$14,MATCH($F109,'CIOG'!$B$10:$B$14,0))),"N/A")</f>
        <v/>
      </c>
      <c r="R109" s="52">
        <f>IFERROR(IF(INDEX('MRE'!$O$10:$O$18,MATCH($F109,'MRE'!$B$10:$B$18,0))="","Cell will autofill based on response",INDEX('MRE'!$O$10:$O$18,MATCH($F109,'MRE'!$B$10:$B$18,0))),"N/A")</f>
        <v/>
      </c>
      <c r="S109" s="52">
        <f>IFERROR(IF(INDEX('AC&amp;M'!$O$10:$O$14,MATCH($F109,'AC&amp;M'!$B$10:$B$14,0))="","Cell will autofill based on response",INDEX('AC&amp;M'!$O$10:$O$14,MATCH($F109,'AC&amp;M'!$B$10:$B$14,0))),"N/A")</f>
        <v/>
      </c>
      <c r="T109" s="52">
        <f>IFERROR(IF(INDEX('GCE'!$O$10:$O$12,MATCH($F109,'GCE'!$B$10:$B$12,0))="","Cell will autofill based on response",INDEX('GCE'!$O$10:$O$12,MATCH($F109,'GCE'!$B$10:$B$12,0))),"N/A")</f>
        <v/>
      </c>
      <c r="U109" s="52">
        <f>IFERROR(IF(INDEX('Education'!$O$10:$O$13,MATCH($F109,'Education'!$B$10:$B$13,0))="","Cell will autofill based on response",INDEX('Education'!$O$10:$O$13,MATCH($F109,'Education'!$B$10:$B$13,0))),"N/A")</f>
        <v/>
      </c>
      <c r="V109" s="52">
        <f>IFERROR(IF(INDEX('SaSS'!$O$10:$O$12,MATCH($F109,'SaSS'!$B$10:$B$12,0))="","Cell will autofill based on response",INDEX('SaSS'!$O$10:$O$12,MATCH($F109,'SaSS'!$B$10:$B$12,0))),"N/A")</f>
        <v/>
      </c>
      <c r="W109" s="52">
        <f>IFERROR(IF(INDEX('Indigenous'!$O$10:$O$11,MATCH($F109,'Indigenous'!$B$10:$B$11,0))="","Cell will autofill based on response",INDEX('Indigenous'!$O$10:$O$11,MATCH($F109,'Indigenous'!$B$10:$B$11,0))),"N/A")</f>
        <v/>
      </c>
      <c r="X109" s="52">
        <f>IFERROR(IF(INDEX('L&amp;R'!$O$10:$O$11,MATCH($F109,'L&amp;R'!$B$10:$B$11,0))="","Cell will autofill based on response",INDEX('L&amp;R'!$O$10:$O$11,MATCH($F109,'L&amp;R'!$B$10:$B$11,0))),"N/A")</f>
        <v/>
      </c>
    </row>
    <row r="110">
      <c r="A110">
        <f>F110&amp;"|"&amp;G110</f>
        <v/>
      </c>
      <c r="B110" s="13" t="inlineStr"/>
      <c r="C110" s="8" t="inlineStr"/>
      <c r="D110" s="8" t="inlineStr"/>
      <c r="E110" s="8" t="inlineStr"/>
      <c r="F110" s="8" t="inlineStr">
        <is>
          <t>NB1(b)</t>
        </is>
      </c>
      <c r="G110" s="8" t="inlineStr">
        <is>
          <t>Data owner confirms</t>
        </is>
      </c>
      <c r="H110" s="52">
        <f>IFERROR(IF(INDEX('Faculties'!$P$10:$P$19,MATCH($F110,'Faculties'!$B$10:$B$19,0))="","Cell will autofill based on response",INDEX('Faculties'!$P$10:$P$19,MATCH($F110,'Faculties'!$B$10:$B$19,0))),"N/A")</f>
        <v/>
      </c>
      <c r="I110" s="52">
        <f>IFERROR(IF(INDEX('Faculties'!$P$26:$P$35,MATCH($F110,'Faculties'!$B$26:$B$35,0))="","Cell will autofill based on response",INDEX('Faculties'!$P$26:$P$35,MATCH($F110,'Faculties'!$B$26:$B$35,0))),"N/A")</f>
        <v/>
      </c>
      <c r="J110" s="52">
        <f>IFERROR(IF(INDEX('Faculties'!$P$42:$P$51,MATCH($F110,'Faculties'!$B$42:$B$51,0))="","Cell will autofill based on response",INDEX('Faculties'!$P$42:$P$51,MATCH($F110,'Faculties'!$B$42:$B$51,0))),"N/A")</f>
        <v/>
      </c>
      <c r="K110" s="52">
        <f>IFERROR(IF(INDEX('Faculties'!$P$58:$P$67,MATCH($F110,'Faculties'!$B$58:$B$67,0))="","Cell will autofill based on response",INDEX('Faculties'!$P$58:$P$67,MATCH($F110,'Faculties'!$B$58:$B$67,0))),"N/A")</f>
        <v/>
      </c>
      <c r="L110" s="52">
        <f>IFERROR(IF(INDEX('CI&amp;S'!$P$10:$P$15,MATCH($F110,'CI&amp;S'!$B$10:$B$15,0))="","Cell will autofill based on response",INDEX('CI&amp;S'!$P$10:$P$15,MATCH($F110,'CI&amp;S'!$B$10:$B$15,0))),"N/A")</f>
        <v/>
      </c>
      <c r="M110" s="52">
        <f>IFERROR(IF(INDEX('CI&amp;S'!$P$22:$P$36,MATCH($F110,'CI&amp;S'!$B$22:$B$36,0))="","Cell will autofill based on response",INDEX('CI&amp;S'!$P$22:$P$36,MATCH($F110,'CI&amp;S'!$B$22:$B$36,0))),"N/A")</f>
        <v/>
      </c>
      <c r="N110" s="52">
        <f>IFERROR(IF(INDEX('CFOG'!$P$10:$P$16,MATCH($F110,'CFOG'!$B$10:$B$16,0))="","Cell will autofill based on response",INDEX('CFOG'!$P$10:$P$16,MATCH($F110,'CFOG'!$B$10:$B$16,0))),"N/A")</f>
        <v/>
      </c>
      <c r="O110" s="52">
        <f>IFERROR(IF(INDEX('CFOG'!$P$23:$P$24,MATCH($F110,'CFOG'!$B$23:$B$24,0))="","Cell will autofill based on response",INDEX('CFOG'!$P$23:$P$24,MATCH($F110,'CFOG'!$B$23:$B$24,0))),"N/A")</f>
        <v/>
      </c>
      <c r="P110" s="52">
        <f>IFERROR(IF(INDEX('ESG'!$P$10:$P$17,MATCH($F110,'ESG'!$B$10:$B$17,0))="","Cell will autofill based on response",INDEX('ESG'!$P$10:$P$17,MATCH($F110,'ESG'!$B$10:$B$17,0))),"N/A")</f>
        <v/>
      </c>
      <c r="Q110" s="52">
        <f>IFERROR(IF(INDEX('CIOG'!$P$10:$P$14,MATCH($F110,'CIOG'!$B$10:$B$14,0))="","Cell will autofill based on response",INDEX('CIOG'!$P$10:$P$14,MATCH($F110,'CIOG'!$B$10:$B$14,0))),"N/A")</f>
        <v/>
      </c>
      <c r="R110" s="52">
        <f>IFERROR(IF(INDEX('MRE'!$P$10:$P$18,MATCH($F110,'MRE'!$B$10:$B$18,0))="","Cell will autofill based on response",INDEX('MRE'!$P$10:$P$18,MATCH($F110,'MRE'!$B$10:$B$18,0))),"N/A")</f>
        <v/>
      </c>
      <c r="S110" s="52">
        <f>IFERROR(IF(INDEX('AC&amp;M'!$P$10:$P$14,MATCH($F110,'AC&amp;M'!$B$10:$B$14,0))="","Cell will autofill based on response",INDEX('AC&amp;M'!$P$10:$P$14,MATCH($F110,'AC&amp;M'!$B$10:$B$14,0))),"N/A")</f>
        <v/>
      </c>
      <c r="T110" s="52">
        <f>IFERROR(IF(INDEX('GCE'!$P$10:$P$12,MATCH($F110,'GCE'!$B$10:$B$12,0))="","Cell will autofill based on response",INDEX('GCE'!$P$10:$P$12,MATCH($F110,'GCE'!$B$10:$B$12,0))),"N/A")</f>
        <v/>
      </c>
      <c r="U110" s="52">
        <f>IFERROR(IF(INDEX('Education'!$P$10:$P$13,MATCH($F110,'Education'!$B$10:$B$13,0))="","Cell will autofill based on response",INDEX('Education'!$P$10:$P$13,MATCH($F110,'Education'!$B$10:$B$13,0))),"N/A")</f>
        <v/>
      </c>
      <c r="V110" s="52">
        <f>IFERROR(IF(INDEX('SaSS'!$P$10:$P$12,MATCH($F110,'SaSS'!$B$10:$B$12,0))="","Cell will autofill based on response",INDEX('SaSS'!$P$10:$P$12,MATCH($F110,'SaSS'!$B$10:$B$12,0))),"N/A")</f>
        <v/>
      </c>
      <c r="W110" s="52">
        <f>IFERROR(IF(INDEX('Indigenous'!$P$10:$P$11,MATCH($F110,'Indigenous'!$B$10:$B$11,0))="","Cell will autofill based on response",INDEX('Indigenous'!$P$10:$P$11,MATCH($F110,'Indigenous'!$B$10:$B$11,0))),"N/A")</f>
        <v/>
      </c>
      <c r="X110" s="52">
        <f>IFERROR(IF(INDEX('L&amp;R'!$P$10:$P$11,MATCH($F110,'L&amp;R'!$B$10:$B$11,0))="","Cell will autofill based on response",INDEX('L&amp;R'!$P$10:$P$11,MATCH($F110,'L&amp;R'!$B$10:$B$11,0))),"N/A")</f>
        <v/>
      </c>
    </row>
    <row r="111">
      <c r="A111">
        <f>F111&amp;"|"&amp;G111</f>
        <v/>
      </c>
      <c r="B111" s="7" t="inlineStr">
        <is>
          <t>NB1(c)</t>
        </is>
      </c>
      <c r="C111" s="50" t="inlineStr">
        <is>
          <t>Nature and biodiversity</t>
        </is>
      </c>
      <c r="D111" s="50" t="inlineStr">
        <is>
          <t>Defined quality measurement framework</t>
        </is>
      </c>
      <c r="E111" s="50" t="inlineStr"/>
      <c r="F111" s="50" t="inlineStr">
        <is>
          <t>NB1(c)</t>
        </is>
      </c>
      <c r="G111" s="50" t="inlineStr">
        <is>
          <t>OPTION 1:  Target-level reporting</t>
        </is>
      </c>
      <c r="H111" s="52">
        <f>IFERROR(IF(INDEX('Faculties'!$L$10:$L$19,MATCH($F111,'Faculties'!$B$10:$B$19,0))="","Cell will autofill based on response",INDEX('Faculties'!$L$10:$L$19,MATCH($F111,'Faculties'!$B$10:$B$19,0))),"N/A")</f>
        <v/>
      </c>
      <c r="I111" s="52">
        <f>IFERROR(IF(INDEX('Faculties'!$L$26:$L$35,MATCH($F111,'Faculties'!$B$26:$B$35,0))="","Cell will autofill based on response",INDEX('Faculties'!$L$26:$L$35,MATCH($F111,'Faculties'!$B$26:$B$35,0))),"N/A")</f>
        <v/>
      </c>
      <c r="J111" s="52">
        <f>IFERROR(IF(INDEX('Faculties'!$L$42:$L$51,MATCH($F111,'Faculties'!$B$42:$B$51,0))="","Cell will autofill based on response",INDEX('Faculties'!$L$42:$L$51,MATCH($F111,'Faculties'!$B$42:$B$51,0))),"N/A")</f>
        <v/>
      </c>
      <c r="K111" s="52">
        <f>IFERROR(IF(INDEX('Faculties'!$L$58:$L$67,MATCH($F111,'Faculties'!$B$58:$B$67,0))="","Cell will autofill based on response",INDEX('Faculties'!$L$58:$L$67,MATCH($F111,'Faculties'!$B$58:$B$67,0))),"N/A")</f>
        <v/>
      </c>
      <c r="L111" s="52">
        <f>IFERROR(IF(INDEX('CI&amp;S'!$L$10:$L$15,MATCH($F111,'CI&amp;S'!$B$10:$B$15,0))="","Cell will autofill based on response",INDEX('CI&amp;S'!$L$10:$L$15,MATCH($F111,'CI&amp;S'!$B$10:$B$15,0))),"N/A")</f>
        <v/>
      </c>
      <c r="M111" s="52">
        <f>IFERROR(IF(INDEX('CI&amp;S'!$L$22:$L$36,MATCH($F111,'CI&amp;S'!$B$22:$B$36,0))="","Cell will autofill based on response",INDEX('CI&amp;S'!$L$22:$L$36,MATCH($F111,'CI&amp;S'!$B$22:$B$36,0))),"N/A")</f>
        <v/>
      </c>
      <c r="N111" s="52">
        <f>IFERROR(IF(INDEX('CFOG'!$L$10:$L$16,MATCH($F111,'CFOG'!$B$10:$B$16,0))="","Cell will autofill based on response",INDEX('CFOG'!$L$10:$L$16,MATCH($F111,'CFOG'!$B$10:$B$16,0))),"N/A")</f>
        <v/>
      </c>
      <c r="O111" s="52">
        <f>IFERROR(IF(INDEX('CFOG'!$L$23:$L$24,MATCH($F111,'CFOG'!$B$23:$B$24,0))="","Cell will autofill based on response",INDEX('CFOG'!$L$23:$L$24,MATCH($F111,'CFOG'!$B$23:$B$24,0))),"N/A")</f>
        <v/>
      </c>
      <c r="P111" s="52">
        <f>IFERROR(IF(INDEX('ESG'!$L$10:$L$17,MATCH($F111,'ESG'!$B$10:$B$17,0))="","Cell will autofill based on response",INDEX('ESG'!$L$10:$L$17,MATCH($F111,'ESG'!$B$10:$B$17,0))),"N/A")</f>
        <v/>
      </c>
      <c r="Q111" s="52">
        <f>IFERROR(IF(INDEX('CIOG'!$L$10:$L$14,MATCH($F111,'CIOG'!$B$10:$B$14,0))="","Cell will autofill based on response",INDEX('CIOG'!$L$10:$L$14,MATCH($F111,'CIOG'!$B$10:$B$14,0))),"N/A")</f>
        <v/>
      </c>
      <c r="R111" s="52">
        <f>IFERROR(IF(INDEX('MRE'!$L$10:$L$18,MATCH($F111,'MRE'!$B$10:$B$18,0))="","Cell will autofill based on response",INDEX('MRE'!$L$10:$L$18,MATCH($F111,'MRE'!$B$10:$B$18,0))),"N/A")</f>
        <v/>
      </c>
      <c r="S111" s="52">
        <f>IFERROR(IF(INDEX('AC&amp;M'!$L$10:$L$14,MATCH($F111,'AC&amp;M'!$B$10:$B$14,0))="","Cell will autofill based on response",INDEX('AC&amp;M'!$L$10:$L$14,MATCH($F111,'AC&amp;M'!$B$10:$B$14,0))),"N/A")</f>
        <v/>
      </c>
      <c r="T111" s="52">
        <f>IFERROR(IF(INDEX('GCE'!$L$10:$L$12,MATCH($F111,'GCE'!$B$10:$B$12,0))="","Cell will autofill based on response",INDEX('GCE'!$L$10:$L$12,MATCH($F111,'GCE'!$B$10:$B$12,0))),"N/A")</f>
        <v/>
      </c>
      <c r="U111" s="52">
        <f>IFERROR(IF(INDEX('Education'!$L$10:$L$13,MATCH($F111,'Education'!$B$10:$B$13,0))="","Cell will autofill based on response",INDEX('Education'!$L$10:$L$13,MATCH($F111,'Education'!$B$10:$B$13,0))),"N/A")</f>
        <v/>
      </c>
      <c r="V111" s="52">
        <f>IFERROR(IF(INDEX('SaSS'!$L$10:$L$12,MATCH($F111,'SaSS'!$B$10:$B$12,0))="","Cell will autofill based on response",INDEX('SaSS'!$L$10:$L$12,MATCH($F111,'SaSS'!$B$10:$B$12,0))),"N/A")</f>
        <v/>
      </c>
      <c r="W111" s="52">
        <f>IFERROR(IF(INDEX('Indigenous'!$L$10:$L$11,MATCH($F111,'Indigenous'!$B$10:$B$11,0))="","Cell will autofill based on response",INDEX('Indigenous'!$L$10:$L$11,MATCH($F111,'Indigenous'!$B$10:$B$11,0))),"N/A")</f>
        <v/>
      </c>
      <c r="X111" s="52">
        <f>IFERROR(IF(INDEX('L&amp;R'!$L$10:$L$11,MATCH($F111,'L&amp;R'!$B$10:$B$11,0))="","Cell will autofill based on response",INDEX('L&amp;R'!$L$10:$L$11,MATCH($F111,'L&amp;R'!$B$10:$B$11,0))),"N/A")</f>
        <v/>
      </c>
      <c r="Z111" s="10">
        <f>SUMPRODUCT(--($H111:$X111&lt;&gt;"N/A"))</f>
        <v/>
      </c>
      <c r="AA111" s="10">
        <f>SUMPRODUCT(--(((($H111:$X111&lt;&gt;"N/A")*($H111:$X111&lt;&gt;"Cell will autofill based on response"))+(($H112:$X112&lt;&gt;"N/A")*($H112:$X112&lt;&gt;"Cell will autofill based on response")))&gt;0))</f>
        <v/>
      </c>
      <c r="AB111" s="10">
        <f>Z111-AA111</f>
        <v/>
      </c>
      <c r="AC111" s="10">
        <f>COUNTIF($H115:$X115,"Yes")</f>
        <v/>
      </c>
    </row>
    <row r="112">
      <c r="A112">
        <f>F112&amp;"|"&amp;G112</f>
        <v/>
      </c>
      <c r="B112" s="13" t="inlineStr"/>
      <c r="C112" s="8" t="inlineStr"/>
      <c r="D112" s="8" t="inlineStr"/>
      <c r="E112" s="8" t="inlineStr"/>
      <c r="F112" s="8" t="inlineStr">
        <is>
          <t>NB1(c)</t>
        </is>
      </c>
      <c r="G112" s="8" t="inlineStr">
        <is>
          <t>OPTION 2:  Indicator level reporting</t>
        </is>
      </c>
      <c r="H112" s="52">
        <f>IFERROR(IF(INDEX('Faculties'!$M$10:$M$19,MATCH($F112,'Faculties'!$B$10:$B$19,0))="","Cell will autofill based on response",INDEX('Faculties'!$M$10:$M$19,MATCH($F112,'Faculties'!$B$10:$B$19,0))),"N/A")</f>
        <v/>
      </c>
      <c r="I112" s="52">
        <f>IFERROR(IF(INDEX('Faculties'!$M$26:$M$35,MATCH($F112,'Faculties'!$B$26:$B$35,0))="","Cell will autofill based on response",INDEX('Faculties'!$M$26:$M$35,MATCH($F112,'Faculties'!$B$26:$B$35,0))),"N/A")</f>
        <v/>
      </c>
      <c r="J112" s="52">
        <f>IFERROR(IF(INDEX('Faculties'!$M$42:$M$51,MATCH($F112,'Faculties'!$B$42:$B$51,0))="","Cell will autofill based on response",INDEX('Faculties'!$M$42:$M$51,MATCH($F112,'Faculties'!$B$42:$B$51,0))),"N/A")</f>
        <v/>
      </c>
      <c r="K112" s="52">
        <f>IFERROR(IF(INDEX('Faculties'!$M$58:$M$67,MATCH($F112,'Faculties'!$B$58:$B$67,0))="","Cell will autofill based on response",INDEX('Faculties'!$M$58:$M$67,MATCH($F112,'Faculties'!$B$58:$B$67,0))),"N/A")</f>
        <v/>
      </c>
      <c r="L112" s="52">
        <f>IFERROR(IF(INDEX('CI&amp;S'!$M$10:$M$15,MATCH($F112,'CI&amp;S'!$B$10:$B$15,0))="","Cell will autofill based on response",INDEX('CI&amp;S'!$M$10:$M$15,MATCH($F112,'CI&amp;S'!$B$10:$B$15,0))),"N/A")</f>
        <v/>
      </c>
      <c r="M112" s="52">
        <f>IFERROR(IF(INDEX('CI&amp;S'!$M$22:$M$36,MATCH($F112,'CI&amp;S'!$B$22:$B$36,0))="","Cell will autofill based on response",INDEX('CI&amp;S'!$M$22:$M$36,MATCH($F112,'CI&amp;S'!$B$22:$B$36,0))),"N/A")</f>
        <v/>
      </c>
      <c r="N112" s="52">
        <f>IFERROR(IF(INDEX('CFOG'!$M$10:$M$16,MATCH($F112,'CFOG'!$B$10:$B$16,0))="","Cell will autofill based on response",INDEX('CFOG'!$M$10:$M$16,MATCH($F112,'CFOG'!$B$10:$B$16,0))),"N/A")</f>
        <v/>
      </c>
      <c r="O112" s="52">
        <f>IFERROR(IF(INDEX('CFOG'!$M$23:$M$24,MATCH($F112,'CFOG'!$B$23:$B$24,0))="","Cell will autofill based on response",INDEX('CFOG'!$M$23:$M$24,MATCH($F112,'CFOG'!$B$23:$B$24,0))),"N/A")</f>
        <v/>
      </c>
      <c r="P112" s="52">
        <f>IFERROR(IF(INDEX('ESG'!$M$10:$M$17,MATCH($F112,'ESG'!$B$10:$B$17,0))="","Cell will autofill based on response",INDEX('ESG'!$M$10:$M$17,MATCH($F112,'ESG'!$B$10:$B$17,0))),"N/A")</f>
        <v/>
      </c>
      <c r="Q112" s="52">
        <f>IFERROR(IF(INDEX('CIOG'!$M$10:$M$14,MATCH($F112,'CIOG'!$B$10:$B$14,0))="","Cell will autofill based on response",INDEX('CIOG'!$M$10:$M$14,MATCH($F112,'CIOG'!$B$10:$B$14,0))),"N/A")</f>
        <v/>
      </c>
      <c r="R112" s="52">
        <f>IFERROR(IF(INDEX('MRE'!$M$10:$M$18,MATCH($F112,'MRE'!$B$10:$B$18,0))="","Cell will autofill based on response",INDEX('MRE'!$M$10:$M$18,MATCH($F112,'MRE'!$B$10:$B$18,0))),"N/A")</f>
        <v/>
      </c>
      <c r="S112" s="52">
        <f>IFERROR(IF(INDEX('AC&amp;M'!$M$10:$M$14,MATCH($F112,'AC&amp;M'!$B$10:$B$14,0))="","Cell will autofill based on response",INDEX('AC&amp;M'!$M$10:$M$14,MATCH($F112,'AC&amp;M'!$B$10:$B$14,0))),"N/A")</f>
        <v/>
      </c>
      <c r="T112" s="52">
        <f>IFERROR(IF(INDEX('GCE'!$M$10:$M$12,MATCH($F112,'GCE'!$B$10:$B$12,0))="","Cell will autofill based on response",INDEX('GCE'!$M$10:$M$12,MATCH($F112,'GCE'!$B$10:$B$12,0))),"N/A")</f>
        <v/>
      </c>
      <c r="U112" s="52">
        <f>IFERROR(IF(INDEX('Education'!$M$10:$M$13,MATCH($F112,'Education'!$B$10:$B$13,0))="","Cell will autofill based on response",INDEX('Education'!$M$10:$M$13,MATCH($F112,'Education'!$B$10:$B$13,0))),"N/A")</f>
        <v/>
      </c>
      <c r="V112" s="52">
        <f>IFERROR(IF(INDEX('SaSS'!$M$10:$M$12,MATCH($F112,'SaSS'!$B$10:$B$12,0))="","Cell will autofill based on response",INDEX('SaSS'!$M$10:$M$12,MATCH($F112,'SaSS'!$B$10:$B$12,0))),"N/A")</f>
        <v/>
      </c>
      <c r="W112" s="52">
        <f>IFERROR(IF(INDEX('Indigenous'!$M$10:$M$11,MATCH($F112,'Indigenous'!$B$10:$B$11,0))="","Cell will autofill based on response",INDEX('Indigenous'!$M$10:$M$11,MATCH($F112,'Indigenous'!$B$10:$B$11,0))),"N/A")</f>
        <v/>
      </c>
      <c r="X112" s="52">
        <f>IFERROR(IF(INDEX('L&amp;R'!$M$10:$M$11,MATCH($F112,'L&amp;R'!$B$10:$B$11,0))="","Cell will autofill based on response",INDEX('L&amp;R'!$M$10:$M$11,MATCH($F112,'L&amp;R'!$B$10:$B$11,0))),"N/A")</f>
        <v/>
      </c>
    </row>
    <row r="113">
      <c r="A113">
        <f>F113&amp;"|"&amp;G113</f>
        <v/>
      </c>
      <c r="B113" s="13" t="inlineStr"/>
      <c r="C113" s="8" t="inlineStr"/>
      <c r="D113" s="8" t="inlineStr"/>
      <c r="E113" s="8" t="inlineStr"/>
      <c r="F113" s="8" t="inlineStr">
        <is>
          <t>NB1(c)</t>
        </is>
      </c>
      <c r="G113" s="8" t="inlineStr">
        <is>
          <t>Supporting information/comments</t>
        </is>
      </c>
      <c r="H113" s="52">
        <f>IFERROR(IF(INDEX('Faculties'!$N$10:$N$19,MATCH($F113,'Faculties'!$B$10:$B$19,0))="","Cell will autofill based on response",INDEX('Faculties'!$N$10:$N$19,MATCH($F113,'Faculties'!$B$10:$B$19,0))),"N/A")</f>
        <v/>
      </c>
      <c r="I113" s="52">
        <f>IFERROR(IF(INDEX('Faculties'!$N$26:$N$35,MATCH($F113,'Faculties'!$B$26:$B$35,0))="","Cell will autofill based on response",INDEX('Faculties'!$N$26:$N$35,MATCH($F113,'Faculties'!$B$26:$B$35,0))),"N/A")</f>
        <v/>
      </c>
      <c r="J113" s="52">
        <f>IFERROR(IF(INDEX('Faculties'!$N$42:$N$51,MATCH($F113,'Faculties'!$B$42:$B$51,0))="","Cell will autofill based on response",INDEX('Faculties'!$N$42:$N$51,MATCH($F113,'Faculties'!$B$42:$B$51,0))),"N/A")</f>
        <v/>
      </c>
      <c r="K113" s="52">
        <f>IFERROR(IF(INDEX('Faculties'!$N$58:$N$67,MATCH($F113,'Faculties'!$B$58:$B$67,0))="","Cell will autofill based on response",INDEX('Faculties'!$N$58:$N$67,MATCH($F113,'Faculties'!$B$58:$B$67,0))),"N/A")</f>
        <v/>
      </c>
      <c r="L113" s="52">
        <f>IFERROR(IF(INDEX('CI&amp;S'!$N$10:$N$15,MATCH($F113,'CI&amp;S'!$B$10:$B$15,0))="","Cell will autofill based on response",INDEX('CI&amp;S'!$N$10:$N$15,MATCH($F113,'CI&amp;S'!$B$10:$B$15,0))),"N/A")</f>
        <v/>
      </c>
      <c r="M113" s="52">
        <f>IFERROR(IF(INDEX('CI&amp;S'!$N$22:$N$36,MATCH($F113,'CI&amp;S'!$B$22:$B$36,0))="","Cell will autofill based on response",INDEX('CI&amp;S'!$N$22:$N$36,MATCH($F113,'CI&amp;S'!$B$22:$B$36,0))),"N/A")</f>
        <v/>
      </c>
      <c r="N113" s="52">
        <f>IFERROR(IF(INDEX('CFOG'!$N$10:$N$16,MATCH($F113,'CFOG'!$B$10:$B$16,0))="","Cell will autofill based on response",INDEX('CFOG'!$N$10:$N$16,MATCH($F113,'CFOG'!$B$10:$B$16,0))),"N/A")</f>
        <v/>
      </c>
      <c r="O113" s="52">
        <f>IFERROR(IF(INDEX('CFOG'!$N$23:$N$24,MATCH($F113,'CFOG'!$B$23:$B$24,0))="","Cell will autofill based on response",INDEX('CFOG'!$N$23:$N$24,MATCH($F113,'CFOG'!$B$23:$B$24,0))),"N/A")</f>
        <v/>
      </c>
      <c r="P113" s="52">
        <f>IFERROR(IF(INDEX('ESG'!$N$10:$N$17,MATCH($F113,'ESG'!$B$10:$B$17,0))="","Cell will autofill based on response",INDEX('ESG'!$N$10:$N$17,MATCH($F113,'ESG'!$B$10:$B$17,0))),"N/A")</f>
        <v/>
      </c>
      <c r="Q113" s="52">
        <f>IFERROR(IF(INDEX('CIOG'!$N$10:$N$14,MATCH($F113,'CIOG'!$B$10:$B$14,0))="","Cell will autofill based on response",INDEX('CIOG'!$N$10:$N$14,MATCH($F113,'CIOG'!$B$10:$B$14,0))),"N/A")</f>
        <v/>
      </c>
      <c r="R113" s="52">
        <f>IFERROR(IF(INDEX('MRE'!$N$10:$N$18,MATCH($F113,'MRE'!$B$10:$B$18,0))="","Cell will autofill based on response",INDEX('MRE'!$N$10:$N$18,MATCH($F113,'MRE'!$B$10:$B$18,0))),"N/A")</f>
        <v/>
      </c>
      <c r="S113" s="52">
        <f>IFERROR(IF(INDEX('AC&amp;M'!$N$10:$N$14,MATCH($F113,'AC&amp;M'!$B$10:$B$14,0))="","Cell will autofill based on response",INDEX('AC&amp;M'!$N$10:$N$14,MATCH($F113,'AC&amp;M'!$B$10:$B$14,0))),"N/A")</f>
        <v/>
      </c>
      <c r="T113" s="52">
        <f>IFERROR(IF(INDEX('GCE'!$N$10:$N$12,MATCH($F113,'GCE'!$B$10:$B$12,0))="","Cell will autofill based on response",INDEX('GCE'!$N$10:$N$12,MATCH($F113,'GCE'!$B$10:$B$12,0))),"N/A")</f>
        <v/>
      </c>
      <c r="U113" s="52">
        <f>IFERROR(IF(INDEX('Education'!$N$10:$N$13,MATCH($F113,'Education'!$B$10:$B$13,0))="","Cell will autofill based on response",INDEX('Education'!$N$10:$N$13,MATCH($F113,'Education'!$B$10:$B$13,0))),"N/A")</f>
        <v/>
      </c>
      <c r="V113" s="52">
        <f>IFERROR(IF(INDEX('SaSS'!$N$10:$N$12,MATCH($F113,'SaSS'!$B$10:$B$12,0))="","Cell will autofill based on response",INDEX('SaSS'!$N$10:$N$12,MATCH($F113,'SaSS'!$B$10:$B$12,0))),"N/A")</f>
        <v/>
      </c>
      <c r="W113" s="52">
        <f>IFERROR(IF(INDEX('Indigenous'!$N$10:$N$11,MATCH($F113,'Indigenous'!$B$10:$B$11,0))="","Cell will autofill based on response",INDEX('Indigenous'!$N$10:$N$11,MATCH($F113,'Indigenous'!$B$10:$B$11,0))),"N/A")</f>
        <v/>
      </c>
      <c r="X113" s="52">
        <f>IFERROR(IF(INDEX('L&amp;R'!$N$10:$N$11,MATCH($F113,'L&amp;R'!$B$10:$B$11,0))="","Cell will autofill based on response",INDEX('L&amp;R'!$N$10:$N$11,MATCH($F113,'L&amp;R'!$B$10:$B$11,0))),"N/A")</f>
        <v/>
      </c>
    </row>
    <row r="114">
      <c r="A114">
        <f>F114&amp;"|"&amp;G114</f>
        <v/>
      </c>
      <c r="B114" s="13" t="inlineStr"/>
      <c r="C114" s="8" t="inlineStr"/>
      <c r="D114" s="8" t="inlineStr"/>
      <c r="E114" s="8" t="inlineStr"/>
      <c r="F114" s="8" t="inlineStr">
        <is>
          <t>NB1(c)</t>
        </is>
      </c>
      <c r="G114" s="8" t="inlineStr">
        <is>
          <t>Data source and limitations</t>
        </is>
      </c>
      <c r="H114" s="52">
        <f>IFERROR(IF(INDEX('Faculties'!$O$10:$O$19,MATCH($F114,'Faculties'!$B$10:$B$19,0))="","Cell will autofill based on response",INDEX('Faculties'!$O$10:$O$19,MATCH($F114,'Faculties'!$B$10:$B$19,0))),"N/A")</f>
        <v/>
      </c>
      <c r="I114" s="52">
        <f>IFERROR(IF(INDEX('Faculties'!$O$26:$O$35,MATCH($F114,'Faculties'!$B$26:$B$35,0))="","Cell will autofill based on response",INDEX('Faculties'!$O$26:$O$35,MATCH($F114,'Faculties'!$B$26:$B$35,0))),"N/A")</f>
        <v/>
      </c>
      <c r="J114" s="52">
        <f>IFERROR(IF(INDEX('Faculties'!$O$42:$O$51,MATCH($F114,'Faculties'!$B$42:$B$51,0))="","Cell will autofill based on response",INDEX('Faculties'!$O$42:$O$51,MATCH($F114,'Faculties'!$B$42:$B$51,0))),"N/A")</f>
        <v/>
      </c>
      <c r="K114" s="52">
        <f>IFERROR(IF(INDEX('Faculties'!$O$58:$O$67,MATCH($F114,'Faculties'!$B$58:$B$67,0))="","Cell will autofill based on response",INDEX('Faculties'!$O$58:$O$67,MATCH($F114,'Faculties'!$B$58:$B$67,0))),"N/A")</f>
        <v/>
      </c>
      <c r="L114" s="52">
        <f>IFERROR(IF(INDEX('CI&amp;S'!$O$10:$O$15,MATCH($F114,'CI&amp;S'!$B$10:$B$15,0))="","Cell will autofill based on response",INDEX('CI&amp;S'!$O$10:$O$15,MATCH($F114,'CI&amp;S'!$B$10:$B$15,0))),"N/A")</f>
        <v/>
      </c>
      <c r="M114" s="52">
        <f>IFERROR(IF(INDEX('CI&amp;S'!$O$22:$O$36,MATCH($F114,'CI&amp;S'!$B$22:$B$36,0))="","Cell will autofill based on response",INDEX('CI&amp;S'!$O$22:$O$36,MATCH($F114,'CI&amp;S'!$B$22:$B$36,0))),"N/A")</f>
        <v/>
      </c>
      <c r="N114" s="52">
        <f>IFERROR(IF(INDEX('CFOG'!$O$10:$O$16,MATCH($F114,'CFOG'!$B$10:$B$16,0))="","Cell will autofill based on response",INDEX('CFOG'!$O$10:$O$16,MATCH($F114,'CFOG'!$B$10:$B$16,0))),"N/A")</f>
        <v/>
      </c>
      <c r="O114" s="52">
        <f>IFERROR(IF(INDEX('CFOG'!$O$23:$O$24,MATCH($F114,'CFOG'!$B$23:$B$24,0))="","Cell will autofill based on response",INDEX('CFOG'!$O$23:$O$24,MATCH($F114,'CFOG'!$B$23:$B$24,0))),"N/A")</f>
        <v/>
      </c>
      <c r="P114" s="52">
        <f>IFERROR(IF(INDEX('ESG'!$O$10:$O$17,MATCH($F114,'ESG'!$B$10:$B$17,0))="","Cell will autofill based on response",INDEX('ESG'!$O$10:$O$17,MATCH($F114,'ESG'!$B$10:$B$17,0))),"N/A")</f>
        <v/>
      </c>
      <c r="Q114" s="52">
        <f>IFERROR(IF(INDEX('CIOG'!$O$10:$O$14,MATCH($F114,'CIOG'!$B$10:$B$14,0))="","Cell will autofill based on response",INDEX('CIOG'!$O$10:$O$14,MATCH($F114,'CIOG'!$B$10:$B$14,0))),"N/A")</f>
        <v/>
      </c>
      <c r="R114" s="52">
        <f>IFERROR(IF(INDEX('MRE'!$O$10:$O$18,MATCH($F114,'MRE'!$B$10:$B$18,0))="","Cell will autofill based on response",INDEX('MRE'!$O$10:$O$18,MATCH($F114,'MRE'!$B$10:$B$18,0))),"N/A")</f>
        <v/>
      </c>
      <c r="S114" s="52">
        <f>IFERROR(IF(INDEX('AC&amp;M'!$O$10:$O$14,MATCH($F114,'AC&amp;M'!$B$10:$B$14,0))="","Cell will autofill based on response",INDEX('AC&amp;M'!$O$10:$O$14,MATCH($F114,'AC&amp;M'!$B$10:$B$14,0))),"N/A")</f>
        <v/>
      </c>
      <c r="T114" s="52">
        <f>IFERROR(IF(INDEX('GCE'!$O$10:$O$12,MATCH($F114,'GCE'!$B$10:$B$12,0))="","Cell will autofill based on response",INDEX('GCE'!$O$10:$O$12,MATCH($F114,'GCE'!$B$10:$B$12,0))),"N/A")</f>
        <v/>
      </c>
      <c r="U114" s="52">
        <f>IFERROR(IF(INDEX('Education'!$O$10:$O$13,MATCH($F114,'Education'!$B$10:$B$13,0))="","Cell will autofill based on response",INDEX('Education'!$O$10:$O$13,MATCH($F114,'Education'!$B$10:$B$13,0))),"N/A")</f>
        <v/>
      </c>
      <c r="V114" s="52">
        <f>IFERROR(IF(INDEX('SaSS'!$O$10:$O$12,MATCH($F114,'SaSS'!$B$10:$B$12,0))="","Cell will autofill based on response",INDEX('SaSS'!$O$10:$O$12,MATCH($F114,'SaSS'!$B$10:$B$12,0))),"N/A")</f>
        <v/>
      </c>
      <c r="W114" s="52">
        <f>IFERROR(IF(INDEX('Indigenous'!$O$10:$O$11,MATCH($F114,'Indigenous'!$B$10:$B$11,0))="","Cell will autofill based on response",INDEX('Indigenous'!$O$10:$O$11,MATCH($F114,'Indigenous'!$B$10:$B$11,0))),"N/A")</f>
        <v/>
      </c>
      <c r="X114" s="52">
        <f>IFERROR(IF(INDEX('L&amp;R'!$O$10:$O$11,MATCH($F114,'L&amp;R'!$B$10:$B$11,0))="","Cell will autofill based on response",INDEX('L&amp;R'!$O$10:$O$11,MATCH($F114,'L&amp;R'!$B$10:$B$11,0))),"N/A")</f>
        <v/>
      </c>
    </row>
    <row r="115">
      <c r="A115">
        <f>F115&amp;"|"&amp;G115</f>
        <v/>
      </c>
      <c r="B115" s="13" t="inlineStr"/>
      <c r="C115" s="8" t="inlineStr"/>
      <c r="D115" s="8" t="inlineStr"/>
      <c r="E115" s="8" t="inlineStr"/>
      <c r="F115" s="8" t="inlineStr">
        <is>
          <t>NB1(c)</t>
        </is>
      </c>
      <c r="G115" s="8" t="inlineStr">
        <is>
          <t>Data owner confirms</t>
        </is>
      </c>
      <c r="H115" s="52">
        <f>IFERROR(IF(INDEX('Faculties'!$P$10:$P$19,MATCH($F115,'Faculties'!$B$10:$B$19,0))="","Cell will autofill based on response",INDEX('Faculties'!$P$10:$P$19,MATCH($F115,'Faculties'!$B$10:$B$19,0))),"N/A")</f>
        <v/>
      </c>
      <c r="I115" s="52">
        <f>IFERROR(IF(INDEX('Faculties'!$P$26:$P$35,MATCH($F115,'Faculties'!$B$26:$B$35,0))="","Cell will autofill based on response",INDEX('Faculties'!$P$26:$P$35,MATCH($F115,'Faculties'!$B$26:$B$35,0))),"N/A")</f>
        <v/>
      </c>
      <c r="J115" s="52">
        <f>IFERROR(IF(INDEX('Faculties'!$P$42:$P$51,MATCH($F115,'Faculties'!$B$42:$B$51,0))="","Cell will autofill based on response",INDEX('Faculties'!$P$42:$P$51,MATCH($F115,'Faculties'!$B$42:$B$51,0))),"N/A")</f>
        <v/>
      </c>
      <c r="K115" s="52">
        <f>IFERROR(IF(INDEX('Faculties'!$P$58:$P$67,MATCH($F115,'Faculties'!$B$58:$B$67,0))="","Cell will autofill based on response",INDEX('Faculties'!$P$58:$P$67,MATCH($F115,'Faculties'!$B$58:$B$67,0))),"N/A")</f>
        <v/>
      </c>
      <c r="L115" s="52">
        <f>IFERROR(IF(INDEX('CI&amp;S'!$P$10:$P$15,MATCH($F115,'CI&amp;S'!$B$10:$B$15,0))="","Cell will autofill based on response",INDEX('CI&amp;S'!$P$10:$P$15,MATCH($F115,'CI&amp;S'!$B$10:$B$15,0))),"N/A")</f>
        <v/>
      </c>
      <c r="M115" s="52">
        <f>IFERROR(IF(INDEX('CI&amp;S'!$P$22:$P$36,MATCH($F115,'CI&amp;S'!$B$22:$B$36,0))="","Cell will autofill based on response",INDEX('CI&amp;S'!$P$22:$P$36,MATCH($F115,'CI&amp;S'!$B$22:$B$36,0))),"N/A")</f>
        <v/>
      </c>
      <c r="N115" s="52">
        <f>IFERROR(IF(INDEX('CFOG'!$P$10:$P$16,MATCH($F115,'CFOG'!$B$10:$B$16,0))="","Cell will autofill based on response",INDEX('CFOG'!$P$10:$P$16,MATCH($F115,'CFOG'!$B$10:$B$16,0))),"N/A")</f>
        <v/>
      </c>
      <c r="O115" s="52">
        <f>IFERROR(IF(INDEX('CFOG'!$P$23:$P$24,MATCH($F115,'CFOG'!$B$23:$B$24,0))="","Cell will autofill based on response",INDEX('CFOG'!$P$23:$P$24,MATCH($F115,'CFOG'!$B$23:$B$24,0))),"N/A")</f>
        <v/>
      </c>
      <c r="P115" s="52">
        <f>IFERROR(IF(INDEX('ESG'!$P$10:$P$17,MATCH($F115,'ESG'!$B$10:$B$17,0))="","Cell will autofill based on response",INDEX('ESG'!$P$10:$P$17,MATCH($F115,'ESG'!$B$10:$B$17,0))),"N/A")</f>
        <v/>
      </c>
      <c r="Q115" s="52">
        <f>IFERROR(IF(INDEX('CIOG'!$P$10:$P$14,MATCH($F115,'CIOG'!$B$10:$B$14,0))="","Cell will autofill based on response",INDEX('CIOG'!$P$10:$P$14,MATCH($F115,'CIOG'!$B$10:$B$14,0))),"N/A")</f>
        <v/>
      </c>
      <c r="R115" s="52">
        <f>IFERROR(IF(INDEX('MRE'!$P$10:$P$18,MATCH($F115,'MRE'!$B$10:$B$18,0))="","Cell will autofill based on response",INDEX('MRE'!$P$10:$P$18,MATCH($F115,'MRE'!$B$10:$B$18,0))),"N/A")</f>
        <v/>
      </c>
      <c r="S115" s="52">
        <f>IFERROR(IF(INDEX('AC&amp;M'!$P$10:$P$14,MATCH($F115,'AC&amp;M'!$B$10:$B$14,0))="","Cell will autofill based on response",INDEX('AC&amp;M'!$P$10:$P$14,MATCH($F115,'AC&amp;M'!$B$10:$B$14,0))),"N/A")</f>
        <v/>
      </c>
      <c r="T115" s="52">
        <f>IFERROR(IF(INDEX('GCE'!$P$10:$P$12,MATCH($F115,'GCE'!$B$10:$B$12,0))="","Cell will autofill based on response",INDEX('GCE'!$P$10:$P$12,MATCH($F115,'GCE'!$B$10:$B$12,0))),"N/A")</f>
        <v/>
      </c>
      <c r="U115" s="52">
        <f>IFERROR(IF(INDEX('Education'!$P$10:$P$13,MATCH($F115,'Education'!$B$10:$B$13,0))="","Cell will autofill based on response",INDEX('Education'!$P$10:$P$13,MATCH($F115,'Education'!$B$10:$B$13,0))),"N/A")</f>
        <v/>
      </c>
      <c r="V115" s="52">
        <f>IFERROR(IF(INDEX('SaSS'!$P$10:$P$12,MATCH($F115,'SaSS'!$B$10:$B$12,0))="","Cell will autofill based on response",INDEX('SaSS'!$P$10:$P$12,MATCH($F115,'SaSS'!$B$10:$B$12,0))),"N/A")</f>
        <v/>
      </c>
      <c r="W115" s="52">
        <f>IFERROR(IF(INDEX('Indigenous'!$P$10:$P$11,MATCH($F115,'Indigenous'!$B$10:$B$11,0))="","Cell will autofill based on response",INDEX('Indigenous'!$P$10:$P$11,MATCH($F115,'Indigenous'!$B$10:$B$11,0))),"N/A")</f>
        <v/>
      </c>
      <c r="X115" s="52">
        <f>IFERROR(IF(INDEX('L&amp;R'!$P$10:$P$11,MATCH($F115,'L&amp;R'!$B$10:$B$11,0))="","Cell will autofill based on response",INDEX('L&amp;R'!$P$10:$P$11,MATCH($F115,'L&amp;R'!$B$10:$B$11,0))),"N/A")</f>
        <v/>
      </c>
    </row>
    <row r="116">
      <c r="A116">
        <f>F116&amp;"|"&amp;G116</f>
        <v/>
      </c>
      <c r="B116" s="7" t="inlineStr">
        <is>
          <t>NB1(d)</t>
        </is>
      </c>
      <c r="C116" s="50" t="inlineStr">
        <is>
          <t>Nature and biodiversity</t>
        </is>
      </c>
      <c r="D116" s="50" t="inlineStr">
        <is>
          <t>Defined and quantified campus connectivity</t>
        </is>
      </c>
      <c r="E116" s="50" t="inlineStr">
        <is>
          <t>Please provide the current definition and quantified assessment of campus ecological connectivity, could include the methodology used, campuses covered, baseline or benchmark values, and any material change over the reporting period.</t>
        </is>
      </c>
      <c r="F116" s="50" t="inlineStr">
        <is>
          <t>NB1(d)</t>
        </is>
      </c>
      <c r="G116" s="50" t="inlineStr">
        <is>
          <t>OPTION 1:  Target-level reporting</t>
        </is>
      </c>
      <c r="H116" s="52">
        <f>IFERROR(IF(INDEX('Faculties'!$L$10:$L$19,MATCH($F116,'Faculties'!$B$10:$B$19,0))="","Cell will autofill based on response",INDEX('Faculties'!$L$10:$L$19,MATCH($F116,'Faculties'!$B$10:$B$19,0))),"N/A")</f>
        <v/>
      </c>
      <c r="I116" s="52">
        <f>IFERROR(IF(INDEX('Faculties'!$L$26:$L$35,MATCH($F116,'Faculties'!$B$26:$B$35,0))="","Cell will autofill based on response",INDEX('Faculties'!$L$26:$L$35,MATCH($F116,'Faculties'!$B$26:$B$35,0))),"N/A")</f>
        <v/>
      </c>
      <c r="J116" s="52">
        <f>IFERROR(IF(INDEX('Faculties'!$L$42:$L$51,MATCH($F116,'Faculties'!$B$42:$B$51,0))="","Cell will autofill based on response",INDEX('Faculties'!$L$42:$L$51,MATCH($F116,'Faculties'!$B$42:$B$51,0))),"N/A")</f>
        <v/>
      </c>
      <c r="K116" s="52">
        <f>IFERROR(IF(INDEX('Faculties'!$L$58:$L$67,MATCH($F116,'Faculties'!$B$58:$B$67,0))="","Cell will autofill based on response",INDEX('Faculties'!$L$58:$L$67,MATCH($F116,'Faculties'!$B$58:$B$67,0))),"N/A")</f>
        <v/>
      </c>
      <c r="L116" s="52">
        <f>IFERROR(IF(INDEX('CI&amp;S'!$L$10:$L$15,MATCH($F116,'CI&amp;S'!$B$10:$B$15,0))="","Cell will autofill based on response",INDEX('CI&amp;S'!$L$10:$L$15,MATCH($F116,'CI&amp;S'!$B$10:$B$15,0))),"N/A")</f>
        <v/>
      </c>
      <c r="M116" s="52">
        <f>IFERROR(IF(INDEX('CI&amp;S'!$L$22:$L$36,MATCH($F116,'CI&amp;S'!$B$22:$B$36,0))="","Cell will autofill based on response",INDEX('CI&amp;S'!$L$22:$L$36,MATCH($F116,'CI&amp;S'!$B$22:$B$36,0))),"N/A")</f>
        <v/>
      </c>
      <c r="N116" s="52">
        <f>IFERROR(IF(INDEX('CFOG'!$L$10:$L$16,MATCH($F116,'CFOG'!$B$10:$B$16,0))="","Cell will autofill based on response",INDEX('CFOG'!$L$10:$L$16,MATCH($F116,'CFOG'!$B$10:$B$16,0))),"N/A")</f>
        <v/>
      </c>
      <c r="O116" s="52">
        <f>IFERROR(IF(INDEX('CFOG'!$L$23:$L$24,MATCH($F116,'CFOG'!$B$23:$B$24,0))="","Cell will autofill based on response",INDEX('CFOG'!$L$23:$L$24,MATCH($F116,'CFOG'!$B$23:$B$24,0))),"N/A")</f>
        <v/>
      </c>
      <c r="P116" s="52">
        <f>IFERROR(IF(INDEX('ESG'!$L$10:$L$17,MATCH($F116,'ESG'!$B$10:$B$17,0))="","Cell will autofill based on response",INDEX('ESG'!$L$10:$L$17,MATCH($F116,'ESG'!$B$10:$B$17,0))),"N/A")</f>
        <v/>
      </c>
      <c r="Q116" s="52">
        <f>IFERROR(IF(INDEX('CIOG'!$L$10:$L$14,MATCH($F116,'CIOG'!$B$10:$B$14,0))="","Cell will autofill based on response",INDEX('CIOG'!$L$10:$L$14,MATCH($F116,'CIOG'!$B$10:$B$14,0))),"N/A")</f>
        <v/>
      </c>
      <c r="R116" s="52">
        <f>IFERROR(IF(INDEX('MRE'!$L$10:$L$18,MATCH($F116,'MRE'!$B$10:$B$18,0))="","Cell will autofill based on response",INDEX('MRE'!$L$10:$L$18,MATCH($F116,'MRE'!$B$10:$B$18,0))),"N/A")</f>
        <v/>
      </c>
      <c r="S116" s="52">
        <f>IFERROR(IF(INDEX('AC&amp;M'!$L$10:$L$14,MATCH($F116,'AC&amp;M'!$B$10:$B$14,0))="","Cell will autofill based on response",INDEX('AC&amp;M'!$L$10:$L$14,MATCH($F116,'AC&amp;M'!$B$10:$B$14,0))),"N/A")</f>
        <v/>
      </c>
      <c r="T116" s="52">
        <f>IFERROR(IF(INDEX('GCE'!$L$10:$L$12,MATCH($F116,'GCE'!$B$10:$B$12,0))="","Cell will autofill based on response",INDEX('GCE'!$L$10:$L$12,MATCH($F116,'GCE'!$B$10:$B$12,0))),"N/A")</f>
        <v/>
      </c>
      <c r="U116" s="52">
        <f>IFERROR(IF(INDEX('Education'!$L$10:$L$13,MATCH($F116,'Education'!$B$10:$B$13,0))="","Cell will autofill based on response",INDEX('Education'!$L$10:$L$13,MATCH($F116,'Education'!$B$10:$B$13,0))),"N/A")</f>
        <v/>
      </c>
      <c r="V116" s="52">
        <f>IFERROR(IF(INDEX('SaSS'!$L$10:$L$12,MATCH($F116,'SaSS'!$B$10:$B$12,0))="","Cell will autofill based on response",INDEX('SaSS'!$L$10:$L$12,MATCH($F116,'SaSS'!$B$10:$B$12,0))),"N/A")</f>
        <v/>
      </c>
      <c r="W116" s="52">
        <f>IFERROR(IF(INDEX('Indigenous'!$L$10:$L$11,MATCH($F116,'Indigenous'!$B$10:$B$11,0))="","Cell will autofill based on response",INDEX('Indigenous'!$L$10:$L$11,MATCH($F116,'Indigenous'!$B$10:$B$11,0))),"N/A")</f>
        <v/>
      </c>
      <c r="X116" s="52">
        <f>IFERROR(IF(INDEX('L&amp;R'!$L$10:$L$11,MATCH($F116,'L&amp;R'!$B$10:$B$11,0))="","Cell will autofill based on response",INDEX('L&amp;R'!$L$10:$L$11,MATCH($F116,'L&amp;R'!$B$10:$B$11,0))),"N/A")</f>
        <v/>
      </c>
      <c r="Z116" s="10">
        <f>SUMPRODUCT(--($H116:$X116&lt;&gt;"N/A"))</f>
        <v/>
      </c>
      <c r="AA116" s="10">
        <f>SUMPRODUCT(--(((($H116:$X116&lt;&gt;"N/A")*($H116:$X116&lt;&gt;"Cell will autofill based on response"))+(($H117:$X117&lt;&gt;"N/A")*($H117:$X117&lt;&gt;"Cell will autofill based on response")))&gt;0))</f>
        <v/>
      </c>
      <c r="AB116" s="10">
        <f>Z116-AA116</f>
        <v/>
      </c>
      <c r="AC116" s="10">
        <f>COUNTIF($H120:$X120,"Yes")</f>
        <v/>
      </c>
    </row>
    <row r="117">
      <c r="A117">
        <f>F117&amp;"|"&amp;G117</f>
        <v/>
      </c>
      <c r="B117" s="13" t="inlineStr"/>
      <c r="C117" s="8" t="inlineStr"/>
      <c r="D117" s="8" t="inlineStr"/>
      <c r="E117" s="8" t="inlineStr"/>
      <c r="F117" s="8" t="inlineStr">
        <is>
          <t>NB1(d)</t>
        </is>
      </c>
      <c r="G117" s="8" t="inlineStr">
        <is>
          <t>OPTION 2:  Indicator level reporting</t>
        </is>
      </c>
      <c r="H117" s="52">
        <f>IFERROR(IF(INDEX('Faculties'!$M$10:$M$19,MATCH($F117,'Faculties'!$B$10:$B$19,0))="","Cell will autofill based on response",INDEX('Faculties'!$M$10:$M$19,MATCH($F117,'Faculties'!$B$10:$B$19,0))),"N/A")</f>
        <v/>
      </c>
      <c r="I117" s="52">
        <f>IFERROR(IF(INDEX('Faculties'!$M$26:$M$35,MATCH($F117,'Faculties'!$B$26:$B$35,0))="","Cell will autofill based on response",INDEX('Faculties'!$M$26:$M$35,MATCH($F117,'Faculties'!$B$26:$B$35,0))),"N/A")</f>
        <v/>
      </c>
      <c r="J117" s="52">
        <f>IFERROR(IF(INDEX('Faculties'!$M$42:$M$51,MATCH($F117,'Faculties'!$B$42:$B$51,0))="","Cell will autofill based on response",INDEX('Faculties'!$M$42:$M$51,MATCH($F117,'Faculties'!$B$42:$B$51,0))),"N/A")</f>
        <v/>
      </c>
      <c r="K117" s="52">
        <f>IFERROR(IF(INDEX('Faculties'!$M$58:$M$67,MATCH($F117,'Faculties'!$B$58:$B$67,0))="","Cell will autofill based on response",INDEX('Faculties'!$M$58:$M$67,MATCH($F117,'Faculties'!$B$58:$B$67,0))),"N/A")</f>
        <v/>
      </c>
      <c r="L117" s="52">
        <f>IFERROR(IF(INDEX('CI&amp;S'!$M$10:$M$15,MATCH($F117,'CI&amp;S'!$B$10:$B$15,0))="","Cell will autofill based on response",INDEX('CI&amp;S'!$M$10:$M$15,MATCH($F117,'CI&amp;S'!$B$10:$B$15,0))),"N/A")</f>
        <v/>
      </c>
      <c r="M117" s="52">
        <f>IFERROR(IF(INDEX('CI&amp;S'!$M$22:$M$36,MATCH($F117,'CI&amp;S'!$B$22:$B$36,0))="","Cell will autofill based on response",INDEX('CI&amp;S'!$M$22:$M$36,MATCH($F117,'CI&amp;S'!$B$22:$B$36,0))),"N/A")</f>
        <v/>
      </c>
      <c r="N117" s="52">
        <f>IFERROR(IF(INDEX('CFOG'!$M$10:$M$16,MATCH($F117,'CFOG'!$B$10:$B$16,0))="","Cell will autofill based on response",INDEX('CFOG'!$M$10:$M$16,MATCH($F117,'CFOG'!$B$10:$B$16,0))),"N/A")</f>
        <v/>
      </c>
      <c r="O117" s="52">
        <f>IFERROR(IF(INDEX('CFOG'!$M$23:$M$24,MATCH($F117,'CFOG'!$B$23:$B$24,0))="","Cell will autofill based on response",INDEX('CFOG'!$M$23:$M$24,MATCH($F117,'CFOG'!$B$23:$B$24,0))),"N/A")</f>
        <v/>
      </c>
      <c r="P117" s="52">
        <f>IFERROR(IF(INDEX('ESG'!$M$10:$M$17,MATCH($F117,'ESG'!$B$10:$B$17,0))="","Cell will autofill based on response",INDEX('ESG'!$M$10:$M$17,MATCH($F117,'ESG'!$B$10:$B$17,0))),"N/A")</f>
        <v/>
      </c>
      <c r="Q117" s="52">
        <f>IFERROR(IF(INDEX('CIOG'!$M$10:$M$14,MATCH($F117,'CIOG'!$B$10:$B$14,0))="","Cell will autofill based on response",INDEX('CIOG'!$M$10:$M$14,MATCH($F117,'CIOG'!$B$10:$B$14,0))),"N/A")</f>
        <v/>
      </c>
      <c r="R117" s="52">
        <f>IFERROR(IF(INDEX('MRE'!$M$10:$M$18,MATCH($F117,'MRE'!$B$10:$B$18,0))="","Cell will autofill based on response",INDEX('MRE'!$M$10:$M$18,MATCH($F117,'MRE'!$B$10:$B$18,0))),"N/A")</f>
        <v/>
      </c>
      <c r="S117" s="52">
        <f>IFERROR(IF(INDEX('AC&amp;M'!$M$10:$M$14,MATCH($F117,'AC&amp;M'!$B$10:$B$14,0))="","Cell will autofill based on response",INDEX('AC&amp;M'!$M$10:$M$14,MATCH($F117,'AC&amp;M'!$B$10:$B$14,0))),"N/A")</f>
        <v/>
      </c>
      <c r="T117" s="52">
        <f>IFERROR(IF(INDEX('GCE'!$M$10:$M$12,MATCH($F117,'GCE'!$B$10:$B$12,0))="","Cell will autofill based on response",INDEX('GCE'!$M$10:$M$12,MATCH($F117,'GCE'!$B$10:$B$12,0))),"N/A")</f>
        <v/>
      </c>
      <c r="U117" s="52">
        <f>IFERROR(IF(INDEX('Education'!$M$10:$M$13,MATCH($F117,'Education'!$B$10:$B$13,0))="","Cell will autofill based on response",INDEX('Education'!$M$10:$M$13,MATCH($F117,'Education'!$B$10:$B$13,0))),"N/A")</f>
        <v/>
      </c>
      <c r="V117" s="52">
        <f>IFERROR(IF(INDEX('SaSS'!$M$10:$M$12,MATCH($F117,'SaSS'!$B$10:$B$12,0))="","Cell will autofill based on response",INDEX('SaSS'!$M$10:$M$12,MATCH($F117,'SaSS'!$B$10:$B$12,0))),"N/A")</f>
        <v/>
      </c>
      <c r="W117" s="52">
        <f>IFERROR(IF(INDEX('Indigenous'!$M$10:$M$11,MATCH($F117,'Indigenous'!$B$10:$B$11,0))="","Cell will autofill based on response",INDEX('Indigenous'!$M$10:$M$11,MATCH($F117,'Indigenous'!$B$10:$B$11,0))),"N/A")</f>
        <v/>
      </c>
      <c r="X117" s="52">
        <f>IFERROR(IF(INDEX('L&amp;R'!$M$10:$M$11,MATCH($F117,'L&amp;R'!$B$10:$B$11,0))="","Cell will autofill based on response",INDEX('L&amp;R'!$M$10:$M$11,MATCH($F117,'L&amp;R'!$B$10:$B$11,0))),"N/A")</f>
        <v/>
      </c>
    </row>
    <row r="118">
      <c r="A118">
        <f>F118&amp;"|"&amp;G118</f>
        <v/>
      </c>
      <c r="B118" s="13" t="inlineStr"/>
      <c r="C118" s="8" t="inlineStr"/>
      <c r="D118" s="8" t="inlineStr"/>
      <c r="E118" s="8" t="inlineStr"/>
      <c r="F118" s="8" t="inlineStr">
        <is>
          <t>NB1(d)</t>
        </is>
      </c>
      <c r="G118" s="8" t="inlineStr">
        <is>
          <t>Supporting information/comments</t>
        </is>
      </c>
      <c r="H118" s="52">
        <f>IFERROR(IF(INDEX('Faculties'!$N$10:$N$19,MATCH($F118,'Faculties'!$B$10:$B$19,0))="","Cell will autofill based on response",INDEX('Faculties'!$N$10:$N$19,MATCH($F118,'Faculties'!$B$10:$B$19,0))),"N/A")</f>
        <v/>
      </c>
      <c r="I118" s="52">
        <f>IFERROR(IF(INDEX('Faculties'!$N$26:$N$35,MATCH($F118,'Faculties'!$B$26:$B$35,0))="","Cell will autofill based on response",INDEX('Faculties'!$N$26:$N$35,MATCH($F118,'Faculties'!$B$26:$B$35,0))),"N/A")</f>
        <v/>
      </c>
      <c r="J118" s="52">
        <f>IFERROR(IF(INDEX('Faculties'!$N$42:$N$51,MATCH($F118,'Faculties'!$B$42:$B$51,0))="","Cell will autofill based on response",INDEX('Faculties'!$N$42:$N$51,MATCH($F118,'Faculties'!$B$42:$B$51,0))),"N/A")</f>
        <v/>
      </c>
      <c r="K118" s="52">
        <f>IFERROR(IF(INDEX('Faculties'!$N$58:$N$67,MATCH($F118,'Faculties'!$B$58:$B$67,0))="","Cell will autofill based on response",INDEX('Faculties'!$N$58:$N$67,MATCH($F118,'Faculties'!$B$58:$B$67,0))),"N/A")</f>
        <v/>
      </c>
      <c r="L118" s="52">
        <f>IFERROR(IF(INDEX('CI&amp;S'!$N$10:$N$15,MATCH($F118,'CI&amp;S'!$B$10:$B$15,0))="","Cell will autofill based on response",INDEX('CI&amp;S'!$N$10:$N$15,MATCH($F118,'CI&amp;S'!$B$10:$B$15,0))),"N/A")</f>
        <v/>
      </c>
      <c r="M118" s="52">
        <f>IFERROR(IF(INDEX('CI&amp;S'!$N$22:$N$36,MATCH($F118,'CI&amp;S'!$B$22:$B$36,0))="","Cell will autofill based on response",INDEX('CI&amp;S'!$N$22:$N$36,MATCH($F118,'CI&amp;S'!$B$22:$B$36,0))),"N/A")</f>
        <v/>
      </c>
      <c r="N118" s="52">
        <f>IFERROR(IF(INDEX('CFOG'!$N$10:$N$16,MATCH($F118,'CFOG'!$B$10:$B$16,0))="","Cell will autofill based on response",INDEX('CFOG'!$N$10:$N$16,MATCH($F118,'CFOG'!$B$10:$B$16,0))),"N/A")</f>
        <v/>
      </c>
      <c r="O118" s="52">
        <f>IFERROR(IF(INDEX('CFOG'!$N$23:$N$24,MATCH($F118,'CFOG'!$B$23:$B$24,0))="","Cell will autofill based on response",INDEX('CFOG'!$N$23:$N$24,MATCH($F118,'CFOG'!$B$23:$B$24,0))),"N/A")</f>
        <v/>
      </c>
      <c r="P118" s="52">
        <f>IFERROR(IF(INDEX('ESG'!$N$10:$N$17,MATCH($F118,'ESG'!$B$10:$B$17,0))="","Cell will autofill based on response",INDEX('ESG'!$N$10:$N$17,MATCH($F118,'ESG'!$B$10:$B$17,0))),"N/A")</f>
        <v/>
      </c>
      <c r="Q118" s="52">
        <f>IFERROR(IF(INDEX('CIOG'!$N$10:$N$14,MATCH($F118,'CIOG'!$B$10:$B$14,0))="","Cell will autofill based on response",INDEX('CIOG'!$N$10:$N$14,MATCH($F118,'CIOG'!$B$10:$B$14,0))),"N/A")</f>
        <v/>
      </c>
      <c r="R118" s="52">
        <f>IFERROR(IF(INDEX('MRE'!$N$10:$N$18,MATCH($F118,'MRE'!$B$10:$B$18,0))="","Cell will autofill based on response",INDEX('MRE'!$N$10:$N$18,MATCH($F118,'MRE'!$B$10:$B$18,0))),"N/A")</f>
        <v/>
      </c>
      <c r="S118" s="52">
        <f>IFERROR(IF(INDEX('AC&amp;M'!$N$10:$N$14,MATCH($F118,'AC&amp;M'!$B$10:$B$14,0))="","Cell will autofill based on response",INDEX('AC&amp;M'!$N$10:$N$14,MATCH($F118,'AC&amp;M'!$B$10:$B$14,0))),"N/A")</f>
        <v/>
      </c>
      <c r="T118" s="52">
        <f>IFERROR(IF(INDEX('GCE'!$N$10:$N$12,MATCH($F118,'GCE'!$B$10:$B$12,0))="","Cell will autofill based on response",INDEX('GCE'!$N$10:$N$12,MATCH($F118,'GCE'!$B$10:$B$12,0))),"N/A")</f>
        <v/>
      </c>
      <c r="U118" s="52">
        <f>IFERROR(IF(INDEX('Education'!$N$10:$N$13,MATCH($F118,'Education'!$B$10:$B$13,0))="","Cell will autofill based on response",INDEX('Education'!$N$10:$N$13,MATCH($F118,'Education'!$B$10:$B$13,0))),"N/A")</f>
        <v/>
      </c>
      <c r="V118" s="52">
        <f>IFERROR(IF(INDEX('SaSS'!$N$10:$N$12,MATCH($F118,'SaSS'!$B$10:$B$12,0))="","Cell will autofill based on response",INDEX('SaSS'!$N$10:$N$12,MATCH($F118,'SaSS'!$B$10:$B$12,0))),"N/A")</f>
        <v/>
      </c>
      <c r="W118" s="52">
        <f>IFERROR(IF(INDEX('Indigenous'!$N$10:$N$11,MATCH($F118,'Indigenous'!$B$10:$B$11,0))="","Cell will autofill based on response",INDEX('Indigenous'!$N$10:$N$11,MATCH($F118,'Indigenous'!$B$10:$B$11,0))),"N/A")</f>
        <v/>
      </c>
      <c r="X118" s="52">
        <f>IFERROR(IF(INDEX('L&amp;R'!$N$10:$N$11,MATCH($F118,'L&amp;R'!$B$10:$B$11,0))="","Cell will autofill based on response",INDEX('L&amp;R'!$N$10:$N$11,MATCH($F118,'L&amp;R'!$B$10:$B$11,0))),"N/A")</f>
        <v/>
      </c>
    </row>
    <row r="119">
      <c r="A119">
        <f>F119&amp;"|"&amp;G119</f>
        <v/>
      </c>
      <c r="B119" s="13" t="inlineStr"/>
      <c r="C119" s="8" t="inlineStr"/>
      <c r="D119" s="8" t="inlineStr"/>
      <c r="E119" s="8" t="inlineStr"/>
      <c r="F119" s="8" t="inlineStr">
        <is>
          <t>NB1(d)</t>
        </is>
      </c>
      <c r="G119" s="8" t="inlineStr">
        <is>
          <t>Data source and limitations</t>
        </is>
      </c>
      <c r="H119" s="52">
        <f>IFERROR(IF(INDEX('Faculties'!$O$10:$O$19,MATCH($F119,'Faculties'!$B$10:$B$19,0))="","Cell will autofill based on response",INDEX('Faculties'!$O$10:$O$19,MATCH($F119,'Faculties'!$B$10:$B$19,0))),"N/A")</f>
        <v/>
      </c>
      <c r="I119" s="52">
        <f>IFERROR(IF(INDEX('Faculties'!$O$26:$O$35,MATCH($F119,'Faculties'!$B$26:$B$35,0))="","Cell will autofill based on response",INDEX('Faculties'!$O$26:$O$35,MATCH($F119,'Faculties'!$B$26:$B$35,0))),"N/A")</f>
        <v/>
      </c>
      <c r="J119" s="52">
        <f>IFERROR(IF(INDEX('Faculties'!$O$42:$O$51,MATCH($F119,'Faculties'!$B$42:$B$51,0))="","Cell will autofill based on response",INDEX('Faculties'!$O$42:$O$51,MATCH($F119,'Faculties'!$B$42:$B$51,0))),"N/A")</f>
        <v/>
      </c>
      <c r="K119" s="52">
        <f>IFERROR(IF(INDEX('Faculties'!$O$58:$O$67,MATCH($F119,'Faculties'!$B$58:$B$67,0))="","Cell will autofill based on response",INDEX('Faculties'!$O$58:$O$67,MATCH($F119,'Faculties'!$B$58:$B$67,0))),"N/A")</f>
        <v/>
      </c>
      <c r="L119" s="52">
        <f>IFERROR(IF(INDEX('CI&amp;S'!$O$10:$O$15,MATCH($F119,'CI&amp;S'!$B$10:$B$15,0))="","Cell will autofill based on response",INDEX('CI&amp;S'!$O$10:$O$15,MATCH($F119,'CI&amp;S'!$B$10:$B$15,0))),"N/A")</f>
        <v/>
      </c>
      <c r="M119" s="52">
        <f>IFERROR(IF(INDEX('CI&amp;S'!$O$22:$O$36,MATCH($F119,'CI&amp;S'!$B$22:$B$36,0))="","Cell will autofill based on response",INDEX('CI&amp;S'!$O$22:$O$36,MATCH($F119,'CI&amp;S'!$B$22:$B$36,0))),"N/A")</f>
        <v/>
      </c>
      <c r="N119" s="52">
        <f>IFERROR(IF(INDEX('CFOG'!$O$10:$O$16,MATCH($F119,'CFOG'!$B$10:$B$16,0))="","Cell will autofill based on response",INDEX('CFOG'!$O$10:$O$16,MATCH($F119,'CFOG'!$B$10:$B$16,0))),"N/A")</f>
        <v/>
      </c>
      <c r="O119" s="52">
        <f>IFERROR(IF(INDEX('CFOG'!$O$23:$O$24,MATCH($F119,'CFOG'!$B$23:$B$24,0))="","Cell will autofill based on response",INDEX('CFOG'!$O$23:$O$24,MATCH($F119,'CFOG'!$B$23:$B$24,0))),"N/A")</f>
        <v/>
      </c>
      <c r="P119" s="52">
        <f>IFERROR(IF(INDEX('ESG'!$O$10:$O$17,MATCH($F119,'ESG'!$B$10:$B$17,0))="","Cell will autofill based on response",INDEX('ESG'!$O$10:$O$17,MATCH($F119,'ESG'!$B$10:$B$17,0))),"N/A")</f>
        <v/>
      </c>
      <c r="Q119" s="52">
        <f>IFERROR(IF(INDEX('CIOG'!$O$10:$O$14,MATCH($F119,'CIOG'!$B$10:$B$14,0))="","Cell will autofill based on response",INDEX('CIOG'!$O$10:$O$14,MATCH($F119,'CIOG'!$B$10:$B$14,0))),"N/A")</f>
        <v/>
      </c>
      <c r="R119" s="52">
        <f>IFERROR(IF(INDEX('MRE'!$O$10:$O$18,MATCH($F119,'MRE'!$B$10:$B$18,0))="","Cell will autofill based on response",INDEX('MRE'!$O$10:$O$18,MATCH($F119,'MRE'!$B$10:$B$18,0))),"N/A")</f>
        <v/>
      </c>
      <c r="S119" s="52">
        <f>IFERROR(IF(INDEX('AC&amp;M'!$O$10:$O$14,MATCH($F119,'AC&amp;M'!$B$10:$B$14,0))="","Cell will autofill based on response",INDEX('AC&amp;M'!$O$10:$O$14,MATCH($F119,'AC&amp;M'!$B$10:$B$14,0))),"N/A")</f>
        <v/>
      </c>
      <c r="T119" s="52">
        <f>IFERROR(IF(INDEX('GCE'!$O$10:$O$12,MATCH($F119,'GCE'!$B$10:$B$12,0))="","Cell will autofill based on response",INDEX('GCE'!$O$10:$O$12,MATCH($F119,'GCE'!$B$10:$B$12,0))),"N/A")</f>
        <v/>
      </c>
      <c r="U119" s="52">
        <f>IFERROR(IF(INDEX('Education'!$O$10:$O$13,MATCH($F119,'Education'!$B$10:$B$13,0))="","Cell will autofill based on response",INDEX('Education'!$O$10:$O$13,MATCH($F119,'Education'!$B$10:$B$13,0))),"N/A")</f>
        <v/>
      </c>
      <c r="V119" s="52">
        <f>IFERROR(IF(INDEX('SaSS'!$O$10:$O$12,MATCH($F119,'SaSS'!$B$10:$B$12,0))="","Cell will autofill based on response",INDEX('SaSS'!$O$10:$O$12,MATCH($F119,'SaSS'!$B$10:$B$12,0))),"N/A")</f>
        <v/>
      </c>
      <c r="W119" s="52">
        <f>IFERROR(IF(INDEX('Indigenous'!$O$10:$O$11,MATCH($F119,'Indigenous'!$B$10:$B$11,0))="","Cell will autofill based on response",INDEX('Indigenous'!$O$10:$O$11,MATCH($F119,'Indigenous'!$B$10:$B$11,0))),"N/A")</f>
        <v/>
      </c>
      <c r="X119" s="52">
        <f>IFERROR(IF(INDEX('L&amp;R'!$O$10:$O$11,MATCH($F119,'L&amp;R'!$B$10:$B$11,0))="","Cell will autofill based on response",INDEX('L&amp;R'!$O$10:$O$11,MATCH($F119,'L&amp;R'!$B$10:$B$11,0))),"N/A")</f>
        <v/>
      </c>
    </row>
    <row r="120">
      <c r="A120">
        <f>F120&amp;"|"&amp;G120</f>
        <v/>
      </c>
      <c r="B120" s="13" t="inlineStr"/>
      <c r="C120" s="8" t="inlineStr"/>
      <c r="D120" s="8" t="inlineStr"/>
      <c r="E120" s="8" t="inlineStr"/>
      <c r="F120" s="8" t="inlineStr">
        <is>
          <t>NB1(d)</t>
        </is>
      </c>
      <c r="G120" s="8" t="inlineStr">
        <is>
          <t>Data owner confirms</t>
        </is>
      </c>
      <c r="H120" s="52">
        <f>IFERROR(IF(INDEX('Faculties'!$P$10:$P$19,MATCH($F120,'Faculties'!$B$10:$B$19,0))="","Cell will autofill based on response",INDEX('Faculties'!$P$10:$P$19,MATCH($F120,'Faculties'!$B$10:$B$19,0))),"N/A")</f>
        <v/>
      </c>
      <c r="I120" s="52">
        <f>IFERROR(IF(INDEX('Faculties'!$P$26:$P$35,MATCH($F120,'Faculties'!$B$26:$B$35,0))="","Cell will autofill based on response",INDEX('Faculties'!$P$26:$P$35,MATCH($F120,'Faculties'!$B$26:$B$35,0))),"N/A")</f>
        <v/>
      </c>
      <c r="J120" s="52">
        <f>IFERROR(IF(INDEX('Faculties'!$P$42:$P$51,MATCH($F120,'Faculties'!$B$42:$B$51,0))="","Cell will autofill based on response",INDEX('Faculties'!$P$42:$P$51,MATCH($F120,'Faculties'!$B$42:$B$51,0))),"N/A")</f>
        <v/>
      </c>
      <c r="K120" s="52">
        <f>IFERROR(IF(INDEX('Faculties'!$P$58:$P$67,MATCH($F120,'Faculties'!$B$58:$B$67,0))="","Cell will autofill based on response",INDEX('Faculties'!$P$58:$P$67,MATCH($F120,'Faculties'!$B$58:$B$67,0))),"N/A")</f>
        <v/>
      </c>
      <c r="L120" s="52">
        <f>IFERROR(IF(INDEX('CI&amp;S'!$P$10:$P$15,MATCH($F120,'CI&amp;S'!$B$10:$B$15,0))="","Cell will autofill based on response",INDEX('CI&amp;S'!$P$10:$P$15,MATCH($F120,'CI&amp;S'!$B$10:$B$15,0))),"N/A")</f>
        <v/>
      </c>
      <c r="M120" s="52">
        <f>IFERROR(IF(INDEX('CI&amp;S'!$P$22:$P$36,MATCH($F120,'CI&amp;S'!$B$22:$B$36,0))="","Cell will autofill based on response",INDEX('CI&amp;S'!$P$22:$P$36,MATCH($F120,'CI&amp;S'!$B$22:$B$36,0))),"N/A")</f>
        <v/>
      </c>
      <c r="N120" s="52">
        <f>IFERROR(IF(INDEX('CFOG'!$P$10:$P$16,MATCH($F120,'CFOG'!$B$10:$B$16,0))="","Cell will autofill based on response",INDEX('CFOG'!$P$10:$P$16,MATCH($F120,'CFOG'!$B$10:$B$16,0))),"N/A")</f>
        <v/>
      </c>
      <c r="O120" s="52">
        <f>IFERROR(IF(INDEX('CFOG'!$P$23:$P$24,MATCH($F120,'CFOG'!$B$23:$B$24,0))="","Cell will autofill based on response",INDEX('CFOG'!$P$23:$P$24,MATCH($F120,'CFOG'!$B$23:$B$24,0))),"N/A")</f>
        <v/>
      </c>
      <c r="P120" s="52">
        <f>IFERROR(IF(INDEX('ESG'!$P$10:$P$17,MATCH($F120,'ESG'!$B$10:$B$17,0))="","Cell will autofill based on response",INDEX('ESG'!$P$10:$P$17,MATCH($F120,'ESG'!$B$10:$B$17,0))),"N/A")</f>
        <v/>
      </c>
      <c r="Q120" s="52">
        <f>IFERROR(IF(INDEX('CIOG'!$P$10:$P$14,MATCH($F120,'CIOG'!$B$10:$B$14,0))="","Cell will autofill based on response",INDEX('CIOG'!$P$10:$P$14,MATCH($F120,'CIOG'!$B$10:$B$14,0))),"N/A")</f>
        <v/>
      </c>
      <c r="R120" s="52">
        <f>IFERROR(IF(INDEX('MRE'!$P$10:$P$18,MATCH($F120,'MRE'!$B$10:$B$18,0))="","Cell will autofill based on response",INDEX('MRE'!$P$10:$P$18,MATCH($F120,'MRE'!$B$10:$B$18,0))),"N/A")</f>
        <v/>
      </c>
      <c r="S120" s="52">
        <f>IFERROR(IF(INDEX('AC&amp;M'!$P$10:$P$14,MATCH($F120,'AC&amp;M'!$B$10:$B$14,0))="","Cell will autofill based on response",INDEX('AC&amp;M'!$P$10:$P$14,MATCH($F120,'AC&amp;M'!$B$10:$B$14,0))),"N/A")</f>
        <v/>
      </c>
      <c r="T120" s="52">
        <f>IFERROR(IF(INDEX('GCE'!$P$10:$P$12,MATCH($F120,'GCE'!$B$10:$B$12,0))="","Cell will autofill based on response",INDEX('GCE'!$P$10:$P$12,MATCH($F120,'GCE'!$B$10:$B$12,0))),"N/A")</f>
        <v/>
      </c>
      <c r="U120" s="52">
        <f>IFERROR(IF(INDEX('Education'!$P$10:$P$13,MATCH($F120,'Education'!$B$10:$B$13,0))="","Cell will autofill based on response",INDEX('Education'!$P$10:$P$13,MATCH($F120,'Education'!$B$10:$B$13,0))),"N/A")</f>
        <v/>
      </c>
      <c r="V120" s="52">
        <f>IFERROR(IF(INDEX('SaSS'!$P$10:$P$12,MATCH($F120,'SaSS'!$B$10:$B$12,0))="","Cell will autofill based on response",INDEX('SaSS'!$P$10:$P$12,MATCH($F120,'SaSS'!$B$10:$B$12,0))),"N/A")</f>
        <v/>
      </c>
      <c r="W120" s="52">
        <f>IFERROR(IF(INDEX('Indigenous'!$P$10:$P$11,MATCH($F120,'Indigenous'!$B$10:$B$11,0))="","Cell will autofill based on response",INDEX('Indigenous'!$P$10:$P$11,MATCH($F120,'Indigenous'!$B$10:$B$11,0))),"N/A")</f>
        <v/>
      </c>
      <c r="X120" s="52">
        <f>IFERROR(IF(INDEX('L&amp;R'!$P$10:$P$11,MATCH($F120,'L&amp;R'!$B$10:$B$11,0))="","Cell will autofill based on response",INDEX('L&amp;R'!$P$10:$P$11,MATCH($F120,'L&amp;R'!$B$10:$B$11,0))),"N/A")</f>
        <v/>
      </c>
    </row>
    <row r="121">
      <c r="A121">
        <f>F121&amp;"|"&amp;G121</f>
        <v/>
      </c>
      <c r="B121" s="7" t="inlineStr">
        <is>
          <t>NB2(a)</t>
        </is>
      </c>
      <c r="C121" s="50" t="inlineStr">
        <is>
          <t>Nature and biodiversity</t>
        </is>
      </c>
      <c r="D121" s="50" t="inlineStr">
        <is>
          <t>Documented baseline nature footprint analysis</t>
        </is>
      </c>
      <c r="E121" s="50" t="inlineStr">
        <is>
          <t>Impact Encore Measurement</t>
        </is>
      </c>
      <c r="F121" s="50" t="inlineStr">
        <is>
          <t>NB2(a)</t>
        </is>
      </c>
      <c r="G121" s="50" t="inlineStr">
        <is>
          <t>OPTION 1:  Target-level reporting</t>
        </is>
      </c>
      <c r="H121" s="52">
        <f>IFERROR(IF(INDEX('Faculties'!$L$10:$L$19,MATCH($F121,'Faculties'!$B$10:$B$19,0))="","Cell will autofill based on response",INDEX('Faculties'!$L$10:$L$19,MATCH($F121,'Faculties'!$B$10:$B$19,0))),"N/A")</f>
        <v/>
      </c>
      <c r="I121" s="52">
        <f>IFERROR(IF(INDEX('Faculties'!$L$26:$L$35,MATCH($F121,'Faculties'!$B$26:$B$35,0))="","Cell will autofill based on response",INDEX('Faculties'!$L$26:$L$35,MATCH($F121,'Faculties'!$B$26:$B$35,0))),"N/A")</f>
        <v/>
      </c>
      <c r="J121" s="52">
        <f>IFERROR(IF(INDEX('Faculties'!$L$42:$L$51,MATCH($F121,'Faculties'!$B$42:$B$51,0))="","Cell will autofill based on response",INDEX('Faculties'!$L$42:$L$51,MATCH($F121,'Faculties'!$B$42:$B$51,0))),"N/A")</f>
        <v/>
      </c>
      <c r="K121" s="52">
        <f>IFERROR(IF(INDEX('Faculties'!$L$58:$L$67,MATCH($F121,'Faculties'!$B$58:$B$67,0))="","Cell will autofill based on response",INDEX('Faculties'!$L$58:$L$67,MATCH($F121,'Faculties'!$B$58:$B$67,0))),"N/A")</f>
        <v/>
      </c>
      <c r="L121" s="52">
        <f>IFERROR(IF(INDEX('CI&amp;S'!$L$10:$L$15,MATCH($F121,'CI&amp;S'!$B$10:$B$15,0))="","Cell will autofill based on response",INDEX('CI&amp;S'!$L$10:$L$15,MATCH($F121,'CI&amp;S'!$B$10:$B$15,0))),"N/A")</f>
        <v/>
      </c>
      <c r="M121" s="52">
        <f>IFERROR(IF(INDEX('CI&amp;S'!$L$22:$L$36,MATCH($F121,'CI&amp;S'!$B$22:$B$36,0))="","Cell will autofill based on response",INDEX('CI&amp;S'!$L$22:$L$36,MATCH($F121,'CI&amp;S'!$B$22:$B$36,0))),"N/A")</f>
        <v/>
      </c>
      <c r="N121" s="52">
        <f>IFERROR(IF(INDEX('CFOG'!$L$10:$L$16,MATCH($F121,'CFOG'!$B$10:$B$16,0))="","Cell will autofill based on response",INDEX('CFOG'!$L$10:$L$16,MATCH($F121,'CFOG'!$B$10:$B$16,0))),"N/A")</f>
        <v/>
      </c>
      <c r="O121" s="52">
        <f>IFERROR(IF(INDEX('CFOG'!$L$23:$L$24,MATCH($F121,'CFOG'!$B$23:$B$24,0))="","Cell will autofill based on response",INDEX('CFOG'!$L$23:$L$24,MATCH($F121,'CFOG'!$B$23:$B$24,0))),"N/A")</f>
        <v/>
      </c>
      <c r="P121" s="52">
        <f>IFERROR(IF(INDEX('ESG'!$L$10:$L$17,MATCH($F121,'ESG'!$B$10:$B$17,0))="","Cell will autofill based on response",INDEX('ESG'!$L$10:$L$17,MATCH($F121,'ESG'!$B$10:$B$17,0))),"N/A")</f>
        <v/>
      </c>
      <c r="Q121" s="52">
        <f>IFERROR(IF(INDEX('CIOG'!$L$10:$L$14,MATCH($F121,'CIOG'!$B$10:$B$14,0))="","Cell will autofill based on response",INDEX('CIOG'!$L$10:$L$14,MATCH($F121,'CIOG'!$B$10:$B$14,0))),"N/A")</f>
        <v/>
      </c>
      <c r="R121" s="52">
        <f>IFERROR(IF(INDEX('MRE'!$L$10:$L$18,MATCH($F121,'MRE'!$B$10:$B$18,0))="","Cell will autofill based on response",INDEX('MRE'!$L$10:$L$18,MATCH($F121,'MRE'!$B$10:$B$18,0))),"N/A")</f>
        <v/>
      </c>
      <c r="S121" s="52">
        <f>IFERROR(IF(INDEX('AC&amp;M'!$L$10:$L$14,MATCH($F121,'AC&amp;M'!$B$10:$B$14,0))="","Cell will autofill based on response",INDEX('AC&amp;M'!$L$10:$L$14,MATCH($F121,'AC&amp;M'!$B$10:$B$14,0))),"N/A")</f>
        <v/>
      </c>
      <c r="T121" s="52">
        <f>IFERROR(IF(INDEX('GCE'!$L$10:$L$12,MATCH($F121,'GCE'!$B$10:$B$12,0))="","Cell will autofill based on response",INDEX('GCE'!$L$10:$L$12,MATCH($F121,'GCE'!$B$10:$B$12,0))),"N/A")</f>
        <v/>
      </c>
      <c r="U121" s="52">
        <f>IFERROR(IF(INDEX('Education'!$L$10:$L$13,MATCH($F121,'Education'!$B$10:$B$13,0))="","Cell will autofill based on response",INDEX('Education'!$L$10:$L$13,MATCH($F121,'Education'!$B$10:$B$13,0))),"N/A")</f>
        <v/>
      </c>
      <c r="V121" s="52">
        <f>IFERROR(IF(INDEX('SaSS'!$L$10:$L$12,MATCH($F121,'SaSS'!$B$10:$B$12,0))="","Cell will autofill based on response",INDEX('SaSS'!$L$10:$L$12,MATCH($F121,'SaSS'!$B$10:$B$12,0))),"N/A")</f>
        <v/>
      </c>
      <c r="W121" s="52">
        <f>IFERROR(IF(INDEX('Indigenous'!$L$10:$L$11,MATCH($F121,'Indigenous'!$B$10:$B$11,0))="","Cell will autofill based on response",INDEX('Indigenous'!$L$10:$L$11,MATCH($F121,'Indigenous'!$B$10:$B$11,0))),"N/A")</f>
        <v/>
      </c>
      <c r="X121" s="52">
        <f>IFERROR(IF(INDEX('L&amp;R'!$L$10:$L$11,MATCH($F121,'L&amp;R'!$B$10:$B$11,0))="","Cell will autofill based on response",INDEX('L&amp;R'!$L$10:$L$11,MATCH($F121,'L&amp;R'!$B$10:$B$11,0))),"N/A")</f>
        <v/>
      </c>
      <c r="Z121" s="10">
        <f>SUMPRODUCT(--($H121:$X121&lt;&gt;"N/A"))</f>
        <v/>
      </c>
      <c r="AA121" s="10">
        <f>SUMPRODUCT(--(((($H121:$X121&lt;&gt;"N/A")*($H121:$X121&lt;&gt;"Cell will autofill based on response"))+(($H122:$X122&lt;&gt;"N/A")*($H122:$X122&lt;&gt;"Cell will autofill based on response")))&gt;0))</f>
        <v/>
      </c>
      <c r="AB121" s="10">
        <f>Z121-AA121</f>
        <v/>
      </c>
      <c r="AC121" s="10">
        <f>COUNTIF($H125:$X125,"Yes")</f>
        <v/>
      </c>
    </row>
    <row r="122">
      <c r="A122">
        <f>F122&amp;"|"&amp;G122</f>
        <v/>
      </c>
      <c r="B122" s="13" t="inlineStr"/>
      <c r="C122" s="8" t="inlineStr"/>
      <c r="D122" s="8" t="inlineStr"/>
      <c r="E122" s="8" t="inlineStr"/>
      <c r="F122" s="8" t="inlineStr">
        <is>
          <t>NB2(a)</t>
        </is>
      </c>
      <c r="G122" s="8" t="inlineStr">
        <is>
          <t>OPTION 2:  Indicator level reporting</t>
        </is>
      </c>
      <c r="H122" s="52">
        <f>IFERROR(IF(INDEX('Faculties'!$M$10:$M$19,MATCH($F122,'Faculties'!$B$10:$B$19,0))="","Cell will autofill based on response",INDEX('Faculties'!$M$10:$M$19,MATCH($F122,'Faculties'!$B$10:$B$19,0))),"N/A")</f>
        <v/>
      </c>
      <c r="I122" s="52">
        <f>IFERROR(IF(INDEX('Faculties'!$M$26:$M$35,MATCH($F122,'Faculties'!$B$26:$B$35,0))="","Cell will autofill based on response",INDEX('Faculties'!$M$26:$M$35,MATCH($F122,'Faculties'!$B$26:$B$35,0))),"N/A")</f>
        <v/>
      </c>
      <c r="J122" s="52">
        <f>IFERROR(IF(INDEX('Faculties'!$M$42:$M$51,MATCH($F122,'Faculties'!$B$42:$B$51,0))="","Cell will autofill based on response",INDEX('Faculties'!$M$42:$M$51,MATCH($F122,'Faculties'!$B$42:$B$51,0))),"N/A")</f>
        <v/>
      </c>
      <c r="K122" s="52">
        <f>IFERROR(IF(INDEX('Faculties'!$M$58:$M$67,MATCH($F122,'Faculties'!$B$58:$B$67,0))="","Cell will autofill based on response",INDEX('Faculties'!$M$58:$M$67,MATCH($F122,'Faculties'!$B$58:$B$67,0))),"N/A")</f>
        <v/>
      </c>
      <c r="L122" s="52">
        <f>IFERROR(IF(INDEX('CI&amp;S'!$M$10:$M$15,MATCH($F122,'CI&amp;S'!$B$10:$B$15,0))="","Cell will autofill based on response",INDEX('CI&amp;S'!$M$10:$M$15,MATCH($F122,'CI&amp;S'!$B$10:$B$15,0))),"N/A")</f>
        <v/>
      </c>
      <c r="M122" s="52">
        <f>IFERROR(IF(INDEX('CI&amp;S'!$M$22:$M$36,MATCH($F122,'CI&amp;S'!$B$22:$B$36,0))="","Cell will autofill based on response",INDEX('CI&amp;S'!$M$22:$M$36,MATCH($F122,'CI&amp;S'!$B$22:$B$36,0))),"N/A")</f>
        <v/>
      </c>
      <c r="N122" s="52">
        <f>IFERROR(IF(INDEX('CFOG'!$M$10:$M$16,MATCH($F122,'CFOG'!$B$10:$B$16,0))="","Cell will autofill based on response",INDEX('CFOG'!$M$10:$M$16,MATCH($F122,'CFOG'!$B$10:$B$16,0))),"N/A")</f>
        <v/>
      </c>
      <c r="O122" s="52">
        <f>IFERROR(IF(INDEX('CFOG'!$M$23:$M$24,MATCH($F122,'CFOG'!$B$23:$B$24,0))="","Cell will autofill based on response",INDEX('CFOG'!$M$23:$M$24,MATCH($F122,'CFOG'!$B$23:$B$24,0))),"N/A")</f>
        <v/>
      </c>
      <c r="P122" s="52">
        <f>IFERROR(IF(INDEX('ESG'!$M$10:$M$17,MATCH($F122,'ESG'!$B$10:$B$17,0))="","Cell will autofill based on response",INDEX('ESG'!$M$10:$M$17,MATCH($F122,'ESG'!$B$10:$B$17,0))),"N/A")</f>
        <v/>
      </c>
      <c r="Q122" s="52">
        <f>IFERROR(IF(INDEX('CIOG'!$M$10:$M$14,MATCH($F122,'CIOG'!$B$10:$B$14,0))="","Cell will autofill based on response",INDEX('CIOG'!$M$10:$M$14,MATCH($F122,'CIOG'!$B$10:$B$14,0))),"N/A")</f>
        <v/>
      </c>
      <c r="R122" s="52">
        <f>IFERROR(IF(INDEX('MRE'!$M$10:$M$18,MATCH($F122,'MRE'!$B$10:$B$18,0))="","Cell will autofill based on response",INDEX('MRE'!$M$10:$M$18,MATCH($F122,'MRE'!$B$10:$B$18,0))),"N/A")</f>
        <v/>
      </c>
      <c r="S122" s="52">
        <f>IFERROR(IF(INDEX('AC&amp;M'!$M$10:$M$14,MATCH($F122,'AC&amp;M'!$B$10:$B$14,0))="","Cell will autofill based on response",INDEX('AC&amp;M'!$M$10:$M$14,MATCH($F122,'AC&amp;M'!$B$10:$B$14,0))),"N/A")</f>
        <v/>
      </c>
      <c r="T122" s="52">
        <f>IFERROR(IF(INDEX('GCE'!$M$10:$M$12,MATCH($F122,'GCE'!$B$10:$B$12,0))="","Cell will autofill based on response",INDEX('GCE'!$M$10:$M$12,MATCH($F122,'GCE'!$B$10:$B$12,0))),"N/A")</f>
        <v/>
      </c>
      <c r="U122" s="52">
        <f>IFERROR(IF(INDEX('Education'!$M$10:$M$13,MATCH($F122,'Education'!$B$10:$B$13,0))="","Cell will autofill based on response",INDEX('Education'!$M$10:$M$13,MATCH($F122,'Education'!$B$10:$B$13,0))),"N/A")</f>
        <v/>
      </c>
      <c r="V122" s="52">
        <f>IFERROR(IF(INDEX('SaSS'!$M$10:$M$12,MATCH($F122,'SaSS'!$B$10:$B$12,0))="","Cell will autofill based on response",INDEX('SaSS'!$M$10:$M$12,MATCH($F122,'SaSS'!$B$10:$B$12,0))),"N/A")</f>
        <v/>
      </c>
      <c r="W122" s="52">
        <f>IFERROR(IF(INDEX('Indigenous'!$M$10:$M$11,MATCH($F122,'Indigenous'!$B$10:$B$11,0))="","Cell will autofill based on response",INDEX('Indigenous'!$M$10:$M$11,MATCH($F122,'Indigenous'!$B$10:$B$11,0))),"N/A")</f>
        <v/>
      </c>
      <c r="X122" s="52">
        <f>IFERROR(IF(INDEX('L&amp;R'!$M$10:$M$11,MATCH($F122,'L&amp;R'!$B$10:$B$11,0))="","Cell will autofill based on response",INDEX('L&amp;R'!$M$10:$M$11,MATCH($F122,'L&amp;R'!$B$10:$B$11,0))),"N/A")</f>
        <v/>
      </c>
    </row>
    <row r="123">
      <c r="A123">
        <f>F123&amp;"|"&amp;G123</f>
        <v/>
      </c>
      <c r="B123" s="13" t="inlineStr"/>
      <c r="C123" s="8" t="inlineStr"/>
      <c r="D123" s="8" t="inlineStr"/>
      <c r="E123" s="8" t="inlineStr"/>
      <c r="F123" s="8" t="inlineStr">
        <is>
          <t>NB2(a)</t>
        </is>
      </c>
      <c r="G123" s="8" t="inlineStr">
        <is>
          <t>Supporting information/comments</t>
        </is>
      </c>
      <c r="H123" s="52">
        <f>IFERROR(IF(INDEX('Faculties'!$N$10:$N$19,MATCH($F123,'Faculties'!$B$10:$B$19,0))="","Cell will autofill based on response",INDEX('Faculties'!$N$10:$N$19,MATCH($F123,'Faculties'!$B$10:$B$19,0))),"N/A")</f>
        <v/>
      </c>
      <c r="I123" s="52">
        <f>IFERROR(IF(INDEX('Faculties'!$N$26:$N$35,MATCH($F123,'Faculties'!$B$26:$B$35,0))="","Cell will autofill based on response",INDEX('Faculties'!$N$26:$N$35,MATCH($F123,'Faculties'!$B$26:$B$35,0))),"N/A")</f>
        <v/>
      </c>
      <c r="J123" s="52">
        <f>IFERROR(IF(INDEX('Faculties'!$N$42:$N$51,MATCH($F123,'Faculties'!$B$42:$B$51,0))="","Cell will autofill based on response",INDEX('Faculties'!$N$42:$N$51,MATCH($F123,'Faculties'!$B$42:$B$51,0))),"N/A")</f>
        <v/>
      </c>
      <c r="K123" s="52">
        <f>IFERROR(IF(INDEX('Faculties'!$N$58:$N$67,MATCH($F123,'Faculties'!$B$58:$B$67,0))="","Cell will autofill based on response",INDEX('Faculties'!$N$58:$N$67,MATCH($F123,'Faculties'!$B$58:$B$67,0))),"N/A")</f>
        <v/>
      </c>
      <c r="L123" s="52">
        <f>IFERROR(IF(INDEX('CI&amp;S'!$N$10:$N$15,MATCH($F123,'CI&amp;S'!$B$10:$B$15,0))="","Cell will autofill based on response",INDEX('CI&amp;S'!$N$10:$N$15,MATCH($F123,'CI&amp;S'!$B$10:$B$15,0))),"N/A")</f>
        <v/>
      </c>
      <c r="M123" s="52">
        <f>IFERROR(IF(INDEX('CI&amp;S'!$N$22:$N$36,MATCH($F123,'CI&amp;S'!$B$22:$B$36,0))="","Cell will autofill based on response",INDEX('CI&amp;S'!$N$22:$N$36,MATCH($F123,'CI&amp;S'!$B$22:$B$36,0))),"N/A")</f>
        <v/>
      </c>
      <c r="N123" s="52">
        <f>IFERROR(IF(INDEX('CFOG'!$N$10:$N$16,MATCH($F123,'CFOG'!$B$10:$B$16,0))="","Cell will autofill based on response",INDEX('CFOG'!$N$10:$N$16,MATCH($F123,'CFOG'!$B$10:$B$16,0))),"N/A")</f>
        <v/>
      </c>
      <c r="O123" s="52">
        <f>IFERROR(IF(INDEX('CFOG'!$N$23:$N$24,MATCH($F123,'CFOG'!$B$23:$B$24,0))="","Cell will autofill based on response",INDEX('CFOG'!$N$23:$N$24,MATCH($F123,'CFOG'!$B$23:$B$24,0))),"N/A")</f>
        <v/>
      </c>
      <c r="P123" s="52">
        <f>IFERROR(IF(INDEX('ESG'!$N$10:$N$17,MATCH($F123,'ESG'!$B$10:$B$17,0))="","Cell will autofill based on response",INDEX('ESG'!$N$10:$N$17,MATCH($F123,'ESG'!$B$10:$B$17,0))),"N/A")</f>
        <v/>
      </c>
      <c r="Q123" s="52">
        <f>IFERROR(IF(INDEX('CIOG'!$N$10:$N$14,MATCH($F123,'CIOG'!$B$10:$B$14,0))="","Cell will autofill based on response",INDEX('CIOG'!$N$10:$N$14,MATCH($F123,'CIOG'!$B$10:$B$14,0))),"N/A")</f>
        <v/>
      </c>
      <c r="R123" s="52">
        <f>IFERROR(IF(INDEX('MRE'!$N$10:$N$18,MATCH($F123,'MRE'!$B$10:$B$18,0))="","Cell will autofill based on response",INDEX('MRE'!$N$10:$N$18,MATCH($F123,'MRE'!$B$10:$B$18,0))),"N/A")</f>
        <v/>
      </c>
      <c r="S123" s="52">
        <f>IFERROR(IF(INDEX('AC&amp;M'!$N$10:$N$14,MATCH($F123,'AC&amp;M'!$B$10:$B$14,0))="","Cell will autofill based on response",INDEX('AC&amp;M'!$N$10:$N$14,MATCH($F123,'AC&amp;M'!$B$10:$B$14,0))),"N/A")</f>
        <v/>
      </c>
      <c r="T123" s="52">
        <f>IFERROR(IF(INDEX('GCE'!$N$10:$N$12,MATCH($F123,'GCE'!$B$10:$B$12,0))="","Cell will autofill based on response",INDEX('GCE'!$N$10:$N$12,MATCH($F123,'GCE'!$B$10:$B$12,0))),"N/A")</f>
        <v/>
      </c>
      <c r="U123" s="52">
        <f>IFERROR(IF(INDEX('Education'!$N$10:$N$13,MATCH($F123,'Education'!$B$10:$B$13,0))="","Cell will autofill based on response",INDEX('Education'!$N$10:$N$13,MATCH($F123,'Education'!$B$10:$B$13,0))),"N/A")</f>
        <v/>
      </c>
      <c r="V123" s="52">
        <f>IFERROR(IF(INDEX('SaSS'!$N$10:$N$12,MATCH($F123,'SaSS'!$B$10:$B$12,0))="","Cell will autofill based on response",INDEX('SaSS'!$N$10:$N$12,MATCH($F123,'SaSS'!$B$10:$B$12,0))),"N/A")</f>
        <v/>
      </c>
      <c r="W123" s="52">
        <f>IFERROR(IF(INDEX('Indigenous'!$N$10:$N$11,MATCH($F123,'Indigenous'!$B$10:$B$11,0))="","Cell will autofill based on response",INDEX('Indigenous'!$N$10:$N$11,MATCH($F123,'Indigenous'!$B$10:$B$11,0))),"N/A")</f>
        <v/>
      </c>
      <c r="X123" s="52">
        <f>IFERROR(IF(INDEX('L&amp;R'!$N$10:$N$11,MATCH($F123,'L&amp;R'!$B$10:$B$11,0))="","Cell will autofill based on response",INDEX('L&amp;R'!$N$10:$N$11,MATCH($F123,'L&amp;R'!$B$10:$B$11,0))),"N/A")</f>
        <v/>
      </c>
    </row>
    <row r="124">
      <c r="A124">
        <f>F124&amp;"|"&amp;G124</f>
        <v/>
      </c>
      <c r="B124" s="13" t="inlineStr"/>
      <c r="C124" s="8" t="inlineStr"/>
      <c r="D124" s="8" t="inlineStr"/>
      <c r="E124" s="8" t="inlineStr"/>
      <c r="F124" s="8" t="inlineStr">
        <is>
          <t>NB2(a)</t>
        </is>
      </c>
      <c r="G124" s="8" t="inlineStr">
        <is>
          <t>Data source and limitations</t>
        </is>
      </c>
      <c r="H124" s="52">
        <f>IFERROR(IF(INDEX('Faculties'!$O$10:$O$19,MATCH($F124,'Faculties'!$B$10:$B$19,0))="","Cell will autofill based on response",INDEX('Faculties'!$O$10:$O$19,MATCH($F124,'Faculties'!$B$10:$B$19,0))),"N/A")</f>
        <v/>
      </c>
      <c r="I124" s="52">
        <f>IFERROR(IF(INDEX('Faculties'!$O$26:$O$35,MATCH($F124,'Faculties'!$B$26:$B$35,0))="","Cell will autofill based on response",INDEX('Faculties'!$O$26:$O$35,MATCH($F124,'Faculties'!$B$26:$B$35,0))),"N/A")</f>
        <v/>
      </c>
      <c r="J124" s="52">
        <f>IFERROR(IF(INDEX('Faculties'!$O$42:$O$51,MATCH($F124,'Faculties'!$B$42:$B$51,0))="","Cell will autofill based on response",INDEX('Faculties'!$O$42:$O$51,MATCH($F124,'Faculties'!$B$42:$B$51,0))),"N/A")</f>
        <v/>
      </c>
      <c r="K124" s="52">
        <f>IFERROR(IF(INDEX('Faculties'!$O$58:$O$67,MATCH($F124,'Faculties'!$B$58:$B$67,0))="","Cell will autofill based on response",INDEX('Faculties'!$O$58:$O$67,MATCH($F124,'Faculties'!$B$58:$B$67,0))),"N/A")</f>
        <v/>
      </c>
      <c r="L124" s="52">
        <f>IFERROR(IF(INDEX('CI&amp;S'!$O$10:$O$15,MATCH($F124,'CI&amp;S'!$B$10:$B$15,0))="","Cell will autofill based on response",INDEX('CI&amp;S'!$O$10:$O$15,MATCH($F124,'CI&amp;S'!$B$10:$B$15,0))),"N/A")</f>
        <v/>
      </c>
      <c r="M124" s="52">
        <f>IFERROR(IF(INDEX('CI&amp;S'!$O$22:$O$36,MATCH($F124,'CI&amp;S'!$B$22:$B$36,0))="","Cell will autofill based on response",INDEX('CI&amp;S'!$O$22:$O$36,MATCH($F124,'CI&amp;S'!$B$22:$B$36,0))),"N/A")</f>
        <v/>
      </c>
      <c r="N124" s="52">
        <f>IFERROR(IF(INDEX('CFOG'!$O$10:$O$16,MATCH($F124,'CFOG'!$B$10:$B$16,0))="","Cell will autofill based on response",INDEX('CFOG'!$O$10:$O$16,MATCH($F124,'CFOG'!$B$10:$B$16,0))),"N/A")</f>
        <v/>
      </c>
      <c r="O124" s="52">
        <f>IFERROR(IF(INDEX('CFOG'!$O$23:$O$24,MATCH($F124,'CFOG'!$B$23:$B$24,0))="","Cell will autofill based on response",INDEX('CFOG'!$O$23:$O$24,MATCH($F124,'CFOG'!$B$23:$B$24,0))),"N/A")</f>
        <v/>
      </c>
      <c r="P124" s="52">
        <f>IFERROR(IF(INDEX('ESG'!$O$10:$O$17,MATCH($F124,'ESG'!$B$10:$B$17,0))="","Cell will autofill based on response",INDEX('ESG'!$O$10:$O$17,MATCH($F124,'ESG'!$B$10:$B$17,0))),"N/A")</f>
        <v/>
      </c>
      <c r="Q124" s="52">
        <f>IFERROR(IF(INDEX('CIOG'!$O$10:$O$14,MATCH($F124,'CIOG'!$B$10:$B$14,0))="","Cell will autofill based on response",INDEX('CIOG'!$O$10:$O$14,MATCH($F124,'CIOG'!$B$10:$B$14,0))),"N/A")</f>
        <v/>
      </c>
      <c r="R124" s="52">
        <f>IFERROR(IF(INDEX('MRE'!$O$10:$O$18,MATCH($F124,'MRE'!$B$10:$B$18,0))="","Cell will autofill based on response",INDEX('MRE'!$O$10:$O$18,MATCH($F124,'MRE'!$B$10:$B$18,0))),"N/A")</f>
        <v/>
      </c>
      <c r="S124" s="52">
        <f>IFERROR(IF(INDEX('AC&amp;M'!$O$10:$O$14,MATCH($F124,'AC&amp;M'!$B$10:$B$14,0))="","Cell will autofill based on response",INDEX('AC&amp;M'!$O$10:$O$14,MATCH($F124,'AC&amp;M'!$B$10:$B$14,0))),"N/A")</f>
        <v/>
      </c>
      <c r="T124" s="52">
        <f>IFERROR(IF(INDEX('GCE'!$O$10:$O$12,MATCH($F124,'GCE'!$B$10:$B$12,0))="","Cell will autofill based on response",INDEX('GCE'!$O$10:$O$12,MATCH($F124,'GCE'!$B$10:$B$12,0))),"N/A")</f>
        <v/>
      </c>
      <c r="U124" s="52">
        <f>IFERROR(IF(INDEX('Education'!$O$10:$O$13,MATCH($F124,'Education'!$B$10:$B$13,0))="","Cell will autofill based on response",INDEX('Education'!$O$10:$O$13,MATCH($F124,'Education'!$B$10:$B$13,0))),"N/A")</f>
        <v/>
      </c>
      <c r="V124" s="52">
        <f>IFERROR(IF(INDEX('SaSS'!$O$10:$O$12,MATCH($F124,'SaSS'!$B$10:$B$12,0))="","Cell will autofill based on response",INDEX('SaSS'!$O$10:$O$12,MATCH($F124,'SaSS'!$B$10:$B$12,0))),"N/A")</f>
        <v/>
      </c>
      <c r="W124" s="52">
        <f>IFERROR(IF(INDEX('Indigenous'!$O$10:$O$11,MATCH($F124,'Indigenous'!$B$10:$B$11,0))="","Cell will autofill based on response",INDEX('Indigenous'!$O$10:$O$11,MATCH($F124,'Indigenous'!$B$10:$B$11,0))),"N/A")</f>
        <v/>
      </c>
      <c r="X124" s="52">
        <f>IFERROR(IF(INDEX('L&amp;R'!$O$10:$O$11,MATCH($F124,'L&amp;R'!$B$10:$B$11,0))="","Cell will autofill based on response",INDEX('L&amp;R'!$O$10:$O$11,MATCH($F124,'L&amp;R'!$B$10:$B$11,0))),"N/A")</f>
        <v/>
      </c>
    </row>
    <row r="125">
      <c r="A125">
        <f>F125&amp;"|"&amp;G125</f>
        <v/>
      </c>
      <c r="B125" s="13" t="inlineStr"/>
      <c r="C125" s="8" t="inlineStr"/>
      <c r="D125" s="8" t="inlineStr"/>
      <c r="E125" s="8" t="inlineStr"/>
      <c r="F125" s="8" t="inlineStr">
        <is>
          <t>NB2(a)</t>
        </is>
      </c>
      <c r="G125" s="8" t="inlineStr">
        <is>
          <t>Data owner confirms</t>
        </is>
      </c>
      <c r="H125" s="52">
        <f>IFERROR(IF(INDEX('Faculties'!$P$10:$P$19,MATCH($F125,'Faculties'!$B$10:$B$19,0))="","Cell will autofill based on response",INDEX('Faculties'!$P$10:$P$19,MATCH($F125,'Faculties'!$B$10:$B$19,0))),"N/A")</f>
        <v/>
      </c>
      <c r="I125" s="52">
        <f>IFERROR(IF(INDEX('Faculties'!$P$26:$P$35,MATCH($F125,'Faculties'!$B$26:$B$35,0))="","Cell will autofill based on response",INDEX('Faculties'!$P$26:$P$35,MATCH($F125,'Faculties'!$B$26:$B$35,0))),"N/A")</f>
        <v/>
      </c>
      <c r="J125" s="52">
        <f>IFERROR(IF(INDEX('Faculties'!$P$42:$P$51,MATCH($F125,'Faculties'!$B$42:$B$51,0))="","Cell will autofill based on response",INDEX('Faculties'!$P$42:$P$51,MATCH($F125,'Faculties'!$B$42:$B$51,0))),"N/A")</f>
        <v/>
      </c>
      <c r="K125" s="52">
        <f>IFERROR(IF(INDEX('Faculties'!$P$58:$P$67,MATCH($F125,'Faculties'!$B$58:$B$67,0))="","Cell will autofill based on response",INDEX('Faculties'!$P$58:$P$67,MATCH($F125,'Faculties'!$B$58:$B$67,0))),"N/A")</f>
        <v/>
      </c>
      <c r="L125" s="52">
        <f>IFERROR(IF(INDEX('CI&amp;S'!$P$10:$P$15,MATCH($F125,'CI&amp;S'!$B$10:$B$15,0))="","Cell will autofill based on response",INDEX('CI&amp;S'!$P$10:$P$15,MATCH($F125,'CI&amp;S'!$B$10:$B$15,0))),"N/A")</f>
        <v/>
      </c>
      <c r="M125" s="52">
        <f>IFERROR(IF(INDEX('CI&amp;S'!$P$22:$P$36,MATCH($F125,'CI&amp;S'!$B$22:$B$36,0))="","Cell will autofill based on response",INDEX('CI&amp;S'!$P$22:$P$36,MATCH($F125,'CI&amp;S'!$B$22:$B$36,0))),"N/A")</f>
        <v/>
      </c>
      <c r="N125" s="52">
        <f>IFERROR(IF(INDEX('CFOG'!$P$10:$P$16,MATCH($F125,'CFOG'!$B$10:$B$16,0))="","Cell will autofill based on response",INDEX('CFOG'!$P$10:$P$16,MATCH($F125,'CFOG'!$B$10:$B$16,0))),"N/A")</f>
        <v/>
      </c>
      <c r="O125" s="52">
        <f>IFERROR(IF(INDEX('CFOG'!$P$23:$P$24,MATCH($F125,'CFOG'!$B$23:$B$24,0))="","Cell will autofill based on response",INDEX('CFOG'!$P$23:$P$24,MATCH($F125,'CFOG'!$B$23:$B$24,0))),"N/A")</f>
        <v/>
      </c>
      <c r="P125" s="52">
        <f>IFERROR(IF(INDEX('ESG'!$P$10:$P$17,MATCH($F125,'ESG'!$B$10:$B$17,0))="","Cell will autofill based on response",INDEX('ESG'!$P$10:$P$17,MATCH($F125,'ESG'!$B$10:$B$17,0))),"N/A")</f>
        <v/>
      </c>
      <c r="Q125" s="52">
        <f>IFERROR(IF(INDEX('CIOG'!$P$10:$P$14,MATCH($F125,'CIOG'!$B$10:$B$14,0))="","Cell will autofill based on response",INDEX('CIOG'!$P$10:$P$14,MATCH($F125,'CIOG'!$B$10:$B$14,0))),"N/A")</f>
        <v/>
      </c>
      <c r="R125" s="52">
        <f>IFERROR(IF(INDEX('MRE'!$P$10:$P$18,MATCH($F125,'MRE'!$B$10:$B$18,0))="","Cell will autofill based on response",INDEX('MRE'!$P$10:$P$18,MATCH($F125,'MRE'!$B$10:$B$18,0))),"N/A")</f>
        <v/>
      </c>
      <c r="S125" s="52">
        <f>IFERROR(IF(INDEX('AC&amp;M'!$P$10:$P$14,MATCH($F125,'AC&amp;M'!$B$10:$B$14,0))="","Cell will autofill based on response",INDEX('AC&amp;M'!$P$10:$P$14,MATCH($F125,'AC&amp;M'!$B$10:$B$14,0))),"N/A")</f>
        <v/>
      </c>
      <c r="T125" s="52">
        <f>IFERROR(IF(INDEX('GCE'!$P$10:$P$12,MATCH($F125,'GCE'!$B$10:$B$12,0))="","Cell will autofill based on response",INDEX('GCE'!$P$10:$P$12,MATCH($F125,'GCE'!$B$10:$B$12,0))),"N/A")</f>
        <v/>
      </c>
      <c r="U125" s="52">
        <f>IFERROR(IF(INDEX('Education'!$P$10:$P$13,MATCH($F125,'Education'!$B$10:$B$13,0))="","Cell will autofill based on response",INDEX('Education'!$P$10:$P$13,MATCH($F125,'Education'!$B$10:$B$13,0))),"N/A")</f>
        <v/>
      </c>
      <c r="V125" s="52">
        <f>IFERROR(IF(INDEX('SaSS'!$P$10:$P$12,MATCH($F125,'SaSS'!$B$10:$B$12,0))="","Cell will autofill based on response",INDEX('SaSS'!$P$10:$P$12,MATCH($F125,'SaSS'!$B$10:$B$12,0))),"N/A")</f>
        <v/>
      </c>
      <c r="W125" s="52">
        <f>IFERROR(IF(INDEX('Indigenous'!$P$10:$P$11,MATCH($F125,'Indigenous'!$B$10:$B$11,0))="","Cell will autofill based on response",INDEX('Indigenous'!$P$10:$P$11,MATCH($F125,'Indigenous'!$B$10:$B$11,0))),"N/A")</f>
        <v/>
      </c>
      <c r="X125" s="52">
        <f>IFERROR(IF(INDEX('L&amp;R'!$P$10:$P$11,MATCH($F125,'L&amp;R'!$B$10:$B$11,0))="","Cell will autofill based on response",INDEX('L&amp;R'!$P$10:$P$11,MATCH($F125,'L&amp;R'!$B$10:$B$11,0))),"N/A")</f>
        <v/>
      </c>
    </row>
    <row r="126">
      <c r="A126">
        <f>F126&amp;"|"&amp;G126</f>
        <v/>
      </c>
      <c r="B126" s="7" t="inlineStr">
        <is>
          <t>NB2(b)</t>
        </is>
      </c>
      <c r="C126" s="50" t="inlineStr">
        <is>
          <t>Nature and biodiversity</t>
        </is>
      </c>
      <c r="D126" s="50" t="inlineStr">
        <is>
          <t>Evidence of established framework to monitor and track supply-chain nature impacts over time</t>
        </is>
      </c>
      <c r="E126" s="50" t="inlineStr">
        <is>
          <t>Please describe the framework established to monitor and track supply-chain impacts on nature over time, could include metrics, data sources, governance/ownership, reporting frequency and current implementation status.</t>
        </is>
      </c>
      <c r="F126" s="50" t="inlineStr">
        <is>
          <t>NB2(b)</t>
        </is>
      </c>
      <c r="G126" s="50" t="inlineStr">
        <is>
          <t>OPTION 1:  Target-level reporting</t>
        </is>
      </c>
      <c r="H126" s="52">
        <f>IFERROR(IF(INDEX('Faculties'!$L$10:$L$19,MATCH($F126,'Faculties'!$B$10:$B$19,0))="","Cell will autofill based on response",INDEX('Faculties'!$L$10:$L$19,MATCH($F126,'Faculties'!$B$10:$B$19,0))),"N/A")</f>
        <v/>
      </c>
      <c r="I126" s="52">
        <f>IFERROR(IF(INDEX('Faculties'!$L$26:$L$35,MATCH($F126,'Faculties'!$B$26:$B$35,0))="","Cell will autofill based on response",INDEX('Faculties'!$L$26:$L$35,MATCH($F126,'Faculties'!$B$26:$B$35,0))),"N/A")</f>
        <v/>
      </c>
      <c r="J126" s="52">
        <f>IFERROR(IF(INDEX('Faculties'!$L$42:$L$51,MATCH($F126,'Faculties'!$B$42:$B$51,0))="","Cell will autofill based on response",INDEX('Faculties'!$L$42:$L$51,MATCH($F126,'Faculties'!$B$42:$B$51,0))),"N/A")</f>
        <v/>
      </c>
      <c r="K126" s="52">
        <f>IFERROR(IF(INDEX('Faculties'!$L$58:$L$67,MATCH($F126,'Faculties'!$B$58:$B$67,0))="","Cell will autofill based on response",INDEX('Faculties'!$L$58:$L$67,MATCH($F126,'Faculties'!$B$58:$B$67,0))),"N/A")</f>
        <v/>
      </c>
      <c r="L126" s="52">
        <f>IFERROR(IF(INDEX('CI&amp;S'!$L$10:$L$15,MATCH($F126,'CI&amp;S'!$B$10:$B$15,0))="","Cell will autofill based on response",INDEX('CI&amp;S'!$L$10:$L$15,MATCH($F126,'CI&amp;S'!$B$10:$B$15,0))),"N/A")</f>
        <v/>
      </c>
      <c r="M126" s="52">
        <f>IFERROR(IF(INDEX('CI&amp;S'!$L$22:$L$36,MATCH($F126,'CI&amp;S'!$B$22:$B$36,0))="","Cell will autofill based on response",INDEX('CI&amp;S'!$L$22:$L$36,MATCH($F126,'CI&amp;S'!$B$22:$B$36,0))),"N/A")</f>
        <v/>
      </c>
      <c r="N126" s="52">
        <f>IFERROR(IF(INDEX('CFOG'!$L$10:$L$16,MATCH($F126,'CFOG'!$B$10:$B$16,0))="","Cell will autofill based on response",INDEX('CFOG'!$L$10:$L$16,MATCH($F126,'CFOG'!$B$10:$B$16,0))),"N/A")</f>
        <v/>
      </c>
      <c r="O126" s="52">
        <f>IFERROR(IF(INDEX('CFOG'!$L$23:$L$24,MATCH($F126,'CFOG'!$B$23:$B$24,0))="","Cell will autofill based on response",INDEX('CFOG'!$L$23:$L$24,MATCH($F126,'CFOG'!$B$23:$B$24,0))),"N/A")</f>
        <v/>
      </c>
      <c r="P126" s="52">
        <f>IFERROR(IF(INDEX('ESG'!$L$10:$L$17,MATCH($F126,'ESG'!$B$10:$B$17,0))="","Cell will autofill based on response",INDEX('ESG'!$L$10:$L$17,MATCH($F126,'ESG'!$B$10:$B$17,0))),"N/A")</f>
        <v/>
      </c>
      <c r="Q126" s="52">
        <f>IFERROR(IF(INDEX('CIOG'!$L$10:$L$14,MATCH($F126,'CIOG'!$B$10:$B$14,0))="","Cell will autofill based on response",INDEX('CIOG'!$L$10:$L$14,MATCH($F126,'CIOG'!$B$10:$B$14,0))),"N/A")</f>
        <v/>
      </c>
      <c r="R126" s="52">
        <f>IFERROR(IF(INDEX('MRE'!$L$10:$L$18,MATCH($F126,'MRE'!$B$10:$B$18,0))="","Cell will autofill based on response",INDEX('MRE'!$L$10:$L$18,MATCH($F126,'MRE'!$B$10:$B$18,0))),"N/A")</f>
        <v/>
      </c>
      <c r="S126" s="52">
        <f>IFERROR(IF(INDEX('AC&amp;M'!$L$10:$L$14,MATCH($F126,'AC&amp;M'!$B$10:$B$14,0))="","Cell will autofill based on response",INDEX('AC&amp;M'!$L$10:$L$14,MATCH($F126,'AC&amp;M'!$B$10:$B$14,0))),"N/A")</f>
        <v/>
      </c>
      <c r="T126" s="52">
        <f>IFERROR(IF(INDEX('GCE'!$L$10:$L$12,MATCH($F126,'GCE'!$B$10:$B$12,0))="","Cell will autofill based on response",INDEX('GCE'!$L$10:$L$12,MATCH($F126,'GCE'!$B$10:$B$12,0))),"N/A")</f>
        <v/>
      </c>
      <c r="U126" s="52">
        <f>IFERROR(IF(INDEX('Education'!$L$10:$L$13,MATCH($F126,'Education'!$B$10:$B$13,0))="","Cell will autofill based on response",INDEX('Education'!$L$10:$L$13,MATCH($F126,'Education'!$B$10:$B$13,0))),"N/A")</f>
        <v/>
      </c>
      <c r="V126" s="52">
        <f>IFERROR(IF(INDEX('SaSS'!$L$10:$L$12,MATCH($F126,'SaSS'!$B$10:$B$12,0))="","Cell will autofill based on response",INDEX('SaSS'!$L$10:$L$12,MATCH($F126,'SaSS'!$B$10:$B$12,0))),"N/A")</f>
        <v/>
      </c>
      <c r="W126" s="52">
        <f>IFERROR(IF(INDEX('Indigenous'!$L$10:$L$11,MATCH($F126,'Indigenous'!$B$10:$B$11,0))="","Cell will autofill based on response",INDEX('Indigenous'!$L$10:$L$11,MATCH($F126,'Indigenous'!$B$10:$B$11,0))),"N/A")</f>
        <v/>
      </c>
      <c r="X126" s="52">
        <f>IFERROR(IF(INDEX('L&amp;R'!$L$10:$L$11,MATCH($F126,'L&amp;R'!$B$10:$B$11,0))="","Cell will autofill based on response",INDEX('L&amp;R'!$L$10:$L$11,MATCH($F126,'L&amp;R'!$B$10:$B$11,0))),"N/A")</f>
        <v/>
      </c>
      <c r="Z126" s="10">
        <f>SUMPRODUCT(--($H126:$X126&lt;&gt;"N/A"))</f>
        <v/>
      </c>
      <c r="AA126" s="10">
        <f>SUMPRODUCT(--(((($H126:$X126&lt;&gt;"N/A")*($H126:$X126&lt;&gt;"Cell will autofill based on response"))+(($H127:$X127&lt;&gt;"N/A")*($H127:$X127&lt;&gt;"Cell will autofill based on response")))&gt;0))</f>
        <v/>
      </c>
      <c r="AB126" s="10">
        <f>Z126-AA126</f>
        <v/>
      </c>
      <c r="AC126" s="10">
        <f>COUNTIF($H130:$X130,"Yes")</f>
        <v/>
      </c>
    </row>
    <row r="127">
      <c r="A127">
        <f>F127&amp;"|"&amp;G127</f>
        <v/>
      </c>
      <c r="B127" s="13" t="inlineStr"/>
      <c r="C127" s="8" t="inlineStr"/>
      <c r="D127" s="8" t="inlineStr"/>
      <c r="E127" s="8" t="inlineStr"/>
      <c r="F127" s="8" t="inlineStr">
        <is>
          <t>NB2(b)</t>
        </is>
      </c>
      <c r="G127" s="8" t="inlineStr">
        <is>
          <t>OPTION 2:  Indicator level reporting</t>
        </is>
      </c>
      <c r="H127" s="52">
        <f>IFERROR(IF(INDEX('Faculties'!$M$10:$M$19,MATCH($F127,'Faculties'!$B$10:$B$19,0))="","Cell will autofill based on response",INDEX('Faculties'!$M$10:$M$19,MATCH($F127,'Faculties'!$B$10:$B$19,0))),"N/A")</f>
        <v/>
      </c>
      <c r="I127" s="52">
        <f>IFERROR(IF(INDEX('Faculties'!$M$26:$M$35,MATCH($F127,'Faculties'!$B$26:$B$35,0))="","Cell will autofill based on response",INDEX('Faculties'!$M$26:$M$35,MATCH($F127,'Faculties'!$B$26:$B$35,0))),"N/A")</f>
        <v/>
      </c>
      <c r="J127" s="52">
        <f>IFERROR(IF(INDEX('Faculties'!$M$42:$M$51,MATCH($F127,'Faculties'!$B$42:$B$51,0))="","Cell will autofill based on response",INDEX('Faculties'!$M$42:$M$51,MATCH($F127,'Faculties'!$B$42:$B$51,0))),"N/A")</f>
        <v/>
      </c>
      <c r="K127" s="52">
        <f>IFERROR(IF(INDEX('Faculties'!$M$58:$M$67,MATCH($F127,'Faculties'!$B$58:$B$67,0))="","Cell will autofill based on response",INDEX('Faculties'!$M$58:$M$67,MATCH($F127,'Faculties'!$B$58:$B$67,0))),"N/A")</f>
        <v/>
      </c>
      <c r="L127" s="52">
        <f>IFERROR(IF(INDEX('CI&amp;S'!$M$10:$M$15,MATCH($F127,'CI&amp;S'!$B$10:$B$15,0))="","Cell will autofill based on response",INDEX('CI&amp;S'!$M$10:$M$15,MATCH($F127,'CI&amp;S'!$B$10:$B$15,0))),"N/A")</f>
        <v/>
      </c>
      <c r="M127" s="52">
        <f>IFERROR(IF(INDEX('CI&amp;S'!$M$22:$M$36,MATCH($F127,'CI&amp;S'!$B$22:$B$36,0))="","Cell will autofill based on response",INDEX('CI&amp;S'!$M$22:$M$36,MATCH($F127,'CI&amp;S'!$B$22:$B$36,0))),"N/A")</f>
        <v/>
      </c>
      <c r="N127" s="52">
        <f>IFERROR(IF(INDEX('CFOG'!$M$10:$M$16,MATCH($F127,'CFOG'!$B$10:$B$16,0))="","Cell will autofill based on response",INDEX('CFOG'!$M$10:$M$16,MATCH($F127,'CFOG'!$B$10:$B$16,0))),"N/A")</f>
        <v/>
      </c>
      <c r="O127" s="52">
        <f>IFERROR(IF(INDEX('CFOG'!$M$23:$M$24,MATCH($F127,'CFOG'!$B$23:$B$24,0))="","Cell will autofill based on response",INDEX('CFOG'!$M$23:$M$24,MATCH($F127,'CFOG'!$B$23:$B$24,0))),"N/A")</f>
        <v/>
      </c>
      <c r="P127" s="52">
        <f>IFERROR(IF(INDEX('ESG'!$M$10:$M$17,MATCH($F127,'ESG'!$B$10:$B$17,0))="","Cell will autofill based on response",INDEX('ESG'!$M$10:$M$17,MATCH($F127,'ESG'!$B$10:$B$17,0))),"N/A")</f>
        <v/>
      </c>
      <c r="Q127" s="52">
        <f>IFERROR(IF(INDEX('CIOG'!$M$10:$M$14,MATCH($F127,'CIOG'!$B$10:$B$14,0))="","Cell will autofill based on response",INDEX('CIOG'!$M$10:$M$14,MATCH($F127,'CIOG'!$B$10:$B$14,0))),"N/A")</f>
        <v/>
      </c>
      <c r="R127" s="52">
        <f>IFERROR(IF(INDEX('MRE'!$M$10:$M$18,MATCH($F127,'MRE'!$B$10:$B$18,0))="","Cell will autofill based on response",INDEX('MRE'!$M$10:$M$18,MATCH($F127,'MRE'!$B$10:$B$18,0))),"N/A")</f>
        <v/>
      </c>
      <c r="S127" s="52">
        <f>IFERROR(IF(INDEX('AC&amp;M'!$M$10:$M$14,MATCH($F127,'AC&amp;M'!$B$10:$B$14,0))="","Cell will autofill based on response",INDEX('AC&amp;M'!$M$10:$M$14,MATCH($F127,'AC&amp;M'!$B$10:$B$14,0))),"N/A")</f>
        <v/>
      </c>
      <c r="T127" s="52">
        <f>IFERROR(IF(INDEX('GCE'!$M$10:$M$12,MATCH($F127,'GCE'!$B$10:$B$12,0))="","Cell will autofill based on response",INDEX('GCE'!$M$10:$M$12,MATCH($F127,'GCE'!$B$10:$B$12,0))),"N/A")</f>
        <v/>
      </c>
      <c r="U127" s="52">
        <f>IFERROR(IF(INDEX('Education'!$M$10:$M$13,MATCH($F127,'Education'!$B$10:$B$13,0))="","Cell will autofill based on response",INDEX('Education'!$M$10:$M$13,MATCH($F127,'Education'!$B$10:$B$13,0))),"N/A")</f>
        <v/>
      </c>
      <c r="V127" s="52">
        <f>IFERROR(IF(INDEX('SaSS'!$M$10:$M$12,MATCH($F127,'SaSS'!$B$10:$B$12,0))="","Cell will autofill based on response",INDEX('SaSS'!$M$10:$M$12,MATCH($F127,'SaSS'!$B$10:$B$12,0))),"N/A")</f>
        <v/>
      </c>
      <c r="W127" s="52">
        <f>IFERROR(IF(INDEX('Indigenous'!$M$10:$M$11,MATCH($F127,'Indigenous'!$B$10:$B$11,0))="","Cell will autofill based on response",INDEX('Indigenous'!$M$10:$M$11,MATCH($F127,'Indigenous'!$B$10:$B$11,0))),"N/A")</f>
        <v/>
      </c>
      <c r="X127" s="52">
        <f>IFERROR(IF(INDEX('L&amp;R'!$M$10:$M$11,MATCH($F127,'L&amp;R'!$B$10:$B$11,0))="","Cell will autofill based on response",INDEX('L&amp;R'!$M$10:$M$11,MATCH($F127,'L&amp;R'!$B$10:$B$11,0))),"N/A")</f>
        <v/>
      </c>
    </row>
    <row r="128">
      <c r="A128">
        <f>F128&amp;"|"&amp;G128</f>
        <v/>
      </c>
      <c r="B128" s="13" t="inlineStr"/>
      <c r="C128" s="8" t="inlineStr"/>
      <c r="D128" s="8" t="inlineStr"/>
      <c r="E128" s="8" t="inlineStr"/>
      <c r="F128" s="8" t="inlineStr">
        <is>
          <t>NB2(b)</t>
        </is>
      </c>
      <c r="G128" s="8" t="inlineStr">
        <is>
          <t>Supporting information/comments</t>
        </is>
      </c>
      <c r="H128" s="52">
        <f>IFERROR(IF(INDEX('Faculties'!$N$10:$N$19,MATCH($F128,'Faculties'!$B$10:$B$19,0))="","Cell will autofill based on response",INDEX('Faculties'!$N$10:$N$19,MATCH($F128,'Faculties'!$B$10:$B$19,0))),"N/A")</f>
        <v/>
      </c>
      <c r="I128" s="52">
        <f>IFERROR(IF(INDEX('Faculties'!$N$26:$N$35,MATCH($F128,'Faculties'!$B$26:$B$35,0))="","Cell will autofill based on response",INDEX('Faculties'!$N$26:$N$35,MATCH($F128,'Faculties'!$B$26:$B$35,0))),"N/A")</f>
        <v/>
      </c>
      <c r="J128" s="52">
        <f>IFERROR(IF(INDEX('Faculties'!$N$42:$N$51,MATCH($F128,'Faculties'!$B$42:$B$51,0))="","Cell will autofill based on response",INDEX('Faculties'!$N$42:$N$51,MATCH($F128,'Faculties'!$B$42:$B$51,0))),"N/A")</f>
        <v/>
      </c>
      <c r="K128" s="52">
        <f>IFERROR(IF(INDEX('Faculties'!$N$58:$N$67,MATCH($F128,'Faculties'!$B$58:$B$67,0))="","Cell will autofill based on response",INDEX('Faculties'!$N$58:$N$67,MATCH($F128,'Faculties'!$B$58:$B$67,0))),"N/A")</f>
        <v/>
      </c>
      <c r="L128" s="52">
        <f>IFERROR(IF(INDEX('CI&amp;S'!$N$10:$N$15,MATCH($F128,'CI&amp;S'!$B$10:$B$15,0))="","Cell will autofill based on response",INDEX('CI&amp;S'!$N$10:$N$15,MATCH($F128,'CI&amp;S'!$B$10:$B$15,0))),"N/A")</f>
        <v/>
      </c>
      <c r="M128" s="52">
        <f>IFERROR(IF(INDEX('CI&amp;S'!$N$22:$N$36,MATCH($F128,'CI&amp;S'!$B$22:$B$36,0))="","Cell will autofill based on response",INDEX('CI&amp;S'!$N$22:$N$36,MATCH($F128,'CI&amp;S'!$B$22:$B$36,0))),"N/A")</f>
        <v/>
      </c>
      <c r="N128" s="52">
        <f>IFERROR(IF(INDEX('CFOG'!$N$10:$N$16,MATCH($F128,'CFOG'!$B$10:$B$16,0))="","Cell will autofill based on response",INDEX('CFOG'!$N$10:$N$16,MATCH($F128,'CFOG'!$B$10:$B$16,0))),"N/A")</f>
        <v/>
      </c>
      <c r="O128" s="52">
        <f>IFERROR(IF(INDEX('CFOG'!$N$23:$N$24,MATCH($F128,'CFOG'!$B$23:$B$24,0))="","Cell will autofill based on response",INDEX('CFOG'!$N$23:$N$24,MATCH($F128,'CFOG'!$B$23:$B$24,0))),"N/A")</f>
        <v/>
      </c>
      <c r="P128" s="52">
        <f>IFERROR(IF(INDEX('ESG'!$N$10:$N$17,MATCH($F128,'ESG'!$B$10:$B$17,0))="","Cell will autofill based on response",INDEX('ESG'!$N$10:$N$17,MATCH($F128,'ESG'!$B$10:$B$17,0))),"N/A")</f>
        <v/>
      </c>
      <c r="Q128" s="52">
        <f>IFERROR(IF(INDEX('CIOG'!$N$10:$N$14,MATCH($F128,'CIOG'!$B$10:$B$14,0))="","Cell will autofill based on response",INDEX('CIOG'!$N$10:$N$14,MATCH($F128,'CIOG'!$B$10:$B$14,0))),"N/A")</f>
        <v/>
      </c>
      <c r="R128" s="52">
        <f>IFERROR(IF(INDEX('MRE'!$N$10:$N$18,MATCH($F128,'MRE'!$B$10:$B$18,0))="","Cell will autofill based on response",INDEX('MRE'!$N$10:$N$18,MATCH($F128,'MRE'!$B$10:$B$18,0))),"N/A")</f>
        <v/>
      </c>
      <c r="S128" s="52">
        <f>IFERROR(IF(INDEX('AC&amp;M'!$N$10:$N$14,MATCH($F128,'AC&amp;M'!$B$10:$B$14,0))="","Cell will autofill based on response",INDEX('AC&amp;M'!$N$10:$N$14,MATCH($F128,'AC&amp;M'!$B$10:$B$14,0))),"N/A")</f>
        <v/>
      </c>
      <c r="T128" s="52">
        <f>IFERROR(IF(INDEX('GCE'!$N$10:$N$12,MATCH($F128,'GCE'!$B$10:$B$12,0))="","Cell will autofill based on response",INDEX('GCE'!$N$10:$N$12,MATCH($F128,'GCE'!$B$10:$B$12,0))),"N/A")</f>
        <v/>
      </c>
      <c r="U128" s="52">
        <f>IFERROR(IF(INDEX('Education'!$N$10:$N$13,MATCH($F128,'Education'!$B$10:$B$13,0))="","Cell will autofill based on response",INDEX('Education'!$N$10:$N$13,MATCH($F128,'Education'!$B$10:$B$13,0))),"N/A")</f>
        <v/>
      </c>
      <c r="V128" s="52">
        <f>IFERROR(IF(INDEX('SaSS'!$N$10:$N$12,MATCH($F128,'SaSS'!$B$10:$B$12,0))="","Cell will autofill based on response",INDEX('SaSS'!$N$10:$N$12,MATCH($F128,'SaSS'!$B$10:$B$12,0))),"N/A")</f>
        <v/>
      </c>
      <c r="W128" s="52">
        <f>IFERROR(IF(INDEX('Indigenous'!$N$10:$N$11,MATCH($F128,'Indigenous'!$B$10:$B$11,0))="","Cell will autofill based on response",INDEX('Indigenous'!$N$10:$N$11,MATCH($F128,'Indigenous'!$B$10:$B$11,0))),"N/A")</f>
        <v/>
      </c>
      <c r="X128" s="52">
        <f>IFERROR(IF(INDEX('L&amp;R'!$N$10:$N$11,MATCH($F128,'L&amp;R'!$B$10:$B$11,0))="","Cell will autofill based on response",INDEX('L&amp;R'!$N$10:$N$11,MATCH($F128,'L&amp;R'!$B$10:$B$11,0))),"N/A")</f>
        <v/>
      </c>
    </row>
    <row r="129">
      <c r="A129">
        <f>F129&amp;"|"&amp;G129</f>
        <v/>
      </c>
      <c r="B129" s="13" t="inlineStr"/>
      <c r="C129" s="8" t="inlineStr"/>
      <c r="D129" s="8" t="inlineStr"/>
      <c r="E129" s="8" t="inlineStr"/>
      <c r="F129" s="8" t="inlineStr">
        <is>
          <t>NB2(b)</t>
        </is>
      </c>
      <c r="G129" s="8" t="inlineStr">
        <is>
          <t>Data source and limitations</t>
        </is>
      </c>
      <c r="H129" s="52">
        <f>IFERROR(IF(INDEX('Faculties'!$O$10:$O$19,MATCH($F129,'Faculties'!$B$10:$B$19,0))="","Cell will autofill based on response",INDEX('Faculties'!$O$10:$O$19,MATCH($F129,'Faculties'!$B$10:$B$19,0))),"N/A")</f>
        <v/>
      </c>
      <c r="I129" s="52">
        <f>IFERROR(IF(INDEX('Faculties'!$O$26:$O$35,MATCH($F129,'Faculties'!$B$26:$B$35,0))="","Cell will autofill based on response",INDEX('Faculties'!$O$26:$O$35,MATCH($F129,'Faculties'!$B$26:$B$35,0))),"N/A")</f>
        <v/>
      </c>
      <c r="J129" s="52">
        <f>IFERROR(IF(INDEX('Faculties'!$O$42:$O$51,MATCH($F129,'Faculties'!$B$42:$B$51,0))="","Cell will autofill based on response",INDEX('Faculties'!$O$42:$O$51,MATCH($F129,'Faculties'!$B$42:$B$51,0))),"N/A")</f>
        <v/>
      </c>
      <c r="K129" s="52">
        <f>IFERROR(IF(INDEX('Faculties'!$O$58:$O$67,MATCH($F129,'Faculties'!$B$58:$B$67,0))="","Cell will autofill based on response",INDEX('Faculties'!$O$58:$O$67,MATCH($F129,'Faculties'!$B$58:$B$67,0))),"N/A")</f>
        <v/>
      </c>
      <c r="L129" s="52">
        <f>IFERROR(IF(INDEX('CI&amp;S'!$O$10:$O$15,MATCH($F129,'CI&amp;S'!$B$10:$B$15,0))="","Cell will autofill based on response",INDEX('CI&amp;S'!$O$10:$O$15,MATCH($F129,'CI&amp;S'!$B$10:$B$15,0))),"N/A")</f>
        <v/>
      </c>
      <c r="M129" s="52">
        <f>IFERROR(IF(INDEX('CI&amp;S'!$O$22:$O$36,MATCH($F129,'CI&amp;S'!$B$22:$B$36,0))="","Cell will autofill based on response",INDEX('CI&amp;S'!$O$22:$O$36,MATCH($F129,'CI&amp;S'!$B$22:$B$36,0))),"N/A")</f>
        <v/>
      </c>
      <c r="N129" s="52">
        <f>IFERROR(IF(INDEX('CFOG'!$O$10:$O$16,MATCH($F129,'CFOG'!$B$10:$B$16,0))="","Cell will autofill based on response",INDEX('CFOG'!$O$10:$O$16,MATCH($F129,'CFOG'!$B$10:$B$16,0))),"N/A")</f>
        <v/>
      </c>
      <c r="O129" s="52">
        <f>IFERROR(IF(INDEX('CFOG'!$O$23:$O$24,MATCH($F129,'CFOG'!$B$23:$B$24,0))="","Cell will autofill based on response",INDEX('CFOG'!$O$23:$O$24,MATCH($F129,'CFOG'!$B$23:$B$24,0))),"N/A")</f>
        <v/>
      </c>
      <c r="P129" s="52">
        <f>IFERROR(IF(INDEX('ESG'!$O$10:$O$17,MATCH($F129,'ESG'!$B$10:$B$17,0))="","Cell will autofill based on response",INDEX('ESG'!$O$10:$O$17,MATCH($F129,'ESG'!$B$10:$B$17,0))),"N/A")</f>
        <v/>
      </c>
      <c r="Q129" s="52">
        <f>IFERROR(IF(INDEX('CIOG'!$O$10:$O$14,MATCH($F129,'CIOG'!$B$10:$B$14,0))="","Cell will autofill based on response",INDEX('CIOG'!$O$10:$O$14,MATCH($F129,'CIOG'!$B$10:$B$14,0))),"N/A")</f>
        <v/>
      </c>
      <c r="R129" s="52">
        <f>IFERROR(IF(INDEX('MRE'!$O$10:$O$18,MATCH($F129,'MRE'!$B$10:$B$18,0))="","Cell will autofill based on response",INDEX('MRE'!$O$10:$O$18,MATCH($F129,'MRE'!$B$10:$B$18,0))),"N/A")</f>
        <v/>
      </c>
      <c r="S129" s="52">
        <f>IFERROR(IF(INDEX('AC&amp;M'!$O$10:$O$14,MATCH($F129,'AC&amp;M'!$B$10:$B$14,0))="","Cell will autofill based on response",INDEX('AC&amp;M'!$O$10:$O$14,MATCH($F129,'AC&amp;M'!$B$10:$B$14,0))),"N/A")</f>
        <v/>
      </c>
      <c r="T129" s="52">
        <f>IFERROR(IF(INDEX('GCE'!$O$10:$O$12,MATCH($F129,'GCE'!$B$10:$B$12,0))="","Cell will autofill based on response",INDEX('GCE'!$O$10:$O$12,MATCH($F129,'GCE'!$B$10:$B$12,0))),"N/A")</f>
        <v/>
      </c>
      <c r="U129" s="52">
        <f>IFERROR(IF(INDEX('Education'!$O$10:$O$13,MATCH($F129,'Education'!$B$10:$B$13,0))="","Cell will autofill based on response",INDEX('Education'!$O$10:$O$13,MATCH($F129,'Education'!$B$10:$B$13,0))),"N/A")</f>
        <v/>
      </c>
      <c r="V129" s="52">
        <f>IFERROR(IF(INDEX('SaSS'!$O$10:$O$12,MATCH($F129,'SaSS'!$B$10:$B$12,0))="","Cell will autofill based on response",INDEX('SaSS'!$O$10:$O$12,MATCH($F129,'SaSS'!$B$10:$B$12,0))),"N/A")</f>
        <v/>
      </c>
      <c r="W129" s="52">
        <f>IFERROR(IF(INDEX('Indigenous'!$O$10:$O$11,MATCH($F129,'Indigenous'!$B$10:$B$11,0))="","Cell will autofill based on response",INDEX('Indigenous'!$O$10:$O$11,MATCH($F129,'Indigenous'!$B$10:$B$11,0))),"N/A")</f>
        <v/>
      </c>
      <c r="X129" s="52">
        <f>IFERROR(IF(INDEX('L&amp;R'!$O$10:$O$11,MATCH($F129,'L&amp;R'!$B$10:$B$11,0))="","Cell will autofill based on response",INDEX('L&amp;R'!$O$10:$O$11,MATCH($F129,'L&amp;R'!$B$10:$B$11,0))),"N/A")</f>
        <v/>
      </c>
    </row>
    <row r="130">
      <c r="A130">
        <f>F130&amp;"|"&amp;G130</f>
        <v/>
      </c>
      <c r="B130" s="13" t="inlineStr"/>
      <c r="C130" s="8" t="inlineStr"/>
      <c r="D130" s="8" t="inlineStr"/>
      <c r="E130" s="8" t="inlineStr"/>
      <c r="F130" s="8" t="inlineStr">
        <is>
          <t>NB2(b)</t>
        </is>
      </c>
      <c r="G130" s="8" t="inlineStr">
        <is>
          <t>Data owner confirms</t>
        </is>
      </c>
      <c r="H130" s="52">
        <f>IFERROR(IF(INDEX('Faculties'!$P$10:$P$19,MATCH($F130,'Faculties'!$B$10:$B$19,0))="","Cell will autofill based on response",INDEX('Faculties'!$P$10:$P$19,MATCH($F130,'Faculties'!$B$10:$B$19,0))),"N/A")</f>
        <v/>
      </c>
      <c r="I130" s="52">
        <f>IFERROR(IF(INDEX('Faculties'!$P$26:$P$35,MATCH($F130,'Faculties'!$B$26:$B$35,0))="","Cell will autofill based on response",INDEX('Faculties'!$P$26:$P$35,MATCH($F130,'Faculties'!$B$26:$B$35,0))),"N/A")</f>
        <v/>
      </c>
      <c r="J130" s="52">
        <f>IFERROR(IF(INDEX('Faculties'!$P$42:$P$51,MATCH($F130,'Faculties'!$B$42:$B$51,0))="","Cell will autofill based on response",INDEX('Faculties'!$P$42:$P$51,MATCH($F130,'Faculties'!$B$42:$B$51,0))),"N/A")</f>
        <v/>
      </c>
      <c r="K130" s="52">
        <f>IFERROR(IF(INDEX('Faculties'!$P$58:$P$67,MATCH($F130,'Faculties'!$B$58:$B$67,0))="","Cell will autofill based on response",INDEX('Faculties'!$P$58:$P$67,MATCH($F130,'Faculties'!$B$58:$B$67,0))),"N/A")</f>
        <v/>
      </c>
      <c r="L130" s="52">
        <f>IFERROR(IF(INDEX('CI&amp;S'!$P$10:$P$15,MATCH($F130,'CI&amp;S'!$B$10:$B$15,0))="","Cell will autofill based on response",INDEX('CI&amp;S'!$P$10:$P$15,MATCH($F130,'CI&amp;S'!$B$10:$B$15,0))),"N/A")</f>
        <v/>
      </c>
      <c r="M130" s="52">
        <f>IFERROR(IF(INDEX('CI&amp;S'!$P$22:$P$36,MATCH($F130,'CI&amp;S'!$B$22:$B$36,0))="","Cell will autofill based on response",INDEX('CI&amp;S'!$P$22:$P$36,MATCH($F130,'CI&amp;S'!$B$22:$B$36,0))),"N/A")</f>
        <v/>
      </c>
      <c r="N130" s="52">
        <f>IFERROR(IF(INDEX('CFOG'!$P$10:$P$16,MATCH($F130,'CFOG'!$B$10:$B$16,0))="","Cell will autofill based on response",INDEX('CFOG'!$P$10:$P$16,MATCH($F130,'CFOG'!$B$10:$B$16,0))),"N/A")</f>
        <v/>
      </c>
      <c r="O130" s="52">
        <f>IFERROR(IF(INDEX('CFOG'!$P$23:$P$24,MATCH($F130,'CFOG'!$B$23:$B$24,0))="","Cell will autofill based on response",INDEX('CFOG'!$P$23:$P$24,MATCH($F130,'CFOG'!$B$23:$B$24,0))),"N/A")</f>
        <v/>
      </c>
      <c r="P130" s="52">
        <f>IFERROR(IF(INDEX('ESG'!$P$10:$P$17,MATCH($F130,'ESG'!$B$10:$B$17,0))="","Cell will autofill based on response",INDEX('ESG'!$P$10:$P$17,MATCH($F130,'ESG'!$B$10:$B$17,0))),"N/A")</f>
        <v/>
      </c>
      <c r="Q130" s="52">
        <f>IFERROR(IF(INDEX('CIOG'!$P$10:$P$14,MATCH($F130,'CIOG'!$B$10:$B$14,0))="","Cell will autofill based on response",INDEX('CIOG'!$P$10:$P$14,MATCH($F130,'CIOG'!$B$10:$B$14,0))),"N/A")</f>
        <v/>
      </c>
      <c r="R130" s="52">
        <f>IFERROR(IF(INDEX('MRE'!$P$10:$P$18,MATCH($F130,'MRE'!$B$10:$B$18,0))="","Cell will autofill based on response",INDEX('MRE'!$P$10:$P$18,MATCH($F130,'MRE'!$B$10:$B$18,0))),"N/A")</f>
        <v/>
      </c>
      <c r="S130" s="52">
        <f>IFERROR(IF(INDEX('AC&amp;M'!$P$10:$P$14,MATCH($F130,'AC&amp;M'!$B$10:$B$14,0))="","Cell will autofill based on response",INDEX('AC&amp;M'!$P$10:$P$14,MATCH($F130,'AC&amp;M'!$B$10:$B$14,0))),"N/A")</f>
        <v/>
      </c>
      <c r="T130" s="52">
        <f>IFERROR(IF(INDEX('GCE'!$P$10:$P$12,MATCH($F130,'GCE'!$B$10:$B$12,0))="","Cell will autofill based on response",INDEX('GCE'!$P$10:$P$12,MATCH($F130,'GCE'!$B$10:$B$12,0))),"N/A")</f>
        <v/>
      </c>
      <c r="U130" s="52">
        <f>IFERROR(IF(INDEX('Education'!$P$10:$P$13,MATCH($F130,'Education'!$B$10:$B$13,0))="","Cell will autofill based on response",INDEX('Education'!$P$10:$P$13,MATCH($F130,'Education'!$B$10:$B$13,0))),"N/A")</f>
        <v/>
      </c>
      <c r="V130" s="52">
        <f>IFERROR(IF(INDEX('SaSS'!$P$10:$P$12,MATCH($F130,'SaSS'!$B$10:$B$12,0))="","Cell will autofill based on response",INDEX('SaSS'!$P$10:$P$12,MATCH($F130,'SaSS'!$B$10:$B$12,0))),"N/A")</f>
        <v/>
      </c>
      <c r="W130" s="52">
        <f>IFERROR(IF(INDEX('Indigenous'!$P$10:$P$11,MATCH($F130,'Indigenous'!$B$10:$B$11,0))="","Cell will autofill based on response",INDEX('Indigenous'!$P$10:$P$11,MATCH($F130,'Indigenous'!$B$10:$B$11,0))),"N/A")</f>
        <v/>
      </c>
      <c r="X130" s="52">
        <f>IFERROR(IF(INDEX('L&amp;R'!$P$10:$P$11,MATCH($F130,'L&amp;R'!$B$10:$B$11,0))="","Cell will autofill based on response",INDEX('L&amp;R'!$P$10:$P$11,MATCH($F130,'L&amp;R'!$B$10:$B$11,0))),"N/A")</f>
        <v/>
      </c>
    </row>
    <row r="131">
      <c r="A131">
        <f>F131&amp;"|"&amp;G131</f>
        <v/>
      </c>
      <c r="B131" s="7" t="inlineStr">
        <is>
          <t>NB2(c)</t>
        </is>
      </c>
      <c r="C131" s="50" t="inlineStr">
        <is>
          <t>Nature and biodiversity</t>
        </is>
      </c>
      <c r="D131" s="50" t="inlineStr">
        <is>
          <t>Evidence of prioritised high risk procurement categories or suppliers for nature impact management</t>
        </is>
      </c>
      <c r="E131" s="50" t="inlineStr">
        <is>
          <t>Please provide the prioritised high-risk procurement categories and/or suppliers identified for nature-impact management, could include the basis for prioritisation and any risk-management, engagement or mitigation actions undertaken or planned.</t>
        </is>
      </c>
      <c r="F131" s="50" t="inlineStr">
        <is>
          <t>NB2(c)</t>
        </is>
      </c>
      <c r="G131" s="50" t="inlineStr">
        <is>
          <t>OPTION 1:  Target-level reporting</t>
        </is>
      </c>
      <c r="H131" s="52">
        <f>IFERROR(IF(INDEX('Faculties'!$L$10:$L$19,MATCH($F131,'Faculties'!$B$10:$B$19,0))="","Cell will autofill based on response",INDEX('Faculties'!$L$10:$L$19,MATCH($F131,'Faculties'!$B$10:$B$19,0))),"N/A")</f>
        <v/>
      </c>
      <c r="I131" s="52">
        <f>IFERROR(IF(INDEX('Faculties'!$L$26:$L$35,MATCH($F131,'Faculties'!$B$26:$B$35,0))="","Cell will autofill based on response",INDEX('Faculties'!$L$26:$L$35,MATCH($F131,'Faculties'!$B$26:$B$35,0))),"N/A")</f>
        <v/>
      </c>
      <c r="J131" s="52">
        <f>IFERROR(IF(INDEX('Faculties'!$L$42:$L$51,MATCH($F131,'Faculties'!$B$42:$B$51,0))="","Cell will autofill based on response",INDEX('Faculties'!$L$42:$L$51,MATCH($F131,'Faculties'!$B$42:$B$51,0))),"N/A")</f>
        <v/>
      </c>
      <c r="K131" s="52">
        <f>IFERROR(IF(INDEX('Faculties'!$L$58:$L$67,MATCH($F131,'Faculties'!$B$58:$B$67,0))="","Cell will autofill based on response",INDEX('Faculties'!$L$58:$L$67,MATCH($F131,'Faculties'!$B$58:$B$67,0))),"N/A")</f>
        <v/>
      </c>
      <c r="L131" s="52">
        <f>IFERROR(IF(INDEX('CI&amp;S'!$L$10:$L$15,MATCH($F131,'CI&amp;S'!$B$10:$B$15,0))="","Cell will autofill based on response",INDEX('CI&amp;S'!$L$10:$L$15,MATCH($F131,'CI&amp;S'!$B$10:$B$15,0))),"N/A")</f>
        <v/>
      </c>
      <c r="M131" s="52">
        <f>IFERROR(IF(INDEX('CI&amp;S'!$L$22:$L$36,MATCH($F131,'CI&amp;S'!$B$22:$B$36,0))="","Cell will autofill based on response",INDEX('CI&amp;S'!$L$22:$L$36,MATCH($F131,'CI&amp;S'!$B$22:$B$36,0))),"N/A")</f>
        <v/>
      </c>
      <c r="N131" s="52">
        <f>IFERROR(IF(INDEX('CFOG'!$L$10:$L$16,MATCH($F131,'CFOG'!$B$10:$B$16,0))="","Cell will autofill based on response",INDEX('CFOG'!$L$10:$L$16,MATCH($F131,'CFOG'!$B$10:$B$16,0))),"N/A")</f>
        <v/>
      </c>
      <c r="O131" s="52">
        <f>IFERROR(IF(INDEX('CFOG'!$L$23:$L$24,MATCH($F131,'CFOG'!$B$23:$B$24,0))="","Cell will autofill based on response",INDEX('CFOG'!$L$23:$L$24,MATCH($F131,'CFOG'!$B$23:$B$24,0))),"N/A")</f>
        <v/>
      </c>
      <c r="P131" s="52">
        <f>IFERROR(IF(INDEX('ESG'!$L$10:$L$17,MATCH($F131,'ESG'!$B$10:$B$17,0))="","Cell will autofill based on response",INDEX('ESG'!$L$10:$L$17,MATCH($F131,'ESG'!$B$10:$B$17,0))),"N/A")</f>
        <v/>
      </c>
      <c r="Q131" s="52">
        <f>IFERROR(IF(INDEX('CIOG'!$L$10:$L$14,MATCH($F131,'CIOG'!$B$10:$B$14,0))="","Cell will autofill based on response",INDEX('CIOG'!$L$10:$L$14,MATCH($F131,'CIOG'!$B$10:$B$14,0))),"N/A")</f>
        <v/>
      </c>
      <c r="R131" s="52">
        <f>IFERROR(IF(INDEX('MRE'!$L$10:$L$18,MATCH($F131,'MRE'!$B$10:$B$18,0))="","Cell will autofill based on response",INDEX('MRE'!$L$10:$L$18,MATCH($F131,'MRE'!$B$10:$B$18,0))),"N/A")</f>
        <v/>
      </c>
      <c r="S131" s="52">
        <f>IFERROR(IF(INDEX('AC&amp;M'!$L$10:$L$14,MATCH($F131,'AC&amp;M'!$B$10:$B$14,0))="","Cell will autofill based on response",INDEX('AC&amp;M'!$L$10:$L$14,MATCH($F131,'AC&amp;M'!$B$10:$B$14,0))),"N/A")</f>
        <v/>
      </c>
      <c r="T131" s="52">
        <f>IFERROR(IF(INDEX('GCE'!$L$10:$L$12,MATCH($F131,'GCE'!$B$10:$B$12,0))="","Cell will autofill based on response",INDEX('GCE'!$L$10:$L$12,MATCH($F131,'GCE'!$B$10:$B$12,0))),"N/A")</f>
        <v/>
      </c>
      <c r="U131" s="52">
        <f>IFERROR(IF(INDEX('Education'!$L$10:$L$13,MATCH($F131,'Education'!$B$10:$B$13,0))="","Cell will autofill based on response",INDEX('Education'!$L$10:$L$13,MATCH($F131,'Education'!$B$10:$B$13,0))),"N/A")</f>
        <v/>
      </c>
      <c r="V131" s="52">
        <f>IFERROR(IF(INDEX('SaSS'!$L$10:$L$12,MATCH($F131,'SaSS'!$B$10:$B$12,0))="","Cell will autofill based on response",INDEX('SaSS'!$L$10:$L$12,MATCH($F131,'SaSS'!$B$10:$B$12,0))),"N/A")</f>
        <v/>
      </c>
      <c r="W131" s="52">
        <f>IFERROR(IF(INDEX('Indigenous'!$L$10:$L$11,MATCH($F131,'Indigenous'!$B$10:$B$11,0))="","Cell will autofill based on response",INDEX('Indigenous'!$L$10:$L$11,MATCH($F131,'Indigenous'!$B$10:$B$11,0))),"N/A")</f>
        <v/>
      </c>
      <c r="X131" s="52">
        <f>IFERROR(IF(INDEX('L&amp;R'!$L$10:$L$11,MATCH($F131,'L&amp;R'!$B$10:$B$11,0))="","Cell will autofill based on response",INDEX('L&amp;R'!$L$10:$L$11,MATCH($F131,'L&amp;R'!$B$10:$B$11,0))),"N/A")</f>
        <v/>
      </c>
      <c r="Z131" s="10">
        <f>SUMPRODUCT(--($H131:$X131&lt;&gt;"N/A"))</f>
        <v/>
      </c>
      <c r="AA131" s="10">
        <f>SUMPRODUCT(--(((($H131:$X131&lt;&gt;"N/A")*($H131:$X131&lt;&gt;"Cell will autofill based on response"))+(($H132:$X132&lt;&gt;"N/A")*($H132:$X132&lt;&gt;"Cell will autofill based on response")))&gt;0))</f>
        <v/>
      </c>
      <c r="AB131" s="10">
        <f>Z131-AA131</f>
        <v/>
      </c>
      <c r="AC131" s="10">
        <f>COUNTIF($H135:$X135,"Yes")</f>
        <v/>
      </c>
    </row>
    <row r="132">
      <c r="A132">
        <f>F132&amp;"|"&amp;G132</f>
        <v/>
      </c>
      <c r="B132" s="13" t="inlineStr"/>
      <c r="C132" s="8" t="inlineStr"/>
      <c r="D132" s="8" t="inlineStr"/>
      <c r="E132" s="8" t="inlineStr"/>
      <c r="F132" s="8" t="inlineStr">
        <is>
          <t>NB2(c)</t>
        </is>
      </c>
      <c r="G132" s="8" t="inlineStr">
        <is>
          <t>OPTION 2:  Indicator level reporting</t>
        </is>
      </c>
      <c r="H132" s="52">
        <f>IFERROR(IF(INDEX('Faculties'!$M$10:$M$19,MATCH($F132,'Faculties'!$B$10:$B$19,0))="","Cell will autofill based on response",INDEX('Faculties'!$M$10:$M$19,MATCH($F132,'Faculties'!$B$10:$B$19,0))),"N/A")</f>
        <v/>
      </c>
      <c r="I132" s="52">
        <f>IFERROR(IF(INDEX('Faculties'!$M$26:$M$35,MATCH($F132,'Faculties'!$B$26:$B$35,0))="","Cell will autofill based on response",INDEX('Faculties'!$M$26:$M$35,MATCH($F132,'Faculties'!$B$26:$B$35,0))),"N/A")</f>
        <v/>
      </c>
      <c r="J132" s="52">
        <f>IFERROR(IF(INDEX('Faculties'!$M$42:$M$51,MATCH($F132,'Faculties'!$B$42:$B$51,0))="","Cell will autofill based on response",INDEX('Faculties'!$M$42:$M$51,MATCH($F132,'Faculties'!$B$42:$B$51,0))),"N/A")</f>
        <v/>
      </c>
      <c r="K132" s="52">
        <f>IFERROR(IF(INDEX('Faculties'!$M$58:$M$67,MATCH($F132,'Faculties'!$B$58:$B$67,0))="","Cell will autofill based on response",INDEX('Faculties'!$M$58:$M$67,MATCH($F132,'Faculties'!$B$58:$B$67,0))),"N/A")</f>
        <v/>
      </c>
      <c r="L132" s="52">
        <f>IFERROR(IF(INDEX('CI&amp;S'!$M$10:$M$15,MATCH($F132,'CI&amp;S'!$B$10:$B$15,0))="","Cell will autofill based on response",INDEX('CI&amp;S'!$M$10:$M$15,MATCH($F132,'CI&amp;S'!$B$10:$B$15,0))),"N/A")</f>
        <v/>
      </c>
      <c r="M132" s="52">
        <f>IFERROR(IF(INDEX('CI&amp;S'!$M$22:$M$36,MATCH($F132,'CI&amp;S'!$B$22:$B$36,0))="","Cell will autofill based on response",INDEX('CI&amp;S'!$M$22:$M$36,MATCH($F132,'CI&amp;S'!$B$22:$B$36,0))),"N/A")</f>
        <v/>
      </c>
      <c r="N132" s="52">
        <f>IFERROR(IF(INDEX('CFOG'!$M$10:$M$16,MATCH($F132,'CFOG'!$B$10:$B$16,0))="","Cell will autofill based on response",INDEX('CFOG'!$M$10:$M$16,MATCH($F132,'CFOG'!$B$10:$B$16,0))),"N/A")</f>
        <v/>
      </c>
      <c r="O132" s="52">
        <f>IFERROR(IF(INDEX('CFOG'!$M$23:$M$24,MATCH($F132,'CFOG'!$B$23:$B$24,0))="","Cell will autofill based on response",INDEX('CFOG'!$M$23:$M$24,MATCH($F132,'CFOG'!$B$23:$B$24,0))),"N/A")</f>
        <v/>
      </c>
      <c r="P132" s="52">
        <f>IFERROR(IF(INDEX('ESG'!$M$10:$M$17,MATCH($F132,'ESG'!$B$10:$B$17,0))="","Cell will autofill based on response",INDEX('ESG'!$M$10:$M$17,MATCH($F132,'ESG'!$B$10:$B$17,0))),"N/A")</f>
        <v/>
      </c>
      <c r="Q132" s="52">
        <f>IFERROR(IF(INDEX('CIOG'!$M$10:$M$14,MATCH($F132,'CIOG'!$B$10:$B$14,0))="","Cell will autofill based on response",INDEX('CIOG'!$M$10:$M$14,MATCH($F132,'CIOG'!$B$10:$B$14,0))),"N/A")</f>
        <v/>
      </c>
      <c r="R132" s="52">
        <f>IFERROR(IF(INDEX('MRE'!$M$10:$M$18,MATCH($F132,'MRE'!$B$10:$B$18,0))="","Cell will autofill based on response",INDEX('MRE'!$M$10:$M$18,MATCH($F132,'MRE'!$B$10:$B$18,0))),"N/A")</f>
        <v/>
      </c>
      <c r="S132" s="52">
        <f>IFERROR(IF(INDEX('AC&amp;M'!$M$10:$M$14,MATCH($F132,'AC&amp;M'!$B$10:$B$14,0))="","Cell will autofill based on response",INDEX('AC&amp;M'!$M$10:$M$14,MATCH($F132,'AC&amp;M'!$B$10:$B$14,0))),"N/A")</f>
        <v/>
      </c>
      <c r="T132" s="52">
        <f>IFERROR(IF(INDEX('GCE'!$M$10:$M$12,MATCH($F132,'GCE'!$B$10:$B$12,0))="","Cell will autofill based on response",INDEX('GCE'!$M$10:$M$12,MATCH($F132,'GCE'!$B$10:$B$12,0))),"N/A")</f>
        <v/>
      </c>
      <c r="U132" s="52">
        <f>IFERROR(IF(INDEX('Education'!$M$10:$M$13,MATCH($F132,'Education'!$B$10:$B$13,0))="","Cell will autofill based on response",INDEX('Education'!$M$10:$M$13,MATCH($F132,'Education'!$B$10:$B$13,0))),"N/A")</f>
        <v/>
      </c>
      <c r="V132" s="52">
        <f>IFERROR(IF(INDEX('SaSS'!$M$10:$M$12,MATCH($F132,'SaSS'!$B$10:$B$12,0))="","Cell will autofill based on response",INDEX('SaSS'!$M$10:$M$12,MATCH($F132,'SaSS'!$B$10:$B$12,0))),"N/A")</f>
        <v/>
      </c>
      <c r="W132" s="52">
        <f>IFERROR(IF(INDEX('Indigenous'!$M$10:$M$11,MATCH($F132,'Indigenous'!$B$10:$B$11,0))="","Cell will autofill based on response",INDEX('Indigenous'!$M$10:$M$11,MATCH($F132,'Indigenous'!$B$10:$B$11,0))),"N/A")</f>
        <v/>
      </c>
      <c r="X132" s="52">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NB2(c)</t>
        </is>
      </c>
      <c r="G133" s="8" t="inlineStr">
        <is>
          <t>Supporting information/comments</t>
        </is>
      </c>
      <c r="H133" s="52">
        <f>IFERROR(IF(INDEX('Faculties'!$N$10:$N$19,MATCH($F133,'Faculties'!$B$10:$B$19,0))="","Cell will autofill based on response",INDEX('Faculties'!$N$10:$N$19,MATCH($F133,'Faculties'!$B$10:$B$19,0))),"N/A")</f>
        <v/>
      </c>
      <c r="I133" s="52">
        <f>IFERROR(IF(INDEX('Faculties'!$N$26:$N$35,MATCH($F133,'Faculties'!$B$26:$B$35,0))="","Cell will autofill based on response",INDEX('Faculties'!$N$26:$N$35,MATCH($F133,'Faculties'!$B$26:$B$35,0))),"N/A")</f>
        <v/>
      </c>
      <c r="J133" s="52">
        <f>IFERROR(IF(INDEX('Faculties'!$N$42:$N$51,MATCH($F133,'Faculties'!$B$42:$B$51,0))="","Cell will autofill based on response",INDEX('Faculties'!$N$42:$N$51,MATCH($F133,'Faculties'!$B$42:$B$51,0))),"N/A")</f>
        <v/>
      </c>
      <c r="K133" s="52">
        <f>IFERROR(IF(INDEX('Faculties'!$N$58:$N$67,MATCH($F133,'Faculties'!$B$58:$B$67,0))="","Cell will autofill based on response",INDEX('Faculties'!$N$58:$N$67,MATCH($F133,'Faculties'!$B$58:$B$67,0))),"N/A")</f>
        <v/>
      </c>
      <c r="L133" s="52">
        <f>IFERROR(IF(INDEX('CI&amp;S'!$N$10:$N$15,MATCH($F133,'CI&amp;S'!$B$10:$B$15,0))="","Cell will autofill based on response",INDEX('CI&amp;S'!$N$10:$N$15,MATCH($F133,'CI&amp;S'!$B$10:$B$15,0))),"N/A")</f>
        <v/>
      </c>
      <c r="M133" s="52">
        <f>IFERROR(IF(INDEX('CI&amp;S'!$N$22:$N$36,MATCH($F133,'CI&amp;S'!$B$22:$B$36,0))="","Cell will autofill based on response",INDEX('CI&amp;S'!$N$22:$N$36,MATCH($F133,'CI&amp;S'!$B$22:$B$36,0))),"N/A")</f>
        <v/>
      </c>
      <c r="N133" s="52">
        <f>IFERROR(IF(INDEX('CFOG'!$N$10:$N$16,MATCH($F133,'CFOG'!$B$10:$B$16,0))="","Cell will autofill based on response",INDEX('CFOG'!$N$10:$N$16,MATCH($F133,'CFOG'!$B$10:$B$16,0))),"N/A")</f>
        <v/>
      </c>
      <c r="O133" s="52">
        <f>IFERROR(IF(INDEX('CFOG'!$N$23:$N$24,MATCH($F133,'CFOG'!$B$23:$B$24,0))="","Cell will autofill based on response",INDEX('CFOG'!$N$23:$N$24,MATCH($F133,'CFOG'!$B$23:$B$24,0))),"N/A")</f>
        <v/>
      </c>
      <c r="P133" s="52">
        <f>IFERROR(IF(INDEX('ESG'!$N$10:$N$17,MATCH($F133,'ESG'!$B$10:$B$17,0))="","Cell will autofill based on response",INDEX('ESG'!$N$10:$N$17,MATCH($F133,'ESG'!$B$10:$B$17,0))),"N/A")</f>
        <v/>
      </c>
      <c r="Q133" s="52">
        <f>IFERROR(IF(INDEX('CIOG'!$N$10:$N$14,MATCH($F133,'CIOG'!$B$10:$B$14,0))="","Cell will autofill based on response",INDEX('CIOG'!$N$10:$N$14,MATCH($F133,'CIOG'!$B$10:$B$14,0))),"N/A")</f>
        <v/>
      </c>
      <c r="R133" s="52">
        <f>IFERROR(IF(INDEX('MRE'!$N$10:$N$18,MATCH($F133,'MRE'!$B$10:$B$18,0))="","Cell will autofill based on response",INDEX('MRE'!$N$10:$N$18,MATCH($F133,'MRE'!$B$10:$B$18,0))),"N/A")</f>
        <v/>
      </c>
      <c r="S133" s="52">
        <f>IFERROR(IF(INDEX('AC&amp;M'!$N$10:$N$14,MATCH($F133,'AC&amp;M'!$B$10:$B$14,0))="","Cell will autofill based on response",INDEX('AC&amp;M'!$N$10:$N$14,MATCH($F133,'AC&amp;M'!$B$10:$B$14,0))),"N/A")</f>
        <v/>
      </c>
      <c r="T133" s="52">
        <f>IFERROR(IF(INDEX('GCE'!$N$10:$N$12,MATCH($F133,'GCE'!$B$10:$B$12,0))="","Cell will autofill based on response",INDEX('GCE'!$N$10:$N$12,MATCH($F133,'GCE'!$B$10:$B$12,0))),"N/A")</f>
        <v/>
      </c>
      <c r="U133" s="52">
        <f>IFERROR(IF(INDEX('Education'!$N$10:$N$13,MATCH($F133,'Education'!$B$10:$B$13,0))="","Cell will autofill based on response",INDEX('Education'!$N$10:$N$13,MATCH($F133,'Education'!$B$10:$B$13,0))),"N/A")</f>
        <v/>
      </c>
      <c r="V133" s="52">
        <f>IFERROR(IF(INDEX('SaSS'!$N$10:$N$12,MATCH($F133,'SaSS'!$B$10:$B$12,0))="","Cell will autofill based on response",INDEX('SaSS'!$N$10:$N$12,MATCH($F133,'SaSS'!$B$10:$B$12,0))),"N/A")</f>
        <v/>
      </c>
      <c r="W133" s="52">
        <f>IFERROR(IF(INDEX('Indigenous'!$N$10:$N$11,MATCH($F133,'Indigenous'!$B$10:$B$11,0))="","Cell will autofill based on response",INDEX('Indigenous'!$N$10:$N$11,MATCH($F133,'Indigenous'!$B$10:$B$11,0))),"N/A")</f>
        <v/>
      </c>
      <c r="X133" s="52">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NB2(c)</t>
        </is>
      </c>
      <c r="G134" s="8" t="inlineStr">
        <is>
          <t>Data source and limitations</t>
        </is>
      </c>
      <c r="H134" s="52">
        <f>IFERROR(IF(INDEX('Faculties'!$O$10:$O$19,MATCH($F134,'Faculties'!$B$10:$B$19,0))="","Cell will autofill based on response",INDEX('Faculties'!$O$10:$O$19,MATCH($F134,'Faculties'!$B$10:$B$19,0))),"N/A")</f>
        <v/>
      </c>
      <c r="I134" s="52">
        <f>IFERROR(IF(INDEX('Faculties'!$O$26:$O$35,MATCH($F134,'Faculties'!$B$26:$B$35,0))="","Cell will autofill based on response",INDEX('Faculties'!$O$26:$O$35,MATCH($F134,'Faculties'!$B$26:$B$35,0))),"N/A")</f>
        <v/>
      </c>
      <c r="J134" s="52">
        <f>IFERROR(IF(INDEX('Faculties'!$O$42:$O$51,MATCH($F134,'Faculties'!$B$42:$B$51,0))="","Cell will autofill based on response",INDEX('Faculties'!$O$42:$O$51,MATCH($F134,'Faculties'!$B$42:$B$51,0))),"N/A")</f>
        <v/>
      </c>
      <c r="K134" s="52">
        <f>IFERROR(IF(INDEX('Faculties'!$O$58:$O$67,MATCH($F134,'Faculties'!$B$58:$B$67,0))="","Cell will autofill based on response",INDEX('Faculties'!$O$58:$O$67,MATCH($F134,'Faculties'!$B$58:$B$67,0))),"N/A")</f>
        <v/>
      </c>
      <c r="L134" s="52">
        <f>IFERROR(IF(INDEX('CI&amp;S'!$O$10:$O$15,MATCH($F134,'CI&amp;S'!$B$10:$B$15,0))="","Cell will autofill based on response",INDEX('CI&amp;S'!$O$10:$O$15,MATCH($F134,'CI&amp;S'!$B$10:$B$15,0))),"N/A")</f>
        <v/>
      </c>
      <c r="M134" s="52">
        <f>IFERROR(IF(INDEX('CI&amp;S'!$O$22:$O$36,MATCH($F134,'CI&amp;S'!$B$22:$B$36,0))="","Cell will autofill based on response",INDEX('CI&amp;S'!$O$22:$O$36,MATCH($F134,'CI&amp;S'!$B$22:$B$36,0))),"N/A")</f>
        <v/>
      </c>
      <c r="N134" s="52">
        <f>IFERROR(IF(INDEX('CFOG'!$O$10:$O$16,MATCH($F134,'CFOG'!$B$10:$B$16,0))="","Cell will autofill based on response",INDEX('CFOG'!$O$10:$O$16,MATCH($F134,'CFOG'!$B$10:$B$16,0))),"N/A")</f>
        <v/>
      </c>
      <c r="O134" s="52">
        <f>IFERROR(IF(INDEX('CFOG'!$O$23:$O$24,MATCH($F134,'CFOG'!$B$23:$B$24,0))="","Cell will autofill based on response",INDEX('CFOG'!$O$23:$O$24,MATCH($F134,'CFOG'!$B$23:$B$24,0))),"N/A")</f>
        <v/>
      </c>
      <c r="P134" s="52">
        <f>IFERROR(IF(INDEX('ESG'!$O$10:$O$17,MATCH($F134,'ESG'!$B$10:$B$17,0))="","Cell will autofill based on response",INDEX('ESG'!$O$10:$O$17,MATCH($F134,'ESG'!$B$10:$B$17,0))),"N/A")</f>
        <v/>
      </c>
      <c r="Q134" s="52">
        <f>IFERROR(IF(INDEX('CIOG'!$O$10:$O$14,MATCH($F134,'CIOG'!$B$10:$B$14,0))="","Cell will autofill based on response",INDEX('CIOG'!$O$10:$O$14,MATCH($F134,'CIOG'!$B$10:$B$14,0))),"N/A")</f>
        <v/>
      </c>
      <c r="R134" s="52">
        <f>IFERROR(IF(INDEX('MRE'!$O$10:$O$18,MATCH($F134,'MRE'!$B$10:$B$18,0))="","Cell will autofill based on response",INDEX('MRE'!$O$10:$O$18,MATCH($F134,'MRE'!$B$10:$B$18,0))),"N/A")</f>
        <v/>
      </c>
      <c r="S134" s="52">
        <f>IFERROR(IF(INDEX('AC&amp;M'!$O$10:$O$14,MATCH($F134,'AC&amp;M'!$B$10:$B$14,0))="","Cell will autofill based on response",INDEX('AC&amp;M'!$O$10:$O$14,MATCH($F134,'AC&amp;M'!$B$10:$B$14,0))),"N/A")</f>
        <v/>
      </c>
      <c r="T134" s="52">
        <f>IFERROR(IF(INDEX('GCE'!$O$10:$O$12,MATCH($F134,'GCE'!$B$10:$B$12,0))="","Cell will autofill based on response",INDEX('GCE'!$O$10:$O$12,MATCH($F134,'GCE'!$B$10:$B$12,0))),"N/A")</f>
        <v/>
      </c>
      <c r="U134" s="52">
        <f>IFERROR(IF(INDEX('Education'!$O$10:$O$13,MATCH($F134,'Education'!$B$10:$B$13,0))="","Cell will autofill based on response",INDEX('Education'!$O$10:$O$13,MATCH($F134,'Education'!$B$10:$B$13,0))),"N/A")</f>
        <v/>
      </c>
      <c r="V134" s="52">
        <f>IFERROR(IF(INDEX('SaSS'!$O$10:$O$12,MATCH($F134,'SaSS'!$B$10:$B$12,0))="","Cell will autofill based on response",INDEX('SaSS'!$O$10:$O$12,MATCH($F134,'SaSS'!$B$10:$B$12,0))),"N/A")</f>
        <v/>
      </c>
      <c r="W134" s="52">
        <f>IFERROR(IF(INDEX('Indigenous'!$O$10:$O$11,MATCH($F134,'Indigenous'!$B$10:$B$11,0))="","Cell will autofill based on response",INDEX('Indigenous'!$O$10:$O$11,MATCH($F134,'Indigenous'!$B$10:$B$11,0))),"N/A")</f>
        <v/>
      </c>
      <c r="X134" s="52">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NB2(c)</t>
        </is>
      </c>
      <c r="G135" s="8" t="inlineStr">
        <is>
          <t>Data owner confirms</t>
        </is>
      </c>
      <c r="H135" s="52">
        <f>IFERROR(IF(INDEX('Faculties'!$P$10:$P$19,MATCH($F135,'Faculties'!$B$10:$B$19,0))="","Cell will autofill based on response",INDEX('Faculties'!$P$10:$P$19,MATCH($F135,'Faculties'!$B$10:$B$19,0))),"N/A")</f>
        <v/>
      </c>
      <c r="I135" s="52">
        <f>IFERROR(IF(INDEX('Faculties'!$P$26:$P$35,MATCH($F135,'Faculties'!$B$26:$B$35,0))="","Cell will autofill based on response",INDEX('Faculties'!$P$26:$P$35,MATCH($F135,'Faculties'!$B$26:$B$35,0))),"N/A")</f>
        <v/>
      </c>
      <c r="J135" s="52">
        <f>IFERROR(IF(INDEX('Faculties'!$P$42:$P$51,MATCH($F135,'Faculties'!$B$42:$B$51,0))="","Cell will autofill based on response",INDEX('Faculties'!$P$42:$P$51,MATCH($F135,'Faculties'!$B$42:$B$51,0))),"N/A")</f>
        <v/>
      </c>
      <c r="K135" s="52">
        <f>IFERROR(IF(INDEX('Faculties'!$P$58:$P$67,MATCH($F135,'Faculties'!$B$58:$B$67,0))="","Cell will autofill based on response",INDEX('Faculties'!$P$58:$P$67,MATCH($F135,'Faculties'!$B$58:$B$67,0))),"N/A")</f>
        <v/>
      </c>
      <c r="L135" s="52">
        <f>IFERROR(IF(INDEX('CI&amp;S'!$P$10:$P$15,MATCH($F135,'CI&amp;S'!$B$10:$B$15,0))="","Cell will autofill based on response",INDEX('CI&amp;S'!$P$10:$P$15,MATCH($F135,'CI&amp;S'!$B$10:$B$15,0))),"N/A")</f>
        <v/>
      </c>
      <c r="M135" s="52">
        <f>IFERROR(IF(INDEX('CI&amp;S'!$P$22:$P$36,MATCH($F135,'CI&amp;S'!$B$22:$B$36,0))="","Cell will autofill based on response",INDEX('CI&amp;S'!$P$22:$P$36,MATCH($F135,'CI&amp;S'!$B$22:$B$36,0))),"N/A")</f>
        <v/>
      </c>
      <c r="N135" s="52">
        <f>IFERROR(IF(INDEX('CFOG'!$P$10:$P$16,MATCH($F135,'CFOG'!$B$10:$B$16,0))="","Cell will autofill based on response",INDEX('CFOG'!$P$10:$P$16,MATCH($F135,'CFOG'!$B$10:$B$16,0))),"N/A")</f>
        <v/>
      </c>
      <c r="O135" s="52">
        <f>IFERROR(IF(INDEX('CFOG'!$P$23:$P$24,MATCH($F135,'CFOG'!$B$23:$B$24,0))="","Cell will autofill based on response",INDEX('CFOG'!$P$23:$P$24,MATCH($F135,'CFOG'!$B$23:$B$24,0))),"N/A")</f>
        <v/>
      </c>
      <c r="P135" s="52">
        <f>IFERROR(IF(INDEX('ESG'!$P$10:$P$17,MATCH($F135,'ESG'!$B$10:$B$17,0))="","Cell will autofill based on response",INDEX('ESG'!$P$10:$P$17,MATCH($F135,'ESG'!$B$10:$B$17,0))),"N/A")</f>
        <v/>
      </c>
      <c r="Q135" s="52">
        <f>IFERROR(IF(INDEX('CIOG'!$P$10:$P$14,MATCH($F135,'CIOG'!$B$10:$B$14,0))="","Cell will autofill based on response",INDEX('CIOG'!$P$10:$P$14,MATCH($F135,'CIOG'!$B$10:$B$14,0))),"N/A")</f>
        <v/>
      </c>
      <c r="R135" s="52">
        <f>IFERROR(IF(INDEX('MRE'!$P$10:$P$18,MATCH($F135,'MRE'!$B$10:$B$18,0))="","Cell will autofill based on response",INDEX('MRE'!$P$10:$P$18,MATCH($F135,'MRE'!$B$10:$B$18,0))),"N/A")</f>
        <v/>
      </c>
      <c r="S135" s="52">
        <f>IFERROR(IF(INDEX('AC&amp;M'!$P$10:$P$14,MATCH($F135,'AC&amp;M'!$B$10:$B$14,0))="","Cell will autofill based on response",INDEX('AC&amp;M'!$P$10:$P$14,MATCH($F135,'AC&amp;M'!$B$10:$B$14,0))),"N/A")</f>
        <v/>
      </c>
      <c r="T135" s="52">
        <f>IFERROR(IF(INDEX('GCE'!$P$10:$P$12,MATCH($F135,'GCE'!$B$10:$B$12,0))="","Cell will autofill based on response",INDEX('GCE'!$P$10:$P$12,MATCH($F135,'GCE'!$B$10:$B$12,0))),"N/A")</f>
        <v/>
      </c>
      <c r="U135" s="52">
        <f>IFERROR(IF(INDEX('Education'!$P$10:$P$13,MATCH($F135,'Education'!$B$10:$B$13,0))="","Cell will autofill based on response",INDEX('Education'!$P$10:$P$13,MATCH($F135,'Education'!$B$10:$B$13,0))),"N/A")</f>
        <v/>
      </c>
      <c r="V135" s="52">
        <f>IFERROR(IF(INDEX('SaSS'!$P$10:$P$12,MATCH($F135,'SaSS'!$B$10:$B$12,0))="","Cell will autofill based on response",INDEX('SaSS'!$P$10:$P$12,MATCH($F135,'SaSS'!$B$10:$B$12,0))),"N/A")</f>
        <v/>
      </c>
      <c r="W135" s="52">
        <f>IFERROR(IF(INDEX('Indigenous'!$P$10:$P$11,MATCH($F135,'Indigenous'!$B$10:$B$11,0))="","Cell will autofill based on response",INDEX('Indigenous'!$P$10:$P$11,MATCH($F135,'Indigenous'!$B$10:$B$11,0))),"N/A")</f>
        <v/>
      </c>
      <c r="X135" s="52">
        <f>IFERROR(IF(INDEX('L&amp;R'!$P$10:$P$11,MATCH($F135,'L&amp;R'!$B$10:$B$11,0))="","Cell will autofill based on response",INDEX('L&amp;R'!$P$10:$P$11,MATCH($F135,'L&amp;R'!$B$10:$B$11,0))),"N/A")</f>
        <v/>
      </c>
    </row>
    <row r="136">
      <c r="A136">
        <f>F136&amp;"|"&amp;G136</f>
        <v/>
      </c>
      <c r="B136" s="7" t="inlineStr">
        <is>
          <t>AI1(a)</t>
        </is>
      </c>
      <c r="C136" s="50" t="inlineStr">
        <is>
          <t>Responsible AI</t>
        </is>
      </c>
      <c r="D136" s="50" t="inlineStr">
        <is>
          <t>Established measurement of estimated operational impacts and opportunities (eg operational impacts could include energy, water, emissions and intensity measures)</t>
        </is>
      </c>
      <c r="E136" s="50" t="inlineStr"/>
      <c r="F136" s="50" t="inlineStr">
        <is>
          <t>AI1(a)</t>
        </is>
      </c>
      <c r="G136" s="50" t="inlineStr">
        <is>
          <t>OPTION 1:  Target-level reporting</t>
        </is>
      </c>
      <c r="H136" s="52">
        <f>IFERROR(IF(INDEX('Faculties'!$L$10:$L$19,MATCH($F136,'Faculties'!$B$10:$B$19,0))="","Cell will autofill based on response",INDEX('Faculties'!$L$10:$L$19,MATCH($F136,'Faculties'!$B$10:$B$19,0))),"N/A")</f>
        <v/>
      </c>
      <c r="I136" s="52">
        <f>IFERROR(IF(INDEX('Faculties'!$L$26:$L$35,MATCH($F136,'Faculties'!$B$26:$B$35,0))="","Cell will autofill based on response",INDEX('Faculties'!$L$26:$L$35,MATCH($F136,'Faculties'!$B$26:$B$35,0))),"N/A")</f>
        <v/>
      </c>
      <c r="J136" s="52">
        <f>IFERROR(IF(INDEX('Faculties'!$L$42:$L$51,MATCH($F136,'Faculties'!$B$42:$B$51,0))="","Cell will autofill based on response",INDEX('Faculties'!$L$42:$L$51,MATCH($F136,'Faculties'!$B$42:$B$51,0))),"N/A")</f>
        <v/>
      </c>
      <c r="K136" s="52">
        <f>IFERROR(IF(INDEX('Faculties'!$L$58:$L$67,MATCH($F136,'Faculties'!$B$58:$B$67,0))="","Cell will autofill based on response",INDEX('Faculties'!$L$58:$L$67,MATCH($F136,'Faculties'!$B$58:$B$67,0))),"N/A")</f>
        <v/>
      </c>
      <c r="L136" s="52">
        <f>IFERROR(IF(INDEX('CI&amp;S'!$L$10:$L$15,MATCH($F136,'CI&amp;S'!$B$10:$B$15,0))="","Cell will autofill based on response",INDEX('CI&amp;S'!$L$10:$L$15,MATCH($F136,'CI&amp;S'!$B$10:$B$15,0))),"N/A")</f>
        <v/>
      </c>
      <c r="M136" s="52">
        <f>IFERROR(IF(INDEX('CI&amp;S'!$L$22:$L$36,MATCH($F136,'CI&amp;S'!$B$22:$B$36,0))="","Cell will autofill based on response",INDEX('CI&amp;S'!$L$22:$L$36,MATCH($F136,'CI&amp;S'!$B$22:$B$36,0))),"N/A")</f>
        <v/>
      </c>
      <c r="N136" s="52">
        <f>IFERROR(IF(INDEX('CFOG'!$L$10:$L$16,MATCH($F136,'CFOG'!$B$10:$B$16,0))="","Cell will autofill based on response",INDEX('CFOG'!$L$10:$L$16,MATCH($F136,'CFOG'!$B$10:$B$16,0))),"N/A")</f>
        <v/>
      </c>
      <c r="O136" s="52">
        <f>IFERROR(IF(INDEX('CFOG'!$L$23:$L$24,MATCH($F136,'CFOG'!$B$23:$B$24,0))="","Cell will autofill based on response",INDEX('CFOG'!$L$23:$L$24,MATCH($F136,'CFOG'!$B$23:$B$24,0))),"N/A")</f>
        <v/>
      </c>
      <c r="P136" s="52">
        <f>IFERROR(IF(INDEX('ESG'!$L$10:$L$17,MATCH($F136,'ESG'!$B$10:$B$17,0))="","Cell will autofill based on response",INDEX('ESG'!$L$10:$L$17,MATCH($F136,'ESG'!$B$10:$B$17,0))),"N/A")</f>
        <v/>
      </c>
      <c r="Q136" s="52">
        <f>IFERROR(IF(INDEX('CIOG'!$L$10:$L$14,MATCH($F136,'CIOG'!$B$10:$B$14,0))="","Cell will autofill based on response",INDEX('CIOG'!$L$10:$L$14,MATCH($F136,'CIOG'!$B$10:$B$14,0))),"N/A")</f>
        <v/>
      </c>
      <c r="R136" s="52">
        <f>IFERROR(IF(INDEX('MRE'!$L$10:$L$18,MATCH($F136,'MRE'!$B$10:$B$18,0))="","Cell will autofill based on response",INDEX('MRE'!$L$10:$L$18,MATCH($F136,'MRE'!$B$10:$B$18,0))),"N/A")</f>
        <v/>
      </c>
      <c r="S136" s="52">
        <f>IFERROR(IF(INDEX('AC&amp;M'!$L$10:$L$14,MATCH($F136,'AC&amp;M'!$B$10:$B$14,0))="","Cell will autofill based on response",INDEX('AC&amp;M'!$L$10:$L$14,MATCH($F136,'AC&amp;M'!$B$10:$B$14,0))),"N/A")</f>
        <v/>
      </c>
      <c r="T136" s="52">
        <f>IFERROR(IF(INDEX('GCE'!$L$10:$L$12,MATCH($F136,'GCE'!$B$10:$B$12,0))="","Cell will autofill based on response",INDEX('GCE'!$L$10:$L$12,MATCH($F136,'GCE'!$B$10:$B$12,0))),"N/A")</f>
        <v/>
      </c>
      <c r="U136" s="52">
        <f>IFERROR(IF(INDEX('Education'!$L$10:$L$13,MATCH($F136,'Education'!$B$10:$B$13,0))="","Cell will autofill based on response",INDEX('Education'!$L$10:$L$13,MATCH($F136,'Education'!$B$10:$B$13,0))),"N/A")</f>
        <v/>
      </c>
      <c r="V136" s="52">
        <f>IFERROR(IF(INDEX('SaSS'!$L$10:$L$12,MATCH($F136,'SaSS'!$B$10:$B$12,0))="","Cell will autofill based on response",INDEX('SaSS'!$L$10:$L$12,MATCH($F136,'SaSS'!$B$10:$B$12,0))),"N/A")</f>
        <v/>
      </c>
      <c r="W136" s="52">
        <f>IFERROR(IF(INDEX('Indigenous'!$L$10:$L$11,MATCH($F136,'Indigenous'!$B$10:$B$11,0))="","Cell will autofill based on response",INDEX('Indigenous'!$L$10:$L$11,MATCH($F136,'Indigenous'!$B$10:$B$11,0))),"N/A")</f>
        <v/>
      </c>
      <c r="X136" s="52">
        <f>IFERROR(IF(INDEX('L&amp;R'!$L$10:$L$11,MATCH($F136,'L&amp;R'!$B$10:$B$11,0))="","Cell will autofill based on response",INDEX('L&amp;R'!$L$10:$L$11,MATCH($F136,'L&amp;R'!$B$10:$B$11,0))),"N/A")</f>
        <v/>
      </c>
      <c r="Z136" s="10">
        <f>SUMPRODUCT(--($H136:$X136&lt;&gt;"N/A"))</f>
        <v/>
      </c>
      <c r="AA136" s="10">
        <f>SUMPRODUCT(--(((($H136:$X136&lt;&gt;"N/A")*($H136:$X136&lt;&gt;"Cell will autofill based on response"))+(($H137:$X137&lt;&gt;"N/A")*($H137:$X137&lt;&gt;"Cell will autofill based on response")))&gt;0))</f>
        <v/>
      </c>
      <c r="AB136" s="10">
        <f>Z136-AA136</f>
        <v/>
      </c>
      <c r="AC136" s="10">
        <f>COUNTIF($H140:$X140,"Yes")</f>
        <v/>
      </c>
    </row>
    <row r="137">
      <c r="A137">
        <f>F137&amp;"|"&amp;G137</f>
        <v/>
      </c>
      <c r="B137" s="13" t="inlineStr"/>
      <c r="C137" s="8" t="inlineStr"/>
      <c r="D137" s="8" t="inlineStr"/>
      <c r="E137" s="8" t="inlineStr"/>
      <c r="F137" s="8" t="inlineStr">
        <is>
          <t>AI1(a)</t>
        </is>
      </c>
      <c r="G137" s="8" t="inlineStr">
        <is>
          <t>OPTION 2:  Indicator level reporting</t>
        </is>
      </c>
      <c r="H137" s="52">
        <f>IFERROR(IF(INDEX('Faculties'!$M$10:$M$19,MATCH($F137,'Faculties'!$B$10:$B$19,0))="","Cell will autofill based on response",INDEX('Faculties'!$M$10:$M$19,MATCH($F137,'Faculties'!$B$10:$B$19,0))),"N/A")</f>
        <v/>
      </c>
      <c r="I137" s="52">
        <f>IFERROR(IF(INDEX('Faculties'!$M$26:$M$35,MATCH($F137,'Faculties'!$B$26:$B$35,0))="","Cell will autofill based on response",INDEX('Faculties'!$M$26:$M$35,MATCH($F137,'Faculties'!$B$26:$B$35,0))),"N/A")</f>
        <v/>
      </c>
      <c r="J137" s="52">
        <f>IFERROR(IF(INDEX('Faculties'!$M$42:$M$51,MATCH($F137,'Faculties'!$B$42:$B$51,0))="","Cell will autofill based on response",INDEX('Faculties'!$M$42:$M$51,MATCH($F137,'Faculties'!$B$42:$B$51,0))),"N/A")</f>
        <v/>
      </c>
      <c r="K137" s="52">
        <f>IFERROR(IF(INDEX('Faculties'!$M$58:$M$67,MATCH($F137,'Faculties'!$B$58:$B$67,0))="","Cell will autofill based on response",INDEX('Faculties'!$M$58:$M$67,MATCH($F137,'Faculties'!$B$58:$B$67,0))),"N/A")</f>
        <v/>
      </c>
      <c r="L137" s="52">
        <f>IFERROR(IF(INDEX('CI&amp;S'!$M$10:$M$15,MATCH($F137,'CI&amp;S'!$B$10:$B$15,0))="","Cell will autofill based on response",INDEX('CI&amp;S'!$M$10:$M$15,MATCH($F137,'CI&amp;S'!$B$10:$B$15,0))),"N/A")</f>
        <v/>
      </c>
      <c r="M137" s="52">
        <f>IFERROR(IF(INDEX('CI&amp;S'!$M$22:$M$36,MATCH($F137,'CI&amp;S'!$B$22:$B$36,0))="","Cell will autofill based on response",INDEX('CI&amp;S'!$M$22:$M$36,MATCH($F137,'CI&amp;S'!$B$22:$B$36,0))),"N/A")</f>
        <v/>
      </c>
      <c r="N137" s="52">
        <f>IFERROR(IF(INDEX('CFOG'!$M$10:$M$16,MATCH($F137,'CFOG'!$B$10:$B$16,0))="","Cell will autofill based on response",INDEX('CFOG'!$M$10:$M$16,MATCH($F137,'CFOG'!$B$10:$B$16,0))),"N/A")</f>
        <v/>
      </c>
      <c r="O137" s="52">
        <f>IFERROR(IF(INDEX('CFOG'!$M$23:$M$24,MATCH($F137,'CFOG'!$B$23:$B$24,0))="","Cell will autofill based on response",INDEX('CFOG'!$M$23:$M$24,MATCH($F137,'CFOG'!$B$23:$B$24,0))),"N/A")</f>
        <v/>
      </c>
      <c r="P137" s="52">
        <f>IFERROR(IF(INDEX('ESG'!$M$10:$M$17,MATCH($F137,'ESG'!$B$10:$B$17,0))="","Cell will autofill based on response",INDEX('ESG'!$M$10:$M$17,MATCH($F137,'ESG'!$B$10:$B$17,0))),"N/A")</f>
        <v/>
      </c>
      <c r="Q137" s="52">
        <f>IFERROR(IF(INDEX('CIOG'!$M$10:$M$14,MATCH($F137,'CIOG'!$B$10:$B$14,0))="","Cell will autofill based on response",INDEX('CIOG'!$M$10:$M$14,MATCH($F137,'CIOG'!$B$10:$B$14,0))),"N/A")</f>
        <v/>
      </c>
      <c r="R137" s="52">
        <f>IFERROR(IF(INDEX('MRE'!$M$10:$M$18,MATCH($F137,'MRE'!$B$10:$B$18,0))="","Cell will autofill based on response",INDEX('MRE'!$M$10:$M$18,MATCH($F137,'MRE'!$B$10:$B$18,0))),"N/A")</f>
        <v/>
      </c>
      <c r="S137" s="52">
        <f>IFERROR(IF(INDEX('AC&amp;M'!$M$10:$M$14,MATCH($F137,'AC&amp;M'!$B$10:$B$14,0))="","Cell will autofill based on response",INDEX('AC&amp;M'!$M$10:$M$14,MATCH($F137,'AC&amp;M'!$B$10:$B$14,0))),"N/A")</f>
        <v/>
      </c>
      <c r="T137" s="52">
        <f>IFERROR(IF(INDEX('GCE'!$M$10:$M$12,MATCH($F137,'GCE'!$B$10:$B$12,0))="","Cell will autofill based on response",INDEX('GCE'!$M$10:$M$12,MATCH($F137,'GCE'!$B$10:$B$12,0))),"N/A")</f>
        <v/>
      </c>
      <c r="U137" s="52">
        <f>IFERROR(IF(INDEX('Education'!$M$10:$M$13,MATCH($F137,'Education'!$B$10:$B$13,0))="","Cell will autofill based on response",INDEX('Education'!$M$10:$M$13,MATCH($F137,'Education'!$B$10:$B$13,0))),"N/A")</f>
        <v/>
      </c>
      <c r="V137" s="52">
        <f>IFERROR(IF(INDEX('SaSS'!$M$10:$M$12,MATCH($F137,'SaSS'!$B$10:$B$12,0))="","Cell will autofill based on response",INDEX('SaSS'!$M$10:$M$12,MATCH($F137,'SaSS'!$B$10:$B$12,0))),"N/A")</f>
        <v/>
      </c>
      <c r="W137" s="52">
        <f>IFERROR(IF(INDEX('Indigenous'!$M$10:$M$11,MATCH($F137,'Indigenous'!$B$10:$B$11,0))="","Cell will autofill based on response",INDEX('Indigenous'!$M$10:$M$11,MATCH($F137,'Indigenous'!$B$10:$B$11,0))),"N/A")</f>
        <v/>
      </c>
      <c r="X137" s="52">
        <f>IFERROR(IF(INDEX('L&amp;R'!$M$10:$M$11,MATCH($F137,'L&amp;R'!$B$10:$B$11,0))="","Cell will autofill based on response",INDEX('L&amp;R'!$M$10:$M$11,MATCH($F137,'L&amp;R'!$B$10:$B$11,0))),"N/A")</f>
        <v/>
      </c>
    </row>
    <row r="138">
      <c r="A138">
        <f>F138&amp;"|"&amp;G138</f>
        <v/>
      </c>
      <c r="B138" s="13" t="inlineStr"/>
      <c r="C138" s="8" t="inlineStr"/>
      <c r="D138" s="8" t="inlineStr"/>
      <c r="E138" s="8" t="inlineStr"/>
      <c r="F138" s="8" t="inlineStr">
        <is>
          <t>AI1(a)</t>
        </is>
      </c>
      <c r="G138" s="8" t="inlineStr">
        <is>
          <t>Supporting information/comments</t>
        </is>
      </c>
      <c r="H138" s="52">
        <f>IFERROR(IF(INDEX('Faculties'!$N$10:$N$19,MATCH($F138,'Faculties'!$B$10:$B$19,0))="","Cell will autofill based on response",INDEX('Faculties'!$N$10:$N$19,MATCH($F138,'Faculties'!$B$10:$B$19,0))),"N/A")</f>
        <v/>
      </c>
      <c r="I138" s="52">
        <f>IFERROR(IF(INDEX('Faculties'!$N$26:$N$35,MATCH($F138,'Faculties'!$B$26:$B$35,0))="","Cell will autofill based on response",INDEX('Faculties'!$N$26:$N$35,MATCH($F138,'Faculties'!$B$26:$B$35,0))),"N/A")</f>
        <v/>
      </c>
      <c r="J138" s="52">
        <f>IFERROR(IF(INDEX('Faculties'!$N$42:$N$51,MATCH($F138,'Faculties'!$B$42:$B$51,0))="","Cell will autofill based on response",INDEX('Faculties'!$N$42:$N$51,MATCH($F138,'Faculties'!$B$42:$B$51,0))),"N/A")</f>
        <v/>
      </c>
      <c r="K138" s="52">
        <f>IFERROR(IF(INDEX('Faculties'!$N$58:$N$67,MATCH($F138,'Faculties'!$B$58:$B$67,0))="","Cell will autofill based on response",INDEX('Faculties'!$N$58:$N$67,MATCH($F138,'Faculties'!$B$58:$B$67,0))),"N/A")</f>
        <v/>
      </c>
      <c r="L138" s="52">
        <f>IFERROR(IF(INDEX('CI&amp;S'!$N$10:$N$15,MATCH($F138,'CI&amp;S'!$B$10:$B$15,0))="","Cell will autofill based on response",INDEX('CI&amp;S'!$N$10:$N$15,MATCH($F138,'CI&amp;S'!$B$10:$B$15,0))),"N/A")</f>
        <v/>
      </c>
      <c r="M138" s="52">
        <f>IFERROR(IF(INDEX('CI&amp;S'!$N$22:$N$36,MATCH($F138,'CI&amp;S'!$B$22:$B$36,0))="","Cell will autofill based on response",INDEX('CI&amp;S'!$N$22:$N$36,MATCH($F138,'CI&amp;S'!$B$22:$B$36,0))),"N/A")</f>
        <v/>
      </c>
      <c r="N138" s="52">
        <f>IFERROR(IF(INDEX('CFOG'!$N$10:$N$16,MATCH($F138,'CFOG'!$B$10:$B$16,0))="","Cell will autofill based on response",INDEX('CFOG'!$N$10:$N$16,MATCH($F138,'CFOG'!$B$10:$B$16,0))),"N/A")</f>
        <v/>
      </c>
      <c r="O138" s="52">
        <f>IFERROR(IF(INDEX('CFOG'!$N$23:$N$24,MATCH($F138,'CFOG'!$B$23:$B$24,0))="","Cell will autofill based on response",INDEX('CFOG'!$N$23:$N$24,MATCH($F138,'CFOG'!$B$23:$B$24,0))),"N/A")</f>
        <v/>
      </c>
      <c r="P138" s="52">
        <f>IFERROR(IF(INDEX('ESG'!$N$10:$N$17,MATCH($F138,'ESG'!$B$10:$B$17,0))="","Cell will autofill based on response",INDEX('ESG'!$N$10:$N$17,MATCH($F138,'ESG'!$B$10:$B$17,0))),"N/A")</f>
        <v/>
      </c>
      <c r="Q138" s="52">
        <f>IFERROR(IF(INDEX('CIOG'!$N$10:$N$14,MATCH($F138,'CIOG'!$B$10:$B$14,0))="","Cell will autofill based on response",INDEX('CIOG'!$N$10:$N$14,MATCH($F138,'CIOG'!$B$10:$B$14,0))),"N/A")</f>
        <v/>
      </c>
      <c r="R138" s="52">
        <f>IFERROR(IF(INDEX('MRE'!$N$10:$N$18,MATCH($F138,'MRE'!$B$10:$B$18,0))="","Cell will autofill based on response",INDEX('MRE'!$N$10:$N$18,MATCH($F138,'MRE'!$B$10:$B$18,0))),"N/A")</f>
        <v/>
      </c>
      <c r="S138" s="52">
        <f>IFERROR(IF(INDEX('AC&amp;M'!$N$10:$N$14,MATCH($F138,'AC&amp;M'!$B$10:$B$14,0))="","Cell will autofill based on response",INDEX('AC&amp;M'!$N$10:$N$14,MATCH($F138,'AC&amp;M'!$B$10:$B$14,0))),"N/A")</f>
        <v/>
      </c>
      <c r="T138" s="52">
        <f>IFERROR(IF(INDEX('GCE'!$N$10:$N$12,MATCH($F138,'GCE'!$B$10:$B$12,0))="","Cell will autofill based on response",INDEX('GCE'!$N$10:$N$12,MATCH($F138,'GCE'!$B$10:$B$12,0))),"N/A")</f>
        <v/>
      </c>
      <c r="U138" s="52">
        <f>IFERROR(IF(INDEX('Education'!$N$10:$N$13,MATCH($F138,'Education'!$B$10:$B$13,0))="","Cell will autofill based on response",INDEX('Education'!$N$10:$N$13,MATCH($F138,'Education'!$B$10:$B$13,0))),"N/A")</f>
        <v/>
      </c>
      <c r="V138" s="52">
        <f>IFERROR(IF(INDEX('SaSS'!$N$10:$N$12,MATCH($F138,'SaSS'!$B$10:$B$12,0))="","Cell will autofill based on response",INDEX('SaSS'!$N$10:$N$12,MATCH($F138,'SaSS'!$B$10:$B$12,0))),"N/A")</f>
        <v/>
      </c>
      <c r="W138" s="52">
        <f>IFERROR(IF(INDEX('Indigenous'!$N$10:$N$11,MATCH($F138,'Indigenous'!$B$10:$B$11,0))="","Cell will autofill based on response",INDEX('Indigenous'!$N$10:$N$11,MATCH($F138,'Indigenous'!$B$10:$B$11,0))),"N/A")</f>
        <v/>
      </c>
      <c r="X138" s="52">
        <f>IFERROR(IF(INDEX('L&amp;R'!$N$10:$N$11,MATCH($F138,'L&amp;R'!$B$10:$B$11,0))="","Cell will autofill based on response",INDEX('L&amp;R'!$N$10:$N$11,MATCH($F138,'L&amp;R'!$B$10:$B$11,0))),"N/A")</f>
        <v/>
      </c>
    </row>
    <row r="139">
      <c r="A139">
        <f>F139&amp;"|"&amp;G139</f>
        <v/>
      </c>
      <c r="B139" s="13" t="inlineStr"/>
      <c r="C139" s="8" t="inlineStr"/>
      <c r="D139" s="8" t="inlineStr"/>
      <c r="E139" s="8" t="inlineStr"/>
      <c r="F139" s="8" t="inlineStr">
        <is>
          <t>AI1(a)</t>
        </is>
      </c>
      <c r="G139" s="8" t="inlineStr">
        <is>
          <t>Data source and limitations</t>
        </is>
      </c>
      <c r="H139" s="52">
        <f>IFERROR(IF(INDEX('Faculties'!$O$10:$O$19,MATCH($F139,'Faculties'!$B$10:$B$19,0))="","Cell will autofill based on response",INDEX('Faculties'!$O$10:$O$19,MATCH($F139,'Faculties'!$B$10:$B$19,0))),"N/A")</f>
        <v/>
      </c>
      <c r="I139" s="52">
        <f>IFERROR(IF(INDEX('Faculties'!$O$26:$O$35,MATCH($F139,'Faculties'!$B$26:$B$35,0))="","Cell will autofill based on response",INDEX('Faculties'!$O$26:$O$35,MATCH($F139,'Faculties'!$B$26:$B$35,0))),"N/A")</f>
        <v/>
      </c>
      <c r="J139" s="52">
        <f>IFERROR(IF(INDEX('Faculties'!$O$42:$O$51,MATCH($F139,'Faculties'!$B$42:$B$51,0))="","Cell will autofill based on response",INDEX('Faculties'!$O$42:$O$51,MATCH($F139,'Faculties'!$B$42:$B$51,0))),"N/A")</f>
        <v/>
      </c>
      <c r="K139" s="52">
        <f>IFERROR(IF(INDEX('Faculties'!$O$58:$O$67,MATCH($F139,'Faculties'!$B$58:$B$67,0))="","Cell will autofill based on response",INDEX('Faculties'!$O$58:$O$67,MATCH($F139,'Faculties'!$B$58:$B$67,0))),"N/A")</f>
        <v/>
      </c>
      <c r="L139" s="52">
        <f>IFERROR(IF(INDEX('CI&amp;S'!$O$10:$O$15,MATCH($F139,'CI&amp;S'!$B$10:$B$15,0))="","Cell will autofill based on response",INDEX('CI&amp;S'!$O$10:$O$15,MATCH($F139,'CI&amp;S'!$B$10:$B$15,0))),"N/A")</f>
        <v/>
      </c>
      <c r="M139" s="52">
        <f>IFERROR(IF(INDEX('CI&amp;S'!$O$22:$O$36,MATCH($F139,'CI&amp;S'!$B$22:$B$36,0))="","Cell will autofill based on response",INDEX('CI&amp;S'!$O$22:$O$36,MATCH($F139,'CI&amp;S'!$B$22:$B$36,0))),"N/A")</f>
        <v/>
      </c>
      <c r="N139" s="52">
        <f>IFERROR(IF(INDEX('CFOG'!$O$10:$O$16,MATCH($F139,'CFOG'!$B$10:$B$16,0))="","Cell will autofill based on response",INDEX('CFOG'!$O$10:$O$16,MATCH($F139,'CFOG'!$B$10:$B$16,0))),"N/A")</f>
        <v/>
      </c>
      <c r="O139" s="52">
        <f>IFERROR(IF(INDEX('CFOG'!$O$23:$O$24,MATCH($F139,'CFOG'!$B$23:$B$24,0))="","Cell will autofill based on response",INDEX('CFOG'!$O$23:$O$24,MATCH($F139,'CFOG'!$B$23:$B$24,0))),"N/A")</f>
        <v/>
      </c>
      <c r="P139" s="52">
        <f>IFERROR(IF(INDEX('ESG'!$O$10:$O$17,MATCH($F139,'ESG'!$B$10:$B$17,0))="","Cell will autofill based on response",INDEX('ESG'!$O$10:$O$17,MATCH($F139,'ESG'!$B$10:$B$17,0))),"N/A")</f>
        <v/>
      </c>
      <c r="Q139" s="52">
        <f>IFERROR(IF(INDEX('CIOG'!$O$10:$O$14,MATCH($F139,'CIOG'!$B$10:$B$14,0))="","Cell will autofill based on response",INDEX('CIOG'!$O$10:$O$14,MATCH($F139,'CIOG'!$B$10:$B$14,0))),"N/A")</f>
        <v/>
      </c>
      <c r="R139" s="52">
        <f>IFERROR(IF(INDEX('MRE'!$O$10:$O$18,MATCH($F139,'MRE'!$B$10:$B$18,0))="","Cell will autofill based on response",INDEX('MRE'!$O$10:$O$18,MATCH($F139,'MRE'!$B$10:$B$18,0))),"N/A")</f>
        <v/>
      </c>
      <c r="S139" s="52">
        <f>IFERROR(IF(INDEX('AC&amp;M'!$O$10:$O$14,MATCH($F139,'AC&amp;M'!$B$10:$B$14,0))="","Cell will autofill based on response",INDEX('AC&amp;M'!$O$10:$O$14,MATCH($F139,'AC&amp;M'!$B$10:$B$14,0))),"N/A")</f>
        <v/>
      </c>
      <c r="T139" s="52">
        <f>IFERROR(IF(INDEX('GCE'!$O$10:$O$12,MATCH($F139,'GCE'!$B$10:$B$12,0))="","Cell will autofill based on response",INDEX('GCE'!$O$10:$O$12,MATCH($F139,'GCE'!$B$10:$B$12,0))),"N/A")</f>
        <v/>
      </c>
      <c r="U139" s="52">
        <f>IFERROR(IF(INDEX('Education'!$O$10:$O$13,MATCH($F139,'Education'!$B$10:$B$13,0))="","Cell will autofill based on response",INDEX('Education'!$O$10:$O$13,MATCH($F139,'Education'!$B$10:$B$13,0))),"N/A")</f>
        <v/>
      </c>
      <c r="V139" s="52">
        <f>IFERROR(IF(INDEX('SaSS'!$O$10:$O$12,MATCH($F139,'SaSS'!$B$10:$B$12,0))="","Cell will autofill based on response",INDEX('SaSS'!$O$10:$O$12,MATCH($F139,'SaSS'!$B$10:$B$12,0))),"N/A")</f>
        <v/>
      </c>
      <c r="W139" s="52">
        <f>IFERROR(IF(INDEX('Indigenous'!$O$10:$O$11,MATCH($F139,'Indigenous'!$B$10:$B$11,0))="","Cell will autofill based on response",INDEX('Indigenous'!$O$10:$O$11,MATCH($F139,'Indigenous'!$B$10:$B$11,0))),"N/A")</f>
        <v/>
      </c>
      <c r="X139" s="52">
        <f>IFERROR(IF(INDEX('L&amp;R'!$O$10:$O$11,MATCH($F139,'L&amp;R'!$B$10:$B$11,0))="","Cell will autofill based on response",INDEX('L&amp;R'!$O$10:$O$11,MATCH($F139,'L&amp;R'!$B$10:$B$11,0))),"N/A")</f>
        <v/>
      </c>
    </row>
    <row r="140">
      <c r="A140">
        <f>F140&amp;"|"&amp;G140</f>
        <v/>
      </c>
      <c r="B140" s="13" t="inlineStr"/>
      <c r="C140" s="8" t="inlineStr"/>
      <c r="D140" s="8" t="inlineStr"/>
      <c r="E140" s="8" t="inlineStr"/>
      <c r="F140" s="8" t="inlineStr">
        <is>
          <t>AI1(a)</t>
        </is>
      </c>
      <c r="G140" s="8" t="inlineStr">
        <is>
          <t>Data owner confirms</t>
        </is>
      </c>
      <c r="H140" s="52">
        <f>IFERROR(IF(INDEX('Faculties'!$P$10:$P$19,MATCH($F140,'Faculties'!$B$10:$B$19,0))="","Cell will autofill based on response",INDEX('Faculties'!$P$10:$P$19,MATCH($F140,'Faculties'!$B$10:$B$19,0))),"N/A")</f>
        <v/>
      </c>
      <c r="I140" s="52">
        <f>IFERROR(IF(INDEX('Faculties'!$P$26:$P$35,MATCH($F140,'Faculties'!$B$26:$B$35,0))="","Cell will autofill based on response",INDEX('Faculties'!$P$26:$P$35,MATCH($F140,'Faculties'!$B$26:$B$35,0))),"N/A")</f>
        <v/>
      </c>
      <c r="J140" s="52">
        <f>IFERROR(IF(INDEX('Faculties'!$P$42:$P$51,MATCH($F140,'Faculties'!$B$42:$B$51,0))="","Cell will autofill based on response",INDEX('Faculties'!$P$42:$P$51,MATCH($F140,'Faculties'!$B$42:$B$51,0))),"N/A")</f>
        <v/>
      </c>
      <c r="K140" s="52">
        <f>IFERROR(IF(INDEX('Faculties'!$P$58:$P$67,MATCH($F140,'Faculties'!$B$58:$B$67,0))="","Cell will autofill based on response",INDEX('Faculties'!$P$58:$P$67,MATCH($F140,'Faculties'!$B$58:$B$67,0))),"N/A")</f>
        <v/>
      </c>
      <c r="L140" s="52">
        <f>IFERROR(IF(INDEX('CI&amp;S'!$P$10:$P$15,MATCH($F140,'CI&amp;S'!$B$10:$B$15,0))="","Cell will autofill based on response",INDEX('CI&amp;S'!$P$10:$P$15,MATCH($F140,'CI&amp;S'!$B$10:$B$15,0))),"N/A")</f>
        <v/>
      </c>
      <c r="M140" s="52">
        <f>IFERROR(IF(INDEX('CI&amp;S'!$P$22:$P$36,MATCH($F140,'CI&amp;S'!$B$22:$B$36,0))="","Cell will autofill based on response",INDEX('CI&amp;S'!$P$22:$P$36,MATCH($F140,'CI&amp;S'!$B$22:$B$36,0))),"N/A")</f>
        <v/>
      </c>
      <c r="N140" s="52">
        <f>IFERROR(IF(INDEX('CFOG'!$P$10:$P$16,MATCH($F140,'CFOG'!$B$10:$B$16,0))="","Cell will autofill based on response",INDEX('CFOG'!$P$10:$P$16,MATCH($F140,'CFOG'!$B$10:$B$16,0))),"N/A")</f>
        <v/>
      </c>
      <c r="O140" s="52">
        <f>IFERROR(IF(INDEX('CFOG'!$P$23:$P$24,MATCH($F140,'CFOG'!$B$23:$B$24,0))="","Cell will autofill based on response",INDEX('CFOG'!$P$23:$P$24,MATCH($F140,'CFOG'!$B$23:$B$24,0))),"N/A")</f>
        <v/>
      </c>
      <c r="P140" s="52">
        <f>IFERROR(IF(INDEX('ESG'!$P$10:$P$17,MATCH($F140,'ESG'!$B$10:$B$17,0))="","Cell will autofill based on response",INDEX('ESG'!$P$10:$P$17,MATCH($F140,'ESG'!$B$10:$B$17,0))),"N/A")</f>
        <v/>
      </c>
      <c r="Q140" s="52">
        <f>IFERROR(IF(INDEX('CIOG'!$P$10:$P$14,MATCH($F140,'CIOG'!$B$10:$B$14,0))="","Cell will autofill based on response",INDEX('CIOG'!$P$10:$P$14,MATCH($F140,'CIOG'!$B$10:$B$14,0))),"N/A")</f>
        <v/>
      </c>
      <c r="R140" s="52">
        <f>IFERROR(IF(INDEX('MRE'!$P$10:$P$18,MATCH($F140,'MRE'!$B$10:$B$18,0))="","Cell will autofill based on response",INDEX('MRE'!$P$10:$P$18,MATCH($F140,'MRE'!$B$10:$B$18,0))),"N/A")</f>
        <v/>
      </c>
      <c r="S140" s="52">
        <f>IFERROR(IF(INDEX('AC&amp;M'!$P$10:$P$14,MATCH($F140,'AC&amp;M'!$B$10:$B$14,0))="","Cell will autofill based on response",INDEX('AC&amp;M'!$P$10:$P$14,MATCH($F140,'AC&amp;M'!$B$10:$B$14,0))),"N/A")</f>
        <v/>
      </c>
      <c r="T140" s="52">
        <f>IFERROR(IF(INDEX('GCE'!$P$10:$P$12,MATCH($F140,'GCE'!$B$10:$B$12,0))="","Cell will autofill based on response",INDEX('GCE'!$P$10:$P$12,MATCH($F140,'GCE'!$B$10:$B$12,0))),"N/A")</f>
        <v/>
      </c>
      <c r="U140" s="52">
        <f>IFERROR(IF(INDEX('Education'!$P$10:$P$13,MATCH($F140,'Education'!$B$10:$B$13,0))="","Cell will autofill based on response",INDEX('Education'!$P$10:$P$13,MATCH($F140,'Education'!$B$10:$B$13,0))),"N/A")</f>
        <v/>
      </c>
      <c r="V140" s="52">
        <f>IFERROR(IF(INDEX('SaSS'!$P$10:$P$12,MATCH($F140,'SaSS'!$B$10:$B$12,0))="","Cell will autofill based on response",INDEX('SaSS'!$P$10:$P$12,MATCH($F140,'SaSS'!$B$10:$B$12,0))),"N/A")</f>
        <v/>
      </c>
      <c r="W140" s="52">
        <f>IFERROR(IF(INDEX('Indigenous'!$P$10:$P$11,MATCH($F140,'Indigenous'!$B$10:$B$11,0))="","Cell will autofill based on response",INDEX('Indigenous'!$P$10:$P$11,MATCH($F140,'Indigenous'!$B$10:$B$11,0))),"N/A")</f>
        <v/>
      </c>
      <c r="X140" s="52">
        <f>IFERROR(IF(INDEX('L&amp;R'!$P$10:$P$11,MATCH($F140,'L&amp;R'!$B$10:$B$11,0))="","Cell will autofill based on response",INDEX('L&amp;R'!$P$10:$P$11,MATCH($F140,'L&amp;R'!$B$10:$B$11,0))),"N/A")</f>
        <v/>
      </c>
    </row>
    <row r="141">
      <c r="A141">
        <f>F141&amp;"|"&amp;G141</f>
        <v/>
      </c>
      <c r="B141" s="7" t="inlineStr">
        <is>
          <t>AI1(b)</t>
        </is>
      </c>
      <c r="C141" s="50" t="inlineStr">
        <is>
          <t>Responsible AI</t>
        </is>
      </c>
      <c r="D141" s="50" t="inlineStr">
        <is>
          <t>Case studies of sustainability and AI-related education, research and collaboration activities.</t>
        </is>
      </c>
      <c r="E141" s="50" t="inlineStr">
        <is>
          <t>Please provide case studies from your Faculty/Portfolio of sustainability and AI-related education, research or collaboration activities, describing the activity, participants or partners, sustainability issue addressed and key outcomes or lessons.</t>
        </is>
      </c>
      <c r="F141" s="50" t="inlineStr">
        <is>
          <t>AI1(b)</t>
        </is>
      </c>
      <c r="G141" s="50" t="inlineStr">
        <is>
          <t>OPTION 1:  Target-level reporting</t>
        </is>
      </c>
      <c r="H141" s="52">
        <f>IFERROR(IF(INDEX('Faculties'!$L$10:$L$19,MATCH($F141,'Faculties'!$B$10:$B$19,0))="","Cell will autofill based on response",INDEX('Faculties'!$L$10:$L$19,MATCH($F141,'Faculties'!$B$10:$B$19,0))),"N/A")</f>
        <v/>
      </c>
      <c r="I141" s="52">
        <f>IFERROR(IF(INDEX('Faculties'!$L$26:$L$35,MATCH($F141,'Faculties'!$B$26:$B$35,0))="","Cell will autofill based on response",INDEX('Faculties'!$L$26:$L$35,MATCH($F141,'Faculties'!$B$26:$B$35,0))),"N/A")</f>
        <v/>
      </c>
      <c r="J141" s="52">
        <f>IFERROR(IF(INDEX('Faculties'!$L$42:$L$51,MATCH($F141,'Faculties'!$B$42:$B$51,0))="","Cell will autofill based on response",INDEX('Faculties'!$L$42:$L$51,MATCH($F141,'Faculties'!$B$42:$B$51,0))),"N/A")</f>
        <v/>
      </c>
      <c r="K141" s="52">
        <f>IFERROR(IF(INDEX('Faculties'!$L$58:$L$67,MATCH($F141,'Faculties'!$B$58:$B$67,0))="","Cell will autofill based on response",INDEX('Faculties'!$L$58:$L$67,MATCH($F141,'Faculties'!$B$58:$B$67,0))),"N/A")</f>
        <v/>
      </c>
      <c r="L141" s="52">
        <f>IFERROR(IF(INDEX('CI&amp;S'!$L$10:$L$15,MATCH($F141,'CI&amp;S'!$B$10:$B$15,0))="","Cell will autofill based on response",INDEX('CI&amp;S'!$L$10:$L$15,MATCH($F141,'CI&amp;S'!$B$10:$B$15,0))),"N/A")</f>
        <v/>
      </c>
      <c r="M141" s="52">
        <f>IFERROR(IF(INDEX('CI&amp;S'!$L$22:$L$36,MATCH($F141,'CI&amp;S'!$B$22:$B$36,0))="","Cell will autofill based on response",INDEX('CI&amp;S'!$L$22:$L$36,MATCH($F141,'CI&amp;S'!$B$22:$B$36,0))),"N/A")</f>
        <v/>
      </c>
      <c r="N141" s="52">
        <f>IFERROR(IF(INDEX('CFOG'!$L$10:$L$16,MATCH($F141,'CFOG'!$B$10:$B$16,0))="","Cell will autofill based on response",INDEX('CFOG'!$L$10:$L$16,MATCH($F141,'CFOG'!$B$10:$B$16,0))),"N/A")</f>
        <v/>
      </c>
      <c r="O141" s="52">
        <f>IFERROR(IF(INDEX('CFOG'!$L$23:$L$24,MATCH($F141,'CFOG'!$B$23:$B$24,0))="","Cell will autofill based on response",INDEX('CFOG'!$L$23:$L$24,MATCH($F141,'CFOG'!$B$23:$B$24,0))),"N/A")</f>
        <v/>
      </c>
      <c r="P141" s="52">
        <f>IFERROR(IF(INDEX('ESG'!$L$10:$L$17,MATCH($F141,'ESG'!$B$10:$B$17,0))="","Cell will autofill based on response",INDEX('ESG'!$L$10:$L$17,MATCH($F141,'ESG'!$B$10:$B$17,0))),"N/A")</f>
        <v/>
      </c>
      <c r="Q141" s="52">
        <f>IFERROR(IF(INDEX('CIOG'!$L$10:$L$14,MATCH($F141,'CIOG'!$B$10:$B$14,0))="","Cell will autofill based on response",INDEX('CIOG'!$L$10:$L$14,MATCH($F141,'CIOG'!$B$10:$B$14,0))),"N/A")</f>
        <v/>
      </c>
      <c r="R141" s="52">
        <f>IFERROR(IF(INDEX('MRE'!$L$10:$L$18,MATCH($F141,'MRE'!$B$10:$B$18,0))="","Cell will autofill based on response",INDEX('MRE'!$L$10:$L$18,MATCH($F141,'MRE'!$B$10:$B$18,0))),"N/A")</f>
        <v/>
      </c>
      <c r="S141" s="52">
        <f>IFERROR(IF(INDEX('AC&amp;M'!$L$10:$L$14,MATCH($F141,'AC&amp;M'!$B$10:$B$14,0))="","Cell will autofill based on response",INDEX('AC&amp;M'!$L$10:$L$14,MATCH($F141,'AC&amp;M'!$B$10:$B$14,0))),"N/A")</f>
        <v/>
      </c>
      <c r="T141" s="52">
        <f>IFERROR(IF(INDEX('GCE'!$L$10:$L$12,MATCH($F141,'GCE'!$B$10:$B$12,0))="","Cell will autofill based on response",INDEX('GCE'!$L$10:$L$12,MATCH($F141,'GCE'!$B$10:$B$12,0))),"N/A")</f>
        <v/>
      </c>
      <c r="U141" s="52">
        <f>IFERROR(IF(INDEX('Education'!$L$10:$L$13,MATCH($F141,'Education'!$B$10:$B$13,0))="","Cell will autofill based on response",INDEX('Education'!$L$10:$L$13,MATCH($F141,'Education'!$B$10:$B$13,0))),"N/A")</f>
        <v/>
      </c>
      <c r="V141" s="52">
        <f>IFERROR(IF(INDEX('SaSS'!$L$10:$L$12,MATCH($F141,'SaSS'!$B$10:$B$12,0))="","Cell will autofill based on response",INDEX('SaSS'!$L$10:$L$12,MATCH($F141,'SaSS'!$B$10:$B$12,0))),"N/A")</f>
        <v/>
      </c>
      <c r="W141" s="52">
        <f>IFERROR(IF(INDEX('Indigenous'!$L$10:$L$11,MATCH($F141,'Indigenous'!$B$10:$B$11,0))="","Cell will autofill based on response",INDEX('Indigenous'!$L$10:$L$11,MATCH($F141,'Indigenous'!$B$10:$B$11,0))),"N/A")</f>
        <v/>
      </c>
      <c r="X141" s="52">
        <f>IFERROR(IF(INDEX('L&amp;R'!$L$10:$L$11,MATCH($F141,'L&amp;R'!$B$10:$B$11,0))="","Cell will autofill based on response",INDEX('L&amp;R'!$L$10:$L$11,MATCH($F141,'L&amp;R'!$B$10:$B$11,0))),"N/A")</f>
        <v/>
      </c>
      <c r="Z141" s="10">
        <f>SUMPRODUCT(--($H141:$X141&lt;&gt;"N/A"))</f>
        <v/>
      </c>
      <c r="AA141" s="10">
        <f>SUMPRODUCT(--(((($H141:$X141&lt;&gt;"N/A")*($H141:$X141&lt;&gt;"Cell will autofill based on response"))+(($H142:$X142&lt;&gt;"N/A")*($H142:$X142&lt;&gt;"Cell will autofill based on response")))&gt;0))</f>
        <v/>
      </c>
      <c r="AB141" s="10">
        <f>Z141-AA141</f>
        <v/>
      </c>
      <c r="AC141" s="10">
        <f>COUNTIF($H145:$X145,"Yes")</f>
        <v/>
      </c>
    </row>
    <row r="142">
      <c r="A142">
        <f>F142&amp;"|"&amp;G142</f>
        <v/>
      </c>
      <c r="B142" s="13" t="inlineStr"/>
      <c r="C142" s="8" t="inlineStr"/>
      <c r="D142" s="8" t="inlineStr"/>
      <c r="E142" s="8" t="inlineStr"/>
      <c r="F142" s="8" t="inlineStr">
        <is>
          <t>AI1(b)</t>
        </is>
      </c>
      <c r="G142" s="8" t="inlineStr">
        <is>
          <t>OPTION 2:  Indicator level reporting</t>
        </is>
      </c>
      <c r="H142" s="52">
        <f>IFERROR(IF(INDEX('Faculties'!$M$10:$M$19,MATCH($F142,'Faculties'!$B$10:$B$19,0))="","Cell will autofill based on response",INDEX('Faculties'!$M$10:$M$19,MATCH($F142,'Faculties'!$B$10:$B$19,0))),"N/A")</f>
        <v/>
      </c>
      <c r="I142" s="52">
        <f>IFERROR(IF(INDEX('Faculties'!$M$26:$M$35,MATCH($F142,'Faculties'!$B$26:$B$35,0))="","Cell will autofill based on response",INDEX('Faculties'!$M$26:$M$35,MATCH($F142,'Faculties'!$B$26:$B$35,0))),"N/A")</f>
        <v/>
      </c>
      <c r="J142" s="52">
        <f>IFERROR(IF(INDEX('Faculties'!$M$42:$M$51,MATCH($F142,'Faculties'!$B$42:$B$51,0))="","Cell will autofill based on response",INDEX('Faculties'!$M$42:$M$51,MATCH($F142,'Faculties'!$B$42:$B$51,0))),"N/A")</f>
        <v/>
      </c>
      <c r="K142" s="52">
        <f>IFERROR(IF(INDEX('Faculties'!$M$58:$M$67,MATCH($F142,'Faculties'!$B$58:$B$67,0))="","Cell will autofill based on response",INDEX('Faculties'!$M$58:$M$67,MATCH($F142,'Faculties'!$B$58:$B$67,0))),"N/A")</f>
        <v/>
      </c>
      <c r="L142" s="52">
        <f>IFERROR(IF(INDEX('CI&amp;S'!$M$10:$M$15,MATCH($F142,'CI&amp;S'!$B$10:$B$15,0))="","Cell will autofill based on response",INDEX('CI&amp;S'!$M$10:$M$15,MATCH($F142,'CI&amp;S'!$B$10:$B$15,0))),"N/A")</f>
        <v/>
      </c>
      <c r="M142" s="52">
        <f>IFERROR(IF(INDEX('CI&amp;S'!$M$22:$M$36,MATCH($F142,'CI&amp;S'!$B$22:$B$36,0))="","Cell will autofill based on response",INDEX('CI&amp;S'!$M$22:$M$36,MATCH($F142,'CI&amp;S'!$B$22:$B$36,0))),"N/A")</f>
        <v/>
      </c>
      <c r="N142" s="52">
        <f>IFERROR(IF(INDEX('CFOG'!$M$10:$M$16,MATCH($F142,'CFOG'!$B$10:$B$16,0))="","Cell will autofill based on response",INDEX('CFOG'!$M$10:$M$16,MATCH($F142,'CFOG'!$B$10:$B$16,0))),"N/A")</f>
        <v/>
      </c>
      <c r="O142" s="52">
        <f>IFERROR(IF(INDEX('CFOG'!$M$23:$M$24,MATCH($F142,'CFOG'!$B$23:$B$24,0))="","Cell will autofill based on response",INDEX('CFOG'!$M$23:$M$24,MATCH($F142,'CFOG'!$B$23:$B$24,0))),"N/A")</f>
        <v/>
      </c>
      <c r="P142" s="52">
        <f>IFERROR(IF(INDEX('ESG'!$M$10:$M$17,MATCH($F142,'ESG'!$B$10:$B$17,0))="","Cell will autofill based on response",INDEX('ESG'!$M$10:$M$17,MATCH($F142,'ESG'!$B$10:$B$17,0))),"N/A")</f>
        <v/>
      </c>
      <c r="Q142" s="52">
        <f>IFERROR(IF(INDEX('CIOG'!$M$10:$M$14,MATCH($F142,'CIOG'!$B$10:$B$14,0))="","Cell will autofill based on response",INDEX('CIOG'!$M$10:$M$14,MATCH($F142,'CIOG'!$B$10:$B$14,0))),"N/A")</f>
        <v/>
      </c>
      <c r="R142" s="52">
        <f>IFERROR(IF(INDEX('MRE'!$M$10:$M$18,MATCH($F142,'MRE'!$B$10:$B$18,0))="","Cell will autofill based on response",INDEX('MRE'!$M$10:$M$18,MATCH($F142,'MRE'!$B$10:$B$18,0))),"N/A")</f>
        <v/>
      </c>
      <c r="S142" s="52">
        <f>IFERROR(IF(INDEX('AC&amp;M'!$M$10:$M$14,MATCH($F142,'AC&amp;M'!$B$10:$B$14,0))="","Cell will autofill based on response",INDEX('AC&amp;M'!$M$10:$M$14,MATCH($F142,'AC&amp;M'!$B$10:$B$14,0))),"N/A")</f>
        <v/>
      </c>
      <c r="T142" s="52">
        <f>IFERROR(IF(INDEX('GCE'!$M$10:$M$12,MATCH($F142,'GCE'!$B$10:$B$12,0))="","Cell will autofill based on response",INDEX('GCE'!$M$10:$M$12,MATCH($F142,'GCE'!$B$10:$B$12,0))),"N/A")</f>
        <v/>
      </c>
      <c r="U142" s="52">
        <f>IFERROR(IF(INDEX('Education'!$M$10:$M$13,MATCH($F142,'Education'!$B$10:$B$13,0))="","Cell will autofill based on response",INDEX('Education'!$M$10:$M$13,MATCH($F142,'Education'!$B$10:$B$13,0))),"N/A")</f>
        <v/>
      </c>
      <c r="V142" s="52">
        <f>IFERROR(IF(INDEX('SaSS'!$M$10:$M$12,MATCH($F142,'SaSS'!$B$10:$B$12,0))="","Cell will autofill based on response",INDEX('SaSS'!$M$10:$M$12,MATCH($F142,'SaSS'!$B$10:$B$12,0))),"N/A")</f>
        <v/>
      </c>
      <c r="W142" s="52">
        <f>IFERROR(IF(INDEX('Indigenous'!$M$10:$M$11,MATCH($F142,'Indigenous'!$B$10:$B$11,0))="","Cell will autofill based on response",INDEX('Indigenous'!$M$10:$M$11,MATCH($F142,'Indigenous'!$B$10:$B$11,0))),"N/A")</f>
        <v/>
      </c>
      <c r="X142" s="52">
        <f>IFERROR(IF(INDEX('L&amp;R'!$M$10:$M$11,MATCH($F142,'L&amp;R'!$B$10:$B$11,0))="","Cell will autofill based on response",INDEX('L&amp;R'!$M$10:$M$11,MATCH($F142,'L&amp;R'!$B$10:$B$11,0))),"N/A")</f>
        <v/>
      </c>
    </row>
    <row r="143">
      <c r="A143">
        <f>F143&amp;"|"&amp;G143</f>
        <v/>
      </c>
      <c r="B143" s="13" t="inlineStr"/>
      <c r="C143" s="8" t="inlineStr"/>
      <c r="D143" s="8" t="inlineStr"/>
      <c r="E143" s="8" t="inlineStr"/>
      <c r="F143" s="8" t="inlineStr">
        <is>
          <t>AI1(b)</t>
        </is>
      </c>
      <c r="G143" s="8" t="inlineStr">
        <is>
          <t>Supporting information/comments</t>
        </is>
      </c>
      <c r="H143" s="52">
        <f>IFERROR(IF(INDEX('Faculties'!$N$10:$N$19,MATCH($F143,'Faculties'!$B$10:$B$19,0))="","Cell will autofill based on response",INDEX('Faculties'!$N$10:$N$19,MATCH($F143,'Faculties'!$B$10:$B$19,0))),"N/A")</f>
        <v/>
      </c>
      <c r="I143" s="52">
        <f>IFERROR(IF(INDEX('Faculties'!$N$26:$N$35,MATCH($F143,'Faculties'!$B$26:$B$35,0))="","Cell will autofill based on response",INDEX('Faculties'!$N$26:$N$35,MATCH($F143,'Faculties'!$B$26:$B$35,0))),"N/A")</f>
        <v/>
      </c>
      <c r="J143" s="52">
        <f>IFERROR(IF(INDEX('Faculties'!$N$42:$N$51,MATCH($F143,'Faculties'!$B$42:$B$51,0))="","Cell will autofill based on response",INDEX('Faculties'!$N$42:$N$51,MATCH($F143,'Faculties'!$B$42:$B$51,0))),"N/A")</f>
        <v/>
      </c>
      <c r="K143" s="52">
        <f>IFERROR(IF(INDEX('Faculties'!$N$58:$N$67,MATCH($F143,'Faculties'!$B$58:$B$67,0))="","Cell will autofill based on response",INDEX('Faculties'!$N$58:$N$67,MATCH($F143,'Faculties'!$B$58:$B$67,0))),"N/A")</f>
        <v/>
      </c>
      <c r="L143" s="52">
        <f>IFERROR(IF(INDEX('CI&amp;S'!$N$10:$N$15,MATCH($F143,'CI&amp;S'!$B$10:$B$15,0))="","Cell will autofill based on response",INDEX('CI&amp;S'!$N$10:$N$15,MATCH($F143,'CI&amp;S'!$B$10:$B$15,0))),"N/A")</f>
        <v/>
      </c>
      <c r="M143" s="52">
        <f>IFERROR(IF(INDEX('CI&amp;S'!$N$22:$N$36,MATCH($F143,'CI&amp;S'!$B$22:$B$36,0))="","Cell will autofill based on response",INDEX('CI&amp;S'!$N$22:$N$36,MATCH($F143,'CI&amp;S'!$B$22:$B$36,0))),"N/A")</f>
        <v/>
      </c>
      <c r="N143" s="52">
        <f>IFERROR(IF(INDEX('CFOG'!$N$10:$N$16,MATCH($F143,'CFOG'!$B$10:$B$16,0))="","Cell will autofill based on response",INDEX('CFOG'!$N$10:$N$16,MATCH($F143,'CFOG'!$B$10:$B$16,0))),"N/A")</f>
        <v/>
      </c>
      <c r="O143" s="52">
        <f>IFERROR(IF(INDEX('CFOG'!$N$23:$N$24,MATCH($F143,'CFOG'!$B$23:$B$24,0))="","Cell will autofill based on response",INDEX('CFOG'!$N$23:$N$24,MATCH($F143,'CFOG'!$B$23:$B$24,0))),"N/A")</f>
        <v/>
      </c>
      <c r="P143" s="52">
        <f>IFERROR(IF(INDEX('ESG'!$N$10:$N$17,MATCH($F143,'ESG'!$B$10:$B$17,0))="","Cell will autofill based on response",INDEX('ESG'!$N$10:$N$17,MATCH($F143,'ESG'!$B$10:$B$17,0))),"N/A")</f>
        <v/>
      </c>
      <c r="Q143" s="52">
        <f>IFERROR(IF(INDEX('CIOG'!$N$10:$N$14,MATCH($F143,'CIOG'!$B$10:$B$14,0))="","Cell will autofill based on response",INDEX('CIOG'!$N$10:$N$14,MATCH($F143,'CIOG'!$B$10:$B$14,0))),"N/A")</f>
        <v/>
      </c>
      <c r="R143" s="52">
        <f>IFERROR(IF(INDEX('MRE'!$N$10:$N$18,MATCH($F143,'MRE'!$B$10:$B$18,0))="","Cell will autofill based on response",INDEX('MRE'!$N$10:$N$18,MATCH($F143,'MRE'!$B$10:$B$18,0))),"N/A")</f>
        <v/>
      </c>
      <c r="S143" s="52">
        <f>IFERROR(IF(INDEX('AC&amp;M'!$N$10:$N$14,MATCH($F143,'AC&amp;M'!$B$10:$B$14,0))="","Cell will autofill based on response",INDEX('AC&amp;M'!$N$10:$N$14,MATCH($F143,'AC&amp;M'!$B$10:$B$14,0))),"N/A")</f>
        <v/>
      </c>
      <c r="T143" s="52">
        <f>IFERROR(IF(INDEX('GCE'!$N$10:$N$12,MATCH($F143,'GCE'!$B$10:$B$12,0))="","Cell will autofill based on response",INDEX('GCE'!$N$10:$N$12,MATCH($F143,'GCE'!$B$10:$B$12,0))),"N/A")</f>
        <v/>
      </c>
      <c r="U143" s="52">
        <f>IFERROR(IF(INDEX('Education'!$N$10:$N$13,MATCH($F143,'Education'!$B$10:$B$13,0))="","Cell will autofill based on response",INDEX('Education'!$N$10:$N$13,MATCH($F143,'Education'!$B$10:$B$13,0))),"N/A")</f>
        <v/>
      </c>
      <c r="V143" s="52">
        <f>IFERROR(IF(INDEX('SaSS'!$N$10:$N$12,MATCH($F143,'SaSS'!$B$10:$B$12,0))="","Cell will autofill based on response",INDEX('SaSS'!$N$10:$N$12,MATCH($F143,'SaSS'!$B$10:$B$12,0))),"N/A")</f>
        <v/>
      </c>
      <c r="W143" s="52">
        <f>IFERROR(IF(INDEX('Indigenous'!$N$10:$N$11,MATCH($F143,'Indigenous'!$B$10:$B$11,0))="","Cell will autofill based on response",INDEX('Indigenous'!$N$10:$N$11,MATCH($F143,'Indigenous'!$B$10:$B$11,0))),"N/A")</f>
        <v/>
      </c>
      <c r="X143" s="52">
        <f>IFERROR(IF(INDEX('L&amp;R'!$N$10:$N$11,MATCH($F143,'L&amp;R'!$B$10:$B$11,0))="","Cell will autofill based on response",INDEX('L&amp;R'!$N$10:$N$11,MATCH($F143,'L&amp;R'!$B$10:$B$11,0))),"N/A")</f>
        <v/>
      </c>
    </row>
    <row r="144">
      <c r="A144">
        <f>F144&amp;"|"&amp;G144</f>
        <v/>
      </c>
      <c r="B144" s="13" t="inlineStr"/>
      <c r="C144" s="8" t="inlineStr"/>
      <c r="D144" s="8" t="inlineStr"/>
      <c r="E144" s="8" t="inlineStr"/>
      <c r="F144" s="8" t="inlineStr">
        <is>
          <t>AI1(b)</t>
        </is>
      </c>
      <c r="G144" s="8" t="inlineStr">
        <is>
          <t>Data source and limitations</t>
        </is>
      </c>
      <c r="H144" s="52">
        <f>IFERROR(IF(INDEX('Faculties'!$O$10:$O$19,MATCH($F144,'Faculties'!$B$10:$B$19,0))="","Cell will autofill based on response",INDEX('Faculties'!$O$10:$O$19,MATCH($F144,'Faculties'!$B$10:$B$19,0))),"N/A")</f>
        <v/>
      </c>
      <c r="I144" s="52">
        <f>IFERROR(IF(INDEX('Faculties'!$O$26:$O$35,MATCH($F144,'Faculties'!$B$26:$B$35,0))="","Cell will autofill based on response",INDEX('Faculties'!$O$26:$O$35,MATCH($F144,'Faculties'!$B$26:$B$35,0))),"N/A")</f>
        <v/>
      </c>
      <c r="J144" s="52">
        <f>IFERROR(IF(INDEX('Faculties'!$O$42:$O$51,MATCH($F144,'Faculties'!$B$42:$B$51,0))="","Cell will autofill based on response",INDEX('Faculties'!$O$42:$O$51,MATCH($F144,'Faculties'!$B$42:$B$51,0))),"N/A")</f>
        <v/>
      </c>
      <c r="K144" s="52">
        <f>IFERROR(IF(INDEX('Faculties'!$O$58:$O$67,MATCH($F144,'Faculties'!$B$58:$B$67,0))="","Cell will autofill based on response",INDEX('Faculties'!$O$58:$O$67,MATCH($F144,'Faculties'!$B$58:$B$67,0))),"N/A")</f>
        <v/>
      </c>
      <c r="L144" s="52">
        <f>IFERROR(IF(INDEX('CI&amp;S'!$O$10:$O$15,MATCH($F144,'CI&amp;S'!$B$10:$B$15,0))="","Cell will autofill based on response",INDEX('CI&amp;S'!$O$10:$O$15,MATCH($F144,'CI&amp;S'!$B$10:$B$15,0))),"N/A")</f>
        <v/>
      </c>
      <c r="M144" s="52">
        <f>IFERROR(IF(INDEX('CI&amp;S'!$O$22:$O$36,MATCH($F144,'CI&amp;S'!$B$22:$B$36,0))="","Cell will autofill based on response",INDEX('CI&amp;S'!$O$22:$O$36,MATCH($F144,'CI&amp;S'!$B$22:$B$36,0))),"N/A")</f>
        <v/>
      </c>
      <c r="N144" s="52">
        <f>IFERROR(IF(INDEX('CFOG'!$O$10:$O$16,MATCH($F144,'CFOG'!$B$10:$B$16,0))="","Cell will autofill based on response",INDEX('CFOG'!$O$10:$O$16,MATCH($F144,'CFOG'!$B$10:$B$16,0))),"N/A")</f>
        <v/>
      </c>
      <c r="O144" s="52">
        <f>IFERROR(IF(INDEX('CFOG'!$O$23:$O$24,MATCH($F144,'CFOG'!$B$23:$B$24,0))="","Cell will autofill based on response",INDEX('CFOG'!$O$23:$O$24,MATCH($F144,'CFOG'!$B$23:$B$24,0))),"N/A")</f>
        <v/>
      </c>
      <c r="P144" s="52">
        <f>IFERROR(IF(INDEX('ESG'!$O$10:$O$17,MATCH($F144,'ESG'!$B$10:$B$17,0))="","Cell will autofill based on response",INDEX('ESG'!$O$10:$O$17,MATCH($F144,'ESG'!$B$10:$B$17,0))),"N/A")</f>
        <v/>
      </c>
      <c r="Q144" s="52">
        <f>IFERROR(IF(INDEX('CIOG'!$O$10:$O$14,MATCH($F144,'CIOG'!$B$10:$B$14,0))="","Cell will autofill based on response",INDEX('CIOG'!$O$10:$O$14,MATCH($F144,'CIOG'!$B$10:$B$14,0))),"N/A")</f>
        <v/>
      </c>
      <c r="R144" s="52">
        <f>IFERROR(IF(INDEX('MRE'!$O$10:$O$18,MATCH($F144,'MRE'!$B$10:$B$18,0))="","Cell will autofill based on response",INDEX('MRE'!$O$10:$O$18,MATCH($F144,'MRE'!$B$10:$B$18,0))),"N/A")</f>
        <v/>
      </c>
      <c r="S144" s="52">
        <f>IFERROR(IF(INDEX('AC&amp;M'!$O$10:$O$14,MATCH($F144,'AC&amp;M'!$B$10:$B$14,0))="","Cell will autofill based on response",INDEX('AC&amp;M'!$O$10:$O$14,MATCH($F144,'AC&amp;M'!$B$10:$B$14,0))),"N/A")</f>
        <v/>
      </c>
      <c r="T144" s="52">
        <f>IFERROR(IF(INDEX('GCE'!$O$10:$O$12,MATCH($F144,'GCE'!$B$10:$B$12,0))="","Cell will autofill based on response",INDEX('GCE'!$O$10:$O$12,MATCH($F144,'GCE'!$B$10:$B$12,0))),"N/A")</f>
        <v/>
      </c>
      <c r="U144" s="52">
        <f>IFERROR(IF(INDEX('Education'!$O$10:$O$13,MATCH($F144,'Education'!$B$10:$B$13,0))="","Cell will autofill based on response",INDEX('Education'!$O$10:$O$13,MATCH($F144,'Education'!$B$10:$B$13,0))),"N/A")</f>
        <v/>
      </c>
      <c r="V144" s="52">
        <f>IFERROR(IF(INDEX('SaSS'!$O$10:$O$12,MATCH($F144,'SaSS'!$B$10:$B$12,0))="","Cell will autofill based on response",INDEX('SaSS'!$O$10:$O$12,MATCH($F144,'SaSS'!$B$10:$B$12,0))),"N/A")</f>
        <v/>
      </c>
      <c r="W144" s="52">
        <f>IFERROR(IF(INDEX('Indigenous'!$O$10:$O$11,MATCH($F144,'Indigenous'!$B$10:$B$11,0))="","Cell will autofill based on response",INDEX('Indigenous'!$O$10:$O$11,MATCH($F144,'Indigenous'!$B$10:$B$11,0))),"N/A")</f>
        <v/>
      </c>
      <c r="X144" s="52">
        <f>IFERROR(IF(INDEX('L&amp;R'!$O$10:$O$11,MATCH($F144,'L&amp;R'!$B$10:$B$11,0))="","Cell will autofill based on response",INDEX('L&amp;R'!$O$10:$O$11,MATCH($F144,'L&amp;R'!$B$10:$B$11,0))),"N/A")</f>
        <v/>
      </c>
    </row>
    <row r="145">
      <c r="A145">
        <f>F145&amp;"|"&amp;G145</f>
        <v/>
      </c>
      <c r="B145" s="13" t="inlineStr"/>
      <c r="C145" s="8" t="inlineStr"/>
      <c r="D145" s="8" t="inlineStr"/>
      <c r="E145" s="8" t="inlineStr"/>
      <c r="F145" s="8" t="inlineStr">
        <is>
          <t>AI1(b)</t>
        </is>
      </c>
      <c r="G145" s="8" t="inlineStr">
        <is>
          <t>Data owner confirms</t>
        </is>
      </c>
      <c r="H145" s="52">
        <f>IFERROR(IF(INDEX('Faculties'!$P$10:$P$19,MATCH($F145,'Faculties'!$B$10:$B$19,0))="","Cell will autofill based on response",INDEX('Faculties'!$P$10:$P$19,MATCH($F145,'Faculties'!$B$10:$B$19,0))),"N/A")</f>
        <v/>
      </c>
      <c r="I145" s="52">
        <f>IFERROR(IF(INDEX('Faculties'!$P$26:$P$35,MATCH($F145,'Faculties'!$B$26:$B$35,0))="","Cell will autofill based on response",INDEX('Faculties'!$P$26:$P$35,MATCH($F145,'Faculties'!$B$26:$B$35,0))),"N/A")</f>
        <v/>
      </c>
      <c r="J145" s="52">
        <f>IFERROR(IF(INDEX('Faculties'!$P$42:$P$51,MATCH($F145,'Faculties'!$B$42:$B$51,0))="","Cell will autofill based on response",INDEX('Faculties'!$P$42:$P$51,MATCH($F145,'Faculties'!$B$42:$B$51,0))),"N/A")</f>
        <v/>
      </c>
      <c r="K145" s="52">
        <f>IFERROR(IF(INDEX('Faculties'!$P$58:$P$67,MATCH($F145,'Faculties'!$B$58:$B$67,0))="","Cell will autofill based on response",INDEX('Faculties'!$P$58:$P$67,MATCH($F145,'Faculties'!$B$58:$B$67,0))),"N/A")</f>
        <v/>
      </c>
      <c r="L145" s="52">
        <f>IFERROR(IF(INDEX('CI&amp;S'!$P$10:$P$15,MATCH($F145,'CI&amp;S'!$B$10:$B$15,0))="","Cell will autofill based on response",INDEX('CI&amp;S'!$P$10:$P$15,MATCH($F145,'CI&amp;S'!$B$10:$B$15,0))),"N/A")</f>
        <v/>
      </c>
      <c r="M145" s="52">
        <f>IFERROR(IF(INDEX('CI&amp;S'!$P$22:$P$36,MATCH($F145,'CI&amp;S'!$B$22:$B$36,0))="","Cell will autofill based on response",INDEX('CI&amp;S'!$P$22:$P$36,MATCH($F145,'CI&amp;S'!$B$22:$B$36,0))),"N/A")</f>
        <v/>
      </c>
      <c r="N145" s="52">
        <f>IFERROR(IF(INDEX('CFOG'!$P$10:$P$16,MATCH($F145,'CFOG'!$B$10:$B$16,0))="","Cell will autofill based on response",INDEX('CFOG'!$P$10:$P$16,MATCH($F145,'CFOG'!$B$10:$B$16,0))),"N/A")</f>
        <v/>
      </c>
      <c r="O145" s="52">
        <f>IFERROR(IF(INDEX('CFOG'!$P$23:$P$24,MATCH($F145,'CFOG'!$B$23:$B$24,0))="","Cell will autofill based on response",INDEX('CFOG'!$P$23:$P$24,MATCH($F145,'CFOG'!$B$23:$B$24,0))),"N/A")</f>
        <v/>
      </c>
      <c r="P145" s="52">
        <f>IFERROR(IF(INDEX('ESG'!$P$10:$P$17,MATCH($F145,'ESG'!$B$10:$B$17,0))="","Cell will autofill based on response",INDEX('ESG'!$P$10:$P$17,MATCH($F145,'ESG'!$B$10:$B$17,0))),"N/A")</f>
        <v/>
      </c>
      <c r="Q145" s="52">
        <f>IFERROR(IF(INDEX('CIOG'!$P$10:$P$14,MATCH($F145,'CIOG'!$B$10:$B$14,0))="","Cell will autofill based on response",INDEX('CIOG'!$P$10:$P$14,MATCH($F145,'CIOG'!$B$10:$B$14,0))),"N/A")</f>
        <v/>
      </c>
      <c r="R145" s="52">
        <f>IFERROR(IF(INDEX('MRE'!$P$10:$P$18,MATCH($F145,'MRE'!$B$10:$B$18,0))="","Cell will autofill based on response",INDEX('MRE'!$P$10:$P$18,MATCH($F145,'MRE'!$B$10:$B$18,0))),"N/A")</f>
        <v/>
      </c>
      <c r="S145" s="52">
        <f>IFERROR(IF(INDEX('AC&amp;M'!$P$10:$P$14,MATCH($F145,'AC&amp;M'!$B$10:$B$14,0))="","Cell will autofill based on response",INDEX('AC&amp;M'!$P$10:$P$14,MATCH($F145,'AC&amp;M'!$B$10:$B$14,0))),"N/A")</f>
        <v/>
      </c>
      <c r="T145" s="52">
        <f>IFERROR(IF(INDEX('GCE'!$P$10:$P$12,MATCH($F145,'GCE'!$B$10:$B$12,0))="","Cell will autofill based on response",INDEX('GCE'!$P$10:$P$12,MATCH($F145,'GCE'!$B$10:$B$12,0))),"N/A")</f>
        <v/>
      </c>
      <c r="U145" s="52">
        <f>IFERROR(IF(INDEX('Education'!$P$10:$P$13,MATCH($F145,'Education'!$B$10:$B$13,0))="","Cell will autofill based on response",INDEX('Education'!$P$10:$P$13,MATCH($F145,'Education'!$B$10:$B$13,0))),"N/A")</f>
        <v/>
      </c>
      <c r="V145" s="52">
        <f>IFERROR(IF(INDEX('SaSS'!$P$10:$P$12,MATCH($F145,'SaSS'!$B$10:$B$12,0))="","Cell will autofill based on response",INDEX('SaSS'!$P$10:$P$12,MATCH($F145,'SaSS'!$B$10:$B$12,0))),"N/A")</f>
        <v/>
      </c>
      <c r="W145" s="52">
        <f>IFERROR(IF(INDEX('Indigenous'!$P$10:$P$11,MATCH($F145,'Indigenous'!$B$10:$B$11,0))="","Cell will autofill based on response",INDEX('Indigenous'!$P$10:$P$11,MATCH($F145,'Indigenous'!$B$10:$B$11,0))),"N/A")</f>
        <v/>
      </c>
      <c r="X145" s="52">
        <f>IFERROR(IF(INDEX('L&amp;R'!$P$10:$P$11,MATCH($F145,'L&amp;R'!$B$10:$B$11,0))="","Cell will autofill based on response",INDEX('L&amp;R'!$P$10:$P$11,MATCH($F145,'L&amp;R'!$B$10:$B$11,0))),"N/A")</f>
        <v/>
      </c>
    </row>
    <row r="146">
      <c r="A146">
        <f>F146&amp;"|"&amp;G146</f>
        <v/>
      </c>
      <c r="B146" s="7" t="inlineStr">
        <is>
          <t>EI1(a)</t>
        </is>
      </c>
      <c r="C146" s="50" t="inlineStr">
        <is>
          <t>Estate and infrastructure</t>
        </is>
      </c>
      <c r="D146" s="50" t="inlineStr">
        <is>
          <t>Evidence of increased maturity of estate and infrastructure planning, development and operations to support the other priority areas in Sustainability 2030</t>
        </is>
      </c>
      <c r="E146" s="50"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46" s="50" t="inlineStr">
        <is>
          <t>EI1(a)</t>
        </is>
      </c>
      <c r="G146" s="50" t="inlineStr">
        <is>
          <t>OPTION 1:  Target-level reporting</t>
        </is>
      </c>
      <c r="H146" s="52">
        <f>IFERROR(IF(INDEX('Faculties'!$L$10:$L$19,MATCH($F146,'Faculties'!$B$10:$B$19,0))="","Cell will autofill based on response",INDEX('Faculties'!$L$10:$L$19,MATCH($F146,'Faculties'!$B$10:$B$19,0))),"N/A")</f>
        <v/>
      </c>
      <c r="I146" s="52">
        <f>IFERROR(IF(INDEX('Faculties'!$L$26:$L$35,MATCH($F146,'Faculties'!$B$26:$B$35,0))="","Cell will autofill based on response",INDEX('Faculties'!$L$26:$L$35,MATCH($F146,'Faculties'!$B$26:$B$35,0))),"N/A")</f>
        <v/>
      </c>
      <c r="J146" s="52">
        <f>IFERROR(IF(INDEX('Faculties'!$L$42:$L$51,MATCH($F146,'Faculties'!$B$42:$B$51,0))="","Cell will autofill based on response",INDEX('Faculties'!$L$42:$L$51,MATCH($F146,'Faculties'!$B$42:$B$51,0))),"N/A")</f>
        <v/>
      </c>
      <c r="K146" s="52">
        <f>IFERROR(IF(INDEX('Faculties'!$L$58:$L$67,MATCH($F146,'Faculties'!$B$58:$B$67,0))="","Cell will autofill based on response",INDEX('Faculties'!$L$58:$L$67,MATCH($F146,'Faculties'!$B$58:$B$67,0))),"N/A")</f>
        <v/>
      </c>
      <c r="L146" s="52">
        <f>IFERROR(IF(INDEX('CI&amp;S'!$L$10:$L$15,MATCH($F146,'CI&amp;S'!$B$10:$B$15,0))="","Cell will autofill based on response",INDEX('CI&amp;S'!$L$10:$L$15,MATCH($F146,'CI&amp;S'!$B$10:$B$15,0))),"N/A")</f>
        <v/>
      </c>
      <c r="M146" s="52">
        <f>IFERROR(IF(INDEX('CI&amp;S'!$L$22:$L$36,MATCH($F146,'CI&amp;S'!$B$22:$B$36,0))="","Cell will autofill based on response",INDEX('CI&amp;S'!$L$22:$L$36,MATCH($F146,'CI&amp;S'!$B$22:$B$36,0))),"N/A")</f>
        <v/>
      </c>
      <c r="N146" s="52">
        <f>IFERROR(IF(INDEX('CFOG'!$L$10:$L$16,MATCH($F146,'CFOG'!$B$10:$B$16,0))="","Cell will autofill based on response",INDEX('CFOG'!$L$10:$L$16,MATCH($F146,'CFOG'!$B$10:$B$16,0))),"N/A")</f>
        <v/>
      </c>
      <c r="O146" s="52">
        <f>IFERROR(IF(INDEX('CFOG'!$L$23:$L$24,MATCH($F146,'CFOG'!$B$23:$B$24,0))="","Cell will autofill based on response",INDEX('CFOG'!$L$23:$L$24,MATCH($F146,'CFOG'!$B$23:$B$24,0))),"N/A")</f>
        <v/>
      </c>
      <c r="P146" s="52">
        <f>IFERROR(IF(INDEX('ESG'!$L$10:$L$17,MATCH($F146,'ESG'!$B$10:$B$17,0))="","Cell will autofill based on response",INDEX('ESG'!$L$10:$L$17,MATCH($F146,'ESG'!$B$10:$B$17,0))),"N/A")</f>
        <v/>
      </c>
      <c r="Q146" s="52">
        <f>IFERROR(IF(INDEX('CIOG'!$L$10:$L$14,MATCH($F146,'CIOG'!$B$10:$B$14,0))="","Cell will autofill based on response",INDEX('CIOG'!$L$10:$L$14,MATCH($F146,'CIOG'!$B$10:$B$14,0))),"N/A")</f>
        <v/>
      </c>
      <c r="R146" s="52">
        <f>IFERROR(IF(INDEX('MRE'!$L$10:$L$18,MATCH($F146,'MRE'!$B$10:$B$18,0))="","Cell will autofill based on response",INDEX('MRE'!$L$10:$L$18,MATCH($F146,'MRE'!$B$10:$B$18,0))),"N/A")</f>
        <v/>
      </c>
      <c r="S146" s="52">
        <f>IFERROR(IF(INDEX('AC&amp;M'!$L$10:$L$14,MATCH($F146,'AC&amp;M'!$B$10:$B$14,0))="","Cell will autofill based on response",INDEX('AC&amp;M'!$L$10:$L$14,MATCH($F146,'AC&amp;M'!$B$10:$B$14,0))),"N/A")</f>
        <v/>
      </c>
      <c r="T146" s="52">
        <f>IFERROR(IF(INDEX('GCE'!$L$10:$L$12,MATCH($F146,'GCE'!$B$10:$B$12,0))="","Cell will autofill based on response",INDEX('GCE'!$L$10:$L$12,MATCH($F146,'GCE'!$B$10:$B$12,0))),"N/A")</f>
        <v/>
      </c>
      <c r="U146" s="52">
        <f>IFERROR(IF(INDEX('Education'!$L$10:$L$13,MATCH($F146,'Education'!$B$10:$B$13,0))="","Cell will autofill based on response",INDEX('Education'!$L$10:$L$13,MATCH($F146,'Education'!$B$10:$B$13,0))),"N/A")</f>
        <v/>
      </c>
      <c r="V146" s="52">
        <f>IFERROR(IF(INDEX('SaSS'!$L$10:$L$12,MATCH($F146,'SaSS'!$B$10:$B$12,0))="","Cell will autofill based on response",INDEX('SaSS'!$L$10:$L$12,MATCH($F146,'SaSS'!$B$10:$B$12,0))),"N/A")</f>
        <v/>
      </c>
      <c r="W146" s="52">
        <f>IFERROR(IF(INDEX('Indigenous'!$L$10:$L$11,MATCH($F146,'Indigenous'!$B$10:$B$11,0))="","Cell will autofill based on response",INDEX('Indigenous'!$L$10:$L$11,MATCH($F146,'Indigenous'!$B$10:$B$11,0))),"N/A")</f>
        <v/>
      </c>
      <c r="X146" s="52">
        <f>IFERROR(IF(INDEX('L&amp;R'!$L$10:$L$11,MATCH($F146,'L&amp;R'!$B$10:$B$11,0))="","Cell will autofill based on response",INDEX('L&amp;R'!$L$10:$L$11,MATCH($F146,'L&amp;R'!$B$10:$B$11,0))),"N/A")</f>
        <v/>
      </c>
      <c r="Z146" s="10">
        <f>SUMPRODUCT(--($H146:$X146&lt;&gt;"N/A"))</f>
        <v/>
      </c>
      <c r="AA146" s="10">
        <f>SUMPRODUCT(--(((($H146:$X146&lt;&gt;"N/A")*($H146:$X146&lt;&gt;"Cell will autofill based on response"))+(($H147:$X147&lt;&gt;"N/A")*($H147:$X147&lt;&gt;"Cell will autofill based on response")))&gt;0))</f>
        <v/>
      </c>
      <c r="AB146" s="10">
        <f>Z146-AA146</f>
        <v/>
      </c>
      <c r="AC146" s="10">
        <f>COUNTIF($H150:$X150,"Yes")</f>
        <v/>
      </c>
    </row>
    <row r="147">
      <c r="A147">
        <f>F147&amp;"|"&amp;G147</f>
        <v/>
      </c>
      <c r="B147" s="13" t="inlineStr"/>
      <c r="C147" s="8" t="inlineStr"/>
      <c r="D147" s="8" t="inlineStr"/>
      <c r="E147" s="8" t="inlineStr"/>
      <c r="F147" s="8" t="inlineStr">
        <is>
          <t>EI1(a)</t>
        </is>
      </c>
      <c r="G147" s="8" t="inlineStr">
        <is>
          <t>OPTION 2:  Indicator level reporting</t>
        </is>
      </c>
      <c r="H147" s="52">
        <f>IFERROR(IF(INDEX('Faculties'!$M$10:$M$19,MATCH($F147,'Faculties'!$B$10:$B$19,0))="","Cell will autofill based on response",INDEX('Faculties'!$M$10:$M$19,MATCH($F147,'Faculties'!$B$10:$B$19,0))),"N/A")</f>
        <v/>
      </c>
      <c r="I147" s="52">
        <f>IFERROR(IF(INDEX('Faculties'!$M$26:$M$35,MATCH($F147,'Faculties'!$B$26:$B$35,0))="","Cell will autofill based on response",INDEX('Faculties'!$M$26:$M$35,MATCH($F147,'Faculties'!$B$26:$B$35,0))),"N/A")</f>
        <v/>
      </c>
      <c r="J147" s="52">
        <f>IFERROR(IF(INDEX('Faculties'!$M$42:$M$51,MATCH($F147,'Faculties'!$B$42:$B$51,0))="","Cell will autofill based on response",INDEX('Faculties'!$M$42:$M$51,MATCH($F147,'Faculties'!$B$42:$B$51,0))),"N/A")</f>
        <v/>
      </c>
      <c r="K147" s="52">
        <f>IFERROR(IF(INDEX('Faculties'!$M$58:$M$67,MATCH($F147,'Faculties'!$B$58:$B$67,0))="","Cell will autofill based on response",INDEX('Faculties'!$M$58:$M$67,MATCH($F147,'Faculties'!$B$58:$B$67,0))),"N/A")</f>
        <v/>
      </c>
      <c r="L147" s="52">
        <f>IFERROR(IF(INDEX('CI&amp;S'!$M$10:$M$15,MATCH($F147,'CI&amp;S'!$B$10:$B$15,0))="","Cell will autofill based on response",INDEX('CI&amp;S'!$M$10:$M$15,MATCH($F147,'CI&amp;S'!$B$10:$B$15,0))),"N/A")</f>
        <v/>
      </c>
      <c r="M147" s="52">
        <f>IFERROR(IF(INDEX('CI&amp;S'!$M$22:$M$36,MATCH($F147,'CI&amp;S'!$B$22:$B$36,0))="","Cell will autofill based on response",INDEX('CI&amp;S'!$M$22:$M$36,MATCH($F147,'CI&amp;S'!$B$22:$B$36,0))),"N/A")</f>
        <v/>
      </c>
      <c r="N147" s="52">
        <f>IFERROR(IF(INDEX('CFOG'!$M$10:$M$16,MATCH($F147,'CFOG'!$B$10:$B$16,0))="","Cell will autofill based on response",INDEX('CFOG'!$M$10:$M$16,MATCH($F147,'CFOG'!$B$10:$B$16,0))),"N/A")</f>
        <v/>
      </c>
      <c r="O147" s="52">
        <f>IFERROR(IF(INDEX('CFOG'!$M$23:$M$24,MATCH($F147,'CFOG'!$B$23:$B$24,0))="","Cell will autofill based on response",INDEX('CFOG'!$M$23:$M$24,MATCH($F147,'CFOG'!$B$23:$B$24,0))),"N/A")</f>
        <v/>
      </c>
      <c r="P147" s="52">
        <f>IFERROR(IF(INDEX('ESG'!$M$10:$M$17,MATCH($F147,'ESG'!$B$10:$B$17,0))="","Cell will autofill based on response",INDEX('ESG'!$M$10:$M$17,MATCH($F147,'ESG'!$B$10:$B$17,0))),"N/A")</f>
        <v/>
      </c>
      <c r="Q147" s="52">
        <f>IFERROR(IF(INDEX('CIOG'!$M$10:$M$14,MATCH($F147,'CIOG'!$B$10:$B$14,0))="","Cell will autofill based on response",INDEX('CIOG'!$M$10:$M$14,MATCH($F147,'CIOG'!$B$10:$B$14,0))),"N/A")</f>
        <v/>
      </c>
      <c r="R147" s="52">
        <f>IFERROR(IF(INDEX('MRE'!$M$10:$M$18,MATCH($F147,'MRE'!$B$10:$B$18,0))="","Cell will autofill based on response",INDEX('MRE'!$M$10:$M$18,MATCH($F147,'MRE'!$B$10:$B$18,0))),"N/A")</f>
        <v/>
      </c>
      <c r="S147" s="52">
        <f>IFERROR(IF(INDEX('AC&amp;M'!$M$10:$M$14,MATCH($F147,'AC&amp;M'!$B$10:$B$14,0))="","Cell will autofill based on response",INDEX('AC&amp;M'!$M$10:$M$14,MATCH($F147,'AC&amp;M'!$B$10:$B$14,0))),"N/A")</f>
        <v/>
      </c>
      <c r="T147" s="52">
        <f>IFERROR(IF(INDEX('GCE'!$M$10:$M$12,MATCH($F147,'GCE'!$B$10:$B$12,0))="","Cell will autofill based on response",INDEX('GCE'!$M$10:$M$12,MATCH($F147,'GCE'!$B$10:$B$12,0))),"N/A")</f>
        <v/>
      </c>
      <c r="U147" s="52">
        <f>IFERROR(IF(INDEX('Education'!$M$10:$M$13,MATCH($F147,'Education'!$B$10:$B$13,0))="","Cell will autofill based on response",INDEX('Education'!$M$10:$M$13,MATCH($F147,'Education'!$B$10:$B$13,0))),"N/A")</f>
        <v/>
      </c>
      <c r="V147" s="52">
        <f>IFERROR(IF(INDEX('SaSS'!$M$10:$M$12,MATCH($F147,'SaSS'!$B$10:$B$12,0))="","Cell will autofill based on response",INDEX('SaSS'!$M$10:$M$12,MATCH($F147,'SaSS'!$B$10:$B$12,0))),"N/A")</f>
        <v/>
      </c>
      <c r="W147" s="52">
        <f>IFERROR(IF(INDEX('Indigenous'!$M$10:$M$11,MATCH($F147,'Indigenous'!$B$10:$B$11,0))="","Cell will autofill based on response",INDEX('Indigenous'!$M$10:$M$11,MATCH($F147,'Indigenous'!$B$10:$B$11,0))),"N/A")</f>
        <v/>
      </c>
      <c r="X147" s="52">
        <f>IFERROR(IF(INDEX('L&amp;R'!$M$10:$M$11,MATCH($F147,'L&amp;R'!$B$10:$B$11,0))="","Cell will autofill based on response",INDEX('L&amp;R'!$M$10:$M$11,MATCH($F147,'L&amp;R'!$B$10:$B$11,0))),"N/A")</f>
        <v/>
      </c>
    </row>
    <row r="148">
      <c r="A148">
        <f>F148&amp;"|"&amp;G148</f>
        <v/>
      </c>
      <c r="B148" s="13" t="inlineStr"/>
      <c r="C148" s="8" t="inlineStr"/>
      <c r="D148" s="8" t="inlineStr"/>
      <c r="E148" s="8" t="inlineStr"/>
      <c r="F148" s="8" t="inlineStr">
        <is>
          <t>EI1(a)</t>
        </is>
      </c>
      <c r="G148" s="8" t="inlineStr">
        <is>
          <t>Supporting information/comments</t>
        </is>
      </c>
      <c r="H148" s="52">
        <f>IFERROR(IF(INDEX('Faculties'!$N$10:$N$19,MATCH($F148,'Faculties'!$B$10:$B$19,0))="","Cell will autofill based on response",INDEX('Faculties'!$N$10:$N$19,MATCH($F148,'Faculties'!$B$10:$B$19,0))),"N/A")</f>
        <v/>
      </c>
      <c r="I148" s="52">
        <f>IFERROR(IF(INDEX('Faculties'!$N$26:$N$35,MATCH($F148,'Faculties'!$B$26:$B$35,0))="","Cell will autofill based on response",INDEX('Faculties'!$N$26:$N$35,MATCH($F148,'Faculties'!$B$26:$B$35,0))),"N/A")</f>
        <v/>
      </c>
      <c r="J148" s="52">
        <f>IFERROR(IF(INDEX('Faculties'!$N$42:$N$51,MATCH($F148,'Faculties'!$B$42:$B$51,0))="","Cell will autofill based on response",INDEX('Faculties'!$N$42:$N$51,MATCH($F148,'Faculties'!$B$42:$B$51,0))),"N/A")</f>
        <v/>
      </c>
      <c r="K148" s="52">
        <f>IFERROR(IF(INDEX('Faculties'!$N$58:$N$67,MATCH($F148,'Faculties'!$B$58:$B$67,0))="","Cell will autofill based on response",INDEX('Faculties'!$N$58:$N$67,MATCH($F148,'Faculties'!$B$58:$B$67,0))),"N/A")</f>
        <v/>
      </c>
      <c r="L148" s="52">
        <f>IFERROR(IF(INDEX('CI&amp;S'!$N$10:$N$15,MATCH($F148,'CI&amp;S'!$B$10:$B$15,0))="","Cell will autofill based on response",INDEX('CI&amp;S'!$N$10:$N$15,MATCH($F148,'CI&amp;S'!$B$10:$B$15,0))),"N/A")</f>
        <v/>
      </c>
      <c r="M148" s="52">
        <f>IFERROR(IF(INDEX('CI&amp;S'!$N$22:$N$36,MATCH($F148,'CI&amp;S'!$B$22:$B$36,0))="","Cell will autofill based on response",INDEX('CI&amp;S'!$N$22:$N$36,MATCH($F148,'CI&amp;S'!$B$22:$B$36,0))),"N/A")</f>
        <v/>
      </c>
      <c r="N148" s="52">
        <f>IFERROR(IF(INDEX('CFOG'!$N$10:$N$16,MATCH($F148,'CFOG'!$B$10:$B$16,0))="","Cell will autofill based on response",INDEX('CFOG'!$N$10:$N$16,MATCH($F148,'CFOG'!$B$10:$B$16,0))),"N/A")</f>
        <v/>
      </c>
      <c r="O148" s="52">
        <f>IFERROR(IF(INDEX('CFOG'!$N$23:$N$24,MATCH($F148,'CFOG'!$B$23:$B$24,0))="","Cell will autofill based on response",INDEX('CFOG'!$N$23:$N$24,MATCH($F148,'CFOG'!$B$23:$B$24,0))),"N/A")</f>
        <v/>
      </c>
      <c r="P148" s="52">
        <f>IFERROR(IF(INDEX('ESG'!$N$10:$N$17,MATCH($F148,'ESG'!$B$10:$B$17,0))="","Cell will autofill based on response",INDEX('ESG'!$N$10:$N$17,MATCH($F148,'ESG'!$B$10:$B$17,0))),"N/A")</f>
        <v/>
      </c>
      <c r="Q148" s="52">
        <f>IFERROR(IF(INDEX('CIOG'!$N$10:$N$14,MATCH($F148,'CIOG'!$B$10:$B$14,0))="","Cell will autofill based on response",INDEX('CIOG'!$N$10:$N$14,MATCH($F148,'CIOG'!$B$10:$B$14,0))),"N/A")</f>
        <v/>
      </c>
      <c r="R148" s="52">
        <f>IFERROR(IF(INDEX('MRE'!$N$10:$N$18,MATCH($F148,'MRE'!$B$10:$B$18,0))="","Cell will autofill based on response",INDEX('MRE'!$N$10:$N$18,MATCH($F148,'MRE'!$B$10:$B$18,0))),"N/A")</f>
        <v/>
      </c>
      <c r="S148" s="52">
        <f>IFERROR(IF(INDEX('AC&amp;M'!$N$10:$N$14,MATCH($F148,'AC&amp;M'!$B$10:$B$14,0))="","Cell will autofill based on response",INDEX('AC&amp;M'!$N$10:$N$14,MATCH($F148,'AC&amp;M'!$B$10:$B$14,0))),"N/A")</f>
        <v/>
      </c>
      <c r="T148" s="52">
        <f>IFERROR(IF(INDEX('GCE'!$N$10:$N$12,MATCH($F148,'GCE'!$B$10:$B$12,0))="","Cell will autofill based on response",INDEX('GCE'!$N$10:$N$12,MATCH($F148,'GCE'!$B$10:$B$12,0))),"N/A")</f>
        <v/>
      </c>
      <c r="U148" s="52">
        <f>IFERROR(IF(INDEX('Education'!$N$10:$N$13,MATCH($F148,'Education'!$B$10:$B$13,0))="","Cell will autofill based on response",INDEX('Education'!$N$10:$N$13,MATCH($F148,'Education'!$B$10:$B$13,0))),"N/A")</f>
        <v/>
      </c>
      <c r="V148" s="52">
        <f>IFERROR(IF(INDEX('SaSS'!$N$10:$N$12,MATCH($F148,'SaSS'!$B$10:$B$12,0))="","Cell will autofill based on response",INDEX('SaSS'!$N$10:$N$12,MATCH($F148,'SaSS'!$B$10:$B$12,0))),"N/A")</f>
        <v/>
      </c>
      <c r="W148" s="52">
        <f>IFERROR(IF(INDEX('Indigenous'!$N$10:$N$11,MATCH($F148,'Indigenous'!$B$10:$B$11,0))="","Cell will autofill based on response",INDEX('Indigenous'!$N$10:$N$11,MATCH($F148,'Indigenous'!$B$10:$B$11,0))),"N/A")</f>
        <v/>
      </c>
      <c r="X148" s="52">
        <f>IFERROR(IF(INDEX('L&amp;R'!$N$10:$N$11,MATCH($F148,'L&amp;R'!$B$10:$B$11,0))="","Cell will autofill based on response",INDEX('L&amp;R'!$N$10:$N$11,MATCH($F148,'L&amp;R'!$B$10:$B$11,0))),"N/A")</f>
        <v/>
      </c>
    </row>
    <row r="149">
      <c r="A149">
        <f>F149&amp;"|"&amp;G149</f>
        <v/>
      </c>
      <c r="B149" s="13" t="inlineStr"/>
      <c r="C149" s="8" t="inlineStr"/>
      <c r="D149" s="8" t="inlineStr"/>
      <c r="E149" s="8" t="inlineStr"/>
      <c r="F149" s="8" t="inlineStr">
        <is>
          <t>EI1(a)</t>
        </is>
      </c>
      <c r="G149" s="8" t="inlineStr">
        <is>
          <t>Data source and limitations</t>
        </is>
      </c>
      <c r="H149" s="52">
        <f>IFERROR(IF(INDEX('Faculties'!$O$10:$O$19,MATCH($F149,'Faculties'!$B$10:$B$19,0))="","Cell will autofill based on response",INDEX('Faculties'!$O$10:$O$19,MATCH($F149,'Faculties'!$B$10:$B$19,0))),"N/A")</f>
        <v/>
      </c>
      <c r="I149" s="52">
        <f>IFERROR(IF(INDEX('Faculties'!$O$26:$O$35,MATCH($F149,'Faculties'!$B$26:$B$35,0))="","Cell will autofill based on response",INDEX('Faculties'!$O$26:$O$35,MATCH($F149,'Faculties'!$B$26:$B$35,0))),"N/A")</f>
        <v/>
      </c>
      <c r="J149" s="52">
        <f>IFERROR(IF(INDEX('Faculties'!$O$42:$O$51,MATCH($F149,'Faculties'!$B$42:$B$51,0))="","Cell will autofill based on response",INDEX('Faculties'!$O$42:$O$51,MATCH($F149,'Faculties'!$B$42:$B$51,0))),"N/A")</f>
        <v/>
      </c>
      <c r="K149" s="52">
        <f>IFERROR(IF(INDEX('Faculties'!$O$58:$O$67,MATCH($F149,'Faculties'!$B$58:$B$67,0))="","Cell will autofill based on response",INDEX('Faculties'!$O$58:$O$67,MATCH($F149,'Faculties'!$B$58:$B$67,0))),"N/A")</f>
        <v/>
      </c>
      <c r="L149" s="52">
        <f>IFERROR(IF(INDEX('CI&amp;S'!$O$10:$O$15,MATCH($F149,'CI&amp;S'!$B$10:$B$15,0))="","Cell will autofill based on response",INDEX('CI&amp;S'!$O$10:$O$15,MATCH($F149,'CI&amp;S'!$B$10:$B$15,0))),"N/A")</f>
        <v/>
      </c>
      <c r="M149" s="52">
        <f>IFERROR(IF(INDEX('CI&amp;S'!$O$22:$O$36,MATCH($F149,'CI&amp;S'!$B$22:$B$36,0))="","Cell will autofill based on response",INDEX('CI&amp;S'!$O$22:$O$36,MATCH($F149,'CI&amp;S'!$B$22:$B$36,0))),"N/A")</f>
        <v/>
      </c>
      <c r="N149" s="52">
        <f>IFERROR(IF(INDEX('CFOG'!$O$10:$O$16,MATCH($F149,'CFOG'!$B$10:$B$16,0))="","Cell will autofill based on response",INDEX('CFOG'!$O$10:$O$16,MATCH($F149,'CFOG'!$B$10:$B$16,0))),"N/A")</f>
        <v/>
      </c>
      <c r="O149" s="52">
        <f>IFERROR(IF(INDEX('CFOG'!$O$23:$O$24,MATCH($F149,'CFOG'!$B$23:$B$24,0))="","Cell will autofill based on response",INDEX('CFOG'!$O$23:$O$24,MATCH($F149,'CFOG'!$B$23:$B$24,0))),"N/A")</f>
        <v/>
      </c>
      <c r="P149" s="52">
        <f>IFERROR(IF(INDEX('ESG'!$O$10:$O$17,MATCH($F149,'ESG'!$B$10:$B$17,0))="","Cell will autofill based on response",INDEX('ESG'!$O$10:$O$17,MATCH($F149,'ESG'!$B$10:$B$17,0))),"N/A")</f>
        <v/>
      </c>
      <c r="Q149" s="52">
        <f>IFERROR(IF(INDEX('CIOG'!$O$10:$O$14,MATCH($F149,'CIOG'!$B$10:$B$14,0))="","Cell will autofill based on response",INDEX('CIOG'!$O$10:$O$14,MATCH($F149,'CIOG'!$B$10:$B$14,0))),"N/A")</f>
        <v/>
      </c>
      <c r="R149" s="52">
        <f>IFERROR(IF(INDEX('MRE'!$O$10:$O$18,MATCH($F149,'MRE'!$B$10:$B$18,0))="","Cell will autofill based on response",INDEX('MRE'!$O$10:$O$18,MATCH($F149,'MRE'!$B$10:$B$18,0))),"N/A")</f>
        <v/>
      </c>
      <c r="S149" s="52">
        <f>IFERROR(IF(INDEX('AC&amp;M'!$O$10:$O$14,MATCH($F149,'AC&amp;M'!$B$10:$B$14,0))="","Cell will autofill based on response",INDEX('AC&amp;M'!$O$10:$O$14,MATCH($F149,'AC&amp;M'!$B$10:$B$14,0))),"N/A")</f>
        <v/>
      </c>
      <c r="T149" s="52">
        <f>IFERROR(IF(INDEX('GCE'!$O$10:$O$12,MATCH($F149,'GCE'!$B$10:$B$12,0))="","Cell will autofill based on response",INDEX('GCE'!$O$10:$O$12,MATCH($F149,'GCE'!$B$10:$B$12,0))),"N/A")</f>
        <v/>
      </c>
      <c r="U149" s="52">
        <f>IFERROR(IF(INDEX('Education'!$O$10:$O$13,MATCH($F149,'Education'!$B$10:$B$13,0))="","Cell will autofill based on response",INDEX('Education'!$O$10:$O$13,MATCH($F149,'Education'!$B$10:$B$13,0))),"N/A")</f>
        <v/>
      </c>
      <c r="V149" s="52">
        <f>IFERROR(IF(INDEX('SaSS'!$O$10:$O$12,MATCH($F149,'SaSS'!$B$10:$B$12,0))="","Cell will autofill based on response",INDEX('SaSS'!$O$10:$O$12,MATCH($F149,'SaSS'!$B$10:$B$12,0))),"N/A")</f>
        <v/>
      </c>
      <c r="W149" s="52">
        <f>IFERROR(IF(INDEX('Indigenous'!$O$10:$O$11,MATCH($F149,'Indigenous'!$B$10:$B$11,0))="","Cell will autofill based on response",INDEX('Indigenous'!$O$10:$O$11,MATCH($F149,'Indigenous'!$B$10:$B$11,0))),"N/A")</f>
        <v/>
      </c>
      <c r="X149" s="52">
        <f>IFERROR(IF(INDEX('L&amp;R'!$O$10:$O$11,MATCH($F149,'L&amp;R'!$B$10:$B$11,0))="","Cell will autofill based on response",INDEX('L&amp;R'!$O$10:$O$11,MATCH($F149,'L&amp;R'!$B$10:$B$11,0))),"N/A")</f>
        <v/>
      </c>
    </row>
    <row r="150">
      <c r="A150">
        <f>F150&amp;"|"&amp;G150</f>
        <v/>
      </c>
      <c r="B150" s="13" t="inlineStr"/>
      <c r="C150" s="8" t="inlineStr"/>
      <c r="D150" s="8" t="inlineStr"/>
      <c r="E150" s="8" t="inlineStr"/>
      <c r="F150" s="8" t="inlineStr">
        <is>
          <t>EI1(a)</t>
        </is>
      </c>
      <c r="G150" s="8" t="inlineStr">
        <is>
          <t>Data owner confirms</t>
        </is>
      </c>
      <c r="H150" s="52">
        <f>IFERROR(IF(INDEX('Faculties'!$P$10:$P$19,MATCH($F150,'Faculties'!$B$10:$B$19,0))="","Cell will autofill based on response",INDEX('Faculties'!$P$10:$P$19,MATCH($F150,'Faculties'!$B$10:$B$19,0))),"N/A")</f>
        <v/>
      </c>
      <c r="I150" s="52">
        <f>IFERROR(IF(INDEX('Faculties'!$P$26:$P$35,MATCH($F150,'Faculties'!$B$26:$B$35,0))="","Cell will autofill based on response",INDEX('Faculties'!$P$26:$P$35,MATCH($F150,'Faculties'!$B$26:$B$35,0))),"N/A")</f>
        <v/>
      </c>
      <c r="J150" s="52">
        <f>IFERROR(IF(INDEX('Faculties'!$P$42:$P$51,MATCH($F150,'Faculties'!$B$42:$B$51,0))="","Cell will autofill based on response",INDEX('Faculties'!$P$42:$P$51,MATCH($F150,'Faculties'!$B$42:$B$51,0))),"N/A")</f>
        <v/>
      </c>
      <c r="K150" s="52">
        <f>IFERROR(IF(INDEX('Faculties'!$P$58:$P$67,MATCH($F150,'Faculties'!$B$58:$B$67,0))="","Cell will autofill based on response",INDEX('Faculties'!$P$58:$P$67,MATCH($F150,'Faculties'!$B$58:$B$67,0))),"N/A")</f>
        <v/>
      </c>
      <c r="L150" s="52">
        <f>IFERROR(IF(INDEX('CI&amp;S'!$P$10:$P$15,MATCH($F150,'CI&amp;S'!$B$10:$B$15,0))="","Cell will autofill based on response",INDEX('CI&amp;S'!$P$10:$P$15,MATCH($F150,'CI&amp;S'!$B$10:$B$15,0))),"N/A")</f>
        <v/>
      </c>
      <c r="M150" s="52">
        <f>IFERROR(IF(INDEX('CI&amp;S'!$P$22:$P$36,MATCH($F150,'CI&amp;S'!$B$22:$B$36,0))="","Cell will autofill based on response",INDEX('CI&amp;S'!$P$22:$P$36,MATCH($F150,'CI&amp;S'!$B$22:$B$36,0))),"N/A")</f>
        <v/>
      </c>
      <c r="N150" s="52">
        <f>IFERROR(IF(INDEX('CFOG'!$P$10:$P$16,MATCH($F150,'CFOG'!$B$10:$B$16,0))="","Cell will autofill based on response",INDEX('CFOG'!$P$10:$P$16,MATCH($F150,'CFOG'!$B$10:$B$16,0))),"N/A")</f>
        <v/>
      </c>
      <c r="O150" s="52">
        <f>IFERROR(IF(INDEX('CFOG'!$P$23:$P$24,MATCH($F150,'CFOG'!$B$23:$B$24,0))="","Cell will autofill based on response",INDEX('CFOG'!$P$23:$P$24,MATCH($F150,'CFOG'!$B$23:$B$24,0))),"N/A")</f>
        <v/>
      </c>
      <c r="P150" s="52">
        <f>IFERROR(IF(INDEX('ESG'!$P$10:$P$17,MATCH($F150,'ESG'!$B$10:$B$17,0))="","Cell will autofill based on response",INDEX('ESG'!$P$10:$P$17,MATCH($F150,'ESG'!$B$10:$B$17,0))),"N/A")</f>
        <v/>
      </c>
      <c r="Q150" s="52">
        <f>IFERROR(IF(INDEX('CIOG'!$P$10:$P$14,MATCH($F150,'CIOG'!$B$10:$B$14,0))="","Cell will autofill based on response",INDEX('CIOG'!$P$10:$P$14,MATCH($F150,'CIOG'!$B$10:$B$14,0))),"N/A")</f>
        <v/>
      </c>
      <c r="R150" s="52">
        <f>IFERROR(IF(INDEX('MRE'!$P$10:$P$18,MATCH($F150,'MRE'!$B$10:$B$18,0))="","Cell will autofill based on response",INDEX('MRE'!$P$10:$P$18,MATCH($F150,'MRE'!$B$10:$B$18,0))),"N/A")</f>
        <v/>
      </c>
      <c r="S150" s="52">
        <f>IFERROR(IF(INDEX('AC&amp;M'!$P$10:$P$14,MATCH($F150,'AC&amp;M'!$B$10:$B$14,0))="","Cell will autofill based on response",INDEX('AC&amp;M'!$P$10:$P$14,MATCH($F150,'AC&amp;M'!$B$10:$B$14,0))),"N/A")</f>
        <v/>
      </c>
      <c r="T150" s="52">
        <f>IFERROR(IF(INDEX('GCE'!$P$10:$P$12,MATCH($F150,'GCE'!$B$10:$B$12,0))="","Cell will autofill based on response",INDEX('GCE'!$P$10:$P$12,MATCH($F150,'GCE'!$B$10:$B$12,0))),"N/A")</f>
        <v/>
      </c>
      <c r="U150" s="52">
        <f>IFERROR(IF(INDEX('Education'!$P$10:$P$13,MATCH($F150,'Education'!$B$10:$B$13,0))="","Cell will autofill based on response",INDEX('Education'!$P$10:$P$13,MATCH($F150,'Education'!$B$10:$B$13,0))),"N/A")</f>
        <v/>
      </c>
      <c r="V150" s="52">
        <f>IFERROR(IF(INDEX('SaSS'!$P$10:$P$12,MATCH($F150,'SaSS'!$B$10:$B$12,0))="","Cell will autofill based on response",INDEX('SaSS'!$P$10:$P$12,MATCH($F150,'SaSS'!$B$10:$B$12,0))),"N/A")</f>
        <v/>
      </c>
      <c r="W150" s="52">
        <f>IFERROR(IF(INDEX('Indigenous'!$P$10:$P$11,MATCH($F150,'Indigenous'!$B$10:$B$11,0))="","Cell will autofill based on response",INDEX('Indigenous'!$P$10:$P$11,MATCH($F150,'Indigenous'!$B$10:$B$11,0))),"N/A")</f>
        <v/>
      </c>
      <c r="X150" s="52">
        <f>IFERROR(IF(INDEX('L&amp;R'!$P$10:$P$11,MATCH($F150,'L&amp;R'!$B$10:$B$11,0))="","Cell will autofill based on response",INDEX('L&amp;R'!$P$10:$P$11,MATCH($F150,'L&amp;R'!$B$10:$B$11,0))),"N/A")</f>
        <v/>
      </c>
    </row>
    <row r="151">
      <c r="A151">
        <f>F151&amp;"|"&amp;G151</f>
        <v/>
      </c>
      <c r="B151" s="7" t="inlineStr">
        <is>
          <t>EI1(b)</t>
        </is>
      </c>
      <c r="C151" s="50" t="inlineStr">
        <is>
          <t>Estate and infrastructure</t>
        </is>
      </c>
      <c r="D151" s="50" t="inlineStr">
        <is>
          <t>Estimated sustainability impacts of the University’s estate and infrastructure capital plan to inform progress towards emissions reduction targets and other priority areas (to the extent enabled by available information)</t>
        </is>
      </c>
      <c r="E151" s="50"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51" s="50" t="inlineStr">
        <is>
          <t>EI1(b)</t>
        </is>
      </c>
      <c r="G151" s="50" t="inlineStr">
        <is>
          <t>OPTION 1:  Target-level reporting</t>
        </is>
      </c>
      <c r="H151" s="52">
        <f>IFERROR(IF(INDEX('Faculties'!$L$10:$L$19,MATCH($F151,'Faculties'!$B$10:$B$19,0))="","Cell will autofill based on response",INDEX('Faculties'!$L$10:$L$19,MATCH($F151,'Faculties'!$B$10:$B$19,0))),"N/A")</f>
        <v/>
      </c>
      <c r="I151" s="52">
        <f>IFERROR(IF(INDEX('Faculties'!$L$26:$L$35,MATCH($F151,'Faculties'!$B$26:$B$35,0))="","Cell will autofill based on response",INDEX('Faculties'!$L$26:$L$35,MATCH($F151,'Faculties'!$B$26:$B$35,0))),"N/A")</f>
        <v/>
      </c>
      <c r="J151" s="52">
        <f>IFERROR(IF(INDEX('Faculties'!$L$42:$L$51,MATCH($F151,'Faculties'!$B$42:$B$51,0))="","Cell will autofill based on response",INDEX('Faculties'!$L$42:$L$51,MATCH($F151,'Faculties'!$B$42:$B$51,0))),"N/A")</f>
        <v/>
      </c>
      <c r="K151" s="52">
        <f>IFERROR(IF(INDEX('Faculties'!$L$58:$L$67,MATCH($F151,'Faculties'!$B$58:$B$67,0))="","Cell will autofill based on response",INDEX('Faculties'!$L$58:$L$67,MATCH($F151,'Faculties'!$B$58:$B$67,0))),"N/A")</f>
        <v/>
      </c>
      <c r="L151" s="52">
        <f>IFERROR(IF(INDEX('CI&amp;S'!$L$10:$L$15,MATCH($F151,'CI&amp;S'!$B$10:$B$15,0))="","Cell will autofill based on response",INDEX('CI&amp;S'!$L$10:$L$15,MATCH($F151,'CI&amp;S'!$B$10:$B$15,0))),"N/A")</f>
        <v/>
      </c>
      <c r="M151" s="52">
        <f>IFERROR(IF(INDEX('CI&amp;S'!$L$22:$L$36,MATCH($F151,'CI&amp;S'!$B$22:$B$36,0))="","Cell will autofill based on response",INDEX('CI&amp;S'!$L$22:$L$36,MATCH($F151,'CI&amp;S'!$B$22:$B$36,0))),"N/A")</f>
        <v/>
      </c>
      <c r="N151" s="52">
        <f>IFERROR(IF(INDEX('CFOG'!$L$10:$L$16,MATCH($F151,'CFOG'!$B$10:$B$16,0))="","Cell will autofill based on response",INDEX('CFOG'!$L$10:$L$16,MATCH($F151,'CFOG'!$B$10:$B$16,0))),"N/A")</f>
        <v/>
      </c>
      <c r="O151" s="52">
        <f>IFERROR(IF(INDEX('CFOG'!$L$23:$L$24,MATCH($F151,'CFOG'!$B$23:$B$24,0))="","Cell will autofill based on response",INDEX('CFOG'!$L$23:$L$24,MATCH($F151,'CFOG'!$B$23:$B$24,0))),"N/A")</f>
        <v/>
      </c>
      <c r="P151" s="52">
        <f>IFERROR(IF(INDEX('ESG'!$L$10:$L$17,MATCH($F151,'ESG'!$B$10:$B$17,0))="","Cell will autofill based on response",INDEX('ESG'!$L$10:$L$17,MATCH($F151,'ESG'!$B$10:$B$17,0))),"N/A")</f>
        <v/>
      </c>
      <c r="Q151" s="52">
        <f>IFERROR(IF(INDEX('CIOG'!$L$10:$L$14,MATCH($F151,'CIOG'!$B$10:$B$14,0))="","Cell will autofill based on response",INDEX('CIOG'!$L$10:$L$14,MATCH($F151,'CIOG'!$B$10:$B$14,0))),"N/A")</f>
        <v/>
      </c>
      <c r="R151" s="52">
        <f>IFERROR(IF(INDEX('MRE'!$L$10:$L$18,MATCH($F151,'MRE'!$B$10:$B$18,0))="","Cell will autofill based on response",INDEX('MRE'!$L$10:$L$18,MATCH($F151,'MRE'!$B$10:$B$18,0))),"N/A")</f>
        <v/>
      </c>
      <c r="S151" s="52">
        <f>IFERROR(IF(INDEX('AC&amp;M'!$L$10:$L$14,MATCH($F151,'AC&amp;M'!$B$10:$B$14,0))="","Cell will autofill based on response",INDEX('AC&amp;M'!$L$10:$L$14,MATCH($F151,'AC&amp;M'!$B$10:$B$14,0))),"N/A")</f>
        <v/>
      </c>
      <c r="T151" s="52">
        <f>IFERROR(IF(INDEX('GCE'!$L$10:$L$12,MATCH($F151,'GCE'!$B$10:$B$12,0))="","Cell will autofill based on response",INDEX('GCE'!$L$10:$L$12,MATCH($F151,'GCE'!$B$10:$B$12,0))),"N/A")</f>
        <v/>
      </c>
      <c r="U151" s="52">
        <f>IFERROR(IF(INDEX('Education'!$L$10:$L$13,MATCH($F151,'Education'!$B$10:$B$13,0))="","Cell will autofill based on response",INDEX('Education'!$L$10:$L$13,MATCH($F151,'Education'!$B$10:$B$13,0))),"N/A")</f>
        <v/>
      </c>
      <c r="V151" s="52">
        <f>IFERROR(IF(INDEX('SaSS'!$L$10:$L$12,MATCH($F151,'SaSS'!$B$10:$B$12,0))="","Cell will autofill based on response",INDEX('SaSS'!$L$10:$L$12,MATCH($F151,'SaSS'!$B$10:$B$12,0))),"N/A")</f>
        <v/>
      </c>
      <c r="W151" s="52">
        <f>IFERROR(IF(INDEX('Indigenous'!$L$10:$L$11,MATCH($F151,'Indigenous'!$B$10:$B$11,0))="","Cell will autofill based on response",INDEX('Indigenous'!$L$10:$L$11,MATCH($F151,'Indigenous'!$B$10:$B$11,0))),"N/A")</f>
        <v/>
      </c>
      <c r="X151" s="52">
        <f>IFERROR(IF(INDEX('L&amp;R'!$L$10:$L$11,MATCH($F151,'L&amp;R'!$B$10:$B$11,0))="","Cell will autofill based on response",INDEX('L&amp;R'!$L$10:$L$11,MATCH($F151,'L&amp;R'!$B$10:$B$11,0))),"N/A")</f>
        <v/>
      </c>
      <c r="Z151" s="10">
        <f>SUMPRODUCT(--($H151:$X151&lt;&gt;"N/A"))</f>
        <v/>
      </c>
      <c r="AA151" s="10">
        <f>SUMPRODUCT(--(((($H151:$X151&lt;&gt;"N/A")*($H151:$X151&lt;&gt;"Cell will autofill based on response"))+(($H152:$X152&lt;&gt;"N/A")*($H152:$X152&lt;&gt;"Cell will autofill based on response")))&gt;0))</f>
        <v/>
      </c>
      <c r="AB151" s="10">
        <f>Z151-AA151</f>
        <v/>
      </c>
      <c r="AC151" s="10">
        <f>COUNTIF($H155:$X155,"Yes")</f>
        <v/>
      </c>
    </row>
    <row r="152">
      <c r="A152">
        <f>F152&amp;"|"&amp;G152</f>
        <v/>
      </c>
      <c r="B152" s="13" t="inlineStr"/>
      <c r="C152" s="8" t="inlineStr"/>
      <c r="D152" s="8" t="inlineStr"/>
      <c r="E152" s="8" t="inlineStr"/>
      <c r="F152" s="8" t="inlineStr">
        <is>
          <t>EI1(b)</t>
        </is>
      </c>
      <c r="G152" s="8" t="inlineStr">
        <is>
          <t>OPTION 2:  Indicator level reporting</t>
        </is>
      </c>
      <c r="H152" s="52">
        <f>IFERROR(IF(INDEX('Faculties'!$M$10:$M$19,MATCH($F152,'Faculties'!$B$10:$B$19,0))="","Cell will autofill based on response",INDEX('Faculties'!$M$10:$M$19,MATCH($F152,'Faculties'!$B$10:$B$19,0))),"N/A")</f>
        <v/>
      </c>
      <c r="I152" s="52">
        <f>IFERROR(IF(INDEX('Faculties'!$M$26:$M$35,MATCH($F152,'Faculties'!$B$26:$B$35,0))="","Cell will autofill based on response",INDEX('Faculties'!$M$26:$M$35,MATCH($F152,'Faculties'!$B$26:$B$35,0))),"N/A")</f>
        <v/>
      </c>
      <c r="J152" s="52">
        <f>IFERROR(IF(INDEX('Faculties'!$M$42:$M$51,MATCH($F152,'Faculties'!$B$42:$B$51,0))="","Cell will autofill based on response",INDEX('Faculties'!$M$42:$M$51,MATCH($F152,'Faculties'!$B$42:$B$51,0))),"N/A")</f>
        <v/>
      </c>
      <c r="K152" s="52">
        <f>IFERROR(IF(INDEX('Faculties'!$M$58:$M$67,MATCH($F152,'Faculties'!$B$58:$B$67,0))="","Cell will autofill based on response",INDEX('Faculties'!$M$58:$M$67,MATCH($F152,'Faculties'!$B$58:$B$67,0))),"N/A")</f>
        <v/>
      </c>
      <c r="L152" s="52">
        <f>IFERROR(IF(INDEX('CI&amp;S'!$M$10:$M$15,MATCH($F152,'CI&amp;S'!$B$10:$B$15,0))="","Cell will autofill based on response",INDEX('CI&amp;S'!$M$10:$M$15,MATCH($F152,'CI&amp;S'!$B$10:$B$15,0))),"N/A")</f>
        <v/>
      </c>
      <c r="M152" s="52">
        <f>IFERROR(IF(INDEX('CI&amp;S'!$M$22:$M$36,MATCH($F152,'CI&amp;S'!$B$22:$B$36,0))="","Cell will autofill based on response",INDEX('CI&amp;S'!$M$22:$M$36,MATCH($F152,'CI&amp;S'!$B$22:$B$36,0))),"N/A")</f>
        <v/>
      </c>
      <c r="N152" s="52">
        <f>IFERROR(IF(INDEX('CFOG'!$M$10:$M$16,MATCH($F152,'CFOG'!$B$10:$B$16,0))="","Cell will autofill based on response",INDEX('CFOG'!$M$10:$M$16,MATCH($F152,'CFOG'!$B$10:$B$16,0))),"N/A")</f>
        <v/>
      </c>
      <c r="O152" s="52">
        <f>IFERROR(IF(INDEX('CFOG'!$M$23:$M$24,MATCH($F152,'CFOG'!$B$23:$B$24,0))="","Cell will autofill based on response",INDEX('CFOG'!$M$23:$M$24,MATCH($F152,'CFOG'!$B$23:$B$24,0))),"N/A")</f>
        <v/>
      </c>
      <c r="P152" s="52">
        <f>IFERROR(IF(INDEX('ESG'!$M$10:$M$17,MATCH($F152,'ESG'!$B$10:$B$17,0))="","Cell will autofill based on response",INDEX('ESG'!$M$10:$M$17,MATCH($F152,'ESG'!$B$10:$B$17,0))),"N/A")</f>
        <v/>
      </c>
      <c r="Q152" s="52">
        <f>IFERROR(IF(INDEX('CIOG'!$M$10:$M$14,MATCH($F152,'CIOG'!$B$10:$B$14,0))="","Cell will autofill based on response",INDEX('CIOG'!$M$10:$M$14,MATCH($F152,'CIOG'!$B$10:$B$14,0))),"N/A")</f>
        <v/>
      </c>
      <c r="R152" s="52">
        <f>IFERROR(IF(INDEX('MRE'!$M$10:$M$18,MATCH($F152,'MRE'!$B$10:$B$18,0))="","Cell will autofill based on response",INDEX('MRE'!$M$10:$M$18,MATCH($F152,'MRE'!$B$10:$B$18,0))),"N/A")</f>
        <v/>
      </c>
      <c r="S152" s="52">
        <f>IFERROR(IF(INDEX('AC&amp;M'!$M$10:$M$14,MATCH($F152,'AC&amp;M'!$B$10:$B$14,0))="","Cell will autofill based on response",INDEX('AC&amp;M'!$M$10:$M$14,MATCH($F152,'AC&amp;M'!$B$10:$B$14,0))),"N/A")</f>
        <v/>
      </c>
      <c r="T152" s="52">
        <f>IFERROR(IF(INDEX('GCE'!$M$10:$M$12,MATCH($F152,'GCE'!$B$10:$B$12,0))="","Cell will autofill based on response",INDEX('GCE'!$M$10:$M$12,MATCH($F152,'GCE'!$B$10:$B$12,0))),"N/A")</f>
        <v/>
      </c>
      <c r="U152" s="52">
        <f>IFERROR(IF(INDEX('Education'!$M$10:$M$13,MATCH($F152,'Education'!$B$10:$B$13,0))="","Cell will autofill based on response",INDEX('Education'!$M$10:$M$13,MATCH($F152,'Education'!$B$10:$B$13,0))),"N/A")</f>
        <v/>
      </c>
      <c r="V152" s="52">
        <f>IFERROR(IF(INDEX('SaSS'!$M$10:$M$12,MATCH($F152,'SaSS'!$B$10:$B$12,0))="","Cell will autofill based on response",INDEX('SaSS'!$M$10:$M$12,MATCH($F152,'SaSS'!$B$10:$B$12,0))),"N/A")</f>
        <v/>
      </c>
      <c r="W152" s="52">
        <f>IFERROR(IF(INDEX('Indigenous'!$M$10:$M$11,MATCH($F152,'Indigenous'!$B$10:$B$11,0))="","Cell will autofill based on response",INDEX('Indigenous'!$M$10:$M$11,MATCH($F152,'Indigenous'!$B$10:$B$11,0))),"N/A")</f>
        <v/>
      </c>
      <c r="X152" s="52">
        <f>IFERROR(IF(INDEX('L&amp;R'!$M$10:$M$11,MATCH($F152,'L&amp;R'!$B$10:$B$11,0))="","Cell will autofill based on response",INDEX('L&amp;R'!$M$10:$M$11,MATCH($F152,'L&amp;R'!$B$10:$B$11,0))),"N/A")</f>
        <v/>
      </c>
    </row>
    <row r="153">
      <c r="A153">
        <f>F153&amp;"|"&amp;G153</f>
        <v/>
      </c>
      <c r="B153" s="13" t="inlineStr"/>
      <c r="C153" s="8" t="inlineStr"/>
      <c r="D153" s="8" t="inlineStr"/>
      <c r="E153" s="8" t="inlineStr"/>
      <c r="F153" s="8" t="inlineStr">
        <is>
          <t>EI1(b)</t>
        </is>
      </c>
      <c r="G153" s="8" t="inlineStr">
        <is>
          <t>Supporting information/comments</t>
        </is>
      </c>
      <c r="H153" s="52">
        <f>IFERROR(IF(INDEX('Faculties'!$N$10:$N$19,MATCH($F153,'Faculties'!$B$10:$B$19,0))="","Cell will autofill based on response",INDEX('Faculties'!$N$10:$N$19,MATCH($F153,'Faculties'!$B$10:$B$19,0))),"N/A")</f>
        <v/>
      </c>
      <c r="I153" s="52">
        <f>IFERROR(IF(INDEX('Faculties'!$N$26:$N$35,MATCH($F153,'Faculties'!$B$26:$B$35,0))="","Cell will autofill based on response",INDEX('Faculties'!$N$26:$N$35,MATCH($F153,'Faculties'!$B$26:$B$35,0))),"N/A")</f>
        <v/>
      </c>
      <c r="J153" s="52">
        <f>IFERROR(IF(INDEX('Faculties'!$N$42:$N$51,MATCH($F153,'Faculties'!$B$42:$B$51,0))="","Cell will autofill based on response",INDEX('Faculties'!$N$42:$N$51,MATCH($F153,'Faculties'!$B$42:$B$51,0))),"N/A")</f>
        <v/>
      </c>
      <c r="K153" s="52">
        <f>IFERROR(IF(INDEX('Faculties'!$N$58:$N$67,MATCH($F153,'Faculties'!$B$58:$B$67,0))="","Cell will autofill based on response",INDEX('Faculties'!$N$58:$N$67,MATCH($F153,'Faculties'!$B$58:$B$67,0))),"N/A")</f>
        <v/>
      </c>
      <c r="L153" s="52">
        <f>IFERROR(IF(INDEX('CI&amp;S'!$N$10:$N$15,MATCH($F153,'CI&amp;S'!$B$10:$B$15,0))="","Cell will autofill based on response",INDEX('CI&amp;S'!$N$10:$N$15,MATCH($F153,'CI&amp;S'!$B$10:$B$15,0))),"N/A")</f>
        <v/>
      </c>
      <c r="M153" s="52">
        <f>IFERROR(IF(INDEX('CI&amp;S'!$N$22:$N$36,MATCH($F153,'CI&amp;S'!$B$22:$B$36,0))="","Cell will autofill based on response",INDEX('CI&amp;S'!$N$22:$N$36,MATCH($F153,'CI&amp;S'!$B$22:$B$36,0))),"N/A")</f>
        <v/>
      </c>
      <c r="N153" s="52">
        <f>IFERROR(IF(INDEX('CFOG'!$N$10:$N$16,MATCH($F153,'CFOG'!$B$10:$B$16,0))="","Cell will autofill based on response",INDEX('CFOG'!$N$10:$N$16,MATCH($F153,'CFOG'!$B$10:$B$16,0))),"N/A")</f>
        <v/>
      </c>
      <c r="O153" s="52">
        <f>IFERROR(IF(INDEX('CFOG'!$N$23:$N$24,MATCH($F153,'CFOG'!$B$23:$B$24,0))="","Cell will autofill based on response",INDEX('CFOG'!$N$23:$N$24,MATCH($F153,'CFOG'!$B$23:$B$24,0))),"N/A")</f>
        <v/>
      </c>
      <c r="P153" s="52">
        <f>IFERROR(IF(INDEX('ESG'!$N$10:$N$17,MATCH($F153,'ESG'!$B$10:$B$17,0))="","Cell will autofill based on response",INDEX('ESG'!$N$10:$N$17,MATCH($F153,'ESG'!$B$10:$B$17,0))),"N/A")</f>
        <v/>
      </c>
      <c r="Q153" s="52">
        <f>IFERROR(IF(INDEX('CIOG'!$N$10:$N$14,MATCH($F153,'CIOG'!$B$10:$B$14,0))="","Cell will autofill based on response",INDEX('CIOG'!$N$10:$N$14,MATCH($F153,'CIOG'!$B$10:$B$14,0))),"N/A")</f>
        <v/>
      </c>
      <c r="R153" s="52">
        <f>IFERROR(IF(INDEX('MRE'!$N$10:$N$18,MATCH($F153,'MRE'!$B$10:$B$18,0))="","Cell will autofill based on response",INDEX('MRE'!$N$10:$N$18,MATCH($F153,'MRE'!$B$10:$B$18,0))),"N/A")</f>
        <v/>
      </c>
      <c r="S153" s="52">
        <f>IFERROR(IF(INDEX('AC&amp;M'!$N$10:$N$14,MATCH($F153,'AC&amp;M'!$B$10:$B$14,0))="","Cell will autofill based on response",INDEX('AC&amp;M'!$N$10:$N$14,MATCH($F153,'AC&amp;M'!$B$10:$B$14,0))),"N/A")</f>
        <v/>
      </c>
      <c r="T153" s="52">
        <f>IFERROR(IF(INDEX('GCE'!$N$10:$N$12,MATCH($F153,'GCE'!$B$10:$B$12,0))="","Cell will autofill based on response",INDEX('GCE'!$N$10:$N$12,MATCH($F153,'GCE'!$B$10:$B$12,0))),"N/A")</f>
        <v/>
      </c>
      <c r="U153" s="52">
        <f>IFERROR(IF(INDEX('Education'!$N$10:$N$13,MATCH($F153,'Education'!$B$10:$B$13,0))="","Cell will autofill based on response",INDEX('Education'!$N$10:$N$13,MATCH($F153,'Education'!$B$10:$B$13,0))),"N/A")</f>
        <v/>
      </c>
      <c r="V153" s="52">
        <f>IFERROR(IF(INDEX('SaSS'!$N$10:$N$12,MATCH($F153,'SaSS'!$B$10:$B$12,0))="","Cell will autofill based on response",INDEX('SaSS'!$N$10:$N$12,MATCH($F153,'SaSS'!$B$10:$B$12,0))),"N/A")</f>
        <v/>
      </c>
      <c r="W153" s="52">
        <f>IFERROR(IF(INDEX('Indigenous'!$N$10:$N$11,MATCH($F153,'Indigenous'!$B$10:$B$11,0))="","Cell will autofill based on response",INDEX('Indigenous'!$N$10:$N$11,MATCH($F153,'Indigenous'!$B$10:$B$11,0))),"N/A")</f>
        <v/>
      </c>
      <c r="X153" s="52">
        <f>IFERROR(IF(INDEX('L&amp;R'!$N$10:$N$11,MATCH($F153,'L&amp;R'!$B$10:$B$11,0))="","Cell will autofill based on response",INDEX('L&amp;R'!$N$10:$N$11,MATCH($F153,'L&amp;R'!$B$10:$B$11,0))),"N/A")</f>
        <v/>
      </c>
    </row>
    <row r="154">
      <c r="A154">
        <f>F154&amp;"|"&amp;G154</f>
        <v/>
      </c>
      <c r="B154" s="13" t="inlineStr"/>
      <c r="C154" s="8" t="inlineStr"/>
      <c r="D154" s="8" t="inlineStr"/>
      <c r="E154" s="8" t="inlineStr"/>
      <c r="F154" s="8" t="inlineStr">
        <is>
          <t>EI1(b)</t>
        </is>
      </c>
      <c r="G154" s="8" t="inlineStr">
        <is>
          <t>Data source and limitations</t>
        </is>
      </c>
      <c r="H154" s="52">
        <f>IFERROR(IF(INDEX('Faculties'!$O$10:$O$19,MATCH($F154,'Faculties'!$B$10:$B$19,0))="","Cell will autofill based on response",INDEX('Faculties'!$O$10:$O$19,MATCH($F154,'Faculties'!$B$10:$B$19,0))),"N/A")</f>
        <v/>
      </c>
      <c r="I154" s="52">
        <f>IFERROR(IF(INDEX('Faculties'!$O$26:$O$35,MATCH($F154,'Faculties'!$B$26:$B$35,0))="","Cell will autofill based on response",INDEX('Faculties'!$O$26:$O$35,MATCH($F154,'Faculties'!$B$26:$B$35,0))),"N/A")</f>
        <v/>
      </c>
      <c r="J154" s="52">
        <f>IFERROR(IF(INDEX('Faculties'!$O$42:$O$51,MATCH($F154,'Faculties'!$B$42:$B$51,0))="","Cell will autofill based on response",INDEX('Faculties'!$O$42:$O$51,MATCH($F154,'Faculties'!$B$42:$B$51,0))),"N/A")</f>
        <v/>
      </c>
      <c r="K154" s="52">
        <f>IFERROR(IF(INDEX('Faculties'!$O$58:$O$67,MATCH($F154,'Faculties'!$B$58:$B$67,0))="","Cell will autofill based on response",INDEX('Faculties'!$O$58:$O$67,MATCH($F154,'Faculties'!$B$58:$B$67,0))),"N/A")</f>
        <v/>
      </c>
      <c r="L154" s="52">
        <f>IFERROR(IF(INDEX('CI&amp;S'!$O$10:$O$15,MATCH($F154,'CI&amp;S'!$B$10:$B$15,0))="","Cell will autofill based on response",INDEX('CI&amp;S'!$O$10:$O$15,MATCH($F154,'CI&amp;S'!$B$10:$B$15,0))),"N/A")</f>
        <v/>
      </c>
      <c r="M154" s="52">
        <f>IFERROR(IF(INDEX('CI&amp;S'!$O$22:$O$36,MATCH($F154,'CI&amp;S'!$B$22:$B$36,0))="","Cell will autofill based on response",INDEX('CI&amp;S'!$O$22:$O$36,MATCH($F154,'CI&amp;S'!$B$22:$B$36,0))),"N/A")</f>
        <v/>
      </c>
      <c r="N154" s="52">
        <f>IFERROR(IF(INDEX('CFOG'!$O$10:$O$16,MATCH($F154,'CFOG'!$B$10:$B$16,0))="","Cell will autofill based on response",INDEX('CFOG'!$O$10:$O$16,MATCH($F154,'CFOG'!$B$10:$B$16,0))),"N/A")</f>
        <v/>
      </c>
      <c r="O154" s="52">
        <f>IFERROR(IF(INDEX('CFOG'!$O$23:$O$24,MATCH($F154,'CFOG'!$B$23:$B$24,0))="","Cell will autofill based on response",INDEX('CFOG'!$O$23:$O$24,MATCH($F154,'CFOG'!$B$23:$B$24,0))),"N/A")</f>
        <v/>
      </c>
      <c r="P154" s="52">
        <f>IFERROR(IF(INDEX('ESG'!$O$10:$O$17,MATCH($F154,'ESG'!$B$10:$B$17,0))="","Cell will autofill based on response",INDEX('ESG'!$O$10:$O$17,MATCH($F154,'ESG'!$B$10:$B$17,0))),"N/A")</f>
        <v/>
      </c>
      <c r="Q154" s="52">
        <f>IFERROR(IF(INDEX('CIOG'!$O$10:$O$14,MATCH($F154,'CIOG'!$B$10:$B$14,0))="","Cell will autofill based on response",INDEX('CIOG'!$O$10:$O$14,MATCH($F154,'CIOG'!$B$10:$B$14,0))),"N/A")</f>
        <v/>
      </c>
      <c r="R154" s="52">
        <f>IFERROR(IF(INDEX('MRE'!$O$10:$O$18,MATCH($F154,'MRE'!$B$10:$B$18,0))="","Cell will autofill based on response",INDEX('MRE'!$O$10:$O$18,MATCH($F154,'MRE'!$B$10:$B$18,0))),"N/A")</f>
        <v/>
      </c>
      <c r="S154" s="52">
        <f>IFERROR(IF(INDEX('AC&amp;M'!$O$10:$O$14,MATCH($F154,'AC&amp;M'!$B$10:$B$14,0))="","Cell will autofill based on response",INDEX('AC&amp;M'!$O$10:$O$14,MATCH($F154,'AC&amp;M'!$B$10:$B$14,0))),"N/A")</f>
        <v/>
      </c>
      <c r="T154" s="52">
        <f>IFERROR(IF(INDEX('GCE'!$O$10:$O$12,MATCH($F154,'GCE'!$B$10:$B$12,0))="","Cell will autofill based on response",INDEX('GCE'!$O$10:$O$12,MATCH($F154,'GCE'!$B$10:$B$12,0))),"N/A")</f>
        <v/>
      </c>
      <c r="U154" s="52">
        <f>IFERROR(IF(INDEX('Education'!$O$10:$O$13,MATCH($F154,'Education'!$B$10:$B$13,0))="","Cell will autofill based on response",INDEX('Education'!$O$10:$O$13,MATCH($F154,'Education'!$B$10:$B$13,0))),"N/A")</f>
        <v/>
      </c>
      <c r="V154" s="52">
        <f>IFERROR(IF(INDEX('SaSS'!$O$10:$O$12,MATCH($F154,'SaSS'!$B$10:$B$12,0))="","Cell will autofill based on response",INDEX('SaSS'!$O$10:$O$12,MATCH($F154,'SaSS'!$B$10:$B$12,0))),"N/A")</f>
        <v/>
      </c>
      <c r="W154" s="52">
        <f>IFERROR(IF(INDEX('Indigenous'!$O$10:$O$11,MATCH($F154,'Indigenous'!$B$10:$B$11,0))="","Cell will autofill based on response",INDEX('Indigenous'!$O$10:$O$11,MATCH($F154,'Indigenous'!$B$10:$B$11,0))),"N/A")</f>
        <v/>
      </c>
      <c r="X154" s="52">
        <f>IFERROR(IF(INDEX('L&amp;R'!$O$10:$O$11,MATCH($F154,'L&amp;R'!$B$10:$B$11,0))="","Cell will autofill based on response",INDEX('L&amp;R'!$O$10:$O$11,MATCH($F154,'L&amp;R'!$B$10:$B$11,0))),"N/A")</f>
        <v/>
      </c>
    </row>
    <row r="155">
      <c r="A155">
        <f>F155&amp;"|"&amp;G155</f>
        <v/>
      </c>
      <c r="B155" s="13" t="inlineStr"/>
      <c r="C155" s="8" t="inlineStr"/>
      <c r="D155" s="8" t="inlineStr"/>
      <c r="E155" s="8" t="inlineStr"/>
      <c r="F155" s="8" t="inlineStr">
        <is>
          <t>EI1(b)</t>
        </is>
      </c>
      <c r="G155" s="8" t="inlineStr">
        <is>
          <t>Data owner confirms</t>
        </is>
      </c>
      <c r="H155" s="52">
        <f>IFERROR(IF(INDEX('Faculties'!$P$10:$P$19,MATCH($F155,'Faculties'!$B$10:$B$19,0))="","Cell will autofill based on response",INDEX('Faculties'!$P$10:$P$19,MATCH($F155,'Faculties'!$B$10:$B$19,0))),"N/A")</f>
        <v/>
      </c>
      <c r="I155" s="52">
        <f>IFERROR(IF(INDEX('Faculties'!$P$26:$P$35,MATCH($F155,'Faculties'!$B$26:$B$35,0))="","Cell will autofill based on response",INDEX('Faculties'!$P$26:$P$35,MATCH($F155,'Faculties'!$B$26:$B$35,0))),"N/A")</f>
        <v/>
      </c>
      <c r="J155" s="52">
        <f>IFERROR(IF(INDEX('Faculties'!$P$42:$P$51,MATCH($F155,'Faculties'!$B$42:$B$51,0))="","Cell will autofill based on response",INDEX('Faculties'!$P$42:$P$51,MATCH($F155,'Faculties'!$B$42:$B$51,0))),"N/A")</f>
        <v/>
      </c>
      <c r="K155" s="52">
        <f>IFERROR(IF(INDEX('Faculties'!$P$58:$P$67,MATCH($F155,'Faculties'!$B$58:$B$67,0))="","Cell will autofill based on response",INDEX('Faculties'!$P$58:$P$67,MATCH($F155,'Faculties'!$B$58:$B$67,0))),"N/A")</f>
        <v/>
      </c>
      <c r="L155" s="52">
        <f>IFERROR(IF(INDEX('CI&amp;S'!$P$10:$P$15,MATCH($F155,'CI&amp;S'!$B$10:$B$15,0))="","Cell will autofill based on response",INDEX('CI&amp;S'!$P$10:$P$15,MATCH($F155,'CI&amp;S'!$B$10:$B$15,0))),"N/A")</f>
        <v/>
      </c>
      <c r="M155" s="52">
        <f>IFERROR(IF(INDEX('CI&amp;S'!$P$22:$P$36,MATCH($F155,'CI&amp;S'!$B$22:$B$36,0))="","Cell will autofill based on response",INDEX('CI&amp;S'!$P$22:$P$36,MATCH($F155,'CI&amp;S'!$B$22:$B$36,0))),"N/A")</f>
        <v/>
      </c>
      <c r="N155" s="52">
        <f>IFERROR(IF(INDEX('CFOG'!$P$10:$P$16,MATCH($F155,'CFOG'!$B$10:$B$16,0))="","Cell will autofill based on response",INDEX('CFOG'!$P$10:$P$16,MATCH($F155,'CFOG'!$B$10:$B$16,0))),"N/A")</f>
        <v/>
      </c>
      <c r="O155" s="52">
        <f>IFERROR(IF(INDEX('CFOG'!$P$23:$P$24,MATCH($F155,'CFOG'!$B$23:$B$24,0))="","Cell will autofill based on response",INDEX('CFOG'!$P$23:$P$24,MATCH($F155,'CFOG'!$B$23:$B$24,0))),"N/A")</f>
        <v/>
      </c>
      <c r="P155" s="52">
        <f>IFERROR(IF(INDEX('ESG'!$P$10:$P$17,MATCH($F155,'ESG'!$B$10:$B$17,0))="","Cell will autofill based on response",INDEX('ESG'!$P$10:$P$17,MATCH($F155,'ESG'!$B$10:$B$17,0))),"N/A")</f>
        <v/>
      </c>
      <c r="Q155" s="52">
        <f>IFERROR(IF(INDEX('CIOG'!$P$10:$P$14,MATCH($F155,'CIOG'!$B$10:$B$14,0))="","Cell will autofill based on response",INDEX('CIOG'!$P$10:$P$14,MATCH($F155,'CIOG'!$B$10:$B$14,0))),"N/A")</f>
        <v/>
      </c>
      <c r="R155" s="52">
        <f>IFERROR(IF(INDEX('MRE'!$P$10:$P$18,MATCH($F155,'MRE'!$B$10:$B$18,0))="","Cell will autofill based on response",INDEX('MRE'!$P$10:$P$18,MATCH($F155,'MRE'!$B$10:$B$18,0))),"N/A")</f>
        <v/>
      </c>
      <c r="S155" s="52">
        <f>IFERROR(IF(INDEX('AC&amp;M'!$P$10:$P$14,MATCH($F155,'AC&amp;M'!$B$10:$B$14,0))="","Cell will autofill based on response",INDEX('AC&amp;M'!$P$10:$P$14,MATCH($F155,'AC&amp;M'!$B$10:$B$14,0))),"N/A")</f>
        <v/>
      </c>
      <c r="T155" s="52">
        <f>IFERROR(IF(INDEX('GCE'!$P$10:$P$12,MATCH($F155,'GCE'!$B$10:$B$12,0))="","Cell will autofill based on response",INDEX('GCE'!$P$10:$P$12,MATCH($F155,'GCE'!$B$10:$B$12,0))),"N/A")</f>
        <v/>
      </c>
      <c r="U155" s="52">
        <f>IFERROR(IF(INDEX('Education'!$P$10:$P$13,MATCH($F155,'Education'!$B$10:$B$13,0))="","Cell will autofill based on response",INDEX('Education'!$P$10:$P$13,MATCH($F155,'Education'!$B$10:$B$13,0))),"N/A")</f>
        <v/>
      </c>
      <c r="V155" s="52">
        <f>IFERROR(IF(INDEX('SaSS'!$P$10:$P$12,MATCH($F155,'SaSS'!$B$10:$B$12,0))="","Cell will autofill based on response",INDEX('SaSS'!$P$10:$P$12,MATCH($F155,'SaSS'!$B$10:$B$12,0))),"N/A")</f>
        <v/>
      </c>
      <c r="W155" s="52">
        <f>IFERROR(IF(INDEX('Indigenous'!$P$10:$P$11,MATCH($F155,'Indigenous'!$B$10:$B$11,0))="","Cell will autofill based on response",INDEX('Indigenous'!$P$10:$P$11,MATCH($F155,'Indigenous'!$B$10:$B$11,0))),"N/A")</f>
        <v/>
      </c>
      <c r="X155" s="52">
        <f>IFERROR(IF(INDEX('L&amp;R'!$P$10:$P$11,MATCH($F155,'L&amp;R'!$B$10:$B$11,0))="","Cell will autofill based on response",INDEX('L&amp;R'!$P$10:$P$11,MATCH($F155,'L&amp;R'!$B$10:$B$11,0))),"N/A")</f>
        <v/>
      </c>
    </row>
    <row r="156">
      <c r="A156">
        <f>F156&amp;"|"&amp;G156</f>
        <v/>
      </c>
      <c r="B156" s="7" t="inlineStr">
        <is>
          <t>EI1(c)</t>
        </is>
      </c>
      <c r="C156" s="50" t="inlineStr">
        <is>
          <t>Estate and infrastructure</t>
        </is>
      </c>
      <c r="D156" s="50" t="inlineStr">
        <is>
          <t>Reporting on relevant activities and impacts for the University’s major estate and infrastructure projects and programs aligned with the other priority areas in Sustainability 2030</t>
        </is>
      </c>
      <c r="E156" s="50"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56" s="50" t="inlineStr">
        <is>
          <t>EI1(c)</t>
        </is>
      </c>
      <c r="G156" s="50" t="inlineStr">
        <is>
          <t>OPTION 1:  Target-level reporting</t>
        </is>
      </c>
      <c r="H156" s="52">
        <f>IFERROR(IF(INDEX('Faculties'!$L$10:$L$19,MATCH($F156,'Faculties'!$B$10:$B$19,0))="","Cell will autofill based on response",INDEX('Faculties'!$L$10:$L$19,MATCH($F156,'Faculties'!$B$10:$B$19,0))),"N/A")</f>
        <v/>
      </c>
      <c r="I156" s="52">
        <f>IFERROR(IF(INDEX('Faculties'!$L$26:$L$35,MATCH($F156,'Faculties'!$B$26:$B$35,0))="","Cell will autofill based on response",INDEX('Faculties'!$L$26:$L$35,MATCH($F156,'Faculties'!$B$26:$B$35,0))),"N/A")</f>
        <v/>
      </c>
      <c r="J156" s="52">
        <f>IFERROR(IF(INDEX('Faculties'!$L$42:$L$51,MATCH($F156,'Faculties'!$B$42:$B$51,0))="","Cell will autofill based on response",INDEX('Faculties'!$L$42:$L$51,MATCH($F156,'Faculties'!$B$42:$B$51,0))),"N/A")</f>
        <v/>
      </c>
      <c r="K156" s="52">
        <f>IFERROR(IF(INDEX('Faculties'!$L$58:$L$67,MATCH($F156,'Faculties'!$B$58:$B$67,0))="","Cell will autofill based on response",INDEX('Faculties'!$L$58:$L$67,MATCH($F156,'Faculties'!$B$58:$B$67,0))),"N/A")</f>
        <v/>
      </c>
      <c r="L156" s="52">
        <f>IFERROR(IF(INDEX('CI&amp;S'!$L$10:$L$15,MATCH($F156,'CI&amp;S'!$B$10:$B$15,0))="","Cell will autofill based on response",INDEX('CI&amp;S'!$L$10:$L$15,MATCH($F156,'CI&amp;S'!$B$10:$B$15,0))),"N/A")</f>
        <v/>
      </c>
      <c r="M156" s="52">
        <f>IFERROR(IF(INDEX('CI&amp;S'!$L$22:$L$36,MATCH($F156,'CI&amp;S'!$B$22:$B$36,0))="","Cell will autofill based on response",INDEX('CI&amp;S'!$L$22:$L$36,MATCH($F156,'CI&amp;S'!$B$22:$B$36,0))),"N/A")</f>
        <v/>
      </c>
      <c r="N156" s="52">
        <f>IFERROR(IF(INDEX('CFOG'!$L$10:$L$16,MATCH($F156,'CFOG'!$B$10:$B$16,0))="","Cell will autofill based on response",INDEX('CFOG'!$L$10:$L$16,MATCH($F156,'CFOG'!$B$10:$B$16,0))),"N/A")</f>
        <v/>
      </c>
      <c r="O156" s="52">
        <f>IFERROR(IF(INDEX('CFOG'!$L$23:$L$24,MATCH($F156,'CFOG'!$B$23:$B$24,0))="","Cell will autofill based on response",INDEX('CFOG'!$L$23:$L$24,MATCH($F156,'CFOG'!$B$23:$B$24,0))),"N/A")</f>
        <v/>
      </c>
      <c r="P156" s="52">
        <f>IFERROR(IF(INDEX('ESG'!$L$10:$L$17,MATCH($F156,'ESG'!$B$10:$B$17,0))="","Cell will autofill based on response",INDEX('ESG'!$L$10:$L$17,MATCH($F156,'ESG'!$B$10:$B$17,0))),"N/A")</f>
        <v/>
      </c>
      <c r="Q156" s="52">
        <f>IFERROR(IF(INDEX('CIOG'!$L$10:$L$14,MATCH($F156,'CIOG'!$B$10:$B$14,0))="","Cell will autofill based on response",INDEX('CIOG'!$L$10:$L$14,MATCH($F156,'CIOG'!$B$10:$B$14,0))),"N/A")</f>
        <v/>
      </c>
      <c r="R156" s="52">
        <f>IFERROR(IF(INDEX('MRE'!$L$10:$L$18,MATCH($F156,'MRE'!$B$10:$B$18,0))="","Cell will autofill based on response",INDEX('MRE'!$L$10:$L$18,MATCH($F156,'MRE'!$B$10:$B$18,0))),"N/A")</f>
        <v/>
      </c>
      <c r="S156" s="52">
        <f>IFERROR(IF(INDEX('AC&amp;M'!$L$10:$L$14,MATCH($F156,'AC&amp;M'!$B$10:$B$14,0))="","Cell will autofill based on response",INDEX('AC&amp;M'!$L$10:$L$14,MATCH($F156,'AC&amp;M'!$B$10:$B$14,0))),"N/A")</f>
        <v/>
      </c>
      <c r="T156" s="52">
        <f>IFERROR(IF(INDEX('GCE'!$L$10:$L$12,MATCH($F156,'GCE'!$B$10:$B$12,0))="","Cell will autofill based on response",INDEX('GCE'!$L$10:$L$12,MATCH($F156,'GCE'!$B$10:$B$12,0))),"N/A")</f>
        <v/>
      </c>
      <c r="U156" s="52">
        <f>IFERROR(IF(INDEX('Education'!$L$10:$L$13,MATCH($F156,'Education'!$B$10:$B$13,0))="","Cell will autofill based on response",INDEX('Education'!$L$10:$L$13,MATCH($F156,'Education'!$B$10:$B$13,0))),"N/A")</f>
        <v/>
      </c>
      <c r="V156" s="52">
        <f>IFERROR(IF(INDEX('SaSS'!$L$10:$L$12,MATCH($F156,'SaSS'!$B$10:$B$12,0))="","Cell will autofill based on response",INDEX('SaSS'!$L$10:$L$12,MATCH($F156,'SaSS'!$B$10:$B$12,0))),"N/A")</f>
        <v/>
      </c>
      <c r="W156" s="52">
        <f>IFERROR(IF(INDEX('Indigenous'!$L$10:$L$11,MATCH($F156,'Indigenous'!$B$10:$B$11,0))="","Cell will autofill based on response",INDEX('Indigenous'!$L$10:$L$11,MATCH($F156,'Indigenous'!$B$10:$B$11,0))),"N/A")</f>
        <v/>
      </c>
      <c r="X156" s="52">
        <f>IFERROR(IF(INDEX('L&amp;R'!$L$10:$L$11,MATCH($F156,'L&amp;R'!$B$10:$B$11,0))="","Cell will autofill based on response",INDEX('L&amp;R'!$L$10:$L$11,MATCH($F156,'L&amp;R'!$B$10:$B$11,0))),"N/A")</f>
        <v/>
      </c>
      <c r="Z156" s="10">
        <f>SUMPRODUCT(--($H156:$X156&lt;&gt;"N/A"))</f>
        <v/>
      </c>
      <c r="AA156" s="10">
        <f>SUMPRODUCT(--(((($H156:$X156&lt;&gt;"N/A")*($H156:$X156&lt;&gt;"Cell will autofill based on response"))+(($H157:$X157&lt;&gt;"N/A")*($H157:$X157&lt;&gt;"Cell will autofill based on response")))&gt;0))</f>
        <v/>
      </c>
      <c r="AB156" s="10">
        <f>Z156-AA156</f>
        <v/>
      </c>
      <c r="AC156" s="10">
        <f>COUNTIF($H160:$X160,"Yes")</f>
        <v/>
      </c>
    </row>
    <row r="157">
      <c r="A157">
        <f>F157&amp;"|"&amp;G157</f>
        <v/>
      </c>
      <c r="B157" s="13" t="inlineStr"/>
      <c r="C157" s="8" t="inlineStr"/>
      <c r="D157" s="8" t="inlineStr"/>
      <c r="E157" s="8" t="inlineStr"/>
      <c r="F157" s="8" t="inlineStr">
        <is>
          <t>EI1(c)</t>
        </is>
      </c>
      <c r="G157" s="8" t="inlineStr">
        <is>
          <t>OPTION 2:  Indicator level reporting</t>
        </is>
      </c>
      <c r="H157" s="52">
        <f>IFERROR(IF(INDEX('Faculties'!$M$10:$M$19,MATCH($F157,'Faculties'!$B$10:$B$19,0))="","Cell will autofill based on response",INDEX('Faculties'!$M$10:$M$19,MATCH($F157,'Faculties'!$B$10:$B$19,0))),"N/A")</f>
        <v/>
      </c>
      <c r="I157" s="52">
        <f>IFERROR(IF(INDEX('Faculties'!$M$26:$M$35,MATCH($F157,'Faculties'!$B$26:$B$35,0))="","Cell will autofill based on response",INDEX('Faculties'!$M$26:$M$35,MATCH($F157,'Faculties'!$B$26:$B$35,0))),"N/A")</f>
        <v/>
      </c>
      <c r="J157" s="52">
        <f>IFERROR(IF(INDEX('Faculties'!$M$42:$M$51,MATCH($F157,'Faculties'!$B$42:$B$51,0))="","Cell will autofill based on response",INDEX('Faculties'!$M$42:$M$51,MATCH($F157,'Faculties'!$B$42:$B$51,0))),"N/A")</f>
        <v/>
      </c>
      <c r="K157" s="52">
        <f>IFERROR(IF(INDEX('Faculties'!$M$58:$M$67,MATCH($F157,'Faculties'!$B$58:$B$67,0))="","Cell will autofill based on response",INDEX('Faculties'!$M$58:$M$67,MATCH($F157,'Faculties'!$B$58:$B$67,0))),"N/A")</f>
        <v/>
      </c>
      <c r="L157" s="52">
        <f>IFERROR(IF(INDEX('CI&amp;S'!$M$10:$M$15,MATCH($F157,'CI&amp;S'!$B$10:$B$15,0))="","Cell will autofill based on response",INDEX('CI&amp;S'!$M$10:$M$15,MATCH($F157,'CI&amp;S'!$B$10:$B$15,0))),"N/A")</f>
        <v/>
      </c>
      <c r="M157" s="52">
        <f>IFERROR(IF(INDEX('CI&amp;S'!$M$22:$M$36,MATCH($F157,'CI&amp;S'!$B$22:$B$36,0))="","Cell will autofill based on response",INDEX('CI&amp;S'!$M$22:$M$36,MATCH($F157,'CI&amp;S'!$B$22:$B$36,0))),"N/A")</f>
        <v/>
      </c>
      <c r="N157" s="52">
        <f>IFERROR(IF(INDEX('CFOG'!$M$10:$M$16,MATCH($F157,'CFOG'!$B$10:$B$16,0))="","Cell will autofill based on response",INDEX('CFOG'!$M$10:$M$16,MATCH($F157,'CFOG'!$B$10:$B$16,0))),"N/A")</f>
        <v/>
      </c>
      <c r="O157" s="52">
        <f>IFERROR(IF(INDEX('CFOG'!$M$23:$M$24,MATCH($F157,'CFOG'!$B$23:$B$24,0))="","Cell will autofill based on response",INDEX('CFOG'!$M$23:$M$24,MATCH($F157,'CFOG'!$B$23:$B$24,0))),"N/A")</f>
        <v/>
      </c>
      <c r="P157" s="52">
        <f>IFERROR(IF(INDEX('ESG'!$M$10:$M$17,MATCH($F157,'ESG'!$B$10:$B$17,0))="","Cell will autofill based on response",INDEX('ESG'!$M$10:$M$17,MATCH($F157,'ESG'!$B$10:$B$17,0))),"N/A")</f>
        <v/>
      </c>
      <c r="Q157" s="52">
        <f>IFERROR(IF(INDEX('CIOG'!$M$10:$M$14,MATCH($F157,'CIOG'!$B$10:$B$14,0))="","Cell will autofill based on response",INDEX('CIOG'!$M$10:$M$14,MATCH($F157,'CIOG'!$B$10:$B$14,0))),"N/A")</f>
        <v/>
      </c>
      <c r="R157" s="52">
        <f>IFERROR(IF(INDEX('MRE'!$M$10:$M$18,MATCH($F157,'MRE'!$B$10:$B$18,0))="","Cell will autofill based on response",INDEX('MRE'!$M$10:$M$18,MATCH($F157,'MRE'!$B$10:$B$18,0))),"N/A")</f>
        <v/>
      </c>
      <c r="S157" s="52">
        <f>IFERROR(IF(INDEX('AC&amp;M'!$M$10:$M$14,MATCH($F157,'AC&amp;M'!$B$10:$B$14,0))="","Cell will autofill based on response",INDEX('AC&amp;M'!$M$10:$M$14,MATCH($F157,'AC&amp;M'!$B$10:$B$14,0))),"N/A")</f>
        <v/>
      </c>
      <c r="T157" s="52">
        <f>IFERROR(IF(INDEX('GCE'!$M$10:$M$12,MATCH($F157,'GCE'!$B$10:$B$12,0))="","Cell will autofill based on response",INDEX('GCE'!$M$10:$M$12,MATCH($F157,'GCE'!$B$10:$B$12,0))),"N/A")</f>
        <v/>
      </c>
      <c r="U157" s="52">
        <f>IFERROR(IF(INDEX('Education'!$M$10:$M$13,MATCH($F157,'Education'!$B$10:$B$13,0))="","Cell will autofill based on response",INDEX('Education'!$M$10:$M$13,MATCH($F157,'Education'!$B$10:$B$13,0))),"N/A")</f>
        <v/>
      </c>
      <c r="V157" s="52">
        <f>IFERROR(IF(INDEX('SaSS'!$M$10:$M$12,MATCH($F157,'SaSS'!$B$10:$B$12,0))="","Cell will autofill based on response",INDEX('SaSS'!$M$10:$M$12,MATCH($F157,'SaSS'!$B$10:$B$12,0))),"N/A")</f>
        <v/>
      </c>
      <c r="W157" s="52">
        <f>IFERROR(IF(INDEX('Indigenous'!$M$10:$M$11,MATCH($F157,'Indigenous'!$B$10:$B$11,0))="","Cell will autofill based on response",INDEX('Indigenous'!$M$10:$M$11,MATCH($F157,'Indigenous'!$B$10:$B$11,0))),"N/A")</f>
        <v/>
      </c>
      <c r="X157" s="52">
        <f>IFERROR(IF(INDEX('L&amp;R'!$M$10:$M$11,MATCH($F157,'L&amp;R'!$B$10:$B$11,0))="","Cell will autofill based on response",INDEX('L&amp;R'!$M$10:$M$11,MATCH($F157,'L&amp;R'!$B$10:$B$11,0))),"N/A")</f>
        <v/>
      </c>
    </row>
    <row r="158">
      <c r="A158">
        <f>F158&amp;"|"&amp;G158</f>
        <v/>
      </c>
      <c r="B158" s="13" t="inlineStr"/>
      <c r="C158" s="8" t="inlineStr"/>
      <c r="D158" s="8" t="inlineStr"/>
      <c r="E158" s="8" t="inlineStr"/>
      <c r="F158" s="8" t="inlineStr">
        <is>
          <t>EI1(c)</t>
        </is>
      </c>
      <c r="G158" s="8" t="inlineStr">
        <is>
          <t>Supporting information/comments</t>
        </is>
      </c>
      <c r="H158" s="52">
        <f>IFERROR(IF(INDEX('Faculties'!$N$10:$N$19,MATCH($F158,'Faculties'!$B$10:$B$19,0))="","Cell will autofill based on response",INDEX('Faculties'!$N$10:$N$19,MATCH($F158,'Faculties'!$B$10:$B$19,0))),"N/A")</f>
        <v/>
      </c>
      <c r="I158" s="52">
        <f>IFERROR(IF(INDEX('Faculties'!$N$26:$N$35,MATCH($F158,'Faculties'!$B$26:$B$35,0))="","Cell will autofill based on response",INDEX('Faculties'!$N$26:$N$35,MATCH($F158,'Faculties'!$B$26:$B$35,0))),"N/A")</f>
        <v/>
      </c>
      <c r="J158" s="52">
        <f>IFERROR(IF(INDEX('Faculties'!$N$42:$N$51,MATCH($F158,'Faculties'!$B$42:$B$51,0))="","Cell will autofill based on response",INDEX('Faculties'!$N$42:$N$51,MATCH($F158,'Faculties'!$B$42:$B$51,0))),"N/A")</f>
        <v/>
      </c>
      <c r="K158" s="52">
        <f>IFERROR(IF(INDEX('Faculties'!$N$58:$N$67,MATCH($F158,'Faculties'!$B$58:$B$67,0))="","Cell will autofill based on response",INDEX('Faculties'!$N$58:$N$67,MATCH($F158,'Faculties'!$B$58:$B$67,0))),"N/A")</f>
        <v/>
      </c>
      <c r="L158" s="52">
        <f>IFERROR(IF(INDEX('CI&amp;S'!$N$10:$N$15,MATCH($F158,'CI&amp;S'!$B$10:$B$15,0))="","Cell will autofill based on response",INDEX('CI&amp;S'!$N$10:$N$15,MATCH($F158,'CI&amp;S'!$B$10:$B$15,0))),"N/A")</f>
        <v/>
      </c>
      <c r="M158" s="52">
        <f>IFERROR(IF(INDEX('CI&amp;S'!$N$22:$N$36,MATCH($F158,'CI&amp;S'!$B$22:$B$36,0))="","Cell will autofill based on response",INDEX('CI&amp;S'!$N$22:$N$36,MATCH($F158,'CI&amp;S'!$B$22:$B$36,0))),"N/A")</f>
        <v/>
      </c>
      <c r="N158" s="52">
        <f>IFERROR(IF(INDEX('CFOG'!$N$10:$N$16,MATCH($F158,'CFOG'!$B$10:$B$16,0))="","Cell will autofill based on response",INDEX('CFOG'!$N$10:$N$16,MATCH($F158,'CFOG'!$B$10:$B$16,0))),"N/A")</f>
        <v/>
      </c>
      <c r="O158" s="52">
        <f>IFERROR(IF(INDEX('CFOG'!$N$23:$N$24,MATCH($F158,'CFOG'!$B$23:$B$24,0))="","Cell will autofill based on response",INDEX('CFOG'!$N$23:$N$24,MATCH($F158,'CFOG'!$B$23:$B$24,0))),"N/A")</f>
        <v/>
      </c>
      <c r="P158" s="52">
        <f>IFERROR(IF(INDEX('ESG'!$N$10:$N$17,MATCH($F158,'ESG'!$B$10:$B$17,0))="","Cell will autofill based on response",INDEX('ESG'!$N$10:$N$17,MATCH($F158,'ESG'!$B$10:$B$17,0))),"N/A")</f>
        <v/>
      </c>
      <c r="Q158" s="52">
        <f>IFERROR(IF(INDEX('CIOG'!$N$10:$N$14,MATCH($F158,'CIOG'!$B$10:$B$14,0))="","Cell will autofill based on response",INDEX('CIOG'!$N$10:$N$14,MATCH($F158,'CIOG'!$B$10:$B$14,0))),"N/A")</f>
        <v/>
      </c>
      <c r="R158" s="52">
        <f>IFERROR(IF(INDEX('MRE'!$N$10:$N$18,MATCH($F158,'MRE'!$B$10:$B$18,0))="","Cell will autofill based on response",INDEX('MRE'!$N$10:$N$18,MATCH($F158,'MRE'!$B$10:$B$18,0))),"N/A")</f>
        <v/>
      </c>
      <c r="S158" s="52">
        <f>IFERROR(IF(INDEX('AC&amp;M'!$N$10:$N$14,MATCH($F158,'AC&amp;M'!$B$10:$B$14,0))="","Cell will autofill based on response",INDEX('AC&amp;M'!$N$10:$N$14,MATCH($F158,'AC&amp;M'!$B$10:$B$14,0))),"N/A")</f>
        <v/>
      </c>
      <c r="T158" s="52">
        <f>IFERROR(IF(INDEX('GCE'!$N$10:$N$12,MATCH($F158,'GCE'!$B$10:$B$12,0))="","Cell will autofill based on response",INDEX('GCE'!$N$10:$N$12,MATCH($F158,'GCE'!$B$10:$B$12,0))),"N/A")</f>
        <v/>
      </c>
      <c r="U158" s="52">
        <f>IFERROR(IF(INDEX('Education'!$N$10:$N$13,MATCH($F158,'Education'!$B$10:$B$13,0))="","Cell will autofill based on response",INDEX('Education'!$N$10:$N$13,MATCH($F158,'Education'!$B$10:$B$13,0))),"N/A")</f>
        <v/>
      </c>
      <c r="V158" s="52">
        <f>IFERROR(IF(INDEX('SaSS'!$N$10:$N$12,MATCH($F158,'SaSS'!$B$10:$B$12,0))="","Cell will autofill based on response",INDEX('SaSS'!$N$10:$N$12,MATCH($F158,'SaSS'!$B$10:$B$12,0))),"N/A")</f>
        <v/>
      </c>
      <c r="W158" s="52">
        <f>IFERROR(IF(INDEX('Indigenous'!$N$10:$N$11,MATCH($F158,'Indigenous'!$B$10:$B$11,0))="","Cell will autofill based on response",INDEX('Indigenous'!$N$10:$N$11,MATCH($F158,'Indigenous'!$B$10:$B$11,0))),"N/A")</f>
        <v/>
      </c>
      <c r="X158" s="52">
        <f>IFERROR(IF(INDEX('L&amp;R'!$N$10:$N$11,MATCH($F158,'L&amp;R'!$B$10:$B$11,0))="","Cell will autofill based on response",INDEX('L&amp;R'!$N$10:$N$11,MATCH($F158,'L&amp;R'!$B$10:$B$11,0))),"N/A")</f>
        <v/>
      </c>
    </row>
    <row r="159">
      <c r="A159">
        <f>F159&amp;"|"&amp;G159</f>
        <v/>
      </c>
      <c r="B159" s="13" t="inlineStr"/>
      <c r="C159" s="8" t="inlineStr"/>
      <c r="D159" s="8" t="inlineStr"/>
      <c r="E159" s="8" t="inlineStr"/>
      <c r="F159" s="8" t="inlineStr">
        <is>
          <t>EI1(c)</t>
        </is>
      </c>
      <c r="G159" s="8" t="inlineStr">
        <is>
          <t>Data source and limitations</t>
        </is>
      </c>
      <c r="H159" s="52">
        <f>IFERROR(IF(INDEX('Faculties'!$O$10:$O$19,MATCH($F159,'Faculties'!$B$10:$B$19,0))="","Cell will autofill based on response",INDEX('Faculties'!$O$10:$O$19,MATCH($F159,'Faculties'!$B$10:$B$19,0))),"N/A")</f>
        <v/>
      </c>
      <c r="I159" s="52">
        <f>IFERROR(IF(INDEX('Faculties'!$O$26:$O$35,MATCH($F159,'Faculties'!$B$26:$B$35,0))="","Cell will autofill based on response",INDEX('Faculties'!$O$26:$O$35,MATCH($F159,'Faculties'!$B$26:$B$35,0))),"N/A")</f>
        <v/>
      </c>
      <c r="J159" s="52">
        <f>IFERROR(IF(INDEX('Faculties'!$O$42:$O$51,MATCH($F159,'Faculties'!$B$42:$B$51,0))="","Cell will autofill based on response",INDEX('Faculties'!$O$42:$O$51,MATCH($F159,'Faculties'!$B$42:$B$51,0))),"N/A")</f>
        <v/>
      </c>
      <c r="K159" s="52">
        <f>IFERROR(IF(INDEX('Faculties'!$O$58:$O$67,MATCH($F159,'Faculties'!$B$58:$B$67,0))="","Cell will autofill based on response",INDEX('Faculties'!$O$58:$O$67,MATCH($F159,'Faculties'!$B$58:$B$67,0))),"N/A")</f>
        <v/>
      </c>
      <c r="L159" s="52">
        <f>IFERROR(IF(INDEX('CI&amp;S'!$O$10:$O$15,MATCH($F159,'CI&amp;S'!$B$10:$B$15,0))="","Cell will autofill based on response",INDEX('CI&amp;S'!$O$10:$O$15,MATCH($F159,'CI&amp;S'!$B$10:$B$15,0))),"N/A")</f>
        <v/>
      </c>
      <c r="M159" s="52">
        <f>IFERROR(IF(INDEX('CI&amp;S'!$O$22:$O$36,MATCH($F159,'CI&amp;S'!$B$22:$B$36,0))="","Cell will autofill based on response",INDEX('CI&amp;S'!$O$22:$O$36,MATCH($F159,'CI&amp;S'!$B$22:$B$36,0))),"N/A")</f>
        <v/>
      </c>
      <c r="N159" s="52">
        <f>IFERROR(IF(INDEX('CFOG'!$O$10:$O$16,MATCH($F159,'CFOG'!$B$10:$B$16,0))="","Cell will autofill based on response",INDEX('CFOG'!$O$10:$O$16,MATCH($F159,'CFOG'!$B$10:$B$16,0))),"N/A")</f>
        <v/>
      </c>
      <c r="O159" s="52">
        <f>IFERROR(IF(INDEX('CFOG'!$O$23:$O$24,MATCH($F159,'CFOG'!$B$23:$B$24,0))="","Cell will autofill based on response",INDEX('CFOG'!$O$23:$O$24,MATCH($F159,'CFOG'!$B$23:$B$24,0))),"N/A")</f>
        <v/>
      </c>
      <c r="P159" s="52">
        <f>IFERROR(IF(INDEX('ESG'!$O$10:$O$17,MATCH($F159,'ESG'!$B$10:$B$17,0))="","Cell will autofill based on response",INDEX('ESG'!$O$10:$O$17,MATCH($F159,'ESG'!$B$10:$B$17,0))),"N/A")</f>
        <v/>
      </c>
      <c r="Q159" s="52">
        <f>IFERROR(IF(INDEX('CIOG'!$O$10:$O$14,MATCH($F159,'CIOG'!$B$10:$B$14,0))="","Cell will autofill based on response",INDEX('CIOG'!$O$10:$O$14,MATCH($F159,'CIOG'!$B$10:$B$14,0))),"N/A")</f>
        <v/>
      </c>
      <c r="R159" s="52">
        <f>IFERROR(IF(INDEX('MRE'!$O$10:$O$18,MATCH($F159,'MRE'!$B$10:$B$18,0))="","Cell will autofill based on response",INDEX('MRE'!$O$10:$O$18,MATCH($F159,'MRE'!$B$10:$B$18,0))),"N/A")</f>
        <v/>
      </c>
      <c r="S159" s="52">
        <f>IFERROR(IF(INDEX('AC&amp;M'!$O$10:$O$14,MATCH($F159,'AC&amp;M'!$B$10:$B$14,0))="","Cell will autofill based on response",INDEX('AC&amp;M'!$O$10:$O$14,MATCH($F159,'AC&amp;M'!$B$10:$B$14,0))),"N/A")</f>
        <v/>
      </c>
      <c r="T159" s="52">
        <f>IFERROR(IF(INDEX('GCE'!$O$10:$O$12,MATCH($F159,'GCE'!$B$10:$B$12,0))="","Cell will autofill based on response",INDEX('GCE'!$O$10:$O$12,MATCH($F159,'GCE'!$B$10:$B$12,0))),"N/A")</f>
        <v/>
      </c>
      <c r="U159" s="52">
        <f>IFERROR(IF(INDEX('Education'!$O$10:$O$13,MATCH($F159,'Education'!$B$10:$B$13,0))="","Cell will autofill based on response",INDEX('Education'!$O$10:$O$13,MATCH($F159,'Education'!$B$10:$B$13,0))),"N/A")</f>
        <v/>
      </c>
      <c r="V159" s="52">
        <f>IFERROR(IF(INDEX('SaSS'!$O$10:$O$12,MATCH($F159,'SaSS'!$B$10:$B$12,0))="","Cell will autofill based on response",INDEX('SaSS'!$O$10:$O$12,MATCH($F159,'SaSS'!$B$10:$B$12,0))),"N/A")</f>
        <v/>
      </c>
      <c r="W159" s="52">
        <f>IFERROR(IF(INDEX('Indigenous'!$O$10:$O$11,MATCH($F159,'Indigenous'!$B$10:$B$11,0))="","Cell will autofill based on response",INDEX('Indigenous'!$O$10:$O$11,MATCH($F159,'Indigenous'!$B$10:$B$11,0))),"N/A")</f>
        <v/>
      </c>
      <c r="X159" s="52">
        <f>IFERROR(IF(INDEX('L&amp;R'!$O$10:$O$11,MATCH($F159,'L&amp;R'!$B$10:$B$11,0))="","Cell will autofill based on response",INDEX('L&amp;R'!$O$10:$O$11,MATCH($F159,'L&amp;R'!$B$10:$B$11,0))),"N/A")</f>
        <v/>
      </c>
    </row>
    <row r="160">
      <c r="A160">
        <f>F160&amp;"|"&amp;G160</f>
        <v/>
      </c>
      <c r="B160" s="13" t="inlineStr"/>
      <c r="C160" s="8" t="inlineStr"/>
      <c r="D160" s="8" t="inlineStr"/>
      <c r="E160" s="8" t="inlineStr"/>
      <c r="F160" s="8" t="inlineStr">
        <is>
          <t>EI1(c)</t>
        </is>
      </c>
      <c r="G160" s="8" t="inlineStr">
        <is>
          <t>Data owner confirms</t>
        </is>
      </c>
      <c r="H160" s="52">
        <f>IFERROR(IF(INDEX('Faculties'!$P$10:$P$19,MATCH($F160,'Faculties'!$B$10:$B$19,0))="","Cell will autofill based on response",INDEX('Faculties'!$P$10:$P$19,MATCH($F160,'Faculties'!$B$10:$B$19,0))),"N/A")</f>
        <v/>
      </c>
      <c r="I160" s="52">
        <f>IFERROR(IF(INDEX('Faculties'!$P$26:$P$35,MATCH($F160,'Faculties'!$B$26:$B$35,0))="","Cell will autofill based on response",INDEX('Faculties'!$P$26:$P$35,MATCH($F160,'Faculties'!$B$26:$B$35,0))),"N/A")</f>
        <v/>
      </c>
      <c r="J160" s="52">
        <f>IFERROR(IF(INDEX('Faculties'!$P$42:$P$51,MATCH($F160,'Faculties'!$B$42:$B$51,0))="","Cell will autofill based on response",INDEX('Faculties'!$P$42:$P$51,MATCH($F160,'Faculties'!$B$42:$B$51,0))),"N/A")</f>
        <v/>
      </c>
      <c r="K160" s="52">
        <f>IFERROR(IF(INDEX('Faculties'!$P$58:$P$67,MATCH($F160,'Faculties'!$B$58:$B$67,0))="","Cell will autofill based on response",INDEX('Faculties'!$P$58:$P$67,MATCH($F160,'Faculties'!$B$58:$B$67,0))),"N/A")</f>
        <v/>
      </c>
      <c r="L160" s="52">
        <f>IFERROR(IF(INDEX('CI&amp;S'!$P$10:$P$15,MATCH($F160,'CI&amp;S'!$B$10:$B$15,0))="","Cell will autofill based on response",INDEX('CI&amp;S'!$P$10:$P$15,MATCH($F160,'CI&amp;S'!$B$10:$B$15,0))),"N/A")</f>
        <v/>
      </c>
      <c r="M160" s="52">
        <f>IFERROR(IF(INDEX('CI&amp;S'!$P$22:$P$36,MATCH($F160,'CI&amp;S'!$B$22:$B$36,0))="","Cell will autofill based on response",INDEX('CI&amp;S'!$P$22:$P$36,MATCH($F160,'CI&amp;S'!$B$22:$B$36,0))),"N/A")</f>
        <v/>
      </c>
      <c r="N160" s="52">
        <f>IFERROR(IF(INDEX('CFOG'!$P$10:$P$16,MATCH($F160,'CFOG'!$B$10:$B$16,0))="","Cell will autofill based on response",INDEX('CFOG'!$P$10:$P$16,MATCH($F160,'CFOG'!$B$10:$B$16,0))),"N/A")</f>
        <v/>
      </c>
      <c r="O160" s="52">
        <f>IFERROR(IF(INDEX('CFOG'!$P$23:$P$24,MATCH($F160,'CFOG'!$B$23:$B$24,0))="","Cell will autofill based on response",INDEX('CFOG'!$P$23:$P$24,MATCH($F160,'CFOG'!$B$23:$B$24,0))),"N/A")</f>
        <v/>
      </c>
      <c r="P160" s="52">
        <f>IFERROR(IF(INDEX('ESG'!$P$10:$P$17,MATCH($F160,'ESG'!$B$10:$B$17,0))="","Cell will autofill based on response",INDEX('ESG'!$P$10:$P$17,MATCH($F160,'ESG'!$B$10:$B$17,0))),"N/A")</f>
        <v/>
      </c>
      <c r="Q160" s="52">
        <f>IFERROR(IF(INDEX('CIOG'!$P$10:$P$14,MATCH($F160,'CIOG'!$B$10:$B$14,0))="","Cell will autofill based on response",INDEX('CIOG'!$P$10:$P$14,MATCH($F160,'CIOG'!$B$10:$B$14,0))),"N/A")</f>
        <v/>
      </c>
      <c r="R160" s="52">
        <f>IFERROR(IF(INDEX('MRE'!$P$10:$P$18,MATCH($F160,'MRE'!$B$10:$B$18,0))="","Cell will autofill based on response",INDEX('MRE'!$P$10:$P$18,MATCH($F160,'MRE'!$B$10:$B$18,0))),"N/A")</f>
        <v/>
      </c>
      <c r="S160" s="52">
        <f>IFERROR(IF(INDEX('AC&amp;M'!$P$10:$P$14,MATCH($F160,'AC&amp;M'!$B$10:$B$14,0))="","Cell will autofill based on response",INDEX('AC&amp;M'!$P$10:$P$14,MATCH($F160,'AC&amp;M'!$B$10:$B$14,0))),"N/A")</f>
        <v/>
      </c>
      <c r="T160" s="52">
        <f>IFERROR(IF(INDEX('GCE'!$P$10:$P$12,MATCH($F160,'GCE'!$B$10:$B$12,0))="","Cell will autofill based on response",INDEX('GCE'!$P$10:$P$12,MATCH($F160,'GCE'!$B$10:$B$12,0))),"N/A")</f>
        <v/>
      </c>
      <c r="U160" s="52">
        <f>IFERROR(IF(INDEX('Education'!$P$10:$P$13,MATCH($F160,'Education'!$B$10:$B$13,0))="","Cell will autofill based on response",INDEX('Education'!$P$10:$P$13,MATCH($F160,'Education'!$B$10:$B$13,0))),"N/A")</f>
        <v/>
      </c>
      <c r="V160" s="52">
        <f>IFERROR(IF(INDEX('SaSS'!$P$10:$P$12,MATCH($F160,'SaSS'!$B$10:$B$12,0))="","Cell will autofill based on response",INDEX('SaSS'!$P$10:$P$12,MATCH($F160,'SaSS'!$B$10:$B$12,0))),"N/A")</f>
        <v/>
      </c>
      <c r="W160" s="52">
        <f>IFERROR(IF(INDEX('Indigenous'!$P$10:$P$11,MATCH($F160,'Indigenous'!$B$10:$B$11,0))="","Cell will autofill based on response",INDEX('Indigenous'!$P$10:$P$11,MATCH($F160,'Indigenous'!$B$10:$B$11,0))),"N/A")</f>
        <v/>
      </c>
      <c r="X160" s="52">
        <f>IFERROR(IF(INDEX('L&amp;R'!$P$10:$P$11,MATCH($F160,'L&amp;R'!$B$10:$B$11,0))="","Cell will autofill based on response",INDEX('L&amp;R'!$P$10:$P$11,MATCH($F160,'L&amp;R'!$B$10:$B$11,0))),"N/A")</f>
        <v/>
      </c>
    </row>
    <row r="161">
      <c r="A161">
        <f>F161&amp;"|"&amp;G161</f>
        <v/>
      </c>
      <c r="B161" s="7" t="inlineStr">
        <is>
          <t>EI1(d)</t>
        </is>
      </c>
      <c r="C161" s="50" t="inlineStr">
        <is>
          <t>Estate and infrastructure</t>
        </is>
      </c>
      <c r="D161" s="50" t="inlineStr">
        <is>
          <t>Evidence of understanding and integration of Indigenous approaches to sustainability in estate planning and development programs and projects.</t>
        </is>
      </c>
      <c r="E161" s="50"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61" s="50" t="inlineStr">
        <is>
          <t>EI1(d)</t>
        </is>
      </c>
      <c r="G161" s="50" t="inlineStr">
        <is>
          <t>OPTION 1:  Target-level reporting</t>
        </is>
      </c>
      <c r="H161" s="52">
        <f>IFERROR(IF(INDEX('Faculties'!$L$10:$L$19,MATCH($F161,'Faculties'!$B$10:$B$19,0))="","Cell will autofill based on response",INDEX('Faculties'!$L$10:$L$19,MATCH($F161,'Faculties'!$B$10:$B$19,0))),"N/A")</f>
        <v/>
      </c>
      <c r="I161" s="52">
        <f>IFERROR(IF(INDEX('Faculties'!$L$26:$L$35,MATCH($F161,'Faculties'!$B$26:$B$35,0))="","Cell will autofill based on response",INDEX('Faculties'!$L$26:$L$35,MATCH($F161,'Faculties'!$B$26:$B$35,0))),"N/A")</f>
        <v/>
      </c>
      <c r="J161" s="52">
        <f>IFERROR(IF(INDEX('Faculties'!$L$42:$L$51,MATCH($F161,'Faculties'!$B$42:$B$51,0))="","Cell will autofill based on response",INDEX('Faculties'!$L$42:$L$51,MATCH($F161,'Faculties'!$B$42:$B$51,0))),"N/A")</f>
        <v/>
      </c>
      <c r="K161" s="52">
        <f>IFERROR(IF(INDEX('Faculties'!$L$58:$L$67,MATCH($F161,'Faculties'!$B$58:$B$67,0))="","Cell will autofill based on response",INDEX('Faculties'!$L$58:$L$67,MATCH($F161,'Faculties'!$B$58:$B$67,0))),"N/A")</f>
        <v/>
      </c>
      <c r="L161" s="52">
        <f>IFERROR(IF(INDEX('CI&amp;S'!$L$10:$L$15,MATCH($F161,'CI&amp;S'!$B$10:$B$15,0))="","Cell will autofill based on response",INDEX('CI&amp;S'!$L$10:$L$15,MATCH($F161,'CI&amp;S'!$B$10:$B$15,0))),"N/A")</f>
        <v/>
      </c>
      <c r="M161" s="52">
        <f>IFERROR(IF(INDEX('CI&amp;S'!$L$22:$L$36,MATCH($F161,'CI&amp;S'!$B$22:$B$36,0))="","Cell will autofill based on response",INDEX('CI&amp;S'!$L$22:$L$36,MATCH($F161,'CI&amp;S'!$B$22:$B$36,0))),"N/A")</f>
        <v/>
      </c>
      <c r="N161" s="52">
        <f>IFERROR(IF(INDEX('CFOG'!$L$10:$L$16,MATCH($F161,'CFOG'!$B$10:$B$16,0))="","Cell will autofill based on response",INDEX('CFOG'!$L$10:$L$16,MATCH($F161,'CFOG'!$B$10:$B$16,0))),"N/A")</f>
        <v/>
      </c>
      <c r="O161" s="52">
        <f>IFERROR(IF(INDEX('CFOG'!$L$23:$L$24,MATCH($F161,'CFOG'!$B$23:$B$24,0))="","Cell will autofill based on response",INDEX('CFOG'!$L$23:$L$24,MATCH($F161,'CFOG'!$B$23:$B$24,0))),"N/A")</f>
        <v/>
      </c>
      <c r="P161" s="52">
        <f>IFERROR(IF(INDEX('ESG'!$L$10:$L$17,MATCH($F161,'ESG'!$B$10:$B$17,0))="","Cell will autofill based on response",INDEX('ESG'!$L$10:$L$17,MATCH($F161,'ESG'!$B$10:$B$17,0))),"N/A")</f>
        <v/>
      </c>
      <c r="Q161" s="52">
        <f>IFERROR(IF(INDEX('CIOG'!$L$10:$L$14,MATCH($F161,'CIOG'!$B$10:$B$14,0))="","Cell will autofill based on response",INDEX('CIOG'!$L$10:$L$14,MATCH($F161,'CIOG'!$B$10:$B$14,0))),"N/A")</f>
        <v/>
      </c>
      <c r="R161" s="52">
        <f>IFERROR(IF(INDEX('MRE'!$L$10:$L$18,MATCH($F161,'MRE'!$B$10:$B$18,0))="","Cell will autofill based on response",INDEX('MRE'!$L$10:$L$18,MATCH($F161,'MRE'!$B$10:$B$18,0))),"N/A")</f>
        <v/>
      </c>
      <c r="S161" s="52">
        <f>IFERROR(IF(INDEX('AC&amp;M'!$L$10:$L$14,MATCH($F161,'AC&amp;M'!$B$10:$B$14,0))="","Cell will autofill based on response",INDEX('AC&amp;M'!$L$10:$L$14,MATCH($F161,'AC&amp;M'!$B$10:$B$14,0))),"N/A")</f>
        <v/>
      </c>
      <c r="T161" s="52">
        <f>IFERROR(IF(INDEX('GCE'!$L$10:$L$12,MATCH($F161,'GCE'!$B$10:$B$12,0))="","Cell will autofill based on response",INDEX('GCE'!$L$10:$L$12,MATCH($F161,'GCE'!$B$10:$B$12,0))),"N/A")</f>
        <v/>
      </c>
      <c r="U161" s="52">
        <f>IFERROR(IF(INDEX('Education'!$L$10:$L$13,MATCH($F161,'Education'!$B$10:$B$13,0))="","Cell will autofill based on response",INDEX('Education'!$L$10:$L$13,MATCH($F161,'Education'!$B$10:$B$13,0))),"N/A")</f>
        <v/>
      </c>
      <c r="V161" s="52">
        <f>IFERROR(IF(INDEX('SaSS'!$L$10:$L$12,MATCH($F161,'SaSS'!$B$10:$B$12,0))="","Cell will autofill based on response",INDEX('SaSS'!$L$10:$L$12,MATCH($F161,'SaSS'!$B$10:$B$12,0))),"N/A")</f>
        <v/>
      </c>
      <c r="W161" s="52">
        <f>IFERROR(IF(INDEX('Indigenous'!$L$10:$L$11,MATCH($F161,'Indigenous'!$B$10:$B$11,0))="","Cell will autofill based on response",INDEX('Indigenous'!$L$10:$L$11,MATCH($F161,'Indigenous'!$B$10:$B$11,0))),"N/A")</f>
        <v/>
      </c>
      <c r="X161" s="52">
        <f>IFERROR(IF(INDEX('L&amp;R'!$L$10:$L$11,MATCH($F161,'L&amp;R'!$B$10:$B$11,0))="","Cell will autofill based on response",INDEX('L&amp;R'!$L$10:$L$11,MATCH($F161,'L&amp;R'!$B$10:$B$11,0))),"N/A")</f>
        <v/>
      </c>
      <c r="Z161" s="10">
        <f>SUMPRODUCT(--($H161:$X161&lt;&gt;"N/A"))</f>
        <v/>
      </c>
      <c r="AA161" s="10">
        <f>SUMPRODUCT(--(((($H161:$X161&lt;&gt;"N/A")*($H161:$X161&lt;&gt;"Cell will autofill based on response"))+(($H162:$X162&lt;&gt;"N/A")*($H162:$X162&lt;&gt;"Cell will autofill based on response")))&gt;0))</f>
        <v/>
      </c>
      <c r="AB161" s="10">
        <f>Z161-AA161</f>
        <v/>
      </c>
      <c r="AC161" s="10">
        <f>COUNTIF($H165:$X165,"Yes")</f>
        <v/>
      </c>
    </row>
    <row r="162">
      <c r="A162">
        <f>F162&amp;"|"&amp;G162</f>
        <v/>
      </c>
      <c r="B162" s="13" t="inlineStr"/>
      <c r="C162" s="8" t="inlineStr"/>
      <c r="D162" s="8" t="inlineStr"/>
      <c r="E162" s="8" t="inlineStr"/>
      <c r="F162" s="8" t="inlineStr">
        <is>
          <t>EI1(d)</t>
        </is>
      </c>
      <c r="G162" s="8" t="inlineStr">
        <is>
          <t>OPTION 2:  Indicator level reporting</t>
        </is>
      </c>
      <c r="H162" s="52">
        <f>IFERROR(IF(INDEX('Faculties'!$M$10:$M$19,MATCH($F162,'Faculties'!$B$10:$B$19,0))="","Cell will autofill based on response",INDEX('Faculties'!$M$10:$M$19,MATCH($F162,'Faculties'!$B$10:$B$19,0))),"N/A")</f>
        <v/>
      </c>
      <c r="I162" s="52">
        <f>IFERROR(IF(INDEX('Faculties'!$M$26:$M$35,MATCH($F162,'Faculties'!$B$26:$B$35,0))="","Cell will autofill based on response",INDEX('Faculties'!$M$26:$M$35,MATCH($F162,'Faculties'!$B$26:$B$35,0))),"N/A")</f>
        <v/>
      </c>
      <c r="J162" s="52">
        <f>IFERROR(IF(INDEX('Faculties'!$M$42:$M$51,MATCH($F162,'Faculties'!$B$42:$B$51,0))="","Cell will autofill based on response",INDEX('Faculties'!$M$42:$M$51,MATCH($F162,'Faculties'!$B$42:$B$51,0))),"N/A")</f>
        <v/>
      </c>
      <c r="K162" s="52">
        <f>IFERROR(IF(INDEX('Faculties'!$M$58:$M$67,MATCH($F162,'Faculties'!$B$58:$B$67,0))="","Cell will autofill based on response",INDEX('Faculties'!$M$58:$M$67,MATCH($F162,'Faculties'!$B$58:$B$67,0))),"N/A")</f>
        <v/>
      </c>
      <c r="L162" s="52">
        <f>IFERROR(IF(INDEX('CI&amp;S'!$M$10:$M$15,MATCH($F162,'CI&amp;S'!$B$10:$B$15,0))="","Cell will autofill based on response",INDEX('CI&amp;S'!$M$10:$M$15,MATCH($F162,'CI&amp;S'!$B$10:$B$15,0))),"N/A")</f>
        <v/>
      </c>
      <c r="M162" s="52">
        <f>IFERROR(IF(INDEX('CI&amp;S'!$M$22:$M$36,MATCH($F162,'CI&amp;S'!$B$22:$B$36,0))="","Cell will autofill based on response",INDEX('CI&amp;S'!$M$22:$M$36,MATCH($F162,'CI&amp;S'!$B$22:$B$36,0))),"N/A")</f>
        <v/>
      </c>
      <c r="N162" s="52">
        <f>IFERROR(IF(INDEX('CFOG'!$M$10:$M$16,MATCH($F162,'CFOG'!$B$10:$B$16,0))="","Cell will autofill based on response",INDEX('CFOG'!$M$10:$M$16,MATCH($F162,'CFOG'!$B$10:$B$16,0))),"N/A")</f>
        <v/>
      </c>
      <c r="O162" s="52">
        <f>IFERROR(IF(INDEX('CFOG'!$M$23:$M$24,MATCH($F162,'CFOG'!$B$23:$B$24,0))="","Cell will autofill based on response",INDEX('CFOG'!$M$23:$M$24,MATCH($F162,'CFOG'!$B$23:$B$24,0))),"N/A")</f>
        <v/>
      </c>
      <c r="P162" s="52">
        <f>IFERROR(IF(INDEX('ESG'!$M$10:$M$17,MATCH($F162,'ESG'!$B$10:$B$17,0))="","Cell will autofill based on response",INDEX('ESG'!$M$10:$M$17,MATCH($F162,'ESG'!$B$10:$B$17,0))),"N/A")</f>
        <v/>
      </c>
      <c r="Q162" s="52">
        <f>IFERROR(IF(INDEX('CIOG'!$M$10:$M$14,MATCH($F162,'CIOG'!$B$10:$B$14,0))="","Cell will autofill based on response",INDEX('CIOG'!$M$10:$M$14,MATCH($F162,'CIOG'!$B$10:$B$14,0))),"N/A")</f>
        <v/>
      </c>
      <c r="R162" s="52">
        <f>IFERROR(IF(INDEX('MRE'!$M$10:$M$18,MATCH($F162,'MRE'!$B$10:$B$18,0))="","Cell will autofill based on response",INDEX('MRE'!$M$10:$M$18,MATCH($F162,'MRE'!$B$10:$B$18,0))),"N/A")</f>
        <v/>
      </c>
      <c r="S162" s="52">
        <f>IFERROR(IF(INDEX('AC&amp;M'!$M$10:$M$14,MATCH($F162,'AC&amp;M'!$B$10:$B$14,0))="","Cell will autofill based on response",INDEX('AC&amp;M'!$M$10:$M$14,MATCH($F162,'AC&amp;M'!$B$10:$B$14,0))),"N/A")</f>
        <v/>
      </c>
      <c r="T162" s="52">
        <f>IFERROR(IF(INDEX('GCE'!$M$10:$M$12,MATCH($F162,'GCE'!$B$10:$B$12,0))="","Cell will autofill based on response",INDEX('GCE'!$M$10:$M$12,MATCH($F162,'GCE'!$B$10:$B$12,0))),"N/A")</f>
        <v/>
      </c>
      <c r="U162" s="52">
        <f>IFERROR(IF(INDEX('Education'!$M$10:$M$13,MATCH($F162,'Education'!$B$10:$B$13,0))="","Cell will autofill based on response",INDEX('Education'!$M$10:$M$13,MATCH($F162,'Education'!$B$10:$B$13,0))),"N/A")</f>
        <v/>
      </c>
      <c r="V162" s="52">
        <f>IFERROR(IF(INDEX('SaSS'!$M$10:$M$12,MATCH($F162,'SaSS'!$B$10:$B$12,0))="","Cell will autofill based on response",INDEX('SaSS'!$M$10:$M$12,MATCH($F162,'SaSS'!$B$10:$B$12,0))),"N/A")</f>
        <v/>
      </c>
      <c r="W162" s="52">
        <f>IFERROR(IF(INDEX('Indigenous'!$M$10:$M$11,MATCH($F162,'Indigenous'!$B$10:$B$11,0))="","Cell will autofill based on response",INDEX('Indigenous'!$M$10:$M$11,MATCH($F162,'Indigenous'!$B$10:$B$11,0))),"N/A")</f>
        <v/>
      </c>
      <c r="X162" s="52">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EI1(d)</t>
        </is>
      </c>
      <c r="G163" s="8" t="inlineStr">
        <is>
          <t>Supporting information/comments</t>
        </is>
      </c>
      <c r="H163" s="52">
        <f>IFERROR(IF(INDEX('Faculties'!$N$10:$N$19,MATCH($F163,'Faculties'!$B$10:$B$19,0))="","Cell will autofill based on response",INDEX('Faculties'!$N$10:$N$19,MATCH($F163,'Faculties'!$B$10:$B$19,0))),"N/A")</f>
        <v/>
      </c>
      <c r="I163" s="52">
        <f>IFERROR(IF(INDEX('Faculties'!$N$26:$N$35,MATCH($F163,'Faculties'!$B$26:$B$35,0))="","Cell will autofill based on response",INDEX('Faculties'!$N$26:$N$35,MATCH($F163,'Faculties'!$B$26:$B$35,0))),"N/A")</f>
        <v/>
      </c>
      <c r="J163" s="52">
        <f>IFERROR(IF(INDEX('Faculties'!$N$42:$N$51,MATCH($F163,'Faculties'!$B$42:$B$51,0))="","Cell will autofill based on response",INDEX('Faculties'!$N$42:$N$51,MATCH($F163,'Faculties'!$B$42:$B$51,0))),"N/A")</f>
        <v/>
      </c>
      <c r="K163" s="52">
        <f>IFERROR(IF(INDEX('Faculties'!$N$58:$N$67,MATCH($F163,'Faculties'!$B$58:$B$67,0))="","Cell will autofill based on response",INDEX('Faculties'!$N$58:$N$67,MATCH($F163,'Faculties'!$B$58:$B$67,0))),"N/A")</f>
        <v/>
      </c>
      <c r="L163" s="52">
        <f>IFERROR(IF(INDEX('CI&amp;S'!$N$10:$N$15,MATCH($F163,'CI&amp;S'!$B$10:$B$15,0))="","Cell will autofill based on response",INDEX('CI&amp;S'!$N$10:$N$15,MATCH($F163,'CI&amp;S'!$B$10:$B$15,0))),"N/A")</f>
        <v/>
      </c>
      <c r="M163" s="52">
        <f>IFERROR(IF(INDEX('CI&amp;S'!$N$22:$N$36,MATCH($F163,'CI&amp;S'!$B$22:$B$36,0))="","Cell will autofill based on response",INDEX('CI&amp;S'!$N$22:$N$36,MATCH($F163,'CI&amp;S'!$B$22:$B$36,0))),"N/A")</f>
        <v/>
      </c>
      <c r="N163" s="52">
        <f>IFERROR(IF(INDEX('CFOG'!$N$10:$N$16,MATCH($F163,'CFOG'!$B$10:$B$16,0))="","Cell will autofill based on response",INDEX('CFOG'!$N$10:$N$16,MATCH($F163,'CFOG'!$B$10:$B$16,0))),"N/A")</f>
        <v/>
      </c>
      <c r="O163" s="52">
        <f>IFERROR(IF(INDEX('CFOG'!$N$23:$N$24,MATCH($F163,'CFOG'!$B$23:$B$24,0))="","Cell will autofill based on response",INDEX('CFOG'!$N$23:$N$24,MATCH($F163,'CFOG'!$B$23:$B$24,0))),"N/A")</f>
        <v/>
      </c>
      <c r="P163" s="52">
        <f>IFERROR(IF(INDEX('ESG'!$N$10:$N$17,MATCH($F163,'ESG'!$B$10:$B$17,0))="","Cell will autofill based on response",INDEX('ESG'!$N$10:$N$17,MATCH($F163,'ESG'!$B$10:$B$17,0))),"N/A")</f>
        <v/>
      </c>
      <c r="Q163" s="52">
        <f>IFERROR(IF(INDEX('CIOG'!$N$10:$N$14,MATCH($F163,'CIOG'!$B$10:$B$14,0))="","Cell will autofill based on response",INDEX('CIOG'!$N$10:$N$14,MATCH($F163,'CIOG'!$B$10:$B$14,0))),"N/A")</f>
        <v/>
      </c>
      <c r="R163" s="52">
        <f>IFERROR(IF(INDEX('MRE'!$N$10:$N$18,MATCH($F163,'MRE'!$B$10:$B$18,0))="","Cell will autofill based on response",INDEX('MRE'!$N$10:$N$18,MATCH($F163,'MRE'!$B$10:$B$18,0))),"N/A")</f>
        <v/>
      </c>
      <c r="S163" s="52">
        <f>IFERROR(IF(INDEX('AC&amp;M'!$N$10:$N$14,MATCH($F163,'AC&amp;M'!$B$10:$B$14,0))="","Cell will autofill based on response",INDEX('AC&amp;M'!$N$10:$N$14,MATCH($F163,'AC&amp;M'!$B$10:$B$14,0))),"N/A")</f>
        <v/>
      </c>
      <c r="T163" s="52">
        <f>IFERROR(IF(INDEX('GCE'!$N$10:$N$12,MATCH($F163,'GCE'!$B$10:$B$12,0))="","Cell will autofill based on response",INDEX('GCE'!$N$10:$N$12,MATCH($F163,'GCE'!$B$10:$B$12,0))),"N/A")</f>
        <v/>
      </c>
      <c r="U163" s="52">
        <f>IFERROR(IF(INDEX('Education'!$N$10:$N$13,MATCH($F163,'Education'!$B$10:$B$13,0))="","Cell will autofill based on response",INDEX('Education'!$N$10:$N$13,MATCH($F163,'Education'!$B$10:$B$13,0))),"N/A")</f>
        <v/>
      </c>
      <c r="V163" s="52">
        <f>IFERROR(IF(INDEX('SaSS'!$N$10:$N$12,MATCH($F163,'SaSS'!$B$10:$B$12,0))="","Cell will autofill based on response",INDEX('SaSS'!$N$10:$N$12,MATCH($F163,'SaSS'!$B$10:$B$12,0))),"N/A")</f>
        <v/>
      </c>
      <c r="W163" s="52">
        <f>IFERROR(IF(INDEX('Indigenous'!$N$10:$N$11,MATCH($F163,'Indigenous'!$B$10:$B$11,0))="","Cell will autofill based on response",INDEX('Indigenous'!$N$10:$N$11,MATCH($F163,'Indigenous'!$B$10:$B$11,0))),"N/A")</f>
        <v/>
      </c>
      <c r="X163" s="52">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EI1(d)</t>
        </is>
      </c>
      <c r="G164" s="8" t="inlineStr">
        <is>
          <t>Data source and limitations</t>
        </is>
      </c>
      <c r="H164" s="52">
        <f>IFERROR(IF(INDEX('Faculties'!$O$10:$O$19,MATCH($F164,'Faculties'!$B$10:$B$19,0))="","Cell will autofill based on response",INDEX('Faculties'!$O$10:$O$19,MATCH($F164,'Faculties'!$B$10:$B$19,0))),"N/A")</f>
        <v/>
      </c>
      <c r="I164" s="52">
        <f>IFERROR(IF(INDEX('Faculties'!$O$26:$O$35,MATCH($F164,'Faculties'!$B$26:$B$35,0))="","Cell will autofill based on response",INDEX('Faculties'!$O$26:$O$35,MATCH($F164,'Faculties'!$B$26:$B$35,0))),"N/A")</f>
        <v/>
      </c>
      <c r="J164" s="52">
        <f>IFERROR(IF(INDEX('Faculties'!$O$42:$O$51,MATCH($F164,'Faculties'!$B$42:$B$51,0))="","Cell will autofill based on response",INDEX('Faculties'!$O$42:$O$51,MATCH($F164,'Faculties'!$B$42:$B$51,0))),"N/A")</f>
        <v/>
      </c>
      <c r="K164" s="52">
        <f>IFERROR(IF(INDEX('Faculties'!$O$58:$O$67,MATCH($F164,'Faculties'!$B$58:$B$67,0))="","Cell will autofill based on response",INDEX('Faculties'!$O$58:$O$67,MATCH($F164,'Faculties'!$B$58:$B$67,0))),"N/A")</f>
        <v/>
      </c>
      <c r="L164" s="52">
        <f>IFERROR(IF(INDEX('CI&amp;S'!$O$10:$O$15,MATCH($F164,'CI&amp;S'!$B$10:$B$15,0))="","Cell will autofill based on response",INDEX('CI&amp;S'!$O$10:$O$15,MATCH($F164,'CI&amp;S'!$B$10:$B$15,0))),"N/A")</f>
        <v/>
      </c>
      <c r="M164" s="52">
        <f>IFERROR(IF(INDEX('CI&amp;S'!$O$22:$O$36,MATCH($F164,'CI&amp;S'!$B$22:$B$36,0))="","Cell will autofill based on response",INDEX('CI&amp;S'!$O$22:$O$36,MATCH($F164,'CI&amp;S'!$B$22:$B$36,0))),"N/A")</f>
        <v/>
      </c>
      <c r="N164" s="52">
        <f>IFERROR(IF(INDEX('CFOG'!$O$10:$O$16,MATCH($F164,'CFOG'!$B$10:$B$16,0))="","Cell will autofill based on response",INDEX('CFOG'!$O$10:$O$16,MATCH($F164,'CFOG'!$B$10:$B$16,0))),"N/A")</f>
        <v/>
      </c>
      <c r="O164" s="52">
        <f>IFERROR(IF(INDEX('CFOG'!$O$23:$O$24,MATCH($F164,'CFOG'!$B$23:$B$24,0))="","Cell will autofill based on response",INDEX('CFOG'!$O$23:$O$24,MATCH($F164,'CFOG'!$B$23:$B$24,0))),"N/A")</f>
        <v/>
      </c>
      <c r="P164" s="52">
        <f>IFERROR(IF(INDEX('ESG'!$O$10:$O$17,MATCH($F164,'ESG'!$B$10:$B$17,0))="","Cell will autofill based on response",INDEX('ESG'!$O$10:$O$17,MATCH($F164,'ESG'!$B$10:$B$17,0))),"N/A")</f>
        <v/>
      </c>
      <c r="Q164" s="52">
        <f>IFERROR(IF(INDEX('CIOG'!$O$10:$O$14,MATCH($F164,'CIOG'!$B$10:$B$14,0))="","Cell will autofill based on response",INDEX('CIOG'!$O$10:$O$14,MATCH($F164,'CIOG'!$B$10:$B$14,0))),"N/A")</f>
        <v/>
      </c>
      <c r="R164" s="52">
        <f>IFERROR(IF(INDEX('MRE'!$O$10:$O$18,MATCH($F164,'MRE'!$B$10:$B$18,0))="","Cell will autofill based on response",INDEX('MRE'!$O$10:$O$18,MATCH($F164,'MRE'!$B$10:$B$18,0))),"N/A")</f>
        <v/>
      </c>
      <c r="S164" s="52">
        <f>IFERROR(IF(INDEX('AC&amp;M'!$O$10:$O$14,MATCH($F164,'AC&amp;M'!$B$10:$B$14,0))="","Cell will autofill based on response",INDEX('AC&amp;M'!$O$10:$O$14,MATCH($F164,'AC&amp;M'!$B$10:$B$14,0))),"N/A")</f>
        <v/>
      </c>
      <c r="T164" s="52">
        <f>IFERROR(IF(INDEX('GCE'!$O$10:$O$12,MATCH($F164,'GCE'!$B$10:$B$12,0))="","Cell will autofill based on response",INDEX('GCE'!$O$10:$O$12,MATCH($F164,'GCE'!$B$10:$B$12,0))),"N/A")</f>
        <v/>
      </c>
      <c r="U164" s="52">
        <f>IFERROR(IF(INDEX('Education'!$O$10:$O$13,MATCH($F164,'Education'!$B$10:$B$13,0))="","Cell will autofill based on response",INDEX('Education'!$O$10:$O$13,MATCH($F164,'Education'!$B$10:$B$13,0))),"N/A")</f>
        <v/>
      </c>
      <c r="V164" s="52">
        <f>IFERROR(IF(INDEX('SaSS'!$O$10:$O$12,MATCH($F164,'SaSS'!$B$10:$B$12,0))="","Cell will autofill based on response",INDEX('SaSS'!$O$10:$O$12,MATCH($F164,'SaSS'!$B$10:$B$12,0))),"N/A")</f>
        <v/>
      </c>
      <c r="W164" s="52">
        <f>IFERROR(IF(INDEX('Indigenous'!$O$10:$O$11,MATCH($F164,'Indigenous'!$B$10:$B$11,0))="","Cell will autofill based on response",INDEX('Indigenous'!$O$10:$O$11,MATCH($F164,'Indigenous'!$B$10:$B$11,0))),"N/A")</f>
        <v/>
      </c>
      <c r="X164" s="52">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EI1(d)</t>
        </is>
      </c>
      <c r="G165" s="8" t="inlineStr">
        <is>
          <t>Data owner confirms</t>
        </is>
      </c>
      <c r="H165" s="52">
        <f>IFERROR(IF(INDEX('Faculties'!$P$10:$P$19,MATCH($F165,'Faculties'!$B$10:$B$19,0))="","Cell will autofill based on response",INDEX('Faculties'!$P$10:$P$19,MATCH($F165,'Faculties'!$B$10:$B$19,0))),"N/A")</f>
        <v/>
      </c>
      <c r="I165" s="52">
        <f>IFERROR(IF(INDEX('Faculties'!$P$26:$P$35,MATCH($F165,'Faculties'!$B$26:$B$35,0))="","Cell will autofill based on response",INDEX('Faculties'!$P$26:$P$35,MATCH($F165,'Faculties'!$B$26:$B$35,0))),"N/A")</f>
        <v/>
      </c>
      <c r="J165" s="52">
        <f>IFERROR(IF(INDEX('Faculties'!$P$42:$P$51,MATCH($F165,'Faculties'!$B$42:$B$51,0))="","Cell will autofill based on response",INDEX('Faculties'!$P$42:$P$51,MATCH($F165,'Faculties'!$B$42:$B$51,0))),"N/A")</f>
        <v/>
      </c>
      <c r="K165" s="52">
        <f>IFERROR(IF(INDEX('Faculties'!$P$58:$P$67,MATCH($F165,'Faculties'!$B$58:$B$67,0))="","Cell will autofill based on response",INDEX('Faculties'!$P$58:$P$67,MATCH($F165,'Faculties'!$B$58:$B$67,0))),"N/A")</f>
        <v/>
      </c>
      <c r="L165" s="52">
        <f>IFERROR(IF(INDEX('CI&amp;S'!$P$10:$P$15,MATCH($F165,'CI&amp;S'!$B$10:$B$15,0))="","Cell will autofill based on response",INDEX('CI&amp;S'!$P$10:$P$15,MATCH($F165,'CI&amp;S'!$B$10:$B$15,0))),"N/A")</f>
        <v/>
      </c>
      <c r="M165" s="52">
        <f>IFERROR(IF(INDEX('CI&amp;S'!$P$22:$P$36,MATCH($F165,'CI&amp;S'!$B$22:$B$36,0))="","Cell will autofill based on response",INDEX('CI&amp;S'!$P$22:$P$36,MATCH($F165,'CI&amp;S'!$B$22:$B$36,0))),"N/A")</f>
        <v/>
      </c>
      <c r="N165" s="52">
        <f>IFERROR(IF(INDEX('CFOG'!$P$10:$P$16,MATCH($F165,'CFOG'!$B$10:$B$16,0))="","Cell will autofill based on response",INDEX('CFOG'!$P$10:$P$16,MATCH($F165,'CFOG'!$B$10:$B$16,0))),"N/A")</f>
        <v/>
      </c>
      <c r="O165" s="52">
        <f>IFERROR(IF(INDEX('CFOG'!$P$23:$P$24,MATCH($F165,'CFOG'!$B$23:$B$24,0))="","Cell will autofill based on response",INDEX('CFOG'!$P$23:$P$24,MATCH($F165,'CFOG'!$B$23:$B$24,0))),"N/A")</f>
        <v/>
      </c>
      <c r="P165" s="52">
        <f>IFERROR(IF(INDEX('ESG'!$P$10:$P$17,MATCH($F165,'ESG'!$B$10:$B$17,0))="","Cell will autofill based on response",INDEX('ESG'!$P$10:$P$17,MATCH($F165,'ESG'!$B$10:$B$17,0))),"N/A")</f>
        <v/>
      </c>
      <c r="Q165" s="52">
        <f>IFERROR(IF(INDEX('CIOG'!$P$10:$P$14,MATCH($F165,'CIOG'!$B$10:$B$14,0))="","Cell will autofill based on response",INDEX('CIOG'!$P$10:$P$14,MATCH($F165,'CIOG'!$B$10:$B$14,0))),"N/A")</f>
        <v/>
      </c>
      <c r="R165" s="52">
        <f>IFERROR(IF(INDEX('MRE'!$P$10:$P$18,MATCH($F165,'MRE'!$B$10:$B$18,0))="","Cell will autofill based on response",INDEX('MRE'!$P$10:$P$18,MATCH($F165,'MRE'!$B$10:$B$18,0))),"N/A")</f>
        <v/>
      </c>
      <c r="S165" s="52">
        <f>IFERROR(IF(INDEX('AC&amp;M'!$P$10:$P$14,MATCH($F165,'AC&amp;M'!$B$10:$B$14,0))="","Cell will autofill based on response",INDEX('AC&amp;M'!$P$10:$P$14,MATCH($F165,'AC&amp;M'!$B$10:$B$14,0))),"N/A")</f>
        <v/>
      </c>
      <c r="T165" s="52">
        <f>IFERROR(IF(INDEX('GCE'!$P$10:$P$12,MATCH($F165,'GCE'!$B$10:$B$12,0))="","Cell will autofill based on response",INDEX('GCE'!$P$10:$P$12,MATCH($F165,'GCE'!$B$10:$B$12,0))),"N/A")</f>
        <v/>
      </c>
      <c r="U165" s="52">
        <f>IFERROR(IF(INDEX('Education'!$P$10:$P$13,MATCH($F165,'Education'!$B$10:$B$13,0))="","Cell will autofill based on response",INDEX('Education'!$P$10:$P$13,MATCH($F165,'Education'!$B$10:$B$13,0))),"N/A")</f>
        <v/>
      </c>
      <c r="V165" s="52">
        <f>IFERROR(IF(INDEX('SaSS'!$P$10:$P$12,MATCH($F165,'SaSS'!$B$10:$B$12,0))="","Cell will autofill based on response",INDEX('SaSS'!$P$10:$P$12,MATCH($F165,'SaSS'!$B$10:$B$12,0))),"N/A")</f>
        <v/>
      </c>
      <c r="W165" s="52">
        <f>IFERROR(IF(INDEX('Indigenous'!$P$10:$P$11,MATCH($F165,'Indigenous'!$B$10:$B$11,0))="","Cell will autofill based on response",INDEX('Indigenous'!$P$10:$P$11,MATCH($F165,'Indigenous'!$B$10:$B$11,0))),"N/A")</f>
        <v/>
      </c>
      <c r="X165" s="52">
        <f>IFERROR(IF(INDEX('L&amp;R'!$P$10:$P$11,MATCH($F165,'L&amp;R'!$B$10:$B$11,0))="","Cell will autofill based on response",INDEX('L&amp;R'!$P$10:$P$11,MATCH($F165,'L&amp;R'!$B$10:$B$11,0))),"N/A")</f>
        <v/>
      </c>
    </row>
    <row r="166">
      <c r="A166">
        <f>F166&amp;"|"&amp;G166</f>
        <v/>
      </c>
      <c r="B166" s="7" t="inlineStr">
        <is>
          <t>RP1(a)</t>
        </is>
      </c>
      <c r="C166" s="50" t="inlineStr">
        <is>
          <t>Responsible procurement</t>
        </is>
      </c>
      <c r="D166" s="50" t="inlineStr">
        <is>
          <t>Case studies of maturity improvement related to responsible procurement process and systems.</t>
        </is>
      </c>
      <c r="E166" s="50" t="inlineStr">
        <is>
          <t>Maturity score if framework established; % procurement staff trained</t>
        </is>
      </c>
      <c r="F166" s="50" t="inlineStr">
        <is>
          <t>RP1(a)</t>
        </is>
      </c>
      <c r="G166" s="50" t="inlineStr">
        <is>
          <t>OPTION 1:  Target-level reporting</t>
        </is>
      </c>
      <c r="H166" s="52">
        <f>IFERROR(IF(INDEX('Faculties'!$L$10:$L$19,MATCH($F166,'Faculties'!$B$10:$B$19,0))="","Cell will autofill based on response",INDEX('Faculties'!$L$10:$L$19,MATCH($F166,'Faculties'!$B$10:$B$19,0))),"N/A")</f>
        <v/>
      </c>
      <c r="I166" s="52">
        <f>IFERROR(IF(INDEX('Faculties'!$L$26:$L$35,MATCH($F166,'Faculties'!$B$26:$B$35,0))="","Cell will autofill based on response",INDEX('Faculties'!$L$26:$L$35,MATCH($F166,'Faculties'!$B$26:$B$35,0))),"N/A")</f>
        <v/>
      </c>
      <c r="J166" s="52">
        <f>IFERROR(IF(INDEX('Faculties'!$L$42:$L$51,MATCH($F166,'Faculties'!$B$42:$B$51,0))="","Cell will autofill based on response",INDEX('Faculties'!$L$42:$L$51,MATCH($F166,'Faculties'!$B$42:$B$51,0))),"N/A")</f>
        <v/>
      </c>
      <c r="K166" s="52">
        <f>IFERROR(IF(INDEX('Faculties'!$L$58:$L$67,MATCH($F166,'Faculties'!$B$58:$B$67,0))="","Cell will autofill based on response",INDEX('Faculties'!$L$58:$L$67,MATCH($F166,'Faculties'!$B$58:$B$67,0))),"N/A")</f>
        <v/>
      </c>
      <c r="L166" s="52">
        <f>IFERROR(IF(INDEX('CI&amp;S'!$L$10:$L$15,MATCH($F166,'CI&amp;S'!$B$10:$B$15,0))="","Cell will autofill based on response",INDEX('CI&amp;S'!$L$10:$L$15,MATCH($F166,'CI&amp;S'!$B$10:$B$15,0))),"N/A")</f>
        <v/>
      </c>
      <c r="M166" s="52">
        <f>IFERROR(IF(INDEX('CI&amp;S'!$L$22:$L$36,MATCH($F166,'CI&amp;S'!$B$22:$B$36,0))="","Cell will autofill based on response",INDEX('CI&amp;S'!$L$22:$L$36,MATCH($F166,'CI&amp;S'!$B$22:$B$36,0))),"N/A")</f>
        <v/>
      </c>
      <c r="N166" s="52">
        <f>IFERROR(IF(INDEX('CFOG'!$L$10:$L$16,MATCH($F166,'CFOG'!$B$10:$B$16,0))="","Cell will autofill based on response",INDEX('CFOG'!$L$10:$L$16,MATCH($F166,'CFOG'!$B$10:$B$16,0))),"N/A")</f>
        <v/>
      </c>
      <c r="O166" s="52">
        <f>IFERROR(IF(INDEX('CFOG'!$L$23:$L$24,MATCH($F166,'CFOG'!$B$23:$B$24,0))="","Cell will autofill based on response",INDEX('CFOG'!$L$23:$L$24,MATCH($F166,'CFOG'!$B$23:$B$24,0))),"N/A")</f>
        <v/>
      </c>
      <c r="P166" s="52">
        <f>IFERROR(IF(INDEX('ESG'!$L$10:$L$17,MATCH($F166,'ESG'!$B$10:$B$17,0))="","Cell will autofill based on response",INDEX('ESG'!$L$10:$L$17,MATCH($F166,'ESG'!$B$10:$B$17,0))),"N/A")</f>
        <v/>
      </c>
      <c r="Q166" s="52">
        <f>IFERROR(IF(INDEX('CIOG'!$L$10:$L$14,MATCH($F166,'CIOG'!$B$10:$B$14,0))="","Cell will autofill based on response",INDEX('CIOG'!$L$10:$L$14,MATCH($F166,'CIOG'!$B$10:$B$14,0))),"N/A")</f>
        <v/>
      </c>
      <c r="R166" s="52">
        <f>IFERROR(IF(INDEX('MRE'!$L$10:$L$18,MATCH($F166,'MRE'!$B$10:$B$18,0))="","Cell will autofill based on response",INDEX('MRE'!$L$10:$L$18,MATCH($F166,'MRE'!$B$10:$B$18,0))),"N/A")</f>
        <v/>
      </c>
      <c r="S166" s="52">
        <f>IFERROR(IF(INDEX('AC&amp;M'!$L$10:$L$14,MATCH($F166,'AC&amp;M'!$B$10:$B$14,0))="","Cell will autofill based on response",INDEX('AC&amp;M'!$L$10:$L$14,MATCH($F166,'AC&amp;M'!$B$10:$B$14,0))),"N/A")</f>
        <v/>
      </c>
      <c r="T166" s="52">
        <f>IFERROR(IF(INDEX('GCE'!$L$10:$L$12,MATCH($F166,'GCE'!$B$10:$B$12,0))="","Cell will autofill based on response",INDEX('GCE'!$L$10:$L$12,MATCH($F166,'GCE'!$B$10:$B$12,0))),"N/A")</f>
        <v/>
      </c>
      <c r="U166" s="52">
        <f>IFERROR(IF(INDEX('Education'!$L$10:$L$13,MATCH($F166,'Education'!$B$10:$B$13,0))="","Cell will autofill based on response",INDEX('Education'!$L$10:$L$13,MATCH($F166,'Education'!$B$10:$B$13,0))),"N/A")</f>
        <v/>
      </c>
      <c r="V166" s="52">
        <f>IFERROR(IF(INDEX('SaSS'!$L$10:$L$12,MATCH($F166,'SaSS'!$B$10:$B$12,0))="","Cell will autofill based on response",INDEX('SaSS'!$L$10:$L$12,MATCH($F166,'SaSS'!$B$10:$B$12,0))),"N/A")</f>
        <v/>
      </c>
      <c r="W166" s="52">
        <f>IFERROR(IF(INDEX('Indigenous'!$L$10:$L$11,MATCH($F166,'Indigenous'!$B$10:$B$11,0))="","Cell will autofill based on response",INDEX('Indigenous'!$L$10:$L$11,MATCH($F166,'Indigenous'!$B$10:$B$11,0))),"N/A")</f>
        <v/>
      </c>
      <c r="X166" s="52">
        <f>IFERROR(IF(INDEX('L&amp;R'!$L$10:$L$11,MATCH($F166,'L&amp;R'!$B$10:$B$11,0))="","Cell will autofill based on response",INDEX('L&amp;R'!$L$10:$L$11,MATCH($F166,'L&amp;R'!$B$10:$B$11,0))),"N/A")</f>
        <v/>
      </c>
      <c r="Z166" s="10">
        <f>SUMPRODUCT(--($H166:$X166&lt;&gt;"N/A"))</f>
        <v/>
      </c>
      <c r="AA166" s="10">
        <f>SUMPRODUCT(--(((($H166:$X166&lt;&gt;"N/A")*($H166:$X166&lt;&gt;"Cell will autofill based on response"))+(($H167:$X167&lt;&gt;"N/A")*($H167:$X167&lt;&gt;"Cell will autofill based on response")))&gt;0))</f>
        <v/>
      </c>
      <c r="AB166" s="10">
        <f>Z166-AA166</f>
        <v/>
      </c>
      <c r="AC166" s="10">
        <f>COUNTIF($H170:$X170,"Yes")</f>
        <v/>
      </c>
    </row>
    <row r="167">
      <c r="A167">
        <f>F167&amp;"|"&amp;G167</f>
        <v/>
      </c>
      <c r="B167" s="13" t="inlineStr"/>
      <c r="C167" s="8" t="inlineStr"/>
      <c r="D167" s="8" t="inlineStr"/>
      <c r="E167" s="8" t="inlineStr"/>
      <c r="F167" s="8" t="inlineStr">
        <is>
          <t>RP1(a)</t>
        </is>
      </c>
      <c r="G167" s="8" t="inlineStr">
        <is>
          <t>OPTION 2:  Indicator level reporting</t>
        </is>
      </c>
      <c r="H167" s="52">
        <f>IFERROR(IF(INDEX('Faculties'!$M$10:$M$19,MATCH($F167,'Faculties'!$B$10:$B$19,0))="","Cell will autofill based on response",INDEX('Faculties'!$M$10:$M$19,MATCH($F167,'Faculties'!$B$10:$B$19,0))),"N/A")</f>
        <v/>
      </c>
      <c r="I167" s="52">
        <f>IFERROR(IF(INDEX('Faculties'!$M$26:$M$35,MATCH($F167,'Faculties'!$B$26:$B$35,0))="","Cell will autofill based on response",INDEX('Faculties'!$M$26:$M$35,MATCH($F167,'Faculties'!$B$26:$B$35,0))),"N/A")</f>
        <v/>
      </c>
      <c r="J167" s="52">
        <f>IFERROR(IF(INDEX('Faculties'!$M$42:$M$51,MATCH($F167,'Faculties'!$B$42:$B$51,0))="","Cell will autofill based on response",INDEX('Faculties'!$M$42:$M$51,MATCH($F167,'Faculties'!$B$42:$B$51,0))),"N/A")</f>
        <v/>
      </c>
      <c r="K167" s="52">
        <f>IFERROR(IF(INDEX('Faculties'!$M$58:$M$67,MATCH($F167,'Faculties'!$B$58:$B$67,0))="","Cell will autofill based on response",INDEX('Faculties'!$M$58:$M$67,MATCH($F167,'Faculties'!$B$58:$B$67,0))),"N/A")</f>
        <v/>
      </c>
      <c r="L167" s="52">
        <f>IFERROR(IF(INDEX('CI&amp;S'!$M$10:$M$15,MATCH($F167,'CI&amp;S'!$B$10:$B$15,0))="","Cell will autofill based on response",INDEX('CI&amp;S'!$M$10:$M$15,MATCH($F167,'CI&amp;S'!$B$10:$B$15,0))),"N/A")</f>
        <v/>
      </c>
      <c r="M167" s="52">
        <f>IFERROR(IF(INDEX('CI&amp;S'!$M$22:$M$36,MATCH($F167,'CI&amp;S'!$B$22:$B$36,0))="","Cell will autofill based on response",INDEX('CI&amp;S'!$M$22:$M$36,MATCH($F167,'CI&amp;S'!$B$22:$B$36,0))),"N/A")</f>
        <v/>
      </c>
      <c r="N167" s="52">
        <f>IFERROR(IF(INDEX('CFOG'!$M$10:$M$16,MATCH($F167,'CFOG'!$B$10:$B$16,0))="","Cell will autofill based on response",INDEX('CFOG'!$M$10:$M$16,MATCH($F167,'CFOG'!$B$10:$B$16,0))),"N/A")</f>
        <v/>
      </c>
      <c r="O167" s="52">
        <f>IFERROR(IF(INDEX('CFOG'!$M$23:$M$24,MATCH($F167,'CFOG'!$B$23:$B$24,0))="","Cell will autofill based on response",INDEX('CFOG'!$M$23:$M$24,MATCH($F167,'CFOG'!$B$23:$B$24,0))),"N/A")</f>
        <v/>
      </c>
      <c r="P167" s="52">
        <f>IFERROR(IF(INDEX('ESG'!$M$10:$M$17,MATCH($F167,'ESG'!$B$10:$B$17,0))="","Cell will autofill based on response",INDEX('ESG'!$M$10:$M$17,MATCH($F167,'ESG'!$B$10:$B$17,0))),"N/A")</f>
        <v/>
      </c>
      <c r="Q167" s="52">
        <f>IFERROR(IF(INDEX('CIOG'!$M$10:$M$14,MATCH($F167,'CIOG'!$B$10:$B$14,0))="","Cell will autofill based on response",INDEX('CIOG'!$M$10:$M$14,MATCH($F167,'CIOG'!$B$10:$B$14,0))),"N/A")</f>
        <v/>
      </c>
      <c r="R167" s="52">
        <f>IFERROR(IF(INDEX('MRE'!$M$10:$M$18,MATCH($F167,'MRE'!$B$10:$B$18,0))="","Cell will autofill based on response",INDEX('MRE'!$M$10:$M$18,MATCH($F167,'MRE'!$B$10:$B$18,0))),"N/A")</f>
        <v/>
      </c>
      <c r="S167" s="52">
        <f>IFERROR(IF(INDEX('AC&amp;M'!$M$10:$M$14,MATCH($F167,'AC&amp;M'!$B$10:$B$14,0))="","Cell will autofill based on response",INDEX('AC&amp;M'!$M$10:$M$14,MATCH($F167,'AC&amp;M'!$B$10:$B$14,0))),"N/A")</f>
        <v/>
      </c>
      <c r="T167" s="52">
        <f>IFERROR(IF(INDEX('GCE'!$M$10:$M$12,MATCH($F167,'GCE'!$B$10:$B$12,0))="","Cell will autofill based on response",INDEX('GCE'!$M$10:$M$12,MATCH($F167,'GCE'!$B$10:$B$12,0))),"N/A")</f>
        <v/>
      </c>
      <c r="U167" s="52">
        <f>IFERROR(IF(INDEX('Education'!$M$10:$M$13,MATCH($F167,'Education'!$B$10:$B$13,0))="","Cell will autofill based on response",INDEX('Education'!$M$10:$M$13,MATCH($F167,'Education'!$B$10:$B$13,0))),"N/A")</f>
        <v/>
      </c>
      <c r="V167" s="52">
        <f>IFERROR(IF(INDEX('SaSS'!$M$10:$M$12,MATCH($F167,'SaSS'!$B$10:$B$12,0))="","Cell will autofill based on response",INDEX('SaSS'!$M$10:$M$12,MATCH($F167,'SaSS'!$B$10:$B$12,0))),"N/A")</f>
        <v/>
      </c>
      <c r="W167" s="52">
        <f>IFERROR(IF(INDEX('Indigenous'!$M$10:$M$11,MATCH($F167,'Indigenous'!$B$10:$B$11,0))="","Cell will autofill based on response",INDEX('Indigenous'!$M$10:$M$11,MATCH($F167,'Indigenous'!$B$10:$B$11,0))),"N/A")</f>
        <v/>
      </c>
      <c r="X167" s="52">
        <f>IFERROR(IF(INDEX('L&amp;R'!$M$10:$M$11,MATCH($F167,'L&amp;R'!$B$10:$B$11,0))="","Cell will autofill based on response",INDEX('L&amp;R'!$M$10:$M$11,MATCH($F167,'L&amp;R'!$B$10:$B$11,0))),"N/A")</f>
        <v/>
      </c>
    </row>
    <row r="168">
      <c r="A168">
        <f>F168&amp;"|"&amp;G168</f>
        <v/>
      </c>
      <c r="B168" s="13" t="inlineStr"/>
      <c r="C168" s="8" t="inlineStr"/>
      <c r="D168" s="8" t="inlineStr"/>
      <c r="E168" s="8" t="inlineStr"/>
      <c r="F168" s="8" t="inlineStr">
        <is>
          <t>RP1(a)</t>
        </is>
      </c>
      <c r="G168" s="8" t="inlineStr">
        <is>
          <t>Supporting information/comments</t>
        </is>
      </c>
      <c r="H168" s="52">
        <f>IFERROR(IF(INDEX('Faculties'!$N$10:$N$19,MATCH($F168,'Faculties'!$B$10:$B$19,0))="","Cell will autofill based on response",INDEX('Faculties'!$N$10:$N$19,MATCH($F168,'Faculties'!$B$10:$B$19,0))),"N/A")</f>
        <v/>
      </c>
      <c r="I168" s="52">
        <f>IFERROR(IF(INDEX('Faculties'!$N$26:$N$35,MATCH($F168,'Faculties'!$B$26:$B$35,0))="","Cell will autofill based on response",INDEX('Faculties'!$N$26:$N$35,MATCH($F168,'Faculties'!$B$26:$B$35,0))),"N/A")</f>
        <v/>
      </c>
      <c r="J168" s="52">
        <f>IFERROR(IF(INDEX('Faculties'!$N$42:$N$51,MATCH($F168,'Faculties'!$B$42:$B$51,0))="","Cell will autofill based on response",INDEX('Faculties'!$N$42:$N$51,MATCH($F168,'Faculties'!$B$42:$B$51,0))),"N/A")</f>
        <v/>
      </c>
      <c r="K168" s="52">
        <f>IFERROR(IF(INDEX('Faculties'!$N$58:$N$67,MATCH($F168,'Faculties'!$B$58:$B$67,0))="","Cell will autofill based on response",INDEX('Faculties'!$N$58:$N$67,MATCH($F168,'Faculties'!$B$58:$B$67,0))),"N/A")</f>
        <v/>
      </c>
      <c r="L168" s="52">
        <f>IFERROR(IF(INDEX('CI&amp;S'!$N$10:$N$15,MATCH($F168,'CI&amp;S'!$B$10:$B$15,0))="","Cell will autofill based on response",INDEX('CI&amp;S'!$N$10:$N$15,MATCH($F168,'CI&amp;S'!$B$10:$B$15,0))),"N/A")</f>
        <v/>
      </c>
      <c r="M168" s="52">
        <f>IFERROR(IF(INDEX('CI&amp;S'!$N$22:$N$36,MATCH($F168,'CI&amp;S'!$B$22:$B$36,0))="","Cell will autofill based on response",INDEX('CI&amp;S'!$N$22:$N$36,MATCH($F168,'CI&amp;S'!$B$22:$B$36,0))),"N/A")</f>
        <v/>
      </c>
      <c r="N168" s="52">
        <f>IFERROR(IF(INDEX('CFOG'!$N$10:$N$16,MATCH($F168,'CFOG'!$B$10:$B$16,0))="","Cell will autofill based on response",INDEX('CFOG'!$N$10:$N$16,MATCH($F168,'CFOG'!$B$10:$B$16,0))),"N/A")</f>
        <v/>
      </c>
      <c r="O168" s="52">
        <f>IFERROR(IF(INDEX('CFOG'!$N$23:$N$24,MATCH($F168,'CFOG'!$B$23:$B$24,0))="","Cell will autofill based on response",INDEX('CFOG'!$N$23:$N$24,MATCH($F168,'CFOG'!$B$23:$B$24,0))),"N/A")</f>
        <v/>
      </c>
      <c r="P168" s="52">
        <f>IFERROR(IF(INDEX('ESG'!$N$10:$N$17,MATCH($F168,'ESG'!$B$10:$B$17,0))="","Cell will autofill based on response",INDEX('ESG'!$N$10:$N$17,MATCH($F168,'ESG'!$B$10:$B$17,0))),"N/A")</f>
        <v/>
      </c>
      <c r="Q168" s="52">
        <f>IFERROR(IF(INDEX('CIOG'!$N$10:$N$14,MATCH($F168,'CIOG'!$B$10:$B$14,0))="","Cell will autofill based on response",INDEX('CIOG'!$N$10:$N$14,MATCH($F168,'CIOG'!$B$10:$B$14,0))),"N/A")</f>
        <v/>
      </c>
      <c r="R168" s="52">
        <f>IFERROR(IF(INDEX('MRE'!$N$10:$N$18,MATCH($F168,'MRE'!$B$10:$B$18,0))="","Cell will autofill based on response",INDEX('MRE'!$N$10:$N$18,MATCH($F168,'MRE'!$B$10:$B$18,0))),"N/A")</f>
        <v/>
      </c>
      <c r="S168" s="52">
        <f>IFERROR(IF(INDEX('AC&amp;M'!$N$10:$N$14,MATCH($F168,'AC&amp;M'!$B$10:$B$14,0))="","Cell will autofill based on response",INDEX('AC&amp;M'!$N$10:$N$14,MATCH($F168,'AC&amp;M'!$B$10:$B$14,0))),"N/A")</f>
        <v/>
      </c>
      <c r="T168" s="52">
        <f>IFERROR(IF(INDEX('GCE'!$N$10:$N$12,MATCH($F168,'GCE'!$B$10:$B$12,0))="","Cell will autofill based on response",INDEX('GCE'!$N$10:$N$12,MATCH($F168,'GCE'!$B$10:$B$12,0))),"N/A")</f>
        <v/>
      </c>
      <c r="U168" s="52">
        <f>IFERROR(IF(INDEX('Education'!$N$10:$N$13,MATCH($F168,'Education'!$B$10:$B$13,0))="","Cell will autofill based on response",INDEX('Education'!$N$10:$N$13,MATCH($F168,'Education'!$B$10:$B$13,0))),"N/A")</f>
        <v/>
      </c>
      <c r="V168" s="52">
        <f>IFERROR(IF(INDEX('SaSS'!$N$10:$N$12,MATCH($F168,'SaSS'!$B$10:$B$12,0))="","Cell will autofill based on response",INDEX('SaSS'!$N$10:$N$12,MATCH($F168,'SaSS'!$B$10:$B$12,0))),"N/A")</f>
        <v/>
      </c>
      <c r="W168" s="52">
        <f>IFERROR(IF(INDEX('Indigenous'!$N$10:$N$11,MATCH($F168,'Indigenous'!$B$10:$B$11,0))="","Cell will autofill based on response",INDEX('Indigenous'!$N$10:$N$11,MATCH($F168,'Indigenous'!$B$10:$B$11,0))),"N/A")</f>
        <v/>
      </c>
      <c r="X168" s="52">
        <f>IFERROR(IF(INDEX('L&amp;R'!$N$10:$N$11,MATCH($F168,'L&amp;R'!$B$10:$B$11,0))="","Cell will autofill based on response",INDEX('L&amp;R'!$N$10:$N$11,MATCH($F168,'L&amp;R'!$B$10:$B$11,0))),"N/A")</f>
        <v/>
      </c>
    </row>
    <row r="169">
      <c r="A169">
        <f>F169&amp;"|"&amp;G169</f>
        <v/>
      </c>
      <c r="B169" s="13" t="inlineStr"/>
      <c r="C169" s="8" t="inlineStr"/>
      <c r="D169" s="8" t="inlineStr"/>
      <c r="E169" s="8" t="inlineStr"/>
      <c r="F169" s="8" t="inlineStr">
        <is>
          <t>RP1(a)</t>
        </is>
      </c>
      <c r="G169" s="8" t="inlineStr">
        <is>
          <t>Data source and limitations</t>
        </is>
      </c>
      <c r="H169" s="52">
        <f>IFERROR(IF(INDEX('Faculties'!$O$10:$O$19,MATCH($F169,'Faculties'!$B$10:$B$19,0))="","Cell will autofill based on response",INDEX('Faculties'!$O$10:$O$19,MATCH($F169,'Faculties'!$B$10:$B$19,0))),"N/A")</f>
        <v/>
      </c>
      <c r="I169" s="52">
        <f>IFERROR(IF(INDEX('Faculties'!$O$26:$O$35,MATCH($F169,'Faculties'!$B$26:$B$35,0))="","Cell will autofill based on response",INDEX('Faculties'!$O$26:$O$35,MATCH($F169,'Faculties'!$B$26:$B$35,0))),"N/A")</f>
        <v/>
      </c>
      <c r="J169" s="52">
        <f>IFERROR(IF(INDEX('Faculties'!$O$42:$O$51,MATCH($F169,'Faculties'!$B$42:$B$51,0))="","Cell will autofill based on response",INDEX('Faculties'!$O$42:$O$51,MATCH($F169,'Faculties'!$B$42:$B$51,0))),"N/A")</f>
        <v/>
      </c>
      <c r="K169" s="52">
        <f>IFERROR(IF(INDEX('Faculties'!$O$58:$O$67,MATCH($F169,'Faculties'!$B$58:$B$67,0))="","Cell will autofill based on response",INDEX('Faculties'!$O$58:$O$67,MATCH($F169,'Faculties'!$B$58:$B$67,0))),"N/A")</f>
        <v/>
      </c>
      <c r="L169" s="52">
        <f>IFERROR(IF(INDEX('CI&amp;S'!$O$10:$O$15,MATCH($F169,'CI&amp;S'!$B$10:$B$15,0))="","Cell will autofill based on response",INDEX('CI&amp;S'!$O$10:$O$15,MATCH($F169,'CI&amp;S'!$B$10:$B$15,0))),"N/A")</f>
        <v/>
      </c>
      <c r="M169" s="52">
        <f>IFERROR(IF(INDEX('CI&amp;S'!$O$22:$O$36,MATCH($F169,'CI&amp;S'!$B$22:$B$36,0))="","Cell will autofill based on response",INDEX('CI&amp;S'!$O$22:$O$36,MATCH($F169,'CI&amp;S'!$B$22:$B$36,0))),"N/A")</f>
        <v/>
      </c>
      <c r="N169" s="52">
        <f>IFERROR(IF(INDEX('CFOG'!$O$10:$O$16,MATCH($F169,'CFOG'!$B$10:$B$16,0))="","Cell will autofill based on response",INDEX('CFOG'!$O$10:$O$16,MATCH($F169,'CFOG'!$B$10:$B$16,0))),"N/A")</f>
        <v/>
      </c>
      <c r="O169" s="52">
        <f>IFERROR(IF(INDEX('CFOG'!$O$23:$O$24,MATCH($F169,'CFOG'!$B$23:$B$24,0))="","Cell will autofill based on response",INDEX('CFOG'!$O$23:$O$24,MATCH($F169,'CFOG'!$B$23:$B$24,0))),"N/A")</f>
        <v/>
      </c>
      <c r="P169" s="52">
        <f>IFERROR(IF(INDEX('ESG'!$O$10:$O$17,MATCH($F169,'ESG'!$B$10:$B$17,0))="","Cell will autofill based on response",INDEX('ESG'!$O$10:$O$17,MATCH($F169,'ESG'!$B$10:$B$17,0))),"N/A")</f>
        <v/>
      </c>
      <c r="Q169" s="52">
        <f>IFERROR(IF(INDEX('CIOG'!$O$10:$O$14,MATCH($F169,'CIOG'!$B$10:$B$14,0))="","Cell will autofill based on response",INDEX('CIOG'!$O$10:$O$14,MATCH($F169,'CIOG'!$B$10:$B$14,0))),"N/A")</f>
        <v/>
      </c>
      <c r="R169" s="52">
        <f>IFERROR(IF(INDEX('MRE'!$O$10:$O$18,MATCH($F169,'MRE'!$B$10:$B$18,0))="","Cell will autofill based on response",INDEX('MRE'!$O$10:$O$18,MATCH($F169,'MRE'!$B$10:$B$18,0))),"N/A")</f>
        <v/>
      </c>
      <c r="S169" s="52">
        <f>IFERROR(IF(INDEX('AC&amp;M'!$O$10:$O$14,MATCH($F169,'AC&amp;M'!$B$10:$B$14,0))="","Cell will autofill based on response",INDEX('AC&amp;M'!$O$10:$O$14,MATCH($F169,'AC&amp;M'!$B$10:$B$14,0))),"N/A")</f>
        <v/>
      </c>
      <c r="T169" s="52">
        <f>IFERROR(IF(INDEX('GCE'!$O$10:$O$12,MATCH($F169,'GCE'!$B$10:$B$12,0))="","Cell will autofill based on response",INDEX('GCE'!$O$10:$O$12,MATCH($F169,'GCE'!$B$10:$B$12,0))),"N/A")</f>
        <v/>
      </c>
      <c r="U169" s="52">
        <f>IFERROR(IF(INDEX('Education'!$O$10:$O$13,MATCH($F169,'Education'!$B$10:$B$13,0))="","Cell will autofill based on response",INDEX('Education'!$O$10:$O$13,MATCH($F169,'Education'!$B$10:$B$13,0))),"N/A")</f>
        <v/>
      </c>
      <c r="V169" s="52">
        <f>IFERROR(IF(INDEX('SaSS'!$O$10:$O$12,MATCH($F169,'SaSS'!$B$10:$B$12,0))="","Cell will autofill based on response",INDEX('SaSS'!$O$10:$O$12,MATCH($F169,'SaSS'!$B$10:$B$12,0))),"N/A")</f>
        <v/>
      </c>
      <c r="W169" s="52">
        <f>IFERROR(IF(INDEX('Indigenous'!$O$10:$O$11,MATCH($F169,'Indigenous'!$B$10:$B$11,0))="","Cell will autofill based on response",INDEX('Indigenous'!$O$10:$O$11,MATCH($F169,'Indigenous'!$B$10:$B$11,0))),"N/A")</f>
        <v/>
      </c>
      <c r="X169" s="52">
        <f>IFERROR(IF(INDEX('L&amp;R'!$O$10:$O$11,MATCH($F169,'L&amp;R'!$B$10:$B$11,0))="","Cell will autofill based on response",INDEX('L&amp;R'!$O$10:$O$11,MATCH($F169,'L&amp;R'!$B$10:$B$11,0))),"N/A")</f>
        <v/>
      </c>
    </row>
    <row r="170">
      <c r="A170">
        <f>F170&amp;"|"&amp;G170</f>
        <v/>
      </c>
      <c r="B170" s="13" t="inlineStr"/>
      <c r="C170" s="8" t="inlineStr"/>
      <c r="D170" s="8" t="inlineStr"/>
      <c r="E170" s="8" t="inlineStr"/>
      <c r="F170" s="8" t="inlineStr">
        <is>
          <t>RP1(a)</t>
        </is>
      </c>
      <c r="G170" s="8" t="inlineStr">
        <is>
          <t>Data owner confirms</t>
        </is>
      </c>
      <c r="H170" s="52">
        <f>IFERROR(IF(INDEX('Faculties'!$P$10:$P$19,MATCH($F170,'Faculties'!$B$10:$B$19,0))="","Cell will autofill based on response",INDEX('Faculties'!$P$10:$P$19,MATCH($F170,'Faculties'!$B$10:$B$19,0))),"N/A")</f>
        <v/>
      </c>
      <c r="I170" s="52">
        <f>IFERROR(IF(INDEX('Faculties'!$P$26:$P$35,MATCH($F170,'Faculties'!$B$26:$B$35,0))="","Cell will autofill based on response",INDEX('Faculties'!$P$26:$P$35,MATCH($F170,'Faculties'!$B$26:$B$35,0))),"N/A")</f>
        <v/>
      </c>
      <c r="J170" s="52">
        <f>IFERROR(IF(INDEX('Faculties'!$P$42:$P$51,MATCH($F170,'Faculties'!$B$42:$B$51,0))="","Cell will autofill based on response",INDEX('Faculties'!$P$42:$P$51,MATCH($F170,'Faculties'!$B$42:$B$51,0))),"N/A")</f>
        <v/>
      </c>
      <c r="K170" s="52">
        <f>IFERROR(IF(INDEX('Faculties'!$P$58:$P$67,MATCH($F170,'Faculties'!$B$58:$B$67,0))="","Cell will autofill based on response",INDEX('Faculties'!$P$58:$P$67,MATCH($F170,'Faculties'!$B$58:$B$67,0))),"N/A")</f>
        <v/>
      </c>
      <c r="L170" s="52">
        <f>IFERROR(IF(INDEX('CI&amp;S'!$P$10:$P$15,MATCH($F170,'CI&amp;S'!$B$10:$B$15,0))="","Cell will autofill based on response",INDEX('CI&amp;S'!$P$10:$P$15,MATCH($F170,'CI&amp;S'!$B$10:$B$15,0))),"N/A")</f>
        <v/>
      </c>
      <c r="M170" s="52">
        <f>IFERROR(IF(INDEX('CI&amp;S'!$P$22:$P$36,MATCH($F170,'CI&amp;S'!$B$22:$B$36,0))="","Cell will autofill based on response",INDEX('CI&amp;S'!$P$22:$P$36,MATCH($F170,'CI&amp;S'!$B$22:$B$36,0))),"N/A")</f>
        <v/>
      </c>
      <c r="N170" s="52">
        <f>IFERROR(IF(INDEX('CFOG'!$P$10:$P$16,MATCH($F170,'CFOG'!$B$10:$B$16,0))="","Cell will autofill based on response",INDEX('CFOG'!$P$10:$P$16,MATCH($F170,'CFOG'!$B$10:$B$16,0))),"N/A")</f>
        <v/>
      </c>
      <c r="O170" s="52">
        <f>IFERROR(IF(INDEX('CFOG'!$P$23:$P$24,MATCH($F170,'CFOG'!$B$23:$B$24,0))="","Cell will autofill based on response",INDEX('CFOG'!$P$23:$P$24,MATCH($F170,'CFOG'!$B$23:$B$24,0))),"N/A")</f>
        <v/>
      </c>
      <c r="P170" s="52">
        <f>IFERROR(IF(INDEX('ESG'!$P$10:$P$17,MATCH($F170,'ESG'!$B$10:$B$17,0))="","Cell will autofill based on response",INDEX('ESG'!$P$10:$P$17,MATCH($F170,'ESG'!$B$10:$B$17,0))),"N/A")</f>
        <v/>
      </c>
      <c r="Q170" s="52">
        <f>IFERROR(IF(INDEX('CIOG'!$P$10:$P$14,MATCH($F170,'CIOG'!$B$10:$B$14,0))="","Cell will autofill based on response",INDEX('CIOG'!$P$10:$P$14,MATCH($F170,'CIOG'!$B$10:$B$14,0))),"N/A")</f>
        <v/>
      </c>
      <c r="R170" s="52">
        <f>IFERROR(IF(INDEX('MRE'!$P$10:$P$18,MATCH($F170,'MRE'!$B$10:$B$18,0))="","Cell will autofill based on response",INDEX('MRE'!$P$10:$P$18,MATCH($F170,'MRE'!$B$10:$B$18,0))),"N/A")</f>
        <v/>
      </c>
      <c r="S170" s="52">
        <f>IFERROR(IF(INDEX('AC&amp;M'!$P$10:$P$14,MATCH($F170,'AC&amp;M'!$B$10:$B$14,0))="","Cell will autofill based on response",INDEX('AC&amp;M'!$P$10:$P$14,MATCH($F170,'AC&amp;M'!$B$10:$B$14,0))),"N/A")</f>
        <v/>
      </c>
      <c r="T170" s="52">
        <f>IFERROR(IF(INDEX('GCE'!$P$10:$P$12,MATCH($F170,'GCE'!$B$10:$B$12,0))="","Cell will autofill based on response",INDEX('GCE'!$P$10:$P$12,MATCH($F170,'GCE'!$B$10:$B$12,0))),"N/A")</f>
        <v/>
      </c>
      <c r="U170" s="52">
        <f>IFERROR(IF(INDEX('Education'!$P$10:$P$13,MATCH($F170,'Education'!$B$10:$B$13,0))="","Cell will autofill based on response",INDEX('Education'!$P$10:$P$13,MATCH($F170,'Education'!$B$10:$B$13,0))),"N/A")</f>
        <v/>
      </c>
      <c r="V170" s="52">
        <f>IFERROR(IF(INDEX('SaSS'!$P$10:$P$12,MATCH($F170,'SaSS'!$B$10:$B$12,0))="","Cell will autofill based on response",INDEX('SaSS'!$P$10:$P$12,MATCH($F170,'SaSS'!$B$10:$B$12,0))),"N/A")</f>
        <v/>
      </c>
      <c r="W170" s="52">
        <f>IFERROR(IF(INDEX('Indigenous'!$P$10:$P$11,MATCH($F170,'Indigenous'!$B$10:$B$11,0))="","Cell will autofill based on response",INDEX('Indigenous'!$P$10:$P$11,MATCH($F170,'Indigenous'!$B$10:$B$11,0))),"N/A")</f>
        <v/>
      </c>
      <c r="X170" s="52">
        <f>IFERROR(IF(INDEX('L&amp;R'!$P$10:$P$11,MATCH($F170,'L&amp;R'!$B$10:$B$11,0))="","Cell will autofill based on response",INDEX('L&amp;R'!$P$10:$P$11,MATCH($F170,'L&amp;R'!$B$10:$B$11,0))),"N/A")</f>
        <v/>
      </c>
    </row>
    <row r="171">
      <c r="A171">
        <f>F171&amp;"|"&amp;G171</f>
        <v/>
      </c>
      <c r="B171" s="7" t="inlineStr">
        <is>
          <t>MS1(a)</t>
        </is>
      </c>
      <c r="C171" s="50" t="inlineStr">
        <is>
          <t>Modern slavery and human rights</t>
        </is>
      </c>
      <c r="D171" s="50" t="inlineStr">
        <is>
          <t>Annual progress reporting via the Modern Slavery Statement</t>
        </is>
      </c>
      <c r="E171" s="50" t="inlineStr">
        <is>
          <t>Annual Modern Slavery Statement, with case studies</t>
        </is>
      </c>
      <c r="F171" s="50" t="inlineStr">
        <is>
          <t>MS1(a)</t>
        </is>
      </c>
      <c r="G171" s="50" t="inlineStr">
        <is>
          <t>OPTION 1:  Target-level reporting</t>
        </is>
      </c>
      <c r="H171" s="52">
        <f>IFERROR(IF(INDEX('Faculties'!$L$10:$L$19,MATCH($F171,'Faculties'!$B$10:$B$19,0))="","Cell will autofill based on response",INDEX('Faculties'!$L$10:$L$19,MATCH($F171,'Faculties'!$B$10:$B$19,0))),"N/A")</f>
        <v/>
      </c>
      <c r="I171" s="52">
        <f>IFERROR(IF(INDEX('Faculties'!$L$26:$L$35,MATCH($F171,'Faculties'!$B$26:$B$35,0))="","Cell will autofill based on response",INDEX('Faculties'!$L$26:$L$35,MATCH($F171,'Faculties'!$B$26:$B$35,0))),"N/A")</f>
        <v/>
      </c>
      <c r="J171" s="52">
        <f>IFERROR(IF(INDEX('Faculties'!$L$42:$L$51,MATCH($F171,'Faculties'!$B$42:$B$51,0))="","Cell will autofill based on response",INDEX('Faculties'!$L$42:$L$51,MATCH($F171,'Faculties'!$B$42:$B$51,0))),"N/A")</f>
        <v/>
      </c>
      <c r="K171" s="52">
        <f>IFERROR(IF(INDEX('Faculties'!$L$58:$L$67,MATCH($F171,'Faculties'!$B$58:$B$67,0))="","Cell will autofill based on response",INDEX('Faculties'!$L$58:$L$67,MATCH($F171,'Faculties'!$B$58:$B$67,0))),"N/A")</f>
        <v/>
      </c>
      <c r="L171" s="52">
        <f>IFERROR(IF(INDEX('CI&amp;S'!$L$10:$L$15,MATCH($F171,'CI&amp;S'!$B$10:$B$15,0))="","Cell will autofill based on response",INDEX('CI&amp;S'!$L$10:$L$15,MATCH($F171,'CI&amp;S'!$B$10:$B$15,0))),"N/A")</f>
        <v/>
      </c>
      <c r="M171" s="52">
        <f>IFERROR(IF(INDEX('CI&amp;S'!$L$22:$L$36,MATCH($F171,'CI&amp;S'!$B$22:$B$36,0))="","Cell will autofill based on response",INDEX('CI&amp;S'!$L$22:$L$36,MATCH($F171,'CI&amp;S'!$B$22:$B$36,0))),"N/A")</f>
        <v/>
      </c>
      <c r="N171" s="52">
        <f>IFERROR(IF(INDEX('CFOG'!$L$10:$L$16,MATCH($F171,'CFOG'!$B$10:$B$16,0))="","Cell will autofill based on response",INDEX('CFOG'!$L$10:$L$16,MATCH($F171,'CFOG'!$B$10:$B$16,0))),"N/A")</f>
        <v/>
      </c>
      <c r="O171" s="52">
        <f>IFERROR(IF(INDEX('CFOG'!$L$23:$L$24,MATCH($F171,'CFOG'!$B$23:$B$24,0))="","Cell will autofill based on response",INDEX('CFOG'!$L$23:$L$24,MATCH($F171,'CFOG'!$B$23:$B$24,0))),"N/A")</f>
        <v/>
      </c>
      <c r="P171" s="52">
        <f>IFERROR(IF(INDEX('ESG'!$L$10:$L$17,MATCH($F171,'ESG'!$B$10:$B$17,0))="","Cell will autofill based on response",INDEX('ESG'!$L$10:$L$17,MATCH($F171,'ESG'!$B$10:$B$17,0))),"N/A")</f>
        <v/>
      </c>
      <c r="Q171" s="52">
        <f>IFERROR(IF(INDEX('CIOG'!$L$10:$L$14,MATCH($F171,'CIOG'!$B$10:$B$14,0))="","Cell will autofill based on response",INDEX('CIOG'!$L$10:$L$14,MATCH($F171,'CIOG'!$B$10:$B$14,0))),"N/A")</f>
        <v/>
      </c>
      <c r="R171" s="52">
        <f>IFERROR(IF(INDEX('MRE'!$L$10:$L$18,MATCH($F171,'MRE'!$B$10:$B$18,0))="","Cell will autofill based on response",INDEX('MRE'!$L$10:$L$18,MATCH($F171,'MRE'!$B$10:$B$18,0))),"N/A")</f>
        <v/>
      </c>
      <c r="S171" s="52">
        <f>IFERROR(IF(INDEX('AC&amp;M'!$L$10:$L$14,MATCH($F171,'AC&amp;M'!$B$10:$B$14,0))="","Cell will autofill based on response",INDEX('AC&amp;M'!$L$10:$L$14,MATCH($F171,'AC&amp;M'!$B$10:$B$14,0))),"N/A")</f>
        <v/>
      </c>
      <c r="T171" s="52">
        <f>IFERROR(IF(INDEX('GCE'!$L$10:$L$12,MATCH($F171,'GCE'!$B$10:$B$12,0))="","Cell will autofill based on response",INDEX('GCE'!$L$10:$L$12,MATCH($F171,'GCE'!$B$10:$B$12,0))),"N/A")</f>
        <v/>
      </c>
      <c r="U171" s="52">
        <f>IFERROR(IF(INDEX('Education'!$L$10:$L$13,MATCH($F171,'Education'!$B$10:$B$13,0))="","Cell will autofill based on response",INDEX('Education'!$L$10:$L$13,MATCH($F171,'Education'!$B$10:$B$13,0))),"N/A")</f>
        <v/>
      </c>
      <c r="V171" s="52">
        <f>IFERROR(IF(INDEX('SaSS'!$L$10:$L$12,MATCH($F171,'SaSS'!$B$10:$B$12,0))="","Cell will autofill based on response",INDEX('SaSS'!$L$10:$L$12,MATCH($F171,'SaSS'!$B$10:$B$12,0))),"N/A")</f>
        <v/>
      </c>
      <c r="W171" s="52">
        <f>IFERROR(IF(INDEX('Indigenous'!$L$10:$L$11,MATCH($F171,'Indigenous'!$B$10:$B$11,0))="","Cell will autofill based on response",INDEX('Indigenous'!$L$10:$L$11,MATCH($F171,'Indigenous'!$B$10:$B$11,0))),"N/A")</f>
        <v/>
      </c>
      <c r="X171" s="52">
        <f>IFERROR(IF(INDEX('L&amp;R'!$L$10:$L$11,MATCH($F171,'L&amp;R'!$B$10:$B$11,0))="","Cell will autofill based on response",INDEX('L&amp;R'!$L$10:$L$11,MATCH($F171,'L&amp;R'!$B$10:$B$11,0))),"N/A")</f>
        <v/>
      </c>
      <c r="Z171" s="10">
        <f>SUMPRODUCT(--($H171:$X171&lt;&gt;"N/A"))</f>
        <v/>
      </c>
      <c r="AA171" s="10">
        <f>SUMPRODUCT(--(((($H171:$X171&lt;&gt;"N/A")*($H171:$X171&lt;&gt;"Cell will autofill based on response"))+(($H172:$X172&lt;&gt;"N/A")*($H172:$X172&lt;&gt;"Cell will autofill based on response")))&gt;0))</f>
        <v/>
      </c>
      <c r="AB171" s="10">
        <f>Z171-AA171</f>
        <v/>
      </c>
      <c r="AC171" s="10">
        <f>COUNTIF($H175:$X175,"Yes")</f>
        <v/>
      </c>
    </row>
    <row r="172">
      <c r="A172">
        <f>F172&amp;"|"&amp;G172</f>
        <v/>
      </c>
      <c r="B172" s="13" t="inlineStr"/>
      <c r="C172" s="8" t="inlineStr"/>
      <c r="D172" s="8" t="inlineStr"/>
      <c r="E172" s="8" t="inlineStr"/>
      <c r="F172" s="8" t="inlineStr">
        <is>
          <t>MS1(a)</t>
        </is>
      </c>
      <c r="G172" s="8" t="inlineStr">
        <is>
          <t>OPTION 2:  Indicator level reporting</t>
        </is>
      </c>
      <c r="H172" s="52">
        <f>IFERROR(IF(INDEX('Faculties'!$M$10:$M$19,MATCH($F172,'Faculties'!$B$10:$B$19,0))="","Cell will autofill based on response",INDEX('Faculties'!$M$10:$M$19,MATCH($F172,'Faculties'!$B$10:$B$19,0))),"N/A")</f>
        <v/>
      </c>
      <c r="I172" s="52">
        <f>IFERROR(IF(INDEX('Faculties'!$M$26:$M$35,MATCH($F172,'Faculties'!$B$26:$B$35,0))="","Cell will autofill based on response",INDEX('Faculties'!$M$26:$M$35,MATCH($F172,'Faculties'!$B$26:$B$35,0))),"N/A")</f>
        <v/>
      </c>
      <c r="J172" s="52">
        <f>IFERROR(IF(INDEX('Faculties'!$M$42:$M$51,MATCH($F172,'Faculties'!$B$42:$B$51,0))="","Cell will autofill based on response",INDEX('Faculties'!$M$42:$M$51,MATCH($F172,'Faculties'!$B$42:$B$51,0))),"N/A")</f>
        <v/>
      </c>
      <c r="K172" s="52">
        <f>IFERROR(IF(INDEX('Faculties'!$M$58:$M$67,MATCH($F172,'Faculties'!$B$58:$B$67,0))="","Cell will autofill based on response",INDEX('Faculties'!$M$58:$M$67,MATCH($F172,'Faculties'!$B$58:$B$67,0))),"N/A")</f>
        <v/>
      </c>
      <c r="L172" s="52">
        <f>IFERROR(IF(INDEX('CI&amp;S'!$M$10:$M$15,MATCH($F172,'CI&amp;S'!$B$10:$B$15,0))="","Cell will autofill based on response",INDEX('CI&amp;S'!$M$10:$M$15,MATCH($F172,'CI&amp;S'!$B$10:$B$15,0))),"N/A")</f>
        <v/>
      </c>
      <c r="M172" s="52">
        <f>IFERROR(IF(INDEX('CI&amp;S'!$M$22:$M$36,MATCH($F172,'CI&amp;S'!$B$22:$B$36,0))="","Cell will autofill based on response",INDEX('CI&amp;S'!$M$22:$M$36,MATCH($F172,'CI&amp;S'!$B$22:$B$36,0))),"N/A")</f>
        <v/>
      </c>
      <c r="N172" s="52">
        <f>IFERROR(IF(INDEX('CFOG'!$M$10:$M$16,MATCH($F172,'CFOG'!$B$10:$B$16,0))="","Cell will autofill based on response",INDEX('CFOG'!$M$10:$M$16,MATCH($F172,'CFOG'!$B$10:$B$16,0))),"N/A")</f>
        <v/>
      </c>
      <c r="O172" s="52">
        <f>IFERROR(IF(INDEX('CFOG'!$M$23:$M$24,MATCH($F172,'CFOG'!$B$23:$B$24,0))="","Cell will autofill based on response",INDEX('CFOG'!$M$23:$M$24,MATCH($F172,'CFOG'!$B$23:$B$24,0))),"N/A")</f>
        <v/>
      </c>
      <c r="P172" s="52">
        <f>IFERROR(IF(INDEX('ESG'!$M$10:$M$17,MATCH($F172,'ESG'!$B$10:$B$17,0))="","Cell will autofill based on response",INDEX('ESG'!$M$10:$M$17,MATCH($F172,'ESG'!$B$10:$B$17,0))),"N/A")</f>
        <v/>
      </c>
      <c r="Q172" s="52">
        <f>IFERROR(IF(INDEX('CIOG'!$M$10:$M$14,MATCH($F172,'CIOG'!$B$10:$B$14,0))="","Cell will autofill based on response",INDEX('CIOG'!$M$10:$M$14,MATCH($F172,'CIOG'!$B$10:$B$14,0))),"N/A")</f>
        <v/>
      </c>
      <c r="R172" s="52">
        <f>IFERROR(IF(INDEX('MRE'!$M$10:$M$18,MATCH($F172,'MRE'!$B$10:$B$18,0))="","Cell will autofill based on response",INDEX('MRE'!$M$10:$M$18,MATCH($F172,'MRE'!$B$10:$B$18,0))),"N/A")</f>
        <v/>
      </c>
      <c r="S172" s="52">
        <f>IFERROR(IF(INDEX('AC&amp;M'!$M$10:$M$14,MATCH($F172,'AC&amp;M'!$B$10:$B$14,0))="","Cell will autofill based on response",INDEX('AC&amp;M'!$M$10:$M$14,MATCH($F172,'AC&amp;M'!$B$10:$B$14,0))),"N/A")</f>
        <v/>
      </c>
      <c r="T172" s="52">
        <f>IFERROR(IF(INDEX('GCE'!$M$10:$M$12,MATCH($F172,'GCE'!$B$10:$B$12,0))="","Cell will autofill based on response",INDEX('GCE'!$M$10:$M$12,MATCH($F172,'GCE'!$B$10:$B$12,0))),"N/A")</f>
        <v/>
      </c>
      <c r="U172" s="52">
        <f>IFERROR(IF(INDEX('Education'!$M$10:$M$13,MATCH($F172,'Education'!$B$10:$B$13,0))="","Cell will autofill based on response",INDEX('Education'!$M$10:$M$13,MATCH($F172,'Education'!$B$10:$B$13,0))),"N/A")</f>
        <v/>
      </c>
      <c r="V172" s="52">
        <f>IFERROR(IF(INDEX('SaSS'!$M$10:$M$12,MATCH($F172,'SaSS'!$B$10:$B$12,0))="","Cell will autofill based on response",INDEX('SaSS'!$M$10:$M$12,MATCH($F172,'SaSS'!$B$10:$B$12,0))),"N/A")</f>
        <v/>
      </c>
      <c r="W172" s="52">
        <f>IFERROR(IF(INDEX('Indigenous'!$M$10:$M$11,MATCH($F172,'Indigenous'!$B$10:$B$11,0))="","Cell will autofill based on response",INDEX('Indigenous'!$M$10:$M$11,MATCH($F172,'Indigenous'!$B$10:$B$11,0))),"N/A")</f>
        <v/>
      </c>
      <c r="X172" s="52">
        <f>IFERROR(IF(INDEX('L&amp;R'!$M$10:$M$11,MATCH($F172,'L&amp;R'!$B$10:$B$11,0))="","Cell will autofill based on response",INDEX('L&amp;R'!$M$10:$M$11,MATCH($F172,'L&amp;R'!$B$10:$B$11,0))),"N/A")</f>
        <v/>
      </c>
    </row>
    <row r="173">
      <c r="A173">
        <f>F173&amp;"|"&amp;G173</f>
        <v/>
      </c>
      <c r="B173" s="13" t="inlineStr"/>
      <c r="C173" s="8" t="inlineStr"/>
      <c r="D173" s="8" t="inlineStr"/>
      <c r="E173" s="8" t="inlineStr"/>
      <c r="F173" s="8" t="inlineStr">
        <is>
          <t>MS1(a)</t>
        </is>
      </c>
      <c r="G173" s="8" t="inlineStr">
        <is>
          <t>Supporting information/comments</t>
        </is>
      </c>
      <c r="H173" s="52">
        <f>IFERROR(IF(INDEX('Faculties'!$N$10:$N$19,MATCH($F173,'Faculties'!$B$10:$B$19,0))="","Cell will autofill based on response",INDEX('Faculties'!$N$10:$N$19,MATCH($F173,'Faculties'!$B$10:$B$19,0))),"N/A")</f>
        <v/>
      </c>
      <c r="I173" s="52">
        <f>IFERROR(IF(INDEX('Faculties'!$N$26:$N$35,MATCH($F173,'Faculties'!$B$26:$B$35,0))="","Cell will autofill based on response",INDEX('Faculties'!$N$26:$N$35,MATCH($F173,'Faculties'!$B$26:$B$35,0))),"N/A")</f>
        <v/>
      </c>
      <c r="J173" s="52">
        <f>IFERROR(IF(INDEX('Faculties'!$N$42:$N$51,MATCH($F173,'Faculties'!$B$42:$B$51,0))="","Cell will autofill based on response",INDEX('Faculties'!$N$42:$N$51,MATCH($F173,'Faculties'!$B$42:$B$51,0))),"N/A")</f>
        <v/>
      </c>
      <c r="K173" s="52">
        <f>IFERROR(IF(INDEX('Faculties'!$N$58:$N$67,MATCH($F173,'Faculties'!$B$58:$B$67,0))="","Cell will autofill based on response",INDEX('Faculties'!$N$58:$N$67,MATCH($F173,'Faculties'!$B$58:$B$67,0))),"N/A")</f>
        <v/>
      </c>
      <c r="L173" s="52">
        <f>IFERROR(IF(INDEX('CI&amp;S'!$N$10:$N$15,MATCH($F173,'CI&amp;S'!$B$10:$B$15,0))="","Cell will autofill based on response",INDEX('CI&amp;S'!$N$10:$N$15,MATCH($F173,'CI&amp;S'!$B$10:$B$15,0))),"N/A")</f>
        <v/>
      </c>
      <c r="M173" s="52">
        <f>IFERROR(IF(INDEX('CI&amp;S'!$N$22:$N$36,MATCH($F173,'CI&amp;S'!$B$22:$B$36,0))="","Cell will autofill based on response",INDEX('CI&amp;S'!$N$22:$N$36,MATCH($F173,'CI&amp;S'!$B$22:$B$36,0))),"N/A")</f>
        <v/>
      </c>
      <c r="N173" s="52">
        <f>IFERROR(IF(INDEX('CFOG'!$N$10:$N$16,MATCH($F173,'CFOG'!$B$10:$B$16,0))="","Cell will autofill based on response",INDEX('CFOG'!$N$10:$N$16,MATCH($F173,'CFOG'!$B$10:$B$16,0))),"N/A")</f>
        <v/>
      </c>
      <c r="O173" s="52">
        <f>IFERROR(IF(INDEX('CFOG'!$N$23:$N$24,MATCH($F173,'CFOG'!$B$23:$B$24,0))="","Cell will autofill based on response",INDEX('CFOG'!$N$23:$N$24,MATCH($F173,'CFOG'!$B$23:$B$24,0))),"N/A")</f>
        <v/>
      </c>
      <c r="P173" s="52">
        <f>IFERROR(IF(INDEX('ESG'!$N$10:$N$17,MATCH($F173,'ESG'!$B$10:$B$17,0))="","Cell will autofill based on response",INDEX('ESG'!$N$10:$N$17,MATCH($F173,'ESG'!$B$10:$B$17,0))),"N/A")</f>
        <v/>
      </c>
      <c r="Q173" s="52">
        <f>IFERROR(IF(INDEX('CIOG'!$N$10:$N$14,MATCH($F173,'CIOG'!$B$10:$B$14,0))="","Cell will autofill based on response",INDEX('CIOG'!$N$10:$N$14,MATCH($F173,'CIOG'!$B$10:$B$14,0))),"N/A")</f>
        <v/>
      </c>
      <c r="R173" s="52">
        <f>IFERROR(IF(INDEX('MRE'!$N$10:$N$18,MATCH($F173,'MRE'!$B$10:$B$18,0))="","Cell will autofill based on response",INDEX('MRE'!$N$10:$N$18,MATCH($F173,'MRE'!$B$10:$B$18,0))),"N/A")</f>
        <v/>
      </c>
      <c r="S173" s="52">
        <f>IFERROR(IF(INDEX('AC&amp;M'!$N$10:$N$14,MATCH($F173,'AC&amp;M'!$B$10:$B$14,0))="","Cell will autofill based on response",INDEX('AC&amp;M'!$N$10:$N$14,MATCH($F173,'AC&amp;M'!$B$10:$B$14,0))),"N/A")</f>
        <v/>
      </c>
      <c r="T173" s="52">
        <f>IFERROR(IF(INDEX('GCE'!$N$10:$N$12,MATCH($F173,'GCE'!$B$10:$B$12,0))="","Cell will autofill based on response",INDEX('GCE'!$N$10:$N$12,MATCH($F173,'GCE'!$B$10:$B$12,0))),"N/A")</f>
        <v/>
      </c>
      <c r="U173" s="52">
        <f>IFERROR(IF(INDEX('Education'!$N$10:$N$13,MATCH($F173,'Education'!$B$10:$B$13,0))="","Cell will autofill based on response",INDEX('Education'!$N$10:$N$13,MATCH($F173,'Education'!$B$10:$B$13,0))),"N/A")</f>
        <v/>
      </c>
      <c r="V173" s="52">
        <f>IFERROR(IF(INDEX('SaSS'!$N$10:$N$12,MATCH($F173,'SaSS'!$B$10:$B$12,0))="","Cell will autofill based on response",INDEX('SaSS'!$N$10:$N$12,MATCH($F173,'SaSS'!$B$10:$B$12,0))),"N/A")</f>
        <v/>
      </c>
      <c r="W173" s="52">
        <f>IFERROR(IF(INDEX('Indigenous'!$N$10:$N$11,MATCH($F173,'Indigenous'!$B$10:$B$11,0))="","Cell will autofill based on response",INDEX('Indigenous'!$N$10:$N$11,MATCH($F173,'Indigenous'!$B$10:$B$11,0))),"N/A")</f>
        <v/>
      </c>
      <c r="X173" s="52">
        <f>IFERROR(IF(INDEX('L&amp;R'!$N$10:$N$11,MATCH($F173,'L&amp;R'!$B$10:$B$11,0))="","Cell will autofill based on response",INDEX('L&amp;R'!$N$10:$N$11,MATCH($F173,'L&amp;R'!$B$10:$B$11,0))),"N/A")</f>
        <v/>
      </c>
    </row>
    <row r="174">
      <c r="A174">
        <f>F174&amp;"|"&amp;G174</f>
        <v/>
      </c>
      <c r="B174" s="13" t="inlineStr"/>
      <c r="C174" s="8" t="inlineStr"/>
      <c r="D174" s="8" t="inlineStr"/>
      <c r="E174" s="8" t="inlineStr"/>
      <c r="F174" s="8" t="inlineStr">
        <is>
          <t>MS1(a)</t>
        </is>
      </c>
      <c r="G174" s="8" t="inlineStr">
        <is>
          <t>Data source and limitations</t>
        </is>
      </c>
      <c r="H174" s="52">
        <f>IFERROR(IF(INDEX('Faculties'!$O$10:$O$19,MATCH($F174,'Faculties'!$B$10:$B$19,0))="","Cell will autofill based on response",INDEX('Faculties'!$O$10:$O$19,MATCH($F174,'Faculties'!$B$10:$B$19,0))),"N/A")</f>
        <v/>
      </c>
      <c r="I174" s="52">
        <f>IFERROR(IF(INDEX('Faculties'!$O$26:$O$35,MATCH($F174,'Faculties'!$B$26:$B$35,0))="","Cell will autofill based on response",INDEX('Faculties'!$O$26:$O$35,MATCH($F174,'Faculties'!$B$26:$B$35,0))),"N/A")</f>
        <v/>
      </c>
      <c r="J174" s="52">
        <f>IFERROR(IF(INDEX('Faculties'!$O$42:$O$51,MATCH($F174,'Faculties'!$B$42:$B$51,0))="","Cell will autofill based on response",INDEX('Faculties'!$O$42:$O$51,MATCH($F174,'Faculties'!$B$42:$B$51,0))),"N/A")</f>
        <v/>
      </c>
      <c r="K174" s="52">
        <f>IFERROR(IF(INDEX('Faculties'!$O$58:$O$67,MATCH($F174,'Faculties'!$B$58:$B$67,0))="","Cell will autofill based on response",INDEX('Faculties'!$O$58:$O$67,MATCH($F174,'Faculties'!$B$58:$B$67,0))),"N/A")</f>
        <v/>
      </c>
      <c r="L174" s="52">
        <f>IFERROR(IF(INDEX('CI&amp;S'!$O$10:$O$15,MATCH($F174,'CI&amp;S'!$B$10:$B$15,0))="","Cell will autofill based on response",INDEX('CI&amp;S'!$O$10:$O$15,MATCH($F174,'CI&amp;S'!$B$10:$B$15,0))),"N/A")</f>
        <v/>
      </c>
      <c r="M174" s="52">
        <f>IFERROR(IF(INDEX('CI&amp;S'!$O$22:$O$36,MATCH($F174,'CI&amp;S'!$B$22:$B$36,0))="","Cell will autofill based on response",INDEX('CI&amp;S'!$O$22:$O$36,MATCH($F174,'CI&amp;S'!$B$22:$B$36,0))),"N/A")</f>
        <v/>
      </c>
      <c r="N174" s="52">
        <f>IFERROR(IF(INDEX('CFOG'!$O$10:$O$16,MATCH($F174,'CFOG'!$B$10:$B$16,0))="","Cell will autofill based on response",INDEX('CFOG'!$O$10:$O$16,MATCH($F174,'CFOG'!$B$10:$B$16,0))),"N/A")</f>
        <v/>
      </c>
      <c r="O174" s="52">
        <f>IFERROR(IF(INDEX('CFOG'!$O$23:$O$24,MATCH($F174,'CFOG'!$B$23:$B$24,0))="","Cell will autofill based on response",INDEX('CFOG'!$O$23:$O$24,MATCH($F174,'CFOG'!$B$23:$B$24,0))),"N/A")</f>
        <v/>
      </c>
      <c r="P174" s="52">
        <f>IFERROR(IF(INDEX('ESG'!$O$10:$O$17,MATCH($F174,'ESG'!$B$10:$B$17,0))="","Cell will autofill based on response",INDEX('ESG'!$O$10:$O$17,MATCH($F174,'ESG'!$B$10:$B$17,0))),"N/A")</f>
        <v/>
      </c>
      <c r="Q174" s="52">
        <f>IFERROR(IF(INDEX('CIOG'!$O$10:$O$14,MATCH($F174,'CIOG'!$B$10:$B$14,0))="","Cell will autofill based on response",INDEX('CIOG'!$O$10:$O$14,MATCH($F174,'CIOG'!$B$10:$B$14,0))),"N/A")</f>
        <v/>
      </c>
      <c r="R174" s="52">
        <f>IFERROR(IF(INDEX('MRE'!$O$10:$O$18,MATCH($F174,'MRE'!$B$10:$B$18,0))="","Cell will autofill based on response",INDEX('MRE'!$O$10:$O$18,MATCH($F174,'MRE'!$B$10:$B$18,0))),"N/A")</f>
        <v/>
      </c>
      <c r="S174" s="52">
        <f>IFERROR(IF(INDEX('AC&amp;M'!$O$10:$O$14,MATCH($F174,'AC&amp;M'!$B$10:$B$14,0))="","Cell will autofill based on response",INDEX('AC&amp;M'!$O$10:$O$14,MATCH($F174,'AC&amp;M'!$B$10:$B$14,0))),"N/A")</f>
        <v/>
      </c>
      <c r="T174" s="52">
        <f>IFERROR(IF(INDEX('GCE'!$O$10:$O$12,MATCH($F174,'GCE'!$B$10:$B$12,0))="","Cell will autofill based on response",INDEX('GCE'!$O$10:$O$12,MATCH($F174,'GCE'!$B$10:$B$12,0))),"N/A")</f>
        <v/>
      </c>
      <c r="U174" s="52">
        <f>IFERROR(IF(INDEX('Education'!$O$10:$O$13,MATCH($F174,'Education'!$B$10:$B$13,0))="","Cell will autofill based on response",INDEX('Education'!$O$10:$O$13,MATCH($F174,'Education'!$B$10:$B$13,0))),"N/A")</f>
        <v/>
      </c>
      <c r="V174" s="52">
        <f>IFERROR(IF(INDEX('SaSS'!$O$10:$O$12,MATCH($F174,'SaSS'!$B$10:$B$12,0))="","Cell will autofill based on response",INDEX('SaSS'!$O$10:$O$12,MATCH($F174,'SaSS'!$B$10:$B$12,0))),"N/A")</f>
        <v/>
      </c>
      <c r="W174" s="52">
        <f>IFERROR(IF(INDEX('Indigenous'!$O$10:$O$11,MATCH($F174,'Indigenous'!$B$10:$B$11,0))="","Cell will autofill based on response",INDEX('Indigenous'!$O$10:$O$11,MATCH($F174,'Indigenous'!$B$10:$B$11,0))),"N/A")</f>
        <v/>
      </c>
      <c r="X174" s="52">
        <f>IFERROR(IF(INDEX('L&amp;R'!$O$10:$O$11,MATCH($F174,'L&amp;R'!$B$10:$B$11,0))="","Cell will autofill based on response",INDEX('L&amp;R'!$O$10:$O$11,MATCH($F174,'L&amp;R'!$B$10:$B$11,0))),"N/A")</f>
        <v/>
      </c>
    </row>
    <row r="175">
      <c r="A175">
        <f>F175&amp;"|"&amp;G175</f>
        <v/>
      </c>
      <c r="B175" s="13" t="inlineStr"/>
      <c r="C175" s="8" t="inlineStr"/>
      <c r="D175" s="8" t="inlineStr"/>
      <c r="E175" s="8" t="inlineStr"/>
      <c r="F175" s="8" t="inlineStr">
        <is>
          <t>MS1(a)</t>
        </is>
      </c>
      <c r="G175" s="8" t="inlineStr">
        <is>
          <t>Data owner confirms</t>
        </is>
      </c>
      <c r="H175" s="52">
        <f>IFERROR(IF(INDEX('Faculties'!$P$10:$P$19,MATCH($F175,'Faculties'!$B$10:$B$19,0))="","Cell will autofill based on response",INDEX('Faculties'!$P$10:$P$19,MATCH($F175,'Faculties'!$B$10:$B$19,0))),"N/A")</f>
        <v/>
      </c>
      <c r="I175" s="52">
        <f>IFERROR(IF(INDEX('Faculties'!$P$26:$P$35,MATCH($F175,'Faculties'!$B$26:$B$35,0))="","Cell will autofill based on response",INDEX('Faculties'!$P$26:$P$35,MATCH($F175,'Faculties'!$B$26:$B$35,0))),"N/A")</f>
        <v/>
      </c>
      <c r="J175" s="52">
        <f>IFERROR(IF(INDEX('Faculties'!$P$42:$P$51,MATCH($F175,'Faculties'!$B$42:$B$51,0))="","Cell will autofill based on response",INDEX('Faculties'!$P$42:$P$51,MATCH($F175,'Faculties'!$B$42:$B$51,0))),"N/A")</f>
        <v/>
      </c>
      <c r="K175" s="52">
        <f>IFERROR(IF(INDEX('Faculties'!$P$58:$P$67,MATCH($F175,'Faculties'!$B$58:$B$67,0))="","Cell will autofill based on response",INDEX('Faculties'!$P$58:$P$67,MATCH($F175,'Faculties'!$B$58:$B$67,0))),"N/A")</f>
        <v/>
      </c>
      <c r="L175" s="52">
        <f>IFERROR(IF(INDEX('CI&amp;S'!$P$10:$P$15,MATCH($F175,'CI&amp;S'!$B$10:$B$15,0))="","Cell will autofill based on response",INDEX('CI&amp;S'!$P$10:$P$15,MATCH($F175,'CI&amp;S'!$B$10:$B$15,0))),"N/A")</f>
        <v/>
      </c>
      <c r="M175" s="52">
        <f>IFERROR(IF(INDEX('CI&amp;S'!$P$22:$P$36,MATCH($F175,'CI&amp;S'!$B$22:$B$36,0))="","Cell will autofill based on response",INDEX('CI&amp;S'!$P$22:$P$36,MATCH($F175,'CI&amp;S'!$B$22:$B$36,0))),"N/A")</f>
        <v/>
      </c>
      <c r="N175" s="52">
        <f>IFERROR(IF(INDEX('CFOG'!$P$10:$P$16,MATCH($F175,'CFOG'!$B$10:$B$16,0))="","Cell will autofill based on response",INDEX('CFOG'!$P$10:$P$16,MATCH($F175,'CFOG'!$B$10:$B$16,0))),"N/A")</f>
        <v/>
      </c>
      <c r="O175" s="52">
        <f>IFERROR(IF(INDEX('CFOG'!$P$23:$P$24,MATCH($F175,'CFOG'!$B$23:$B$24,0))="","Cell will autofill based on response",INDEX('CFOG'!$P$23:$P$24,MATCH($F175,'CFOG'!$B$23:$B$24,0))),"N/A")</f>
        <v/>
      </c>
      <c r="P175" s="52">
        <f>IFERROR(IF(INDEX('ESG'!$P$10:$P$17,MATCH($F175,'ESG'!$B$10:$B$17,0))="","Cell will autofill based on response",INDEX('ESG'!$P$10:$P$17,MATCH($F175,'ESG'!$B$10:$B$17,0))),"N/A")</f>
        <v/>
      </c>
      <c r="Q175" s="52">
        <f>IFERROR(IF(INDEX('CIOG'!$P$10:$P$14,MATCH($F175,'CIOG'!$B$10:$B$14,0))="","Cell will autofill based on response",INDEX('CIOG'!$P$10:$P$14,MATCH($F175,'CIOG'!$B$10:$B$14,0))),"N/A")</f>
        <v/>
      </c>
      <c r="R175" s="52">
        <f>IFERROR(IF(INDEX('MRE'!$P$10:$P$18,MATCH($F175,'MRE'!$B$10:$B$18,0))="","Cell will autofill based on response",INDEX('MRE'!$P$10:$P$18,MATCH($F175,'MRE'!$B$10:$B$18,0))),"N/A")</f>
        <v/>
      </c>
      <c r="S175" s="52">
        <f>IFERROR(IF(INDEX('AC&amp;M'!$P$10:$P$14,MATCH($F175,'AC&amp;M'!$B$10:$B$14,0))="","Cell will autofill based on response",INDEX('AC&amp;M'!$P$10:$P$14,MATCH($F175,'AC&amp;M'!$B$10:$B$14,0))),"N/A")</f>
        <v/>
      </c>
      <c r="T175" s="52">
        <f>IFERROR(IF(INDEX('GCE'!$P$10:$P$12,MATCH($F175,'GCE'!$B$10:$B$12,0))="","Cell will autofill based on response",INDEX('GCE'!$P$10:$P$12,MATCH($F175,'GCE'!$B$10:$B$12,0))),"N/A")</f>
        <v/>
      </c>
      <c r="U175" s="52">
        <f>IFERROR(IF(INDEX('Education'!$P$10:$P$13,MATCH($F175,'Education'!$B$10:$B$13,0))="","Cell will autofill based on response",INDEX('Education'!$P$10:$P$13,MATCH($F175,'Education'!$B$10:$B$13,0))),"N/A")</f>
        <v/>
      </c>
      <c r="V175" s="52">
        <f>IFERROR(IF(INDEX('SaSS'!$P$10:$P$12,MATCH($F175,'SaSS'!$B$10:$B$12,0))="","Cell will autofill based on response",INDEX('SaSS'!$P$10:$P$12,MATCH($F175,'SaSS'!$B$10:$B$12,0))),"N/A")</f>
        <v/>
      </c>
      <c r="W175" s="52">
        <f>IFERROR(IF(INDEX('Indigenous'!$P$10:$P$11,MATCH($F175,'Indigenous'!$B$10:$B$11,0))="","Cell will autofill based on response",INDEX('Indigenous'!$P$10:$P$11,MATCH($F175,'Indigenous'!$B$10:$B$11,0))),"N/A")</f>
        <v/>
      </c>
      <c r="X175" s="52">
        <f>IFERROR(IF(INDEX('L&amp;R'!$P$10:$P$11,MATCH($F175,'L&amp;R'!$B$10:$B$11,0))="","Cell will autofill based on response",INDEX('L&amp;R'!$P$10:$P$11,MATCH($F175,'L&amp;R'!$B$10:$B$11,0))),"N/A")</f>
        <v/>
      </c>
    </row>
    <row r="176">
      <c r="A176">
        <f>F176&amp;"|"&amp;G176</f>
        <v/>
      </c>
      <c r="B176" s="7" t="inlineStr">
        <is>
          <t>RI1(b)</t>
        </is>
      </c>
      <c r="C176" s="50" t="inlineStr">
        <is>
          <t>Responsible investments</t>
        </is>
      </c>
      <c r="D176" s="50" t="inlineStr">
        <is>
          <t>Continuous improvement of the reporting of the University’s sustainability-related investment profile metrics, could include investment in climate mitigation and transition solutions, and compliance with related obligations (eg UNPRI).</t>
        </is>
      </c>
      <c r="E176" s="50" t="inlineStr">
        <is>
          <t>Report on relevant sustainability-related investment portfolio metrics and report on how the University has complied with its related obligations</t>
        </is>
      </c>
      <c r="F176" s="50" t="inlineStr">
        <is>
          <t>RI1(b)</t>
        </is>
      </c>
      <c r="G176" s="50" t="inlineStr">
        <is>
          <t>OPTION 1:  Target-level reporting</t>
        </is>
      </c>
      <c r="H176" s="52">
        <f>IFERROR(IF(INDEX('Faculties'!$L$10:$L$19,MATCH($F176,'Faculties'!$B$10:$B$19,0))="","Cell will autofill based on response",INDEX('Faculties'!$L$10:$L$19,MATCH($F176,'Faculties'!$B$10:$B$19,0))),"N/A")</f>
        <v/>
      </c>
      <c r="I176" s="52">
        <f>IFERROR(IF(INDEX('Faculties'!$L$26:$L$35,MATCH($F176,'Faculties'!$B$26:$B$35,0))="","Cell will autofill based on response",INDEX('Faculties'!$L$26:$L$35,MATCH($F176,'Faculties'!$B$26:$B$35,0))),"N/A")</f>
        <v/>
      </c>
      <c r="J176" s="52">
        <f>IFERROR(IF(INDEX('Faculties'!$L$42:$L$51,MATCH($F176,'Faculties'!$B$42:$B$51,0))="","Cell will autofill based on response",INDEX('Faculties'!$L$42:$L$51,MATCH($F176,'Faculties'!$B$42:$B$51,0))),"N/A")</f>
        <v/>
      </c>
      <c r="K176" s="52">
        <f>IFERROR(IF(INDEX('Faculties'!$L$58:$L$67,MATCH($F176,'Faculties'!$B$58:$B$67,0))="","Cell will autofill based on response",INDEX('Faculties'!$L$58:$L$67,MATCH($F176,'Faculties'!$B$58:$B$67,0))),"N/A")</f>
        <v/>
      </c>
      <c r="L176" s="52">
        <f>IFERROR(IF(INDEX('CI&amp;S'!$L$10:$L$15,MATCH($F176,'CI&amp;S'!$B$10:$B$15,0))="","Cell will autofill based on response",INDEX('CI&amp;S'!$L$10:$L$15,MATCH($F176,'CI&amp;S'!$B$10:$B$15,0))),"N/A")</f>
        <v/>
      </c>
      <c r="M176" s="52">
        <f>IFERROR(IF(INDEX('CI&amp;S'!$L$22:$L$36,MATCH($F176,'CI&amp;S'!$B$22:$B$36,0))="","Cell will autofill based on response",INDEX('CI&amp;S'!$L$22:$L$36,MATCH($F176,'CI&amp;S'!$B$22:$B$36,0))),"N/A")</f>
        <v/>
      </c>
      <c r="N176" s="52">
        <f>IFERROR(IF(INDEX('CFOG'!$L$10:$L$16,MATCH($F176,'CFOG'!$B$10:$B$16,0))="","Cell will autofill based on response",INDEX('CFOG'!$L$10:$L$16,MATCH($F176,'CFOG'!$B$10:$B$16,0))),"N/A")</f>
        <v/>
      </c>
      <c r="O176" s="52">
        <f>IFERROR(IF(INDEX('CFOG'!$L$23:$L$24,MATCH($F176,'CFOG'!$B$23:$B$24,0))="","Cell will autofill based on response",INDEX('CFOG'!$L$23:$L$24,MATCH($F176,'CFOG'!$B$23:$B$24,0))),"N/A")</f>
        <v/>
      </c>
      <c r="P176" s="52">
        <f>IFERROR(IF(INDEX('ESG'!$L$10:$L$17,MATCH($F176,'ESG'!$B$10:$B$17,0))="","Cell will autofill based on response",INDEX('ESG'!$L$10:$L$17,MATCH($F176,'ESG'!$B$10:$B$17,0))),"N/A")</f>
        <v/>
      </c>
      <c r="Q176" s="52">
        <f>IFERROR(IF(INDEX('CIOG'!$L$10:$L$14,MATCH($F176,'CIOG'!$B$10:$B$14,0))="","Cell will autofill based on response",INDEX('CIOG'!$L$10:$L$14,MATCH($F176,'CIOG'!$B$10:$B$14,0))),"N/A")</f>
        <v/>
      </c>
      <c r="R176" s="52">
        <f>IFERROR(IF(INDEX('MRE'!$L$10:$L$18,MATCH($F176,'MRE'!$B$10:$B$18,0))="","Cell will autofill based on response",INDEX('MRE'!$L$10:$L$18,MATCH($F176,'MRE'!$B$10:$B$18,0))),"N/A")</f>
        <v/>
      </c>
      <c r="S176" s="52">
        <f>IFERROR(IF(INDEX('AC&amp;M'!$L$10:$L$14,MATCH($F176,'AC&amp;M'!$B$10:$B$14,0))="","Cell will autofill based on response",INDEX('AC&amp;M'!$L$10:$L$14,MATCH($F176,'AC&amp;M'!$B$10:$B$14,0))),"N/A")</f>
        <v/>
      </c>
      <c r="T176" s="52">
        <f>IFERROR(IF(INDEX('GCE'!$L$10:$L$12,MATCH($F176,'GCE'!$B$10:$B$12,0))="","Cell will autofill based on response",INDEX('GCE'!$L$10:$L$12,MATCH($F176,'GCE'!$B$10:$B$12,0))),"N/A")</f>
        <v/>
      </c>
      <c r="U176" s="52">
        <f>IFERROR(IF(INDEX('Education'!$L$10:$L$13,MATCH($F176,'Education'!$B$10:$B$13,0))="","Cell will autofill based on response",INDEX('Education'!$L$10:$L$13,MATCH($F176,'Education'!$B$10:$B$13,0))),"N/A")</f>
        <v/>
      </c>
      <c r="V176" s="52">
        <f>IFERROR(IF(INDEX('SaSS'!$L$10:$L$12,MATCH($F176,'SaSS'!$B$10:$B$12,0))="","Cell will autofill based on response",INDEX('SaSS'!$L$10:$L$12,MATCH($F176,'SaSS'!$B$10:$B$12,0))),"N/A")</f>
        <v/>
      </c>
      <c r="W176" s="52">
        <f>IFERROR(IF(INDEX('Indigenous'!$L$10:$L$11,MATCH($F176,'Indigenous'!$B$10:$B$11,0))="","Cell will autofill based on response",INDEX('Indigenous'!$L$10:$L$11,MATCH($F176,'Indigenous'!$B$10:$B$11,0))),"N/A")</f>
        <v/>
      </c>
      <c r="X176" s="52">
        <f>IFERROR(IF(INDEX('L&amp;R'!$L$10:$L$11,MATCH($F176,'L&amp;R'!$B$10:$B$11,0))="","Cell will autofill based on response",INDEX('L&amp;R'!$L$10:$L$11,MATCH($F176,'L&amp;R'!$B$10:$B$11,0))),"N/A")</f>
        <v/>
      </c>
      <c r="Z176" s="10">
        <f>SUMPRODUCT(--($H176:$X176&lt;&gt;"N/A"))</f>
        <v/>
      </c>
      <c r="AA176" s="10">
        <f>SUMPRODUCT(--(((($H176:$X176&lt;&gt;"N/A")*($H176:$X176&lt;&gt;"Cell will autofill based on response"))+(($H177:$X177&lt;&gt;"N/A")*($H177:$X177&lt;&gt;"Cell will autofill based on response")))&gt;0))</f>
        <v/>
      </c>
      <c r="AB176" s="10">
        <f>Z176-AA176</f>
        <v/>
      </c>
      <c r="AC176" s="10">
        <f>COUNTIF($H180:$X180,"Yes")</f>
        <v/>
      </c>
    </row>
    <row r="177">
      <c r="A177">
        <f>F177&amp;"|"&amp;G177</f>
        <v/>
      </c>
      <c r="B177" s="13" t="inlineStr"/>
      <c r="C177" s="8" t="inlineStr"/>
      <c r="D177" s="8" t="inlineStr"/>
      <c r="E177" s="8" t="inlineStr"/>
      <c r="F177" s="8" t="inlineStr">
        <is>
          <t>RI1(b)</t>
        </is>
      </c>
      <c r="G177" s="8" t="inlineStr">
        <is>
          <t>OPTION 2:  Indicator level reporting</t>
        </is>
      </c>
      <c r="H177" s="52">
        <f>IFERROR(IF(INDEX('Faculties'!$M$10:$M$19,MATCH($F177,'Faculties'!$B$10:$B$19,0))="","Cell will autofill based on response",INDEX('Faculties'!$M$10:$M$19,MATCH($F177,'Faculties'!$B$10:$B$19,0))),"N/A")</f>
        <v/>
      </c>
      <c r="I177" s="52">
        <f>IFERROR(IF(INDEX('Faculties'!$M$26:$M$35,MATCH($F177,'Faculties'!$B$26:$B$35,0))="","Cell will autofill based on response",INDEX('Faculties'!$M$26:$M$35,MATCH($F177,'Faculties'!$B$26:$B$35,0))),"N/A")</f>
        <v/>
      </c>
      <c r="J177" s="52">
        <f>IFERROR(IF(INDEX('Faculties'!$M$42:$M$51,MATCH($F177,'Faculties'!$B$42:$B$51,0))="","Cell will autofill based on response",INDEX('Faculties'!$M$42:$M$51,MATCH($F177,'Faculties'!$B$42:$B$51,0))),"N/A")</f>
        <v/>
      </c>
      <c r="K177" s="52">
        <f>IFERROR(IF(INDEX('Faculties'!$M$58:$M$67,MATCH($F177,'Faculties'!$B$58:$B$67,0))="","Cell will autofill based on response",INDEX('Faculties'!$M$58:$M$67,MATCH($F177,'Faculties'!$B$58:$B$67,0))),"N/A")</f>
        <v/>
      </c>
      <c r="L177" s="52">
        <f>IFERROR(IF(INDEX('CI&amp;S'!$M$10:$M$15,MATCH($F177,'CI&amp;S'!$B$10:$B$15,0))="","Cell will autofill based on response",INDEX('CI&amp;S'!$M$10:$M$15,MATCH($F177,'CI&amp;S'!$B$10:$B$15,0))),"N/A")</f>
        <v/>
      </c>
      <c r="M177" s="52">
        <f>IFERROR(IF(INDEX('CI&amp;S'!$M$22:$M$36,MATCH($F177,'CI&amp;S'!$B$22:$B$36,0))="","Cell will autofill based on response",INDEX('CI&amp;S'!$M$22:$M$36,MATCH($F177,'CI&amp;S'!$B$22:$B$36,0))),"N/A")</f>
        <v/>
      </c>
      <c r="N177" s="52">
        <f>IFERROR(IF(INDEX('CFOG'!$M$10:$M$16,MATCH($F177,'CFOG'!$B$10:$B$16,0))="","Cell will autofill based on response",INDEX('CFOG'!$M$10:$M$16,MATCH($F177,'CFOG'!$B$10:$B$16,0))),"N/A")</f>
        <v/>
      </c>
      <c r="O177" s="52">
        <f>IFERROR(IF(INDEX('CFOG'!$M$23:$M$24,MATCH($F177,'CFOG'!$B$23:$B$24,0))="","Cell will autofill based on response",INDEX('CFOG'!$M$23:$M$24,MATCH($F177,'CFOG'!$B$23:$B$24,0))),"N/A")</f>
        <v/>
      </c>
      <c r="P177" s="52">
        <f>IFERROR(IF(INDEX('ESG'!$M$10:$M$17,MATCH($F177,'ESG'!$B$10:$B$17,0))="","Cell will autofill based on response",INDEX('ESG'!$M$10:$M$17,MATCH($F177,'ESG'!$B$10:$B$17,0))),"N/A")</f>
        <v/>
      </c>
      <c r="Q177" s="52">
        <f>IFERROR(IF(INDEX('CIOG'!$M$10:$M$14,MATCH($F177,'CIOG'!$B$10:$B$14,0))="","Cell will autofill based on response",INDEX('CIOG'!$M$10:$M$14,MATCH($F177,'CIOG'!$B$10:$B$14,0))),"N/A")</f>
        <v/>
      </c>
      <c r="R177" s="52">
        <f>IFERROR(IF(INDEX('MRE'!$M$10:$M$18,MATCH($F177,'MRE'!$B$10:$B$18,0))="","Cell will autofill based on response",INDEX('MRE'!$M$10:$M$18,MATCH($F177,'MRE'!$B$10:$B$18,0))),"N/A")</f>
        <v/>
      </c>
      <c r="S177" s="52">
        <f>IFERROR(IF(INDEX('AC&amp;M'!$M$10:$M$14,MATCH($F177,'AC&amp;M'!$B$10:$B$14,0))="","Cell will autofill based on response",INDEX('AC&amp;M'!$M$10:$M$14,MATCH($F177,'AC&amp;M'!$B$10:$B$14,0))),"N/A")</f>
        <v/>
      </c>
      <c r="T177" s="52">
        <f>IFERROR(IF(INDEX('GCE'!$M$10:$M$12,MATCH($F177,'GCE'!$B$10:$B$12,0))="","Cell will autofill based on response",INDEX('GCE'!$M$10:$M$12,MATCH($F177,'GCE'!$B$10:$B$12,0))),"N/A")</f>
        <v/>
      </c>
      <c r="U177" s="52">
        <f>IFERROR(IF(INDEX('Education'!$M$10:$M$13,MATCH($F177,'Education'!$B$10:$B$13,0))="","Cell will autofill based on response",INDEX('Education'!$M$10:$M$13,MATCH($F177,'Education'!$B$10:$B$13,0))),"N/A")</f>
        <v/>
      </c>
      <c r="V177" s="52">
        <f>IFERROR(IF(INDEX('SaSS'!$M$10:$M$12,MATCH($F177,'SaSS'!$B$10:$B$12,0))="","Cell will autofill based on response",INDEX('SaSS'!$M$10:$M$12,MATCH($F177,'SaSS'!$B$10:$B$12,0))),"N/A")</f>
        <v/>
      </c>
      <c r="W177" s="52">
        <f>IFERROR(IF(INDEX('Indigenous'!$M$10:$M$11,MATCH($F177,'Indigenous'!$B$10:$B$11,0))="","Cell will autofill based on response",INDEX('Indigenous'!$M$10:$M$11,MATCH($F177,'Indigenous'!$B$10:$B$11,0))),"N/A")</f>
        <v/>
      </c>
      <c r="X177" s="52">
        <f>IFERROR(IF(INDEX('L&amp;R'!$M$10:$M$11,MATCH($F177,'L&amp;R'!$B$10:$B$11,0))="","Cell will autofill based on response",INDEX('L&amp;R'!$M$10:$M$11,MATCH($F177,'L&amp;R'!$B$10:$B$11,0))),"N/A")</f>
        <v/>
      </c>
    </row>
    <row r="178">
      <c r="A178">
        <f>F178&amp;"|"&amp;G178</f>
        <v/>
      </c>
      <c r="B178" s="13" t="inlineStr"/>
      <c r="C178" s="8" t="inlineStr"/>
      <c r="D178" s="8" t="inlineStr"/>
      <c r="E178" s="8" t="inlineStr"/>
      <c r="F178" s="8" t="inlineStr">
        <is>
          <t>RI1(b)</t>
        </is>
      </c>
      <c r="G178" s="8" t="inlineStr">
        <is>
          <t>Supporting information/comments</t>
        </is>
      </c>
      <c r="H178" s="52">
        <f>IFERROR(IF(INDEX('Faculties'!$N$10:$N$19,MATCH($F178,'Faculties'!$B$10:$B$19,0))="","Cell will autofill based on response",INDEX('Faculties'!$N$10:$N$19,MATCH($F178,'Faculties'!$B$10:$B$19,0))),"N/A")</f>
        <v/>
      </c>
      <c r="I178" s="52">
        <f>IFERROR(IF(INDEX('Faculties'!$N$26:$N$35,MATCH($F178,'Faculties'!$B$26:$B$35,0))="","Cell will autofill based on response",INDEX('Faculties'!$N$26:$N$35,MATCH($F178,'Faculties'!$B$26:$B$35,0))),"N/A")</f>
        <v/>
      </c>
      <c r="J178" s="52">
        <f>IFERROR(IF(INDEX('Faculties'!$N$42:$N$51,MATCH($F178,'Faculties'!$B$42:$B$51,0))="","Cell will autofill based on response",INDEX('Faculties'!$N$42:$N$51,MATCH($F178,'Faculties'!$B$42:$B$51,0))),"N/A")</f>
        <v/>
      </c>
      <c r="K178" s="52">
        <f>IFERROR(IF(INDEX('Faculties'!$N$58:$N$67,MATCH($F178,'Faculties'!$B$58:$B$67,0))="","Cell will autofill based on response",INDEX('Faculties'!$N$58:$N$67,MATCH($F178,'Faculties'!$B$58:$B$67,0))),"N/A")</f>
        <v/>
      </c>
      <c r="L178" s="52">
        <f>IFERROR(IF(INDEX('CI&amp;S'!$N$10:$N$15,MATCH($F178,'CI&amp;S'!$B$10:$B$15,0))="","Cell will autofill based on response",INDEX('CI&amp;S'!$N$10:$N$15,MATCH($F178,'CI&amp;S'!$B$10:$B$15,0))),"N/A")</f>
        <v/>
      </c>
      <c r="M178" s="52">
        <f>IFERROR(IF(INDEX('CI&amp;S'!$N$22:$N$36,MATCH($F178,'CI&amp;S'!$B$22:$B$36,0))="","Cell will autofill based on response",INDEX('CI&amp;S'!$N$22:$N$36,MATCH($F178,'CI&amp;S'!$B$22:$B$36,0))),"N/A")</f>
        <v/>
      </c>
      <c r="N178" s="52">
        <f>IFERROR(IF(INDEX('CFOG'!$N$10:$N$16,MATCH($F178,'CFOG'!$B$10:$B$16,0))="","Cell will autofill based on response",INDEX('CFOG'!$N$10:$N$16,MATCH($F178,'CFOG'!$B$10:$B$16,0))),"N/A")</f>
        <v/>
      </c>
      <c r="O178" s="52">
        <f>IFERROR(IF(INDEX('CFOG'!$N$23:$N$24,MATCH($F178,'CFOG'!$B$23:$B$24,0))="","Cell will autofill based on response",INDEX('CFOG'!$N$23:$N$24,MATCH($F178,'CFOG'!$B$23:$B$24,0))),"N/A")</f>
        <v/>
      </c>
      <c r="P178" s="52">
        <f>IFERROR(IF(INDEX('ESG'!$N$10:$N$17,MATCH($F178,'ESG'!$B$10:$B$17,0))="","Cell will autofill based on response",INDEX('ESG'!$N$10:$N$17,MATCH($F178,'ESG'!$B$10:$B$17,0))),"N/A")</f>
        <v/>
      </c>
      <c r="Q178" s="52">
        <f>IFERROR(IF(INDEX('CIOG'!$N$10:$N$14,MATCH($F178,'CIOG'!$B$10:$B$14,0))="","Cell will autofill based on response",INDEX('CIOG'!$N$10:$N$14,MATCH($F178,'CIOG'!$B$10:$B$14,0))),"N/A")</f>
        <v/>
      </c>
      <c r="R178" s="52">
        <f>IFERROR(IF(INDEX('MRE'!$N$10:$N$18,MATCH($F178,'MRE'!$B$10:$B$18,0))="","Cell will autofill based on response",INDEX('MRE'!$N$10:$N$18,MATCH($F178,'MRE'!$B$10:$B$18,0))),"N/A")</f>
        <v/>
      </c>
      <c r="S178" s="52">
        <f>IFERROR(IF(INDEX('AC&amp;M'!$N$10:$N$14,MATCH($F178,'AC&amp;M'!$B$10:$B$14,0))="","Cell will autofill based on response",INDEX('AC&amp;M'!$N$10:$N$14,MATCH($F178,'AC&amp;M'!$B$10:$B$14,0))),"N/A")</f>
        <v/>
      </c>
      <c r="T178" s="52">
        <f>IFERROR(IF(INDEX('GCE'!$N$10:$N$12,MATCH($F178,'GCE'!$B$10:$B$12,0))="","Cell will autofill based on response",INDEX('GCE'!$N$10:$N$12,MATCH($F178,'GCE'!$B$10:$B$12,0))),"N/A")</f>
        <v/>
      </c>
      <c r="U178" s="52">
        <f>IFERROR(IF(INDEX('Education'!$N$10:$N$13,MATCH($F178,'Education'!$B$10:$B$13,0))="","Cell will autofill based on response",INDEX('Education'!$N$10:$N$13,MATCH($F178,'Education'!$B$10:$B$13,0))),"N/A")</f>
        <v/>
      </c>
      <c r="V178" s="52">
        <f>IFERROR(IF(INDEX('SaSS'!$N$10:$N$12,MATCH($F178,'SaSS'!$B$10:$B$12,0))="","Cell will autofill based on response",INDEX('SaSS'!$N$10:$N$12,MATCH($F178,'SaSS'!$B$10:$B$12,0))),"N/A")</f>
        <v/>
      </c>
      <c r="W178" s="52">
        <f>IFERROR(IF(INDEX('Indigenous'!$N$10:$N$11,MATCH($F178,'Indigenous'!$B$10:$B$11,0))="","Cell will autofill based on response",INDEX('Indigenous'!$N$10:$N$11,MATCH($F178,'Indigenous'!$B$10:$B$11,0))),"N/A")</f>
        <v/>
      </c>
      <c r="X178" s="52">
        <f>IFERROR(IF(INDEX('L&amp;R'!$N$10:$N$11,MATCH($F178,'L&amp;R'!$B$10:$B$11,0))="","Cell will autofill based on response",INDEX('L&amp;R'!$N$10:$N$11,MATCH($F178,'L&amp;R'!$B$10:$B$11,0))),"N/A")</f>
        <v/>
      </c>
    </row>
    <row r="179">
      <c r="A179">
        <f>F179&amp;"|"&amp;G179</f>
        <v/>
      </c>
      <c r="B179" s="13" t="inlineStr"/>
      <c r="C179" s="8" t="inlineStr"/>
      <c r="D179" s="8" t="inlineStr"/>
      <c r="E179" s="8" t="inlineStr"/>
      <c r="F179" s="8" t="inlineStr">
        <is>
          <t>RI1(b)</t>
        </is>
      </c>
      <c r="G179" s="8" t="inlineStr">
        <is>
          <t>Data source and limitations</t>
        </is>
      </c>
      <c r="H179" s="52">
        <f>IFERROR(IF(INDEX('Faculties'!$O$10:$O$19,MATCH($F179,'Faculties'!$B$10:$B$19,0))="","Cell will autofill based on response",INDEX('Faculties'!$O$10:$O$19,MATCH($F179,'Faculties'!$B$10:$B$19,0))),"N/A")</f>
        <v/>
      </c>
      <c r="I179" s="52">
        <f>IFERROR(IF(INDEX('Faculties'!$O$26:$O$35,MATCH($F179,'Faculties'!$B$26:$B$35,0))="","Cell will autofill based on response",INDEX('Faculties'!$O$26:$O$35,MATCH($F179,'Faculties'!$B$26:$B$35,0))),"N/A")</f>
        <v/>
      </c>
      <c r="J179" s="52">
        <f>IFERROR(IF(INDEX('Faculties'!$O$42:$O$51,MATCH($F179,'Faculties'!$B$42:$B$51,0))="","Cell will autofill based on response",INDEX('Faculties'!$O$42:$O$51,MATCH($F179,'Faculties'!$B$42:$B$51,0))),"N/A")</f>
        <v/>
      </c>
      <c r="K179" s="52">
        <f>IFERROR(IF(INDEX('Faculties'!$O$58:$O$67,MATCH($F179,'Faculties'!$B$58:$B$67,0))="","Cell will autofill based on response",INDEX('Faculties'!$O$58:$O$67,MATCH($F179,'Faculties'!$B$58:$B$67,0))),"N/A")</f>
        <v/>
      </c>
      <c r="L179" s="52">
        <f>IFERROR(IF(INDEX('CI&amp;S'!$O$10:$O$15,MATCH($F179,'CI&amp;S'!$B$10:$B$15,0))="","Cell will autofill based on response",INDEX('CI&amp;S'!$O$10:$O$15,MATCH($F179,'CI&amp;S'!$B$10:$B$15,0))),"N/A")</f>
        <v/>
      </c>
      <c r="M179" s="52">
        <f>IFERROR(IF(INDEX('CI&amp;S'!$O$22:$O$36,MATCH($F179,'CI&amp;S'!$B$22:$B$36,0))="","Cell will autofill based on response",INDEX('CI&amp;S'!$O$22:$O$36,MATCH($F179,'CI&amp;S'!$B$22:$B$36,0))),"N/A")</f>
        <v/>
      </c>
      <c r="N179" s="52">
        <f>IFERROR(IF(INDEX('CFOG'!$O$10:$O$16,MATCH($F179,'CFOG'!$B$10:$B$16,0))="","Cell will autofill based on response",INDEX('CFOG'!$O$10:$O$16,MATCH($F179,'CFOG'!$B$10:$B$16,0))),"N/A")</f>
        <v/>
      </c>
      <c r="O179" s="52">
        <f>IFERROR(IF(INDEX('CFOG'!$O$23:$O$24,MATCH($F179,'CFOG'!$B$23:$B$24,0))="","Cell will autofill based on response",INDEX('CFOG'!$O$23:$O$24,MATCH($F179,'CFOG'!$B$23:$B$24,0))),"N/A")</f>
        <v/>
      </c>
      <c r="P179" s="52">
        <f>IFERROR(IF(INDEX('ESG'!$O$10:$O$17,MATCH($F179,'ESG'!$B$10:$B$17,0))="","Cell will autofill based on response",INDEX('ESG'!$O$10:$O$17,MATCH($F179,'ESG'!$B$10:$B$17,0))),"N/A")</f>
        <v/>
      </c>
      <c r="Q179" s="52">
        <f>IFERROR(IF(INDEX('CIOG'!$O$10:$O$14,MATCH($F179,'CIOG'!$B$10:$B$14,0))="","Cell will autofill based on response",INDEX('CIOG'!$O$10:$O$14,MATCH($F179,'CIOG'!$B$10:$B$14,0))),"N/A")</f>
        <v/>
      </c>
      <c r="R179" s="52">
        <f>IFERROR(IF(INDEX('MRE'!$O$10:$O$18,MATCH($F179,'MRE'!$B$10:$B$18,0))="","Cell will autofill based on response",INDEX('MRE'!$O$10:$O$18,MATCH($F179,'MRE'!$B$10:$B$18,0))),"N/A")</f>
        <v/>
      </c>
      <c r="S179" s="52">
        <f>IFERROR(IF(INDEX('AC&amp;M'!$O$10:$O$14,MATCH($F179,'AC&amp;M'!$B$10:$B$14,0))="","Cell will autofill based on response",INDEX('AC&amp;M'!$O$10:$O$14,MATCH($F179,'AC&amp;M'!$B$10:$B$14,0))),"N/A")</f>
        <v/>
      </c>
      <c r="T179" s="52">
        <f>IFERROR(IF(INDEX('GCE'!$O$10:$O$12,MATCH($F179,'GCE'!$B$10:$B$12,0))="","Cell will autofill based on response",INDEX('GCE'!$O$10:$O$12,MATCH($F179,'GCE'!$B$10:$B$12,0))),"N/A")</f>
        <v/>
      </c>
      <c r="U179" s="52">
        <f>IFERROR(IF(INDEX('Education'!$O$10:$O$13,MATCH($F179,'Education'!$B$10:$B$13,0))="","Cell will autofill based on response",INDEX('Education'!$O$10:$O$13,MATCH($F179,'Education'!$B$10:$B$13,0))),"N/A")</f>
        <v/>
      </c>
      <c r="V179" s="52">
        <f>IFERROR(IF(INDEX('SaSS'!$O$10:$O$12,MATCH($F179,'SaSS'!$B$10:$B$12,0))="","Cell will autofill based on response",INDEX('SaSS'!$O$10:$O$12,MATCH($F179,'SaSS'!$B$10:$B$12,0))),"N/A")</f>
        <v/>
      </c>
      <c r="W179" s="52">
        <f>IFERROR(IF(INDEX('Indigenous'!$O$10:$O$11,MATCH($F179,'Indigenous'!$B$10:$B$11,0))="","Cell will autofill based on response",INDEX('Indigenous'!$O$10:$O$11,MATCH($F179,'Indigenous'!$B$10:$B$11,0))),"N/A")</f>
        <v/>
      </c>
      <c r="X179" s="52">
        <f>IFERROR(IF(INDEX('L&amp;R'!$O$10:$O$11,MATCH($F179,'L&amp;R'!$B$10:$B$11,0))="","Cell will autofill based on response",INDEX('L&amp;R'!$O$10:$O$11,MATCH($F179,'L&amp;R'!$B$10:$B$11,0))),"N/A")</f>
        <v/>
      </c>
    </row>
    <row r="180">
      <c r="A180">
        <f>F180&amp;"|"&amp;G180</f>
        <v/>
      </c>
      <c r="B180" s="13" t="inlineStr"/>
      <c r="C180" s="8" t="inlineStr"/>
      <c r="D180" s="8" t="inlineStr"/>
      <c r="E180" s="8" t="inlineStr"/>
      <c r="F180" s="8" t="inlineStr">
        <is>
          <t>RI1(b)</t>
        </is>
      </c>
      <c r="G180" s="8" t="inlineStr">
        <is>
          <t>Data owner confirms</t>
        </is>
      </c>
      <c r="H180" s="52">
        <f>IFERROR(IF(INDEX('Faculties'!$P$10:$P$19,MATCH($F180,'Faculties'!$B$10:$B$19,0))="","Cell will autofill based on response",INDEX('Faculties'!$P$10:$P$19,MATCH($F180,'Faculties'!$B$10:$B$19,0))),"N/A")</f>
        <v/>
      </c>
      <c r="I180" s="52">
        <f>IFERROR(IF(INDEX('Faculties'!$P$26:$P$35,MATCH($F180,'Faculties'!$B$26:$B$35,0))="","Cell will autofill based on response",INDEX('Faculties'!$P$26:$P$35,MATCH($F180,'Faculties'!$B$26:$B$35,0))),"N/A")</f>
        <v/>
      </c>
      <c r="J180" s="52">
        <f>IFERROR(IF(INDEX('Faculties'!$P$42:$P$51,MATCH($F180,'Faculties'!$B$42:$B$51,0))="","Cell will autofill based on response",INDEX('Faculties'!$P$42:$P$51,MATCH($F180,'Faculties'!$B$42:$B$51,0))),"N/A")</f>
        <v/>
      </c>
      <c r="K180" s="52">
        <f>IFERROR(IF(INDEX('Faculties'!$P$58:$P$67,MATCH($F180,'Faculties'!$B$58:$B$67,0))="","Cell will autofill based on response",INDEX('Faculties'!$P$58:$P$67,MATCH($F180,'Faculties'!$B$58:$B$67,0))),"N/A")</f>
        <v/>
      </c>
      <c r="L180" s="52">
        <f>IFERROR(IF(INDEX('CI&amp;S'!$P$10:$P$15,MATCH($F180,'CI&amp;S'!$B$10:$B$15,0))="","Cell will autofill based on response",INDEX('CI&amp;S'!$P$10:$P$15,MATCH($F180,'CI&amp;S'!$B$10:$B$15,0))),"N/A")</f>
        <v/>
      </c>
      <c r="M180" s="52">
        <f>IFERROR(IF(INDEX('CI&amp;S'!$P$22:$P$36,MATCH($F180,'CI&amp;S'!$B$22:$B$36,0))="","Cell will autofill based on response",INDEX('CI&amp;S'!$P$22:$P$36,MATCH($F180,'CI&amp;S'!$B$22:$B$36,0))),"N/A")</f>
        <v/>
      </c>
      <c r="N180" s="52">
        <f>IFERROR(IF(INDEX('CFOG'!$P$10:$P$16,MATCH($F180,'CFOG'!$B$10:$B$16,0))="","Cell will autofill based on response",INDEX('CFOG'!$P$10:$P$16,MATCH($F180,'CFOG'!$B$10:$B$16,0))),"N/A")</f>
        <v/>
      </c>
      <c r="O180" s="52">
        <f>IFERROR(IF(INDEX('CFOG'!$P$23:$P$24,MATCH($F180,'CFOG'!$B$23:$B$24,0))="","Cell will autofill based on response",INDEX('CFOG'!$P$23:$P$24,MATCH($F180,'CFOG'!$B$23:$B$24,0))),"N/A")</f>
        <v/>
      </c>
      <c r="P180" s="52">
        <f>IFERROR(IF(INDEX('ESG'!$P$10:$P$17,MATCH($F180,'ESG'!$B$10:$B$17,0))="","Cell will autofill based on response",INDEX('ESG'!$P$10:$P$17,MATCH($F180,'ESG'!$B$10:$B$17,0))),"N/A")</f>
        <v/>
      </c>
      <c r="Q180" s="52">
        <f>IFERROR(IF(INDEX('CIOG'!$P$10:$P$14,MATCH($F180,'CIOG'!$B$10:$B$14,0))="","Cell will autofill based on response",INDEX('CIOG'!$P$10:$P$14,MATCH($F180,'CIOG'!$B$10:$B$14,0))),"N/A")</f>
        <v/>
      </c>
      <c r="R180" s="52">
        <f>IFERROR(IF(INDEX('MRE'!$P$10:$P$18,MATCH($F180,'MRE'!$B$10:$B$18,0))="","Cell will autofill based on response",INDEX('MRE'!$P$10:$P$18,MATCH($F180,'MRE'!$B$10:$B$18,0))),"N/A")</f>
        <v/>
      </c>
      <c r="S180" s="52">
        <f>IFERROR(IF(INDEX('AC&amp;M'!$P$10:$P$14,MATCH($F180,'AC&amp;M'!$B$10:$B$14,0))="","Cell will autofill based on response",INDEX('AC&amp;M'!$P$10:$P$14,MATCH($F180,'AC&amp;M'!$B$10:$B$14,0))),"N/A")</f>
        <v/>
      </c>
      <c r="T180" s="52">
        <f>IFERROR(IF(INDEX('GCE'!$P$10:$P$12,MATCH($F180,'GCE'!$B$10:$B$12,0))="","Cell will autofill based on response",INDEX('GCE'!$P$10:$P$12,MATCH($F180,'GCE'!$B$10:$B$12,0))),"N/A")</f>
        <v/>
      </c>
      <c r="U180" s="52">
        <f>IFERROR(IF(INDEX('Education'!$P$10:$P$13,MATCH($F180,'Education'!$B$10:$B$13,0))="","Cell will autofill based on response",INDEX('Education'!$P$10:$P$13,MATCH($F180,'Education'!$B$10:$B$13,0))),"N/A")</f>
        <v/>
      </c>
      <c r="V180" s="52">
        <f>IFERROR(IF(INDEX('SaSS'!$P$10:$P$12,MATCH($F180,'SaSS'!$B$10:$B$12,0))="","Cell will autofill based on response",INDEX('SaSS'!$P$10:$P$12,MATCH($F180,'SaSS'!$B$10:$B$12,0))),"N/A")</f>
        <v/>
      </c>
      <c r="W180" s="52">
        <f>IFERROR(IF(INDEX('Indigenous'!$P$10:$P$11,MATCH($F180,'Indigenous'!$B$10:$B$11,0))="","Cell will autofill based on response",INDEX('Indigenous'!$P$10:$P$11,MATCH($F180,'Indigenous'!$B$10:$B$11,0))),"N/A")</f>
        <v/>
      </c>
      <c r="X180" s="52">
        <f>IFERROR(IF(INDEX('L&amp;R'!$P$10:$P$11,MATCH($F180,'L&amp;R'!$B$10:$B$11,0))="","Cell will autofill based on response",INDEX('L&amp;R'!$P$10:$P$11,MATCH($F180,'L&amp;R'!$B$10:$B$11,0))),"N/A")</f>
        <v/>
      </c>
    </row>
    <row r="181">
      <c r="A181">
        <f>F181&amp;"|"&amp;G181</f>
        <v/>
      </c>
      <c r="B181" s="7" t="inlineStr">
        <is>
          <t>EN1(a)</t>
        </is>
      </c>
      <c r="C181" s="50" t="inlineStr">
        <is>
          <t>Enablers</t>
        </is>
      </c>
      <c r="D181" s="50" t="inlineStr">
        <is>
          <t>Evidence of sustainability outcomes informed by Indigenous knowledges</t>
        </is>
      </c>
      <c r="E181" s="50"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81" s="50" t="inlineStr">
        <is>
          <t>EN1(a)</t>
        </is>
      </c>
      <c r="G181" s="50" t="inlineStr">
        <is>
          <t>OPTION 1:  Target-level reporting</t>
        </is>
      </c>
      <c r="H181" s="52">
        <f>IFERROR(IF(INDEX('Faculties'!$L$10:$L$19,MATCH($F181,'Faculties'!$B$10:$B$19,0))="","Cell will autofill based on response",INDEX('Faculties'!$L$10:$L$19,MATCH($F181,'Faculties'!$B$10:$B$19,0))),"N/A")</f>
        <v/>
      </c>
      <c r="I181" s="52">
        <f>IFERROR(IF(INDEX('Faculties'!$L$26:$L$35,MATCH($F181,'Faculties'!$B$26:$B$35,0))="","Cell will autofill based on response",INDEX('Faculties'!$L$26:$L$35,MATCH($F181,'Faculties'!$B$26:$B$35,0))),"N/A")</f>
        <v/>
      </c>
      <c r="J181" s="52">
        <f>IFERROR(IF(INDEX('Faculties'!$L$42:$L$51,MATCH($F181,'Faculties'!$B$42:$B$51,0))="","Cell will autofill based on response",INDEX('Faculties'!$L$42:$L$51,MATCH($F181,'Faculties'!$B$42:$B$51,0))),"N/A")</f>
        <v/>
      </c>
      <c r="K181" s="52">
        <f>IFERROR(IF(INDEX('Faculties'!$L$58:$L$67,MATCH($F181,'Faculties'!$B$58:$B$67,0))="","Cell will autofill based on response",INDEX('Faculties'!$L$58:$L$67,MATCH($F181,'Faculties'!$B$58:$B$67,0))),"N/A")</f>
        <v/>
      </c>
      <c r="L181" s="52">
        <f>IFERROR(IF(INDEX('CI&amp;S'!$L$10:$L$15,MATCH($F181,'CI&amp;S'!$B$10:$B$15,0))="","Cell will autofill based on response",INDEX('CI&amp;S'!$L$10:$L$15,MATCH($F181,'CI&amp;S'!$B$10:$B$15,0))),"N/A")</f>
        <v/>
      </c>
      <c r="M181" s="52">
        <f>IFERROR(IF(INDEX('CI&amp;S'!$L$22:$L$36,MATCH($F181,'CI&amp;S'!$B$22:$B$36,0))="","Cell will autofill based on response",INDEX('CI&amp;S'!$L$22:$L$36,MATCH($F181,'CI&amp;S'!$B$22:$B$36,0))),"N/A")</f>
        <v/>
      </c>
      <c r="N181" s="52">
        <f>IFERROR(IF(INDEX('CFOG'!$L$10:$L$16,MATCH($F181,'CFOG'!$B$10:$B$16,0))="","Cell will autofill based on response",INDEX('CFOG'!$L$10:$L$16,MATCH($F181,'CFOG'!$B$10:$B$16,0))),"N/A")</f>
        <v/>
      </c>
      <c r="O181" s="52">
        <f>IFERROR(IF(INDEX('CFOG'!$L$23:$L$24,MATCH($F181,'CFOG'!$B$23:$B$24,0))="","Cell will autofill based on response",INDEX('CFOG'!$L$23:$L$24,MATCH($F181,'CFOG'!$B$23:$B$24,0))),"N/A")</f>
        <v/>
      </c>
      <c r="P181" s="52">
        <f>IFERROR(IF(INDEX('ESG'!$L$10:$L$17,MATCH($F181,'ESG'!$B$10:$B$17,0))="","Cell will autofill based on response",INDEX('ESG'!$L$10:$L$17,MATCH($F181,'ESG'!$B$10:$B$17,0))),"N/A")</f>
        <v/>
      </c>
      <c r="Q181" s="52">
        <f>IFERROR(IF(INDEX('CIOG'!$L$10:$L$14,MATCH($F181,'CIOG'!$B$10:$B$14,0))="","Cell will autofill based on response",INDEX('CIOG'!$L$10:$L$14,MATCH($F181,'CIOG'!$B$10:$B$14,0))),"N/A")</f>
        <v/>
      </c>
      <c r="R181" s="52">
        <f>IFERROR(IF(INDEX('MRE'!$L$10:$L$18,MATCH($F181,'MRE'!$B$10:$B$18,0))="","Cell will autofill based on response",INDEX('MRE'!$L$10:$L$18,MATCH($F181,'MRE'!$B$10:$B$18,0))),"N/A")</f>
        <v/>
      </c>
      <c r="S181" s="52">
        <f>IFERROR(IF(INDEX('AC&amp;M'!$L$10:$L$14,MATCH($F181,'AC&amp;M'!$B$10:$B$14,0))="","Cell will autofill based on response",INDEX('AC&amp;M'!$L$10:$L$14,MATCH($F181,'AC&amp;M'!$B$10:$B$14,0))),"N/A")</f>
        <v/>
      </c>
      <c r="T181" s="52">
        <f>IFERROR(IF(INDEX('GCE'!$L$10:$L$12,MATCH($F181,'GCE'!$B$10:$B$12,0))="","Cell will autofill based on response",INDEX('GCE'!$L$10:$L$12,MATCH($F181,'GCE'!$B$10:$B$12,0))),"N/A")</f>
        <v/>
      </c>
      <c r="U181" s="52">
        <f>IFERROR(IF(INDEX('Education'!$L$10:$L$13,MATCH($F181,'Education'!$B$10:$B$13,0))="","Cell will autofill based on response",INDEX('Education'!$L$10:$L$13,MATCH($F181,'Education'!$B$10:$B$13,0))),"N/A")</f>
        <v/>
      </c>
      <c r="V181" s="52">
        <f>IFERROR(IF(INDEX('SaSS'!$L$10:$L$12,MATCH($F181,'SaSS'!$B$10:$B$12,0))="","Cell will autofill based on response",INDEX('SaSS'!$L$10:$L$12,MATCH($F181,'SaSS'!$B$10:$B$12,0))),"N/A")</f>
        <v/>
      </c>
      <c r="W181" s="52">
        <f>IFERROR(IF(INDEX('Indigenous'!$L$10:$L$11,MATCH($F181,'Indigenous'!$B$10:$B$11,0))="","Cell will autofill based on response",INDEX('Indigenous'!$L$10:$L$11,MATCH($F181,'Indigenous'!$B$10:$B$11,0))),"N/A")</f>
        <v/>
      </c>
      <c r="X181" s="52">
        <f>IFERROR(IF(INDEX('L&amp;R'!$L$10:$L$11,MATCH($F181,'L&amp;R'!$B$10:$B$11,0))="","Cell will autofill based on response",INDEX('L&amp;R'!$L$10:$L$11,MATCH($F181,'L&amp;R'!$B$10:$B$11,0))),"N/A")</f>
        <v/>
      </c>
      <c r="Z181" s="10">
        <f>SUMPRODUCT(--($H181:$X181&lt;&gt;"N/A"))</f>
        <v/>
      </c>
      <c r="AA181" s="10">
        <f>SUMPRODUCT(--(((($H181:$X181&lt;&gt;"N/A")*($H181:$X181&lt;&gt;"Cell will autofill based on response"))+(($H182:$X182&lt;&gt;"N/A")*($H182:$X182&lt;&gt;"Cell will autofill based on response")))&gt;0))</f>
        <v/>
      </c>
      <c r="AB181" s="10">
        <f>Z181-AA181</f>
        <v/>
      </c>
      <c r="AC181" s="10">
        <f>COUNTIF($H185:$X185,"Yes")</f>
        <v/>
      </c>
    </row>
    <row r="182">
      <c r="A182">
        <f>F182&amp;"|"&amp;G182</f>
        <v/>
      </c>
      <c r="B182" s="13" t="inlineStr"/>
      <c r="C182" s="8" t="inlineStr"/>
      <c r="D182" s="8" t="inlineStr"/>
      <c r="E182" s="8" t="inlineStr"/>
      <c r="F182" s="8" t="inlineStr">
        <is>
          <t>EN1(a)</t>
        </is>
      </c>
      <c r="G182" s="8" t="inlineStr">
        <is>
          <t>OPTION 2:  Indicator level reporting</t>
        </is>
      </c>
      <c r="H182" s="52">
        <f>IFERROR(IF(INDEX('Faculties'!$M$10:$M$19,MATCH($F182,'Faculties'!$B$10:$B$19,0))="","Cell will autofill based on response",INDEX('Faculties'!$M$10:$M$19,MATCH($F182,'Faculties'!$B$10:$B$19,0))),"N/A")</f>
        <v/>
      </c>
      <c r="I182" s="52">
        <f>IFERROR(IF(INDEX('Faculties'!$M$26:$M$35,MATCH($F182,'Faculties'!$B$26:$B$35,0))="","Cell will autofill based on response",INDEX('Faculties'!$M$26:$M$35,MATCH($F182,'Faculties'!$B$26:$B$35,0))),"N/A")</f>
        <v/>
      </c>
      <c r="J182" s="52">
        <f>IFERROR(IF(INDEX('Faculties'!$M$42:$M$51,MATCH($F182,'Faculties'!$B$42:$B$51,0))="","Cell will autofill based on response",INDEX('Faculties'!$M$42:$M$51,MATCH($F182,'Faculties'!$B$42:$B$51,0))),"N/A")</f>
        <v/>
      </c>
      <c r="K182" s="52">
        <f>IFERROR(IF(INDEX('Faculties'!$M$58:$M$67,MATCH($F182,'Faculties'!$B$58:$B$67,0))="","Cell will autofill based on response",INDEX('Faculties'!$M$58:$M$67,MATCH($F182,'Faculties'!$B$58:$B$67,0))),"N/A")</f>
        <v/>
      </c>
      <c r="L182" s="52">
        <f>IFERROR(IF(INDEX('CI&amp;S'!$M$10:$M$15,MATCH($F182,'CI&amp;S'!$B$10:$B$15,0))="","Cell will autofill based on response",INDEX('CI&amp;S'!$M$10:$M$15,MATCH($F182,'CI&amp;S'!$B$10:$B$15,0))),"N/A")</f>
        <v/>
      </c>
      <c r="M182" s="52">
        <f>IFERROR(IF(INDEX('CI&amp;S'!$M$22:$M$36,MATCH($F182,'CI&amp;S'!$B$22:$B$36,0))="","Cell will autofill based on response",INDEX('CI&amp;S'!$M$22:$M$36,MATCH($F182,'CI&amp;S'!$B$22:$B$36,0))),"N/A")</f>
        <v/>
      </c>
      <c r="N182" s="52">
        <f>IFERROR(IF(INDEX('CFOG'!$M$10:$M$16,MATCH($F182,'CFOG'!$B$10:$B$16,0))="","Cell will autofill based on response",INDEX('CFOG'!$M$10:$M$16,MATCH($F182,'CFOG'!$B$10:$B$16,0))),"N/A")</f>
        <v/>
      </c>
      <c r="O182" s="52">
        <f>IFERROR(IF(INDEX('CFOG'!$M$23:$M$24,MATCH($F182,'CFOG'!$B$23:$B$24,0))="","Cell will autofill based on response",INDEX('CFOG'!$M$23:$M$24,MATCH($F182,'CFOG'!$B$23:$B$24,0))),"N/A")</f>
        <v/>
      </c>
      <c r="P182" s="52">
        <f>IFERROR(IF(INDEX('ESG'!$M$10:$M$17,MATCH($F182,'ESG'!$B$10:$B$17,0))="","Cell will autofill based on response",INDEX('ESG'!$M$10:$M$17,MATCH($F182,'ESG'!$B$10:$B$17,0))),"N/A")</f>
        <v/>
      </c>
      <c r="Q182" s="52">
        <f>IFERROR(IF(INDEX('CIOG'!$M$10:$M$14,MATCH($F182,'CIOG'!$B$10:$B$14,0))="","Cell will autofill based on response",INDEX('CIOG'!$M$10:$M$14,MATCH($F182,'CIOG'!$B$10:$B$14,0))),"N/A")</f>
        <v/>
      </c>
      <c r="R182" s="52">
        <f>IFERROR(IF(INDEX('MRE'!$M$10:$M$18,MATCH($F182,'MRE'!$B$10:$B$18,0))="","Cell will autofill based on response",INDEX('MRE'!$M$10:$M$18,MATCH($F182,'MRE'!$B$10:$B$18,0))),"N/A")</f>
        <v/>
      </c>
      <c r="S182" s="52">
        <f>IFERROR(IF(INDEX('AC&amp;M'!$M$10:$M$14,MATCH($F182,'AC&amp;M'!$B$10:$B$14,0))="","Cell will autofill based on response",INDEX('AC&amp;M'!$M$10:$M$14,MATCH($F182,'AC&amp;M'!$B$10:$B$14,0))),"N/A")</f>
        <v/>
      </c>
      <c r="T182" s="52">
        <f>IFERROR(IF(INDEX('GCE'!$M$10:$M$12,MATCH($F182,'GCE'!$B$10:$B$12,0))="","Cell will autofill based on response",INDEX('GCE'!$M$10:$M$12,MATCH($F182,'GCE'!$B$10:$B$12,0))),"N/A")</f>
        <v/>
      </c>
      <c r="U182" s="52">
        <f>IFERROR(IF(INDEX('Education'!$M$10:$M$13,MATCH($F182,'Education'!$B$10:$B$13,0))="","Cell will autofill based on response",INDEX('Education'!$M$10:$M$13,MATCH($F182,'Education'!$B$10:$B$13,0))),"N/A")</f>
        <v/>
      </c>
      <c r="V182" s="52">
        <f>IFERROR(IF(INDEX('SaSS'!$M$10:$M$12,MATCH($F182,'SaSS'!$B$10:$B$12,0))="","Cell will autofill based on response",INDEX('SaSS'!$M$10:$M$12,MATCH($F182,'SaSS'!$B$10:$B$12,0))),"N/A")</f>
        <v/>
      </c>
      <c r="W182" s="52">
        <f>IFERROR(IF(INDEX('Indigenous'!$M$10:$M$11,MATCH($F182,'Indigenous'!$B$10:$B$11,0))="","Cell will autofill based on response",INDEX('Indigenous'!$M$10:$M$11,MATCH($F182,'Indigenous'!$B$10:$B$11,0))),"N/A")</f>
        <v/>
      </c>
      <c r="X182" s="52">
        <f>IFERROR(IF(INDEX('L&amp;R'!$M$10:$M$11,MATCH($F182,'L&amp;R'!$B$10:$B$11,0))="","Cell will autofill based on response",INDEX('L&amp;R'!$M$10:$M$11,MATCH($F182,'L&amp;R'!$B$10:$B$11,0))),"N/A")</f>
        <v/>
      </c>
    </row>
    <row r="183">
      <c r="A183">
        <f>F183&amp;"|"&amp;G183</f>
        <v/>
      </c>
      <c r="B183" s="13" t="inlineStr"/>
      <c r="C183" s="8" t="inlineStr"/>
      <c r="D183" s="8" t="inlineStr"/>
      <c r="E183" s="8" t="inlineStr"/>
      <c r="F183" s="8" t="inlineStr">
        <is>
          <t>EN1(a)</t>
        </is>
      </c>
      <c r="G183" s="8" t="inlineStr">
        <is>
          <t>Supporting information/comments</t>
        </is>
      </c>
      <c r="H183" s="52">
        <f>IFERROR(IF(INDEX('Faculties'!$N$10:$N$19,MATCH($F183,'Faculties'!$B$10:$B$19,0))="","Cell will autofill based on response",INDEX('Faculties'!$N$10:$N$19,MATCH($F183,'Faculties'!$B$10:$B$19,0))),"N/A")</f>
        <v/>
      </c>
      <c r="I183" s="52">
        <f>IFERROR(IF(INDEX('Faculties'!$N$26:$N$35,MATCH($F183,'Faculties'!$B$26:$B$35,0))="","Cell will autofill based on response",INDEX('Faculties'!$N$26:$N$35,MATCH($F183,'Faculties'!$B$26:$B$35,0))),"N/A")</f>
        <v/>
      </c>
      <c r="J183" s="52">
        <f>IFERROR(IF(INDEX('Faculties'!$N$42:$N$51,MATCH($F183,'Faculties'!$B$42:$B$51,0))="","Cell will autofill based on response",INDEX('Faculties'!$N$42:$N$51,MATCH($F183,'Faculties'!$B$42:$B$51,0))),"N/A")</f>
        <v/>
      </c>
      <c r="K183" s="52">
        <f>IFERROR(IF(INDEX('Faculties'!$N$58:$N$67,MATCH($F183,'Faculties'!$B$58:$B$67,0))="","Cell will autofill based on response",INDEX('Faculties'!$N$58:$N$67,MATCH($F183,'Faculties'!$B$58:$B$67,0))),"N/A")</f>
        <v/>
      </c>
      <c r="L183" s="52">
        <f>IFERROR(IF(INDEX('CI&amp;S'!$N$10:$N$15,MATCH($F183,'CI&amp;S'!$B$10:$B$15,0))="","Cell will autofill based on response",INDEX('CI&amp;S'!$N$10:$N$15,MATCH($F183,'CI&amp;S'!$B$10:$B$15,0))),"N/A")</f>
        <v/>
      </c>
      <c r="M183" s="52">
        <f>IFERROR(IF(INDEX('CI&amp;S'!$N$22:$N$36,MATCH($F183,'CI&amp;S'!$B$22:$B$36,0))="","Cell will autofill based on response",INDEX('CI&amp;S'!$N$22:$N$36,MATCH($F183,'CI&amp;S'!$B$22:$B$36,0))),"N/A")</f>
        <v/>
      </c>
      <c r="N183" s="52">
        <f>IFERROR(IF(INDEX('CFOG'!$N$10:$N$16,MATCH($F183,'CFOG'!$B$10:$B$16,0))="","Cell will autofill based on response",INDEX('CFOG'!$N$10:$N$16,MATCH($F183,'CFOG'!$B$10:$B$16,0))),"N/A")</f>
        <v/>
      </c>
      <c r="O183" s="52">
        <f>IFERROR(IF(INDEX('CFOG'!$N$23:$N$24,MATCH($F183,'CFOG'!$B$23:$B$24,0))="","Cell will autofill based on response",INDEX('CFOG'!$N$23:$N$24,MATCH($F183,'CFOG'!$B$23:$B$24,0))),"N/A")</f>
        <v/>
      </c>
      <c r="P183" s="52">
        <f>IFERROR(IF(INDEX('ESG'!$N$10:$N$17,MATCH($F183,'ESG'!$B$10:$B$17,0))="","Cell will autofill based on response",INDEX('ESG'!$N$10:$N$17,MATCH($F183,'ESG'!$B$10:$B$17,0))),"N/A")</f>
        <v/>
      </c>
      <c r="Q183" s="52">
        <f>IFERROR(IF(INDEX('CIOG'!$N$10:$N$14,MATCH($F183,'CIOG'!$B$10:$B$14,0))="","Cell will autofill based on response",INDEX('CIOG'!$N$10:$N$14,MATCH($F183,'CIOG'!$B$10:$B$14,0))),"N/A")</f>
        <v/>
      </c>
      <c r="R183" s="52">
        <f>IFERROR(IF(INDEX('MRE'!$N$10:$N$18,MATCH($F183,'MRE'!$B$10:$B$18,0))="","Cell will autofill based on response",INDEX('MRE'!$N$10:$N$18,MATCH($F183,'MRE'!$B$10:$B$18,0))),"N/A")</f>
        <v/>
      </c>
      <c r="S183" s="52">
        <f>IFERROR(IF(INDEX('AC&amp;M'!$N$10:$N$14,MATCH($F183,'AC&amp;M'!$B$10:$B$14,0))="","Cell will autofill based on response",INDEX('AC&amp;M'!$N$10:$N$14,MATCH($F183,'AC&amp;M'!$B$10:$B$14,0))),"N/A")</f>
        <v/>
      </c>
      <c r="T183" s="52">
        <f>IFERROR(IF(INDEX('GCE'!$N$10:$N$12,MATCH($F183,'GCE'!$B$10:$B$12,0))="","Cell will autofill based on response",INDEX('GCE'!$N$10:$N$12,MATCH($F183,'GCE'!$B$10:$B$12,0))),"N/A")</f>
        <v/>
      </c>
      <c r="U183" s="52">
        <f>IFERROR(IF(INDEX('Education'!$N$10:$N$13,MATCH($F183,'Education'!$B$10:$B$13,0))="","Cell will autofill based on response",INDEX('Education'!$N$10:$N$13,MATCH($F183,'Education'!$B$10:$B$13,0))),"N/A")</f>
        <v/>
      </c>
      <c r="V183" s="52">
        <f>IFERROR(IF(INDEX('SaSS'!$N$10:$N$12,MATCH($F183,'SaSS'!$B$10:$B$12,0))="","Cell will autofill based on response",INDEX('SaSS'!$N$10:$N$12,MATCH($F183,'SaSS'!$B$10:$B$12,0))),"N/A")</f>
        <v/>
      </c>
      <c r="W183" s="52">
        <f>IFERROR(IF(INDEX('Indigenous'!$N$10:$N$11,MATCH($F183,'Indigenous'!$B$10:$B$11,0))="","Cell will autofill based on response",INDEX('Indigenous'!$N$10:$N$11,MATCH($F183,'Indigenous'!$B$10:$B$11,0))),"N/A")</f>
        <v/>
      </c>
      <c r="X183" s="52">
        <f>IFERROR(IF(INDEX('L&amp;R'!$N$10:$N$11,MATCH($F183,'L&amp;R'!$B$10:$B$11,0))="","Cell will autofill based on response",INDEX('L&amp;R'!$N$10:$N$11,MATCH($F183,'L&amp;R'!$B$10:$B$11,0))),"N/A")</f>
        <v/>
      </c>
    </row>
    <row r="184">
      <c r="A184">
        <f>F184&amp;"|"&amp;G184</f>
        <v/>
      </c>
      <c r="B184" s="13" t="inlineStr"/>
      <c r="C184" s="8" t="inlineStr"/>
      <c r="D184" s="8" t="inlineStr"/>
      <c r="E184" s="8" t="inlineStr"/>
      <c r="F184" s="8" t="inlineStr">
        <is>
          <t>EN1(a)</t>
        </is>
      </c>
      <c r="G184" s="8" t="inlineStr">
        <is>
          <t>Data source and limitations</t>
        </is>
      </c>
      <c r="H184" s="52">
        <f>IFERROR(IF(INDEX('Faculties'!$O$10:$O$19,MATCH($F184,'Faculties'!$B$10:$B$19,0))="","Cell will autofill based on response",INDEX('Faculties'!$O$10:$O$19,MATCH($F184,'Faculties'!$B$10:$B$19,0))),"N/A")</f>
        <v/>
      </c>
      <c r="I184" s="52">
        <f>IFERROR(IF(INDEX('Faculties'!$O$26:$O$35,MATCH($F184,'Faculties'!$B$26:$B$35,0))="","Cell will autofill based on response",INDEX('Faculties'!$O$26:$O$35,MATCH($F184,'Faculties'!$B$26:$B$35,0))),"N/A")</f>
        <v/>
      </c>
      <c r="J184" s="52">
        <f>IFERROR(IF(INDEX('Faculties'!$O$42:$O$51,MATCH($F184,'Faculties'!$B$42:$B$51,0))="","Cell will autofill based on response",INDEX('Faculties'!$O$42:$O$51,MATCH($F184,'Faculties'!$B$42:$B$51,0))),"N/A")</f>
        <v/>
      </c>
      <c r="K184" s="52">
        <f>IFERROR(IF(INDEX('Faculties'!$O$58:$O$67,MATCH($F184,'Faculties'!$B$58:$B$67,0))="","Cell will autofill based on response",INDEX('Faculties'!$O$58:$O$67,MATCH($F184,'Faculties'!$B$58:$B$67,0))),"N/A")</f>
        <v/>
      </c>
      <c r="L184" s="52">
        <f>IFERROR(IF(INDEX('CI&amp;S'!$O$10:$O$15,MATCH($F184,'CI&amp;S'!$B$10:$B$15,0))="","Cell will autofill based on response",INDEX('CI&amp;S'!$O$10:$O$15,MATCH($F184,'CI&amp;S'!$B$10:$B$15,0))),"N/A")</f>
        <v/>
      </c>
      <c r="M184" s="52">
        <f>IFERROR(IF(INDEX('CI&amp;S'!$O$22:$O$36,MATCH($F184,'CI&amp;S'!$B$22:$B$36,0))="","Cell will autofill based on response",INDEX('CI&amp;S'!$O$22:$O$36,MATCH($F184,'CI&amp;S'!$B$22:$B$36,0))),"N/A")</f>
        <v/>
      </c>
      <c r="N184" s="52">
        <f>IFERROR(IF(INDEX('CFOG'!$O$10:$O$16,MATCH($F184,'CFOG'!$B$10:$B$16,0))="","Cell will autofill based on response",INDEX('CFOG'!$O$10:$O$16,MATCH($F184,'CFOG'!$B$10:$B$16,0))),"N/A")</f>
        <v/>
      </c>
      <c r="O184" s="52">
        <f>IFERROR(IF(INDEX('CFOG'!$O$23:$O$24,MATCH($F184,'CFOG'!$B$23:$B$24,0))="","Cell will autofill based on response",INDEX('CFOG'!$O$23:$O$24,MATCH($F184,'CFOG'!$B$23:$B$24,0))),"N/A")</f>
        <v/>
      </c>
      <c r="P184" s="52">
        <f>IFERROR(IF(INDEX('ESG'!$O$10:$O$17,MATCH($F184,'ESG'!$B$10:$B$17,0))="","Cell will autofill based on response",INDEX('ESG'!$O$10:$O$17,MATCH($F184,'ESG'!$B$10:$B$17,0))),"N/A")</f>
        <v/>
      </c>
      <c r="Q184" s="52">
        <f>IFERROR(IF(INDEX('CIOG'!$O$10:$O$14,MATCH($F184,'CIOG'!$B$10:$B$14,0))="","Cell will autofill based on response",INDEX('CIOG'!$O$10:$O$14,MATCH($F184,'CIOG'!$B$10:$B$14,0))),"N/A")</f>
        <v/>
      </c>
      <c r="R184" s="52">
        <f>IFERROR(IF(INDEX('MRE'!$O$10:$O$18,MATCH($F184,'MRE'!$B$10:$B$18,0))="","Cell will autofill based on response",INDEX('MRE'!$O$10:$O$18,MATCH($F184,'MRE'!$B$10:$B$18,0))),"N/A")</f>
        <v/>
      </c>
      <c r="S184" s="52">
        <f>IFERROR(IF(INDEX('AC&amp;M'!$O$10:$O$14,MATCH($F184,'AC&amp;M'!$B$10:$B$14,0))="","Cell will autofill based on response",INDEX('AC&amp;M'!$O$10:$O$14,MATCH($F184,'AC&amp;M'!$B$10:$B$14,0))),"N/A")</f>
        <v/>
      </c>
      <c r="T184" s="52">
        <f>IFERROR(IF(INDEX('GCE'!$O$10:$O$12,MATCH($F184,'GCE'!$B$10:$B$12,0))="","Cell will autofill based on response",INDEX('GCE'!$O$10:$O$12,MATCH($F184,'GCE'!$B$10:$B$12,0))),"N/A")</f>
        <v/>
      </c>
      <c r="U184" s="52">
        <f>IFERROR(IF(INDEX('Education'!$O$10:$O$13,MATCH($F184,'Education'!$B$10:$B$13,0))="","Cell will autofill based on response",INDEX('Education'!$O$10:$O$13,MATCH($F184,'Education'!$B$10:$B$13,0))),"N/A")</f>
        <v/>
      </c>
      <c r="V184" s="52">
        <f>IFERROR(IF(INDEX('SaSS'!$O$10:$O$12,MATCH($F184,'SaSS'!$B$10:$B$12,0))="","Cell will autofill based on response",INDEX('SaSS'!$O$10:$O$12,MATCH($F184,'SaSS'!$B$10:$B$12,0))),"N/A")</f>
        <v/>
      </c>
      <c r="W184" s="52">
        <f>IFERROR(IF(INDEX('Indigenous'!$O$10:$O$11,MATCH($F184,'Indigenous'!$B$10:$B$11,0))="","Cell will autofill based on response",INDEX('Indigenous'!$O$10:$O$11,MATCH($F184,'Indigenous'!$B$10:$B$11,0))),"N/A")</f>
        <v/>
      </c>
      <c r="X184" s="52">
        <f>IFERROR(IF(INDEX('L&amp;R'!$O$10:$O$11,MATCH($F184,'L&amp;R'!$B$10:$B$11,0))="","Cell will autofill based on response",INDEX('L&amp;R'!$O$10:$O$11,MATCH($F184,'L&amp;R'!$B$10:$B$11,0))),"N/A")</f>
        <v/>
      </c>
    </row>
    <row r="185">
      <c r="A185">
        <f>F185&amp;"|"&amp;G185</f>
        <v/>
      </c>
      <c r="B185" s="13" t="inlineStr"/>
      <c r="C185" s="8" t="inlineStr"/>
      <c r="D185" s="8" t="inlineStr"/>
      <c r="E185" s="8" t="inlineStr"/>
      <c r="F185" s="8" t="inlineStr">
        <is>
          <t>EN1(a)</t>
        </is>
      </c>
      <c r="G185" s="8" t="inlineStr">
        <is>
          <t>Data owner confirms</t>
        </is>
      </c>
      <c r="H185" s="52">
        <f>IFERROR(IF(INDEX('Faculties'!$P$10:$P$19,MATCH($F185,'Faculties'!$B$10:$B$19,0))="","Cell will autofill based on response",INDEX('Faculties'!$P$10:$P$19,MATCH($F185,'Faculties'!$B$10:$B$19,0))),"N/A")</f>
        <v/>
      </c>
      <c r="I185" s="52">
        <f>IFERROR(IF(INDEX('Faculties'!$P$26:$P$35,MATCH($F185,'Faculties'!$B$26:$B$35,0))="","Cell will autofill based on response",INDEX('Faculties'!$P$26:$P$35,MATCH($F185,'Faculties'!$B$26:$B$35,0))),"N/A")</f>
        <v/>
      </c>
      <c r="J185" s="52">
        <f>IFERROR(IF(INDEX('Faculties'!$P$42:$P$51,MATCH($F185,'Faculties'!$B$42:$B$51,0))="","Cell will autofill based on response",INDEX('Faculties'!$P$42:$P$51,MATCH($F185,'Faculties'!$B$42:$B$51,0))),"N/A")</f>
        <v/>
      </c>
      <c r="K185" s="52">
        <f>IFERROR(IF(INDEX('Faculties'!$P$58:$P$67,MATCH($F185,'Faculties'!$B$58:$B$67,0))="","Cell will autofill based on response",INDEX('Faculties'!$P$58:$P$67,MATCH($F185,'Faculties'!$B$58:$B$67,0))),"N/A")</f>
        <v/>
      </c>
      <c r="L185" s="52">
        <f>IFERROR(IF(INDEX('CI&amp;S'!$P$10:$P$15,MATCH($F185,'CI&amp;S'!$B$10:$B$15,0))="","Cell will autofill based on response",INDEX('CI&amp;S'!$P$10:$P$15,MATCH($F185,'CI&amp;S'!$B$10:$B$15,0))),"N/A")</f>
        <v/>
      </c>
      <c r="M185" s="52">
        <f>IFERROR(IF(INDEX('CI&amp;S'!$P$22:$P$36,MATCH($F185,'CI&amp;S'!$B$22:$B$36,0))="","Cell will autofill based on response",INDEX('CI&amp;S'!$P$22:$P$36,MATCH($F185,'CI&amp;S'!$B$22:$B$36,0))),"N/A")</f>
        <v/>
      </c>
      <c r="N185" s="52">
        <f>IFERROR(IF(INDEX('CFOG'!$P$10:$P$16,MATCH($F185,'CFOG'!$B$10:$B$16,0))="","Cell will autofill based on response",INDEX('CFOG'!$P$10:$P$16,MATCH($F185,'CFOG'!$B$10:$B$16,0))),"N/A")</f>
        <v/>
      </c>
      <c r="O185" s="52">
        <f>IFERROR(IF(INDEX('CFOG'!$P$23:$P$24,MATCH($F185,'CFOG'!$B$23:$B$24,0))="","Cell will autofill based on response",INDEX('CFOG'!$P$23:$P$24,MATCH($F185,'CFOG'!$B$23:$B$24,0))),"N/A")</f>
        <v/>
      </c>
      <c r="P185" s="52">
        <f>IFERROR(IF(INDEX('ESG'!$P$10:$P$17,MATCH($F185,'ESG'!$B$10:$B$17,0))="","Cell will autofill based on response",INDEX('ESG'!$P$10:$P$17,MATCH($F185,'ESG'!$B$10:$B$17,0))),"N/A")</f>
        <v/>
      </c>
      <c r="Q185" s="52">
        <f>IFERROR(IF(INDEX('CIOG'!$P$10:$P$14,MATCH($F185,'CIOG'!$B$10:$B$14,0))="","Cell will autofill based on response",INDEX('CIOG'!$P$10:$P$14,MATCH($F185,'CIOG'!$B$10:$B$14,0))),"N/A")</f>
        <v/>
      </c>
      <c r="R185" s="52">
        <f>IFERROR(IF(INDEX('MRE'!$P$10:$P$18,MATCH($F185,'MRE'!$B$10:$B$18,0))="","Cell will autofill based on response",INDEX('MRE'!$P$10:$P$18,MATCH($F185,'MRE'!$B$10:$B$18,0))),"N/A")</f>
        <v/>
      </c>
      <c r="S185" s="52">
        <f>IFERROR(IF(INDEX('AC&amp;M'!$P$10:$P$14,MATCH($F185,'AC&amp;M'!$B$10:$B$14,0))="","Cell will autofill based on response",INDEX('AC&amp;M'!$P$10:$P$14,MATCH($F185,'AC&amp;M'!$B$10:$B$14,0))),"N/A")</f>
        <v/>
      </c>
      <c r="T185" s="52">
        <f>IFERROR(IF(INDEX('GCE'!$P$10:$P$12,MATCH($F185,'GCE'!$B$10:$B$12,0))="","Cell will autofill based on response",INDEX('GCE'!$P$10:$P$12,MATCH($F185,'GCE'!$B$10:$B$12,0))),"N/A")</f>
        <v/>
      </c>
      <c r="U185" s="52">
        <f>IFERROR(IF(INDEX('Education'!$P$10:$P$13,MATCH($F185,'Education'!$B$10:$B$13,0))="","Cell will autofill based on response",INDEX('Education'!$P$10:$P$13,MATCH($F185,'Education'!$B$10:$B$13,0))),"N/A")</f>
        <v/>
      </c>
      <c r="V185" s="52">
        <f>IFERROR(IF(INDEX('SaSS'!$P$10:$P$12,MATCH($F185,'SaSS'!$B$10:$B$12,0))="","Cell will autofill based on response",INDEX('SaSS'!$P$10:$P$12,MATCH($F185,'SaSS'!$B$10:$B$12,0))),"N/A")</f>
        <v/>
      </c>
      <c r="W185" s="52">
        <f>IFERROR(IF(INDEX('Indigenous'!$P$10:$P$11,MATCH($F185,'Indigenous'!$B$10:$B$11,0))="","Cell will autofill based on response",INDEX('Indigenous'!$P$10:$P$11,MATCH($F185,'Indigenous'!$B$10:$B$11,0))),"N/A")</f>
        <v/>
      </c>
      <c r="X185" s="52">
        <f>IFERROR(IF(INDEX('L&amp;R'!$P$10:$P$11,MATCH($F185,'L&amp;R'!$B$10:$B$11,0))="","Cell will autofill based on response",INDEX('L&amp;R'!$P$10:$P$11,MATCH($F185,'L&amp;R'!$B$10:$B$11,0))),"N/A")</f>
        <v/>
      </c>
    </row>
    <row r="186">
      <c r="A186">
        <f>F186&amp;"|"&amp;G186</f>
        <v/>
      </c>
      <c r="B186" s="7" t="inlineStr">
        <is>
          <t>EN1(b)</t>
        </is>
      </c>
      <c r="C186" s="50" t="inlineStr">
        <is>
          <t>Enablers</t>
        </is>
      </c>
      <c r="D186" s="50" t="inlineStr">
        <is>
          <t>Living laboratories enabling applied learning, research and operational sustainability outcomes</t>
        </is>
      </c>
      <c r="E186" s="50" t="inlineStr">
        <is>
          <t>Comment on living labs in the Faculty - outputs, outcomes, and impact</t>
        </is>
      </c>
      <c r="F186" s="50" t="inlineStr">
        <is>
          <t>EN1(b)</t>
        </is>
      </c>
      <c r="G186" s="50" t="inlineStr">
        <is>
          <t>OPTION 1:  Target-level reporting</t>
        </is>
      </c>
      <c r="H186" s="52">
        <f>IFERROR(IF(INDEX('Faculties'!$L$10:$L$19,MATCH($F186,'Faculties'!$B$10:$B$19,0))="","Cell will autofill based on response",INDEX('Faculties'!$L$10:$L$19,MATCH($F186,'Faculties'!$B$10:$B$19,0))),"N/A")</f>
        <v/>
      </c>
      <c r="I186" s="52">
        <f>IFERROR(IF(INDEX('Faculties'!$L$26:$L$35,MATCH($F186,'Faculties'!$B$26:$B$35,0))="","Cell will autofill based on response",INDEX('Faculties'!$L$26:$L$35,MATCH($F186,'Faculties'!$B$26:$B$35,0))),"N/A")</f>
        <v/>
      </c>
      <c r="J186" s="52">
        <f>IFERROR(IF(INDEX('Faculties'!$L$42:$L$51,MATCH($F186,'Faculties'!$B$42:$B$51,0))="","Cell will autofill based on response",INDEX('Faculties'!$L$42:$L$51,MATCH($F186,'Faculties'!$B$42:$B$51,0))),"N/A")</f>
        <v/>
      </c>
      <c r="K186" s="52">
        <f>IFERROR(IF(INDEX('Faculties'!$L$58:$L$67,MATCH($F186,'Faculties'!$B$58:$B$67,0))="","Cell will autofill based on response",INDEX('Faculties'!$L$58:$L$67,MATCH($F186,'Faculties'!$B$58:$B$67,0))),"N/A")</f>
        <v/>
      </c>
      <c r="L186" s="52">
        <f>IFERROR(IF(INDEX('CI&amp;S'!$L$10:$L$15,MATCH($F186,'CI&amp;S'!$B$10:$B$15,0))="","Cell will autofill based on response",INDEX('CI&amp;S'!$L$10:$L$15,MATCH($F186,'CI&amp;S'!$B$10:$B$15,0))),"N/A")</f>
        <v/>
      </c>
      <c r="M186" s="52">
        <f>IFERROR(IF(INDEX('CI&amp;S'!$L$22:$L$36,MATCH($F186,'CI&amp;S'!$B$22:$B$36,0))="","Cell will autofill based on response",INDEX('CI&amp;S'!$L$22:$L$36,MATCH($F186,'CI&amp;S'!$B$22:$B$36,0))),"N/A")</f>
        <v/>
      </c>
      <c r="N186" s="52">
        <f>IFERROR(IF(INDEX('CFOG'!$L$10:$L$16,MATCH($F186,'CFOG'!$B$10:$B$16,0))="","Cell will autofill based on response",INDEX('CFOG'!$L$10:$L$16,MATCH($F186,'CFOG'!$B$10:$B$16,0))),"N/A")</f>
        <v/>
      </c>
      <c r="O186" s="52">
        <f>IFERROR(IF(INDEX('CFOG'!$L$23:$L$24,MATCH($F186,'CFOG'!$B$23:$B$24,0))="","Cell will autofill based on response",INDEX('CFOG'!$L$23:$L$24,MATCH($F186,'CFOG'!$B$23:$B$24,0))),"N/A")</f>
        <v/>
      </c>
      <c r="P186" s="52">
        <f>IFERROR(IF(INDEX('ESG'!$L$10:$L$17,MATCH($F186,'ESG'!$B$10:$B$17,0))="","Cell will autofill based on response",INDEX('ESG'!$L$10:$L$17,MATCH($F186,'ESG'!$B$10:$B$17,0))),"N/A")</f>
        <v/>
      </c>
      <c r="Q186" s="52">
        <f>IFERROR(IF(INDEX('CIOG'!$L$10:$L$14,MATCH($F186,'CIOG'!$B$10:$B$14,0))="","Cell will autofill based on response",INDEX('CIOG'!$L$10:$L$14,MATCH($F186,'CIOG'!$B$10:$B$14,0))),"N/A")</f>
        <v/>
      </c>
      <c r="R186" s="52">
        <f>IFERROR(IF(INDEX('MRE'!$L$10:$L$18,MATCH($F186,'MRE'!$B$10:$B$18,0))="","Cell will autofill based on response",INDEX('MRE'!$L$10:$L$18,MATCH($F186,'MRE'!$B$10:$B$18,0))),"N/A")</f>
        <v/>
      </c>
      <c r="S186" s="52">
        <f>IFERROR(IF(INDEX('AC&amp;M'!$L$10:$L$14,MATCH($F186,'AC&amp;M'!$B$10:$B$14,0))="","Cell will autofill based on response",INDEX('AC&amp;M'!$L$10:$L$14,MATCH($F186,'AC&amp;M'!$B$10:$B$14,0))),"N/A")</f>
        <v/>
      </c>
      <c r="T186" s="52">
        <f>IFERROR(IF(INDEX('GCE'!$L$10:$L$12,MATCH($F186,'GCE'!$B$10:$B$12,0))="","Cell will autofill based on response",INDEX('GCE'!$L$10:$L$12,MATCH($F186,'GCE'!$B$10:$B$12,0))),"N/A")</f>
        <v/>
      </c>
      <c r="U186" s="52">
        <f>IFERROR(IF(INDEX('Education'!$L$10:$L$13,MATCH($F186,'Education'!$B$10:$B$13,0))="","Cell will autofill based on response",INDEX('Education'!$L$10:$L$13,MATCH($F186,'Education'!$B$10:$B$13,0))),"N/A")</f>
        <v/>
      </c>
      <c r="V186" s="52">
        <f>IFERROR(IF(INDEX('SaSS'!$L$10:$L$12,MATCH($F186,'SaSS'!$B$10:$B$12,0))="","Cell will autofill based on response",INDEX('SaSS'!$L$10:$L$12,MATCH($F186,'SaSS'!$B$10:$B$12,0))),"N/A")</f>
        <v/>
      </c>
      <c r="W186" s="52">
        <f>IFERROR(IF(INDEX('Indigenous'!$L$10:$L$11,MATCH($F186,'Indigenous'!$B$10:$B$11,0))="","Cell will autofill based on response",INDEX('Indigenous'!$L$10:$L$11,MATCH($F186,'Indigenous'!$B$10:$B$11,0))),"N/A")</f>
        <v/>
      </c>
      <c r="X186" s="52">
        <f>IFERROR(IF(INDEX('L&amp;R'!$L$10:$L$11,MATCH($F186,'L&amp;R'!$B$10:$B$11,0))="","Cell will autofill based on response",INDEX('L&amp;R'!$L$10:$L$11,MATCH($F186,'L&amp;R'!$B$10:$B$11,0))),"N/A")</f>
        <v/>
      </c>
      <c r="Z186" s="10">
        <f>SUMPRODUCT(--($H186:$X186&lt;&gt;"N/A"))</f>
        <v/>
      </c>
      <c r="AA186" s="10">
        <f>SUMPRODUCT(--(((($H186:$X186&lt;&gt;"N/A")*($H186:$X186&lt;&gt;"Cell will autofill based on response"))+(($H187:$X187&lt;&gt;"N/A")*($H187:$X187&lt;&gt;"Cell will autofill based on response")))&gt;0))</f>
        <v/>
      </c>
      <c r="AB186" s="10">
        <f>Z186-AA186</f>
        <v/>
      </c>
      <c r="AC186" s="10">
        <f>COUNTIF($H190:$X190,"Yes")</f>
        <v/>
      </c>
    </row>
    <row r="187">
      <c r="A187">
        <f>F187&amp;"|"&amp;G187</f>
        <v/>
      </c>
      <c r="B187" s="13" t="inlineStr"/>
      <c r="C187" s="8" t="inlineStr"/>
      <c r="D187" s="8" t="inlineStr"/>
      <c r="E187" s="8" t="inlineStr"/>
      <c r="F187" s="8" t="inlineStr">
        <is>
          <t>EN1(b)</t>
        </is>
      </c>
      <c r="G187" s="8" t="inlineStr">
        <is>
          <t>OPTION 2:  Indicator level reporting</t>
        </is>
      </c>
      <c r="H187" s="52">
        <f>IFERROR(IF(INDEX('Faculties'!$M$10:$M$19,MATCH($F187,'Faculties'!$B$10:$B$19,0))="","Cell will autofill based on response",INDEX('Faculties'!$M$10:$M$19,MATCH($F187,'Faculties'!$B$10:$B$19,0))),"N/A")</f>
        <v/>
      </c>
      <c r="I187" s="52">
        <f>IFERROR(IF(INDEX('Faculties'!$M$26:$M$35,MATCH($F187,'Faculties'!$B$26:$B$35,0))="","Cell will autofill based on response",INDEX('Faculties'!$M$26:$M$35,MATCH($F187,'Faculties'!$B$26:$B$35,0))),"N/A")</f>
        <v/>
      </c>
      <c r="J187" s="52">
        <f>IFERROR(IF(INDEX('Faculties'!$M$42:$M$51,MATCH($F187,'Faculties'!$B$42:$B$51,0))="","Cell will autofill based on response",INDEX('Faculties'!$M$42:$M$51,MATCH($F187,'Faculties'!$B$42:$B$51,0))),"N/A")</f>
        <v/>
      </c>
      <c r="K187" s="52">
        <f>IFERROR(IF(INDEX('Faculties'!$M$58:$M$67,MATCH($F187,'Faculties'!$B$58:$B$67,0))="","Cell will autofill based on response",INDEX('Faculties'!$M$58:$M$67,MATCH($F187,'Faculties'!$B$58:$B$67,0))),"N/A")</f>
        <v/>
      </c>
      <c r="L187" s="52">
        <f>IFERROR(IF(INDEX('CI&amp;S'!$M$10:$M$15,MATCH($F187,'CI&amp;S'!$B$10:$B$15,0))="","Cell will autofill based on response",INDEX('CI&amp;S'!$M$10:$M$15,MATCH($F187,'CI&amp;S'!$B$10:$B$15,0))),"N/A")</f>
        <v/>
      </c>
      <c r="M187" s="52">
        <f>IFERROR(IF(INDEX('CI&amp;S'!$M$22:$M$36,MATCH($F187,'CI&amp;S'!$B$22:$B$36,0))="","Cell will autofill based on response",INDEX('CI&amp;S'!$M$22:$M$36,MATCH($F187,'CI&amp;S'!$B$22:$B$36,0))),"N/A")</f>
        <v/>
      </c>
      <c r="N187" s="52">
        <f>IFERROR(IF(INDEX('CFOG'!$M$10:$M$16,MATCH($F187,'CFOG'!$B$10:$B$16,0))="","Cell will autofill based on response",INDEX('CFOG'!$M$10:$M$16,MATCH($F187,'CFOG'!$B$10:$B$16,0))),"N/A")</f>
        <v/>
      </c>
      <c r="O187" s="52">
        <f>IFERROR(IF(INDEX('CFOG'!$M$23:$M$24,MATCH($F187,'CFOG'!$B$23:$B$24,0))="","Cell will autofill based on response",INDEX('CFOG'!$M$23:$M$24,MATCH($F187,'CFOG'!$B$23:$B$24,0))),"N/A")</f>
        <v/>
      </c>
      <c r="P187" s="52">
        <f>IFERROR(IF(INDEX('ESG'!$M$10:$M$17,MATCH($F187,'ESG'!$B$10:$B$17,0))="","Cell will autofill based on response",INDEX('ESG'!$M$10:$M$17,MATCH($F187,'ESG'!$B$10:$B$17,0))),"N/A")</f>
        <v/>
      </c>
      <c r="Q187" s="52">
        <f>IFERROR(IF(INDEX('CIOG'!$M$10:$M$14,MATCH($F187,'CIOG'!$B$10:$B$14,0))="","Cell will autofill based on response",INDEX('CIOG'!$M$10:$M$14,MATCH($F187,'CIOG'!$B$10:$B$14,0))),"N/A")</f>
        <v/>
      </c>
      <c r="R187" s="52">
        <f>IFERROR(IF(INDEX('MRE'!$M$10:$M$18,MATCH($F187,'MRE'!$B$10:$B$18,0))="","Cell will autofill based on response",INDEX('MRE'!$M$10:$M$18,MATCH($F187,'MRE'!$B$10:$B$18,0))),"N/A")</f>
        <v/>
      </c>
      <c r="S187" s="52">
        <f>IFERROR(IF(INDEX('AC&amp;M'!$M$10:$M$14,MATCH($F187,'AC&amp;M'!$B$10:$B$14,0))="","Cell will autofill based on response",INDEX('AC&amp;M'!$M$10:$M$14,MATCH($F187,'AC&amp;M'!$B$10:$B$14,0))),"N/A")</f>
        <v/>
      </c>
      <c r="T187" s="52">
        <f>IFERROR(IF(INDEX('GCE'!$M$10:$M$12,MATCH($F187,'GCE'!$B$10:$B$12,0))="","Cell will autofill based on response",INDEX('GCE'!$M$10:$M$12,MATCH($F187,'GCE'!$B$10:$B$12,0))),"N/A")</f>
        <v/>
      </c>
      <c r="U187" s="52">
        <f>IFERROR(IF(INDEX('Education'!$M$10:$M$13,MATCH($F187,'Education'!$B$10:$B$13,0))="","Cell will autofill based on response",INDEX('Education'!$M$10:$M$13,MATCH($F187,'Education'!$B$10:$B$13,0))),"N/A")</f>
        <v/>
      </c>
      <c r="V187" s="52">
        <f>IFERROR(IF(INDEX('SaSS'!$M$10:$M$12,MATCH($F187,'SaSS'!$B$10:$B$12,0))="","Cell will autofill based on response",INDEX('SaSS'!$M$10:$M$12,MATCH($F187,'SaSS'!$B$10:$B$12,0))),"N/A")</f>
        <v/>
      </c>
      <c r="W187" s="52">
        <f>IFERROR(IF(INDEX('Indigenous'!$M$10:$M$11,MATCH($F187,'Indigenous'!$B$10:$B$11,0))="","Cell will autofill based on response",INDEX('Indigenous'!$M$10:$M$11,MATCH($F187,'Indigenous'!$B$10:$B$11,0))),"N/A")</f>
        <v/>
      </c>
      <c r="X187" s="52">
        <f>IFERROR(IF(INDEX('L&amp;R'!$M$10:$M$11,MATCH($F187,'L&amp;R'!$B$10:$B$11,0))="","Cell will autofill based on response",INDEX('L&amp;R'!$M$10:$M$11,MATCH($F187,'L&amp;R'!$B$10:$B$11,0))),"N/A")</f>
        <v/>
      </c>
    </row>
    <row r="188">
      <c r="A188">
        <f>F188&amp;"|"&amp;G188</f>
        <v/>
      </c>
      <c r="B188" s="13" t="inlineStr"/>
      <c r="C188" s="8" t="inlineStr"/>
      <c r="D188" s="8" t="inlineStr"/>
      <c r="E188" s="8" t="inlineStr"/>
      <c r="F188" s="8" t="inlineStr">
        <is>
          <t>EN1(b)</t>
        </is>
      </c>
      <c r="G188" s="8" t="inlineStr">
        <is>
          <t>Supporting information/comments</t>
        </is>
      </c>
      <c r="H188" s="52">
        <f>IFERROR(IF(INDEX('Faculties'!$N$10:$N$19,MATCH($F188,'Faculties'!$B$10:$B$19,0))="","Cell will autofill based on response",INDEX('Faculties'!$N$10:$N$19,MATCH($F188,'Faculties'!$B$10:$B$19,0))),"N/A")</f>
        <v/>
      </c>
      <c r="I188" s="52">
        <f>IFERROR(IF(INDEX('Faculties'!$N$26:$N$35,MATCH($F188,'Faculties'!$B$26:$B$35,0))="","Cell will autofill based on response",INDEX('Faculties'!$N$26:$N$35,MATCH($F188,'Faculties'!$B$26:$B$35,0))),"N/A")</f>
        <v/>
      </c>
      <c r="J188" s="52">
        <f>IFERROR(IF(INDEX('Faculties'!$N$42:$N$51,MATCH($F188,'Faculties'!$B$42:$B$51,0))="","Cell will autofill based on response",INDEX('Faculties'!$N$42:$N$51,MATCH($F188,'Faculties'!$B$42:$B$51,0))),"N/A")</f>
        <v/>
      </c>
      <c r="K188" s="52">
        <f>IFERROR(IF(INDEX('Faculties'!$N$58:$N$67,MATCH($F188,'Faculties'!$B$58:$B$67,0))="","Cell will autofill based on response",INDEX('Faculties'!$N$58:$N$67,MATCH($F188,'Faculties'!$B$58:$B$67,0))),"N/A")</f>
        <v/>
      </c>
      <c r="L188" s="52">
        <f>IFERROR(IF(INDEX('CI&amp;S'!$N$10:$N$15,MATCH($F188,'CI&amp;S'!$B$10:$B$15,0))="","Cell will autofill based on response",INDEX('CI&amp;S'!$N$10:$N$15,MATCH($F188,'CI&amp;S'!$B$10:$B$15,0))),"N/A")</f>
        <v/>
      </c>
      <c r="M188" s="52">
        <f>IFERROR(IF(INDEX('CI&amp;S'!$N$22:$N$36,MATCH($F188,'CI&amp;S'!$B$22:$B$36,0))="","Cell will autofill based on response",INDEX('CI&amp;S'!$N$22:$N$36,MATCH($F188,'CI&amp;S'!$B$22:$B$36,0))),"N/A")</f>
        <v/>
      </c>
      <c r="N188" s="52">
        <f>IFERROR(IF(INDEX('CFOG'!$N$10:$N$16,MATCH($F188,'CFOG'!$B$10:$B$16,0))="","Cell will autofill based on response",INDEX('CFOG'!$N$10:$N$16,MATCH($F188,'CFOG'!$B$10:$B$16,0))),"N/A")</f>
        <v/>
      </c>
      <c r="O188" s="52">
        <f>IFERROR(IF(INDEX('CFOG'!$N$23:$N$24,MATCH($F188,'CFOG'!$B$23:$B$24,0))="","Cell will autofill based on response",INDEX('CFOG'!$N$23:$N$24,MATCH($F188,'CFOG'!$B$23:$B$24,0))),"N/A")</f>
        <v/>
      </c>
      <c r="P188" s="52">
        <f>IFERROR(IF(INDEX('ESG'!$N$10:$N$17,MATCH($F188,'ESG'!$B$10:$B$17,0))="","Cell will autofill based on response",INDEX('ESG'!$N$10:$N$17,MATCH($F188,'ESG'!$B$10:$B$17,0))),"N/A")</f>
        <v/>
      </c>
      <c r="Q188" s="52">
        <f>IFERROR(IF(INDEX('CIOG'!$N$10:$N$14,MATCH($F188,'CIOG'!$B$10:$B$14,0))="","Cell will autofill based on response",INDEX('CIOG'!$N$10:$N$14,MATCH($F188,'CIOG'!$B$10:$B$14,0))),"N/A")</f>
        <v/>
      </c>
      <c r="R188" s="52">
        <f>IFERROR(IF(INDEX('MRE'!$N$10:$N$18,MATCH($F188,'MRE'!$B$10:$B$18,0))="","Cell will autofill based on response",INDEX('MRE'!$N$10:$N$18,MATCH($F188,'MRE'!$B$10:$B$18,0))),"N/A")</f>
        <v/>
      </c>
      <c r="S188" s="52">
        <f>IFERROR(IF(INDEX('AC&amp;M'!$N$10:$N$14,MATCH($F188,'AC&amp;M'!$B$10:$B$14,0))="","Cell will autofill based on response",INDEX('AC&amp;M'!$N$10:$N$14,MATCH($F188,'AC&amp;M'!$B$10:$B$14,0))),"N/A")</f>
        <v/>
      </c>
      <c r="T188" s="52">
        <f>IFERROR(IF(INDEX('GCE'!$N$10:$N$12,MATCH($F188,'GCE'!$B$10:$B$12,0))="","Cell will autofill based on response",INDEX('GCE'!$N$10:$N$12,MATCH($F188,'GCE'!$B$10:$B$12,0))),"N/A")</f>
        <v/>
      </c>
      <c r="U188" s="52">
        <f>IFERROR(IF(INDEX('Education'!$N$10:$N$13,MATCH($F188,'Education'!$B$10:$B$13,0))="","Cell will autofill based on response",INDEX('Education'!$N$10:$N$13,MATCH($F188,'Education'!$B$10:$B$13,0))),"N/A")</f>
        <v/>
      </c>
      <c r="V188" s="52">
        <f>IFERROR(IF(INDEX('SaSS'!$N$10:$N$12,MATCH($F188,'SaSS'!$B$10:$B$12,0))="","Cell will autofill based on response",INDEX('SaSS'!$N$10:$N$12,MATCH($F188,'SaSS'!$B$10:$B$12,0))),"N/A")</f>
        <v/>
      </c>
      <c r="W188" s="52">
        <f>IFERROR(IF(INDEX('Indigenous'!$N$10:$N$11,MATCH($F188,'Indigenous'!$B$10:$B$11,0))="","Cell will autofill based on response",INDEX('Indigenous'!$N$10:$N$11,MATCH($F188,'Indigenous'!$B$10:$B$11,0))),"N/A")</f>
        <v/>
      </c>
      <c r="X188" s="52">
        <f>IFERROR(IF(INDEX('L&amp;R'!$N$10:$N$11,MATCH($F188,'L&amp;R'!$B$10:$B$11,0))="","Cell will autofill based on response",INDEX('L&amp;R'!$N$10:$N$11,MATCH($F188,'L&amp;R'!$B$10:$B$11,0))),"N/A")</f>
        <v/>
      </c>
    </row>
    <row r="189">
      <c r="A189">
        <f>F189&amp;"|"&amp;G189</f>
        <v/>
      </c>
      <c r="B189" s="13" t="inlineStr"/>
      <c r="C189" s="8" t="inlineStr"/>
      <c r="D189" s="8" t="inlineStr"/>
      <c r="E189" s="8" t="inlineStr"/>
      <c r="F189" s="8" t="inlineStr">
        <is>
          <t>EN1(b)</t>
        </is>
      </c>
      <c r="G189" s="8" t="inlineStr">
        <is>
          <t>Data source and limitations</t>
        </is>
      </c>
      <c r="H189" s="52">
        <f>IFERROR(IF(INDEX('Faculties'!$O$10:$O$19,MATCH($F189,'Faculties'!$B$10:$B$19,0))="","Cell will autofill based on response",INDEX('Faculties'!$O$10:$O$19,MATCH($F189,'Faculties'!$B$10:$B$19,0))),"N/A")</f>
        <v/>
      </c>
      <c r="I189" s="52">
        <f>IFERROR(IF(INDEX('Faculties'!$O$26:$O$35,MATCH($F189,'Faculties'!$B$26:$B$35,0))="","Cell will autofill based on response",INDEX('Faculties'!$O$26:$O$35,MATCH($F189,'Faculties'!$B$26:$B$35,0))),"N/A")</f>
        <v/>
      </c>
      <c r="J189" s="52">
        <f>IFERROR(IF(INDEX('Faculties'!$O$42:$O$51,MATCH($F189,'Faculties'!$B$42:$B$51,0))="","Cell will autofill based on response",INDEX('Faculties'!$O$42:$O$51,MATCH($F189,'Faculties'!$B$42:$B$51,0))),"N/A")</f>
        <v/>
      </c>
      <c r="K189" s="52">
        <f>IFERROR(IF(INDEX('Faculties'!$O$58:$O$67,MATCH($F189,'Faculties'!$B$58:$B$67,0))="","Cell will autofill based on response",INDEX('Faculties'!$O$58:$O$67,MATCH($F189,'Faculties'!$B$58:$B$67,0))),"N/A")</f>
        <v/>
      </c>
      <c r="L189" s="52">
        <f>IFERROR(IF(INDEX('CI&amp;S'!$O$10:$O$15,MATCH($F189,'CI&amp;S'!$B$10:$B$15,0))="","Cell will autofill based on response",INDEX('CI&amp;S'!$O$10:$O$15,MATCH($F189,'CI&amp;S'!$B$10:$B$15,0))),"N/A")</f>
        <v/>
      </c>
      <c r="M189" s="52">
        <f>IFERROR(IF(INDEX('CI&amp;S'!$O$22:$O$36,MATCH($F189,'CI&amp;S'!$B$22:$B$36,0))="","Cell will autofill based on response",INDEX('CI&amp;S'!$O$22:$O$36,MATCH($F189,'CI&amp;S'!$B$22:$B$36,0))),"N/A")</f>
        <v/>
      </c>
      <c r="N189" s="52">
        <f>IFERROR(IF(INDEX('CFOG'!$O$10:$O$16,MATCH($F189,'CFOG'!$B$10:$B$16,0))="","Cell will autofill based on response",INDEX('CFOG'!$O$10:$O$16,MATCH($F189,'CFOG'!$B$10:$B$16,0))),"N/A")</f>
        <v/>
      </c>
      <c r="O189" s="52">
        <f>IFERROR(IF(INDEX('CFOG'!$O$23:$O$24,MATCH($F189,'CFOG'!$B$23:$B$24,0))="","Cell will autofill based on response",INDEX('CFOG'!$O$23:$O$24,MATCH($F189,'CFOG'!$B$23:$B$24,0))),"N/A")</f>
        <v/>
      </c>
      <c r="P189" s="52">
        <f>IFERROR(IF(INDEX('ESG'!$O$10:$O$17,MATCH($F189,'ESG'!$B$10:$B$17,0))="","Cell will autofill based on response",INDEX('ESG'!$O$10:$O$17,MATCH($F189,'ESG'!$B$10:$B$17,0))),"N/A")</f>
        <v/>
      </c>
      <c r="Q189" s="52">
        <f>IFERROR(IF(INDEX('CIOG'!$O$10:$O$14,MATCH($F189,'CIOG'!$B$10:$B$14,0))="","Cell will autofill based on response",INDEX('CIOG'!$O$10:$O$14,MATCH($F189,'CIOG'!$B$10:$B$14,0))),"N/A")</f>
        <v/>
      </c>
      <c r="R189" s="52">
        <f>IFERROR(IF(INDEX('MRE'!$O$10:$O$18,MATCH($F189,'MRE'!$B$10:$B$18,0))="","Cell will autofill based on response",INDEX('MRE'!$O$10:$O$18,MATCH($F189,'MRE'!$B$10:$B$18,0))),"N/A")</f>
        <v/>
      </c>
      <c r="S189" s="52">
        <f>IFERROR(IF(INDEX('AC&amp;M'!$O$10:$O$14,MATCH($F189,'AC&amp;M'!$B$10:$B$14,0))="","Cell will autofill based on response",INDEX('AC&amp;M'!$O$10:$O$14,MATCH($F189,'AC&amp;M'!$B$10:$B$14,0))),"N/A")</f>
        <v/>
      </c>
      <c r="T189" s="52">
        <f>IFERROR(IF(INDEX('GCE'!$O$10:$O$12,MATCH($F189,'GCE'!$B$10:$B$12,0))="","Cell will autofill based on response",INDEX('GCE'!$O$10:$O$12,MATCH($F189,'GCE'!$B$10:$B$12,0))),"N/A")</f>
        <v/>
      </c>
      <c r="U189" s="52">
        <f>IFERROR(IF(INDEX('Education'!$O$10:$O$13,MATCH($F189,'Education'!$B$10:$B$13,0))="","Cell will autofill based on response",INDEX('Education'!$O$10:$O$13,MATCH($F189,'Education'!$B$10:$B$13,0))),"N/A")</f>
        <v/>
      </c>
      <c r="V189" s="52">
        <f>IFERROR(IF(INDEX('SaSS'!$O$10:$O$12,MATCH($F189,'SaSS'!$B$10:$B$12,0))="","Cell will autofill based on response",INDEX('SaSS'!$O$10:$O$12,MATCH($F189,'SaSS'!$B$10:$B$12,0))),"N/A")</f>
        <v/>
      </c>
      <c r="W189" s="52">
        <f>IFERROR(IF(INDEX('Indigenous'!$O$10:$O$11,MATCH($F189,'Indigenous'!$B$10:$B$11,0))="","Cell will autofill based on response",INDEX('Indigenous'!$O$10:$O$11,MATCH($F189,'Indigenous'!$B$10:$B$11,0))),"N/A")</f>
        <v/>
      </c>
      <c r="X189" s="52">
        <f>IFERROR(IF(INDEX('L&amp;R'!$O$10:$O$11,MATCH($F189,'L&amp;R'!$B$10:$B$11,0))="","Cell will autofill based on response",INDEX('L&amp;R'!$O$10:$O$11,MATCH($F189,'L&amp;R'!$B$10:$B$11,0))),"N/A")</f>
        <v/>
      </c>
    </row>
    <row r="190">
      <c r="A190">
        <f>F190&amp;"|"&amp;G190</f>
        <v/>
      </c>
      <c r="B190" s="13" t="inlineStr"/>
      <c r="C190" s="8" t="inlineStr"/>
      <c r="D190" s="8" t="inlineStr"/>
      <c r="E190" s="8" t="inlineStr"/>
      <c r="F190" s="8" t="inlineStr">
        <is>
          <t>EN1(b)</t>
        </is>
      </c>
      <c r="G190" s="8" t="inlineStr">
        <is>
          <t>Data owner confirms</t>
        </is>
      </c>
      <c r="H190" s="52">
        <f>IFERROR(IF(INDEX('Faculties'!$P$10:$P$19,MATCH($F190,'Faculties'!$B$10:$B$19,0))="","Cell will autofill based on response",INDEX('Faculties'!$P$10:$P$19,MATCH($F190,'Faculties'!$B$10:$B$19,0))),"N/A")</f>
        <v/>
      </c>
      <c r="I190" s="52">
        <f>IFERROR(IF(INDEX('Faculties'!$P$26:$P$35,MATCH($F190,'Faculties'!$B$26:$B$35,0))="","Cell will autofill based on response",INDEX('Faculties'!$P$26:$P$35,MATCH($F190,'Faculties'!$B$26:$B$35,0))),"N/A")</f>
        <v/>
      </c>
      <c r="J190" s="52">
        <f>IFERROR(IF(INDEX('Faculties'!$P$42:$P$51,MATCH($F190,'Faculties'!$B$42:$B$51,0))="","Cell will autofill based on response",INDEX('Faculties'!$P$42:$P$51,MATCH($F190,'Faculties'!$B$42:$B$51,0))),"N/A")</f>
        <v/>
      </c>
      <c r="K190" s="52">
        <f>IFERROR(IF(INDEX('Faculties'!$P$58:$P$67,MATCH($F190,'Faculties'!$B$58:$B$67,0))="","Cell will autofill based on response",INDEX('Faculties'!$P$58:$P$67,MATCH($F190,'Faculties'!$B$58:$B$67,0))),"N/A")</f>
        <v/>
      </c>
      <c r="L190" s="52">
        <f>IFERROR(IF(INDEX('CI&amp;S'!$P$10:$P$15,MATCH($F190,'CI&amp;S'!$B$10:$B$15,0))="","Cell will autofill based on response",INDEX('CI&amp;S'!$P$10:$P$15,MATCH($F190,'CI&amp;S'!$B$10:$B$15,0))),"N/A")</f>
        <v/>
      </c>
      <c r="M190" s="52">
        <f>IFERROR(IF(INDEX('CI&amp;S'!$P$22:$P$36,MATCH($F190,'CI&amp;S'!$B$22:$B$36,0))="","Cell will autofill based on response",INDEX('CI&amp;S'!$P$22:$P$36,MATCH($F190,'CI&amp;S'!$B$22:$B$36,0))),"N/A")</f>
        <v/>
      </c>
      <c r="N190" s="52">
        <f>IFERROR(IF(INDEX('CFOG'!$P$10:$P$16,MATCH($F190,'CFOG'!$B$10:$B$16,0))="","Cell will autofill based on response",INDEX('CFOG'!$P$10:$P$16,MATCH($F190,'CFOG'!$B$10:$B$16,0))),"N/A")</f>
        <v/>
      </c>
      <c r="O190" s="52">
        <f>IFERROR(IF(INDEX('CFOG'!$P$23:$P$24,MATCH($F190,'CFOG'!$B$23:$B$24,0))="","Cell will autofill based on response",INDEX('CFOG'!$P$23:$P$24,MATCH($F190,'CFOG'!$B$23:$B$24,0))),"N/A")</f>
        <v/>
      </c>
      <c r="P190" s="52">
        <f>IFERROR(IF(INDEX('ESG'!$P$10:$P$17,MATCH($F190,'ESG'!$B$10:$B$17,0))="","Cell will autofill based on response",INDEX('ESG'!$P$10:$P$17,MATCH($F190,'ESG'!$B$10:$B$17,0))),"N/A")</f>
        <v/>
      </c>
      <c r="Q190" s="52">
        <f>IFERROR(IF(INDEX('CIOG'!$P$10:$P$14,MATCH($F190,'CIOG'!$B$10:$B$14,0))="","Cell will autofill based on response",INDEX('CIOG'!$P$10:$P$14,MATCH($F190,'CIOG'!$B$10:$B$14,0))),"N/A")</f>
        <v/>
      </c>
      <c r="R190" s="52">
        <f>IFERROR(IF(INDEX('MRE'!$P$10:$P$18,MATCH($F190,'MRE'!$B$10:$B$18,0))="","Cell will autofill based on response",INDEX('MRE'!$P$10:$P$18,MATCH($F190,'MRE'!$B$10:$B$18,0))),"N/A")</f>
        <v/>
      </c>
      <c r="S190" s="52">
        <f>IFERROR(IF(INDEX('AC&amp;M'!$P$10:$P$14,MATCH($F190,'AC&amp;M'!$B$10:$B$14,0))="","Cell will autofill based on response",INDEX('AC&amp;M'!$P$10:$P$14,MATCH($F190,'AC&amp;M'!$B$10:$B$14,0))),"N/A")</f>
        <v/>
      </c>
      <c r="T190" s="52">
        <f>IFERROR(IF(INDEX('GCE'!$P$10:$P$12,MATCH($F190,'GCE'!$B$10:$B$12,0))="","Cell will autofill based on response",INDEX('GCE'!$P$10:$P$12,MATCH($F190,'GCE'!$B$10:$B$12,0))),"N/A")</f>
        <v/>
      </c>
      <c r="U190" s="52">
        <f>IFERROR(IF(INDEX('Education'!$P$10:$P$13,MATCH($F190,'Education'!$B$10:$B$13,0))="","Cell will autofill based on response",INDEX('Education'!$P$10:$P$13,MATCH($F190,'Education'!$B$10:$B$13,0))),"N/A")</f>
        <v/>
      </c>
      <c r="V190" s="52">
        <f>IFERROR(IF(INDEX('SaSS'!$P$10:$P$12,MATCH($F190,'SaSS'!$B$10:$B$12,0))="","Cell will autofill based on response",INDEX('SaSS'!$P$10:$P$12,MATCH($F190,'SaSS'!$B$10:$B$12,0))),"N/A")</f>
        <v/>
      </c>
      <c r="W190" s="52">
        <f>IFERROR(IF(INDEX('Indigenous'!$P$10:$P$11,MATCH($F190,'Indigenous'!$B$10:$B$11,0))="","Cell will autofill based on response",INDEX('Indigenous'!$P$10:$P$11,MATCH($F190,'Indigenous'!$B$10:$B$11,0))),"N/A")</f>
        <v/>
      </c>
      <c r="X190" s="52">
        <f>IFERROR(IF(INDEX('L&amp;R'!$P$10:$P$11,MATCH($F190,'L&amp;R'!$B$10:$B$11,0))="","Cell will autofill based on response",INDEX('L&amp;R'!$P$10:$P$11,MATCH($F190,'L&amp;R'!$B$10:$B$11,0))),"N/A")</f>
        <v/>
      </c>
    </row>
    <row r="191">
      <c r="A191">
        <f>F191&amp;"|"&amp;G191</f>
        <v/>
      </c>
      <c r="B191" s="7" t="inlineStr">
        <is>
          <t>EN1(c)</t>
        </is>
      </c>
      <c r="C191" s="50" t="inlineStr">
        <is>
          <t>Enablers</t>
        </is>
      </c>
      <c r="D191" s="50" t="inlineStr">
        <is>
          <t>Coordinated internal engagement and external partnerships contributing to delivery of sustainability outcomes across priority areas.</t>
        </is>
      </c>
      <c r="E191" s="50"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91" s="50" t="inlineStr">
        <is>
          <t>EN1(c)</t>
        </is>
      </c>
      <c r="G191" s="50" t="inlineStr">
        <is>
          <t>OPTION 1:  Target-level reporting</t>
        </is>
      </c>
      <c r="H191" s="52">
        <f>IFERROR(IF(INDEX('Faculties'!$L$10:$L$19,MATCH($F191,'Faculties'!$B$10:$B$19,0))="","Cell will autofill based on response",INDEX('Faculties'!$L$10:$L$19,MATCH($F191,'Faculties'!$B$10:$B$19,0))),"N/A")</f>
        <v/>
      </c>
      <c r="I191" s="52">
        <f>IFERROR(IF(INDEX('Faculties'!$L$26:$L$35,MATCH($F191,'Faculties'!$B$26:$B$35,0))="","Cell will autofill based on response",INDEX('Faculties'!$L$26:$L$35,MATCH($F191,'Faculties'!$B$26:$B$35,0))),"N/A")</f>
        <v/>
      </c>
      <c r="J191" s="52">
        <f>IFERROR(IF(INDEX('Faculties'!$L$42:$L$51,MATCH($F191,'Faculties'!$B$42:$B$51,0))="","Cell will autofill based on response",INDEX('Faculties'!$L$42:$L$51,MATCH($F191,'Faculties'!$B$42:$B$51,0))),"N/A")</f>
        <v/>
      </c>
      <c r="K191" s="52">
        <f>IFERROR(IF(INDEX('Faculties'!$L$58:$L$67,MATCH($F191,'Faculties'!$B$58:$B$67,0))="","Cell will autofill based on response",INDEX('Faculties'!$L$58:$L$67,MATCH($F191,'Faculties'!$B$58:$B$67,0))),"N/A")</f>
        <v/>
      </c>
      <c r="L191" s="52">
        <f>IFERROR(IF(INDEX('CI&amp;S'!$L$10:$L$15,MATCH($F191,'CI&amp;S'!$B$10:$B$15,0))="","Cell will autofill based on response",INDEX('CI&amp;S'!$L$10:$L$15,MATCH($F191,'CI&amp;S'!$B$10:$B$15,0))),"N/A")</f>
        <v/>
      </c>
      <c r="M191" s="52">
        <f>IFERROR(IF(INDEX('CI&amp;S'!$L$22:$L$36,MATCH($F191,'CI&amp;S'!$B$22:$B$36,0))="","Cell will autofill based on response",INDEX('CI&amp;S'!$L$22:$L$36,MATCH($F191,'CI&amp;S'!$B$22:$B$36,0))),"N/A")</f>
        <v/>
      </c>
      <c r="N191" s="52">
        <f>IFERROR(IF(INDEX('CFOG'!$L$10:$L$16,MATCH($F191,'CFOG'!$B$10:$B$16,0))="","Cell will autofill based on response",INDEX('CFOG'!$L$10:$L$16,MATCH($F191,'CFOG'!$B$10:$B$16,0))),"N/A")</f>
        <v/>
      </c>
      <c r="O191" s="52">
        <f>IFERROR(IF(INDEX('CFOG'!$L$23:$L$24,MATCH($F191,'CFOG'!$B$23:$B$24,0))="","Cell will autofill based on response",INDEX('CFOG'!$L$23:$L$24,MATCH($F191,'CFOG'!$B$23:$B$24,0))),"N/A")</f>
        <v/>
      </c>
      <c r="P191" s="52">
        <f>IFERROR(IF(INDEX('ESG'!$L$10:$L$17,MATCH($F191,'ESG'!$B$10:$B$17,0))="","Cell will autofill based on response",INDEX('ESG'!$L$10:$L$17,MATCH($F191,'ESG'!$B$10:$B$17,0))),"N/A")</f>
        <v/>
      </c>
      <c r="Q191" s="52">
        <f>IFERROR(IF(INDEX('CIOG'!$L$10:$L$14,MATCH($F191,'CIOG'!$B$10:$B$14,0))="","Cell will autofill based on response",INDEX('CIOG'!$L$10:$L$14,MATCH($F191,'CIOG'!$B$10:$B$14,0))),"N/A")</f>
        <v/>
      </c>
      <c r="R191" s="52">
        <f>IFERROR(IF(INDEX('MRE'!$L$10:$L$18,MATCH($F191,'MRE'!$B$10:$B$18,0))="","Cell will autofill based on response",INDEX('MRE'!$L$10:$L$18,MATCH($F191,'MRE'!$B$10:$B$18,0))),"N/A")</f>
        <v/>
      </c>
      <c r="S191" s="52">
        <f>IFERROR(IF(INDEX('AC&amp;M'!$L$10:$L$14,MATCH($F191,'AC&amp;M'!$B$10:$B$14,0))="","Cell will autofill based on response",INDEX('AC&amp;M'!$L$10:$L$14,MATCH($F191,'AC&amp;M'!$B$10:$B$14,0))),"N/A")</f>
        <v/>
      </c>
      <c r="T191" s="52">
        <f>IFERROR(IF(INDEX('GCE'!$L$10:$L$12,MATCH($F191,'GCE'!$B$10:$B$12,0))="","Cell will autofill based on response",INDEX('GCE'!$L$10:$L$12,MATCH($F191,'GCE'!$B$10:$B$12,0))),"N/A")</f>
        <v/>
      </c>
      <c r="U191" s="52">
        <f>IFERROR(IF(INDEX('Education'!$L$10:$L$13,MATCH($F191,'Education'!$B$10:$B$13,0))="","Cell will autofill based on response",INDEX('Education'!$L$10:$L$13,MATCH($F191,'Education'!$B$10:$B$13,0))),"N/A")</f>
        <v/>
      </c>
      <c r="V191" s="52">
        <f>IFERROR(IF(INDEX('SaSS'!$L$10:$L$12,MATCH($F191,'SaSS'!$B$10:$B$12,0))="","Cell will autofill based on response",INDEX('SaSS'!$L$10:$L$12,MATCH($F191,'SaSS'!$B$10:$B$12,0))),"N/A")</f>
        <v/>
      </c>
      <c r="W191" s="52">
        <f>IFERROR(IF(INDEX('Indigenous'!$L$10:$L$11,MATCH($F191,'Indigenous'!$B$10:$B$11,0))="","Cell will autofill based on response",INDEX('Indigenous'!$L$10:$L$11,MATCH($F191,'Indigenous'!$B$10:$B$11,0))),"N/A")</f>
        <v/>
      </c>
      <c r="X191" s="52">
        <f>IFERROR(IF(INDEX('L&amp;R'!$L$10:$L$11,MATCH($F191,'L&amp;R'!$B$10:$B$11,0))="","Cell will autofill based on response",INDEX('L&amp;R'!$L$10:$L$11,MATCH($F191,'L&amp;R'!$B$10:$B$11,0))),"N/A")</f>
        <v/>
      </c>
      <c r="Z191" s="10">
        <f>SUMPRODUCT(--($H191:$X191&lt;&gt;"N/A"))</f>
        <v/>
      </c>
      <c r="AA191" s="10">
        <f>SUMPRODUCT(--(((($H191:$X191&lt;&gt;"N/A")*($H191:$X191&lt;&gt;"Cell will autofill based on response"))+(($H192:$X192&lt;&gt;"N/A")*($H192:$X192&lt;&gt;"Cell will autofill based on response")))&gt;0))</f>
        <v/>
      </c>
      <c r="AB191" s="10">
        <f>Z191-AA191</f>
        <v/>
      </c>
      <c r="AC191" s="10">
        <f>COUNTIF($H195:$X195,"Yes")</f>
        <v/>
      </c>
    </row>
    <row r="192">
      <c r="A192">
        <f>F192&amp;"|"&amp;G192</f>
        <v/>
      </c>
      <c r="B192" s="13" t="inlineStr"/>
      <c r="C192" s="8" t="inlineStr"/>
      <c r="D192" s="8" t="inlineStr"/>
      <c r="E192" s="8" t="inlineStr"/>
      <c r="F192" s="8" t="inlineStr">
        <is>
          <t>EN1(c)</t>
        </is>
      </c>
      <c r="G192" s="8" t="inlineStr">
        <is>
          <t>OPTION 2:  Indicator level reporting</t>
        </is>
      </c>
      <c r="H192" s="52">
        <f>IFERROR(IF(INDEX('Faculties'!$M$10:$M$19,MATCH($F192,'Faculties'!$B$10:$B$19,0))="","Cell will autofill based on response",INDEX('Faculties'!$M$10:$M$19,MATCH($F192,'Faculties'!$B$10:$B$19,0))),"N/A")</f>
        <v/>
      </c>
      <c r="I192" s="52">
        <f>IFERROR(IF(INDEX('Faculties'!$M$26:$M$35,MATCH($F192,'Faculties'!$B$26:$B$35,0))="","Cell will autofill based on response",INDEX('Faculties'!$M$26:$M$35,MATCH($F192,'Faculties'!$B$26:$B$35,0))),"N/A")</f>
        <v/>
      </c>
      <c r="J192" s="52">
        <f>IFERROR(IF(INDEX('Faculties'!$M$42:$M$51,MATCH($F192,'Faculties'!$B$42:$B$51,0))="","Cell will autofill based on response",INDEX('Faculties'!$M$42:$M$51,MATCH($F192,'Faculties'!$B$42:$B$51,0))),"N/A")</f>
        <v/>
      </c>
      <c r="K192" s="52">
        <f>IFERROR(IF(INDEX('Faculties'!$M$58:$M$67,MATCH($F192,'Faculties'!$B$58:$B$67,0))="","Cell will autofill based on response",INDEX('Faculties'!$M$58:$M$67,MATCH($F192,'Faculties'!$B$58:$B$67,0))),"N/A")</f>
        <v/>
      </c>
      <c r="L192" s="52">
        <f>IFERROR(IF(INDEX('CI&amp;S'!$M$10:$M$15,MATCH($F192,'CI&amp;S'!$B$10:$B$15,0))="","Cell will autofill based on response",INDEX('CI&amp;S'!$M$10:$M$15,MATCH($F192,'CI&amp;S'!$B$10:$B$15,0))),"N/A")</f>
        <v/>
      </c>
      <c r="M192" s="52">
        <f>IFERROR(IF(INDEX('CI&amp;S'!$M$22:$M$36,MATCH($F192,'CI&amp;S'!$B$22:$B$36,0))="","Cell will autofill based on response",INDEX('CI&amp;S'!$M$22:$M$36,MATCH($F192,'CI&amp;S'!$B$22:$B$36,0))),"N/A")</f>
        <v/>
      </c>
      <c r="N192" s="52">
        <f>IFERROR(IF(INDEX('CFOG'!$M$10:$M$16,MATCH($F192,'CFOG'!$B$10:$B$16,0))="","Cell will autofill based on response",INDEX('CFOG'!$M$10:$M$16,MATCH($F192,'CFOG'!$B$10:$B$16,0))),"N/A")</f>
        <v/>
      </c>
      <c r="O192" s="52">
        <f>IFERROR(IF(INDEX('CFOG'!$M$23:$M$24,MATCH($F192,'CFOG'!$B$23:$B$24,0))="","Cell will autofill based on response",INDEX('CFOG'!$M$23:$M$24,MATCH($F192,'CFOG'!$B$23:$B$24,0))),"N/A")</f>
        <v/>
      </c>
      <c r="P192" s="52">
        <f>IFERROR(IF(INDEX('ESG'!$M$10:$M$17,MATCH($F192,'ESG'!$B$10:$B$17,0))="","Cell will autofill based on response",INDEX('ESG'!$M$10:$M$17,MATCH($F192,'ESG'!$B$10:$B$17,0))),"N/A")</f>
        <v/>
      </c>
      <c r="Q192" s="52">
        <f>IFERROR(IF(INDEX('CIOG'!$M$10:$M$14,MATCH($F192,'CIOG'!$B$10:$B$14,0))="","Cell will autofill based on response",INDEX('CIOG'!$M$10:$M$14,MATCH($F192,'CIOG'!$B$10:$B$14,0))),"N/A")</f>
        <v/>
      </c>
      <c r="R192" s="52">
        <f>IFERROR(IF(INDEX('MRE'!$M$10:$M$18,MATCH($F192,'MRE'!$B$10:$B$18,0))="","Cell will autofill based on response",INDEX('MRE'!$M$10:$M$18,MATCH($F192,'MRE'!$B$10:$B$18,0))),"N/A")</f>
        <v/>
      </c>
      <c r="S192" s="52">
        <f>IFERROR(IF(INDEX('AC&amp;M'!$M$10:$M$14,MATCH($F192,'AC&amp;M'!$B$10:$B$14,0))="","Cell will autofill based on response",INDEX('AC&amp;M'!$M$10:$M$14,MATCH($F192,'AC&amp;M'!$B$10:$B$14,0))),"N/A")</f>
        <v/>
      </c>
      <c r="T192" s="52">
        <f>IFERROR(IF(INDEX('GCE'!$M$10:$M$12,MATCH($F192,'GCE'!$B$10:$B$12,0))="","Cell will autofill based on response",INDEX('GCE'!$M$10:$M$12,MATCH($F192,'GCE'!$B$10:$B$12,0))),"N/A")</f>
        <v/>
      </c>
      <c r="U192" s="52">
        <f>IFERROR(IF(INDEX('Education'!$M$10:$M$13,MATCH($F192,'Education'!$B$10:$B$13,0))="","Cell will autofill based on response",INDEX('Education'!$M$10:$M$13,MATCH($F192,'Education'!$B$10:$B$13,0))),"N/A")</f>
        <v/>
      </c>
      <c r="V192" s="52">
        <f>IFERROR(IF(INDEX('SaSS'!$M$10:$M$12,MATCH($F192,'SaSS'!$B$10:$B$12,0))="","Cell will autofill based on response",INDEX('SaSS'!$M$10:$M$12,MATCH($F192,'SaSS'!$B$10:$B$12,0))),"N/A")</f>
        <v/>
      </c>
      <c r="W192" s="52">
        <f>IFERROR(IF(INDEX('Indigenous'!$M$10:$M$11,MATCH($F192,'Indigenous'!$B$10:$B$11,0))="","Cell will autofill based on response",INDEX('Indigenous'!$M$10:$M$11,MATCH($F192,'Indigenous'!$B$10:$B$11,0))),"N/A")</f>
        <v/>
      </c>
      <c r="X192" s="52">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EN1(c)</t>
        </is>
      </c>
      <c r="G193" s="8" t="inlineStr">
        <is>
          <t>Supporting information/comments</t>
        </is>
      </c>
      <c r="H193" s="52">
        <f>IFERROR(IF(INDEX('Faculties'!$N$10:$N$19,MATCH($F193,'Faculties'!$B$10:$B$19,0))="","Cell will autofill based on response",INDEX('Faculties'!$N$10:$N$19,MATCH($F193,'Faculties'!$B$10:$B$19,0))),"N/A")</f>
        <v/>
      </c>
      <c r="I193" s="52">
        <f>IFERROR(IF(INDEX('Faculties'!$N$26:$N$35,MATCH($F193,'Faculties'!$B$26:$B$35,0))="","Cell will autofill based on response",INDEX('Faculties'!$N$26:$N$35,MATCH($F193,'Faculties'!$B$26:$B$35,0))),"N/A")</f>
        <v/>
      </c>
      <c r="J193" s="52">
        <f>IFERROR(IF(INDEX('Faculties'!$N$42:$N$51,MATCH($F193,'Faculties'!$B$42:$B$51,0))="","Cell will autofill based on response",INDEX('Faculties'!$N$42:$N$51,MATCH($F193,'Faculties'!$B$42:$B$51,0))),"N/A")</f>
        <v/>
      </c>
      <c r="K193" s="52">
        <f>IFERROR(IF(INDEX('Faculties'!$N$58:$N$67,MATCH($F193,'Faculties'!$B$58:$B$67,0))="","Cell will autofill based on response",INDEX('Faculties'!$N$58:$N$67,MATCH($F193,'Faculties'!$B$58:$B$67,0))),"N/A")</f>
        <v/>
      </c>
      <c r="L193" s="52">
        <f>IFERROR(IF(INDEX('CI&amp;S'!$N$10:$N$15,MATCH($F193,'CI&amp;S'!$B$10:$B$15,0))="","Cell will autofill based on response",INDEX('CI&amp;S'!$N$10:$N$15,MATCH($F193,'CI&amp;S'!$B$10:$B$15,0))),"N/A")</f>
        <v/>
      </c>
      <c r="M193" s="52">
        <f>IFERROR(IF(INDEX('CI&amp;S'!$N$22:$N$36,MATCH($F193,'CI&amp;S'!$B$22:$B$36,0))="","Cell will autofill based on response",INDEX('CI&amp;S'!$N$22:$N$36,MATCH($F193,'CI&amp;S'!$B$22:$B$36,0))),"N/A")</f>
        <v/>
      </c>
      <c r="N193" s="52">
        <f>IFERROR(IF(INDEX('CFOG'!$N$10:$N$16,MATCH($F193,'CFOG'!$B$10:$B$16,0))="","Cell will autofill based on response",INDEX('CFOG'!$N$10:$N$16,MATCH($F193,'CFOG'!$B$10:$B$16,0))),"N/A")</f>
        <v/>
      </c>
      <c r="O193" s="52">
        <f>IFERROR(IF(INDEX('CFOG'!$N$23:$N$24,MATCH($F193,'CFOG'!$B$23:$B$24,0))="","Cell will autofill based on response",INDEX('CFOG'!$N$23:$N$24,MATCH($F193,'CFOG'!$B$23:$B$24,0))),"N/A")</f>
        <v/>
      </c>
      <c r="P193" s="52">
        <f>IFERROR(IF(INDEX('ESG'!$N$10:$N$17,MATCH($F193,'ESG'!$B$10:$B$17,0))="","Cell will autofill based on response",INDEX('ESG'!$N$10:$N$17,MATCH($F193,'ESG'!$B$10:$B$17,0))),"N/A")</f>
        <v/>
      </c>
      <c r="Q193" s="52">
        <f>IFERROR(IF(INDEX('CIOG'!$N$10:$N$14,MATCH($F193,'CIOG'!$B$10:$B$14,0))="","Cell will autofill based on response",INDEX('CIOG'!$N$10:$N$14,MATCH($F193,'CIOG'!$B$10:$B$14,0))),"N/A")</f>
        <v/>
      </c>
      <c r="R193" s="52">
        <f>IFERROR(IF(INDEX('MRE'!$N$10:$N$18,MATCH($F193,'MRE'!$B$10:$B$18,0))="","Cell will autofill based on response",INDEX('MRE'!$N$10:$N$18,MATCH($F193,'MRE'!$B$10:$B$18,0))),"N/A")</f>
        <v/>
      </c>
      <c r="S193" s="52">
        <f>IFERROR(IF(INDEX('AC&amp;M'!$N$10:$N$14,MATCH($F193,'AC&amp;M'!$B$10:$B$14,0))="","Cell will autofill based on response",INDEX('AC&amp;M'!$N$10:$N$14,MATCH($F193,'AC&amp;M'!$B$10:$B$14,0))),"N/A")</f>
        <v/>
      </c>
      <c r="T193" s="52">
        <f>IFERROR(IF(INDEX('GCE'!$N$10:$N$12,MATCH($F193,'GCE'!$B$10:$B$12,0))="","Cell will autofill based on response",INDEX('GCE'!$N$10:$N$12,MATCH($F193,'GCE'!$B$10:$B$12,0))),"N/A")</f>
        <v/>
      </c>
      <c r="U193" s="52">
        <f>IFERROR(IF(INDEX('Education'!$N$10:$N$13,MATCH($F193,'Education'!$B$10:$B$13,0))="","Cell will autofill based on response",INDEX('Education'!$N$10:$N$13,MATCH($F193,'Education'!$B$10:$B$13,0))),"N/A")</f>
        <v/>
      </c>
      <c r="V193" s="52">
        <f>IFERROR(IF(INDEX('SaSS'!$N$10:$N$12,MATCH($F193,'SaSS'!$B$10:$B$12,0))="","Cell will autofill based on response",INDEX('SaSS'!$N$10:$N$12,MATCH($F193,'SaSS'!$B$10:$B$12,0))),"N/A")</f>
        <v/>
      </c>
      <c r="W193" s="52">
        <f>IFERROR(IF(INDEX('Indigenous'!$N$10:$N$11,MATCH($F193,'Indigenous'!$B$10:$B$11,0))="","Cell will autofill based on response",INDEX('Indigenous'!$N$10:$N$11,MATCH($F193,'Indigenous'!$B$10:$B$11,0))),"N/A")</f>
        <v/>
      </c>
      <c r="X193" s="52">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EN1(c)</t>
        </is>
      </c>
      <c r="G194" s="8" t="inlineStr">
        <is>
          <t>Data source and limitations</t>
        </is>
      </c>
      <c r="H194" s="52">
        <f>IFERROR(IF(INDEX('Faculties'!$O$10:$O$19,MATCH($F194,'Faculties'!$B$10:$B$19,0))="","Cell will autofill based on response",INDEX('Faculties'!$O$10:$O$19,MATCH($F194,'Faculties'!$B$10:$B$19,0))),"N/A")</f>
        <v/>
      </c>
      <c r="I194" s="52">
        <f>IFERROR(IF(INDEX('Faculties'!$O$26:$O$35,MATCH($F194,'Faculties'!$B$26:$B$35,0))="","Cell will autofill based on response",INDEX('Faculties'!$O$26:$O$35,MATCH($F194,'Faculties'!$B$26:$B$35,0))),"N/A")</f>
        <v/>
      </c>
      <c r="J194" s="52">
        <f>IFERROR(IF(INDEX('Faculties'!$O$42:$O$51,MATCH($F194,'Faculties'!$B$42:$B$51,0))="","Cell will autofill based on response",INDEX('Faculties'!$O$42:$O$51,MATCH($F194,'Faculties'!$B$42:$B$51,0))),"N/A")</f>
        <v/>
      </c>
      <c r="K194" s="52">
        <f>IFERROR(IF(INDEX('Faculties'!$O$58:$O$67,MATCH($F194,'Faculties'!$B$58:$B$67,0))="","Cell will autofill based on response",INDEX('Faculties'!$O$58:$O$67,MATCH($F194,'Faculties'!$B$58:$B$67,0))),"N/A")</f>
        <v/>
      </c>
      <c r="L194" s="52">
        <f>IFERROR(IF(INDEX('CI&amp;S'!$O$10:$O$15,MATCH($F194,'CI&amp;S'!$B$10:$B$15,0))="","Cell will autofill based on response",INDEX('CI&amp;S'!$O$10:$O$15,MATCH($F194,'CI&amp;S'!$B$10:$B$15,0))),"N/A")</f>
        <v/>
      </c>
      <c r="M194" s="52">
        <f>IFERROR(IF(INDEX('CI&amp;S'!$O$22:$O$36,MATCH($F194,'CI&amp;S'!$B$22:$B$36,0))="","Cell will autofill based on response",INDEX('CI&amp;S'!$O$22:$O$36,MATCH($F194,'CI&amp;S'!$B$22:$B$36,0))),"N/A")</f>
        <v/>
      </c>
      <c r="N194" s="52">
        <f>IFERROR(IF(INDEX('CFOG'!$O$10:$O$16,MATCH($F194,'CFOG'!$B$10:$B$16,0))="","Cell will autofill based on response",INDEX('CFOG'!$O$10:$O$16,MATCH($F194,'CFOG'!$B$10:$B$16,0))),"N/A")</f>
        <v/>
      </c>
      <c r="O194" s="52">
        <f>IFERROR(IF(INDEX('CFOG'!$O$23:$O$24,MATCH($F194,'CFOG'!$B$23:$B$24,0))="","Cell will autofill based on response",INDEX('CFOG'!$O$23:$O$24,MATCH($F194,'CFOG'!$B$23:$B$24,0))),"N/A")</f>
        <v/>
      </c>
      <c r="P194" s="52">
        <f>IFERROR(IF(INDEX('ESG'!$O$10:$O$17,MATCH($F194,'ESG'!$B$10:$B$17,0))="","Cell will autofill based on response",INDEX('ESG'!$O$10:$O$17,MATCH($F194,'ESG'!$B$10:$B$17,0))),"N/A")</f>
        <v/>
      </c>
      <c r="Q194" s="52">
        <f>IFERROR(IF(INDEX('CIOG'!$O$10:$O$14,MATCH($F194,'CIOG'!$B$10:$B$14,0))="","Cell will autofill based on response",INDEX('CIOG'!$O$10:$O$14,MATCH($F194,'CIOG'!$B$10:$B$14,0))),"N/A")</f>
        <v/>
      </c>
      <c r="R194" s="52">
        <f>IFERROR(IF(INDEX('MRE'!$O$10:$O$18,MATCH($F194,'MRE'!$B$10:$B$18,0))="","Cell will autofill based on response",INDEX('MRE'!$O$10:$O$18,MATCH($F194,'MRE'!$B$10:$B$18,0))),"N/A")</f>
        <v/>
      </c>
      <c r="S194" s="52">
        <f>IFERROR(IF(INDEX('AC&amp;M'!$O$10:$O$14,MATCH($F194,'AC&amp;M'!$B$10:$B$14,0))="","Cell will autofill based on response",INDEX('AC&amp;M'!$O$10:$O$14,MATCH($F194,'AC&amp;M'!$B$10:$B$14,0))),"N/A")</f>
        <v/>
      </c>
      <c r="T194" s="52">
        <f>IFERROR(IF(INDEX('GCE'!$O$10:$O$12,MATCH($F194,'GCE'!$B$10:$B$12,0))="","Cell will autofill based on response",INDEX('GCE'!$O$10:$O$12,MATCH($F194,'GCE'!$B$10:$B$12,0))),"N/A")</f>
        <v/>
      </c>
      <c r="U194" s="52">
        <f>IFERROR(IF(INDEX('Education'!$O$10:$O$13,MATCH($F194,'Education'!$B$10:$B$13,0))="","Cell will autofill based on response",INDEX('Education'!$O$10:$O$13,MATCH($F194,'Education'!$B$10:$B$13,0))),"N/A")</f>
        <v/>
      </c>
      <c r="V194" s="52">
        <f>IFERROR(IF(INDEX('SaSS'!$O$10:$O$12,MATCH($F194,'SaSS'!$B$10:$B$12,0))="","Cell will autofill based on response",INDEX('SaSS'!$O$10:$O$12,MATCH($F194,'SaSS'!$B$10:$B$12,0))),"N/A")</f>
        <v/>
      </c>
      <c r="W194" s="52">
        <f>IFERROR(IF(INDEX('Indigenous'!$O$10:$O$11,MATCH($F194,'Indigenous'!$B$10:$B$11,0))="","Cell will autofill based on response",INDEX('Indigenous'!$O$10:$O$11,MATCH($F194,'Indigenous'!$B$10:$B$11,0))),"N/A")</f>
        <v/>
      </c>
      <c r="X194" s="52">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EN1(c)</t>
        </is>
      </c>
      <c r="G195" s="8" t="inlineStr">
        <is>
          <t>Data owner confirms</t>
        </is>
      </c>
      <c r="H195" s="52">
        <f>IFERROR(IF(INDEX('Faculties'!$P$10:$P$19,MATCH($F195,'Faculties'!$B$10:$B$19,0))="","Cell will autofill based on response",INDEX('Faculties'!$P$10:$P$19,MATCH($F195,'Faculties'!$B$10:$B$19,0))),"N/A")</f>
        <v/>
      </c>
      <c r="I195" s="52">
        <f>IFERROR(IF(INDEX('Faculties'!$P$26:$P$35,MATCH($F195,'Faculties'!$B$26:$B$35,0))="","Cell will autofill based on response",INDEX('Faculties'!$P$26:$P$35,MATCH($F195,'Faculties'!$B$26:$B$35,0))),"N/A")</f>
        <v/>
      </c>
      <c r="J195" s="52">
        <f>IFERROR(IF(INDEX('Faculties'!$P$42:$P$51,MATCH($F195,'Faculties'!$B$42:$B$51,0))="","Cell will autofill based on response",INDEX('Faculties'!$P$42:$P$51,MATCH($F195,'Faculties'!$B$42:$B$51,0))),"N/A")</f>
        <v/>
      </c>
      <c r="K195" s="52">
        <f>IFERROR(IF(INDEX('Faculties'!$P$58:$P$67,MATCH($F195,'Faculties'!$B$58:$B$67,0))="","Cell will autofill based on response",INDEX('Faculties'!$P$58:$P$67,MATCH($F195,'Faculties'!$B$58:$B$67,0))),"N/A")</f>
        <v/>
      </c>
      <c r="L195" s="52">
        <f>IFERROR(IF(INDEX('CI&amp;S'!$P$10:$P$15,MATCH($F195,'CI&amp;S'!$B$10:$B$15,0))="","Cell will autofill based on response",INDEX('CI&amp;S'!$P$10:$P$15,MATCH($F195,'CI&amp;S'!$B$10:$B$15,0))),"N/A")</f>
        <v/>
      </c>
      <c r="M195" s="52">
        <f>IFERROR(IF(INDEX('CI&amp;S'!$P$22:$P$36,MATCH($F195,'CI&amp;S'!$B$22:$B$36,0))="","Cell will autofill based on response",INDEX('CI&amp;S'!$P$22:$P$36,MATCH($F195,'CI&amp;S'!$B$22:$B$36,0))),"N/A")</f>
        <v/>
      </c>
      <c r="N195" s="52">
        <f>IFERROR(IF(INDEX('CFOG'!$P$10:$P$16,MATCH($F195,'CFOG'!$B$10:$B$16,0))="","Cell will autofill based on response",INDEX('CFOG'!$P$10:$P$16,MATCH($F195,'CFOG'!$B$10:$B$16,0))),"N/A")</f>
        <v/>
      </c>
      <c r="O195" s="52">
        <f>IFERROR(IF(INDEX('CFOG'!$P$23:$P$24,MATCH($F195,'CFOG'!$B$23:$B$24,0))="","Cell will autofill based on response",INDEX('CFOG'!$P$23:$P$24,MATCH($F195,'CFOG'!$B$23:$B$24,0))),"N/A")</f>
        <v/>
      </c>
      <c r="P195" s="52">
        <f>IFERROR(IF(INDEX('ESG'!$P$10:$P$17,MATCH($F195,'ESG'!$B$10:$B$17,0))="","Cell will autofill based on response",INDEX('ESG'!$P$10:$P$17,MATCH($F195,'ESG'!$B$10:$B$17,0))),"N/A")</f>
        <v/>
      </c>
      <c r="Q195" s="52">
        <f>IFERROR(IF(INDEX('CIOG'!$P$10:$P$14,MATCH($F195,'CIOG'!$B$10:$B$14,0))="","Cell will autofill based on response",INDEX('CIOG'!$P$10:$P$14,MATCH($F195,'CIOG'!$B$10:$B$14,0))),"N/A")</f>
        <v/>
      </c>
      <c r="R195" s="52">
        <f>IFERROR(IF(INDEX('MRE'!$P$10:$P$18,MATCH($F195,'MRE'!$B$10:$B$18,0))="","Cell will autofill based on response",INDEX('MRE'!$P$10:$P$18,MATCH($F195,'MRE'!$B$10:$B$18,0))),"N/A")</f>
        <v/>
      </c>
      <c r="S195" s="52">
        <f>IFERROR(IF(INDEX('AC&amp;M'!$P$10:$P$14,MATCH($F195,'AC&amp;M'!$B$10:$B$14,0))="","Cell will autofill based on response",INDEX('AC&amp;M'!$P$10:$P$14,MATCH($F195,'AC&amp;M'!$B$10:$B$14,0))),"N/A")</f>
        <v/>
      </c>
      <c r="T195" s="52">
        <f>IFERROR(IF(INDEX('GCE'!$P$10:$P$12,MATCH($F195,'GCE'!$B$10:$B$12,0))="","Cell will autofill based on response",INDEX('GCE'!$P$10:$P$12,MATCH($F195,'GCE'!$B$10:$B$12,0))),"N/A")</f>
        <v/>
      </c>
      <c r="U195" s="52">
        <f>IFERROR(IF(INDEX('Education'!$P$10:$P$13,MATCH($F195,'Education'!$B$10:$B$13,0))="","Cell will autofill based on response",INDEX('Education'!$P$10:$P$13,MATCH($F195,'Education'!$B$10:$B$13,0))),"N/A")</f>
        <v/>
      </c>
      <c r="V195" s="52">
        <f>IFERROR(IF(INDEX('SaSS'!$P$10:$P$12,MATCH($F195,'SaSS'!$B$10:$B$12,0))="","Cell will autofill based on response",INDEX('SaSS'!$P$10:$P$12,MATCH($F195,'SaSS'!$B$10:$B$12,0))),"N/A")</f>
        <v/>
      </c>
      <c r="W195" s="52">
        <f>IFERROR(IF(INDEX('Indigenous'!$P$10:$P$11,MATCH($F195,'Indigenous'!$B$10:$B$11,0))="","Cell will autofill based on response",INDEX('Indigenous'!$P$10:$P$11,MATCH($F195,'Indigenous'!$B$10:$B$11,0))),"N/A")</f>
        <v/>
      </c>
      <c r="X195" s="52">
        <f>IFERROR(IF(INDEX('L&amp;R'!$P$10:$P$11,MATCH($F195,'L&amp;R'!$B$10:$B$11,0))="","Cell will autofill based on response",INDEX('L&amp;R'!$P$10:$P$11,MATCH($F195,'L&amp;R'!$B$10:$B$11,0))),"N/A")</f>
        <v/>
      </c>
    </row>
    <row r="196">
      <c r="A196">
        <f>F196&amp;"|"&amp;G196</f>
        <v/>
      </c>
      <c r="B196" s="7" t="inlineStr">
        <is>
          <t>EN1(d)</t>
        </is>
      </c>
      <c r="C196" s="50" t="inlineStr">
        <is>
          <t>Enablers</t>
        </is>
      </c>
      <c r="D196" s="50" t="inlineStr">
        <is>
          <t>Sustainability objectives integrated into governance and decision‑making processes, supported by transparent reporting.</t>
        </is>
      </c>
      <c r="E196" s="50"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96" s="50" t="inlineStr">
        <is>
          <t>EN1(d)</t>
        </is>
      </c>
      <c r="G196" s="50" t="inlineStr">
        <is>
          <t>OPTION 1:  Target-level reporting</t>
        </is>
      </c>
      <c r="H196" s="52">
        <f>IFERROR(IF(INDEX('Faculties'!$L$10:$L$19,MATCH($F196,'Faculties'!$B$10:$B$19,0))="","Cell will autofill based on response",INDEX('Faculties'!$L$10:$L$19,MATCH($F196,'Faculties'!$B$10:$B$19,0))),"N/A")</f>
        <v/>
      </c>
      <c r="I196" s="52">
        <f>IFERROR(IF(INDEX('Faculties'!$L$26:$L$35,MATCH($F196,'Faculties'!$B$26:$B$35,0))="","Cell will autofill based on response",INDEX('Faculties'!$L$26:$L$35,MATCH($F196,'Faculties'!$B$26:$B$35,0))),"N/A")</f>
        <v/>
      </c>
      <c r="J196" s="52">
        <f>IFERROR(IF(INDEX('Faculties'!$L$42:$L$51,MATCH($F196,'Faculties'!$B$42:$B$51,0))="","Cell will autofill based on response",INDEX('Faculties'!$L$42:$L$51,MATCH($F196,'Faculties'!$B$42:$B$51,0))),"N/A")</f>
        <v/>
      </c>
      <c r="K196" s="52">
        <f>IFERROR(IF(INDEX('Faculties'!$L$58:$L$67,MATCH($F196,'Faculties'!$B$58:$B$67,0))="","Cell will autofill based on response",INDEX('Faculties'!$L$58:$L$67,MATCH($F196,'Faculties'!$B$58:$B$67,0))),"N/A")</f>
        <v/>
      </c>
      <c r="L196" s="52">
        <f>IFERROR(IF(INDEX('CI&amp;S'!$L$10:$L$15,MATCH($F196,'CI&amp;S'!$B$10:$B$15,0))="","Cell will autofill based on response",INDEX('CI&amp;S'!$L$10:$L$15,MATCH($F196,'CI&amp;S'!$B$10:$B$15,0))),"N/A")</f>
        <v/>
      </c>
      <c r="M196" s="52">
        <f>IFERROR(IF(INDEX('CI&amp;S'!$L$22:$L$36,MATCH($F196,'CI&amp;S'!$B$22:$B$36,0))="","Cell will autofill based on response",INDEX('CI&amp;S'!$L$22:$L$36,MATCH($F196,'CI&amp;S'!$B$22:$B$36,0))),"N/A")</f>
        <v/>
      </c>
      <c r="N196" s="52">
        <f>IFERROR(IF(INDEX('CFOG'!$L$10:$L$16,MATCH($F196,'CFOG'!$B$10:$B$16,0))="","Cell will autofill based on response",INDEX('CFOG'!$L$10:$L$16,MATCH($F196,'CFOG'!$B$10:$B$16,0))),"N/A")</f>
        <v/>
      </c>
      <c r="O196" s="52">
        <f>IFERROR(IF(INDEX('CFOG'!$L$23:$L$24,MATCH($F196,'CFOG'!$B$23:$B$24,0))="","Cell will autofill based on response",INDEX('CFOG'!$L$23:$L$24,MATCH($F196,'CFOG'!$B$23:$B$24,0))),"N/A")</f>
        <v/>
      </c>
      <c r="P196" s="52">
        <f>IFERROR(IF(INDEX('ESG'!$L$10:$L$17,MATCH($F196,'ESG'!$B$10:$B$17,0))="","Cell will autofill based on response",INDEX('ESG'!$L$10:$L$17,MATCH($F196,'ESG'!$B$10:$B$17,0))),"N/A")</f>
        <v/>
      </c>
      <c r="Q196" s="52">
        <f>IFERROR(IF(INDEX('CIOG'!$L$10:$L$14,MATCH($F196,'CIOG'!$B$10:$B$14,0))="","Cell will autofill based on response",INDEX('CIOG'!$L$10:$L$14,MATCH($F196,'CIOG'!$B$10:$B$14,0))),"N/A")</f>
        <v/>
      </c>
      <c r="R196" s="52">
        <f>IFERROR(IF(INDEX('MRE'!$L$10:$L$18,MATCH($F196,'MRE'!$B$10:$B$18,0))="","Cell will autofill based on response",INDEX('MRE'!$L$10:$L$18,MATCH($F196,'MRE'!$B$10:$B$18,0))),"N/A")</f>
        <v/>
      </c>
      <c r="S196" s="52">
        <f>IFERROR(IF(INDEX('AC&amp;M'!$L$10:$L$14,MATCH($F196,'AC&amp;M'!$B$10:$B$14,0))="","Cell will autofill based on response",INDEX('AC&amp;M'!$L$10:$L$14,MATCH($F196,'AC&amp;M'!$B$10:$B$14,0))),"N/A")</f>
        <v/>
      </c>
      <c r="T196" s="52">
        <f>IFERROR(IF(INDEX('GCE'!$L$10:$L$12,MATCH($F196,'GCE'!$B$10:$B$12,0))="","Cell will autofill based on response",INDEX('GCE'!$L$10:$L$12,MATCH($F196,'GCE'!$B$10:$B$12,0))),"N/A")</f>
        <v/>
      </c>
      <c r="U196" s="52">
        <f>IFERROR(IF(INDEX('Education'!$L$10:$L$13,MATCH($F196,'Education'!$B$10:$B$13,0))="","Cell will autofill based on response",INDEX('Education'!$L$10:$L$13,MATCH($F196,'Education'!$B$10:$B$13,0))),"N/A")</f>
        <v/>
      </c>
      <c r="V196" s="52">
        <f>IFERROR(IF(INDEX('SaSS'!$L$10:$L$12,MATCH($F196,'SaSS'!$B$10:$B$12,0))="","Cell will autofill based on response",INDEX('SaSS'!$L$10:$L$12,MATCH($F196,'SaSS'!$B$10:$B$12,0))),"N/A")</f>
        <v/>
      </c>
      <c r="W196" s="52">
        <f>IFERROR(IF(INDEX('Indigenous'!$L$10:$L$11,MATCH($F196,'Indigenous'!$B$10:$B$11,0))="","Cell will autofill based on response",INDEX('Indigenous'!$L$10:$L$11,MATCH($F196,'Indigenous'!$B$10:$B$11,0))),"N/A")</f>
        <v/>
      </c>
      <c r="X196" s="52">
        <f>IFERROR(IF(INDEX('L&amp;R'!$L$10:$L$11,MATCH($F196,'L&amp;R'!$B$10:$B$11,0))="","Cell will autofill based on response",INDEX('L&amp;R'!$L$10:$L$11,MATCH($F196,'L&amp;R'!$B$10:$B$11,0))),"N/A")</f>
        <v/>
      </c>
      <c r="Z196" s="10">
        <f>SUMPRODUCT(--($H196:$X196&lt;&gt;"N/A"))</f>
        <v/>
      </c>
      <c r="AA196" s="10">
        <f>SUMPRODUCT(--(((($H196:$X196&lt;&gt;"N/A")*($H196:$X196&lt;&gt;"Cell will autofill based on response"))+(($H197:$X197&lt;&gt;"N/A")*($H197:$X197&lt;&gt;"Cell will autofill based on response")))&gt;0))</f>
        <v/>
      </c>
      <c r="AB196" s="10">
        <f>Z196-AA196</f>
        <v/>
      </c>
      <c r="AC196" s="10">
        <f>COUNTIF($H200:$X200,"Yes")</f>
        <v/>
      </c>
    </row>
    <row r="197">
      <c r="A197">
        <f>F197&amp;"|"&amp;G197</f>
        <v/>
      </c>
      <c r="B197" s="13" t="inlineStr"/>
      <c r="C197" s="8" t="inlineStr"/>
      <c r="D197" s="8" t="inlineStr"/>
      <c r="E197" s="8" t="inlineStr"/>
      <c r="F197" s="8" t="inlineStr">
        <is>
          <t>EN1(d)</t>
        </is>
      </c>
      <c r="G197" s="8" t="inlineStr">
        <is>
          <t>OPTION 2:  Indicator level reporting</t>
        </is>
      </c>
      <c r="H197" s="52">
        <f>IFERROR(IF(INDEX('Faculties'!$M$10:$M$19,MATCH($F197,'Faculties'!$B$10:$B$19,0))="","Cell will autofill based on response",INDEX('Faculties'!$M$10:$M$19,MATCH($F197,'Faculties'!$B$10:$B$19,0))),"N/A")</f>
        <v/>
      </c>
      <c r="I197" s="52">
        <f>IFERROR(IF(INDEX('Faculties'!$M$26:$M$35,MATCH($F197,'Faculties'!$B$26:$B$35,0))="","Cell will autofill based on response",INDEX('Faculties'!$M$26:$M$35,MATCH($F197,'Faculties'!$B$26:$B$35,0))),"N/A")</f>
        <v/>
      </c>
      <c r="J197" s="52">
        <f>IFERROR(IF(INDEX('Faculties'!$M$42:$M$51,MATCH($F197,'Faculties'!$B$42:$B$51,0))="","Cell will autofill based on response",INDEX('Faculties'!$M$42:$M$51,MATCH($F197,'Faculties'!$B$42:$B$51,0))),"N/A")</f>
        <v/>
      </c>
      <c r="K197" s="52">
        <f>IFERROR(IF(INDEX('Faculties'!$M$58:$M$67,MATCH($F197,'Faculties'!$B$58:$B$67,0))="","Cell will autofill based on response",INDEX('Faculties'!$M$58:$M$67,MATCH($F197,'Faculties'!$B$58:$B$67,0))),"N/A")</f>
        <v/>
      </c>
      <c r="L197" s="52">
        <f>IFERROR(IF(INDEX('CI&amp;S'!$M$10:$M$15,MATCH($F197,'CI&amp;S'!$B$10:$B$15,0))="","Cell will autofill based on response",INDEX('CI&amp;S'!$M$10:$M$15,MATCH($F197,'CI&amp;S'!$B$10:$B$15,0))),"N/A")</f>
        <v/>
      </c>
      <c r="M197" s="52">
        <f>IFERROR(IF(INDEX('CI&amp;S'!$M$22:$M$36,MATCH($F197,'CI&amp;S'!$B$22:$B$36,0))="","Cell will autofill based on response",INDEX('CI&amp;S'!$M$22:$M$36,MATCH($F197,'CI&amp;S'!$B$22:$B$36,0))),"N/A")</f>
        <v/>
      </c>
      <c r="N197" s="52">
        <f>IFERROR(IF(INDEX('CFOG'!$M$10:$M$16,MATCH($F197,'CFOG'!$B$10:$B$16,0))="","Cell will autofill based on response",INDEX('CFOG'!$M$10:$M$16,MATCH($F197,'CFOG'!$B$10:$B$16,0))),"N/A")</f>
        <v/>
      </c>
      <c r="O197" s="52">
        <f>IFERROR(IF(INDEX('CFOG'!$M$23:$M$24,MATCH($F197,'CFOG'!$B$23:$B$24,0))="","Cell will autofill based on response",INDEX('CFOG'!$M$23:$M$24,MATCH($F197,'CFOG'!$B$23:$B$24,0))),"N/A")</f>
        <v/>
      </c>
      <c r="P197" s="52">
        <f>IFERROR(IF(INDEX('ESG'!$M$10:$M$17,MATCH($F197,'ESG'!$B$10:$B$17,0))="","Cell will autofill based on response",INDEX('ESG'!$M$10:$M$17,MATCH($F197,'ESG'!$B$10:$B$17,0))),"N/A")</f>
        <v/>
      </c>
      <c r="Q197" s="52">
        <f>IFERROR(IF(INDEX('CIOG'!$M$10:$M$14,MATCH($F197,'CIOG'!$B$10:$B$14,0))="","Cell will autofill based on response",INDEX('CIOG'!$M$10:$M$14,MATCH($F197,'CIOG'!$B$10:$B$14,0))),"N/A")</f>
        <v/>
      </c>
      <c r="R197" s="52">
        <f>IFERROR(IF(INDEX('MRE'!$M$10:$M$18,MATCH($F197,'MRE'!$B$10:$B$18,0))="","Cell will autofill based on response",INDEX('MRE'!$M$10:$M$18,MATCH($F197,'MRE'!$B$10:$B$18,0))),"N/A")</f>
        <v/>
      </c>
      <c r="S197" s="52">
        <f>IFERROR(IF(INDEX('AC&amp;M'!$M$10:$M$14,MATCH($F197,'AC&amp;M'!$B$10:$B$14,0))="","Cell will autofill based on response",INDEX('AC&amp;M'!$M$10:$M$14,MATCH($F197,'AC&amp;M'!$B$10:$B$14,0))),"N/A")</f>
        <v/>
      </c>
      <c r="T197" s="52">
        <f>IFERROR(IF(INDEX('GCE'!$M$10:$M$12,MATCH($F197,'GCE'!$B$10:$B$12,0))="","Cell will autofill based on response",INDEX('GCE'!$M$10:$M$12,MATCH($F197,'GCE'!$B$10:$B$12,0))),"N/A")</f>
        <v/>
      </c>
      <c r="U197" s="52">
        <f>IFERROR(IF(INDEX('Education'!$M$10:$M$13,MATCH($F197,'Education'!$B$10:$B$13,0))="","Cell will autofill based on response",INDEX('Education'!$M$10:$M$13,MATCH($F197,'Education'!$B$10:$B$13,0))),"N/A")</f>
        <v/>
      </c>
      <c r="V197" s="52">
        <f>IFERROR(IF(INDEX('SaSS'!$M$10:$M$12,MATCH($F197,'SaSS'!$B$10:$B$12,0))="","Cell will autofill based on response",INDEX('SaSS'!$M$10:$M$12,MATCH($F197,'SaSS'!$B$10:$B$12,0))),"N/A")</f>
        <v/>
      </c>
      <c r="W197" s="52">
        <f>IFERROR(IF(INDEX('Indigenous'!$M$10:$M$11,MATCH($F197,'Indigenous'!$B$10:$B$11,0))="","Cell will autofill based on response",INDEX('Indigenous'!$M$10:$M$11,MATCH($F197,'Indigenous'!$B$10:$B$11,0))),"N/A")</f>
        <v/>
      </c>
      <c r="X197" s="52">
        <f>IFERROR(IF(INDEX('L&amp;R'!$M$10:$M$11,MATCH($F197,'L&amp;R'!$B$10:$B$11,0))="","Cell will autofill based on response",INDEX('L&amp;R'!$M$10:$M$11,MATCH($F197,'L&amp;R'!$B$10:$B$11,0))),"N/A")</f>
        <v/>
      </c>
    </row>
    <row r="198">
      <c r="A198">
        <f>F198&amp;"|"&amp;G198</f>
        <v/>
      </c>
      <c r="B198" s="13" t="inlineStr"/>
      <c r="C198" s="8" t="inlineStr"/>
      <c r="D198" s="8" t="inlineStr"/>
      <c r="E198" s="8" t="inlineStr"/>
      <c r="F198" s="8" t="inlineStr">
        <is>
          <t>EN1(d)</t>
        </is>
      </c>
      <c r="G198" s="8" t="inlineStr">
        <is>
          <t>Supporting information/comments</t>
        </is>
      </c>
      <c r="H198" s="52">
        <f>IFERROR(IF(INDEX('Faculties'!$N$10:$N$19,MATCH($F198,'Faculties'!$B$10:$B$19,0))="","Cell will autofill based on response",INDEX('Faculties'!$N$10:$N$19,MATCH($F198,'Faculties'!$B$10:$B$19,0))),"N/A")</f>
        <v/>
      </c>
      <c r="I198" s="52">
        <f>IFERROR(IF(INDEX('Faculties'!$N$26:$N$35,MATCH($F198,'Faculties'!$B$26:$B$35,0))="","Cell will autofill based on response",INDEX('Faculties'!$N$26:$N$35,MATCH($F198,'Faculties'!$B$26:$B$35,0))),"N/A")</f>
        <v/>
      </c>
      <c r="J198" s="52">
        <f>IFERROR(IF(INDEX('Faculties'!$N$42:$N$51,MATCH($F198,'Faculties'!$B$42:$B$51,0))="","Cell will autofill based on response",INDEX('Faculties'!$N$42:$N$51,MATCH($F198,'Faculties'!$B$42:$B$51,0))),"N/A")</f>
        <v/>
      </c>
      <c r="K198" s="52">
        <f>IFERROR(IF(INDEX('Faculties'!$N$58:$N$67,MATCH($F198,'Faculties'!$B$58:$B$67,0))="","Cell will autofill based on response",INDEX('Faculties'!$N$58:$N$67,MATCH($F198,'Faculties'!$B$58:$B$67,0))),"N/A")</f>
        <v/>
      </c>
      <c r="L198" s="52">
        <f>IFERROR(IF(INDEX('CI&amp;S'!$N$10:$N$15,MATCH($F198,'CI&amp;S'!$B$10:$B$15,0))="","Cell will autofill based on response",INDEX('CI&amp;S'!$N$10:$N$15,MATCH($F198,'CI&amp;S'!$B$10:$B$15,0))),"N/A")</f>
        <v/>
      </c>
      <c r="M198" s="52">
        <f>IFERROR(IF(INDEX('CI&amp;S'!$N$22:$N$36,MATCH($F198,'CI&amp;S'!$B$22:$B$36,0))="","Cell will autofill based on response",INDEX('CI&amp;S'!$N$22:$N$36,MATCH($F198,'CI&amp;S'!$B$22:$B$36,0))),"N/A")</f>
        <v/>
      </c>
      <c r="N198" s="52">
        <f>IFERROR(IF(INDEX('CFOG'!$N$10:$N$16,MATCH($F198,'CFOG'!$B$10:$B$16,0))="","Cell will autofill based on response",INDEX('CFOG'!$N$10:$N$16,MATCH($F198,'CFOG'!$B$10:$B$16,0))),"N/A")</f>
        <v/>
      </c>
      <c r="O198" s="52">
        <f>IFERROR(IF(INDEX('CFOG'!$N$23:$N$24,MATCH($F198,'CFOG'!$B$23:$B$24,0))="","Cell will autofill based on response",INDEX('CFOG'!$N$23:$N$24,MATCH($F198,'CFOG'!$B$23:$B$24,0))),"N/A")</f>
        <v/>
      </c>
      <c r="P198" s="52">
        <f>IFERROR(IF(INDEX('ESG'!$N$10:$N$17,MATCH($F198,'ESG'!$B$10:$B$17,0))="","Cell will autofill based on response",INDEX('ESG'!$N$10:$N$17,MATCH($F198,'ESG'!$B$10:$B$17,0))),"N/A")</f>
        <v/>
      </c>
      <c r="Q198" s="52">
        <f>IFERROR(IF(INDEX('CIOG'!$N$10:$N$14,MATCH($F198,'CIOG'!$B$10:$B$14,0))="","Cell will autofill based on response",INDEX('CIOG'!$N$10:$N$14,MATCH($F198,'CIOG'!$B$10:$B$14,0))),"N/A")</f>
        <v/>
      </c>
      <c r="R198" s="52">
        <f>IFERROR(IF(INDEX('MRE'!$N$10:$N$18,MATCH($F198,'MRE'!$B$10:$B$18,0))="","Cell will autofill based on response",INDEX('MRE'!$N$10:$N$18,MATCH($F198,'MRE'!$B$10:$B$18,0))),"N/A")</f>
        <v/>
      </c>
      <c r="S198" s="52">
        <f>IFERROR(IF(INDEX('AC&amp;M'!$N$10:$N$14,MATCH($F198,'AC&amp;M'!$B$10:$B$14,0))="","Cell will autofill based on response",INDEX('AC&amp;M'!$N$10:$N$14,MATCH($F198,'AC&amp;M'!$B$10:$B$14,0))),"N/A")</f>
        <v/>
      </c>
      <c r="T198" s="52">
        <f>IFERROR(IF(INDEX('GCE'!$N$10:$N$12,MATCH($F198,'GCE'!$B$10:$B$12,0))="","Cell will autofill based on response",INDEX('GCE'!$N$10:$N$12,MATCH($F198,'GCE'!$B$10:$B$12,0))),"N/A")</f>
        <v/>
      </c>
      <c r="U198" s="52">
        <f>IFERROR(IF(INDEX('Education'!$N$10:$N$13,MATCH($F198,'Education'!$B$10:$B$13,0))="","Cell will autofill based on response",INDEX('Education'!$N$10:$N$13,MATCH($F198,'Education'!$B$10:$B$13,0))),"N/A")</f>
        <v/>
      </c>
      <c r="V198" s="52">
        <f>IFERROR(IF(INDEX('SaSS'!$N$10:$N$12,MATCH($F198,'SaSS'!$B$10:$B$12,0))="","Cell will autofill based on response",INDEX('SaSS'!$N$10:$N$12,MATCH($F198,'SaSS'!$B$10:$B$12,0))),"N/A")</f>
        <v/>
      </c>
      <c r="W198" s="52">
        <f>IFERROR(IF(INDEX('Indigenous'!$N$10:$N$11,MATCH($F198,'Indigenous'!$B$10:$B$11,0))="","Cell will autofill based on response",INDEX('Indigenous'!$N$10:$N$11,MATCH($F198,'Indigenous'!$B$10:$B$11,0))),"N/A")</f>
        <v/>
      </c>
      <c r="X198" s="52">
        <f>IFERROR(IF(INDEX('L&amp;R'!$N$10:$N$11,MATCH($F198,'L&amp;R'!$B$10:$B$11,0))="","Cell will autofill based on response",INDEX('L&amp;R'!$N$10:$N$11,MATCH($F198,'L&amp;R'!$B$10:$B$11,0))),"N/A")</f>
        <v/>
      </c>
    </row>
    <row r="199">
      <c r="A199">
        <f>F199&amp;"|"&amp;G199</f>
        <v/>
      </c>
      <c r="B199" s="13" t="inlineStr"/>
      <c r="C199" s="8" t="inlineStr"/>
      <c r="D199" s="8" t="inlineStr"/>
      <c r="E199" s="8" t="inlineStr"/>
      <c r="F199" s="8" t="inlineStr">
        <is>
          <t>EN1(d)</t>
        </is>
      </c>
      <c r="G199" s="8" t="inlineStr">
        <is>
          <t>Data source and limitations</t>
        </is>
      </c>
      <c r="H199" s="52">
        <f>IFERROR(IF(INDEX('Faculties'!$O$10:$O$19,MATCH($F199,'Faculties'!$B$10:$B$19,0))="","Cell will autofill based on response",INDEX('Faculties'!$O$10:$O$19,MATCH($F199,'Faculties'!$B$10:$B$19,0))),"N/A")</f>
        <v/>
      </c>
      <c r="I199" s="52">
        <f>IFERROR(IF(INDEX('Faculties'!$O$26:$O$35,MATCH($F199,'Faculties'!$B$26:$B$35,0))="","Cell will autofill based on response",INDEX('Faculties'!$O$26:$O$35,MATCH($F199,'Faculties'!$B$26:$B$35,0))),"N/A")</f>
        <v/>
      </c>
      <c r="J199" s="52">
        <f>IFERROR(IF(INDEX('Faculties'!$O$42:$O$51,MATCH($F199,'Faculties'!$B$42:$B$51,0))="","Cell will autofill based on response",INDEX('Faculties'!$O$42:$O$51,MATCH($F199,'Faculties'!$B$42:$B$51,0))),"N/A")</f>
        <v/>
      </c>
      <c r="K199" s="52">
        <f>IFERROR(IF(INDEX('Faculties'!$O$58:$O$67,MATCH($F199,'Faculties'!$B$58:$B$67,0))="","Cell will autofill based on response",INDEX('Faculties'!$O$58:$O$67,MATCH($F199,'Faculties'!$B$58:$B$67,0))),"N/A")</f>
        <v/>
      </c>
      <c r="L199" s="52">
        <f>IFERROR(IF(INDEX('CI&amp;S'!$O$10:$O$15,MATCH($F199,'CI&amp;S'!$B$10:$B$15,0))="","Cell will autofill based on response",INDEX('CI&amp;S'!$O$10:$O$15,MATCH($F199,'CI&amp;S'!$B$10:$B$15,0))),"N/A")</f>
        <v/>
      </c>
      <c r="M199" s="52">
        <f>IFERROR(IF(INDEX('CI&amp;S'!$O$22:$O$36,MATCH($F199,'CI&amp;S'!$B$22:$B$36,0))="","Cell will autofill based on response",INDEX('CI&amp;S'!$O$22:$O$36,MATCH($F199,'CI&amp;S'!$B$22:$B$36,0))),"N/A")</f>
        <v/>
      </c>
      <c r="N199" s="52">
        <f>IFERROR(IF(INDEX('CFOG'!$O$10:$O$16,MATCH($F199,'CFOG'!$B$10:$B$16,0))="","Cell will autofill based on response",INDEX('CFOG'!$O$10:$O$16,MATCH($F199,'CFOG'!$B$10:$B$16,0))),"N/A")</f>
        <v/>
      </c>
      <c r="O199" s="52">
        <f>IFERROR(IF(INDEX('CFOG'!$O$23:$O$24,MATCH($F199,'CFOG'!$B$23:$B$24,0))="","Cell will autofill based on response",INDEX('CFOG'!$O$23:$O$24,MATCH($F199,'CFOG'!$B$23:$B$24,0))),"N/A")</f>
        <v/>
      </c>
      <c r="P199" s="52">
        <f>IFERROR(IF(INDEX('ESG'!$O$10:$O$17,MATCH($F199,'ESG'!$B$10:$B$17,0))="","Cell will autofill based on response",INDEX('ESG'!$O$10:$O$17,MATCH($F199,'ESG'!$B$10:$B$17,0))),"N/A")</f>
        <v/>
      </c>
      <c r="Q199" s="52">
        <f>IFERROR(IF(INDEX('CIOG'!$O$10:$O$14,MATCH($F199,'CIOG'!$B$10:$B$14,0))="","Cell will autofill based on response",INDEX('CIOG'!$O$10:$O$14,MATCH($F199,'CIOG'!$B$10:$B$14,0))),"N/A")</f>
        <v/>
      </c>
      <c r="R199" s="52">
        <f>IFERROR(IF(INDEX('MRE'!$O$10:$O$18,MATCH($F199,'MRE'!$B$10:$B$18,0))="","Cell will autofill based on response",INDEX('MRE'!$O$10:$O$18,MATCH($F199,'MRE'!$B$10:$B$18,0))),"N/A")</f>
        <v/>
      </c>
      <c r="S199" s="52">
        <f>IFERROR(IF(INDEX('AC&amp;M'!$O$10:$O$14,MATCH($F199,'AC&amp;M'!$B$10:$B$14,0))="","Cell will autofill based on response",INDEX('AC&amp;M'!$O$10:$O$14,MATCH($F199,'AC&amp;M'!$B$10:$B$14,0))),"N/A")</f>
        <v/>
      </c>
      <c r="T199" s="52">
        <f>IFERROR(IF(INDEX('GCE'!$O$10:$O$12,MATCH($F199,'GCE'!$B$10:$B$12,0))="","Cell will autofill based on response",INDEX('GCE'!$O$10:$O$12,MATCH($F199,'GCE'!$B$10:$B$12,0))),"N/A")</f>
        <v/>
      </c>
      <c r="U199" s="52">
        <f>IFERROR(IF(INDEX('Education'!$O$10:$O$13,MATCH($F199,'Education'!$B$10:$B$13,0))="","Cell will autofill based on response",INDEX('Education'!$O$10:$O$13,MATCH($F199,'Education'!$B$10:$B$13,0))),"N/A")</f>
        <v/>
      </c>
      <c r="V199" s="52">
        <f>IFERROR(IF(INDEX('SaSS'!$O$10:$O$12,MATCH($F199,'SaSS'!$B$10:$B$12,0))="","Cell will autofill based on response",INDEX('SaSS'!$O$10:$O$12,MATCH($F199,'SaSS'!$B$10:$B$12,0))),"N/A")</f>
        <v/>
      </c>
      <c r="W199" s="52">
        <f>IFERROR(IF(INDEX('Indigenous'!$O$10:$O$11,MATCH($F199,'Indigenous'!$B$10:$B$11,0))="","Cell will autofill based on response",INDEX('Indigenous'!$O$10:$O$11,MATCH($F199,'Indigenous'!$B$10:$B$11,0))),"N/A")</f>
        <v/>
      </c>
      <c r="X199" s="52">
        <f>IFERROR(IF(INDEX('L&amp;R'!$O$10:$O$11,MATCH($F199,'L&amp;R'!$B$10:$B$11,0))="","Cell will autofill based on response",INDEX('L&amp;R'!$O$10:$O$11,MATCH($F199,'L&amp;R'!$B$10:$B$11,0))),"N/A")</f>
        <v/>
      </c>
    </row>
    <row r="200">
      <c r="A200">
        <f>F200&amp;"|"&amp;G200</f>
        <v/>
      </c>
      <c r="B200" s="13" t="inlineStr"/>
      <c r="C200" s="8" t="inlineStr"/>
      <c r="D200" s="8" t="inlineStr"/>
      <c r="E200" s="8" t="inlineStr"/>
      <c r="F200" s="8" t="inlineStr">
        <is>
          <t>EN1(d)</t>
        </is>
      </c>
      <c r="G200" s="8" t="inlineStr">
        <is>
          <t>Data owner confirms</t>
        </is>
      </c>
      <c r="H200" s="52">
        <f>IFERROR(IF(INDEX('Faculties'!$P$10:$P$19,MATCH($F200,'Faculties'!$B$10:$B$19,0))="","Cell will autofill based on response",INDEX('Faculties'!$P$10:$P$19,MATCH($F200,'Faculties'!$B$10:$B$19,0))),"N/A")</f>
        <v/>
      </c>
      <c r="I200" s="52">
        <f>IFERROR(IF(INDEX('Faculties'!$P$26:$P$35,MATCH($F200,'Faculties'!$B$26:$B$35,0))="","Cell will autofill based on response",INDEX('Faculties'!$P$26:$P$35,MATCH($F200,'Faculties'!$B$26:$B$35,0))),"N/A")</f>
        <v/>
      </c>
      <c r="J200" s="52">
        <f>IFERROR(IF(INDEX('Faculties'!$P$42:$P$51,MATCH($F200,'Faculties'!$B$42:$B$51,0))="","Cell will autofill based on response",INDEX('Faculties'!$P$42:$P$51,MATCH($F200,'Faculties'!$B$42:$B$51,0))),"N/A")</f>
        <v/>
      </c>
      <c r="K200" s="52">
        <f>IFERROR(IF(INDEX('Faculties'!$P$58:$P$67,MATCH($F200,'Faculties'!$B$58:$B$67,0))="","Cell will autofill based on response",INDEX('Faculties'!$P$58:$P$67,MATCH($F200,'Faculties'!$B$58:$B$67,0))),"N/A")</f>
        <v/>
      </c>
      <c r="L200" s="52">
        <f>IFERROR(IF(INDEX('CI&amp;S'!$P$10:$P$15,MATCH($F200,'CI&amp;S'!$B$10:$B$15,0))="","Cell will autofill based on response",INDEX('CI&amp;S'!$P$10:$P$15,MATCH($F200,'CI&amp;S'!$B$10:$B$15,0))),"N/A")</f>
        <v/>
      </c>
      <c r="M200" s="52">
        <f>IFERROR(IF(INDEX('CI&amp;S'!$P$22:$P$36,MATCH($F200,'CI&amp;S'!$B$22:$B$36,0))="","Cell will autofill based on response",INDEX('CI&amp;S'!$P$22:$P$36,MATCH($F200,'CI&amp;S'!$B$22:$B$36,0))),"N/A")</f>
        <v/>
      </c>
      <c r="N200" s="52">
        <f>IFERROR(IF(INDEX('CFOG'!$P$10:$P$16,MATCH($F200,'CFOG'!$B$10:$B$16,0))="","Cell will autofill based on response",INDEX('CFOG'!$P$10:$P$16,MATCH($F200,'CFOG'!$B$10:$B$16,0))),"N/A")</f>
        <v/>
      </c>
      <c r="O200" s="52">
        <f>IFERROR(IF(INDEX('CFOG'!$P$23:$P$24,MATCH($F200,'CFOG'!$B$23:$B$24,0))="","Cell will autofill based on response",INDEX('CFOG'!$P$23:$P$24,MATCH($F200,'CFOG'!$B$23:$B$24,0))),"N/A")</f>
        <v/>
      </c>
      <c r="P200" s="52">
        <f>IFERROR(IF(INDEX('ESG'!$P$10:$P$17,MATCH($F200,'ESG'!$B$10:$B$17,0))="","Cell will autofill based on response",INDEX('ESG'!$P$10:$P$17,MATCH($F200,'ESG'!$B$10:$B$17,0))),"N/A")</f>
        <v/>
      </c>
      <c r="Q200" s="52">
        <f>IFERROR(IF(INDEX('CIOG'!$P$10:$P$14,MATCH($F200,'CIOG'!$B$10:$B$14,0))="","Cell will autofill based on response",INDEX('CIOG'!$P$10:$P$14,MATCH($F200,'CIOG'!$B$10:$B$14,0))),"N/A")</f>
        <v/>
      </c>
      <c r="R200" s="52">
        <f>IFERROR(IF(INDEX('MRE'!$P$10:$P$18,MATCH($F200,'MRE'!$B$10:$B$18,0))="","Cell will autofill based on response",INDEX('MRE'!$P$10:$P$18,MATCH($F200,'MRE'!$B$10:$B$18,0))),"N/A")</f>
        <v/>
      </c>
      <c r="S200" s="52">
        <f>IFERROR(IF(INDEX('AC&amp;M'!$P$10:$P$14,MATCH($F200,'AC&amp;M'!$B$10:$B$14,0))="","Cell will autofill based on response",INDEX('AC&amp;M'!$P$10:$P$14,MATCH($F200,'AC&amp;M'!$B$10:$B$14,0))),"N/A")</f>
        <v/>
      </c>
      <c r="T200" s="52">
        <f>IFERROR(IF(INDEX('GCE'!$P$10:$P$12,MATCH($F200,'GCE'!$B$10:$B$12,0))="","Cell will autofill based on response",INDEX('GCE'!$P$10:$P$12,MATCH($F200,'GCE'!$B$10:$B$12,0))),"N/A")</f>
        <v/>
      </c>
      <c r="U200" s="52">
        <f>IFERROR(IF(INDEX('Education'!$P$10:$P$13,MATCH($F200,'Education'!$B$10:$B$13,0))="","Cell will autofill based on response",INDEX('Education'!$P$10:$P$13,MATCH($F200,'Education'!$B$10:$B$13,0))),"N/A")</f>
        <v/>
      </c>
      <c r="V200" s="52">
        <f>IFERROR(IF(INDEX('SaSS'!$P$10:$P$12,MATCH($F200,'SaSS'!$B$10:$B$12,0))="","Cell will autofill based on response",INDEX('SaSS'!$P$10:$P$12,MATCH($F200,'SaSS'!$B$10:$B$12,0))),"N/A")</f>
        <v/>
      </c>
      <c r="W200" s="52">
        <f>IFERROR(IF(INDEX('Indigenous'!$P$10:$P$11,MATCH($F200,'Indigenous'!$B$10:$B$11,0))="","Cell will autofill based on response",INDEX('Indigenous'!$P$10:$P$11,MATCH($F200,'Indigenous'!$B$10:$B$11,0))),"N/A")</f>
        <v/>
      </c>
      <c r="X200" s="52">
        <f>IFERROR(IF(INDEX('L&amp;R'!$P$10:$P$11,MATCH($F200,'L&amp;R'!$B$10:$B$11,0))="","Cell will autofill based on response",INDEX('L&amp;R'!$P$10:$P$11,MATCH($F200,'L&amp;R'!$B$10:$B$11,0))),"N/A")</f>
        <v/>
      </c>
    </row>
  </sheetData>
  <autoFilter ref="B10:AC200"/>
  <mergeCells count="1">
    <mergeCell ref="D4:N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272"/>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c r="A1" s="1" t="inlineStr">
        <is>
          <t>↑</t>
        </is>
      </c>
      <c r="B1" s="2" t="inlineStr">
        <is>
          <t>SR26 sustainability reporting</t>
        </is>
      </c>
    </row>
    <row r="2">
      <c r="B2" s="3" t="inlineStr">
        <is>
          <t>T1. Manual target review</t>
        </is>
      </c>
    </row>
    <row r="4" ht="30" customHeight="1">
      <c r="C4" s="32"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Unit 9</t>
        </is>
      </c>
      <c r="N7" s="6" t="inlineStr">
        <is>
          <t>Unit 10</t>
        </is>
      </c>
      <c r="O7" s="6" t="inlineStr">
        <is>
          <t>Unit 11</t>
        </is>
      </c>
      <c r="P7" s="6" t="inlineStr">
        <is>
          <t>Responses received</t>
        </is>
      </c>
      <c r="Q7" s="6" t="inlineStr">
        <is>
          <t>Owner confirmed</t>
        </is>
      </c>
      <c r="R7" s="6" t="inlineStr">
        <is>
          <t>Reviewer notes</t>
        </is>
      </c>
    </row>
    <row r="8">
      <c r="B8" s="7" t="inlineStr">
        <is>
          <t>EE1(a)</t>
        </is>
      </c>
      <c r="C8" s="50" t="inlineStr">
        <is>
          <t>Evidence of innovative approaches to sustainability teaching and learning</t>
        </is>
      </c>
      <c r="D8" s="53" t="inlineStr">
        <is>
          <t>Unit</t>
        </is>
      </c>
      <c r="E8" s="53" t="inlineStr">
        <is>
          <t>ABP</t>
        </is>
      </c>
      <c r="F8" s="53" t="inlineStr">
        <is>
          <t>ARTS</t>
        </is>
      </c>
      <c r="G8" s="53" t="inlineStr">
        <is>
          <t>FBE</t>
        </is>
      </c>
      <c r="H8" s="53" t="inlineStr">
        <is>
          <t>SCI</t>
        </is>
      </c>
      <c r="I8" s="53" t="inlineStr">
        <is>
          <t>CI&amp;S – Sustainability Strategy</t>
        </is>
      </c>
      <c r="J8" s="53" t="inlineStr">
        <is>
          <t>Education – Chancellery Education</t>
        </is>
      </c>
      <c r="P8" s="54">
        <f>'A1. Response summary'!AA11</f>
        <v/>
      </c>
      <c r="Q8" s="54">
        <f>'A1. Response summary'!AC11</f>
        <v/>
      </c>
      <c r="R8" s="8" t="n"/>
    </row>
    <row r="9" ht="18" customHeight="1">
      <c r="B9" s="55" t="inlineStr">
        <is>
          <t>EE1(a)</t>
        </is>
      </c>
      <c r="D9" s="13" t="inlineStr">
        <is>
          <t>OPTION 1:  Target-level reporting</t>
        </is>
      </c>
      <c r="E9" s="56">
        <f>'A1. Response summary'!H11</f>
        <v/>
      </c>
      <c r="F9" s="56">
        <f>'A1. Response summary'!I11</f>
        <v/>
      </c>
      <c r="G9" s="56">
        <f>'A1. Response summary'!J11</f>
        <v/>
      </c>
      <c r="H9" s="56">
        <f>'A1. Response summary'!K11</f>
        <v/>
      </c>
      <c r="I9" s="56">
        <f>'A1. Response summary'!M11</f>
        <v/>
      </c>
      <c r="J9" s="56">
        <f>'A1. Response summary'!U11</f>
        <v/>
      </c>
      <c r="R9" s="57" t="n"/>
    </row>
    <row r="10" ht="60" customHeight="1">
      <c r="B10" s="55" t="inlineStr">
        <is>
          <t>EE1(a)</t>
        </is>
      </c>
      <c r="D10" s="13" t="inlineStr">
        <is>
          <t>OPTION 2:  Indicator level reporting</t>
        </is>
      </c>
      <c r="E10" s="56">
        <f>'A1. Response summary'!H12</f>
        <v/>
      </c>
      <c r="F10" s="56">
        <f>'A1. Response summary'!I12</f>
        <v/>
      </c>
      <c r="G10" s="56">
        <f>'A1. Response summary'!J12</f>
        <v/>
      </c>
      <c r="H10" s="56">
        <f>'A1. Response summary'!K12</f>
        <v/>
      </c>
      <c r="I10" s="56">
        <f>'A1. Response summary'!M12</f>
        <v/>
      </c>
      <c r="J10" s="56">
        <f>'A1. Response summary'!U12</f>
        <v/>
      </c>
      <c r="R10" s="57" t="n"/>
    </row>
    <row r="11" ht="60" customHeight="1">
      <c r="B11" s="55" t="inlineStr">
        <is>
          <t>EE1(a)</t>
        </is>
      </c>
      <c r="D11" s="13" t="inlineStr">
        <is>
          <t>Supporting information/comments</t>
        </is>
      </c>
      <c r="E11" s="56">
        <f>'A1. Response summary'!H13</f>
        <v/>
      </c>
      <c r="F11" s="56">
        <f>'A1. Response summary'!I13</f>
        <v/>
      </c>
      <c r="G11" s="56">
        <f>'A1. Response summary'!J13</f>
        <v/>
      </c>
      <c r="H11" s="56">
        <f>'A1. Response summary'!K13</f>
        <v/>
      </c>
      <c r="I11" s="56">
        <f>'A1. Response summary'!M13</f>
        <v/>
      </c>
      <c r="J11" s="56">
        <f>'A1. Response summary'!U13</f>
        <v/>
      </c>
      <c r="R11" s="57" t="n"/>
    </row>
    <row r="12" ht="18" customHeight="1">
      <c r="B12" s="55" t="inlineStr">
        <is>
          <t>EE1(a)</t>
        </is>
      </c>
      <c r="D12" s="13" t="inlineStr">
        <is>
          <t>Data source and limitations</t>
        </is>
      </c>
      <c r="E12" s="56">
        <f>'A1. Response summary'!H14</f>
        <v/>
      </c>
      <c r="F12" s="56">
        <f>'A1. Response summary'!I14</f>
        <v/>
      </c>
      <c r="G12" s="56">
        <f>'A1. Response summary'!J14</f>
        <v/>
      </c>
      <c r="H12" s="56">
        <f>'A1. Response summary'!K14</f>
        <v/>
      </c>
      <c r="I12" s="56">
        <f>'A1. Response summary'!M14</f>
        <v/>
      </c>
      <c r="J12" s="56">
        <f>'A1. Response summary'!U14</f>
        <v/>
      </c>
      <c r="R12" s="57" t="n"/>
    </row>
    <row r="13" ht="18" customHeight="1">
      <c r="B13" s="55" t="inlineStr">
        <is>
          <t>EE1(a)</t>
        </is>
      </c>
      <c r="D13" s="13" t="inlineStr">
        <is>
          <t>Data owner confirms</t>
        </is>
      </c>
      <c r="E13" s="56">
        <f>'A1. Response summary'!H15</f>
        <v/>
      </c>
      <c r="F13" s="56">
        <f>'A1. Response summary'!I15</f>
        <v/>
      </c>
      <c r="G13" s="56">
        <f>'A1. Response summary'!J15</f>
        <v/>
      </c>
      <c r="H13" s="56">
        <f>'A1. Response summary'!K15</f>
        <v/>
      </c>
      <c r="I13" s="56">
        <f>'A1. Response summary'!M15</f>
        <v/>
      </c>
      <c r="J13" s="56">
        <f>'A1. Response summary'!U15</f>
        <v/>
      </c>
      <c r="R13" s="58" t="n"/>
    </row>
    <row r="15">
      <c r="B15" s="7" t="inlineStr">
        <is>
          <t>EE1(b)</t>
        </is>
      </c>
      <c r="C15" s="50" t="inlineStr">
        <is>
          <t>Pilots of possible approaches for understanding and developing students’ sustainability self-efficacy</t>
        </is>
      </c>
      <c r="D15" s="53" t="inlineStr">
        <is>
          <t>Unit</t>
        </is>
      </c>
      <c r="E15" s="53" t="inlineStr">
        <is>
          <t>ABP</t>
        </is>
      </c>
      <c r="F15" s="53" t="inlineStr">
        <is>
          <t>ARTS</t>
        </is>
      </c>
      <c r="G15" s="53" t="inlineStr">
        <is>
          <t>FBE</t>
        </is>
      </c>
      <c r="H15" s="53" t="inlineStr">
        <is>
          <t>SCI</t>
        </is>
      </c>
      <c r="I15" s="53" t="inlineStr">
        <is>
          <t>CI&amp;S – Sustainability Strategy</t>
        </is>
      </c>
      <c r="J15" s="53" t="inlineStr">
        <is>
          <t>Education – Chancellery Education</t>
        </is>
      </c>
      <c r="P15" s="54">
        <f>'A1. Response summary'!AA16</f>
        <v/>
      </c>
      <c r="Q15" s="54">
        <f>'A1. Response summary'!AC16</f>
        <v/>
      </c>
      <c r="R15" s="8" t="n"/>
    </row>
    <row r="16" ht="18" customHeight="1">
      <c r="B16" s="55" t="inlineStr">
        <is>
          <t>EE1(b)</t>
        </is>
      </c>
      <c r="D16" s="13" t="inlineStr">
        <is>
          <t>OPTION 1:  Target-level reporting</t>
        </is>
      </c>
      <c r="E16" s="56">
        <f>'A1. Response summary'!H16</f>
        <v/>
      </c>
      <c r="F16" s="56">
        <f>'A1. Response summary'!I16</f>
        <v/>
      </c>
      <c r="G16" s="56">
        <f>'A1. Response summary'!J16</f>
        <v/>
      </c>
      <c r="H16" s="56">
        <f>'A1. Response summary'!K16</f>
        <v/>
      </c>
      <c r="I16" s="56">
        <f>'A1. Response summary'!M16</f>
        <v/>
      </c>
      <c r="J16" s="56">
        <f>'A1. Response summary'!U16</f>
        <v/>
      </c>
      <c r="R16" s="57" t="n"/>
    </row>
    <row r="17" ht="60" customHeight="1">
      <c r="B17" s="55" t="inlineStr">
        <is>
          <t>EE1(b)</t>
        </is>
      </c>
      <c r="D17" s="13" t="inlineStr">
        <is>
          <t>OPTION 2:  Indicator level reporting</t>
        </is>
      </c>
      <c r="E17" s="56">
        <f>'A1. Response summary'!H17</f>
        <v/>
      </c>
      <c r="F17" s="56">
        <f>'A1. Response summary'!I17</f>
        <v/>
      </c>
      <c r="G17" s="56">
        <f>'A1. Response summary'!J17</f>
        <v/>
      </c>
      <c r="H17" s="56">
        <f>'A1. Response summary'!K17</f>
        <v/>
      </c>
      <c r="I17" s="56">
        <f>'A1. Response summary'!M17</f>
        <v/>
      </c>
      <c r="J17" s="56">
        <f>'A1. Response summary'!U17</f>
        <v/>
      </c>
      <c r="R17" s="57" t="n"/>
    </row>
    <row r="18" ht="60" customHeight="1">
      <c r="B18" s="55" t="inlineStr">
        <is>
          <t>EE1(b)</t>
        </is>
      </c>
      <c r="D18" s="13" t="inlineStr">
        <is>
          <t>Supporting information/comments</t>
        </is>
      </c>
      <c r="E18" s="56">
        <f>'A1. Response summary'!H18</f>
        <v/>
      </c>
      <c r="F18" s="56">
        <f>'A1. Response summary'!I18</f>
        <v/>
      </c>
      <c r="G18" s="56">
        <f>'A1. Response summary'!J18</f>
        <v/>
      </c>
      <c r="H18" s="56">
        <f>'A1. Response summary'!K18</f>
        <v/>
      </c>
      <c r="I18" s="56">
        <f>'A1. Response summary'!M18</f>
        <v/>
      </c>
      <c r="J18" s="56">
        <f>'A1. Response summary'!U18</f>
        <v/>
      </c>
      <c r="R18" s="57" t="n"/>
    </row>
    <row r="19" ht="18" customHeight="1">
      <c r="B19" s="55" t="inlineStr">
        <is>
          <t>EE1(b)</t>
        </is>
      </c>
      <c r="D19" s="13" t="inlineStr">
        <is>
          <t>Data source and limitations</t>
        </is>
      </c>
      <c r="E19" s="56">
        <f>'A1. Response summary'!H19</f>
        <v/>
      </c>
      <c r="F19" s="56">
        <f>'A1. Response summary'!I19</f>
        <v/>
      </c>
      <c r="G19" s="56">
        <f>'A1. Response summary'!J19</f>
        <v/>
      </c>
      <c r="H19" s="56">
        <f>'A1. Response summary'!K19</f>
        <v/>
      </c>
      <c r="I19" s="56">
        <f>'A1. Response summary'!M19</f>
        <v/>
      </c>
      <c r="J19" s="56">
        <f>'A1. Response summary'!U19</f>
        <v/>
      </c>
      <c r="R19" s="57" t="n"/>
    </row>
    <row r="20" ht="18" customHeight="1">
      <c r="B20" s="55" t="inlineStr">
        <is>
          <t>EE1(b)</t>
        </is>
      </c>
      <c r="D20" s="13" t="inlineStr">
        <is>
          <t>Data owner confirms</t>
        </is>
      </c>
      <c r="E20" s="56">
        <f>'A1. Response summary'!H20</f>
        <v/>
      </c>
      <c r="F20" s="56">
        <f>'A1. Response summary'!I20</f>
        <v/>
      </c>
      <c r="G20" s="56">
        <f>'A1. Response summary'!J20</f>
        <v/>
      </c>
      <c r="H20" s="56">
        <f>'A1. Response summary'!K20</f>
        <v/>
      </c>
      <c r="I20" s="56">
        <f>'A1. Response summary'!M20</f>
        <v/>
      </c>
      <c r="J20" s="56">
        <f>'A1. Response summary'!U20</f>
        <v/>
      </c>
      <c r="R20" s="58" t="n"/>
    </row>
    <row r="22">
      <c r="B22" s="7" t="inlineStr">
        <is>
          <t>EE1(c)</t>
        </is>
      </c>
      <c r="C22" s="50" t="inlineStr">
        <is>
          <t>Evidence of sustainability focused experiential and co curricular learning (eg Wattle Fellowship; Melbourne Plus)</t>
        </is>
      </c>
      <c r="D22" s="53" t="inlineStr">
        <is>
          <t>Unit</t>
        </is>
      </c>
      <c r="E22" s="53" t="inlineStr">
        <is>
          <t>CI&amp;S – Sustainability Strategy</t>
        </is>
      </c>
      <c r="F22" s="53" t="inlineStr">
        <is>
          <t>SaSS – Student and Scholarly Services</t>
        </is>
      </c>
      <c r="P22" s="54">
        <f>'A1. Response summary'!AA21</f>
        <v/>
      </c>
      <c r="Q22" s="54">
        <f>'A1. Response summary'!AC21</f>
        <v/>
      </c>
      <c r="R22" s="8" t="inlineStr">
        <is>
          <t>Faculties answer this indicator in their EE1(a) response (merged question) – review both.</t>
        </is>
      </c>
    </row>
    <row r="23" ht="18" customHeight="1">
      <c r="B23" s="55" t="inlineStr">
        <is>
          <t>EE1(c)</t>
        </is>
      </c>
      <c r="D23" s="13" t="inlineStr">
        <is>
          <t>OPTION 1:  Target-level reporting</t>
        </is>
      </c>
      <c r="E23" s="56">
        <f>'A1. Response summary'!M21</f>
        <v/>
      </c>
      <c r="F23" s="56">
        <f>'A1. Response summary'!V21</f>
        <v/>
      </c>
      <c r="R23" s="57" t="n"/>
    </row>
    <row r="24" ht="60" customHeight="1">
      <c r="B24" s="55" t="inlineStr">
        <is>
          <t>EE1(c)</t>
        </is>
      </c>
      <c r="D24" s="13" t="inlineStr">
        <is>
          <t>OPTION 2:  Indicator level reporting</t>
        </is>
      </c>
      <c r="E24" s="56">
        <f>'A1. Response summary'!M22</f>
        <v/>
      </c>
      <c r="F24" s="56">
        <f>'A1. Response summary'!V22</f>
        <v/>
      </c>
      <c r="R24" s="57" t="n"/>
    </row>
    <row r="25" ht="60" customHeight="1">
      <c r="B25" s="55" t="inlineStr">
        <is>
          <t>EE1(c)</t>
        </is>
      </c>
      <c r="D25" s="13" t="inlineStr">
        <is>
          <t>Supporting information/comments</t>
        </is>
      </c>
      <c r="E25" s="56">
        <f>'A1. Response summary'!M23</f>
        <v/>
      </c>
      <c r="F25" s="56">
        <f>'A1. Response summary'!V23</f>
        <v/>
      </c>
      <c r="R25" s="57" t="n"/>
    </row>
    <row r="26" ht="18" customHeight="1">
      <c r="B26" s="55" t="inlineStr">
        <is>
          <t>EE1(c)</t>
        </is>
      </c>
      <c r="D26" s="13" t="inlineStr">
        <is>
          <t>Data source and limitations</t>
        </is>
      </c>
      <c r="E26" s="56">
        <f>'A1. Response summary'!M24</f>
        <v/>
      </c>
      <c r="F26" s="56">
        <f>'A1. Response summary'!V24</f>
        <v/>
      </c>
      <c r="R26" s="57" t="n"/>
    </row>
    <row r="27" ht="18" customHeight="1">
      <c r="B27" s="55" t="inlineStr">
        <is>
          <t>EE1(c)</t>
        </is>
      </c>
      <c r="D27" s="13" t="inlineStr">
        <is>
          <t>Data owner confirms</t>
        </is>
      </c>
      <c r="E27" s="56">
        <f>'A1. Response summary'!M25</f>
        <v/>
      </c>
      <c r="F27" s="56">
        <f>'A1. Response summary'!V25</f>
        <v/>
      </c>
      <c r="R27" s="58" t="n"/>
    </row>
    <row r="29">
      <c r="B29" s="7" t="inlineStr">
        <is>
          <t>EE1(d)</t>
        </is>
      </c>
      <c r="C29" s="50" t="inlineStr">
        <is>
          <t>Alumni profiles demonstrating how graduates contribute to sustainability through their careers or communities.</t>
        </is>
      </c>
      <c r="D29" s="53" t="inlineStr">
        <is>
          <t>Unit</t>
        </is>
      </c>
      <c r="E29" s="53" t="inlineStr">
        <is>
          <t>SaSS – Student and Scholarly Services</t>
        </is>
      </c>
      <c r="P29" s="54">
        <f>'A1. Response summary'!AA26</f>
        <v/>
      </c>
      <c r="Q29" s="54">
        <f>'A1. Response summary'!AC26</f>
        <v/>
      </c>
      <c r="R29" s="8" t="n"/>
    </row>
    <row r="30" ht="18" customHeight="1">
      <c r="B30" s="55" t="inlineStr">
        <is>
          <t>EE1(d)</t>
        </is>
      </c>
      <c r="D30" s="13" t="inlineStr">
        <is>
          <t>OPTION 1:  Target-level reporting</t>
        </is>
      </c>
      <c r="E30" s="56">
        <f>'A1. Response summary'!V26</f>
        <v/>
      </c>
      <c r="R30" s="57" t="n"/>
    </row>
    <row r="31" ht="60" customHeight="1">
      <c r="B31" s="55" t="inlineStr">
        <is>
          <t>EE1(d)</t>
        </is>
      </c>
      <c r="D31" s="13" t="inlineStr">
        <is>
          <t>OPTION 2:  Indicator level reporting</t>
        </is>
      </c>
      <c r="E31" s="56">
        <f>'A1. Response summary'!V27</f>
        <v/>
      </c>
      <c r="R31" s="57" t="n"/>
    </row>
    <row r="32" ht="60" customHeight="1">
      <c r="B32" s="55" t="inlineStr">
        <is>
          <t>EE1(d)</t>
        </is>
      </c>
      <c r="D32" s="13" t="inlineStr">
        <is>
          <t>Supporting information/comments</t>
        </is>
      </c>
      <c r="E32" s="56">
        <f>'A1. Response summary'!V28</f>
        <v/>
      </c>
      <c r="R32" s="57" t="n"/>
    </row>
    <row r="33" ht="18" customHeight="1">
      <c r="B33" s="55" t="inlineStr">
        <is>
          <t>EE1(d)</t>
        </is>
      </c>
      <c r="D33" s="13" t="inlineStr">
        <is>
          <t>Data source and limitations</t>
        </is>
      </c>
      <c r="E33" s="56">
        <f>'A1. Response summary'!V29</f>
        <v/>
      </c>
      <c r="R33" s="57" t="n"/>
    </row>
    <row r="34" ht="18" customHeight="1">
      <c r="B34" s="55" t="inlineStr">
        <is>
          <t>EE1(d)</t>
        </is>
      </c>
      <c r="D34" s="13" t="inlineStr">
        <is>
          <t>Data owner confirms</t>
        </is>
      </c>
      <c r="E34" s="56">
        <f>'A1. Response summary'!V30</f>
        <v/>
      </c>
      <c r="R34" s="58" t="n"/>
    </row>
    <row r="36">
      <c r="B36" s="7" t="inlineStr">
        <is>
          <t>TR1(a)</t>
        </is>
      </c>
      <c r="C36" s="50" t="inlineStr">
        <is>
          <t>Expert-reviewed evidence of researchers contributing to operational sustainability priorities through partnerships, advisory input, living labs, applied projects or decision-support</t>
        </is>
      </c>
      <c r="D36" s="53" t="inlineStr">
        <is>
          <t>Unit</t>
        </is>
      </c>
      <c r="E36" s="53" t="inlineStr">
        <is>
          <t>ABP</t>
        </is>
      </c>
      <c r="F36" s="53" t="inlineStr">
        <is>
          <t>ARTS</t>
        </is>
      </c>
      <c r="G36" s="53" t="inlineStr">
        <is>
          <t>FBE</t>
        </is>
      </c>
      <c r="H36" s="53" t="inlineStr">
        <is>
          <t>SCI</t>
        </is>
      </c>
      <c r="I36" s="53" t="inlineStr">
        <is>
          <t>CI&amp;S – Sustainability Strategy</t>
        </is>
      </c>
      <c r="P36" s="54">
        <f>'A1. Response summary'!AA31</f>
        <v/>
      </c>
      <c r="Q36" s="54">
        <f>'A1. Response summary'!AC31</f>
        <v/>
      </c>
      <c r="R36" s="8" t="n"/>
    </row>
    <row r="37" ht="18" customHeight="1">
      <c r="B37" s="55" t="inlineStr">
        <is>
          <t>TR1(a)</t>
        </is>
      </c>
      <c r="D37" s="13" t="inlineStr">
        <is>
          <t>OPTION 1:  Target-level reporting</t>
        </is>
      </c>
      <c r="E37" s="56">
        <f>'A1. Response summary'!H31</f>
        <v/>
      </c>
      <c r="F37" s="56">
        <f>'A1. Response summary'!I31</f>
        <v/>
      </c>
      <c r="G37" s="56">
        <f>'A1. Response summary'!J31</f>
        <v/>
      </c>
      <c r="H37" s="56">
        <f>'A1. Response summary'!K31</f>
        <v/>
      </c>
      <c r="I37" s="56">
        <f>'A1. Response summary'!M31</f>
        <v/>
      </c>
      <c r="R37" s="57" t="n"/>
    </row>
    <row r="38" ht="60" customHeight="1">
      <c r="B38" s="55" t="inlineStr">
        <is>
          <t>TR1(a)</t>
        </is>
      </c>
      <c r="D38" s="13" t="inlineStr">
        <is>
          <t>OPTION 2:  Indicator level reporting</t>
        </is>
      </c>
      <c r="E38" s="56">
        <f>'A1. Response summary'!H32</f>
        <v/>
      </c>
      <c r="F38" s="56">
        <f>'A1. Response summary'!I32</f>
        <v/>
      </c>
      <c r="G38" s="56">
        <f>'A1. Response summary'!J32</f>
        <v/>
      </c>
      <c r="H38" s="56">
        <f>'A1. Response summary'!K32</f>
        <v/>
      </c>
      <c r="I38" s="56">
        <f>'A1. Response summary'!M32</f>
        <v/>
      </c>
      <c r="R38" s="57" t="n"/>
    </row>
    <row r="39" ht="60" customHeight="1">
      <c r="B39" s="55" t="inlineStr">
        <is>
          <t>TR1(a)</t>
        </is>
      </c>
      <c r="D39" s="13" t="inlineStr">
        <is>
          <t>Supporting information/comments</t>
        </is>
      </c>
      <c r="E39" s="56">
        <f>'A1. Response summary'!H33</f>
        <v/>
      </c>
      <c r="F39" s="56">
        <f>'A1. Response summary'!I33</f>
        <v/>
      </c>
      <c r="G39" s="56">
        <f>'A1. Response summary'!J33</f>
        <v/>
      </c>
      <c r="H39" s="56">
        <f>'A1. Response summary'!K33</f>
        <v/>
      </c>
      <c r="I39" s="56">
        <f>'A1. Response summary'!M33</f>
        <v/>
      </c>
      <c r="R39" s="57" t="n"/>
    </row>
    <row r="40" ht="18" customHeight="1">
      <c r="B40" s="55" t="inlineStr">
        <is>
          <t>TR1(a)</t>
        </is>
      </c>
      <c r="D40" s="13" t="inlineStr">
        <is>
          <t>Data source and limitations</t>
        </is>
      </c>
      <c r="E40" s="56">
        <f>'A1. Response summary'!H34</f>
        <v/>
      </c>
      <c r="F40" s="56">
        <f>'A1. Response summary'!I34</f>
        <v/>
      </c>
      <c r="G40" s="56">
        <f>'A1. Response summary'!J34</f>
        <v/>
      </c>
      <c r="H40" s="56">
        <f>'A1. Response summary'!K34</f>
        <v/>
      </c>
      <c r="I40" s="56">
        <f>'A1. Response summary'!M34</f>
        <v/>
      </c>
      <c r="R40" s="57" t="n"/>
    </row>
    <row r="41" ht="18" customHeight="1">
      <c r="B41" s="55" t="inlineStr">
        <is>
          <t>TR1(a)</t>
        </is>
      </c>
      <c r="D41" s="13" t="inlineStr">
        <is>
          <t>Data owner confirms</t>
        </is>
      </c>
      <c r="E41" s="56">
        <f>'A1. Response summary'!H35</f>
        <v/>
      </c>
      <c r="F41" s="56">
        <f>'A1. Response summary'!I35</f>
        <v/>
      </c>
      <c r="G41" s="56">
        <f>'A1. Response summary'!J35</f>
        <v/>
      </c>
      <c r="H41" s="56">
        <f>'A1. Response summary'!K35</f>
        <v/>
      </c>
      <c r="I41" s="56">
        <f>'A1. Response summary'!M35</f>
        <v/>
      </c>
      <c r="R41" s="58" t="n"/>
    </row>
    <row r="43">
      <c r="B43" s="7" t="inlineStr">
        <is>
          <t>TR1(b)</t>
        </is>
      </c>
      <c r="C43" s="50" t="inlineStr">
        <is>
          <t>Evidence of institutional pathways that enable ongoing collaboration between academic and professional staff</t>
        </is>
      </c>
      <c r="D43" s="53" t="inlineStr">
        <is>
          <t>Unit</t>
        </is>
      </c>
      <c r="E43" s="53" t="inlineStr">
        <is>
          <t>MRE – Research</t>
        </is>
      </c>
      <c r="P43" s="54">
        <f>'A1. Response summary'!AA36</f>
        <v/>
      </c>
      <c r="Q43" s="54">
        <f>'A1. Response summary'!AC36</f>
        <v/>
      </c>
      <c r="R43" s="8" t="n"/>
    </row>
    <row r="44" ht="18" customHeight="1">
      <c r="B44" s="55" t="inlineStr">
        <is>
          <t>TR1(b)</t>
        </is>
      </c>
      <c r="D44" s="13" t="inlineStr">
        <is>
          <t>OPTION 1:  Target-level reporting</t>
        </is>
      </c>
      <c r="E44" s="56">
        <f>'A1. Response summary'!R36</f>
        <v/>
      </c>
      <c r="R44" s="57" t="n"/>
    </row>
    <row r="45" ht="60" customHeight="1">
      <c r="B45" s="55" t="inlineStr">
        <is>
          <t>TR1(b)</t>
        </is>
      </c>
      <c r="D45" s="13" t="inlineStr">
        <is>
          <t>OPTION 2:  Indicator level reporting</t>
        </is>
      </c>
      <c r="E45" s="56">
        <f>'A1. Response summary'!R37</f>
        <v/>
      </c>
      <c r="R45" s="57" t="n"/>
    </row>
    <row r="46" ht="60" customHeight="1">
      <c r="B46" s="55" t="inlineStr">
        <is>
          <t>TR1(b)</t>
        </is>
      </c>
      <c r="D46" s="13" t="inlineStr">
        <is>
          <t>Supporting information/comments</t>
        </is>
      </c>
      <c r="E46" s="56">
        <f>'A1. Response summary'!R38</f>
        <v/>
      </c>
      <c r="R46" s="57" t="n"/>
    </row>
    <row r="47" ht="18" customHeight="1">
      <c r="B47" s="55" t="inlineStr">
        <is>
          <t>TR1(b)</t>
        </is>
      </c>
      <c r="D47" s="13" t="inlineStr">
        <is>
          <t>Data source and limitations</t>
        </is>
      </c>
      <c r="E47" s="56">
        <f>'A1. Response summary'!R39</f>
        <v/>
      </c>
      <c r="R47" s="57" t="n"/>
    </row>
    <row r="48" ht="18" customHeight="1">
      <c r="B48" s="55" t="inlineStr">
        <is>
          <t>TR1(b)</t>
        </is>
      </c>
      <c r="D48" s="13" t="inlineStr">
        <is>
          <t>Data owner confirms</t>
        </is>
      </c>
      <c r="E48" s="56">
        <f>'A1. Response summary'!R40</f>
        <v/>
      </c>
      <c r="R48" s="58" t="n"/>
    </row>
    <row r="50">
      <c r="B50" s="7" t="inlineStr">
        <is>
          <t>TR1(c)</t>
        </is>
      </c>
      <c r="C50" s="50" t="inlineStr">
        <is>
          <t>Expert assessment of the quality, relevance and continuity of these collaborations</t>
        </is>
      </c>
      <c r="D50" s="53" t="inlineStr">
        <is>
          <t>Unit</t>
        </is>
      </c>
      <c r="E50" s="53" t="inlineStr">
        <is>
          <t>MRE – Research</t>
        </is>
      </c>
      <c r="P50" s="54">
        <f>'A1. Response summary'!AA41</f>
        <v/>
      </c>
      <c r="Q50" s="54">
        <f>'A1. Response summary'!AC41</f>
        <v/>
      </c>
      <c r="R50" s="8" t="n"/>
    </row>
    <row r="51" ht="18" customHeight="1">
      <c r="B51" s="55" t="inlineStr">
        <is>
          <t>TR1(c)</t>
        </is>
      </c>
      <c r="D51" s="13" t="inlineStr">
        <is>
          <t>OPTION 1:  Target-level reporting</t>
        </is>
      </c>
      <c r="E51" s="56">
        <f>'A1. Response summary'!R41</f>
        <v/>
      </c>
      <c r="R51" s="57" t="n"/>
    </row>
    <row r="52" ht="60" customHeight="1">
      <c r="B52" s="55" t="inlineStr">
        <is>
          <t>TR1(c)</t>
        </is>
      </c>
      <c r="D52" s="13" t="inlineStr">
        <is>
          <t>OPTION 2:  Indicator level reporting</t>
        </is>
      </c>
      <c r="E52" s="56">
        <f>'A1. Response summary'!R42</f>
        <v/>
      </c>
      <c r="R52" s="57" t="n"/>
    </row>
    <row r="53" ht="60" customHeight="1">
      <c r="B53" s="55" t="inlineStr">
        <is>
          <t>TR1(c)</t>
        </is>
      </c>
      <c r="D53" s="13" t="inlineStr">
        <is>
          <t>Supporting information/comments</t>
        </is>
      </c>
      <c r="E53" s="56">
        <f>'A1. Response summary'!R43</f>
        <v/>
      </c>
      <c r="R53" s="57" t="n"/>
    </row>
    <row r="54" ht="18" customHeight="1">
      <c r="B54" s="55" t="inlineStr">
        <is>
          <t>TR1(c)</t>
        </is>
      </c>
      <c r="D54" s="13" t="inlineStr">
        <is>
          <t>Data source and limitations</t>
        </is>
      </c>
      <c r="E54" s="56">
        <f>'A1. Response summary'!R44</f>
        <v/>
      </c>
      <c r="R54" s="57" t="n"/>
    </row>
    <row r="55" ht="18" customHeight="1">
      <c r="B55" s="55" t="inlineStr">
        <is>
          <t>TR1(c)</t>
        </is>
      </c>
      <c r="D55" s="13" t="inlineStr">
        <is>
          <t>Data owner confirms</t>
        </is>
      </c>
      <c r="E55" s="56">
        <f>'A1. Response summary'!R45</f>
        <v/>
      </c>
      <c r="R55" s="58" t="n"/>
    </row>
    <row r="57">
      <c r="B57" s="7" t="inlineStr">
        <is>
          <t>TR1(d)</t>
        </is>
      </c>
      <c r="C57" s="50" t="inlineStr">
        <is>
          <t>Periodic feedback from participants on the effectiveness and mutual benefit of collaboration mechanisms.</t>
        </is>
      </c>
      <c r="D57" s="53" t="inlineStr">
        <is>
          <t>Unit</t>
        </is>
      </c>
      <c r="E57" s="53" t="inlineStr">
        <is>
          <t>MRE – Research</t>
        </is>
      </c>
      <c r="P57" s="54">
        <f>'A1. Response summary'!AA46</f>
        <v/>
      </c>
      <c r="Q57" s="54">
        <f>'A1. Response summary'!AC46</f>
        <v/>
      </c>
      <c r="R57" s="8" t="n"/>
    </row>
    <row r="58" ht="18" customHeight="1">
      <c r="B58" s="55" t="inlineStr">
        <is>
          <t>TR1(d)</t>
        </is>
      </c>
      <c r="D58" s="13" t="inlineStr">
        <is>
          <t>OPTION 1:  Target-level reporting</t>
        </is>
      </c>
      <c r="E58" s="56">
        <f>'A1. Response summary'!R46</f>
        <v/>
      </c>
      <c r="R58" s="57" t="n"/>
    </row>
    <row r="59" ht="60" customHeight="1">
      <c r="B59" s="55" t="inlineStr">
        <is>
          <t>TR1(d)</t>
        </is>
      </c>
      <c r="D59" s="13" t="inlineStr">
        <is>
          <t>OPTION 2:  Indicator level reporting</t>
        </is>
      </c>
      <c r="E59" s="56">
        <f>'A1. Response summary'!R47</f>
        <v/>
      </c>
      <c r="R59" s="57" t="n"/>
    </row>
    <row r="60" ht="60" customHeight="1">
      <c r="B60" s="55" t="inlineStr">
        <is>
          <t>TR1(d)</t>
        </is>
      </c>
      <c r="D60" s="13" t="inlineStr">
        <is>
          <t>Supporting information/comments</t>
        </is>
      </c>
      <c r="E60" s="56">
        <f>'A1. Response summary'!R48</f>
        <v/>
      </c>
      <c r="R60" s="57" t="n"/>
    </row>
    <row r="61" ht="18" customHeight="1">
      <c r="B61" s="55" t="inlineStr">
        <is>
          <t>TR1(d)</t>
        </is>
      </c>
      <c r="D61" s="13" t="inlineStr">
        <is>
          <t>Data source and limitations</t>
        </is>
      </c>
      <c r="E61" s="56">
        <f>'A1. Response summary'!R49</f>
        <v/>
      </c>
      <c r="R61" s="57" t="n"/>
    </row>
    <row r="62" ht="18" customHeight="1">
      <c r="B62" s="55" t="inlineStr">
        <is>
          <t>TR1(d)</t>
        </is>
      </c>
      <c r="D62" s="13" t="inlineStr">
        <is>
          <t>Data owner confirms</t>
        </is>
      </c>
      <c r="E62" s="56">
        <f>'A1. Response summary'!R50</f>
        <v/>
      </c>
      <c r="R62" s="58" t="n"/>
    </row>
    <row r="64">
      <c r="B64" s="7" t="inlineStr">
        <is>
          <t>TR2(a)</t>
        </is>
      </c>
      <c r="C64" s="50" t="inlineStr">
        <is>
          <t>Evidence of sustainability-related research impact across diverse pathways, could include policy, industry, community, practice, cultural and institutional outcomes</t>
        </is>
      </c>
      <c r="D64" s="53" t="inlineStr">
        <is>
          <t>Unit</t>
        </is>
      </c>
      <c r="E64" s="53" t="inlineStr">
        <is>
          <t>ABP</t>
        </is>
      </c>
      <c r="F64" s="53" t="inlineStr">
        <is>
          <t>ARTS</t>
        </is>
      </c>
      <c r="G64" s="53" t="inlineStr">
        <is>
          <t>FBE</t>
        </is>
      </c>
      <c r="H64" s="53" t="inlineStr">
        <is>
          <t>SCI</t>
        </is>
      </c>
      <c r="I64" s="53" t="inlineStr">
        <is>
          <t>AC&amp;M – Advancement, Communication and Marketing</t>
        </is>
      </c>
      <c r="P64" s="54">
        <f>'A1. Response summary'!AA51</f>
        <v/>
      </c>
      <c r="Q64" s="54">
        <f>'A1. Response summary'!AC51</f>
        <v/>
      </c>
      <c r="R64" s="8" t="n"/>
    </row>
    <row r="65" ht="18" customHeight="1">
      <c r="B65" s="55" t="inlineStr">
        <is>
          <t>TR2(a)</t>
        </is>
      </c>
      <c r="D65" s="13" t="inlineStr">
        <is>
          <t>OPTION 1:  Target-level reporting</t>
        </is>
      </c>
      <c r="E65" s="56">
        <f>'A1. Response summary'!H51</f>
        <v/>
      </c>
      <c r="F65" s="56">
        <f>'A1. Response summary'!I51</f>
        <v/>
      </c>
      <c r="G65" s="56">
        <f>'A1. Response summary'!J51</f>
        <v/>
      </c>
      <c r="H65" s="56">
        <f>'A1. Response summary'!K51</f>
        <v/>
      </c>
      <c r="I65" s="56">
        <f>'A1. Response summary'!S51</f>
        <v/>
      </c>
      <c r="R65" s="57" t="n"/>
    </row>
    <row r="66" ht="60" customHeight="1">
      <c r="B66" s="55" t="inlineStr">
        <is>
          <t>TR2(a)</t>
        </is>
      </c>
      <c r="D66" s="13" t="inlineStr">
        <is>
          <t>OPTION 2:  Indicator level reporting</t>
        </is>
      </c>
      <c r="E66" s="56">
        <f>'A1. Response summary'!H52</f>
        <v/>
      </c>
      <c r="F66" s="56">
        <f>'A1. Response summary'!I52</f>
        <v/>
      </c>
      <c r="G66" s="56">
        <f>'A1. Response summary'!J52</f>
        <v/>
      </c>
      <c r="H66" s="56">
        <f>'A1. Response summary'!K52</f>
        <v/>
      </c>
      <c r="I66" s="56">
        <f>'A1. Response summary'!S52</f>
        <v/>
      </c>
      <c r="R66" s="57" t="n"/>
    </row>
    <row r="67" ht="60" customHeight="1">
      <c r="B67" s="55" t="inlineStr">
        <is>
          <t>TR2(a)</t>
        </is>
      </c>
      <c r="D67" s="13" t="inlineStr">
        <is>
          <t>Supporting information/comments</t>
        </is>
      </c>
      <c r="E67" s="56">
        <f>'A1. Response summary'!H53</f>
        <v/>
      </c>
      <c r="F67" s="56">
        <f>'A1. Response summary'!I53</f>
        <v/>
      </c>
      <c r="G67" s="56">
        <f>'A1. Response summary'!J53</f>
        <v/>
      </c>
      <c r="H67" s="56">
        <f>'A1. Response summary'!K53</f>
        <v/>
      </c>
      <c r="I67" s="56">
        <f>'A1. Response summary'!S53</f>
        <v/>
      </c>
      <c r="R67" s="57" t="n"/>
    </row>
    <row r="68" ht="18" customHeight="1">
      <c r="B68" s="55" t="inlineStr">
        <is>
          <t>TR2(a)</t>
        </is>
      </c>
      <c r="D68" s="13" t="inlineStr">
        <is>
          <t>Data source and limitations</t>
        </is>
      </c>
      <c r="E68" s="56">
        <f>'A1. Response summary'!H54</f>
        <v/>
      </c>
      <c r="F68" s="56">
        <f>'A1. Response summary'!I54</f>
        <v/>
      </c>
      <c r="G68" s="56">
        <f>'A1. Response summary'!J54</f>
        <v/>
      </c>
      <c r="H68" s="56">
        <f>'A1. Response summary'!K54</f>
        <v/>
      </c>
      <c r="I68" s="56">
        <f>'A1. Response summary'!S54</f>
        <v/>
      </c>
      <c r="R68" s="57" t="n"/>
    </row>
    <row r="69" ht="18" customHeight="1">
      <c r="B69" s="55" t="inlineStr">
        <is>
          <t>TR2(a)</t>
        </is>
      </c>
      <c r="D69" s="13" t="inlineStr">
        <is>
          <t>Data owner confirms</t>
        </is>
      </c>
      <c r="E69" s="56">
        <f>'A1. Response summary'!H55</f>
        <v/>
      </c>
      <c r="F69" s="56">
        <f>'A1. Response summary'!I55</f>
        <v/>
      </c>
      <c r="G69" s="56">
        <f>'A1. Response summary'!J55</f>
        <v/>
      </c>
      <c r="H69" s="56">
        <f>'A1. Response summary'!K55</f>
        <v/>
      </c>
      <c r="I69" s="56">
        <f>'A1. Response summary'!S55</f>
        <v/>
      </c>
      <c r="R69" s="58" t="n"/>
    </row>
    <row r="71">
      <c r="B71" s="7" t="inlineStr">
        <is>
          <t>TR2(c)</t>
        </is>
      </c>
      <c r="C71" s="50" t="inlineStr">
        <is>
          <t>Expert-reviewed summary of sustainability-related research outputs, outcomes and influence using available institutional evidence sources</t>
        </is>
      </c>
      <c r="D71" s="53" t="inlineStr">
        <is>
          <t>Unit</t>
        </is>
      </c>
      <c r="E71" s="53" t="inlineStr">
        <is>
          <t>MRE – Research</t>
        </is>
      </c>
      <c r="P71" s="54">
        <f>'A1. Response summary'!AA56</f>
        <v/>
      </c>
      <c r="Q71" s="54">
        <f>'A1. Response summary'!AC56</f>
        <v/>
      </c>
      <c r="R71" s="8" t="n"/>
    </row>
    <row r="72" ht="18" customHeight="1">
      <c r="B72" s="55" t="inlineStr">
        <is>
          <t>TR2(c)</t>
        </is>
      </c>
      <c r="D72" s="13" t="inlineStr">
        <is>
          <t>OPTION 1:  Target-level reporting</t>
        </is>
      </c>
      <c r="E72" s="56">
        <f>'A1. Response summary'!R56</f>
        <v/>
      </c>
      <c r="R72" s="57" t="n"/>
    </row>
    <row r="73" ht="60" customHeight="1">
      <c r="B73" s="55" t="inlineStr">
        <is>
          <t>TR2(c)</t>
        </is>
      </c>
      <c r="D73" s="13" t="inlineStr">
        <is>
          <t>OPTION 2:  Indicator level reporting</t>
        </is>
      </c>
      <c r="E73" s="56">
        <f>'A1. Response summary'!R57</f>
        <v/>
      </c>
      <c r="R73" s="57" t="n"/>
    </row>
    <row r="74" ht="60" customHeight="1">
      <c r="B74" s="55" t="inlineStr">
        <is>
          <t>TR2(c)</t>
        </is>
      </c>
      <c r="D74" s="13" t="inlineStr">
        <is>
          <t>Supporting information/comments</t>
        </is>
      </c>
      <c r="E74" s="56">
        <f>'A1. Response summary'!R58</f>
        <v/>
      </c>
      <c r="R74" s="57" t="n"/>
    </row>
    <row r="75" ht="18" customHeight="1">
      <c r="B75" s="55" t="inlineStr">
        <is>
          <t>TR2(c)</t>
        </is>
      </c>
      <c r="D75" s="13" t="inlineStr">
        <is>
          <t>Data source and limitations</t>
        </is>
      </c>
      <c r="E75" s="56">
        <f>'A1. Response summary'!R59</f>
        <v/>
      </c>
      <c r="R75" s="57" t="n"/>
    </row>
    <row r="76" ht="18" customHeight="1">
      <c r="B76" s="55" t="inlineStr">
        <is>
          <t>TR2(c)</t>
        </is>
      </c>
      <c r="D76" s="13" t="inlineStr">
        <is>
          <t>Data owner confirms</t>
        </is>
      </c>
      <c r="E76" s="56">
        <f>'A1. Response summary'!R60</f>
        <v/>
      </c>
      <c r="R76" s="58" t="n"/>
    </row>
    <row r="78">
      <c r="B78" s="7" t="inlineStr">
        <is>
          <t>TR2(d)</t>
        </is>
      </c>
      <c r="C78" s="50" t="inlineStr">
        <is>
          <t>Case-based evidence demonstrating how research has contributed to meaningful sustainability outcomes.</t>
        </is>
      </c>
      <c r="D78" s="53" t="inlineStr">
        <is>
          <t>Unit</t>
        </is>
      </c>
      <c r="E78" s="53" t="inlineStr">
        <is>
          <t>ABP</t>
        </is>
      </c>
      <c r="F78" s="53" t="inlineStr">
        <is>
          <t>ARTS</t>
        </is>
      </c>
      <c r="G78" s="53" t="inlineStr">
        <is>
          <t>FBE</t>
        </is>
      </c>
      <c r="H78" s="53" t="inlineStr">
        <is>
          <t>SCI</t>
        </is>
      </c>
      <c r="I78" s="53" t="inlineStr">
        <is>
          <t>CI&amp;S – Sustainability Strategy</t>
        </is>
      </c>
      <c r="P78" s="54">
        <f>'A1. Response summary'!AA61</f>
        <v/>
      </c>
      <c r="Q78" s="54">
        <f>'A1. Response summary'!AC61</f>
        <v/>
      </c>
      <c r="R78" s="8" t="n"/>
    </row>
    <row r="79" ht="18" customHeight="1">
      <c r="B79" s="55" t="inlineStr">
        <is>
          <t>TR2(d)</t>
        </is>
      </c>
      <c r="D79" s="13" t="inlineStr">
        <is>
          <t>OPTION 1:  Target-level reporting</t>
        </is>
      </c>
      <c r="E79" s="56">
        <f>'A1. Response summary'!H61</f>
        <v/>
      </c>
      <c r="F79" s="56">
        <f>'A1. Response summary'!I61</f>
        <v/>
      </c>
      <c r="G79" s="56">
        <f>'A1. Response summary'!J61</f>
        <v/>
      </c>
      <c r="H79" s="56">
        <f>'A1. Response summary'!K61</f>
        <v/>
      </c>
      <c r="I79" s="56">
        <f>'A1. Response summary'!M61</f>
        <v/>
      </c>
      <c r="R79" s="57" t="n"/>
    </row>
    <row r="80" ht="60" customHeight="1">
      <c r="B80" s="55" t="inlineStr">
        <is>
          <t>TR2(d)</t>
        </is>
      </c>
      <c r="D80" s="13" t="inlineStr">
        <is>
          <t>OPTION 2:  Indicator level reporting</t>
        </is>
      </c>
      <c r="E80" s="56">
        <f>'A1. Response summary'!H62</f>
        <v/>
      </c>
      <c r="F80" s="56">
        <f>'A1. Response summary'!I62</f>
        <v/>
      </c>
      <c r="G80" s="56">
        <f>'A1. Response summary'!J62</f>
        <v/>
      </c>
      <c r="H80" s="56">
        <f>'A1. Response summary'!K62</f>
        <v/>
      </c>
      <c r="I80" s="56">
        <f>'A1. Response summary'!M62</f>
        <v/>
      </c>
      <c r="R80" s="57" t="n"/>
    </row>
    <row r="81" ht="60" customHeight="1">
      <c r="B81" s="55" t="inlineStr">
        <is>
          <t>TR2(d)</t>
        </is>
      </c>
      <c r="D81" s="13" t="inlineStr">
        <is>
          <t>Supporting information/comments</t>
        </is>
      </c>
      <c r="E81" s="56">
        <f>'A1. Response summary'!H63</f>
        <v/>
      </c>
      <c r="F81" s="56">
        <f>'A1. Response summary'!I63</f>
        <v/>
      </c>
      <c r="G81" s="56">
        <f>'A1. Response summary'!J63</f>
        <v/>
      </c>
      <c r="H81" s="56">
        <f>'A1. Response summary'!K63</f>
        <v/>
      </c>
      <c r="I81" s="56">
        <f>'A1. Response summary'!M63</f>
        <v/>
      </c>
      <c r="R81" s="57" t="n"/>
    </row>
    <row r="82" ht="18" customHeight="1">
      <c r="B82" s="55" t="inlineStr">
        <is>
          <t>TR2(d)</t>
        </is>
      </c>
      <c r="D82" s="13" t="inlineStr">
        <is>
          <t>Data source and limitations</t>
        </is>
      </c>
      <c r="E82" s="56">
        <f>'A1. Response summary'!H64</f>
        <v/>
      </c>
      <c r="F82" s="56">
        <f>'A1. Response summary'!I64</f>
        <v/>
      </c>
      <c r="G82" s="56">
        <f>'A1. Response summary'!J64</f>
        <v/>
      </c>
      <c r="H82" s="56">
        <f>'A1. Response summary'!K64</f>
        <v/>
      </c>
      <c r="I82" s="56">
        <f>'A1. Response summary'!M64</f>
        <v/>
      </c>
      <c r="R82" s="57" t="n"/>
    </row>
    <row r="83" ht="18" customHeight="1">
      <c r="B83" s="55" t="inlineStr">
        <is>
          <t>TR2(d)</t>
        </is>
      </c>
      <c r="D83" s="13" t="inlineStr">
        <is>
          <t>Data owner confirms</t>
        </is>
      </c>
      <c r="E83" s="56">
        <f>'A1. Response summary'!H65</f>
        <v/>
      </c>
      <c r="F83" s="56">
        <f>'A1. Response summary'!I65</f>
        <v/>
      </c>
      <c r="G83" s="56">
        <f>'A1. Response summary'!J65</f>
        <v/>
      </c>
      <c r="H83" s="56">
        <f>'A1. Response summary'!K65</f>
        <v/>
      </c>
      <c r="I83" s="56">
        <f>'A1. Response summary'!M65</f>
        <v/>
      </c>
      <c r="R83" s="58" t="n"/>
    </row>
    <row r="85">
      <c r="B85" s="7" t="inlineStr">
        <is>
          <t>TR3(a)</t>
        </is>
      </c>
      <c r="C85" s="50" t="inlineStr">
        <is>
          <t>Evidence that sustainability considerations are integrated into relevant research systems, planning processes, guidance, training, induction or support services</t>
        </is>
      </c>
      <c r="D85" s="53" t="inlineStr">
        <is>
          <t>Unit</t>
        </is>
      </c>
      <c r="E85" s="53" t="inlineStr">
        <is>
          <t>MRE – Research</t>
        </is>
      </c>
      <c r="P85" s="54">
        <f>'A1. Response summary'!AA66</f>
        <v/>
      </c>
      <c r="Q85" s="54">
        <f>'A1. Response summary'!AC66</f>
        <v/>
      </c>
      <c r="R85" s="8" t="n"/>
    </row>
    <row r="86" ht="18" customHeight="1">
      <c r="B86" s="55" t="inlineStr">
        <is>
          <t>TR3(a)</t>
        </is>
      </c>
      <c r="D86" s="13" t="inlineStr">
        <is>
          <t>OPTION 1:  Target-level reporting</t>
        </is>
      </c>
      <c r="E86" s="56">
        <f>'A1. Response summary'!R66</f>
        <v/>
      </c>
      <c r="R86" s="57" t="n"/>
    </row>
    <row r="87" ht="60" customHeight="1">
      <c r="B87" s="55" t="inlineStr">
        <is>
          <t>TR3(a)</t>
        </is>
      </c>
      <c r="D87" s="13" t="inlineStr">
        <is>
          <t>OPTION 2:  Indicator level reporting</t>
        </is>
      </c>
      <c r="E87" s="56">
        <f>'A1. Response summary'!R67</f>
        <v/>
      </c>
      <c r="R87" s="57" t="n"/>
    </row>
    <row r="88" ht="60" customHeight="1">
      <c r="B88" s="55" t="inlineStr">
        <is>
          <t>TR3(a)</t>
        </is>
      </c>
      <c r="D88" s="13" t="inlineStr">
        <is>
          <t>Supporting information/comments</t>
        </is>
      </c>
      <c r="E88" s="56">
        <f>'A1. Response summary'!R68</f>
        <v/>
      </c>
      <c r="R88" s="57" t="n"/>
    </row>
    <row r="89" ht="18" customHeight="1">
      <c r="B89" s="55" t="inlineStr">
        <is>
          <t>TR3(a)</t>
        </is>
      </c>
      <c r="D89" s="13" t="inlineStr">
        <is>
          <t>Data source and limitations</t>
        </is>
      </c>
      <c r="E89" s="56">
        <f>'A1. Response summary'!R69</f>
        <v/>
      </c>
      <c r="R89" s="57" t="n"/>
    </row>
    <row r="90" ht="18" customHeight="1">
      <c r="B90" s="55" t="inlineStr">
        <is>
          <t>TR3(a)</t>
        </is>
      </c>
      <c r="D90" s="13" t="inlineStr">
        <is>
          <t>Data owner confirms</t>
        </is>
      </c>
      <c r="E90" s="56">
        <f>'A1. Response summary'!R70</f>
        <v/>
      </c>
      <c r="R90" s="58" t="n"/>
    </row>
    <row r="92">
      <c r="B92" s="7" t="inlineStr">
        <is>
          <t>TR3(b)</t>
        </is>
      </c>
      <c r="C92" s="50" t="inlineStr">
        <is>
          <t>Demonstrated examples of more sustainable research practices in laboratories, fieldwork, procurement, travel or infrastructure use</t>
        </is>
      </c>
      <c r="D92" s="53" t="inlineStr">
        <is>
          <t>Unit</t>
        </is>
      </c>
      <c r="E92" s="53" t="inlineStr">
        <is>
          <t>ABP</t>
        </is>
      </c>
      <c r="F92" s="53" t="inlineStr">
        <is>
          <t>ARTS</t>
        </is>
      </c>
      <c r="G92" s="53" t="inlineStr">
        <is>
          <t>FBE</t>
        </is>
      </c>
      <c r="H92" s="53" t="inlineStr">
        <is>
          <t>SCI</t>
        </is>
      </c>
      <c r="I92" s="53" t="inlineStr">
        <is>
          <t>CI&amp;S – Sustainability Strategy</t>
        </is>
      </c>
      <c r="J92" s="53" t="inlineStr">
        <is>
          <t>CFOG – Procurement</t>
        </is>
      </c>
      <c r="P92" s="54">
        <f>'A1. Response summary'!AA71</f>
        <v/>
      </c>
      <c r="Q92" s="54">
        <f>'A1. Response summary'!AC71</f>
        <v/>
      </c>
      <c r="R92" s="8" t="n"/>
    </row>
    <row r="93" ht="18" customHeight="1">
      <c r="B93" s="55" t="inlineStr">
        <is>
          <t>TR3(b)</t>
        </is>
      </c>
      <c r="D93" s="13" t="inlineStr">
        <is>
          <t>OPTION 1:  Target-level reporting</t>
        </is>
      </c>
      <c r="E93" s="56">
        <f>'A1. Response summary'!H71</f>
        <v/>
      </c>
      <c r="F93" s="56">
        <f>'A1. Response summary'!I71</f>
        <v/>
      </c>
      <c r="G93" s="56">
        <f>'A1. Response summary'!J71</f>
        <v/>
      </c>
      <c r="H93" s="56">
        <f>'A1. Response summary'!K71</f>
        <v/>
      </c>
      <c r="I93" s="56">
        <f>'A1. Response summary'!M71</f>
        <v/>
      </c>
      <c r="J93" s="56">
        <f>'A1. Response summary'!N71</f>
        <v/>
      </c>
      <c r="R93" s="57" t="n"/>
    </row>
    <row r="94" ht="60" customHeight="1">
      <c r="B94" s="55" t="inlineStr">
        <is>
          <t>TR3(b)</t>
        </is>
      </c>
      <c r="D94" s="13" t="inlineStr">
        <is>
          <t>OPTION 2:  Indicator level reporting</t>
        </is>
      </c>
      <c r="E94" s="56">
        <f>'A1. Response summary'!H72</f>
        <v/>
      </c>
      <c r="F94" s="56">
        <f>'A1. Response summary'!I72</f>
        <v/>
      </c>
      <c r="G94" s="56">
        <f>'A1. Response summary'!J72</f>
        <v/>
      </c>
      <c r="H94" s="56">
        <f>'A1. Response summary'!K72</f>
        <v/>
      </c>
      <c r="I94" s="56">
        <f>'A1. Response summary'!M72</f>
        <v/>
      </c>
      <c r="J94" s="56">
        <f>'A1. Response summary'!N72</f>
        <v/>
      </c>
      <c r="R94" s="57" t="n"/>
    </row>
    <row r="95" ht="60" customHeight="1">
      <c r="B95" s="55" t="inlineStr">
        <is>
          <t>TR3(b)</t>
        </is>
      </c>
      <c r="D95" s="13" t="inlineStr">
        <is>
          <t>Supporting information/comments</t>
        </is>
      </c>
      <c r="E95" s="56">
        <f>'A1. Response summary'!H73</f>
        <v/>
      </c>
      <c r="F95" s="56">
        <f>'A1. Response summary'!I73</f>
        <v/>
      </c>
      <c r="G95" s="56">
        <f>'A1. Response summary'!J73</f>
        <v/>
      </c>
      <c r="H95" s="56">
        <f>'A1. Response summary'!K73</f>
        <v/>
      </c>
      <c r="I95" s="56">
        <f>'A1. Response summary'!M73</f>
        <v/>
      </c>
      <c r="J95" s="56">
        <f>'A1. Response summary'!N73</f>
        <v/>
      </c>
      <c r="R95" s="57" t="n"/>
    </row>
    <row r="96" ht="18" customHeight="1">
      <c r="B96" s="55" t="inlineStr">
        <is>
          <t>TR3(b)</t>
        </is>
      </c>
      <c r="D96" s="13" t="inlineStr">
        <is>
          <t>Data source and limitations</t>
        </is>
      </c>
      <c r="E96" s="56">
        <f>'A1. Response summary'!H74</f>
        <v/>
      </c>
      <c r="F96" s="56">
        <f>'A1. Response summary'!I74</f>
        <v/>
      </c>
      <c r="G96" s="56">
        <f>'A1. Response summary'!J74</f>
        <v/>
      </c>
      <c r="H96" s="56">
        <f>'A1. Response summary'!K74</f>
        <v/>
      </c>
      <c r="I96" s="56">
        <f>'A1. Response summary'!M74</f>
        <v/>
      </c>
      <c r="J96" s="56">
        <f>'A1. Response summary'!N74</f>
        <v/>
      </c>
      <c r="R96" s="57" t="n"/>
    </row>
    <row r="97" ht="18" customHeight="1">
      <c r="B97" s="55" t="inlineStr">
        <is>
          <t>TR3(b)</t>
        </is>
      </c>
      <c r="D97" s="13" t="inlineStr">
        <is>
          <t>Data owner confirms</t>
        </is>
      </c>
      <c r="E97" s="56">
        <f>'A1. Response summary'!H75</f>
        <v/>
      </c>
      <c r="F97" s="56">
        <f>'A1. Response summary'!I75</f>
        <v/>
      </c>
      <c r="G97" s="56">
        <f>'A1. Response summary'!J75</f>
        <v/>
      </c>
      <c r="H97" s="56">
        <f>'A1. Response summary'!K75</f>
        <v/>
      </c>
      <c r="I97" s="56">
        <f>'A1. Response summary'!M75</f>
        <v/>
      </c>
      <c r="J97" s="56">
        <f>'A1. Response summary'!N75</f>
        <v/>
      </c>
      <c r="R97" s="58" t="n"/>
    </row>
    <row r="99">
      <c r="B99" s="7" t="inlineStr">
        <is>
          <t>TR3(c)</t>
        </is>
      </c>
      <c r="C99" s="50" t="inlineStr">
        <is>
          <t>Evidence of progress in sustainability-related research culture, capability and awareness, informed by periodic staff and graduate researcher surveys</t>
        </is>
      </c>
      <c r="D99" s="53" t="inlineStr">
        <is>
          <t>Unit</t>
        </is>
      </c>
      <c r="E99" s="53" t="inlineStr">
        <is>
          <t>MRE – Research</t>
        </is>
      </c>
      <c r="P99" s="54">
        <f>'A1. Response summary'!AA76</f>
        <v/>
      </c>
      <c r="Q99" s="54">
        <f>'A1. Response summary'!AC76</f>
        <v/>
      </c>
      <c r="R99" s="8" t="n"/>
    </row>
    <row r="100" ht="18" customHeight="1">
      <c r="B100" s="55" t="inlineStr">
        <is>
          <t>TR3(c)</t>
        </is>
      </c>
      <c r="D100" s="13" t="inlineStr">
        <is>
          <t>OPTION 1:  Target-level reporting</t>
        </is>
      </c>
      <c r="E100" s="56">
        <f>'A1. Response summary'!R76</f>
        <v/>
      </c>
      <c r="R100" s="57" t="n"/>
    </row>
    <row r="101" ht="60" customHeight="1">
      <c r="B101" s="55" t="inlineStr">
        <is>
          <t>TR3(c)</t>
        </is>
      </c>
      <c r="D101" s="13" t="inlineStr">
        <is>
          <t>OPTION 2:  Indicator level reporting</t>
        </is>
      </c>
      <c r="E101" s="56">
        <f>'A1. Response summary'!R77</f>
        <v/>
      </c>
      <c r="R101" s="57" t="n"/>
    </row>
    <row r="102" ht="60" customHeight="1">
      <c r="B102" s="55" t="inlineStr">
        <is>
          <t>TR3(c)</t>
        </is>
      </c>
      <c r="D102" s="13" t="inlineStr">
        <is>
          <t>Supporting information/comments</t>
        </is>
      </c>
      <c r="E102" s="56">
        <f>'A1. Response summary'!R78</f>
        <v/>
      </c>
      <c r="R102" s="57" t="n"/>
    </row>
    <row r="103" ht="18" customHeight="1">
      <c r="B103" s="55" t="inlineStr">
        <is>
          <t>TR3(c)</t>
        </is>
      </c>
      <c r="D103" s="13" t="inlineStr">
        <is>
          <t>Data source and limitations</t>
        </is>
      </c>
      <c r="E103" s="56">
        <f>'A1. Response summary'!R79</f>
        <v/>
      </c>
      <c r="R103" s="57" t="n"/>
    </row>
    <row r="104" ht="18" customHeight="1">
      <c r="B104" s="55" t="inlineStr">
        <is>
          <t>TR3(c)</t>
        </is>
      </c>
      <c r="D104" s="13" t="inlineStr">
        <is>
          <t>Data owner confirms</t>
        </is>
      </c>
      <c r="E104" s="56">
        <f>'A1. Response summary'!R80</f>
        <v/>
      </c>
      <c r="R104" s="58" t="n"/>
    </row>
    <row r="106">
      <c r="B106" s="7" t="inlineStr">
        <is>
          <t>TR3(d)</t>
        </is>
      </c>
      <c r="C106" s="50" t="inlineStr">
        <is>
          <t>Expert assessment of progress in embedding sustainable research practices across the institution.</t>
        </is>
      </c>
      <c r="D106" s="53" t="inlineStr">
        <is>
          <t>Unit</t>
        </is>
      </c>
      <c r="E106" s="53" t="inlineStr">
        <is>
          <t>MRE – Research</t>
        </is>
      </c>
      <c r="P106" s="54">
        <f>'A1. Response summary'!AA81</f>
        <v/>
      </c>
      <c r="Q106" s="54">
        <f>'A1. Response summary'!AC81</f>
        <v/>
      </c>
      <c r="R106" s="8" t="n"/>
    </row>
    <row r="107" ht="18" customHeight="1">
      <c r="B107" s="55" t="inlineStr">
        <is>
          <t>TR3(d)</t>
        </is>
      </c>
      <c r="D107" s="13" t="inlineStr">
        <is>
          <t>OPTION 1:  Target-level reporting</t>
        </is>
      </c>
      <c r="E107" s="56">
        <f>'A1. Response summary'!R81</f>
        <v/>
      </c>
      <c r="R107" s="57" t="n"/>
    </row>
    <row r="108" ht="60" customHeight="1">
      <c r="B108" s="55" t="inlineStr">
        <is>
          <t>TR3(d)</t>
        </is>
      </c>
      <c r="D108" s="13" t="inlineStr">
        <is>
          <t>OPTION 2:  Indicator level reporting</t>
        </is>
      </c>
      <c r="E108" s="56">
        <f>'A1. Response summary'!R82</f>
        <v/>
      </c>
      <c r="R108" s="57" t="n"/>
    </row>
    <row r="109" ht="60" customHeight="1">
      <c r="B109" s="55" t="inlineStr">
        <is>
          <t>TR3(d)</t>
        </is>
      </c>
      <c r="D109" s="13" t="inlineStr">
        <is>
          <t>Supporting information/comments</t>
        </is>
      </c>
      <c r="E109" s="56">
        <f>'A1. Response summary'!R83</f>
        <v/>
      </c>
      <c r="R109" s="57" t="n"/>
    </row>
    <row r="110" ht="18" customHeight="1">
      <c r="B110" s="55" t="inlineStr">
        <is>
          <t>TR3(d)</t>
        </is>
      </c>
      <c r="D110" s="13" t="inlineStr">
        <is>
          <t>Data source and limitations</t>
        </is>
      </c>
      <c r="E110" s="56">
        <f>'A1. Response summary'!R84</f>
        <v/>
      </c>
      <c r="R110" s="57" t="n"/>
    </row>
    <row r="111" ht="18" customHeight="1">
      <c r="B111" s="55" t="inlineStr">
        <is>
          <t>TR3(d)</t>
        </is>
      </c>
      <c r="D111" s="13" t="inlineStr">
        <is>
          <t>Data owner confirms</t>
        </is>
      </c>
      <c r="E111" s="56">
        <f>'A1. Response summary'!R85</f>
        <v/>
      </c>
      <c r="R111" s="58" t="n"/>
    </row>
    <row r="113">
      <c r="B113" s="7" t="inlineStr">
        <is>
          <t>CL1(c)</t>
        </is>
      </c>
      <c r="C113" s="50" t="inlineStr">
        <is>
          <t>Review of Climate Leadership targets by 2030.[2]</t>
        </is>
      </c>
      <c r="D113" s="53" t="inlineStr">
        <is>
          <t>Unit</t>
        </is>
      </c>
      <c r="E113" s="53" t="inlineStr">
        <is>
          <t>CI&amp;S – Sustainability Strategy</t>
        </is>
      </c>
      <c r="P113" s="54">
        <f>'A1. Response summary'!AA86</f>
        <v/>
      </c>
      <c r="Q113" s="54">
        <f>'A1. Response summary'!AC86</f>
        <v/>
      </c>
      <c r="R113" s="8" t="n"/>
    </row>
    <row r="114" ht="18" customHeight="1">
      <c r="B114" s="55" t="inlineStr">
        <is>
          <t>CL1(c)</t>
        </is>
      </c>
      <c r="D114" s="13" t="inlineStr">
        <is>
          <t>OPTION 1:  Target-level reporting</t>
        </is>
      </c>
      <c r="E114" s="56">
        <f>'A1. Response summary'!M86</f>
        <v/>
      </c>
      <c r="R114" s="57" t="n"/>
    </row>
    <row r="115" ht="60" customHeight="1">
      <c r="B115" s="55" t="inlineStr">
        <is>
          <t>CL1(c)</t>
        </is>
      </c>
      <c r="D115" s="13" t="inlineStr">
        <is>
          <t>OPTION 2:  Indicator level reporting</t>
        </is>
      </c>
      <c r="E115" s="56">
        <f>'A1. Response summary'!M87</f>
        <v/>
      </c>
      <c r="R115" s="57" t="n"/>
    </row>
    <row r="116" ht="60" customHeight="1">
      <c r="B116" s="55" t="inlineStr">
        <is>
          <t>CL1(c)</t>
        </is>
      </c>
      <c r="D116" s="13" t="inlineStr">
        <is>
          <t>Supporting information/comments</t>
        </is>
      </c>
      <c r="E116" s="56">
        <f>'A1. Response summary'!M88</f>
        <v/>
      </c>
      <c r="R116" s="57" t="n"/>
    </row>
    <row r="117" ht="18" customHeight="1">
      <c r="B117" s="55" t="inlineStr">
        <is>
          <t>CL1(c)</t>
        </is>
      </c>
      <c r="D117" s="13" t="inlineStr">
        <is>
          <t>Data source and limitations</t>
        </is>
      </c>
      <c r="E117" s="56">
        <f>'A1. Response summary'!M89</f>
        <v/>
      </c>
      <c r="R117" s="57" t="n"/>
    </row>
    <row r="118" ht="18" customHeight="1">
      <c r="B118" s="55" t="inlineStr">
        <is>
          <t>CL1(c)</t>
        </is>
      </c>
      <c r="D118" s="13" t="inlineStr">
        <is>
          <t>Data owner confirms</t>
        </is>
      </c>
      <c r="E118" s="56">
        <f>'A1. Response summary'!M90</f>
        <v/>
      </c>
      <c r="R118" s="58" t="n"/>
    </row>
    <row r="120">
      <c r="B120" s="7" t="inlineStr">
        <is>
          <t>CL2(a)</t>
        </is>
      </c>
      <c r="C120" s="50" t="inlineStr">
        <is>
          <t>By 2028, develop and document institutional mapping of research and education activities that are designed to contribute to global decarbonisation</t>
        </is>
      </c>
      <c r="D120" s="53" t="inlineStr">
        <is>
          <t>Unit</t>
        </is>
      </c>
      <c r="E120" s="53" t="inlineStr">
        <is>
          <t>AC&amp;M – Advancement, Communication and Marketing</t>
        </is>
      </c>
      <c r="P120" s="54">
        <f>'A1. Response summary'!AA91</f>
        <v/>
      </c>
      <c r="Q120" s="54">
        <f>'A1. Response summary'!AC91</f>
        <v/>
      </c>
      <c r="R120" s="8" t="n"/>
    </row>
    <row r="121" ht="18" customHeight="1">
      <c r="B121" s="55" t="inlineStr">
        <is>
          <t>CL2(a)</t>
        </is>
      </c>
      <c r="D121" s="13" t="inlineStr">
        <is>
          <t>OPTION 1:  Target-level reporting</t>
        </is>
      </c>
      <c r="E121" s="56">
        <f>'A1. Response summary'!S91</f>
        <v/>
      </c>
      <c r="R121" s="57" t="n"/>
    </row>
    <row r="122" ht="60" customHeight="1">
      <c r="B122" s="55" t="inlineStr">
        <is>
          <t>CL2(a)</t>
        </is>
      </c>
      <c r="D122" s="13" t="inlineStr">
        <is>
          <t>OPTION 2:  Indicator level reporting</t>
        </is>
      </c>
      <c r="E122" s="56">
        <f>'A1. Response summary'!S92</f>
        <v/>
      </c>
      <c r="R122" s="57" t="n"/>
    </row>
    <row r="123" ht="60" customHeight="1">
      <c r="B123" s="55" t="inlineStr">
        <is>
          <t>CL2(a)</t>
        </is>
      </c>
      <c r="D123" s="13" t="inlineStr">
        <is>
          <t>Supporting information/comments</t>
        </is>
      </c>
      <c r="E123" s="56">
        <f>'A1. Response summary'!S93</f>
        <v/>
      </c>
      <c r="R123" s="57" t="n"/>
    </row>
    <row r="124" ht="18" customHeight="1">
      <c r="B124" s="55" t="inlineStr">
        <is>
          <t>CL2(a)</t>
        </is>
      </c>
      <c r="D124" s="13" t="inlineStr">
        <is>
          <t>Data source and limitations</t>
        </is>
      </c>
      <c r="E124" s="56">
        <f>'A1. Response summary'!S94</f>
        <v/>
      </c>
      <c r="R124" s="57" t="n"/>
    </row>
    <row r="125" ht="18" customHeight="1">
      <c r="B125" s="55" t="inlineStr">
        <is>
          <t>CL2(a)</t>
        </is>
      </c>
      <c r="D125" s="13" t="inlineStr">
        <is>
          <t>Data owner confirms</t>
        </is>
      </c>
      <c r="E125" s="56">
        <f>'A1. Response summary'!S95</f>
        <v/>
      </c>
      <c r="R125" s="58" t="n"/>
    </row>
    <row r="127">
      <c r="B127" s="7" t="inlineStr">
        <is>
          <t>CL2(c)</t>
        </is>
      </c>
      <c r="C127" s="50" t="inlineStr">
        <is>
          <t>Ongoing communications that evidence the University’s climate action, research and learning to inform policy, sector and community decarbonisation efforts.</t>
        </is>
      </c>
      <c r="D127" s="53" t="inlineStr">
        <is>
          <t>Unit</t>
        </is>
      </c>
      <c r="E127" s="53" t="inlineStr">
        <is>
          <t>AC&amp;M – Advancement, Communication and Marketing</t>
        </is>
      </c>
      <c r="P127" s="54">
        <f>'A1. Response summary'!AA96</f>
        <v/>
      </c>
      <c r="Q127" s="54">
        <f>'A1. Response summary'!AC96</f>
        <v/>
      </c>
      <c r="R127" s="8" t="n"/>
    </row>
    <row r="128" ht="18" customHeight="1">
      <c r="B128" s="55" t="inlineStr">
        <is>
          <t>CL2(c)</t>
        </is>
      </c>
      <c r="D128" s="13" t="inlineStr">
        <is>
          <t>OPTION 1:  Target-level reporting</t>
        </is>
      </c>
      <c r="E128" s="56">
        <f>'A1. Response summary'!S96</f>
        <v/>
      </c>
      <c r="R128" s="57" t="n"/>
    </row>
    <row r="129" ht="60" customHeight="1">
      <c r="B129" s="55" t="inlineStr">
        <is>
          <t>CL2(c)</t>
        </is>
      </c>
      <c r="D129" s="13" t="inlineStr">
        <is>
          <t>OPTION 2:  Indicator level reporting</t>
        </is>
      </c>
      <c r="E129" s="56">
        <f>'A1. Response summary'!S97</f>
        <v/>
      </c>
      <c r="R129" s="57" t="n"/>
    </row>
    <row r="130" ht="60" customHeight="1">
      <c r="B130" s="55" t="inlineStr">
        <is>
          <t>CL2(c)</t>
        </is>
      </c>
      <c r="D130" s="13" t="inlineStr">
        <is>
          <t>Supporting information/comments</t>
        </is>
      </c>
      <c r="E130" s="56">
        <f>'A1. Response summary'!S98</f>
        <v/>
      </c>
      <c r="R130" s="57" t="n"/>
    </row>
    <row r="131" ht="18" customHeight="1">
      <c r="B131" s="55" t="inlineStr">
        <is>
          <t>CL2(c)</t>
        </is>
      </c>
      <c r="D131" s="13" t="inlineStr">
        <is>
          <t>Data source and limitations</t>
        </is>
      </c>
      <c r="E131" s="56">
        <f>'A1. Response summary'!S99</f>
        <v/>
      </c>
      <c r="R131" s="57" t="n"/>
    </row>
    <row r="132" ht="18" customHeight="1">
      <c r="B132" s="55" t="inlineStr">
        <is>
          <t>CL2(c)</t>
        </is>
      </c>
      <c r="D132" s="13" t="inlineStr">
        <is>
          <t>Data owner confirms</t>
        </is>
      </c>
      <c r="E132" s="56">
        <f>'A1. Response summary'!S100</f>
        <v/>
      </c>
      <c r="R132" s="58" t="n"/>
    </row>
    <row r="134">
      <c r="B134" s="7" t="inlineStr">
        <is>
          <t>CL3(a)</t>
        </is>
      </c>
      <c r="C134"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34" s="53" t="inlineStr">
        <is>
          <t>Unit</t>
        </is>
      </c>
      <c r="E134" s="53" t="inlineStr">
        <is>
          <t>CI&amp;S – Estate Planning &amp; Development</t>
        </is>
      </c>
      <c r="F134" s="53" t="inlineStr">
        <is>
          <t>Legal &amp; Risk – Risk &amp; resilience</t>
        </is>
      </c>
      <c r="P134" s="54">
        <f>'A1. Response summary'!AA101</f>
        <v/>
      </c>
      <c r="Q134" s="54">
        <f>'A1. Response summary'!AC101</f>
        <v/>
      </c>
      <c r="R134" s="8" t="n"/>
    </row>
    <row r="135" ht="18" customHeight="1">
      <c r="B135" s="55" t="inlineStr">
        <is>
          <t>CL3(a)</t>
        </is>
      </c>
      <c r="D135" s="13" t="inlineStr">
        <is>
          <t>OPTION 1:  Target-level reporting</t>
        </is>
      </c>
      <c r="E135" s="56">
        <f>'A1. Response summary'!L101</f>
        <v/>
      </c>
      <c r="F135" s="56">
        <f>'A1. Response summary'!X101</f>
        <v/>
      </c>
      <c r="R135" s="57" t="n"/>
    </row>
    <row r="136" ht="60" customHeight="1">
      <c r="B136" s="55" t="inlineStr">
        <is>
          <t>CL3(a)</t>
        </is>
      </c>
      <c r="D136" s="13" t="inlineStr">
        <is>
          <t>OPTION 2:  Indicator level reporting</t>
        </is>
      </c>
      <c r="E136" s="56">
        <f>'A1. Response summary'!L102</f>
        <v/>
      </c>
      <c r="F136" s="56">
        <f>'A1. Response summary'!X102</f>
        <v/>
      </c>
      <c r="R136" s="57" t="n"/>
    </row>
    <row r="137" ht="60" customHeight="1">
      <c r="B137" s="55" t="inlineStr">
        <is>
          <t>CL3(a)</t>
        </is>
      </c>
      <c r="D137" s="13" t="inlineStr">
        <is>
          <t>Supporting information/comments</t>
        </is>
      </c>
      <c r="E137" s="56">
        <f>'A1. Response summary'!L103</f>
        <v/>
      </c>
      <c r="F137" s="56">
        <f>'A1. Response summary'!X103</f>
        <v/>
      </c>
      <c r="R137" s="57" t="n"/>
    </row>
    <row r="138" ht="18" customHeight="1">
      <c r="B138" s="55" t="inlineStr">
        <is>
          <t>CL3(a)</t>
        </is>
      </c>
      <c r="D138" s="13" t="inlineStr">
        <is>
          <t>Data source and limitations</t>
        </is>
      </c>
      <c r="E138" s="56">
        <f>'A1. Response summary'!L104</f>
        <v/>
      </c>
      <c r="F138" s="56">
        <f>'A1. Response summary'!X104</f>
        <v/>
      </c>
      <c r="R138" s="57" t="n"/>
    </row>
    <row r="139" ht="18" customHeight="1">
      <c r="B139" s="55" t="inlineStr">
        <is>
          <t>CL3(a)</t>
        </is>
      </c>
      <c r="D139" s="13" t="inlineStr">
        <is>
          <t>Data owner confirms</t>
        </is>
      </c>
      <c r="E139" s="56">
        <f>'A1. Response summary'!L105</f>
        <v/>
      </c>
      <c r="F139" s="56">
        <f>'A1. Response summary'!X105</f>
        <v/>
      </c>
      <c r="R139" s="58" t="n"/>
    </row>
    <row r="141">
      <c r="B141" s="7" t="inlineStr">
        <is>
          <t>NB1(b)</t>
        </is>
      </c>
      <c r="C141" s="50" t="inlineStr">
        <is>
          <t>Size, health and diversity of remnant vegetation at the Dookie and Creswick campuses</t>
        </is>
      </c>
      <c r="D141" s="53" t="inlineStr">
        <is>
          <t>Unit</t>
        </is>
      </c>
      <c r="E141" s="53" t="inlineStr">
        <is>
          <t>ESG – Campus Operations &amp; Sustainability Delivery</t>
        </is>
      </c>
      <c r="P141" s="54">
        <f>'A1. Response summary'!AA106</f>
        <v/>
      </c>
      <c r="Q141" s="54">
        <f>'A1. Response summary'!AC106</f>
        <v/>
      </c>
      <c r="R141" s="8" t="n"/>
    </row>
    <row r="142" ht="18" customHeight="1">
      <c r="B142" s="55" t="inlineStr">
        <is>
          <t>NB1(b)</t>
        </is>
      </c>
      <c r="D142" s="13" t="inlineStr">
        <is>
          <t>OPTION 1:  Target-level reporting</t>
        </is>
      </c>
      <c r="E142" s="56">
        <f>'A1. Response summary'!P106</f>
        <v/>
      </c>
      <c r="R142" s="57" t="n"/>
    </row>
    <row r="143" ht="60" customHeight="1">
      <c r="B143" s="55" t="inlineStr">
        <is>
          <t>NB1(b)</t>
        </is>
      </c>
      <c r="D143" s="13" t="inlineStr">
        <is>
          <t>OPTION 2:  Indicator level reporting</t>
        </is>
      </c>
      <c r="E143" s="56">
        <f>'A1. Response summary'!P107</f>
        <v/>
      </c>
      <c r="R143" s="57" t="n"/>
    </row>
    <row r="144" ht="60" customHeight="1">
      <c r="B144" s="55" t="inlineStr">
        <is>
          <t>NB1(b)</t>
        </is>
      </c>
      <c r="D144" s="13" t="inlineStr">
        <is>
          <t>Supporting information/comments</t>
        </is>
      </c>
      <c r="E144" s="56">
        <f>'A1. Response summary'!P108</f>
        <v/>
      </c>
      <c r="R144" s="57" t="n"/>
    </row>
    <row r="145" ht="18" customHeight="1">
      <c r="B145" s="55" t="inlineStr">
        <is>
          <t>NB1(b)</t>
        </is>
      </c>
      <c r="D145" s="13" t="inlineStr">
        <is>
          <t>Data source and limitations</t>
        </is>
      </c>
      <c r="E145" s="56">
        <f>'A1. Response summary'!P109</f>
        <v/>
      </c>
      <c r="R145" s="57" t="n"/>
    </row>
    <row r="146" ht="18" customHeight="1">
      <c r="B146" s="55" t="inlineStr">
        <is>
          <t>NB1(b)</t>
        </is>
      </c>
      <c r="D146" s="13" t="inlineStr">
        <is>
          <t>Data owner confirms</t>
        </is>
      </c>
      <c r="E146" s="56">
        <f>'A1. Response summary'!P110</f>
        <v/>
      </c>
      <c r="R146" s="58" t="n"/>
    </row>
    <row r="148">
      <c r="B148" s="7" t="inlineStr">
        <is>
          <t>NB1(c)</t>
        </is>
      </c>
      <c r="C148" s="50" t="inlineStr">
        <is>
          <t>Defined quality measurement framework</t>
        </is>
      </c>
      <c r="D148" s="53" t="inlineStr">
        <is>
          <t>Unit</t>
        </is>
      </c>
      <c r="E148" s="53" t="inlineStr">
        <is>
          <t>ESG – Campus Operations &amp; Sustainability Delivery</t>
        </is>
      </c>
      <c r="P148" s="54">
        <f>'A1. Response summary'!AA111</f>
        <v/>
      </c>
      <c r="Q148" s="54">
        <f>'A1. Response summary'!AC111</f>
        <v/>
      </c>
      <c r="R148" s="8" t="n"/>
    </row>
    <row r="149" ht="18" customHeight="1">
      <c r="B149" s="55" t="inlineStr">
        <is>
          <t>NB1(c)</t>
        </is>
      </c>
      <c r="D149" s="13" t="inlineStr">
        <is>
          <t>OPTION 1:  Target-level reporting</t>
        </is>
      </c>
      <c r="E149" s="56">
        <f>'A1. Response summary'!P111</f>
        <v/>
      </c>
      <c r="R149" s="57" t="n"/>
    </row>
    <row r="150" ht="60" customHeight="1">
      <c r="B150" s="55" t="inlineStr">
        <is>
          <t>NB1(c)</t>
        </is>
      </c>
      <c r="D150" s="13" t="inlineStr">
        <is>
          <t>OPTION 2:  Indicator level reporting</t>
        </is>
      </c>
      <c r="E150" s="56">
        <f>'A1. Response summary'!P112</f>
        <v/>
      </c>
      <c r="R150" s="57" t="n"/>
    </row>
    <row r="151" ht="60" customHeight="1">
      <c r="B151" s="55" t="inlineStr">
        <is>
          <t>NB1(c)</t>
        </is>
      </c>
      <c r="D151" s="13" t="inlineStr">
        <is>
          <t>Supporting information/comments</t>
        </is>
      </c>
      <c r="E151" s="56">
        <f>'A1. Response summary'!P113</f>
        <v/>
      </c>
      <c r="R151" s="57" t="n"/>
    </row>
    <row r="152" ht="18" customHeight="1">
      <c r="B152" s="55" t="inlineStr">
        <is>
          <t>NB1(c)</t>
        </is>
      </c>
      <c r="D152" s="13" t="inlineStr">
        <is>
          <t>Data source and limitations</t>
        </is>
      </c>
      <c r="E152" s="56">
        <f>'A1. Response summary'!P114</f>
        <v/>
      </c>
      <c r="R152" s="57" t="n"/>
    </row>
    <row r="153" ht="18" customHeight="1">
      <c r="B153" s="55" t="inlineStr">
        <is>
          <t>NB1(c)</t>
        </is>
      </c>
      <c r="D153" s="13" t="inlineStr">
        <is>
          <t>Data owner confirms</t>
        </is>
      </c>
      <c r="E153" s="56">
        <f>'A1. Response summary'!P115</f>
        <v/>
      </c>
      <c r="R153" s="58" t="n"/>
    </row>
    <row r="155">
      <c r="B155" s="7" t="inlineStr">
        <is>
          <t>NB1(d)</t>
        </is>
      </c>
      <c r="C155" s="50" t="inlineStr">
        <is>
          <t>Defined and quantified campus connectivity</t>
        </is>
      </c>
      <c r="D155" s="53" t="inlineStr">
        <is>
          <t>Unit</t>
        </is>
      </c>
      <c r="E155" s="53" t="inlineStr">
        <is>
          <t>ESG – Campus Operations &amp; Sustainability Delivery</t>
        </is>
      </c>
      <c r="P155" s="54">
        <f>'A1. Response summary'!AA116</f>
        <v/>
      </c>
      <c r="Q155" s="54">
        <f>'A1. Response summary'!AC116</f>
        <v/>
      </c>
      <c r="R155" s="8" t="n"/>
    </row>
    <row r="156" ht="18" customHeight="1">
      <c r="B156" s="55" t="inlineStr">
        <is>
          <t>NB1(d)</t>
        </is>
      </c>
      <c r="D156" s="13" t="inlineStr">
        <is>
          <t>OPTION 1:  Target-level reporting</t>
        </is>
      </c>
      <c r="E156" s="56">
        <f>'A1. Response summary'!P116</f>
        <v/>
      </c>
      <c r="R156" s="57" t="n"/>
    </row>
    <row r="157" ht="60" customHeight="1">
      <c r="B157" s="55" t="inlineStr">
        <is>
          <t>NB1(d)</t>
        </is>
      </c>
      <c r="D157" s="13" t="inlineStr">
        <is>
          <t>OPTION 2:  Indicator level reporting</t>
        </is>
      </c>
      <c r="E157" s="56">
        <f>'A1. Response summary'!P117</f>
        <v/>
      </c>
      <c r="R157" s="57" t="n"/>
    </row>
    <row r="158" ht="60" customHeight="1">
      <c r="B158" s="55" t="inlineStr">
        <is>
          <t>NB1(d)</t>
        </is>
      </c>
      <c r="D158" s="13" t="inlineStr">
        <is>
          <t>Supporting information/comments</t>
        </is>
      </c>
      <c r="E158" s="56">
        <f>'A1. Response summary'!P118</f>
        <v/>
      </c>
      <c r="R158" s="57" t="n"/>
    </row>
    <row r="159" ht="18" customHeight="1">
      <c r="B159" s="55" t="inlineStr">
        <is>
          <t>NB1(d)</t>
        </is>
      </c>
      <c r="D159" s="13" t="inlineStr">
        <is>
          <t>Data source and limitations</t>
        </is>
      </c>
      <c r="E159" s="56">
        <f>'A1. Response summary'!P119</f>
        <v/>
      </c>
      <c r="R159" s="57" t="n"/>
    </row>
    <row r="160" ht="18" customHeight="1">
      <c r="B160" s="55" t="inlineStr">
        <is>
          <t>NB1(d)</t>
        </is>
      </c>
      <c r="D160" s="13" t="inlineStr">
        <is>
          <t>Data owner confirms</t>
        </is>
      </c>
      <c r="E160" s="56">
        <f>'A1. Response summary'!P120</f>
        <v/>
      </c>
      <c r="R160" s="58" t="n"/>
    </row>
    <row r="162">
      <c r="B162" s="7" t="inlineStr">
        <is>
          <t>NB2(a)</t>
        </is>
      </c>
      <c r="C162" s="50" t="inlineStr">
        <is>
          <t>Documented baseline nature footprint analysis</t>
        </is>
      </c>
      <c r="D162" s="53" t="inlineStr">
        <is>
          <t>Unit</t>
        </is>
      </c>
      <c r="E162" s="53" t="inlineStr">
        <is>
          <t>MRE – Research</t>
        </is>
      </c>
      <c r="P162" s="54">
        <f>'A1. Response summary'!AA121</f>
        <v/>
      </c>
      <c r="Q162" s="54">
        <f>'A1. Response summary'!AC121</f>
        <v/>
      </c>
      <c r="R162" s="8" t="n"/>
    </row>
    <row r="163" ht="18" customHeight="1">
      <c r="B163" s="55" t="inlineStr">
        <is>
          <t>NB2(a)</t>
        </is>
      </c>
      <c r="D163" s="13" t="inlineStr">
        <is>
          <t>OPTION 1:  Target-level reporting</t>
        </is>
      </c>
      <c r="E163" s="56">
        <f>'A1. Response summary'!R121</f>
        <v/>
      </c>
      <c r="R163" s="57" t="n"/>
    </row>
    <row r="164" ht="60" customHeight="1">
      <c r="B164" s="55" t="inlineStr">
        <is>
          <t>NB2(a)</t>
        </is>
      </c>
      <c r="D164" s="13" t="inlineStr">
        <is>
          <t>OPTION 2:  Indicator level reporting</t>
        </is>
      </c>
      <c r="E164" s="56">
        <f>'A1. Response summary'!R122</f>
        <v/>
      </c>
      <c r="R164" s="57" t="n"/>
    </row>
    <row r="165" ht="60" customHeight="1">
      <c r="B165" s="55" t="inlineStr">
        <is>
          <t>NB2(a)</t>
        </is>
      </c>
      <c r="D165" s="13" t="inlineStr">
        <is>
          <t>Supporting information/comments</t>
        </is>
      </c>
      <c r="E165" s="56">
        <f>'A1. Response summary'!R123</f>
        <v/>
      </c>
      <c r="R165" s="57" t="n"/>
    </row>
    <row r="166" ht="18" customHeight="1">
      <c r="B166" s="55" t="inlineStr">
        <is>
          <t>NB2(a)</t>
        </is>
      </c>
      <c r="D166" s="13" t="inlineStr">
        <is>
          <t>Data source and limitations</t>
        </is>
      </c>
      <c r="E166" s="56">
        <f>'A1. Response summary'!R124</f>
        <v/>
      </c>
      <c r="R166" s="57" t="n"/>
    </row>
    <row r="167" ht="18" customHeight="1">
      <c r="B167" s="55" t="inlineStr">
        <is>
          <t>NB2(a)</t>
        </is>
      </c>
      <c r="D167" s="13" t="inlineStr">
        <is>
          <t>Data owner confirms</t>
        </is>
      </c>
      <c r="E167" s="56">
        <f>'A1. Response summary'!R125</f>
        <v/>
      </c>
      <c r="R167" s="58" t="n"/>
    </row>
    <row r="169">
      <c r="B169" s="7" t="inlineStr">
        <is>
          <t>NB2(b)</t>
        </is>
      </c>
      <c r="C169" s="50" t="inlineStr">
        <is>
          <t>Evidence of established framework to monitor and track supply-chain nature impacts over time</t>
        </is>
      </c>
      <c r="D169" s="53" t="inlineStr">
        <is>
          <t>Unit</t>
        </is>
      </c>
      <c r="E169" s="53" t="inlineStr">
        <is>
          <t>ESG – Campus Operations &amp; Sustainability Delivery</t>
        </is>
      </c>
      <c r="P169" s="54">
        <f>'A1. Response summary'!AA126</f>
        <v/>
      </c>
      <c r="Q169" s="54">
        <f>'A1. Response summary'!AC126</f>
        <v/>
      </c>
      <c r="R169" s="8" t="n"/>
    </row>
    <row r="170" ht="18" customHeight="1">
      <c r="B170" s="55" t="inlineStr">
        <is>
          <t>NB2(b)</t>
        </is>
      </c>
      <c r="D170" s="13" t="inlineStr">
        <is>
          <t>OPTION 1:  Target-level reporting</t>
        </is>
      </c>
      <c r="E170" s="56">
        <f>'A1. Response summary'!P126</f>
        <v/>
      </c>
      <c r="R170" s="57" t="n"/>
    </row>
    <row r="171" ht="60" customHeight="1">
      <c r="B171" s="55" t="inlineStr">
        <is>
          <t>NB2(b)</t>
        </is>
      </c>
      <c r="D171" s="13" t="inlineStr">
        <is>
          <t>OPTION 2:  Indicator level reporting</t>
        </is>
      </c>
      <c r="E171" s="56">
        <f>'A1. Response summary'!P127</f>
        <v/>
      </c>
      <c r="R171" s="57" t="n"/>
    </row>
    <row r="172" ht="60" customHeight="1">
      <c r="B172" s="55" t="inlineStr">
        <is>
          <t>NB2(b)</t>
        </is>
      </c>
      <c r="D172" s="13" t="inlineStr">
        <is>
          <t>Supporting information/comments</t>
        </is>
      </c>
      <c r="E172" s="56">
        <f>'A1. Response summary'!P128</f>
        <v/>
      </c>
      <c r="R172" s="57" t="n"/>
    </row>
    <row r="173" ht="18" customHeight="1">
      <c r="B173" s="55" t="inlineStr">
        <is>
          <t>NB2(b)</t>
        </is>
      </c>
      <c r="D173" s="13" t="inlineStr">
        <is>
          <t>Data source and limitations</t>
        </is>
      </c>
      <c r="E173" s="56">
        <f>'A1. Response summary'!P129</f>
        <v/>
      </c>
      <c r="R173" s="57" t="n"/>
    </row>
    <row r="174" ht="18" customHeight="1">
      <c r="B174" s="55" t="inlineStr">
        <is>
          <t>NB2(b)</t>
        </is>
      </c>
      <c r="D174" s="13" t="inlineStr">
        <is>
          <t>Data owner confirms</t>
        </is>
      </c>
      <c r="E174" s="56">
        <f>'A1. Response summary'!P130</f>
        <v/>
      </c>
      <c r="R174" s="58" t="n"/>
    </row>
    <row r="176">
      <c r="B176" s="7" t="inlineStr">
        <is>
          <t>NB2(c)</t>
        </is>
      </c>
      <c r="C176" s="50" t="inlineStr">
        <is>
          <t>Evidence of prioritised high risk procurement categories or suppliers for nature impact management</t>
        </is>
      </c>
      <c r="D176" s="53" t="inlineStr">
        <is>
          <t>Unit</t>
        </is>
      </c>
      <c r="E176" s="53" t="inlineStr">
        <is>
          <t>CFOG – Procurement</t>
        </is>
      </c>
      <c r="F176" s="53" t="inlineStr">
        <is>
          <t>ESG – Campus Operations &amp; Sustainability Delivery</t>
        </is>
      </c>
      <c r="P176" s="54">
        <f>'A1. Response summary'!AA131</f>
        <v/>
      </c>
      <c r="Q176" s="54">
        <f>'A1. Response summary'!AC131</f>
        <v/>
      </c>
      <c r="R176" s="8" t="n"/>
    </row>
    <row r="177" ht="18" customHeight="1">
      <c r="B177" s="55" t="inlineStr">
        <is>
          <t>NB2(c)</t>
        </is>
      </c>
      <c r="D177" s="13" t="inlineStr">
        <is>
          <t>OPTION 1:  Target-level reporting</t>
        </is>
      </c>
      <c r="E177" s="56">
        <f>'A1. Response summary'!N131</f>
        <v/>
      </c>
      <c r="F177" s="56">
        <f>'A1. Response summary'!P131</f>
        <v/>
      </c>
      <c r="R177" s="57" t="n"/>
    </row>
    <row r="178" ht="60" customHeight="1">
      <c r="B178" s="55" t="inlineStr">
        <is>
          <t>NB2(c)</t>
        </is>
      </c>
      <c r="D178" s="13" t="inlineStr">
        <is>
          <t>OPTION 2:  Indicator level reporting</t>
        </is>
      </c>
      <c r="E178" s="56">
        <f>'A1. Response summary'!N132</f>
        <v/>
      </c>
      <c r="F178" s="56">
        <f>'A1. Response summary'!P132</f>
        <v/>
      </c>
      <c r="R178" s="57" t="n"/>
    </row>
    <row r="179" ht="60" customHeight="1">
      <c r="B179" s="55" t="inlineStr">
        <is>
          <t>NB2(c)</t>
        </is>
      </c>
      <c r="D179" s="13" t="inlineStr">
        <is>
          <t>Supporting information/comments</t>
        </is>
      </c>
      <c r="E179" s="56">
        <f>'A1. Response summary'!N133</f>
        <v/>
      </c>
      <c r="F179" s="56">
        <f>'A1. Response summary'!P133</f>
        <v/>
      </c>
      <c r="R179" s="57" t="n"/>
    </row>
    <row r="180" ht="18" customHeight="1">
      <c r="B180" s="55" t="inlineStr">
        <is>
          <t>NB2(c)</t>
        </is>
      </c>
      <c r="D180" s="13" t="inlineStr">
        <is>
          <t>Data source and limitations</t>
        </is>
      </c>
      <c r="E180" s="56">
        <f>'A1. Response summary'!N134</f>
        <v/>
      </c>
      <c r="F180" s="56">
        <f>'A1. Response summary'!P134</f>
        <v/>
      </c>
      <c r="R180" s="57" t="n"/>
    </row>
    <row r="181" ht="18" customHeight="1">
      <c r="B181" s="55" t="inlineStr">
        <is>
          <t>NB2(c)</t>
        </is>
      </c>
      <c r="D181" s="13" t="inlineStr">
        <is>
          <t>Data owner confirms</t>
        </is>
      </c>
      <c r="E181" s="56">
        <f>'A1. Response summary'!N135</f>
        <v/>
      </c>
      <c r="F181" s="56">
        <f>'A1. Response summary'!P135</f>
        <v/>
      </c>
      <c r="R181" s="58" t="n"/>
    </row>
    <row r="183">
      <c r="B183" s="7" t="inlineStr">
        <is>
          <t>AI1(a)</t>
        </is>
      </c>
      <c r="C183" s="50" t="inlineStr">
        <is>
          <t>Established measurement of estimated operational impacts and opportunities (eg operational impacts could include energy, water, emissions and intensity measures)</t>
        </is>
      </c>
      <c r="D183" s="53" t="inlineStr">
        <is>
          <t>Unit</t>
        </is>
      </c>
      <c r="E183" s="53" t="inlineStr">
        <is>
          <t>CI&amp;S – Sustainability Strategy</t>
        </is>
      </c>
      <c r="F183" s="53" t="inlineStr">
        <is>
          <t>CIOG – Responsible AI &amp; digital</t>
        </is>
      </c>
      <c r="P183" s="54">
        <f>'A1. Response summary'!AA136</f>
        <v/>
      </c>
      <c r="Q183" s="54">
        <f>'A1. Response summary'!AC136</f>
        <v/>
      </c>
      <c r="R183" s="8" t="n"/>
    </row>
    <row r="184" ht="18" customHeight="1">
      <c r="B184" s="55" t="inlineStr">
        <is>
          <t>AI1(a)</t>
        </is>
      </c>
      <c r="D184" s="13" t="inlineStr">
        <is>
          <t>OPTION 1:  Target-level reporting</t>
        </is>
      </c>
      <c r="E184" s="56">
        <f>'A1. Response summary'!M136</f>
        <v/>
      </c>
      <c r="F184" s="56">
        <f>'A1. Response summary'!Q136</f>
        <v/>
      </c>
      <c r="R184" s="57" t="n"/>
    </row>
    <row r="185" ht="60" customHeight="1">
      <c r="B185" s="55" t="inlineStr">
        <is>
          <t>AI1(a)</t>
        </is>
      </c>
      <c r="D185" s="13" t="inlineStr">
        <is>
          <t>OPTION 2:  Indicator level reporting</t>
        </is>
      </c>
      <c r="E185" s="56">
        <f>'A1. Response summary'!M137</f>
        <v/>
      </c>
      <c r="F185" s="56">
        <f>'A1. Response summary'!Q137</f>
        <v/>
      </c>
      <c r="R185" s="57" t="n"/>
    </row>
    <row r="186" ht="60" customHeight="1">
      <c r="B186" s="55" t="inlineStr">
        <is>
          <t>AI1(a)</t>
        </is>
      </c>
      <c r="D186" s="13" t="inlineStr">
        <is>
          <t>Supporting information/comments</t>
        </is>
      </c>
      <c r="E186" s="56">
        <f>'A1. Response summary'!M138</f>
        <v/>
      </c>
      <c r="F186" s="56">
        <f>'A1. Response summary'!Q138</f>
        <v/>
      </c>
      <c r="R186" s="57" t="n"/>
    </row>
    <row r="187" ht="18" customHeight="1">
      <c r="B187" s="55" t="inlineStr">
        <is>
          <t>AI1(a)</t>
        </is>
      </c>
      <c r="D187" s="13" t="inlineStr">
        <is>
          <t>Data source and limitations</t>
        </is>
      </c>
      <c r="E187" s="56">
        <f>'A1. Response summary'!M139</f>
        <v/>
      </c>
      <c r="F187" s="56">
        <f>'A1. Response summary'!Q139</f>
        <v/>
      </c>
      <c r="R187" s="57" t="n"/>
    </row>
    <row r="188" ht="18" customHeight="1">
      <c r="B188" s="55" t="inlineStr">
        <is>
          <t>AI1(a)</t>
        </is>
      </c>
      <c r="D188" s="13" t="inlineStr">
        <is>
          <t>Data owner confirms</t>
        </is>
      </c>
      <c r="E188" s="56">
        <f>'A1. Response summary'!M140</f>
        <v/>
      </c>
      <c r="F188" s="56">
        <f>'A1. Response summary'!Q140</f>
        <v/>
      </c>
      <c r="R188" s="58" t="n"/>
    </row>
    <row r="190">
      <c r="B190" s="7" t="inlineStr">
        <is>
          <t>AI1(b)</t>
        </is>
      </c>
      <c r="C190" s="50" t="inlineStr">
        <is>
          <t>Case studies of sustainability and AI-related education, research and collaboration activities.</t>
        </is>
      </c>
      <c r="D190" s="53" t="inlineStr">
        <is>
          <t>Unit</t>
        </is>
      </c>
      <c r="E190" s="53" t="inlineStr">
        <is>
          <t>CI&amp;S – Sustainability Strategy</t>
        </is>
      </c>
      <c r="F190" s="53" t="inlineStr">
        <is>
          <t>CIOG – Responsible AI &amp; digital</t>
        </is>
      </c>
      <c r="P190" s="54">
        <f>'A1. Response summary'!AA141</f>
        <v/>
      </c>
      <c r="Q190" s="54">
        <f>'A1. Response summary'!AC141</f>
        <v/>
      </c>
      <c r="R190" s="8" t="n"/>
    </row>
    <row r="191" ht="18" customHeight="1">
      <c r="B191" s="55" t="inlineStr">
        <is>
          <t>AI1(b)</t>
        </is>
      </c>
      <c r="D191" s="13" t="inlineStr">
        <is>
          <t>OPTION 1:  Target-level reporting</t>
        </is>
      </c>
      <c r="E191" s="56">
        <f>'A1. Response summary'!M141</f>
        <v/>
      </c>
      <c r="F191" s="56">
        <f>'A1. Response summary'!Q141</f>
        <v/>
      </c>
      <c r="R191" s="57" t="n"/>
    </row>
    <row r="192" ht="60" customHeight="1">
      <c r="B192" s="55" t="inlineStr">
        <is>
          <t>AI1(b)</t>
        </is>
      </c>
      <c r="D192" s="13" t="inlineStr">
        <is>
          <t>OPTION 2:  Indicator level reporting</t>
        </is>
      </c>
      <c r="E192" s="56">
        <f>'A1. Response summary'!M142</f>
        <v/>
      </c>
      <c r="F192" s="56">
        <f>'A1. Response summary'!Q142</f>
        <v/>
      </c>
      <c r="R192" s="57" t="n"/>
    </row>
    <row r="193" ht="60" customHeight="1">
      <c r="B193" s="55" t="inlineStr">
        <is>
          <t>AI1(b)</t>
        </is>
      </c>
      <c r="D193" s="13" t="inlineStr">
        <is>
          <t>Supporting information/comments</t>
        </is>
      </c>
      <c r="E193" s="56">
        <f>'A1. Response summary'!M143</f>
        <v/>
      </c>
      <c r="F193" s="56">
        <f>'A1. Response summary'!Q143</f>
        <v/>
      </c>
      <c r="R193" s="57" t="n"/>
    </row>
    <row r="194" ht="18" customHeight="1">
      <c r="B194" s="55" t="inlineStr">
        <is>
          <t>AI1(b)</t>
        </is>
      </c>
      <c r="D194" s="13" t="inlineStr">
        <is>
          <t>Data source and limitations</t>
        </is>
      </c>
      <c r="E194" s="56">
        <f>'A1. Response summary'!M144</f>
        <v/>
      </c>
      <c r="F194" s="56">
        <f>'A1. Response summary'!Q144</f>
        <v/>
      </c>
      <c r="R194" s="57" t="n"/>
    </row>
    <row r="195" ht="18" customHeight="1">
      <c r="B195" s="55" t="inlineStr">
        <is>
          <t>AI1(b)</t>
        </is>
      </c>
      <c r="D195" s="13" t="inlineStr">
        <is>
          <t>Data owner confirms</t>
        </is>
      </c>
      <c r="E195" s="56">
        <f>'A1. Response summary'!M145</f>
        <v/>
      </c>
      <c r="F195" s="56">
        <f>'A1. Response summary'!Q145</f>
        <v/>
      </c>
      <c r="R195" s="58" t="n"/>
    </row>
    <row r="197">
      <c r="B197" s="7" t="inlineStr">
        <is>
          <t>EI1(a)</t>
        </is>
      </c>
      <c r="C197" s="50" t="inlineStr">
        <is>
          <t>Evidence of increased maturity of estate and infrastructure planning, development and operations to support the other priority areas in Sustainability 2030</t>
        </is>
      </c>
      <c r="D197" s="53" t="inlineStr">
        <is>
          <t>Unit</t>
        </is>
      </c>
      <c r="E197" s="53" t="inlineStr">
        <is>
          <t>CI&amp;S – Estate Planning &amp; Development</t>
        </is>
      </c>
      <c r="P197" s="54">
        <f>'A1. Response summary'!AA146</f>
        <v/>
      </c>
      <c r="Q197" s="54">
        <f>'A1. Response summary'!AC146</f>
        <v/>
      </c>
      <c r="R197" s="8" t="n"/>
    </row>
    <row r="198" ht="18" customHeight="1">
      <c r="B198" s="55" t="inlineStr">
        <is>
          <t>EI1(a)</t>
        </is>
      </c>
      <c r="D198" s="13" t="inlineStr">
        <is>
          <t>OPTION 1:  Target-level reporting</t>
        </is>
      </c>
      <c r="E198" s="56">
        <f>'A1. Response summary'!L146</f>
        <v/>
      </c>
      <c r="R198" s="57" t="n"/>
    </row>
    <row r="199" ht="60" customHeight="1">
      <c r="B199" s="55" t="inlineStr">
        <is>
          <t>EI1(a)</t>
        </is>
      </c>
      <c r="D199" s="13" t="inlineStr">
        <is>
          <t>OPTION 2:  Indicator level reporting</t>
        </is>
      </c>
      <c r="E199" s="56">
        <f>'A1. Response summary'!L147</f>
        <v/>
      </c>
      <c r="R199" s="57" t="n"/>
    </row>
    <row r="200" ht="60" customHeight="1">
      <c r="B200" s="55" t="inlineStr">
        <is>
          <t>EI1(a)</t>
        </is>
      </c>
      <c r="D200" s="13" t="inlineStr">
        <is>
          <t>Supporting information/comments</t>
        </is>
      </c>
      <c r="E200" s="56">
        <f>'A1. Response summary'!L148</f>
        <v/>
      </c>
      <c r="R200" s="57" t="n"/>
    </row>
    <row r="201" ht="18" customHeight="1">
      <c r="B201" s="55" t="inlineStr">
        <is>
          <t>EI1(a)</t>
        </is>
      </c>
      <c r="D201" s="13" t="inlineStr">
        <is>
          <t>Data source and limitations</t>
        </is>
      </c>
      <c r="E201" s="56">
        <f>'A1. Response summary'!L149</f>
        <v/>
      </c>
      <c r="R201" s="57" t="n"/>
    </row>
    <row r="202" ht="18" customHeight="1">
      <c r="B202" s="55" t="inlineStr">
        <is>
          <t>EI1(a)</t>
        </is>
      </c>
      <c r="D202" s="13" t="inlineStr">
        <is>
          <t>Data owner confirms</t>
        </is>
      </c>
      <c r="E202" s="56">
        <f>'A1. Response summary'!L150</f>
        <v/>
      </c>
      <c r="R202" s="58" t="n"/>
    </row>
    <row r="204">
      <c r="B204" s="7" t="inlineStr">
        <is>
          <t>EI1(b)</t>
        </is>
      </c>
      <c r="C204" s="50" t="inlineStr">
        <is>
          <t>Estimated sustainability impacts of the University’s estate and infrastructure capital plan to inform progress towards emissions reduction targets and other priority areas (to the extent enabled by available information)</t>
        </is>
      </c>
      <c r="D204" s="53" t="inlineStr">
        <is>
          <t>Unit</t>
        </is>
      </c>
      <c r="E204" s="53" t="inlineStr">
        <is>
          <t>CI&amp;S – Estate Planning &amp; Development</t>
        </is>
      </c>
      <c r="P204" s="54">
        <f>'A1. Response summary'!AA151</f>
        <v/>
      </c>
      <c r="Q204" s="54">
        <f>'A1. Response summary'!AC151</f>
        <v/>
      </c>
      <c r="R204" s="8" t="n"/>
    </row>
    <row r="205" ht="18" customHeight="1">
      <c r="B205" s="55" t="inlineStr">
        <is>
          <t>EI1(b)</t>
        </is>
      </c>
      <c r="D205" s="13" t="inlineStr">
        <is>
          <t>OPTION 1:  Target-level reporting</t>
        </is>
      </c>
      <c r="E205" s="56">
        <f>'A1. Response summary'!L151</f>
        <v/>
      </c>
      <c r="R205" s="57" t="n"/>
    </row>
    <row r="206" ht="60" customHeight="1">
      <c r="B206" s="55" t="inlineStr">
        <is>
          <t>EI1(b)</t>
        </is>
      </c>
      <c r="D206" s="13" t="inlineStr">
        <is>
          <t>OPTION 2:  Indicator level reporting</t>
        </is>
      </c>
      <c r="E206" s="56">
        <f>'A1. Response summary'!L152</f>
        <v/>
      </c>
      <c r="R206" s="57" t="n"/>
    </row>
    <row r="207" ht="60" customHeight="1">
      <c r="B207" s="55" t="inlineStr">
        <is>
          <t>EI1(b)</t>
        </is>
      </c>
      <c r="D207" s="13" t="inlineStr">
        <is>
          <t>Supporting information/comments</t>
        </is>
      </c>
      <c r="E207" s="56">
        <f>'A1. Response summary'!L153</f>
        <v/>
      </c>
      <c r="R207" s="57" t="n"/>
    </row>
    <row r="208" ht="18" customHeight="1">
      <c r="B208" s="55" t="inlineStr">
        <is>
          <t>EI1(b)</t>
        </is>
      </c>
      <c r="D208" s="13" t="inlineStr">
        <is>
          <t>Data source and limitations</t>
        </is>
      </c>
      <c r="E208" s="56">
        <f>'A1. Response summary'!L154</f>
        <v/>
      </c>
      <c r="R208" s="57" t="n"/>
    </row>
    <row r="209" ht="18" customHeight="1">
      <c r="B209" s="55" t="inlineStr">
        <is>
          <t>EI1(b)</t>
        </is>
      </c>
      <c r="D209" s="13" t="inlineStr">
        <is>
          <t>Data owner confirms</t>
        </is>
      </c>
      <c r="E209" s="56">
        <f>'A1. Response summary'!L155</f>
        <v/>
      </c>
      <c r="R209" s="58" t="n"/>
    </row>
    <row r="211">
      <c r="B211" s="7" t="inlineStr">
        <is>
          <t>EI1(c)</t>
        </is>
      </c>
      <c r="C211" s="50" t="inlineStr">
        <is>
          <t>Reporting on relevant activities and impacts for the University’s major estate and infrastructure projects and programs aligned with the other priority areas in Sustainability 2030</t>
        </is>
      </c>
      <c r="D211" s="53" t="inlineStr">
        <is>
          <t>Unit</t>
        </is>
      </c>
      <c r="E211" s="53" t="inlineStr">
        <is>
          <t>CI&amp;S – Estate Planning &amp; Development</t>
        </is>
      </c>
      <c r="P211" s="54">
        <f>'A1. Response summary'!AA156</f>
        <v/>
      </c>
      <c r="Q211" s="54">
        <f>'A1. Response summary'!AC156</f>
        <v/>
      </c>
      <c r="R211" s="8" t="n"/>
    </row>
    <row r="212" ht="18" customHeight="1">
      <c r="B212" s="55" t="inlineStr">
        <is>
          <t>EI1(c)</t>
        </is>
      </c>
      <c r="D212" s="13" t="inlineStr">
        <is>
          <t>OPTION 1:  Target-level reporting</t>
        </is>
      </c>
      <c r="E212" s="56">
        <f>'A1. Response summary'!L156</f>
        <v/>
      </c>
      <c r="R212" s="57" t="n"/>
    </row>
    <row r="213" ht="60" customHeight="1">
      <c r="B213" s="55" t="inlineStr">
        <is>
          <t>EI1(c)</t>
        </is>
      </c>
      <c r="D213" s="13" t="inlineStr">
        <is>
          <t>OPTION 2:  Indicator level reporting</t>
        </is>
      </c>
      <c r="E213" s="56">
        <f>'A1. Response summary'!L157</f>
        <v/>
      </c>
      <c r="R213" s="57" t="n"/>
    </row>
    <row r="214" ht="60" customHeight="1">
      <c r="B214" s="55" t="inlineStr">
        <is>
          <t>EI1(c)</t>
        </is>
      </c>
      <c r="D214" s="13" t="inlineStr">
        <is>
          <t>Supporting information/comments</t>
        </is>
      </c>
      <c r="E214" s="56">
        <f>'A1. Response summary'!L158</f>
        <v/>
      </c>
      <c r="R214" s="57" t="n"/>
    </row>
    <row r="215" ht="18" customHeight="1">
      <c r="B215" s="55" t="inlineStr">
        <is>
          <t>EI1(c)</t>
        </is>
      </c>
      <c r="D215" s="13" t="inlineStr">
        <is>
          <t>Data source and limitations</t>
        </is>
      </c>
      <c r="E215" s="56">
        <f>'A1. Response summary'!L159</f>
        <v/>
      </c>
      <c r="R215" s="57" t="n"/>
    </row>
    <row r="216" ht="18" customHeight="1">
      <c r="B216" s="55" t="inlineStr">
        <is>
          <t>EI1(c)</t>
        </is>
      </c>
      <c r="D216" s="13" t="inlineStr">
        <is>
          <t>Data owner confirms</t>
        </is>
      </c>
      <c r="E216" s="56">
        <f>'A1. Response summary'!L160</f>
        <v/>
      </c>
      <c r="R216" s="58" t="n"/>
    </row>
    <row r="218">
      <c r="B218" s="7" t="inlineStr">
        <is>
          <t>EI1(d)</t>
        </is>
      </c>
      <c r="C218" s="50" t="inlineStr">
        <is>
          <t>Evidence of understanding and integration of Indigenous approaches to sustainability in estate planning and development programs and projects.</t>
        </is>
      </c>
      <c r="D218" s="53" t="inlineStr">
        <is>
          <t>Unit</t>
        </is>
      </c>
      <c r="E218" s="53" t="inlineStr">
        <is>
          <t>CI&amp;S – Estate Planning &amp; Development</t>
        </is>
      </c>
      <c r="P218" s="54">
        <f>'A1. Response summary'!AA161</f>
        <v/>
      </c>
      <c r="Q218" s="54">
        <f>'A1. Response summary'!AC161</f>
        <v/>
      </c>
      <c r="R218" s="8" t="n"/>
    </row>
    <row r="219" ht="18" customHeight="1">
      <c r="B219" s="55" t="inlineStr">
        <is>
          <t>EI1(d)</t>
        </is>
      </c>
      <c r="D219" s="13" t="inlineStr">
        <is>
          <t>OPTION 1:  Target-level reporting</t>
        </is>
      </c>
      <c r="E219" s="56">
        <f>'A1. Response summary'!L161</f>
        <v/>
      </c>
      <c r="R219" s="57" t="n"/>
    </row>
    <row r="220" ht="60" customHeight="1">
      <c r="B220" s="55" t="inlineStr">
        <is>
          <t>EI1(d)</t>
        </is>
      </c>
      <c r="D220" s="13" t="inlineStr">
        <is>
          <t>OPTION 2:  Indicator level reporting</t>
        </is>
      </c>
      <c r="E220" s="56">
        <f>'A1. Response summary'!L162</f>
        <v/>
      </c>
      <c r="R220" s="57" t="n"/>
    </row>
    <row r="221" ht="60" customHeight="1">
      <c r="B221" s="55" t="inlineStr">
        <is>
          <t>EI1(d)</t>
        </is>
      </c>
      <c r="D221" s="13" t="inlineStr">
        <is>
          <t>Supporting information/comments</t>
        </is>
      </c>
      <c r="E221" s="56">
        <f>'A1. Response summary'!L163</f>
        <v/>
      </c>
      <c r="R221" s="57" t="n"/>
    </row>
    <row r="222" ht="18" customHeight="1">
      <c r="B222" s="55" t="inlineStr">
        <is>
          <t>EI1(d)</t>
        </is>
      </c>
      <c r="D222" s="13" t="inlineStr">
        <is>
          <t>Data source and limitations</t>
        </is>
      </c>
      <c r="E222" s="56">
        <f>'A1. Response summary'!L164</f>
        <v/>
      </c>
      <c r="R222" s="57" t="n"/>
    </row>
    <row r="223" ht="18" customHeight="1">
      <c r="B223" s="55" t="inlineStr">
        <is>
          <t>EI1(d)</t>
        </is>
      </c>
      <c r="D223" s="13" t="inlineStr">
        <is>
          <t>Data owner confirms</t>
        </is>
      </c>
      <c r="E223" s="56">
        <f>'A1. Response summary'!L165</f>
        <v/>
      </c>
      <c r="R223" s="58" t="n"/>
    </row>
    <row r="225">
      <c r="B225" s="7" t="inlineStr">
        <is>
          <t>RP1(a)</t>
        </is>
      </c>
      <c r="C225" s="50" t="inlineStr">
        <is>
          <t>Case studies of maturity improvement related to responsible procurement process and systems.</t>
        </is>
      </c>
      <c r="D225" s="53" t="inlineStr">
        <is>
          <t>Unit</t>
        </is>
      </c>
      <c r="E225" s="53" t="inlineStr">
        <is>
          <t>CFOG – Procurement</t>
        </is>
      </c>
      <c r="P225" s="54">
        <f>'A1. Response summary'!AA166</f>
        <v/>
      </c>
      <c r="Q225" s="54">
        <f>'A1. Response summary'!AC166</f>
        <v/>
      </c>
      <c r="R225" s="8" t="n"/>
    </row>
    <row r="226" ht="18" customHeight="1">
      <c r="B226" s="55" t="inlineStr">
        <is>
          <t>RP1(a)</t>
        </is>
      </c>
      <c r="D226" s="13" t="inlineStr">
        <is>
          <t>OPTION 1:  Target-level reporting</t>
        </is>
      </c>
      <c r="E226" s="56">
        <f>'A1. Response summary'!N166</f>
        <v/>
      </c>
      <c r="R226" s="57" t="n"/>
    </row>
    <row r="227" ht="60" customHeight="1">
      <c r="B227" s="55" t="inlineStr">
        <is>
          <t>RP1(a)</t>
        </is>
      </c>
      <c r="D227" s="13" t="inlineStr">
        <is>
          <t>OPTION 2:  Indicator level reporting</t>
        </is>
      </c>
      <c r="E227" s="56">
        <f>'A1. Response summary'!N167</f>
        <v/>
      </c>
      <c r="R227" s="57" t="n"/>
    </row>
    <row r="228" ht="60" customHeight="1">
      <c r="B228" s="55" t="inlineStr">
        <is>
          <t>RP1(a)</t>
        </is>
      </c>
      <c r="D228" s="13" t="inlineStr">
        <is>
          <t>Supporting information/comments</t>
        </is>
      </c>
      <c r="E228" s="56">
        <f>'A1. Response summary'!N168</f>
        <v/>
      </c>
      <c r="R228" s="57" t="n"/>
    </row>
    <row r="229" ht="18" customHeight="1">
      <c r="B229" s="55" t="inlineStr">
        <is>
          <t>RP1(a)</t>
        </is>
      </c>
      <c r="D229" s="13" t="inlineStr">
        <is>
          <t>Data source and limitations</t>
        </is>
      </c>
      <c r="E229" s="56">
        <f>'A1. Response summary'!N169</f>
        <v/>
      </c>
      <c r="R229" s="57" t="n"/>
    </row>
    <row r="230" ht="18" customHeight="1">
      <c r="B230" s="55" t="inlineStr">
        <is>
          <t>RP1(a)</t>
        </is>
      </c>
      <c r="D230" s="13" t="inlineStr">
        <is>
          <t>Data owner confirms</t>
        </is>
      </c>
      <c r="E230" s="56">
        <f>'A1. Response summary'!N170</f>
        <v/>
      </c>
      <c r="R230" s="58" t="n"/>
    </row>
    <row r="232">
      <c r="B232" s="7" t="inlineStr">
        <is>
          <t>MS1(a)</t>
        </is>
      </c>
      <c r="C232" s="50" t="inlineStr">
        <is>
          <t>Annual progress reporting via the Modern Slavery Statement</t>
        </is>
      </c>
      <c r="D232" s="53" t="inlineStr">
        <is>
          <t>Unit</t>
        </is>
      </c>
      <c r="E232" s="53" t="inlineStr">
        <is>
          <t>CI&amp;S – Sustainability Strategy</t>
        </is>
      </c>
      <c r="F232" s="53" t="inlineStr">
        <is>
          <t>CFOG – Procurement</t>
        </is>
      </c>
      <c r="P232" s="54">
        <f>'A1. Response summary'!AA171</f>
        <v/>
      </c>
      <c r="Q232" s="54">
        <f>'A1. Response summary'!AC171</f>
        <v/>
      </c>
      <c r="R232" s="8" t="n"/>
    </row>
    <row r="233" ht="18" customHeight="1">
      <c r="B233" s="55" t="inlineStr">
        <is>
          <t>MS1(a)</t>
        </is>
      </c>
      <c r="D233" s="13" t="inlineStr">
        <is>
          <t>OPTION 1:  Target-level reporting</t>
        </is>
      </c>
      <c r="E233" s="56">
        <f>'A1. Response summary'!M171</f>
        <v/>
      </c>
      <c r="F233" s="56">
        <f>'A1. Response summary'!N171</f>
        <v/>
      </c>
      <c r="R233" s="57" t="n"/>
    </row>
    <row r="234" ht="60" customHeight="1">
      <c r="B234" s="55" t="inlineStr">
        <is>
          <t>MS1(a)</t>
        </is>
      </c>
      <c r="D234" s="13" t="inlineStr">
        <is>
          <t>OPTION 2:  Indicator level reporting</t>
        </is>
      </c>
      <c r="E234" s="56">
        <f>'A1. Response summary'!M172</f>
        <v/>
      </c>
      <c r="F234" s="56">
        <f>'A1. Response summary'!N172</f>
        <v/>
      </c>
      <c r="R234" s="57" t="n"/>
    </row>
    <row r="235" ht="60" customHeight="1">
      <c r="B235" s="55" t="inlineStr">
        <is>
          <t>MS1(a)</t>
        </is>
      </c>
      <c r="D235" s="13" t="inlineStr">
        <is>
          <t>Supporting information/comments</t>
        </is>
      </c>
      <c r="E235" s="56">
        <f>'A1. Response summary'!M173</f>
        <v/>
      </c>
      <c r="F235" s="56">
        <f>'A1. Response summary'!N173</f>
        <v/>
      </c>
      <c r="R235" s="57" t="n"/>
    </row>
    <row r="236" ht="18" customHeight="1">
      <c r="B236" s="55" t="inlineStr">
        <is>
          <t>MS1(a)</t>
        </is>
      </c>
      <c r="D236" s="13" t="inlineStr">
        <is>
          <t>Data source and limitations</t>
        </is>
      </c>
      <c r="E236" s="56">
        <f>'A1. Response summary'!M174</f>
        <v/>
      </c>
      <c r="F236" s="56">
        <f>'A1. Response summary'!N174</f>
        <v/>
      </c>
      <c r="R236" s="57" t="n"/>
    </row>
    <row r="237" ht="18" customHeight="1">
      <c r="B237" s="55" t="inlineStr">
        <is>
          <t>MS1(a)</t>
        </is>
      </c>
      <c r="D237" s="13" t="inlineStr">
        <is>
          <t>Data owner confirms</t>
        </is>
      </c>
      <c r="E237" s="56">
        <f>'A1. Response summary'!M175</f>
        <v/>
      </c>
      <c r="F237" s="56">
        <f>'A1. Response summary'!N175</f>
        <v/>
      </c>
      <c r="R237" s="58" t="n"/>
    </row>
    <row r="239">
      <c r="B239" s="7" t="inlineStr">
        <is>
          <t>RI1(b)</t>
        </is>
      </c>
      <c r="C239" s="50" t="inlineStr">
        <is>
          <t>Continuous improvement of the reporting of the University’s sustainability-related investment profile metrics, could include investment in climate mitigation and transition solutions, and compliance with related obligations (eg UNPRI).</t>
        </is>
      </c>
      <c r="D239" s="53" t="inlineStr">
        <is>
          <t>Unit</t>
        </is>
      </c>
      <c r="E239" s="53" t="inlineStr">
        <is>
          <t>CI&amp;S – Sustainability Strategy</t>
        </is>
      </c>
      <c r="F239" s="53" t="inlineStr">
        <is>
          <t>CFOG – Treasury &amp; Investments</t>
        </is>
      </c>
      <c r="P239" s="54">
        <f>'A1. Response summary'!AA176</f>
        <v/>
      </c>
      <c r="Q239" s="54">
        <f>'A1. Response summary'!AC176</f>
        <v/>
      </c>
      <c r="R239" s="8" t="n"/>
    </row>
    <row r="240" ht="18" customHeight="1">
      <c r="B240" s="55" t="inlineStr">
        <is>
          <t>RI1(b)</t>
        </is>
      </c>
      <c r="D240" s="13" t="inlineStr">
        <is>
          <t>OPTION 1:  Target-level reporting</t>
        </is>
      </c>
      <c r="E240" s="56">
        <f>'A1. Response summary'!M176</f>
        <v/>
      </c>
      <c r="F240" s="56">
        <f>'A1. Response summary'!O176</f>
        <v/>
      </c>
      <c r="R240" s="57" t="n"/>
    </row>
    <row r="241" ht="60" customHeight="1">
      <c r="B241" s="55" t="inlineStr">
        <is>
          <t>RI1(b)</t>
        </is>
      </c>
      <c r="D241" s="13" t="inlineStr">
        <is>
          <t>OPTION 2:  Indicator level reporting</t>
        </is>
      </c>
      <c r="E241" s="56">
        <f>'A1. Response summary'!M177</f>
        <v/>
      </c>
      <c r="F241" s="56">
        <f>'A1. Response summary'!O177</f>
        <v/>
      </c>
      <c r="R241" s="57" t="n"/>
    </row>
    <row r="242" ht="60" customHeight="1">
      <c r="B242" s="55" t="inlineStr">
        <is>
          <t>RI1(b)</t>
        </is>
      </c>
      <c r="D242" s="13" t="inlineStr">
        <is>
          <t>Supporting information/comments</t>
        </is>
      </c>
      <c r="E242" s="56">
        <f>'A1. Response summary'!M178</f>
        <v/>
      </c>
      <c r="F242" s="56">
        <f>'A1. Response summary'!O178</f>
        <v/>
      </c>
      <c r="R242" s="57" t="n"/>
    </row>
    <row r="243" ht="18" customHeight="1">
      <c r="B243" s="55" t="inlineStr">
        <is>
          <t>RI1(b)</t>
        </is>
      </c>
      <c r="D243" s="13" t="inlineStr">
        <is>
          <t>Data source and limitations</t>
        </is>
      </c>
      <c r="E243" s="56">
        <f>'A1. Response summary'!M179</f>
        <v/>
      </c>
      <c r="F243" s="56">
        <f>'A1. Response summary'!O179</f>
        <v/>
      </c>
      <c r="R243" s="57" t="n"/>
    </row>
    <row r="244" ht="18" customHeight="1">
      <c r="B244" s="55" t="inlineStr">
        <is>
          <t>RI1(b)</t>
        </is>
      </c>
      <c r="D244" s="13" t="inlineStr">
        <is>
          <t>Data owner confirms</t>
        </is>
      </c>
      <c r="E244" s="56">
        <f>'A1. Response summary'!M180</f>
        <v/>
      </c>
      <c r="F244" s="56">
        <f>'A1. Response summary'!O180</f>
        <v/>
      </c>
      <c r="R244" s="58" t="n"/>
    </row>
    <row r="246">
      <c r="B246" s="7" t="inlineStr">
        <is>
          <t>EN1(a)</t>
        </is>
      </c>
      <c r="C246" s="50" t="inlineStr">
        <is>
          <t>Evidence of sustainability outcomes informed by Indigenous knowledges</t>
        </is>
      </c>
      <c r="D246" s="53" t="inlineStr">
        <is>
          <t>Unit</t>
        </is>
      </c>
      <c r="E246" s="53" t="inlineStr">
        <is>
          <t>ABP</t>
        </is>
      </c>
      <c r="F246" s="53" t="inlineStr">
        <is>
          <t>ARTS</t>
        </is>
      </c>
      <c r="G246" s="53" t="inlineStr">
        <is>
          <t>FBE</t>
        </is>
      </c>
      <c r="H246" s="53" t="inlineStr">
        <is>
          <t>SCI</t>
        </is>
      </c>
      <c r="I246" s="53" t="inlineStr">
        <is>
          <t>GCE – Global, Culture and Engagement</t>
        </is>
      </c>
      <c r="J246" s="53" t="inlineStr">
        <is>
          <t>Indigenous – Chancellery Indigenous</t>
        </is>
      </c>
      <c r="P246" s="54">
        <f>'A1. Response summary'!AA181</f>
        <v/>
      </c>
      <c r="Q246" s="54">
        <f>'A1. Response summary'!AC181</f>
        <v/>
      </c>
      <c r="R246" s="8" t="n"/>
    </row>
    <row r="247" ht="18" customHeight="1">
      <c r="B247" s="55" t="inlineStr">
        <is>
          <t>EN1(a)</t>
        </is>
      </c>
      <c r="D247" s="13" t="inlineStr">
        <is>
          <t>OPTION 1:  Target-level reporting</t>
        </is>
      </c>
      <c r="E247" s="56">
        <f>'A1. Response summary'!H181</f>
        <v/>
      </c>
      <c r="F247" s="56">
        <f>'A1. Response summary'!I181</f>
        <v/>
      </c>
      <c r="G247" s="56">
        <f>'A1. Response summary'!J181</f>
        <v/>
      </c>
      <c r="H247" s="56">
        <f>'A1. Response summary'!K181</f>
        <v/>
      </c>
      <c r="I247" s="56">
        <f>'A1. Response summary'!T181</f>
        <v/>
      </c>
      <c r="J247" s="56">
        <f>'A1. Response summary'!W181</f>
        <v/>
      </c>
      <c r="R247" s="57" t="n"/>
    </row>
    <row r="248" ht="60" customHeight="1">
      <c r="B248" s="55" t="inlineStr">
        <is>
          <t>EN1(a)</t>
        </is>
      </c>
      <c r="D248" s="13" t="inlineStr">
        <is>
          <t>OPTION 2:  Indicator level reporting</t>
        </is>
      </c>
      <c r="E248" s="56">
        <f>'A1. Response summary'!H182</f>
        <v/>
      </c>
      <c r="F248" s="56">
        <f>'A1. Response summary'!I182</f>
        <v/>
      </c>
      <c r="G248" s="56">
        <f>'A1. Response summary'!J182</f>
        <v/>
      </c>
      <c r="H248" s="56">
        <f>'A1. Response summary'!K182</f>
        <v/>
      </c>
      <c r="I248" s="56">
        <f>'A1. Response summary'!T182</f>
        <v/>
      </c>
      <c r="J248" s="56">
        <f>'A1. Response summary'!W182</f>
        <v/>
      </c>
      <c r="R248" s="57" t="n"/>
    </row>
    <row r="249" ht="60" customHeight="1">
      <c r="B249" s="55" t="inlineStr">
        <is>
          <t>EN1(a)</t>
        </is>
      </c>
      <c r="D249" s="13" t="inlineStr">
        <is>
          <t>Supporting information/comments</t>
        </is>
      </c>
      <c r="E249" s="56">
        <f>'A1. Response summary'!H183</f>
        <v/>
      </c>
      <c r="F249" s="56">
        <f>'A1. Response summary'!I183</f>
        <v/>
      </c>
      <c r="G249" s="56">
        <f>'A1. Response summary'!J183</f>
        <v/>
      </c>
      <c r="H249" s="56">
        <f>'A1. Response summary'!K183</f>
        <v/>
      </c>
      <c r="I249" s="56">
        <f>'A1. Response summary'!T183</f>
        <v/>
      </c>
      <c r="J249" s="56">
        <f>'A1. Response summary'!W183</f>
        <v/>
      </c>
      <c r="R249" s="57" t="n"/>
    </row>
    <row r="250" ht="18" customHeight="1">
      <c r="B250" s="55" t="inlineStr">
        <is>
          <t>EN1(a)</t>
        </is>
      </c>
      <c r="D250" s="13" t="inlineStr">
        <is>
          <t>Data source and limitations</t>
        </is>
      </c>
      <c r="E250" s="56">
        <f>'A1. Response summary'!H184</f>
        <v/>
      </c>
      <c r="F250" s="56">
        <f>'A1. Response summary'!I184</f>
        <v/>
      </c>
      <c r="G250" s="56">
        <f>'A1. Response summary'!J184</f>
        <v/>
      </c>
      <c r="H250" s="56">
        <f>'A1. Response summary'!K184</f>
        <v/>
      </c>
      <c r="I250" s="56">
        <f>'A1. Response summary'!T184</f>
        <v/>
      </c>
      <c r="J250" s="56">
        <f>'A1. Response summary'!W184</f>
        <v/>
      </c>
      <c r="R250" s="57" t="n"/>
    </row>
    <row r="251" ht="18" customHeight="1">
      <c r="B251" s="55" t="inlineStr">
        <is>
          <t>EN1(a)</t>
        </is>
      </c>
      <c r="D251" s="13" t="inlineStr">
        <is>
          <t>Data owner confirms</t>
        </is>
      </c>
      <c r="E251" s="56">
        <f>'A1. Response summary'!H185</f>
        <v/>
      </c>
      <c r="F251" s="56">
        <f>'A1. Response summary'!I185</f>
        <v/>
      </c>
      <c r="G251" s="56">
        <f>'A1. Response summary'!J185</f>
        <v/>
      </c>
      <c r="H251" s="56">
        <f>'A1. Response summary'!K185</f>
        <v/>
      </c>
      <c r="I251" s="56">
        <f>'A1. Response summary'!T185</f>
        <v/>
      </c>
      <c r="J251" s="56">
        <f>'A1. Response summary'!W185</f>
        <v/>
      </c>
      <c r="R251" s="58" t="n"/>
    </row>
    <row r="253">
      <c r="B253" s="7" t="inlineStr">
        <is>
          <t>EN1(b)</t>
        </is>
      </c>
      <c r="C253" s="50" t="inlineStr">
        <is>
          <t>Living laboratories enabling applied learning, research and operational sustainability outcomes</t>
        </is>
      </c>
      <c r="D253" s="53" t="inlineStr">
        <is>
          <t>Unit</t>
        </is>
      </c>
      <c r="E253" s="53" t="inlineStr">
        <is>
          <t>ABP</t>
        </is>
      </c>
      <c r="F253" s="53" t="inlineStr">
        <is>
          <t>ARTS</t>
        </is>
      </c>
      <c r="G253" s="53" t="inlineStr">
        <is>
          <t>FBE</t>
        </is>
      </c>
      <c r="H253" s="53" t="inlineStr">
        <is>
          <t>SCI</t>
        </is>
      </c>
      <c r="I253" s="53" t="inlineStr">
        <is>
          <t>CI&amp;S – Sustainability Strategy</t>
        </is>
      </c>
      <c r="P253" s="54">
        <f>'A1. Response summary'!AA186</f>
        <v/>
      </c>
      <c r="Q253" s="54">
        <f>'A1. Response summary'!AC186</f>
        <v/>
      </c>
      <c r="R253" s="8" t="n"/>
    </row>
    <row r="254" ht="18" customHeight="1">
      <c r="B254" s="55" t="inlineStr">
        <is>
          <t>EN1(b)</t>
        </is>
      </c>
      <c r="D254" s="13" t="inlineStr">
        <is>
          <t>OPTION 1:  Target-level reporting</t>
        </is>
      </c>
      <c r="E254" s="56">
        <f>'A1. Response summary'!H186</f>
        <v/>
      </c>
      <c r="F254" s="56">
        <f>'A1. Response summary'!I186</f>
        <v/>
      </c>
      <c r="G254" s="56">
        <f>'A1. Response summary'!J186</f>
        <v/>
      </c>
      <c r="H254" s="56">
        <f>'A1. Response summary'!K186</f>
        <v/>
      </c>
      <c r="I254" s="56">
        <f>'A1. Response summary'!M186</f>
        <v/>
      </c>
      <c r="R254" s="57" t="n"/>
    </row>
    <row r="255" ht="60" customHeight="1">
      <c r="B255" s="55" t="inlineStr">
        <is>
          <t>EN1(b)</t>
        </is>
      </c>
      <c r="D255" s="13" t="inlineStr">
        <is>
          <t>OPTION 2:  Indicator level reporting</t>
        </is>
      </c>
      <c r="E255" s="56">
        <f>'A1. Response summary'!H187</f>
        <v/>
      </c>
      <c r="F255" s="56">
        <f>'A1. Response summary'!I187</f>
        <v/>
      </c>
      <c r="G255" s="56">
        <f>'A1. Response summary'!J187</f>
        <v/>
      </c>
      <c r="H255" s="56">
        <f>'A1. Response summary'!K187</f>
        <v/>
      </c>
      <c r="I255" s="56">
        <f>'A1. Response summary'!M187</f>
        <v/>
      </c>
      <c r="R255" s="57" t="n"/>
    </row>
    <row r="256" ht="60" customHeight="1">
      <c r="B256" s="55" t="inlineStr">
        <is>
          <t>EN1(b)</t>
        </is>
      </c>
      <c r="D256" s="13" t="inlineStr">
        <is>
          <t>Supporting information/comments</t>
        </is>
      </c>
      <c r="E256" s="56">
        <f>'A1. Response summary'!H188</f>
        <v/>
      </c>
      <c r="F256" s="56">
        <f>'A1. Response summary'!I188</f>
        <v/>
      </c>
      <c r="G256" s="56">
        <f>'A1. Response summary'!J188</f>
        <v/>
      </c>
      <c r="H256" s="56">
        <f>'A1. Response summary'!K188</f>
        <v/>
      </c>
      <c r="I256" s="56">
        <f>'A1. Response summary'!M188</f>
        <v/>
      </c>
      <c r="R256" s="57" t="n"/>
    </row>
    <row r="257" ht="18" customHeight="1">
      <c r="B257" s="55" t="inlineStr">
        <is>
          <t>EN1(b)</t>
        </is>
      </c>
      <c r="D257" s="13" t="inlineStr">
        <is>
          <t>Data source and limitations</t>
        </is>
      </c>
      <c r="E257" s="56">
        <f>'A1. Response summary'!H189</f>
        <v/>
      </c>
      <c r="F257" s="56">
        <f>'A1. Response summary'!I189</f>
        <v/>
      </c>
      <c r="G257" s="56">
        <f>'A1. Response summary'!J189</f>
        <v/>
      </c>
      <c r="H257" s="56">
        <f>'A1. Response summary'!K189</f>
        <v/>
      </c>
      <c r="I257" s="56">
        <f>'A1. Response summary'!M189</f>
        <v/>
      </c>
      <c r="R257" s="57" t="n"/>
    </row>
    <row r="258" ht="18" customHeight="1">
      <c r="B258" s="55" t="inlineStr">
        <is>
          <t>EN1(b)</t>
        </is>
      </c>
      <c r="D258" s="13" t="inlineStr">
        <is>
          <t>Data owner confirms</t>
        </is>
      </c>
      <c r="E258" s="56">
        <f>'A1. Response summary'!H190</f>
        <v/>
      </c>
      <c r="F258" s="56">
        <f>'A1. Response summary'!I190</f>
        <v/>
      </c>
      <c r="G258" s="56">
        <f>'A1. Response summary'!J190</f>
        <v/>
      </c>
      <c r="H258" s="56">
        <f>'A1. Response summary'!K190</f>
        <v/>
      </c>
      <c r="I258" s="56">
        <f>'A1. Response summary'!M190</f>
        <v/>
      </c>
      <c r="R258" s="58" t="n"/>
    </row>
    <row r="260">
      <c r="B260" s="7" t="inlineStr">
        <is>
          <t>EN1(c)</t>
        </is>
      </c>
      <c r="C260" s="50" t="inlineStr">
        <is>
          <t>Coordinated internal engagement and external partnerships contributing to delivery of sustainability outcomes across priority areas.</t>
        </is>
      </c>
      <c r="D260" s="53" t="inlineStr">
        <is>
          <t>Unit</t>
        </is>
      </c>
      <c r="E260" s="53" t="inlineStr">
        <is>
          <t>ABP</t>
        </is>
      </c>
      <c r="F260" s="53" t="inlineStr">
        <is>
          <t>ARTS</t>
        </is>
      </c>
      <c r="G260" s="53" t="inlineStr">
        <is>
          <t>FBE</t>
        </is>
      </c>
      <c r="H260" s="53" t="inlineStr">
        <is>
          <t>SCI</t>
        </is>
      </c>
      <c r="I260" s="53" t="inlineStr">
        <is>
          <t>CI&amp;S – Sustainability Strategy</t>
        </is>
      </c>
      <c r="J260" s="53" t="inlineStr">
        <is>
          <t>CFOG – Procurement</t>
        </is>
      </c>
      <c r="K260" s="53" t="inlineStr">
        <is>
          <t>ESG – Campus Operations &amp; Sustainability Delivery</t>
        </is>
      </c>
      <c r="L260" s="53" t="inlineStr">
        <is>
          <t>CIOG – Responsible AI &amp; digital</t>
        </is>
      </c>
      <c r="M260" s="53" t="inlineStr">
        <is>
          <t>AC&amp;M – Advancement, Communication and Marketing</t>
        </is>
      </c>
      <c r="N260" s="53" t="inlineStr">
        <is>
          <t>GCE – Global, Culture and Engagement</t>
        </is>
      </c>
      <c r="O260" s="53" t="inlineStr">
        <is>
          <t>Education – Chancellery Education</t>
        </is>
      </c>
      <c r="P260" s="54">
        <f>'A1. Response summary'!AA191</f>
        <v/>
      </c>
      <c r="Q260" s="54">
        <f>'A1. Response summary'!AC191</f>
        <v/>
      </c>
      <c r="R260" s="8" t="n"/>
    </row>
    <row r="261" ht="18" customHeight="1">
      <c r="B261" s="55" t="inlineStr">
        <is>
          <t>EN1(c)</t>
        </is>
      </c>
      <c r="D261" s="13" t="inlineStr">
        <is>
          <t>OPTION 1:  Target-level reporting</t>
        </is>
      </c>
      <c r="E261" s="56">
        <f>'A1. Response summary'!H191</f>
        <v/>
      </c>
      <c r="F261" s="56">
        <f>'A1. Response summary'!I191</f>
        <v/>
      </c>
      <c r="G261" s="56">
        <f>'A1. Response summary'!J191</f>
        <v/>
      </c>
      <c r="H261" s="56">
        <f>'A1. Response summary'!K191</f>
        <v/>
      </c>
      <c r="I261" s="56">
        <f>'A1. Response summary'!M191</f>
        <v/>
      </c>
      <c r="J261" s="56">
        <f>'A1. Response summary'!N191</f>
        <v/>
      </c>
      <c r="K261" s="56">
        <f>'A1. Response summary'!P191</f>
        <v/>
      </c>
      <c r="L261" s="56">
        <f>'A1. Response summary'!Q191</f>
        <v/>
      </c>
      <c r="M261" s="56">
        <f>'A1. Response summary'!S191</f>
        <v/>
      </c>
      <c r="N261" s="56">
        <f>'A1. Response summary'!T191</f>
        <v/>
      </c>
      <c r="O261" s="56">
        <f>'A1. Response summary'!U191</f>
        <v/>
      </c>
      <c r="R261" s="57" t="n"/>
    </row>
    <row r="262" ht="60" customHeight="1">
      <c r="B262" s="55" t="inlineStr">
        <is>
          <t>EN1(c)</t>
        </is>
      </c>
      <c r="D262" s="13" t="inlineStr">
        <is>
          <t>OPTION 2:  Indicator level reporting</t>
        </is>
      </c>
      <c r="E262" s="56">
        <f>'A1. Response summary'!H192</f>
        <v/>
      </c>
      <c r="F262" s="56">
        <f>'A1. Response summary'!I192</f>
        <v/>
      </c>
      <c r="G262" s="56">
        <f>'A1. Response summary'!J192</f>
        <v/>
      </c>
      <c r="H262" s="56">
        <f>'A1. Response summary'!K192</f>
        <v/>
      </c>
      <c r="I262" s="56">
        <f>'A1. Response summary'!M192</f>
        <v/>
      </c>
      <c r="J262" s="56">
        <f>'A1. Response summary'!N192</f>
        <v/>
      </c>
      <c r="K262" s="56">
        <f>'A1. Response summary'!P192</f>
        <v/>
      </c>
      <c r="L262" s="56">
        <f>'A1. Response summary'!Q192</f>
        <v/>
      </c>
      <c r="M262" s="56">
        <f>'A1. Response summary'!S192</f>
        <v/>
      </c>
      <c r="N262" s="56">
        <f>'A1. Response summary'!T192</f>
        <v/>
      </c>
      <c r="O262" s="56">
        <f>'A1. Response summary'!U192</f>
        <v/>
      </c>
      <c r="R262" s="57" t="n"/>
    </row>
    <row r="263" ht="60" customHeight="1">
      <c r="B263" s="55" t="inlineStr">
        <is>
          <t>EN1(c)</t>
        </is>
      </c>
      <c r="D263" s="13" t="inlineStr">
        <is>
          <t>Supporting information/comments</t>
        </is>
      </c>
      <c r="E263" s="56">
        <f>'A1. Response summary'!H193</f>
        <v/>
      </c>
      <c r="F263" s="56">
        <f>'A1. Response summary'!I193</f>
        <v/>
      </c>
      <c r="G263" s="56">
        <f>'A1. Response summary'!J193</f>
        <v/>
      </c>
      <c r="H263" s="56">
        <f>'A1. Response summary'!K193</f>
        <v/>
      </c>
      <c r="I263" s="56">
        <f>'A1. Response summary'!M193</f>
        <v/>
      </c>
      <c r="J263" s="56">
        <f>'A1. Response summary'!N193</f>
        <v/>
      </c>
      <c r="K263" s="56">
        <f>'A1. Response summary'!P193</f>
        <v/>
      </c>
      <c r="L263" s="56">
        <f>'A1. Response summary'!Q193</f>
        <v/>
      </c>
      <c r="M263" s="56">
        <f>'A1. Response summary'!S193</f>
        <v/>
      </c>
      <c r="N263" s="56">
        <f>'A1. Response summary'!T193</f>
        <v/>
      </c>
      <c r="O263" s="56">
        <f>'A1. Response summary'!U193</f>
        <v/>
      </c>
      <c r="R263" s="57" t="n"/>
    </row>
    <row r="264" ht="18" customHeight="1">
      <c r="B264" s="55" t="inlineStr">
        <is>
          <t>EN1(c)</t>
        </is>
      </c>
      <c r="D264" s="13" t="inlineStr">
        <is>
          <t>Data source and limitations</t>
        </is>
      </c>
      <c r="E264" s="56">
        <f>'A1. Response summary'!H194</f>
        <v/>
      </c>
      <c r="F264" s="56">
        <f>'A1. Response summary'!I194</f>
        <v/>
      </c>
      <c r="G264" s="56">
        <f>'A1. Response summary'!J194</f>
        <v/>
      </c>
      <c r="H264" s="56">
        <f>'A1. Response summary'!K194</f>
        <v/>
      </c>
      <c r="I264" s="56">
        <f>'A1. Response summary'!M194</f>
        <v/>
      </c>
      <c r="J264" s="56">
        <f>'A1. Response summary'!N194</f>
        <v/>
      </c>
      <c r="K264" s="56">
        <f>'A1. Response summary'!P194</f>
        <v/>
      </c>
      <c r="L264" s="56">
        <f>'A1. Response summary'!Q194</f>
        <v/>
      </c>
      <c r="M264" s="56">
        <f>'A1. Response summary'!S194</f>
        <v/>
      </c>
      <c r="N264" s="56">
        <f>'A1. Response summary'!T194</f>
        <v/>
      </c>
      <c r="O264" s="56">
        <f>'A1. Response summary'!U194</f>
        <v/>
      </c>
      <c r="R264" s="57" t="n"/>
    </row>
    <row r="265" ht="18" customHeight="1">
      <c r="B265" s="55" t="inlineStr">
        <is>
          <t>EN1(c)</t>
        </is>
      </c>
      <c r="D265" s="13" t="inlineStr">
        <is>
          <t>Data owner confirms</t>
        </is>
      </c>
      <c r="E265" s="56">
        <f>'A1. Response summary'!H195</f>
        <v/>
      </c>
      <c r="F265" s="56">
        <f>'A1. Response summary'!I195</f>
        <v/>
      </c>
      <c r="G265" s="56">
        <f>'A1. Response summary'!J195</f>
        <v/>
      </c>
      <c r="H265" s="56">
        <f>'A1. Response summary'!K195</f>
        <v/>
      </c>
      <c r="I265" s="56">
        <f>'A1. Response summary'!M195</f>
        <v/>
      </c>
      <c r="J265" s="56">
        <f>'A1. Response summary'!N195</f>
        <v/>
      </c>
      <c r="K265" s="56">
        <f>'A1. Response summary'!P195</f>
        <v/>
      </c>
      <c r="L265" s="56">
        <f>'A1. Response summary'!Q195</f>
        <v/>
      </c>
      <c r="M265" s="56">
        <f>'A1. Response summary'!S195</f>
        <v/>
      </c>
      <c r="N265" s="56">
        <f>'A1. Response summary'!T195</f>
        <v/>
      </c>
      <c r="O265" s="56">
        <f>'A1. Response summary'!U195</f>
        <v/>
      </c>
      <c r="R265" s="58" t="n"/>
    </row>
    <row r="267">
      <c r="B267" s="7" t="inlineStr">
        <is>
          <t>EN1(d)</t>
        </is>
      </c>
      <c r="C267" s="50" t="inlineStr">
        <is>
          <t>Sustainability objectives integrated into governance and decision‑making processes, supported by transparent reporting.</t>
        </is>
      </c>
      <c r="D267" s="53" t="inlineStr">
        <is>
          <t>Unit</t>
        </is>
      </c>
      <c r="E267" s="53" t="inlineStr">
        <is>
          <t>CI&amp;S – Sustainability Strategy</t>
        </is>
      </c>
      <c r="F267" s="53" t="inlineStr">
        <is>
          <t>CFOG – Procurement</t>
        </is>
      </c>
      <c r="G267" s="53" t="inlineStr">
        <is>
          <t>ESG – Campus Operations &amp; Sustainability Delivery</t>
        </is>
      </c>
      <c r="H267" s="53" t="inlineStr">
        <is>
          <t>CIOG – Responsible AI &amp; digital</t>
        </is>
      </c>
      <c r="P267" s="54">
        <f>'A1. Response summary'!AA196</f>
        <v/>
      </c>
      <c r="Q267" s="54">
        <f>'A1. Response summary'!AC196</f>
        <v/>
      </c>
      <c r="R267" s="8" t="n"/>
    </row>
    <row r="268" ht="18" customHeight="1">
      <c r="B268" s="55" t="inlineStr">
        <is>
          <t>EN1(d)</t>
        </is>
      </c>
      <c r="D268" s="13" t="inlineStr">
        <is>
          <t>OPTION 1:  Target-level reporting</t>
        </is>
      </c>
      <c r="E268" s="56">
        <f>'A1. Response summary'!M196</f>
        <v/>
      </c>
      <c r="F268" s="56">
        <f>'A1. Response summary'!N196</f>
        <v/>
      </c>
      <c r="G268" s="56">
        <f>'A1. Response summary'!P196</f>
        <v/>
      </c>
      <c r="H268" s="56">
        <f>'A1. Response summary'!Q196</f>
        <v/>
      </c>
      <c r="R268" s="57" t="n"/>
    </row>
    <row r="269" ht="60" customHeight="1">
      <c r="B269" s="55" t="inlineStr">
        <is>
          <t>EN1(d)</t>
        </is>
      </c>
      <c r="D269" s="13" t="inlineStr">
        <is>
          <t>OPTION 2:  Indicator level reporting</t>
        </is>
      </c>
      <c r="E269" s="56">
        <f>'A1. Response summary'!M197</f>
        <v/>
      </c>
      <c r="F269" s="56">
        <f>'A1. Response summary'!N197</f>
        <v/>
      </c>
      <c r="G269" s="56">
        <f>'A1. Response summary'!P197</f>
        <v/>
      </c>
      <c r="H269" s="56">
        <f>'A1. Response summary'!Q197</f>
        <v/>
      </c>
      <c r="R269" s="57" t="n"/>
    </row>
    <row r="270" ht="60" customHeight="1">
      <c r="B270" s="55" t="inlineStr">
        <is>
          <t>EN1(d)</t>
        </is>
      </c>
      <c r="D270" s="13" t="inlineStr">
        <is>
          <t>Supporting information/comments</t>
        </is>
      </c>
      <c r="E270" s="56">
        <f>'A1. Response summary'!M198</f>
        <v/>
      </c>
      <c r="F270" s="56">
        <f>'A1. Response summary'!N198</f>
        <v/>
      </c>
      <c r="G270" s="56">
        <f>'A1. Response summary'!P198</f>
        <v/>
      </c>
      <c r="H270" s="56">
        <f>'A1. Response summary'!Q198</f>
        <v/>
      </c>
      <c r="R270" s="57" t="n"/>
    </row>
    <row r="271" ht="18" customHeight="1">
      <c r="B271" s="55" t="inlineStr">
        <is>
          <t>EN1(d)</t>
        </is>
      </c>
      <c r="D271" s="13" t="inlineStr">
        <is>
          <t>Data source and limitations</t>
        </is>
      </c>
      <c r="E271" s="56">
        <f>'A1. Response summary'!M199</f>
        <v/>
      </c>
      <c r="F271" s="56">
        <f>'A1. Response summary'!N199</f>
        <v/>
      </c>
      <c r="G271" s="56">
        <f>'A1. Response summary'!P199</f>
        <v/>
      </c>
      <c r="H271" s="56">
        <f>'A1. Response summary'!Q199</f>
        <v/>
      </c>
      <c r="R271" s="57" t="n"/>
    </row>
    <row r="272" ht="18" customHeight="1">
      <c r="B272" s="55" t="inlineStr">
        <is>
          <t>EN1(d)</t>
        </is>
      </c>
      <c r="D272" s="13" t="inlineStr">
        <is>
          <t>Data owner confirms</t>
        </is>
      </c>
      <c r="E272" s="56">
        <f>'A1. Response summary'!M200</f>
        <v/>
      </c>
      <c r="F272" s="56">
        <f>'A1. Response summary'!N200</f>
        <v/>
      </c>
      <c r="G272" s="56">
        <f>'A1. Response summary'!P200</f>
        <v/>
      </c>
      <c r="H272" s="56">
        <f>'A1. Response summary'!Q200</f>
        <v/>
      </c>
      <c r="R272" s="58" t="n"/>
    </row>
  </sheetData>
  <autoFilter ref="B7:R274"/>
  <mergeCells count="77">
    <mergeCell ref="C198:C202"/>
    <mergeCell ref="C114:C118"/>
    <mergeCell ref="C247:C251"/>
    <mergeCell ref="R148:R153"/>
    <mergeCell ref="R225:R230"/>
    <mergeCell ref="R197:R202"/>
    <mergeCell ref="R267:R272"/>
    <mergeCell ref="C268:C272"/>
    <mergeCell ref="C170:C174"/>
    <mergeCell ref="R239:R244"/>
    <mergeCell ref="R253:R258"/>
    <mergeCell ref="C107:C111"/>
    <mergeCell ref="C79:C83"/>
    <mergeCell ref="C212:C216"/>
    <mergeCell ref="C16:C20"/>
    <mergeCell ref="C9:C13"/>
    <mergeCell ref="C163:C167"/>
    <mergeCell ref="R8:R13"/>
    <mergeCell ref="R64:R69"/>
    <mergeCell ref="C72:C76"/>
    <mergeCell ref="R57:R62"/>
    <mergeCell ref="C149:C153"/>
    <mergeCell ref="D4:J5"/>
    <mergeCell ref="R99:R104"/>
    <mergeCell ref="C233:C237"/>
    <mergeCell ref="C37:C41"/>
    <mergeCell ref="R36:R41"/>
    <mergeCell ref="C30:C34"/>
    <mergeCell ref="C184:C188"/>
    <mergeCell ref="R113:R118"/>
    <mergeCell ref="R204:R209"/>
    <mergeCell ref="R85:R90"/>
    <mergeCell ref="C121:C125"/>
    <mergeCell ref="R141:R146"/>
    <mergeCell ref="R22:R27"/>
    <mergeCell ref="C156:C160"/>
    <mergeCell ref="R190:R195"/>
    <mergeCell ref="R92:R97"/>
    <mergeCell ref="C226:C230"/>
    <mergeCell ref="C93:C97"/>
    <mergeCell ref="R127:R132"/>
    <mergeCell ref="R176:R181"/>
    <mergeCell ref="C261:C265"/>
    <mergeCell ref="C135:C139"/>
    <mergeCell ref="R169:R174"/>
    <mergeCell ref="R246:R251"/>
    <mergeCell ref="R162:R167"/>
    <mergeCell ref="R218:R223"/>
    <mergeCell ref="C240:C244"/>
    <mergeCell ref="C254:C258"/>
    <mergeCell ref="R232:R237"/>
    <mergeCell ref="C191:C195"/>
    <mergeCell ref="C86:C90"/>
    <mergeCell ref="C128:C132"/>
    <mergeCell ref="C177:C181"/>
    <mergeCell ref="C100:C104"/>
    <mergeCell ref="C65:C69"/>
    <mergeCell ref="R50:R55"/>
    <mergeCell ref="R155:R160"/>
    <mergeCell ref="R260:R265"/>
    <mergeCell ref="C51:C55"/>
    <mergeCell ref="R29:R34"/>
    <mergeCell ref="C219:C223"/>
    <mergeCell ref="C23:C27"/>
    <mergeCell ref="R78:R83"/>
    <mergeCell ref="R15:R20"/>
    <mergeCell ref="C58:C62"/>
    <mergeCell ref="R183:R188"/>
    <mergeCell ref="R134:R139"/>
    <mergeCell ref="C44:C48"/>
    <mergeCell ref="C142:C146"/>
    <mergeCell ref="R71:R76"/>
    <mergeCell ref="R43:R48"/>
    <mergeCell ref="C205:C209"/>
    <mergeCell ref="R106:R111"/>
    <mergeCell ref="R120:R125"/>
    <mergeCell ref="R211:R21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20"/>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t>
        </is>
      </c>
      <c r="B1" s="2" t="inlineStr">
        <is>
          <t>SR26 sustainability reporting</t>
        </is>
      </c>
    </row>
    <row r="2">
      <c r="B2" s="3" t="inlineStr">
        <is>
          <t>T2. Single target review</t>
        </is>
      </c>
    </row>
    <row r="4">
      <c r="B4" s="32" t="inlineStr">
        <is>
          <t>Target selected</t>
        </is>
      </c>
      <c r="C4" s="59" t="inlineStr">
        <is>
          <t>EE1(a)</t>
        </is>
      </c>
      <c r="D4" s="60">
        <f>IF($C$4="EE1(c)","Faculties answer this indicator in their EE1(a) response (merged question) – review both.","← select an indicator ref from the dropdown")</f>
        <v/>
      </c>
    </row>
    <row r="5" ht="45" customHeight="1">
      <c r="B5" s="61" t="inlineStr">
        <is>
          <t>Priority area</t>
        </is>
      </c>
      <c r="C5" s="62">
        <f>IFERROR(INDEX('1. Requirements matrix'!$D$6:$D$43,MATCH($C$4,'1. Requirements matrix'!$B$6:$B$43,0)),"")</f>
        <v/>
      </c>
    </row>
    <row r="6" ht="45" customHeight="1">
      <c r="B6" s="61" t="inlineStr">
        <is>
          <t>Target</t>
        </is>
      </c>
      <c r="C6" s="62">
        <f>IFERROR(INDEX('1. Requirements matrix'!$E$6:$E$43,MATCH($C$4,'1. Requirements matrix'!$B$6:$B$43,0)),"")</f>
        <v/>
      </c>
    </row>
    <row r="7" ht="45" customHeight="1">
      <c r="B7" s="61" t="inlineStr">
        <is>
          <t>Indicator</t>
        </is>
      </c>
      <c r="C7" s="62">
        <f>IFERROR(INDEX('1. Requirements matrix'!$F$6:$F$43,MATCH($C$4,'1. Requirements matrix'!$B$6:$B$43,0)),"")</f>
        <v/>
      </c>
    </row>
    <row r="8" ht="45" customHeight="1">
      <c r="B8" s="61" t="inlineStr">
        <is>
          <t>Reporting requirement</t>
        </is>
      </c>
      <c r="C8" s="62">
        <f>IFERROR(INDEX('1. Requirements matrix'!$G$6:$G$43,MATCH($C$4,'1. Requirements matrix'!$B$6:$B$43,0)),"")</f>
        <v/>
      </c>
    </row>
    <row r="9" ht="45" customHeight="1">
      <c r="B9" s="61" t="inlineStr">
        <is>
          <t>Request issued to</t>
        </is>
      </c>
      <c r="C9" s="62">
        <f>IFERROR(INDEX('1. Requirements matrix'!$I$6:$I$43,MATCH($C$4,'1. Requirements matrix'!$B$6:$B$43,0)),"")</f>
        <v/>
      </c>
    </row>
    <row r="11">
      <c r="B11" s="63" t="inlineStr">
        <is>
          <t>Units asked</t>
        </is>
      </c>
      <c r="D11" s="63" t="inlineStr">
        <is>
          <t>Responses received</t>
        </is>
      </c>
      <c r="F11" s="63" t="inlineStr">
        <is>
          <t>Awaiting response</t>
        </is>
      </c>
      <c r="H11" s="63" t="inlineStr">
        <is>
          <t>Owner confirmed</t>
        </is>
      </c>
    </row>
    <row r="12">
      <c r="B12" s="64">
        <f>IFERROR(INDEX('A1. Response summary'!$Z$11:$Z$200,MATCH($C$4&amp;"|"&amp;"OPTION 1:  Target-level reporting",'A1. Response summary'!$A$11:$A$200,0)),"")</f>
        <v/>
      </c>
      <c r="D12" s="64">
        <f>IFERROR(INDEX('A1. Response summary'!$AA$11:$AA$200,MATCH($C$4&amp;"|"&amp;"OPTION 1:  Target-level reporting",'A1. Response summary'!$A$11:$A$200,0)),"")</f>
        <v/>
      </c>
      <c r="F12" s="64">
        <f>IFERROR(INDEX('A1. Response summary'!$AB$11:$AB$200,MATCH($C$4&amp;"|"&amp;"OPTION 1:  Target-level reporting",'A1. Response summary'!$A$11:$A$200,0)),"")</f>
        <v/>
      </c>
      <c r="H12" s="64">
        <f>IFERROR(INDEX('A1. Response summary'!$AC$11:$AC$200,MATCH($C$4&amp;"|"&amp;"OPTION 1:  Target-level reporting",'A1. Response summary'!$A$11:$A$200,0)),"")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AC&amp;M – Advancement, Communication and Marketing</t>
        </is>
      </c>
      <c r="O14" s="6" t="inlineStr">
        <is>
          <t>GCE – Global, Culture and Engagement</t>
        </is>
      </c>
      <c r="P14" s="6" t="inlineStr">
        <is>
          <t>Education – Chancellery Education</t>
        </is>
      </c>
      <c r="Q14" s="6" t="inlineStr">
        <is>
          <t>SaSS – Student and Scholarly Services</t>
        </is>
      </c>
      <c r="R14" s="6" t="inlineStr">
        <is>
          <t>Indigenous – Chancellery Indigenous</t>
        </is>
      </c>
      <c r="S14" s="6" t="inlineStr">
        <is>
          <t>Legal &amp; Risk – Risk &amp; resilience</t>
        </is>
      </c>
    </row>
    <row r="15">
      <c r="B15" s="53" t="inlineStr">
        <is>
          <t>Requested?</t>
        </is>
      </c>
      <c r="C15" s="65">
        <f>IFERROR(IF(INDEX('A1. Response summary'!H$11:H$200,MATCH($C$4&amp;"|"&amp;"OPTION 1:  Target-level reporting",'A1. Response summary'!$A$11:$A$200,0))="N/A","No","Yes"),"")</f>
        <v/>
      </c>
      <c r="D15" s="65">
        <f>IFERROR(IF(INDEX('A1. Response summary'!I$11:I$200,MATCH($C$4&amp;"|"&amp;"OPTION 1:  Target-level reporting",'A1. Response summary'!$A$11:$A$200,0))="N/A","No","Yes"),"")</f>
        <v/>
      </c>
      <c r="E15" s="65">
        <f>IFERROR(IF(INDEX('A1. Response summary'!J$11:J$200,MATCH($C$4&amp;"|"&amp;"OPTION 1:  Target-level reporting",'A1. Response summary'!$A$11:$A$200,0))="N/A","No","Yes"),"")</f>
        <v/>
      </c>
      <c r="F15" s="65">
        <f>IFERROR(IF(INDEX('A1. Response summary'!K$11:K$200,MATCH($C$4&amp;"|"&amp;"OPTION 1:  Target-level reporting",'A1. Response summary'!$A$11:$A$200,0))="N/A","No","Yes"),"")</f>
        <v/>
      </c>
      <c r="G15" s="65">
        <f>IFERROR(IF(INDEX('A1. Response summary'!L$11:L$200,MATCH($C$4&amp;"|"&amp;"OPTION 1:  Target-level reporting",'A1. Response summary'!$A$11:$A$200,0))="N/A","No","Yes"),"")</f>
        <v/>
      </c>
      <c r="H15" s="65">
        <f>IFERROR(IF(INDEX('A1. Response summary'!M$11:M$200,MATCH($C$4&amp;"|"&amp;"OPTION 1:  Target-level reporting",'A1. Response summary'!$A$11:$A$200,0))="N/A","No","Yes"),"")</f>
        <v/>
      </c>
      <c r="I15" s="65">
        <f>IFERROR(IF(INDEX('A1. Response summary'!N$11:N$200,MATCH($C$4&amp;"|"&amp;"OPTION 1:  Target-level reporting",'A1. Response summary'!$A$11:$A$200,0))="N/A","No","Yes"),"")</f>
        <v/>
      </c>
      <c r="J15" s="65">
        <f>IFERROR(IF(INDEX('A1. Response summary'!O$11:O$200,MATCH($C$4&amp;"|"&amp;"OPTION 1:  Target-level reporting",'A1. Response summary'!$A$11:$A$200,0))="N/A","No","Yes"),"")</f>
        <v/>
      </c>
      <c r="K15" s="65">
        <f>IFERROR(IF(INDEX('A1. Response summary'!P$11:P$200,MATCH($C$4&amp;"|"&amp;"OPTION 1:  Target-level reporting",'A1. Response summary'!$A$11:$A$200,0))="N/A","No","Yes"),"")</f>
        <v/>
      </c>
      <c r="L15" s="65">
        <f>IFERROR(IF(INDEX('A1. Response summary'!Q$11:Q$200,MATCH($C$4&amp;"|"&amp;"OPTION 1:  Target-level reporting",'A1. Response summary'!$A$11:$A$200,0))="N/A","No","Yes"),"")</f>
        <v/>
      </c>
      <c r="M15" s="65">
        <f>IFERROR(IF(INDEX('A1. Response summary'!R$11:R$200,MATCH($C$4&amp;"|"&amp;"OPTION 1:  Target-level reporting",'A1. Response summary'!$A$11:$A$200,0))="N/A","No","Yes"),"")</f>
        <v/>
      </c>
      <c r="N15" s="65">
        <f>IFERROR(IF(INDEX('A1. Response summary'!S$11:S$200,MATCH($C$4&amp;"|"&amp;"OPTION 1:  Target-level reporting",'A1. Response summary'!$A$11:$A$200,0))="N/A","No","Yes"),"")</f>
        <v/>
      </c>
      <c r="O15" s="65">
        <f>IFERROR(IF(INDEX('A1. Response summary'!T$11:T$200,MATCH($C$4&amp;"|"&amp;"OPTION 1:  Target-level reporting",'A1. Response summary'!$A$11:$A$200,0))="N/A","No","Yes"),"")</f>
        <v/>
      </c>
      <c r="P15" s="65">
        <f>IFERROR(IF(INDEX('A1. Response summary'!U$11:U$200,MATCH($C$4&amp;"|"&amp;"OPTION 1:  Target-level reporting",'A1. Response summary'!$A$11:$A$200,0))="N/A","No","Yes"),"")</f>
        <v/>
      </c>
      <c r="Q15" s="65">
        <f>IFERROR(IF(INDEX('A1. Response summary'!V$11:V$200,MATCH($C$4&amp;"|"&amp;"OPTION 1:  Target-level reporting",'A1. Response summary'!$A$11:$A$200,0))="N/A","No","Yes"),"")</f>
        <v/>
      </c>
      <c r="R15" s="65">
        <f>IFERROR(IF(INDEX('A1. Response summary'!W$11:W$200,MATCH($C$4&amp;"|"&amp;"OPTION 1:  Target-level reporting",'A1. Response summary'!$A$11:$A$200,0))="N/A","No","Yes"),"")</f>
        <v/>
      </c>
      <c r="S15" s="65">
        <f>IFERROR(IF(INDEX('A1. Response summary'!X$11:X$200,MATCH($C$4&amp;"|"&amp;"OPTION 1:  Target-level reporting",'A1. Response summary'!$A$11:$A$200,0))="N/A","No","Yes"),"")</f>
        <v/>
      </c>
    </row>
    <row r="16" ht="45" customHeight="1">
      <c r="B16" s="7" t="inlineStr">
        <is>
          <t>OPTION 1:  Target-level reporting</t>
        </is>
      </c>
      <c r="C16" s="8">
        <f>IFERROR(INDEX('A1. Response summary'!H$11:H$200,MATCH($C$4&amp;"|"&amp;$B16,'A1. Response summary'!$A$11:$A$200,0)),"")</f>
        <v/>
      </c>
      <c r="D16" s="8">
        <f>IFERROR(INDEX('A1. Response summary'!I$11:I$200,MATCH($C$4&amp;"|"&amp;$B16,'A1. Response summary'!$A$11:$A$200,0)),"")</f>
        <v/>
      </c>
      <c r="E16" s="8">
        <f>IFERROR(INDEX('A1. Response summary'!J$11:J$200,MATCH($C$4&amp;"|"&amp;$B16,'A1. Response summary'!$A$11:$A$200,0)),"")</f>
        <v/>
      </c>
      <c r="F16" s="8">
        <f>IFERROR(INDEX('A1. Response summary'!K$11:K$200,MATCH($C$4&amp;"|"&amp;$B16,'A1. Response summary'!$A$11:$A$200,0)),"")</f>
        <v/>
      </c>
      <c r="G16" s="8">
        <f>IFERROR(INDEX('A1. Response summary'!L$11:L$200,MATCH($C$4&amp;"|"&amp;$B16,'A1. Response summary'!$A$11:$A$200,0)),"")</f>
        <v/>
      </c>
      <c r="H16" s="8">
        <f>IFERROR(INDEX('A1. Response summary'!M$11:M$200,MATCH($C$4&amp;"|"&amp;$B16,'A1. Response summary'!$A$11:$A$200,0)),"")</f>
        <v/>
      </c>
      <c r="I16" s="8">
        <f>IFERROR(INDEX('A1. Response summary'!N$11:N$200,MATCH($C$4&amp;"|"&amp;$B16,'A1. Response summary'!$A$11:$A$200,0)),"")</f>
        <v/>
      </c>
      <c r="J16" s="8">
        <f>IFERROR(INDEX('A1. Response summary'!O$11:O$200,MATCH($C$4&amp;"|"&amp;$B16,'A1. Response summary'!$A$11:$A$200,0)),"")</f>
        <v/>
      </c>
      <c r="K16" s="8">
        <f>IFERROR(INDEX('A1. Response summary'!P$11:P$200,MATCH($C$4&amp;"|"&amp;$B16,'A1. Response summary'!$A$11:$A$200,0)),"")</f>
        <v/>
      </c>
      <c r="L16" s="8">
        <f>IFERROR(INDEX('A1. Response summary'!Q$11:Q$200,MATCH($C$4&amp;"|"&amp;$B16,'A1. Response summary'!$A$11:$A$200,0)),"")</f>
        <v/>
      </c>
      <c r="M16" s="8">
        <f>IFERROR(INDEX('A1. Response summary'!R$11:R$200,MATCH($C$4&amp;"|"&amp;$B16,'A1. Response summary'!$A$11:$A$200,0)),"")</f>
        <v/>
      </c>
      <c r="N16" s="8">
        <f>IFERROR(INDEX('A1. Response summary'!S$11:S$200,MATCH($C$4&amp;"|"&amp;$B16,'A1. Response summary'!$A$11:$A$200,0)),"")</f>
        <v/>
      </c>
      <c r="O16" s="8">
        <f>IFERROR(INDEX('A1. Response summary'!T$11:T$200,MATCH($C$4&amp;"|"&amp;$B16,'A1. Response summary'!$A$11:$A$200,0)),"")</f>
        <v/>
      </c>
      <c r="P16" s="8">
        <f>IFERROR(INDEX('A1. Response summary'!U$11:U$200,MATCH($C$4&amp;"|"&amp;$B16,'A1. Response summary'!$A$11:$A$200,0)),"")</f>
        <v/>
      </c>
      <c r="Q16" s="8">
        <f>IFERROR(INDEX('A1. Response summary'!V$11:V$200,MATCH($C$4&amp;"|"&amp;$B16,'A1. Response summary'!$A$11:$A$200,0)),"")</f>
        <v/>
      </c>
      <c r="R16" s="8">
        <f>IFERROR(INDEX('A1. Response summary'!W$11:W$200,MATCH($C$4&amp;"|"&amp;$B16,'A1. Response summary'!$A$11:$A$200,0)),"")</f>
        <v/>
      </c>
      <c r="S16" s="8">
        <f>IFERROR(INDEX('A1. Response summary'!X$11:X$200,MATCH($C$4&amp;"|"&amp;$B16,'A1. Response summary'!$A$11:$A$200,0)),"")</f>
        <v/>
      </c>
    </row>
    <row r="17" ht="120" customHeight="1">
      <c r="B17" s="7" t="inlineStr">
        <is>
          <t>OPTION 2:  Indicator level reporting</t>
        </is>
      </c>
      <c r="C17" s="8">
        <f>IFERROR(INDEX('A1. Response summary'!H$11:H$200,MATCH($C$4&amp;"|"&amp;$B17,'A1. Response summary'!$A$11:$A$200,0)),"")</f>
        <v/>
      </c>
      <c r="D17" s="8">
        <f>IFERROR(INDEX('A1. Response summary'!I$11:I$200,MATCH($C$4&amp;"|"&amp;$B17,'A1. Response summary'!$A$11:$A$200,0)),"")</f>
        <v/>
      </c>
      <c r="E17" s="8">
        <f>IFERROR(INDEX('A1. Response summary'!J$11:J$200,MATCH($C$4&amp;"|"&amp;$B17,'A1. Response summary'!$A$11:$A$200,0)),"")</f>
        <v/>
      </c>
      <c r="F17" s="8">
        <f>IFERROR(INDEX('A1. Response summary'!K$11:K$200,MATCH($C$4&amp;"|"&amp;$B17,'A1. Response summary'!$A$11:$A$200,0)),"")</f>
        <v/>
      </c>
      <c r="G17" s="8">
        <f>IFERROR(INDEX('A1. Response summary'!L$11:L$200,MATCH($C$4&amp;"|"&amp;$B17,'A1. Response summary'!$A$11:$A$200,0)),"")</f>
        <v/>
      </c>
      <c r="H17" s="8">
        <f>IFERROR(INDEX('A1. Response summary'!M$11:M$200,MATCH($C$4&amp;"|"&amp;$B17,'A1. Response summary'!$A$11:$A$200,0)),"")</f>
        <v/>
      </c>
      <c r="I17" s="8">
        <f>IFERROR(INDEX('A1. Response summary'!N$11:N$200,MATCH($C$4&amp;"|"&amp;$B17,'A1. Response summary'!$A$11:$A$200,0)),"")</f>
        <v/>
      </c>
      <c r="J17" s="8">
        <f>IFERROR(INDEX('A1. Response summary'!O$11:O$200,MATCH($C$4&amp;"|"&amp;$B17,'A1. Response summary'!$A$11:$A$200,0)),"")</f>
        <v/>
      </c>
      <c r="K17" s="8">
        <f>IFERROR(INDEX('A1. Response summary'!P$11:P$200,MATCH($C$4&amp;"|"&amp;$B17,'A1. Response summary'!$A$11:$A$200,0)),"")</f>
        <v/>
      </c>
      <c r="L17" s="8">
        <f>IFERROR(INDEX('A1. Response summary'!Q$11:Q$200,MATCH($C$4&amp;"|"&amp;$B17,'A1. Response summary'!$A$11:$A$200,0)),"")</f>
        <v/>
      </c>
      <c r="M17" s="8">
        <f>IFERROR(INDEX('A1. Response summary'!R$11:R$200,MATCH($C$4&amp;"|"&amp;$B17,'A1. Response summary'!$A$11:$A$200,0)),"")</f>
        <v/>
      </c>
      <c r="N17" s="8">
        <f>IFERROR(INDEX('A1. Response summary'!S$11:S$200,MATCH($C$4&amp;"|"&amp;$B17,'A1. Response summary'!$A$11:$A$200,0)),"")</f>
        <v/>
      </c>
      <c r="O17" s="8">
        <f>IFERROR(INDEX('A1. Response summary'!T$11:T$200,MATCH($C$4&amp;"|"&amp;$B17,'A1. Response summary'!$A$11:$A$200,0)),"")</f>
        <v/>
      </c>
      <c r="P17" s="8">
        <f>IFERROR(INDEX('A1. Response summary'!U$11:U$200,MATCH($C$4&amp;"|"&amp;$B17,'A1. Response summary'!$A$11:$A$200,0)),"")</f>
        <v/>
      </c>
      <c r="Q17" s="8">
        <f>IFERROR(INDEX('A1. Response summary'!V$11:V$200,MATCH($C$4&amp;"|"&amp;$B17,'A1. Response summary'!$A$11:$A$200,0)),"")</f>
        <v/>
      </c>
      <c r="R17" s="8">
        <f>IFERROR(INDEX('A1. Response summary'!W$11:W$200,MATCH($C$4&amp;"|"&amp;$B17,'A1. Response summary'!$A$11:$A$200,0)),"")</f>
        <v/>
      </c>
      <c r="S17" s="8">
        <f>IFERROR(INDEX('A1. Response summary'!X$11:X$200,MATCH($C$4&amp;"|"&amp;$B17,'A1. Response summary'!$A$11:$A$200,0)),"")</f>
        <v/>
      </c>
    </row>
    <row r="18" ht="120" customHeight="1">
      <c r="B18" s="7" t="inlineStr">
        <is>
          <t>Supporting information/comments</t>
        </is>
      </c>
      <c r="C18" s="8">
        <f>IFERROR(INDEX('A1. Response summary'!H$11:H$200,MATCH($C$4&amp;"|"&amp;$B18,'A1. Response summary'!$A$11:$A$200,0)),"")</f>
        <v/>
      </c>
      <c r="D18" s="8">
        <f>IFERROR(INDEX('A1. Response summary'!I$11:I$200,MATCH($C$4&amp;"|"&amp;$B18,'A1. Response summary'!$A$11:$A$200,0)),"")</f>
        <v/>
      </c>
      <c r="E18" s="8">
        <f>IFERROR(INDEX('A1. Response summary'!J$11:J$200,MATCH($C$4&amp;"|"&amp;$B18,'A1. Response summary'!$A$11:$A$200,0)),"")</f>
        <v/>
      </c>
      <c r="F18" s="8">
        <f>IFERROR(INDEX('A1. Response summary'!K$11:K$200,MATCH($C$4&amp;"|"&amp;$B18,'A1. Response summary'!$A$11:$A$200,0)),"")</f>
        <v/>
      </c>
      <c r="G18" s="8">
        <f>IFERROR(INDEX('A1. Response summary'!L$11:L$200,MATCH($C$4&amp;"|"&amp;$B18,'A1. Response summary'!$A$11:$A$200,0)),"")</f>
        <v/>
      </c>
      <c r="H18" s="8">
        <f>IFERROR(INDEX('A1. Response summary'!M$11:M$200,MATCH($C$4&amp;"|"&amp;$B18,'A1. Response summary'!$A$11:$A$200,0)),"")</f>
        <v/>
      </c>
      <c r="I18" s="8">
        <f>IFERROR(INDEX('A1. Response summary'!N$11:N$200,MATCH($C$4&amp;"|"&amp;$B18,'A1. Response summary'!$A$11:$A$200,0)),"")</f>
        <v/>
      </c>
      <c r="J18" s="8">
        <f>IFERROR(INDEX('A1. Response summary'!O$11:O$200,MATCH($C$4&amp;"|"&amp;$B18,'A1. Response summary'!$A$11:$A$200,0)),"")</f>
        <v/>
      </c>
      <c r="K18" s="8">
        <f>IFERROR(INDEX('A1. Response summary'!P$11:P$200,MATCH($C$4&amp;"|"&amp;$B18,'A1. Response summary'!$A$11:$A$200,0)),"")</f>
        <v/>
      </c>
      <c r="L18" s="8">
        <f>IFERROR(INDEX('A1. Response summary'!Q$11:Q$200,MATCH($C$4&amp;"|"&amp;$B18,'A1. Response summary'!$A$11:$A$200,0)),"")</f>
        <v/>
      </c>
      <c r="M18" s="8">
        <f>IFERROR(INDEX('A1. Response summary'!R$11:R$200,MATCH($C$4&amp;"|"&amp;$B18,'A1. Response summary'!$A$11:$A$200,0)),"")</f>
        <v/>
      </c>
      <c r="N18" s="8">
        <f>IFERROR(INDEX('A1. Response summary'!S$11:S$200,MATCH($C$4&amp;"|"&amp;$B18,'A1. Response summary'!$A$11:$A$200,0)),"")</f>
        <v/>
      </c>
      <c r="O18" s="8">
        <f>IFERROR(INDEX('A1. Response summary'!T$11:T$200,MATCH($C$4&amp;"|"&amp;$B18,'A1. Response summary'!$A$11:$A$200,0)),"")</f>
        <v/>
      </c>
      <c r="P18" s="8">
        <f>IFERROR(INDEX('A1. Response summary'!U$11:U$200,MATCH($C$4&amp;"|"&amp;$B18,'A1. Response summary'!$A$11:$A$200,0)),"")</f>
        <v/>
      </c>
      <c r="Q18" s="8">
        <f>IFERROR(INDEX('A1. Response summary'!V$11:V$200,MATCH($C$4&amp;"|"&amp;$B18,'A1. Response summary'!$A$11:$A$200,0)),"")</f>
        <v/>
      </c>
      <c r="R18" s="8">
        <f>IFERROR(INDEX('A1. Response summary'!W$11:W$200,MATCH($C$4&amp;"|"&amp;$B18,'A1. Response summary'!$A$11:$A$200,0)),"")</f>
        <v/>
      </c>
      <c r="S18" s="8">
        <f>IFERROR(INDEX('A1. Response summary'!X$11:X$200,MATCH($C$4&amp;"|"&amp;$B18,'A1. Response summary'!$A$11:$A$200,0)),"")</f>
        <v/>
      </c>
    </row>
    <row r="19" ht="45" customHeight="1">
      <c r="B19" s="7" t="inlineStr">
        <is>
          <t>Data source and limitations</t>
        </is>
      </c>
      <c r="C19" s="8">
        <f>IFERROR(INDEX('A1. Response summary'!H$11:H$200,MATCH($C$4&amp;"|"&amp;$B19,'A1. Response summary'!$A$11:$A$200,0)),"")</f>
        <v/>
      </c>
      <c r="D19" s="8">
        <f>IFERROR(INDEX('A1. Response summary'!I$11:I$200,MATCH($C$4&amp;"|"&amp;$B19,'A1. Response summary'!$A$11:$A$200,0)),"")</f>
        <v/>
      </c>
      <c r="E19" s="8">
        <f>IFERROR(INDEX('A1. Response summary'!J$11:J$200,MATCH($C$4&amp;"|"&amp;$B19,'A1. Response summary'!$A$11:$A$200,0)),"")</f>
        <v/>
      </c>
      <c r="F19" s="8">
        <f>IFERROR(INDEX('A1. Response summary'!K$11:K$200,MATCH($C$4&amp;"|"&amp;$B19,'A1. Response summary'!$A$11:$A$200,0)),"")</f>
        <v/>
      </c>
      <c r="G19" s="8">
        <f>IFERROR(INDEX('A1. Response summary'!L$11:L$200,MATCH($C$4&amp;"|"&amp;$B19,'A1. Response summary'!$A$11:$A$200,0)),"")</f>
        <v/>
      </c>
      <c r="H19" s="8">
        <f>IFERROR(INDEX('A1. Response summary'!M$11:M$200,MATCH($C$4&amp;"|"&amp;$B19,'A1. Response summary'!$A$11:$A$200,0)),"")</f>
        <v/>
      </c>
      <c r="I19" s="8">
        <f>IFERROR(INDEX('A1. Response summary'!N$11:N$200,MATCH($C$4&amp;"|"&amp;$B19,'A1. Response summary'!$A$11:$A$200,0)),"")</f>
        <v/>
      </c>
      <c r="J19" s="8">
        <f>IFERROR(INDEX('A1. Response summary'!O$11:O$200,MATCH($C$4&amp;"|"&amp;$B19,'A1. Response summary'!$A$11:$A$200,0)),"")</f>
        <v/>
      </c>
      <c r="K19" s="8">
        <f>IFERROR(INDEX('A1. Response summary'!P$11:P$200,MATCH($C$4&amp;"|"&amp;$B19,'A1. Response summary'!$A$11:$A$200,0)),"")</f>
        <v/>
      </c>
      <c r="L19" s="8">
        <f>IFERROR(INDEX('A1. Response summary'!Q$11:Q$200,MATCH($C$4&amp;"|"&amp;$B19,'A1. Response summary'!$A$11:$A$200,0)),"")</f>
        <v/>
      </c>
      <c r="M19" s="8">
        <f>IFERROR(INDEX('A1. Response summary'!R$11:R$200,MATCH($C$4&amp;"|"&amp;$B19,'A1. Response summary'!$A$11:$A$200,0)),"")</f>
        <v/>
      </c>
      <c r="N19" s="8">
        <f>IFERROR(INDEX('A1. Response summary'!S$11:S$200,MATCH($C$4&amp;"|"&amp;$B19,'A1. Response summary'!$A$11:$A$200,0)),"")</f>
        <v/>
      </c>
      <c r="O19" s="8">
        <f>IFERROR(INDEX('A1. Response summary'!T$11:T$200,MATCH($C$4&amp;"|"&amp;$B19,'A1. Response summary'!$A$11:$A$200,0)),"")</f>
        <v/>
      </c>
      <c r="P19" s="8">
        <f>IFERROR(INDEX('A1. Response summary'!U$11:U$200,MATCH($C$4&amp;"|"&amp;$B19,'A1. Response summary'!$A$11:$A$200,0)),"")</f>
        <v/>
      </c>
      <c r="Q19" s="8">
        <f>IFERROR(INDEX('A1. Response summary'!V$11:V$200,MATCH($C$4&amp;"|"&amp;$B19,'A1. Response summary'!$A$11:$A$200,0)),"")</f>
        <v/>
      </c>
      <c r="R19" s="8">
        <f>IFERROR(INDEX('A1. Response summary'!W$11:W$200,MATCH($C$4&amp;"|"&amp;$B19,'A1. Response summary'!$A$11:$A$200,0)),"")</f>
        <v/>
      </c>
      <c r="S19" s="8">
        <f>IFERROR(INDEX('A1. Response summary'!X$11:X$200,MATCH($C$4&amp;"|"&amp;$B19,'A1. Response summary'!$A$11:$A$200,0)),"")</f>
        <v/>
      </c>
    </row>
    <row r="20" ht="45" customHeight="1">
      <c r="B20" s="7" t="inlineStr">
        <is>
          <t>Data owner confirms</t>
        </is>
      </c>
      <c r="C20" s="8">
        <f>IFERROR(INDEX('A1. Response summary'!H$11:H$200,MATCH($C$4&amp;"|"&amp;$B20,'A1. Response summary'!$A$11:$A$200,0)),"")</f>
        <v/>
      </c>
      <c r="D20" s="8">
        <f>IFERROR(INDEX('A1. Response summary'!I$11:I$200,MATCH($C$4&amp;"|"&amp;$B20,'A1. Response summary'!$A$11:$A$200,0)),"")</f>
        <v/>
      </c>
      <c r="E20" s="8">
        <f>IFERROR(INDEX('A1. Response summary'!J$11:J$200,MATCH($C$4&amp;"|"&amp;$B20,'A1. Response summary'!$A$11:$A$200,0)),"")</f>
        <v/>
      </c>
      <c r="F20" s="8">
        <f>IFERROR(INDEX('A1. Response summary'!K$11:K$200,MATCH($C$4&amp;"|"&amp;$B20,'A1. Response summary'!$A$11:$A$200,0)),"")</f>
        <v/>
      </c>
      <c r="G20" s="8">
        <f>IFERROR(INDEX('A1. Response summary'!L$11:L$200,MATCH($C$4&amp;"|"&amp;$B20,'A1. Response summary'!$A$11:$A$200,0)),"")</f>
        <v/>
      </c>
      <c r="H20" s="8">
        <f>IFERROR(INDEX('A1. Response summary'!M$11:M$200,MATCH($C$4&amp;"|"&amp;$B20,'A1. Response summary'!$A$11:$A$200,0)),"")</f>
        <v/>
      </c>
      <c r="I20" s="8">
        <f>IFERROR(INDEX('A1. Response summary'!N$11:N$200,MATCH($C$4&amp;"|"&amp;$B20,'A1. Response summary'!$A$11:$A$200,0)),"")</f>
        <v/>
      </c>
      <c r="J20" s="8">
        <f>IFERROR(INDEX('A1. Response summary'!O$11:O$200,MATCH($C$4&amp;"|"&amp;$B20,'A1. Response summary'!$A$11:$A$200,0)),"")</f>
        <v/>
      </c>
      <c r="K20" s="8">
        <f>IFERROR(INDEX('A1. Response summary'!P$11:P$200,MATCH($C$4&amp;"|"&amp;$B20,'A1. Response summary'!$A$11:$A$200,0)),"")</f>
        <v/>
      </c>
      <c r="L20" s="8">
        <f>IFERROR(INDEX('A1. Response summary'!Q$11:Q$200,MATCH($C$4&amp;"|"&amp;$B20,'A1. Response summary'!$A$11:$A$200,0)),"")</f>
        <v/>
      </c>
      <c r="M20" s="8">
        <f>IFERROR(INDEX('A1. Response summary'!R$11:R$200,MATCH($C$4&amp;"|"&amp;$B20,'A1. Response summary'!$A$11:$A$200,0)),"")</f>
        <v/>
      </c>
      <c r="N20" s="8">
        <f>IFERROR(INDEX('A1. Response summary'!S$11:S$200,MATCH($C$4&amp;"|"&amp;$B20,'A1. Response summary'!$A$11:$A$200,0)),"")</f>
        <v/>
      </c>
      <c r="O20" s="8">
        <f>IFERROR(INDEX('A1. Response summary'!T$11:T$200,MATCH($C$4&amp;"|"&amp;$B20,'A1. Response summary'!$A$11:$A$200,0)),"")</f>
        <v/>
      </c>
      <c r="P20" s="8">
        <f>IFERROR(INDEX('A1. Response summary'!U$11:U$200,MATCH($C$4&amp;"|"&amp;$B20,'A1. Response summary'!$A$11:$A$200,0)),"")</f>
        <v/>
      </c>
      <c r="Q20" s="8">
        <f>IFERROR(INDEX('A1. Response summary'!V$11:V$200,MATCH($C$4&amp;"|"&amp;$B20,'A1. Response summary'!$A$11:$A$200,0)),"")</f>
        <v/>
      </c>
      <c r="R20" s="8">
        <f>IFERROR(INDEX('A1. Response summary'!W$11:W$200,MATCH($C$4&amp;"|"&amp;$B20,'A1. Response summary'!$A$11:$A$200,0)),"")</f>
        <v/>
      </c>
      <c r="S20" s="8">
        <f>IFERROR(INDEX('A1. Response summary'!X$11:X$200,MATCH($C$4&amp;"|"&amp;$B20,'A1. Response summary'!$A$11:$A$200,0)),"")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SR26 sustainability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TR1(a)</t>
        </is>
      </c>
      <c r="C8" s="8" t="inlineStr">
        <is>
          <t>Expert-reviewed evidence of researchers contributing to operational sustainability priorities through partnerships, advisory input, living labs, applied projects or decision-support</t>
        </is>
      </c>
      <c r="D8"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8"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8" t="inlineStr">
        <is>
          <t>2a</t>
        </is>
      </c>
      <c r="G8" s="8" t="inlineStr">
        <is>
          <t>Points to the faculty's end-2025 response and rating</t>
        </is>
      </c>
    </row>
    <row r="9" ht="130" customHeight="1">
      <c r="B9" s="7" t="inlineStr">
        <is>
          <t>TR2(a)</t>
        </is>
      </c>
      <c r="C9" s="8" t="inlineStr">
        <is>
          <t>Evidence of sustainability-related research impact across diverse pathways, could include policy, industry, community, practice, cultural and institutional outcomes</t>
        </is>
      </c>
      <c r="D9"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8"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8" t="inlineStr">
        <is>
          <t>5b(i)</t>
        </is>
      </c>
      <c r="G9" s="8" t="inlineStr">
        <is>
          <t>Points to the faculty's end-2025 response and rating</t>
        </is>
      </c>
    </row>
    <row r="10" ht="130" customHeight="1">
      <c r="B10" s="7" t="inlineStr">
        <is>
          <t>TR2(d)</t>
        </is>
      </c>
      <c r="C10" s="8" t="inlineStr">
        <is>
          <t>Case-based evidence demonstrating how research has contributed to meaningful sustainability outcomes.</t>
        </is>
      </c>
      <c r="D10"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8"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8" t="inlineStr">
        <is>
          <t>5b(i)</t>
        </is>
      </c>
      <c r="G10" s="8" t="inlineStr">
        <is>
          <t>Points to the faculty's end-2025 response and rating</t>
        </is>
      </c>
    </row>
    <row r="11" ht="130" customHeight="1">
      <c r="B11" s="7" t="inlineStr">
        <is>
          <t>TR3(b)</t>
        </is>
      </c>
      <c r="C11" s="8" t="inlineStr">
        <is>
          <t>Demonstrated examples of more sustainable research practices in laboratories, fieldwork, procurement, travel or infrastructure use</t>
        </is>
      </c>
      <c r="D11"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8"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8" t="inlineStr">
        <is>
          <t>5c(ii)</t>
        </is>
      </c>
      <c r="G11" s="8" t="inlineStr">
        <is>
          <t>Points to the faculty's end-2025 response and rating</t>
        </is>
      </c>
    </row>
    <row r="12" ht="130" customHeight="1">
      <c r="B12" s="7" t="inlineStr">
        <is>
          <t>EN1(a)</t>
        </is>
      </c>
      <c r="C12" s="8" t="inlineStr">
        <is>
          <t>Evidence of sustainability outcomes informed by Indigenous knowledges</t>
        </is>
      </c>
      <c r="D1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8"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8" t="inlineStr">
        <is>
          <t>6a</t>
        </is>
      </c>
      <c r="G12" s="8" t="inlineStr">
        <is>
          <t>Points to the faculty's end-2025 response and rating</t>
        </is>
      </c>
    </row>
    <row r="13" ht="130" customHeight="1">
      <c r="B13" s="7" t="inlineStr">
        <is>
          <t>EN1(b)</t>
        </is>
      </c>
      <c r="C13" s="8" t="inlineStr">
        <is>
          <t>Living laboratories enabling applied learning, research and operational sustainability outcomes</t>
        </is>
      </c>
      <c r="D13" s="8" t="inlineStr">
        <is>
          <t>Comment on living labs in the Faculty - outputs, outcomes, and impact</t>
        </is>
      </c>
      <c r="E13" s="8"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8" t="inlineStr">
        <is>
          <t>2a</t>
        </is>
      </c>
      <c r="G13" s="8" t="inlineStr">
        <is>
          <t>Points to the faculty's end-2025 response and rating</t>
        </is>
      </c>
    </row>
    <row r="14" ht="130" customHeight="1">
      <c r="B14" s="7" t="inlineStr">
        <is>
          <t>EN1(c)</t>
        </is>
      </c>
      <c r="C14" s="8" t="inlineStr">
        <is>
          <t>Coordinated internal engagement and external partnerships contributing to delivery of sustainability outcomes across priority areas.</t>
        </is>
      </c>
      <c r="D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8"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8" t="inlineStr">
        <is>
          <t>3a(ii)</t>
        </is>
      </c>
      <c r="G14" s="8" t="inlineStr">
        <is>
          <t>Points to the faculty's end-2025 response and rating</t>
        </is>
      </c>
    </row>
  </sheetData>
  <mergeCells count="1">
    <mergeCell ref="B3:G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c r="A1" s="1" t="inlineStr">
        <is>
          <t>↑</t>
        </is>
      </c>
      <c r="B1" s="2" t="inlineStr">
        <is>
          <t>SR26 sustainability reporting</t>
        </is>
      </c>
    </row>
    <row r="2">
      <c r="B2" s="3" t="inlineStr">
        <is>
          <t>Highlighted stories – compiled</t>
        </is>
      </c>
    </row>
    <row r="3" ht="32" customHeight="1">
      <c r="B3" s="9" t="inlineStr">
        <is>
          <t>Each faculty/unit has 3 story slots, matching rows 10–12 of Tab 2 in its request workbook. Copy (or, in the Teams version, link) the respondent columns; SST completes the gold columns to assign priority areas and shortlist.</t>
        </is>
      </c>
    </row>
    <row r="5">
      <c r="B5" s="6" t="inlineStr">
        <is>
          <t>Faculty / unit</t>
        </is>
      </c>
      <c r="C5" s="6" t="inlineStr">
        <is>
          <t>Story #</t>
        </is>
      </c>
      <c r="D5" s="6" t="inlineStr">
        <is>
          <t>Title</t>
        </is>
      </c>
      <c r="E5" s="6" t="inlineStr">
        <is>
          <t>Description</t>
        </is>
      </c>
      <c r="F5" s="6" t="inlineStr">
        <is>
          <t>Related Sustainability 2030 targets (optional)</t>
        </is>
      </c>
      <c r="G5" s="6" t="inlineStr">
        <is>
          <t>Images and other media</t>
        </is>
      </c>
      <c r="H5" s="6" t="inlineStr">
        <is>
          <t>Links and supporting documentation</t>
        </is>
      </c>
      <c r="I5" s="48" t="inlineStr">
        <is>
          <t>SST: primary priority area</t>
        </is>
      </c>
      <c r="J5" s="48" t="inlineStr">
        <is>
          <t>SST: secondary priority area</t>
        </is>
      </c>
      <c r="K5" s="48" t="inlineStr">
        <is>
          <t>SST: related S2030 indicator ref</t>
        </is>
      </c>
      <c r="L5" s="48" t="inlineStr">
        <is>
          <t>SST: use in report?</t>
        </is>
      </c>
      <c r="M5" s="48" t="inlineStr">
        <is>
          <t>SST: permission to publish?</t>
        </is>
      </c>
      <c r="N5" s="48" t="inlineStr">
        <is>
          <t>SST notes</t>
        </is>
      </c>
    </row>
    <row r="6" ht="60" customHeight="1">
      <c r="B6" s="7" t="inlineStr">
        <is>
          <t>ABP – Faculty of Architecture, Building and Planning</t>
        </is>
      </c>
      <c r="C6" s="50" t="n">
        <v>1</v>
      </c>
      <c r="D6" s="10">
        <f>IF([1]'2. OPTIONAL highlighted stories'!B10="","",[1]'2. OPTIONAL highlighted stories'!B10)</f>
        <v/>
      </c>
      <c r="E6" s="10">
        <f>IF([1]'2. OPTIONAL highlighted stories'!C10="","",[1]'2. OPTIONAL highlighted stories'!C10)</f>
        <v/>
      </c>
      <c r="F6" s="10">
        <f>IF([1]'2. OPTIONAL highlighted stories'!D10="","",[1]'2. OPTIONAL highlighted stories'!D10)</f>
        <v/>
      </c>
      <c r="G6" s="10">
        <f>IF([1]'2. OPTIONAL highlighted stories'!E10="","",[1]'2. OPTIONAL highlighted stories'!E10)</f>
        <v/>
      </c>
      <c r="H6" s="10">
        <f>IF([1]'2. OPTIONAL highlighted stories'!F10="","",[1]'2. OPTIONAL highlighted stories'!F10)</f>
        <v/>
      </c>
      <c r="I6" s="8" t="inlineStr"/>
      <c r="J6" s="8" t="inlineStr"/>
      <c r="K6" s="8" t="inlineStr"/>
      <c r="L6" s="8" t="inlineStr"/>
      <c r="M6" s="8" t="inlineStr"/>
      <c r="N6" s="8" t="inlineStr"/>
    </row>
    <row r="7" ht="60" customHeight="1">
      <c r="B7" s="7" t="inlineStr"/>
      <c r="C7" s="50" t="n">
        <v>2</v>
      </c>
      <c r="D7" s="10">
        <f>IF([1]'2. OPTIONAL highlighted stories'!B11="","",[1]'2. OPTIONAL highlighted stories'!B11)</f>
        <v/>
      </c>
      <c r="E7" s="10">
        <f>IF([1]'2. OPTIONAL highlighted stories'!C11="","",[1]'2. OPTIONAL highlighted stories'!C11)</f>
        <v/>
      </c>
      <c r="F7" s="10">
        <f>IF([1]'2. OPTIONAL highlighted stories'!D11="","",[1]'2. OPTIONAL highlighted stories'!D11)</f>
        <v/>
      </c>
      <c r="G7" s="10">
        <f>IF([1]'2. OPTIONAL highlighted stories'!E11="","",[1]'2. OPTIONAL highlighted stories'!E11)</f>
        <v/>
      </c>
      <c r="H7" s="10">
        <f>IF([1]'2. OPTIONAL highlighted stories'!F11="","",[1]'2. OPTIONAL highlighted stories'!F11)</f>
        <v/>
      </c>
      <c r="I7" s="8" t="inlineStr"/>
      <c r="J7" s="8" t="inlineStr"/>
      <c r="K7" s="8" t="inlineStr"/>
      <c r="L7" s="8" t="inlineStr"/>
      <c r="M7" s="8" t="inlineStr"/>
      <c r="N7" s="8" t="inlineStr"/>
    </row>
    <row r="8" ht="60" customHeight="1">
      <c r="B8" s="7" t="inlineStr"/>
      <c r="C8" s="50" t="n">
        <v>3</v>
      </c>
      <c r="D8" s="10">
        <f>IF([1]'2. OPTIONAL highlighted stories'!B12="","",[1]'2. OPTIONAL highlighted stories'!B12)</f>
        <v/>
      </c>
      <c r="E8" s="10">
        <f>IF([1]'2. OPTIONAL highlighted stories'!C12="","",[1]'2. OPTIONAL highlighted stories'!C12)</f>
        <v/>
      </c>
      <c r="F8" s="10">
        <f>IF([1]'2. OPTIONAL highlighted stories'!D12="","",[1]'2. OPTIONAL highlighted stories'!D12)</f>
        <v/>
      </c>
      <c r="G8" s="10">
        <f>IF([1]'2. OPTIONAL highlighted stories'!E12="","",[1]'2. OPTIONAL highlighted stories'!E12)</f>
        <v/>
      </c>
      <c r="H8" s="10">
        <f>IF([1]'2. OPTIONAL highlighted stories'!F12="","",[1]'2. OPTIONAL highlighted stories'!F12)</f>
        <v/>
      </c>
      <c r="I8" s="8" t="inlineStr"/>
      <c r="J8" s="8" t="inlineStr"/>
      <c r="K8" s="8" t="inlineStr"/>
      <c r="L8" s="8" t="inlineStr"/>
      <c r="M8" s="8" t="inlineStr"/>
      <c r="N8" s="8" t="inlineStr"/>
    </row>
    <row r="9" ht="60" customHeight="1">
      <c r="B9" s="7" t="inlineStr">
        <is>
          <t>ARTS – Faculty of Arts</t>
        </is>
      </c>
      <c r="C9" s="50" t="n">
        <v>1</v>
      </c>
      <c r="D9" s="8" t="inlineStr"/>
      <c r="E9" s="8" t="inlineStr"/>
      <c r="F9" s="8" t="inlineStr"/>
      <c r="G9" s="8" t="inlineStr"/>
      <c r="H9" s="8" t="inlineStr"/>
      <c r="I9" s="8" t="inlineStr"/>
      <c r="J9" s="8" t="inlineStr"/>
      <c r="K9" s="8" t="inlineStr"/>
      <c r="L9" s="8" t="inlineStr"/>
      <c r="M9" s="8" t="inlineStr"/>
      <c r="N9" s="8" t="inlineStr"/>
    </row>
    <row r="10" ht="60" customHeight="1">
      <c r="B10" s="7" t="inlineStr"/>
      <c r="C10" s="50" t="n">
        <v>2</v>
      </c>
      <c r="D10" s="8" t="inlineStr"/>
      <c r="E10" s="8" t="inlineStr"/>
      <c r="F10" s="8" t="inlineStr"/>
      <c r="G10" s="8" t="inlineStr"/>
      <c r="H10" s="8" t="inlineStr"/>
      <c r="I10" s="8" t="inlineStr"/>
      <c r="J10" s="8" t="inlineStr"/>
      <c r="K10" s="8" t="inlineStr"/>
      <c r="L10" s="8" t="inlineStr"/>
      <c r="M10" s="8" t="inlineStr"/>
      <c r="N10" s="8" t="inlineStr"/>
    </row>
    <row r="11" ht="60" customHeight="1">
      <c r="B11" s="7" t="inlineStr"/>
      <c r="C11" s="50" t="n">
        <v>3</v>
      </c>
      <c r="D11" s="8" t="inlineStr"/>
      <c r="E11" s="8" t="inlineStr"/>
      <c r="F11" s="8" t="inlineStr"/>
      <c r="G11" s="8" t="inlineStr"/>
      <c r="H11" s="8" t="inlineStr"/>
      <c r="I11" s="8" t="inlineStr"/>
      <c r="J11" s="8" t="inlineStr"/>
      <c r="K11" s="8" t="inlineStr"/>
      <c r="L11" s="8" t="inlineStr"/>
      <c r="M11" s="8" t="inlineStr"/>
      <c r="N11" s="8" t="inlineStr"/>
    </row>
    <row r="12" ht="60" customHeight="1">
      <c r="B12" s="7" t="inlineStr">
        <is>
          <t>FBE – Faculty of Business and Economics</t>
        </is>
      </c>
      <c r="C12" s="50" t="n">
        <v>1</v>
      </c>
      <c r="D12" s="8" t="inlineStr"/>
      <c r="E12" s="8" t="inlineStr"/>
      <c r="F12" s="8" t="inlineStr"/>
      <c r="G12" s="8" t="inlineStr"/>
      <c r="H12" s="8" t="inlineStr"/>
      <c r="I12" s="8" t="inlineStr"/>
      <c r="J12" s="8" t="inlineStr"/>
      <c r="K12" s="8" t="inlineStr"/>
      <c r="L12" s="8" t="inlineStr"/>
      <c r="M12" s="8" t="inlineStr"/>
      <c r="N12" s="8" t="inlineStr"/>
    </row>
    <row r="13" ht="60" customHeight="1">
      <c r="B13" s="7" t="inlineStr"/>
      <c r="C13" s="50" t="n">
        <v>2</v>
      </c>
      <c r="D13" s="8" t="inlineStr"/>
      <c r="E13" s="8" t="inlineStr"/>
      <c r="F13" s="8" t="inlineStr"/>
      <c r="G13" s="8" t="inlineStr"/>
      <c r="H13" s="8" t="inlineStr"/>
      <c r="I13" s="8" t="inlineStr"/>
      <c r="J13" s="8" t="inlineStr"/>
      <c r="K13" s="8" t="inlineStr"/>
      <c r="L13" s="8" t="inlineStr"/>
      <c r="M13" s="8" t="inlineStr"/>
      <c r="N13" s="8" t="inlineStr"/>
    </row>
    <row r="14" ht="60" customHeight="1">
      <c r="B14" s="7" t="inlineStr"/>
      <c r="C14" s="50" t="n">
        <v>3</v>
      </c>
      <c r="D14" s="8" t="inlineStr"/>
      <c r="E14" s="8" t="inlineStr"/>
      <c r="F14" s="8" t="inlineStr"/>
      <c r="G14" s="8" t="inlineStr"/>
      <c r="H14" s="8" t="inlineStr"/>
      <c r="I14" s="8" t="inlineStr"/>
      <c r="J14" s="8" t="inlineStr"/>
      <c r="K14" s="8" t="inlineStr"/>
      <c r="L14" s="8" t="inlineStr"/>
      <c r="M14" s="8" t="inlineStr"/>
      <c r="N14" s="8" t="inlineStr"/>
    </row>
    <row r="15" ht="60" customHeight="1">
      <c r="B15" s="7" t="inlineStr">
        <is>
          <t>SCI – Faculty of Science</t>
        </is>
      </c>
      <c r="C15" s="50" t="n">
        <v>1</v>
      </c>
      <c r="D15" s="8" t="inlineStr"/>
      <c r="E15" s="8" t="inlineStr"/>
      <c r="F15" s="8" t="inlineStr"/>
      <c r="G15" s="8" t="inlineStr"/>
      <c r="H15" s="8" t="inlineStr"/>
      <c r="I15" s="8" t="inlineStr"/>
      <c r="J15" s="8" t="inlineStr"/>
      <c r="K15" s="8" t="inlineStr"/>
      <c r="L15" s="8" t="inlineStr"/>
      <c r="M15" s="8" t="inlineStr"/>
      <c r="N15" s="8" t="inlineStr"/>
    </row>
    <row r="16" ht="60" customHeight="1">
      <c r="B16" s="7" t="inlineStr"/>
      <c r="C16" s="50" t="n">
        <v>2</v>
      </c>
      <c r="D16" s="8" t="inlineStr"/>
      <c r="E16" s="8" t="inlineStr"/>
      <c r="F16" s="8" t="inlineStr"/>
      <c r="G16" s="8" t="inlineStr"/>
      <c r="H16" s="8" t="inlineStr"/>
      <c r="I16" s="8" t="inlineStr"/>
      <c r="J16" s="8" t="inlineStr"/>
      <c r="K16" s="8" t="inlineStr"/>
      <c r="L16" s="8" t="inlineStr"/>
      <c r="M16" s="8" t="inlineStr"/>
      <c r="N16" s="8" t="inlineStr"/>
    </row>
    <row r="17" ht="60" customHeight="1">
      <c r="B17" s="7" t="inlineStr"/>
      <c r="C17" s="50" t="n">
        <v>3</v>
      </c>
      <c r="D17" s="8" t="inlineStr"/>
      <c r="E17" s="8" t="inlineStr"/>
      <c r="F17" s="8" t="inlineStr"/>
      <c r="G17" s="8" t="inlineStr"/>
      <c r="H17" s="8" t="inlineStr"/>
      <c r="I17" s="8" t="inlineStr"/>
      <c r="J17" s="8" t="inlineStr"/>
      <c r="K17" s="8" t="inlineStr"/>
      <c r="L17" s="8" t="inlineStr"/>
      <c r="M17" s="8" t="inlineStr"/>
      <c r="N17" s="8" t="inlineStr"/>
    </row>
    <row r="18" ht="60" customHeight="1">
      <c r="B18" s="7" t="inlineStr">
        <is>
          <t>Commercial, Infrastructure &amp; Sustainability (CI&amp;S)</t>
        </is>
      </c>
      <c r="C18" s="50" t="n">
        <v>1</v>
      </c>
      <c r="D18" s="8" t="inlineStr"/>
      <c r="E18" s="8" t="inlineStr"/>
      <c r="F18" s="8" t="inlineStr"/>
      <c r="G18" s="8" t="inlineStr"/>
      <c r="H18" s="8" t="inlineStr"/>
      <c r="I18" s="8" t="inlineStr"/>
      <c r="J18" s="8" t="inlineStr"/>
      <c r="K18" s="8" t="inlineStr"/>
      <c r="L18" s="8" t="inlineStr"/>
      <c r="M18" s="8" t="inlineStr"/>
      <c r="N18" s="8" t="inlineStr"/>
    </row>
    <row r="19" ht="60" customHeight="1">
      <c r="B19" s="7" t="inlineStr"/>
      <c r="C19" s="50" t="n">
        <v>2</v>
      </c>
      <c r="D19" s="8" t="inlineStr"/>
      <c r="E19" s="8" t="inlineStr"/>
      <c r="F19" s="8" t="inlineStr"/>
      <c r="G19" s="8" t="inlineStr"/>
      <c r="H19" s="8" t="inlineStr"/>
      <c r="I19" s="8" t="inlineStr"/>
      <c r="J19" s="8" t="inlineStr"/>
      <c r="K19" s="8" t="inlineStr"/>
      <c r="L19" s="8" t="inlineStr"/>
      <c r="M19" s="8" t="inlineStr"/>
      <c r="N19" s="8" t="inlineStr"/>
    </row>
    <row r="20" ht="60" customHeight="1">
      <c r="B20" s="7" t="inlineStr"/>
      <c r="C20" s="50" t="n">
        <v>3</v>
      </c>
      <c r="D20" s="8" t="inlineStr"/>
      <c r="E20" s="8" t="inlineStr"/>
      <c r="F20" s="8" t="inlineStr"/>
      <c r="G20" s="8" t="inlineStr"/>
      <c r="H20" s="8" t="inlineStr"/>
      <c r="I20" s="8" t="inlineStr"/>
      <c r="J20" s="8" t="inlineStr"/>
      <c r="K20" s="8" t="inlineStr"/>
      <c r="L20" s="8" t="inlineStr"/>
      <c r="M20" s="8" t="inlineStr"/>
      <c r="N20" s="8" t="inlineStr"/>
    </row>
    <row r="21" ht="60" customHeight="1">
      <c r="B21" s="7" t="inlineStr">
        <is>
          <t>Chief Finance Officer Group (CFOG)</t>
        </is>
      </c>
      <c r="C21" s="50" t="n">
        <v>1</v>
      </c>
      <c r="D21" s="8" t="inlineStr"/>
      <c r="E21" s="8" t="inlineStr"/>
      <c r="F21" s="8" t="inlineStr"/>
      <c r="G21" s="8" t="inlineStr"/>
      <c r="H21" s="8" t="inlineStr"/>
      <c r="I21" s="8" t="inlineStr"/>
      <c r="J21" s="8" t="inlineStr"/>
      <c r="K21" s="8" t="inlineStr"/>
      <c r="L21" s="8" t="inlineStr"/>
      <c r="M21" s="8" t="inlineStr"/>
      <c r="N21" s="8" t="inlineStr"/>
    </row>
    <row r="22" ht="60" customHeight="1">
      <c r="B22" s="7" t="inlineStr"/>
      <c r="C22" s="50" t="n">
        <v>2</v>
      </c>
      <c r="D22" s="8" t="inlineStr"/>
      <c r="E22" s="8" t="inlineStr"/>
      <c r="F22" s="8" t="inlineStr"/>
      <c r="G22" s="8" t="inlineStr"/>
      <c r="H22" s="8" t="inlineStr"/>
      <c r="I22" s="8" t="inlineStr"/>
      <c r="J22" s="8" t="inlineStr"/>
      <c r="K22" s="8" t="inlineStr"/>
      <c r="L22" s="8" t="inlineStr"/>
      <c r="M22" s="8" t="inlineStr"/>
      <c r="N22" s="8" t="inlineStr"/>
    </row>
    <row r="23" ht="60" customHeight="1">
      <c r="B23" s="7" t="inlineStr"/>
      <c r="C23" s="50" t="n">
        <v>3</v>
      </c>
      <c r="D23" s="8" t="inlineStr"/>
      <c r="E23" s="8" t="inlineStr"/>
      <c r="F23" s="8" t="inlineStr"/>
      <c r="G23" s="8" t="inlineStr"/>
      <c r="H23" s="8" t="inlineStr"/>
      <c r="I23" s="8" t="inlineStr"/>
      <c r="J23" s="8" t="inlineStr"/>
      <c r="K23" s="8" t="inlineStr"/>
      <c r="L23" s="8" t="inlineStr"/>
      <c r="M23" s="8" t="inlineStr"/>
      <c r="N23" s="8" t="inlineStr"/>
    </row>
    <row r="24" ht="60" customHeight="1">
      <c r="B24" s="7" t="inlineStr">
        <is>
          <t>Enterprise Services Group (ESG)</t>
        </is>
      </c>
      <c r="C24" s="50" t="n">
        <v>1</v>
      </c>
      <c r="D24" s="8" t="inlineStr"/>
      <c r="E24" s="8" t="inlineStr"/>
      <c r="F24" s="8" t="inlineStr"/>
      <c r="G24" s="8" t="inlineStr"/>
      <c r="H24" s="8" t="inlineStr"/>
      <c r="I24" s="8" t="inlineStr"/>
      <c r="J24" s="8" t="inlineStr"/>
      <c r="K24" s="8" t="inlineStr"/>
      <c r="L24" s="8" t="inlineStr"/>
      <c r="M24" s="8" t="inlineStr"/>
      <c r="N24" s="8" t="inlineStr"/>
    </row>
    <row r="25" ht="60" customHeight="1">
      <c r="B25" s="7" t="inlineStr"/>
      <c r="C25" s="50" t="n">
        <v>2</v>
      </c>
      <c r="D25" s="8" t="inlineStr"/>
      <c r="E25" s="8" t="inlineStr"/>
      <c r="F25" s="8" t="inlineStr"/>
      <c r="G25" s="8" t="inlineStr"/>
      <c r="H25" s="8" t="inlineStr"/>
      <c r="I25" s="8" t="inlineStr"/>
      <c r="J25" s="8" t="inlineStr"/>
      <c r="K25" s="8" t="inlineStr"/>
      <c r="L25" s="8" t="inlineStr"/>
      <c r="M25" s="8" t="inlineStr"/>
      <c r="N25" s="8" t="inlineStr"/>
    </row>
    <row r="26" ht="60" customHeight="1">
      <c r="B26" s="7" t="inlineStr"/>
      <c r="C26" s="50" t="n">
        <v>3</v>
      </c>
      <c r="D26" s="8" t="inlineStr"/>
      <c r="E26" s="8" t="inlineStr"/>
      <c r="F26" s="8" t="inlineStr"/>
      <c r="G26" s="8" t="inlineStr"/>
      <c r="H26" s="8" t="inlineStr"/>
      <c r="I26" s="8" t="inlineStr"/>
      <c r="J26" s="8" t="inlineStr"/>
      <c r="K26" s="8" t="inlineStr"/>
      <c r="L26" s="8" t="inlineStr"/>
      <c r="M26" s="8" t="inlineStr"/>
      <c r="N26" s="8" t="inlineStr"/>
    </row>
    <row r="27" ht="60" customHeight="1">
      <c r="B27" s="7" t="inlineStr">
        <is>
          <t>Chief Information Officer Group (CIOG)</t>
        </is>
      </c>
      <c r="C27" s="50" t="n">
        <v>1</v>
      </c>
      <c r="D27" s="8" t="inlineStr"/>
      <c r="E27" s="8" t="inlineStr"/>
      <c r="F27" s="8" t="inlineStr"/>
      <c r="G27" s="8" t="inlineStr"/>
      <c r="H27" s="8" t="inlineStr"/>
      <c r="I27" s="8" t="inlineStr"/>
      <c r="J27" s="8" t="inlineStr"/>
      <c r="K27" s="8" t="inlineStr"/>
      <c r="L27" s="8" t="inlineStr"/>
      <c r="M27" s="8" t="inlineStr"/>
      <c r="N27" s="8" t="inlineStr"/>
    </row>
    <row r="28" ht="60" customHeight="1">
      <c r="B28" s="7" t="inlineStr"/>
      <c r="C28" s="50" t="n">
        <v>2</v>
      </c>
      <c r="D28" s="8" t="inlineStr"/>
      <c r="E28" s="8" t="inlineStr"/>
      <c r="F28" s="8" t="inlineStr"/>
      <c r="G28" s="8" t="inlineStr"/>
      <c r="H28" s="8" t="inlineStr"/>
      <c r="I28" s="8" t="inlineStr"/>
      <c r="J28" s="8" t="inlineStr"/>
      <c r="K28" s="8" t="inlineStr"/>
      <c r="L28" s="8" t="inlineStr"/>
      <c r="M28" s="8" t="inlineStr"/>
      <c r="N28" s="8" t="inlineStr"/>
    </row>
    <row r="29" ht="60" customHeight="1">
      <c r="B29" s="7" t="inlineStr"/>
      <c r="C29" s="50" t="n">
        <v>3</v>
      </c>
      <c r="D29" s="8" t="inlineStr"/>
      <c r="E29" s="8" t="inlineStr"/>
      <c r="F29" s="8" t="inlineStr"/>
      <c r="G29" s="8" t="inlineStr"/>
      <c r="H29" s="8" t="inlineStr"/>
      <c r="I29" s="8" t="inlineStr"/>
      <c r="J29" s="8" t="inlineStr"/>
      <c r="K29" s="8" t="inlineStr"/>
      <c r="L29" s="8" t="inlineStr"/>
      <c r="M29" s="8" t="inlineStr"/>
      <c r="N29" s="8" t="inlineStr"/>
    </row>
    <row r="30" ht="60" customHeight="1">
      <c r="B30" s="7" t="inlineStr">
        <is>
          <t>Melbourne Research and Enterprise (MRE)</t>
        </is>
      </c>
      <c r="C30" s="50" t="n">
        <v>1</v>
      </c>
      <c r="D30" s="8" t="inlineStr"/>
      <c r="E30" s="8" t="inlineStr"/>
      <c r="F30" s="8" t="inlineStr"/>
      <c r="G30" s="8" t="inlineStr"/>
      <c r="H30" s="8" t="inlineStr"/>
      <c r="I30" s="8" t="inlineStr"/>
      <c r="J30" s="8" t="inlineStr"/>
      <c r="K30" s="8" t="inlineStr"/>
      <c r="L30" s="8" t="inlineStr"/>
      <c r="M30" s="8" t="inlineStr"/>
      <c r="N30" s="8" t="inlineStr"/>
    </row>
    <row r="31" ht="60" customHeight="1">
      <c r="B31" s="7" t="inlineStr"/>
      <c r="C31" s="50" t="n">
        <v>2</v>
      </c>
      <c r="D31" s="8" t="inlineStr"/>
      <c r="E31" s="8" t="inlineStr"/>
      <c r="F31" s="8" t="inlineStr"/>
      <c r="G31" s="8" t="inlineStr"/>
      <c r="H31" s="8" t="inlineStr"/>
      <c r="I31" s="8" t="inlineStr"/>
      <c r="J31" s="8" t="inlineStr"/>
      <c r="K31" s="8" t="inlineStr"/>
      <c r="L31" s="8" t="inlineStr"/>
      <c r="M31" s="8" t="inlineStr"/>
      <c r="N31" s="8" t="inlineStr"/>
    </row>
    <row r="32" ht="60" customHeight="1">
      <c r="B32" s="7" t="inlineStr"/>
      <c r="C32" s="50" t="n">
        <v>3</v>
      </c>
      <c r="D32" s="8" t="inlineStr"/>
      <c r="E32" s="8" t="inlineStr"/>
      <c r="F32" s="8" t="inlineStr"/>
      <c r="G32" s="8" t="inlineStr"/>
      <c r="H32" s="8" t="inlineStr"/>
      <c r="I32" s="8" t="inlineStr"/>
      <c r="J32" s="8" t="inlineStr"/>
      <c r="K32" s="8" t="inlineStr"/>
      <c r="L32" s="8" t="inlineStr"/>
      <c r="M32" s="8" t="inlineStr"/>
      <c r="N32" s="8" t="inlineStr"/>
    </row>
    <row r="33" ht="60" customHeight="1">
      <c r="B33" s="7" t="inlineStr">
        <is>
          <t>Advancement, Communication and Marketing (AC&amp;M)</t>
        </is>
      </c>
      <c r="C33" s="50" t="n">
        <v>1</v>
      </c>
      <c r="D33" s="8" t="inlineStr"/>
      <c r="E33" s="8" t="inlineStr"/>
      <c r="F33" s="8" t="inlineStr"/>
      <c r="G33" s="8" t="inlineStr"/>
      <c r="H33" s="8" t="inlineStr"/>
      <c r="I33" s="8" t="inlineStr"/>
      <c r="J33" s="8" t="inlineStr"/>
      <c r="K33" s="8" t="inlineStr"/>
      <c r="L33" s="8" t="inlineStr"/>
      <c r="M33" s="8" t="inlineStr"/>
      <c r="N33" s="8" t="inlineStr"/>
    </row>
    <row r="34" ht="60" customHeight="1">
      <c r="B34" s="7" t="inlineStr"/>
      <c r="C34" s="50" t="n">
        <v>2</v>
      </c>
      <c r="D34" s="8" t="inlineStr"/>
      <c r="E34" s="8" t="inlineStr"/>
      <c r="F34" s="8" t="inlineStr"/>
      <c r="G34" s="8" t="inlineStr"/>
      <c r="H34" s="8" t="inlineStr"/>
      <c r="I34" s="8" t="inlineStr"/>
      <c r="J34" s="8" t="inlineStr"/>
      <c r="K34" s="8" t="inlineStr"/>
      <c r="L34" s="8" t="inlineStr"/>
      <c r="M34" s="8" t="inlineStr"/>
      <c r="N34" s="8" t="inlineStr"/>
    </row>
    <row r="35" ht="60" customHeight="1">
      <c r="B35" s="7" t="inlineStr"/>
      <c r="C35" s="50" t="n">
        <v>3</v>
      </c>
      <c r="D35" s="8" t="inlineStr"/>
      <c r="E35" s="8" t="inlineStr"/>
      <c r="F35" s="8" t="inlineStr"/>
      <c r="G35" s="8" t="inlineStr"/>
      <c r="H35" s="8" t="inlineStr"/>
      <c r="I35" s="8" t="inlineStr"/>
      <c r="J35" s="8" t="inlineStr"/>
      <c r="K35" s="8" t="inlineStr"/>
      <c r="L35" s="8" t="inlineStr"/>
      <c r="M35" s="8" t="inlineStr"/>
      <c r="N35" s="8" t="inlineStr"/>
    </row>
    <row r="36" ht="60" customHeight="1">
      <c r="B36" s="7" t="inlineStr">
        <is>
          <t>Global, Culture and Engagement (GCE)</t>
        </is>
      </c>
      <c r="C36" s="50" t="n">
        <v>1</v>
      </c>
      <c r="D36" s="8" t="inlineStr"/>
      <c r="E36" s="8" t="inlineStr"/>
      <c r="F36" s="8" t="inlineStr"/>
      <c r="G36" s="8" t="inlineStr"/>
      <c r="H36" s="8" t="inlineStr"/>
      <c r="I36" s="8" t="inlineStr"/>
      <c r="J36" s="8" t="inlineStr"/>
      <c r="K36" s="8" t="inlineStr"/>
      <c r="L36" s="8" t="inlineStr"/>
      <c r="M36" s="8" t="inlineStr"/>
      <c r="N36" s="8" t="inlineStr"/>
    </row>
    <row r="37" ht="60" customHeight="1">
      <c r="B37" s="7" t="inlineStr"/>
      <c r="C37" s="50" t="n">
        <v>2</v>
      </c>
      <c r="D37" s="8" t="inlineStr"/>
      <c r="E37" s="8" t="inlineStr"/>
      <c r="F37" s="8" t="inlineStr"/>
      <c r="G37" s="8" t="inlineStr"/>
      <c r="H37" s="8" t="inlineStr"/>
      <c r="I37" s="8" t="inlineStr"/>
      <c r="J37" s="8" t="inlineStr"/>
      <c r="K37" s="8" t="inlineStr"/>
      <c r="L37" s="8" t="inlineStr"/>
      <c r="M37" s="8" t="inlineStr"/>
      <c r="N37" s="8" t="inlineStr"/>
    </row>
    <row r="38" ht="60" customHeight="1">
      <c r="B38" s="7" t="inlineStr"/>
      <c r="C38" s="50" t="n">
        <v>3</v>
      </c>
      <c r="D38" s="8" t="inlineStr"/>
      <c r="E38" s="8" t="inlineStr"/>
      <c r="F38" s="8" t="inlineStr"/>
      <c r="G38" s="8" t="inlineStr"/>
      <c r="H38" s="8" t="inlineStr"/>
      <c r="I38" s="8" t="inlineStr"/>
      <c r="J38" s="8" t="inlineStr"/>
      <c r="K38" s="8" t="inlineStr"/>
      <c r="L38" s="8" t="inlineStr"/>
      <c r="M38" s="8" t="inlineStr"/>
      <c r="N38" s="8" t="inlineStr"/>
    </row>
    <row r="39" ht="60" customHeight="1">
      <c r="B39" s="7" t="inlineStr">
        <is>
          <t>Chancellery Education</t>
        </is>
      </c>
      <c r="C39" s="50" t="n">
        <v>1</v>
      </c>
      <c r="D39" s="8" t="inlineStr"/>
      <c r="E39" s="8" t="inlineStr"/>
      <c r="F39" s="8" t="inlineStr"/>
      <c r="G39" s="8" t="inlineStr"/>
      <c r="H39" s="8" t="inlineStr"/>
      <c r="I39" s="8" t="inlineStr"/>
      <c r="J39" s="8" t="inlineStr"/>
      <c r="K39" s="8" t="inlineStr"/>
      <c r="L39" s="8" t="inlineStr"/>
      <c r="M39" s="8" t="inlineStr"/>
      <c r="N39" s="8" t="inlineStr"/>
    </row>
    <row r="40" ht="60" customHeight="1">
      <c r="B40" s="7" t="inlineStr"/>
      <c r="C40" s="50" t="n">
        <v>2</v>
      </c>
      <c r="D40" s="8" t="inlineStr"/>
      <c r="E40" s="8" t="inlineStr"/>
      <c r="F40" s="8" t="inlineStr"/>
      <c r="G40" s="8" t="inlineStr"/>
      <c r="H40" s="8" t="inlineStr"/>
      <c r="I40" s="8" t="inlineStr"/>
      <c r="J40" s="8" t="inlineStr"/>
      <c r="K40" s="8" t="inlineStr"/>
      <c r="L40" s="8" t="inlineStr"/>
      <c r="M40" s="8" t="inlineStr"/>
      <c r="N40" s="8" t="inlineStr"/>
    </row>
    <row r="41" ht="60" customHeight="1">
      <c r="B41" s="7" t="inlineStr"/>
      <c r="C41" s="50" t="n">
        <v>3</v>
      </c>
      <c r="D41" s="8" t="inlineStr"/>
      <c r="E41" s="8" t="inlineStr"/>
      <c r="F41" s="8" t="inlineStr"/>
      <c r="G41" s="8" t="inlineStr"/>
      <c r="H41" s="8" t="inlineStr"/>
      <c r="I41" s="8" t="inlineStr"/>
      <c r="J41" s="8" t="inlineStr"/>
      <c r="K41" s="8" t="inlineStr"/>
      <c r="L41" s="8" t="inlineStr"/>
      <c r="M41" s="8" t="inlineStr"/>
      <c r="N41" s="8" t="inlineStr"/>
    </row>
    <row r="42" ht="60" customHeight="1">
      <c r="B42" s="7" t="inlineStr">
        <is>
          <t>Student and Scholarly Services (SaSS)</t>
        </is>
      </c>
      <c r="C42" s="50" t="n">
        <v>1</v>
      </c>
      <c r="D42" s="8" t="inlineStr"/>
      <c r="E42" s="8" t="inlineStr"/>
      <c r="F42" s="8" t="inlineStr"/>
      <c r="G42" s="8" t="inlineStr"/>
      <c r="H42" s="8" t="inlineStr"/>
      <c r="I42" s="8" t="inlineStr"/>
      <c r="J42" s="8" t="inlineStr"/>
      <c r="K42" s="8" t="inlineStr"/>
      <c r="L42" s="8" t="inlineStr"/>
      <c r="M42" s="8" t="inlineStr"/>
      <c r="N42" s="8" t="inlineStr"/>
    </row>
    <row r="43" ht="60" customHeight="1">
      <c r="B43" s="7" t="inlineStr"/>
      <c r="C43" s="50" t="n">
        <v>2</v>
      </c>
      <c r="D43" s="8" t="inlineStr"/>
      <c r="E43" s="8" t="inlineStr"/>
      <c r="F43" s="8" t="inlineStr"/>
      <c r="G43" s="8" t="inlineStr"/>
      <c r="H43" s="8" t="inlineStr"/>
      <c r="I43" s="8" t="inlineStr"/>
      <c r="J43" s="8" t="inlineStr"/>
      <c r="K43" s="8" t="inlineStr"/>
      <c r="L43" s="8" t="inlineStr"/>
      <c r="M43" s="8" t="inlineStr"/>
      <c r="N43" s="8" t="inlineStr"/>
    </row>
    <row r="44" ht="60" customHeight="1">
      <c r="B44" s="7" t="inlineStr"/>
      <c r="C44" s="50" t="n">
        <v>3</v>
      </c>
      <c r="D44" s="8" t="inlineStr"/>
      <c r="E44" s="8" t="inlineStr"/>
      <c r="F44" s="8" t="inlineStr"/>
      <c r="G44" s="8" t="inlineStr"/>
      <c r="H44" s="8" t="inlineStr"/>
      <c r="I44" s="8" t="inlineStr"/>
      <c r="J44" s="8" t="inlineStr"/>
      <c r="K44" s="8" t="inlineStr"/>
      <c r="L44" s="8" t="inlineStr"/>
      <c r="M44" s="8" t="inlineStr"/>
      <c r="N44" s="8" t="inlineStr"/>
    </row>
    <row r="45" ht="60" customHeight="1">
      <c r="B45" s="7" t="inlineStr">
        <is>
          <t>Chancellery Indigenous</t>
        </is>
      </c>
      <c r="C45" s="50" t="n">
        <v>1</v>
      </c>
      <c r="D45" s="8" t="inlineStr"/>
      <c r="E45" s="8" t="inlineStr"/>
      <c r="F45" s="8" t="inlineStr"/>
      <c r="G45" s="8" t="inlineStr"/>
      <c r="H45" s="8" t="inlineStr"/>
      <c r="I45" s="8" t="inlineStr"/>
      <c r="J45" s="8" t="inlineStr"/>
      <c r="K45" s="8" t="inlineStr"/>
      <c r="L45" s="8" t="inlineStr"/>
      <c r="M45" s="8" t="inlineStr"/>
      <c r="N45" s="8" t="inlineStr"/>
    </row>
    <row r="46" ht="60" customHeight="1">
      <c r="B46" s="7" t="inlineStr"/>
      <c r="C46" s="50" t="n">
        <v>2</v>
      </c>
      <c r="D46" s="8" t="inlineStr"/>
      <c r="E46" s="8" t="inlineStr"/>
      <c r="F46" s="8" t="inlineStr"/>
      <c r="G46" s="8" t="inlineStr"/>
      <c r="H46" s="8" t="inlineStr"/>
      <c r="I46" s="8" t="inlineStr"/>
      <c r="J46" s="8" t="inlineStr"/>
      <c r="K46" s="8" t="inlineStr"/>
      <c r="L46" s="8" t="inlineStr"/>
      <c r="M46" s="8" t="inlineStr"/>
      <c r="N46" s="8" t="inlineStr"/>
    </row>
    <row r="47" ht="60" customHeight="1">
      <c r="B47" s="7" t="inlineStr"/>
      <c r="C47" s="50" t="n">
        <v>3</v>
      </c>
      <c r="D47" s="8" t="inlineStr"/>
      <c r="E47" s="8" t="inlineStr"/>
      <c r="F47" s="8" t="inlineStr"/>
      <c r="G47" s="8" t="inlineStr"/>
      <c r="H47" s="8" t="inlineStr"/>
      <c r="I47" s="8" t="inlineStr"/>
      <c r="J47" s="8" t="inlineStr"/>
      <c r="K47" s="8" t="inlineStr"/>
      <c r="L47" s="8" t="inlineStr"/>
      <c r="M47" s="8" t="inlineStr"/>
      <c r="N47" s="8" t="inlineStr"/>
    </row>
    <row r="48" ht="60" customHeight="1">
      <c r="B48" s="7" t="inlineStr">
        <is>
          <t>Legal and Risk</t>
        </is>
      </c>
      <c r="C48" s="50" t="n">
        <v>1</v>
      </c>
      <c r="D48" s="8" t="inlineStr"/>
      <c r="E48" s="8" t="inlineStr"/>
      <c r="F48" s="8" t="inlineStr"/>
      <c r="G48" s="8" t="inlineStr"/>
      <c r="H48" s="8" t="inlineStr"/>
      <c r="I48" s="8" t="inlineStr"/>
      <c r="J48" s="8" t="inlineStr"/>
      <c r="K48" s="8" t="inlineStr"/>
      <c r="L48" s="8" t="inlineStr"/>
      <c r="M48" s="8" t="inlineStr"/>
      <c r="N48" s="8" t="inlineStr"/>
    </row>
    <row r="49" ht="60" customHeight="1">
      <c r="B49" s="7" t="inlineStr"/>
      <c r="C49" s="50" t="n">
        <v>2</v>
      </c>
      <c r="D49" s="8" t="inlineStr"/>
      <c r="E49" s="8" t="inlineStr"/>
      <c r="F49" s="8" t="inlineStr"/>
      <c r="G49" s="8" t="inlineStr"/>
      <c r="H49" s="8" t="inlineStr"/>
      <c r="I49" s="8" t="inlineStr"/>
      <c r="J49" s="8" t="inlineStr"/>
      <c r="K49" s="8" t="inlineStr"/>
      <c r="L49" s="8" t="inlineStr"/>
      <c r="M49" s="8" t="inlineStr"/>
      <c r="N49" s="8" t="inlineStr"/>
    </row>
    <row r="50" ht="60" customHeight="1">
      <c r="B50" s="7" t="inlineStr"/>
      <c r="C50" s="50" t="n">
        <v>3</v>
      </c>
      <c r="D50" s="8" t="inlineStr"/>
      <c r="E50" s="8" t="inlineStr"/>
      <c r="F50" s="8" t="inlineStr"/>
      <c r="G50" s="8" t="inlineStr"/>
      <c r="H50" s="8" t="inlineStr"/>
      <c r="I50" s="8" t="inlineStr"/>
      <c r="J50" s="8" t="inlineStr"/>
      <c r="K50" s="8" t="inlineStr"/>
      <c r="L50" s="8" t="inlineStr"/>
      <c r="M50" s="8" t="inlineStr"/>
      <c r="N50" s="8" t="inlineStr"/>
    </row>
    <row r="53">
      <c r="B53" s="31" t="inlineStr">
        <is>
          <t>Stories by priority area (SST primary)</t>
        </is>
      </c>
    </row>
    <row r="54">
      <c r="B54" s="6" t="inlineStr">
        <is>
          <t>Priority area</t>
        </is>
      </c>
      <c r="C54" s="6" t="inlineStr">
        <is>
          <t>Stories</t>
        </is>
      </c>
      <c r="D54" s="6" t="inlineStr">
        <is>
          <t>Shortlisted</t>
        </is>
      </c>
    </row>
    <row r="55">
      <c r="B55" s="8" t="inlineStr">
        <is>
          <t>Exceptional education</t>
        </is>
      </c>
      <c r="C55" s="8">
        <f>COUNTIF($I$6:$I$50,B55)</f>
        <v/>
      </c>
      <c r="D55" s="8">
        <f>COUNTIFS($I$6:$I$50,B55,$L$6:$L$50,"Shortlist")</f>
        <v/>
      </c>
    </row>
    <row r="56">
      <c r="B56" s="8" t="inlineStr">
        <is>
          <t>Transformational research</t>
        </is>
      </c>
      <c r="C56" s="8">
        <f>COUNTIF($I$6:$I$50,B56)</f>
        <v/>
      </c>
      <c r="D56" s="8">
        <f>COUNTIFS($I$6:$I$50,B56,$L$6:$L$50,"Shortlist")</f>
        <v/>
      </c>
    </row>
    <row r="57">
      <c r="B57" s="8" t="inlineStr">
        <is>
          <t>Climate leadership</t>
        </is>
      </c>
      <c r="C57" s="8">
        <f>COUNTIF($I$6:$I$50,B57)</f>
        <v/>
      </c>
      <c r="D57" s="8">
        <f>COUNTIFS($I$6:$I$50,B57,$L$6:$L$50,"Shortlist")</f>
        <v/>
      </c>
    </row>
    <row r="58">
      <c r="B58" s="8" t="inlineStr">
        <is>
          <t>Nature and biodiversity</t>
        </is>
      </c>
      <c r="C58" s="8">
        <f>COUNTIF($I$6:$I$50,B58)</f>
        <v/>
      </c>
      <c r="D58" s="8">
        <f>COUNTIFS($I$6:$I$50,B58,$L$6:$L$50,"Shortlist")</f>
        <v/>
      </c>
    </row>
    <row r="59">
      <c r="B59" s="8" t="inlineStr">
        <is>
          <t>Responsible AI</t>
        </is>
      </c>
      <c r="C59" s="8">
        <f>COUNTIF($I$6:$I$50,B59)</f>
        <v/>
      </c>
      <c r="D59" s="8">
        <f>COUNTIFS($I$6:$I$50,B59,$L$6:$L$50,"Shortlist")</f>
        <v/>
      </c>
    </row>
    <row r="60">
      <c r="B60" s="8" t="inlineStr">
        <is>
          <t>Estate and infrastructure</t>
        </is>
      </c>
      <c r="C60" s="8">
        <f>COUNTIF($I$6:$I$50,B60)</f>
        <v/>
      </c>
      <c r="D60" s="8">
        <f>COUNTIFS($I$6:$I$50,B60,$L$6:$L$50,"Shortlist")</f>
        <v/>
      </c>
    </row>
    <row r="61">
      <c r="B61" s="8" t="inlineStr">
        <is>
          <t>Circular economy</t>
        </is>
      </c>
      <c r="C61" s="8">
        <f>COUNTIF($I$6:$I$50,B61)</f>
        <v/>
      </c>
      <c r="D61" s="8">
        <f>COUNTIFS($I$6:$I$50,B61,$L$6:$L$50,"Shortlist")</f>
        <v/>
      </c>
    </row>
    <row r="62">
      <c r="B62" s="8" t="inlineStr">
        <is>
          <t>Responsible procurement</t>
        </is>
      </c>
      <c r="C62" s="8">
        <f>COUNTIF($I$6:$I$50,B62)</f>
        <v/>
      </c>
      <c r="D62" s="8">
        <f>COUNTIFS($I$6:$I$50,B62,$L$6:$L$50,"Shortlist")</f>
        <v/>
      </c>
    </row>
    <row r="63">
      <c r="B63" s="8" t="inlineStr">
        <is>
          <t>Modern slavery and human rights</t>
        </is>
      </c>
      <c r="C63" s="8">
        <f>COUNTIF($I$6:$I$50,B63)</f>
        <v/>
      </c>
      <c r="D63" s="8">
        <f>COUNTIFS($I$6:$I$50,B63,$L$6:$L$50,"Shortlist")</f>
        <v/>
      </c>
    </row>
    <row r="64">
      <c r="B64" s="8" t="inlineStr">
        <is>
          <t>Responsible investments</t>
        </is>
      </c>
      <c r="C64" s="8">
        <f>COUNTIF($I$6:$I$50,B64)</f>
        <v/>
      </c>
      <c r="D64" s="8">
        <f>COUNTIFS($I$6:$I$50,B64,$L$6:$L$50,"Shortlist")</f>
        <v/>
      </c>
    </row>
    <row r="65">
      <c r="B65" s="8" t="inlineStr">
        <is>
          <t>Enablers</t>
        </is>
      </c>
      <c r="C65" s="8">
        <f>COUNTIF($I$6:$I$50,B65)</f>
        <v/>
      </c>
      <c r="D65" s="8">
        <f>COUNTIFS($I$6:$I$50,B65,$L$6:$L$50,"Shortlist")</f>
        <v/>
      </c>
    </row>
    <row r="66">
      <c r="B66" s="8" t="inlineStr">
        <is>
          <t>Not priority-area specific</t>
        </is>
      </c>
      <c r="C66" s="8">
        <f>COUNTIF($I$6:$I$50,B66)</f>
        <v/>
      </c>
      <c r="D66" s="8">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c r="A1" s="1" t="inlineStr">
        <is>
          <t>↑</t>
        </is>
      </c>
      <c r="B1" s="2" t="inlineStr">
        <is>
          <t>SR26 sustainability reporting</t>
        </is>
      </c>
    </row>
    <row r="2">
      <c r="B2" s="3" t="inlineStr">
        <is>
          <t>Evidence register</t>
        </is>
      </c>
    </row>
    <row r="3">
      <c r="B3" s="20" t="inlineStr">
        <is>
          <t>One line per material claim or figure used in the report: what it supports, where the evidence is, and whether the owner has confirmed it.</t>
        </is>
      </c>
    </row>
    <row r="5">
      <c r="B5" s="6" t="inlineStr">
        <is>
          <t>Evidence ID</t>
        </is>
      </c>
      <c r="C5" s="6" t="inlineStr">
        <is>
          <t>Ref</t>
        </is>
      </c>
      <c r="D5" s="6" t="inlineStr">
        <is>
          <t>Faculty / unit</t>
        </is>
      </c>
      <c r="E5" s="6" t="inlineStr">
        <is>
          <t>Claim or figure in the report</t>
        </is>
      </c>
      <c r="F5" s="6" t="inlineStr">
        <is>
          <t>Evidence (link or file)</t>
        </is>
      </c>
      <c r="G5" s="6" t="inlineStr">
        <is>
          <t>Source</t>
        </is>
      </c>
      <c r="H5" s="6" t="inlineStr">
        <is>
          <t>Owner confirmed?</t>
        </is>
      </c>
      <c r="I5" s="6" t="inlineStr">
        <is>
          <t>Notes</t>
        </is>
      </c>
    </row>
    <row r="6">
      <c r="B6" s="8">
        <f>IF(E6="","","EV-"&amp;TEXT(ROW()-5,"000"))</f>
        <v/>
      </c>
      <c r="C6" s="8" t="n"/>
      <c r="D6" s="8" t="n"/>
      <c r="E6" s="8" t="n"/>
      <c r="F6" s="8" t="n"/>
      <c r="G6" s="8" t="n"/>
      <c r="H6" s="8" t="n"/>
      <c r="I6" s="8" t="n"/>
    </row>
    <row r="7">
      <c r="B7" s="8">
        <f>IF(E7="","","EV-"&amp;TEXT(ROW()-5,"000"))</f>
        <v/>
      </c>
      <c r="C7" s="8" t="n"/>
      <c r="D7" s="8" t="n"/>
      <c r="E7" s="8" t="n"/>
      <c r="F7" s="8" t="n"/>
      <c r="G7" s="8" t="n"/>
      <c r="H7" s="8" t="n"/>
      <c r="I7" s="8" t="n"/>
    </row>
    <row r="8">
      <c r="B8" s="8">
        <f>IF(E8="","","EV-"&amp;TEXT(ROW()-5,"000"))</f>
        <v/>
      </c>
      <c r="C8" s="8" t="n"/>
      <c r="D8" s="8" t="n"/>
      <c r="E8" s="8" t="n"/>
      <c r="F8" s="8" t="n"/>
      <c r="G8" s="8" t="n"/>
      <c r="H8" s="8" t="n"/>
      <c r="I8" s="8" t="n"/>
    </row>
    <row r="9">
      <c r="B9" s="8">
        <f>IF(E9="","","EV-"&amp;TEXT(ROW()-5,"000"))</f>
        <v/>
      </c>
      <c r="C9" s="8" t="n"/>
      <c r="D9" s="8" t="n"/>
      <c r="E9" s="8" t="n"/>
      <c r="F9" s="8" t="n"/>
      <c r="G9" s="8" t="n"/>
      <c r="H9" s="8" t="n"/>
      <c r="I9" s="8" t="n"/>
    </row>
    <row r="10">
      <c r="B10" s="8">
        <f>IF(E10="","","EV-"&amp;TEXT(ROW()-5,"000"))</f>
        <v/>
      </c>
      <c r="C10" s="8" t="n"/>
      <c r="D10" s="8" t="n"/>
      <c r="E10" s="8" t="n"/>
      <c r="F10" s="8" t="n"/>
      <c r="G10" s="8" t="n"/>
      <c r="H10" s="8" t="n"/>
      <c r="I10" s="8" t="n"/>
    </row>
    <row r="11">
      <c r="B11" s="8">
        <f>IF(E11="","","EV-"&amp;TEXT(ROW()-5,"000"))</f>
        <v/>
      </c>
      <c r="C11" s="8" t="n"/>
      <c r="D11" s="8" t="n"/>
      <c r="E11" s="8" t="n"/>
      <c r="F11" s="8" t="n"/>
      <c r="G11" s="8" t="n"/>
      <c r="H11" s="8" t="n"/>
      <c r="I11" s="8" t="n"/>
    </row>
    <row r="12">
      <c r="B12" s="8">
        <f>IF(E12="","","EV-"&amp;TEXT(ROW()-5,"000"))</f>
        <v/>
      </c>
      <c r="C12" s="8" t="n"/>
      <c r="D12" s="8" t="n"/>
      <c r="E12" s="8" t="n"/>
      <c r="F12" s="8" t="n"/>
      <c r="G12" s="8" t="n"/>
      <c r="H12" s="8" t="n"/>
      <c r="I12" s="8" t="n"/>
    </row>
    <row r="13">
      <c r="B13" s="8">
        <f>IF(E13="","","EV-"&amp;TEXT(ROW()-5,"000"))</f>
        <v/>
      </c>
      <c r="C13" s="8" t="n"/>
      <c r="D13" s="8" t="n"/>
      <c r="E13" s="8" t="n"/>
      <c r="F13" s="8" t="n"/>
      <c r="G13" s="8" t="n"/>
      <c r="H13" s="8" t="n"/>
      <c r="I13" s="8" t="n"/>
    </row>
    <row r="14">
      <c r="B14" s="8">
        <f>IF(E14="","","EV-"&amp;TEXT(ROW()-5,"000"))</f>
        <v/>
      </c>
      <c r="C14" s="8" t="n"/>
      <c r="D14" s="8" t="n"/>
      <c r="E14" s="8" t="n"/>
      <c r="F14" s="8" t="n"/>
      <c r="G14" s="8" t="n"/>
      <c r="H14" s="8" t="n"/>
      <c r="I14" s="8" t="n"/>
    </row>
    <row r="15">
      <c r="B15" s="8">
        <f>IF(E15="","","EV-"&amp;TEXT(ROW()-5,"000"))</f>
        <v/>
      </c>
      <c r="C15" s="8" t="n"/>
      <c r="D15" s="8" t="n"/>
      <c r="E15" s="8" t="n"/>
      <c r="F15" s="8" t="n"/>
      <c r="G15" s="8" t="n"/>
      <c r="H15" s="8" t="n"/>
      <c r="I15" s="8" t="n"/>
    </row>
    <row r="16">
      <c r="B16" s="8">
        <f>IF(E16="","","EV-"&amp;TEXT(ROW()-5,"000"))</f>
        <v/>
      </c>
      <c r="C16" s="8" t="n"/>
      <c r="D16" s="8" t="n"/>
      <c r="E16" s="8" t="n"/>
      <c r="F16" s="8" t="n"/>
      <c r="G16" s="8" t="n"/>
      <c r="H16" s="8" t="n"/>
      <c r="I16" s="8" t="n"/>
    </row>
    <row r="17">
      <c r="B17" s="8">
        <f>IF(E17="","","EV-"&amp;TEXT(ROW()-5,"000"))</f>
        <v/>
      </c>
      <c r="C17" s="8" t="n"/>
      <c r="D17" s="8" t="n"/>
      <c r="E17" s="8" t="n"/>
      <c r="F17" s="8" t="n"/>
      <c r="G17" s="8" t="n"/>
      <c r="H17" s="8" t="n"/>
      <c r="I17" s="8" t="n"/>
    </row>
    <row r="18">
      <c r="B18" s="8">
        <f>IF(E18="","","EV-"&amp;TEXT(ROW()-5,"000"))</f>
        <v/>
      </c>
      <c r="C18" s="8" t="n"/>
      <c r="D18" s="8" t="n"/>
      <c r="E18" s="8" t="n"/>
      <c r="F18" s="8" t="n"/>
      <c r="G18" s="8" t="n"/>
      <c r="H18" s="8" t="n"/>
      <c r="I18" s="8" t="n"/>
    </row>
    <row r="19">
      <c r="B19" s="8">
        <f>IF(E19="","","EV-"&amp;TEXT(ROW()-5,"000"))</f>
        <v/>
      </c>
      <c r="C19" s="8" t="n"/>
      <c r="D19" s="8" t="n"/>
      <c r="E19" s="8" t="n"/>
      <c r="F19" s="8" t="n"/>
      <c r="G19" s="8" t="n"/>
      <c r="H19" s="8" t="n"/>
      <c r="I19" s="8" t="n"/>
    </row>
    <row r="20">
      <c r="B20" s="8">
        <f>IF(E20="","","EV-"&amp;TEXT(ROW()-5,"000"))</f>
        <v/>
      </c>
      <c r="C20" s="8" t="n"/>
      <c r="D20" s="8" t="n"/>
      <c r="E20" s="8" t="n"/>
      <c r="F20" s="8" t="n"/>
      <c r="G20" s="8" t="n"/>
      <c r="H20" s="8" t="n"/>
      <c r="I20" s="8" t="n"/>
    </row>
    <row r="21">
      <c r="B21" s="8">
        <f>IF(E21="","","EV-"&amp;TEXT(ROW()-5,"000"))</f>
        <v/>
      </c>
      <c r="C21" s="8" t="n"/>
      <c r="D21" s="8" t="n"/>
      <c r="E21" s="8" t="n"/>
      <c r="F21" s="8" t="n"/>
      <c r="G21" s="8" t="n"/>
      <c r="H21" s="8" t="n"/>
      <c r="I21" s="8" t="n"/>
    </row>
    <row r="22">
      <c r="B22" s="8">
        <f>IF(E22="","","EV-"&amp;TEXT(ROW()-5,"000"))</f>
        <v/>
      </c>
      <c r="C22" s="8" t="n"/>
      <c r="D22" s="8" t="n"/>
      <c r="E22" s="8" t="n"/>
      <c r="F22" s="8" t="n"/>
      <c r="G22" s="8" t="n"/>
      <c r="H22" s="8" t="n"/>
      <c r="I22" s="8" t="n"/>
    </row>
    <row r="23">
      <c r="B23" s="8">
        <f>IF(E23="","","EV-"&amp;TEXT(ROW()-5,"000"))</f>
        <v/>
      </c>
      <c r="C23" s="8" t="n"/>
      <c r="D23" s="8" t="n"/>
      <c r="E23" s="8" t="n"/>
      <c r="F23" s="8" t="n"/>
      <c r="G23" s="8" t="n"/>
      <c r="H23" s="8" t="n"/>
      <c r="I23" s="8" t="n"/>
    </row>
    <row r="24">
      <c r="B24" s="8">
        <f>IF(E24="","","EV-"&amp;TEXT(ROW()-5,"000"))</f>
        <v/>
      </c>
      <c r="C24" s="8" t="n"/>
      <c r="D24" s="8" t="n"/>
      <c r="E24" s="8" t="n"/>
      <c r="F24" s="8" t="n"/>
      <c r="G24" s="8" t="n"/>
      <c r="H24" s="8" t="n"/>
      <c r="I24" s="8" t="n"/>
    </row>
    <row r="25">
      <c r="B25" s="8">
        <f>IF(E25="","","EV-"&amp;TEXT(ROW()-5,"000"))</f>
        <v/>
      </c>
      <c r="C25" s="8" t="n"/>
      <c r="D25" s="8" t="n"/>
      <c r="E25" s="8" t="n"/>
      <c r="F25" s="8" t="n"/>
      <c r="G25" s="8" t="n"/>
      <c r="H25" s="8" t="n"/>
      <c r="I25" s="8" t="n"/>
    </row>
    <row r="26">
      <c r="B26" s="8">
        <f>IF(E26="","","EV-"&amp;TEXT(ROW()-5,"000"))</f>
        <v/>
      </c>
      <c r="C26" s="8" t="n"/>
      <c r="D26" s="8" t="n"/>
      <c r="E26" s="8" t="n"/>
      <c r="F26" s="8" t="n"/>
      <c r="G26" s="8" t="n"/>
      <c r="H26" s="8" t="n"/>
      <c r="I26" s="8" t="n"/>
    </row>
    <row r="27">
      <c r="B27" s="8">
        <f>IF(E27="","","EV-"&amp;TEXT(ROW()-5,"000"))</f>
        <v/>
      </c>
      <c r="C27" s="8" t="n"/>
      <c r="D27" s="8" t="n"/>
      <c r="E27" s="8" t="n"/>
      <c r="F27" s="8" t="n"/>
      <c r="G27" s="8" t="n"/>
      <c r="H27" s="8" t="n"/>
      <c r="I27" s="8" t="n"/>
    </row>
    <row r="28">
      <c r="B28" s="8">
        <f>IF(E28="","","EV-"&amp;TEXT(ROW()-5,"000"))</f>
        <v/>
      </c>
      <c r="C28" s="8" t="n"/>
      <c r="D28" s="8" t="n"/>
      <c r="E28" s="8" t="n"/>
      <c r="F28" s="8" t="n"/>
      <c r="G28" s="8" t="n"/>
      <c r="H28" s="8" t="n"/>
      <c r="I28" s="8" t="n"/>
    </row>
    <row r="29">
      <c r="B29" s="8">
        <f>IF(E29="","","EV-"&amp;TEXT(ROW()-5,"000"))</f>
        <v/>
      </c>
      <c r="C29" s="8" t="n"/>
      <c r="D29" s="8" t="n"/>
      <c r="E29" s="8" t="n"/>
      <c r="F29" s="8" t="n"/>
      <c r="G29" s="8" t="n"/>
      <c r="H29" s="8" t="n"/>
      <c r="I29" s="8" t="n"/>
    </row>
    <row r="30">
      <c r="B30" s="8">
        <f>IF(E30="","","EV-"&amp;TEXT(ROW()-5,"000"))</f>
        <v/>
      </c>
      <c r="C30" s="8" t="n"/>
      <c r="D30" s="8" t="n"/>
      <c r="E30" s="8" t="n"/>
      <c r="F30" s="8" t="n"/>
      <c r="G30" s="8" t="n"/>
      <c r="H30" s="8" t="n"/>
      <c r="I30" s="8" t="n"/>
    </row>
    <row r="31">
      <c r="B31" s="8">
        <f>IF(E31="","","EV-"&amp;TEXT(ROW()-5,"000"))</f>
        <v/>
      </c>
      <c r="C31" s="8" t="n"/>
      <c r="D31" s="8" t="n"/>
      <c r="E31" s="8" t="n"/>
      <c r="F31" s="8" t="n"/>
      <c r="G31" s="8" t="n"/>
      <c r="H31" s="8" t="n"/>
      <c r="I31" s="8" t="n"/>
    </row>
    <row r="32">
      <c r="B32" s="8">
        <f>IF(E32="","","EV-"&amp;TEXT(ROW()-5,"000"))</f>
        <v/>
      </c>
      <c r="C32" s="8" t="n"/>
      <c r="D32" s="8" t="n"/>
      <c r="E32" s="8" t="n"/>
      <c r="F32" s="8" t="n"/>
      <c r="G32" s="8" t="n"/>
      <c r="H32" s="8" t="n"/>
      <c r="I32" s="8" t="n"/>
    </row>
    <row r="33">
      <c r="B33" s="8">
        <f>IF(E33="","","EV-"&amp;TEXT(ROW()-5,"000"))</f>
        <v/>
      </c>
      <c r="C33" s="8" t="n"/>
      <c r="D33" s="8" t="n"/>
      <c r="E33" s="8" t="n"/>
      <c r="F33" s="8" t="n"/>
      <c r="G33" s="8" t="n"/>
      <c r="H33" s="8" t="n"/>
      <c r="I33" s="8" t="n"/>
    </row>
    <row r="34">
      <c r="B34" s="8">
        <f>IF(E34="","","EV-"&amp;TEXT(ROW()-5,"000"))</f>
        <v/>
      </c>
      <c r="C34" s="8" t="n"/>
      <c r="D34" s="8" t="n"/>
      <c r="E34" s="8" t="n"/>
      <c r="F34" s="8" t="n"/>
      <c r="G34" s="8" t="n"/>
      <c r="H34" s="8" t="n"/>
      <c r="I34" s="8" t="n"/>
    </row>
    <row r="35">
      <c r="B35" s="8">
        <f>IF(E35="","","EV-"&amp;TEXT(ROW()-5,"000"))</f>
        <v/>
      </c>
      <c r="C35" s="8" t="n"/>
      <c r="D35" s="8" t="n"/>
      <c r="E35" s="8" t="n"/>
      <c r="F35" s="8" t="n"/>
      <c r="G35" s="8" t="n"/>
      <c r="H35" s="8" t="n"/>
      <c r="I35" s="8" t="n"/>
    </row>
    <row r="36">
      <c r="B36" s="8">
        <f>IF(E36="","","EV-"&amp;TEXT(ROW()-5,"000"))</f>
        <v/>
      </c>
      <c r="C36" s="8" t="n"/>
      <c r="D36" s="8" t="n"/>
      <c r="E36" s="8" t="n"/>
      <c r="F36" s="8" t="n"/>
      <c r="G36" s="8" t="n"/>
      <c r="H36" s="8" t="n"/>
      <c r="I36" s="8" t="n"/>
    </row>
    <row r="37">
      <c r="B37" s="8">
        <f>IF(E37="","","EV-"&amp;TEXT(ROW()-5,"000"))</f>
        <v/>
      </c>
      <c r="C37" s="8" t="n"/>
      <c r="D37" s="8" t="n"/>
      <c r="E37" s="8" t="n"/>
      <c r="F37" s="8" t="n"/>
      <c r="G37" s="8" t="n"/>
      <c r="H37" s="8" t="n"/>
      <c r="I37" s="8" t="n"/>
    </row>
    <row r="38">
      <c r="B38" s="8">
        <f>IF(E38="","","EV-"&amp;TEXT(ROW()-5,"000"))</f>
        <v/>
      </c>
      <c r="C38" s="8" t="n"/>
      <c r="D38" s="8" t="n"/>
      <c r="E38" s="8" t="n"/>
      <c r="F38" s="8" t="n"/>
      <c r="G38" s="8" t="n"/>
      <c r="H38" s="8" t="n"/>
      <c r="I38" s="8" t="n"/>
    </row>
    <row r="39">
      <c r="B39" s="8">
        <f>IF(E39="","","EV-"&amp;TEXT(ROW()-5,"000"))</f>
        <v/>
      </c>
      <c r="C39" s="8" t="n"/>
      <c r="D39" s="8" t="n"/>
      <c r="E39" s="8" t="n"/>
      <c r="F39" s="8" t="n"/>
      <c r="G39" s="8" t="n"/>
      <c r="H39" s="8" t="n"/>
      <c r="I39" s="8" t="n"/>
    </row>
    <row r="40">
      <c r="B40" s="8">
        <f>IF(E40="","","EV-"&amp;TEXT(ROW()-5,"000"))</f>
        <v/>
      </c>
      <c r="C40" s="8" t="n"/>
      <c r="D40" s="8" t="n"/>
      <c r="E40" s="8" t="n"/>
      <c r="F40" s="8" t="n"/>
      <c r="G40" s="8" t="n"/>
      <c r="H40" s="8" t="n"/>
      <c r="I40" s="8" t="n"/>
    </row>
    <row r="41">
      <c r="B41" s="8">
        <f>IF(E41="","","EV-"&amp;TEXT(ROW()-5,"000"))</f>
        <v/>
      </c>
      <c r="C41" s="8" t="n"/>
      <c r="D41" s="8" t="n"/>
      <c r="E41" s="8" t="n"/>
      <c r="F41" s="8" t="n"/>
      <c r="G41" s="8" t="n"/>
      <c r="H41" s="8" t="n"/>
      <c r="I41" s="8" t="n"/>
    </row>
    <row r="42">
      <c r="B42" s="8">
        <f>IF(E42="","","EV-"&amp;TEXT(ROW()-5,"000"))</f>
        <v/>
      </c>
      <c r="C42" s="8" t="n"/>
      <c r="D42" s="8" t="n"/>
      <c r="E42" s="8" t="n"/>
      <c r="F42" s="8" t="n"/>
      <c r="G42" s="8" t="n"/>
      <c r="H42" s="8" t="n"/>
      <c r="I42" s="8" t="n"/>
    </row>
    <row r="43">
      <c r="B43" s="8">
        <f>IF(E43="","","EV-"&amp;TEXT(ROW()-5,"000"))</f>
        <v/>
      </c>
      <c r="C43" s="8" t="n"/>
      <c r="D43" s="8" t="n"/>
      <c r="E43" s="8" t="n"/>
      <c r="F43" s="8" t="n"/>
      <c r="G43" s="8" t="n"/>
      <c r="H43" s="8" t="n"/>
      <c r="I43" s="8" t="n"/>
    </row>
    <row r="44">
      <c r="B44" s="8">
        <f>IF(E44="","","EV-"&amp;TEXT(ROW()-5,"000"))</f>
        <v/>
      </c>
      <c r="C44" s="8" t="n"/>
      <c r="D44" s="8" t="n"/>
      <c r="E44" s="8" t="n"/>
      <c r="F44" s="8" t="n"/>
      <c r="G44" s="8" t="n"/>
      <c r="H44" s="8" t="n"/>
      <c r="I44" s="8" t="n"/>
    </row>
    <row r="45">
      <c r="B45" s="8">
        <f>IF(E45="","","EV-"&amp;TEXT(ROW()-5,"000"))</f>
        <v/>
      </c>
      <c r="C45" s="8" t="n"/>
      <c r="D45" s="8" t="n"/>
      <c r="E45" s="8" t="n"/>
      <c r="F45" s="8" t="n"/>
      <c r="G45" s="8" t="n"/>
      <c r="H45" s="8" t="n"/>
      <c r="I45" s="8" t="n"/>
    </row>
    <row r="46">
      <c r="B46" s="8">
        <f>IF(E46="","","EV-"&amp;TEXT(ROW()-5,"000"))</f>
        <v/>
      </c>
      <c r="C46" s="8" t="n"/>
      <c r="D46" s="8" t="n"/>
      <c r="E46" s="8" t="n"/>
      <c r="F46" s="8" t="n"/>
      <c r="G46" s="8" t="n"/>
      <c r="H46" s="8" t="n"/>
      <c r="I46" s="8" t="n"/>
    </row>
    <row r="47">
      <c r="B47" s="8">
        <f>IF(E47="","","EV-"&amp;TEXT(ROW()-5,"000"))</f>
        <v/>
      </c>
      <c r="C47" s="8" t="n"/>
      <c r="D47" s="8" t="n"/>
      <c r="E47" s="8" t="n"/>
      <c r="F47" s="8" t="n"/>
      <c r="G47" s="8" t="n"/>
      <c r="H47" s="8" t="n"/>
      <c r="I47" s="8" t="n"/>
    </row>
    <row r="48">
      <c r="B48" s="8">
        <f>IF(E48="","","EV-"&amp;TEXT(ROW()-5,"000"))</f>
        <v/>
      </c>
      <c r="C48" s="8" t="n"/>
      <c r="D48" s="8" t="n"/>
      <c r="E48" s="8" t="n"/>
      <c r="F48" s="8" t="n"/>
      <c r="G48" s="8" t="n"/>
      <c r="H48" s="8" t="n"/>
      <c r="I48" s="8" t="n"/>
    </row>
    <row r="49">
      <c r="B49" s="8">
        <f>IF(E49="","","EV-"&amp;TEXT(ROW()-5,"000"))</f>
        <v/>
      </c>
      <c r="C49" s="8" t="n"/>
      <c r="D49" s="8" t="n"/>
      <c r="E49" s="8" t="n"/>
      <c r="F49" s="8" t="n"/>
      <c r="G49" s="8" t="n"/>
      <c r="H49" s="8" t="n"/>
      <c r="I49" s="8" t="n"/>
    </row>
    <row r="50">
      <c r="B50" s="8">
        <f>IF(E50="","","EV-"&amp;TEXT(ROW()-5,"000"))</f>
        <v/>
      </c>
      <c r="C50" s="8" t="n"/>
      <c r="D50" s="8" t="n"/>
      <c r="E50" s="8" t="n"/>
      <c r="F50" s="8" t="n"/>
      <c r="G50" s="8" t="n"/>
      <c r="H50" s="8" t="n"/>
      <c r="I50" s="8" t="n"/>
    </row>
    <row r="51">
      <c r="B51" s="8">
        <f>IF(E51="","","EV-"&amp;TEXT(ROW()-5,"000"))</f>
        <v/>
      </c>
      <c r="C51" s="8" t="n"/>
      <c r="D51" s="8" t="n"/>
      <c r="E51" s="8" t="n"/>
      <c r="F51" s="8" t="n"/>
      <c r="G51" s="8" t="n"/>
      <c r="H51" s="8" t="n"/>
      <c r="I51" s="8" t="n"/>
    </row>
    <row r="52">
      <c r="B52" s="8">
        <f>IF(E52="","","EV-"&amp;TEXT(ROW()-5,"000"))</f>
        <v/>
      </c>
      <c r="C52" s="8" t="n"/>
      <c r="D52" s="8" t="n"/>
      <c r="E52" s="8" t="n"/>
      <c r="F52" s="8" t="n"/>
      <c r="G52" s="8" t="n"/>
      <c r="H52" s="8" t="n"/>
      <c r="I52" s="8" t="n"/>
    </row>
    <row r="53">
      <c r="B53" s="8">
        <f>IF(E53="","","EV-"&amp;TEXT(ROW()-5,"000"))</f>
        <v/>
      </c>
      <c r="C53" s="8" t="n"/>
      <c r="D53" s="8" t="n"/>
      <c r="E53" s="8" t="n"/>
      <c r="F53" s="8" t="n"/>
      <c r="G53" s="8" t="n"/>
      <c r="H53" s="8" t="n"/>
      <c r="I53" s="8" t="n"/>
    </row>
    <row r="54">
      <c r="B54" s="8">
        <f>IF(E54="","","EV-"&amp;TEXT(ROW()-5,"000"))</f>
        <v/>
      </c>
      <c r="C54" s="8" t="n"/>
      <c r="D54" s="8" t="n"/>
      <c r="E54" s="8" t="n"/>
      <c r="F54" s="8" t="n"/>
      <c r="G54" s="8" t="n"/>
      <c r="H54" s="8" t="n"/>
      <c r="I54" s="8" t="n"/>
    </row>
    <row r="55">
      <c r="B55" s="8">
        <f>IF(E55="","","EV-"&amp;TEXT(ROW()-5,"000"))</f>
        <v/>
      </c>
      <c r="C55" s="8" t="n"/>
      <c r="D55" s="8" t="n"/>
      <c r="E55" s="8" t="n"/>
      <c r="F55" s="8" t="n"/>
      <c r="G55" s="8" t="n"/>
      <c r="H55" s="8" t="n"/>
      <c r="I55" s="8" t="n"/>
    </row>
    <row r="56">
      <c r="B56" s="8">
        <f>IF(E56="","","EV-"&amp;TEXT(ROW()-5,"000"))</f>
        <v/>
      </c>
      <c r="C56" s="8" t="n"/>
      <c r="D56" s="8" t="n"/>
      <c r="E56" s="8" t="n"/>
      <c r="F56" s="8" t="n"/>
      <c r="G56" s="8" t="n"/>
      <c r="H56" s="8" t="n"/>
      <c r="I56" s="8" t="n"/>
    </row>
    <row r="57">
      <c r="B57" s="8">
        <f>IF(E57="","","EV-"&amp;TEXT(ROW()-5,"000"))</f>
        <v/>
      </c>
      <c r="C57" s="8" t="n"/>
      <c r="D57" s="8" t="n"/>
      <c r="E57" s="8" t="n"/>
      <c r="F57" s="8" t="n"/>
      <c r="G57" s="8" t="n"/>
      <c r="H57" s="8" t="n"/>
      <c r="I57" s="8" t="n"/>
    </row>
    <row r="58">
      <c r="B58" s="8">
        <f>IF(E58="","","EV-"&amp;TEXT(ROW()-5,"000"))</f>
        <v/>
      </c>
      <c r="C58" s="8" t="n"/>
      <c r="D58" s="8" t="n"/>
      <c r="E58" s="8" t="n"/>
      <c r="F58" s="8" t="n"/>
      <c r="G58" s="8" t="n"/>
      <c r="H58" s="8" t="n"/>
      <c r="I58" s="8" t="n"/>
    </row>
    <row r="59">
      <c r="B59" s="8">
        <f>IF(E59="","","EV-"&amp;TEXT(ROW()-5,"000"))</f>
        <v/>
      </c>
      <c r="C59" s="8" t="n"/>
      <c r="D59" s="8" t="n"/>
      <c r="E59" s="8" t="n"/>
      <c r="F59" s="8" t="n"/>
      <c r="G59" s="8" t="n"/>
      <c r="H59" s="8" t="n"/>
      <c r="I59" s="8" t="n"/>
    </row>
    <row r="60">
      <c r="B60" s="8">
        <f>IF(E60="","","EV-"&amp;TEXT(ROW()-5,"000"))</f>
        <v/>
      </c>
      <c r="C60" s="8" t="n"/>
      <c r="D60" s="8" t="n"/>
      <c r="E60" s="8" t="n"/>
      <c r="F60" s="8" t="n"/>
      <c r="G60" s="8" t="n"/>
      <c r="H60" s="8" t="n"/>
      <c r="I60" s="8" t="n"/>
    </row>
    <row r="61">
      <c r="B61" s="8">
        <f>IF(E61="","","EV-"&amp;TEXT(ROW()-5,"000"))</f>
        <v/>
      </c>
      <c r="C61" s="8" t="n"/>
      <c r="D61" s="8" t="n"/>
      <c r="E61" s="8" t="n"/>
      <c r="F61" s="8" t="n"/>
      <c r="G61" s="8" t="n"/>
      <c r="H61" s="8" t="n"/>
      <c r="I61" s="8" t="n"/>
    </row>
    <row r="62">
      <c r="B62" s="8">
        <f>IF(E62="","","EV-"&amp;TEXT(ROW()-5,"000"))</f>
        <v/>
      </c>
      <c r="C62" s="8" t="n"/>
      <c r="D62" s="8" t="n"/>
      <c r="E62" s="8" t="n"/>
      <c r="F62" s="8" t="n"/>
      <c r="G62" s="8" t="n"/>
      <c r="H62" s="8" t="n"/>
      <c r="I62" s="8" t="n"/>
    </row>
    <row r="63">
      <c r="B63" s="8">
        <f>IF(E63="","","EV-"&amp;TEXT(ROW()-5,"000"))</f>
        <v/>
      </c>
      <c r="C63" s="8" t="n"/>
      <c r="D63" s="8" t="n"/>
      <c r="E63" s="8" t="n"/>
      <c r="F63" s="8" t="n"/>
      <c r="G63" s="8" t="n"/>
      <c r="H63" s="8" t="n"/>
      <c r="I63" s="8" t="n"/>
    </row>
    <row r="64">
      <c r="B64" s="8">
        <f>IF(E64="","","EV-"&amp;TEXT(ROW()-5,"000"))</f>
        <v/>
      </c>
      <c r="C64" s="8" t="n"/>
      <c r="D64" s="8" t="n"/>
      <c r="E64" s="8" t="n"/>
      <c r="F64" s="8" t="n"/>
      <c r="G64" s="8" t="n"/>
      <c r="H64" s="8" t="n"/>
      <c r="I64" s="8" t="n"/>
    </row>
    <row r="65">
      <c r="B65" s="8">
        <f>IF(E65="","","EV-"&amp;TEXT(ROW()-5,"000"))</f>
        <v/>
      </c>
      <c r="C65" s="8" t="n"/>
      <c r="D65" s="8" t="n"/>
      <c r="E65" s="8" t="n"/>
      <c r="F65" s="8" t="n"/>
      <c r="G65" s="8" t="n"/>
      <c r="H65" s="8" t="n"/>
      <c r="I65" s="8" t="n"/>
    </row>
    <row r="66">
      <c r="B66" s="8">
        <f>IF(E66="","","EV-"&amp;TEXT(ROW()-5,"000"))</f>
        <v/>
      </c>
      <c r="C66" s="8" t="n"/>
      <c r="D66" s="8" t="n"/>
      <c r="E66" s="8" t="n"/>
      <c r="F66" s="8" t="n"/>
      <c r="G66" s="8" t="n"/>
      <c r="H66" s="8" t="n"/>
      <c r="I66" s="8" t="n"/>
    </row>
    <row r="67">
      <c r="B67" s="8">
        <f>IF(E67="","","EV-"&amp;TEXT(ROW()-5,"000"))</f>
        <v/>
      </c>
      <c r="C67" s="8" t="n"/>
      <c r="D67" s="8" t="n"/>
      <c r="E67" s="8" t="n"/>
      <c r="F67" s="8" t="n"/>
      <c r="G67" s="8" t="n"/>
      <c r="H67" s="8" t="n"/>
      <c r="I67" s="8" t="n"/>
    </row>
    <row r="68">
      <c r="B68" s="8">
        <f>IF(E68="","","EV-"&amp;TEXT(ROW()-5,"000"))</f>
        <v/>
      </c>
      <c r="C68" s="8" t="n"/>
      <c r="D68" s="8" t="n"/>
      <c r="E68" s="8" t="n"/>
      <c r="F68" s="8" t="n"/>
      <c r="G68" s="8" t="n"/>
      <c r="H68" s="8" t="n"/>
      <c r="I68" s="8" t="n"/>
    </row>
    <row r="69">
      <c r="B69" s="8">
        <f>IF(E69="","","EV-"&amp;TEXT(ROW()-5,"000"))</f>
        <v/>
      </c>
      <c r="C69" s="8" t="n"/>
      <c r="D69" s="8" t="n"/>
      <c r="E69" s="8" t="n"/>
      <c r="F69" s="8" t="n"/>
      <c r="G69" s="8" t="n"/>
      <c r="H69" s="8" t="n"/>
      <c r="I69" s="8" t="n"/>
    </row>
    <row r="70">
      <c r="B70" s="8">
        <f>IF(E70="","","EV-"&amp;TEXT(ROW()-5,"000"))</f>
        <v/>
      </c>
      <c r="C70" s="8" t="n"/>
      <c r="D70" s="8" t="n"/>
      <c r="E70" s="8" t="n"/>
      <c r="F70" s="8" t="n"/>
      <c r="G70" s="8" t="n"/>
      <c r="H70" s="8" t="n"/>
      <c r="I70" s="8" t="n"/>
    </row>
    <row r="71">
      <c r="B71" s="8">
        <f>IF(E71="","","EV-"&amp;TEXT(ROW()-5,"000"))</f>
        <v/>
      </c>
      <c r="C71" s="8" t="n"/>
      <c r="D71" s="8" t="n"/>
      <c r="E71" s="8" t="n"/>
      <c r="F71" s="8" t="n"/>
      <c r="G71" s="8" t="n"/>
      <c r="H71" s="8" t="n"/>
      <c r="I71" s="8" t="n"/>
    </row>
    <row r="72">
      <c r="B72" s="8">
        <f>IF(E72="","","EV-"&amp;TEXT(ROW()-5,"000"))</f>
        <v/>
      </c>
      <c r="C72" s="8" t="n"/>
      <c r="D72" s="8" t="n"/>
      <c r="E72" s="8" t="n"/>
      <c r="F72" s="8" t="n"/>
      <c r="G72" s="8" t="n"/>
      <c r="H72" s="8" t="n"/>
      <c r="I72" s="8" t="n"/>
    </row>
    <row r="73">
      <c r="B73" s="8">
        <f>IF(E73="","","EV-"&amp;TEXT(ROW()-5,"000"))</f>
        <v/>
      </c>
      <c r="C73" s="8" t="n"/>
      <c r="D73" s="8" t="n"/>
      <c r="E73" s="8" t="n"/>
      <c r="F73" s="8" t="n"/>
      <c r="G73" s="8" t="n"/>
      <c r="H73" s="8" t="n"/>
      <c r="I73" s="8" t="n"/>
    </row>
    <row r="74">
      <c r="B74" s="8">
        <f>IF(E74="","","EV-"&amp;TEXT(ROW()-5,"000"))</f>
        <v/>
      </c>
      <c r="C74" s="8" t="n"/>
      <c r="D74" s="8" t="n"/>
      <c r="E74" s="8" t="n"/>
      <c r="F74" s="8" t="n"/>
      <c r="G74" s="8" t="n"/>
      <c r="H74" s="8" t="n"/>
      <c r="I74" s="8" t="n"/>
    </row>
    <row r="75">
      <c r="B75" s="8">
        <f>IF(E75="","","EV-"&amp;TEXT(ROW()-5,"000"))</f>
        <v/>
      </c>
      <c r="C75" s="8" t="n"/>
      <c r="D75" s="8" t="n"/>
      <c r="E75" s="8" t="n"/>
      <c r="F75" s="8" t="n"/>
      <c r="G75" s="8" t="n"/>
      <c r="H75" s="8" t="n"/>
      <c r="I75" s="8" t="n"/>
    </row>
    <row r="76">
      <c r="B76" s="8">
        <f>IF(E76="","","EV-"&amp;TEXT(ROW()-5,"000"))</f>
        <v/>
      </c>
      <c r="C76" s="8" t="n"/>
      <c r="D76" s="8" t="n"/>
      <c r="E76" s="8" t="n"/>
      <c r="F76" s="8" t="n"/>
      <c r="G76" s="8" t="n"/>
      <c r="H76" s="8" t="n"/>
      <c r="I76" s="8" t="n"/>
    </row>
    <row r="77">
      <c r="B77" s="8">
        <f>IF(E77="","","EV-"&amp;TEXT(ROW()-5,"000"))</f>
        <v/>
      </c>
      <c r="C77" s="8" t="n"/>
      <c r="D77" s="8" t="n"/>
      <c r="E77" s="8" t="n"/>
      <c r="F77" s="8" t="n"/>
      <c r="G77" s="8" t="n"/>
      <c r="H77" s="8" t="n"/>
      <c r="I77" s="8" t="n"/>
    </row>
    <row r="78">
      <c r="B78" s="8">
        <f>IF(E78="","","EV-"&amp;TEXT(ROW()-5,"000"))</f>
        <v/>
      </c>
      <c r="C78" s="8" t="n"/>
      <c r="D78" s="8" t="n"/>
      <c r="E78" s="8" t="n"/>
      <c r="F78" s="8" t="n"/>
      <c r="G78" s="8" t="n"/>
      <c r="H78" s="8" t="n"/>
      <c r="I78" s="8" t="n"/>
    </row>
    <row r="79">
      <c r="B79" s="8">
        <f>IF(E79="","","EV-"&amp;TEXT(ROW()-5,"000"))</f>
        <v/>
      </c>
      <c r="C79" s="8" t="n"/>
      <c r="D79" s="8" t="n"/>
      <c r="E79" s="8" t="n"/>
      <c r="F79" s="8" t="n"/>
      <c r="G79" s="8" t="n"/>
      <c r="H79" s="8" t="n"/>
      <c r="I79" s="8" t="n"/>
    </row>
    <row r="80">
      <c r="B80" s="8">
        <f>IF(E80="","","EV-"&amp;TEXT(ROW()-5,"000"))</f>
        <v/>
      </c>
      <c r="C80" s="8" t="n"/>
      <c r="D80" s="8" t="n"/>
      <c r="E80" s="8" t="n"/>
      <c r="F80" s="8" t="n"/>
      <c r="G80" s="8" t="n"/>
      <c r="H80" s="8" t="n"/>
      <c r="I80" s="8" t="n"/>
    </row>
    <row r="81">
      <c r="B81" s="8">
        <f>IF(E81="","","EV-"&amp;TEXT(ROW()-5,"000"))</f>
        <v/>
      </c>
      <c r="C81" s="8" t="n"/>
      <c r="D81" s="8" t="n"/>
      <c r="E81" s="8" t="n"/>
      <c r="F81" s="8" t="n"/>
      <c r="G81" s="8" t="n"/>
      <c r="H81" s="8" t="n"/>
      <c r="I81" s="8" t="n"/>
    </row>
    <row r="82">
      <c r="B82" s="8">
        <f>IF(E82="","","EV-"&amp;TEXT(ROW()-5,"000"))</f>
        <v/>
      </c>
      <c r="C82" s="8" t="n"/>
      <c r="D82" s="8" t="n"/>
      <c r="E82" s="8" t="n"/>
      <c r="F82" s="8" t="n"/>
      <c r="G82" s="8" t="n"/>
      <c r="H82" s="8" t="n"/>
      <c r="I82" s="8" t="n"/>
    </row>
    <row r="83">
      <c r="B83" s="8">
        <f>IF(E83="","","EV-"&amp;TEXT(ROW()-5,"000"))</f>
        <v/>
      </c>
      <c r="C83" s="8" t="n"/>
      <c r="D83" s="8" t="n"/>
      <c r="E83" s="8" t="n"/>
      <c r="F83" s="8" t="n"/>
      <c r="G83" s="8" t="n"/>
      <c r="H83" s="8" t="n"/>
      <c r="I83" s="8" t="n"/>
    </row>
    <row r="84">
      <c r="B84" s="8">
        <f>IF(E84="","","EV-"&amp;TEXT(ROW()-5,"000"))</f>
        <v/>
      </c>
      <c r="C84" s="8" t="n"/>
      <c r="D84" s="8" t="n"/>
      <c r="E84" s="8" t="n"/>
      <c r="F84" s="8" t="n"/>
      <c r="G84" s="8" t="n"/>
      <c r="H84" s="8" t="n"/>
      <c r="I84" s="8" t="n"/>
    </row>
    <row r="85">
      <c r="B85" s="8">
        <f>IF(E85="","","EV-"&amp;TEXT(ROW()-5,"000"))</f>
        <v/>
      </c>
      <c r="C85" s="8" t="n"/>
      <c r="D85" s="8" t="n"/>
      <c r="E85" s="8" t="n"/>
      <c r="F85" s="8" t="n"/>
      <c r="G85" s="8" t="n"/>
      <c r="H85" s="8" t="n"/>
      <c r="I85" s="8" t="n"/>
    </row>
    <row r="86">
      <c r="B86" s="8">
        <f>IF(E86="","","EV-"&amp;TEXT(ROW()-5,"000"))</f>
        <v/>
      </c>
      <c r="C86" s="8" t="n"/>
      <c r="D86" s="8" t="n"/>
      <c r="E86" s="8" t="n"/>
      <c r="F86" s="8" t="n"/>
      <c r="G86" s="8" t="n"/>
      <c r="H86" s="8" t="n"/>
      <c r="I86" s="8" t="n"/>
    </row>
    <row r="87">
      <c r="B87" s="8">
        <f>IF(E87="","","EV-"&amp;TEXT(ROW()-5,"000"))</f>
        <v/>
      </c>
      <c r="C87" s="8" t="n"/>
      <c r="D87" s="8" t="n"/>
      <c r="E87" s="8" t="n"/>
      <c r="F87" s="8" t="n"/>
      <c r="G87" s="8" t="n"/>
      <c r="H87" s="8" t="n"/>
      <c r="I87" s="8" t="n"/>
    </row>
    <row r="88">
      <c r="B88" s="8">
        <f>IF(E88="","","EV-"&amp;TEXT(ROW()-5,"000"))</f>
        <v/>
      </c>
      <c r="C88" s="8" t="n"/>
      <c r="D88" s="8" t="n"/>
      <c r="E88" s="8" t="n"/>
      <c r="F88" s="8" t="n"/>
      <c r="G88" s="8" t="n"/>
      <c r="H88" s="8" t="n"/>
      <c r="I88" s="8" t="n"/>
    </row>
    <row r="89">
      <c r="B89" s="8">
        <f>IF(E89="","","EV-"&amp;TEXT(ROW()-5,"000"))</f>
        <v/>
      </c>
      <c r="C89" s="8" t="n"/>
      <c r="D89" s="8" t="n"/>
      <c r="E89" s="8" t="n"/>
      <c r="F89" s="8" t="n"/>
      <c r="G89" s="8" t="n"/>
      <c r="H89" s="8" t="n"/>
      <c r="I89" s="8" t="n"/>
    </row>
    <row r="90">
      <c r="B90" s="8">
        <f>IF(E90="","","EV-"&amp;TEXT(ROW()-5,"000"))</f>
        <v/>
      </c>
      <c r="C90" s="8" t="n"/>
      <c r="D90" s="8" t="n"/>
      <c r="E90" s="8" t="n"/>
      <c r="F90" s="8" t="n"/>
      <c r="G90" s="8" t="n"/>
      <c r="H90" s="8" t="n"/>
      <c r="I90" s="8" t="n"/>
    </row>
    <row r="91">
      <c r="B91" s="8">
        <f>IF(E91="","","EV-"&amp;TEXT(ROW()-5,"000"))</f>
        <v/>
      </c>
      <c r="C91" s="8" t="n"/>
      <c r="D91" s="8" t="n"/>
      <c r="E91" s="8" t="n"/>
      <c r="F91" s="8" t="n"/>
      <c r="G91" s="8" t="n"/>
      <c r="H91" s="8" t="n"/>
      <c r="I91" s="8" t="n"/>
    </row>
    <row r="92">
      <c r="B92" s="8">
        <f>IF(E92="","","EV-"&amp;TEXT(ROW()-5,"000"))</f>
        <v/>
      </c>
      <c r="C92" s="8" t="n"/>
      <c r="D92" s="8" t="n"/>
      <c r="E92" s="8" t="n"/>
      <c r="F92" s="8" t="n"/>
      <c r="G92" s="8" t="n"/>
      <c r="H92" s="8" t="n"/>
      <c r="I92" s="8" t="n"/>
    </row>
    <row r="93">
      <c r="B93" s="8">
        <f>IF(E93="","","EV-"&amp;TEXT(ROW()-5,"000"))</f>
        <v/>
      </c>
      <c r="C93" s="8" t="n"/>
      <c r="D93" s="8" t="n"/>
      <c r="E93" s="8" t="n"/>
      <c r="F93" s="8" t="n"/>
      <c r="G93" s="8" t="n"/>
      <c r="H93" s="8" t="n"/>
      <c r="I93" s="8" t="n"/>
    </row>
    <row r="94">
      <c r="B94" s="8">
        <f>IF(E94="","","EV-"&amp;TEXT(ROW()-5,"000"))</f>
        <v/>
      </c>
      <c r="C94" s="8" t="n"/>
      <c r="D94" s="8" t="n"/>
      <c r="E94" s="8" t="n"/>
      <c r="F94" s="8" t="n"/>
      <c r="G94" s="8" t="n"/>
      <c r="H94" s="8" t="n"/>
      <c r="I94" s="8" t="n"/>
    </row>
    <row r="95">
      <c r="B95" s="8">
        <f>IF(E95="","","EV-"&amp;TEXT(ROW()-5,"000"))</f>
        <v/>
      </c>
      <c r="C95" s="8" t="n"/>
      <c r="D95" s="8" t="n"/>
      <c r="E95" s="8" t="n"/>
      <c r="F95" s="8" t="n"/>
      <c r="G95" s="8" t="n"/>
      <c r="H95" s="8" t="n"/>
      <c r="I95" s="8" t="n"/>
    </row>
    <row r="96">
      <c r="B96" s="8">
        <f>IF(E96="","","EV-"&amp;TEXT(ROW()-5,"000"))</f>
        <v/>
      </c>
      <c r="C96" s="8" t="n"/>
      <c r="D96" s="8" t="n"/>
      <c r="E96" s="8" t="n"/>
      <c r="F96" s="8" t="n"/>
      <c r="G96" s="8" t="n"/>
      <c r="H96" s="8" t="n"/>
      <c r="I96" s="8" t="n"/>
    </row>
    <row r="97">
      <c r="B97" s="8">
        <f>IF(E97="","","EV-"&amp;TEXT(ROW()-5,"000"))</f>
        <v/>
      </c>
      <c r="C97" s="8" t="n"/>
      <c r="D97" s="8" t="n"/>
      <c r="E97" s="8" t="n"/>
      <c r="F97" s="8" t="n"/>
      <c r="G97" s="8" t="n"/>
      <c r="H97" s="8" t="n"/>
      <c r="I97" s="8" t="n"/>
    </row>
    <row r="98">
      <c r="B98" s="8">
        <f>IF(E98="","","EV-"&amp;TEXT(ROW()-5,"000"))</f>
        <v/>
      </c>
      <c r="C98" s="8" t="n"/>
      <c r="D98" s="8" t="n"/>
      <c r="E98" s="8" t="n"/>
      <c r="F98" s="8" t="n"/>
      <c r="G98" s="8" t="n"/>
      <c r="H98" s="8" t="n"/>
      <c r="I98" s="8" t="n"/>
    </row>
    <row r="99">
      <c r="B99" s="8">
        <f>IF(E99="","","EV-"&amp;TEXT(ROW()-5,"000"))</f>
        <v/>
      </c>
      <c r="C99" s="8" t="n"/>
      <c r="D99" s="8" t="n"/>
      <c r="E99" s="8" t="n"/>
      <c r="F99" s="8" t="n"/>
      <c r="G99" s="8" t="n"/>
      <c r="H99" s="8" t="n"/>
      <c r="I99" s="8" t="n"/>
    </row>
    <row r="100">
      <c r="B100" s="8">
        <f>IF(E100="","","EV-"&amp;TEXT(ROW()-5,"000"))</f>
        <v/>
      </c>
      <c r="C100" s="8" t="n"/>
      <c r="D100" s="8" t="n"/>
      <c r="E100" s="8" t="n"/>
      <c r="F100" s="8" t="n"/>
      <c r="G100" s="8" t="n"/>
      <c r="H100" s="8" t="n"/>
      <c r="I100" s="8" t="n"/>
    </row>
    <row r="101">
      <c r="B101" s="8">
        <f>IF(E101="","","EV-"&amp;TEXT(ROW()-5,"000"))</f>
        <v/>
      </c>
      <c r="C101" s="8" t="n"/>
      <c r="D101" s="8" t="n"/>
      <c r="E101" s="8" t="n"/>
      <c r="F101" s="8" t="n"/>
      <c r="G101" s="8" t="n"/>
      <c r="H101" s="8" t="n"/>
      <c r="I101" s="8" t="n"/>
    </row>
    <row r="102">
      <c r="B102" s="8">
        <f>IF(E102="","","EV-"&amp;TEXT(ROW()-5,"000"))</f>
        <v/>
      </c>
      <c r="C102" s="8" t="n"/>
      <c r="D102" s="8" t="n"/>
      <c r="E102" s="8" t="n"/>
      <c r="F102" s="8" t="n"/>
      <c r="G102" s="8" t="n"/>
      <c r="H102" s="8" t="n"/>
      <c r="I102" s="8" t="n"/>
    </row>
    <row r="103">
      <c r="B103" s="8">
        <f>IF(E103="","","EV-"&amp;TEXT(ROW()-5,"000"))</f>
        <v/>
      </c>
      <c r="C103" s="8" t="n"/>
      <c r="D103" s="8" t="n"/>
      <c r="E103" s="8" t="n"/>
      <c r="F103" s="8" t="n"/>
      <c r="G103" s="8" t="n"/>
      <c r="H103" s="8" t="n"/>
      <c r="I103" s="8" t="n"/>
    </row>
    <row r="104">
      <c r="B104" s="8">
        <f>IF(E104="","","EV-"&amp;TEXT(ROW()-5,"000"))</f>
        <v/>
      </c>
      <c r="C104" s="8" t="n"/>
      <c r="D104" s="8" t="n"/>
      <c r="E104" s="8" t="n"/>
      <c r="F104" s="8" t="n"/>
      <c r="G104" s="8" t="n"/>
      <c r="H104" s="8" t="n"/>
      <c r="I104" s="8" t="n"/>
    </row>
    <row r="105">
      <c r="B105" s="8">
        <f>IF(E105="","","EV-"&amp;TEXT(ROW()-5,"000"))</f>
        <v/>
      </c>
      <c r="C105" s="8" t="n"/>
      <c r="D105" s="8" t="n"/>
      <c r="E105" s="8" t="n"/>
      <c r="F105" s="8" t="n"/>
      <c r="G105" s="8" t="n"/>
      <c r="H105" s="8" t="n"/>
      <c r="I105" s="8" t="n"/>
    </row>
    <row r="106">
      <c r="B106" s="8">
        <f>IF(E106="","","EV-"&amp;TEXT(ROW()-5,"000"))</f>
        <v/>
      </c>
      <c r="C106" s="8" t="n"/>
      <c r="D106" s="8" t="n"/>
      <c r="E106" s="8" t="n"/>
      <c r="F106" s="8" t="n"/>
      <c r="G106" s="8" t="n"/>
      <c r="H106" s="8" t="n"/>
      <c r="I106" s="8" t="n"/>
    </row>
    <row r="107">
      <c r="B107" s="8">
        <f>IF(E107="","","EV-"&amp;TEXT(ROW()-5,"000"))</f>
        <v/>
      </c>
      <c r="C107" s="8" t="n"/>
      <c r="D107" s="8" t="n"/>
      <c r="E107" s="8" t="n"/>
      <c r="F107" s="8" t="n"/>
      <c r="G107" s="8" t="n"/>
      <c r="H107" s="8" t="n"/>
      <c r="I107" s="8" t="n"/>
    </row>
    <row r="108">
      <c r="B108" s="8">
        <f>IF(E108="","","EV-"&amp;TEXT(ROW()-5,"000"))</f>
        <v/>
      </c>
      <c r="C108" s="8" t="n"/>
      <c r="D108" s="8" t="n"/>
      <c r="E108" s="8" t="n"/>
      <c r="F108" s="8" t="n"/>
      <c r="G108" s="8" t="n"/>
      <c r="H108" s="8" t="n"/>
      <c r="I108" s="8" t="n"/>
    </row>
    <row r="109">
      <c r="B109" s="8">
        <f>IF(E109="","","EV-"&amp;TEXT(ROW()-5,"000"))</f>
        <v/>
      </c>
      <c r="C109" s="8" t="n"/>
      <c r="D109" s="8" t="n"/>
      <c r="E109" s="8" t="n"/>
      <c r="F109" s="8" t="n"/>
      <c r="G109" s="8" t="n"/>
      <c r="H109" s="8" t="n"/>
      <c r="I109" s="8" t="n"/>
    </row>
    <row r="110">
      <c r="B110" s="8">
        <f>IF(E110="","","EV-"&amp;TEXT(ROW()-5,"000"))</f>
        <v/>
      </c>
      <c r="C110" s="8" t="n"/>
      <c r="D110" s="8" t="n"/>
      <c r="E110" s="8" t="n"/>
      <c r="F110" s="8" t="n"/>
      <c r="G110" s="8" t="n"/>
      <c r="H110" s="8" t="n"/>
      <c r="I110" s="8" t="n"/>
    </row>
    <row r="111">
      <c r="B111" s="8">
        <f>IF(E111="","","EV-"&amp;TEXT(ROW()-5,"000"))</f>
        <v/>
      </c>
      <c r="C111" s="8" t="n"/>
      <c r="D111" s="8" t="n"/>
      <c r="E111" s="8" t="n"/>
      <c r="F111" s="8" t="n"/>
      <c r="G111" s="8" t="n"/>
      <c r="H111" s="8" t="n"/>
      <c r="I111" s="8" t="n"/>
    </row>
    <row r="112">
      <c r="B112" s="8">
        <f>IF(E112="","","EV-"&amp;TEXT(ROW()-5,"000"))</f>
        <v/>
      </c>
      <c r="C112" s="8" t="n"/>
      <c r="D112" s="8" t="n"/>
      <c r="E112" s="8" t="n"/>
      <c r="F112" s="8" t="n"/>
      <c r="G112" s="8" t="n"/>
      <c r="H112" s="8" t="n"/>
      <c r="I112" s="8" t="n"/>
    </row>
    <row r="113">
      <c r="B113" s="8">
        <f>IF(E113="","","EV-"&amp;TEXT(ROW()-5,"000"))</f>
        <v/>
      </c>
      <c r="C113" s="8" t="n"/>
      <c r="D113" s="8" t="n"/>
      <c r="E113" s="8" t="n"/>
      <c r="F113" s="8" t="n"/>
      <c r="G113" s="8" t="n"/>
      <c r="H113" s="8" t="n"/>
      <c r="I113" s="8" t="n"/>
    </row>
    <row r="114">
      <c r="B114" s="8">
        <f>IF(E114="","","EV-"&amp;TEXT(ROW()-5,"000"))</f>
        <v/>
      </c>
      <c r="C114" s="8" t="n"/>
      <c r="D114" s="8" t="n"/>
      <c r="E114" s="8" t="n"/>
      <c r="F114" s="8" t="n"/>
      <c r="G114" s="8" t="n"/>
      <c r="H114" s="8" t="n"/>
      <c r="I114" s="8" t="n"/>
    </row>
    <row r="115">
      <c r="B115" s="8">
        <f>IF(E115="","","EV-"&amp;TEXT(ROW()-5,"000"))</f>
        <v/>
      </c>
      <c r="C115" s="8" t="n"/>
      <c r="D115" s="8" t="n"/>
      <c r="E115" s="8" t="n"/>
      <c r="F115" s="8" t="n"/>
      <c r="G115" s="8" t="n"/>
      <c r="H115" s="8" t="n"/>
      <c r="I115" s="8" t="n"/>
    </row>
    <row r="116">
      <c r="B116" s="8">
        <f>IF(E116="","","EV-"&amp;TEXT(ROW()-5,"000"))</f>
        <v/>
      </c>
      <c r="C116" s="8" t="n"/>
      <c r="D116" s="8" t="n"/>
      <c r="E116" s="8" t="n"/>
      <c r="F116" s="8" t="n"/>
      <c r="G116" s="8" t="n"/>
      <c r="H116" s="8" t="n"/>
      <c r="I116" s="8" t="n"/>
    </row>
    <row r="117">
      <c r="B117" s="8">
        <f>IF(E117="","","EV-"&amp;TEXT(ROW()-5,"000"))</f>
        <v/>
      </c>
      <c r="C117" s="8" t="n"/>
      <c r="D117" s="8" t="n"/>
      <c r="E117" s="8" t="n"/>
      <c r="F117" s="8" t="n"/>
      <c r="G117" s="8" t="n"/>
      <c r="H117" s="8" t="n"/>
      <c r="I117" s="8" t="n"/>
    </row>
    <row r="118">
      <c r="B118" s="8">
        <f>IF(E118="","","EV-"&amp;TEXT(ROW()-5,"000"))</f>
        <v/>
      </c>
      <c r="C118" s="8" t="n"/>
      <c r="D118" s="8" t="n"/>
      <c r="E118" s="8" t="n"/>
      <c r="F118" s="8" t="n"/>
      <c r="G118" s="8" t="n"/>
      <c r="H118" s="8" t="n"/>
      <c r="I118" s="8" t="n"/>
    </row>
    <row r="119">
      <c r="B119" s="8">
        <f>IF(E119="","","EV-"&amp;TEXT(ROW()-5,"000"))</f>
        <v/>
      </c>
      <c r="C119" s="8" t="n"/>
      <c r="D119" s="8" t="n"/>
      <c r="E119" s="8" t="n"/>
      <c r="F119" s="8" t="n"/>
      <c r="G119" s="8" t="n"/>
      <c r="H119" s="8" t="n"/>
      <c r="I119" s="8" t="n"/>
    </row>
    <row r="120">
      <c r="B120" s="8">
        <f>IF(E120="","","EV-"&amp;TEXT(ROW()-5,"000"))</f>
        <v/>
      </c>
      <c r="C120" s="8" t="n"/>
      <c r="D120" s="8" t="n"/>
      <c r="E120" s="8" t="n"/>
      <c r="F120" s="8" t="n"/>
      <c r="G120" s="8" t="n"/>
      <c r="H120" s="8" t="n"/>
      <c r="I120" s="8" t="n"/>
    </row>
    <row r="121">
      <c r="B121" s="8">
        <f>IF(E121="","","EV-"&amp;TEXT(ROW()-5,"000"))</f>
        <v/>
      </c>
      <c r="C121" s="8" t="n"/>
      <c r="D121" s="8" t="n"/>
      <c r="E121" s="8" t="n"/>
      <c r="F121" s="8" t="n"/>
      <c r="G121" s="8" t="n"/>
      <c r="H121" s="8" t="n"/>
      <c r="I121" s="8" t="n"/>
    </row>
    <row r="122">
      <c r="B122" s="8">
        <f>IF(E122="","","EV-"&amp;TEXT(ROW()-5,"000"))</f>
        <v/>
      </c>
      <c r="C122" s="8" t="n"/>
      <c r="D122" s="8" t="n"/>
      <c r="E122" s="8" t="n"/>
      <c r="F122" s="8" t="n"/>
      <c r="G122" s="8" t="n"/>
      <c r="H122" s="8" t="n"/>
      <c r="I122" s="8" t="n"/>
    </row>
    <row r="123">
      <c r="B123" s="8">
        <f>IF(E123="","","EV-"&amp;TEXT(ROW()-5,"000"))</f>
        <v/>
      </c>
      <c r="C123" s="8" t="n"/>
      <c r="D123" s="8" t="n"/>
      <c r="E123" s="8" t="n"/>
      <c r="F123" s="8" t="n"/>
      <c r="G123" s="8" t="n"/>
      <c r="H123" s="8" t="n"/>
      <c r="I123" s="8" t="n"/>
    </row>
    <row r="124">
      <c r="B124" s="8">
        <f>IF(E124="","","EV-"&amp;TEXT(ROW()-5,"000"))</f>
        <v/>
      </c>
      <c r="C124" s="8" t="n"/>
      <c r="D124" s="8" t="n"/>
      <c r="E124" s="8" t="n"/>
      <c r="F124" s="8" t="n"/>
      <c r="G124" s="8" t="n"/>
      <c r="H124" s="8" t="n"/>
      <c r="I124" s="8" t="n"/>
    </row>
    <row r="125">
      <c r="B125" s="8">
        <f>IF(E125="","","EV-"&amp;TEXT(ROW()-5,"000"))</f>
        <v/>
      </c>
      <c r="C125" s="8" t="n"/>
      <c r="D125" s="8" t="n"/>
      <c r="E125" s="8" t="n"/>
      <c r="F125" s="8" t="n"/>
      <c r="G125" s="8" t="n"/>
      <c r="H125" s="8" t="n"/>
      <c r="I125" s="8" t="n"/>
    </row>
    <row r="126">
      <c r="B126" s="8">
        <f>IF(E126="","","EV-"&amp;TEXT(ROW()-5,"000"))</f>
        <v/>
      </c>
      <c r="C126" s="8" t="n"/>
      <c r="D126" s="8" t="n"/>
      <c r="E126" s="8" t="n"/>
      <c r="F126" s="8" t="n"/>
      <c r="G126" s="8" t="n"/>
      <c r="H126" s="8" t="n"/>
      <c r="I126" s="8" t="n"/>
    </row>
    <row r="127">
      <c r="B127" s="8">
        <f>IF(E127="","","EV-"&amp;TEXT(ROW()-5,"000"))</f>
        <v/>
      </c>
      <c r="C127" s="8" t="n"/>
      <c r="D127" s="8" t="n"/>
      <c r="E127" s="8" t="n"/>
      <c r="F127" s="8" t="n"/>
      <c r="G127" s="8" t="n"/>
      <c r="H127" s="8" t="n"/>
      <c r="I127" s="8" t="n"/>
    </row>
    <row r="128">
      <c r="B128" s="8">
        <f>IF(E128="","","EV-"&amp;TEXT(ROW()-5,"000"))</f>
        <v/>
      </c>
      <c r="C128" s="8" t="n"/>
      <c r="D128" s="8" t="n"/>
      <c r="E128" s="8" t="n"/>
      <c r="F128" s="8" t="n"/>
      <c r="G128" s="8" t="n"/>
      <c r="H128" s="8" t="n"/>
      <c r="I128" s="8" t="n"/>
    </row>
    <row r="129">
      <c r="B129" s="8">
        <f>IF(E129="","","EV-"&amp;TEXT(ROW()-5,"000"))</f>
        <v/>
      </c>
      <c r="C129" s="8" t="n"/>
      <c r="D129" s="8" t="n"/>
      <c r="E129" s="8" t="n"/>
      <c r="F129" s="8" t="n"/>
      <c r="G129" s="8" t="n"/>
      <c r="H129" s="8" t="n"/>
      <c r="I129" s="8" t="n"/>
    </row>
    <row r="130">
      <c r="B130" s="8">
        <f>IF(E130="","","EV-"&amp;TEXT(ROW()-5,"000"))</f>
        <v/>
      </c>
      <c r="C130" s="8" t="n"/>
      <c r="D130" s="8" t="n"/>
      <c r="E130" s="8" t="n"/>
      <c r="F130" s="8" t="n"/>
      <c r="G130" s="8" t="n"/>
      <c r="H130" s="8" t="n"/>
      <c r="I130" s="8" t="n"/>
    </row>
    <row r="131">
      <c r="B131" s="8">
        <f>IF(E131="","","EV-"&amp;TEXT(ROW()-5,"000"))</f>
        <v/>
      </c>
      <c r="C131" s="8" t="n"/>
      <c r="D131" s="8" t="n"/>
      <c r="E131" s="8" t="n"/>
      <c r="F131" s="8" t="n"/>
      <c r="G131" s="8" t="n"/>
      <c r="H131" s="8" t="n"/>
      <c r="I131" s="8" t="n"/>
    </row>
    <row r="132">
      <c r="B132" s="8">
        <f>IF(E132="","","EV-"&amp;TEXT(ROW()-5,"000"))</f>
        <v/>
      </c>
      <c r="C132" s="8" t="n"/>
      <c r="D132" s="8" t="n"/>
      <c r="E132" s="8" t="n"/>
      <c r="F132" s="8" t="n"/>
      <c r="G132" s="8" t="n"/>
      <c r="H132" s="8" t="n"/>
      <c r="I132" s="8" t="n"/>
    </row>
    <row r="133">
      <c r="B133" s="8">
        <f>IF(E133="","","EV-"&amp;TEXT(ROW()-5,"000"))</f>
        <v/>
      </c>
      <c r="C133" s="8" t="n"/>
      <c r="D133" s="8" t="n"/>
      <c r="E133" s="8" t="n"/>
      <c r="F133" s="8" t="n"/>
      <c r="G133" s="8" t="n"/>
      <c r="H133" s="8" t="n"/>
      <c r="I133" s="8" t="n"/>
    </row>
    <row r="134">
      <c r="B134" s="8">
        <f>IF(E134="","","EV-"&amp;TEXT(ROW()-5,"000"))</f>
        <v/>
      </c>
      <c r="C134" s="8" t="n"/>
      <c r="D134" s="8" t="n"/>
      <c r="E134" s="8" t="n"/>
      <c r="F134" s="8" t="n"/>
      <c r="G134" s="8" t="n"/>
      <c r="H134" s="8" t="n"/>
      <c r="I134" s="8" t="n"/>
    </row>
    <row r="135">
      <c r="B135" s="8">
        <f>IF(E135="","","EV-"&amp;TEXT(ROW()-5,"000"))</f>
        <v/>
      </c>
      <c r="C135" s="8" t="n"/>
      <c r="D135" s="8" t="n"/>
      <c r="E135" s="8" t="n"/>
      <c r="F135" s="8" t="n"/>
      <c r="G135" s="8" t="n"/>
      <c r="H135" s="8" t="n"/>
      <c r="I135" s="8" t="n"/>
    </row>
    <row r="136">
      <c r="B136" s="8">
        <f>IF(E136="","","EV-"&amp;TEXT(ROW()-5,"000"))</f>
        <v/>
      </c>
      <c r="C136" s="8" t="n"/>
      <c r="D136" s="8" t="n"/>
      <c r="E136" s="8" t="n"/>
      <c r="F136" s="8" t="n"/>
      <c r="G136" s="8" t="n"/>
      <c r="H136" s="8" t="n"/>
      <c r="I136" s="8" t="n"/>
    </row>
    <row r="137">
      <c r="B137" s="8">
        <f>IF(E137="","","EV-"&amp;TEXT(ROW()-5,"000"))</f>
        <v/>
      </c>
      <c r="C137" s="8" t="n"/>
      <c r="D137" s="8" t="n"/>
      <c r="E137" s="8" t="n"/>
      <c r="F137" s="8" t="n"/>
      <c r="G137" s="8" t="n"/>
      <c r="H137" s="8" t="n"/>
      <c r="I137" s="8" t="n"/>
    </row>
    <row r="138">
      <c r="B138" s="8">
        <f>IF(E138="","","EV-"&amp;TEXT(ROW()-5,"000"))</f>
        <v/>
      </c>
      <c r="C138" s="8" t="n"/>
      <c r="D138" s="8" t="n"/>
      <c r="E138" s="8" t="n"/>
      <c r="F138" s="8" t="n"/>
      <c r="G138" s="8" t="n"/>
      <c r="H138" s="8" t="n"/>
      <c r="I138" s="8" t="n"/>
    </row>
    <row r="139">
      <c r="B139" s="8">
        <f>IF(E139="","","EV-"&amp;TEXT(ROW()-5,"000"))</f>
        <v/>
      </c>
      <c r="C139" s="8" t="n"/>
      <c r="D139" s="8" t="n"/>
      <c r="E139" s="8" t="n"/>
      <c r="F139" s="8" t="n"/>
      <c r="G139" s="8" t="n"/>
      <c r="H139" s="8" t="n"/>
      <c r="I139" s="8" t="n"/>
    </row>
    <row r="140">
      <c r="B140" s="8">
        <f>IF(E140="","","EV-"&amp;TEXT(ROW()-5,"000"))</f>
        <v/>
      </c>
      <c r="C140" s="8" t="n"/>
      <c r="D140" s="8" t="n"/>
      <c r="E140" s="8" t="n"/>
      <c r="F140" s="8" t="n"/>
      <c r="G140" s="8" t="n"/>
      <c r="H140" s="8" t="n"/>
      <c r="I140" s="8" t="n"/>
    </row>
    <row r="141">
      <c r="B141" s="8">
        <f>IF(E141="","","EV-"&amp;TEXT(ROW()-5,"000"))</f>
        <v/>
      </c>
      <c r="C141" s="8" t="n"/>
      <c r="D141" s="8" t="n"/>
      <c r="E141" s="8" t="n"/>
      <c r="F141" s="8" t="n"/>
      <c r="G141" s="8" t="n"/>
      <c r="H141" s="8" t="n"/>
      <c r="I141" s="8" t="n"/>
    </row>
    <row r="142">
      <c r="B142" s="8">
        <f>IF(E142="","","EV-"&amp;TEXT(ROW()-5,"000"))</f>
        <v/>
      </c>
      <c r="C142" s="8" t="n"/>
      <c r="D142" s="8" t="n"/>
      <c r="E142" s="8" t="n"/>
      <c r="F142" s="8" t="n"/>
      <c r="G142" s="8" t="n"/>
      <c r="H142" s="8" t="n"/>
      <c r="I142" s="8" t="n"/>
    </row>
    <row r="143">
      <c r="B143" s="8">
        <f>IF(E143="","","EV-"&amp;TEXT(ROW()-5,"000"))</f>
        <v/>
      </c>
      <c r="C143" s="8" t="n"/>
      <c r="D143" s="8" t="n"/>
      <c r="E143" s="8" t="n"/>
      <c r="F143" s="8" t="n"/>
      <c r="G143" s="8" t="n"/>
      <c r="H143" s="8" t="n"/>
      <c r="I143" s="8" t="n"/>
    </row>
    <row r="144">
      <c r="B144" s="8">
        <f>IF(E144="","","EV-"&amp;TEXT(ROW()-5,"000"))</f>
        <v/>
      </c>
      <c r="C144" s="8" t="n"/>
      <c r="D144" s="8" t="n"/>
      <c r="E144" s="8" t="n"/>
      <c r="F144" s="8" t="n"/>
      <c r="G144" s="8" t="n"/>
      <c r="H144" s="8" t="n"/>
      <c r="I144" s="8" t="n"/>
    </row>
    <row r="145">
      <c r="B145" s="8">
        <f>IF(E145="","","EV-"&amp;TEXT(ROW()-5,"000"))</f>
        <v/>
      </c>
      <c r="C145" s="8" t="n"/>
      <c r="D145" s="8" t="n"/>
      <c r="E145" s="8" t="n"/>
      <c r="F145" s="8" t="n"/>
      <c r="G145" s="8" t="n"/>
      <c r="H145" s="8" t="n"/>
      <c r="I145" s="8" t="n"/>
    </row>
    <row r="146">
      <c r="B146" s="8">
        <f>IF(E146="","","EV-"&amp;TEXT(ROW()-5,"000"))</f>
        <v/>
      </c>
      <c r="C146" s="8" t="n"/>
      <c r="D146" s="8" t="n"/>
      <c r="E146" s="8" t="n"/>
      <c r="F146" s="8" t="n"/>
      <c r="G146" s="8" t="n"/>
      <c r="H146" s="8" t="n"/>
      <c r="I146" s="8" t="n"/>
    </row>
    <row r="147">
      <c r="B147" s="8">
        <f>IF(E147="","","EV-"&amp;TEXT(ROW()-5,"000"))</f>
        <v/>
      </c>
      <c r="C147" s="8" t="n"/>
      <c r="D147" s="8" t="n"/>
      <c r="E147" s="8" t="n"/>
      <c r="F147" s="8" t="n"/>
      <c r="G147" s="8" t="n"/>
      <c r="H147" s="8" t="n"/>
      <c r="I147" s="8" t="n"/>
    </row>
    <row r="148">
      <c r="B148" s="8">
        <f>IF(E148="","","EV-"&amp;TEXT(ROW()-5,"000"))</f>
        <v/>
      </c>
      <c r="C148" s="8" t="n"/>
      <c r="D148" s="8" t="n"/>
      <c r="E148" s="8" t="n"/>
      <c r="F148" s="8" t="n"/>
      <c r="G148" s="8" t="n"/>
      <c r="H148" s="8" t="n"/>
      <c r="I148" s="8" t="n"/>
    </row>
    <row r="149">
      <c r="B149" s="8">
        <f>IF(E149="","","EV-"&amp;TEXT(ROW()-5,"000"))</f>
        <v/>
      </c>
      <c r="C149" s="8" t="n"/>
      <c r="D149" s="8" t="n"/>
      <c r="E149" s="8" t="n"/>
      <c r="F149" s="8" t="n"/>
      <c r="G149" s="8" t="n"/>
      <c r="H149" s="8" t="n"/>
      <c r="I149" s="8" t="n"/>
    </row>
    <row r="150">
      <c r="B150" s="8">
        <f>IF(E150="","","EV-"&amp;TEXT(ROW()-5,"000"))</f>
        <v/>
      </c>
      <c r="C150" s="8" t="n"/>
      <c r="D150" s="8" t="n"/>
      <c r="E150" s="8" t="n"/>
      <c r="F150" s="8" t="n"/>
      <c r="G150" s="8" t="n"/>
      <c r="H150" s="8" t="n"/>
      <c r="I150" s="8" t="n"/>
    </row>
    <row r="151">
      <c r="B151" s="8">
        <f>IF(E151="","","EV-"&amp;TEXT(ROW()-5,"000"))</f>
        <v/>
      </c>
      <c r="C151" s="8" t="n"/>
      <c r="D151" s="8" t="n"/>
      <c r="E151" s="8" t="n"/>
      <c r="F151" s="8" t="n"/>
      <c r="G151" s="8" t="n"/>
      <c r="H151" s="8" t="n"/>
      <c r="I151" s="8" t="n"/>
    </row>
    <row r="152">
      <c r="B152" s="8">
        <f>IF(E152="","","EV-"&amp;TEXT(ROW()-5,"000"))</f>
        <v/>
      </c>
      <c r="C152" s="8" t="n"/>
      <c r="D152" s="8" t="n"/>
      <c r="E152" s="8" t="n"/>
      <c r="F152" s="8" t="n"/>
      <c r="G152" s="8" t="n"/>
      <c r="H152" s="8" t="n"/>
      <c r="I152" s="8" t="n"/>
    </row>
    <row r="153">
      <c r="B153" s="8">
        <f>IF(E153="","","EV-"&amp;TEXT(ROW()-5,"000"))</f>
        <v/>
      </c>
      <c r="C153" s="8" t="n"/>
      <c r="D153" s="8" t="n"/>
      <c r="E153" s="8" t="n"/>
      <c r="F153" s="8" t="n"/>
      <c r="G153" s="8" t="n"/>
      <c r="H153" s="8" t="n"/>
      <c r="I153" s="8" t="n"/>
    </row>
    <row r="154">
      <c r="B154" s="8">
        <f>IF(E154="","","EV-"&amp;TEXT(ROW()-5,"000"))</f>
        <v/>
      </c>
      <c r="C154" s="8" t="n"/>
      <c r="D154" s="8" t="n"/>
      <c r="E154" s="8" t="n"/>
      <c r="F154" s="8" t="n"/>
      <c r="G154" s="8" t="n"/>
      <c r="H154" s="8" t="n"/>
      <c r="I154" s="8" t="n"/>
    </row>
    <row r="155">
      <c r="B155" s="8">
        <f>IF(E155="","","EV-"&amp;TEXT(ROW()-5,"000"))</f>
        <v/>
      </c>
      <c r="C155" s="8" t="n"/>
      <c r="D155" s="8" t="n"/>
      <c r="E155" s="8" t="n"/>
      <c r="F155" s="8" t="n"/>
      <c r="G155" s="8" t="n"/>
      <c r="H155" s="8" t="n"/>
      <c r="I155" s="8" t="n"/>
    </row>
    <row r="156">
      <c r="B156" s="8">
        <f>IF(E156="","","EV-"&amp;TEXT(ROW()-5,"000"))</f>
        <v/>
      </c>
      <c r="C156" s="8" t="n"/>
      <c r="D156" s="8" t="n"/>
      <c r="E156" s="8" t="n"/>
      <c r="F156" s="8" t="n"/>
      <c r="G156" s="8" t="n"/>
      <c r="H156" s="8" t="n"/>
      <c r="I156" s="8" t="n"/>
    </row>
    <row r="157">
      <c r="B157" s="8">
        <f>IF(E157="","","EV-"&amp;TEXT(ROW()-5,"000"))</f>
        <v/>
      </c>
      <c r="C157" s="8" t="n"/>
      <c r="D157" s="8" t="n"/>
      <c r="E157" s="8" t="n"/>
      <c r="F157" s="8" t="n"/>
      <c r="G157" s="8" t="n"/>
      <c r="H157" s="8" t="n"/>
      <c r="I157" s="8" t="n"/>
    </row>
    <row r="158">
      <c r="B158" s="8">
        <f>IF(E158="","","EV-"&amp;TEXT(ROW()-5,"000"))</f>
        <v/>
      </c>
      <c r="C158" s="8" t="n"/>
      <c r="D158" s="8" t="n"/>
      <c r="E158" s="8" t="n"/>
      <c r="F158" s="8" t="n"/>
      <c r="G158" s="8" t="n"/>
      <c r="H158" s="8" t="n"/>
      <c r="I158" s="8" t="n"/>
    </row>
    <row r="159">
      <c r="B159" s="8">
        <f>IF(E159="","","EV-"&amp;TEXT(ROW()-5,"000"))</f>
        <v/>
      </c>
      <c r="C159" s="8" t="n"/>
      <c r="D159" s="8" t="n"/>
      <c r="E159" s="8" t="n"/>
      <c r="F159" s="8" t="n"/>
      <c r="G159" s="8" t="n"/>
      <c r="H159" s="8" t="n"/>
      <c r="I159" s="8" t="n"/>
    </row>
    <row r="160">
      <c r="B160" s="8">
        <f>IF(E160="","","EV-"&amp;TEXT(ROW()-5,"000"))</f>
        <v/>
      </c>
      <c r="C160" s="8" t="n"/>
      <c r="D160" s="8" t="n"/>
      <c r="E160" s="8" t="n"/>
      <c r="F160" s="8" t="n"/>
      <c r="G160" s="8" t="n"/>
      <c r="H160" s="8" t="n"/>
      <c r="I160" s="8" t="n"/>
    </row>
    <row r="161">
      <c r="B161" s="8">
        <f>IF(E161="","","EV-"&amp;TEXT(ROW()-5,"000"))</f>
        <v/>
      </c>
      <c r="C161" s="8" t="n"/>
      <c r="D161" s="8" t="n"/>
      <c r="E161" s="8" t="n"/>
      <c r="F161" s="8" t="n"/>
      <c r="G161" s="8" t="n"/>
      <c r="H161" s="8" t="n"/>
      <c r="I161" s="8" t="n"/>
    </row>
    <row r="162">
      <c r="B162" s="8">
        <f>IF(E162="","","EV-"&amp;TEXT(ROW()-5,"000"))</f>
        <v/>
      </c>
      <c r="C162" s="8" t="n"/>
      <c r="D162" s="8" t="n"/>
      <c r="E162" s="8" t="n"/>
      <c r="F162" s="8" t="n"/>
      <c r="G162" s="8" t="n"/>
      <c r="H162" s="8" t="n"/>
      <c r="I162" s="8" t="n"/>
    </row>
    <row r="163">
      <c r="B163" s="8">
        <f>IF(E163="","","EV-"&amp;TEXT(ROW()-5,"000"))</f>
        <v/>
      </c>
      <c r="C163" s="8" t="n"/>
      <c r="D163" s="8" t="n"/>
      <c r="E163" s="8" t="n"/>
      <c r="F163" s="8" t="n"/>
      <c r="G163" s="8" t="n"/>
      <c r="H163" s="8" t="n"/>
      <c r="I163" s="8" t="n"/>
    </row>
    <row r="164">
      <c r="B164" s="8">
        <f>IF(E164="","","EV-"&amp;TEXT(ROW()-5,"000"))</f>
        <v/>
      </c>
      <c r="C164" s="8" t="n"/>
      <c r="D164" s="8" t="n"/>
      <c r="E164" s="8" t="n"/>
      <c r="F164" s="8" t="n"/>
      <c r="G164" s="8" t="n"/>
      <c r="H164" s="8" t="n"/>
      <c r="I164" s="8" t="n"/>
    </row>
    <row r="165">
      <c r="B165" s="8">
        <f>IF(E165="","","EV-"&amp;TEXT(ROW()-5,"000"))</f>
        <v/>
      </c>
      <c r="C165" s="8" t="n"/>
      <c r="D165" s="8" t="n"/>
      <c r="E165" s="8" t="n"/>
      <c r="F165" s="8" t="n"/>
      <c r="G165" s="8" t="n"/>
      <c r="H165" s="8" t="n"/>
      <c r="I165" s="8" t="n"/>
    </row>
    <row r="166">
      <c r="B166" s="8">
        <f>IF(E166="","","EV-"&amp;TEXT(ROW()-5,"000"))</f>
        <v/>
      </c>
      <c r="C166" s="8" t="n"/>
      <c r="D166" s="8" t="n"/>
      <c r="E166" s="8" t="n"/>
      <c r="F166" s="8" t="n"/>
      <c r="G166" s="8" t="n"/>
      <c r="H166" s="8" t="n"/>
      <c r="I166" s="8" t="n"/>
    </row>
    <row r="167">
      <c r="B167" s="8">
        <f>IF(E167="","","EV-"&amp;TEXT(ROW()-5,"000"))</f>
        <v/>
      </c>
      <c r="C167" s="8" t="n"/>
      <c r="D167" s="8" t="n"/>
      <c r="E167" s="8" t="n"/>
      <c r="F167" s="8" t="n"/>
      <c r="G167" s="8" t="n"/>
      <c r="H167" s="8" t="n"/>
      <c r="I167" s="8" t="n"/>
    </row>
    <row r="168">
      <c r="B168" s="8">
        <f>IF(E168="","","EV-"&amp;TEXT(ROW()-5,"000"))</f>
        <v/>
      </c>
      <c r="C168" s="8" t="n"/>
      <c r="D168" s="8" t="n"/>
      <c r="E168" s="8" t="n"/>
      <c r="F168" s="8" t="n"/>
      <c r="G168" s="8" t="n"/>
      <c r="H168" s="8" t="n"/>
      <c r="I168" s="8" t="n"/>
    </row>
    <row r="169">
      <c r="B169" s="8">
        <f>IF(E169="","","EV-"&amp;TEXT(ROW()-5,"000"))</f>
        <v/>
      </c>
      <c r="C169" s="8" t="n"/>
      <c r="D169" s="8" t="n"/>
      <c r="E169" s="8" t="n"/>
      <c r="F169" s="8" t="n"/>
      <c r="G169" s="8" t="n"/>
      <c r="H169" s="8" t="n"/>
      <c r="I169" s="8" t="n"/>
    </row>
    <row r="170">
      <c r="B170" s="8">
        <f>IF(E170="","","EV-"&amp;TEXT(ROW()-5,"000"))</f>
        <v/>
      </c>
      <c r="C170" s="8" t="n"/>
      <c r="D170" s="8" t="n"/>
      <c r="E170" s="8" t="n"/>
      <c r="F170" s="8" t="n"/>
      <c r="G170" s="8" t="n"/>
      <c r="H170" s="8" t="n"/>
      <c r="I170" s="8" t="n"/>
    </row>
    <row r="171">
      <c r="B171" s="8">
        <f>IF(E171="","","EV-"&amp;TEXT(ROW()-5,"000"))</f>
        <v/>
      </c>
      <c r="C171" s="8" t="n"/>
      <c r="D171" s="8" t="n"/>
      <c r="E171" s="8" t="n"/>
      <c r="F171" s="8" t="n"/>
      <c r="G171" s="8" t="n"/>
      <c r="H171" s="8" t="n"/>
      <c r="I171" s="8" t="n"/>
    </row>
    <row r="172">
      <c r="B172" s="8">
        <f>IF(E172="","","EV-"&amp;TEXT(ROW()-5,"000"))</f>
        <v/>
      </c>
      <c r="C172" s="8" t="n"/>
      <c r="D172" s="8" t="n"/>
      <c r="E172" s="8" t="n"/>
      <c r="F172" s="8" t="n"/>
      <c r="G172" s="8" t="n"/>
      <c r="H172" s="8" t="n"/>
      <c r="I172" s="8" t="n"/>
    </row>
    <row r="173">
      <c r="B173" s="8">
        <f>IF(E173="","","EV-"&amp;TEXT(ROW()-5,"000"))</f>
        <v/>
      </c>
      <c r="C173" s="8" t="n"/>
      <c r="D173" s="8" t="n"/>
      <c r="E173" s="8" t="n"/>
      <c r="F173" s="8" t="n"/>
      <c r="G173" s="8" t="n"/>
      <c r="H173" s="8" t="n"/>
      <c r="I173" s="8" t="n"/>
    </row>
    <row r="174">
      <c r="B174" s="8">
        <f>IF(E174="","","EV-"&amp;TEXT(ROW()-5,"000"))</f>
        <v/>
      </c>
      <c r="C174" s="8" t="n"/>
      <c r="D174" s="8" t="n"/>
      <c r="E174" s="8" t="n"/>
      <c r="F174" s="8" t="n"/>
      <c r="G174" s="8" t="n"/>
      <c r="H174" s="8" t="n"/>
      <c r="I174" s="8" t="n"/>
    </row>
    <row r="175">
      <c r="B175" s="8">
        <f>IF(E175="","","EV-"&amp;TEXT(ROW()-5,"000"))</f>
        <v/>
      </c>
      <c r="C175" s="8" t="n"/>
      <c r="D175" s="8" t="n"/>
      <c r="E175" s="8" t="n"/>
      <c r="F175" s="8" t="n"/>
      <c r="G175" s="8" t="n"/>
      <c r="H175" s="8" t="n"/>
      <c r="I175" s="8" t="n"/>
    </row>
    <row r="176">
      <c r="B176" s="8">
        <f>IF(E176="","","EV-"&amp;TEXT(ROW()-5,"000"))</f>
        <v/>
      </c>
      <c r="C176" s="8" t="n"/>
      <c r="D176" s="8" t="n"/>
      <c r="E176" s="8" t="n"/>
      <c r="F176" s="8" t="n"/>
      <c r="G176" s="8" t="n"/>
      <c r="H176" s="8" t="n"/>
      <c r="I176" s="8" t="n"/>
    </row>
    <row r="177">
      <c r="B177" s="8">
        <f>IF(E177="","","EV-"&amp;TEXT(ROW()-5,"000"))</f>
        <v/>
      </c>
      <c r="C177" s="8" t="n"/>
      <c r="D177" s="8" t="n"/>
      <c r="E177" s="8" t="n"/>
      <c r="F177" s="8" t="n"/>
      <c r="G177" s="8" t="n"/>
      <c r="H177" s="8" t="n"/>
      <c r="I177" s="8" t="n"/>
    </row>
    <row r="178">
      <c r="B178" s="8">
        <f>IF(E178="","","EV-"&amp;TEXT(ROW()-5,"000"))</f>
        <v/>
      </c>
      <c r="C178" s="8" t="n"/>
      <c r="D178" s="8" t="n"/>
      <c r="E178" s="8" t="n"/>
      <c r="F178" s="8" t="n"/>
      <c r="G178" s="8" t="n"/>
      <c r="H178" s="8" t="n"/>
      <c r="I178" s="8" t="n"/>
    </row>
    <row r="179">
      <c r="B179" s="8">
        <f>IF(E179="","","EV-"&amp;TEXT(ROW()-5,"000"))</f>
        <v/>
      </c>
      <c r="C179" s="8" t="n"/>
      <c r="D179" s="8" t="n"/>
      <c r="E179" s="8" t="n"/>
      <c r="F179" s="8" t="n"/>
      <c r="G179" s="8" t="n"/>
      <c r="H179" s="8" t="n"/>
      <c r="I179" s="8" t="n"/>
    </row>
    <row r="180">
      <c r="B180" s="8">
        <f>IF(E180="","","EV-"&amp;TEXT(ROW()-5,"000"))</f>
        <v/>
      </c>
      <c r="C180" s="8" t="n"/>
      <c r="D180" s="8" t="n"/>
      <c r="E180" s="8" t="n"/>
      <c r="F180" s="8" t="n"/>
      <c r="G180" s="8" t="n"/>
      <c r="H180" s="8" t="n"/>
      <c r="I180" s="8" t="n"/>
    </row>
    <row r="181">
      <c r="B181" s="8">
        <f>IF(E181="","","EV-"&amp;TEXT(ROW()-5,"000"))</f>
        <v/>
      </c>
      <c r="C181" s="8" t="n"/>
      <c r="D181" s="8" t="n"/>
      <c r="E181" s="8" t="n"/>
      <c r="F181" s="8" t="n"/>
      <c r="G181" s="8" t="n"/>
      <c r="H181" s="8" t="n"/>
      <c r="I181" s="8" t="n"/>
    </row>
    <row r="182">
      <c r="B182" s="8">
        <f>IF(E182="","","EV-"&amp;TEXT(ROW()-5,"000"))</f>
        <v/>
      </c>
      <c r="C182" s="8" t="n"/>
      <c r="D182" s="8" t="n"/>
      <c r="E182" s="8" t="n"/>
      <c r="F182" s="8" t="n"/>
      <c r="G182" s="8" t="n"/>
      <c r="H182" s="8" t="n"/>
      <c r="I182" s="8" t="n"/>
    </row>
    <row r="183">
      <c r="B183" s="8">
        <f>IF(E183="","","EV-"&amp;TEXT(ROW()-5,"000"))</f>
        <v/>
      </c>
      <c r="C183" s="8" t="n"/>
      <c r="D183" s="8" t="n"/>
      <c r="E183" s="8" t="n"/>
      <c r="F183" s="8" t="n"/>
      <c r="G183" s="8" t="n"/>
      <c r="H183" s="8" t="n"/>
      <c r="I183" s="8" t="n"/>
    </row>
    <row r="184">
      <c r="B184" s="8">
        <f>IF(E184="","","EV-"&amp;TEXT(ROW()-5,"000"))</f>
        <v/>
      </c>
      <c r="C184" s="8" t="n"/>
      <c r="D184" s="8" t="n"/>
      <c r="E184" s="8" t="n"/>
      <c r="F184" s="8" t="n"/>
      <c r="G184" s="8" t="n"/>
      <c r="H184" s="8" t="n"/>
      <c r="I184" s="8" t="n"/>
    </row>
    <row r="185">
      <c r="B185" s="8">
        <f>IF(E185="","","EV-"&amp;TEXT(ROW()-5,"000"))</f>
        <v/>
      </c>
      <c r="C185" s="8" t="n"/>
      <c r="D185" s="8" t="n"/>
      <c r="E185" s="8" t="n"/>
      <c r="F185" s="8" t="n"/>
      <c r="G185" s="8" t="n"/>
      <c r="H185" s="8" t="n"/>
      <c r="I185" s="8" t="n"/>
    </row>
    <row r="186">
      <c r="B186" s="8">
        <f>IF(E186="","","EV-"&amp;TEXT(ROW()-5,"000"))</f>
        <v/>
      </c>
      <c r="C186" s="8" t="n"/>
      <c r="D186" s="8" t="n"/>
      <c r="E186" s="8" t="n"/>
      <c r="F186" s="8" t="n"/>
      <c r="G186" s="8" t="n"/>
      <c r="H186" s="8" t="n"/>
      <c r="I186" s="8" t="n"/>
    </row>
    <row r="187">
      <c r="B187" s="8">
        <f>IF(E187="","","EV-"&amp;TEXT(ROW()-5,"000"))</f>
        <v/>
      </c>
      <c r="C187" s="8" t="n"/>
      <c r="D187" s="8" t="n"/>
      <c r="E187" s="8" t="n"/>
      <c r="F187" s="8" t="n"/>
      <c r="G187" s="8" t="n"/>
      <c r="H187" s="8" t="n"/>
      <c r="I187" s="8" t="n"/>
    </row>
    <row r="188">
      <c r="B188" s="8">
        <f>IF(E188="","","EV-"&amp;TEXT(ROW()-5,"000"))</f>
        <v/>
      </c>
      <c r="C188" s="8" t="n"/>
      <c r="D188" s="8" t="n"/>
      <c r="E188" s="8" t="n"/>
      <c r="F188" s="8" t="n"/>
      <c r="G188" s="8" t="n"/>
      <c r="H188" s="8" t="n"/>
      <c r="I188" s="8" t="n"/>
    </row>
    <row r="189">
      <c r="B189" s="8">
        <f>IF(E189="","","EV-"&amp;TEXT(ROW()-5,"000"))</f>
        <v/>
      </c>
      <c r="C189" s="8" t="n"/>
      <c r="D189" s="8" t="n"/>
      <c r="E189" s="8" t="n"/>
      <c r="F189" s="8" t="n"/>
      <c r="G189" s="8" t="n"/>
      <c r="H189" s="8" t="n"/>
      <c r="I189" s="8" t="n"/>
    </row>
    <row r="190">
      <c r="B190" s="8">
        <f>IF(E190="","","EV-"&amp;TEXT(ROW()-5,"000"))</f>
        <v/>
      </c>
      <c r="C190" s="8" t="n"/>
      <c r="D190" s="8" t="n"/>
      <c r="E190" s="8" t="n"/>
      <c r="F190" s="8" t="n"/>
      <c r="G190" s="8" t="n"/>
      <c r="H190" s="8" t="n"/>
      <c r="I190" s="8" t="n"/>
    </row>
    <row r="191">
      <c r="B191" s="8">
        <f>IF(E191="","","EV-"&amp;TEXT(ROW()-5,"000"))</f>
        <v/>
      </c>
      <c r="C191" s="8" t="n"/>
      <c r="D191" s="8" t="n"/>
      <c r="E191" s="8" t="n"/>
      <c r="F191" s="8" t="n"/>
      <c r="G191" s="8" t="n"/>
      <c r="H191" s="8" t="n"/>
      <c r="I191" s="8" t="n"/>
    </row>
    <row r="192">
      <c r="B192" s="8">
        <f>IF(E192="","","EV-"&amp;TEXT(ROW()-5,"000"))</f>
        <v/>
      </c>
      <c r="C192" s="8" t="n"/>
      <c r="D192" s="8" t="n"/>
      <c r="E192" s="8" t="n"/>
      <c r="F192" s="8" t="n"/>
      <c r="G192" s="8" t="n"/>
      <c r="H192" s="8" t="n"/>
      <c r="I192" s="8" t="n"/>
    </row>
    <row r="193">
      <c r="B193" s="8">
        <f>IF(E193="","","EV-"&amp;TEXT(ROW()-5,"000"))</f>
        <v/>
      </c>
      <c r="C193" s="8" t="n"/>
      <c r="D193" s="8" t="n"/>
      <c r="E193" s="8" t="n"/>
      <c r="F193" s="8" t="n"/>
      <c r="G193" s="8" t="n"/>
      <c r="H193" s="8" t="n"/>
      <c r="I193" s="8" t="n"/>
    </row>
    <row r="194">
      <c r="B194" s="8">
        <f>IF(E194="","","EV-"&amp;TEXT(ROW()-5,"000"))</f>
        <v/>
      </c>
      <c r="C194" s="8" t="n"/>
      <c r="D194" s="8" t="n"/>
      <c r="E194" s="8" t="n"/>
      <c r="F194" s="8" t="n"/>
      <c r="G194" s="8" t="n"/>
      <c r="H194" s="8" t="n"/>
      <c r="I194" s="8" t="n"/>
    </row>
    <row r="195">
      <c r="B195" s="8">
        <f>IF(E195="","","EV-"&amp;TEXT(ROW()-5,"000"))</f>
        <v/>
      </c>
      <c r="C195" s="8" t="n"/>
      <c r="D195" s="8" t="n"/>
      <c r="E195" s="8" t="n"/>
      <c r="F195" s="8" t="n"/>
      <c r="G195" s="8" t="n"/>
      <c r="H195" s="8" t="n"/>
      <c r="I195" s="8" t="n"/>
    </row>
    <row r="196">
      <c r="B196" s="8">
        <f>IF(E196="","","EV-"&amp;TEXT(ROW()-5,"000"))</f>
        <v/>
      </c>
      <c r="C196" s="8" t="n"/>
      <c r="D196" s="8" t="n"/>
      <c r="E196" s="8" t="n"/>
      <c r="F196" s="8" t="n"/>
      <c r="G196" s="8" t="n"/>
      <c r="H196" s="8" t="n"/>
      <c r="I196" s="8" t="n"/>
    </row>
    <row r="197">
      <c r="B197" s="8">
        <f>IF(E197="","","EV-"&amp;TEXT(ROW()-5,"000"))</f>
        <v/>
      </c>
      <c r="C197" s="8" t="n"/>
      <c r="D197" s="8" t="n"/>
      <c r="E197" s="8" t="n"/>
      <c r="F197" s="8" t="n"/>
      <c r="G197" s="8" t="n"/>
      <c r="H197" s="8" t="n"/>
      <c r="I197" s="8" t="n"/>
    </row>
    <row r="198">
      <c r="B198" s="8">
        <f>IF(E198="","","EV-"&amp;TEXT(ROW()-5,"000"))</f>
        <v/>
      </c>
      <c r="C198" s="8" t="n"/>
      <c r="D198" s="8" t="n"/>
      <c r="E198" s="8" t="n"/>
      <c r="F198" s="8" t="n"/>
      <c r="G198" s="8" t="n"/>
      <c r="H198" s="8" t="n"/>
      <c r="I198" s="8" t="n"/>
    </row>
    <row r="199">
      <c r="B199" s="8">
        <f>IF(E199="","","EV-"&amp;TEXT(ROW()-5,"000"))</f>
        <v/>
      </c>
      <c r="C199" s="8" t="n"/>
      <c r="D199" s="8" t="n"/>
      <c r="E199" s="8" t="n"/>
      <c r="F199" s="8" t="n"/>
      <c r="G199" s="8" t="n"/>
      <c r="H199" s="8" t="n"/>
      <c r="I199" s="8" t="n"/>
    </row>
    <row r="200">
      <c r="B200" s="8">
        <f>IF(E200="","","EV-"&amp;TEXT(ROW()-5,"000"))</f>
        <v/>
      </c>
      <c r="C200" s="8" t="n"/>
      <c r="D200" s="8" t="n"/>
      <c r="E200" s="8" t="n"/>
      <c r="F200" s="8" t="n"/>
      <c r="G200" s="8" t="n"/>
      <c r="H200" s="8" t="n"/>
      <c r="I200" s="8" t="n"/>
    </row>
    <row r="201">
      <c r="B201" s="8">
        <f>IF(E201="","","EV-"&amp;TEXT(ROW()-5,"000"))</f>
        <v/>
      </c>
      <c r="C201" s="8" t="n"/>
      <c r="D201" s="8" t="n"/>
      <c r="E201" s="8" t="n"/>
      <c r="F201" s="8" t="n"/>
      <c r="G201" s="8" t="n"/>
      <c r="H201" s="8" t="n"/>
      <c r="I201" s="8" t="n"/>
    </row>
    <row r="202">
      <c r="B202" s="8">
        <f>IF(E202="","","EV-"&amp;TEXT(ROW()-5,"000"))</f>
        <v/>
      </c>
      <c r="C202" s="8" t="n"/>
      <c r="D202" s="8" t="n"/>
      <c r="E202" s="8" t="n"/>
      <c r="F202" s="8" t="n"/>
      <c r="G202" s="8" t="n"/>
      <c r="H202" s="8" t="n"/>
      <c r="I202" s="8" t="n"/>
    </row>
    <row r="203">
      <c r="B203" s="8">
        <f>IF(E203="","","EV-"&amp;TEXT(ROW()-5,"000"))</f>
        <v/>
      </c>
      <c r="C203" s="8" t="n"/>
      <c r="D203" s="8" t="n"/>
      <c r="E203" s="8" t="n"/>
      <c r="F203" s="8" t="n"/>
      <c r="G203" s="8" t="n"/>
      <c r="H203" s="8" t="n"/>
      <c r="I203" s="8" t="n"/>
    </row>
    <row r="204">
      <c r="B204" s="8">
        <f>IF(E204="","","EV-"&amp;TEXT(ROW()-5,"000"))</f>
        <v/>
      </c>
      <c r="C204" s="8" t="n"/>
      <c r="D204" s="8" t="n"/>
      <c r="E204" s="8" t="n"/>
      <c r="F204" s="8" t="n"/>
      <c r="G204" s="8" t="n"/>
      <c r="H204" s="8" t="n"/>
      <c r="I204" s="8" t="n"/>
    </row>
    <row r="205">
      <c r="B205" s="8">
        <f>IF(E205="","","EV-"&amp;TEXT(ROW()-5,"000"))</f>
        <v/>
      </c>
      <c r="C205" s="8" t="n"/>
      <c r="D205" s="8" t="n"/>
      <c r="E205" s="8" t="n"/>
      <c r="F205" s="8" t="n"/>
      <c r="G205" s="8" t="n"/>
      <c r="H205" s="8" t="n"/>
      <c r="I205" s="8"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c r="A1" s="1" t="inlineStr">
        <is>
          <t>↑</t>
        </is>
      </c>
      <c r="B1" s="2" t="inlineStr">
        <is>
          <t>SR26 sustainability reporting</t>
        </is>
      </c>
    </row>
    <row r="2">
      <c r="B2" s="3" t="inlineStr">
        <is>
          <t>Issues log</t>
        </is>
      </c>
    </row>
    <row r="4">
      <c r="B4" s="6" t="inlineStr">
        <is>
          <t>#</t>
        </is>
      </c>
      <c r="C4" s="6" t="inlineStr">
        <is>
          <t>Date raised</t>
        </is>
      </c>
      <c r="D4" s="6" t="inlineStr">
        <is>
          <t>Issue / question</t>
        </is>
      </c>
      <c r="E4" s="6" t="inlineStr">
        <is>
          <t>Impact</t>
        </is>
      </c>
      <c r="F4" s="6" t="inlineStr">
        <is>
          <t>Ref / unit</t>
        </is>
      </c>
      <c r="G4" s="6" t="inlineStr">
        <is>
          <t>Owner</t>
        </is>
      </c>
      <c r="H4" s="6" t="inlineStr">
        <is>
          <t>Proposed action</t>
        </is>
      </c>
      <c r="I4" s="6" t="inlineStr">
        <is>
          <t>Status</t>
        </is>
      </c>
    </row>
    <row r="5">
      <c r="B5" s="8" t="n">
        <v>1</v>
      </c>
      <c r="C5" s="44" t="n">
        <v>46300</v>
      </c>
      <c r="D5" s="8" t="inlineStr">
        <is>
          <t>Climate resilience maturity (CL3(a)) and Estate &amp; infrastructure indicators – confirm owner and request with Gerard.</t>
        </is>
      </c>
      <c r="E5" s="8" t="inlineStr"/>
      <c r="F5" s="8" t="inlineStr">
        <is>
          <t>CL3(a); EI1(a)–(d)</t>
        </is>
      </c>
      <c r="G5" s="8" t="inlineStr">
        <is>
          <t>Stefanus</t>
        </is>
      </c>
      <c r="H5" s="8" t="inlineStr">
        <is>
          <t>Meet Gerard</t>
        </is>
      </c>
      <c r="I5" s="8" t="inlineStr">
        <is>
          <t>Open</t>
        </is>
      </c>
    </row>
    <row r="6">
      <c r="B6" s="8" t="n">
        <v>2</v>
      </c>
      <c r="C6" s="44" t="n">
        <v>46300</v>
      </c>
      <c r="D6" s="8" t="inlineStr">
        <is>
          <t>Confirm whether CGOP, CDEP and CDSS structures have changed since the 2025 master spreadsheet stakeholder mapping.</t>
        </is>
      </c>
      <c r="E6" s="8" t="inlineStr"/>
      <c r="F6" s="8" t="inlineStr">
        <is>
          <t>Stakeholder map</t>
        </is>
      </c>
      <c r="G6" s="8" t="inlineStr">
        <is>
          <t>Stefanus</t>
        </is>
      </c>
      <c r="H6" s="8" t="inlineStr">
        <is>
          <t>Confirm with team</t>
        </is>
      </c>
      <c r="I6" s="8" t="inlineStr">
        <is>
          <t>Open</t>
        </is>
      </c>
    </row>
    <row r="7">
      <c r="B7" s="8" t="n">
        <v>3</v>
      </c>
      <c r="C7" s="44" t="n">
        <v>46300</v>
      </c>
      <c r="D7" s="8" t="inlineStr">
        <is>
          <t>Business Services split into CIOG (AI) and ESG (nature &amp; biodiversity, waste &amp; circular economy, part of quant. climate leadership) – confirm contacts.</t>
        </is>
      </c>
      <c r="E7" s="8" t="inlineStr"/>
      <c r="F7" s="8" t="inlineStr">
        <is>
          <t>CIOG; ESG</t>
        </is>
      </c>
      <c r="G7" s="8" t="inlineStr">
        <is>
          <t>TBC</t>
        </is>
      </c>
      <c r="H7" s="8" t="inlineStr">
        <is>
          <t>Confirm contacts</t>
        </is>
      </c>
      <c r="I7" s="8" t="inlineStr">
        <is>
          <t>Open</t>
        </is>
      </c>
    </row>
    <row r="8">
      <c r="B8" s="8" t="n">
        <v>4</v>
      </c>
      <c r="C8" s="44" t="n">
        <v>46300</v>
      </c>
      <c r="D8" s="8" t="inlineStr">
        <is>
          <t>Procurement sits with CFOG (RP1(a) procurement case studies routed to CFOG – Procurement although the Qual sheet names no stakeholder); estate planning centralised in CI&amp;S – requests issued centrally, not to faculties.</t>
        </is>
      </c>
      <c r="E8" s="8" t="inlineStr"/>
      <c r="F8" s="8" t="inlineStr">
        <is>
          <t>CFOG; CI&amp;S</t>
        </is>
      </c>
      <c r="G8" s="8" t="inlineStr">
        <is>
          <t>—</t>
        </is>
      </c>
      <c r="H8" s="8" t="inlineStr">
        <is>
          <t>Noted</t>
        </is>
      </c>
      <c r="I8" s="8" t="inlineStr">
        <is>
          <t>Closed</t>
        </is>
      </c>
    </row>
    <row r="9">
      <c r="B9" s="8" t="n">
        <v>5</v>
      </c>
      <c r="C9" s="44" t="n">
        <v>46300</v>
      </c>
      <c r="D9" s="8" t="inlineStr">
        <is>
          <t>Chancellery units reported separately, as SR25: AC&amp;M, MRE, GCE, Education, SaSS and Indigenous each have their own request and master tab. Alumni (EE1(d)) asked of SaSS only.</t>
        </is>
      </c>
      <c r="E9" s="8" t="inlineStr"/>
      <c r="F9" s="8" t="inlineStr">
        <is>
          <t>Stakeholder map</t>
        </is>
      </c>
      <c r="G9" s="8" t="inlineStr">
        <is>
          <t>Stefanus</t>
        </is>
      </c>
      <c r="H9" s="8" t="inlineStr">
        <is>
          <t>Confirm contacts</t>
        </is>
      </c>
      <c r="I9" s="8" t="inlineStr">
        <is>
          <t>Closed</t>
        </is>
      </c>
    </row>
    <row r="10">
      <c r="B10" s="8" t="n">
        <v>6</v>
      </c>
      <c r="C10" s="44" t="n">
        <v>46300</v>
      </c>
      <c r="D10" s="8" t="inlineStr">
        <is>
          <t>Faculty requests cut down after ABP walkthrough: EE1(a)+(c) merged; CL2(a)/(c) to AC&amp;M only; TR1(b)–(d) and TR3(a)/(c)/(d) to MRE only; EN1(d) not asked of faculties; EE1(d) to SaSS only. Wattle Fellowship to be asked directly (not tracked in master).</t>
        </is>
      </c>
      <c r="E10" s="8" t="inlineStr"/>
      <c r="F10" s="8" t="inlineStr">
        <is>
          <t>Faculties</t>
        </is>
      </c>
      <c r="G10" s="8" t="inlineStr">
        <is>
          <t>Stefanus</t>
        </is>
      </c>
      <c r="H10" s="8" t="inlineStr">
        <is>
          <t>Confirm with team; apply to other faculties</t>
        </is>
      </c>
      <c r="I10" s="8" t="inlineStr">
        <is>
          <t>Open</t>
        </is>
      </c>
    </row>
    <row r="11">
      <c r="B11" s="8" t="n">
        <v>7</v>
      </c>
      <c r="C11" s="44" t="n">
        <v>46300</v>
      </c>
      <c r="D11" s="8" t="inlineStr">
        <is>
          <t>Legal &amp; Risk asked for climate resilience maturity CL3(a), following SR25 (8a(i)/(ii): University Risk 16 Climate Change; flood emergency response plans). CL3(a) is also with CI&amp;S (Gerard) – agree who leads.</t>
        </is>
      </c>
      <c r="E11" s="8" t="inlineStr"/>
      <c r="F11" s="8" t="inlineStr">
        <is>
          <t>CL3(a); L&amp;R; CI&amp;S</t>
        </is>
      </c>
      <c r="G11" s="8" t="inlineStr">
        <is>
          <t>Stefanus</t>
        </is>
      </c>
      <c r="H11" s="8" t="inlineStr">
        <is>
          <t>Confirm with Gerard</t>
        </is>
      </c>
      <c r="I11" s="8" t="inlineStr">
        <is>
          <t>Open</t>
        </is>
      </c>
    </row>
    <row r="12">
      <c r="B12" s="8" t="n">
        <v>8</v>
      </c>
      <c r="C12" s="44" t="n">
        <v>46300</v>
      </c>
      <c r="D12" s="8" t="inlineStr">
        <is>
          <t>TR2(b) 'Documented progress of strategic initiatives, incl. Impact Accelerators' reuses the TR2(d) case-study wording and has no stakeholder in the Qual sheet – left as-is.</t>
        </is>
      </c>
      <c r="E12" s="8" t="inlineStr"/>
      <c r="F12" s="8" t="inlineStr">
        <is>
          <t>TR2(b)</t>
        </is>
      </c>
      <c r="G12" s="8" t="inlineStr">
        <is>
          <t>TBC</t>
        </is>
      </c>
      <c r="H12" s="8" t="inlineStr">
        <is>
          <t>Review wording/owner</t>
        </is>
      </c>
      <c r="I12" s="8" t="inlineStr">
        <is>
          <t>Open</t>
        </is>
      </c>
    </row>
    <row r="13">
      <c r="B13" s="8" t="n">
        <v>9</v>
      </c>
      <c r="C13" s="44" t="n">
        <v>46300</v>
      </c>
      <c r="D13" s="8" t="inlineStr">
        <is>
          <t>Quantitative-only rows (no stakeholder in the Qual sheet) removed from the requirements matrix and moved to '2. Quant coverage'; Databook gaps requested in Tab 4 of the owning central unit's request.</t>
        </is>
      </c>
      <c r="E13" s="8" t="inlineStr"/>
      <c r="F13" s="8" t="inlineStr">
        <is>
          <t>TR2(b); CL1(a)-(b); CL2(b); NB1(a); CE1-2; RP2; RI1(a)</t>
        </is>
      </c>
      <c r="G13" s="8" t="inlineStr">
        <is>
          <t>Stefanus</t>
        </is>
      </c>
      <c r="H13" s="8" t="inlineStr">
        <is>
          <t>Confirm owners and Databook coverage with Chris</t>
        </is>
      </c>
      <c r="I13" s="8" t="inlineStr">
        <is>
          <t>Open</t>
        </is>
      </c>
    </row>
    <row r="14">
      <c r="B14" s="8" t="n">
        <v>10</v>
      </c>
      <c r="C14" s="44" t="n">
        <v>46300</v>
      </c>
      <c r="D14" s="8" t="inlineStr">
        <is>
          <t>No target status rating requested in 2026 (Rose): rating column removed from all requests; A1 now summarises responses instead of scoring.</t>
        </is>
      </c>
      <c r="E14" s="8" t="inlineStr"/>
      <c r="F14" s="8" t="inlineStr">
        <is>
          <t>All</t>
        </is>
      </c>
      <c r="G14" s="8" t="inlineStr">
        <is>
          <t>Director, Sustainability</t>
        </is>
      </c>
      <c r="H14" s="8" t="inlineStr">
        <is>
          <t>Revisit for 2027 with the new traffic-light framework</t>
        </is>
      </c>
      <c r="I14" s="8" t="inlineStr">
        <is>
          <t>Closed</t>
        </is>
      </c>
    </row>
    <row r="15">
      <c r="B15" s="8" t="n">
        <v>11</v>
      </c>
      <c r="C15" s="44" t="n">
        <v>46300</v>
      </c>
      <c r="D15" s="8" t="inlineStr">
        <is>
          <t>Timeline updated to the team plan: requests issued W1 Nov, responses and stories due 15 Dec 2026, first review W3 Dec, follow-up W3–W4 Dec, consolidation W4 Dec. Databook figures given by 15 Dec are provisional; final figures confirmed Jan–Feb.</t>
        </is>
      </c>
      <c r="E15" s="8" t="inlineStr"/>
      <c r="F15" s="8" t="inlineStr">
        <is>
          <t>All</t>
        </is>
      </c>
      <c r="G15" s="8" t="inlineStr">
        <is>
          <t>Stefanus</t>
        </is>
      </c>
      <c r="H15" s="8" t="inlineStr">
        <is>
          <t>Confirm exact issue date and CDSS contact</t>
        </is>
      </c>
      <c r="I15" s="8" t="inlineStr">
        <is>
          <t>Open</t>
        </is>
      </c>
    </row>
    <row r="16">
      <c r="B16" s="8" t="n">
        <v>12</v>
      </c>
      <c r="C16" s="44" t="n">
        <v>46300</v>
      </c>
      <c r="D16" s="8" t="inlineStr">
        <is>
          <t>20 indicators are requested from each faculty (SR25 sent 10). Monitor burden in pilot.</t>
        </is>
      </c>
      <c r="E16" s="8" t="inlineStr"/>
      <c r="F16" s="8" t="inlineStr">
        <is>
          <t>Faculties</t>
        </is>
      </c>
      <c r="G16" s="8" t="inlineStr">
        <is>
          <t>TBC</t>
        </is>
      </c>
      <c r="H16" s="8" t="inlineStr">
        <is>
          <t>Review after pilot</t>
        </is>
      </c>
      <c r="I16" s="8" t="inlineStr">
        <is>
          <t>Open</t>
        </is>
      </c>
    </row>
    <row r="17">
      <c r="B17" s="8" t="n"/>
      <c r="C17" s="8" t="n"/>
      <c r="D17" s="8" t="n"/>
      <c r="E17" s="8" t="n"/>
      <c r="F17" s="8" t="n"/>
      <c r="G17" s="8" t="n"/>
      <c r="H17" s="8" t="n"/>
      <c r="I17" s="8" t="n"/>
    </row>
    <row r="18">
      <c r="B18" s="8" t="n"/>
      <c r="C18" s="8" t="n"/>
      <c r="D18" s="8" t="n"/>
      <c r="E18" s="8" t="n"/>
      <c r="F18" s="8" t="n"/>
      <c r="G18" s="8" t="n"/>
      <c r="H18" s="8" t="n"/>
      <c r="I18" s="8" t="n"/>
    </row>
    <row r="19">
      <c r="B19" s="8" t="n"/>
      <c r="C19" s="8" t="n"/>
      <c r="D19" s="8" t="n"/>
      <c r="E19" s="8" t="n"/>
      <c r="F19" s="8" t="n"/>
      <c r="G19" s="8" t="n"/>
      <c r="H19" s="8" t="n"/>
      <c r="I19" s="8" t="n"/>
    </row>
    <row r="20">
      <c r="B20" s="8" t="n"/>
      <c r="C20" s="8" t="n"/>
      <c r="D20" s="8" t="n"/>
      <c r="E20" s="8" t="n"/>
      <c r="F20" s="8" t="n"/>
      <c r="G20" s="8" t="n"/>
      <c r="H20" s="8" t="n"/>
      <c r="I20" s="8" t="n"/>
    </row>
    <row r="21">
      <c r="B21" s="8" t="n"/>
      <c r="C21" s="8" t="n"/>
      <c r="D21" s="8" t="n"/>
      <c r="E21" s="8" t="n"/>
      <c r="F21" s="8" t="n"/>
      <c r="G21" s="8" t="n"/>
      <c r="H21" s="8" t="n"/>
      <c r="I21" s="8" t="n"/>
    </row>
    <row r="22">
      <c r="B22" s="8" t="n"/>
      <c r="C22" s="8" t="n"/>
      <c r="D22" s="8" t="n"/>
      <c r="E22" s="8" t="n"/>
      <c r="F22" s="8" t="n"/>
      <c r="G22" s="8" t="n"/>
      <c r="H22" s="8" t="n"/>
      <c r="I22" s="8" t="n"/>
    </row>
    <row r="23">
      <c r="B23" s="8" t="n"/>
      <c r="C23" s="8" t="n"/>
      <c r="D23" s="8" t="n"/>
      <c r="E23" s="8" t="n"/>
      <c r="F23" s="8" t="n"/>
      <c r="G23" s="8" t="n"/>
      <c r="H23" s="8" t="n"/>
      <c r="I23" s="8" t="n"/>
    </row>
    <row r="24">
      <c r="B24" s="8" t="n"/>
      <c r="C24" s="8" t="n"/>
      <c r="D24" s="8" t="n"/>
      <c r="E24" s="8" t="n"/>
      <c r="F24" s="8" t="n"/>
      <c r="G24" s="8" t="n"/>
      <c r="H24" s="8" t="n"/>
      <c r="I24" s="8" t="n"/>
    </row>
    <row r="25">
      <c r="B25" s="8" t="n"/>
      <c r="C25" s="8" t="n"/>
      <c r="D25" s="8" t="n"/>
      <c r="E25" s="8" t="n"/>
      <c r="F25" s="8" t="n"/>
      <c r="G25" s="8" t="n"/>
      <c r="H25" s="8" t="n"/>
      <c r="I25" s="8" t="n"/>
    </row>
    <row r="26">
      <c r="B26" s="8" t="n"/>
      <c r="C26" s="8" t="n"/>
      <c r="D26" s="8" t="n"/>
      <c r="E26" s="8" t="n"/>
      <c r="F26" s="8" t="n"/>
      <c r="G26" s="8" t="n"/>
      <c r="H26" s="8" t="n"/>
      <c r="I26" s="8" t="n"/>
    </row>
    <row r="27">
      <c r="B27" s="8" t="n"/>
      <c r="C27" s="8" t="n"/>
      <c r="D27" s="8" t="n"/>
      <c r="E27" s="8" t="n"/>
      <c r="F27" s="8" t="n"/>
      <c r="G27" s="8" t="n"/>
      <c r="H27" s="8" t="n"/>
      <c r="I27" s="8" t="n"/>
    </row>
    <row r="28">
      <c r="B28" s="8" t="n"/>
      <c r="C28" s="8" t="n"/>
      <c r="D28" s="8" t="n"/>
      <c r="E28" s="8" t="n"/>
      <c r="F28" s="8" t="n"/>
      <c r="G28" s="8" t="n"/>
      <c r="H28" s="8" t="n"/>
      <c r="I28" s="8" t="n"/>
    </row>
    <row r="29">
      <c r="B29" s="8" t="n"/>
      <c r="C29" s="8" t="n"/>
      <c r="D29" s="8" t="n"/>
      <c r="E29" s="8" t="n"/>
      <c r="F29" s="8" t="n"/>
      <c r="G29" s="8" t="n"/>
      <c r="H29" s="8" t="n"/>
      <c r="I29" s="8" t="n"/>
    </row>
    <row r="30">
      <c r="B30" s="8" t="n"/>
      <c r="C30" s="8" t="n"/>
      <c r="D30" s="8" t="n"/>
      <c r="E30" s="8" t="n"/>
      <c r="F30" s="8" t="n"/>
      <c r="G30" s="8" t="n"/>
      <c r="H30" s="8" t="n"/>
      <c r="I30" s="8" t="n"/>
    </row>
    <row r="31">
      <c r="B31" s="8" t="n"/>
      <c r="C31" s="8" t="n"/>
      <c r="D31" s="8" t="n"/>
      <c r="E31" s="8" t="n"/>
      <c r="F31" s="8" t="n"/>
      <c r="G31" s="8" t="n"/>
      <c r="H31" s="8" t="n"/>
      <c r="I31" s="8" t="n"/>
    </row>
    <row r="32">
      <c r="B32" s="8" t="n"/>
      <c r="C32" s="8" t="n"/>
      <c r="D32" s="8" t="n"/>
      <c r="E32" s="8" t="n"/>
      <c r="F32" s="8" t="n"/>
      <c r="G32" s="8" t="n"/>
      <c r="H32" s="8" t="n"/>
      <c r="I32" s="8" t="n"/>
    </row>
    <row r="33">
      <c r="B33" s="8" t="n"/>
      <c r="C33" s="8" t="n"/>
      <c r="D33" s="8" t="n"/>
      <c r="E33" s="8" t="n"/>
      <c r="F33" s="8" t="n"/>
      <c r="G33" s="8" t="n"/>
      <c r="H33" s="8" t="n"/>
      <c r="I33" s="8" t="n"/>
    </row>
    <row r="34">
      <c r="B34" s="8" t="n"/>
      <c r="C34" s="8" t="n"/>
      <c r="D34" s="8" t="n"/>
      <c r="E34" s="8" t="n"/>
      <c r="F34" s="8" t="n"/>
      <c r="G34" s="8" t="n"/>
      <c r="H34" s="8" t="n"/>
      <c r="I34" s="8" t="n"/>
    </row>
    <row r="35">
      <c r="B35" s="8" t="n"/>
      <c r="C35" s="8" t="n"/>
      <c r="D35" s="8" t="n"/>
      <c r="E35" s="8" t="n"/>
      <c r="F35" s="8" t="n"/>
      <c r="G35" s="8" t="n"/>
      <c r="H35" s="8" t="n"/>
      <c r="I35" s="8" t="n"/>
    </row>
    <row r="36">
      <c r="B36" s="8" t="n"/>
      <c r="C36" s="8" t="n"/>
      <c r="D36" s="8" t="n"/>
      <c r="E36" s="8" t="n"/>
      <c r="F36" s="8" t="n"/>
      <c r="G36" s="8" t="n"/>
      <c r="H36" s="8" t="n"/>
      <c r="I36" s="8" t="n"/>
    </row>
    <row r="37">
      <c r="B37" s="8" t="n"/>
      <c r="C37" s="8" t="n"/>
      <c r="D37" s="8" t="n"/>
      <c r="E37" s="8" t="n"/>
      <c r="F37" s="8" t="n"/>
      <c r="G37" s="8" t="n"/>
      <c r="H37" s="8" t="n"/>
      <c r="I37" s="8" t="n"/>
    </row>
    <row r="38">
      <c r="B38" s="8" t="n"/>
      <c r="C38" s="8" t="n"/>
      <c r="D38" s="8" t="n"/>
      <c r="E38" s="8" t="n"/>
      <c r="F38" s="8" t="n"/>
      <c r="G38" s="8" t="n"/>
      <c r="H38" s="8" t="n"/>
      <c r="I38" s="8" t="n"/>
    </row>
    <row r="39">
      <c r="B39" s="8" t="n"/>
      <c r="C39" s="8" t="n"/>
      <c r="D39" s="8" t="n"/>
      <c r="E39" s="8" t="n"/>
      <c r="F39" s="8" t="n"/>
      <c r="G39" s="8" t="n"/>
      <c r="H39" s="8" t="n"/>
      <c r="I39" s="8"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B1:L13"/>
  <sheetViews>
    <sheetView workbookViewId="0">
      <selection activeCell="A1" sqref="A1"/>
    </sheetView>
  </sheetViews>
  <sheetFormatPr baseColWidth="8" defaultRowHeight="15"/>
  <sheetData>
    <row r="1">
      <c r="B1" t="inlineStr">
        <is>
          <t>(not used – no target status rating in 2026)</t>
        </is>
      </c>
      <c r="C1" t="inlineStr">
        <is>
          <t>Data owner confirms</t>
        </is>
      </c>
      <c r="D1" t="inlineStr">
        <is>
          <t>Request status</t>
        </is>
      </c>
      <c r="E1" t="inlineStr">
        <is>
          <t>Y/N</t>
        </is>
      </c>
      <c r="L1" t="inlineStr">
        <is>
          <t>Priority area</t>
        </is>
      </c>
    </row>
    <row r="2">
      <c r="B2" t="inlineStr">
        <is>
          <t>Please select from dropdown</t>
        </is>
      </c>
      <c r="C2" t="inlineStr">
        <is>
          <t>Yes</t>
        </is>
      </c>
      <c r="D2" t="inlineStr">
        <is>
          <t>Not sent</t>
        </is>
      </c>
      <c r="E2" t="inlineStr">
        <is>
          <t>Yes</t>
        </is>
      </c>
      <c r="L2" t="inlineStr">
        <is>
          <t>Exceptional education</t>
        </is>
      </c>
    </row>
    <row r="3">
      <c r="C3" t="inlineStr">
        <is>
          <t>No</t>
        </is>
      </c>
      <c r="D3" t="inlineStr">
        <is>
          <t>Sent</t>
        </is>
      </c>
      <c r="E3" t="inlineStr">
        <is>
          <t>No</t>
        </is>
      </c>
      <c r="L3" t="inlineStr">
        <is>
          <t>Transformational research</t>
        </is>
      </c>
    </row>
    <row r="4">
      <c r="C4" t="inlineStr">
        <is>
          <t>Partially – see comments</t>
        </is>
      </c>
      <c r="D4" t="inlineStr">
        <is>
          <t>1:1 meeting</t>
        </is>
      </c>
      <c r="E4" t="inlineStr">
        <is>
          <t>TBC</t>
        </is>
      </c>
      <c r="L4" t="inlineStr">
        <is>
          <t>Climate leadership</t>
        </is>
      </c>
    </row>
    <row r="5">
      <c r="D5" t="inlineStr">
        <is>
          <t>Received</t>
        </is>
      </c>
      <c r="L5" t="inlineStr">
        <is>
          <t>Nature and biodiversity</t>
        </is>
      </c>
    </row>
    <row r="6">
      <c r="D6" t="inlineStr">
        <is>
          <t>First review</t>
        </is>
      </c>
      <c r="L6" t="inlineStr">
        <is>
          <t>Responsible AI</t>
        </is>
      </c>
    </row>
    <row r="7">
      <c r="D7" t="inlineStr">
        <is>
          <t>Follow-up</t>
        </is>
      </c>
      <c r="L7" t="inlineStr">
        <is>
          <t>Estate and infrastructure</t>
        </is>
      </c>
    </row>
    <row r="8">
      <c r="D8" t="inlineStr">
        <is>
          <t>Complete</t>
        </is>
      </c>
      <c r="L8" t="inlineStr">
        <is>
          <t>Circular economy</t>
        </is>
      </c>
    </row>
    <row r="9">
      <c r="D9" t="inlineStr">
        <is>
          <t>Not required</t>
        </is>
      </c>
      <c r="L9" t="inlineStr">
        <is>
          <t>Responsible procurement</t>
        </is>
      </c>
    </row>
    <row r="10">
      <c r="L10" t="inlineStr">
        <is>
          <t>Modern slavery and human rights</t>
        </is>
      </c>
    </row>
    <row r="11">
      <c r="L11" t="inlineStr">
        <is>
          <t>Responsible investments</t>
        </is>
      </c>
    </row>
    <row r="12">
      <c r="L12" t="inlineStr">
        <is>
          <t>Enablers</t>
        </is>
      </c>
    </row>
    <row r="13">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2026-10-07T02:11:06Z</dcterms:created>
  <dcterms:modified xmlns:dcterms="http://purl.org/dc/terms/" xmlns:xsi="http://www.w3.org/2001/XMLSchema-instance" xsi:type="dcterms:W3CDTF">2026-10-07T02:11:25Z</dcterms:modified>
</cp:coreProperties>
</file>