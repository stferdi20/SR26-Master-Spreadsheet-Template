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L&amp;R" sheetId="12" state="visible" r:id="rId12"/>
    <sheet xmlns:r="http://schemas.openxmlformats.org/officeDocument/2006/relationships" name="A1. Data scoring" sheetId="13" state="visible" r:id="rId13"/>
    <sheet xmlns:r="http://schemas.openxmlformats.org/officeDocument/2006/relationships" name="0.5 Target Check" sheetId="14" state="visible" r:id="rId14"/>
    <sheet xmlns:r="http://schemas.openxmlformats.org/officeDocument/2006/relationships" name="T2. Single target review" sheetId="15" state="visible" r:id="rId15"/>
    <sheet xmlns:r="http://schemas.openxmlformats.org/officeDocument/2006/relationships" name="Request wording log" sheetId="16" state="visible" r:id="rId16"/>
    <sheet xmlns:r="http://schemas.openxmlformats.org/officeDocument/2006/relationships" name="Highlighted stories" sheetId="17" state="visible" r:id="rId17"/>
    <sheet xmlns:r="http://schemas.openxmlformats.org/officeDocument/2006/relationships" name="Evidence register" sheetId="18" state="visible" r:id="rId18"/>
    <sheet xmlns:r="http://schemas.openxmlformats.org/officeDocument/2006/relationships" name="Issues log" sheetId="19" state="visible" r:id="rId19"/>
    <sheet xmlns:r="http://schemas.openxmlformats.org/officeDocument/2006/relationships" name="P0 Project overview" sheetId="20" state="visible" r:id="rId20"/>
    <sheet xmlns:r="http://schemas.openxmlformats.org/officeDocument/2006/relationships" name="P1 Project plan" sheetId="21" state="visible" r:id="rId21"/>
    <sheet xmlns:r="http://schemas.openxmlformats.org/officeDocument/2006/relationships" name="P2 Timeline &amp; RASCI" sheetId="22" state="visible" r:id="rId22"/>
    <sheet xmlns:r="http://schemas.openxmlformats.org/officeDocument/2006/relationships" name="P3 To do – comms+web" sheetId="23" state="visible" r:id="rId23"/>
    <sheet xmlns:r="http://schemas.openxmlformats.org/officeDocument/2006/relationships" name="P4 Content checklist" sheetId="24" state="visible" r:id="rId24"/>
    <sheet xmlns:r="http://schemas.openxmlformats.org/officeDocument/2006/relationships" name="P5 SR26 page index" sheetId="25" state="visible" r:id="rId25"/>
    <sheet xmlns:r="http://schemas.openxmlformats.org/officeDocument/2006/relationships" name="Lists" sheetId="26" state="hidden" r:id="rId26"/>
  </sheets>
  <definedNames>
    <definedName name="_xlnm._FilterDatabase" localSheetId="1" hidden="1">'1. Requirements matrix'!$B$5:$P$53</definedName>
    <definedName name="_xlnm._FilterDatabase" localSheetId="12" hidden="1">'A1. Data scoring'!$B$10:$AF$298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1">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b val="1"/>
      <sz val="14"/>
    </font>
    <font>
      <name val="Aptos"/>
      <b val="1"/>
      <color rgb="00002060"/>
      <sz val="13"/>
    </font>
    <font>
      <name val="Aptos"/>
      <b val="1"/>
      <color rgb="00FFFFFF"/>
      <sz val="8"/>
    </font>
  </fonts>
  <fills count="10">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
      <patternFill patternType="solid">
        <fgColor rgb="00D9D9D9"/>
      </patternFill>
    </fill>
    <fill>
      <patternFill patternType="solid">
        <fgColor rgb="00156082"/>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17" fillId="0" borderId="0" pivotButton="0" quotePrefix="0" xfId="0"/>
    <xf numFmtId="0" fontId="8" fillId="7" borderId="1" applyAlignment="1" pivotButton="0" quotePrefix="0" xfId="0">
      <alignment vertical="top"/>
    </xf>
    <xf numFmtId="0" fontId="8" fillId="6" borderId="1" applyAlignment="1" pivotButton="0" quotePrefix="0" xfId="0">
      <alignment vertical="top" wrapText="1"/>
    </xf>
    <xf numFmtId="2" fontId="8" fillId="6" borderId="1" applyAlignment="1" pivotButton="0" quotePrefix="0" xfId="0">
      <alignment vertical="top" wrapText="1"/>
    </xf>
    <xf numFmtId="9" fontId="8" fillId="6" borderId="1" applyAlignment="1" pivotButton="0" quotePrefix="0" xfId="0">
      <alignment vertical="top" wrapText="1"/>
    </xf>
    <xf numFmtId="0" fontId="7" fillId="0" borderId="1" applyAlignment="1" pivotButton="0" quotePrefix="0" xfId="0">
      <alignment vertical="top" wrapText="1"/>
    </xf>
    <xf numFmtId="0" fontId="18" fillId="4" borderId="2" pivotButton="0" quotePrefix="0" xfId="0"/>
    <xf numFmtId="0" fontId="4" fillId="2" borderId="1" pivotButton="0" quotePrefix="0" xfId="0"/>
    <xf numFmtId="0" fontId="0" fillId="0" borderId="1" applyAlignment="1" pivotButton="0" quotePrefix="0" xfId="0">
      <alignment vertical="top" wrapText="1"/>
    </xf>
    <xf numFmtId="0" fontId="11" fillId="0" borderId="0" applyAlignment="1" pivotButton="0" quotePrefix="0" xfId="0">
      <alignment vertical="top" wrapText="1"/>
    </xf>
    <xf numFmtId="0" fontId="19" fillId="0" borderId="0" pivotButton="0" quotePrefix="0" xfId="0"/>
    <xf numFmtId="9" fontId="19" fillId="0" borderId="0" pivotButton="0" quotePrefix="0" xfId="0"/>
    <xf numFmtId="0" fontId="7" fillId="8" borderId="1" applyAlignment="1" pivotButton="0" quotePrefix="0" xfId="0">
      <alignment vertical="top" wrapText="1"/>
    </xf>
    <xf numFmtId="0" fontId="8"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8" fillId="7" borderId="1" applyAlignment="1" pivotButton="0" quotePrefix="0" xfId="0">
      <alignment vertical="top" wrapText="1"/>
    </xf>
    <xf numFmtId="16" fontId="20" fillId="2" borderId="0" applyAlignment="1" pivotButton="0" quotePrefix="0" xfId="0">
      <alignment horizontal="center" textRotation="90"/>
    </xf>
    <xf numFmtId="0" fontId="4" fillId="9" borderId="0" pivotButton="0" quotePrefix="0" xfId="0"/>
    <xf numFmtId="0" fontId="0" fillId="9" borderId="0" pivotButton="0" quotePrefix="0" xfId="0"/>
  </cellXfs>
  <cellStyles count="1">
    <cellStyle name="Normal" xfId="0" builtinId="0" hidden="0"/>
  </cellStyles>
  <dxfs count="2">
    <dxf>
      <font>
        <color rgb="00FFC000"/>
      </font>
      <fill>
        <patternFill patternType="solid">
          <fgColor rgb="00FFC000"/>
        </patternFill>
      </fill>
    </dxf>
    <dxf>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6 central units (CI&amp;S, CFOG, ESG, CIOG, MRE, Legal &amp; Risk).</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345"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L&amp;R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P0–P5 – project tabs: overview &amp; SR25 lessons, plan on a page, timeline/RASCI Gantt, comms+web to-do, content checklist, page index</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12" customWidth="1" min="16" max="16"/>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H15" s="8" t="inlineStr"/>
      <c r="I15" s="8" t="inlineStr">
        <is>
          <t>TBC – no owner identified</t>
        </is>
      </c>
      <c r="J15" s="8" t="inlineStr"/>
      <c r="K15" s="8" t="inlineStr">
        <is>
          <t>Both</t>
        </is>
      </c>
      <c r="L15" s="8" t="inlineStr">
        <is>
          <t>No</t>
        </is>
      </c>
      <c r="M15" s="8" t="inlineStr">
        <is>
          <t>documented progress imply that university have good governance over the management of initiatives and therefore could provide percentage of milestone completion</t>
        </is>
      </c>
      <c r="N15" s="8" t="inlineStr"/>
      <c r="O15" s="8" t="inlineStr">
        <is>
          <t>Databook / central data owner</t>
        </is>
      </c>
      <c r="P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currently mapped to the SDGs using SciVal</t>
        </is>
      </c>
      <c r="H16" s="8" t="inlineStr">
        <is>
          <t>MRE</t>
        </is>
      </c>
      <c r="I16" s="8" t="inlineStr">
        <is>
          <t>MRE</t>
        </is>
      </c>
      <c r="J16" s="8" t="inlineStr"/>
      <c r="K16" s="8" t="inlineStr">
        <is>
          <t>Both</t>
        </is>
      </c>
      <c r="L16" s="8" t="inlineStr">
        <is>
          <t>No</t>
        </is>
      </c>
      <c r="M16" s="8" t="inlineStr"/>
      <c r="N16" s="8" t="inlineStr"/>
      <c r="O16" s="8" t="inlineStr">
        <is>
          <t>Tailored request</t>
        </is>
      </c>
      <c r="P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7" s="8" t="inlineStr">
        <is>
          <t>Faculties, CI&amp;S</t>
        </is>
      </c>
      <c r="I17" s="8" t="inlineStr">
        <is>
          <t>Faculties (pilot), CI&amp;S</t>
        </is>
      </c>
      <c r="J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7" s="8" t="inlineStr">
        <is>
          <t>Both</t>
        </is>
      </c>
      <c r="L17" s="8" t="inlineStr">
        <is>
          <t>No</t>
        </is>
      </c>
      <c r="M17" s="8" t="inlineStr"/>
      <c r="N17" s="8" t="inlineStr">
        <is>
          <t>5b(i)</t>
        </is>
      </c>
      <c r="O17" s="8" t="inlineStr">
        <is>
          <t>Tailored request</t>
        </is>
      </c>
      <c r="P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Please describe how sustainability considerations are integrated into research systems, planning processes, guidance, training, induction or support services within your Faculty/Portfolio, could include examples of any new or improved processes.</t>
        </is>
      </c>
      <c r="H18" s="8" t="inlineStr">
        <is>
          <t>Faculties, CI&amp;S</t>
        </is>
      </c>
      <c r="I18" s="8" t="inlineStr">
        <is>
          <t>Faculties (pilot), CI&amp;S</t>
        </is>
      </c>
      <c r="J18" s="8" t="inlineStr"/>
      <c r="K18" s="8" t="inlineStr">
        <is>
          <t>Both</t>
        </is>
      </c>
      <c r="L18" s="8" t="inlineStr">
        <is>
          <t>No</t>
        </is>
      </c>
      <c r="M18" s="8" t="inlineStr"/>
      <c r="N18" s="8" t="inlineStr">
        <is>
          <t>5c(ii)</t>
        </is>
      </c>
      <c r="O18" s="8" t="inlineStr">
        <is>
          <t>Tailored request</t>
        </is>
      </c>
      <c r="P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9" s="8" t="inlineStr">
        <is>
          <t>Faculties, CI&amp;S, CFOG</t>
        </is>
      </c>
      <c r="I19" s="8" t="inlineStr">
        <is>
          <t>Faculties (pilot), CI&amp;S, CFOG</t>
        </is>
      </c>
      <c r="J19" s="8" t="inlineStr"/>
      <c r="K19" s="8" t="inlineStr">
        <is>
          <t>Both</t>
        </is>
      </c>
      <c r="L19" s="8" t="inlineStr">
        <is>
          <t>No</t>
        </is>
      </c>
      <c r="M19" s="8" t="inlineStr"/>
      <c r="N19" s="8" t="inlineStr">
        <is>
          <t>5c(ii)</t>
        </is>
      </c>
      <c r="O19" s="8" t="inlineStr">
        <is>
          <t>Tailored request</t>
        </is>
      </c>
      <c r="P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20" s="8" t="inlineStr">
        <is>
          <t>Faculties</t>
        </is>
      </c>
      <c r="I20" s="8" t="inlineStr">
        <is>
          <t>Faculties (pilot)</t>
        </is>
      </c>
      <c r="J20" s="8" t="inlineStr">
        <is>
          <t>Melbourne Research and Enterprise (Nishi Raja-Stranger; Ivan Marusic) - MRE will be a key reporter for all research targets.</t>
        </is>
      </c>
      <c r="K20" s="8" t="inlineStr">
        <is>
          <t>Both</t>
        </is>
      </c>
      <c r="L20" s="8" t="inlineStr">
        <is>
          <t>No</t>
        </is>
      </c>
      <c r="M20" s="8" t="inlineStr"/>
      <c r="N20" s="8" t="inlineStr"/>
      <c r="O20" s="8" t="inlineStr">
        <is>
          <t>Tailored request</t>
        </is>
      </c>
      <c r="P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Faculty/Portfolio’s assessment of progress in embedding sustainable research practices, highlighting areas of strong progress, remaining gaps and priority actions for further improvement.</t>
        </is>
      </c>
      <c r="H21" s="8" t="inlineStr">
        <is>
          <t>Faculties</t>
        </is>
      </c>
      <c r="I21" s="8" t="inlineStr">
        <is>
          <t>Faculties (pilot)</t>
        </is>
      </c>
      <c r="J21" s="8" t="inlineStr"/>
      <c r="K21" s="8" t="inlineStr">
        <is>
          <t>Both</t>
        </is>
      </c>
      <c r="L21" s="8" t="inlineStr">
        <is>
          <t>No</t>
        </is>
      </c>
      <c r="M21" s="8" t="inlineStr"/>
      <c r="N21" s="8" t="inlineStr"/>
      <c r="O21" s="8" t="inlineStr">
        <is>
          <t>Tailored request</t>
        </is>
      </c>
      <c r="P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Total scope 1,2 and 3 emissions (tCO2-e); emissions by scope; % reduction from previous baseline; % renewable electircity produced</t>
        </is>
      </c>
      <c r="H22" s="8" t="inlineStr"/>
      <c r="I22" s="8" t="inlineStr">
        <is>
          <t>TBC – no owner identified</t>
        </is>
      </c>
      <c r="J22" s="8" t="inlineStr"/>
      <c r="K22" s="8" t="inlineStr">
        <is>
          <t>Both</t>
        </is>
      </c>
      <c r="L22" s="8" t="inlineStr">
        <is>
          <t>No</t>
        </is>
      </c>
      <c r="M22" s="8" t="inlineStr">
        <is>
          <t>Directly measures progress against the stated emission reduction targets and allows annual comparison against the baseline and trajectory</t>
        </is>
      </c>
      <c r="N22" s="8" t="inlineStr"/>
      <c r="O22" s="8" t="inlineStr">
        <is>
          <t>Databook / central data owner</t>
        </is>
      </c>
      <c r="P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Greenhouse gas emissions by FTE, EFTSL, and Gross floor area (https://www.unimelb.edu.au/sustainabilityreport/2025/data-tables#GHGe-scope)</t>
        </is>
      </c>
      <c r="H23" s="8" t="inlineStr"/>
      <c r="I23" s="8" t="inlineStr">
        <is>
          <t>TBC – no owner identified</t>
        </is>
      </c>
      <c r="J23" s="8" t="inlineStr"/>
      <c r="K23" s="8" t="inlineStr">
        <is>
          <t>Both</t>
        </is>
      </c>
      <c r="L23" s="8" t="inlineStr">
        <is>
          <t>Yes</t>
        </is>
      </c>
      <c r="M23" s="8" t="inlineStr">
        <is>
          <t>Quantiative indicator</t>
        </is>
      </c>
      <c r="N23" s="8" t="inlineStr"/>
      <c r="O23" s="8" t="inlineStr">
        <is>
          <t>Databook / central data owner</t>
        </is>
      </c>
      <c r="P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c r="H24" s="8" t="inlineStr">
        <is>
          <t>CI&amp;S</t>
        </is>
      </c>
      <c r="I24" s="8" t="inlineStr">
        <is>
          <t>CI&amp;S</t>
        </is>
      </c>
      <c r="J24" s="8" t="inlineStr"/>
      <c r="K24" s="8" t="inlineStr">
        <is>
          <t>Both</t>
        </is>
      </c>
      <c r="L24" s="8" t="inlineStr">
        <is>
          <t>Yes</t>
        </is>
      </c>
      <c r="M24" s="8" t="inlineStr">
        <is>
          <t>Need to review again on 2030. The climate target itself is still two months old</t>
        </is>
      </c>
      <c r="N24" s="8" t="inlineStr"/>
      <c r="O24" s="8" t="inlineStr">
        <is>
          <t>Tailored request</t>
        </is>
      </c>
      <c r="P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5" s="8" t="inlineStr">
        <is>
          <t>Faculties, CI&amp;S</t>
        </is>
      </c>
      <c r="I25" s="8" t="inlineStr">
        <is>
          <t>Faculties (pilot), CI&amp;S</t>
        </is>
      </c>
      <c r="J25" s="8" t="inlineStr"/>
      <c r="K25" s="8" t="inlineStr">
        <is>
          <t>Both</t>
        </is>
      </c>
      <c r="L25" s="8" t="inlineStr">
        <is>
          <t>No</t>
        </is>
      </c>
      <c r="M25" s="8" t="inlineStr"/>
      <c r="N25" s="8" t="inlineStr"/>
      <c r="O25" s="8" t="inlineStr">
        <is>
          <t>Tailored request</t>
        </is>
      </c>
      <c r="P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Number of pipelined projects or research transitioned from opportunity to active per year</t>
        </is>
      </c>
      <c r="H26" s="8" t="inlineStr"/>
      <c r="I26" s="8" t="inlineStr">
        <is>
          <t>TBC – no owner identified</t>
        </is>
      </c>
      <c r="J26" s="8" t="inlineStr"/>
      <c r="K26" s="8" t="inlineStr">
        <is>
          <t>Both</t>
        </is>
      </c>
      <c r="L26" s="8" t="inlineStr">
        <is>
          <t>No</t>
        </is>
      </c>
      <c r="M26" s="8" t="inlineStr">
        <is>
          <t>Pipeline can be quantitatively tracked through volume and progression, but since the target is prioritised pipeline, showing number of sucessful pipeline transitioned is more desirable</t>
        </is>
      </c>
      <c r="N26" s="8" t="inlineStr"/>
      <c r="O26" s="8" t="inlineStr">
        <is>
          <t>Databook / central data owner</t>
        </is>
      </c>
      <c r="P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List and describe communications from the faculty in terms of climate action, research and learning to inform policy, sector and community decarbonisation efforts</t>
        </is>
      </c>
      <c r="H27" s="8" t="inlineStr">
        <is>
          <t>Faculties,</t>
        </is>
      </c>
      <c r="I27" s="8" t="inlineStr">
        <is>
          <t>Faculties (pilot)</t>
        </is>
      </c>
      <c r="J27" s="8" t="inlineStr"/>
      <c r="K27" s="8" t="inlineStr">
        <is>
          <t>Both</t>
        </is>
      </c>
      <c r="L27" s="8" t="inlineStr">
        <is>
          <t>No</t>
        </is>
      </c>
      <c r="M27" s="8" t="inlineStr"/>
      <c r="N27" s="8" t="inlineStr"/>
      <c r="O27" s="8" t="inlineStr">
        <is>
          <t>Tailored request</t>
        </is>
      </c>
      <c r="P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Provide update of University maturity assesment. Include maturity ratings, key gaps and priority improvement actions.when available</t>
        </is>
      </c>
      <c r="H28" s="8" t="inlineStr">
        <is>
          <t>CI&amp;S</t>
        </is>
      </c>
      <c r="I28" s="8" t="inlineStr">
        <is>
          <t>CI&amp;S, L&amp;R</t>
        </is>
      </c>
      <c r="J28" s="8" t="inlineStr"/>
      <c r="K28" s="8" t="inlineStr">
        <is>
          <t>Both</t>
        </is>
      </c>
      <c r="L28" s="8" t="inlineStr">
        <is>
          <t>No</t>
        </is>
      </c>
      <c r="M28" s="8" t="inlineStr">
        <is>
          <t>Could check with Gerard. Gerard is the one who manage this indicator</t>
        </is>
      </c>
      <c r="N28" s="8" t="inlineStr"/>
      <c r="O28" s="8" t="inlineStr">
        <is>
          <t>Tailored request</t>
        </is>
      </c>
      <c r="P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7 diversity metrics from https://sustainablecampus.unimelb.edu.au/biodiversity/biodiversity-baseline-data-project#main-content</t>
        </is>
      </c>
      <c r="H29" s="8" t="inlineStr"/>
      <c r="I29" s="8" t="inlineStr">
        <is>
          <t>TBC – no owner identified</t>
        </is>
      </c>
      <c r="J29" s="8" t="inlineStr"/>
      <c r="K29" s="8" t="inlineStr">
        <is>
          <t>Both</t>
        </is>
      </c>
      <c r="L29" s="8" t="inlineStr">
        <is>
          <t>No</t>
        </is>
      </c>
      <c r="M29" s="8" t="inlineStr">
        <is>
          <t>Quantitative indicator</t>
        </is>
      </c>
      <c r="N29" s="8" t="inlineStr"/>
      <c r="O29" s="8" t="inlineStr">
        <is>
          <t>Databook / central data owner</t>
        </is>
      </c>
      <c r="P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c r="H30" s="8" t="inlineStr">
        <is>
          <t>Rachel</t>
        </is>
      </c>
      <c r="I30" s="8" t="inlineStr">
        <is>
          <t>ESG</t>
        </is>
      </c>
      <c r="J30" s="8" t="inlineStr"/>
      <c r="K30" s="8" t="inlineStr">
        <is>
          <t>Internal</t>
        </is>
      </c>
      <c r="L30" s="8" t="inlineStr">
        <is>
          <t>No</t>
        </is>
      </c>
      <c r="M30" s="8" t="inlineStr">
        <is>
          <t>Havent been previously disclose publicly</t>
        </is>
      </c>
      <c r="N30" s="8" t="inlineStr"/>
      <c r="O30" s="8" t="inlineStr">
        <is>
          <t>Tailored request</t>
        </is>
      </c>
      <c r="P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c r="H31" s="8" t="inlineStr">
        <is>
          <t>ESG</t>
        </is>
      </c>
      <c r="I31" s="8" t="inlineStr">
        <is>
          <t>ESG</t>
        </is>
      </c>
      <c r="J31" s="8" t="inlineStr"/>
      <c r="K31" s="8" t="inlineStr">
        <is>
          <t>Both</t>
        </is>
      </c>
      <c r="L31" s="8" t="inlineStr">
        <is>
          <t>No</t>
        </is>
      </c>
      <c r="M31" s="8" t="inlineStr">
        <is>
          <t>Follow up with Rachel</t>
        </is>
      </c>
      <c r="N31" s="8" t="inlineStr"/>
      <c r="O31" s="8" t="inlineStr">
        <is>
          <t>Tailored request</t>
        </is>
      </c>
      <c r="P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Please provide the current definition and quantified assessment of campus ecological connectivity, could include the methodology used, campuses covered, baseline or benchmark values, and any material change over the reporting period.</t>
        </is>
      </c>
      <c r="H32" s="8" t="inlineStr">
        <is>
          <t>ESG</t>
        </is>
      </c>
      <c r="I32" s="8" t="inlineStr">
        <is>
          <t>ESG</t>
        </is>
      </c>
      <c r="J32" s="8" t="inlineStr"/>
      <c r="K32" s="8" t="inlineStr">
        <is>
          <t>Both</t>
        </is>
      </c>
      <c r="L32" s="8" t="inlineStr">
        <is>
          <t>No</t>
        </is>
      </c>
      <c r="M32" s="8" t="inlineStr"/>
      <c r="N32" s="8" t="inlineStr"/>
      <c r="O32" s="8" t="inlineStr">
        <is>
          <t>Tailored request</t>
        </is>
      </c>
      <c r="P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Impact Encore Measurement</t>
        </is>
      </c>
      <c r="H33" s="8" t="inlineStr">
        <is>
          <t>MBI</t>
        </is>
      </c>
      <c r="I33" s="8" t="inlineStr">
        <is>
          <t>MRE</t>
        </is>
      </c>
      <c r="J33" s="8" t="inlineStr"/>
      <c r="K33" s="8" t="inlineStr">
        <is>
          <t>Both</t>
        </is>
      </c>
      <c r="L33" s="8" t="inlineStr">
        <is>
          <t>No</t>
        </is>
      </c>
      <c r="M33" s="8" t="inlineStr"/>
      <c r="N33" s="8" t="inlineStr"/>
      <c r="O33" s="8" t="inlineStr">
        <is>
          <t>Tailored request</t>
        </is>
      </c>
      <c r="P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Please describe the framework established to monitor and track supply-chain impacts on nature over time, could include metrics, data sources, governance/ownership, reporting frequency and current implementation status.</t>
        </is>
      </c>
      <c r="H34" s="8" t="inlineStr">
        <is>
          <t>ESG</t>
        </is>
      </c>
      <c r="I34" s="8" t="inlineStr">
        <is>
          <t>ESG</t>
        </is>
      </c>
      <c r="J34" s="8" t="inlineStr">
        <is>
          <t>Melbourne Biodiversity Institute (MBI) - Brendan Wintle and August Wylynko</t>
        </is>
      </c>
      <c r="K34" s="8" t="inlineStr">
        <is>
          <t>Both</t>
        </is>
      </c>
      <c r="L34" s="8" t="inlineStr">
        <is>
          <t>No</t>
        </is>
      </c>
      <c r="M34" s="8" t="inlineStr"/>
      <c r="N34" s="8" t="inlineStr"/>
      <c r="O34" s="8" t="inlineStr">
        <is>
          <t>Tailored request</t>
        </is>
      </c>
      <c r="P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Please provide the prioritised high-risk procurement categories and/or suppliers identified for nature-impact management, could include the basis for prioritisation and any risk-management, engagement or mitigation actions undertaken or planned.</t>
        </is>
      </c>
      <c r="H35" s="8" t="inlineStr">
        <is>
          <t>ESG, CFOG</t>
        </is>
      </c>
      <c r="I35" s="8" t="inlineStr">
        <is>
          <t>CFOG, ESG</t>
        </is>
      </c>
      <c r="J35" s="8" t="inlineStr">
        <is>
          <t>MBI</t>
        </is>
      </c>
      <c r="K35" s="8" t="inlineStr">
        <is>
          <t>Both</t>
        </is>
      </c>
      <c r="L35" s="8" t="inlineStr">
        <is>
          <t>No</t>
        </is>
      </c>
      <c r="M35" s="8" t="inlineStr"/>
      <c r="N35" s="8" t="inlineStr"/>
      <c r="O35" s="8" t="inlineStr">
        <is>
          <t>Tailored request</t>
        </is>
      </c>
      <c r="P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c r="H36" s="8" t="inlineStr">
        <is>
          <t>CI&amp;S, CIOG</t>
        </is>
      </c>
      <c r="I36" s="8" t="inlineStr">
        <is>
          <t>CI&amp;S, CIOG</t>
        </is>
      </c>
      <c r="J36" s="8" t="inlineStr"/>
      <c r="K36" s="8" t="inlineStr">
        <is>
          <t>Both</t>
        </is>
      </c>
      <c r="L36" s="8" t="inlineStr">
        <is>
          <t>Yes</t>
        </is>
      </c>
      <c r="M36" s="8" t="inlineStr">
        <is>
          <t>Rose &amp; Sally currently actively managing this target and indicator. High level overview on 2026, will work on the detailed measurement next year</t>
        </is>
      </c>
      <c r="N36" s="8" t="inlineStr"/>
      <c r="O36" s="8" t="inlineStr">
        <is>
          <t>Tailored request</t>
        </is>
      </c>
      <c r="P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Please provide case studies from your Faculty/Portfolio of sustainability and AI-related education, research or collaboration activities, describing the activity, participants or partners, sustainability issue addressed and key outcomes or lessons.</t>
        </is>
      </c>
      <c r="H37" s="8" t="inlineStr">
        <is>
          <t>CI&amp;S, CIOG</t>
        </is>
      </c>
      <c r="I37" s="8" t="inlineStr">
        <is>
          <t>CI&amp;S, CIOG</t>
        </is>
      </c>
      <c r="J37" s="8" t="inlineStr">
        <is>
          <t>AI Steering Committee - developing AI roadmap, which includes responsible AI as a key pillar.</t>
        </is>
      </c>
      <c r="K37" s="8" t="inlineStr">
        <is>
          <t>Both</t>
        </is>
      </c>
      <c r="L37" s="8" t="inlineStr">
        <is>
          <t>No</t>
        </is>
      </c>
      <c r="M37" s="8" t="inlineStr"/>
      <c r="N37" s="8" t="inlineStr"/>
      <c r="O37" s="8" t="inlineStr">
        <is>
          <t>Tailored request</t>
        </is>
      </c>
      <c r="P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8" s="8" t="inlineStr">
        <is>
          <t>CI&amp;S</t>
        </is>
      </c>
      <c r="I38" s="8" t="inlineStr">
        <is>
          <t>CI&amp;S</t>
        </is>
      </c>
      <c r="J38" s="8" t="inlineStr">
        <is>
          <t>CI&amp;S - Estate Planning and Development teams</t>
        </is>
      </c>
      <c r="K38" s="8" t="inlineStr">
        <is>
          <t>Both</t>
        </is>
      </c>
      <c r="L38" s="8" t="inlineStr">
        <is>
          <t>No</t>
        </is>
      </c>
      <c r="M38" s="8" t="inlineStr">
        <is>
          <t>Facilitated by Gerard</t>
        </is>
      </c>
      <c r="N38" s="8" t="inlineStr"/>
      <c r="O38" s="8" t="inlineStr">
        <is>
          <t>Tailored request</t>
        </is>
      </c>
      <c r="P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9" s="8" t="inlineStr">
        <is>
          <t>CI&amp;S</t>
        </is>
      </c>
      <c r="I39" s="8" t="inlineStr">
        <is>
          <t>CI&amp;S</t>
        </is>
      </c>
      <c r="J39" s="8" t="inlineStr">
        <is>
          <t>CI&amp;S - Estate Planning and Development teams</t>
        </is>
      </c>
      <c r="K39" s="8" t="inlineStr">
        <is>
          <t>Both</t>
        </is>
      </c>
      <c r="L39" s="8" t="inlineStr">
        <is>
          <t>No</t>
        </is>
      </c>
      <c r="M39" s="8" t="inlineStr"/>
      <c r="N39" s="8" t="inlineStr"/>
      <c r="O39" s="8" t="inlineStr">
        <is>
          <t>Tailored request</t>
        </is>
      </c>
      <c r="P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40" s="8" t="inlineStr">
        <is>
          <t>CI&amp;S</t>
        </is>
      </c>
      <c r="I40" s="8" t="inlineStr">
        <is>
          <t>CI&amp;S</t>
        </is>
      </c>
      <c r="J40" s="8" t="inlineStr">
        <is>
          <t>CI&amp;S - Estate Planning and Development teams</t>
        </is>
      </c>
      <c r="K40" s="8" t="inlineStr">
        <is>
          <t>Both</t>
        </is>
      </c>
      <c r="L40" s="8" t="inlineStr">
        <is>
          <t>No</t>
        </is>
      </c>
      <c r="M40" s="8" t="inlineStr"/>
      <c r="N40" s="8" t="inlineStr"/>
      <c r="O40" s="8" t="inlineStr">
        <is>
          <t>Tailored request</t>
        </is>
      </c>
      <c r="P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41" s="8" t="inlineStr">
        <is>
          <t>CI&amp;S</t>
        </is>
      </c>
      <c r="I41" s="8" t="inlineStr">
        <is>
          <t>CI&amp;S</t>
        </is>
      </c>
      <c r="J41" s="8" t="inlineStr">
        <is>
          <t>CI&amp;S - Estate Planning and Development teams</t>
        </is>
      </c>
      <c r="K41" s="8" t="inlineStr">
        <is>
          <t>Both</t>
        </is>
      </c>
      <c r="L41" s="8" t="inlineStr">
        <is>
          <t>No</t>
        </is>
      </c>
      <c r="M41" s="8" t="inlineStr"/>
      <c r="N41" s="8" t="inlineStr"/>
      <c r="O41" s="8" t="inlineStr">
        <is>
          <t>Tailored request</t>
        </is>
      </c>
      <c r="P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tonnes of waste; % change against previous baseline</t>
        </is>
      </c>
      <c r="H42" s="8" t="inlineStr"/>
      <c r="I42" s="8" t="inlineStr">
        <is>
          <t>TBC – no owner identified</t>
        </is>
      </c>
      <c r="J42" s="8" t="inlineStr"/>
      <c r="K42" s="8" t="inlineStr">
        <is>
          <t>Both</t>
        </is>
      </c>
      <c r="L42" s="8" t="inlineStr">
        <is>
          <t>No</t>
        </is>
      </c>
      <c r="M42" s="8" t="inlineStr">
        <is>
          <t>Quantitative indicator</t>
        </is>
      </c>
      <c r="N42" s="8" t="inlineStr"/>
      <c r="O42" s="8" t="inlineStr">
        <is>
          <t>Databook / central data owner</t>
        </is>
      </c>
      <c r="P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waste diversion rate; tonnes diverted from landfill; % change against previous baseline</t>
        </is>
      </c>
      <c r="H43" s="8" t="inlineStr"/>
      <c r="I43" s="8" t="inlineStr">
        <is>
          <t>TBC – no owner identified</t>
        </is>
      </c>
      <c r="J43" s="8" t="inlineStr"/>
      <c r="K43" s="8" t="inlineStr">
        <is>
          <t>Both</t>
        </is>
      </c>
      <c r="L43" s="8" t="inlineStr">
        <is>
          <t>No</t>
        </is>
      </c>
      <c r="M43" s="8" t="inlineStr">
        <is>
          <t>Quantitative indicator</t>
        </is>
      </c>
      <c r="N43" s="8" t="inlineStr"/>
      <c r="O43" s="8" t="inlineStr">
        <is>
          <t>Databook / central data owner</t>
        </is>
      </c>
      <c r="P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Maturity score if framework established; % procurement staff trained</t>
        </is>
      </c>
      <c r="H44" s="8" t="inlineStr"/>
      <c r="I44" s="8" t="inlineStr">
        <is>
          <t>CFOG</t>
        </is>
      </c>
      <c r="J44" s="8" t="inlineStr"/>
      <c r="K44" s="8" t="inlineStr">
        <is>
          <t>Both</t>
        </is>
      </c>
      <c r="L44" s="8" t="inlineStr">
        <is>
          <t>No</t>
        </is>
      </c>
      <c r="M44" s="8" t="inlineStr">
        <is>
          <t>Quantitative metrics could support qualitative case studies to demonstrate system/process improvements</t>
        </is>
      </c>
      <c r="N44" s="8" t="inlineStr"/>
      <c r="O44" s="8" t="inlineStr">
        <is>
          <t>Tailored request</t>
        </is>
      </c>
      <c r="P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Percentage of Indigenous spend of total addressable procurement spend</t>
        </is>
      </c>
      <c r="H45" s="8" t="inlineStr"/>
      <c r="I45" s="8" t="inlineStr">
        <is>
          <t>TBC – no owner identified</t>
        </is>
      </c>
      <c r="J45" s="8" t="inlineStr"/>
      <c r="K45" s="8" t="inlineStr">
        <is>
          <t>Both</t>
        </is>
      </c>
      <c r="L45" s="8" t="inlineStr">
        <is>
          <t>No</t>
        </is>
      </c>
      <c r="M45" s="8" t="inlineStr">
        <is>
          <t>Quantitative indicator</t>
        </is>
      </c>
      <c r="N45" s="8" t="inlineStr"/>
      <c r="O45" s="8" t="inlineStr">
        <is>
          <t>Databook / central data owner</t>
        </is>
      </c>
      <c r="P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Percentage of social spend of total addressable procurement spend.</t>
        </is>
      </c>
      <c r="H46" s="8" t="inlineStr"/>
      <c r="I46" s="8" t="inlineStr">
        <is>
          <t>TBC – no owner identified</t>
        </is>
      </c>
      <c r="J46" s="8" t="inlineStr"/>
      <c r="K46" s="8" t="inlineStr">
        <is>
          <t>Both</t>
        </is>
      </c>
      <c r="L46" s="8" t="inlineStr">
        <is>
          <t>No</t>
        </is>
      </c>
      <c r="M46" s="8" t="inlineStr">
        <is>
          <t>Quantitative indicator</t>
        </is>
      </c>
      <c r="N46" s="8" t="inlineStr"/>
      <c r="O46" s="8" t="inlineStr">
        <is>
          <t>Databook / central data owner</t>
        </is>
      </c>
      <c r="P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Annual Modern Slavery Statement, with case studies</t>
        </is>
      </c>
      <c r="H47" s="8" t="inlineStr">
        <is>
          <t>CFOG, CI&amp;S</t>
        </is>
      </c>
      <c r="I47" s="8" t="inlineStr">
        <is>
          <t>CI&amp;S, CFOG</t>
        </is>
      </c>
      <c r="J47" s="8" t="inlineStr">
        <is>
          <t>CFOG - Procurement; Modern Slavery Working Group (existing).</t>
        </is>
      </c>
      <c r="K47" s="8" t="inlineStr">
        <is>
          <t>External</t>
        </is>
      </c>
      <c r="L47" s="8" t="inlineStr">
        <is>
          <t>No</t>
        </is>
      </c>
      <c r="M47" s="8" t="inlineStr"/>
      <c r="N47" s="8" t="inlineStr"/>
      <c r="O47" s="8" t="inlineStr">
        <is>
          <t>Tailored request</t>
        </is>
      </c>
      <c r="P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Percentage of AUM managed by investment managers aligned with net zero by 2050</t>
        </is>
      </c>
      <c r="H48" s="8" t="inlineStr"/>
      <c r="I48" s="8" t="inlineStr">
        <is>
          <t>TBC – no owner identified</t>
        </is>
      </c>
      <c r="J48" s="8" t="inlineStr"/>
      <c r="K48" s="8" t="inlineStr">
        <is>
          <t>Both</t>
        </is>
      </c>
      <c r="L48" s="8" t="inlineStr">
        <is>
          <t>No</t>
        </is>
      </c>
      <c r="M48" s="8" t="inlineStr">
        <is>
          <t>Quantitative indicator</t>
        </is>
      </c>
      <c r="N48" s="8" t="inlineStr"/>
      <c r="O48" s="8" t="inlineStr">
        <is>
          <t>Databook / central data owner</t>
        </is>
      </c>
      <c r="P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Report on relevant sustainability-related investment portfolio metrics and report on how the University has complied with its related obligations</t>
        </is>
      </c>
      <c r="H49" s="8" t="inlineStr">
        <is>
          <t>CFOG, CI&amp;S</t>
        </is>
      </c>
      <c r="I49" s="8" t="inlineStr">
        <is>
          <t>CI&amp;S, CFOG</t>
        </is>
      </c>
      <c r="J49" s="8" t="inlineStr"/>
      <c r="K49" s="8" t="inlineStr">
        <is>
          <t>Both</t>
        </is>
      </c>
      <c r="L49" s="8" t="inlineStr">
        <is>
          <t>No</t>
        </is>
      </c>
      <c r="M49" s="8" t="inlineStr"/>
      <c r="N49" s="8" t="inlineStr"/>
      <c r="O49" s="8" t="inlineStr">
        <is>
          <t>Tailored request</t>
        </is>
      </c>
      <c r="P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50" s="8" t="inlineStr">
        <is>
          <t>Faculties</t>
        </is>
      </c>
      <c r="I50" s="8" t="inlineStr">
        <is>
          <t>Faculties (pilot)</t>
        </is>
      </c>
      <c r="J50" s="8" t="inlineStr">
        <is>
          <t>For discussion - it would be good to chat about the nuances of this one</t>
        </is>
      </c>
      <c r="K50" s="8" t="inlineStr">
        <is>
          <t>Both</t>
        </is>
      </c>
      <c r="L50" s="8" t="inlineStr">
        <is>
          <t>No</t>
        </is>
      </c>
      <c r="M50" s="8" t="inlineStr"/>
      <c r="N50" s="8" t="inlineStr">
        <is>
          <t>6a</t>
        </is>
      </c>
      <c r="O50" s="8" t="inlineStr">
        <is>
          <t>Tailored request</t>
        </is>
      </c>
      <c r="P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Comment on living labs in the Faculty - outputs, outcomes, and impact</t>
        </is>
      </c>
      <c r="H51" s="8" t="inlineStr">
        <is>
          <t>Faculties, CI&amp;S</t>
        </is>
      </c>
      <c r="I51" s="8" t="inlineStr">
        <is>
          <t>Faculties (pilot), CI&amp;S</t>
        </is>
      </c>
      <c r="J51" s="8" t="inlineStr">
        <is>
          <t>SST is a key data owner: Can report on projects and outcomes from the Campus Living Lab Accelerator Program. Also will gather case studies from individual projects (4)</t>
        </is>
      </c>
      <c r="K51" s="8" t="inlineStr">
        <is>
          <t>Both</t>
        </is>
      </c>
      <c r="L51" s="8" t="inlineStr">
        <is>
          <t>No</t>
        </is>
      </c>
      <c r="M51" s="8" t="inlineStr"/>
      <c r="N51" s="8" t="inlineStr">
        <is>
          <t>2a</t>
        </is>
      </c>
      <c r="O51" s="8" t="inlineStr">
        <is>
          <t>Tailored request</t>
        </is>
      </c>
      <c r="P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52" s="8" t="inlineStr">
        <is>
          <t>Faculties, CIOG, CFOG, CI&amp;S, ESG</t>
        </is>
      </c>
      <c r="I52" s="8" t="inlineStr">
        <is>
          <t>Faculties (pilot), CI&amp;S, CFOG, ESG, CIOG</t>
        </is>
      </c>
      <c r="J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52" s="8" t="inlineStr">
        <is>
          <t>Both</t>
        </is>
      </c>
      <c r="L52" s="8" t="inlineStr">
        <is>
          <t>No</t>
        </is>
      </c>
      <c r="M52" s="8" t="inlineStr"/>
      <c r="N52" s="8" t="inlineStr">
        <is>
          <t>3a(ii)</t>
        </is>
      </c>
      <c r="O52" s="8" t="inlineStr">
        <is>
          <t>Tailored request</t>
        </is>
      </c>
      <c r="P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53" s="8" t="inlineStr">
        <is>
          <t>Faculties, CIOG, CFOG, CI&amp;S, ESG</t>
        </is>
      </c>
      <c r="I53" s="8" t="inlineStr">
        <is>
          <t>Faculties (pilot), CI&amp;S, CFOG, ESG, CIOG</t>
        </is>
      </c>
      <c r="J53" s="8" t="inlineStr">
        <is>
          <t>Reporting working group set up - talking about potential alignment with ASRS in future. Collaboration of SST, FBE (Accounting) and the Finance team in CFOG. Sally is the key contact for more info.</t>
        </is>
      </c>
      <c r="K53" s="8" t="inlineStr">
        <is>
          <t>Both</t>
        </is>
      </c>
      <c r="L53" s="8" t="inlineStr">
        <is>
          <t>No</t>
        </is>
      </c>
      <c r="M53" s="8" t="inlineStr"/>
      <c r="N53" s="8" t="inlineStr"/>
      <c r="O53" s="8" t="inlineStr">
        <is>
          <t>Tailored request</t>
        </is>
      </c>
      <c r="P53" s="8" t="inlineStr"/>
    </row>
  </sheetData>
  <autoFilter ref="B5:P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L&amp;R</t>
        </is>
      </c>
      <c r="C16" s="8" t="inlineStr">
        <is>
          <t>Legal and Risk</t>
        </is>
      </c>
      <c r="D16" s="8" t="inlineStr">
        <is>
          <t>Legal and Risk</t>
        </is>
      </c>
      <c r="E16" s="8" t="inlineStr">
        <is>
          <t>Legal &amp; Risk – Risk &amp; resilience</t>
        </is>
      </c>
      <c r="F16" s="8" t="inlineStr">
        <is>
          <t>TBC</t>
        </is>
      </c>
      <c r="G16" s="8" t="inlineStr"/>
    </row>
    <row r="17">
      <c r="B17" s="8" t="inlineStr">
        <is>
          <t>Chancellery</t>
        </is>
      </c>
      <c r="C17" s="8" t="inlineStr">
        <is>
          <t>Advancement, Communications &amp; Marketing; Global, Culture &amp; Engagement; Education (incl. SASS); Indigenous</t>
        </is>
      </c>
      <c r="D17" s="8" t="inlineStr">
        <is>
          <t>Chancellery tab</t>
        </is>
      </c>
      <c r="E17" s="8" t="inlineStr">
        <is>
          <t>—</t>
        </is>
      </c>
      <c r="F17" s="8" t="inlineStr">
        <is>
          <t>TBC</t>
        </is>
      </c>
      <c r="G17" s="8" t="inlineStr">
        <is>
          <t>No SR26 qualitative indicator currently names these units. SASS (Melbourne Plus) referenced for EE1(c). Confirm whether requests are needed.</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c r="N21" s="6" t="inlineStr">
        <is>
          <t>L&amp;R</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c r="N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c r="N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c r="N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c r="N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c r="N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c r="N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c r="N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c r="N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c r="N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c r="N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c r="N32" s="14" t="inlineStr"/>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c r="N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c r="N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c r="N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c r="N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c r="N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c r="N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c r="N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c r="N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c r="N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c r="N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c r="N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c r="N44" s="13" t="inlineStr">
        <is>
          <t>R</t>
        </is>
      </c>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c r="N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c r="N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c r="N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c r="N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c r="N49" s="14" t="inlineStr"/>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c r="N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c r="N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c r="N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c r="N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c r="N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c r="N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c r="N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c r="N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c r="N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c r="N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c r="N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c r="N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c r="N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c r="N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c r="N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c r="N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c r="N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c r="N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c r="N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c r="N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COUNTIF($N$10:$N$21,"Not sent")</f>
        <v/>
      </c>
      <c r="E6">
        <f>COUNTIF($N$10:$N$21,"Sent")</f>
        <v/>
      </c>
      <c r="G6">
        <f>COUNTIF($N$10:$N$21,"Chased")</f>
        <v/>
      </c>
      <c r="I6">
        <f>COUNTIF($N$10:$N$21,"Support meeting")</f>
        <v/>
      </c>
      <c r="L6" s="16">
        <f>IFERROR((COUNTIF($N$10:$N$21,"Received")+COUNTIF($N$10:$N$21,"Under review")+COUNTIF($N$10:$N$21,"Complete"))/(COUNTA($N$10:$N$21)-COUNTIF($N$10:$N$21,"Not required")),0)</f>
        <v/>
      </c>
      <c r="N6">
        <f>COUNTIF($M$10:$M$21,"Yes")&amp;" / "&amp;COUNTA($C$10:$C$21)</f>
        <v/>
      </c>
    </row>
    <row r="7">
      <c r="C7" s="15" t="inlineStr">
        <is>
          <t>Received</t>
        </is>
      </c>
      <c r="E7" s="15" t="inlineStr">
        <is>
          <t>Under review</t>
        </is>
      </c>
      <c r="G7" s="15" t="inlineStr">
        <is>
          <t>Complete</t>
        </is>
      </c>
      <c r="I7" s="15" t="inlineStr">
        <is>
          <t>Not required</t>
        </is>
      </c>
    </row>
    <row r="8">
      <c r="C8">
        <f>COUNTIF($N$10:$N$21,"Received")</f>
        <v/>
      </c>
      <c r="E8">
        <f>COUNTIF($N$10:$N$21,"Under review")</f>
        <v/>
      </c>
      <c r="G8">
        <f>COUNTIF($N$10:$N$21,"Complete")</f>
        <v/>
      </c>
      <c r="I8">
        <f>COUNTIF($N$10:$N$21,"Not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row r="21">
      <c r="B21" s="8" t="inlineStr">
        <is>
          <t>C8</t>
        </is>
      </c>
      <c r="C21" s="8" t="inlineStr">
        <is>
          <t>Central</t>
        </is>
      </c>
      <c r="D21" s="8" t="inlineStr">
        <is>
          <t>Legal &amp; Risk – Risk &amp; resilience</t>
        </is>
      </c>
      <c r="E21" s="8" t="inlineStr">
        <is>
          <t>TBC</t>
        </is>
      </c>
      <c r="F21" s="8" t="n">
        <v>1</v>
      </c>
      <c r="G21" s="8" t="inlineStr">
        <is>
          <t>LandR - end-2026 sustainability reporting request.xlsx</t>
        </is>
      </c>
      <c r="H21" s="17" t="n"/>
      <c r="I21" s="17" t="n">
        <v>46402</v>
      </c>
      <c r="J21" s="17">
        <f>IF(I21="","",I21-7)</f>
        <v/>
      </c>
      <c r="K21" s="8" t="inlineStr"/>
      <c r="L21" s="17" t="n"/>
      <c r="M21" s="8" t="inlineStr"/>
      <c r="N21" s="8" t="inlineStr">
        <is>
          <t>Not sent</t>
        </is>
      </c>
      <c r="O21" s="8">
        <f>IF(OR(I21="",L21&lt;&gt;""),"",MAX(0,TODAY()-I21))</f>
        <v/>
      </c>
      <c r="P21" s="8" t="inlineStr"/>
    </row>
  </sheetData>
  <dataValidations count="2">
    <dataValidation sqref="N10:N21" showDropDown="0" showInputMessage="0" showErrorMessage="0" allowBlank="1" errorTitle="Invalid entry" error="Please select from the dropdown" type="list">
      <formula1>=Lists!$D$2:$D$9</formula1>
    </dataValidation>
    <dataValidation sqref="M10:M21"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collate examples of innovative sustainability teaching and learning across faculties to inform the Exceptional education section of the 2026 Sustainability Report, and select one or two for short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combine faculty examples with central Wattle Fellowship and Melbourne Plus data to report on the range and reach of sustainability-focused experiential and co-curricular learning across the University.</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nominated alumni to develop short graduate profiles for the 2026 Sustainability Report (subject to consent), and record any faculty approaches to tracking graduate outcomes to inform how this indicator is measured from 2027.</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report on examples of researchers helping solve the University's own operational sustainability challenges, alongside CLLAP projects reported by CI&amp;S, and share them with operational teams to identify further collaboration.</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map existing academic–professional collaboration mechanisms across faculties to establish a baseline for this new indicator and identify models other faculties could adopt.</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your assessment to describe the quality and continuity of research–operations collaboration in the 2026 report, and as baseline evidence for the interim target status assessment from 2027.</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any feedback to understand whether collaboration mechanisms are working and to inform improvements. Where none has been collected, this helps us plan how to gather feedback from 2027.</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collate research impact examples across faculties to show the breadth of sustainability-related research impact in the Transformational research section of the 2026 Sustainability Report, complementing University-wide metrics from MRE.</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select the strongest examples to develop as full research case studies for the 2026 Sustainability Report (we may contact you for more detail and images).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report on how sustainability is being built into research systems and support across the University, and use responses to establish a baseline for this new target.</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report on ways the University is making research practices more sustainable in the 2026 Sustainability Report, and share practical examples (e.g. green labs) across faculties.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any survey or capability data to describe changes in sustainability-related research culture. Where no evidence exists, this helps us plan University-wide measurement (e.g. staff and graduate researcher surveys) from 2027.</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faculty self-assessments to identify strengths, gaps and priority actions in embedding sustainable research practices, to inform internal management reporting and the Transformational research working group.</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these examples to show how the University communicates climate research and learning to external audiences, and as an input to the institutional decarbonisation research and education mapping due by 2028.</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report on the University's ongoing climate communications in the Climate leadership section of the 2026 Sustainability Report, alongside contributions from Melbourne Climate Futures and the Melbourne Energy Institute.</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In end-2025 reporting your faculty reported on the related SP2030 target 6a and rated it 'Met or exceeded'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report on the ways Indigenous knowledges inform sustainability activities across the University, and develop selected examples into case studies with appropriate permissions.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share examples of living labs from across the University in the 2026 Sustainability Report, alongside CLLAP projects reported by CI&amp;S.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report on internal engagement and partnerships contributing to Sustainability 2030 outcomes, and update our record of sustainability-focused communities of practice and contacts across the University.</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report on how sustainability is integrated into governance and decision-making across faculties and portfolios, and use responses as a baseline for the governance enabler from 2027.</t>
        </is>
      </c>
      <c r="H29" s="8" t="inlineStr">
        <is>
          <t>N/A – new indicator</t>
        </is>
      </c>
      <c r="I29" s="8" t="inlineStr"/>
      <c r="J29" s="8" t="inlineStr"/>
      <c r="K29" s="8" t="inlineStr"/>
      <c r="L29" s="8" t="n"/>
      <c r="M29" s="8" t="n"/>
      <c r="N29" s="8" t="n"/>
      <c r="O29" s="8" t="n"/>
      <c r="P29" s="8" t="n"/>
      <c r="Q29" s="8" t="n"/>
      <c r="R29" s="8" t="n"/>
    </row>
    <row r="32">
      <c r="B32" s="18" t="inlineStr">
        <is>
          <t>1.2  ARTS – Faculty of Arts</t>
        </is>
      </c>
    </row>
    <row r="34">
      <c r="C34" s="19" t="inlineStr">
        <is>
          <t>Sustainability 2030 target and indicator</t>
        </is>
      </c>
      <c r="H34" s="19" t="inlineStr">
        <is>
          <t>End-2025 reporting (click the ref to see your full SR25 response; [+] above expands a summary)</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collate examples of innovative sustainability teaching and learning across faculties to inform the Exceptional education section of the 2026 Sustainability Report, and select one or two for short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This is a new indicator. We will use responses to establish a baseline of how (and whether) faculties are understanding student sustainability self-efficacy, and report on early pilots in the 2026 Sustainability Report. A nil response is useful to us.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combine faculty examples with central Wattle Fellowship and Melbourne Plus data to report on the range and reach of sustainability-focused experiential and co-curricular learning across the University.</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nominated alumni to develop short graduate profiles for the 2026 Sustainability Report (subject to consent), and record any faculty approaches to tracking graduate outcomes to inform how this indicator is measured from 2027.</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report on examples of researchers helping solve the University's own operational sustainability challenges, alongside CLLAP projects reported by CI&amp;S, and share them with operational teams to identify further collaboration.</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map existing academic–professional collaboration mechanisms across faculties to establish a baseline for this new indicator and identify models other faculties could adopt.</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your assessment to describe the quality and continuity of research–operations collaboration in the 2026 report, and as baseline evidence for the interim target status assessment from 2027.</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any feedback to understand whether collaboration mechanisms are working and to inform improvements. Where none has been collected, this helps us plan how to gather feedback from 2027.</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report on how sustainability is being built into research systems and support across the University, and use responses to establish a baseline for this new target.</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report on ways the University is making research practices more sustainable in the 2026 Sustainability Report, and share practical examples (e.g. green labs) across faculties.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any survey or capability data to describe changes in sustainability-related research culture. Where no evidence exists, this helps us plan University-wide measurement (e.g. staff and graduate researcher surveys) from 2027.</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faculty self-assessments to identify strengths, gaps and priority actions in embedding sustainable research practices, to inform internal management reporting and the Transformational research working group.</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these examples to show how the University communicates climate research and learning to external audiences, and as an input to the institutional decarbonisation research and education mapping due by 2028.</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report on the University's ongoing climate communications in the Climate leadership section of the 2026 Sustainability Report, alongside contributions from Melbourne Climate Futures and the Melbourne Energy Institute.</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report on the ways Indigenous knowledges inform sustainability activities across the University, and develop selected examples into case studies with appropriate permissions.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share examples of living labs from across the University in the 2026 Sustainability Report, alongside CLLAP projects reported by CI&amp;S.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report on internal engagement and partnerships contributing to Sustainability 2030 outcomes, and update our record of sustainability-focused communities of practice and contacts across the University.</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report on how sustainability is integrated into governance and decision-making across faculties and portfolios, and use responses as a baseline for the governance enabler from 2027.</t>
        </is>
      </c>
      <c r="H56" s="8" t="inlineStr">
        <is>
          <t>N/A – new indicator</t>
        </is>
      </c>
      <c r="I56" s="8" t="inlineStr"/>
      <c r="J56" s="8" t="inlineStr"/>
      <c r="K56" s="8" t="inlineStr"/>
      <c r="L56" s="8" t="n"/>
      <c r="M56" s="8" t="n"/>
      <c r="N56" s="8" t="n"/>
      <c r="O56" s="8" t="n"/>
      <c r="P56" s="8" t="n"/>
      <c r="Q56" s="8" t="n"/>
      <c r="R56" s="8" t="n"/>
    </row>
    <row r="59">
      <c r="B59" s="18" t="inlineStr">
        <is>
          <t>1.3  FBE – Faculty of Business and Economics</t>
        </is>
      </c>
    </row>
    <row r="61">
      <c r="C61" s="19" t="inlineStr">
        <is>
          <t>Sustainability 2030 target and indicator</t>
        </is>
      </c>
      <c r="H61" s="19" t="inlineStr">
        <is>
          <t>End-2025 reporting (click the ref to see your full SR25 response; [+] above expands a summary)</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collate examples of innovative sustainability teaching and learning across faculties to inform the Exceptional education section of the 2026 Sustainability Report, and select one or two for short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This is a new indicator. We will use responses to establish a baseline of how (and whether) faculties are understanding student sustainability self-efficacy, and report on early pilots in the 2026 Sustainability Report. A nil response is useful to us.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combine faculty examples with central Wattle Fellowship and Melbourne Plus data to report on the range and reach of sustainability-focused experiential and co-curricular learning across the University.</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nominated alumni to develop short graduate profiles for the 2026 Sustainability Report (subject to consent), and record any faculty approaches to tracking graduate outcomes to inform how this indicator is measured from 2027.</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report on examples of researchers helping solve the University's own operational sustainability challenges, alongside CLLAP projects reported by CI&amp;S, and share them with operational teams to identify further collaboration.</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map existing academic–professional collaboration mechanisms across faculties to establish a baseline for this new indicator and identify models other faculties could adopt.</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your assessment to describe the quality and continuity of research–operations collaboration in the 2026 report, and as baseline evidence for the interim target status assessment from 2027.</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any feedback to understand whether collaboration mechanisms are working and to inform improvements. Where none has been collected, this helps us plan how to gather feedback from 2027.</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collate research impact examples across faculties to show the breadth of sustainability-related research impact in the Transformational research section of the 2026 Sustainability Report, complementing University-wide metrics from MRE.</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select the strongest examples to develop as full research case studies for the 2026 Sustainability Report (we may contact you for more detail and images).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report on how sustainability is being built into research systems and support across the University, and use responses to establish a baseline for this new target.</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report on ways the University is making research practices more sustainable in the 2026 Sustainability Report, and share practical examples (e.g. green labs) across faculties.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any survey or capability data to describe changes in sustainability-related research culture. Where no evidence exists, this helps us plan University-wide measurement (e.g. staff and graduate researcher surveys) from 2027.</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faculty self-assessments to identify strengths, gaps and priority actions in embedding sustainable research practices, to inform internal management reporting and the Transformational research working group.</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these examples to show how the University communicates climate research and learning to external audiences, and as an input to the institutional decarbonisation research and education mapping due by 2028.</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report on the University's ongoing climate communications in the Climate leadership section of the 2026 Sustainability Report, alongside contributions from Melbourne Climate Futures and the Melbourne Energy Institute.</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report on the ways Indigenous knowledges inform sustainability activities across the University, and develop selected examples into case studies with appropriate permissions.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share examples of living labs from across the University in the 2026 Sustainability Report, alongside CLLAP projects reported by CI&amp;S.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report on internal engagement and partnerships contributing to Sustainability 2030 outcomes, and update our record of sustainability-focused communities of practice and contacts across the University.</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report on how sustainability is integrated into governance and decision-making across faculties and portfolios, and use responses as a baseline for the governance enabler from 2027.</t>
        </is>
      </c>
      <c r="H83" s="8" t="inlineStr">
        <is>
          <t>N/A – new indicator</t>
        </is>
      </c>
      <c r="I83" s="8" t="inlineStr"/>
      <c r="J83" s="8" t="inlineStr"/>
      <c r="K83" s="8" t="inlineStr"/>
      <c r="L83" s="8" t="n"/>
      <c r="M83" s="8" t="n"/>
      <c r="N83" s="8" t="n"/>
      <c r="O83" s="8" t="n"/>
      <c r="P83" s="8" t="n"/>
      <c r="Q83" s="8" t="n"/>
      <c r="R83" s="8" t="n"/>
    </row>
    <row r="86">
      <c r="B86" s="18" t="inlineStr">
        <is>
          <t>1.4  SCI – Faculty of Science</t>
        </is>
      </c>
    </row>
    <row r="88">
      <c r="C88" s="19" t="inlineStr">
        <is>
          <t>Sustainability 2030 target and indicator</t>
        </is>
      </c>
      <c r="H88" s="19" t="inlineStr">
        <is>
          <t>End-2025 reporting (click the ref to see your full SR25 response; [+] above expands a summary)</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In end-2025 reporting your faculty reported on the related SP2030 target 4a(ii) and rated it 'Met or exceeded'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collate examples of innovative sustainability teaching and learning across faculties to inform the Exceptional education section of the 2026 Sustainability Report, and select one or two for short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This is a new indicator. We will use responses to establish a baseline of how (and whether) faculties are understanding student sustainability self-efficacy, and report on early pilots in the 2026 Sustainability Report. A nil response is useful to us.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combine faculty examples with central Wattle Fellowship and Melbourne Plus data to report on the range and reach of sustainability-focused experiential and co-curricular learning across the University.</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nominated alumni to develop short graduate profiles for the 2026 Sustainability Report (subject to consent), and record any faculty approaches to tracking graduate outcomes to inform how this indicator is measured from 2027.</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report on examples of researchers helping solve the University's own operational sustainability challenges, alongside CLLAP projects reported by CI&amp;S, and share them with operational teams to identify further collaboration.</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map existing academic–professional collaboration mechanisms across faculties to establish a baseline for this new indicator and identify models other faculties could adopt.</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your assessment to describe the quality and continuity of research–operations collaboration in the 2026 report, and as baseline evidence for the interim target status assessment from 2027.</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any feedback to understand whether collaboration mechanisms are working and to inform improvements. Where none has been collected, this helps us plan how to gather feedback from 2027.</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collate research impact examples across faculties to show the breadth of sustainability-related research impact in the Transformational research section of the 2026 Sustainability Report, complementing University-wide metrics from MRE.</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select the strongest examples to develop as full research case studies for the 2026 Sustainability Report (we may contact you for more detail and images).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report on how sustainability is being built into research systems and support across the University, and use responses to establish a baseline for this new target.</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report on ways the University is making research practices more sustainable in the 2026 Sustainability Report, and share practical examples (e.g. green labs) across faculties.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any survey or capability data to describe changes in sustainability-related research culture. Where no evidence exists, this helps us plan University-wide measurement (e.g. staff and graduate researcher surveys) from 2027.</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faculty self-assessments to identify strengths, gaps and priority actions in embedding sustainable research practices, to inform internal management reporting and the Transformational research working group.</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these examples to show how the University communicates climate research and learning to external audiences, and as an input to the institutional decarbonisation research and education mapping due by 2028.</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report on the University's ongoing climate communications in the Climate leadership section of the 2026 Sustainability Report, alongside contributions from Melbourne Climate Futures and the Melbourne Energy Institute.</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report on the ways Indigenous knowledges inform sustainability activities across the University, and develop selected examples into case studies with appropriate permissions.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share examples of living labs from across the University in the 2026 Sustainability Report, alongside CLLAP projects reported by CI&amp;S.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report on internal engagement and partnerships contributing to Sustainability 2030 outcomes, and update our record of sustainability-focused communities of practice and contacts across the University.</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report on how sustainability is integrated into governance and decision-making across faculties and portfolios, and use responses as a baseline for the governance enabler from 2027.</t>
        </is>
      </c>
      <c r="H110" s="8" t="inlineStr">
        <is>
          <t>N/A – new indicator</t>
        </is>
      </c>
      <c r="I110" s="8" t="inlineStr"/>
      <c r="J110" s="8" t="inlineStr"/>
      <c r="K110" s="8" t="inlineStr"/>
      <c r="L110" s="8" t="n"/>
      <c r="M110" s="8" t="n"/>
      <c r="N110" s="8" t="n"/>
      <c r="O110" s="8" t="n"/>
      <c r="P110" s="8" t="n"/>
      <c r="Q110" s="8" t="n"/>
      <c r="R110" s="8" t="n"/>
    </row>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Partially met</t>
        </is>
      </c>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is>
          <t>7b</t>
        </is>
      </c>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is>
          <t>N/A – new indicator</t>
        </is>
      </c>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is>
          <t>N/A – new indicator</t>
        </is>
      </c>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is>
          <t>N/A – new indicator</t>
        </is>
      </c>
      <c r="I14" s="8" t="inlineStr"/>
      <c r="J14" s="8" t="inlineStr"/>
      <c r="K14" s="8" t="inlineStr"/>
      <c r="L14" s="8" t="n"/>
      <c r="M14" s="8" t="n"/>
      <c r="N14" s="8" t="n"/>
      <c r="O14" s="8" t="n"/>
      <c r="P14" s="8" t="n"/>
      <c r="Q14" s="8" t="n"/>
      <c r="R14" s="8" t="n"/>
    </row>
    <row r="17">
      <c r="B17" s="18" t="inlineStr">
        <is>
          <t>1.2  CI&amp;S – Sustainability Strategy (incl. CLLAP)</t>
        </is>
      </c>
    </row>
    <row r="19">
      <c r="C19" s="19" t="inlineStr">
        <is>
          <t>Sustainability 2030 target and indicator</t>
        </is>
      </c>
      <c r="H19" s="19" t="inlineStr">
        <is>
          <t>End-2025 reporting (click the ref to see your full SR25 response; [+] above expands a summary)</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innovative sustainability teaching and learning across faculties to inform the Exceptional education section of the 2026 Sustainability Report, and select one or two for short case studies.</t>
        </is>
      </c>
      <c r="H22" s="8" t="inlineStr">
        <is>
          <t>N/A – new indicator</t>
        </is>
      </c>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is>
          <t>N/A – new indicator</t>
        </is>
      </c>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is>
          <t>N/A – new indicator</t>
        </is>
      </c>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nominated alumni to develop short graduate profiles for the 2026 Sustainability Report (subject to consent), and record any faculty approaches to tracking graduate outcomes to inform how this indicator is measured from 2027.</t>
        </is>
      </c>
      <c r="H25" s="8" t="inlineStr">
        <is>
          <t>N/A – new indicator</t>
        </is>
      </c>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In end-2025 reporting your area reported on the related SP2030 target 5a(ii) and rated it 'Partially met' (see Column J – click [+] above Columns I–K).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report on examples of researchers helping solve the University's own operational sustainability challenges, alongside CLLAP projects reported by CI&amp;S, and share them with operational teams to identify further collaboration.</t>
        </is>
      </c>
      <c r="H26" s="8" t="inlineStr">
        <is>
          <t>5a(ii)</t>
        </is>
      </c>
      <c r="I26" s="8" t="inlineStr">
        <is>
          <t>Partially met</t>
        </is>
      </c>
      <c r="J26" s="8" t="inlineStr">
        <is>
          <t>Tangible improvement in some areas, but not all (haven't done ASRS, for example).</t>
        </is>
      </c>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select the strongest examples to develop as full research case studies for the 2026 Sustainability Report (we may contact you for more detail and images).</t>
        </is>
      </c>
      <c r="H27" s="8" t="inlineStr">
        <is>
          <t>N/A – new indicator</t>
        </is>
      </c>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report on how sustainability is being built into research systems and support across the University, and use responses to establish a baseline for this new target.</t>
        </is>
      </c>
      <c r="H28" s="8" t="inlineStr">
        <is>
          <t>N/A – new indicator</t>
        </is>
      </c>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report on ways the University is making research practices more sustainable in the 2026 Sustainability Report, and share practical examples (e.g. green labs) across faculties.</t>
        </is>
      </c>
      <c r="H29" s="8" t="inlineStr">
        <is>
          <t>N/A – new indicator</t>
        </is>
      </c>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For internal planning: we will record the status of the planned review of Climate Leadership targets (due by 2030).</t>
        </is>
      </c>
      <c r="H30" s="8" t="inlineStr">
        <is>
          <t>N/A – new indicator</t>
        </is>
      </c>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these examples to show how the University communicates climate research and learning to external audiences, and as an input to the institutional decarbonisation research and education mapping due by 2028.</t>
        </is>
      </c>
      <c r="H31" s="8" t="inlineStr">
        <is>
          <t>N/A – new indicator</t>
        </is>
      </c>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provide a high-level overview of AI's estimated operational impacts and opportunities in 2026, ahead of more detailed measurement from 2027.</t>
        </is>
      </c>
      <c r="H32" s="8" t="inlineStr">
        <is>
          <t>N/A – new indicator</t>
        </is>
      </c>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select examples of sustainability and AI-related education, research and collaboration as case studies for the new Responsible AI section of the 2026 Sustainability Report.</t>
        </is>
      </c>
      <c r="H33" s="8" t="inlineStr">
        <is>
          <t>N/A – new indicator</t>
        </is>
      </c>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We did not receive an end-2025 response for the related SP2030 target 11c(ii), so please include any relevant activity from across 2026.
Annual Modern Slavery Statement, with case studies</t>
        </is>
      </c>
      <c r="G34" s="8" t="inlineStr">
        <is>
          <t>We will draw on the annual Modern Slavery Statement and case studies to report on the University's approach to modern slavery and human rights risks (timing to be aligned with the Statement).</t>
        </is>
      </c>
      <c r="H34" s="8" t="inlineStr">
        <is>
          <t>11c(ii)</t>
        </is>
      </c>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5" s="8" t="inlineStr">
        <is>
          <t>We will report on sustainability-related investment portfolio metrics and the University's compliance with related obligations (e.g. UNPRI) in the Responsible investments section of the 2026 Sustainability Report.</t>
        </is>
      </c>
      <c r="H35" s="8" t="inlineStr">
        <is>
          <t>12b(i)</t>
        </is>
      </c>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We did not receive an end-2025 response for the related SP2030 target 2a, so please include any relevant activity from across 2026.
Comment on living labs in the Faculty - outputs, outcomes, and impact</t>
        </is>
      </c>
      <c r="G36" s="8" t="inlineStr">
        <is>
          <t>We will share examples of living labs from across the University in the 2026 Sustainability Report, alongside CLLAP projects reported by CI&amp;S.</t>
        </is>
      </c>
      <c r="H36" s="8" t="inlineStr">
        <is>
          <t>2a</t>
        </is>
      </c>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report on internal engagement and partnerships contributing to Sustainability 2030 outcomes, and update our record of sustainability-focused communities of practice and contacts across the University.</t>
        </is>
      </c>
      <c r="H37" s="8" t="inlineStr">
        <is>
          <t>N/A – new indicator</t>
        </is>
      </c>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report on how sustainability is integrated into governance and decision-making across faculties and portfolios, and use responses as a baseline for the governance enabler from 2027.</t>
        </is>
      </c>
      <c r="H38" s="8" t="inlineStr">
        <is>
          <t>N/A – new indicator</t>
        </is>
      </c>
      <c r="I38" s="8" t="inlineStr"/>
      <c r="J38" s="8" t="inlineStr"/>
      <c r="K38" s="8" t="inlineStr"/>
      <c r="L38" s="8" t="n"/>
      <c r="M38" s="8" t="n"/>
      <c r="N38" s="8" t="n"/>
      <c r="O38" s="8" t="n"/>
      <c r="P38" s="8" t="n"/>
      <c r="Q38" s="8" t="n"/>
      <c r="R38" s="8" t="n"/>
    </row>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is>
          <t>N/A – new indicator</t>
        </is>
      </c>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is>
          <t>N/A – new indicator</t>
        </is>
      </c>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In end-2025 reporting your area reported on the related SP2030 target 11c(iii) and rated it 'Met or exceeded' (see Column J – click [+] above Columns I–K). Please build on this rather than repeating it, focusing on what is new in 2026.
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is>
          <t>11c(iii)</t>
        </is>
      </c>
      <c r="I12" s="8" t="inlineStr">
        <is>
          <t>Met or exceeded</t>
        </is>
      </c>
      <c r="J12" s="8"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In end-2025 reporting your area reported on the related SP2030 target 11c(i) and rated it 'Met or exceeded' (see Column J – click [+] above Columns I–K). Please build on this rather than repeating it, focusing on what is new in 2026.
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is>
          <t>11c(i)</t>
        </is>
      </c>
      <c r="I13" s="8" t="inlineStr">
        <is>
          <t>Met or exceeded</t>
        </is>
      </c>
      <c r="J13" s="8"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is>
          <t>N/A – new indicator</t>
        </is>
      </c>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is>
          <t>N/A – new indicator</t>
        </is>
      </c>
      <c r="I15" s="8" t="inlineStr"/>
      <c r="J15" s="8" t="inlineStr"/>
      <c r="K15" s="8" t="inlineStr"/>
      <c r="L15" s="8" t="n"/>
      <c r="M15" s="8" t="n"/>
      <c r="N15" s="8" t="n"/>
      <c r="O15" s="8" t="n"/>
      <c r="P15" s="8" t="n"/>
      <c r="Q15" s="8" t="n"/>
      <c r="R15" s="8" t="n"/>
    </row>
    <row r="18">
      <c r="B18" s="18" t="inlineStr">
        <is>
          <t>1.2  CFOG – Treasury &amp; Investments</t>
        </is>
      </c>
    </row>
    <row r="20">
      <c r="C20" s="19" t="inlineStr">
        <is>
          <t>Sustainability 2030 target and indicator</t>
        </is>
      </c>
      <c r="H20" s="19" t="inlineStr">
        <is>
          <t>End-2025 reporting (click the ref to see your full SR25 response; [+] above expands a summary)</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In end-2025 reporting your area reported on the related SP2030 target 12b(i) and rated it 'Met or exceeded' (see Column J – click [+] above Columns I–K). Please build on this rather than repeating it, focusing on what is new in 2026.
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is>
          <t>12b(i)</t>
        </is>
      </c>
      <c r="I23" s="8" t="inlineStr">
        <is>
          <t>Met or exceeded</t>
        </is>
      </c>
      <c r="J23" s="8"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3" s="8" t="inlineStr"/>
      <c r="L23" s="8" t="n"/>
      <c r="M23" s="8" t="n"/>
      <c r="N23" s="8" t="n"/>
      <c r="O23" s="8" t="n"/>
      <c r="P23" s="8" t="n"/>
      <c r="Q23" s="8" t="n"/>
      <c r="R23" s="8" t="n"/>
    </row>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6"/>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In end-2025 reporting your area reported on the related SP2030 target 9a(ii) and rated it 'Not met' (see Column J – click [+] above Columns I–K). Please build on this rather than repeating it, focusing on what is new in 2026.
(Reporting request TBC)</t>
        </is>
      </c>
      <c r="G10" s="8" t="inlineStr">
        <is>
          <t>For internal management reporting only: we will track the size, health and diversity of remnant vegetation at Dookie and Creswick. This information will not be published.</t>
        </is>
      </c>
      <c r="H10" s="8" t="inlineStr">
        <is>
          <t>9a(ii)</t>
        </is>
      </c>
      <c r="I10" s="8" t="inlineStr">
        <is>
          <t>Not met</t>
        </is>
      </c>
      <c r="J10" s="8" t="inlineStr">
        <is>
          <t>Dookie Bush Block Living Lab (case study)
Creswick Vegetation Assessment Capstone Project,  (case study)</t>
        </is>
      </c>
      <c r="K10" s="8" t="inlineStr">
        <is>
          <t>https://unimelbcloud.sharepoint.com/:w:/r/teams/Sustainability/Shared%20Documents/General/Governance/Reporting/2026/2025%20Sustainability%20Report/Biodiversity.docx?d=w7b85fae81d704587910e1e9320a6bf31&amp;csf=1&amp;web=1&amp;e=GCfji1</t>
        </is>
      </c>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In end-2025 reporting your area reported on the related SP2030 target 9a(i) and rated it 'Not met' (see Column J – click [+] above Columns I–K). Please build on this rather than repeating it, focusing on what is new in 2026.
(Reporting request TBC)</t>
        </is>
      </c>
      <c r="G11" s="8" t="inlineStr">
        <is>
          <t>We will report progress on developing the biodiversity quality measurement framework, which will underpin how the biodiversity target is assessed from 2027.</t>
        </is>
      </c>
      <c r="H11" s="8" t="inlineStr">
        <is>
          <t>9a(i)</t>
        </is>
      </c>
      <c r="I11" s="8" t="inlineStr">
        <is>
          <t>Not met</t>
        </is>
      </c>
      <c r="J11" s="8" t="inlineStr">
        <is>
          <t>Two out of seven metrics have achieved net-gain across all campuses. 
Tree Planting Program: 161 trees were planted across three campuses. 
Dookie Community Planting Day, 79 volunteers planted 142 tube stock.</t>
        </is>
      </c>
      <c r="K11" s="8" t="inlineStr">
        <is>
          <t>https://unimelbcloud.sharepoint.com/:w:/r/teams/Sustainability/Shared%20Documents/General/Governance/Reporting/2026/2025%20Sustainability%20Report/Biodiversity.docx?d=w7b85fae81d704587910e1e9320a6bf31&amp;csf=1&amp;web=1&amp;e=GCfji1</t>
        </is>
      </c>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is>
          <t>9b(i)</t>
        </is>
      </c>
      <c r="I12" s="8" t="inlineStr">
        <is>
          <t>Not yet started</t>
        </is>
      </c>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is>
          <t>N/A – new indicator</t>
        </is>
      </c>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is>
          <t>N/A – new indicator</t>
        </is>
      </c>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In end-2025 reporting your area reported on the related SP2030 target 7a and rated it 'Partially met'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is>
          <t>7a</t>
        </is>
      </c>
      <c r="I15" s="8" t="inlineStr">
        <is>
          <t>Partially met</t>
        </is>
      </c>
      <c r="J15" s="8" t="inlineStr">
        <is>
          <t>National Reconciliation Week 2025 – Partnering for Country and community</t>
        </is>
      </c>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is>
          <t>N/A – new indicator</t>
        </is>
      </c>
      <c r="I16" s="8" t="inlineStr"/>
      <c r="J16" s="8" t="inlineStr"/>
      <c r="K16" s="8" t="inlineStr"/>
      <c r="L16" s="8" t="n"/>
      <c r="M16" s="8" t="n"/>
      <c r="N16" s="8" t="n"/>
      <c r="O16" s="8" t="n"/>
      <c r="P16" s="8" t="n"/>
      <c r="Q16" s="8" t="n"/>
      <c r="R16" s="8" t="n"/>
    </row>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c r="R13" s="8" t="n"/>
    </row>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In end-2025 reporting your area reported on the related SP2030 target 5b(iii) and rated it 'Met or exceeded' (see Column J – click [+] above Columns I–K). Please build on this rather than repeating it, focusing on what is new in 2026.
currently mapped to the SDGs using SciVal</t>
        </is>
      </c>
      <c r="G10" s="8" t="inlineStr">
        <is>
          <t>We will use institutional research output data (e.g. SDG-mapped publications via SciVal) to provide the University-wide quantitative picture of sustainability-related research in the 2026 Sustainability Report.</t>
        </is>
      </c>
      <c r="H10" s="8" t="inlineStr">
        <is>
          <t>5b(iii)</t>
        </is>
      </c>
      <c r="I10" s="8" t="inlineStr">
        <is>
          <t>Met or exceeded</t>
        </is>
      </c>
      <c r="J10" s="8" t="inlineStr">
        <is>
          <t>The University’s research outputs continue to be extensively mentioned in patents, policy, news and social media.</t>
        </is>
      </c>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report on the baseline nature footprint of the University's supply chain in the Nature and biodiversity section of the 2026 Sustainability Report.</t>
        </is>
      </c>
      <c r="H11" s="8" t="inlineStr">
        <is>
          <t>N/A – new indicator</t>
        </is>
      </c>
      <c r="I11" s="8" t="inlineStr"/>
      <c r="J11" s="8" t="inlineStr"/>
      <c r="K11" s="8" t="inlineStr"/>
      <c r="L11" s="8" t="n"/>
      <c r="M11" s="8" t="n"/>
      <c r="N11" s="8" t="n"/>
      <c r="O11" s="8" t="n"/>
      <c r="P11" s="8" t="n"/>
      <c r="Q11" s="8" t="n"/>
      <c r="R11" s="8" t="n"/>
    </row>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R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Legal and Risk</t>
        </is>
      </c>
    </row>
    <row r="3">
      <c r="B3" s="9" t="inlineStr">
        <is>
          <t>Consolidated responses – paste from returned request workbooks (identical column layout). Click [+] above Columns H–K for end-2025 responses.</t>
        </is>
      </c>
    </row>
    <row r="5">
      <c r="B5" s="18" t="inlineStr">
        <is>
          <t>1.1  Legal &amp; Risk – Risk &amp; resilience</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In end-2025 reporting your area reported on the related SP2030 target 8a(i) and rated it 'Met or exceeded' (see Column J – click [+] above Columns I–K). Please build on this rather than repeating it, focusing on what is new in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Met or exceeded</t>
        </is>
      </c>
      <c r="J10" s="8"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0" s="8" t="inlineStr">
        <is>
          <t>All University risks including Risk 16 Climate Change were presented to RMCC and ARC in Nov 25 for their oversight.
There will be a risk presentation of Risk 16 Climate Change at RMCC Meeting 1 in Feb 2026.</t>
        </is>
      </c>
      <c r="L10" s="8" t="n"/>
      <c r="M10" s="8" t="n"/>
      <c r="N10" s="8" t="n"/>
      <c r="O10" s="8" t="n"/>
      <c r="P10" s="8" t="n"/>
      <c r="Q10" s="8" t="n"/>
      <c r="R10" s="8" t="n"/>
    </row>
  </sheetData>
  <mergeCells count="3">
    <mergeCell ref="C7:G7"/>
    <mergeCell ref="L7:R7"/>
    <mergeCell ref="H7:K7"/>
  </mergeCells>
  <dataValidations count="2">
    <dataValidation sqref="L10" showDropDown="0" showInputMessage="0" showErrorMessage="0" allowBlank="1" errorTitle="Invalid entry" error="Please select from the dropdown" type="list">
      <formula1>=Lists!$B$3:$B$7</formula1>
    </dataValidation>
    <dataValidation sqref="Q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29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c r="A1" s="1" t="inlineStr">
        <is>
          <t>↑</t>
        </is>
      </c>
      <c r="B1" s="2" t="inlineStr">
        <is>
          <t>End-2026 target status assessment and reporting</t>
        </is>
      </c>
    </row>
    <row r="2">
      <c r="B2" s="3" t="inlineStr">
        <is>
          <t>A1. Data scoring summary tab</t>
        </is>
      </c>
    </row>
    <row r="4">
      <c r="C4" s="15" t="inlineStr">
        <is>
          <t>Description</t>
        </is>
      </c>
      <c r="D4" s="23"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24" t="inlineStr">
        <is>
          <t>Faculty</t>
        </is>
      </c>
      <c r="I9" s="24" t="inlineStr">
        <is>
          <t>Faculty</t>
        </is>
      </c>
      <c r="J9" s="24" t="inlineStr">
        <is>
          <t>Faculty</t>
        </is>
      </c>
      <c r="K9" s="24" t="inlineStr">
        <is>
          <t>Faculty</t>
        </is>
      </c>
      <c r="L9" s="24" t="inlineStr">
        <is>
          <t>Central</t>
        </is>
      </c>
      <c r="M9" s="24" t="inlineStr">
        <is>
          <t>Central</t>
        </is>
      </c>
      <c r="N9" s="24" t="inlineStr">
        <is>
          <t>Central</t>
        </is>
      </c>
      <c r="O9" s="24" t="inlineStr">
        <is>
          <t>Central</t>
        </is>
      </c>
      <c r="P9" s="24" t="inlineStr">
        <is>
          <t>Central</t>
        </is>
      </c>
      <c r="Q9" s="24" t="inlineStr">
        <is>
          <t>Central</t>
        </is>
      </c>
      <c r="R9" s="24" t="inlineStr">
        <is>
          <t>Central</t>
        </is>
      </c>
      <c r="S9" s="24"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Legal &amp; Risk – Risk &amp; resilience</t>
        </is>
      </c>
      <c r="T10" s="6" t="n"/>
      <c r="U10" s="6" t="inlineStr">
        <is>
          <t>Requested, no response received</t>
        </is>
      </c>
      <c r="V10" s="6" t="inlineStr">
        <is>
          <t>Not yet started</t>
        </is>
      </c>
      <c r="W10" s="6" t="inlineStr">
        <is>
          <t>Not met</t>
        </is>
      </c>
      <c r="X10" s="6" t="inlineStr">
        <is>
          <t>Partially met</t>
        </is>
      </c>
      <c r="Y10" s="6" t="inlineStr">
        <is>
          <t>Met or exceeded</t>
        </is>
      </c>
      <c r="Z10" s="6" t="inlineStr">
        <is>
          <t>Total score</t>
        </is>
      </c>
      <c r="AA10" s="6" t="inlineStr">
        <is>
          <t>Total valid responses</t>
        </is>
      </c>
      <c r="AB10" s="6" t="inlineStr">
        <is>
          <t>Target score (average)</t>
        </is>
      </c>
      <c r="AC10" s="6" t="inlineStr">
        <is>
          <t>Target score (text)</t>
        </is>
      </c>
      <c r="AD10" s="6" t="inlineStr">
        <is>
          <t>% met</t>
        </is>
      </c>
      <c r="AE10" s="6" t="inlineStr">
        <is>
          <t>% met or partially met</t>
        </is>
      </c>
      <c r="AF10" s="6" t="inlineStr">
        <is>
          <t>Threshold status (SR25 rule)</t>
        </is>
      </c>
    </row>
    <row r="11">
      <c r="A11">
        <f>F11&amp;"|"&amp;G11</f>
        <v/>
      </c>
      <c r="B11" s="7" t="inlineStr">
        <is>
          <t>EE1(a)</t>
        </is>
      </c>
      <c r="C11" s="12" t="inlineStr">
        <is>
          <t>Exceptional education</t>
        </is>
      </c>
      <c r="D11" s="12" t="inlineStr">
        <is>
          <t>Evidence of innovative approaches to sustainability teaching and learning</t>
        </is>
      </c>
      <c r="E11"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12" t="inlineStr">
        <is>
          <t>EE1(a)</t>
        </is>
      </c>
      <c r="G11" s="12" t="inlineStr">
        <is>
          <t>Confirm end-2026 target status</t>
        </is>
      </c>
      <c r="H11" s="25">
        <f>IFERROR(IF(INDEX('Faculties'!$L$10:$L$30,MATCH($F11,'Faculties'!$B$10:$B$30,0))="","Cell will autofill based on response",INDEX('Faculties'!$L$10:$L$30,MATCH($F11,'Faculties'!$B$10:$B$30,0))),"N/A")</f>
        <v/>
      </c>
      <c r="I11" s="25">
        <f>IFERROR(IF(INDEX('Faculties'!$L$37:$L$57,MATCH($F11,'Faculties'!$B$37:$B$57,0))="","Cell will autofill based on response",INDEX('Faculties'!$L$37:$L$57,MATCH($F11,'Faculties'!$B$37:$B$57,0))),"N/A")</f>
        <v/>
      </c>
      <c r="J11" s="25">
        <f>IFERROR(IF(INDEX('Faculties'!$L$64:$L$84,MATCH($F11,'Faculties'!$B$64:$B$84,0))="","Cell will autofill based on response",INDEX('Faculties'!$L$64:$L$84,MATCH($F11,'Faculties'!$B$64:$B$84,0))),"N/A")</f>
        <v/>
      </c>
      <c r="K11" s="25">
        <f>IFERROR(IF(INDEX('Faculties'!$L$91:$L$111,MATCH($F11,'Faculties'!$B$91:$B$111,0))="","Cell will autofill based on response",INDEX('Faculties'!$L$91:$L$111,MATCH($F11,'Faculties'!$B$91:$B$111,0))),"N/A")</f>
        <v/>
      </c>
      <c r="L11" s="25">
        <f>IFERROR(IF(INDEX('CI&amp;S'!$L$10:$L$15,MATCH($F11,'CI&amp;S'!$B$10:$B$15,0))="","Cell will autofill based on response",INDEX('CI&amp;S'!$L$10:$L$15,MATCH($F11,'CI&amp;S'!$B$10:$B$15,0))),"N/A")</f>
        <v/>
      </c>
      <c r="M11" s="25">
        <f>IFERROR(IF(INDEX('CI&amp;S'!$L$22:$L$39,MATCH($F11,'CI&amp;S'!$B$22:$B$39,0))="","Cell will autofill based on response",INDEX('CI&amp;S'!$L$22:$L$39,MATCH($F11,'CI&amp;S'!$B$22:$B$39,0))),"N/A")</f>
        <v/>
      </c>
      <c r="N11" s="25">
        <f>IFERROR(IF(INDEX('CFOG'!$L$10:$L$16,MATCH($F11,'CFOG'!$B$10:$B$16,0))="","Cell will autofill based on response",INDEX('CFOG'!$L$10:$L$16,MATCH($F11,'CFOG'!$B$10:$B$16,0))),"N/A")</f>
        <v/>
      </c>
      <c r="O11" s="25">
        <f>IFERROR(IF(INDEX('CFOG'!$L$23:$L$24,MATCH($F11,'CFOG'!$B$23:$B$24,0))="","Cell will autofill based on response",INDEX('CFOG'!$L$23:$L$24,MATCH($F11,'CFOG'!$B$23:$B$24,0))),"N/A")</f>
        <v/>
      </c>
      <c r="P11" s="25">
        <f>IFERROR(IF(INDEX('ESG'!$L$10:$L$17,MATCH($F11,'ESG'!$B$10:$B$17,0))="","Cell will autofill based on response",INDEX('ESG'!$L$10:$L$17,MATCH($F11,'ESG'!$B$10:$B$17,0))),"N/A")</f>
        <v/>
      </c>
      <c r="Q11" s="25">
        <f>IFERROR(IF(INDEX('CIOG'!$L$10:$L$14,MATCH($F11,'CIOG'!$B$10:$B$14,0))="","Cell will autofill based on response",INDEX('CIOG'!$L$10:$L$14,MATCH($F11,'CIOG'!$B$10:$B$14,0))),"N/A")</f>
        <v/>
      </c>
      <c r="R11" s="25">
        <f>IFERROR(IF(INDEX('MRE'!$L$10:$L$12,MATCH($F11,'MRE'!$B$10:$B$12,0))="","Cell will autofill based on response",INDEX('MRE'!$L$10:$L$12,MATCH($F11,'MRE'!$B$10:$B$12,0))),"N/A")</f>
        <v/>
      </c>
      <c r="S11" s="25">
        <f>IFERROR(IF(INDEX('L&amp;R'!$L$10:$L$11,MATCH($F11,'L&amp;R'!$B$10:$B$11,0))="","Cell will autofill based on response",INDEX('L&amp;R'!$L$10:$L$11,MATCH($F11,'L&amp;R'!$B$10:$B$11,0))),"N/A")</f>
        <v/>
      </c>
      <c r="U11" s="26">
        <f>COUNTIF($H11:$S11,"Cell will autofill based on response")</f>
        <v/>
      </c>
      <c r="V11" s="26">
        <f>COUNTIF($H11:$S11,"Not yet started")</f>
        <v/>
      </c>
      <c r="W11" s="26">
        <f>COUNTIF($H11:$S11,"Not met")</f>
        <v/>
      </c>
      <c r="X11" s="26">
        <f>COUNTIF($H11:$S11,"Partially met")</f>
        <v/>
      </c>
      <c r="Y11" s="26">
        <f>COUNTIF($H11:$S11,"Met or exceeded")</f>
        <v/>
      </c>
      <c r="Z11" s="26">
        <f>3*Y11+2*X11+W11</f>
        <v/>
      </c>
      <c r="AA11" s="26">
        <f>Y11+X11+W11+V11</f>
        <v/>
      </c>
      <c r="AB11" s="27">
        <f>IF(AA11&gt;0,Z11/AA11,"No valid responses to date")</f>
        <v/>
      </c>
      <c r="AC11" s="26">
        <f>IF(ISNUMBER(AB11),INDEX(Lists!$G$2:$G$5,MATCH(ROUND(AB11,0),Lists!$H$2:$H$5,0)),"")</f>
        <v/>
      </c>
      <c r="AD11" s="28">
        <f>IF(AA11&gt;0,Y11/AA11,"")</f>
        <v/>
      </c>
      <c r="AE11" s="28">
        <f>IF(AA11&gt;0,(Y11+X11)/AA11,"")</f>
        <v/>
      </c>
      <c r="AF11" s="26">
        <f>IF(AA11=0,"",IF(AD11&gt;0.75,"Met or exceeded",IF(AE11&gt;=0.5,"Partially met","Not met")))</f>
        <v/>
      </c>
    </row>
    <row r="12">
      <c r="A12">
        <f>F12&amp;"|"&amp;G12</f>
        <v/>
      </c>
      <c r="B12" s="29" t="inlineStr"/>
      <c r="C12" s="8" t="inlineStr"/>
      <c r="D12" s="8" t="inlineStr"/>
      <c r="E12" s="8" t="inlineStr"/>
      <c r="F12" s="8" t="inlineStr">
        <is>
          <t>EE1(a)</t>
        </is>
      </c>
      <c r="G12" s="8" t="inlineStr">
        <is>
          <t>OPTION 1:  Target-level reporting</t>
        </is>
      </c>
      <c r="H12" s="25">
        <f>IFERROR(IF(INDEX('Faculties'!$M$10:$M$30,MATCH($F12,'Faculties'!$B$10:$B$30,0))="","Cell will autofill based on response",INDEX('Faculties'!$M$10:$M$30,MATCH($F12,'Faculties'!$B$10:$B$30,0))),"N/A")</f>
        <v/>
      </c>
      <c r="I12" s="25">
        <f>IFERROR(IF(INDEX('Faculties'!$M$37:$M$57,MATCH($F12,'Faculties'!$B$37:$B$57,0))="","Cell will autofill based on response",INDEX('Faculties'!$M$37:$M$57,MATCH($F12,'Faculties'!$B$37:$B$57,0))),"N/A")</f>
        <v/>
      </c>
      <c r="J12" s="25">
        <f>IFERROR(IF(INDEX('Faculties'!$M$64:$M$84,MATCH($F12,'Faculties'!$B$64:$B$84,0))="","Cell will autofill based on response",INDEX('Faculties'!$M$64:$M$84,MATCH($F12,'Faculties'!$B$64:$B$84,0))),"N/A")</f>
        <v/>
      </c>
      <c r="K12" s="25">
        <f>IFERROR(IF(INDEX('Faculties'!$M$91:$M$111,MATCH($F12,'Faculties'!$B$91:$B$111,0))="","Cell will autofill based on response",INDEX('Faculties'!$M$91:$M$111,MATCH($F12,'Faculties'!$B$91:$B$111,0))),"N/A")</f>
        <v/>
      </c>
      <c r="L12" s="25">
        <f>IFERROR(IF(INDEX('CI&amp;S'!$M$10:$M$15,MATCH($F12,'CI&amp;S'!$B$10:$B$15,0))="","Cell will autofill based on response",INDEX('CI&amp;S'!$M$10:$M$15,MATCH($F12,'CI&amp;S'!$B$10:$B$15,0))),"N/A")</f>
        <v/>
      </c>
      <c r="M12" s="25">
        <f>IFERROR(IF(INDEX('CI&amp;S'!$M$22:$M$39,MATCH($F12,'CI&amp;S'!$B$22:$B$39,0))="","Cell will autofill based on response",INDEX('CI&amp;S'!$M$22:$M$39,MATCH($F12,'CI&amp;S'!$B$22:$B$39,0))),"N/A")</f>
        <v/>
      </c>
      <c r="N12" s="25">
        <f>IFERROR(IF(INDEX('CFOG'!$M$10:$M$16,MATCH($F12,'CFOG'!$B$10:$B$16,0))="","Cell will autofill based on response",INDEX('CFOG'!$M$10:$M$16,MATCH($F12,'CFOG'!$B$10:$B$16,0))),"N/A")</f>
        <v/>
      </c>
      <c r="O12" s="25">
        <f>IFERROR(IF(INDEX('CFOG'!$M$23:$M$24,MATCH($F12,'CFOG'!$B$23:$B$24,0))="","Cell will autofill based on response",INDEX('CFOG'!$M$23:$M$24,MATCH($F12,'CFOG'!$B$23:$B$24,0))),"N/A")</f>
        <v/>
      </c>
      <c r="P12" s="25">
        <f>IFERROR(IF(INDEX('ESG'!$M$10:$M$17,MATCH($F12,'ESG'!$B$10:$B$17,0))="","Cell will autofill based on response",INDEX('ESG'!$M$10:$M$17,MATCH($F12,'ESG'!$B$10:$B$17,0))),"N/A")</f>
        <v/>
      </c>
      <c r="Q12" s="25">
        <f>IFERROR(IF(INDEX('CIOG'!$M$10:$M$14,MATCH($F12,'CIOG'!$B$10:$B$14,0))="","Cell will autofill based on response",INDEX('CIOG'!$M$10:$M$14,MATCH($F12,'CIOG'!$B$10:$B$14,0))),"N/A")</f>
        <v/>
      </c>
      <c r="R12" s="25">
        <f>IFERROR(IF(INDEX('MRE'!$M$10:$M$12,MATCH($F12,'MRE'!$B$10:$B$12,0))="","Cell will autofill based on response",INDEX('MRE'!$M$10:$M$12,MATCH($F12,'MRE'!$B$10:$B$12,0))),"N/A")</f>
        <v/>
      </c>
      <c r="S12" s="25">
        <f>IFERROR(IF(INDEX('L&amp;R'!$M$10:$M$11,MATCH($F12,'L&amp;R'!$B$10:$B$11,0))="","Cell will autofill based on response",INDEX('L&amp;R'!$M$10:$M$11,MATCH($F12,'L&amp;R'!$B$10:$B$11,0))),"N/A")</f>
        <v/>
      </c>
    </row>
    <row r="13">
      <c r="A13">
        <f>F13&amp;"|"&amp;G13</f>
        <v/>
      </c>
      <c r="B13" s="29" t="inlineStr"/>
      <c r="C13" s="8" t="inlineStr"/>
      <c r="D13" s="8" t="inlineStr"/>
      <c r="E13" s="8" t="inlineStr"/>
      <c r="F13" s="8" t="inlineStr">
        <is>
          <t>EE1(a)</t>
        </is>
      </c>
      <c r="G13" s="8" t="inlineStr">
        <is>
          <t>OPTION 2:  Indicator level reporting</t>
        </is>
      </c>
      <c r="H13" s="25">
        <f>IFERROR(IF(INDEX('Faculties'!$N$10:$N$30,MATCH($F13,'Faculties'!$B$10:$B$30,0))="","Cell will autofill based on response",INDEX('Faculties'!$N$10:$N$30,MATCH($F13,'Faculties'!$B$10:$B$30,0))),"N/A")</f>
        <v/>
      </c>
      <c r="I13" s="25">
        <f>IFERROR(IF(INDEX('Faculties'!$N$37:$N$57,MATCH($F13,'Faculties'!$B$37:$B$57,0))="","Cell will autofill based on response",INDEX('Faculties'!$N$37:$N$57,MATCH($F13,'Faculties'!$B$37:$B$57,0))),"N/A")</f>
        <v/>
      </c>
      <c r="J13" s="25">
        <f>IFERROR(IF(INDEX('Faculties'!$N$64:$N$84,MATCH($F13,'Faculties'!$B$64:$B$84,0))="","Cell will autofill based on response",INDEX('Faculties'!$N$64:$N$84,MATCH($F13,'Faculties'!$B$64:$B$84,0))),"N/A")</f>
        <v/>
      </c>
      <c r="K13" s="25">
        <f>IFERROR(IF(INDEX('Faculties'!$N$91:$N$111,MATCH($F13,'Faculties'!$B$91:$B$111,0))="","Cell will autofill based on response",INDEX('Faculties'!$N$91:$N$111,MATCH($F13,'Faculties'!$B$91:$B$111,0))),"N/A")</f>
        <v/>
      </c>
      <c r="L13" s="25">
        <f>IFERROR(IF(INDEX('CI&amp;S'!$N$10:$N$15,MATCH($F13,'CI&amp;S'!$B$10:$B$15,0))="","Cell will autofill based on response",INDEX('CI&amp;S'!$N$10:$N$15,MATCH($F13,'CI&amp;S'!$B$10:$B$15,0))),"N/A")</f>
        <v/>
      </c>
      <c r="M13" s="25">
        <f>IFERROR(IF(INDEX('CI&amp;S'!$N$22:$N$39,MATCH($F13,'CI&amp;S'!$B$22:$B$39,0))="","Cell will autofill based on response",INDEX('CI&amp;S'!$N$22:$N$39,MATCH($F13,'CI&amp;S'!$B$22:$B$39,0))),"N/A")</f>
        <v/>
      </c>
      <c r="N13" s="25">
        <f>IFERROR(IF(INDEX('CFOG'!$N$10:$N$16,MATCH($F13,'CFOG'!$B$10:$B$16,0))="","Cell will autofill based on response",INDEX('CFOG'!$N$10:$N$16,MATCH($F13,'CFOG'!$B$10:$B$16,0))),"N/A")</f>
        <v/>
      </c>
      <c r="O13" s="25">
        <f>IFERROR(IF(INDEX('CFOG'!$N$23:$N$24,MATCH($F13,'CFOG'!$B$23:$B$24,0))="","Cell will autofill based on response",INDEX('CFOG'!$N$23:$N$24,MATCH($F13,'CFOG'!$B$23:$B$24,0))),"N/A")</f>
        <v/>
      </c>
      <c r="P13" s="25">
        <f>IFERROR(IF(INDEX('ESG'!$N$10:$N$17,MATCH($F13,'ESG'!$B$10:$B$17,0))="","Cell will autofill based on response",INDEX('ESG'!$N$10:$N$17,MATCH($F13,'ESG'!$B$10:$B$17,0))),"N/A")</f>
        <v/>
      </c>
      <c r="Q13" s="25">
        <f>IFERROR(IF(INDEX('CIOG'!$N$10:$N$14,MATCH($F13,'CIOG'!$B$10:$B$14,0))="","Cell will autofill based on response",INDEX('CIOG'!$N$10:$N$14,MATCH($F13,'CIOG'!$B$10:$B$14,0))),"N/A")</f>
        <v/>
      </c>
      <c r="R13" s="25">
        <f>IFERROR(IF(INDEX('MRE'!$N$10:$N$12,MATCH($F13,'MRE'!$B$10:$B$12,0))="","Cell will autofill based on response",INDEX('MRE'!$N$10:$N$12,MATCH($F13,'MRE'!$B$10:$B$12,0))),"N/A")</f>
        <v/>
      </c>
      <c r="S13" s="25">
        <f>IFERROR(IF(INDEX('L&amp;R'!$N$10:$N$11,MATCH($F13,'L&amp;R'!$B$10:$B$11,0))="","Cell will autofill based on response",INDEX('L&amp;R'!$N$10:$N$11,MATCH($F13,'L&amp;R'!$B$10:$B$11,0))),"N/A")</f>
        <v/>
      </c>
    </row>
    <row r="14">
      <c r="A14">
        <f>F14&amp;"|"&amp;G14</f>
        <v/>
      </c>
      <c r="B14" s="29" t="inlineStr"/>
      <c r="C14" s="8" t="inlineStr"/>
      <c r="D14" s="8" t="inlineStr"/>
      <c r="E14" s="8" t="inlineStr"/>
      <c r="F14" s="8" t="inlineStr">
        <is>
          <t>EE1(a)</t>
        </is>
      </c>
      <c r="G14" s="8" t="inlineStr">
        <is>
          <t>Supporting information/comments</t>
        </is>
      </c>
      <c r="H14" s="25">
        <f>IFERROR(IF(INDEX('Faculties'!$O$10:$O$30,MATCH($F14,'Faculties'!$B$10:$B$30,0))="","Cell will autofill based on response",INDEX('Faculties'!$O$10:$O$30,MATCH($F14,'Faculties'!$B$10:$B$30,0))),"N/A")</f>
        <v/>
      </c>
      <c r="I14" s="25">
        <f>IFERROR(IF(INDEX('Faculties'!$O$37:$O$57,MATCH($F14,'Faculties'!$B$37:$B$57,0))="","Cell will autofill based on response",INDEX('Faculties'!$O$37:$O$57,MATCH($F14,'Faculties'!$B$37:$B$57,0))),"N/A")</f>
        <v/>
      </c>
      <c r="J14" s="25">
        <f>IFERROR(IF(INDEX('Faculties'!$O$64:$O$84,MATCH($F14,'Faculties'!$B$64:$B$84,0))="","Cell will autofill based on response",INDEX('Faculties'!$O$64:$O$84,MATCH($F14,'Faculties'!$B$64:$B$84,0))),"N/A")</f>
        <v/>
      </c>
      <c r="K14" s="25">
        <f>IFERROR(IF(INDEX('Faculties'!$O$91:$O$111,MATCH($F14,'Faculties'!$B$91:$B$111,0))="","Cell will autofill based on response",INDEX('Faculties'!$O$91:$O$111,MATCH($F14,'Faculties'!$B$91:$B$111,0))),"N/A")</f>
        <v/>
      </c>
      <c r="L14" s="25">
        <f>IFERROR(IF(INDEX('CI&amp;S'!$O$10:$O$15,MATCH($F14,'CI&amp;S'!$B$10:$B$15,0))="","Cell will autofill based on response",INDEX('CI&amp;S'!$O$10:$O$15,MATCH($F14,'CI&amp;S'!$B$10:$B$15,0))),"N/A")</f>
        <v/>
      </c>
      <c r="M14" s="25">
        <f>IFERROR(IF(INDEX('CI&amp;S'!$O$22:$O$39,MATCH($F14,'CI&amp;S'!$B$22:$B$39,0))="","Cell will autofill based on response",INDEX('CI&amp;S'!$O$22:$O$39,MATCH($F14,'CI&amp;S'!$B$22:$B$39,0))),"N/A")</f>
        <v/>
      </c>
      <c r="N14" s="25">
        <f>IFERROR(IF(INDEX('CFOG'!$O$10:$O$16,MATCH($F14,'CFOG'!$B$10:$B$16,0))="","Cell will autofill based on response",INDEX('CFOG'!$O$10:$O$16,MATCH($F14,'CFOG'!$B$10:$B$16,0))),"N/A")</f>
        <v/>
      </c>
      <c r="O14" s="25">
        <f>IFERROR(IF(INDEX('CFOG'!$O$23:$O$24,MATCH($F14,'CFOG'!$B$23:$B$24,0))="","Cell will autofill based on response",INDEX('CFOG'!$O$23:$O$24,MATCH($F14,'CFOG'!$B$23:$B$24,0))),"N/A")</f>
        <v/>
      </c>
      <c r="P14" s="25">
        <f>IFERROR(IF(INDEX('ESG'!$O$10:$O$17,MATCH($F14,'ESG'!$B$10:$B$17,0))="","Cell will autofill based on response",INDEX('ESG'!$O$10:$O$17,MATCH($F14,'ESG'!$B$10:$B$17,0))),"N/A")</f>
        <v/>
      </c>
      <c r="Q14" s="25">
        <f>IFERROR(IF(INDEX('CIOG'!$O$10:$O$14,MATCH($F14,'CIOG'!$B$10:$B$14,0))="","Cell will autofill based on response",INDEX('CIOG'!$O$10:$O$14,MATCH($F14,'CIOG'!$B$10:$B$14,0))),"N/A")</f>
        <v/>
      </c>
      <c r="R14" s="25">
        <f>IFERROR(IF(INDEX('MRE'!$O$10:$O$12,MATCH($F14,'MRE'!$B$10:$B$12,0))="","Cell will autofill based on response",INDEX('MRE'!$O$10:$O$12,MATCH($F14,'MRE'!$B$10:$B$12,0))),"N/A")</f>
        <v/>
      </c>
      <c r="S14" s="25">
        <f>IFERROR(IF(INDEX('L&amp;R'!$O$10:$O$11,MATCH($F14,'L&amp;R'!$B$10:$B$11,0))="","Cell will autofill based on response",INDEX('L&amp;R'!$O$10:$O$11,MATCH($F14,'L&amp;R'!$B$10:$B$11,0))),"N/A")</f>
        <v/>
      </c>
    </row>
    <row r="15">
      <c r="A15">
        <f>F15&amp;"|"&amp;G15</f>
        <v/>
      </c>
      <c r="B15" s="29" t="inlineStr"/>
      <c r="C15" s="8" t="inlineStr"/>
      <c r="D15" s="8" t="inlineStr"/>
      <c r="E15" s="8" t="inlineStr"/>
      <c r="F15" s="8" t="inlineStr">
        <is>
          <t>EE1(a)</t>
        </is>
      </c>
      <c r="G15" s="8" t="inlineStr">
        <is>
          <t>Data source and limitations</t>
        </is>
      </c>
      <c r="H15" s="25">
        <f>IFERROR(IF(INDEX('Faculties'!$P$10:$P$30,MATCH($F15,'Faculties'!$B$10:$B$30,0))="","Cell will autofill based on response",INDEX('Faculties'!$P$10:$P$30,MATCH($F15,'Faculties'!$B$10:$B$30,0))),"N/A")</f>
        <v/>
      </c>
      <c r="I15" s="25">
        <f>IFERROR(IF(INDEX('Faculties'!$P$37:$P$57,MATCH($F15,'Faculties'!$B$37:$B$57,0))="","Cell will autofill based on response",INDEX('Faculties'!$P$37:$P$57,MATCH($F15,'Faculties'!$B$37:$B$57,0))),"N/A")</f>
        <v/>
      </c>
      <c r="J15" s="25">
        <f>IFERROR(IF(INDEX('Faculties'!$P$64:$P$84,MATCH($F15,'Faculties'!$B$64:$B$84,0))="","Cell will autofill based on response",INDEX('Faculties'!$P$64:$P$84,MATCH($F15,'Faculties'!$B$64:$B$84,0))),"N/A")</f>
        <v/>
      </c>
      <c r="K15" s="25">
        <f>IFERROR(IF(INDEX('Faculties'!$P$91:$P$111,MATCH($F15,'Faculties'!$B$91:$B$111,0))="","Cell will autofill based on response",INDEX('Faculties'!$P$91:$P$111,MATCH($F15,'Faculties'!$B$91:$B$111,0))),"N/A")</f>
        <v/>
      </c>
      <c r="L15" s="25">
        <f>IFERROR(IF(INDEX('CI&amp;S'!$P$10:$P$15,MATCH($F15,'CI&amp;S'!$B$10:$B$15,0))="","Cell will autofill based on response",INDEX('CI&amp;S'!$P$10:$P$15,MATCH($F15,'CI&amp;S'!$B$10:$B$15,0))),"N/A")</f>
        <v/>
      </c>
      <c r="M15" s="25">
        <f>IFERROR(IF(INDEX('CI&amp;S'!$P$22:$P$39,MATCH($F15,'CI&amp;S'!$B$22:$B$39,0))="","Cell will autofill based on response",INDEX('CI&amp;S'!$P$22:$P$39,MATCH($F15,'CI&amp;S'!$B$22:$B$39,0))),"N/A")</f>
        <v/>
      </c>
      <c r="N15" s="25">
        <f>IFERROR(IF(INDEX('CFOG'!$P$10:$P$16,MATCH($F15,'CFOG'!$B$10:$B$16,0))="","Cell will autofill based on response",INDEX('CFOG'!$P$10:$P$16,MATCH($F15,'CFOG'!$B$10:$B$16,0))),"N/A")</f>
        <v/>
      </c>
      <c r="O15" s="25">
        <f>IFERROR(IF(INDEX('CFOG'!$P$23:$P$24,MATCH($F15,'CFOG'!$B$23:$B$24,0))="","Cell will autofill based on response",INDEX('CFOG'!$P$23:$P$24,MATCH($F15,'CFOG'!$B$23:$B$24,0))),"N/A")</f>
        <v/>
      </c>
      <c r="P15" s="25">
        <f>IFERROR(IF(INDEX('ESG'!$P$10:$P$17,MATCH($F15,'ESG'!$B$10:$B$17,0))="","Cell will autofill based on response",INDEX('ESG'!$P$10:$P$17,MATCH($F15,'ESG'!$B$10:$B$17,0))),"N/A")</f>
        <v/>
      </c>
      <c r="Q15" s="25">
        <f>IFERROR(IF(INDEX('CIOG'!$P$10:$P$14,MATCH($F15,'CIOG'!$B$10:$B$14,0))="","Cell will autofill based on response",INDEX('CIOG'!$P$10:$P$14,MATCH($F15,'CIOG'!$B$10:$B$14,0))),"N/A")</f>
        <v/>
      </c>
      <c r="R15" s="25">
        <f>IFERROR(IF(INDEX('MRE'!$P$10:$P$12,MATCH($F15,'MRE'!$B$10:$B$12,0))="","Cell will autofill based on response",INDEX('MRE'!$P$10:$P$12,MATCH($F15,'MRE'!$B$10:$B$12,0))),"N/A")</f>
        <v/>
      </c>
      <c r="S15" s="25">
        <f>IFERROR(IF(INDEX('L&amp;R'!$P$10:$P$11,MATCH($F15,'L&amp;R'!$B$10:$B$11,0))="","Cell will autofill based on response",INDEX('L&amp;R'!$P$10:$P$11,MATCH($F15,'L&amp;R'!$B$10:$B$11,0))),"N/A")</f>
        <v/>
      </c>
    </row>
    <row r="16">
      <c r="A16">
        <f>F16&amp;"|"&amp;G16</f>
        <v/>
      </c>
      <c r="B16" s="29" t="inlineStr"/>
      <c r="C16" s="8" t="inlineStr"/>
      <c r="D16" s="8" t="inlineStr"/>
      <c r="E16" s="8" t="inlineStr"/>
      <c r="F16" s="8" t="inlineStr">
        <is>
          <t>EE1(a)</t>
        </is>
      </c>
      <c r="G16" s="8" t="inlineStr">
        <is>
          <t>Data owner confirms</t>
        </is>
      </c>
      <c r="H16" s="25">
        <f>IFERROR(IF(INDEX('Faculties'!$Q$10:$Q$30,MATCH($F16,'Faculties'!$B$10:$B$30,0))="","Cell will autofill based on response",INDEX('Faculties'!$Q$10:$Q$30,MATCH($F16,'Faculties'!$B$10:$B$30,0))),"N/A")</f>
        <v/>
      </c>
      <c r="I16" s="25">
        <f>IFERROR(IF(INDEX('Faculties'!$Q$37:$Q$57,MATCH($F16,'Faculties'!$B$37:$B$57,0))="","Cell will autofill based on response",INDEX('Faculties'!$Q$37:$Q$57,MATCH($F16,'Faculties'!$B$37:$B$57,0))),"N/A")</f>
        <v/>
      </c>
      <c r="J16" s="25">
        <f>IFERROR(IF(INDEX('Faculties'!$Q$64:$Q$84,MATCH($F16,'Faculties'!$B$64:$B$84,0))="","Cell will autofill based on response",INDEX('Faculties'!$Q$64:$Q$84,MATCH($F16,'Faculties'!$B$64:$B$84,0))),"N/A")</f>
        <v/>
      </c>
      <c r="K16" s="25">
        <f>IFERROR(IF(INDEX('Faculties'!$Q$91:$Q$111,MATCH($F16,'Faculties'!$B$91:$B$111,0))="","Cell will autofill based on response",INDEX('Faculties'!$Q$91:$Q$111,MATCH($F16,'Faculties'!$B$91:$B$111,0))),"N/A")</f>
        <v/>
      </c>
      <c r="L16" s="25">
        <f>IFERROR(IF(INDEX('CI&amp;S'!$Q$10:$Q$15,MATCH($F16,'CI&amp;S'!$B$10:$B$15,0))="","Cell will autofill based on response",INDEX('CI&amp;S'!$Q$10:$Q$15,MATCH($F16,'CI&amp;S'!$B$10:$B$15,0))),"N/A")</f>
        <v/>
      </c>
      <c r="M16" s="25">
        <f>IFERROR(IF(INDEX('CI&amp;S'!$Q$22:$Q$39,MATCH($F16,'CI&amp;S'!$B$22:$B$39,0))="","Cell will autofill based on response",INDEX('CI&amp;S'!$Q$22:$Q$39,MATCH($F16,'CI&amp;S'!$B$22:$B$39,0))),"N/A")</f>
        <v/>
      </c>
      <c r="N16" s="25">
        <f>IFERROR(IF(INDEX('CFOG'!$Q$10:$Q$16,MATCH($F16,'CFOG'!$B$10:$B$16,0))="","Cell will autofill based on response",INDEX('CFOG'!$Q$10:$Q$16,MATCH($F16,'CFOG'!$B$10:$B$16,0))),"N/A")</f>
        <v/>
      </c>
      <c r="O16" s="25">
        <f>IFERROR(IF(INDEX('CFOG'!$Q$23:$Q$24,MATCH($F16,'CFOG'!$B$23:$B$24,0))="","Cell will autofill based on response",INDEX('CFOG'!$Q$23:$Q$24,MATCH($F16,'CFOG'!$B$23:$B$24,0))),"N/A")</f>
        <v/>
      </c>
      <c r="P16" s="25">
        <f>IFERROR(IF(INDEX('ESG'!$Q$10:$Q$17,MATCH($F16,'ESG'!$B$10:$B$17,0))="","Cell will autofill based on response",INDEX('ESG'!$Q$10:$Q$17,MATCH($F16,'ESG'!$B$10:$B$17,0))),"N/A")</f>
        <v/>
      </c>
      <c r="Q16" s="25">
        <f>IFERROR(IF(INDEX('CIOG'!$Q$10:$Q$14,MATCH($F16,'CIOG'!$B$10:$B$14,0))="","Cell will autofill based on response",INDEX('CIOG'!$Q$10:$Q$14,MATCH($F16,'CIOG'!$B$10:$B$14,0))),"N/A")</f>
        <v/>
      </c>
      <c r="R16" s="25">
        <f>IFERROR(IF(INDEX('MRE'!$Q$10:$Q$12,MATCH($F16,'MRE'!$B$10:$B$12,0))="","Cell will autofill based on response",INDEX('MRE'!$Q$10:$Q$12,MATCH($F16,'MRE'!$B$10:$B$12,0))),"N/A")</f>
        <v/>
      </c>
      <c r="S16" s="25">
        <f>IFERROR(IF(INDEX('L&amp;R'!$Q$10:$Q$11,MATCH($F16,'L&amp;R'!$B$10:$B$11,0))="","Cell will autofill based on response",INDEX('L&amp;R'!$Q$10:$Q$11,MATCH($F16,'L&amp;R'!$B$10:$B$11,0))),"N/A")</f>
        <v/>
      </c>
    </row>
    <row r="17">
      <c r="A17">
        <f>F17&amp;"|"&amp;G17</f>
        <v/>
      </c>
      <c r="B17" s="7" t="inlineStr">
        <is>
          <t>EE1(b)</t>
        </is>
      </c>
      <c r="C17" s="12" t="inlineStr">
        <is>
          <t>Exceptional education</t>
        </is>
      </c>
      <c r="D17" s="12" t="inlineStr">
        <is>
          <t>Pilots of possible approaches for understanding and developing students’ sustainability self-efficacy</t>
        </is>
      </c>
      <c r="E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12" t="inlineStr">
        <is>
          <t>EE1(b)</t>
        </is>
      </c>
      <c r="G17" s="12" t="inlineStr">
        <is>
          <t>Confirm end-2026 target status</t>
        </is>
      </c>
      <c r="H17" s="25">
        <f>IFERROR(IF(INDEX('Faculties'!$L$10:$L$30,MATCH($F17,'Faculties'!$B$10:$B$30,0))="","Cell will autofill based on response",INDEX('Faculties'!$L$10:$L$30,MATCH($F17,'Faculties'!$B$10:$B$30,0))),"N/A")</f>
        <v/>
      </c>
      <c r="I17" s="25">
        <f>IFERROR(IF(INDEX('Faculties'!$L$37:$L$57,MATCH($F17,'Faculties'!$B$37:$B$57,0))="","Cell will autofill based on response",INDEX('Faculties'!$L$37:$L$57,MATCH($F17,'Faculties'!$B$37:$B$57,0))),"N/A")</f>
        <v/>
      </c>
      <c r="J17" s="25">
        <f>IFERROR(IF(INDEX('Faculties'!$L$64:$L$84,MATCH($F17,'Faculties'!$B$64:$B$84,0))="","Cell will autofill based on response",INDEX('Faculties'!$L$64:$L$84,MATCH($F17,'Faculties'!$B$64:$B$84,0))),"N/A")</f>
        <v/>
      </c>
      <c r="K17" s="25">
        <f>IFERROR(IF(INDEX('Faculties'!$L$91:$L$111,MATCH($F17,'Faculties'!$B$91:$B$111,0))="","Cell will autofill based on response",INDEX('Faculties'!$L$91:$L$111,MATCH($F17,'Faculties'!$B$91:$B$111,0))),"N/A")</f>
        <v/>
      </c>
      <c r="L17" s="25">
        <f>IFERROR(IF(INDEX('CI&amp;S'!$L$10:$L$15,MATCH($F17,'CI&amp;S'!$B$10:$B$15,0))="","Cell will autofill based on response",INDEX('CI&amp;S'!$L$10:$L$15,MATCH($F17,'CI&amp;S'!$B$10:$B$15,0))),"N/A")</f>
        <v/>
      </c>
      <c r="M17" s="25">
        <f>IFERROR(IF(INDEX('CI&amp;S'!$L$22:$L$39,MATCH($F17,'CI&amp;S'!$B$22:$B$39,0))="","Cell will autofill based on response",INDEX('CI&amp;S'!$L$22:$L$39,MATCH($F17,'CI&amp;S'!$B$22:$B$39,0))),"N/A")</f>
        <v/>
      </c>
      <c r="N17" s="25">
        <f>IFERROR(IF(INDEX('CFOG'!$L$10:$L$16,MATCH($F17,'CFOG'!$B$10:$B$16,0))="","Cell will autofill based on response",INDEX('CFOG'!$L$10:$L$16,MATCH($F17,'CFOG'!$B$10:$B$16,0))),"N/A")</f>
        <v/>
      </c>
      <c r="O17" s="25">
        <f>IFERROR(IF(INDEX('CFOG'!$L$23:$L$24,MATCH($F17,'CFOG'!$B$23:$B$24,0))="","Cell will autofill based on response",INDEX('CFOG'!$L$23:$L$24,MATCH($F17,'CFOG'!$B$23:$B$24,0))),"N/A")</f>
        <v/>
      </c>
      <c r="P17" s="25">
        <f>IFERROR(IF(INDEX('ESG'!$L$10:$L$17,MATCH($F17,'ESG'!$B$10:$B$17,0))="","Cell will autofill based on response",INDEX('ESG'!$L$10:$L$17,MATCH($F17,'ESG'!$B$10:$B$17,0))),"N/A")</f>
        <v/>
      </c>
      <c r="Q17" s="25">
        <f>IFERROR(IF(INDEX('CIOG'!$L$10:$L$14,MATCH($F17,'CIOG'!$B$10:$B$14,0))="","Cell will autofill based on response",INDEX('CIOG'!$L$10:$L$14,MATCH($F17,'CIOG'!$B$10:$B$14,0))),"N/A")</f>
        <v/>
      </c>
      <c r="R17" s="25">
        <f>IFERROR(IF(INDEX('MRE'!$L$10:$L$12,MATCH($F17,'MRE'!$B$10:$B$12,0))="","Cell will autofill based on response",INDEX('MRE'!$L$10:$L$12,MATCH($F17,'MRE'!$B$10:$B$12,0))),"N/A")</f>
        <v/>
      </c>
      <c r="S17" s="25">
        <f>IFERROR(IF(INDEX('L&amp;R'!$L$10:$L$11,MATCH($F17,'L&amp;R'!$B$10:$B$11,0))="","Cell will autofill based on response",INDEX('L&amp;R'!$L$10:$L$11,MATCH($F17,'L&amp;R'!$B$10:$B$11,0))),"N/A")</f>
        <v/>
      </c>
      <c r="U17" s="26">
        <f>COUNTIF($H17:$S17,"Cell will autofill based on response")</f>
        <v/>
      </c>
      <c r="V17" s="26">
        <f>COUNTIF($H17:$S17,"Not yet started")</f>
        <v/>
      </c>
      <c r="W17" s="26">
        <f>COUNTIF($H17:$S17,"Not met")</f>
        <v/>
      </c>
      <c r="X17" s="26">
        <f>COUNTIF($H17:$S17,"Partially met")</f>
        <v/>
      </c>
      <c r="Y17" s="26">
        <f>COUNTIF($H17:$S17,"Met or exceeded")</f>
        <v/>
      </c>
      <c r="Z17" s="26">
        <f>3*Y17+2*X17+W17</f>
        <v/>
      </c>
      <c r="AA17" s="26">
        <f>Y17+X17+W17+V17</f>
        <v/>
      </c>
      <c r="AB17" s="27">
        <f>IF(AA17&gt;0,Z17/AA17,"No valid responses to date")</f>
        <v/>
      </c>
      <c r="AC17" s="26">
        <f>IF(ISNUMBER(AB17),INDEX(Lists!$G$2:$G$5,MATCH(ROUND(AB17,0),Lists!$H$2:$H$5,0)),"")</f>
        <v/>
      </c>
      <c r="AD17" s="28">
        <f>IF(AA17&gt;0,Y17/AA17,"")</f>
        <v/>
      </c>
      <c r="AE17" s="28">
        <f>IF(AA17&gt;0,(Y17+X17)/AA17,"")</f>
        <v/>
      </c>
      <c r="AF17" s="26">
        <f>IF(AA17=0,"",IF(AD17&gt;0.75,"Met or exceeded",IF(AE17&gt;=0.5,"Partially met","Not met")))</f>
        <v/>
      </c>
    </row>
    <row r="18">
      <c r="A18">
        <f>F18&amp;"|"&amp;G18</f>
        <v/>
      </c>
      <c r="B18" s="29" t="inlineStr"/>
      <c r="C18" s="8" t="inlineStr"/>
      <c r="D18" s="8" t="inlineStr"/>
      <c r="E18" s="8" t="inlineStr"/>
      <c r="F18" s="8" t="inlineStr">
        <is>
          <t>EE1(b)</t>
        </is>
      </c>
      <c r="G18" s="8" t="inlineStr">
        <is>
          <t>OPTION 1:  Target-level reporting</t>
        </is>
      </c>
      <c r="H18" s="25">
        <f>IFERROR(IF(INDEX('Faculties'!$M$10:$M$30,MATCH($F18,'Faculties'!$B$10:$B$30,0))="","Cell will autofill based on response",INDEX('Faculties'!$M$10:$M$30,MATCH($F18,'Faculties'!$B$10:$B$30,0))),"N/A")</f>
        <v/>
      </c>
      <c r="I18" s="25">
        <f>IFERROR(IF(INDEX('Faculties'!$M$37:$M$57,MATCH($F18,'Faculties'!$B$37:$B$57,0))="","Cell will autofill based on response",INDEX('Faculties'!$M$37:$M$57,MATCH($F18,'Faculties'!$B$37:$B$57,0))),"N/A")</f>
        <v/>
      </c>
      <c r="J18" s="25">
        <f>IFERROR(IF(INDEX('Faculties'!$M$64:$M$84,MATCH($F18,'Faculties'!$B$64:$B$84,0))="","Cell will autofill based on response",INDEX('Faculties'!$M$64:$M$84,MATCH($F18,'Faculties'!$B$64:$B$84,0))),"N/A")</f>
        <v/>
      </c>
      <c r="K18" s="25">
        <f>IFERROR(IF(INDEX('Faculties'!$M$91:$M$111,MATCH($F18,'Faculties'!$B$91:$B$111,0))="","Cell will autofill based on response",INDEX('Faculties'!$M$91:$M$111,MATCH($F18,'Faculties'!$B$91:$B$111,0))),"N/A")</f>
        <v/>
      </c>
      <c r="L18" s="25">
        <f>IFERROR(IF(INDEX('CI&amp;S'!$M$10:$M$15,MATCH($F18,'CI&amp;S'!$B$10:$B$15,0))="","Cell will autofill based on response",INDEX('CI&amp;S'!$M$10:$M$15,MATCH($F18,'CI&amp;S'!$B$10:$B$15,0))),"N/A")</f>
        <v/>
      </c>
      <c r="M18" s="25">
        <f>IFERROR(IF(INDEX('CI&amp;S'!$M$22:$M$39,MATCH($F18,'CI&amp;S'!$B$22:$B$39,0))="","Cell will autofill based on response",INDEX('CI&amp;S'!$M$22:$M$39,MATCH($F18,'CI&amp;S'!$B$22:$B$39,0))),"N/A")</f>
        <v/>
      </c>
      <c r="N18" s="25">
        <f>IFERROR(IF(INDEX('CFOG'!$M$10:$M$16,MATCH($F18,'CFOG'!$B$10:$B$16,0))="","Cell will autofill based on response",INDEX('CFOG'!$M$10:$M$16,MATCH($F18,'CFOG'!$B$10:$B$16,0))),"N/A")</f>
        <v/>
      </c>
      <c r="O18" s="25">
        <f>IFERROR(IF(INDEX('CFOG'!$M$23:$M$24,MATCH($F18,'CFOG'!$B$23:$B$24,0))="","Cell will autofill based on response",INDEX('CFOG'!$M$23:$M$24,MATCH($F18,'CFOG'!$B$23:$B$24,0))),"N/A")</f>
        <v/>
      </c>
      <c r="P18" s="25">
        <f>IFERROR(IF(INDEX('ESG'!$M$10:$M$17,MATCH($F18,'ESG'!$B$10:$B$17,0))="","Cell will autofill based on response",INDEX('ESG'!$M$10:$M$17,MATCH($F18,'ESG'!$B$10:$B$17,0))),"N/A")</f>
        <v/>
      </c>
      <c r="Q18" s="25">
        <f>IFERROR(IF(INDEX('CIOG'!$M$10:$M$14,MATCH($F18,'CIOG'!$B$10:$B$14,0))="","Cell will autofill based on response",INDEX('CIOG'!$M$10:$M$14,MATCH($F18,'CIOG'!$B$10:$B$14,0))),"N/A")</f>
        <v/>
      </c>
      <c r="R18" s="25">
        <f>IFERROR(IF(INDEX('MRE'!$M$10:$M$12,MATCH($F18,'MRE'!$B$10:$B$12,0))="","Cell will autofill based on response",INDEX('MRE'!$M$10:$M$12,MATCH($F18,'MRE'!$B$10:$B$12,0))),"N/A")</f>
        <v/>
      </c>
      <c r="S18" s="25">
        <f>IFERROR(IF(INDEX('L&amp;R'!$M$10:$M$11,MATCH($F18,'L&amp;R'!$B$10:$B$11,0))="","Cell will autofill based on response",INDEX('L&amp;R'!$M$10:$M$11,MATCH($F18,'L&amp;R'!$B$10:$B$11,0))),"N/A")</f>
        <v/>
      </c>
    </row>
    <row r="19">
      <c r="A19">
        <f>F19&amp;"|"&amp;G19</f>
        <v/>
      </c>
      <c r="B19" s="29" t="inlineStr"/>
      <c r="C19" s="8" t="inlineStr"/>
      <c r="D19" s="8" t="inlineStr"/>
      <c r="E19" s="8" t="inlineStr"/>
      <c r="F19" s="8" t="inlineStr">
        <is>
          <t>EE1(b)</t>
        </is>
      </c>
      <c r="G19" s="8" t="inlineStr">
        <is>
          <t>OPTION 2:  Indicator level reporting</t>
        </is>
      </c>
      <c r="H19" s="25">
        <f>IFERROR(IF(INDEX('Faculties'!$N$10:$N$30,MATCH($F19,'Faculties'!$B$10:$B$30,0))="","Cell will autofill based on response",INDEX('Faculties'!$N$10:$N$30,MATCH($F19,'Faculties'!$B$10:$B$30,0))),"N/A")</f>
        <v/>
      </c>
      <c r="I19" s="25">
        <f>IFERROR(IF(INDEX('Faculties'!$N$37:$N$57,MATCH($F19,'Faculties'!$B$37:$B$57,0))="","Cell will autofill based on response",INDEX('Faculties'!$N$37:$N$57,MATCH($F19,'Faculties'!$B$37:$B$57,0))),"N/A")</f>
        <v/>
      </c>
      <c r="J19" s="25">
        <f>IFERROR(IF(INDEX('Faculties'!$N$64:$N$84,MATCH($F19,'Faculties'!$B$64:$B$84,0))="","Cell will autofill based on response",INDEX('Faculties'!$N$64:$N$84,MATCH($F19,'Faculties'!$B$64:$B$84,0))),"N/A")</f>
        <v/>
      </c>
      <c r="K19" s="25">
        <f>IFERROR(IF(INDEX('Faculties'!$N$91:$N$111,MATCH($F19,'Faculties'!$B$91:$B$111,0))="","Cell will autofill based on response",INDEX('Faculties'!$N$91:$N$111,MATCH($F19,'Faculties'!$B$91:$B$111,0))),"N/A")</f>
        <v/>
      </c>
      <c r="L19" s="25">
        <f>IFERROR(IF(INDEX('CI&amp;S'!$N$10:$N$15,MATCH($F19,'CI&amp;S'!$B$10:$B$15,0))="","Cell will autofill based on response",INDEX('CI&amp;S'!$N$10:$N$15,MATCH($F19,'CI&amp;S'!$B$10:$B$15,0))),"N/A")</f>
        <v/>
      </c>
      <c r="M19" s="25">
        <f>IFERROR(IF(INDEX('CI&amp;S'!$N$22:$N$39,MATCH($F19,'CI&amp;S'!$B$22:$B$39,0))="","Cell will autofill based on response",INDEX('CI&amp;S'!$N$22:$N$39,MATCH($F19,'CI&amp;S'!$B$22:$B$39,0))),"N/A")</f>
        <v/>
      </c>
      <c r="N19" s="25">
        <f>IFERROR(IF(INDEX('CFOG'!$N$10:$N$16,MATCH($F19,'CFOG'!$B$10:$B$16,0))="","Cell will autofill based on response",INDEX('CFOG'!$N$10:$N$16,MATCH($F19,'CFOG'!$B$10:$B$16,0))),"N/A")</f>
        <v/>
      </c>
      <c r="O19" s="25">
        <f>IFERROR(IF(INDEX('CFOG'!$N$23:$N$24,MATCH($F19,'CFOG'!$B$23:$B$24,0))="","Cell will autofill based on response",INDEX('CFOG'!$N$23:$N$24,MATCH($F19,'CFOG'!$B$23:$B$24,0))),"N/A")</f>
        <v/>
      </c>
      <c r="P19" s="25">
        <f>IFERROR(IF(INDEX('ESG'!$N$10:$N$17,MATCH($F19,'ESG'!$B$10:$B$17,0))="","Cell will autofill based on response",INDEX('ESG'!$N$10:$N$17,MATCH($F19,'ESG'!$B$10:$B$17,0))),"N/A")</f>
        <v/>
      </c>
      <c r="Q19" s="25">
        <f>IFERROR(IF(INDEX('CIOG'!$N$10:$N$14,MATCH($F19,'CIOG'!$B$10:$B$14,0))="","Cell will autofill based on response",INDEX('CIOG'!$N$10:$N$14,MATCH($F19,'CIOG'!$B$10:$B$14,0))),"N/A")</f>
        <v/>
      </c>
      <c r="R19" s="25">
        <f>IFERROR(IF(INDEX('MRE'!$N$10:$N$12,MATCH($F19,'MRE'!$B$10:$B$12,0))="","Cell will autofill based on response",INDEX('MRE'!$N$10:$N$12,MATCH($F19,'MRE'!$B$10:$B$12,0))),"N/A")</f>
        <v/>
      </c>
      <c r="S19" s="25">
        <f>IFERROR(IF(INDEX('L&amp;R'!$N$10:$N$11,MATCH($F19,'L&amp;R'!$B$10:$B$11,0))="","Cell will autofill based on response",INDEX('L&amp;R'!$N$10:$N$11,MATCH($F19,'L&amp;R'!$B$10:$B$11,0))),"N/A")</f>
        <v/>
      </c>
    </row>
    <row r="20">
      <c r="A20">
        <f>F20&amp;"|"&amp;G20</f>
        <v/>
      </c>
      <c r="B20" s="29" t="inlineStr"/>
      <c r="C20" s="8" t="inlineStr"/>
      <c r="D20" s="8" t="inlineStr"/>
      <c r="E20" s="8" t="inlineStr"/>
      <c r="F20" s="8" t="inlineStr">
        <is>
          <t>EE1(b)</t>
        </is>
      </c>
      <c r="G20" s="8" t="inlineStr">
        <is>
          <t>Supporting information/comments</t>
        </is>
      </c>
      <c r="H20" s="25">
        <f>IFERROR(IF(INDEX('Faculties'!$O$10:$O$30,MATCH($F20,'Faculties'!$B$10:$B$30,0))="","Cell will autofill based on response",INDEX('Faculties'!$O$10:$O$30,MATCH($F20,'Faculties'!$B$10:$B$30,0))),"N/A")</f>
        <v/>
      </c>
      <c r="I20" s="25">
        <f>IFERROR(IF(INDEX('Faculties'!$O$37:$O$57,MATCH($F20,'Faculties'!$B$37:$B$57,0))="","Cell will autofill based on response",INDEX('Faculties'!$O$37:$O$57,MATCH($F20,'Faculties'!$B$37:$B$57,0))),"N/A")</f>
        <v/>
      </c>
      <c r="J20" s="25">
        <f>IFERROR(IF(INDEX('Faculties'!$O$64:$O$84,MATCH($F20,'Faculties'!$B$64:$B$84,0))="","Cell will autofill based on response",INDEX('Faculties'!$O$64:$O$84,MATCH($F20,'Faculties'!$B$64:$B$84,0))),"N/A")</f>
        <v/>
      </c>
      <c r="K20" s="25">
        <f>IFERROR(IF(INDEX('Faculties'!$O$91:$O$111,MATCH($F20,'Faculties'!$B$91:$B$111,0))="","Cell will autofill based on response",INDEX('Faculties'!$O$91:$O$111,MATCH($F20,'Faculties'!$B$91:$B$111,0))),"N/A")</f>
        <v/>
      </c>
      <c r="L20" s="25">
        <f>IFERROR(IF(INDEX('CI&amp;S'!$O$10:$O$15,MATCH($F20,'CI&amp;S'!$B$10:$B$15,0))="","Cell will autofill based on response",INDEX('CI&amp;S'!$O$10:$O$15,MATCH($F20,'CI&amp;S'!$B$10:$B$15,0))),"N/A")</f>
        <v/>
      </c>
      <c r="M20" s="25">
        <f>IFERROR(IF(INDEX('CI&amp;S'!$O$22:$O$39,MATCH($F20,'CI&amp;S'!$B$22:$B$39,0))="","Cell will autofill based on response",INDEX('CI&amp;S'!$O$22:$O$39,MATCH($F20,'CI&amp;S'!$B$22:$B$39,0))),"N/A")</f>
        <v/>
      </c>
      <c r="N20" s="25">
        <f>IFERROR(IF(INDEX('CFOG'!$O$10:$O$16,MATCH($F20,'CFOG'!$B$10:$B$16,0))="","Cell will autofill based on response",INDEX('CFOG'!$O$10:$O$16,MATCH($F20,'CFOG'!$B$10:$B$16,0))),"N/A")</f>
        <v/>
      </c>
      <c r="O20" s="25">
        <f>IFERROR(IF(INDEX('CFOG'!$O$23:$O$24,MATCH($F20,'CFOG'!$B$23:$B$24,0))="","Cell will autofill based on response",INDEX('CFOG'!$O$23:$O$24,MATCH($F20,'CFOG'!$B$23:$B$24,0))),"N/A")</f>
        <v/>
      </c>
      <c r="P20" s="25">
        <f>IFERROR(IF(INDEX('ESG'!$O$10:$O$17,MATCH($F20,'ESG'!$B$10:$B$17,0))="","Cell will autofill based on response",INDEX('ESG'!$O$10:$O$17,MATCH($F20,'ESG'!$B$10:$B$17,0))),"N/A")</f>
        <v/>
      </c>
      <c r="Q20" s="25">
        <f>IFERROR(IF(INDEX('CIOG'!$O$10:$O$14,MATCH($F20,'CIOG'!$B$10:$B$14,0))="","Cell will autofill based on response",INDEX('CIOG'!$O$10:$O$14,MATCH($F20,'CIOG'!$B$10:$B$14,0))),"N/A")</f>
        <v/>
      </c>
      <c r="R20" s="25">
        <f>IFERROR(IF(INDEX('MRE'!$O$10:$O$12,MATCH($F20,'MRE'!$B$10:$B$12,0))="","Cell will autofill based on response",INDEX('MRE'!$O$10:$O$12,MATCH($F20,'MRE'!$B$10:$B$12,0))),"N/A")</f>
        <v/>
      </c>
      <c r="S20" s="25">
        <f>IFERROR(IF(INDEX('L&amp;R'!$O$10:$O$11,MATCH($F20,'L&amp;R'!$B$10:$B$11,0))="","Cell will autofill based on response",INDEX('L&amp;R'!$O$10:$O$11,MATCH($F20,'L&amp;R'!$B$10:$B$11,0))),"N/A")</f>
        <v/>
      </c>
    </row>
    <row r="21">
      <c r="A21">
        <f>F21&amp;"|"&amp;G21</f>
        <v/>
      </c>
      <c r="B21" s="29" t="inlineStr"/>
      <c r="C21" s="8" t="inlineStr"/>
      <c r="D21" s="8" t="inlineStr"/>
      <c r="E21" s="8" t="inlineStr"/>
      <c r="F21" s="8" t="inlineStr">
        <is>
          <t>EE1(b)</t>
        </is>
      </c>
      <c r="G21" s="8" t="inlineStr">
        <is>
          <t>Data source and limitations</t>
        </is>
      </c>
      <c r="H21" s="25">
        <f>IFERROR(IF(INDEX('Faculties'!$P$10:$P$30,MATCH($F21,'Faculties'!$B$10:$B$30,0))="","Cell will autofill based on response",INDEX('Faculties'!$P$10:$P$30,MATCH($F21,'Faculties'!$B$10:$B$30,0))),"N/A")</f>
        <v/>
      </c>
      <c r="I21" s="25">
        <f>IFERROR(IF(INDEX('Faculties'!$P$37:$P$57,MATCH($F21,'Faculties'!$B$37:$B$57,0))="","Cell will autofill based on response",INDEX('Faculties'!$P$37:$P$57,MATCH($F21,'Faculties'!$B$37:$B$57,0))),"N/A")</f>
        <v/>
      </c>
      <c r="J21" s="25">
        <f>IFERROR(IF(INDEX('Faculties'!$P$64:$P$84,MATCH($F21,'Faculties'!$B$64:$B$84,0))="","Cell will autofill based on response",INDEX('Faculties'!$P$64:$P$84,MATCH($F21,'Faculties'!$B$64:$B$84,0))),"N/A")</f>
        <v/>
      </c>
      <c r="K21" s="25">
        <f>IFERROR(IF(INDEX('Faculties'!$P$91:$P$111,MATCH($F21,'Faculties'!$B$91:$B$111,0))="","Cell will autofill based on response",INDEX('Faculties'!$P$91:$P$111,MATCH($F21,'Faculties'!$B$91:$B$111,0))),"N/A")</f>
        <v/>
      </c>
      <c r="L21" s="25">
        <f>IFERROR(IF(INDEX('CI&amp;S'!$P$10:$P$15,MATCH($F21,'CI&amp;S'!$B$10:$B$15,0))="","Cell will autofill based on response",INDEX('CI&amp;S'!$P$10:$P$15,MATCH($F21,'CI&amp;S'!$B$10:$B$15,0))),"N/A")</f>
        <v/>
      </c>
      <c r="M21" s="25">
        <f>IFERROR(IF(INDEX('CI&amp;S'!$P$22:$P$39,MATCH($F21,'CI&amp;S'!$B$22:$B$39,0))="","Cell will autofill based on response",INDEX('CI&amp;S'!$P$22:$P$39,MATCH($F21,'CI&amp;S'!$B$22:$B$39,0))),"N/A")</f>
        <v/>
      </c>
      <c r="N21" s="25">
        <f>IFERROR(IF(INDEX('CFOG'!$P$10:$P$16,MATCH($F21,'CFOG'!$B$10:$B$16,0))="","Cell will autofill based on response",INDEX('CFOG'!$P$10:$P$16,MATCH($F21,'CFOG'!$B$10:$B$16,0))),"N/A")</f>
        <v/>
      </c>
      <c r="O21" s="25">
        <f>IFERROR(IF(INDEX('CFOG'!$P$23:$P$24,MATCH($F21,'CFOG'!$B$23:$B$24,0))="","Cell will autofill based on response",INDEX('CFOG'!$P$23:$P$24,MATCH($F21,'CFOG'!$B$23:$B$24,0))),"N/A")</f>
        <v/>
      </c>
      <c r="P21" s="25">
        <f>IFERROR(IF(INDEX('ESG'!$P$10:$P$17,MATCH($F21,'ESG'!$B$10:$B$17,0))="","Cell will autofill based on response",INDEX('ESG'!$P$10:$P$17,MATCH($F21,'ESG'!$B$10:$B$17,0))),"N/A")</f>
        <v/>
      </c>
      <c r="Q21" s="25">
        <f>IFERROR(IF(INDEX('CIOG'!$P$10:$P$14,MATCH($F21,'CIOG'!$B$10:$B$14,0))="","Cell will autofill based on response",INDEX('CIOG'!$P$10:$P$14,MATCH($F21,'CIOG'!$B$10:$B$14,0))),"N/A")</f>
        <v/>
      </c>
      <c r="R21" s="25">
        <f>IFERROR(IF(INDEX('MRE'!$P$10:$P$12,MATCH($F21,'MRE'!$B$10:$B$12,0))="","Cell will autofill based on response",INDEX('MRE'!$P$10:$P$12,MATCH($F21,'MRE'!$B$10:$B$12,0))),"N/A")</f>
        <v/>
      </c>
      <c r="S21" s="25">
        <f>IFERROR(IF(INDEX('L&amp;R'!$P$10:$P$11,MATCH($F21,'L&amp;R'!$B$10:$B$11,0))="","Cell will autofill based on response",INDEX('L&amp;R'!$P$10:$P$11,MATCH($F21,'L&amp;R'!$B$10:$B$11,0))),"N/A")</f>
        <v/>
      </c>
    </row>
    <row r="22">
      <c r="A22">
        <f>F22&amp;"|"&amp;G22</f>
        <v/>
      </c>
      <c r="B22" s="29" t="inlineStr"/>
      <c r="C22" s="8" t="inlineStr"/>
      <c r="D22" s="8" t="inlineStr"/>
      <c r="E22" s="8" t="inlineStr"/>
      <c r="F22" s="8" t="inlineStr">
        <is>
          <t>EE1(b)</t>
        </is>
      </c>
      <c r="G22" s="8" t="inlineStr">
        <is>
          <t>Data owner confirms</t>
        </is>
      </c>
      <c r="H22" s="25">
        <f>IFERROR(IF(INDEX('Faculties'!$Q$10:$Q$30,MATCH($F22,'Faculties'!$B$10:$B$30,0))="","Cell will autofill based on response",INDEX('Faculties'!$Q$10:$Q$30,MATCH($F22,'Faculties'!$B$10:$B$30,0))),"N/A")</f>
        <v/>
      </c>
      <c r="I22" s="25">
        <f>IFERROR(IF(INDEX('Faculties'!$Q$37:$Q$57,MATCH($F22,'Faculties'!$B$37:$B$57,0))="","Cell will autofill based on response",INDEX('Faculties'!$Q$37:$Q$57,MATCH($F22,'Faculties'!$B$37:$B$57,0))),"N/A")</f>
        <v/>
      </c>
      <c r="J22" s="25">
        <f>IFERROR(IF(INDEX('Faculties'!$Q$64:$Q$84,MATCH($F22,'Faculties'!$B$64:$B$84,0))="","Cell will autofill based on response",INDEX('Faculties'!$Q$64:$Q$84,MATCH($F22,'Faculties'!$B$64:$B$84,0))),"N/A")</f>
        <v/>
      </c>
      <c r="K22" s="25">
        <f>IFERROR(IF(INDEX('Faculties'!$Q$91:$Q$111,MATCH($F22,'Faculties'!$B$91:$B$111,0))="","Cell will autofill based on response",INDEX('Faculties'!$Q$91:$Q$111,MATCH($F22,'Faculties'!$B$91:$B$111,0))),"N/A")</f>
        <v/>
      </c>
      <c r="L22" s="25">
        <f>IFERROR(IF(INDEX('CI&amp;S'!$Q$10:$Q$15,MATCH($F22,'CI&amp;S'!$B$10:$B$15,0))="","Cell will autofill based on response",INDEX('CI&amp;S'!$Q$10:$Q$15,MATCH($F22,'CI&amp;S'!$B$10:$B$15,0))),"N/A")</f>
        <v/>
      </c>
      <c r="M22" s="25">
        <f>IFERROR(IF(INDEX('CI&amp;S'!$Q$22:$Q$39,MATCH($F22,'CI&amp;S'!$B$22:$B$39,0))="","Cell will autofill based on response",INDEX('CI&amp;S'!$Q$22:$Q$39,MATCH($F22,'CI&amp;S'!$B$22:$B$39,0))),"N/A")</f>
        <v/>
      </c>
      <c r="N22" s="25">
        <f>IFERROR(IF(INDEX('CFOG'!$Q$10:$Q$16,MATCH($F22,'CFOG'!$B$10:$B$16,0))="","Cell will autofill based on response",INDEX('CFOG'!$Q$10:$Q$16,MATCH($F22,'CFOG'!$B$10:$B$16,0))),"N/A")</f>
        <v/>
      </c>
      <c r="O22" s="25">
        <f>IFERROR(IF(INDEX('CFOG'!$Q$23:$Q$24,MATCH($F22,'CFOG'!$B$23:$B$24,0))="","Cell will autofill based on response",INDEX('CFOG'!$Q$23:$Q$24,MATCH($F22,'CFOG'!$B$23:$B$24,0))),"N/A")</f>
        <v/>
      </c>
      <c r="P22" s="25">
        <f>IFERROR(IF(INDEX('ESG'!$Q$10:$Q$17,MATCH($F22,'ESG'!$B$10:$B$17,0))="","Cell will autofill based on response",INDEX('ESG'!$Q$10:$Q$17,MATCH($F22,'ESG'!$B$10:$B$17,0))),"N/A")</f>
        <v/>
      </c>
      <c r="Q22" s="25">
        <f>IFERROR(IF(INDEX('CIOG'!$Q$10:$Q$14,MATCH($F22,'CIOG'!$B$10:$B$14,0))="","Cell will autofill based on response",INDEX('CIOG'!$Q$10:$Q$14,MATCH($F22,'CIOG'!$B$10:$B$14,0))),"N/A")</f>
        <v/>
      </c>
      <c r="R22" s="25">
        <f>IFERROR(IF(INDEX('MRE'!$Q$10:$Q$12,MATCH($F22,'MRE'!$B$10:$B$12,0))="","Cell will autofill based on response",INDEX('MRE'!$Q$10:$Q$12,MATCH($F22,'MRE'!$B$10:$B$12,0))),"N/A")</f>
        <v/>
      </c>
      <c r="S22" s="25">
        <f>IFERROR(IF(INDEX('L&amp;R'!$Q$10:$Q$11,MATCH($F22,'L&amp;R'!$B$10:$B$11,0))="","Cell will autofill based on response",INDEX('L&amp;R'!$Q$10:$Q$11,MATCH($F22,'L&amp;R'!$B$10:$B$11,0))),"N/A")</f>
        <v/>
      </c>
    </row>
    <row r="23">
      <c r="A23">
        <f>F23&amp;"|"&amp;G23</f>
        <v/>
      </c>
      <c r="B23" s="7" t="inlineStr">
        <is>
          <t>EE1(c)</t>
        </is>
      </c>
      <c r="C23" s="12" t="inlineStr">
        <is>
          <t>Exceptional education</t>
        </is>
      </c>
      <c r="D23" s="12" t="inlineStr">
        <is>
          <t>Evidence of sustainability focused experiential and co curricular learning (eg Wattle Fellowship; Melbourne Plus)</t>
        </is>
      </c>
      <c r="E23"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12" t="inlineStr">
        <is>
          <t>EE1(c)</t>
        </is>
      </c>
      <c r="G23" s="12" t="inlineStr">
        <is>
          <t>Confirm end-2026 target status</t>
        </is>
      </c>
      <c r="H23" s="25">
        <f>IFERROR(IF(INDEX('Faculties'!$L$10:$L$30,MATCH($F23,'Faculties'!$B$10:$B$30,0))="","Cell will autofill based on response",INDEX('Faculties'!$L$10:$L$30,MATCH($F23,'Faculties'!$B$10:$B$30,0))),"N/A")</f>
        <v/>
      </c>
      <c r="I23" s="25">
        <f>IFERROR(IF(INDEX('Faculties'!$L$37:$L$57,MATCH($F23,'Faculties'!$B$37:$B$57,0))="","Cell will autofill based on response",INDEX('Faculties'!$L$37:$L$57,MATCH($F23,'Faculties'!$B$37:$B$57,0))),"N/A")</f>
        <v/>
      </c>
      <c r="J23" s="25">
        <f>IFERROR(IF(INDEX('Faculties'!$L$64:$L$84,MATCH($F23,'Faculties'!$B$64:$B$84,0))="","Cell will autofill based on response",INDEX('Faculties'!$L$64:$L$84,MATCH($F23,'Faculties'!$B$64:$B$84,0))),"N/A")</f>
        <v/>
      </c>
      <c r="K23" s="25">
        <f>IFERROR(IF(INDEX('Faculties'!$L$91:$L$111,MATCH($F23,'Faculties'!$B$91:$B$111,0))="","Cell will autofill based on response",INDEX('Faculties'!$L$91:$L$111,MATCH($F23,'Faculties'!$B$91:$B$111,0))),"N/A")</f>
        <v/>
      </c>
      <c r="L23" s="25">
        <f>IFERROR(IF(INDEX('CI&amp;S'!$L$10:$L$15,MATCH($F23,'CI&amp;S'!$B$10:$B$15,0))="","Cell will autofill based on response",INDEX('CI&amp;S'!$L$10:$L$15,MATCH($F23,'CI&amp;S'!$B$10:$B$15,0))),"N/A")</f>
        <v/>
      </c>
      <c r="M23" s="25">
        <f>IFERROR(IF(INDEX('CI&amp;S'!$L$22:$L$39,MATCH($F23,'CI&amp;S'!$B$22:$B$39,0))="","Cell will autofill based on response",INDEX('CI&amp;S'!$L$22:$L$39,MATCH($F23,'CI&amp;S'!$B$22:$B$39,0))),"N/A")</f>
        <v/>
      </c>
      <c r="N23" s="25">
        <f>IFERROR(IF(INDEX('CFOG'!$L$10:$L$16,MATCH($F23,'CFOG'!$B$10:$B$16,0))="","Cell will autofill based on response",INDEX('CFOG'!$L$10:$L$16,MATCH($F23,'CFOG'!$B$10:$B$16,0))),"N/A")</f>
        <v/>
      </c>
      <c r="O23" s="25">
        <f>IFERROR(IF(INDEX('CFOG'!$L$23:$L$24,MATCH($F23,'CFOG'!$B$23:$B$24,0))="","Cell will autofill based on response",INDEX('CFOG'!$L$23:$L$24,MATCH($F23,'CFOG'!$B$23:$B$24,0))),"N/A")</f>
        <v/>
      </c>
      <c r="P23" s="25">
        <f>IFERROR(IF(INDEX('ESG'!$L$10:$L$17,MATCH($F23,'ESG'!$B$10:$B$17,0))="","Cell will autofill based on response",INDEX('ESG'!$L$10:$L$17,MATCH($F23,'ESG'!$B$10:$B$17,0))),"N/A")</f>
        <v/>
      </c>
      <c r="Q23" s="25">
        <f>IFERROR(IF(INDEX('CIOG'!$L$10:$L$14,MATCH($F23,'CIOG'!$B$10:$B$14,0))="","Cell will autofill based on response",INDEX('CIOG'!$L$10:$L$14,MATCH($F23,'CIOG'!$B$10:$B$14,0))),"N/A")</f>
        <v/>
      </c>
      <c r="R23" s="25">
        <f>IFERROR(IF(INDEX('MRE'!$L$10:$L$12,MATCH($F23,'MRE'!$B$10:$B$12,0))="","Cell will autofill based on response",INDEX('MRE'!$L$10:$L$12,MATCH($F23,'MRE'!$B$10:$B$12,0))),"N/A")</f>
        <v/>
      </c>
      <c r="S23" s="25">
        <f>IFERROR(IF(INDEX('L&amp;R'!$L$10:$L$11,MATCH($F23,'L&amp;R'!$B$10:$B$11,0))="","Cell will autofill based on response",INDEX('L&amp;R'!$L$10:$L$11,MATCH($F23,'L&amp;R'!$B$10:$B$11,0))),"N/A")</f>
        <v/>
      </c>
      <c r="U23" s="26">
        <f>COUNTIF($H23:$S23,"Cell will autofill based on response")</f>
        <v/>
      </c>
      <c r="V23" s="26">
        <f>COUNTIF($H23:$S23,"Not yet started")</f>
        <v/>
      </c>
      <c r="W23" s="26">
        <f>COUNTIF($H23:$S23,"Not met")</f>
        <v/>
      </c>
      <c r="X23" s="26">
        <f>COUNTIF($H23:$S23,"Partially met")</f>
        <v/>
      </c>
      <c r="Y23" s="26">
        <f>COUNTIF($H23:$S23,"Met or exceeded")</f>
        <v/>
      </c>
      <c r="Z23" s="26">
        <f>3*Y23+2*X23+W23</f>
        <v/>
      </c>
      <c r="AA23" s="26">
        <f>Y23+X23+W23+V23</f>
        <v/>
      </c>
      <c r="AB23" s="27">
        <f>IF(AA23&gt;0,Z23/AA23,"No valid responses to date")</f>
        <v/>
      </c>
      <c r="AC23" s="26">
        <f>IF(ISNUMBER(AB23),INDEX(Lists!$G$2:$G$5,MATCH(ROUND(AB23,0),Lists!$H$2:$H$5,0)),"")</f>
        <v/>
      </c>
      <c r="AD23" s="28">
        <f>IF(AA23&gt;0,Y23/AA23,"")</f>
        <v/>
      </c>
      <c r="AE23" s="28">
        <f>IF(AA23&gt;0,(Y23+X23)/AA23,"")</f>
        <v/>
      </c>
      <c r="AF23" s="26">
        <f>IF(AA23=0,"",IF(AD23&gt;0.75,"Met or exceeded",IF(AE23&gt;=0.5,"Partially met","Not met")))</f>
        <v/>
      </c>
    </row>
    <row r="24">
      <c r="A24">
        <f>F24&amp;"|"&amp;G24</f>
        <v/>
      </c>
      <c r="B24" s="29" t="inlineStr"/>
      <c r="C24" s="8" t="inlineStr"/>
      <c r="D24" s="8" t="inlineStr"/>
      <c r="E24" s="8" t="inlineStr"/>
      <c r="F24" s="8" t="inlineStr">
        <is>
          <t>EE1(c)</t>
        </is>
      </c>
      <c r="G24" s="8" t="inlineStr">
        <is>
          <t>OPTION 1:  Target-level reporting</t>
        </is>
      </c>
      <c r="H24" s="25">
        <f>IFERROR(IF(INDEX('Faculties'!$M$10:$M$30,MATCH($F24,'Faculties'!$B$10:$B$30,0))="","Cell will autofill based on response",INDEX('Faculties'!$M$10:$M$30,MATCH($F24,'Faculties'!$B$10:$B$30,0))),"N/A")</f>
        <v/>
      </c>
      <c r="I24" s="25">
        <f>IFERROR(IF(INDEX('Faculties'!$M$37:$M$57,MATCH($F24,'Faculties'!$B$37:$B$57,0))="","Cell will autofill based on response",INDEX('Faculties'!$M$37:$M$57,MATCH($F24,'Faculties'!$B$37:$B$57,0))),"N/A")</f>
        <v/>
      </c>
      <c r="J24" s="25">
        <f>IFERROR(IF(INDEX('Faculties'!$M$64:$M$84,MATCH($F24,'Faculties'!$B$64:$B$84,0))="","Cell will autofill based on response",INDEX('Faculties'!$M$64:$M$84,MATCH($F24,'Faculties'!$B$64:$B$84,0))),"N/A")</f>
        <v/>
      </c>
      <c r="K24" s="25">
        <f>IFERROR(IF(INDEX('Faculties'!$M$91:$M$111,MATCH($F24,'Faculties'!$B$91:$B$111,0))="","Cell will autofill based on response",INDEX('Faculties'!$M$91:$M$111,MATCH($F24,'Faculties'!$B$91:$B$111,0))),"N/A")</f>
        <v/>
      </c>
      <c r="L24" s="25">
        <f>IFERROR(IF(INDEX('CI&amp;S'!$M$10:$M$15,MATCH($F24,'CI&amp;S'!$B$10:$B$15,0))="","Cell will autofill based on response",INDEX('CI&amp;S'!$M$10:$M$15,MATCH($F24,'CI&amp;S'!$B$10:$B$15,0))),"N/A")</f>
        <v/>
      </c>
      <c r="M24" s="25">
        <f>IFERROR(IF(INDEX('CI&amp;S'!$M$22:$M$39,MATCH($F24,'CI&amp;S'!$B$22:$B$39,0))="","Cell will autofill based on response",INDEX('CI&amp;S'!$M$22:$M$39,MATCH($F24,'CI&amp;S'!$B$22:$B$39,0))),"N/A")</f>
        <v/>
      </c>
      <c r="N24" s="25">
        <f>IFERROR(IF(INDEX('CFOG'!$M$10:$M$16,MATCH($F24,'CFOG'!$B$10:$B$16,0))="","Cell will autofill based on response",INDEX('CFOG'!$M$10:$M$16,MATCH($F24,'CFOG'!$B$10:$B$16,0))),"N/A")</f>
        <v/>
      </c>
      <c r="O24" s="25">
        <f>IFERROR(IF(INDEX('CFOG'!$M$23:$M$24,MATCH($F24,'CFOG'!$B$23:$B$24,0))="","Cell will autofill based on response",INDEX('CFOG'!$M$23:$M$24,MATCH($F24,'CFOG'!$B$23:$B$24,0))),"N/A")</f>
        <v/>
      </c>
      <c r="P24" s="25">
        <f>IFERROR(IF(INDEX('ESG'!$M$10:$M$17,MATCH($F24,'ESG'!$B$10:$B$17,0))="","Cell will autofill based on response",INDEX('ESG'!$M$10:$M$17,MATCH($F24,'ESG'!$B$10:$B$17,0))),"N/A")</f>
        <v/>
      </c>
      <c r="Q24" s="25">
        <f>IFERROR(IF(INDEX('CIOG'!$M$10:$M$14,MATCH($F24,'CIOG'!$B$10:$B$14,0))="","Cell will autofill based on response",INDEX('CIOG'!$M$10:$M$14,MATCH($F24,'CIOG'!$B$10:$B$14,0))),"N/A")</f>
        <v/>
      </c>
      <c r="R24" s="25">
        <f>IFERROR(IF(INDEX('MRE'!$M$10:$M$12,MATCH($F24,'MRE'!$B$10:$B$12,0))="","Cell will autofill based on response",INDEX('MRE'!$M$10:$M$12,MATCH($F24,'MRE'!$B$10:$B$12,0))),"N/A")</f>
        <v/>
      </c>
      <c r="S24" s="25">
        <f>IFERROR(IF(INDEX('L&amp;R'!$M$10:$M$11,MATCH($F24,'L&amp;R'!$B$10:$B$11,0))="","Cell will autofill based on response",INDEX('L&amp;R'!$M$10:$M$11,MATCH($F24,'L&amp;R'!$B$10:$B$11,0))),"N/A")</f>
        <v/>
      </c>
    </row>
    <row r="25">
      <c r="A25">
        <f>F25&amp;"|"&amp;G25</f>
        <v/>
      </c>
      <c r="B25" s="29" t="inlineStr"/>
      <c r="C25" s="8" t="inlineStr"/>
      <c r="D25" s="8" t="inlineStr"/>
      <c r="E25" s="8" t="inlineStr"/>
      <c r="F25" s="8" t="inlineStr">
        <is>
          <t>EE1(c)</t>
        </is>
      </c>
      <c r="G25" s="8" t="inlineStr">
        <is>
          <t>OPTION 2:  Indicator level reporting</t>
        </is>
      </c>
      <c r="H25" s="25">
        <f>IFERROR(IF(INDEX('Faculties'!$N$10:$N$30,MATCH($F25,'Faculties'!$B$10:$B$30,0))="","Cell will autofill based on response",INDEX('Faculties'!$N$10:$N$30,MATCH($F25,'Faculties'!$B$10:$B$30,0))),"N/A")</f>
        <v/>
      </c>
      <c r="I25" s="25">
        <f>IFERROR(IF(INDEX('Faculties'!$N$37:$N$57,MATCH($F25,'Faculties'!$B$37:$B$57,0))="","Cell will autofill based on response",INDEX('Faculties'!$N$37:$N$57,MATCH($F25,'Faculties'!$B$37:$B$57,0))),"N/A")</f>
        <v/>
      </c>
      <c r="J25" s="25">
        <f>IFERROR(IF(INDEX('Faculties'!$N$64:$N$84,MATCH($F25,'Faculties'!$B$64:$B$84,0))="","Cell will autofill based on response",INDEX('Faculties'!$N$64:$N$84,MATCH($F25,'Faculties'!$B$64:$B$84,0))),"N/A")</f>
        <v/>
      </c>
      <c r="K25" s="25">
        <f>IFERROR(IF(INDEX('Faculties'!$N$91:$N$111,MATCH($F25,'Faculties'!$B$91:$B$111,0))="","Cell will autofill based on response",INDEX('Faculties'!$N$91:$N$111,MATCH($F25,'Faculties'!$B$91:$B$111,0))),"N/A")</f>
        <v/>
      </c>
      <c r="L25" s="25">
        <f>IFERROR(IF(INDEX('CI&amp;S'!$N$10:$N$15,MATCH($F25,'CI&amp;S'!$B$10:$B$15,0))="","Cell will autofill based on response",INDEX('CI&amp;S'!$N$10:$N$15,MATCH($F25,'CI&amp;S'!$B$10:$B$15,0))),"N/A")</f>
        <v/>
      </c>
      <c r="M25" s="25">
        <f>IFERROR(IF(INDEX('CI&amp;S'!$N$22:$N$39,MATCH($F25,'CI&amp;S'!$B$22:$B$39,0))="","Cell will autofill based on response",INDEX('CI&amp;S'!$N$22:$N$39,MATCH($F25,'CI&amp;S'!$B$22:$B$39,0))),"N/A")</f>
        <v/>
      </c>
      <c r="N25" s="25">
        <f>IFERROR(IF(INDEX('CFOG'!$N$10:$N$16,MATCH($F25,'CFOG'!$B$10:$B$16,0))="","Cell will autofill based on response",INDEX('CFOG'!$N$10:$N$16,MATCH($F25,'CFOG'!$B$10:$B$16,0))),"N/A")</f>
        <v/>
      </c>
      <c r="O25" s="25">
        <f>IFERROR(IF(INDEX('CFOG'!$N$23:$N$24,MATCH($F25,'CFOG'!$B$23:$B$24,0))="","Cell will autofill based on response",INDEX('CFOG'!$N$23:$N$24,MATCH($F25,'CFOG'!$B$23:$B$24,0))),"N/A")</f>
        <v/>
      </c>
      <c r="P25" s="25">
        <f>IFERROR(IF(INDEX('ESG'!$N$10:$N$17,MATCH($F25,'ESG'!$B$10:$B$17,0))="","Cell will autofill based on response",INDEX('ESG'!$N$10:$N$17,MATCH($F25,'ESG'!$B$10:$B$17,0))),"N/A")</f>
        <v/>
      </c>
      <c r="Q25" s="25">
        <f>IFERROR(IF(INDEX('CIOG'!$N$10:$N$14,MATCH($F25,'CIOG'!$B$10:$B$14,0))="","Cell will autofill based on response",INDEX('CIOG'!$N$10:$N$14,MATCH($F25,'CIOG'!$B$10:$B$14,0))),"N/A")</f>
        <v/>
      </c>
      <c r="R25" s="25">
        <f>IFERROR(IF(INDEX('MRE'!$N$10:$N$12,MATCH($F25,'MRE'!$B$10:$B$12,0))="","Cell will autofill based on response",INDEX('MRE'!$N$10:$N$12,MATCH($F25,'MRE'!$B$10:$B$12,0))),"N/A")</f>
        <v/>
      </c>
      <c r="S25" s="25">
        <f>IFERROR(IF(INDEX('L&amp;R'!$N$10:$N$11,MATCH($F25,'L&amp;R'!$B$10:$B$11,0))="","Cell will autofill based on response",INDEX('L&amp;R'!$N$10:$N$11,MATCH($F25,'L&amp;R'!$B$10:$B$11,0))),"N/A")</f>
        <v/>
      </c>
    </row>
    <row r="26">
      <c r="A26">
        <f>F26&amp;"|"&amp;G26</f>
        <v/>
      </c>
      <c r="B26" s="29" t="inlineStr"/>
      <c r="C26" s="8" t="inlineStr"/>
      <c r="D26" s="8" t="inlineStr"/>
      <c r="E26" s="8" t="inlineStr"/>
      <c r="F26" s="8" t="inlineStr">
        <is>
          <t>EE1(c)</t>
        </is>
      </c>
      <c r="G26" s="8" t="inlineStr">
        <is>
          <t>Supporting information/comments</t>
        </is>
      </c>
      <c r="H26" s="25">
        <f>IFERROR(IF(INDEX('Faculties'!$O$10:$O$30,MATCH($F26,'Faculties'!$B$10:$B$30,0))="","Cell will autofill based on response",INDEX('Faculties'!$O$10:$O$30,MATCH($F26,'Faculties'!$B$10:$B$30,0))),"N/A")</f>
        <v/>
      </c>
      <c r="I26" s="25">
        <f>IFERROR(IF(INDEX('Faculties'!$O$37:$O$57,MATCH($F26,'Faculties'!$B$37:$B$57,0))="","Cell will autofill based on response",INDEX('Faculties'!$O$37:$O$57,MATCH($F26,'Faculties'!$B$37:$B$57,0))),"N/A")</f>
        <v/>
      </c>
      <c r="J26" s="25">
        <f>IFERROR(IF(INDEX('Faculties'!$O$64:$O$84,MATCH($F26,'Faculties'!$B$64:$B$84,0))="","Cell will autofill based on response",INDEX('Faculties'!$O$64:$O$84,MATCH($F26,'Faculties'!$B$64:$B$84,0))),"N/A")</f>
        <v/>
      </c>
      <c r="K26" s="25">
        <f>IFERROR(IF(INDEX('Faculties'!$O$91:$O$111,MATCH($F26,'Faculties'!$B$91:$B$111,0))="","Cell will autofill based on response",INDEX('Faculties'!$O$91:$O$111,MATCH($F26,'Faculties'!$B$91:$B$111,0))),"N/A")</f>
        <v/>
      </c>
      <c r="L26" s="25">
        <f>IFERROR(IF(INDEX('CI&amp;S'!$O$10:$O$15,MATCH($F26,'CI&amp;S'!$B$10:$B$15,0))="","Cell will autofill based on response",INDEX('CI&amp;S'!$O$10:$O$15,MATCH($F26,'CI&amp;S'!$B$10:$B$15,0))),"N/A")</f>
        <v/>
      </c>
      <c r="M26" s="25">
        <f>IFERROR(IF(INDEX('CI&amp;S'!$O$22:$O$39,MATCH($F26,'CI&amp;S'!$B$22:$B$39,0))="","Cell will autofill based on response",INDEX('CI&amp;S'!$O$22:$O$39,MATCH($F26,'CI&amp;S'!$B$22:$B$39,0))),"N/A")</f>
        <v/>
      </c>
      <c r="N26" s="25">
        <f>IFERROR(IF(INDEX('CFOG'!$O$10:$O$16,MATCH($F26,'CFOG'!$B$10:$B$16,0))="","Cell will autofill based on response",INDEX('CFOG'!$O$10:$O$16,MATCH($F26,'CFOG'!$B$10:$B$16,0))),"N/A")</f>
        <v/>
      </c>
      <c r="O26" s="25">
        <f>IFERROR(IF(INDEX('CFOG'!$O$23:$O$24,MATCH($F26,'CFOG'!$B$23:$B$24,0))="","Cell will autofill based on response",INDEX('CFOG'!$O$23:$O$24,MATCH($F26,'CFOG'!$B$23:$B$24,0))),"N/A")</f>
        <v/>
      </c>
      <c r="P26" s="25">
        <f>IFERROR(IF(INDEX('ESG'!$O$10:$O$17,MATCH($F26,'ESG'!$B$10:$B$17,0))="","Cell will autofill based on response",INDEX('ESG'!$O$10:$O$17,MATCH($F26,'ESG'!$B$10:$B$17,0))),"N/A")</f>
        <v/>
      </c>
      <c r="Q26" s="25">
        <f>IFERROR(IF(INDEX('CIOG'!$O$10:$O$14,MATCH($F26,'CIOG'!$B$10:$B$14,0))="","Cell will autofill based on response",INDEX('CIOG'!$O$10:$O$14,MATCH($F26,'CIOG'!$B$10:$B$14,0))),"N/A")</f>
        <v/>
      </c>
      <c r="R26" s="25">
        <f>IFERROR(IF(INDEX('MRE'!$O$10:$O$12,MATCH($F26,'MRE'!$B$10:$B$12,0))="","Cell will autofill based on response",INDEX('MRE'!$O$10:$O$12,MATCH($F26,'MRE'!$B$10:$B$12,0))),"N/A")</f>
        <v/>
      </c>
      <c r="S26" s="25">
        <f>IFERROR(IF(INDEX('L&amp;R'!$O$10:$O$11,MATCH($F26,'L&amp;R'!$B$10:$B$11,0))="","Cell will autofill based on response",INDEX('L&amp;R'!$O$10:$O$11,MATCH($F26,'L&amp;R'!$B$10:$B$11,0))),"N/A")</f>
        <v/>
      </c>
    </row>
    <row r="27">
      <c r="A27">
        <f>F27&amp;"|"&amp;G27</f>
        <v/>
      </c>
      <c r="B27" s="29" t="inlineStr"/>
      <c r="C27" s="8" t="inlineStr"/>
      <c r="D27" s="8" t="inlineStr"/>
      <c r="E27" s="8" t="inlineStr"/>
      <c r="F27" s="8" t="inlineStr">
        <is>
          <t>EE1(c)</t>
        </is>
      </c>
      <c r="G27" s="8" t="inlineStr">
        <is>
          <t>Data source and limitations</t>
        </is>
      </c>
      <c r="H27" s="25">
        <f>IFERROR(IF(INDEX('Faculties'!$P$10:$P$30,MATCH($F27,'Faculties'!$B$10:$B$30,0))="","Cell will autofill based on response",INDEX('Faculties'!$P$10:$P$30,MATCH($F27,'Faculties'!$B$10:$B$30,0))),"N/A")</f>
        <v/>
      </c>
      <c r="I27" s="25">
        <f>IFERROR(IF(INDEX('Faculties'!$P$37:$P$57,MATCH($F27,'Faculties'!$B$37:$B$57,0))="","Cell will autofill based on response",INDEX('Faculties'!$P$37:$P$57,MATCH($F27,'Faculties'!$B$37:$B$57,0))),"N/A")</f>
        <v/>
      </c>
      <c r="J27" s="25">
        <f>IFERROR(IF(INDEX('Faculties'!$P$64:$P$84,MATCH($F27,'Faculties'!$B$64:$B$84,0))="","Cell will autofill based on response",INDEX('Faculties'!$P$64:$P$84,MATCH($F27,'Faculties'!$B$64:$B$84,0))),"N/A")</f>
        <v/>
      </c>
      <c r="K27" s="25">
        <f>IFERROR(IF(INDEX('Faculties'!$P$91:$P$111,MATCH($F27,'Faculties'!$B$91:$B$111,0))="","Cell will autofill based on response",INDEX('Faculties'!$P$91:$P$111,MATCH($F27,'Faculties'!$B$91:$B$111,0))),"N/A")</f>
        <v/>
      </c>
      <c r="L27" s="25">
        <f>IFERROR(IF(INDEX('CI&amp;S'!$P$10:$P$15,MATCH($F27,'CI&amp;S'!$B$10:$B$15,0))="","Cell will autofill based on response",INDEX('CI&amp;S'!$P$10:$P$15,MATCH($F27,'CI&amp;S'!$B$10:$B$15,0))),"N/A")</f>
        <v/>
      </c>
      <c r="M27" s="25">
        <f>IFERROR(IF(INDEX('CI&amp;S'!$P$22:$P$39,MATCH($F27,'CI&amp;S'!$B$22:$B$39,0))="","Cell will autofill based on response",INDEX('CI&amp;S'!$P$22:$P$39,MATCH($F27,'CI&amp;S'!$B$22:$B$39,0))),"N/A")</f>
        <v/>
      </c>
      <c r="N27" s="25">
        <f>IFERROR(IF(INDEX('CFOG'!$P$10:$P$16,MATCH($F27,'CFOG'!$B$10:$B$16,0))="","Cell will autofill based on response",INDEX('CFOG'!$P$10:$P$16,MATCH($F27,'CFOG'!$B$10:$B$16,0))),"N/A")</f>
        <v/>
      </c>
      <c r="O27" s="25">
        <f>IFERROR(IF(INDEX('CFOG'!$P$23:$P$24,MATCH($F27,'CFOG'!$B$23:$B$24,0))="","Cell will autofill based on response",INDEX('CFOG'!$P$23:$P$24,MATCH($F27,'CFOG'!$B$23:$B$24,0))),"N/A")</f>
        <v/>
      </c>
      <c r="P27" s="25">
        <f>IFERROR(IF(INDEX('ESG'!$P$10:$P$17,MATCH($F27,'ESG'!$B$10:$B$17,0))="","Cell will autofill based on response",INDEX('ESG'!$P$10:$P$17,MATCH($F27,'ESG'!$B$10:$B$17,0))),"N/A")</f>
        <v/>
      </c>
      <c r="Q27" s="25">
        <f>IFERROR(IF(INDEX('CIOG'!$P$10:$P$14,MATCH($F27,'CIOG'!$B$10:$B$14,0))="","Cell will autofill based on response",INDEX('CIOG'!$P$10:$P$14,MATCH($F27,'CIOG'!$B$10:$B$14,0))),"N/A")</f>
        <v/>
      </c>
      <c r="R27" s="25">
        <f>IFERROR(IF(INDEX('MRE'!$P$10:$P$12,MATCH($F27,'MRE'!$B$10:$B$12,0))="","Cell will autofill based on response",INDEX('MRE'!$P$10:$P$12,MATCH($F27,'MRE'!$B$10:$B$12,0))),"N/A")</f>
        <v/>
      </c>
      <c r="S27" s="25">
        <f>IFERROR(IF(INDEX('L&amp;R'!$P$10:$P$11,MATCH($F27,'L&amp;R'!$B$10:$B$11,0))="","Cell will autofill based on response",INDEX('L&amp;R'!$P$10:$P$11,MATCH($F27,'L&amp;R'!$B$10:$B$11,0))),"N/A")</f>
        <v/>
      </c>
    </row>
    <row r="28">
      <c r="A28">
        <f>F28&amp;"|"&amp;G28</f>
        <v/>
      </c>
      <c r="B28" s="29" t="inlineStr"/>
      <c r="C28" s="8" t="inlineStr"/>
      <c r="D28" s="8" t="inlineStr"/>
      <c r="E28" s="8" t="inlineStr"/>
      <c r="F28" s="8" t="inlineStr">
        <is>
          <t>EE1(c)</t>
        </is>
      </c>
      <c r="G28" s="8" t="inlineStr">
        <is>
          <t>Data owner confirms</t>
        </is>
      </c>
      <c r="H28" s="25">
        <f>IFERROR(IF(INDEX('Faculties'!$Q$10:$Q$30,MATCH($F28,'Faculties'!$B$10:$B$30,0))="","Cell will autofill based on response",INDEX('Faculties'!$Q$10:$Q$30,MATCH($F28,'Faculties'!$B$10:$B$30,0))),"N/A")</f>
        <v/>
      </c>
      <c r="I28" s="25">
        <f>IFERROR(IF(INDEX('Faculties'!$Q$37:$Q$57,MATCH($F28,'Faculties'!$B$37:$B$57,0))="","Cell will autofill based on response",INDEX('Faculties'!$Q$37:$Q$57,MATCH($F28,'Faculties'!$B$37:$B$57,0))),"N/A")</f>
        <v/>
      </c>
      <c r="J28" s="25">
        <f>IFERROR(IF(INDEX('Faculties'!$Q$64:$Q$84,MATCH($F28,'Faculties'!$B$64:$B$84,0))="","Cell will autofill based on response",INDEX('Faculties'!$Q$64:$Q$84,MATCH($F28,'Faculties'!$B$64:$B$84,0))),"N/A")</f>
        <v/>
      </c>
      <c r="K28" s="25">
        <f>IFERROR(IF(INDEX('Faculties'!$Q$91:$Q$111,MATCH($F28,'Faculties'!$B$91:$B$111,0))="","Cell will autofill based on response",INDEX('Faculties'!$Q$91:$Q$111,MATCH($F28,'Faculties'!$B$91:$B$111,0))),"N/A")</f>
        <v/>
      </c>
      <c r="L28" s="25">
        <f>IFERROR(IF(INDEX('CI&amp;S'!$Q$10:$Q$15,MATCH($F28,'CI&amp;S'!$B$10:$B$15,0))="","Cell will autofill based on response",INDEX('CI&amp;S'!$Q$10:$Q$15,MATCH($F28,'CI&amp;S'!$B$10:$B$15,0))),"N/A")</f>
        <v/>
      </c>
      <c r="M28" s="25">
        <f>IFERROR(IF(INDEX('CI&amp;S'!$Q$22:$Q$39,MATCH($F28,'CI&amp;S'!$B$22:$B$39,0))="","Cell will autofill based on response",INDEX('CI&amp;S'!$Q$22:$Q$39,MATCH($F28,'CI&amp;S'!$B$22:$B$39,0))),"N/A")</f>
        <v/>
      </c>
      <c r="N28" s="25">
        <f>IFERROR(IF(INDEX('CFOG'!$Q$10:$Q$16,MATCH($F28,'CFOG'!$B$10:$B$16,0))="","Cell will autofill based on response",INDEX('CFOG'!$Q$10:$Q$16,MATCH($F28,'CFOG'!$B$10:$B$16,0))),"N/A")</f>
        <v/>
      </c>
      <c r="O28" s="25">
        <f>IFERROR(IF(INDEX('CFOG'!$Q$23:$Q$24,MATCH($F28,'CFOG'!$B$23:$B$24,0))="","Cell will autofill based on response",INDEX('CFOG'!$Q$23:$Q$24,MATCH($F28,'CFOG'!$B$23:$B$24,0))),"N/A")</f>
        <v/>
      </c>
      <c r="P28" s="25">
        <f>IFERROR(IF(INDEX('ESG'!$Q$10:$Q$17,MATCH($F28,'ESG'!$B$10:$B$17,0))="","Cell will autofill based on response",INDEX('ESG'!$Q$10:$Q$17,MATCH($F28,'ESG'!$B$10:$B$17,0))),"N/A")</f>
        <v/>
      </c>
      <c r="Q28" s="25">
        <f>IFERROR(IF(INDEX('CIOG'!$Q$10:$Q$14,MATCH($F28,'CIOG'!$B$10:$B$14,0))="","Cell will autofill based on response",INDEX('CIOG'!$Q$10:$Q$14,MATCH($F28,'CIOG'!$B$10:$B$14,0))),"N/A")</f>
        <v/>
      </c>
      <c r="R28" s="25">
        <f>IFERROR(IF(INDEX('MRE'!$Q$10:$Q$12,MATCH($F28,'MRE'!$B$10:$B$12,0))="","Cell will autofill based on response",INDEX('MRE'!$Q$10:$Q$12,MATCH($F28,'MRE'!$B$10:$B$12,0))),"N/A")</f>
        <v/>
      </c>
      <c r="S28" s="25">
        <f>IFERROR(IF(INDEX('L&amp;R'!$Q$10:$Q$11,MATCH($F28,'L&amp;R'!$B$10:$B$11,0))="","Cell will autofill based on response",INDEX('L&amp;R'!$Q$10:$Q$11,MATCH($F28,'L&amp;R'!$B$10:$B$11,0))),"N/A")</f>
        <v/>
      </c>
    </row>
    <row r="29">
      <c r="A29">
        <f>F29&amp;"|"&amp;G29</f>
        <v/>
      </c>
      <c r="B29" s="7" t="inlineStr">
        <is>
          <t>EE1(d)</t>
        </is>
      </c>
      <c r="C29" s="12" t="inlineStr">
        <is>
          <t>Exceptional education</t>
        </is>
      </c>
      <c r="D29" s="12" t="inlineStr">
        <is>
          <t>Alumni profiles demonstrating how graduates contribute to sustainability through their careers or communities.</t>
        </is>
      </c>
      <c r="E29" s="12"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12" t="inlineStr">
        <is>
          <t>EE1(d)</t>
        </is>
      </c>
      <c r="G29" s="12" t="inlineStr">
        <is>
          <t>Confirm end-2026 target status</t>
        </is>
      </c>
      <c r="H29" s="25">
        <f>IFERROR(IF(INDEX('Faculties'!$L$10:$L$30,MATCH($F29,'Faculties'!$B$10:$B$30,0))="","Cell will autofill based on response",INDEX('Faculties'!$L$10:$L$30,MATCH($F29,'Faculties'!$B$10:$B$30,0))),"N/A")</f>
        <v/>
      </c>
      <c r="I29" s="25">
        <f>IFERROR(IF(INDEX('Faculties'!$L$37:$L$57,MATCH($F29,'Faculties'!$B$37:$B$57,0))="","Cell will autofill based on response",INDEX('Faculties'!$L$37:$L$57,MATCH($F29,'Faculties'!$B$37:$B$57,0))),"N/A")</f>
        <v/>
      </c>
      <c r="J29" s="25">
        <f>IFERROR(IF(INDEX('Faculties'!$L$64:$L$84,MATCH($F29,'Faculties'!$B$64:$B$84,0))="","Cell will autofill based on response",INDEX('Faculties'!$L$64:$L$84,MATCH($F29,'Faculties'!$B$64:$B$84,0))),"N/A")</f>
        <v/>
      </c>
      <c r="K29" s="25">
        <f>IFERROR(IF(INDEX('Faculties'!$L$91:$L$111,MATCH($F29,'Faculties'!$B$91:$B$111,0))="","Cell will autofill based on response",INDEX('Faculties'!$L$91:$L$111,MATCH($F29,'Faculties'!$B$91:$B$111,0))),"N/A")</f>
        <v/>
      </c>
      <c r="L29" s="25">
        <f>IFERROR(IF(INDEX('CI&amp;S'!$L$10:$L$15,MATCH($F29,'CI&amp;S'!$B$10:$B$15,0))="","Cell will autofill based on response",INDEX('CI&amp;S'!$L$10:$L$15,MATCH($F29,'CI&amp;S'!$B$10:$B$15,0))),"N/A")</f>
        <v/>
      </c>
      <c r="M29" s="25">
        <f>IFERROR(IF(INDEX('CI&amp;S'!$L$22:$L$39,MATCH($F29,'CI&amp;S'!$B$22:$B$39,0))="","Cell will autofill based on response",INDEX('CI&amp;S'!$L$22:$L$39,MATCH($F29,'CI&amp;S'!$B$22:$B$39,0))),"N/A")</f>
        <v/>
      </c>
      <c r="N29" s="25">
        <f>IFERROR(IF(INDEX('CFOG'!$L$10:$L$16,MATCH($F29,'CFOG'!$B$10:$B$16,0))="","Cell will autofill based on response",INDEX('CFOG'!$L$10:$L$16,MATCH($F29,'CFOG'!$B$10:$B$16,0))),"N/A")</f>
        <v/>
      </c>
      <c r="O29" s="25">
        <f>IFERROR(IF(INDEX('CFOG'!$L$23:$L$24,MATCH($F29,'CFOG'!$B$23:$B$24,0))="","Cell will autofill based on response",INDEX('CFOG'!$L$23:$L$24,MATCH($F29,'CFOG'!$B$23:$B$24,0))),"N/A")</f>
        <v/>
      </c>
      <c r="P29" s="25">
        <f>IFERROR(IF(INDEX('ESG'!$L$10:$L$17,MATCH($F29,'ESG'!$B$10:$B$17,0))="","Cell will autofill based on response",INDEX('ESG'!$L$10:$L$17,MATCH($F29,'ESG'!$B$10:$B$17,0))),"N/A")</f>
        <v/>
      </c>
      <c r="Q29" s="25">
        <f>IFERROR(IF(INDEX('CIOG'!$L$10:$L$14,MATCH($F29,'CIOG'!$B$10:$B$14,0))="","Cell will autofill based on response",INDEX('CIOG'!$L$10:$L$14,MATCH($F29,'CIOG'!$B$10:$B$14,0))),"N/A")</f>
        <v/>
      </c>
      <c r="R29" s="25">
        <f>IFERROR(IF(INDEX('MRE'!$L$10:$L$12,MATCH($F29,'MRE'!$B$10:$B$12,0))="","Cell will autofill based on response",INDEX('MRE'!$L$10:$L$12,MATCH($F29,'MRE'!$B$10:$B$12,0))),"N/A")</f>
        <v/>
      </c>
      <c r="S29" s="25">
        <f>IFERROR(IF(INDEX('L&amp;R'!$L$10:$L$11,MATCH($F29,'L&amp;R'!$B$10:$B$11,0))="","Cell will autofill based on response",INDEX('L&amp;R'!$L$10:$L$11,MATCH($F29,'L&amp;R'!$B$10:$B$11,0))),"N/A")</f>
        <v/>
      </c>
      <c r="U29" s="26">
        <f>COUNTIF($H29:$S29,"Cell will autofill based on response")</f>
        <v/>
      </c>
      <c r="V29" s="26">
        <f>COUNTIF($H29:$S29,"Not yet started")</f>
        <v/>
      </c>
      <c r="W29" s="26">
        <f>COUNTIF($H29:$S29,"Not met")</f>
        <v/>
      </c>
      <c r="X29" s="26">
        <f>COUNTIF($H29:$S29,"Partially met")</f>
        <v/>
      </c>
      <c r="Y29" s="26">
        <f>COUNTIF($H29:$S29,"Met or exceeded")</f>
        <v/>
      </c>
      <c r="Z29" s="26">
        <f>3*Y29+2*X29+W29</f>
        <v/>
      </c>
      <c r="AA29" s="26">
        <f>Y29+X29+W29+V29</f>
        <v/>
      </c>
      <c r="AB29" s="27">
        <f>IF(AA29&gt;0,Z29/AA29,"No valid responses to date")</f>
        <v/>
      </c>
      <c r="AC29" s="26">
        <f>IF(ISNUMBER(AB29),INDEX(Lists!$G$2:$G$5,MATCH(ROUND(AB29,0),Lists!$H$2:$H$5,0)),"")</f>
        <v/>
      </c>
      <c r="AD29" s="28">
        <f>IF(AA29&gt;0,Y29/AA29,"")</f>
        <v/>
      </c>
      <c r="AE29" s="28">
        <f>IF(AA29&gt;0,(Y29+X29)/AA29,"")</f>
        <v/>
      </c>
      <c r="AF29" s="26">
        <f>IF(AA29=0,"",IF(AD29&gt;0.75,"Met or exceeded",IF(AE29&gt;=0.5,"Partially met","Not met")))</f>
        <v/>
      </c>
    </row>
    <row r="30">
      <c r="A30">
        <f>F30&amp;"|"&amp;G30</f>
        <v/>
      </c>
      <c r="B30" s="29" t="inlineStr"/>
      <c r="C30" s="8" t="inlineStr"/>
      <c r="D30" s="8" t="inlineStr"/>
      <c r="E30" s="8" t="inlineStr"/>
      <c r="F30" s="8" t="inlineStr">
        <is>
          <t>EE1(d)</t>
        </is>
      </c>
      <c r="G30" s="8" t="inlineStr">
        <is>
          <t>OPTION 1:  Target-level reporting</t>
        </is>
      </c>
      <c r="H30" s="25">
        <f>IFERROR(IF(INDEX('Faculties'!$M$10:$M$30,MATCH($F30,'Faculties'!$B$10:$B$30,0))="","Cell will autofill based on response",INDEX('Faculties'!$M$10:$M$30,MATCH($F30,'Faculties'!$B$10:$B$30,0))),"N/A")</f>
        <v/>
      </c>
      <c r="I30" s="25">
        <f>IFERROR(IF(INDEX('Faculties'!$M$37:$M$57,MATCH($F30,'Faculties'!$B$37:$B$57,0))="","Cell will autofill based on response",INDEX('Faculties'!$M$37:$M$57,MATCH($F30,'Faculties'!$B$37:$B$57,0))),"N/A")</f>
        <v/>
      </c>
      <c r="J30" s="25">
        <f>IFERROR(IF(INDEX('Faculties'!$M$64:$M$84,MATCH($F30,'Faculties'!$B$64:$B$84,0))="","Cell will autofill based on response",INDEX('Faculties'!$M$64:$M$84,MATCH($F30,'Faculties'!$B$64:$B$84,0))),"N/A")</f>
        <v/>
      </c>
      <c r="K30" s="25">
        <f>IFERROR(IF(INDEX('Faculties'!$M$91:$M$111,MATCH($F30,'Faculties'!$B$91:$B$111,0))="","Cell will autofill based on response",INDEX('Faculties'!$M$91:$M$111,MATCH($F30,'Faculties'!$B$91:$B$111,0))),"N/A")</f>
        <v/>
      </c>
      <c r="L30" s="25">
        <f>IFERROR(IF(INDEX('CI&amp;S'!$M$10:$M$15,MATCH($F30,'CI&amp;S'!$B$10:$B$15,0))="","Cell will autofill based on response",INDEX('CI&amp;S'!$M$10:$M$15,MATCH($F30,'CI&amp;S'!$B$10:$B$15,0))),"N/A")</f>
        <v/>
      </c>
      <c r="M30" s="25">
        <f>IFERROR(IF(INDEX('CI&amp;S'!$M$22:$M$39,MATCH($F30,'CI&amp;S'!$B$22:$B$39,0))="","Cell will autofill based on response",INDEX('CI&amp;S'!$M$22:$M$39,MATCH($F30,'CI&amp;S'!$B$22:$B$39,0))),"N/A")</f>
        <v/>
      </c>
      <c r="N30" s="25">
        <f>IFERROR(IF(INDEX('CFOG'!$M$10:$M$16,MATCH($F30,'CFOG'!$B$10:$B$16,0))="","Cell will autofill based on response",INDEX('CFOG'!$M$10:$M$16,MATCH($F30,'CFOG'!$B$10:$B$16,0))),"N/A")</f>
        <v/>
      </c>
      <c r="O30" s="25">
        <f>IFERROR(IF(INDEX('CFOG'!$M$23:$M$24,MATCH($F30,'CFOG'!$B$23:$B$24,0))="","Cell will autofill based on response",INDEX('CFOG'!$M$23:$M$24,MATCH($F30,'CFOG'!$B$23:$B$24,0))),"N/A")</f>
        <v/>
      </c>
      <c r="P30" s="25">
        <f>IFERROR(IF(INDEX('ESG'!$M$10:$M$17,MATCH($F30,'ESG'!$B$10:$B$17,0))="","Cell will autofill based on response",INDEX('ESG'!$M$10:$M$17,MATCH($F30,'ESG'!$B$10:$B$17,0))),"N/A")</f>
        <v/>
      </c>
      <c r="Q30" s="25">
        <f>IFERROR(IF(INDEX('CIOG'!$M$10:$M$14,MATCH($F30,'CIOG'!$B$10:$B$14,0))="","Cell will autofill based on response",INDEX('CIOG'!$M$10:$M$14,MATCH($F30,'CIOG'!$B$10:$B$14,0))),"N/A")</f>
        <v/>
      </c>
      <c r="R30" s="25">
        <f>IFERROR(IF(INDEX('MRE'!$M$10:$M$12,MATCH($F30,'MRE'!$B$10:$B$12,0))="","Cell will autofill based on response",INDEX('MRE'!$M$10:$M$12,MATCH($F30,'MRE'!$B$10:$B$12,0))),"N/A")</f>
        <v/>
      </c>
      <c r="S30" s="25">
        <f>IFERROR(IF(INDEX('L&amp;R'!$M$10:$M$11,MATCH($F30,'L&amp;R'!$B$10:$B$11,0))="","Cell will autofill based on response",INDEX('L&amp;R'!$M$10:$M$11,MATCH($F30,'L&amp;R'!$B$10:$B$11,0))),"N/A")</f>
        <v/>
      </c>
    </row>
    <row r="31">
      <c r="A31">
        <f>F31&amp;"|"&amp;G31</f>
        <v/>
      </c>
      <c r="B31" s="29" t="inlineStr"/>
      <c r="C31" s="8" t="inlineStr"/>
      <c r="D31" s="8" t="inlineStr"/>
      <c r="E31" s="8" t="inlineStr"/>
      <c r="F31" s="8" t="inlineStr">
        <is>
          <t>EE1(d)</t>
        </is>
      </c>
      <c r="G31" s="8" t="inlineStr">
        <is>
          <t>OPTION 2:  Indicator level reporting</t>
        </is>
      </c>
      <c r="H31" s="25">
        <f>IFERROR(IF(INDEX('Faculties'!$N$10:$N$30,MATCH($F31,'Faculties'!$B$10:$B$30,0))="","Cell will autofill based on response",INDEX('Faculties'!$N$10:$N$30,MATCH($F31,'Faculties'!$B$10:$B$30,0))),"N/A")</f>
        <v/>
      </c>
      <c r="I31" s="25">
        <f>IFERROR(IF(INDEX('Faculties'!$N$37:$N$57,MATCH($F31,'Faculties'!$B$37:$B$57,0))="","Cell will autofill based on response",INDEX('Faculties'!$N$37:$N$57,MATCH($F31,'Faculties'!$B$37:$B$57,0))),"N/A")</f>
        <v/>
      </c>
      <c r="J31" s="25">
        <f>IFERROR(IF(INDEX('Faculties'!$N$64:$N$84,MATCH($F31,'Faculties'!$B$64:$B$84,0))="","Cell will autofill based on response",INDEX('Faculties'!$N$64:$N$84,MATCH($F31,'Faculties'!$B$64:$B$84,0))),"N/A")</f>
        <v/>
      </c>
      <c r="K31" s="25">
        <f>IFERROR(IF(INDEX('Faculties'!$N$91:$N$111,MATCH($F31,'Faculties'!$B$91:$B$111,0))="","Cell will autofill based on response",INDEX('Faculties'!$N$91:$N$111,MATCH($F31,'Faculties'!$B$91:$B$111,0))),"N/A")</f>
        <v/>
      </c>
      <c r="L31" s="25">
        <f>IFERROR(IF(INDEX('CI&amp;S'!$N$10:$N$15,MATCH($F31,'CI&amp;S'!$B$10:$B$15,0))="","Cell will autofill based on response",INDEX('CI&amp;S'!$N$10:$N$15,MATCH($F31,'CI&amp;S'!$B$10:$B$15,0))),"N/A")</f>
        <v/>
      </c>
      <c r="M31" s="25">
        <f>IFERROR(IF(INDEX('CI&amp;S'!$N$22:$N$39,MATCH($F31,'CI&amp;S'!$B$22:$B$39,0))="","Cell will autofill based on response",INDEX('CI&amp;S'!$N$22:$N$39,MATCH($F31,'CI&amp;S'!$B$22:$B$39,0))),"N/A")</f>
        <v/>
      </c>
      <c r="N31" s="25">
        <f>IFERROR(IF(INDEX('CFOG'!$N$10:$N$16,MATCH($F31,'CFOG'!$B$10:$B$16,0))="","Cell will autofill based on response",INDEX('CFOG'!$N$10:$N$16,MATCH($F31,'CFOG'!$B$10:$B$16,0))),"N/A")</f>
        <v/>
      </c>
      <c r="O31" s="25">
        <f>IFERROR(IF(INDEX('CFOG'!$N$23:$N$24,MATCH($F31,'CFOG'!$B$23:$B$24,0))="","Cell will autofill based on response",INDEX('CFOG'!$N$23:$N$24,MATCH($F31,'CFOG'!$B$23:$B$24,0))),"N/A")</f>
        <v/>
      </c>
      <c r="P31" s="25">
        <f>IFERROR(IF(INDEX('ESG'!$N$10:$N$17,MATCH($F31,'ESG'!$B$10:$B$17,0))="","Cell will autofill based on response",INDEX('ESG'!$N$10:$N$17,MATCH($F31,'ESG'!$B$10:$B$17,0))),"N/A")</f>
        <v/>
      </c>
      <c r="Q31" s="25">
        <f>IFERROR(IF(INDEX('CIOG'!$N$10:$N$14,MATCH($F31,'CIOG'!$B$10:$B$14,0))="","Cell will autofill based on response",INDEX('CIOG'!$N$10:$N$14,MATCH($F31,'CIOG'!$B$10:$B$14,0))),"N/A")</f>
        <v/>
      </c>
      <c r="R31" s="25">
        <f>IFERROR(IF(INDEX('MRE'!$N$10:$N$12,MATCH($F31,'MRE'!$B$10:$B$12,0))="","Cell will autofill based on response",INDEX('MRE'!$N$10:$N$12,MATCH($F31,'MRE'!$B$10:$B$12,0))),"N/A")</f>
        <v/>
      </c>
      <c r="S31" s="25">
        <f>IFERROR(IF(INDEX('L&amp;R'!$N$10:$N$11,MATCH($F31,'L&amp;R'!$B$10:$B$11,0))="","Cell will autofill based on response",INDEX('L&amp;R'!$N$10:$N$11,MATCH($F31,'L&amp;R'!$B$10:$B$11,0))),"N/A")</f>
        <v/>
      </c>
    </row>
    <row r="32">
      <c r="A32">
        <f>F32&amp;"|"&amp;G32</f>
        <v/>
      </c>
      <c r="B32" s="29" t="inlineStr"/>
      <c r="C32" s="8" t="inlineStr"/>
      <c r="D32" s="8" t="inlineStr"/>
      <c r="E32" s="8" t="inlineStr"/>
      <c r="F32" s="8" t="inlineStr">
        <is>
          <t>EE1(d)</t>
        </is>
      </c>
      <c r="G32" s="8" t="inlineStr">
        <is>
          <t>Supporting information/comments</t>
        </is>
      </c>
      <c r="H32" s="25">
        <f>IFERROR(IF(INDEX('Faculties'!$O$10:$O$30,MATCH($F32,'Faculties'!$B$10:$B$30,0))="","Cell will autofill based on response",INDEX('Faculties'!$O$10:$O$30,MATCH($F32,'Faculties'!$B$10:$B$30,0))),"N/A")</f>
        <v/>
      </c>
      <c r="I32" s="25">
        <f>IFERROR(IF(INDEX('Faculties'!$O$37:$O$57,MATCH($F32,'Faculties'!$B$37:$B$57,0))="","Cell will autofill based on response",INDEX('Faculties'!$O$37:$O$57,MATCH($F32,'Faculties'!$B$37:$B$57,0))),"N/A")</f>
        <v/>
      </c>
      <c r="J32" s="25">
        <f>IFERROR(IF(INDEX('Faculties'!$O$64:$O$84,MATCH($F32,'Faculties'!$B$64:$B$84,0))="","Cell will autofill based on response",INDEX('Faculties'!$O$64:$O$84,MATCH($F32,'Faculties'!$B$64:$B$84,0))),"N/A")</f>
        <v/>
      </c>
      <c r="K32" s="25">
        <f>IFERROR(IF(INDEX('Faculties'!$O$91:$O$111,MATCH($F32,'Faculties'!$B$91:$B$111,0))="","Cell will autofill based on response",INDEX('Faculties'!$O$91:$O$111,MATCH($F32,'Faculties'!$B$91:$B$111,0))),"N/A")</f>
        <v/>
      </c>
      <c r="L32" s="25">
        <f>IFERROR(IF(INDEX('CI&amp;S'!$O$10:$O$15,MATCH($F32,'CI&amp;S'!$B$10:$B$15,0))="","Cell will autofill based on response",INDEX('CI&amp;S'!$O$10:$O$15,MATCH($F32,'CI&amp;S'!$B$10:$B$15,0))),"N/A")</f>
        <v/>
      </c>
      <c r="M32" s="25">
        <f>IFERROR(IF(INDEX('CI&amp;S'!$O$22:$O$39,MATCH($F32,'CI&amp;S'!$B$22:$B$39,0))="","Cell will autofill based on response",INDEX('CI&amp;S'!$O$22:$O$39,MATCH($F32,'CI&amp;S'!$B$22:$B$39,0))),"N/A")</f>
        <v/>
      </c>
      <c r="N32" s="25">
        <f>IFERROR(IF(INDEX('CFOG'!$O$10:$O$16,MATCH($F32,'CFOG'!$B$10:$B$16,0))="","Cell will autofill based on response",INDEX('CFOG'!$O$10:$O$16,MATCH($F32,'CFOG'!$B$10:$B$16,0))),"N/A")</f>
        <v/>
      </c>
      <c r="O32" s="25">
        <f>IFERROR(IF(INDEX('CFOG'!$O$23:$O$24,MATCH($F32,'CFOG'!$B$23:$B$24,0))="","Cell will autofill based on response",INDEX('CFOG'!$O$23:$O$24,MATCH($F32,'CFOG'!$B$23:$B$24,0))),"N/A")</f>
        <v/>
      </c>
      <c r="P32" s="25">
        <f>IFERROR(IF(INDEX('ESG'!$O$10:$O$17,MATCH($F32,'ESG'!$B$10:$B$17,0))="","Cell will autofill based on response",INDEX('ESG'!$O$10:$O$17,MATCH($F32,'ESG'!$B$10:$B$17,0))),"N/A")</f>
        <v/>
      </c>
      <c r="Q32" s="25">
        <f>IFERROR(IF(INDEX('CIOG'!$O$10:$O$14,MATCH($F32,'CIOG'!$B$10:$B$14,0))="","Cell will autofill based on response",INDEX('CIOG'!$O$10:$O$14,MATCH($F32,'CIOG'!$B$10:$B$14,0))),"N/A")</f>
        <v/>
      </c>
      <c r="R32" s="25">
        <f>IFERROR(IF(INDEX('MRE'!$O$10:$O$12,MATCH($F32,'MRE'!$B$10:$B$12,0))="","Cell will autofill based on response",INDEX('MRE'!$O$10:$O$12,MATCH($F32,'MRE'!$B$10:$B$12,0))),"N/A")</f>
        <v/>
      </c>
      <c r="S32" s="25">
        <f>IFERROR(IF(INDEX('L&amp;R'!$O$10:$O$11,MATCH($F32,'L&amp;R'!$B$10:$B$11,0))="","Cell will autofill based on response",INDEX('L&amp;R'!$O$10:$O$11,MATCH($F32,'L&amp;R'!$B$10:$B$11,0))),"N/A")</f>
        <v/>
      </c>
    </row>
    <row r="33">
      <c r="A33">
        <f>F33&amp;"|"&amp;G33</f>
        <v/>
      </c>
      <c r="B33" s="29" t="inlineStr"/>
      <c r="C33" s="8" t="inlineStr"/>
      <c r="D33" s="8" t="inlineStr"/>
      <c r="E33" s="8" t="inlineStr"/>
      <c r="F33" s="8" t="inlineStr">
        <is>
          <t>EE1(d)</t>
        </is>
      </c>
      <c r="G33" s="8" t="inlineStr">
        <is>
          <t>Data source and limitations</t>
        </is>
      </c>
      <c r="H33" s="25">
        <f>IFERROR(IF(INDEX('Faculties'!$P$10:$P$30,MATCH($F33,'Faculties'!$B$10:$B$30,0))="","Cell will autofill based on response",INDEX('Faculties'!$P$10:$P$30,MATCH($F33,'Faculties'!$B$10:$B$30,0))),"N/A")</f>
        <v/>
      </c>
      <c r="I33" s="25">
        <f>IFERROR(IF(INDEX('Faculties'!$P$37:$P$57,MATCH($F33,'Faculties'!$B$37:$B$57,0))="","Cell will autofill based on response",INDEX('Faculties'!$P$37:$P$57,MATCH($F33,'Faculties'!$B$37:$B$57,0))),"N/A")</f>
        <v/>
      </c>
      <c r="J33" s="25">
        <f>IFERROR(IF(INDEX('Faculties'!$P$64:$P$84,MATCH($F33,'Faculties'!$B$64:$B$84,0))="","Cell will autofill based on response",INDEX('Faculties'!$P$64:$P$84,MATCH($F33,'Faculties'!$B$64:$B$84,0))),"N/A")</f>
        <v/>
      </c>
      <c r="K33" s="25">
        <f>IFERROR(IF(INDEX('Faculties'!$P$91:$P$111,MATCH($F33,'Faculties'!$B$91:$B$111,0))="","Cell will autofill based on response",INDEX('Faculties'!$P$91:$P$111,MATCH($F33,'Faculties'!$B$91:$B$111,0))),"N/A")</f>
        <v/>
      </c>
      <c r="L33" s="25">
        <f>IFERROR(IF(INDEX('CI&amp;S'!$P$10:$P$15,MATCH($F33,'CI&amp;S'!$B$10:$B$15,0))="","Cell will autofill based on response",INDEX('CI&amp;S'!$P$10:$P$15,MATCH($F33,'CI&amp;S'!$B$10:$B$15,0))),"N/A")</f>
        <v/>
      </c>
      <c r="M33" s="25">
        <f>IFERROR(IF(INDEX('CI&amp;S'!$P$22:$P$39,MATCH($F33,'CI&amp;S'!$B$22:$B$39,0))="","Cell will autofill based on response",INDEX('CI&amp;S'!$P$22:$P$39,MATCH($F33,'CI&amp;S'!$B$22:$B$39,0))),"N/A")</f>
        <v/>
      </c>
      <c r="N33" s="25">
        <f>IFERROR(IF(INDEX('CFOG'!$P$10:$P$16,MATCH($F33,'CFOG'!$B$10:$B$16,0))="","Cell will autofill based on response",INDEX('CFOG'!$P$10:$P$16,MATCH($F33,'CFOG'!$B$10:$B$16,0))),"N/A")</f>
        <v/>
      </c>
      <c r="O33" s="25">
        <f>IFERROR(IF(INDEX('CFOG'!$P$23:$P$24,MATCH($F33,'CFOG'!$B$23:$B$24,0))="","Cell will autofill based on response",INDEX('CFOG'!$P$23:$P$24,MATCH($F33,'CFOG'!$B$23:$B$24,0))),"N/A")</f>
        <v/>
      </c>
      <c r="P33" s="25">
        <f>IFERROR(IF(INDEX('ESG'!$P$10:$P$17,MATCH($F33,'ESG'!$B$10:$B$17,0))="","Cell will autofill based on response",INDEX('ESG'!$P$10:$P$17,MATCH($F33,'ESG'!$B$10:$B$17,0))),"N/A")</f>
        <v/>
      </c>
      <c r="Q33" s="25">
        <f>IFERROR(IF(INDEX('CIOG'!$P$10:$P$14,MATCH($F33,'CIOG'!$B$10:$B$14,0))="","Cell will autofill based on response",INDEX('CIOG'!$P$10:$P$14,MATCH($F33,'CIOG'!$B$10:$B$14,0))),"N/A")</f>
        <v/>
      </c>
      <c r="R33" s="25">
        <f>IFERROR(IF(INDEX('MRE'!$P$10:$P$12,MATCH($F33,'MRE'!$B$10:$B$12,0))="","Cell will autofill based on response",INDEX('MRE'!$P$10:$P$12,MATCH($F33,'MRE'!$B$10:$B$12,0))),"N/A")</f>
        <v/>
      </c>
      <c r="S33" s="25">
        <f>IFERROR(IF(INDEX('L&amp;R'!$P$10:$P$11,MATCH($F33,'L&amp;R'!$B$10:$B$11,0))="","Cell will autofill based on response",INDEX('L&amp;R'!$P$10:$P$11,MATCH($F33,'L&amp;R'!$B$10:$B$11,0))),"N/A")</f>
        <v/>
      </c>
    </row>
    <row r="34">
      <c r="A34">
        <f>F34&amp;"|"&amp;G34</f>
        <v/>
      </c>
      <c r="B34" s="29" t="inlineStr"/>
      <c r="C34" s="8" t="inlineStr"/>
      <c r="D34" s="8" t="inlineStr"/>
      <c r="E34" s="8" t="inlineStr"/>
      <c r="F34" s="8" t="inlineStr">
        <is>
          <t>EE1(d)</t>
        </is>
      </c>
      <c r="G34" s="8" t="inlineStr">
        <is>
          <t>Data owner confirms</t>
        </is>
      </c>
      <c r="H34" s="25">
        <f>IFERROR(IF(INDEX('Faculties'!$Q$10:$Q$30,MATCH($F34,'Faculties'!$B$10:$B$30,0))="","Cell will autofill based on response",INDEX('Faculties'!$Q$10:$Q$30,MATCH($F34,'Faculties'!$B$10:$B$30,0))),"N/A")</f>
        <v/>
      </c>
      <c r="I34" s="25">
        <f>IFERROR(IF(INDEX('Faculties'!$Q$37:$Q$57,MATCH($F34,'Faculties'!$B$37:$B$57,0))="","Cell will autofill based on response",INDEX('Faculties'!$Q$37:$Q$57,MATCH($F34,'Faculties'!$B$37:$B$57,0))),"N/A")</f>
        <v/>
      </c>
      <c r="J34" s="25">
        <f>IFERROR(IF(INDEX('Faculties'!$Q$64:$Q$84,MATCH($F34,'Faculties'!$B$64:$B$84,0))="","Cell will autofill based on response",INDEX('Faculties'!$Q$64:$Q$84,MATCH($F34,'Faculties'!$B$64:$B$84,0))),"N/A")</f>
        <v/>
      </c>
      <c r="K34" s="25">
        <f>IFERROR(IF(INDEX('Faculties'!$Q$91:$Q$111,MATCH($F34,'Faculties'!$B$91:$B$111,0))="","Cell will autofill based on response",INDEX('Faculties'!$Q$91:$Q$111,MATCH($F34,'Faculties'!$B$91:$B$111,0))),"N/A")</f>
        <v/>
      </c>
      <c r="L34" s="25">
        <f>IFERROR(IF(INDEX('CI&amp;S'!$Q$10:$Q$15,MATCH($F34,'CI&amp;S'!$B$10:$B$15,0))="","Cell will autofill based on response",INDEX('CI&amp;S'!$Q$10:$Q$15,MATCH($F34,'CI&amp;S'!$B$10:$B$15,0))),"N/A")</f>
        <v/>
      </c>
      <c r="M34" s="25">
        <f>IFERROR(IF(INDEX('CI&amp;S'!$Q$22:$Q$39,MATCH($F34,'CI&amp;S'!$B$22:$B$39,0))="","Cell will autofill based on response",INDEX('CI&amp;S'!$Q$22:$Q$39,MATCH($F34,'CI&amp;S'!$B$22:$B$39,0))),"N/A")</f>
        <v/>
      </c>
      <c r="N34" s="25">
        <f>IFERROR(IF(INDEX('CFOG'!$Q$10:$Q$16,MATCH($F34,'CFOG'!$B$10:$B$16,0))="","Cell will autofill based on response",INDEX('CFOG'!$Q$10:$Q$16,MATCH($F34,'CFOG'!$B$10:$B$16,0))),"N/A")</f>
        <v/>
      </c>
      <c r="O34" s="25">
        <f>IFERROR(IF(INDEX('CFOG'!$Q$23:$Q$24,MATCH($F34,'CFOG'!$B$23:$B$24,0))="","Cell will autofill based on response",INDEX('CFOG'!$Q$23:$Q$24,MATCH($F34,'CFOG'!$B$23:$B$24,0))),"N/A")</f>
        <v/>
      </c>
      <c r="P34" s="25">
        <f>IFERROR(IF(INDEX('ESG'!$Q$10:$Q$17,MATCH($F34,'ESG'!$B$10:$B$17,0))="","Cell will autofill based on response",INDEX('ESG'!$Q$10:$Q$17,MATCH($F34,'ESG'!$B$10:$B$17,0))),"N/A")</f>
        <v/>
      </c>
      <c r="Q34" s="25">
        <f>IFERROR(IF(INDEX('CIOG'!$Q$10:$Q$14,MATCH($F34,'CIOG'!$B$10:$B$14,0))="","Cell will autofill based on response",INDEX('CIOG'!$Q$10:$Q$14,MATCH($F34,'CIOG'!$B$10:$B$14,0))),"N/A")</f>
        <v/>
      </c>
      <c r="R34" s="25">
        <f>IFERROR(IF(INDEX('MRE'!$Q$10:$Q$12,MATCH($F34,'MRE'!$B$10:$B$12,0))="","Cell will autofill based on response",INDEX('MRE'!$Q$10:$Q$12,MATCH($F34,'MRE'!$B$10:$B$12,0))),"N/A")</f>
        <v/>
      </c>
      <c r="S34" s="25">
        <f>IFERROR(IF(INDEX('L&amp;R'!$Q$10:$Q$11,MATCH($F34,'L&amp;R'!$B$10:$B$11,0))="","Cell will autofill based on response",INDEX('L&amp;R'!$Q$10:$Q$11,MATCH($F34,'L&amp;R'!$B$10:$B$11,0))),"N/A")</f>
        <v/>
      </c>
    </row>
    <row r="35">
      <c r="A35">
        <f>F35&amp;"|"&amp;G35</f>
        <v/>
      </c>
      <c r="B35" s="7" t="inlineStr">
        <is>
          <t>TR1(a)</t>
        </is>
      </c>
      <c r="C35" s="12" t="inlineStr">
        <is>
          <t>Transformational research</t>
        </is>
      </c>
      <c r="D35" s="12" t="inlineStr">
        <is>
          <t>Expert-reviewed evidence of researchers contributing to operational sustainability priorities through partnerships, advisory input, living labs, applied projects or decision-support</t>
        </is>
      </c>
      <c r="E35" s="12"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12" t="inlineStr">
        <is>
          <t>TR1(a)</t>
        </is>
      </c>
      <c r="G35" s="12" t="inlineStr">
        <is>
          <t>Confirm end-2026 target status</t>
        </is>
      </c>
      <c r="H35" s="25">
        <f>IFERROR(IF(INDEX('Faculties'!$L$10:$L$30,MATCH($F35,'Faculties'!$B$10:$B$30,0))="","Cell will autofill based on response",INDEX('Faculties'!$L$10:$L$30,MATCH($F35,'Faculties'!$B$10:$B$30,0))),"N/A")</f>
        <v/>
      </c>
      <c r="I35" s="25">
        <f>IFERROR(IF(INDEX('Faculties'!$L$37:$L$57,MATCH($F35,'Faculties'!$B$37:$B$57,0))="","Cell will autofill based on response",INDEX('Faculties'!$L$37:$L$57,MATCH($F35,'Faculties'!$B$37:$B$57,0))),"N/A")</f>
        <v/>
      </c>
      <c r="J35" s="25">
        <f>IFERROR(IF(INDEX('Faculties'!$L$64:$L$84,MATCH($F35,'Faculties'!$B$64:$B$84,0))="","Cell will autofill based on response",INDEX('Faculties'!$L$64:$L$84,MATCH($F35,'Faculties'!$B$64:$B$84,0))),"N/A")</f>
        <v/>
      </c>
      <c r="K35" s="25">
        <f>IFERROR(IF(INDEX('Faculties'!$L$91:$L$111,MATCH($F35,'Faculties'!$B$91:$B$111,0))="","Cell will autofill based on response",INDEX('Faculties'!$L$91:$L$111,MATCH($F35,'Faculties'!$B$91:$B$111,0))),"N/A")</f>
        <v/>
      </c>
      <c r="L35" s="25">
        <f>IFERROR(IF(INDEX('CI&amp;S'!$L$10:$L$15,MATCH($F35,'CI&amp;S'!$B$10:$B$15,0))="","Cell will autofill based on response",INDEX('CI&amp;S'!$L$10:$L$15,MATCH($F35,'CI&amp;S'!$B$10:$B$15,0))),"N/A")</f>
        <v/>
      </c>
      <c r="M35" s="25">
        <f>IFERROR(IF(INDEX('CI&amp;S'!$L$22:$L$39,MATCH($F35,'CI&amp;S'!$B$22:$B$39,0))="","Cell will autofill based on response",INDEX('CI&amp;S'!$L$22:$L$39,MATCH($F35,'CI&amp;S'!$B$22:$B$39,0))),"N/A")</f>
        <v/>
      </c>
      <c r="N35" s="25">
        <f>IFERROR(IF(INDEX('CFOG'!$L$10:$L$16,MATCH($F35,'CFOG'!$B$10:$B$16,0))="","Cell will autofill based on response",INDEX('CFOG'!$L$10:$L$16,MATCH($F35,'CFOG'!$B$10:$B$16,0))),"N/A")</f>
        <v/>
      </c>
      <c r="O35" s="25">
        <f>IFERROR(IF(INDEX('CFOG'!$L$23:$L$24,MATCH($F35,'CFOG'!$B$23:$B$24,0))="","Cell will autofill based on response",INDEX('CFOG'!$L$23:$L$24,MATCH($F35,'CFOG'!$B$23:$B$24,0))),"N/A")</f>
        <v/>
      </c>
      <c r="P35" s="25">
        <f>IFERROR(IF(INDEX('ESG'!$L$10:$L$17,MATCH($F35,'ESG'!$B$10:$B$17,0))="","Cell will autofill based on response",INDEX('ESG'!$L$10:$L$17,MATCH($F35,'ESG'!$B$10:$B$17,0))),"N/A")</f>
        <v/>
      </c>
      <c r="Q35" s="25">
        <f>IFERROR(IF(INDEX('CIOG'!$L$10:$L$14,MATCH($F35,'CIOG'!$B$10:$B$14,0))="","Cell will autofill based on response",INDEX('CIOG'!$L$10:$L$14,MATCH($F35,'CIOG'!$B$10:$B$14,0))),"N/A")</f>
        <v/>
      </c>
      <c r="R35" s="25">
        <f>IFERROR(IF(INDEX('MRE'!$L$10:$L$12,MATCH($F35,'MRE'!$B$10:$B$12,0))="","Cell will autofill based on response",INDEX('MRE'!$L$10:$L$12,MATCH($F35,'MRE'!$B$10:$B$12,0))),"N/A")</f>
        <v/>
      </c>
      <c r="S35" s="25">
        <f>IFERROR(IF(INDEX('L&amp;R'!$L$10:$L$11,MATCH($F35,'L&amp;R'!$B$10:$B$11,0))="","Cell will autofill based on response",INDEX('L&amp;R'!$L$10:$L$11,MATCH($F35,'L&amp;R'!$B$10:$B$11,0))),"N/A")</f>
        <v/>
      </c>
      <c r="U35" s="26">
        <f>COUNTIF($H35:$S35,"Cell will autofill based on response")</f>
        <v/>
      </c>
      <c r="V35" s="26">
        <f>COUNTIF($H35:$S35,"Not yet started")</f>
        <v/>
      </c>
      <c r="W35" s="26">
        <f>COUNTIF($H35:$S35,"Not met")</f>
        <v/>
      </c>
      <c r="X35" s="26">
        <f>COUNTIF($H35:$S35,"Partially met")</f>
        <v/>
      </c>
      <c r="Y35" s="26">
        <f>COUNTIF($H35:$S35,"Met or exceeded")</f>
        <v/>
      </c>
      <c r="Z35" s="26">
        <f>3*Y35+2*X35+W35</f>
        <v/>
      </c>
      <c r="AA35" s="26">
        <f>Y35+X35+W35+V35</f>
        <v/>
      </c>
      <c r="AB35" s="27">
        <f>IF(AA35&gt;0,Z35/AA35,"No valid responses to date")</f>
        <v/>
      </c>
      <c r="AC35" s="26">
        <f>IF(ISNUMBER(AB35),INDEX(Lists!$G$2:$G$5,MATCH(ROUND(AB35,0),Lists!$H$2:$H$5,0)),"")</f>
        <v/>
      </c>
      <c r="AD35" s="28">
        <f>IF(AA35&gt;0,Y35/AA35,"")</f>
        <v/>
      </c>
      <c r="AE35" s="28">
        <f>IF(AA35&gt;0,(Y35+X35)/AA35,"")</f>
        <v/>
      </c>
      <c r="AF35" s="26">
        <f>IF(AA35=0,"",IF(AD35&gt;0.75,"Met or exceeded",IF(AE35&gt;=0.5,"Partially met","Not met")))</f>
        <v/>
      </c>
    </row>
    <row r="36">
      <c r="A36">
        <f>F36&amp;"|"&amp;G36</f>
        <v/>
      </c>
      <c r="B36" s="29" t="inlineStr"/>
      <c r="C36" s="8" t="inlineStr"/>
      <c r="D36" s="8" t="inlineStr"/>
      <c r="E36" s="8" t="inlineStr"/>
      <c r="F36" s="8" t="inlineStr">
        <is>
          <t>TR1(a)</t>
        </is>
      </c>
      <c r="G36" s="8" t="inlineStr">
        <is>
          <t>OPTION 1:  Target-level reporting</t>
        </is>
      </c>
      <c r="H36" s="25">
        <f>IFERROR(IF(INDEX('Faculties'!$M$10:$M$30,MATCH($F36,'Faculties'!$B$10:$B$30,0))="","Cell will autofill based on response",INDEX('Faculties'!$M$10:$M$30,MATCH($F36,'Faculties'!$B$10:$B$30,0))),"N/A")</f>
        <v/>
      </c>
      <c r="I36" s="25">
        <f>IFERROR(IF(INDEX('Faculties'!$M$37:$M$57,MATCH($F36,'Faculties'!$B$37:$B$57,0))="","Cell will autofill based on response",INDEX('Faculties'!$M$37:$M$57,MATCH($F36,'Faculties'!$B$37:$B$57,0))),"N/A")</f>
        <v/>
      </c>
      <c r="J36" s="25">
        <f>IFERROR(IF(INDEX('Faculties'!$M$64:$M$84,MATCH($F36,'Faculties'!$B$64:$B$84,0))="","Cell will autofill based on response",INDEX('Faculties'!$M$64:$M$84,MATCH($F36,'Faculties'!$B$64:$B$84,0))),"N/A")</f>
        <v/>
      </c>
      <c r="K36" s="25">
        <f>IFERROR(IF(INDEX('Faculties'!$M$91:$M$111,MATCH($F36,'Faculties'!$B$91:$B$111,0))="","Cell will autofill based on response",INDEX('Faculties'!$M$91:$M$111,MATCH($F36,'Faculties'!$B$91:$B$111,0))),"N/A")</f>
        <v/>
      </c>
      <c r="L36" s="25">
        <f>IFERROR(IF(INDEX('CI&amp;S'!$M$10:$M$15,MATCH($F36,'CI&amp;S'!$B$10:$B$15,0))="","Cell will autofill based on response",INDEX('CI&amp;S'!$M$10:$M$15,MATCH($F36,'CI&amp;S'!$B$10:$B$15,0))),"N/A")</f>
        <v/>
      </c>
      <c r="M36" s="25">
        <f>IFERROR(IF(INDEX('CI&amp;S'!$M$22:$M$39,MATCH($F36,'CI&amp;S'!$B$22:$B$39,0))="","Cell will autofill based on response",INDEX('CI&amp;S'!$M$22:$M$39,MATCH($F36,'CI&amp;S'!$B$22:$B$39,0))),"N/A")</f>
        <v/>
      </c>
      <c r="N36" s="25">
        <f>IFERROR(IF(INDEX('CFOG'!$M$10:$M$16,MATCH($F36,'CFOG'!$B$10:$B$16,0))="","Cell will autofill based on response",INDEX('CFOG'!$M$10:$M$16,MATCH($F36,'CFOG'!$B$10:$B$16,0))),"N/A")</f>
        <v/>
      </c>
      <c r="O36" s="25">
        <f>IFERROR(IF(INDEX('CFOG'!$M$23:$M$24,MATCH($F36,'CFOG'!$B$23:$B$24,0))="","Cell will autofill based on response",INDEX('CFOG'!$M$23:$M$24,MATCH($F36,'CFOG'!$B$23:$B$24,0))),"N/A")</f>
        <v/>
      </c>
      <c r="P36" s="25">
        <f>IFERROR(IF(INDEX('ESG'!$M$10:$M$17,MATCH($F36,'ESG'!$B$10:$B$17,0))="","Cell will autofill based on response",INDEX('ESG'!$M$10:$M$17,MATCH($F36,'ESG'!$B$10:$B$17,0))),"N/A")</f>
        <v/>
      </c>
      <c r="Q36" s="25">
        <f>IFERROR(IF(INDEX('CIOG'!$M$10:$M$14,MATCH($F36,'CIOG'!$B$10:$B$14,0))="","Cell will autofill based on response",INDEX('CIOG'!$M$10:$M$14,MATCH($F36,'CIOG'!$B$10:$B$14,0))),"N/A")</f>
        <v/>
      </c>
      <c r="R36" s="25">
        <f>IFERROR(IF(INDEX('MRE'!$M$10:$M$12,MATCH($F36,'MRE'!$B$10:$B$12,0))="","Cell will autofill based on response",INDEX('MRE'!$M$10:$M$12,MATCH($F36,'MRE'!$B$10:$B$12,0))),"N/A")</f>
        <v/>
      </c>
      <c r="S36" s="25">
        <f>IFERROR(IF(INDEX('L&amp;R'!$M$10:$M$11,MATCH($F36,'L&amp;R'!$B$10:$B$11,0))="","Cell will autofill based on response",INDEX('L&amp;R'!$M$10:$M$11,MATCH($F36,'L&amp;R'!$B$10:$B$11,0))),"N/A")</f>
        <v/>
      </c>
    </row>
    <row r="37">
      <c r="A37">
        <f>F37&amp;"|"&amp;G37</f>
        <v/>
      </c>
      <c r="B37" s="29" t="inlineStr"/>
      <c r="C37" s="8" t="inlineStr"/>
      <c r="D37" s="8" t="inlineStr"/>
      <c r="E37" s="8" t="inlineStr"/>
      <c r="F37" s="8" t="inlineStr">
        <is>
          <t>TR1(a)</t>
        </is>
      </c>
      <c r="G37" s="8" t="inlineStr">
        <is>
          <t>OPTION 2:  Indicator level reporting</t>
        </is>
      </c>
      <c r="H37" s="25">
        <f>IFERROR(IF(INDEX('Faculties'!$N$10:$N$30,MATCH($F37,'Faculties'!$B$10:$B$30,0))="","Cell will autofill based on response",INDEX('Faculties'!$N$10:$N$30,MATCH($F37,'Faculties'!$B$10:$B$30,0))),"N/A")</f>
        <v/>
      </c>
      <c r="I37" s="25">
        <f>IFERROR(IF(INDEX('Faculties'!$N$37:$N$57,MATCH($F37,'Faculties'!$B$37:$B$57,0))="","Cell will autofill based on response",INDEX('Faculties'!$N$37:$N$57,MATCH($F37,'Faculties'!$B$37:$B$57,0))),"N/A")</f>
        <v/>
      </c>
      <c r="J37" s="25">
        <f>IFERROR(IF(INDEX('Faculties'!$N$64:$N$84,MATCH($F37,'Faculties'!$B$64:$B$84,0))="","Cell will autofill based on response",INDEX('Faculties'!$N$64:$N$84,MATCH($F37,'Faculties'!$B$64:$B$84,0))),"N/A")</f>
        <v/>
      </c>
      <c r="K37" s="25">
        <f>IFERROR(IF(INDEX('Faculties'!$N$91:$N$111,MATCH($F37,'Faculties'!$B$91:$B$111,0))="","Cell will autofill based on response",INDEX('Faculties'!$N$91:$N$111,MATCH($F37,'Faculties'!$B$91:$B$111,0))),"N/A")</f>
        <v/>
      </c>
      <c r="L37" s="25">
        <f>IFERROR(IF(INDEX('CI&amp;S'!$N$10:$N$15,MATCH($F37,'CI&amp;S'!$B$10:$B$15,0))="","Cell will autofill based on response",INDEX('CI&amp;S'!$N$10:$N$15,MATCH($F37,'CI&amp;S'!$B$10:$B$15,0))),"N/A")</f>
        <v/>
      </c>
      <c r="M37" s="25">
        <f>IFERROR(IF(INDEX('CI&amp;S'!$N$22:$N$39,MATCH($F37,'CI&amp;S'!$B$22:$B$39,0))="","Cell will autofill based on response",INDEX('CI&amp;S'!$N$22:$N$39,MATCH($F37,'CI&amp;S'!$B$22:$B$39,0))),"N/A")</f>
        <v/>
      </c>
      <c r="N37" s="25">
        <f>IFERROR(IF(INDEX('CFOG'!$N$10:$N$16,MATCH($F37,'CFOG'!$B$10:$B$16,0))="","Cell will autofill based on response",INDEX('CFOG'!$N$10:$N$16,MATCH($F37,'CFOG'!$B$10:$B$16,0))),"N/A")</f>
        <v/>
      </c>
      <c r="O37" s="25">
        <f>IFERROR(IF(INDEX('CFOG'!$N$23:$N$24,MATCH($F37,'CFOG'!$B$23:$B$24,0))="","Cell will autofill based on response",INDEX('CFOG'!$N$23:$N$24,MATCH($F37,'CFOG'!$B$23:$B$24,0))),"N/A")</f>
        <v/>
      </c>
      <c r="P37" s="25">
        <f>IFERROR(IF(INDEX('ESG'!$N$10:$N$17,MATCH($F37,'ESG'!$B$10:$B$17,0))="","Cell will autofill based on response",INDEX('ESG'!$N$10:$N$17,MATCH($F37,'ESG'!$B$10:$B$17,0))),"N/A")</f>
        <v/>
      </c>
      <c r="Q37" s="25">
        <f>IFERROR(IF(INDEX('CIOG'!$N$10:$N$14,MATCH($F37,'CIOG'!$B$10:$B$14,0))="","Cell will autofill based on response",INDEX('CIOG'!$N$10:$N$14,MATCH($F37,'CIOG'!$B$10:$B$14,0))),"N/A")</f>
        <v/>
      </c>
      <c r="R37" s="25">
        <f>IFERROR(IF(INDEX('MRE'!$N$10:$N$12,MATCH($F37,'MRE'!$B$10:$B$12,0))="","Cell will autofill based on response",INDEX('MRE'!$N$10:$N$12,MATCH($F37,'MRE'!$B$10:$B$12,0))),"N/A")</f>
        <v/>
      </c>
      <c r="S37" s="25">
        <f>IFERROR(IF(INDEX('L&amp;R'!$N$10:$N$11,MATCH($F37,'L&amp;R'!$B$10:$B$11,0))="","Cell will autofill based on response",INDEX('L&amp;R'!$N$10:$N$11,MATCH($F37,'L&amp;R'!$B$10:$B$11,0))),"N/A")</f>
        <v/>
      </c>
    </row>
    <row r="38">
      <c r="A38">
        <f>F38&amp;"|"&amp;G38</f>
        <v/>
      </c>
      <c r="B38" s="29" t="inlineStr"/>
      <c r="C38" s="8" t="inlineStr"/>
      <c r="D38" s="8" t="inlineStr"/>
      <c r="E38" s="8" t="inlineStr"/>
      <c r="F38" s="8" t="inlineStr">
        <is>
          <t>TR1(a)</t>
        </is>
      </c>
      <c r="G38" s="8" t="inlineStr">
        <is>
          <t>Supporting information/comments</t>
        </is>
      </c>
      <c r="H38" s="25">
        <f>IFERROR(IF(INDEX('Faculties'!$O$10:$O$30,MATCH($F38,'Faculties'!$B$10:$B$30,0))="","Cell will autofill based on response",INDEX('Faculties'!$O$10:$O$30,MATCH($F38,'Faculties'!$B$10:$B$30,0))),"N/A")</f>
        <v/>
      </c>
      <c r="I38" s="25">
        <f>IFERROR(IF(INDEX('Faculties'!$O$37:$O$57,MATCH($F38,'Faculties'!$B$37:$B$57,0))="","Cell will autofill based on response",INDEX('Faculties'!$O$37:$O$57,MATCH($F38,'Faculties'!$B$37:$B$57,0))),"N/A")</f>
        <v/>
      </c>
      <c r="J38" s="25">
        <f>IFERROR(IF(INDEX('Faculties'!$O$64:$O$84,MATCH($F38,'Faculties'!$B$64:$B$84,0))="","Cell will autofill based on response",INDEX('Faculties'!$O$64:$O$84,MATCH($F38,'Faculties'!$B$64:$B$84,0))),"N/A")</f>
        <v/>
      </c>
      <c r="K38" s="25">
        <f>IFERROR(IF(INDEX('Faculties'!$O$91:$O$111,MATCH($F38,'Faculties'!$B$91:$B$111,0))="","Cell will autofill based on response",INDEX('Faculties'!$O$91:$O$111,MATCH($F38,'Faculties'!$B$91:$B$111,0))),"N/A")</f>
        <v/>
      </c>
      <c r="L38" s="25">
        <f>IFERROR(IF(INDEX('CI&amp;S'!$O$10:$O$15,MATCH($F38,'CI&amp;S'!$B$10:$B$15,0))="","Cell will autofill based on response",INDEX('CI&amp;S'!$O$10:$O$15,MATCH($F38,'CI&amp;S'!$B$10:$B$15,0))),"N/A")</f>
        <v/>
      </c>
      <c r="M38" s="25">
        <f>IFERROR(IF(INDEX('CI&amp;S'!$O$22:$O$39,MATCH($F38,'CI&amp;S'!$B$22:$B$39,0))="","Cell will autofill based on response",INDEX('CI&amp;S'!$O$22:$O$39,MATCH($F38,'CI&amp;S'!$B$22:$B$39,0))),"N/A")</f>
        <v/>
      </c>
      <c r="N38" s="25">
        <f>IFERROR(IF(INDEX('CFOG'!$O$10:$O$16,MATCH($F38,'CFOG'!$B$10:$B$16,0))="","Cell will autofill based on response",INDEX('CFOG'!$O$10:$O$16,MATCH($F38,'CFOG'!$B$10:$B$16,0))),"N/A")</f>
        <v/>
      </c>
      <c r="O38" s="25">
        <f>IFERROR(IF(INDEX('CFOG'!$O$23:$O$24,MATCH($F38,'CFOG'!$B$23:$B$24,0))="","Cell will autofill based on response",INDEX('CFOG'!$O$23:$O$24,MATCH($F38,'CFOG'!$B$23:$B$24,0))),"N/A")</f>
        <v/>
      </c>
      <c r="P38" s="25">
        <f>IFERROR(IF(INDEX('ESG'!$O$10:$O$17,MATCH($F38,'ESG'!$B$10:$B$17,0))="","Cell will autofill based on response",INDEX('ESG'!$O$10:$O$17,MATCH($F38,'ESG'!$B$10:$B$17,0))),"N/A")</f>
        <v/>
      </c>
      <c r="Q38" s="25">
        <f>IFERROR(IF(INDEX('CIOG'!$O$10:$O$14,MATCH($F38,'CIOG'!$B$10:$B$14,0))="","Cell will autofill based on response",INDEX('CIOG'!$O$10:$O$14,MATCH($F38,'CIOG'!$B$10:$B$14,0))),"N/A")</f>
        <v/>
      </c>
      <c r="R38" s="25">
        <f>IFERROR(IF(INDEX('MRE'!$O$10:$O$12,MATCH($F38,'MRE'!$B$10:$B$12,0))="","Cell will autofill based on response",INDEX('MRE'!$O$10:$O$12,MATCH($F38,'MRE'!$B$10:$B$12,0))),"N/A")</f>
        <v/>
      </c>
      <c r="S38" s="25">
        <f>IFERROR(IF(INDEX('L&amp;R'!$O$10:$O$11,MATCH($F38,'L&amp;R'!$B$10:$B$11,0))="","Cell will autofill based on response",INDEX('L&amp;R'!$O$10:$O$11,MATCH($F38,'L&amp;R'!$B$10:$B$11,0))),"N/A")</f>
        <v/>
      </c>
    </row>
    <row r="39">
      <c r="A39">
        <f>F39&amp;"|"&amp;G39</f>
        <v/>
      </c>
      <c r="B39" s="29" t="inlineStr"/>
      <c r="C39" s="8" t="inlineStr"/>
      <c r="D39" s="8" t="inlineStr"/>
      <c r="E39" s="8" t="inlineStr"/>
      <c r="F39" s="8" t="inlineStr">
        <is>
          <t>TR1(a)</t>
        </is>
      </c>
      <c r="G39" s="8" t="inlineStr">
        <is>
          <t>Data source and limitations</t>
        </is>
      </c>
      <c r="H39" s="25">
        <f>IFERROR(IF(INDEX('Faculties'!$P$10:$P$30,MATCH($F39,'Faculties'!$B$10:$B$30,0))="","Cell will autofill based on response",INDEX('Faculties'!$P$10:$P$30,MATCH($F39,'Faculties'!$B$10:$B$30,0))),"N/A")</f>
        <v/>
      </c>
      <c r="I39" s="25">
        <f>IFERROR(IF(INDEX('Faculties'!$P$37:$P$57,MATCH($F39,'Faculties'!$B$37:$B$57,0))="","Cell will autofill based on response",INDEX('Faculties'!$P$37:$P$57,MATCH($F39,'Faculties'!$B$37:$B$57,0))),"N/A")</f>
        <v/>
      </c>
      <c r="J39" s="25">
        <f>IFERROR(IF(INDEX('Faculties'!$P$64:$P$84,MATCH($F39,'Faculties'!$B$64:$B$84,0))="","Cell will autofill based on response",INDEX('Faculties'!$P$64:$P$84,MATCH($F39,'Faculties'!$B$64:$B$84,0))),"N/A")</f>
        <v/>
      </c>
      <c r="K39" s="25">
        <f>IFERROR(IF(INDEX('Faculties'!$P$91:$P$111,MATCH($F39,'Faculties'!$B$91:$B$111,0))="","Cell will autofill based on response",INDEX('Faculties'!$P$91:$P$111,MATCH($F39,'Faculties'!$B$91:$B$111,0))),"N/A")</f>
        <v/>
      </c>
      <c r="L39" s="25">
        <f>IFERROR(IF(INDEX('CI&amp;S'!$P$10:$P$15,MATCH($F39,'CI&amp;S'!$B$10:$B$15,0))="","Cell will autofill based on response",INDEX('CI&amp;S'!$P$10:$P$15,MATCH($F39,'CI&amp;S'!$B$10:$B$15,0))),"N/A")</f>
        <v/>
      </c>
      <c r="M39" s="25">
        <f>IFERROR(IF(INDEX('CI&amp;S'!$P$22:$P$39,MATCH($F39,'CI&amp;S'!$B$22:$B$39,0))="","Cell will autofill based on response",INDEX('CI&amp;S'!$P$22:$P$39,MATCH($F39,'CI&amp;S'!$B$22:$B$39,0))),"N/A")</f>
        <v/>
      </c>
      <c r="N39" s="25">
        <f>IFERROR(IF(INDEX('CFOG'!$P$10:$P$16,MATCH($F39,'CFOG'!$B$10:$B$16,0))="","Cell will autofill based on response",INDEX('CFOG'!$P$10:$P$16,MATCH($F39,'CFOG'!$B$10:$B$16,0))),"N/A")</f>
        <v/>
      </c>
      <c r="O39" s="25">
        <f>IFERROR(IF(INDEX('CFOG'!$P$23:$P$24,MATCH($F39,'CFOG'!$B$23:$B$24,0))="","Cell will autofill based on response",INDEX('CFOG'!$P$23:$P$24,MATCH($F39,'CFOG'!$B$23:$B$24,0))),"N/A")</f>
        <v/>
      </c>
      <c r="P39" s="25">
        <f>IFERROR(IF(INDEX('ESG'!$P$10:$P$17,MATCH($F39,'ESG'!$B$10:$B$17,0))="","Cell will autofill based on response",INDEX('ESG'!$P$10:$P$17,MATCH($F39,'ESG'!$B$10:$B$17,0))),"N/A")</f>
        <v/>
      </c>
      <c r="Q39" s="25">
        <f>IFERROR(IF(INDEX('CIOG'!$P$10:$P$14,MATCH($F39,'CIOG'!$B$10:$B$14,0))="","Cell will autofill based on response",INDEX('CIOG'!$P$10:$P$14,MATCH($F39,'CIOG'!$B$10:$B$14,0))),"N/A")</f>
        <v/>
      </c>
      <c r="R39" s="25">
        <f>IFERROR(IF(INDEX('MRE'!$P$10:$P$12,MATCH($F39,'MRE'!$B$10:$B$12,0))="","Cell will autofill based on response",INDEX('MRE'!$P$10:$P$12,MATCH($F39,'MRE'!$B$10:$B$12,0))),"N/A")</f>
        <v/>
      </c>
      <c r="S39" s="25">
        <f>IFERROR(IF(INDEX('L&amp;R'!$P$10:$P$11,MATCH($F39,'L&amp;R'!$B$10:$B$11,0))="","Cell will autofill based on response",INDEX('L&amp;R'!$P$10:$P$11,MATCH($F39,'L&amp;R'!$B$10:$B$11,0))),"N/A")</f>
        <v/>
      </c>
    </row>
    <row r="40">
      <c r="A40">
        <f>F40&amp;"|"&amp;G40</f>
        <v/>
      </c>
      <c r="B40" s="29" t="inlineStr"/>
      <c r="C40" s="8" t="inlineStr"/>
      <c r="D40" s="8" t="inlineStr"/>
      <c r="E40" s="8" t="inlineStr"/>
      <c r="F40" s="8" t="inlineStr">
        <is>
          <t>TR1(a)</t>
        </is>
      </c>
      <c r="G40" s="8" t="inlineStr">
        <is>
          <t>Data owner confirms</t>
        </is>
      </c>
      <c r="H40" s="25">
        <f>IFERROR(IF(INDEX('Faculties'!$Q$10:$Q$30,MATCH($F40,'Faculties'!$B$10:$B$30,0))="","Cell will autofill based on response",INDEX('Faculties'!$Q$10:$Q$30,MATCH($F40,'Faculties'!$B$10:$B$30,0))),"N/A")</f>
        <v/>
      </c>
      <c r="I40" s="25">
        <f>IFERROR(IF(INDEX('Faculties'!$Q$37:$Q$57,MATCH($F40,'Faculties'!$B$37:$B$57,0))="","Cell will autofill based on response",INDEX('Faculties'!$Q$37:$Q$57,MATCH($F40,'Faculties'!$B$37:$B$57,0))),"N/A")</f>
        <v/>
      </c>
      <c r="J40" s="25">
        <f>IFERROR(IF(INDEX('Faculties'!$Q$64:$Q$84,MATCH($F40,'Faculties'!$B$64:$B$84,0))="","Cell will autofill based on response",INDEX('Faculties'!$Q$64:$Q$84,MATCH($F40,'Faculties'!$B$64:$B$84,0))),"N/A")</f>
        <v/>
      </c>
      <c r="K40" s="25">
        <f>IFERROR(IF(INDEX('Faculties'!$Q$91:$Q$111,MATCH($F40,'Faculties'!$B$91:$B$111,0))="","Cell will autofill based on response",INDEX('Faculties'!$Q$91:$Q$111,MATCH($F40,'Faculties'!$B$91:$B$111,0))),"N/A")</f>
        <v/>
      </c>
      <c r="L40" s="25">
        <f>IFERROR(IF(INDEX('CI&amp;S'!$Q$10:$Q$15,MATCH($F40,'CI&amp;S'!$B$10:$B$15,0))="","Cell will autofill based on response",INDEX('CI&amp;S'!$Q$10:$Q$15,MATCH($F40,'CI&amp;S'!$B$10:$B$15,0))),"N/A")</f>
        <v/>
      </c>
      <c r="M40" s="25">
        <f>IFERROR(IF(INDEX('CI&amp;S'!$Q$22:$Q$39,MATCH($F40,'CI&amp;S'!$B$22:$B$39,0))="","Cell will autofill based on response",INDEX('CI&amp;S'!$Q$22:$Q$39,MATCH($F40,'CI&amp;S'!$B$22:$B$39,0))),"N/A")</f>
        <v/>
      </c>
      <c r="N40" s="25">
        <f>IFERROR(IF(INDEX('CFOG'!$Q$10:$Q$16,MATCH($F40,'CFOG'!$B$10:$B$16,0))="","Cell will autofill based on response",INDEX('CFOG'!$Q$10:$Q$16,MATCH($F40,'CFOG'!$B$10:$B$16,0))),"N/A")</f>
        <v/>
      </c>
      <c r="O40" s="25">
        <f>IFERROR(IF(INDEX('CFOG'!$Q$23:$Q$24,MATCH($F40,'CFOG'!$B$23:$B$24,0))="","Cell will autofill based on response",INDEX('CFOG'!$Q$23:$Q$24,MATCH($F40,'CFOG'!$B$23:$B$24,0))),"N/A")</f>
        <v/>
      </c>
      <c r="P40" s="25">
        <f>IFERROR(IF(INDEX('ESG'!$Q$10:$Q$17,MATCH($F40,'ESG'!$B$10:$B$17,0))="","Cell will autofill based on response",INDEX('ESG'!$Q$10:$Q$17,MATCH($F40,'ESG'!$B$10:$B$17,0))),"N/A")</f>
        <v/>
      </c>
      <c r="Q40" s="25">
        <f>IFERROR(IF(INDEX('CIOG'!$Q$10:$Q$14,MATCH($F40,'CIOG'!$B$10:$B$14,0))="","Cell will autofill based on response",INDEX('CIOG'!$Q$10:$Q$14,MATCH($F40,'CIOG'!$B$10:$B$14,0))),"N/A")</f>
        <v/>
      </c>
      <c r="R40" s="25">
        <f>IFERROR(IF(INDEX('MRE'!$Q$10:$Q$12,MATCH($F40,'MRE'!$B$10:$B$12,0))="","Cell will autofill based on response",INDEX('MRE'!$Q$10:$Q$12,MATCH($F40,'MRE'!$B$10:$B$12,0))),"N/A")</f>
        <v/>
      </c>
      <c r="S40" s="25">
        <f>IFERROR(IF(INDEX('L&amp;R'!$Q$10:$Q$11,MATCH($F40,'L&amp;R'!$B$10:$B$11,0))="","Cell will autofill based on response",INDEX('L&amp;R'!$Q$10:$Q$11,MATCH($F40,'L&amp;R'!$B$10:$B$11,0))),"N/A")</f>
        <v/>
      </c>
    </row>
    <row r="41">
      <c r="A41">
        <f>F41&amp;"|"&amp;G41</f>
        <v/>
      </c>
      <c r="B41" s="7" t="inlineStr">
        <is>
          <t>TR1(b)</t>
        </is>
      </c>
      <c r="C41" s="12" t="inlineStr">
        <is>
          <t>Transformational research</t>
        </is>
      </c>
      <c r="D41" s="12" t="inlineStr">
        <is>
          <t>Evidence of institutional pathways that enable ongoing collaboration between academic and professional staff</t>
        </is>
      </c>
      <c r="E41"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12" t="inlineStr">
        <is>
          <t>TR1(b)</t>
        </is>
      </c>
      <c r="G41" s="12" t="inlineStr">
        <is>
          <t>Confirm end-2026 target status</t>
        </is>
      </c>
      <c r="H41" s="25">
        <f>IFERROR(IF(INDEX('Faculties'!$L$10:$L$30,MATCH($F41,'Faculties'!$B$10:$B$30,0))="","Cell will autofill based on response",INDEX('Faculties'!$L$10:$L$30,MATCH($F41,'Faculties'!$B$10:$B$30,0))),"N/A")</f>
        <v/>
      </c>
      <c r="I41" s="25">
        <f>IFERROR(IF(INDEX('Faculties'!$L$37:$L$57,MATCH($F41,'Faculties'!$B$37:$B$57,0))="","Cell will autofill based on response",INDEX('Faculties'!$L$37:$L$57,MATCH($F41,'Faculties'!$B$37:$B$57,0))),"N/A")</f>
        <v/>
      </c>
      <c r="J41" s="25">
        <f>IFERROR(IF(INDEX('Faculties'!$L$64:$L$84,MATCH($F41,'Faculties'!$B$64:$B$84,0))="","Cell will autofill based on response",INDEX('Faculties'!$L$64:$L$84,MATCH($F41,'Faculties'!$B$64:$B$84,0))),"N/A")</f>
        <v/>
      </c>
      <c r="K41" s="25">
        <f>IFERROR(IF(INDEX('Faculties'!$L$91:$L$111,MATCH($F41,'Faculties'!$B$91:$B$111,0))="","Cell will autofill based on response",INDEX('Faculties'!$L$91:$L$111,MATCH($F41,'Faculties'!$B$91:$B$111,0))),"N/A")</f>
        <v/>
      </c>
      <c r="L41" s="25">
        <f>IFERROR(IF(INDEX('CI&amp;S'!$L$10:$L$15,MATCH($F41,'CI&amp;S'!$B$10:$B$15,0))="","Cell will autofill based on response",INDEX('CI&amp;S'!$L$10:$L$15,MATCH($F41,'CI&amp;S'!$B$10:$B$15,0))),"N/A")</f>
        <v/>
      </c>
      <c r="M41" s="25">
        <f>IFERROR(IF(INDEX('CI&amp;S'!$L$22:$L$39,MATCH($F41,'CI&amp;S'!$B$22:$B$39,0))="","Cell will autofill based on response",INDEX('CI&amp;S'!$L$22:$L$39,MATCH($F41,'CI&amp;S'!$B$22:$B$39,0))),"N/A")</f>
        <v/>
      </c>
      <c r="N41" s="25">
        <f>IFERROR(IF(INDEX('CFOG'!$L$10:$L$16,MATCH($F41,'CFOG'!$B$10:$B$16,0))="","Cell will autofill based on response",INDEX('CFOG'!$L$10:$L$16,MATCH($F41,'CFOG'!$B$10:$B$16,0))),"N/A")</f>
        <v/>
      </c>
      <c r="O41" s="25">
        <f>IFERROR(IF(INDEX('CFOG'!$L$23:$L$24,MATCH($F41,'CFOG'!$B$23:$B$24,0))="","Cell will autofill based on response",INDEX('CFOG'!$L$23:$L$24,MATCH($F41,'CFOG'!$B$23:$B$24,0))),"N/A")</f>
        <v/>
      </c>
      <c r="P41" s="25">
        <f>IFERROR(IF(INDEX('ESG'!$L$10:$L$17,MATCH($F41,'ESG'!$B$10:$B$17,0))="","Cell will autofill based on response",INDEX('ESG'!$L$10:$L$17,MATCH($F41,'ESG'!$B$10:$B$17,0))),"N/A")</f>
        <v/>
      </c>
      <c r="Q41" s="25">
        <f>IFERROR(IF(INDEX('CIOG'!$L$10:$L$14,MATCH($F41,'CIOG'!$B$10:$B$14,0))="","Cell will autofill based on response",INDEX('CIOG'!$L$10:$L$14,MATCH($F41,'CIOG'!$B$10:$B$14,0))),"N/A")</f>
        <v/>
      </c>
      <c r="R41" s="25">
        <f>IFERROR(IF(INDEX('MRE'!$L$10:$L$12,MATCH($F41,'MRE'!$B$10:$B$12,0))="","Cell will autofill based on response",INDEX('MRE'!$L$10:$L$12,MATCH($F41,'MRE'!$B$10:$B$12,0))),"N/A")</f>
        <v/>
      </c>
      <c r="S41" s="25">
        <f>IFERROR(IF(INDEX('L&amp;R'!$L$10:$L$11,MATCH($F41,'L&amp;R'!$B$10:$B$11,0))="","Cell will autofill based on response",INDEX('L&amp;R'!$L$10:$L$11,MATCH($F41,'L&amp;R'!$B$10:$B$11,0))),"N/A")</f>
        <v/>
      </c>
      <c r="U41" s="26">
        <f>COUNTIF($H41:$S41,"Cell will autofill based on response")</f>
        <v/>
      </c>
      <c r="V41" s="26">
        <f>COUNTIF($H41:$S41,"Not yet started")</f>
        <v/>
      </c>
      <c r="W41" s="26">
        <f>COUNTIF($H41:$S41,"Not met")</f>
        <v/>
      </c>
      <c r="X41" s="26">
        <f>COUNTIF($H41:$S41,"Partially met")</f>
        <v/>
      </c>
      <c r="Y41" s="26">
        <f>COUNTIF($H41:$S41,"Met or exceeded")</f>
        <v/>
      </c>
      <c r="Z41" s="26">
        <f>3*Y41+2*X41+W41</f>
        <v/>
      </c>
      <c r="AA41" s="26">
        <f>Y41+X41+W41+V41</f>
        <v/>
      </c>
      <c r="AB41" s="27">
        <f>IF(AA41&gt;0,Z41/AA41,"No valid responses to date")</f>
        <v/>
      </c>
      <c r="AC41" s="26">
        <f>IF(ISNUMBER(AB41),INDEX(Lists!$G$2:$G$5,MATCH(ROUND(AB41,0),Lists!$H$2:$H$5,0)),"")</f>
        <v/>
      </c>
      <c r="AD41" s="28">
        <f>IF(AA41&gt;0,Y41/AA41,"")</f>
        <v/>
      </c>
      <c r="AE41" s="28">
        <f>IF(AA41&gt;0,(Y41+X41)/AA41,"")</f>
        <v/>
      </c>
      <c r="AF41" s="26">
        <f>IF(AA41=0,"",IF(AD41&gt;0.75,"Met or exceeded",IF(AE41&gt;=0.5,"Partially met","Not met")))</f>
        <v/>
      </c>
    </row>
    <row r="42">
      <c r="A42">
        <f>F42&amp;"|"&amp;G42</f>
        <v/>
      </c>
      <c r="B42" s="29" t="inlineStr"/>
      <c r="C42" s="8" t="inlineStr"/>
      <c r="D42" s="8" t="inlineStr"/>
      <c r="E42" s="8" t="inlineStr"/>
      <c r="F42" s="8" t="inlineStr">
        <is>
          <t>TR1(b)</t>
        </is>
      </c>
      <c r="G42" s="8" t="inlineStr">
        <is>
          <t>OPTION 1:  Target-level reporting</t>
        </is>
      </c>
      <c r="H42" s="25">
        <f>IFERROR(IF(INDEX('Faculties'!$M$10:$M$30,MATCH($F42,'Faculties'!$B$10:$B$30,0))="","Cell will autofill based on response",INDEX('Faculties'!$M$10:$M$30,MATCH($F42,'Faculties'!$B$10:$B$30,0))),"N/A")</f>
        <v/>
      </c>
      <c r="I42" s="25">
        <f>IFERROR(IF(INDEX('Faculties'!$M$37:$M$57,MATCH($F42,'Faculties'!$B$37:$B$57,0))="","Cell will autofill based on response",INDEX('Faculties'!$M$37:$M$57,MATCH($F42,'Faculties'!$B$37:$B$57,0))),"N/A")</f>
        <v/>
      </c>
      <c r="J42" s="25">
        <f>IFERROR(IF(INDEX('Faculties'!$M$64:$M$84,MATCH($F42,'Faculties'!$B$64:$B$84,0))="","Cell will autofill based on response",INDEX('Faculties'!$M$64:$M$84,MATCH($F42,'Faculties'!$B$64:$B$84,0))),"N/A")</f>
        <v/>
      </c>
      <c r="K42" s="25">
        <f>IFERROR(IF(INDEX('Faculties'!$M$91:$M$111,MATCH($F42,'Faculties'!$B$91:$B$111,0))="","Cell will autofill based on response",INDEX('Faculties'!$M$91:$M$111,MATCH($F42,'Faculties'!$B$91:$B$111,0))),"N/A")</f>
        <v/>
      </c>
      <c r="L42" s="25">
        <f>IFERROR(IF(INDEX('CI&amp;S'!$M$10:$M$15,MATCH($F42,'CI&amp;S'!$B$10:$B$15,0))="","Cell will autofill based on response",INDEX('CI&amp;S'!$M$10:$M$15,MATCH($F42,'CI&amp;S'!$B$10:$B$15,0))),"N/A")</f>
        <v/>
      </c>
      <c r="M42" s="25">
        <f>IFERROR(IF(INDEX('CI&amp;S'!$M$22:$M$39,MATCH($F42,'CI&amp;S'!$B$22:$B$39,0))="","Cell will autofill based on response",INDEX('CI&amp;S'!$M$22:$M$39,MATCH($F42,'CI&amp;S'!$B$22:$B$39,0))),"N/A")</f>
        <v/>
      </c>
      <c r="N42" s="25">
        <f>IFERROR(IF(INDEX('CFOG'!$M$10:$M$16,MATCH($F42,'CFOG'!$B$10:$B$16,0))="","Cell will autofill based on response",INDEX('CFOG'!$M$10:$M$16,MATCH($F42,'CFOG'!$B$10:$B$16,0))),"N/A")</f>
        <v/>
      </c>
      <c r="O42" s="25">
        <f>IFERROR(IF(INDEX('CFOG'!$M$23:$M$24,MATCH($F42,'CFOG'!$B$23:$B$24,0))="","Cell will autofill based on response",INDEX('CFOG'!$M$23:$M$24,MATCH($F42,'CFOG'!$B$23:$B$24,0))),"N/A")</f>
        <v/>
      </c>
      <c r="P42" s="25">
        <f>IFERROR(IF(INDEX('ESG'!$M$10:$M$17,MATCH($F42,'ESG'!$B$10:$B$17,0))="","Cell will autofill based on response",INDEX('ESG'!$M$10:$M$17,MATCH($F42,'ESG'!$B$10:$B$17,0))),"N/A")</f>
        <v/>
      </c>
      <c r="Q42" s="25">
        <f>IFERROR(IF(INDEX('CIOG'!$M$10:$M$14,MATCH($F42,'CIOG'!$B$10:$B$14,0))="","Cell will autofill based on response",INDEX('CIOG'!$M$10:$M$14,MATCH($F42,'CIOG'!$B$10:$B$14,0))),"N/A")</f>
        <v/>
      </c>
      <c r="R42" s="25">
        <f>IFERROR(IF(INDEX('MRE'!$M$10:$M$12,MATCH($F42,'MRE'!$B$10:$B$12,0))="","Cell will autofill based on response",INDEX('MRE'!$M$10:$M$12,MATCH($F42,'MRE'!$B$10:$B$12,0))),"N/A")</f>
        <v/>
      </c>
      <c r="S42" s="25">
        <f>IFERROR(IF(INDEX('L&amp;R'!$M$10:$M$11,MATCH($F42,'L&amp;R'!$B$10:$B$11,0))="","Cell will autofill based on response",INDEX('L&amp;R'!$M$10:$M$11,MATCH($F42,'L&amp;R'!$B$10:$B$11,0))),"N/A")</f>
        <v/>
      </c>
    </row>
    <row r="43">
      <c r="A43">
        <f>F43&amp;"|"&amp;G43</f>
        <v/>
      </c>
      <c r="B43" s="29" t="inlineStr"/>
      <c r="C43" s="8" t="inlineStr"/>
      <c r="D43" s="8" t="inlineStr"/>
      <c r="E43" s="8" t="inlineStr"/>
      <c r="F43" s="8" t="inlineStr">
        <is>
          <t>TR1(b)</t>
        </is>
      </c>
      <c r="G43" s="8" t="inlineStr">
        <is>
          <t>OPTION 2:  Indicator level reporting</t>
        </is>
      </c>
      <c r="H43" s="25">
        <f>IFERROR(IF(INDEX('Faculties'!$N$10:$N$30,MATCH($F43,'Faculties'!$B$10:$B$30,0))="","Cell will autofill based on response",INDEX('Faculties'!$N$10:$N$30,MATCH($F43,'Faculties'!$B$10:$B$30,0))),"N/A")</f>
        <v/>
      </c>
      <c r="I43" s="25">
        <f>IFERROR(IF(INDEX('Faculties'!$N$37:$N$57,MATCH($F43,'Faculties'!$B$37:$B$57,0))="","Cell will autofill based on response",INDEX('Faculties'!$N$37:$N$57,MATCH($F43,'Faculties'!$B$37:$B$57,0))),"N/A")</f>
        <v/>
      </c>
      <c r="J43" s="25">
        <f>IFERROR(IF(INDEX('Faculties'!$N$64:$N$84,MATCH($F43,'Faculties'!$B$64:$B$84,0))="","Cell will autofill based on response",INDEX('Faculties'!$N$64:$N$84,MATCH($F43,'Faculties'!$B$64:$B$84,0))),"N/A")</f>
        <v/>
      </c>
      <c r="K43" s="25">
        <f>IFERROR(IF(INDEX('Faculties'!$N$91:$N$111,MATCH($F43,'Faculties'!$B$91:$B$111,0))="","Cell will autofill based on response",INDEX('Faculties'!$N$91:$N$111,MATCH($F43,'Faculties'!$B$91:$B$111,0))),"N/A")</f>
        <v/>
      </c>
      <c r="L43" s="25">
        <f>IFERROR(IF(INDEX('CI&amp;S'!$N$10:$N$15,MATCH($F43,'CI&amp;S'!$B$10:$B$15,0))="","Cell will autofill based on response",INDEX('CI&amp;S'!$N$10:$N$15,MATCH($F43,'CI&amp;S'!$B$10:$B$15,0))),"N/A")</f>
        <v/>
      </c>
      <c r="M43" s="25">
        <f>IFERROR(IF(INDEX('CI&amp;S'!$N$22:$N$39,MATCH($F43,'CI&amp;S'!$B$22:$B$39,0))="","Cell will autofill based on response",INDEX('CI&amp;S'!$N$22:$N$39,MATCH($F43,'CI&amp;S'!$B$22:$B$39,0))),"N/A")</f>
        <v/>
      </c>
      <c r="N43" s="25">
        <f>IFERROR(IF(INDEX('CFOG'!$N$10:$N$16,MATCH($F43,'CFOG'!$B$10:$B$16,0))="","Cell will autofill based on response",INDEX('CFOG'!$N$10:$N$16,MATCH($F43,'CFOG'!$B$10:$B$16,0))),"N/A")</f>
        <v/>
      </c>
      <c r="O43" s="25">
        <f>IFERROR(IF(INDEX('CFOG'!$N$23:$N$24,MATCH($F43,'CFOG'!$B$23:$B$24,0))="","Cell will autofill based on response",INDEX('CFOG'!$N$23:$N$24,MATCH($F43,'CFOG'!$B$23:$B$24,0))),"N/A")</f>
        <v/>
      </c>
      <c r="P43" s="25">
        <f>IFERROR(IF(INDEX('ESG'!$N$10:$N$17,MATCH($F43,'ESG'!$B$10:$B$17,0))="","Cell will autofill based on response",INDEX('ESG'!$N$10:$N$17,MATCH($F43,'ESG'!$B$10:$B$17,0))),"N/A")</f>
        <v/>
      </c>
      <c r="Q43" s="25">
        <f>IFERROR(IF(INDEX('CIOG'!$N$10:$N$14,MATCH($F43,'CIOG'!$B$10:$B$14,0))="","Cell will autofill based on response",INDEX('CIOG'!$N$10:$N$14,MATCH($F43,'CIOG'!$B$10:$B$14,0))),"N/A")</f>
        <v/>
      </c>
      <c r="R43" s="25">
        <f>IFERROR(IF(INDEX('MRE'!$N$10:$N$12,MATCH($F43,'MRE'!$B$10:$B$12,0))="","Cell will autofill based on response",INDEX('MRE'!$N$10:$N$12,MATCH($F43,'MRE'!$B$10:$B$12,0))),"N/A")</f>
        <v/>
      </c>
      <c r="S43" s="25">
        <f>IFERROR(IF(INDEX('L&amp;R'!$N$10:$N$11,MATCH($F43,'L&amp;R'!$B$10:$B$11,0))="","Cell will autofill based on response",INDEX('L&amp;R'!$N$10:$N$11,MATCH($F43,'L&amp;R'!$B$10:$B$11,0))),"N/A")</f>
        <v/>
      </c>
    </row>
    <row r="44">
      <c r="A44">
        <f>F44&amp;"|"&amp;G44</f>
        <v/>
      </c>
      <c r="B44" s="29" t="inlineStr"/>
      <c r="C44" s="8" t="inlineStr"/>
      <c r="D44" s="8" t="inlineStr"/>
      <c r="E44" s="8" t="inlineStr"/>
      <c r="F44" s="8" t="inlineStr">
        <is>
          <t>TR1(b)</t>
        </is>
      </c>
      <c r="G44" s="8" t="inlineStr">
        <is>
          <t>Supporting information/comments</t>
        </is>
      </c>
      <c r="H44" s="25">
        <f>IFERROR(IF(INDEX('Faculties'!$O$10:$O$30,MATCH($F44,'Faculties'!$B$10:$B$30,0))="","Cell will autofill based on response",INDEX('Faculties'!$O$10:$O$30,MATCH($F44,'Faculties'!$B$10:$B$30,0))),"N/A")</f>
        <v/>
      </c>
      <c r="I44" s="25">
        <f>IFERROR(IF(INDEX('Faculties'!$O$37:$O$57,MATCH($F44,'Faculties'!$B$37:$B$57,0))="","Cell will autofill based on response",INDEX('Faculties'!$O$37:$O$57,MATCH($F44,'Faculties'!$B$37:$B$57,0))),"N/A")</f>
        <v/>
      </c>
      <c r="J44" s="25">
        <f>IFERROR(IF(INDEX('Faculties'!$O$64:$O$84,MATCH($F44,'Faculties'!$B$64:$B$84,0))="","Cell will autofill based on response",INDEX('Faculties'!$O$64:$O$84,MATCH($F44,'Faculties'!$B$64:$B$84,0))),"N/A")</f>
        <v/>
      </c>
      <c r="K44" s="25">
        <f>IFERROR(IF(INDEX('Faculties'!$O$91:$O$111,MATCH($F44,'Faculties'!$B$91:$B$111,0))="","Cell will autofill based on response",INDEX('Faculties'!$O$91:$O$111,MATCH($F44,'Faculties'!$B$91:$B$111,0))),"N/A")</f>
        <v/>
      </c>
      <c r="L44" s="25">
        <f>IFERROR(IF(INDEX('CI&amp;S'!$O$10:$O$15,MATCH($F44,'CI&amp;S'!$B$10:$B$15,0))="","Cell will autofill based on response",INDEX('CI&amp;S'!$O$10:$O$15,MATCH($F44,'CI&amp;S'!$B$10:$B$15,0))),"N/A")</f>
        <v/>
      </c>
      <c r="M44" s="25">
        <f>IFERROR(IF(INDEX('CI&amp;S'!$O$22:$O$39,MATCH($F44,'CI&amp;S'!$B$22:$B$39,0))="","Cell will autofill based on response",INDEX('CI&amp;S'!$O$22:$O$39,MATCH($F44,'CI&amp;S'!$B$22:$B$39,0))),"N/A")</f>
        <v/>
      </c>
      <c r="N44" s="25">
        <f>IFERROR(IF(INDEX('CFOG'!$O$10:$O$16,MATCH($F44,'CFOG'!$B$10:$B$16,0))="","Cell will autofill based on response",INDEX('CFOG'!$O$10:$O$16,MATCH($F44,'CFOG'!$B$10:$B$16,0))),"N/A")</f>
        <v/>
      </c>
      <c r="O44" s="25">
        <f>IFERROR(IF(INDEX('CFOG'!$O$23:$O$24,MATCH($F44,'CFOG'!$B$23:$B$24,0))="","Cell will autofill based on response",INDEX('CFOG'!$O$23:$O$24,MATCH($F44,'CFOG'!$B$23:$B$24,0))),"N/A")</f>
        <v/>
      </c>
      <c r="P44" s="25">
        <f>IFERROR(IF(INDEX('ESG'!$O$10:$O$17,MATCH($F44,'ESG'!$B$10:$B$17,0))="","Cell will autofill based on response",INDEX('ESG'!$O$10:$O$17,MATCH($F44,'ESG'!$B$10:$B$17,0))),"N/A")</f>
        <v/>
      </c>
      <c r="Q44" s="25">
        <f>IFERROR(IF(INDEX('CIOG'!$O$10:$O$14,MATCH($F44,'CIOG'!$B$10:$B$14,0))="","Cell will autofill based on response",INDEX('CIOG'!$O$10:$O$14,MATCH($F44,'CIOG'!$B$10:$B$14,0))),"N/A")</f>
        <v/>
      </c>
      <c r="R44" s="25">
        <f>IFERROR(IF(INDEX('MRE'!$O$10:$O$12,MATCH($F44,'MRE'!$B$10:$B$12,0))="","Cell will autofill based on response",INDEX('MRE'!$O$10:$O$12,MATCH($F44,'MRE'!$B$10:$B$12,0))),"N/A")</f>
        <v/>
      </c>
      <c r="S44" s="25">
        <f>IFERROR(IF(INDEX('L&amp;R'!$O$10:$O$11,MATCH($F44,'L&amp;R'!$B$10:$B$11,0))="","Cell will autofill based on response",INDEX('L&amp;R'!$O$10:$O$11,MATCH($F44,'L&amp;R'!$B$10:$B$11,0))),"N/A")</f>
        <v/>
      </c>
    </row>
    <row r="45">
      <c r="A45">
        <f>F45&amp;"|"&amp;G45</f>
        <v/>
      </c>
      <c r="B45" s="29" t="inlineStr"/>
      <c r="C45" s="8" t="inlineStr"/>
      <c r="D45" s="8" t="inlineStr"/>
      <c r="E45" s="8" t="inlineStr"/>
      <c r="F45" s="8" t="inlineStr">
        <is>
          <t>TR1(b)</t>
        </is>
      </c>
      <c r="G45" s="8" t="inlineStr">
        <is>
          <t>Data source and limitations</t>
        </is>
      </c>
      <c r="H45" s="25">
        <f>IFERROR(IF(INDEX('Faculties'!$P$10:$P$30,MATCH($F45,'Faculties'!$B$10:$B$30,0))="","Cell will autofill based on response",INDEX('Faculties'!$P$10:$P$30,MATCH($F45,'Faculties'!$B$10:$B$30,0))),"N/A")</f>
        <v/>
      </c>
      <c r="I45" s="25">
        <f>IFERROR(IF(INDEX('Faculties'!$P$37:$P$57,MATCH($F45,'Faculties'!$B$37:$B$57,0))="","Cell will autofill based on response",INDEX('Faculties'!$P$37:$P$57,MATCH($F45,'Faculties'!$B$37:$B$57,0))),"N/A")</f>
        <v/>
      </c>
      <c r="J45" s="25">
        <f>IFERROR(IF(INDEX('Faculties'!$P$64:$P$84,MATCH($F45,'Faculties'!$B$64:$B$84,0))="","Cell will autofill based on response",INDEX('Faculties'!$P$64:$P$84,MATCH($F45,'Faculties'!$B$64:$B$84,0))),"N/A")</f>
        <v/>
      </c>
      <c r="K45" s="25">
        <f>IFERROR(IF(INDEX('Faculties'!$P$91:$P$111,MATCH($F45,'Faculties'!$B$91:$B$111,0))="","Cell will autofill based on response",INDEX('Faculties'!$P$91:$P$111,MATCH($F45,'Faculties'!$B$91:$B$111,0))),"N/A")</f>
        <v/>
      </c>
      <c r="L45" s="25">
        <f>IFERROR(IF(INDEX('CI&amp;S'!$P$10:$P$15,MATCH($F45,'CI&amp;S'!$B$10:$B$15,0))="","Cell will autofill based on response",INDEX('CI&amp;S'!$P$10:$P$15,MATCH($F45,'CI&amp;S'!$B$10:$B$15,0))),"N/A")</f>
        <v/>
      </c>
      <c r="M45" s="25">
        <f>IFERROR(IF(INDEX('CI&amp;S'!$P$22:$P$39,MATCH($F45,'CI&amp;S'!$B$22:$B$39,0))="","Cell will autofill based on response",INDEX('CI&amp;S'!$P$22:$P$39,MATCH($F45,'CI&amp;S'!$B$22:$B$39,0))),"N/A")</f>
        <v/>
      </c>
      <c r="N45" s="25">
        <f>IFERROR(IF(INDEX('CFOG'!$P$10:$P$16,MATCH($F45,'CFOG'!$B$10:$B$16,0))="","Cell will autofill based on response",INDEX('CFOG'!$P$10:$P$16,MATCH($F45,'CFOG'!$B$10:$B$16,0))),"N/A")</f>
        <v/>
      </c>
      <c r="O45" s="25">
        <f>IFERROR(IF(INDEX('CFOG'!$P$23:$P$24,MATCH($F45,'CFOG'!$B$23:$B$24,0))="","Cell will autofill based on response",INDEX('CFOG'!$P$23:$P$24,MATCH($F45,'CFOG'!$B$23:$B$24,0))),"N/A")</f>
        <v/>
      </c>
      <c r="P45" s="25">
        <f>IFERROR(IF(INDEX('ESG'!$P$10:$P$17,MATCH($F45,'ESG'!$B$10:$B$17,0))="","Cell will autofill based on response",INDEX('ESG'!$P$10:$P$17,MATCH($F45,'ESG'!$B$10:$B$17,0))),"N/A")</f>
        <v/>
      </c>
      <c r="Q45" s="25">
        <f>IFERROR(IF(INDEX('CIOG'!$P$10:$P$14,MATCH($F45,'CIOG'!$B$10:$B$14,0))="","Cell will autofill based on response",INDEX('CIOG'!$P$10:$P$14,MATCH($F45,'CIOG'!$B$10:$B$14,0))),"N/A")</f>
        <v/>
      </c>
      <c r="R45" s="25">
        <f>IFERROR(IF(INDEX('MRE'!$P$10:$P$12,MATCH($F45,'MRE'!$B$10:$B$12,0))="","Cell will autofill based on response",INDEX('MRE'!$P$10:$P$12,MATCH($F45,'MRE'!$B$10:$B$12,0))),"N/A")</f>
        <v/>
      </c>
      <c r="S45" s="25">
        <f>IFERROR(IF(INDEX('L&amp;R'!$P$10:$P$11,MATCH($F45,'L&amp;R'!$B$10:$B$11,0))="","Cell will autofill based on response",INDEX('L&amp;R'!$P$10:$P$11,MATCH($F45,'L&amp;R'!$B$10:$B$11,0))),"N/A")</f>
        <v/>
      </c>
    </row>
    <row r="46">
      <c r="A46">
        <f>F46&amp;"|"&amp;G46</f>
        <v/>
      </c>
      <c r="B46" s="29" t="inlineStr"/>
      <c r="C46" s="8" t="inlineStr"/>
      <c r="D46" s="8" t="inlineStr"/>
      <c r="E46" s="8" t="inlineStr"/>
      <c r="F46" s="8" t="inlineStr">
        <is>
          <t>TR1(b)</t>
        </is>
      </c>
      <c r="G46" s="8" t="inlineStr">
        <is>
          <t>Data owner confirms</t>
        </is>
      </c>
      <c r="H46" s="25">
        <f>IFERROR(IF(INDEX('Faculties'!$Q$10:$Q$30,MATCH($F46,'Faculties'!$B$10:$B$30,0))="","Cell will autofill based on response",INDEX('Faculties'!$Q$10:$Q$30,MATCH($F46,'Faculties'!$B$10:$B$30,0))),"N/A")</f>
        <v/>
      </c>
      <c r="I46" s="25">
        <f>IFERROR(IF(INDEX('Faculties'!$Q$37:$Q$57,MATCH($F46,'Faculties'!$B$37:$B$57,0))="","Cell will autofill based on response",INDEX('Faculties'!$Q$37:$Q$57,MATCH($F46,'Faculties'!$B$37:$B$57,0))),"N/A")</f>
        <v/>
      </c>
      <c r="J46" s="25">
        <f>IFERROR(IF(INDEX('Faculties'!$Q$64:$Q$84,MATCH($F46,'Faculties'!$B$64:$B$84,0))="","Cell will autofill based on response",INDEX('Faculties'!$Q$64:$Q$84,MATCH($F46,'Faculties'!$B$64:$B$84,0))),"N/A")</f>
        <v/>
      </c>
      <c r="K46" s="25">
        <f>IFERROR(IF(INDEX('Faculties'!$Q$91:$Q$111,MATCH($F46,'Faculties'!$B$91:$B$111,0))="","Cell will autofill based on response",INDEX('Faculties'!$Q$91:$Q$111,MATCH($F46,'Faculties'!$B$91:$B$111,0))),"N/A")</f>
        <v/>
      </c>
      <c r="L46" s="25">
        <f>IFERROR(IF(INDEX('CI&amp;S'!$Q$10:$Q$15,MATCH($F46,'CI&amp;S'!$B$10:$B$15,0))="","Cell will autofill based on response",INDEX('CI&amp;S'!$Q$10:$Q$15,MATCH($F46,'CI&amp;S'!$B$10:$B$15,0))),"N/A")</f>
        <v/>
      </c>
      <c r="M46" s="25">
        <f>IFERROR(IF(INDEX('CI&amp;S'!$Q$22:$Q$39,MATCH($F46,'CI&amp;S'!$B$22:$B$39,0))="","Cell will autofill based on response",INDEX('CI&amp;S'!$Q$22:$Q$39,MATCH($F46,'CI&amp;S'!$B$22:$B$39,0))),"N/A")</f>
        <v/>
      </c>
      <c r="N46" s="25">
        <f>IFERROR(IF(INDEX('CFOG'!$Q$10:$Q$16,MATCH($F46,'CFOG'!$B$10:$B$16,0))="","Cell will autofill based on response",INDEX('CFOG'!$Q$10:$Q$16,MATCH($F46,'CFOG'!$B$10:$B$16,0))),"N/A")</f>
        <v/>
      </c>
      <c r="O46" s="25">
        <f>IFERROR(IF(INDEX('CFOG'!$Q$23:$Q$24,MATCH($F46,'CFOG'!$B$23:$B$24,0))="","Cell will autofill based on response",INDEX('CFOG'!$Q$23:$Q$24,MATCH($F46,'CFOG'!$B$23:$B$24,0))),"N/A")</f>
        <v/>
      </c>
      <c r="P46" s="25">
        <f>IFERROR(IF(INDEX('ESG'!$Q$10:$Q$17,MATCH($F46,'ESG'!$B$10:$B$17,0))="","Cell will autofill based on response",INDEX('ESG'!$Q$10:$Q$17,MATCH($F46,'ESG'!$B$10:$B$17,0))),"N/A")</f>
        <v/>
      </c>
      <c r="Q46" s="25">
        <f>IFERROR(IF(INDEX('CIOG'!$Q$10:$Q$14,MATCH($F46,'CIOG'!$B$10:$B$14,0))="","Cell will autofill based on response",INDEX('CIOG'!$Q$10:$Q$14,MATCH($F46,'CIOG'!$B$10:$B$14,0))),"N/A")</f>
        <v/>
      </c>
      <c r="R46" s="25">
        <f>IFERROR(IF(INDEX('MRE'!$Q$10:$Q$12,MATCH($F46,'MRE'!$B$10:$B$12,0))="","Cell will autofill based on response",INDEX('MRE'!$Q$10:$Q$12,MATCH($F46,'MRE'!$B$10:$B$12,0))),"N/A")</f>
        <v/>
      </c>
      <c r="S46" s="25">
        <f>IFERROR(IF(INDEX('L&amp;R'!$Q$10:$Q$11,MATCH($F46,'L&amp;R'!$B$10:$B$11,0))="","Cell will autofill based on response",INDEX('L&amp;R'!$Q$10:$Q$11,MATCH($F46,'L&amp;R'!$B$10:$B$11,0))),"N/A")</f>
        <v/>
      </c>
    </row>
    <row r="47">
      <c r="A47">
        <f>F47&amp;"|"&amp;G47</f>
        <v/>
      </c>
      <c r="B47" s="7" t="inlineStr">
        <is>
          <t>TR1(c)</t>
        </is>
      </c>
      <c r="C47" s="12" t="inlineStr">
        <is>
          <t>Transformational research</t>
        </is>
      </c>
      <c r="D47" s="12" t="inlineStr">
        <is>
          <t>Expert assessment of the quality, relevance and continuity of these collaborations</t>
        </is>
      </c>
      <c r="E4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12" t="inlineStr">
        <is>
          <t>TR1(c)</t>
        </is>
      </c>
      <c r="G47" s="12" t="inlineStr">
        <is>
          <t>Confirm end-2026 target status</t>
        </is>
      </c>
      <c r="H47" s="25">
        <f>IFERROR(IF(INDEX('Faculties'!$L$10:$L$30,MATCH($F47,'Faculties'!$B$10:$B$30,0))="","Cell will autofill based on response",INDEX('Faculties'!$L$10:$L$30,MATCH($F47,'Faculties'!$B$10:$B$30,0))),"N/A")</f>
        <v/>
      </c>
      <c r="I47" s="25">
        <f>IFERROR(IF(INDEX('Faculties'!$L$37:$L$57,MATCH($F47,'Faculties'!$B$37:$B$57,0))="","Cell will autofill based on response",INDEX('Faculties'!$L$37:$L$57,MATCH($F47,'Faculties'!$B$37:$B$57,0))),"N/A")</f>
        <v/>
      </c>
      <c r="J47" s="25">
        <f>IFERROR(IF(INDEX('Faculties'!$L$64:$L$84,MATCH($F47,'Faculties'!$B$64:$B$84,0))="","Cell will autofill based on response",INDEX('Faculties'!$L$64:$L$84,MATCH($F47,'Faculties'!$B$64:$B$84,0))),"N/A")</f>
        <v/>
      </c>
      <c r="K47" s="25">
        <f>IFERROR(IF(INDEX('Faculties'!$L$91:$L$111,MATCH($F47,'Faculties'!$B$91:$B$111,0))="","Cell will autofill based on response",INDEX('Faculties'!$L$91:$L$111,MATCH($F47,'Faculties'!$B$91:$B$111,0))),"N/A")</f>
        <v/>
      </c>
      <c r="L47" s="25">
        <f>IFERROR(IF(INDEX('CI&amp;S'!$L$10:$L$15,MATCH($F47,'CI&amp;S'!$B$10:$B$15,0))="","Cell will autofill based on response",INDEX('CI&amp;S'!$L$10:$L$15,MATCH($F47,'CI&amp;S'!$B$10:$B$15,0))),"N/A")</f>
        <v/>
      </c>
      <c r="M47" s="25">
        <f>IFERROR(IF(INDEX('CI&amp;S'!$L$22:$L$39,MATCH($F47,'CI&amp;S'!$B$22:$B$39,0))="","Cell will autofill based on response",INDEX('CI&amp;S'!$L$22:$L$39,MATCH($F47,'CI&amp;S'!$B$22:$B$39,0))),"N/A")</f>
        <v/>
      </c>
      <c r="N47" s="25">
        <f>IFERROR(IF(INDEX('CFOG'!$L$10:$L$16,MATCH($F47,'CFOG'!$B$10:$B$16,0))="","Cell will autofill based on response",INDEX('CFOG'!$L$10:$L$16,MATCH($F47,'CFOG'!$B$10:$B$16,0))),"N/A")</f>
        <v/>
      </c>
      <c r="O47" s="25">
        <f>IFERROR(IF(INDEX('CFOG'!$L$23:$L$24,MATCH($F47,'CFOG'!$B$23:$B$24,0))="","Cell will autofill based on response",INDEX('CFOG'!$L$23:$L$24,MATCH($F47,'CFOG'!$B$23:$B$24,0))),"N/A")</f>
        <v/>
      </c>
      <c r="P47" s="25">
        <f>IFERROR(IF(INDEX('ESG'!$L$10:$L$17,MATCH($F47,'ESG'!$B$10:$B$17,0))="","Cell will autofill based on response",INDEX('ESG'!$L$10:$L$17,MATCH($F47,'ESG'!$B$10:$B$17,0))),"N/A")</f>
        <v/>
      </c>
      <c r="Q47" s="25">
        <f>IFERROR(IF(INDEX('CIOG'!$L$10:$L$14,MATCH($F47,'CIOG'!$B$10:$B$14,0))="","Cell will autofill based on response",INDEX('CIOG'!$L$10:$L$14,MATCH($F47,'CIOG'!$B$10:$B$14,0))),"N/A")</f>
        <v/>
      </c>
      <c r="R47" s="25">
        <f>IFERROR(IF(INDEX('MRE'!$L$10:$L$12,MATCH($F47,'MRE'!$B$10:$B$12,0))="","Cell will autofill based on response",INDEX('MRE'!$L$10:$L$12,MATCH($F47,'MRE'!$B$10:$B$12,0))),"N/A")</f>
        <v/>
      </c>
      <c r="S47" s="25">
        <f>IFERROR(IF(INDEX('L&amp;R'!$L$10:$L$11,MATCH($F47,'L&amp;R'!$B$10:$B$11,0))="","Cell will autofill based on response",INDEX('L&amp;R'!$L$10:$L$11,MATCH($F47,'L&amp;R'!$B$10:$B$11,0))),"N/A")</f>
        <v/>
      </c>
      <c r="U47" s="26">
        <f>COUNTIF($H47:$S47,"Cell will autofill based on response")</f>
        <v/>
      </c>
      <c r="V47" s="26">
        <f>COUNTIF($H47:$S47,"Not yet started")</f>
        <v/>
      </c>
      <c r="W47" s="26">
        <f>COUNTIF($H47:$S47,"Not met")</f>
        <v/>
      </c>
      <c r="X47" s="26">
        <f>COUNTIF($H47:$S47,"Partially met")</f>
        <v/>
      </c>
      <c r="Y47" s="26">
        <f>COUNTIF($H47:$S47,"Met or exceeded")</f>
        <v/>
      </c>
      <c r="Z47" s="26">
        <f>3*Y47+2*X47+W47</f>
        <v/>
      </c>
      <c r="AA47" s="26">
        <f>Y47+X47+W47+V47</f>
        <v/>
      </c>
      <c r="AB47" s="27">
        <f>IF(AA47&gt;0,Z47/AA47,"No valid responses to date")</f>
        <v/>
      </c>
      <c r="AC47" s="26">
        <f>IF(ISNUMBER(AB47),INDEX(Lists!$G$2:$G$5,MATCH(ROUND(AB47,0),Lists!$H$2:$H$5,0)),"")</f>
        <v/>
      </c>
      <c r="AD47" s="28">
        <f>IF(AA47&gt;0,Y47/AA47,"")</f>
        <v/>
      </c>
      <c r="AE47" s="28">
        <f>IF(AA47&gt;0,(Y47+X47)/AA47,"")</f>
        <v/>
      </c>
      <c r="AF47" s="26">
        <f>IF(AA47=0,"",IF(AD47&gt;0.75,"Met or exceeded",IF(AE47&gt;=0.5,"Partially met","Not met")))</f>
        <v/>
      </c>
    </row>
    <row r="48">
      <c r="A48">
        <f>F48&amp;"|"&amp;G48</f>
        <v/>
      </c>
      <c r="B48" s="29" t="inlineStr"/>
      <c r="C48" s="8" t="inlineStr"/>
      <c r="D48" s="8" t="inlineStr"/>
      <c r="E48" s="8" t="inlineStr"/>
      <c r="F48" s="8" t="inlineStr">
        <is>
          <t>TR1(c)</t>
        </is>
      </c>
      <c r="G48" s="8" t="inlineStr">
        <is>
          <t>OPTION 1:  Target-level reporting</t>
        </is>
      </c>
      <c r="H48" s="25">
        <f>IFERROR(IF(INDEX('Faculties'!$M$10:$M$30,MATCH($F48,'Faculties'!$B$10:$B$30,0))="","Cell will autofill based on response",INDEX('Faculties'!$M$10:$M$30,MATCH($F48,'Faculties'!$B$10:$B$30,0))),"N/A")</f>
        <v/>
      </c>
      <c r="I48" s="25">
        <f>IFERROR(IF(INDEX('Faculties'!$M$37:$M$57,MATCH($F48,'Faculties'!$B$37:$B$57,0))="","Cell will autofill based on response",INDEX('Faculties'!$M$37:$M$57,MATCH($F48,'Faculties'!$B$37:$B$57,0))),"N/A")</f>
        <v/>
      </c>
      <c r="J48" s="25">
        <f>IFERROR(IF(INDEX('Faculties'!$M$64:$M$84,MATCH($F48,'Faculties'!$B$64:$B$84,0))="","Cell will autofill based on response",INDEX('Faculties'!$M$64:$M$84,MATCH($F48,'Faculties'!$B$64:$B$84,0))),"N/A")</f>
        <v/>
      </c>
      <c r="K48" s="25">
        <f>IFERROR(IF(INDEX('Faculties'!$M$91:$M$111,MATCH($F48,'Faculties'!$B$91:$B$111,0))="","Cell will autofill based on response",INDEX('Faculties'!$M$91:$M$111,MATCH($F48,'Faculties'!$B$91:$B$111,0))),"N/A")</f>
        <v/>
      </c>
      <c r="L48" s="25">
        <f>IFERROR(IF(INDEX('CI&amp;S'!$M$10:$M$15,MATCH($F48,'CI&amp;S'!$B$10:$B$15,0))="","Cell will autofill based on response",INDEX('CI&amp;S'!$M$10:$M$15,MATCH($F48,'CI&amp;S'!$B$10:$B$15,0))),"N/A")</f>
        <v/>
      </c>
      <c r="M48" s="25">
        <f>IFERROR(IF(INDEX('CI&amp;S'!$M$22:$M$39,MATCH($F48,'CI&amp;S'!$B$22:$B$39,0))="","Cell will autofill based on response",INDEX('CI&amp;S'!$M$22:$M$39,MATCH($F48,'CI&amp;S'!$B$22:$B$39,0))),"N/A")</f>
        <v/>
      </c>
      <c r="N48" s="25">
        <f>IFERROR(IF(INDEX('CFOG'!$M$10:$M$16,MATCH($F48,'CFOG'!$B$10:$B$16,0))="","Cell will autofill based on response",INDEX('CFOG'!$M$10:$M$16,MATCH($F48,'CFOG'!$B$10:$B$16,0))),"N/A")</f>
        <v/>
      </c>
      <c r="O48" s="25">
        <f>IFERROR(IF(INDEX('CFOG'!$M$23:$M$24,MATCH($F48,'CFOG'!$B$23:$B$24,0))="","Cell will autofill based on response",INDEX('CFOG'!$M$23:$M$24,MATCH($F48,'CFOG'!$B$23:$B$24,0))),"N/A")</f>
        <v/>
      </c>
      <c r="P48" s="25">
        <f>IFERROR(IF(INDEX('ESG'!$M$10:$M$17,MATCH($F48,'ESG'!$B$10:$B$17,0))="","Cell will autofill based on response",INDEX('ESG'!$M$10:$M$17,MATCH($F48,'ESG'!$B$10:$B$17,0))),"N/A")</f>
        <v/>
      </c>
      <c r="Q48" s="25">
        <f>IFERROR(IF(INDEX('CIOG'!$M$10:$M$14,MATCH($F48,'CIOG'!$B$10:$B$14,0))="","Cell will autofill based on response",INDEX('CIOG'!$M$10:$M$14,MATCH($F48,'CIOG'!$B$10:$B$14,0))),"N/A")</f>
        <v/>
      </c>
      <c r="R48" s="25">
        <f>IFERROR(IF(INDEX('MRE'!$M$10:$M$12,MATCH($F48,'MRE'!$B$10:$B$12,0))="","Cell will autofill based on response",INDEX('MRE'!$M$10:$M$12,MATCH($F48,'MRE'!$B$10:$B$12,0))),"N/A")</f>
        <v/>
      </c>
      <c r="S48" s="25">
        <f>IFERROR(IF(INDEX('L&amp;R'!$M$10:$M$11,MATCH($F48,'L&amp;R'!$B$10:$B$11,0))="","Cell will autofill based on response",INDEX('L&amp;R'!$M$10:$M$11,MATCH($F48,'L&amp;R'!$B$10:$B$11,0))),"N/A")</f>
        <v/>
      </c>
    </row>
    <row r="49">
      <c r="A49">
        <f>F49&amp;"|"&amp;G49</f>
        <v/>
      </c>
      <c r="B49" s="29" t="inlineStr"/>
      <c r="C49" s="8" t="inlineStr"/>
      <c r="D49" s="8" t="inlineStr"/>
      <c r="E49" s="8" t="inlineStr"/>
      <c r="F49" s="8" t="inlineStr">
        <is>
          <t>TR1(c)</t>
        </is>
      </c>
      <c r="G49" s="8" t="inlineStr">
        <is>
          <t>OPTION 2:  Indicator level reporting</t>
        </is>
      </c>
      <c r="H49" s="25">
        <f>IFERROR(IF(INDEX('Faculties'!$N$10:$N$30,MATCH($F49,'Faculties'!$B$10:$B$30,0))="","Cell will autofill based on response",INDEX('Faculties'!$N$10:$N$30,MATCH($F49,'Faculties'!$B$10:$B$30,0))),"N/A")</f>
        <v/>
      </c>
      <c r="I49" s="25">
        <f>IFERROR(IF(INDEX('Faculties'!$N$37:$N$57,MATCH($F49,'Faculties'!$B$37:$B$57,0))="","Cell will autofill based on response",INDEX('Faculties'!$N$37:$N$57,MATCH($F49,'Faculties'!$B$37:$B$57,0))),"N/A")</f>
        <v/>
      </c>
      <c r="J49" s="25">
        <f>IFERROR(IF(INDEX('Faculties'!$N$64:$N$84,MATCH($F49,'Faculties'!$B$64:$B$84,0))="","Cell will autofill based on response",INDEX('Faculties'!$N$64:$N$84,MATCH($F49,'Faculties'!$B$64:$B$84,0))),"N/A")</f>
        <v/>
      </c>
      <c r="K49" s="25">
        <f>IFERROR(IF(INDEX('Faculties'!$N$91:$N$111,MATCH($F49,'Faculties'!$B$91:$B$111,0))="","Cell will autofill based on response",INDEX('Faculties'!$N$91:$N$111,MATCH($F49,'Faculties'!$B$91:$B$111,0))),"N/A")</f>
        <v/>
      </c>
      <c r="L49" s="25">
        <f>IFERROR(IF(INDEX('CI&amp;S'!$N$10:$N$15,MATCH($F49,'CI&amp;S'!$B$10:$B$15,0))="","Cell will autofill based on response",INDEX('CI&amp;S'!$N$10:$N$15,MATCH($F49,'CI&amp;S'!$B$10:$B$15,0))),"N/A")</f>
        <v/>
      </c>
      <c r="M49" s="25">
        <f>IFERROR(IF(INDEX('CI&amp;S'!$N$22:$N$39,MATCH($F49,'CI&amp;S'!$B$22:$B$39,0))="","Cell will autofill based on response",INDEX('CI&amp;S'!$N$22:$N$39,MATCH($F49,'CI&amp;S'!$B$22:$B$39,0))),"N/A")</f>
        <v/>
      </c>
      <c r="N49" s="25">
        <f>IFERROR(IF(INDEX('CFOG'!$N$10:$N$16,MATCH($F49,'CFOG'!$B$10:$B$16,0))="","Cell will autofill based on response",INDEX('CFOG'!$N$10:$N$16,MATCH($F49,'CFOG'!$B$10:$B$16,0))),"N/A")</f>
        <v/>
      </c>
      <c r="O49" s="25">
        <f>IFERROR(IF(INDEX('CFOG'!$N$23:$N$24,MATCH($F49,'CFOG'!$B$23:$B$24,0))="","Cell will autofill based on response",INDEX('CFOG'!$N$23:$N$24,MATCH($F49,'CFOG'!$B$23:$B$24,0))),"N/A")</f>
        <v/>
      </c>
      <c r="P49" s="25">
        <f>IFERROR(IF(INDEX('ESG'!$N$10:$N$17,MATCH($F49,'ESG'!$B$10:$B$17,0))="","Cell will autofill based on response",INDEX('ESG'!$N$10:$N$17,MATCH($F49,'ESG'!$B$10:$B$17,0))),"N/A")</f>
        <v/>
      </c>
      <c r="Q49" s="25">
        <f>IFERROR(IF(INDEX('CIOG'!$N$10:$N$14,MATCH($F49,'CIOG'!$B$10:$B$14,0))="","Cell will autofill based on response",INDEX('CIOG'!$N$10:$N$14,MATCH($F49,'CIOG'!$B$10:$B$14,0))),"N/A")</f>
        <v/>
      </c>
      <c r="R49" s="25">
        <f>IFERROR(IF(INDEX('MRE'!$N$10:$N$12,MATCH($F49,'MRE'!$B$10:$B$12,0))="","Cell will autofill based on response",INDEX('MRE'!$N$10:$N$12,MATCH($F49,'MRE'!$B$10:$B$12,0))),"N/A")</f>
        <v/>
      </c>
      <c r="S49" s="25">
        <f>IFERROR(IF(INDEX('L&amp;R'!$N$10:$N$11,MATCH($F49,'L&amp;R'!$B$10:$B$11,0))="","Cell will autofill based on response",INDEX('L&amp;R'!$N$10:$N$11,MATCH($F49,'L&amp;R'!$B$10:$B$11,0))),"N/A")</f>
        <v/>
      </c>
    </row>
    <row r="50">
      <c r="A50">
        <f>F50&amp;"|"&amp;G50</f>
        <v/>
      </c>
      <c r="B50" s="29" t="inlineStr"/>
      <c r="C50" s="8" t="inlineStr"/>
      <c r="D50" s="8" t="inlineStr"/>
      <c r="E50" s="8" t="inlineStr"/>
      <c r="F50" s="8" t="inlineStr">
        <is>
          <t>TR1(c)</t>
        </is>
      </c>
      <c r="G50" s="8" t="inlineStr">
        <is>
          <t>Supporting information/comments</t>
        </is>
      </c>
      <c r="H50" s="25">
        <f>IFERROR(IF(INDEX('Faculties'!$O$10:$O$30,MATCH($F50,'Faculties'!$B$10:$B$30,0))="","Cell will autofill based on response",INDEX('Faculties'!$O$10:$O$30,MATCH($F50,'Faculties'!$B$10:$B$30,0))),"N/A")</f>
        <v/>
      </c>
      <c r="I50" s="25">
        <f>IFERROR(IF(INDEX('Faculties'!$O$37:$O$57,MATCH($F50,'Faculties'!$B$37:$B$57,0))="","Cell will autofill based on response",INDEX('Faculties'!$O$37:$O$57,MATCH($F50,'Faculties'!$B$37:$B$57,0))),"N/A")</f>
        <v/>
      </c>
      <c r="J50" s="25">
        <f>IFERROR(IF(INDEX('Faculties'!$O$64:$O$84,MATCH($F50,'Faculties'!$B$64:$B$84,0))="","Cell will autofill based on response",INDEX('Faculties'!$O$64:$O$84,MATCH($F50,'Faculties'!$B$64:$B$84,0))),"N/A")</f>
        <v/>
      </c>
      <c r="K50" s="25">
        <f>IFERROR(IF(INDEX('Faculties'!$O$91:$O$111,MATCH($F50,'Faculties'!$B$91:$B$111,0))="","Cell will autofill based on response",INDEX('Faculties'!$O$91:$O$111,MATCH($F50,'Faculties'!$B$91:$B$111,0))),"N/A")</f>
        <v/>
      </c>
      <c r="L50" s="25">
        <f>IFERROR(IF(INDEX('CI&amp;S'!$O$10:$O$15,MATCH($F50,'CI&amp;S'!$B$10:$B$15,0))="","Cell will autofill based on response",INDEX('CI&amp;S'!$O$10:$O$15,MATCH($F50,'CI&amp;S'!$B$10:$B$15,0))),"N/A")</f>
        <v/>
      </c>
      <c r="M50" s="25">
        <f>IFERROR(IF(INDEX('CI&amp;S'!$O$22:$O$39,MATCH($F50,'CI&amp;S'!$B$22:$B$39,0))="","Cell will autofill based on response",INDEX('CI&amp;S'!$O$22:$O$39,MATCH($F50,'CI&amp;S'!$B$22:$B$39,0))),"N/A")</f>
        <v/>
      </c>
      <c r="N50" s="25">
        <f>IFERROR(IF(INDEX('CFOG'!$O$10:$O$16,MATCH($F50,'CFOG'!$B$10:$B$16,0))="","Cell will autofill based on response",INDEX('CFOG'!$O$10:$O$16,MATCH($F50,'CFOG'!$B$10:$B$16,0))),"N/A")</f>
        <v/>
      </c>
      <c r="O50" s="25">
        <f>IFERROR(IF(INDEX('CFOG'!$O$23:$O$24,MATCH($F50,'CFOG'!$B$23:$B$24,0))="","Cell will autofill based on response",INDEX('CFOG'!$O$23:$O$24,MATCH($F50,'CFOG'!$B$23:$B$24,0))),"N/A")</f>
        <v/>
      </c>
      <c r="P50" s="25">
        <f>IFERROR(IF(INDEX('ESG'!$O$10:$O$17,MATCH($F50,'ESG'!$B$10:$B$17,0))="","Cell will autofill based on response",INDEX('ESG'!$O$10:$O$17,MATCH($F50,'ESG'!$B$10:$B$17,0))),"N/A")</f>
        <v/>
      </c>
      <c r="Q50" s="25">
        <f>IFERROR(IF(INDEX('CIOG'!$O$10:$O$14,MATCH($F50,'CIOG'!$B$10:$B$14,0))="","Cell will autofill based on response",INDEX('CIOG'!$O$10:$O$14,MATCH($F50,'CIOG'!$B$10:$B$14,0))),"N/A")</f>
        <v/>
      </c>
      <c r="R50" s="25">
        <f>IFERROR(IF(INDEX('MRE'!$O$10:$O$12,MATCH($F50,'MRE'!$B$10:$B$12,0))="","Cell will autofill based on response",INDEX('MRE'!$O$10:$O$12,MATCH($F50,'MRE'!$B$10:$B$12,0))),"N/A")</f>
        <v/>
      </c>
      <c r="S50" s="25">
        <f>IFERROR(IF(INDEX('L&amp;R'!$O$10:$O$11,MATCH($F50,'L&amp;R'!$B$10:$B$11,0))="","Cell will autofill based on response",INDEX('L&amp;R'!$O$10:$O$11,MATCH($F50,'L&amp;R'!$B$10:$B$11,0))),"N/A")</f>
        <v/>
      </c>
    </row>
    <row r="51">
      <c r="A51">
        <f>F51&amp;"|"&amp;G51</f>
        <v/>
      </c>
      <c r="B51" s="29" t="inlineStr"/>
      <c r="C51" s="8" t="inlineStr"/>
      <c r="D51" s="8" t="inlineStr"/>
      <c r="E51" s="8" t="inlineStr"/>
      <c r="F51" s="8" t="inlineStr">
        <is>
          <t>TR1(c)</t>
        </is>
      </c>
      <c r="G51" s="8" t="inlineStr">
        <is>
          <t>Data source and limitations</t>
        </is>
      </c>
      <c r="H51" s="25">
        <f>IFERROR(IF(INDEX('Faculties'!$P$10:$P$30,MATCH($F51,'Faculties'!$B$10:$B$30,0))="","Cell will autofill based on response",INDEX('Faculties'!$P$10:$P$30,MATCH($F51,'Faculties'!$B$10:$B$30,0))),"N/A")</f>
        <v/>
      </c>
      <c r="I51" s="25">
        <f>IFERROR(IF(INDEX('Faculties'!$P$37:$P$57,MATCH($F51,'Faculties'!$B$37:$B$57,0))="","Cell will autofill based on response",INDEX('Faculties'!$P$37:$P$57,MATCH($F51,'Faculties'!$B$37:$B$57,0))),"N/A")</f>
        <v/>
      </c>
      <c r="J51" s="25">
        <f>IFERROR(IF(INDEX('Faculties'!$P$64:$P$84,MATCH($F51,'Faculties'!$B$64:$B$84,0))="","Cell will autofill based on response",INDEX('Faculties'!$P$64:$P$84,MATCH($F51,'Faculties'!$B$64:$B$84,0))),"N/A")</f>
        <v/>
      </c>
      <c r="K51" s="25">
        <f>IFERROR(IF(INDEX('Faculties'!$P$91:$P$111,MATCH($F51,'Faculties'!$B$91:$B$111,0))="","Cell will autofill based on response",INDEX('Faculties'!$P$91:$P$111,MATCH($F51,'Faculties'!$B$91:$B$111,0))),"N/A")</f>
        <v/>
      </c>
      <c r="L51" s="25">
        <f>IFERROR(IF(INDEX('CI&amp;S'!$P$10:$P$15,MATCH($F51,'CI&amp;S'!$B$10:$B$15,0))="","Cell will autofill based on response",INDEX('CI&amp;S'!$P$10:$P$15,MATCH($F51,'CI&amp;S'!$B$10:$B$15,0))),"N/A")</f>
        <v/>
      </c>
      <c r="M51" s="25">
        <f>IFERROR(IF(INDEX('CI&amp;S'!$P$22:$P$39,MATCH($F51,'CI&amp;S'!$B$22:$B$39,0))="","Cell will autofill based on response",INDEX('CI&amp;S'!$P$22:$P$39,MATCH($F51,'CI&amp;S'!$B$22:$B$39,0))),"N/A")</f>
        <v/>
      </c>
      <c r="N51" s="25">
        <f>IFERROR(IF(INDEX('CFOG'!$P$10:$P$16,MATCH($F51,'CFOG'!$B$10:$B$16,0))="","Cell will autofill based on response",INDEX('CFOG'!$P$10:$P$16,MATCH($F51,'CFOG'!$B$10:$B$16,0))),"N/A")</f>
        <v/>
      </c>
      <c r="O51" s="25">
        <f>IFERROR(IF(INDEX('CFOG'!$P$23:$P$24,MATCH($F51,'CFOG'!$B$23:$B$24,0))="","Cell will autofill based on response",INDEX('CFOG'!$P$23:$P$24,MATCH($F51,'CFOG'!$B$23:$B$24,0))),"N/A")</f>
        <v/>
      </c>
      <c r="P51" s="25">
        <f>IFERROR(IF(INDEX('ESG'!$P$10:$P$17,MATCH($F51,'ESG'!$B$10:$B$17,0))="","Cell will autofill based on response",INDEX('ESG'!$P$10:$P$17,MATCH($F51,'ESG'!$B$10:$B$17,0))),"N/A")</f>
        <v/>
      </c>
      <c r="Q51" s="25">
        <f>IFERROR(IF(INDEX('CIOG'!$P$10:$P$14,MATCH($F51,'CIOG'!$B$10:$B$14,0))="","Cell will autofill based on response",INDEX('CIOG'!$P$10:$P$14,MATCH($F51,'CIOG'!$B$10:$B$14,0))),"N/A")</f>
        <v/>
      </c>
      <c r="R51" s="25">
        <f>IFERROR(IF(INDEX('MRE'!$P$10:$P$12,MATCH($F51,'MRE'!$B$10:$B$12,0))="","Cell will autofill based on response",INDEX('MRE'!$P$10:$P$12,MATCH($F51,'MRE'!$B$10:$B$12,0))),"N/A")</f>
        <v/>
      </c>
      <c r="S51" s="25">
        <f>IFERROR(IF(INDEX('L&amp;R'!$P$10:$P$11,MATCH($F51,'L&amp;R'!$B$10:$B$11,0))="","Cell will autofill based on response",INDEX('L&amp;R'!$P$10:$P$11,MATCH($F51,'L&amp;R'!$B$10:$B$11,0))),"N/A")</f>
        <v/>
      </c>
    </row>
    <row r="52">
      <c r="A52">
        <f>F52&amp;"|"&amp;G52</f>
        <v/>
      </c>
      <c r="B52" s="29" t="inlineStr"/>
      <c r="C52" s="8" t="inlineStr"/>
      <c r="D52" s="8" t="inlineStr"/>
      <c r="E52" s="8" t="inlineStr"/>
      <c r="F52" s="8" t="inlineStr">
        <is>
          <t>TR1(c)</t>
        </is>
      </c>
      <c r="G52" s="8" t="inlineStr">
        <is>
          <t>Data owner confirms</t>
        </is>
      </c>
      <c r="H52" s="25">
        <f>IFERROR(IF(INDEX('Faculties'!$Q$10:$Q$30,MATCH($F52,'Faculties'!$B$10:$B$30,0))="","Cell will autofill based on response",INDEX('Faculties'!$Q$10:$Q$30,MATCH($F52,'Faculties'!$B$10:$B$30,0))),"N/A")</f>
        <v/>
      </c>
      <c r="I52" s="25">
        <f>IFERROR(IF(INDEX('Faculties'!$Q$37:$Q$57,MATCH($F52,'Faculties'!$B$37:$B$57,0))="","Cell will autofill based on response",INDEX('Faculties'!$Q$37:$Q$57,MATCH($F52,'Faculties'!$B$37:$B$57,0))),"N/A")</f>
        <v/>
      </c>
      <c r="J52" s="25">
        <f>IFERROR(IF(INDEX('Faculties'!$Q$64:$Q$84,MATCH($F52,'Faculties'!$B$64:$B$84,0))="","Cell will autofill based on response",INDEX('Faculties'!$Q$64:$Q$84,MATCH($F52,'Faculties'!$B$64:$B$84,0))),"N/A")</f>
        <v/>
      </c>
      <c r="K52" s="25">
        <f>IFERROR(IF(INDEX('Faculties'!$Q$91:$Q$111,MATCH($F52,'Faculties'!$B$91:$B$111,0))="","Cell will autofill based on response",INDEX('Faculties'!$Q$91:$Q$111,MATCH($F52,'Faculties'!$B$91:$B$111,0))),"N/A")</f>
        <v/>
      </c>
      <c r="L52" s="25">
        <f>IFERROR(IF(INDEX('CI&amp;S'!$Q$10:$Q$15,MATCH($F52,'CI&amp;S'!$B$10:$B$15,0))="","Cell will autofill based on response",INDEX('CI&amp;S'!$Q$10:$Q$15,MATCH($F52,'CI&amp;S'!$B$10:$B$15,0))),"N/A")</f>
        <v/>
      </c>
      <c r="M52" s="25">
        <f>IFERROR(IF(INDEX('CI&amp;S'!$Q$22:$Q$39,MATCH($F52,'CI&amp;S'!$B$22:$B$39,0))="","Cell will autofill based on response",INDEX('CI&amp;S'!$Q$22:$Q$39,MATCH($F52,'CI&amp;S'!$B$22:$B$39,0))),"N/A")</f>
        <v/>
      </c>
      <c r="N52" s="25">
        <f>IFERROR(IF(INDEX('CFOG'!$Q$10:$Q$16,MATCH($F52,'CFOG'!$B$10:$B$16,0))="","Cell will autofill based on response",INDEX('CFOG'!$Q$10:$Q$16,MATCH($F52,'CFOG'!$B$10:$B$16,0))),"N/A")</f>
        <v/>
      </c>
      <c r="O52" s="25">
        <f>IFERROR(IF(INDEX('CFOG'!$Q$23:$Q$24,MATCH($F52,'CFOG'!$B$23:$B$24,0))="","Cell will autofill based on response",INDEX('CFOG'!$Q$23:$Q$24,MATCH($F52,'CFOG'!$B$23:$B$24,0))),"N/A")</f>
        <v/>
      </c>
      <c r="P52" s="25">
        <f>IFERROR(IF(INDEX('ESG'!$Q$10:$Q$17,MATCH($F52,'ESG'!$B$10:$B$17,0))="","Cell will autofill based on response",INDEX('ESG'!$Q$10:$Q$17,MATCH($F52,'ESG'!$B$10:$B$17,0))),"N/A")</f>
        <v/>
      </c>
      <c r="Q52" s="25">
        <f>IFERROR(IF(INDEX('CIOG'!$Q$10:$Q$14,MATCH($F52,'CIOG'!$B$10:$B$14,0))="","Cell will autofill based on response",INDEX('CIOG'!$Q$10:$Q$14,MATCH($F52,'CIOG'!$B$10:$B$14,0))),"N/A")</f>
        <v/>
      </c>
      <c r="R52" s="25">
        <f>IFERROR(IF(INDEX('MRE'!$Q$10:$Q$12,MATCH($F52,'MRE'!$B$10:$B$12,0))="","Cell will autofill based on response",INDEX('MRE'!$Q$10:$Q$12,MATCH($F52,'MRE'!$B$10:$B$12,0))),"N/A")</f>
        <v/>
      </c>
      <c r="S52" s="25">
        <f>IFERROR(IF(INDEX('L&amp;R'!$Q$10:$Q$11,MATCH($F52,'L&amp;R'!$B$10:$B$11,0))="","Cell will autofill based on response",INDEX('L&amp;R'!$Q$10:$Q$11,MATCH($F52,'L&amp;R'!$B$10:$B$11,0))),"N/A")</f>
        <v/>
      </c>
    </row>
    <row r="53">
      <c r="A53">
        <f>F53&amp;"|"&amp;G53</f>
        <v/>
      </c>
      <c r="B53" s="7" t="inlineStr">
        <is>
          <t>TR1(d)</t>
        </is>
      </c>
      <c r="C53" s="12" t="inlineStr">
        <is>
          <t>Transformational research</t>
        </is>
      </c>
      <c r="D53" s="12" t="inlineStr">
        <is>
          <t>Periodic feedback from participants on the effectiveness and mutual benefit of collaboration mechanisms.</t>
        </is>
      </c>
      <c r="E53"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12" t="inlineStr">
        <is>
          <t>TR1(d)</t>
        </is>
      </c>
      <c r="G53" s="12" t="inlineStr">
        <is>
          <t>Confirm end-2026 target status</t>
        </is>
      </c>
      <c r="H53" s="25">
        <f>IFERROR(IF(INDEX('Faculties'!$L$10:$L$30,MATCH($F53,'Faculties'!$B$10:$B$30,0))="","Cell will autofill based on response",INDEX('Faculties'!$L$10:$L$30,MATCH($F53,'Faculties'!$B$10:$B$30,0))),"N/A")</f>
        <v/>
      </c>
      <c r="I53" s="25">
        <f>IFERROR(IF(INDEX('Faculties'!$L$37:$L$57,MATCH($F53,'Faculties'!$B$37:$B$57,0))="","Cell will autofill based on response",INDEX('Faculties'!$L$37:$L$57,MATCH($F53,'Faculties'!$B$37:$B$57,0))),"N/A")</f>
        <v/>
      </c>
      <c r="J53" s="25">
        <f>IFERROR(IF(INDEX('Faculties'!$L$64:$L$84,MATCH($F53,'Faculties'!$B$64:$B$84,0))="","Cell will autofill based on response",INDEX('Faculties'!$L$64:$L$84,MATCH($F53,'Faculties'!$B$64:$B$84,0))),"N/A")</f>
        <v/>
      </c>
      <c r="K53" s="25">
        <f>IFERROR(IF(INDEX('Faculties'!$L$91:$L$111,MATCH($F53,'Faculties'!$B$91:$B$111,0))="","Cell will autofill based on response",INDEX('Faculties'!$L$91:$L$111,MATCH($F53,'Faculties'!$B$91:$B$111,0))),"N/A")</f>
        <v/>
      </c>
      <c r="L53" s="25">
        <f>IFERROR(IF(INDEX('CI&amp;S'!$L$10:$L$15,MATCH($F53,'CI&amp;S'!$B$10:$B$15,0))="","Cell will autofill based on response",INDEX('CI&amp;S'!$L$10:$L$15,MATCH($F53,'CI&amp;S'!$B$10:$B$15,0))),"N/A")</f>
        <v/>
      </c>
      <c r="M53" s="25">
        <f>IFERROR(IF(INDEX('CI&amp;S'!$L$22:$L$39,MATCH($F53,'CI&amp;S'!$B$22:$B$39,0))="","Cell will autofill based on response",INDEX('CI&amp;S'!$L$22:$L$39,MATCH($F53,'CI&amp;S'!$B$22:$B$39,0))),"N/A")</f>
        <v/>
      </c>
      <c r="N53" s="25">
        <f>IFERROR(IF(INDEX('CFOG'!$L$10:$L$16,MATCH($F53,'CFOG'!$B$10:$B$16,0))="","Cell will autofill based on response",INDEX('CFOG'!$L$10:$L$16,MATCH($F53,'CFOG'!$B$10:$B$16,0))),"N/A")</f>
        <v/>
      </c>
      <c r="O53" s="25">
        <f>IFERROR(IF(INDEX('CFOG'!$L$23:$L$24,MATCH($F53,'CFOG'!$B$23:$B$24,0))="","Cell will autofill based on response",INDEX('CFOG'!$L$23:$L$24,MATCH($F53,'CFOG'!$B$23:$B$24,0))),"N/A")</f>
        <v/>
      </c>
      <c r="P53" s="25">
        <f>IFERROR(IF(INDEX('ESG'!$L$10:$L$17,MATCH($F53,'ESG'!$B$10:$B$17,0))="","Cell will autofill based on response",INDEX('ESG'!$L$10:$L$17,MATCH($F53,'ESG'!$B$10:$B$17,0))),"N/A")</f>
        <v/>
      </c>
      <c r="Q53" s="25">
        <f>IFERROR(IF(INDEX('CIOG'!$L$10:$L$14,MATCH($F53,'CIOG'!$B$10:$B$14,0))="","Cell will autofill based on response",INDEX('CIOG'!$L$10:$L$14,MATCH($F53,'CIOG'!$B$10:$B$14,0))),"N/A")</f>
        <v/>
      </c>
      <c r="R53" s="25">
        <f>IFERROR(IF(INDEX('MRE'!$L$10:$L$12,MATCH($F53,'MRE'!$B$10:$B$12,0))="","Cell will autofill based on response",INDEX('MRE'!$L$10:$L$12,MATCH($F53,'MRE'!$B$10:$B$12,0))),"N/A")</f>
        <v/>
      </c>
      <c r="S53" s="25">
        <f>IFERROR(IF(INDEX('L&amp;R'!$L$10:$L$11,MATCH($F53,'L&amp;R'!$B$10:$B$11,0))="","Cell will autofill based on response",INDEX('L&amp;R'!$L$10:$L$11,MATCH($F53,'L&amp;R'!$B$10:$B$11,0))),"N/A")</f>
        <v/>
      </c>
      <c r="U53" s="26">
        <f>COUNTIF($H53:$S53,"Cell will autofill based on response")</f>
        <v/>
      </c>
      <c r="V53" s="26">
        <f>COUNTIF($H53:$S53,"Not yet started")</f>
        <v/>
      </c>
      <c r="W53" s="26">
        <f>COUNTIF($H53:$S53,"Not met")</f>
        <v/>
      </c>
      <c r="X53" s="26">
        <f>COUNTIF($H53:$S53,"Partially met")</f>
        <v/>
      </c>
      <c r="Y53" s="26">
        <f>COUNTIF($H53:$S53,"Met or exceeded")</f>
        <v/>
      </c>
      <c r="Z53" s="26">
        <f>3*Y53+2*X53+W53</f>
        <v/>
      </c>
      <c r="AA53" s="26">
        <f>Y53+X53+W53+V53</f>
        <v/>
      </c>
      <c r="AB53" s="27">
        <f>IF(AA53&gt;0,Z53/AA53,"No valid responses to date")</f>
        <v/>
      </c>
      <c r="AC53" s="26">
        <f>IF(ISNUMBER(AB53),INDEX(Lists!$G$2:$G$5,MATCH(ROUND(AB53,0),Lists!$H$2:$H$5,0)),"")</f>
        <v/>
      </c>
      <c r="AD53" s="28">
        <f>IF(AA53&gt;0,Y53/AA53,"")</f>
        <v/>
      </c>
      <c r="AE53" s="28">
        <f>IF(AA53&gt;0,(Y53+X53)/AA53,"")</f>
        <v/>
      </c>
      <c r="AF53" s="26">
        <f>IF(AA53=0,"",IF(AD53&gt;0.75,"Met or exceeded",IF(AE53&gt;=0.5,"Partially met","Not met")))</f>
        <v/>
      </c>
    </row>
    <row r="54">
      <c r="A54">
        <f>F54&amp;"|"&amp;G54</f>
        <v/>
      </c>
      <c r="B54" s="29" t="inlineStr"/>
      <c r="C54" s="8" t="inlineStr"/>
      <c r="D54" s="8" t="inlineStr"/>
      <c r="E54" s="8" t="inlineStr"/>
      <c r="F54" s="8" t="inlineStr">
        <is>
          <t>TR1(d)</t>
        </is>
      </c>
      <c r="G54" s="8" t="inlineStr">
        <is>
          <t>OPTION 1:  Target-level reporting</t>
        </is>
      </c>
      <c r="H54" s="25">
        <f>IFERROR(IF(INDEX('Faculties'!$M$10:$M$30,MATCH($F54,'Faculties'!$B$10:$B$30,0))="","Cell will autofill based on response",INDEX('Faculties'!$M$10:$M$30,MATCH($F54,'Faculties'!$B$10:$B$30,0))),"N/A")</f>
        <v/>
      </c>
      <c r="I54" s="25">
        <f>IFERROR(IF(INDEX('Faculties'!$M$37:$M$57,MATCH($F54,'Faculties'!$B$37:$B$57,0))="","Cell will autofill based on response",INDEX('Faculties'!$M$37:$M$57,MATCH($F54,'Faculties'!$B$37:$B$57,0))),"N/A")</f>
        <v/>
      </c>
      <c r="J54" s="25">
        <f>IFERROR(IF(INDEX('Faculties'!$M$64:$M$84,MATCH($F54,'Faculties'!$B$64:$B$84,0))="","Cell will autofill based on response",INDEX('Faculties'!$M$64:$M$84,MATCH($F54,'Faculties'!$B$64:$B$84,0))),"N/A")</f>
        <v/>
      </c>
      <c r="K54" s="25">
        <f>IFERROR(IF(INDEX('Faculties'!$M$91:$M$111,MATCH($F54,'Faculties'!$B$91:$B$111,0))="","Cell will autofill based on response",INDEX('Faculties'!$M$91:$M$111,MATCH($F54,'Faculties'!$B$91:$B$111,0))),"N/A")</f>
        <v/>
      </c>
      <c r="L54" s="25">
        <f>IFERROR(IF(INDEX('CI&amp;S'!$M$10:$M$15,MATCH($F54,'CI&amp;S'!$B$10:$B$15,0))="","Cell will autofill based on response",INDEX('CI&amp;S'!$M$10:$M$15,MATCH($F54,'CI&amp;S'!$B$10:$B$15,0))),"N/A")</f>
        <v/>
      </c>
      <c r="M54" s="25">
        <f>IFERROR(IF(INDEX('CI&amp;S'!$M$22:$M$39,MATCH($F54,'CI&amp;S'!$B$22:$B$39,0))="","Cell will autofill based on response",INDEX('CI&amp;S'!$M$22:$M$39,MATCH($F54,'CI&amp;S'!$B$22:$B$39,0))),"N/A")</f>
        <v/>
      </c>
      <c r="N54" s="25">
        <f>IFERROR(IF(INDEX('CFOG'!$M$10:$M$16,MATCH($F54,'CFOG'!$B$10:$B$16,0))="","Cell will autofill based on response",INDEX('CFOG'!$M$10:$M$16,MATCH($F54,'CFOG'!$B$10:$B$16,0))),"N/A")</f>
        <v/>
      </c>
      <c r="O54" s="25">
        <f>IFERROR(IF(INDEX('CFOG'!$M$23:$M$24,MATCH($F54,'CFOG'!$B$23:$B$24,0))="","Cell will autofill based on response",INDEX('CFOG'!$M$23:$M$24,MATCH($F54,'CFOG'!$B$23:$B$24,0))),"N/A")</f>
        <v/>
      </c>
      <c r="P54" s="25">
        <f>IFERROR(IF(INDEX('ESG'!$M$10:$M$17,MATCH($F54,'ESG'!$B$10:$B$17,0))="","Cell will autofill based on response",INDEX('ESG'!$M$10:$M$17,MATCH($F54,'ESG'!$B$10:$B$17,0))),"N/A")</f>
        <v/>
      </c>
      <c r="Q54" s="25">
        <f>IFERROR(IF(INDEX('CIOG'!$M$10:$M$14,MATCH($F54,'CIOG'!$B$10:$B$14,0))="","Cell will autofill based on response",INDEX('CIOG'!$M$10:$M$14,MATCH($F54,'CIOG'!$B$10:$B$14,0))),"N/A")</f>
        <v/>
      </c>
      <c r="R54" s="25">
        <f>IFERROR(IF(INDEX('MRE'!$M$10:$M$12,MATCH($F54,'MRE'!$B$10:$B$12,0))="","Cell will autofill based on response",INDEX('MRE'!$M$10:$M$12,MATCH($F54,'MRE'!$B$10:$B$12,0))),"N/A")</f>
        <v/>
      </c>
      <c r="S54" s="25">
        <f>IFERROR(IF(INDEX('L&amp;R'!$M$10:$M$11,MATCH($F54,'L&amp;R'!$B$10:$B$11,0))="","Cell will autofill based on response",INDEX('L&amp;R'!$M$10:$M$11,MATCH($F54,'L&amp;R'!$B$10:$B$11,0))),"N/A")</f>
        <v/>
      </c>
    </row>
    <row r="55">
      <c r="A55">
        <f>F55&amp;"|"&amp;G55</f>
        <v/>
      </c>
      <c r="B55" s="29" t="inlineStr"/>
      <c r="C55" s="8" t="inlineStr"/>
      <c r="D55" s="8" t="inlineStr"/>
      <c r="E55" s="8" t="inlineStr"/>
      <c r="F55" s="8" t="inlineStr">
        <is>
          <t>TR1(d)</t>
        </is>
      </c>
      <c r="G55" s="8" t="inlineStr">
        <is>
          <t>OPTION 2:  Indicator level reporting</t>
        </is>
      </c>
      <c r="H55" s="25">
        <f>IFERROR(IF(INDEX('Faculties'!$N$10:$N$30,MATCH($F55,'Faculties'!$B$10:$B$30,0))="","Cell will autofill based on response",INDEX('Faculties'!$N$10:$N$30,MATCH($F55,'Faculties'!$B$10:$B$30,0))),"N/A")</f>
        <v/>
      </c>
      <c r="I55" s="25">
        <f>IFERROR(IF(INDEX('Faculties'!$N$37:$N$57,MATCH($F55,'Faculties'!$B$37:$B$57,0))="","Cell will autofill based on response",INDEX('Faculties'!$N$37:$N$57,MATCH($F55,'Faculties'!$B$37:$B$57,0))),"N/A")</f>
        <v/>
      </c>
      <c r="J55" s="25">
        <f>IFERROR(IF(INDEX('Faculties'!$N$64:$N$84,MATCH($F55,'Faculties'!$B$64:$B$84,0))="","Cell will autofill based on response",INDEX('Faculties'!$N$64:$N$84,MATCH($F55,'Faculties'!$B$64:$B$84,0))),"N/A")</f>
        <v/>
      </c>
      <c r="K55" s="25">
        <f>IFERROR(IF(INDEX('Faculties'!$N$91:$N$111,MATCH($F55,'Faculties'!$B$91:$B$111,0))="","Cell will autofill based on response",INDEX('Faculties'!$N$91:$N$111,MATCH($F55,'Faculties'!$B$91:$B$111,0))),"N/A")</f>
        <v/>
      </c>
      <c r="L55" s="25">
        <f>IFERROR(IF(INDEX('CI&amp;S'!$N$10:$N$15,MATCH($F55,'CI&amp;S'!$B$10:$B$15,0))="","Cell will autofill based on response",INDEX('CI&amp;S'!$N$10:$N$15,MATCH($F55,'CI&amp;S'!$B$10:$B$15,0))),"N/A")</f>
        <v/>
      </c>
      <c r="M55" s="25">
        <f>IFERROR(IF(INDEX('CI&amp;S'!$N$22:$N$39,MATCH($F55,'CI&amp;S'!$B$22:$B$39,0))="","Cell will autofill based on response",INDEX('CI&amp;S'!$N$22:$N$39,MATCH($F55,'CI&amp;S'!$B$22:$B$39,0))),"N/A")</f>
        <v/>
      </c>
      <c r="N55" s="25">
        <f>IFERROR(IF(INDEX('CFOG'!$N$10:$N$16,MATCH($F55,'CFOG'!$B$10:$B$16,0))="","Cell will autofill based on response",INDEX('CFOG'!$N$10:$N$16,MATCH($F55,'CFOG'!$B$10:$B$16,0))),"N/A")</f>
        <v/>
      </c>
      <c r="O55" s="25">
        <f>IFERROR(IF(INDEX('CFOG'!$N$23:$N$24,MATCH($F55,'CFOG'!$B$23:$B$24,0))="","Cell will autofill based on response",INDEX('CFOG'!$N$23:$N$24,MATCH($F55,'CFOG'!$B$23:$B$24,0))),"N/A")</f>
        <v/>
      </c>
      <c r="P55" s="25">
        <f>IFERROR(IF(INDEX('ESG'!$N$10:$N$17,MATCH($F55,'ESG'!$B$10:$B$17,0))="","Cell will autofill based on response",INDEX('ESG'!$N$10:$N$17,MATCH($F55,'ESG'!$B$10:$B$17,0))),"N/A")</f>
        <v/>
      </c>
      <c r="Q55" s="25">
        <f>IFERROR(IF(INDEX('CIOG'!$N$10:$N$14,MATCH($F55,'CIOG'!$B$10:$B$14,0))="","Cell will autofill based on response",INDEX('CIOG'!$N$10:$N$14,MATCH($F55,'CIOG'!$B$10:$B$14,0))),"N/A")</f>
        <v/>
      </c>
      <c r="R55" s="25">
        <f>IFERROR(IF(INDEX('MRE'!$N$10:$N$12,MATCH($F55,'MRE'!$B$10:$B$12,0))="","Cell will autofill based on response",INDEX('MRE'!$N$10:$N$12,MATCH($F55,'MRE'!$B$10:$B$12,0))),"N/A")</f>
        <v/>
      </c>
      <c r="S55" s="25">
        <f>IFERROR(IF(INDEX('L&amp;R'!$N$10:$N$11,MATCH($F55,'L&amp;R'!$B$10:$B$11,0))="","Cell will autofill based on response",INDEX('L&amp;R'!$N$10:$N$11,MATCH($F55,'L&amp;R'!$B$10:$B$11,0))),"N/A")</f>
        <v/>
      </c>
    </row>
    <row r="56">
      <c r="A56">
        <f>F56&amp;"|"&amp;G56</f>
        <v/>
      </c>
      <c r="B56" s="29" t="inlineStr"/>
      <c r="C56" s="8" t="inlineStr"/>
      <c r="D56" s="8" t="inlineStr"/>
      <c r="E56" s="8" t="inlineStr"/>
      <c r="F56" s="8" t="inlineStr">
        <is>
          <t>TR1(d)</t>
        </is>
      </c>
      <c r="G56" s="8" t="inlineStr">
        <is>
          <t>Supporting information/comments</t>
        </is>
      </c>
      <c r="H56" s="25">
        <f>IFERROR(IF(INDEX('Faculties'!$O$10:$O$30,MATCH($F56,'Faculties'!$B$10:$B$30,0))="","Cell will autofill based on response",INDEX('Faculties'!$O$10:$O$30,MATCH($F56,'Faculties'!$B$10:$B$30,0))),"N/A")</f>
        <v/>
      </c>
      <c r="I56" s="25">
        <f>IFERROR(IF(INDEX('Faculties'!$O$37:$O$57,MATCH($F56,'Faculties'!$B$37:$B$57,0))="","Cell will autofill based on response",INDEX('Faculties'!$O$37:$O$57,MATCH($F56,'Faculties'!$B$37:$B$57,0))),"N/A")</f>
        <v/>
      </c>
      <c r="J56" s="25">
        <f>IFERROR(IF(INDEX('Faculties'!$O$64:$O$84,MATCH($F56,'Faculties'!$B$64:$B$84,0))="","Cell will autofill based on response",INDEX('Faculties'!$O$64:$O$84,MATCH($F56,'Faculties'!$B$64:$B$84,0))),"N/A")</f>
        <v/>
      </c>
      <c r="K56" s="25">
        <f>IFERROR(IF(INDEX('Faculties'!$O$91:$O$111,MATCH($F56,'Faculties'!$B$91:$B$111,0))="","Cell will autofill based on response",INDEX('Faculties'!$O$91:$O$111,MATCH($F56,'Faculties'!$B$91:$B$111,0))),"N/A")</f>
        <v/>
      </c>
      <c r="L56" s="25">
        <f>IFERROR(IF(INDEX('CI&amp;S'!$O$10:$O$15,MATCH($F56,'CI&amp;S'!$B$10:$B$15,0))="","Cell will autofill based on response",INDEX('CI&amp;S'!$O$10:$O$15,MATCH($F56,'CI&amp;S'!$B$10:$B$15,0))),"N/A")</f>
        <v/>
      </c>
      <c r="M56" s="25">
        <f>IFERROR(IF(INDEX('CI&amp;S'!$O$22:$O$39,MATCH($F56,'CI&amp;S'!$B$22:$B$39,0))="","Cell will autofill based on response",INDEX('CI&amp;S'!$O$22:$O$39,MATCH($F56,'CI&amp;S'!$B$22:$B$39,0))),"N/A")</f>
        <v/>
      </c>
      <c r="N56" s="25">
        <f>IFERROR(IF(INDEX('CFOG'!$O$10:$O$16,MATCH($F56,'CFOG'!$B$10:$B$16,0))="","Cell will autofill based on response",INDEX('CFOG'!$O$10:$O$16,MATCH($F56,'CFOG'!$B$10:$B$16,0))),"N/A")</f>
        <v/>
      </c>
      <c r="O56" s="25">
        <f>IFERROR(IF(INDEX('CFOG'!$O$23:$O$24,MATCH($F56,'CFOG'!$B$23:$B$24,0))="","Cell will autofill based on response",INDEX('CFOG'!$O$23:$O$24,MATCH($F56,'CFOG'!$B$23:$B$24,0))),"N/A")</f>
        <v/>
      </c>
      <c r="P56" s="25">
        <f>IFERROR(IF(INDEX('ESG'!$O$10:$O$17,MATCH($F56,'ESG'!$B$10:$B$17,0))="","Cell will autofill based on response",INDEX('ESG'!$O$10:$O$17,MATCH($F56,'ESG'!$B$10:$B$17,0))),"N/A")</f>
        <v/>
      </c>
      <c r="Q56" s="25">
        <f>IFERROR(IF(INDEX('CIOG'!$O$10:$O$14,MATCH($F56,'CIOG'!$B$10:$B$14,0))="","Cell will autofill based on response",INDEX('CIOG'!$O$10:$O$14,MATCH($F56,'CIOG'!$B$10:$B$14,0))),"N/A")</f>
        <v/>
      </c>
      <c r="R56" s="25">
        <f>IFERROR(IF(INDEX('MRE'!$O$10:$O$12,MATCH($F56,'MRE'!$B$10:$B$12,0))="","Cell will autofill based on response",INDEX('MRE'!$O$10:$O$12,MATCH($F56,'MRE'!$B$10:$B$12,0))),"N/A")</f>
        <v/>
      </c>
      <c r="S56" s="25">
        <f>IFERROR(IF(INDEX('L&amp;R'!$O$10:$O$11,MATCH($F56,'L&amp;R'!$B$10:$B$11,0))="","Cell will autofill based on response",INDEX('L&amp;R'!$O$10:$O$11,MATCH($F56,'L&amp;R'!$B$10:$B$11,0))),"N/A")</f>
        <v/>
      </c>
    </row>
    <row r="57">
      <c r="A57">
        <f>F57&amp;"|"&amp;G57</f>
        <v/>
      </c>
      <c r="B57" s="29" t="inlineStr"/>
      <c r="C57" s="8" t="inlineStr"/>
      <c r="D57" s="8" t="inlineStr"/>
      <c r="E57" s="8" t="inlineStr"/>
      <c r="F57" s="8" t="inlineStr">
        <is>
          <t>TR1(d)</t>
        </is>
      </c>
      <c r="G57" s="8" t="inlineStr">
        <is>
          <t>Data source and limitations</t>
        </is>
      </c>
      <c r="H57" s="25">
        <f>IFERROR(IF(INDEX('Faculties'!$P$10:$P$30,MATCH($F57,'Faculties'!$B$10:$B$30,0))="","Cell will autofill based on response",INDEX('Faculties'!$P$10:$P$30,MATCH($F57,'Faculties'!$B$10:$B$30,0))),"N/A")</f>
        <v/>
      </c>
      <c r="I57" s="25">
        <f>IFERROR(IF(INDEX('Faculties'!$P$37:$P$57,MATCH($F57,'Faculties'!$B$37:$B$57,0))="","Cell will autofill based on response",INDEX('Faculties'!$P$37:$P$57,MATCH($F57,'Faculties'!$B$37:$B$57,0))),"N/A")</f>
        <v/>
      </c>
      <c r="J57" s="25">
        <f>IFERROR(IF(INDEX('Faculties'!$P$64:$P$84,MATCH($F57,'Faculties'!$B$64:$B$84,0))="","Cell will autofill based on response",INDEX('Faculties'!$P$64:$P$84,MATCH($F57,'Faculties'!$B$64:$B$84,0))),"N/A")</f>
        <v/>
      </c>
      <c r="K57" s="25">
        <f>IFERROR(IF(INDEX('Faculties'!$P$91:$P$111,MATCH($F57,'Faculties'!$B$91:$B$111,0))="","Cell will autofill based on response",INDEX('Faculties'!$P$91:$P$111,MATCH($F57,'Faculties'!$B$91:$B$111,0))),"N/A")</f>
        <v/>
      </c>
      <c r="L57" s="25">
        <f>IFERROR(IF(INDEX('CI&amp;S'!$P$10:$P$15,MATCH($F57,'CI&amp;S'!$B$10:$B$15,0))="","Cell will autofill based on response",INDEX('CI&amp;S'!$P$10:$P$15,MATCH($F57,'CI&amp;S'!$B$10:$B$15,0))),"N/A")</f>
        <v/>
      </c>
      <c r="M57" s="25">
        <f>IFERROR(IF(INDEX('CI&amp;S'!$P$22:$P$39,MATCH($F57,'CI&amp;S'!$B$22:$B$39,0))="","Cell will autofill based on response",INDEX('CI&amp;S'!$P$22:$P$39,MATCH($F57,'CI&amp;S'!$B$22:$B$39,0))),"N/A")</f>
        <v/>
      </c>
      <c r="N57" s="25">
        <f>IFERROR(IF(INDEX('CFOG'!$P$10:$P$16,MATCH($F57,'CFOG'!$B$10:$B$16,0))="","Cell will autofill based on response",INDEX('CFOG'!$P$10:$P$16,MATCH($F57,'CFOG'!$B$10:$B$16,0))),"N/A")</f>
        <v/>
      </c>
      <c r="O57" s="25">
        <f>IFERROR(IF(INDEX('CFOG'!$P$23:$P$24,MATCH($F57,'CFOG'!$B$23:$B$24,0))="","Cell will autofill based on response",INDEX('CFOG'!$P$23:$P$24,MATCH($F57,'CFOG'!$B$23:$B$24,0))),"N/A")</f>
        <v/>
      </c>
      <c r="P57" s="25">
        <f>IFERROR(IF(INDEX('ESG'!$P$10:$P$17,MATCH($F57,'ESG'!$B$10:$B$17,0))="","Cell will autofill based on response",INDEX('ESG'!$P$10:$P$17,MATCH($F57,'ESG'!$B$10:$B$17,0))),"N/A")</f>
        <v/>
      </c>
      <c r="Q57" s="25">
        <f>IFERROR(IF(INDEX('CIOG'!$P$10:$P$14,MATCH($F57,'CIOG'!$B$10:$B$14,0))="","Cell will autofill based on response",INDEX('CIOG'!$P$10:$P$14,MATCH($F57,'CIOG'!$B$10:$B$14,0))),"N/A")</f>
        <v/>
      </c>
      <c r="R57" s="25">
        <f>IFERROR(IF(INDEX('MRE'!$P$10:$P$12,MATCH($F57,'MRE'!$B$10:$B$12,0))="","Cell will autofill based on response",INDEX('MRE'!$P$10:$P$12,MATCH($F57,'MRE'!$B$10:$B$12,0))),"N/A")</f>
        <v/>
      </c>
      <c r="S57" s="25">
        <f>IFERROR(IF(INDEX('L&amp;R'!$P$10:$P$11,MATCH($F57,'L&amp;R'!$B$10:$B$11,0))="","Cell will autofill based on response",INDEX('L&amp;R'!$P$10:$P$11,MATCH($F57,'L&amp;R'!$B$10:$B$11,0))),"N/A")</f>
        <v/>
      </c>
    </row>
    <row r="58">
      <c r="A58">
        <f>F58&amp;"|"&amp;G58</f>
        <v/>
      </c>
      <c r="B58" s="29" t="inlineStr"/>
      <c r="C58" s="8" t="inlineStr"/>
      <c r="D58" s="8" t="inlineStr"/>
      <c r="E58" s="8" t="inlineStr"/>
      <c r="F58" s="8" t="inlineStr">
        <is>
          <t>TR1(d)</t>
        </is>
      </c>
      <c r="G58" s="8" t="inlineStr">
        <is>
          <t>Data owner confirms</t>
        </is>
      </c>
      <c r="H58" s="25">
        <f>IFERROR(IF(INDEX('Faculties'!$Q$10:$Q$30,MATCH($F58,'Faculties'!$B$10:$B$30,0))="","Cell will autofill based on response",INDEX('Faculties'!$Q$10:$Q$30,MATCH($F58,'Faculties'!$B$10:$B$30,0))),"N/A")</f>
        <v/>
      </c>
      <c r="I58" s="25">
        <f>IFERROR(IF(INDEX('Faculties'!$Q$37:$Q$57,MATCH($F58,'Faculties'!$B$37:$B$57,0))="","Cell will autofill based on response",INDEX('Faculties'!$Q$37:$Q$57,MATCH($F58,'Faculties'!$B$37:$B$57,0))),"N/A")</f>
        <v/>
      </c>
      <c r="J58" s="25">
        <f>IFERROR(IF(INDEX('Faculties'!$Q$64:$Q$84,MATCH($F58,'Faculties'!$B$64:$B$84,0))="","Cell will autofill based on response",INDEX('Faculties'!$Q$64:$Q$84,MATCH($F58,'Faculties'!$B$64:$B$84,0))),"N/A")</f>
        <v/>
      </c>
      <c r="K58" s="25">
        <f>IFERROR(IF(INDEX('Faculties'!$Q$91:$Q$111,MATCH($F58,'Faculties'!$B$91:$B$111,0))="","Cell will autofill based on response",INDEX('Faculties'!$Q$91:$Q$111,MATCH($F58,'Faculties'!$B$91:$B$111,0))),"N/A")</f>
        <v/>
      </c>
      <c r="L58" s="25">
        <f>IFERROR(IF(INDEX('CI&amp;S'!$Q$10:$Q$15,MATCH($F58,'CI&amp;S'!$B$10:$B$15,0))="","Cell will autofill based on response",INDEX('CI&amp;S'!$Q$10:$Q$15,MATCH($F58,'CI&amp;S'!$B$10:$B$15,0))),"N/A")</f>
        <v/>
      </c>
      <c r="M58" s="25">
        <f>IFERROR(IF(INDEX('CI&amp;S'!$Q$22:$Q$39,MATCH($F58,'CI&amp;S'!$B$22:$B$39,0))="","Cell will autofill based on response",INDEX('CI&amp;S'!$Q$22:$Q$39,MATCH($F58,'CI&amp;S'!$B$22:$B$39,0))),"N/A")</f>
        <v/>
      </c>
      <c r="N58" s="25">
        <f>IFERROR(IF(INDEX('CFOG'!$Q$10:$Q$16,MATCH($F58,'CFOG'!$B$10:$B$16,0))="","Cell will autofill based on response",INDEX('CFOG'!$Q$10:$Q$16,MATCH($F58,'CFOG'!$B$10:$B$16,0))),"N/A")</f>
        <v/>
      </c>
      <c r="O58" s="25">
        <f>IFERROR(IF(INDEX('CFOG'!$Q$23:$Q$24,MATCH($F58,'CFOG'!$B$23:$B$24,0))="","Cell will autofill based on response",INDEX('CFOG'!$Q$23:$Q$24,MATCH($F58,'CFOG'!$B$23:$B$24,0))),"N/A")</f>
        <v/>
      </c>
      <c r="P58" s="25">
        <f>IFERROR(IF(INDEX('ESG'!$Q$10:$Q$17,MATCH($F58,'ESG'!$B$10:$B$17,0))="","Cell will autofill based on response",INDEX('ESG'!$Q$10:$Q$17,MATCH($F58,'ESG'!$B$10:$B$17,0))),"N/A")</f>
        <v/>
      </c>
      <c r="Q58" s="25">
        <f>IFERROR(IF(INDEX('CIOG'!$Q$10:$Q$14,MATCH($F58,'CIOG'!$B$10:$B$14,0))="","Cell will autofill based on response",INDEX('CIOG'!$Q$10:$Q$14,MATCH($F58,'CIOG'!$B$10:$B$14,0))),"N/A")</f>
        <v/>
      </c>
      <c r="R58" s="25">
        <f>IFERROR(IF(INDEX('MRE'!$Q$10:$Q$12,MATCH($F58,'MRE'!$B$10:$B$12,0))="","Cell will autofill based on response",INDEX('MRE'!$Q$10:$Q$12,MATCH($F58,'MRE'!$B$10:$B$12,0))),"N/A")</f>
        <v/>
      </c>
      <c r="S58" s="25">
        <f>IFERROR(IF(INDEX('L&amp;R'!$Q$10:$Q$11,MATCH($F58,'L&amp;R'!$B$10:$B$11,0))="","Cell will autofill based on response",INDEX('L&amp;R'!$Q$10:$Q$11,MATCH($F58,'L&amp;R'!$B$10:$B$11,0))),"N/A")</f>
        <v/>
      </c>
    </row>
    <row r="59">
      <c r="A59">
        <f>F59&amp;"|"&amp;G59</f>
        <v/>
      </c>
      <c r="B59" s="7" t="inlineStr">
        <is>
          <t>TR2(a)</t>
        </is>
      </c>
      <c r="C59" s="12" t="inlineStr">
        <is>
          <t>Transformational research</t>
        </is>
      </c>
      <c r="D59" s="12" t="inlineStr">
        <is>
          <t>Evidence of sustainability-related research impact across diverse pathways, could include policy, industry, community, practice, cultural and institutional outcomes</t>
        </is>
      </c>
      <c r="E59" s="12"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12" t="inlineStr">
        <is>
          <t>TR2(a)</t>
        </is>
      </c>
      <c r="G59" s="12" t="inlineStr">
        <is>
          <t>Confirm end-2026 target status</t>
        </is>
      </c>
      <c r="H59" s="25">
        <f>IFERROR(IF(INDEX('Faculties'!$L$10:$L$30,MATCH($F59,'Faculties'!$B$10:$B$30,0))="","Cell will autofill based on response",INDEX('Faculties'!$L$10:$L$30,MATCH($F59,'Faculties'!$B$10:$B$30,0))),"N/A")</f>
        <v/>
      </c>
      <c r="I59" s="25">
        <f>IFERROR(IF(INDEX('Faculties'!$L$37:$L$57,MATCH($F59,'Faculties'!$B$37:$B$57,0))="","Cell will autofill based on response",INDEX('Faculties'!$L$37:$L$57,MATCH($F59,'Faculties'!$B$37:$B$57,0))),"N/A")</f>
        <v/>
      </c>
      <c r="J59" s="25">
        <f>IFERROR(IF(INDEX('Faculties'!$L$64:$L$84,MATCH($F59,'Faculties'!$B$64:$B$84,0))="","Cell will autofill based on response",INDEX('Faculties'!$L$64:$L$84,MATCH($F59,'Faculties'!$B$64:$B$84,0))),"N/A")</f>
        <v/>
      </c>
      <c r="K59" s="25">
        <f>IFERROR(IF(INDEX('Faculties'!$L$91:$L$111,MATCH($F59,'Faculties'!$B$91:$B$111,0))="","Cell will autofill based on response",INDEX('Faculties'!$L$91:$L$111,MATCH($F59,'Faculties'!$B$91:$B$111,0))),"N/A")</f>
        <v/>
      </c>
      <c r="L59" s="25">
        <f>IFERROR(IF(INDEX('CI&amp;S'!$L$10:$L$15,MATCH($F59,'CI&amp;S'!$B$10:$B$15,0))="","Cell will autofill based on response",INDEX('CI&amp;S'!$L$10:$L$15,MATCH($F59,'CI&amp;S'!$B$10:$B$15,0))),"N/A")</f>
        <v/>
      </c>
      <c r="M59" s="25">
        <f>IFERROR(IF(INDEX('CI&amp;S'!$L$22:$L$39,MATCH($F59,'CI&amp;S'!$B$22:$B$39,0))="","Cell will autofill based on response",INDEX('CI&amp;S'!$L$22:$L$39,MATCH($F59,'CI&amp;S'!$B$22:$B$39,0))),"N/A")</f>
        <v/>
      </c>
      <c r="N59" s="25">
        <f>IFERROR(IF(INDEX('CFOG'!$L$10:$L$16,MATCH($F59,'CFOG'!$B$10:$B$16,0))="","Cell will autofill based on response",INDEX('CFOG'!$L$10:$L$16,MATCH($F59,'CFOG'!$B$10:$B$16,0))),"N/A")</f>
        <v/>
      </c>
      <c r="O59" s="25">
        <f>IFERROR(IF(INDEX('CFOG'!$L$23:$L$24,MATCH($F59,'CFOG'!$B$23:$B$24,0))="","Cell will autofill based on response",INDEX('CFOG'!$L$23:$L$24,MATCH($F59,'CFOG'!$B$23:$B$24,0))),"N/A")</f>
        <v/>
      </c>
      <c r="P59" s="25">
        <f>IFERROR(IF(INDEX('ESG'!$L$10:$L$17,MATCH($F59,'ESG'!$B$10:$B$17,0))="","Cell will autofill based on response",INDEX('ESG'!$L$10:$L$17,MATCH($F59,'ESG'!$B$10:$B$17,0))),"N/A")</f>
        <v/>
      </c>
      <c r="Q59" s="25">
        <f>IFERROR(IF(INDEX('CIOG'!$L$10:$L$14,MATCH($F59,'CIOG'!$B$10:$B$14,0))="","Cell will autofill based on response",INDEX('CIOG'!$L$10:$L$14,MATCH($F59,'CIOG'!$B$10:$B$14,0))),"N/A")</f>
        <v/>
      </c>
      <c r="R59" s="25">
        <f>IFERROR(IF(INDEX('MRE'!$L$10:$L$12,MATCH($F59,'MRE'!$B$10:$B$12,0))="","Cell will autofill based on response",INDEX('MRE'!$L$10:$L$12,MATCH($F59,'MRE'!$B$10:$B$12,0))),"N/A")</f>
        <v/>
      </c>
      <c r="S59" s="25">
        <f>IFERROR(IF(INDEX('L&amp;R'!$L$10:$L$11,MATCH($F59,'L&amp;R'!$B$10:$B$11,0))="","Cell will autofill based on response",INDEX('L&amp;R'!$L$10:$L$11,MATCH($F59,'L&amp;R'!$B$10:$B$11,0))),"N/A")</f>
        <v/>
      </c>
      <c r="U59" s="26">
        <f>COUNTIF($H59:$S59,"Cell will autofill based on response")</f>
        <v/>
      </c>
      <c r="V59" s="26">
        <f>COUNTIF($H59:$S59,"Not yet started")</f>
        <v/>
      </c>
      <c r="W59" s="26">
        <f>COUNTIF($H59:$S59,"Not met")</f>
        <v/>
      </c>
      <c r="X59" s="26">
        <f>COUNTIF($H59:$S59,"Partially met")</f>
        <v/>
      </c>
      <c r="Y59" s="26">
        <f>COUNTIF($H59:$S59,"Met or exceeded")</f>
        <v/>
      </c>
      <c r="Z59" s="26">
        <f>3*Y59+2*X59+W59</f>
        <v/>
      </c>
      <c r="AA59" s="26">
        <f>Y59+X59+W59+V59</f>
        <v/>
      </c>
      <c r="AB59" s="27">
        <f>IF(AA59&gt;0,Z59/AA59,"No valid responses to date")</f>
        <v/>
      </c>
      <c r="AC59" s="26">
        <f>IF(ISNUMBER(AB59),INDEX(Lists!$G$2:$G$5,MATCH(ROUND(AB59,0),Lists!$H$2:$H$5,0)),"")</f>
        <v/>
      </c>
      <c r="AD59" s="28">
        <f>IF(AA59&gt;0,Y59/AA59,"")</f>
        <v/>
      </c>
      <c r="AE59" s="28">
        <f>IF(AA59&gt;0,(Y59+X59)/AA59,"")</f>
        <v/>
      </c>
      <c r="AF59" s="26">
        <f>IF(AA59=0,"",IF(AD59&gt;0.75,"Met or exceeded",IF(AE59&gt;=0.5,"Partially met","Not met")))</f>
        <v/>
      </c>
    </row>
    <row r="60">
      <c r="A60">
        <f>F60&amp;"|"&amp;G60</f>
        <v/>
      </c>
      <c r="B60" s="29" t="inlineStr"/>
      <c r="C60" s="8" t="inlineStr"/>
      <c r="D60" s="8" t="inlineStr"/>
      <c r="E60" s="8" t="inlineStr"/>
      <c r="F60" s="8" t="inlineStr">
        <is>
          <t>TR2(a)</t>
        </is>
      </c>
      <c r="G60" s="8" t="inlineStr">
        <is>
          <t>OPTION 1:  Target-level reporting</t>
        </is>
      </c>
      <c r="H60" s="25">
        <f>IFERROR(IF(INDEX('Faculties'!$M$10:$M$30,MATCH($F60,'Faculties'!$B$10:$B$30,0))="","Cell will autofill based on response",INDEX('Faculties'!$M$10:$M$30,MATCH($F60,'Faculties'!$B$10:$B$30,0))),"N/A")</f>
        <v/>
      </c>
      <c r="I60" s="25">
        <f>IFERROR(IF(INDEX('Faculties'!$M$37:$M$57,MATCH($F60,'Faculties'!$B$37:$B$57,0))="","Cell will autofill based on response",INDEX('Faculties'!$M$37:$M$57,MATCH($F60,'Faculties'!$B$37:$B$57,0))),"N/A")</f>
        <v/>
      </c>
      <c r="J60" s="25">
        <f>IFERROR(IF(INDEX('Faculties'!$M$64:$M$84,MATCH($F60,'Faculties'!$B$64:$B$84,0))="","Cell will autofill based on response",INDEX('Faculties'!$M$64:$M$84,MATCH($F60,'Faculties'!$B$64:$B$84,0))),"N/A")</f>
        <v/>
      </c>
      <c r="K60" s="25">
        <f>IFERROR(IF(INDEX('Faculties'!$M$91:$M$111,MATCH($F60,'Faculties'!$B$91:$B$111,0))="","Cell will autofill based on response",INDEX('Faculties'!$M$91:$M$111,MATCH($F60,'Faculties'!$B$91:$B$111,0))),"N/A")</f>
        <v/>
      </c>
      <c r="L60" s="25">
        <f>IFERROR(IF(INDEX('CI&amp;S'!$M$10:$M$15,MATCH($F60,'CI&amp;S'!$B$10:$B$15,0))="","Cell will autofill based on response",INDEX('CI&amp;S'!$M$10:$M$15,MATCH($F60,'CI&amp;S'!$B$10:$B$15,0))),"N/A")</f>
        <v/>
      </c>
      <c r="M60" s="25">
        <f>IFERROR(IF(INDEX('CI&amp;S'!$M$22:$M$39,MATCH($F60,'CI&amp;S'!$B$22:$B$39,0))="","Cell will autofill based on response",INDEX('CI&amp;S'!$M$22:$M$39,MATCH($F60,'CI&amp;S'!$B$22:$B$39,0))),"N/A")</f>
        <v/>
      </c>
      <c r="N60" s="25">
        <f>IFERROR(IF(INDEX('CFOG'!$M$10:$M$16,MATCH($F60,'CFOG'!$B$10:$B$16,0))="","Cell will autofill based on response",INDEX('CFOG'!$M$10:$M$16,MATCH($F60,'CFOG'!$B$10:$B$16,0))),"N/A")</f>
        <v/>
      </c>
      <c r="O60" s="25">
        <f>IFERROR(IF(INDEX('CFOG'!$M$23:$M$24,MATCH($F60,'CFOG'!$B$23:$B$24,0))="","Cell will autofill based on response",INDEX('CFOG'!$M$23:$M$24,MATCH($F60,'CFOG'!$B$23:$B$24,0))),"N/A")</f>
        <v/>
      </c>
      <c r="P60" s="25">
        <f>IFERROR(IF(INDEX('ESG'!$M$10:$M$17,MATCH($F60,'ESG'!$B$10:$B$17,0))="","Cell will autofill based on response",INDEX('ESG'!$M$10:$M$17,MATCH($F60,'ESG'!$B$10:$B$17,0))),"N/A")</f>
        <v/>
      </c>
      <c r="Q60" s="25">
        <f>IFERROR(IF(INDEX('CIOG'!$M$10:$M$14,MATCH($F60,'CIOG'!$B$10:$B$14,0))="","Cell will autofill based on response",INDEX('CIOG'!$M$10:$M$14,MATCH($F60,'CIOG'!$B$10:$B$14,0))),"N/A")</f>
        <v/>
      </c>
      <c r="R60" s="25">
        <f>IFERROR(IF(INDEX('MRE'!$M$10:$M$12,MATCH($F60,'MRE'!$B$10:$B$12,0))="","Cell will autofill based on response",INDEX('MRE'!$M$10:$M$12,MATCH($F60,'MRE'!$B$10:$B$12,0))),"N/A")</f>
        <v/>
      </c>
      <c r="S60" s="25">
        <f>IFERROR(IF(INDEX('L&amp;R'!$M$10:$M$11,MATCH($F60,'L&amp;R'!$B$10:$B$11,0))="","Cell will autofill based on response",INDEX('L&amp;R'!$M$10:$M$11,MATCH($F60,'L&amp;R'!$B$10:$B$11,0))),"N/A")</f>
        <v/>
      </c>
    </row>
    <row r="61">
      <c r="A61">
        <f>F61&amp;"|"&amp;G61</f>
        <v/>
      </c>
      <c r="B61" s="29" t="inlineStr"/>
      <c r="C61" s="8" t="inlineStr"/>
      <c r="D61" s="8" t="inlineStr"/>
      <c r="E61" s="8" t="inlineStr"/>
      <c r="F61" s="8" t="inlineStr">
        <is>
          <t>TR2(a)</t>
        </is>
      </c>
      <c r="G61" s="8" t="inlineStr">
        <is>
          <t>OPTION 2:  Indicator level reporting</t>
        </is>
      </c>
      <c r="H61" s="25">
        <f>IFERROR(IF(INDEX('Faculties'!$N$10:$N$30,MATCH($F61,'Faculties'!$B$10:$B$30,0))="","Cell will autofill based on response",INDEX('Faculties'!$N$10:$N$30,MATCH($F61,'Faculties'!$B$10:$B$30,0))),"N/A")</f>
        <v/>
      </c>
      <c r="I61" s="25">
        <f>IFERROR(IF(INDEX('Faculties'!$N$37:$N$57,MATCH($F61,'Faculties'!$B$37:$B$57,0))="","Cell will autofill based on response",INDEX('Faculties'!$N$37:$N$57,MATCH($F61,'Faculties'!$B$37:$B$57,0))),"N/A")</f>
        <v/>
      </c>
      <c r="J61" s="25">
        <f>IFERROR(IF(INDEX('Faculties'!$N$64:$N$84,MATCH($F61,'Faculties'!$B$64:$B$84,0))="","Cell will autofill based on response",INDEX('Faculties'!$N$64:$N$84,MATCH($F61,'Faculties'!$B$64:$B$84,0))),"N/A")</f>
        <v/>
      </c>
      <c r="K61" s="25">
        <f>IFERROR(IF(INDEX('Faculties'!$N$91:$N$111,MATCH($F61,'Faculties'!$B$91:$B$111,0))="","Cell will autofill based on response",INDEX('Faculties'!$N$91:$N$111,MATCH($F61,'Faculties'!$B$91:$B$111,0))),"N/A")</f>
        <v/>
      </c>
      <c r="L61" s="25">
        <f>IFERROR(IF(INDEX('CI&amp;S'!$N$10:$N$15,MATCH($F61,'CI&amp;S'!$B$10:$B$15,0))="","Cell will autofill based on response",INDEX('CI&amp;S'!$N$10:$N$15,MATCH($F61,'CI&amp;S'!$B$10:$B$15,0))),"N/A")</f>
        <v/>
      </c>
      <c r="M61" s="25">
        <f>IFERROR(IF(INDEX('CI&amp;S'!$N$22:$N$39,MATCH($F61,'CI&amp;S'!$B$22:$B$39,0))="","Cell will autofill based on response",INDEX('CI&amp;S'!$N$22:$N$39,MATCH($F61,'CI&amp;S'!$B$22:$B$39,0))),"N/A")</f>
        <v/>
      </c>
      <c r="N61" s="25">
        <f>IFERROR(IF(INDEX('CFOG'!$N$10:$N$16,MATCH($F61,'CFOG'!$B$10:$B$16,0))="","Cell will autofill based on response",INDEX('CFOG'!$N$10:$N$16,MATCH($F61,'CFOG'!$B$10:$B$16,0))),"N/A")</f>
        <v/>
      </c>
      <c r="O61" s="25">
        <f>IFERROR(IF(INDEX('CFOG'!$N$23:$N$24,MATCH($F61,'CFOG'!$B$23:$B$24,0))="","Cell will autofill based on response",INDEX('CFOG'!$N$23:$N$24,MATCH($F61,'CFOG'!$B$23:$B$24,0))),"N/A")</f>
        <v/>
      </c>
      <c r="P61" s="25">
        <f>IFERROR(IF(INDEX('ESG'!$N$10:$N$17,MATCH($F61,'ESG'!$B$10:$B$17,0))="","Cell will autofill based on response",INDEX('ESG'!$N$10:$N$17,MATCH($F61,'ESG'!$B$10:$B$17,0))),"N/A")</f>
        <v/>
      </c>
      <c r="Q61" s="25">
        <f>IFERROR(IF(INDEX('CIOG'!$N$10:$N$14,MATCH($F61,'CIOG'!$B$10:$B$14,0))="","Cell will autofill based on response",INDEX('CIOG'!$N$10:$N$14,MATCH($F61,'CIOG'!$B$10:$B$14,0))),"N/A")</f>
        <v/>
      </c>
      <c r="R61" s="25">
        <f>IFERROR(IF(INDEX('MRE'!$N$10:$N$12,MATCH($F61,'MRE'!$B$10:$B$12,0))="","Cell will autofill based on response",INDEX('MRE'!$N$10:$N$12,MATCH($F61,'MRE'!$B$10:$B$12,0))),"N/A")</f>
        <v/>
      </c>
      <c r="S61" s="25">
        <f>IFERROR(IF(INDEX('L&amp;R'!$N$10:$N$11,MATCH($F61,'L&amp;R'!$B$10:$B$11,0))="","Cell will autofill based on response",INDEX('L&amp;R'!$N$10:$N$11,MATCH($F61,'L&amp;R'!$B$10:$B$11,0))),"N/A")</f>
        <v/>
      </c>
    </row>
    <row r="62">
      <c r="A62">
        <f>F62&amp;"|"&amp;G62</f>
        <v/>
      </c>
      <c r="B62" s="29" t="inlineStr"/>
      <c r="C62" s="8" t="inlineStr"/>
      <c r="D62" s="8" t="inlineStr"/>
      <c r="E62" s="8" t="inlineStr"/>
      <c r="F62" s="8" t="inlineStr">
        <is>
          <t>TR2(a)</t>
        </is>
      </c>
      <c r="G62" s="8" t="inlineStr">
        <is>
          <t>Supporting information/comments</t>
        </is>
      </c>
      <c r="H62" s="25">
        <f>IFERROR(IF(INDEX('Faculties'!$O$10:$O$30,MATCH($F62,'Faculties'!$B$10:$B$30,0))="","Cell will autofill based on response",INDEX('Faculties'!$O$10:$O$30,MATCH($F62,'Faculties'!$B$10:$B$30,0))),"N/A")</f>
        <v/>
      </c>
      <c r="I62" s="25">
        <f>IFERROR(IF(INDEX('Faculties'!$O$37:$O$57,MATCH($F62,'Faculties'!$B$37:$B$57,0))="","Cell will autofill based on response",INDEX('Faculties'!$O$37:$O$57,MATCH($F62,'Faculties'!$B$37:$B$57,0))),"N/A")</f>
        <v/>
      </c>
      <c r="J62" s="25">
        <f>IFERROR(IF(INDEX('Faculties'!$O$64:$O$84,MATCH($F62,'Faculties'!$B$64:$B$84,0))="","Cell will autofill based on response",INDEX('Faculties'!$O$64:$O$84,MATCH($F62,'Faculties'!$B$64:$B$84,0))),"N/A")</f>
        <v/>
      </c>
      <c r="K62" s="25">
        <f>IFERROR(IF(INDEX('Faculties'!$O$91:$O$111,MATCH($F62,'Faculties'!$B$91:$B$111,0))="","Cell will autofill based on response",INDEX('Faculties'!$O$91:$O$111,MATCH($F62,'Faculties'!$B$91:$B$111,0))),"N/A")</f>
        <v/>
      </c>
      <c r="L62" s="25">
        <f>IFERROR(IF(INDEX('CI&amp;S'!$O$10:$O$15,MATCH($F62,'CI&amp;S'!$B$10:$B$15,0))="","Cell will autofill based on response",INDEX('CI&amp;S'!$O$10:$O$15,MATCH($F62,'CI&amp;S'!$B$10:$B$15,0))),"N/A")</f>
        <v/>
      </c>
      <c r="M62" s="25">
        <f>IFERROR(IF(INDEX('CI&amp;S'!$O$22:$O$39,MATCH($F62,'CI&amp;S'!$B$22:$B$39,0))="","Cell will autofill based on response",INDEX('CI&amp;S'!$O$22:$O$39,MATCH($F62,'CI&amp;S'!$B$22:$B$39,0))),"N/A")</f>
        <v/>
      </c>
      <c r="N62" s="25">
        <f>IFERROR(IF(INDEX('CFOG'!$O$10:$O$16,MATCH($F62,'CFOG'!$B$10:$B$16,0))="","Cell will autofill based on response",INDEX('CFOG'!$O$10:$O$16,MATCH($F62,'CFOG'!$B$10:$B$16,0))),"N/A")</f>
        <v/>
      </c>
      <c r="O62" s="25">
        <f>IFERROR(IF(INDEX('CFOG'!$O$23:$O$24,MATCH($F62,'CFOG'!$B$23:$B$24,0))="","Cell will autofill based on response",INDEX('CFOG'!$O$23:$O$24,MATCH($F62,'CFOG'!$B$23:$B$24,0))),"N/A")</f>
        <v/>
      </c>
      <c r="P62" s="25">
        <f>IFERROR(IF(INDEX('ESG'!$O$10:$O$17,MATCH($F62,'ESG'!$B$10:$B$17,0))="","Cell will autofill based on response",INDEX('ESG'!$O$10:$O$17,MATCH($F62,'ESG'!$B$10:$B$17,0))),"N/A")</f>
        <v/>
      </c>
      <c r="Q62" s="25">
        <f>IFERROR(IF(INDEX('CIOG'!$O$10:$O$14,MATCH($F62,'CIOG'!$B$10:$B$14,0))="","Cell will autofill based on response",INDEX('CIOG'!$O$10:$O$14,MATCH($F62,'CIOG'!$B$10:$B$14,0))),"N/A")</f>
        <v/>
      </c>
      <c r="R62" s="25">
        <f>IFERROR(IF(INDEX('MRE'!$O$10:$O$12,MATCH($F62,'MRE'!$B$10:$B$12,0))="","Cell will autofill based on response",INDEX('MRE'!$O$10:$O$12,MATCH($F62,'MRE'!$B$10:$B$12,0))),"N/A")</f>
        <v/>
      </c>
      <c r="S62" s="25">
        <f>IFERROR(IF(INDEX('L&amp;R'!$O$10:$O$11,MATCH($F62,'L&amp;R'!$B$10:$B$11,0))="","Cell will autofill based on response",INDEX('L&amp;R'!$O$10:$O$11,MATCH($F62,'L&amp;R'!$B$10:$B$11,0))),"N/A")</f>
        <v/>
      </c>
    </row>
    <row r="63">
      <c r="A63">
        <f>F63&amp;"|"&amp;G63</f>
        <v/>
      </c>
      <c r="B63" s="29" t="inlineStr"/>
      <c r="C63" s="8" t="inlineStr"/>
      <c r="D63" s="8" t="inlineStr"/>
      <c r="E63" s="8" t="inlineStr"/>
      <c r="F63" s="8" t="inlineStr">
        <is>
          <t>TR2(a)</t>
        </is>
      </c>
      <c r="G63" s="8" t="inlineStr">
        <is>
          <t>Data source and limitations</t>
        </is>
      </c>
      <c r="H63" s="25">
        <f>IFERROR(IF(INDEX('Faculties'!$P$10:$P$30,MATCH($F63,'Faculties'!$B$10:$B$30,0))="","Cell will autofill based on response",INDEX('Faculties'!$P$10:$P$30,MATCH($F63,'Faculties'!$B$10:$B$30,0))),"N/A")</f>
        <v/>
      </c>
      <c r="I63" s="25">
        <f>IFERROR(IF(INDEX('Faculties'!$P$37:$P$57,MATCH($F63,'Faculties'!$B$37:$B$57,0))="","Cell will autofill based on response",INDEX('Faculties'!$P$37:$P$57,MATCH($F63,'Faculties'!$B$37:$B$57,0))),"N/A")</f>
        <v/>
      </c>
      <c r="J63" s="25">
        <f>IFERROR(IF(INDEX('Faculties'!$P$64:$P$84,MATCH($F63,'Faculties'!$B$64:$B$84,0))="","Cell will autofill based on response",INDEX('Faculties'!$P$64:$P$84,MATCH($F63,'Faculties'!$B$64:$B$84,0))),"N/A")</f>
        <v/>
      </c>
      <c r="K63" s="25">
        <f>IFERROR(IF(INDEX('Faculties'!$P$91:$P$111,MATCH($F63,'Faculties'!$B$91:$B$111,0))="","Cell will autofill based on response",INDEX('Faculties'!$P$91:$P$111,MATCH($F63,'Faculties'!$B$91:$B$111,0))),"N/A")</f>
        <v/>
      </c>
      <c r="L63" s="25">
        <f>IFERROR(IF(INDEX('CI&amp;S'!$P$10:$P$15,MATCH($F63,'CI&amp;S'!$B$10:$B$15,0))="","Cell will autofill based on response",INDEX('CI&amp;S'!$P$10:$P$15,MATCH($F63,'CI&amp;S'!$B$10:$B$15,0))),"N/A")</f>
        <v/>
      </c>
      <c r="M63" s="25">
        <f>IFERROR(IF(INDEX('CI&amp;S'!$P$22:$P$39,MATCH($F63,'CI&amp;S'!$B$22:$B$39,0))="","Cell will autofill based on response",INDEX('CI&amp;S'!$P$22:$P$39,MATCH($F63,'CI&amp;S'!$B$22:$B$39,0))),"N/A")</f>
        <v/>
      </c>
      <c r="N63" s="25">
        <f>IFERROR(IF(INDEX('CFOG'!$P$10:$P$16,MATCH($F63,'CFOG'!$B$10:$B$16,0))="","Cell will autofill based on response",INDEX('CFOG'!$P$10:$P$16,MATCH($F63,'CFOG'!$B$10:$B$16,0))),"N/A")</f>
        <v/>
      </c>
      <c r="O63" s="25">
        <f>IFERROR(IF(INDEX('CFOG'!$P$23:$P$24,MATCH($F63,'CFOG'!$B$23:$B$24,0))="","Cell will autofill based on response",INDEX('CFOG'!$P$23:$P$24,MATCH($F63,'CFOG'!$B$23:$B$24,0))),"N/A")</f>
        <v/>
      </c>
      <c r="P63" s="25">
        <f>IFERROR(IF(INDEX('ESG'!$P$10:$P$17,MATCH($F63,'ESG'!$B$10:$B$17,0))="","Cell will autofill based on response",INDEX('ESG'!$P$10:$P$17,MATCH($F63,'ESG'!$B$10:$B$17,0))),"N/A")</f>
        <v/>
      </c>
      <c r="Q63" s="25">
        <f>IFERROR(IF(INDEX('CIOG'!$P$10:$P$14,MATCH($F63,'CIOG'!$B$10:$B$14,0))="","Cell will autofill based on response",INDEX('CIOG'!$P$10:$P$14,MATCH($F63,'CIOG'!$B$10:$B$14,0))),"N/A")</f>
        <v/>
      </c>
      <c r="R63" s="25">
        <f>IFERROR(IF(INDEX('MRE'!$P$10:$P$12,MATCH($F63,'MRE'!$B$10:$B$12,0))="","Cell will autofill based on response",INDEX('MRE'!$P$10:$P$12,MATCH($F63,'MRE'!$B$10:$B$12,0))),"N/A")</f>
        <v/>
      </c>
      <c r="S63" s="25">
        <f>IFERROR(IF(INDEX('L&amp;R'!$P$10:$P$11,MATCH($F63,'L&amp;R'!$B$10:$B$11,0))="","Cell will autofill based on response",INDEX('L&amp;R'!$P$10:$P$11,MATCH($F63,'L&amp;R'!$B$10:$B$11,0))),"N/A")</f>
        <v/>
      </c>
    </row>
    <row r="64">
      <c r="A64">
        <f>F64&amp;"|"&amp;G64</f>
        <v/>
      </c>
      <c r="B64" s="29" t="inlineStr"/>
      <c r="C64" s="8" t="inlineStr"/>
      <c r="D64" s="8" t="inlineStr"/>
      <c r="E64" s="8" t="inlineStr"/>
      <c r="F64" s="8" t="inlineStr">
        <is>
          <t>TR2(a)</t>
        </is>
      </c>
      <c r="G64" s="8" t="inlineStr">
        <is>
          <t>Data owner confirms</t>
        </is>
      </c>
      <c r="H64" s="25">
        <f>IFERROR(IF(INDEX('Faculties'!$Q$10:$Q$30,MATCH($F64,'Faculties'!$B$10:$B$30,0))="","Cell will autofill based on response",INDEX('Faculties'!$Q$10:$Q$30,MATCH($F64,'Faculties'!$B$10:$B$30,0))),"N/A")</f>
        <v/>
      </c>
      <c r="I64" s="25">
        <f>IFERROR(IF(INDEX('Faculties'!$Q$37:$Q$57,MATCH($F64,'Faculties'!$B$37:$B$57,0))="","Cell will autofill based on response",INDEX('Faculties'!$Q$37:$Q$57,MATCH($F64,'Faculties'!$B$37:$B$57,0))),"N/A")</f>
        <v/>
      </c>
      <c r="J64" s="25">
        <f>IFERROR(IF(INDEX('Faculties'!$Q$64:$Q$84,MATCH($F64,'Faculties'!$B$64:$B$84,0))="","Cell will autofill based on response",INDEX('Faculties'!$Q$64:$Q$84,MATCH($F64,'Faculties'!$B$64:$B$84,0))),"N/A")</f>
        <v/>
      </c>
      <c r="K64" s="25">
        <f>IFERROR(IF(INDEX('Faculties'!$Q$91:$Q$111,MATCH($F64,'Faculties'!$B$91:$B$111,0))="","Cell will autofill based on response",INDEX('Faculties'!$Q$91:$Q$111,MATCH($F64,'Faculties'!$B$91:$B$111,0))),"N/A")</f>
        <v/>
      </c>
      <c r="L64" s="25">
        <f>IFERROR(IF(INDEX('CI&amp;S'!$Q$10:$Q$15,MATCH($F64,'CI&amp;S'!$B$10:$B$15,0))="","Cell will autofill based on response",INDEX('CI&amp;S'!$Q$10:$Q$15,MATCH($F64,'CI&amp;S'!$B$10:$B$15,0))),"N/A")</f>
        <v/>
      </c>
      <c r="M64" s="25">
        <f>IFERROR(IF(INDEX('CI&amp;S'!$Q$22:$Q$39,MATCH($F64,'CI&amp;S'!$B$22:$B$39,0))="","Cell will autofill based on response",INDEX('CI&amp;S'!$Q$22:$Q$39,MATCH($F64,'CI&amp;S'!$B$22:$B$39,0))),"N/A")</f>
        <v/>
      </c>
      <c r="N64" s="25">
        <f>IFERROR(IF(INDEX('CFOG'!$Q$10:$Q$16,MATCH($F64,'CFOG'!$B$10:$B$16,0))="","Cell will autofill based on response",INDEX('CFOG'!$Q$10:$Q$16,MATCH($F64,'CFOG'!$B$10:$B$16,0))),"N/A")</f>
        <v/>
      </c>
      <c r="O64" s="25">
        <f>IFERROR(IF(INDEX('CFOG'!$Q$23:$Q$24,MATCH($F64,'CFOG'!$B$23:$B$24,0))="","Cell will autofill based on response",INDEX('CFOG'!$Q$23:$Q$24,MATCH($F64,'CFOG'!$B$23:$B$24,0))),"N/A")</f>
        <v/>
      </c>
      <c r="P64" s="25">
        <f>IFERROR(IF(INDEX('ESG'!$Q$10:$Q$17,MATCH($F64,'ESG'!$B$10:$B$17,0))="","Cell will autofill based on response",INDEX('ESG'!$Q$10:$Q$17,MATCH($F64,'ESG'!$B$10:$B$17,0))),"N/A")</f>
        <v/>
      </c>
      <c r="Q64" s="25">
        <f>IFERROR(IF(INDEX('CIOG'!$Q$10:$Q$14,MATCH($F64,'CIOG'!$B$10:$B$14,0))="","Cell will autofill based on response",INDEX('CIOG'!$Q$10:$Q$14,MATCH($F64,'CIOG'!$B$10:$B$14,0))),"N/A")</f>
        <v/>
      </c>
      <c r="R64" s="25">
        <f>IFERROR(IF(INDEX('MRE'!$Q$10:$Q$12,MATCH($F64,'MRE'!$B$10:$B$12,0))="","Cell will autofill based on response",INDEX('MRE'!$Q$10:$Q$12,MATCH($F64,'MRE'!$B$10:$B$12,0))),"N/A")</f>
        <v/>
      </c>
      <c r="S64" s="25">
        <f>IFERROR(IF(INDEX('L&amp;R'!$Q$10:$Q$11,MATCH($F64,'L&amp;R'!$B$10:$B$11,0))="","Cell will autofill based on response",INDEX('L&amp;R'!$Q$10:$Q$11,MATCH($F64,'L&amp;R'!$B$10:$B$11,0))),"N/A")</f>
        <v/>
      </c>
    </row>
    <row r="65">
      <c r="A65">
        <f>F65&amp;"|"&amp;G65</f>
        <v/>
      </c>
      <c r="B65" s="7" t="inlineStr">
        <is>
          <t>TR2(b)</t>
        </is>
      </c>
      <c r="C65" s="12" t="inlineStr">
        <is>
          <t>Transformational research</t>
        </is>
      </c>
      <c r="D65" s="12" t="inlineStr">
        <is>
          <t>Documented progress of relevant strategic initiatives, including Impact Accelerators</t>
        </is>
      </c>
      <c r="E65" s="12"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F65" s="12" t="inlineStr">
        <is>
          <t>TR2(b)</t>
        </is>
      </c>
      <c r="G65" s="12" t="inlineStr">
        <is>
          <t>Confirm end-2026 target status</t>
        </is>
      </c>
      <c r="H65" s="25">
        <f>IFERROR(IF(INDEX('Faculties'!$L$10:$L$30,MATCH($F65,'Faculties'!$B$10:$B$30,0))="","Cell will autofill based on response",INDEX('Faculties'!$L$10:$L$30,MATCH($F65,'Faculties'!$B$10:$B$30,0))),"N/A")</f>
        <v/>
      </c>
      <c r="I65" s="25">
        <f>IFERROR(IF(INDEX('Faculties'!$L$37:$L$57,MATCH($F65,'Faculties'!$B$37:$B$57,0))="","Cell will autofill based on response",INDEX('Faculties'!$L$37:$L$57,MATCH($F65,'Faculties'!$B$37:$B$57,0))),"N/A")</f>
        <v/>
      </c>
      <c r="J65" s="25">
        <f>IFERROR(IF(INDEX('Faculties'!$L$64:$L$84,MATCH($F65,'Faculties'!$B$64:$B$84,0))="","Cell will autofill based on response",INDEX('Faculties'!$L$64:$L$84,MATCH($F65,'Faculties'!$B$64:$B$84,0))),"N/A")</f>
        <v/>
      </c>
      <c r="K65" s="25">
        <f>IFERROR(IF(INDEX('Faculties'!$L$91:$L$111,MATCH($F65,'Faculties'!$B$91:$B$111,0))="","Cell will autofill based on response",INDEX('Faculties'!$L$91:$L$111,MATCH($F65,'Faculties'!$B$91:$B$111,0))),"N/A")</f>
        <v/>
      </c>
      <c r="L65" s="25">
        <f>IFERROR(IF(INDEX('CI&amp;S'!$L$10:$L$15,MATCH($F65,'CI&amp;S'!$B$10:$B$15,0))="","Cell will autofill based on response",INDEX('CI&amp;S'!$L$10:$L$15,MATCH($F65,'CI&amp;S'!$B$10:$B$15,0))),"N/A")</f>
        <v/>
      </c>
      <c r="M65" s="25">
        <f>IFERROR(IF(INDEX('CI&amp;S'!$L$22:$L$39,MATCH($F65,'CI&amp;S'!$B$22:$B$39,0))="","Cell will autofill based on response",INDEX('CI&amp;S'!$L$22:$L$39,MATCH($F65,'CI&amp;S'!$B$22:$B$39,0))),"N/A")</f>
        <v/>
      </c>
      <c r="N65" s="25">
        <f>IFERROR(IF(INDEX('CFOG'!$L$10:$L$16,MATCH($F65,'CFOG'!$B$10:$B$16,0))="","Cell will autofill based on response",INDEX('CFOG'!$L$10:$L$16,MATCH($F65,'CFOG'!$B$10:$B$16,0))),"N/A")</f>
        <v/>
      </c>
      <c r="O65" s="25">
        <f>IFERROR(IF(INDEX('CFOG'!$L$23:$L$24,MATCH($F65,'CFOG'!$B$23:$B$24,0))="","Cell will autofill based on response",INDEX('CFOG'!$L$23:$L$24,MATCH($F65,'CFOG'!$B$23:$B$24,0))),"N/A")</f>
        <v/>
      </c>
      <c r="P65" s="25">
        <f>IFERROR(IF(INDEX('ESG'!$L$10:$L$17,MATCH($F65,'ESG'!$B$10:$B$17,0))="","Cell will autofill based on response",INDEX('ESG'!$L$10:$L$17,MATCH($F65,'ESG'!$B$10:$B$17,0))),"N/A")</f>
        <v/>
      </c>
      <c r="Q65" s="25">
        <f>IFERROR(IF(INDEX('CIOG'!$L$10:$L$14,MATCH($F65,'CIOG'!$B$10:$B$14,0))="","Cell will autofill based on response",INDEX('CIOG'!$L$10:$L$14,MATCH($F65,'CIOG'!$B$10:$B$14,0))),"N/A")</f>
        <v/>
      </c>
      <c r="R65" s="25">
        <f>IFERROR(IF(INDEX('MRE'!$L$10:$L$12,MATCH($F65,'MRE'!$B$10:$B$12,0))="","Cell will autofill based on response",INDEX('MRE'!$L$10:$L$12,MATCH($F65,'MRE'!$B$10:$B$12,0))),"N/A")</f>
        <v/>
      </c>
      <c r="S65" s="25">
        <f>IFERROR(IF(INDEX('L&amp;R'!$L$10:$L$11,MATCH($F65,'L&amp;R'!$B$10:$B$11,0))="","Cell will autofill based on response",INDEX('L&amp;R'!$L$10:$L$11,MATCH($F65,'L&amp;R'!$B$10:$B$11,0))),"N/A")</f>
        <v/>
      </c>
      <c r="U65" s="26">
        <f>COUNTIF($H65:$S65,"Cell will autofill based on response")</f>
        <v/>
      </c>
      <c r="V65" s="26">
        <f>COUNTIF($H65:$S65,"Not yet started")</f>
        <v/>
      </c>
      <c r="W65" s="26">
        <f>COUNTIF($H65:$S65,"Not met")</f>
        <v/>
      </c>
      <c r="X65" s="26">
        <f>COUNTIF($H65:$S65,"Partially met")</f>
        <v/>
      </c>
      <c r="Y65" s="26">
        <f>COUNTIF($H65:$S65,"Met or exceeded")</f>
        <v/>
      </c>
      <c r="Z65" s="26">
        <f>3*Y65+2*X65+W65</f>
        <v/>
      </c>
      <c r="AA65" s="26">
        <f>Y65+X65+W65+V65</f>
        <v/>
      </c>
      <c r="AB65" s="27">
        <f>IF(AA65&gt;0,Z65/AA65,"No valid responses to date")</f>
        <v/>
      </c>
      <c r="AC65" s="26">
        <f>IF(ISNUMBER(AB65),INDEX(Lists!$G$2:$G$5,MATCH(ROUND(AB65,0),Lists!$H$2:$H$5,0)),"")</f>
        <v/>
      </c>
      <c r="AD65" s="28">
        <f>IF(AA65&gt;0,Y65/AA65,"")</f>
        <v/>
      </c>
      <c r="AE65" s="28">
        <f>IF(AA65&gt;0,(Y65+X65)/AA65,"")</f>
        <v/>
      </c>
      <c r="AF65" s="26">
        <f>IF(AA65=0,"",IF(AD65&gt;0.75,"Met or exceeded",IF(AE65&gt;=0.5,"Partially met","Not met")))</f>
        <v/>
      </c>
    </row>
    <row r="66">
      <c r="A66">
        <f>F66&amp;"|"&amp;G66</f>
        <v/>
      </c>
      <c r="B66" s="29" t="inlineStr"/>
      <c r="C66" s="8" t="inlineStr"/>
      <c r="D66" s="8" t="inlineStr"/>
      <c r="E66" s="8" t="inlineStr"/>
      <c r="F66" s="8" t="inlineStr">
        <is>
          <t>TR2(b)</t>
        </is>
      </c>
      <c r="G66" s="8" t="inlineStr">
        <is>
          <t>OPTION 1:  Target-level reporting</t>
        </is>
      </c>
      <c r="H66" s="25">
        <f>IFERROR(IF(INDEX('Faculties'!$M$10:$M$30,MATCH($F66,'Faculties'!$B$10:$B$30,0))="","Cell will autofill based on response",INDEX('Faculties'!$M$10:$M$30,MATCH($F66,'Faculties'!$B$10:$B$30,0))),"N/A")</f>
        <v/>
      </c>
      <c r="I66" s="25">
        <f>IFERROR(IF(INDEX('Faculties'!$M$37:$M$57,MATCH($F66,'Faculties'!$B$37:$B$57,0))="","Cell will autofill based on response",INDEX('Faculties'!$M$37:$M$57,MATCH($F66,'Faculties'!$B$37:$B$57,0))),"N/A")</f>
        <v/>
      </c>
      <c r="J66" s="25">
        <f>IFERROR(IF(INDEX('Faculties'!$M$64:$M$84,MATCH($F66,'Faculties'!$B$64:$B$84,0))="","Cell will autofill based on response",INDEX('Faculties'!$M$64:$M$84,MATCH($F66,'Faculties'!$B$64:$B$84,0))),"N/A")</f>
        <v/>
      </c>
      <c r="K66" s="25">
        <f>IFERROR(IF(INDEX('Faculties'!$M$91:$M$111,MATCH($F66,'Faculties'!$B$91:$B$111,0))="","Cell will autofill based on response",INDEX('Faculties'!$M$91:$M$111,MATCH($F66,'Faculties'!$B$91:$B$111,0))),"N/A")</f>
        <v/>
      </c>
      <c r="L66" s="25">
        <f>IFERROR(IF(INDEX('CI&amp;S'!$M$10:$M$15,MATCH($F66,'CI&amp;S'!$B$10:$B$15,0))="","Cell will autofill based on response",INDEX('CI&amp;S'!$M$10:$M$15,MATCH($F66,'CI&amp;S'!$B$10:$B$15,0))),"N/A")</f>
        <v/>
      </c>
      <c r="M66" s="25">
        <f>IFERROR(IF(INDEX('CI&amp;S'!$M$22:$M$39,MATCH($F66,'CI&amp;S'!$B$22:$B$39,0))="","Cell will autofill based on response",INDEX('CI&amp;S'!$M$22:$M$39,MATCH($F66,'CI&amp;S'!$B$22:$B$39,0))),"N/A")</f>
        <v/>
      </c>
      <c r="N66" s="25">
        <f>IFERROR(IF(INDEX('CFOG'!$M$10:$M$16,MATCH($F66,'CFOG'!$B$10:$B$16,0))="","Cell will autofill based on response",INDEX('CFOG'!$M$10:$M$16,MATCH($F66,'CFOG'!$B$10:$B$16,0))),"N/A")</f>
        <v/>
      </c>
      <c r="O66" s="25">
        <f>IFERROR(IF(INDEX('CFOG'!$M$23:$M$24,MATCH($F66,'CFOG'!$B$23:$B$24,0))="","Cell will autofill based on response",INDEX('CFOG'!$M$23:$M$24,MATCH($F66,'CFOG'!$B$23:$B$24,0))),"N/A")</f>
        <v/>
      </c>
      <c r="P66" s="25">
        <f>IFERROR(IF(INDEX('ESG'!$M$10:$M$17,MATCH($F66,'ESG'!$B$10:$B$17,0))="","Cell will autofill based on response",INDEX('ESG'!$M$10:$M$17,MATCH($F66,'ESG'!$B$10:$B$17,0))),"N/A")</f>
        <v/>
      </c>
      <c r="Q66" s="25">
        <f>IFERROR(IF(INDEX('CIOG'!$M$10:$M$14,MATCH($F66,'CIOG'!$B$10:$B$14,0))="","Cell will autofill based on response",INDEX('CIOG'!$M$10:$M$14,MATCH($F66,'CIOG'!$B$10:$B$14,0))),"N/A")</f>
        <v/>
      </c>
      <c r="R66" s="25">
        <f>IFERROR(IF(INDEX('MRE'!$M$10:$M$12,MATCH($F66,'MRE'!$B$10:$B$12,0))="","Cell will autofill based on response",INDEX('MRE'!$M$10:$M$12,MATCH($F66,'MRE'!$B$10:$B$12,0))),"N/A")</f>
        <v/>
      </c>
      <c r="S66" s="25">
        <f>IFERROR(IF(INDEX('L&amp;R'!$M$10:$M$11,MATCH($F66,'L&amp;R'!$B$10:$B$11,0))="","Cell will autofill based on response",INDEX('L&amp;R'!$M$10:$M$11,MATCH($F66,'L&amp;R'!$B$10:$B$11,0))),"N/A")</f>
        <v/>
      </c>
    </row>
    <row r="67">
      <c r="A67">
        <f>F67&amp;"|"&amp;G67</f>
        <v/>
      </c>
      <c r="B67" s="29" t="inlineStr"/>
      <c r="C67" s="8" t="inlineStr"/>
      <c r="D67" s="8" t="inlineStr"/>
      <c r="E67" s="8" t="inlineStr"/>
      <c r="F67" s="8" t="inlineStr">
        <is>
          <t>TR2(b)</t>
        </is>
      </c>
      <c r="G67" s="8" t="inlineStr">
        <is>
          <t>OPTION 2:  Indicator level reporting</t>
        </is>
      </c>
      <c r="H67" s="25">
        <f>IFERROR(IF(INDEX('Faculties'!$N$10:$N$30,MATCH($F67,'Faculties'!$B$10:$B$30,0))="","Cell will autofill based on response",INDEX('Faculties'!$N$10:$N$30,MATCH($F67,'Faculties'!$B$10:$B$30,0))),"N/A")</f>
        <v/>
      </c>
      <c r="I67" s="25">
        <f>IFERROR(IF(INDEX('Faculties'!$N$37:$N$57,MATCH($F67,'Faculties'!$B$37:$B$57,0))="","Cell will autofill based on response",INDEX('Faculties'!$N$37:$N$57,MATCH($F67,'Faculties'!$B$37:$B$57,0))),"N/A")</f>
        <v/>
      </c>
      <c r="J67" s="25">
        <f>IFERROR(IF(INDEX('Faculties'!$N$64:$N$84,MATCH($F67,'Faculties'!$B$64:$B$84,0))="","Cell will autofill based on response",INDEX('Faculties'!$N$64:$N$84,MATCH($F67,'Faculties'!$B$64:$B$84,0))),"N/A")</f>
        <v/>
      </c>
      <c r="K67" s="25">
        <f>IFERROR(IF(INDEX('Faculties'!$N$91:$N$111,MATCH($F67,'Faculties'!$B$91:$B$111,0))="","Cell will autofill based on response",INDEX('Faculties'!$N$91:$N$111,MATCH($F67,'Faculties'!$B$91:$B$111,0))),"N/A")</f>
        <v/>
      </c>
      <c r="L67" s="25">
        <f>IFERROR(IF(INDEX('CI&amp;S'!$N$10:$N$15,MATCH($F67,'CI&amp;S'!$B$10:$B$15,0))="","Cell will autofill based on response",INDEX('CI&amp;S'!$N$10:$N$15,MATCH($F67,'CI&amp;S'!$B$10:$B$15,0))),"N/A")</f>
        <v/>
      </c>
      <c r="M67" s="25">
        <f>IFERROR(IF(INDEX('CI&amp;S'!$N$22:$N$39,MATCH($F67,'CI&amp;S'!$B$22:$B$39,0))="","Cell will autofill based on response",INDEX('CI&amp;S'!$N$22:$N$39,MATCH($F67,'CI&amp;S'!$B$22:$B$39,0))),"N/A")</f>
        <v/>
      </c>
      <c r="N67" s="25">
        <f>IFERROR(IF(INDEX('CFOG'!$N$10:$N$16,MATCH($F67,'CFOG'!$B$10:$B$16,0))="","Cell will autofill based on response",INDEX('CFOG'!$N$10:$N$16,MATCH($F67,'CFOG'!$B$10:$B$16,0))),"N/A")</f>
        <v/>
      </c>
      <c r="O67" s="25">
        <f>IFERROR(IF(INDEX('CFOG'!$N$23:$N$24,MATCH($F67,'CFOG'!$B$23:$B$24,0))="","Cell will autofill based on response",INDEX('CFOG'!$N$23:$N$24,MATCH($F67,'CFOG'!$B$23:$B$24,0))),"N/A")</f>
        <v/>
      </c>
      <c r="P67" s="25">
        <f>IFERROR(IF(INDEX('ESG'!$N$10:$N$17,MATCH($F67,'ESG'!$B$10:$B$17,0))="","Cell will autofill based on response",INDEX('ESG'!$N$10:$N$17,MATCH($F67,'ESG'!$B$10:$B$17,0))),"N/A")</f>
        <v/>
      </c>
      <c r="Q67" s="25">
        <f>IFERROR(IF(INDEX('CIOG'!$N$10:$N$14,MATCH($F67,'CIOG'!$B$10:$B$14,0))="","Cell will autofill based on response",INDEX('CIOG'!$N$10:$N$14,MATCH($F67,'CIOG'!$B$10:$B$14,0))),"N/A")</f>
        <v/>
      </c>
      <c r="R67" s="25">
        <f>IFERROR(IF(INDEX('MRE'!$N$10:$N$12,MATCH($F67,'MRE'!$B$10:$B$12,0))="","Cell will autofill based on response",INDEX('MRE'!$N$10:$N$12,MATCH($F67,'MRE'!$B$10:$B$12,0))),"N/A")</f>
        <v/>
      </c>
      <c r="S67" s="25">
        <f>IFERROR(IF(INDEX('L&amp;R'!$N$10:$N$11,MATCH($F67,'L&amp;R'!$B$10:$B$11,0))="","Cell will autofill based on response",INDEX('L&amp;R'!$N$10:$N$11,MATCH($F67,'L&amp;R'!$B$10:$B$11,0))),"N/A")</f>
        <v/>
      </c>
    </row>
    <row r="68">
      <c r="A68">
        <f>F68&amp;"|"&amp;G68</f>
        <v/>
      </c>
      <c r="B68" s="29" t="inlineStr"/>
      <c r="C68" s="8" t="inlineStr"/>
      <c r="D68" s="8" t="inlineStr"/>
      <c r="E68" s="8" t="inlineStr"/>
      <c r="F68" s="8" t="inlineStr">
        <is>
          <t>TR2(b)</t>
        </is>
      </c>
      <c r="G68" s="8" t="inlineStr">
        <is>
          <t>Supporting information/comments</t>
        </is>
      </c>
      <c r="H68" s="25">
        <f>IFERROR(IF(INDEX('Faculties'!$O$10:$O$30,MATCH($F68,'Faculties'!$B$10:$B$30,0))="","Cell will autofill based on response",INDEX('Faculties'!$O$10:$O$30,MATCH($F68,'Faculties'!$B$10:$B$30,0))),"N/A")</f>
        <v/>
      </c>
      <c r="I68" s="25">
        <f>IFERROR(IF(INDEX('Faculties'!$O$37:$O$57,MATCH($F68,'Faculties'!$B$37:$B$57,0))="","Cell will autofill based on response",INDEX('Faculties'!$O$37:$O$57,MATCH($F68,'Faculties'!$B$37:$B$57,0))),"N/A")</f>
        <v/>
      </c>
      <c r="J68" s="25">
        <f>IFERROR(IF(INDEX('Faculties'!$O$64:$O$84,MATCH($F68,'Faculties'!$B$64:$B$84,0))="","Cell will autofill based on response",INDEX('Faculties'!$O$64:$O$84,MATCH($F68,'Faculties'!$B$64:$B$84,0))),"N/A")</f>
        <v/>
      </c>
      <c r="K68" s="25">
        <f>IFERROR(IF(INDEX('Faculties'!$O$91:$O$111,MATCH($F68,'Faculties'!$B$91:$B$111,0))="","Cell will autofill based on response",INDEX('Faculties'!$O$91:$O$111,MATCH($F68,'Faculties'!$B$91:$B$111,0))),"N/A")</f>
        <v/>
      </c>
      <c r="L68" s="25">
        <f>IFERROR(IF(INDEX('CI&amp;S'!$O$10:$O$15,MATCH($F68,'CI&amp;S'!$B$10:$B$15,0))="","Cell will autofill based on response",INDEX('CI&amp;S'!$O$10:$O$15,MATCH($F68,'CI&amp;S'!$B$10:$B$15,0))),"N/A")</f>
        <v/>
      </c>
      <c r="M68" s="25">
        <f>IFERROR(IF(INDEX('CI&amp;S'!$O$22:$O$39,MATCH($F68,'CI&amp;S'!$B$22:$B$39,0))="","Cell will autofill based on response",INDEX('CI&amp;S'!$O$22:$O$39,MATCH($F68,'CI&amp;S'!$B$22:$B$39,0))),"N/A")</f>
        <v/>
      </c>
      <c r="N68" s="25">
        <f>IFERROR(IF(INDEX('CFOG'!$O$10:$O$16,MATCH($F68,'CFOG'!$B$10:$B$16,0))="","Cell will autofill based on response",INDEX('CFOG'!$O$10:$O$16,MATCH($F68,'CFOG'!$B$10:$B$16,0))),"N/A")</f>
        <v/>
      </c>
      <c r="O68" s="25">
        <f>IFERROR(IF(INDEX('CFOG'!$O$23:$O$24,MATCH($F68,'CFOG'!$B$23:$B$24,0))="","Cell will autofill based on response",INDEX('CFOG'!$O$23:$O$24,MATCH($F68,'CFOG'!$B$23:$B$24,0))),"N/A")</f>
        <v/>
      </c>
      <c r="P68" s="25">
        <f>IFERROR(IF(INDEX('ESG'!$O$10:$O$17,MATCH($F68,'ESG'!$B$10:$B$17,0))="","Cell will autofill based on response",INDEX('ESG'!$O$10:$O$17,MATCH($F68,'ESG'!$B$10:$B$17,0))),"N/A")</f>
        <v/>
      </c>
      <c r="Q68" s="25">
        <f>IFERROR(IF(INDEX('CIOG'!$O$10:$O$14,MATCH($F68,'CIOG'!$B$10:$B$14,0))="","Cell will autofill based on response",INDEX('CIOG'!$O$10:$O$14,MATCH($F68,'CIOG'!$B$10:$B$14,0))),"N/A")</f>
        <v/>
      </c>
      <c r="R68" s="25">
        <f>IFERROR(IF(INDEX('MRE'!$O$10:$O$12,MATCH($F68,'MRE'!$B$10:$B$12,0))="","Cell will autofill based on response",INDEX('MRE'!$O$10:$O$12,MATCH($F68,'MRE'!$B$10:$B$12,0))),"N/A")</f>
        <v/>
      </c>
      <c r="S68" s="25">
        <f>IFERROR(IF(INDEX('L&amp;R'!$O$10:$O$11,MATCH($F68,'L&amp;R'!$B$10:$B$11,0))="","Cell will autofill based on response",INDEX('L&amp;R'!$O$10:$O$11,MATCH($F68,'L&amp;R'!$B$10:$B$11,0))),"N/A")</f>
        <v/>
      </c>
    </row>
    <row r="69">
      <c r="A69">
        <f>F69&amp;"|"&amp;G69</f>
        <v/>
      </c>
      <c r="B69" s="29" t="inlineStr"/>
      <c r="C69" s="8" t="inlineStr"/>
      <c r="D69" s="8" t="inlineStr"/>
      <c r="E69" s="8" t="inlineStr"/>
      <c r="F69" s="8" t="inlineStr">
        <is>
          <t>TR2(b)</t>
        </is>
      </c>
      <c r="G69" s="8" t="inlineStr">
        <is>
          <t>Data source and limitations</t>
        </is>
      </c>
      <c r="H69" s="25">
        <f>IFERROR(IF(INDEX('Faculties'!$P$10:$P$30,MATCH($F69,'Faculties'!$B$10:$B$30,0))="","Cell will autofill based on response",INDEX('Faculties'!$P$10:$P$30,MATCH($F69,'Faculties'!$B$10:$B$30,0))),"N/A")</f>
        <v/>
      </c>
      <c r="I69" s="25">
        <f>IFERROR(IF(INDEX('Faculties'!$P$37:$P$57,MATCH($F69,'Faculties'!$B$37:$B$57,0))="","Cell will autofill based on response",INDEX('Faculties'!$P$37:$P$57,MATCH($F69,'Faculties'!$B$37:$B$57,0))),"N/A")</f>
        <v/>
      </c>
      <c r="J69" s="25">
        <f>IFERROR(IF(INDEX('Faculties'!$P$64:$P$84,MATCH($F69,'Faculties'!$B$64:$B$84,0))="","Cell will autofill based on response",INDEX('Faculties'!$P$64:$P$84,MATCH($F69,'Faculties'!$B$64:$B$84,0))),"N/A")</f>
        <v/>
      </c>
      <c r="K69" s="25">
        <f>IFERROR(IF(INDEX('Faculties'!$P$91:$P$111,MATCH($F69,'Faculties'!$B$91:$B$111,0))="","Cell will autofill based on response",INDEX('Faculties'!$P$91:$P$111,MATCH($F69,'Faculties'!$B$91:$B$111,0))),"N/A")</f>
        <v/>
      </c>
      <c r="L69" s="25">
        <f>IFERROR(IF(INDEX('CI&amp;S'!$P$10:$P$15,MATCH($F69,'CI&amp;S'!$B$10:$B$15,0))="","Cell will autofill based on response",INDEX('CI&amp;S'!$P$10:$P$15,MATCH($F69,'CI&amp;S'!$B$10:$B$15,0))),"N/A")</f>
        <v/>
      </c>
      <c r="M69" s="25">
        <f>IFERROR(IF(INDEX('CI&amp;S'!$P$22:$P$39,MATCH($F69,'CI&amp;S'!$B$22:$B$39,0))="","Cell will autofill based on response",INDEX('CI&amp;S'!$P$22:$P$39,MATCH($F69,'CI&amp;S'!$B$22:$B$39,0))),"N/A")</f>
        <v/>
      </c>
      <c r="N69" s="25">
        <f>IFERROR(IF(INDEX('CFOG'!$P$10:$P$16,MATCH($F69,'CFOG'!$B$10:$B$16,0))="","Cell will autofill based on response",INDEX('CFOG'!$P$10:$P$16,MATCH($F69,'CFOG'!$B$10:$B$16,0))),"N/A")</f>
        <v/>
      </c>
      <c r="O69" s="25">
        <f>IFERROR(IF(INDEX('CFOG'!$P$23:$P$24,MATCH($F69,'CFOG'!$B$23:$B$24,0))="","Cell will autofill based on response",INDEX('CFOG'!$P$23:$P$24,MATCH($F69,'CFOG'!$B$23:$B$24,0))),"N/A")</f>
        <v/>
      </c>
      <c r="P69" s="25">
        <f>IFERROR(IF(INDEX('ESG'!$P$10:$P$17,MATCH($F69,'ESG'!$B$10:$B$17,0))="","Cell will autofill based on response",INDEX('ESG'!$P$10:$P$17,MATCH($F69,'ESG'!$B$10:$B$17,0))),"N/A")</f>
        <v/>
      </c>
      <c r="Q69" s="25">
        <f>IFERROR(IF(INDEX('CIOG'!$P$10:$P$14,MATCH($F69,'CIOG'!$B$10:$B$14,0))="","Cell will autofill based on response",INDEX('CIOG'!$P$10:$P$14,MATCH($F69,'CIOG'!$B$10:$B$14,0))),"N/A")</f>
        <v/>
      </c>
      <c r="R69" s="25">
        <f>IFERROR(IF(INDEX('MRE'!$P$10:$P$12,MATCH($F69,'MRE'!$B$10:$B$12,0))="","Cell will autofill based on response",INDEX('MRE'!$P$10:$P$12,MATCH($F69,'MRE'!$B$10:$B$12,0))),"N/A")</f>
        <v/>
      </c>
      <c r="S69" s="25">
        <f>IFERROR(IF(INDEX('L&amp;R'!$P$10:$P$11,MATCH($F69,'L&amp;R'!$B$10:$B$11,0))="","Cell will autofill based on response",INDEX('L&amp;R'!$P$10:$P$11,MATCH($F69,'L&amp;R'!$B$10:$B$11,0))),"N/A")</f>
        <v/>
      </c>
    </row>
    <row r="70">
      <c r="A70">
        <f>F70&amp;"|"&amp;G70</f>
        <v/>
      </c>
      <c r="B70" s="29" t="inlineStr"/>
      <c r="C70" s="8" t="inlineStr"/>
      <c r="D70" s="8" t="inlineStr"/>
      <c r="E70" s="8" t="inlineStr"/>
      <c r="F70" s="8" t="inlineStr">
        <is>
          <t>TR2(b)</t>
        </is>
      </c>
      <c r="G70" s="8" t="inlineStr">
        <is>
          <t>Data owner confirms</t>
        </is>
      </c>
      <c r="H70" s="25">
        <f>IFERROR(IF(INDEX('Faculties'!$Q$10:$Q$30,MATCH($F70,'Faculties'!$B$10:$B$30,0))="","Cell will autofill based on response",INDEX('Faculties'!$Q$10:$Q$30,MATCH($F70,'Faculties'!$B$10:$B$30,0))),"N/A")</f>
        <v/>
      </c>
      <c r="I70" s="25">
        <f>IFERROR(IF(INDEX('Faculties'!$Q$37:$Q$57,MATCH($F70,'Faculties'!$B$37:$B$57,0))="","Cell will autofill based on response",INDEX('Faculties'!$Q$37:$Q$57,MATCH($F70,'Faculties'!$B$37:$B$57,0))),"N/A")</f>
        <v/>
      </c>
      <c r="J70" s="25">
        <f>IFERROR(IF(INDEX('Faculties'!$Q$64:$Q$84,MATCH($F70,'Faculties'!$B$64:$B$84,0))="","Cell will autofill based on response",INDEX('Faculties'!$Q$64:$Q$84,MATCH($F70,'Faculties'!$B$64:$B$84,0))),"N/A")</f>
        <v/>
      </c>
      <c r="K70" s="25">
        <f>IFERROR(IF(INDEX('Faculties'!$Q$91:$Q$111,MATCH($F70,'Faculties'!$B$91:$B$111,0))="","Cell will autofill based on response",INDEX('Faculties'!$Q$91:$Q$111,MATCH($F70,'Faculties'!$B$91:$B$111,0))),"N/A")</f>
        <v/>
      </c>
      <c r="L70" s="25">
        <f>IFERROR(IF(INDEX('CI&amp;S'!$Q$10:$Q$15,MATCH($F70,'CI&amp;S'!$B$10:$B$15,0))="","Cell will autofill based on response",INDEX('CI&amp;S'!$Q$10:$Q$15,MATCH($F70,'CI&amp;S'!$B$10:$B$15,0))),"N/A")</f>
        <v/>
      </c>
      <c r="M70" s="25">
        <f>IFERROR(IF(INDEX('CI&amp;S'!$Q$22:$Q$39,MATCH($F70,'CI&amp;S'!$B$22:$B$39,0))="","Cell will autofill based on response",INDEX('CI&amp;S'!$Q$22:$Q$39,MATCH($F70,'CI&amp;S'!$B$22:$B$39,0))),"N/A")</f>
        <v/>
      </c>
      <c r="N70" s="25">
        <f>IFERROR(IF(INDEX('CFOG'!$Q$10:$Q$16,MATCH($F70,'CFOG'!$B$10:$B$16,0))="","Cell will autofill based on response",INDEX('CFOG'!$Q$10:$Q$16,MATCH($F70,'CFOG'!$B$10:$B$16,0))),"N/A")</f>
        <v/>
      </c>
      <c r="O70" s="25">
        <f>IFERROR(IF(INDEX('CFOG'!$Q$23:$Q$24,MATCH($F70,'CFOG'!$B$23:$B$24,0))="","Cell will autofill based on response",INDEX('CFOG'!$Q$23:$Q$24,MATCH($F70,'CFOG'!$B$23:$B$24,0))),"N/A")</f>
        <v/>
      </c>
      <c r="P70" s="25">
        <f>IFERROR(IF(INDEX('ESG'!$Q$10:$Q$17,MATCH($F70,'ESG'!$B$10:$B$17,0))="","Cell will autofill based on response",INDEX('ESG'!$Q$10:$Q$17,MATCH($F70,'ESG'!$B$10:$B$17,0))),"N/A")</f>
        <v/>
      </c>
      <c r="Q70" s="25">
        <f>IFERROR(IF(INDEX('CIOG'!$Q$10:$Q$14,MATCH($F70,'CIOG'!$B$10:$B$14,0))="","Cell will autofill based on response",INDEX('CIOG'!$Q$10:$Q$14,MATCH($F70,'CIOG'!$B$10:$B$14,0))),"N/A")</f>
        <v/>
      </c>
      <c r="R70" s="25">
        <f>IFERROR(IF(INDEX('MRE'!$Q$10:$Q$12,MATCH($F70,'MRE'!$B$10:$B$12,0))="","Cell will autofill based on response",INDEX('MRE'!$Q$10:$Q$12,MATCH($F70,'MRE'!$B$10:$B$12,0))),"N/A")</f>
        <v/>
      </c>
      <c r="S70" s="25">
        <f>IFERROR(IF(INDEX('L&amp;R'!$Q$10:$Q$11,MATCH($F70,'L&amp;R'!$B$10:$B$11,0))="","Cell will autofill based on response",INDEX('L&amp;R'!$Q$10:$Q$11,MATCH($F70,'L&amp;R'!$B$10:$B$11,0))),"N/A")</f>
        <v/>
      </c>
    </row>
    <row r="71">
      <c r="A71">
        <f>F71&amp;"|"&amp;G71</f>
        <v/>
      </c>
      <c r="B71" s="7" t="inlineStr">
        <is>
          <t>TR2(c)</t>
        </is>
      </c>
      <c r="C71" s="12" t="inlineStr">
        <is>
          <t>Transformational research</t>
        </is>
      </c>
      <c r="D71" s="12" t="inlineStr">
        <is>
          <t>Expert-reviewed summary of sustainability-related research outputs, outcomes and influence using available institutional evidence sources</t>
        </is>
      </c>
      <c r="E71" s="12" t="inlineStr">
        <is>
          <t>currently mapped to the SDGs using SciVal</t>
        </is>
      </c>
      <c r="F71" s="12" t="inlineStr">
        <is>
          <t>TR2(c)</t>
        </is>
      </c>
      <c r="G71" s="12" t="inlineStr">
        <is>
          <t>Confirm end-2026 target status</t>
        </is>
      </c>
      <c r="H71" s="25">
        <f>IFERROR(IF(INDEX('Faculties'!$L$10:$L$30,MATCH($F71,'Faculties'!$B$10:$B$30,0))="","Cell will autofill based on response",INDEX('Faculties'!$L$10:$L$30,MATCH($F71,'Faculties'!$B$10:$B$30,0))),"N/A")</f>
        <v/>
      </c>
      <c r="I71" s="25">
        <f>IFERROR(IF(INDEX('Faculties'!$L$37:$L$57,MATCH($F71,'Faculties'!$B$37:$B$57,0))="","Cell will autofill based on response",INDEX('Faculties'!$L$37:$L$57,MATCH($F71,'Faculties'!$B$37:$B$57,0))),"N/A")</f>
        <v/>
      </c>
      <c r="J71" s="25">
        <f>IFERROR(IF(INDEX('Faculties'!$L$64:$L$84,MATCH($F71,'Faculties'!$B$64:$B$84,0))="","Cell will autofill based on response",INDEX('Faculties'!$L$64:$L$84,MATCH($F71,'Faculties'!$B$64:$B$84,0))),"N/A")</f>
        <v/>
      </c>
      <c r="K71" s="25">
        <f>IFERROR(IF(INDEX('Faculties'!$L$91:$L$111,MATCH($F71,'Faculties'!$B$91:$B$111,0))="","Cell will autofill based on response",INDEX('Faculties'!$L$91:$L$111,MATCH($F71,'Faculties'!$B$91:$B$111,0))),"N/A")</f>
        <v/>
      </c>
      <c r="L71" s="25">
        <f>IFERROR(IF(INDEX('CI&amp;S'!$L$10:$L$15,MATCH($F71,'CI&amp;S'!$B$10:$B$15,0))="","Cell will autofill based on response",INDEX('CI&amp;S'!$L$10:$L$15,MATCH($F71,'CI&amp;S'!$B$10:$B$15,0))),"N/A")</f>
        <v/>
      </c>
      <c r="M71" s="25">
        <f>IFERROR(IF(INDEX('CI&amp;S'!$L$22:$L$39,MATCH($F71,'CI&amp;S'!$B$22:$B$39,0))="","Cell will autofill based on response",INDEX('CI&amp;S'!$L$22:$L$39,MATCH($F71,'CI&amp;S'!$B$22:$B$39,0))),"N/A")</f>
        <v/>
      </c>
      <c r="N71" s="25">
        <f>IFERROR(IF(INDEX('CFOG'!$L$10:$L$16,MATCH($F71,'CFOG'!$B$10:$B$16,0))="","Cell will autofill based on response",INDEX('CFOG'!$L$10:$L$16,MATCH($F71,'CFOG'!$B$10:$B$16,0))),"N/A")</f>
        <v/>
      </c>
      <c r="O71" s="25">
        <f>IFERROR(IF(INDEX('CFOG'!$L$23:$L$24,MATCH($F71,'CFOG'!$B$23:$B$24,0))="","Cell will autofill based on response",INDEX('CFOG'!$L$23:$L$24,MATCH($F71,'CFOG'!$B$23:$B$24,0))),"N/A")</f>
        <v/>
      </c>
      <c r="P71" s="25">
        <f>IFERROR(IF(INDEX('ESG'!$L$10:$L$17,MATCH($F71,'ESG'!$B$10:$B$17,0))="","Cell will autofill based on response",INDEX('ESG'!$L$10:$L$17,MATCH($F71,'ESG'!$B$10:$B$17,0))),"N/A")</f>
        <v/>
      </c>
      <c r="Q71" s="25">
        <f>IFERROR(IF(INDEX('CIOG'!$L$10:$L$14,MATCH($F71,'CIOG'!$B$10:$B$14,0))="","Cell will autofill based on response",INDEX('CIOG'!$L$10:$L$14,MATCH($F71,'CIOG'!$B$10:$B$14,0))),"N/A")</f>
        <v/>
      </c>
      <c r="R71" s="25">
        <f>IFERROR(IF(INDEX('MRE'!$L$10:$L$12,MATCH($F71,'MRE'!$B$10:$B$12,0))="","Cell will autofill based on response",INDEX('MRE'!$L$10:$L$12,MATCH($F71,'MRE'!$B$10:$B$12,0))),"N/A")</f>
        <v/>
      </c>
      <c r="S71" s="25">
        <f>IFERROR(IF(INDEX('L&amp;R'!$L$10:$L$11,MATCH($F71,'L&amp;R'!$B$10:$B$11,0))="","Cell will autofill based on response",INDEX('L&amp;R'!$L$10:$L$11,MATCH($F71,'L&amp;R'!$B$10:$B$11,0))),"N/A")</f>
        <v/>
      </c>
      <c r="U71" s="26">
        <f>COUNTIF($H71:$S71,"Cell will autofill based on response")</f>
        <v/>
      </c>
      <c r="V71" s="26">
        <f>COUNTIF($H71:$S71,"Not yet started")</f>
        <v/>
      </c>
      <c r="W71" s="26">
        <f>COUNTIF($H71:$S71,"Not met")</f>
        <v/>
      </c>
      <c r="X71" s="26">
        <f>COUNTIF($H71:$S71,"Partially met")</f>
        <v/>
      </c>
      <c r="Y71" s="26">
        <f>COUNTIF($H71:$S71,"Met or exceeded")</f>
        <v/>
      </c>
      <c r="Z71" s="26">
        <f>3*Y71+2*X71+W71</f>
        <v/>
      </c>
      <c r="AA71" s="26">
        <f>Y71+X71+W71+V71</f>
        <v/>
      </c>
      <c r="AB71" s="27">
        <f>IF(AA71&gt;0,Z71/AA71,"No valid responses to date")</f>
        <v/>
      </c>
      <c r="AC71" s="26">
        <f>IF(ISNUMBER(AB71),INDEX(Lists!$G$2:$G$5,MATCH(ROUND(AB71,0),Lists!$H$2:$H$5,0)),"")</f>
        <v/>
      </c>
      <c r="AD71" s="28">
        <f>IF(AA71&gt;0,Y71/AA71,"")</f>
        <v/>
      </c>
      <c r="AE71" s="28">
        <f>IF(AA71&gt;0,(Y71+X71)/AA71,"")</f>
        <v/>
      </c>
      <c r="AF71" s="26">
        <f>IF(AA71=0,"",IF(AD71&gt;0.75,"Met or exceeded",IF(AE71&gt;=0.5,"Partially met","Not met")))</f>
        <v/>
      </c>
    </row>
    <row r="72">
      <c r="A72">
        <f>F72&amp;"|"&amp;G72</f>
        <v/>
      </c>
      <c r="B72" s="29" t="inlineStr"/>
      <c r="C72" s="8" t="inlineStr"/>
      <c r="D72" s="8" t="inlineStr"/>
      <c r="E72" s="8" t="inlineStr"/>
      <c r="F72" s="8" t="inlineStr">
        <is>
          <t>TR2(c)</t>
        </is>
      </c>
      <c r="G72" s="8" t="inlineStr">
        <is>
          <t>OPTION 1:  Target-level reporting</t>
        </is>
      </c>
      <c r="H72" s="25">
        <f>IFERROR(IF(INDEX('Faculties'!$M$10:$M$30,MATCH($F72,'Faculties'!$B$10:$B$30,0))="","Cell will autofill based on response",INDEX('Faculties'!$M$10:$M$30,MATCH($F72,'Faculties'!$B$10:$B$30,0))),"N/A")</f>
        <v/>
      </c>
      <c r="I72" s="25">
        <f>IFERROR(IF(INDEX('Faculties'!$M$37:$M$57,MATCH($F72,'Faculties'!$B$37:$B$57,0))="","Cell will autofill based on response",INDEX('Faculties'!$M$37:$M$57,MATCH($F72,'Faculties'!$B$37:$B$57,0))),"N/A")</f>
        <v/>
      </c>
      <c r="J72" s="25">
        <f>IFERROR(IF(INDEX('Faculties'!$M$64:$M$84,MATCH($F72,'Faculties'!$B$64:$B$84,0))="","Cell will autofill based on response",INDEX('Faculties'!$M$64:$M$84,MATCH($F72,'Faculties'!$B$64:$B$84,0))),"N/A")</f>
        <v/>
      </c>
      <c r="K72" s="25">
        <f>IFERROR(IF(INDEX('Faculties'!$M$91:$M$111,MATCH($F72,'Faculties'!$B$91:$B$111,0))="","Cell will autofill based on response",INDEX('Faculties'!$M$91:$M$111,MATCH($F72,'Faculties'!$B$91:$B$111,0))),"N/A")</f>
        <v/>
      </c>
      <c r="L72" s="25">
        <f>IFERROR(IF(INDEX('CI&amp;S'!$M$10:$M$15,MATCH($F72,'CI&amp;S'!$B$10:$B$15,0))="","Cell will autofill based on response",INDEX('CI&amp;S'!$M$10:$M$15,MATCH($F72,'CI&amp;S'!$B$10:$B$15,0))),"N/A")</f>
        <v/>
      </c>
      <c r="M72" s="25">
        <f>IFERROR(IF(INDEX('CI&amp;S'!$M$22:$M$39,MATCH($F72,'CI&amp;S'!$B$22:$B$39,0))="","Cell will autofill based on response",INDEX('CI&amp;S'!$M$22:$M$39,MATCH($F72,'CI&amp;S'!$B$22:$B$39,0))),"N/A")</f>
        <v/>
      </c>
      <c r="N72" s="25">
        <f>IFERROR(IF(INDEX('CFOG'!$M$10:$M$16,MATCH($F72,'CFOG'!$B$10:$B$16,0))="","Cell will autofill based on response",INDEX('CFOG'!$M$10:$M$16,MATCH($F72,'CFOG'!$B$10:$B$16,0))),"N/A")</f>
        <v/>
      </c>
      <c r="O72" s="25">
        <f>IFERROR(IF(INDEX('CFOG'!$M$23:$M$24,MATCH($F72,'CFOG'!$B$23:$B$24,0))="","Cell will autofill based on response",INDEX('CFOG'!$M$23:$M$24,MATCH($F72,'CFOG'!$B$23:$B$24,0))),"N/A")</f>
        <v/>
      </c>
      <c r="P72" s="25">
        <f>IFERROR(IF(INDEX('ESG'!$M$10:$M$17,MATCH($F72,'ESG'!$B$10:$B$17,0))="","Cell will autofill based on response",INDEX('ESG'!$M$10:$M$17,MATCH($F72,'ESG'!$B$10:$B$17,0))),"N/A")</f>
        <v/>
      </c>
      <c r="Q72" s="25">
        <f>IFERROR(IF(INDEX('CIOG'!$M$10:$M$14,MATCH($F72,'CIOG'!$B$10:$B$14,0))="","Cell will autofill based on response",INDEX('CIOG'!$M$10:$M$14,MATCH($F72,'CIOG'!$B$10:$B$14,0))),"N/A")</f>
        <v/>
      </c>
      <c r="R72" s="25">
        <f>IFERROR(IF(INDEX('MRE'!$M$10:$M$12,MATCH($F72,'MRE'!$B$10:$B$12,0))="","Cell will autofill based on response",INDEX('MRE'!$M$10:$M$12,MATCH($F72,'MRE'!$B$10:$B$12,0))),"N/A")</f>
        <v/>
      </c>
      <c r="S72" s="25">
        <f>IFERROR(IF(INDEX('L&amp;R'!$M$10:$M$11,MATCH($F72,'L&amp;R'!$B$10:$B$11,0))="","Cell will autofill based on response",INDEX('L&amp;R'!$M$10:$M$11,MATCH($F72,'L&amp;R'!$B$10:$B$11,0))),"N/A")</f>
        <v/>
      </c>
    </row>
    <row r="73">
      <c r="A73">
        <f>F73&amp;"|"&amp;G73</f>
        <v/>
      </c>
      <c r="B73" s="29" t="inlineStr"/>
      <c r="C73" s="8" t="inlineStr"/>
      <c r="D73" s="8" t="inlineStr"/>
      <c r="E73" s="8" t="inlineStr"/>
      <c r="F73" s="8" t="inlineStr">
        <is>
          <t>TR2(c)</t>
        </is>
      </c>
      <c r="G73" s="8" t="inlineStr">
        <is>
          <t>OPTION 2:  Indicator level reporting</t>
        </is>
      </c>
      <c r="H73" s="25">
        <f>IFERROR(IF(INDEX('Faculties'!$N$10:$N$30,MATCH($F73,'Faculties'!$B$10:$B$30,0))="","Cell will autofill based on response",INDEX('Faculties'!$N$10:$N$30,MATCH($F73,'Faculties'!$B$10:$B$30,0))),"N/A")</f>
        <v/>
      </c>
      <c r="I73" s="25">
        <f>IFERROR(IF(INDEX('Faculties'!$N$37:$N$57,MATCH($F73,'Faculties'!$B$37:$B$57,0))="","Cell will autofill based on response",INDEX('Faculties'!$N$37:$N$57,MATCH($F73,'Faculties'!$B$37:$B$57,0))),"N/A")</f>
        <v/>
      </c>
      <c r="J73" s="25">
        <f>IFERROR(IF(INDEX('Faculties'!$N$64:$N$84,MATCH($F73,'Faculties'!$B$64:$B$84,0))="","Cell will autofill based on response",INDEX('Faculties'!$N$64:$N$84,MATCH($F73,'Faculties'!$B$64:$B$84,0))),"N/A")</f>
        <v/>
      </c>
      <c r="K73" s="25">
        <f>IFERROR(IF(INDEX('Faculties'!$N$91:$N$111,MATCH($F73,'Faculties'!$B$91:$B$111,0))="","Cell will autofill based on response",INDEX('Faculties'!$N$91:$N$111,MATCH($F73,'Faculties'!$B$91:$B$111,0))),"N/A")</f>
        <v/>
      </c>
      <c r="L73" s="25">
        <f>IFERROR(IF(INDEX('CI&amp;S'!$N$10:$N$15,MATCH($F73,'CI&amp;S'!$B$10:$B$15,0))="","Cell will autofill based on response",INDEX('CI&amp;S'!$N$10:$N$15,MATCH($F73,'CI&amp;S'!$B$10:$B$15,0))),"N/A")</f>
        <v/>
      </c>
      <c r="M73" s="25">
        <f>IFERROR(IF(INDEX('CI&amp;S'!$N$22:$N$39,MATCH($F73,'CI&amp;S'!$B$22:$B$39,0))="","Cell will autofill based on response",INDEX('CI&amp;S'!$N$22:$N$39,MATCH($F73,'CI&amp;S'!$B$22:$B$39,0))),"N/A")</f>
        <v/>
      </c>
      <c r="N73" s="25">
        <f>IFERROR(IF(INDEX('CFOG'!$N$10:$N$16,MATCH($F73,'CFOG'!$B$10:$B$16,0))="","Cell will autofill based on response",INDEX('CFOG'!$N$10:$N$16,MATCH($F73,'CFOG'!$B$10:$B$16,0))),"N/A")</f>
        <v/>
      </c>
      <c r="O73" s="25">
        <f>IFERROR(IF(INDEX('CFOG'!$N$23:$N$24,MATCH($F73,'CFOG'!$B$23:$B$24,0))="","Cell will autofill based on response",INDEX('CFOG'!$N$23:$N$24,MATCH($F73,'CFOG'!$B$23:$B$24,0))),"N/A")</f>
        <v/>
      </c>
      <c r="P73" s="25">
        <f>IFERROR(IF(INDEX('ESG'!$N$10:$N$17,MATCH($F73,'ESG'!$B$10:$B$17,0))="","Cell will autofill based on response",INDEX('ESG'!$N$10:$N$17,MATCH($F73,'ESG'!$B$10:$B$17,0))),"N/A")</f>
        <v/>
      </c>
      <c r="Q73" s="25">
        <f>IFERROR(IF(INDEX('CIOG'!$N$10:$N$14,MATCH($F73,'CIOG'!$B$10:$B$14,0))="","Cell will autofill based on response",INDEX('CIOG'!$N$10:$N$14,MATCH($F73,'CIOG'!$B$10:$B$14,0))),"N/A")</f>
        <v/>
      </c>
      <c r="R73" s="25">
        <f>IFERROR(IF(INDEX('MRE'!$N$10:$N$12,MATCH($F73,'MRE'!$B$10:$B$12,0))="","Cell will autofill based on response",INDEX('MRE'!$N$10:$N$12,MATCH($F73,'MRE'!$B$10:$B$12,0))),"N/A")</f>
        <v/>
      </c>
      <c r="S73" s="25">
        <f>IFERROR(IF(INDEX('L&amp;R'!$N$10:$N$11,MATCH($F73,'L&amp;R'!$B$10:$B$11,0))="","Cell will autofill based on response",INDEX('L&amp;R'!$N$10:$N$11,MATCH($F73,'L&amp;R'!$B$10:$B$11,0))),"N/A")</f>
        <v/>
      </c>
    </row>
    <row r="74">
      <c r="A74">
        <f>F74&amp;"|"&amp;G74</f>
        <v/>
      </c>
      <c r="B74" s="29" t="inlineStr"/>
      <c r="C74" s="8" t="inlineStr"/>
      <c r="D74" s="8" t="inlineStr"/>
      <c r="E74" s="8" t="inlineStr"/>
      <c r="F74" s="8" t="inlineStr">
        <is>
          <t>TR2(c)</t>
        </is>
      </c>
      <c r="G74" s="8" t="inlineStr">
        <is>
          <t>Supporting information/comments</t>
        </is>
      </c>
      <c r="H74" s="25">
        <f>IFERROR(IF(INDEX('Faculties'!$O$10:$O$30,MATCH($F74,'Faculties'!$B$10:$B$30,0))="","Cell will autofill based on response",INDEX('Faculties'!$O$10:$O$30,MATCH($F74,'Faculties'!$B$10:$B$30,0))),"N/A")</f>
        <v/>
      </c>
      <c r="I74" s="25">
        <f>IFERROR(IF(INDEX('Faculties'!$O$37:$O$57,MATCH($F74,'Faculties'!$B$37:$B$57,0))="","Cell will autofill based on response",INDEX('Faculties'!$O$37:$O$57,MATCH($F74,'Faculties'!$B$37:$B$57,0))),"N/A")</f>
        <v/>
      </c>
      <c r="J74" s="25">
        <f>IFERROR(IF(INDEX('Faculties'!$O$64:$O$84,MATCH($F74,'Faculties'!$B$64:$B$84,0))="","Cell will autofill based on response",INDEX('Faculties'!$O$64:$O$84,MATCH($F74,'Faculties'!$B$64:$B$84,0))),"N/A")</f>
        <v/>
      </c>
      <c r="K74" s="25">
        <f>IFERROR(IF(INDEX('Faculties'!$O$91:$O$111,MATCH($F74,'Faculties'!$B$91:$B$111,0))="","Cell will autofill based on response",INDEX('Faculties'!$O$91:$O$111,MATCH($F74,'Faculties'!$B$91:$B$111,0))),"N/A")</f>
        <v/>
      </c>
      <c r="L74" s="25">
        <f>IFERROR(IF(INDEX('CI&amp;S'!$O$10:$O$15,MATCH($F74,'CI&amp;S'!$B$10:$B$15,0))="","Cell will autofill based on response",INDEX('CI&amp;S'!$O$10:$O$15,MATCH($F74,'CI&amp;S'!$B$10:$B$15,0))),"N/A")</f>
        <v/>
      </c>
      <c r="M74" s="25">
        <f>IFERROR(IF(INDEX('CI&amp;S'!$O$22:$O$39,MATCH($F74,'CI&amp;S'!$B$22:$B$39,0))="","Cell will autofill based on response",INDEX('CI&amp;S'!$O$22:$O$39,MATCH($F74,'CI&amp;S'!$B$22:$B$39,0))),"N/A")</f>
        <v/>
      </c>
      <c r="N74" s="25">
        <f>IFERROR(IF(INDEX('CFOG'!$O$10:$O$16,MATCH($F74,'CFOG'!$B$10:$B$16,0))="","Cell will autofill based on response",INDEX('CFOG'!$O$10:$O$16,MATCH($F74,'CFOG'!$B$10:$B$16,0))),"N/A")</f>
        <v/>
      </c>
      <c r="O74" s="25">
        <f>IFERROR(IF(INDEX('CFOG'!$O$23:$O$24,MATCH($F74,'CFOG'!$B$23:$B$24,0))="","Cell will autofill based on response",INDEX('CFOG'!$O$23:$O$24,MATCH($F74,'CFOG'!$B$23:$B$24,0))),"N/A")</f>
        <v/>
      </c>
      <c r="P74" s="25">
        <f>IFERROR(IF(INDEX('ESG'!$O$10:$O$17,MATCH($F74,'ESG'!$B$10:$B$17,0))="","Cell will autofill based on response",INDEX('ESG'!$O$10:$O$17,MATCH($F74,'ESG'!$B$10:$B$17,0))),"N/A")</f>
        <v/>
      </c>
      <c r="Q74" s="25">
        <f>IFERROR(IF(INDEX('CIOG'!$O$10:$O$14,MATCH($F74,'CIOG'!$B$10:$B$14,0))="","Cell will autofill based on response",INDEX('CIOG'!$O$10:$O$14,MATCH($F74,'CIOG'!$B$10:$B$14,0))),"N/A")</f>
        <v/>
      </c>
      <c r="R74" s="25">
        <f>IFERROR(IF(INDEX('MRE'!$O$10:$O$12,MATCH($F74,'MRE'!$B$10:$B$12,0))="","Cell will autofill based on response",INDEX('MRE'!$O$10:$O$12,MATCH($F74,'MRE'!$B$10:$B$12,0))),"N/A")</f>
        <v/>
      </c>
      <c r="S74" s="25">
        <f>IFERROR(IF(INDEX('L&amp;R'!$O$10:$O$11,MATCH($F74,'L&amp;R'!$B$10:$B$11,0))="","Cell will autofill based on response",INDEX('L&amp;R'!$O$10:$O$11,MATCH($F74,'L&amp;R'!$B$10:$B$11,0))),"N/A")</f>
        <v/>
      </c>
    </row>
    <row r="75">
      <c r="A75">
        <f>F75&amp;"|"&amp;G75</f>
        <v/>
      </c>
      <c r="B75" s="29" t="inlineStr"/>
      <c r="C75" s="8" t="inlineStr"/>
      <c r="D75" s="8" t="inlineStr"/>
      <c r="E75" s="8" t="inlineStr"/>
      <c r="F75" s="8" t="inlineStr">
        <is>
          <t>TR2(c)</t>
        </is>
      </c>
      <c r="G75" s="8" t="inlineStr">
        <is>
          <t>Data source and limitations</t>
        </is>
      </c>
      <c r="H75" s="25">
        <f>IFERROR(IF(INDEX('Faculties'!$P$10:$P$30,MATCH($F75,'Faculties'!$B$10:$B$30,0))="","Cell will autofill based on response",INDEX('Faculties'!$P$10:$P$30,MATCH($F75,'Faculties'!$B$10:$B$30,0))),"N/A")</f>
        <v/>
      </c>
      <c r="I75" s="25">
        <f>IFERROR(IF(INDEX('Faculties'!$P$37:$P$57,MATCH($F75,'Faculties'!$B$37:$B$57,0))="","Cell will autofill based on response",INDEX('Faculties'!$P$37:$P$57,MATCH($F75,'Faculties'!$B$37:$B$57,0))),"N/A")</f>
        <v/>
      </c>
      <c r="J75" s="25">
        <f>IFERROR(IF(INDEX('Faculties'!$P$64:$P$84,MATCH($F75,'Faculties'!$B$64:$B$84,0))="","Cell will autofill based on response",INDEX('Faculties'!$P$64:$P$84,MATCH($F75,'Faculties'!$B$64:$B$84,0))),"N/A")</f>
        <v/>
      </c>
      <c r="K75" s="25">
        <f>IFERROR(IF(INDEX('Faculties'!$P$91:$P$111,MATCH($F75,'Faculties'!$B$91:$B$111,0))="","Cell will autofill based on response",INDEX('Faculties'!$P$91:$P$111,MATCH($F75,'Faculties'!$B$91:$B$111,0))),"N/A")</f>
        <v/>
      </c>
      <c r="L75" s="25">
        <f>IFERROR(IF(INDEX('CI&amp;S'!$P$10:$P$15,MATCH($F75,'CI&amp;S'!$B$10:$B$15,0))="","Cell will autofill based on response",INDEX('CI&amp;S'!$P$10:$P$15,MATCH($F75,'CI&amp;S'!$B$10:$B$15,0))),"N/A")</f>
        <v/>
      </c>
      <c r="M75" s="25">
        <f>IFERROR(IF(INDEX('CI&amp;S'!$P$22:$P$39,MATCH($F75,'CI&amp;S'!$B$22:$B$39,0))="","Cell will autofill based on response",INDEX('CI&amp;S'!$P$22:$P$39,MATCH($F75,'CI&amp;S'!$B$22:$B$39,0))),"N/A")</f>
        <v/>
      </c>
      <c r="N75" s="25">
        <f>IFERROR(IF(INDEX('CFOG'!$P$10:$P$16,MATCH($F75,'CFOG'!$B$10:$B$16,0))="","Cell will autofill based on response",INDEX('CFOG'!$P$10:$P$16,MATCH($F75,'CFOG'!$B$10:$B$16,0))),"N/A")</f>
        <v/>
      </c>
      <c r="O75" s="25">
        <f>IFERROR(IF(INDEX('CFOG'!$P$23:$P$24,MATCH($F75,'CFOG'!$B$23:$B$24,0))="","Cell will autofill based on response",INDEX('CFOG'!$P$23:$P$24,MATCH($F75,'CFOG'!$B$23:$B$24,0))),"N/A")</f>
        <v/>
      </c>
      <c r="P75" s="25">
        <f>IFERROR(IF(INDEX('ESG'!$P$10:$P$17,MATCH($F75,'ESG'!$B$10:$B$17,0))="","Cell will autofill based on response",INDEX('ESG'!$P$10:$P$17,MATCH($F75,'ESG'!$B$10:$B$17,0))),"N/A")</f>
        <v/>
      </c>
      <c r="Q75" s="25">
        <f>IFERROR(IF(INDEX('CIOG'!$P$10:$P$14,MATCH($F75,'CIOG'!$B$10:$B$14,0))="","Cell will autofill based on response",INDEX('CIOG'!$P$10:$P$14,MATCH($F75,'CIOG'!$B$10:$B$14,0))),"N/A")</f>
        <v/>
      </c>
      <c r="R75" s="25">
        <f>IFERROR(IF(INDEX('MRE'!$P$10:$P$12,MATCH($F75,'MRE'!$B$10:$B$12,0))="","Cell will autofill based on response",INDEX('MRE'!$P$10:$P$12,MATCH($F75,'MRE'!$B$10:$B$12,0))),"N/A")</f>
        <v/>
      </c>
      <c r="S75" s="25">
        <f>IFERROR(IF(INDEX('L&amp;R'!$P$10:$P$11,MATCH($F75,'L&amp;R'!$B$10:$B$11,0))="","Cell will autofill based on response",INDEX('L&amp;R'!$P$10:$P$11,MATCH($F75,'L&amp;R'!$B$10:$B$11,0))),"N/A")</f>
        <v/>
      </c>
    </row>
    <row r="76">
      <c r="A76">
        <f>F76&amp;"|"&amp;G76</f>
        <v/>
      </c>
      <c r="B76" s="29" t="inlineStr"/>
      <c r="C76" s="8" t="inlineStr"/>
      <c r="D76" s="8" t="inlineStr"/>
      <c r="E76" s="8" t="inlineStr"/>
      <c r="F76" s="8" t="inlineStr">
        <is>
          <t>TR2(c)</t>
        </is>
      </c>
      <c r="G76" s="8" t="inlineStr">
        <is>
          <t>Data owner confirms</t>
        </is>
      </c>
      <c r="H76" s="25">
        <f>IFERROR(IF(INDEX('Faculties'!$Q$10:$Q$30,MATCH($F76,'Faculties'!$B$10:$B$30,0))="","Cell will autofill based on response",INDEX('Faculties'!$Q$10:$Q$30,MATCH($F76,'Faculties'!$B$10:$B$30,0))),"N/A")</f>
        <v/>
      </c>
      <c r="I76" s="25">
        <f>IFERROR(IF(INDEX('Faculties'!$Q$37:$Q$57,MATCH($F76,'Faculties'!$B$37:$B$57,0))="","Cell will autofill based on response",INDEX('Faculties'!$Q$37:$Q$57,MATCH($F76,'Faculties'!$B$37:$B$57,0))),"N/A")</f>
        <v/>
      </c>
      <c r="J76" s="25">
        <f>IFERROR(IF(INDEX('Faculties'!$Q$64:$Q$84,MATCH($F76,'Faculties'!$B$64:$B$84,0))="","Cell will autofill based on response",INDEX('Faculties'!$Q$64:$Q$84,MATCH($F76,'Faculties'!$B$64:$B$84,0))),"N/A")</f>
        <v/>
      </c>
      <c r="K76" s="25">
        <f>IFERROR(IF(INDEX('Faculties'!$Q$91:$Q$111,MATCH($F76,'Faculties'!$B$91:$B$111,0))="","Cell will autofill based on response",INDEX('Faculties'!$Q$91:$Q$111,MATCH($F76,'Faculties'!$B$91:$B$111,0))),"N/A")</f>
        <v/>
      </c>
      <c r="L76" s="25">
        <f>IFERROR(IF(INDEX('CI&amp;S'!$Q$10:$Q$15,MATCH($F76,'CI&amp;S'!$B$10:$B$15,0))="","Cell will autofill based on response",INDEX('CI&amp;S'!$Q$10:$Q$15,MATCH($F76,'CI&amp;S'!$B$10:$B$15,0))),"N/A")</f>
        <v/>
      </c>
      <c r="M76" s="25">
        <f>IFERROR(IF(INDEX('CI&amp;S'!$Q$22:$Q$39,MATCH($F76,'CI&amp;S'!$B$22:$B$39,0))="","Cell will autofill based on response",INDEX('CI&amp;S'!$Q$22:$Q$39,MATCH($F76,'CI&amp;S'!$B$22:$B$39,0))),"N/A")</f>
        <v/>
      </c>
      <c r="N76" s="25">
        <f>IFERROR(IF(INDEX('CFOG'!$Q$10:$Q$16,MATCH($F76,'CFOG'!$B$10:$B$16,0))="","Cell will autofill based on response",INDEX('CFOG'!$Q$10:$Q$16,MATCH($F76,'CFOG'!$B$10:$B$16,0))),"N/A")</f>
        <v/>
      </c>
      <c r="O76" s="25">
        <f>IFERROR(IF(INDEX('CFOG'!$Q$23:$Q$24,MATCH($F76,'CFOG'!$B$23:$B$24,0))="","Cell will autofill based on response",INDEX('CFOG'!$Q$23:$Q$24,MATCH($F76,'CFOG'!$B$23:$B$24,0))),"N/A")</f>
        <v/>
      </c>
      <c r="P76" s="25">
        <f>IFERROR(IF(INDEX('ESG'!$Q$10:$Q$17,MATCH($F76,'ESG'!$B$10:$B$17,0))="","Cell will autofill based on response",INDEX('ESG'!$Q$10:$Q$17,MATCH($F76,'ESG'!$B$10:$B$17,0))),"N/A")</f>
        <v/>
      </c>
      <c r="Q76" s="25">
        <f>IFERROR(IF(INDEX('CIOG'!$Q$10:$Q$14,MATCH($F76,'CIOG'!$B$10:$B$14,0))="","Cell will autofill based on response",INDEX('CIOG'!$Q$10:$Q$14,MATCH($F76,'CIOG'!$B$10:$B$14,0))),"N/A")</f>
        <v/>
      </c>
      <c r="R76" s="25">
        <f>IFERROR(IF(INDEX('MRE'!$Q$10:$Q$12,MATCH($F76,'MRE'!$B$10:$B$12,0))="","Cell will autofill based on response",INDEX('MRE'!$Q$10:$Q$12,MATCH($F76,'MRE'!$B$10:$B$12,0))),"N/A")</f>
        <v/>
      </c>
      <c r="S76" s="25">
        <f>IFERROR(IF(INDEX('L&amp;R'!$Q$10:$Q$11,MATCH($F76,'L&amp;R'!$B$10:$B$11,0))="","Cell will autofill based on response",INDEX('L&amp;R'!$Q$10:$Q$11,MATCH($F76,'L&amp;R'!$B$10:$B$11,0))),"N/A")</f>
        <v/>
      </c>
    </row>
    <row r="77">
      <c r="A77">
        <f>F77&amp;"|"&amp;G77</f>
        <v/>
      </c>
      <c r="B77" s="7" t="inlineStr">
        <is>
          <t>TR2(d)</t>
        </is>
      </c>
      <c r="C77" s="12" t="inlineStr">
        <is>
          <t>Transformational research</t>
        </is>
      </c>
      <c r="D77" s="12" t="inlineStr">
        <is>
          <t>Case-based evidence demonstrating how research has contributed to meaningful sustainability outcomes.</t>
        </is>
      </c>
      <c r="E77"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7" s="12" t="inlineStr">
        <is>
          <t>TR2(d)</t>
        </is>
      </c>
      <c r="G77" s="12" t="inlineStr">
        <is>
          <t>Confirm end-2026 target status</t>
        </is>
      </c>
      <c r="H77" s="25">
        <f>IFERROR(IF(INDEX('Faculties'!$L$10:$L$30,MATCH($F77,'Faculties'!$B$10:$B$30,0))="","Cell will autofill based on response",INDEX('Faculties'!$L$10:$L$30,MATCH($F77,'Faculties'!$B$10:$B$30,0))),"N/A")</f>
        <v/>
      </c>
      <c r="I77" s="25">
        <f>IFERROR(IF(INDEX('Faculties'!$L$37:$L$57,MATCH($F77,'Faculties'!$B$37:$B$57,0))="","Cell will autofill based on response",INDEX('Faculties'!$L$37:$L$57,MATCH($F77,'Faculties'!$B$37:$B$57,0))),"N/A")</f>
        <v/>
      </c>
      <c r="J77" s="25">
        <f>IFERROR(IF(INDEX('Faculties'!$L$64:$L$84,MATCH($F77,'Faculties'!$B$64:$B$84,0))="","Cell will autofill based on response",INDEX('Faculties'!$L$64:$L$84,MATCH($F77,'Faculties'!$B$64:$B$84,0))),"N/A")</f>
        <v/>
      </c>
      <c r="K77" s="25">
        <f>IFERROR(IF(INDEX('Faculties'!$L$91:$L$111,MATCH($F77,'Faculties'!$B$91:$B$111,0))="","Cell will autofill based on response",INDEX('Faculties'!$L$91:$L$111,MATCH($F77,'Faculties'!$B$91:$B$111,0))),"N/A")</f>
        <v/>
      </c>
      <c r="L77" s="25">
        <f>IFERROR(IF(INDEX('CI&amp;S'!$L$10:$L$15,MATCH($F77,'CI&amp;S'!$B$10:$B$15,0))="","Cell will autofill based on response",INDEX('CI&amp;S'!$L$10:$L$15,MATCH($F77,'CI&amp;S'!$B$10:$B$15,0))),"N/A")</f>
        <v/>
      </c>
      <c r="M77" s="25">
        <f>IFERROR(IF(INDEX('CI&amp;S'!$L$22:$L$39,MATCH($F77,'CI&amp;S'!$B$22:$B$39,0))="","Cell will autofill based on response",INDEX('CI&amp;S'!$L$22:$L$39,MATCH($F77,'CI&amp;S'!$B$22:$B$39,0))),"N/A")</f>
        <v/>
      </c>
      <c r="N77" s="25">
        <f>IFERROR(IF(INDEX('CFOG'!$L$10:$L$16,MATCH($F77,'CFOG'!$B$10:$B$16,0))="","Cell will autofill based on response",INDEX('CFOG'!$L$10:$L$16,MATCH($F77,'CFOG'!$B$10:$B$16,0))),"N/A")</f>
        <v/>
      </c>
      <c r="O77" s="25">
        <f>IFERROR(IF(INDEX('CFOG'!$L$23:$L$24,MATCH($F77,'CFOG'!$B$23:$B$24,0))="","Cell will autofill based on response",INDEX('CFOG'!$L$23:$L$24,MATCH($F77,'CFOG'!$B$23:$B$24,0))),"N/A")</f>
        <v/>
      </c>
      <c r="P77" s="25">
        <f>IFERROR(IF(INDEX('ESG'!$L$10:$L$17,MATCH($F77,'ESG'!$B$10:$B$17,0))="","Cell will autofill based on response",INDEX('ESG'!$L$10:$L$17,MATCH($F77,'ESG'!$B$10:$B$17,0))),"N/A")</f>
        <v/>
      </c>
      <c r="Q77" s="25">
        <f>IFERROR(IF(INDEX('CIOG'!$L$10:$L$14,MATCH($F77,'CIOG'!$B$10:$B$14,0))="","Cell will autofill based on response",INDEX('CIOG'!$L$10:$L$14,MATCH($F77,'CIOG'!$B$10:$B$14,0))),"N/A")</f>
        <v/>
      </c>
      <c r="R77" s="25">
        <f>IFERROR(IF(INDEX('MRE'!$L$10:$L$12,MATCH($F77,'MRE'!$B$10:$B$12,0))="","Cell will autofill based on response",INDEX('MRE'!$L$10:$L$12,MATCH($F77,'MRE'!$B$10:$B$12,0))),"N/A")</f>
        <v/>
      </c>
      <c r="S77" s="25">
        <f>IFERROR(IF(INDEX('L&amp;R'!$L$10:$L$11,MATCH($F77,'L&amp;R'!$B$10:$B$11,0))="","Cell will autofill based on response",INDEX('L&amp;R'!$L$10:$L$11,MATCH($F77,'L&amp;R'!$B$10:$B$11,0))),"N/A")</f>
        <v/>
      </c>
      <c r="U77" s="26">
        <f>COUNTIF($H77:$S77,"Cell will autofill based on response")</f>
        <v/>
      </c>
      <c r="V77" s="26">
        <f>COUNTIF($H77:$S77,"Not yet started")</f>
        <v/>
      </c>
      <c r="W77" s="26">
        <f>COUNTIF($H77:$S77,"Not met")</f>
        <v/>
      </c>
      <c r="X77" s="26">
        <f>COUNTIF($H77:$S77,"Partially met")</f>
        <v/>
      </c>
      <c r="Y77" s="26">
        <f>COUNTIF($H77:$S77,"Met or exceeded")</f>
        <v/>
      </c>
      <c r="Z77" s="26">
        <f>3*Y77+2*X77+W77</f>
        <v/>
      </c>
      <c r="AA77" s="26">
        <f>Y77+X77+W77+V77</f>
        <v/>
      </c>
      <c r="AB77" s="27">
        <f>IF(AA77&gt;0,Z77/AA77,"No valid responses to date")</f>
        <v/>
      </c>
      <c r="AC77" s="26">
        <f>IF(ISNUMBER(AB77),INDEX(Lists!$G$2:$G$5,MATCH(ROUND(AB77,0),Lists!$H$2:$H$5,0)),"")</f>
        <v/>
      </c>
      <c r="AD77" s="28">
        <f>IF(AA77&gt;0,Y77/AA77,"")</f>
        <v/>
      </c>
      <c r="AE77" s="28">
        <f>IF(AA77&gt;0,(Y77+X77)/AA77,"")</f>
        <v/>
      </c>
      <c r="AF77" s="26">
        <f>IF(AA77=0,"",IF(AD77&gt;0.75,"Met or exceeded",IF(AE77&gt;=0.5,"Partially met","Not met")))</f>
        <v/>
      </c>
    </row>
    <row r="78">
      <c r="A78">
        <f>F78&amp;"|"&amp;G78</f>
        <v/>
      </c>
      <c r="B78" s="29" t="inlineStr"/>
      <c r="C78" s="8" t="inlineStr"/>
      <c r="D78" s="8" t="inlineStr"/>
      <c r="E78" s="8" t="inlineStr"/>
      <c r="F78" s="8" t="inlineStr">
        <is>
          <t>TR2(d)</t>
        </is>
      </c>
      <c r="G78" s="8" t="inlineStr">
        <is>
          <t>OPTION 1:  Target-level reporting</t>
        </is>
      </c>
      <c r="H78" s="25">
        <f>IFERROR(IF(INDEX('Faculties'!$M$10:$M$30,MATCH($F78,'Faculties'!$B$10:$B$30,0))="","Cell will autofill based on response",INDEX('Faculties'!$M$10:$M$30,MATCH($F78,'Faculties'!$B$10:$B$30,0))),"N/A")</f>
        <v/>
      </c>
      <c r="I78" s="25">
        <f>IFERROR(IF(INDEX('Faculties'!$M$37:$M$57,MATCH($F78,'Faculties'!$B$37:$B$57,0))="","Cell will autofill based on response",INDEX('Faculties'!$M$37:$M$57,MATCH($F78,'Faculties'!$B$37:$B$57,0))),"N/A")</f>
        <v/>
      </c>
      <c r="J78" s="25">
        <f>IFERROR(IF(INDEX('Faculties'!$M$64:$M$84,MATCH($F78,'Faculties'!$B$64:$B$84,0))="","Cell will autofill based on response",INDEX('Faculties'!$M$64:$M$84,MATCH($F78,'Faculties'!$B$64:$B$84,0))),"N/A")</f>
        <v/>
      </c>
      <c r="K78" s="25">
        <f>IFERROR(IF(INDEX('Faculties'!$M$91:$M$111,MATCH($F78,'Faculties'!$B$91:$B$111,0))="","Cell will autofill based on response",INDEX('Faculties'!$M$91:$M$111,MATCH($F78,'Faculties'!$B$91:$B$111,0))),"N/A")</f>
        <v/>
      </c>
      <c r="L78" s="25">
        <f>IFERROR(IF(INDEX('CI&amp;S'!$M$10:$M$15,MATCH($F78,'CI&amp;S'!$B$10:$B$15,0))="","Cell will autofill based on response",INDEX('CI&amp;S'!$M$10:$M$15,MATCH($F78,'CI&amp;S'!$B$10:$B$15,0))),"N/A")</f>
        <v/>
      </c>
      <c r="M78" s="25">
        <f>IFERROR(IF(INDEX('CI&amp;S'!$M$22:$M$39,MATCH($F78,'CI&amp;S'!$B$22:$B$39,0))="","Cell will autofill based on response",INDEX('CI&amp;S'!$M$22:$M$39,MATCH($F78,'CI&amp;S'!$B$22:$B$39,0))),"N/A")</f>
        <v/>
      </c>
      <c r="N78" s="25">
        <f>IFERROR(IF(INDEX('CFOG'!$M$10:$M$16,MATCH($F78,'CFOG'!$B$10:$B$16,0))="","Cell will autofill based on response",INDEX('CFOG'!$M$10:$M$16,MATCH($F78,'CFOG'!$B$10:$B$16,0))),"N/A")</f>
        <v/>
      </c>
      <c r="O78" s="25">
        <f>IFERROR(IF(INDEX('CFOG'!$M$23:$M$24,MATCH($F78,'CFOG'!$B$23:$B$24,0))="","Cell will autofill based on response",INDEX('CFOG'!$M$23:$M$24,MATCH($F78,'CFOG'!$B$23:$B$24,0))),"N/A")</f>
        <v/>
      </c>
      <c r="P78" s="25">
        <f>IFERROR(IF(INDEX('ESG'!$M$10:$M$17,MATCH($F78,'ESG'!$B$10:$B$17,0))="","Cell will autofill based on response",INDEX('ESG'!$M$10:$M$17,MATCH($F78,'ESG'!$B$10:$B$17,0))),"N/A")</f>
        <v/>
      </c>
      <c r="Q78" s="25">
        <f>IFERROR(IF(INDEX('CIOG'!$M$10:$M$14,MATCH($F78,'CIOG'!$B$10:$B$14,0))="","Cell will autofill based on response",INDEX('CIOG'!$M$10:$M$14,MATCH($F78,'CIOG'!$B$10:$B$14,0))),"N/A")</f>
        <v/>
      </c>
      <c r="R78" s="25">
        <f>IFERROR(IF(INDEX('MRE'!$M$10:$M$12,MATCH($F78,'MRE'!$B$10:$B$12,0))="","Cell will autofill based on response",INDEX('MRE'!$M$10:$M$12,MATCH($F78,'MRE'!$B$10:$B$12,0))),"N/A")</f>
        <v/>
      </c>
      <c r="S78" s="25">
        <f>IFERROR(IF(INDEX('L&amp;R'!$M$10:$M$11,MATCH($F78,'L&amp;R'!$B$10:$B$11,0))="","Cell will autofill based on response",INDEX('L&amp;R'!$M$10:$M$11,MATCH($F78,'L&amp;R'!$B$10:$B$11,0))),"N/A")</f>
        <v/>
      </c>
    </row>
    <row r="79">
      <c r="A79">
        <f>F79&amp;"|"&amp;G79</f>
        <v/>
      </c>
      <c r="B79" s="29" t="inlineStr"/>
      <c r="C79" s="8" t="inlineStr"/>
      <c r="D79" s="8" t="inlineStr"/>
      <c r="E79" s="8" t="inlineStr"/>
      <c r="F79" s="8" t="inlineStr">
        <is>
          <t>TR2(d)</t>
        </is>
      </c>
      <c r="G79" s="8" t="inlineStr">
        <is>
          <t>OPTION 2:  Indicator level reporting</t>
        </is>
      </c>
      <c r="H79" s="25">
        <f>IFERROR(IF(INDEX('Faculties'!$N$10:$N$30,MATCH($F79,'Faculties'!$B$10:$B$30,0))="","Cell will autofill based on response",INDEX('Faculties'!$N$10:$N$30,MATCH($F79,'Faculties'!$B$10:$B$30,0))),"N/A")</f>
        <v/>
      </c>
      <c r="I79" s="25">
        <f>IFERROR(IF(INDEX('Faculties'!$N$37:$N$57,MATCH($F79,'Faculties'!$B$37:$B$57,0))="","Cell will autofill based on response",INDEX('Faculties'!$N$37:$N$57,MATCH($F79,'Faculties'!$B$37:$B$57,0))),"N/A")</f>
        <v/>
      </c>
      <c r="J79" s="25">
        <f>IFERROR(IF(INDEX('Faculties'!$N$64:$N$84,MATCH($F79,'Faculties'!$B$64:$B$84,0))="","Cell will autofill based on response",INDEX('Faculties'!$N$64:$N$84,MATCH($F79,'Faculties'!$B$64:$B$84,0))),"N/A")</f>
        <v/>
      </c>
      <c r="K79" s="25">
        <f>IFERROR(IF(INDEX('Faculties'!$N$91:$N$111,MATCH($F79,'Faculties'!$B$91:$B$111,0))="","Cell will autofill based on response",INDEX('Faculties'!$N$91:$N$111,MATCH($F79,'Faculties'!$B$91:$B$111,0))),"N/A")</f>
        <v/>
      </c>
      <c r="L79" s="25">
        <f>IFERROR(IF(INDEX('CI&amp;S'!$N$10:$N$15,MATCH($F79,'CI&amp;S'!$B$10:$B$15,0))="","Cell will autofill based on response",INDEX('CI&amp;S'!$N$10:$N$15,MATCH($F79,'CI&amp;S'!$B$10:$B$15,0))),"N/A")</f>
        <v/>
      </c>
      <c r="M79" s="25">
        <f>IFERROR(IF(INDEX('CI&amp;S'!$N$22:$N$39,MATCH($F79,'CI&amp;S'!$B$22:$B$39,0))="","Cell will autofill based on response",INDEX('CI&amp;S'!$N$22:$N$39,MATCH($F79,'CI&amp;S'!$B$22:$B$39,0))),"N/A")</f>
        <v/>
      </c>
      <c r="N79" s="25">
        <f>IFERROR(IF(INDEX('CFOG'!$N$10:$N$16,MATCH($F79,'CFOG'!$B$10:$B$16,0))="","Cell will autofill based on response",INDEX('CFOG'!$N$10:$N$16,MATCH($F79,'CFOG'!$B$10:$B$16,0))),"N/A")</f>
        <v/>
      </c>
      <c r="O79" s="25">
        <f>IFERROR(IF(INDEX('CFOG'!$N$23:$N$24,MATCH($F79,'CFOG'!$B$23:$B$24,0))="","Cell will autofill based on response",INDEX('CFOG'!$N$23:$N$24,MATCH($F79,'CFOG'!$B$23:$B$24,0))),"N/A")</f>
        <v/>
      </c>
      <c r="P79" s="25">
        <f>IFERROR(IF(INDEX('ESG'!$N$10:$N$17,MATCH($F79,'ESG'!$B$10:$B$17,0))="","Cell will autofill based on response",INDEX('ESG'!$N$10:$N$17,MATCH($F79,'ESG'!$B$10:$B$17,0))),"N/A")</f>
        <v/>
      </c>
      <c r="Q79" s="25">
        <f>IFERROR(IF(INDEX('CIOG'!$N$10:$N$14,MATCH($F79,'CIOG'!$B$10:$B$14,0))="","Cell will autofill based on response",INDEX('CIOG'!$N$10:$N$14,MATCH($F79,'CIOG'!$B$10:$B$14,0))),"N/A")</f>
        <v/>
      </c>
      <c r="R79" s="25">
        <f>IFERROR(IF(INDEX('MRE'!$N$10:$N$12,MATCH($F79,'MRE'!$B$10:$B$12,0))="","Cell will autofill based on response",INDEX('MRE'!$N$10:$N$12,MATCH($F79,'MRE'!$B$10:$B$12,0))),"N/A")</f>
        <v/>
      </c>
      <c r="S79" s="25">
        <f>IFERROR(IF(INDEX('L&amp;R'!$N$10:$N$11,MATCH($F79,'L&amp;R'!$B$10:$B$11,0))="","Cell will autofill based on response",INDEX('L&amp;R'!$N$10:$N$11,MATCH($F79,'L&amp;R'!$B$10:$B$11,0))),"N/A")</f>
        <v/>
      </c>
    </row>
    <row r="80">
      <c r="A80">
        <f>F80&amp;"|"&amp;G80</f>
        <v/>
      </c>
      <c r="B80" s="29" t="inlineStr"/>
      <c r="C80" s="8" t="inlineStr"/>
      <c r="D80" s="8" t="inlineStr"/>
      <c r="E80" s="8" t="inlineStr"/>
      <c r="F80" s="8" t="inlineStr">
        <is>
          <t>TR2(d)</t>
        </is>
      </c>
      <c r="G80" s="8" t="inlineStr">
        <is>
          <t>Supporting information/comments</t>
        </is>
      </c>
      <c r="H80" s="25">
        <f>IFERROR(IF(INDEX('Faculties'!$O$10:$O$30,MATCH($F80,'Faculties'!$B$10:$B$30,0))="","Cell will autofill based on response",INDEX('Faculties'!$O$10:$O$30,MATCH($F80,'Faculties'!$B$10:$B$30,0))),"N/A")</f>
        <v/>
      </c>
      <c r="I80" s="25">
        <f>IFERROR(IF(INDEX('Faculties'!$O$37:$O$57,MATCH($F80,'Faculties'!$B$37:$B$57,0))="","Cell will autofill based on response",INDEX('Faculties'!$O$37:$O$57,MATCH($F80,'Faculties'!$B$37:$B$57,0))),"N/A")</f>
        <v/>
      </c>
      <c r="J80" s="25">
        <f>IFERROR(IF(INDEX('Faculties'!$O$64:$O$84,MATCH($F80,'Faculties'!$B$64:$B$84,0))="","Cell will autofill based on response",INDEX('Faculties'!$O$64:$O$84,MATCH($F80,'Faculties'!$B$64:$B$84,0))),"N/A")</f>
        <v/>
      </c>
      <c r="K80" s="25">
        <f>IFERROR(IF(INDEX('Faculties'!$O$91:$O$111,MATCH($F80,'Faculties'!$B$91:$B$111,0))="","Cell will autofill based on response",INDEX('Faculties'!$O$91:$O$111,MATCH($F80,'Faculties'!$B$91:$B$111,0))),"N/A")</f>
        <v/>
      </c>
      <c r="L80" s="25">
        <f>IFERROR(IF(INDEX('CI&amp;S'!$O$10:$O$15,MATCH($F80,'CI&amp;S'!$B$10:$B$15,0))="","Cell will autofill based on response",INDEX('CI&amp;S'!$O$10:$O$15,MATCH($F80,'CI&amp;S'!$B$10:$B$15,0))),"N/A")</f>
        <v/>
      </c>
      <c r="M80" s="25">
        <f>IFERROR(IF(INDEX('CI&amp;S'!$O$22:$O$39,MATCH($F80,'CI&amp;S'!$B$22:$B$39,0))="","Cell will autofill based on response",INDEX('CI&amp;S'!$O$22:$O$39,MATCH($F80,'CI&amp;S'!$B$22:$B$39,0))),"N/A")</f>
        <v/>
      </c>
      <c r="N80" s="25">
        <f>IFERROR(IF(INDEX('CFOG'!$O$10:$O$16,MATCH($F80,'CFOG'!$B$10:$B$16,0))="","Cell will autofill based on response",INDEX('CFOG'!$O$10:$O$16,MATCH($F80,'CFOG'!$B$10:$B$16,0))),"N/A")</f>
        <v/>
      </c>
      <c r="O80" s="25">
        <f>IFERROR(IF(INDEX('CFOG'!$O$23:$O$24,MATCH($F80,'CFOG'!$B$23:$B$24,0))="","Cell will autofill based on response",INDEX('CFOG'!$O$23:$O$24,MATCH($F80,'CFOG'!$B$23:$B$24,0))),"N/A")</f>
        <v/>
      </c>
      <c r="P80" s="25">
        <f>IFERROR(IF(INDEX('ESG'!$O$10:$O$17,MATCH($F80,'ESG'!$B$10:$B$17,0))="","Cell will autofill based on response",INDEX('ESG'!$O$10:$O$17,MATCH($F80,'ESG'!$B$10:$B$17,0))),"N/A")</f>
        <v/>
      </c>
      <c r="Q80" s="25">
        <f>IFERROR(IF(INDEX('CIOG'!$O$10:$O$14,MATCH($F80,'CIOG'!$B$10:$B$14,0))="","Cell will autofill based on response",INDEX('CIOG'!$O$10:$O$14,MATCH($F80,'CIOG'!$B$10:$B$14,0))),"N/A")</f>
        <v/>
      </c>
      <c r="R80" s="25">
        <f>IFERROR(IF(INDEX('MRE'!$O$10:$O$12,MATCH($F80,'MRE'!$B$10:$B$12,0))="","Cell will autofill based on response",INDEX('MRE'!$O$10:$O$12,MATCH($F80,'MRE'!$B$10:$B$12,0))),"N/A")</f>
        <v/>
      </c>
      <c r="S80" s="25">
        <f>IFERROR(IF(INDEX('L&amp;R'!$O$10:$O$11,MATCH($F80,'L&amp;R'!$B$10:$B$11,0))="","Cell will autofill based on response",INDEX('L&amp;R'!$O$10:$O$11,MATCH($F80,'L&amp;R'!$B$10:$B$11,0))),"N/A")</f>
        <v/>
      </c>
    </row>
    <row r="81">
      <c r="A81">
        <f>F81&amp;"|"&amp;G81</f>
        <v/>
      </c>
      <c r="B81" s="29" t="inlineStr"/>
      <c r="C81" s="8" t="inlineStr"/>
      <c r="D81" s="8" t="inlineStr"/>
      <c r="E81" s="8" t="inlineStr"/>
      <c r="F81" s="8" t="inlineStr">
        <is>
          <t>TR2(d)</t>
        </is>
      </c>
      <c r="G81" s="8" t="inlineStr">
        <is>
          <t>Data source and limitations</t>
        </is>
      </c>
      <c r="H81" s="25">
        <f>IFERROR(IF(INDEX('Faculties'!$P$10:$P$30,MATCH($F81,'Faculties'!$B$10:$B$30,0))="","Cell will autofill based on response",INDEX('Faculties'!$P$10:$P$30,MATCH($F81,'Faculties'!$B$10:$B$30,0))),"N/A")</f>
        <v/>
      </c>
      <c r="I81" s="25">
        <f>IFERROR(IF(INDEX('Faculties'!$P$37:$P$57,MATCH($F81,'Faculties'!$B$37:$B$57,0))="","Cell will autofill based on response",INDEX('Faculties'!$P$37:$P$57,MATCH($F81,'Faculties'!$B$37:$B$57,0))),"N/A")</f>
        <v/>
      </c>
      <c r="J81" s="25">
        <f>IFERROR(IF(INDEX('Faculties'!$P$64:$P$84,MATCH($F81,'Faculties'!$B$64:$B$84,0))="","Cell will autofill based on response",INDEX('Faculties'!$P$64:$P$84,MATCH($F81,'Faculties'!$B$64:$B$84,0))),"N/A")</f>
        <v/>
      </c>
      <c r="K81" s="25">
        <f>IFERROR(IF(INDEX('Faculties'!$P$91:$P$111,MATCH($F81,'Faculties'!$B$91:$B$111,0))="","Cell will autofill based on response",INDEX('Faculties'!$P$91:$P$111,MATCH($F81,'Faculties'!$B$91:$B$111,0))),"N/A")</f>
        <v/>
      </c>
      <c r="L81" s="25">
        <f>IFERROR(IF(INDEX('CI&amp;S'!$P$10:$P$15,MATCH($F81,'CI&amp;S'!$B$10:$B$15,0))="","Cell will autofill based on response",INDEX('CI&amp;S'!$P$10:$P$15,MATCH($F81,'CI&amp;S'!$B$10:$B$15,0))),"N/A")</f>
        <v/>
      </c>
      <c r="M81" s="25">
        <f>IFERROR(IF(INDEX('CI&amp;S'!$P$22:$P$39,MATCH($F81,'CI&amp;S'!$B$22:$B$39,0))="","Cell will autofill based on response",INDEX('CI&amp;S'!$P$22:$P$39,MATCH($F81,'CI&amp;S'!$B$22:$B$39,0))),"N/A")</f>
        <v/>
      </c>
      <c r="N81" s="25">
        <f>IFERROR(IF(INDEX('CFOG'!$P$10:$P$16,MATCH($F81,'CFOG'!$B$10:$B$16,0))="","Cell will autofill based on response",INDEX('CFOG'!$P$10:$P$16,MATCH($F81,'CFOG'!$B$10:$B$16,0))),"N/A")</f>
        <v/>
      </c>
      <c r="O81" s="25">
        <f>IFERROR(IF(INDEX('CFOG'!$P$23:$P$24,MATCH($F81,'CFOG'!$B$23:$B$24,0))="","Cell will autofill based on response",INDEX('CFOG'!$P$23:$P$24,MATCH($F81,'CFOG'!$B$23:$B$24,0))),"N/A")</f>
        <v/>
      </c>
      <c r="P81" s="25">
        <f>IFERROR(IF(INDEX('ESG'!$P$10:$P$17,MATCH($F81,'ESG'!$B$10:$B$17,0))="","Cell will autofill based on response",INDEX('ESG'!$P$10:$P$17,MATCH($F81,'ESG'!$B$10:$B$17,0))),"N/A")</f>
        <v/>
      </c>
      <c r="Q81" s="25">
        <f>IFERROR(IF(INDEX('CIOG'!$P$10:$P$14,MATCH($F81,'CIOG'!$B$10:$B$14,0))="","Cell will autofill based on response",INDEX('CIOG'!$P$10:$P$14,MATCH($F81,'CIOG'!$B$10:$B$14,0))),"N/A")</f>
        <v/>
      </c>
      <c r="R81" s="25">
        <f>IFERROR(IF(INDEX('MRE'!$P$10:$P$12,MATCH($F81,'MRE'!$B$10:$B$12,0))="","Cell will autofill based on response",INDEX('MRE'!$P$10:$P$12,MATCH($F81,'MRE'!$B$10:$B$12,0))),"N/A")</f>
        <v/>
      </c>
      <c r="S81" s="25">
        <f>IFERROR(IF(INDEX('L&amp;R'!$P$10:$P$11,MATCH($F81,'L&amp;R'!$B$10:$B$11,0))="","Cell will autofill based on response",INDEX('L&amp;R'!$P$10:$P$11,MATCH($F81,'L&amp;R'!$B$10:$B$11,0))),"N/A")</f>
        <v/>
      </c>
    </row>
    <row r="82">
      <c r="A82">
        <f>F82&amp;"|"&amp;G82</f>
        <v/>
      </c>
      <c r="B82" s="29" t="inlineStr"/>
      <c r="C82" s="8" t="inlineStr"/>
      <c r="D82" s="8" t="inlineStr"/>
      <c r="E82" s="8" t="inlineStr"/>
      <c r="F82" s="8" t="inlineStr">
        <is>
          <t>TR2(d)</t>
        </is>
      </c>
      <c r="G82" s="8" t="inlineStr">
        <is>
          <t>Data owner confirms</t>
        </is>
      </c>
      <c r="H82" s="25">
        <f>IFERROR(IF(INDEX('Faculties'!$Q$10:$Q$30,MATCH($F82,'Faculties'!$B$10:$B$30,0))="","Cell will autofill based on response",INDEX('Faculties'!$Q$10:$Q$30,MATCH($F82,'Faculties'!$B$10:$B$30,0))),"N/A")</f>
        <v/>
      </c>
      <c r="I82" s="25">
        <f>IFERROR(IF(INDEX('Faculties'!$Q$37:$Q$57,MATCH($F82,'Faculties'!$B$37:$B$57,0))="","Cell will autofill based on response",INDEX('Faculties'!$Q$37:$Q$57,MATCH($F82,'Faculties'!$B$37:$B$57,0))),"N/A")</f>
        <v/>
      </c>
      <c r="J82" s="25">
        <f>IFERROR(IF(INDEX('Faculties'!$Q$64:$Q$84,MATCH($F82,'Faculties'!$B$64:$B$84,0))="","Cell will autofill based on response",INDEX('Faculties'!$Q$64:$Q$84,MATCH($F82,'Faculties'!$B$64:$B$84,0))),"N/A")</f>
        <v/>
      </c>
      <c r="K82" s="25">
        <f>IFERROR(IF(INDEX('Faculties'!$Q$91:$Q$111,MATCH($F82,'Faculties'!$B$91:$B$111,0))="","Cell will autofill based on response",INDEX('Faculties'!$Q$91:$Q$111,MATCH($F82,'Faculties'!$B$91:$B$111,0))),"N/A")</f>
        <v/>
      </c>
      <c r="L82" s="25">
        <f>IFERROR(IF(INDEX('CI&amp;S'!$Q$10:$Q$15,MATCH($F82,'CI&amp;S'!$B$10:$B$15,0))="","Cell will autofill based on response",INDEX('CI&amp;S'!$Q$10:$Q$15,MATCH($F82,'CI&amp;S'!$B$10:$B$15,0))),"N/A")</f>
        <v/>
      </c>
      <c r="M82" s="25">
        <f>IFERROR(IF(INDEX('CI&amp;S'!$Q$22:$Q$39,MATCH($F82,'CI&amp;S'!$B$22:$B$39,0))="","Cell will autofill based on response",INDEX('CI&amp;S'!$Q$22:$Q$39,MATCH($F82,'CI&amp;S'!$B$22:$B$39,0))),"N/A")</f>
        <v/>
      </c>
      <c r="N82" s="25">
        <f>IFERROR(IF(INDEX('CFOG'!$Q$10:$Q$16,MATCH($F82,'CFOG'!$B$10:$B$16,0))="","Cell will autofill based on response",INDEX('CFOG'!$Q$10:$Q$16,MATCH($F82,'CFOG'!$B$10:$B$16,0))),"N/A")</f>
        <v/>
      </c>
      <c r="O82" s="25">
        <f>IFERROR(IF(INDEX('CFOG'!$Q$23:$Q$24,MATCH($F82,'CFOG'!$B$23:$B$24,0))="","Cell will autofill based on response",INDEX('CFOG'!$Q$23:$Q$24,MATCH($F82,'CFOG'!$B$23:$B$24,0))),"N/A")</f>
        <v/>
      </c>
      <c r="P82" s="25">
        <f>IFERROR(IF(INDEX('ESG'!$Q$10:$Q$17,MATCH($F82,'ESG'!$B$10:$B$17,0))="","Cell will autofill based on response",INDEX('ESG'!$Q$10:$Q$17,MATCH($F82,'ESG'!$B$10:$B$17,0))),"N/A")</f>
        <v/>
      </c>
      <c r="Q82" s="25">
        <f>IFERROR(IF(INDEX('CIOG'!$Q$10:$Q$14,MATCH($F82,'CIOG'!$B$10:$B$14,0))="","Cell will autofill based on response",INDEX('CIOG'!$Q$10:$Q$14,MATCH($F82,'CIOG'!$B$10:$B$14,0))),"N/A")</f>
        <v/>
      </c>
      <c r="R82" s="25">
        <f>IFERROR(IF(INDEX('MRE'!$Q$10:$Q$12,MATCH($F82,'MRE'!$B$10:$B$12,0))="","Cell will autofill based on response",INDEX('MRE'!$Q$10:$Q$12,MATCH($F82,'MRE'!$B$10:$B$12,0))),"N/A")</f>
        <v/>
      </c>
      <c r="S82" s="25">
        <f>IFERROR(IF(INDEX('L&amp;R'!$Q$10:$Q$11,MATCH($F82,'L&amp;R'!$B$10:$B$11,0))="","Cell will autofill based on response",INDEX('L&amp;R'!$Q$10:$Q$11,MATCH($F82,'L&amp;R'!$B$10:$B$11,0))),"N/A")</f>
        <v/>
      </c>
    </row>
    <row r="83">
      <c r="A83">
        <f>F83&amp;"|"&amp;G83</f>
        <v/>
      </c>
      <c r="B83" s="7" t="inlineStr">
        <is>
          <t>TR3(a)</t>
        </is>
      </c>
      <c r="C83" s="12" t="inlineStr">
        <is>
          <t>Transformational research</t>
        </is>
      </c>
      <c r="D83" s="12" t="inlineStr">
        <is>
          <t>Evidence that sustainability considerations are integrated into relevant research systems, planning processes, guidance, training, induction or support services</t>
        </is>
      </c>
      <c r="E83" s="12" t="inlineStr">
        <is>
          <t>Please describe how sustainability considerations are integrated into research systems, planning processes, guidance, training, induction or support services within your Faculty/Portfolio, could include examples of any new or improved processes.</t>
        </is>
      </c>
      <c r="F83" s="12" t="inlineStr">
        <is>
          <t>TR3(a)</t>
        </is>
      </c>
      <c r="G83" s="12" t="inlineStr">
        <is>
          <t>Confirm end-2026 target status</t>
        </is>
      </c>
      <c r="H83" s="25">
        <f>IFERROR(IF(INDEX('Faculties'!$L$10:$L$30,MATCH($F83,'Faculties'!$B$10:$B$30,0))="","Cell will autofill based on response",INDEX('Faculties'!$L$10:$L$30,MATCH($F83,'Faculties'!$B$10:$B$30,0))),"N/A")</f>
        <v/>
      </c>
      <c r="I83" s="25">
        <f>IFERROR(IF(INDEX('Faculties'!$L$37:$L$57,MATCH($F83,'Faculties'!$B$37:$B$57,0))="","Cell will autofill based on response",INDEX('Faculties'!$L$37:$L$57,MATCH($F83,'Faculties'!$B$37:$B$57,0))),"N/A")</f>
        <v/>
      </c>
      <c r="J83" s="25">
        <f>IFERROR(IF(INDEX('Faculties'!$L$64:$L$84,MATCH($F83,'Faculties'!$B$64:$B$84,0))="","Cell will autofill based on response",INDEX('Faculties'!$L$64:$L$84,MATCH($F83,'Faculties'!$B$64:$B$84,0))),"N/A")</f>
        <v/>
      </c>
      <c r="K83" s="25">
        <f>IFERROR(IF(INDEX('Faculties'!$L$91:$L$111,MATCH($F83,'Faculties'!$B$91:$B$111,0))="","Cell will autofill based on response",INDEX('Faculties'!$L$91:$L$111,MATCH($F83,'Faculties'!$B$91:$B$111,0))),"N/A")</f>
        <v/>
      </c>
      <c r="L83" s="25">
        <f>IFERROR(IF(INDEX('CI&amp;S'!$L$10:$L$15,MATCH($F83,'CI&amp;S'!$B$10:$B$15,0))="","Cell will autofill based on response",INDEX('CI&amp;S'!$L$10:$L$15,MATCH($F83,'CI&amp;S'!$B$10:$B$15,0))),"N/A")</f>
        <v/>
      </c>
      <c r="M83" s="25">
        <f>IFERROR(IF(INDEX('CI&amp;S'!$L$22:$L$39,MATCH($F83,'CI&amp;S'!$B$22:$B$39,0))="","Cell will autofill based on response",INDEX('CI&amp;S'!$L$22:$L$39,MATCH($F83,'CI&amp;S'!$B$22:$B$39,0))),"N/A")</f>
        <v/>
      </c>
      <c r="N83" s="25">
        <f>IFERROR(IF(INDEX('CFOG'!$L$10:$L$16,MATCH($F83,'CFOG'!$B$10:$B$16,0))="","Cell will autofill based on response",INDEX('CFOG'!$L$10:$L$16,MATCH($F83,'CFOG'!$B$10:$B$16,0))),"N/A")</f>
        <v/>
      </c>
      <c r="O83" s="25">
        <f>IFERROR(IF(INDEX('CFOG'!$L$23:$L$24,MATCH($F83,'CFOG'!$B$23:$B$24,0))="","Cell will autofill based on response",INDEX('CFOG'!$L$23:$L$24,MATCH($F83,'CFOG'!$B$23:$B$24,0))),"N/A")</f>
        <v/>
      </c>
      <c r="P83" s="25">
        <f>IFERROR(IF(INDEX('ESG'!$L$10:$L$17,MATCH($F83,'ESG'!$B$10:$B$17,0))="","Cell will autofill based on response",INDEX('ESG'!$L$10:$L$17,MATCH($F83,'ESG'!$B$10:$B$17,0))),"N/A")</f>
        <v/>
      </c>
      <c r="Q83" s="25">
        <f>IFERROR(IF(INDEX('CIOG'!$L$10:$L$14,MATCH($F83,'CIOG'!$B$10:$B$14,0))="","Cell will autofill based on response",INDEX('CIOG'!$L$10:$L$14,MATCH($F83,'CIOG'!$B$10:$B$14,0))),"N/A")</f>
        <v/>
      </c>
      <c r="R83" s="25">
        <f>IFERROR(IF(INDEX('MRE'!$L$10:$L$12,MATCH($F83,'MRE'!$B$10:$B$12,0))="","Cell will autofill based on response",INDEX('MRE'!$L$10:$L$12,MATCH($F83,'MRE'!$B$10:$B$12,0))),"N/A")</f>
        <v/>
      </c>
      <c r="S83" s="25">
        <f>IFERROR(IF(INDEX('L&amp;R'!$L$10:$L$11,MATCH($F83,'L&amp;R'!$B$10:$B$11,0))="","Cell will autofill based on response",INDEX('L&amp;R'!$L$10:$L$11,MATCH($F83,'L&amp;R'!$B$10:$B$11,0))),"N/A")</f>
        <v/>
      </c>
      <c r="U83" s="26">
        <f>COUNTIF($H83:$S83,"Cell will autofill based on response")</f>
        <v/>
      </c>
      <c r="V83" s="26">
        <f>COUNTIF($H83:$S83,"Not yet started")</f>
        <v/>
      </c>
      <c r="W83" s="26">
        <f>COUNTIF($H83:$S83,"Not met")</f>
        <v/>
      </c>
      <c r="X83" s="26">
        <f>COUNTIF($H83:$S83,"Partially met")</f>
        <v/>
      </c>
      <c r="Y83" s="26">
        <f>COUNTIF($H83:$S83,"Met or exceeded")</f>
        <v/>
      </c>
      <c r="Z83" s="26">
        <f>3*Y83+2*X83+W83</f>
        <v/>
      </c>
      <c r="AA83" s="26">
        <f>Y83+X83+W83+V83</f>
        <v/>
      </c>
      <c r="AB83" s="27">
        <f>IF(AA83&gt;0,Z83/AA83,"No valid responses to date")</f>
        <v/>
      </c>
      <c r="AC83" s="26">
        <f>IF(ISNUMBER(AB83),INDEX(Lists!$G$2:$G$5,MATCH(ROUND(AB83,0),Lists!$H$2:$H$5,0)),"")</f>
        <v/>
      </c>
      <c r="AD83" s="28">
        <f>IF(AA83&gt;0,Y83/AA83,"")</f>
        <v/>
      </c>
      <c r="AE83" s="28">
        <f>IF(AA83&gt;0,(Y83+X83)/AA83,"")</f>
        <v/>
      </c>
      <c r="AF83" s="26">
        <f>IF(AA83=0,"",IF(AD83&gt;0.75,"Met or exceeded",IF(AE83&gt;=0.5,"Partially met","Not met")))</f>
        <v/>
      </c>
    </row>
    <row r="84">
      <c r="A84">
        <f>F84&amp;"|"&amp;G84</f>
        <v/>
      </c>
      <c r="B84" s="29" t="inlineStr"/>
      <c r="C84" s="8" t="inlineStr"/>
      <c r="D84" s="8" t="inlineStr"/>
      <c r="E84" s="8" t="inlineStr"/>
      <c r="F84" s="8" t="inlineStr">
        <is>
          <t>TR3(a)</t>
        </is>
      </c>
      <c r="G84" s="8" t="inlineStr">
        <is>
          <t>OPTION 1:  Target-level reporting</t>
        </is>
      </c>
      <c r="H84" s="25">
        <f>IFERROR(IF(INDEX('Faculties'!$M$10:$M$30,MATCH($F84,'Faculties'!$B$10:$B$30,0))="","Cell will autofill based on response",INDEX('Faculties'!$M$10:$M$30,MATCH($F84,'Faculties'!$B$10:$B$30,0))),"N/A")</f>
        <v/>
      </c>
      <c r="I84" s="25">
        <f>IFERROR(IF(INDEX('Faculties'!$M$37:$M$57,MATCH($F84,'Faculties'!$B$37:$B$57,0))="","Cell will autofill based on response",INDEX('Faculties'!$M$37:$M$57,MATCH($F84,'Faculties'!$B$37:$B$57,0))),"N/A")</f>
        <v/>
      </c>
      <c r="J84" s="25">
        <f>IFERROR(IF(INDEX('Faculties'!$M$64:$M$84,MATCH($F84,'Faculties'!$B$64:$B$84,0))="","Cell will autofill based on response",INDEX('Faculties'!$M$64:$M$84,MATCH($F84,'Faculties'!$B$64:$B$84,0))),"N/A")</f>
        <v/>
      </c>
      <c r="K84" s="25">
        <f>IFERROR(IF(INDEX('Faculties'!$M$91:$M$111,MATCH($F84,'Faculties'!$B$91:$B$111,0))="","Cell will autofill based on response",INDEX('Faculties'!$M$91:$M$111,MATCH($F84,'Faculties'!$B$91:$B$111,0))),"N/A")</f>
        <v/>
      </c>
      <c r="L84" s="25">
        <f>IFERROR(IF(INDEX('CI&amp;S'!$M$10:$M$15,MATCH($F84,'CI&amp;S'!$B$10:$B$15,0))="","Cell will autofill based on response",INDEX('CI&amp;S'!$M$10:$M$15,MATCH($F84,'CI&amp;S'!$B$10:$B$15,0))),"N/A")</f>
        <v/>
      </c>
      <c r="M84" s="25">
        <f>IFERROR(IF(INDEX('CI&amp;S'!$M$22:$M$39,MATCH($F84,'CI&amp;S'!$B$22:$B$39,0))="","Cell will autofill based on response",INDEX('CI&amp;S'!$M$22:$M$39,MATCH($F84,'CI&amp;S'!$B$22:$B$39,0))),"N/A")</f>
        <v/>
      </c>
      <c r="N84" s="25">
        <f>IFERROR(IF(INDEX('CFOG'!$M$10:$M$16,MATCH($F84,'CFOG'!$B$10:$B$16,0))="","Cell will autofill based on response",INDEX('CFOG'!$M$10:$M$16,MATCH($F84,'CFOG'!$B$10:$B$16,0))),"N/A")</f>
        <v/>
      </c>
      <c r="O84" s="25">
        <f>IFERROR(IF(INDEX('CFOG'!$M$23:$M$24,MATCH($F84,'CFOG'!$B$23:$B$24,0))="","Cell will autofill based on response",INDEX('CFOG'!$M$23:$M$24,MATCH($F84,'CFOG'!$B$23:$B$24,0))),"N/A")</f>
        <v/>
      </c>
      <c r="P84" s="25">
        <f>IFERROR(IF(INDEX('ESG'!$M$10:$M$17,MATCH($F84,'ESG'!$B$10:$B$17,0))="","Cell will autofill based on response",INDEX('ESG'!$M$10:$M$17,MATCH($F84,'ESG'!$B$10:$B$17,0))),"N/A")</f>
        <v/>
      </c>
      <c r="Q84" s="25">
        <f>IFERROR(IF(INDEX('CIOG'!$M$10:$M$14,MATCH($F84,'CIOG'!$B$10:$B$14,0))="","Cell will autofill based on response",INDEX('CIOG'!$M$10:$M$14,MATCH($F84,'CIOG'!$B$10:$B$14,0))),"N/A")</f>
        <v/>
      </c>
      <c r="R84" s="25">
        <f>IFERROR(IF(INDEX('MRE'!$M$10:$M$12,MATCH($F84,'MRE'!$B$10:$B$12,0))="","Cell will autofill based on response",INDEX('MRE'!$M$10:$M$12,MATCH($F84,'MRE'!$B$10:$B$12,0))),"N/A")</f>
        <v/>
      </c>
      <c r="S84" s="25">
        <f>IFERROR(IF(INDEX('L&amp;R'!$M$10:$M$11,MATCH($F84,'L&amp;R'!$B$10:$B$11,0))="","Cell will autofill based on response",INDEX('L&amp;R'!$M$10:$M$11,MATCH($F84,'L&amp;R'!$B$10:$B$11,0))),"N/A")</f>
        <v/>
      </c>
    </row>
    <row r="85">
      <c r="A85">
        <f>F85&amp;"|"&amp;G85</f>
        <v/>
      </c>
      <c r="B85" s="29" t="inlineStr"/>
      <c r="C85" s="8" t="inlineStr"/>
      <c r="D85" s="8" t="inlineStr"/>
      <c r="E85" s="8" t="inlineStr"/>
      <c r="F85" s="8" t="inlineStr">
        <is>
          <t>TR3(a)</t>
        </is>
      </c>
      <c r="G85" s="8" t="inlineStr">
        <is>
          <t>OPTION 2:  Indicator level reporting</t>
        </is>
      </c>
      <c r="H85" s="25">
        <f>IFERROR(IF(INDEX('Faculties'!$N$10:$N$30,MATCH($F85,'Faculties'!$B$10:$B$30,0))="","Cell will autofill based on response",INDEX('Faculties'!$N$10:$N$30,MATCH($F85,'Faculties'!$B$10:$B$30,0))),"N/A")</f>
        <v/>
      </c>
      <c r="I85" s="25">
        <f>IFERROR(IF(INDEX('Faculties'!$N$37:$N$57,MATCH($F85,'Faculties'!$B$37:$B$57,0))="","Cell will autofill based on response",INDEX('Faculties'!$N$37:$N$57,MATCH($F85,'Faculties'!$B$37:$B$57,0))),"N/A")</f>
        <v/>
      </c>
      <c r="J85" s="25">
        <f>IFERROR(IF(INDEX('Faculties'!$N$64:$N$84,MATCH($F85,'Faculties'!$B$64:$B$84,0))="","Cell will autofill based on response",INDEX('Faculties'!$N$64:$N$84,MATCH($F85,'Faculties'!$B$64:$B$84,0))),"N/A")</f>
        <v/>
      </c>
      <c r="K85" s="25">
        <f>IFERROR(IF(INDEX('Faculties'!$N$91:$N$111,MATCH($F85,'Faculties'!$B$91:$B$111,0))="","Cell will autofill based on response",INDEX('Faculties'!$N$91:$N$111,MATCH($F85,'Faculties'!$B$91:$B$111,0))),"N/A")</f>
        <v/>
      </c>
      <c r="L85" s="25">
        <f>IFERROR(IF(INDEX('CI&amp;S'!$N$10:$N$15,MATCH($F85,'CI&amp;S'!$B$10:$B$15,0))="","Cell will autofill based on response",INDEX('CI&amp;S'!$N$10:$N$15,MATCH($F85,'CI&amp;S'!$B$10:$B$15,0))),"N/A")</f>
        <v/>
      </c>
      <c r="M85" s="25">
        <f>IFERROR(IF(INDEX('CI&amp;S'!$N$22:$N$39,MATCH($F85,'CI&amp;S'!$B$22:$B$39,0))="","Cell will autofill based on response",INDEX('CI&amp;S'!$N$22:$N$39,MATCH($F85,'CI&amp;S'!$B$22:$B$39,0))),"N/A")</f>
        <v/>
      </c>
      <c r="N85" s="25">
        <f>IFERROR(IF(INDEX('CFOG'!$N$10:$N$16,MATCH($F85,'CFOG'!$B$10:$B$16,0))="","Cell will autofill based on response",INDEX('CFOG'!$N$10:$N$16,MATCH($F85,'CFOG'!$B$10:$B$16,0))),"N/A")</f>
        <v/>
      </c>
      <c r="O85" s="25">
        <f>IFERROR(IF(INDEX('CFOG'!$N$23:$N$24,MATCH($F85,'CFOG'!$B$23:$B$24,0))="","Cell will autofill based on response",INDEX('CFOG'!$N$23:$N$24,MATCH($F85,'CFOG'!$B$23:$B$24,0))),"N/A")</f>
        <v/>
      </c>
      <c r="P85" s="25">
        <f>IFERROR(IF(INDEX('ESG'!$N$10:$N$17,MATCH($F85,'ESG'!$B$10:$B$17,0))="","Cell will autofill based on response",INDEX('ESG'!$N$10:$N$17,MATCH($F85,'ESG'!$B$10:$B$17,0))),"N/A")</f>
        <v/>
      </c>
      <c r="Q85" s="25">
        <f>IFERROR(IF(INDEX('CIOG'!$N$10:$N$14,MATCH($F85,'CIOG'!$B$10:$B$14,0))="","Cell will autofill based on response",INDEX('CIOG'!$N$10:$N$14,MATCH($F85,'CIOG'!$B$10:$B$14,0))),"N/A")</f>
        <v/>
      </c>
      <c r="R85" s="25">
        <f>IFERROR(IF(INDEX('MRE'!$N$10:$N$12,MATCH($F85,'MRE'!$B$10:$B$12,0))="","Cell will autofill based on response",INDEX('MRE'!$N$10:$N$12,MATCH($F85,'MRE'!$B$10:$B$12,0))),"N/A")</f>
        <v/>
      </c>
      <c r="S85" s="25">
        <f>IFERROR(IF(INDEX('L&amp;R'!$N$10:$N$11,MATCH($F85,'L&amp;R'!$B$10:$B$11,0))="","Cell will autofill based on response",INDEX('L&amp;R'!$N$10:$N$11,MATCH($F85,'L&amp;R'!$B$10:$B$11,0))),"N/A")</f>
        <v/>
      </c>
    </row>
    <row r="86">
      <c r="A86">
        <f>F86&amp;"|"&amp;G86</f>
        <v/>
      </c>
      <c r="B86" s="29" t="inlineStr"/>
      <c r="C86" s="8" t="inlineStr"/>
      <c r="D86" s="8" t="inlineStr"/>
      <c r="E86" s="8" t="inlineStr"/>
      <c r="F86" s="8" t="inlineStr">
        <is>
          <t>TR3(a)</t>
        </is>
      </c>
      <c r="G86" s="8" t="inlineStr">
        <is>
          <t>Supporting information/comments</t>
        </is>
      </c>
      <c r="H86" s="25">
        <f>IFERROR(IF(INDEX('Faculties'!$O$10:$O$30,MATCH($F86,'Faculties'!$B$10:$B$30,0))="","Cell will autofill based on response",INDEX('Faculties'!$O$10:$O$30,MATCH($F86,'Faculties'!$B$10:$B$30,0))),"N/A")</f>
        <v/>
      </c>
      <c r="I86" s="25">
        <f>IFERROR(IF(INDEX('Faculties'!$O$37:$O$57,MATCH($F86,'Faculties'!$B$37:$B$57,0))="","Cell will autofill based on response",INDEX('Faculties'!$O$37:$O$57,MATCH($F86,'Faculties'!$B$37:$B$57,0))),"N/A")</f>
        <v/>
      </c>
      <c r="J86" s="25">
        <f>IFERROR(IF(INDEX('Faculties'!$O$64:$O$84,MATCH($F86,'Faculties'!$B$64:$B$84,0))="","Cell will autofill based on response",INDEX('Faculties'!$O$64:$O$84,MATCH($F86,'Faculties'!$B$64:$B$84,0))),"N/A")</f>
        <v/>
      </c>
      <c r="K86" s="25">
        <f>IFERROR(IF(INDEX('Faculties'!$O$91:$O$111,MATCH($F86,'Faculties'!$B$91:$B$111,0))="","Cell will autofill based on response",INDEX('Faculties'!$O$91:$O$111,MATCH($F86,'Faculties'!$B$91:$B$111,0))),"N/A")</f>
        <v/>
      </c>
      <c r="L86" s="25">
        <f>IFERROR(IF(INDEX('CI&amp;S'!$O$10:$O$15,MATCH($F86,'CI&amp;S'!$B$10:$B$15,0))="","Cell will autofill based on response",INDEX('CI&amp;S'!$O$10:$O$15,MATCH($F86,'CI&amp;S'!$B$10:$B$15,0))),"N/A")</f>
        <v/>
      </c>
      <c r="M86" s="25">
        <f>IFERROR(IF(INDEX('CI&amp;S'!$O$22:$O$39,MATCH($F86,'CI&amp;S'!$B$22:$B$39,0))="","Cell will autofill based on response",INDEX('CI&amp;S'!$O$22:$O$39,MATCH($F86,'CI&amp;S'!$B$22:$B$39,0))),"N/A")</f>
        <v/>
      </c>
      <c r="N86" s="25">
        <f>IFERROR(IF(INDEX('CFOG'!$O$10:$O$16,MATCH($F86,'CFOG'!$B$10:$B$16,0))="","Cell will autofill based on response",INDEX('CFOG'!$O$10:$O$16,MATCH($F86,'CFOG'!$B$10:$B$16,0))),"N/A")</f>
        <v/>
      </c>
      <c r="O86" s="25">
        <f>IFERROR(IF(INDEX('CFOG'!$O$23:$O$24,MATCH($F86,'CFOG'!$B$23:$B$24,0))="","Cell will autofill based on response",INDEX('CFOG'!$O$23:$O$24,MATCH($F86,'CFOG'!$B$23:$B$24,0))),"N/A")</f>
        <v/>
      </c>
      <c r="P86" s="25">
        <f>IFERROR(IF(INDEX('ESG'!$O$10:$O$17,MATCH($F86,'ESG'!$B$10:$B$17,0))="","Cell will autofill based on response",INDEX('ESG'!$O$10:$O$17,MATCH($F86,'ESG'!$B$10:$B$17,0))),"N/A")</f>
        <v/>
      </c>
      <c r="Q86" s="25">
        <f>IFERROR(IF(INDEX('CIOG'!$O$10:$O$14,MATCH($F86,'CIOG'!$B$10:$B$14,0))="","Cell will autofill based on response",INDEX('CIOG'!$O$10:$O$14,MATCH($F86,'CIOG'!$B$10:$B$14,0))),"N/A")</f>
        <v/>
      </c>
      <c r="R86" s="25">
        <f>IFERROR(IF(INDEX('MRE'!$O$10:$O$12,MATCH($F86,'MRE'!$B$10:$B$12,0))="","Cell will autofill based on response",INDEX('MRE'!$O$10:$O$12,MATCH($F86,'MRE'!$B$10:$B$12,0))),"N/A")</f>
        <v/>
      </c>
      <c r="S86" s="25">
        <f>IFERROR(IF(INDEX('L&amp;R'!$O$10:$O$11,MATCH($F86,'L&amp;R'!$B$10:$B$11,0))="","Cell will autofill based on response",INDEX('L&amp;R'!$O$10:$O$11,MATCH($F86,'L&amp;R'!$B$10:$B$11,0))),"N/A")</f>
        <v/>
      </c>
    </row>
    <row r="87">
      <c r="A87">
        <f>F87&amp;"|"&amp;G87</f>
        <v/>
      </c>
      <c r="B87" s="29" t="inlineStr"/>
      <c r="C87" s="8" t="inlineStr"/>
      <c r="D87" s="8" t="inlineStr"/>
      <c r="E87" s="8" t="inlineStr"/>
      <c r="F87" s="8" t="inlineStr">
        <is>
          <t>TR3(a)</t>
        </is>
      </c>
      <c r="G87" s="8" t="inlineStr">
        <is>
          <t>Data source and limitations</t>
        </is>
      </c>
      <c r="H87" s="25">
        <f>IFERROR(IF(INDEX('Faculties'!$P$10:$P$30,MATCH($F87,'Faculties'!$B$10:$B$30,0))="","Cell will autofill based on response",INDEX('Faculties'!$P$10:$P$30,MATCH($F87,'Faculties'!$B$10:$B$30,0))),"N/A")</f>
        <v/>
      </c>
      <c r="I87" s="25">
        <f>IFERROR(IF(INDEX('Faculties'!$P$37:$P$57,MATCH($F87,'Faculties'!$B$37:$B$57,0))="","Cell will autofill based on response",INDEX('Faculties'!$P$37:$P$57,MATCH($F87,'Faculties'!$B$37:$B$57,0))),"N/A")</f>
        <v/>
      </c>
      <c r="J87" s="25">
        <f>IFERROR(IF(INDEX('Faculties'!$P$64:$P$84,MATCH($F87,'Faculties'!$B$64:$B$84,0))="","Cell will autofill based on response",INDEX('Faculties'!$P$64:$P$84,MATCH($F87,'Faculties'!$B$64:$B$84,0))),"N/A")</f>
        <v/>
      </c>
      <c r="K87" s="25">
        <f>IFERROR(IF(INDEX('Faculties'!$P$91:$P$111,MATCH($F87,'Faculties'!$B$91:$B$111,0))="","Cell will autofill based on response",INDEX('Faculties'!$P$91:$P$111,MATCH($F87,'Faculties'!$B$91:$B$111,0))),"N/A")</f>
        <v/>
      </c>
      <c r="L87" s="25">
        <f>IFERROR(IF(INDEX('CI&amp;S'!$P$10:$P$15,MATCH($F87,'CI&amp;S'!$B$10:$B$15,0))="","Cell will autofill based on response",INDEX('CI&amp;S'!$P$10:$P$15,MATCH($F87,'CI&amp;S'!$B$10:$B$15,0))),"N/A")</f>
        <v/>
      </c>
      <c r="M87" s="25">
        <f>IFERROR(IF(INDEX('CI&amp;S'!$P$22:$P$39,MATCH($F87,'CI&amp;S'!$B$22:$B$39,0))="","Cell will autofill based on response",INDEX('CI&amp;S'!$P$22:$P$39,MATCH($F87,'CI&amp;S'!$B$22:$B$39,0))),"N/A")</f>
        <v/>
      </c>
      <c r="N87" s="25">
        <f>IFERROR(IF(INDEX('CFOG'!$P$10:$P$16,MATCH($F87,'CFOG'!$B$10:$B$16,0))="","Cell will autofill based on response",INDEX('CFOG'!$P$10:$P$16,MATCH($F87,'CFOG'!$B$10:$B$16,0))),"N/A")</f>
        <v/>
      </c>
      <c r="O87" s="25">
        <f>IFERROR(IF(INDEX('CFOG'!$P$23:$P$24,MATCH($F87,'CFOG'!$B$23:$B$24,0))="","Cell will autofill based on response",INDEX('CFOG'!$P$23:$P$24,MATCH($F87,'CFOG'!$B$23:$B$24,0))),"N/A")</f>
        <v/>
      </c>
      <c r="P87" s="25">
        <f>IFERROR(IF(INDEX('ESG'!$P$10:$P$17,MATCH($F87,'ESG'!$B$10:$B$17,0))="","Cell will autofill based on response",INDEX('ESG'!$P$10:$P$17,MATCH($F87,'ESG'!$B$10:$B$17,0))),"N/A")</f>
        <v/>
      </c>
      <c r="Q87" s="25">
        <f>IFERROR(IF(INDEX('CIOG'!$P$10:$P$14,MATCH($F87,'CIOG'!$B$10:$B$14,0))="","Cell will autofill based on response",INDEX('CIOG'!$P$10:$P$14,MATCH($F87,'CIOG'!$B$10:$B$14,0))),"N/A")</f>
        <v/>
      </c>
      <c r="R87" s="25">
        <f>IFERROR(IF(INDEX('MRE'!$P$10:$P$12,MATCH($F87,'MRE'!$B$10:$B$12,0))="","Cell will autofill based on response",INDEX('MRE'!$P$10:$P$12,MATCH($F87,'MRE'!$B$10:$B$12,0))),"N/A")</f>
        <v/>
      </c>
      <c r="S87" s="25">
        <f>IFERROR(IF(INDEX('L&amp;R'!$P$10:$P$11,MATCH($F87,'L&amp;R'!$B$10:$B$11,0))="","Cell will autofill based on response",INDEX('L&amp;R'!$P$10:$P$11,MATCH($F87,'L&amp;R'!$B$10:$B$11,0))),"N/A")</f>
        <v/>
      </c>
    </row>
    <row r="88">
      <c r="A88">
        <f>F88&amp;"|"&amp;G88</f>
        <v/>
      </c>
      <c r="B88" s="29" t="inlineStr"/>
      <c r="C88" s="8" t="inlineStr"/>
      <c r="D88" s="8" t="inlineStr"/>
      <c r="E88" s="8" t="inlineStr"/>
      <c r="F88" s="8" t="inlineStr">
        <is>
          <t>TR3(a)</t>
        </is>
      </c>
      <c r="G88" s="8" t="inlineStr">
        <is>
          <t>Data owner confirms</t>
        </is>
      </c>
      <c r="H88" s="25">
        <f>IFERROR(IF(INDEX('Faculties'!$Q$10:$Q$30,MATCH($F88,'Faculties'!$B$10:$B$30,0))="","Cell will autofill based on response",INDEX('Faculties'!$Q$10:$Q$30,MATCH($F88,'Faculties'!$B$10:$B$30,0))),"N/A")</f>
        <v/>
      </c>
      <c r="I88" s="25">
        <f>IFERROR(IF(INDEX('Faculties'!$Q$37:$Q$57,MATCH($F88,'Faculties'!$B$37:$B$57,0))="","Cell will autofill based on response",INDEX('Faculties'!$Q$37:$Q$57,MATCH($F88,'Faculties'!$B$37:$B$57,0))),"N/A")</f>
        <v/>
      </c>
      <c r="J88" s="25">
        <f>IFERROR(IF(INDEX('Faculties'!$Q$64:$Q$84,MATCH($F88,'Faculties'!$B$64:$B$84,0))="","Cell will autofill based on response",INDEX('Faculties'!$Q$64:$Q$84,MATCH($F88,'Faculties'!$B$64:$B$84,0))),"N/A")</f>
        <v/>
      </c>
      <c r="K88" s="25">
        <f>IFERROR(IF(INDEX('Faculties'!$Q$91:$Q$111,MATCH($F88,'Faculties'!$B$91:$B$111,0))="","Cell will autofill based on response",INDEX('Faculties'!$Q$91:$Q$111,MATCH($F88,'Faculties'!$B$91:$B$111,0))),"N/A")</f>
        <v/>
      </c>
      <c r="L88" s="25">
        <f>IFERROR(IF(INDEX('CI&amp;S'!$Q$10:$Q$15,MATCH($F88,'CI&amp;S'!$B$10:$B$15,0))="","Cell will autofill based on response",INDEX('CI&amp;S'!$Q$10:$Q$15,MATCH($F88,'CI&amp;S'!$B$10:$B$15,0))),"N/A")</f>
        <v/>
      </c>
      <c r="M88" s="25">
        <f>IFERROR(IF(INDEX('CI&amp;S'!$Q$22:$Q$39,MATCH($F88,'CI&amp;S'!$B$22:$B$39,0))="","Cell will autofill based on response",INDEX('CI&amp;S'!$Q$22:$Q$39,MATCH($F88,'CI&amp;S'!$B$22:$B$39,0))),"N/A")</f>
        <v/>
      </c>
      <c r="N88" s="25">
        <f>IFERROR(IF(INDEX('CFOG'!$Q$10:$Q$16,MATCH($F88,'CFOG'!$B$10:$B$16,0))="","Cell will autofill based on response",INDEX('CFOG'!$Q$10:$Q$16,MATCH($F88,'CFOG'!$B$10:$B$16,0))),"N/A")</f>
        <v/>
      </c>
      <c r="O88" s="25">
        <f>IFERROR(IF(INDEX('CFOG'!$Q$23:$Q$24,MATCH($F88,'CFOG'!$B$23:$B$24,0))="","Cell will autofill based on response",INDEX('CFOG'!$Q$23:$Q$24,MATCH($F88,'CFOG'!$B$23:$B$24,0))),"N/A")</f>
        <v/>
      </c>
      <c r="P88" s="25">
        <f>IFERROR(IF(INDEX('ESG'!$Q$10:$Q$17,MATCH($F88,'ESG'!$B$10:$B$17,0))="","Cell will autofill based on response",INDEX('ESG'!$Q$10:$Q$17,MATCH($F88,'ESG'!$B$10:$B$17,0))),"N/A")</f>
        <v/>
      </c>
      <c r="Q88" s="25">
        <f>IFERROR(IF(INDEX('CIOG'!$Q$10:$Q$14,MATCH($F88,'CIOG'!$B$10:$B$14,0))="","Cell will autofill based on response",INDEX('CIOG'!$Q$10:$Q$14,MATCH($F88,'CIOG'!$B$10:$B$14,0))),"N/A")</f>
        <v/>
      </c>
      <c r="R88" s="25">
        <f>IFERROR(IF(INDEX('MRE'!$Q$10:$Q$12,MATCH($F88,'MRE'!$B$10:$B$12,0))="","Cell will autofill based on response",INDEX('MRE'!$Q$10:$Q$12,MATCH($F88,'MRE'!$B$10:$B$12,0))),"N/A")</f>
        <v/>
      </c>
      <c r="S88" s="25">
        <f>IFERROR(IF(INDEX('L&amp;R'!$Q$10:$Q$11,MATCH($F88,'L&amp;R'!$B$10:$B$11,0))="","Cell will autofill based on response",INDEX('L&amp;R'!$Q$10:$Q$11,MATCH($F88,'L&amp;R'!$B$10:$B$11,0))),"N/A")</f>
        <v/>
      </c>
    </row>
    <row r="89">
      <c r="A89">
        <f>F89&amp;"|"&amp;G89</f>
        <v/>
      </c>
      <c r="B89" s="7" t="inlineStr">
        <is>
          <t>TR3(b)</t>
        </is>
      </c>
      <c r="C89" s="12" t="inlineStr">
        <is>
          <t>Transformational research</t>
        </is>
      </c>
      <c r="D89" s="12" t="inlineStr">
        <is>
          <t>Demonstrated examples of more sustainable research practices in laboratories, fieldwork, procurement, travel or infrastructure use</t>
        </is>
      </c>
      <c r="E89"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9" s="12" t="inlineStr">
        <is>
          <t>TR3(b)</t>
        </is>
      </c>
      <c r="G89" s="12" t="inlineStr">
        <is>
          <t>Confirm end-2026 target status</t>
        </is>
      </c>
      <c r="H89" s="25">
        <f>IFERROR(IF(INDEX('Faculties'!$L$10:$L$30,MATCH($F89,'Faculties'!$B$10:$B$30,0))="","Cell will autofill based on response",INDEX('Faculties'!$L$10:$L$30,MATCH($F89,'Faculties'!$B$10:$B$30,0))),"N/A")</f>
        <v/>
      </c>
      <c r="I89" s="25">
        <f>IFERROR(IF(INDEX('Faculties'!$L$37:$L$57,MATCH($F89,'Faculties'!$B$37:$B$57,0))="","Cell will autofill based on response",INDEX('Faculties'!$L$37:$L$57,MATCH($F89,'Faculties'!$B$37:$B$57,0))),"N/A")</f>
        <v/>
      </c>
      <c r="J89" s="25">
        <f>IFERROR(IF(INDEX('Faculties'!$L$64:$L$84,MATCH($F89,'Faculties'!$B$64:$B$84,0))="","Cell will autofill based on response",INDEX('Faculties'!$L$64:$L$84,MATCH($F89,'Faculties'!$B$64:$B$84,0))),"N/A")</f>
        <v/>
      </c>
      <c r="K89" s="25">
        <f>IFERROR(IF(INDEX('Faculties'!$L$91:$L$111,MATCH($F89,'Faculties'!$B$91:$B$111,0))="","Cell will autofill based on response",INDEX('Faculties'!$L$91:$L$111,MATCH($F89,'Faculties'!$B$91:$B$111,0))),"N/A")</f>
        <v/>
      </c>
      <c r="L89" s="25">
        <f>IFERROR(IF(INDEX('CI&amp;S'!$L$10:$L$15,MATCH($F89,'CI&amp;S'!$B$10:$B$15,0))="","Cell will autofill based on response",INDEX('CI&amp;S'!$L$10:$L$15,MATCH($F89,'CI&amp;S'!$B$10:$B$15,0))),"N/A")</f>
        <v/>
      </c>
      <c r="M89" s="25">
        <f>IFERROR(IF(INDEX('CI&amp;S'!$L$22:$L$39,MATCH($F89,'CI&amp;S'!$B$22:$B$39,0))="","Cell will autofill based on response",INDEX('CI&amp;S'!$L$22:$L$39,MATCH($F89,'CI&amp;S'!$B$22:$B$39,0))),"N/A")</f>
        <v/>
      </c>
      <c r="N89" s="25">
        <f>IFERROR(IF(INDEX('CFOG'!$L$10:$L$16,MATCH($F89,'CFOG'!$B$10:$B$16,0))="","Cell will autofill based on response",INDEX('CFOG'!$L$10:$L$16,MATCH($F89,'CFOG'!$B$10:$B$16,0))),"N/A")</f>
        <v/>
      </c>
      <c r="O89" s="25">
        <f>IFERROR(IF(INDEX('CFOG'!$L$23:$L$24,MATCH($F89,'CFOG'!$B$23:$B$24,0))="","Cell will autofill based on response",INDEX('CFOG'!$L$23:$L$24,MATCH($F89,'CFOG'!$B$23:$B$24,0))),"N/A")</f>
        <v/>
      </c>
      <c r="P89" s="25">
        <f>IFERROR(IF(INDEX('ESG'!$L$10:$L$17,MATCH($F89,'ESG'!$B$10:$B$17,0))="","Cell will autofill based on response",INDEX('ESG'!$L$10:$L$17,MATCH($F89,'ESG'!$B$10:$B$17,0))),"N/A")</f>
        <v/>
      </c>
      <c r="Q89" s="25">
        <f>IFERROR(IF(INDEX('CIOG'!$L$10:$L$14,MATCH($F89,'CIOG'!$B$10:$B$14,0))="","Cell will autofill based on response",INDEX('CIOG'!$L$10:$L$14,MATCH($F89,'CIOG'!$B$10:$B$14,0))),"N/A")</f>
        <v/>
      </c>
      <c r="R89" s="25">
        <f>IFERROR(IF(INDEX('MRE'!$L$10:$L$12,MATCH($F89,'MRE'!$B$10:$B$12,0))="","Cell will autofill based on response",INDEX('MRE'!$L$10:$L$12,MATCH($F89,'MRE'!$B$10:$B$12,0))),"N/A")</f>
        <v/>
      </c>
      <c r="S89" s="25">
        <f>IFERROR(IF(INDEX('L&amp;R'!$L$10:$L$11,MATCH($F89,'L&amp;R'!$B$10:$B$11,0))="","Cell will autofill based on response",INDEX('L&amp;R'!$L$10:$L$11,MATCH($F89,'L&amp;R'!$B$10:$B$11,0))),"N/A")</f>
        <v/>
      </c>
      <c r="U89" s="26">
        <f>COUNTIF($H89:$S89,"Cell will autofill based on response")</f>
        <v/>
      </c>
      <c r="V89" s="26">
        <f>COUNTIF($H89:$S89,"Not yet started")</f>
        <v/>
      </c>
      <c r="W89" s="26">
        <f>COUNTIF($H89:$S89,"Not met")</f>
        <v/>
      </c>
      <c r="X89" s="26">
        <f>COUNTIF($H89:$S89,"Partially met")</f>
        <v/>
      </c>
      <c r="Y89" s="26">
        <f>COUNTIF($H89:$S89,"Met or exceeded")</f>
        <v/>
      </c>
      <c r="Z89" s="26">
        <f>3*Y89+2*X89+W89</f>
        <v/>
      </c>
      <c r="AA89" s="26">
        <f>Y89+X89+W89+V89</f>
        <v/>
      </c>
      <c r="AB89" s="27">
        <f>IF(AA89&gt;0,Z89/AA89,"No valid responses to date")</f>
        <v/>
      </c>
      <c r="AC89" s="26">
        <f>IF(ISNUMBER(AB89),INDEX(Lists!$G$2:$G$5,MATCH(ROUND(AB89,0),Lists!$H$2:$H$5,0)),"")</f>
        <v/>
      </c>
      <c r="AD89" s="28">
        <f>IF(AA89&gt;0,Y89/AA89,"")</f>
        <v/>
      </c>
      <c r="AE89" s="28">
        <f>IF(AA89&gt;0,(Y89+X89)/AA89,"")</f>
        <v/>
      </c>
      <c r="AF89" s="26">
        <f>IF(AA89=0,"",IF(AD89&gt;0.75,"Met or exceeded",IF(AE89&gt;=0.5,"Partially met","Not met")))</f>
        <v/>
      </c>
    </row>
    <row r="90">
      <c r="A90">
        <f>F90&amp;"|"&amp;G90</f>
        <v/>
      </c>
      <c r="B90" s="29" t="inlineStr"/>
      <c r="C90" s="8" t="inlineStr"/>
      <c r="D90" s="8" t="inlineStr"/>
      <c r="E90" s="8" t="inlineStr"/>
      <c r="F90" s="8" t="inlineStr">
        <is>
          <t>TR3(b)</t>
        </is>
      </c>
      <c r="G90" s="8" t="inlineStr">
        <is>
          <t>OPTION 1:  Target-level reporting</t>
        </is>
      </c>
      <c r="H90" s="25">
        <f>IFERROR(IF(INDEX('Faculties'!$M$10:$M$30,MATCH($F90,'Faculties'!$B$10:$B$30,0))="","Cell will autofill based on response",INDEX('Faculties'!$M$10:$M$30,MATCH($F90,'Faculties'!$B$10:$B$30,0))),"N/A")</f>
        <v/>
      </c>
      <c r="I90" s="25">
        <f>IFERROR(IF(INDEX('Faculties'!$M$37:$M$57,MATCH($F90,'Faculties'!$B$37:$B$57,0))="","Cell will autofill based on response",INDEX('Faculties'!$M$37:$M$57,MATCH($F90,'Faculties'!$B$37:$B$57,0))),"N/A")</f>
        <v/>
      </c>
      <c r="J90" s="25">
        <f>IFERROR(IF(INDEX('Faculties'!$M$64:$M$84,MATCH($F90,'Faculties'!$B$64:$B$84,0))="","Cell will autofill based on response",INDEX('Faculties'!$M$64:$M$84,MATCH($F90,'Faculties'!$B$64:$B$84,0))),"N/A")</f>
        <v/>
      </c>
      <c r="K90" s="25">
        <f>IFERROR(IF(INDEX('Faculties'!$M$91:$M$111,MATCH($F90,'Faculties'!$B$91:$B$111,0))="","Cell will autofill based on response",INDEX('Faculties'!$M$91:$M$111,MATCH($F90,'Faculties'!$B$91:$B$111,0))),"N/A")</f>
        <v/>
      </c>
      <c r="L90" s="25">
        <f>IFERROR(IF(INDEX('CI&amp;S'!$M$10:$M$15,MATCH($F90,'CI&amp;S'!$B$10:$B$15,0))="","Cell will autofill based on response",INDEX('CI&amp;S'!$M$10:$M$15,MATCH($F90,'CI&amp;S'!$B$10:$B$15,0))),"N/A")</f>
        <v/>
      </c>
      <c r="M90" s="25">
        <f>IFERROR(IF(INDEX('CI&amp;S'!$M$22:$M$39,MATCH($F90,'CI&amp;S'!$B$22:$B$39,0))="","Cell will autofill based on response",INDEX('CI&amp;S'!$M$22:$M$39,MATCH($F90,'CI&amp;S'!$B$22:$B$39,0))),"N/A")</f>
        <v/>
      </c>
      <c r="N90" s="25">
        <f>IFERROR(IF(INDEX('CFOG'!$M$10:$M$16,MATCH($F90,'CFOG'!$B$10:$B$16,0))="","Cell will autofill based on response",INDEX('CFOG'!$M$10:$M$16,MATCH($F90,'CFOG'!$B$10:$B$16,0))),"N/A")</f>
        <v/>
      </c>
      <c r="O90" s="25">
        <f>IFERROR(IF(INDEX('CFOG'!$M$23:$M$24,MATCH($F90,'CFOG'!$B$23:$B$24,0))="","Cell will autofill based on response",INDEX('CFOG'!$M$23:$M$24,MATCH($F90,'CFOG'!$B$23:$B$24,0))),"N/A")</f>
        <v/>
      </c>
      <c r="P90" s="25">
        <f>IFERROR(IF(INDEX('ESG'!$M$10:$M$17,MATCH($F90,'ESG'!$B$10:$B$17,0))="","Cell will autofill based on response",INDEX('ESG'!$M$10:$M$17,MATCH($F90,'ESG'!$B$10:$B$17,0))),"N/A")</f>
        <v/>
      </c>
      <c r="Q90" s="25">
        <f>IFERROR(IF(INDEX('CIOG'!$M$10:$M$14,MATCH($F90,'CIOG'!$B$10:$B$14,0))="","Cell will autofill based on response",INDEX('CIOG'!$M$10:$M$14,MATCH($F90,'CIOG'!$B$10:$B$14,0))),"N/A")</f>
        <v/>
      </c>
      <c r="R90" s="25">
        <f>IFERROR(IF(INDEX('MRE'!$M$10:$M$12,MATCH($F90,'MRE'!$B$10:$B$12,0))="","Cell will autofill based on response",INDEX('MRE'!$M$10:$M$12,MATCH($F90,'MRE'!$B$10:$B$12,0))),"N/A")</f>
        <v/>
      </c>
      <c r="S90" s="25">
        <f>IFERROR(IF(INDEX('L&amp;R'!$M$10:$M$11,MATCH($F90,'L&amp;R'!$B$10:$B$11,0))="","Cell will autofill based on response",INDEX('L&amp;R'!$M$10:$M$11,MATCH($F90,'L&amp;R'!$B$10:$B$11,0))),"N/A")</f>
        <v/>
      </c>
    </row>
    <row r="91">
      <c r="A91">
        <f>F91&amp;"|"&amp;G91</f>
        <v/>
      </c>
      <c r="B91" s="29" t="inlineStr"/>
      <c r="C91" s="8" t="inlineStr"/>
      <c r="D91" s="8" t="inlineStr"/>
      <c r="E91" s="8" t="inlineStr"/>
      <c r="F91" s="8" t="inlineStr">
        <is>
          <t>TR3(b)</t>
        </is>
      </c>
      <c r="G91" s="8" t="inlineStr">
        <is>
          <t>OPTION 2:  Indicator level reporting</t>
        </is>
      </c>
      <c r="H91" s="25">
        <f>IFERROR(IF(INDEX('Faculties'!$N$10:$N$30,MATCH($F91,'Faculties'!$B$10:$B$30,0))="","Cell will autofill based on response",INDEX('Faculties'!$N$10:$N$30,MATCH($F91,'Faculties'!$B$10:$B$30,0))),"N/A")</f>
        <v/>
      </c>
      <c r="I91" s="25">
        <f>IFERROR(IF(INDEX('Faculties'!$N$37:$N$57,MATCH($F91,'Faculties'!$B$37:$B$57,0))="","Cell will autofill based on response",INDEX('Faculties'!$N$37:$N$57,MATCH($F91,'Faculties'!$B$37:$B$57,0))),"N/A")</f>
        <v/>
      </c>
      <c r="J91" s="25">
        <f>IFERROR(IF(INDEX('Faculties'!$N$64:$N$84,MATCH($F91,'Faculties'!$B$64:$B$84,0))="","Cell will autofill based on response",INDEX('Faculties'!$N$64:$N$84,MATCH($F91,'Faculties'!$B$64:$B$84,0))),"N/A")</f>
        <v/>
      </c>
      <c r="K91" s="25">
        <f>IFERROR(IF(INDEX('Faculties'!$N$91:$N$111,MATCH($F91,'Faculties'!$B$91:$B$111,0))="","Cell will autofill based on response",INDEX('Faculties'!$N$91:$N$111,MATCH($F91,'Faculties'!$B$91:$B$111,0))),"N/A")</f>
        <v/>
      </c>
      <c r="L91" s="25">
        <f>IFERROR(IF(INDEX('CI&amp;S'!$N$10:$N$15,MATCH($F91,'CI&amp;S'!$B$10:$B$15,0))="","Cell will autofill based on response",INDEX('CI&amp;S'!$N$10:$N$15,MATCH($F91,'CI&amp;S'!$B$10:$B$15,0))),"N/A")</f>
        <v/>
      </c>
      <c r="M91" s="25">
        <f>IFERROR(IF(INDEX('CI&amp;S'!$N$22:$N$39,MATCH($F91,'CI&amp;S'!$B$22:$B$39,0))="","Cell will autofill based on response",INDEX('CI&amp;S'!$N$22:$N$39,MATCH($F91,'CI&amp;S'!$B$22:$B$39,0))),"N/A")</f>
        <v/>
      </c>
      <c r="N91" s="25">
        <f>IFERROR(IF(INDEX('CFOG'!$N$10:$N$16,MATCH($F91,'CFOG'!$B$10:$B$16,0))="","Cell will autofill based on response",INDEX('CFOG'!$N$10:$N$16,MATCH($F91,'CFOG'!$B$10:$B$16,0))),"N/A")</f>
        <v/>
      </c>
      <c r="O91" s="25">
        <f>IFERROR(IF(INDEX('CFOG'!$N$23:$N$24,MATCH($F91,'CFOG'!$B$23:$B$24,0))="","Cell will autofill based on response",INDEX('CFOG'!$N$23:$N$24,MATCH($F91,'CFOG'!$B$23:$B$24,0))),"N/A")</f>
        <v/>
      </c>
      <c r="P91" s="25">
        <f>IFERROR(IF(INDEX('ESG'!$N$10:$N$17,MATCH($F91,'ESG'!$B$10:$B$17,0))="","Cell will autofill based on response",INDEX('ESG'!$N$10:$N$17,MATCH($F91,'ESG'!$B$10:$B$17,0))),"N/A")</f>
        <v/>
      </c>
      <c r="Q91" s="25">
        <f>IFERROR(IF(INDEX('CIOG'!$N$10:$N$14,MATCH($F91,'CIOG'!$B$10:$B$14,0))="","Cell will autofill based on response",INDEX('CIOG'!$N$10:$N$14,MATCH($F91,'CIOG'!$B$10:$B$14,0))),"N/A")</f>
        <v/>
      </c>
      <c r="R91" s="25">
        <f>IFERROR(IF(INDEX('MRE'!$N$10:$N$12,MATCH($F91,'MRE'!$B$10:$B$12,0))="","Cell will autofill based on response",INDEX('MRE'!$N$10:$N$12,MATCH($F91,'MRE'!$B$10:$B$12,0))),"N/A")</f>
        <v/>
      </c>
      <c r="S91" s="25">
        <f>IFERROR(IF(INDEX('L&amp;R'!$N$10:$N$11,MATCH($F91,'L&amp;R'!$B$10:$B$11,0))="","Cell will autofill based on response",INDEX('L&amp;R'!$N$10:$N$11,MATCH($F91,'L&amp;R'!$B$10:$B$11,0))),"N/A")</f>
        <v/>
      </c>
    </row>
    <row r="92">
      <c r="A92">
        <f>F92&amp;"|"&amp;G92</f>
        <v/>
      </c>
      <c r="B92" s="29" t="inlineStr"/>
      <c r="C92" s="8" t="inlineStr"/>
      <c r="D92" s="8" t="inlineStr"/>
      <c r="E92" s="8" t="inlineStr"/>
      <c r="F92" s="8" t="inlineStr">
        <is>
          <t>TR3(b)</t>
        </is>
      </c>
      <c r="G92" s="8" t="inlineStr">
        <is>
          <t>Supporting information/comments</t>
        </is>
      </c>
      <c r="H92" s="25">
        <f>IFERROR(IF(INDEX('Faculties'!$O$10:$O$30,MATCH($F92,'Faculties'!$B$10:$B$30,0))="","Cell will autofill based on response",INDEX('Faculties'!$O$10:$O$30,MATCH($F92,'Faculties'!$B$10:$B$30,0))),"N/A")</f>
        <v/>
      </c>
      <c r="I92" s="25">
        <f>IFERROR(IF(INDEX('Faculties'!$O$37:$O$57,MATCH($F92,'Faculties'!$B$37:$B$57,0))="","Cell will autofill based on response",INDEX('Faculties'!$O$37:$O$57,MATCH($F92,'Faculties'!$B$37:$B$57,0))),"N/A")</f>
        <v/>
      </c>
      <c r="J92" s="25">
        <f>IFERROR(IF(INDEX('Faculties'!$O$64:$O$84,MATCH($F92,'Faculties'!$B$64:$B$84,0))="","Cell will autofill based on response",INDEX('Faculties'!$O$64:$O$84,MATCH($F92,'Faculties'!$B$64:$B$84,0))),"N/A")</f>
        <v/>
      </c>
      <c r="K92" s="25">
        <f>IFERROR(IF(INDEX('Faculties'!$O$91:$O$111,MATCH($F92,'Faculties'!$B$91:$B$111,0))="","Cell will autofill based on response",INDEX('Faculties'!$O$91:$O$111,MATCH($F92,'Faculties'!$B$91:$B$111,0))),"N/A")</f>
        <v/>
      </c>
      <c r="L92" s="25">
        <f>IFERROR(IF(INDEX('CI&amp;S'!$O$10:$O$15,MATCH($F92,'CI&amp;S'!$B$10:$B$15,0))="","Cell will autofill based on response",INDEX('CI&amp;S'!$O$10:$O$15,MATCH($F92,'CI&amp;S'!$B$10:$B$15,0))),"N/A")</f>
        <v/>
      </c>
      <c r="M92" s="25">
        <f>IFERROR(IF(INDEX('CI&amp;S'!$O$22:$O$39,MATCH($F92,'CI&amp;S'!$B$22:$B$39,0))="","Cell will autofill based on response",INDEX('CI&amp;S'!$O$22:$O$39,MATCH($F92,'CI&amp;S'!$B$22:$B$39,0))),"N/A")</f>
        <v/>
      </c>
      <c r="N92" s="25">
        <f>IFERROR(IF(INDEX('CFOG'!$O$10:$O$16,MATCH($F92,'CFOG'!$B$10:$B$16,0))="","Cell will autofill based on response",INDEX('CFOG'!$O$10:$O$16,MATCH($F92,'CFOG'!$B$10:$B$16,0))),"N/A")</f>
        <v/>
      </c>
      <c r="O92" s="25">
        <f>IFERROR(IF(INDEX('CFOG'!$O$23:$O$24,MATCH($F92,'CFOG'!$B$23:$B$24,0))="","Cell will autofill based on response",INDEX('CFOG'!$O$23:$O$24,MATCH($F92,'CFOG'!$B$23:$B$24,0))),"N/A")</f>
        <v/>
      </c>
      <c r="P92" s="25">
        <f>IFERROR(IF(INDEX('ESG'!$O$10:$O$17,MATCH($F92,'ESG'!$B$10:$B$17,0))="","Cell will autofill based on response",INDEX('ESG'!$O$10:$O$17,MATCH($F92,'ESG'!$B$10:$B$17,0))),"N/A")</f>
        <v/>
      </c>
      <c r="Q92" s="25">
        <f>IFERROR(IF(INDEX('CIOG'!$O$10:$O$14,MATCH($F92,'CIOG'!$B$10:$B$14,0))="","Cell will autofill based on response",INDEX('CIOG'!$O$10:$O$14,MATCH($F92,'CIOG'!$B$10:$B$14,0))),"N/A")</f>
        <v/>
      </c>
      <c r="R92" s="25">
        <f>IFERROR(IF(INDEX('MRE'!$O$10:$O$12,MATCH($F92,'MRE'!$B$10:$B$12,0))="","Cell will autofill based on response",INDEX('MRE'!$O$10:$O$12,MATCH($F92,'MRE'!$B$10:$B$12,0))),"N/A")</f>
        <v/>
      </c>
      <c r="S92" s="25">
        <f>IFERROR(IF(INDEX('L&amp;R'!$O$10:$O$11,MATCH($F92,'L&amp;R'!$B$10:$B$11,0))="","Cell will autofill based on response",INDEX('L&amp;R'!$O$10:$O$11,MATCH($F92,'L&amp;R'!$B$10:$B$11,0))),"N/A")</f>
        <v/>
      </c>
    </row>
    <row r="93">
      <c r="A93">
        <f>F93&amp;"|"&amp;G93</f>
        <v/>
      </c>
      <c r="B93" s="29" t="inlineStr"/>
      <c r="C93" s="8" t="inlineStr"/>
      <c r="D93" s="8" t="inlineStr"/>
      <c r="E93" s="8" t="inlineStr"/>
      <c r="F93" s="8" t="inlineStr">
        <is>
          <t>TR3(b)</t>
        </is>
      </c>
      <c r="G93" s="8" t="inlineStr">
        <is>
          <t>Data source and limitations</t>
        </is>
      </c>
      <c r="H93" s="25">
        <f>IFERROR(IF(INDEX('Faculties'!$P$10:$P$30,MATCH($F93,'Faculties'!$B$10:$B$30,0))="","Cell will autofill based on response",INDEX('Faculties'!$P$10:$P$30,MATCH($F93,'Faculties'!$B$10:$B$30,0))),"N/A")</f>
        <v/>
      </c>
      <c r="I93" s="25">
        <f>IFERROR(IF(INDEX('Faculties'!$P$37:$P$57,MATCH($F93,'Faculties'!$B$37:$B$57,0))="","Cell will autofill based on response",INDEX('Faculties'!$P$37:$P$57,MATCH($F93,'Faculties'!$B$37:$B$57,0))),"N/A")</f>
        <v/>
      </c>
      <c r="J93" s="25">
        <f>IFERROR(IF(INDEX('Faculties'!$P$64:$P$84,MATCH($F93,'Faculties'!$B$64:$B$84,0))="","Cell will autofill based on response",INDEX('Faculties'!$P$64:$P$84,MATCH($F93,'Faculties'!$B$64:$B$84,0))),"N/A")</f>
        <v/>
      </c>
      <c r="K93" s="25">
        <f>IFERROR(IF(INDEX('Faculties'!$P$91:$P$111,MATCH($F93,'Faculties'!$B$91:$B$111,0))="","Cell will autofill based on response",INDEX('Faculties'!$P$91:$P$111,MATCH($F93,'Faculties'!$B$91:$B$111,0))),"N/A")</f>
        <v/>
      </c>
      <c r="L93" s="25">
        <f>IFERROR(IF(INDEX('CI&amp;S'!$P$10:$P$15,MATCH($F93,'CI&amp;S'!$B$10:$B$15,0))="","Cell will autofill based on response",INDEX('CI&amp;S'!$P$10:$P$15,MATCH($F93,'CI&amp;S'!$B$10:$B$15,0))),"N/A")</f>
        <v/>
      </c>
      <c r="M93" s="25">
        <f>IFERROR(IF(INDEX('CI&amp;S'!$P$22:$P$39,MATCH($F93,'CI&amp;S'!$B$22:$B$39,0))="","Cell will autofill based on response",INDEX('CI&amp;S'!$P$22:$P$39,MATCH($F93,'CI&amp;S'!$B$22:$B$39,0))),"N/A")</f>
        <v/>
      </c>
      <c r="N93" s="25">
        <f>IFERROR(IF(INDEX('CFOG'!$P$10:$P$16,MATCH($F93,'CFOG'!$B$10:$B$16,0))="","Cell will autofill based on response",INDEX('CFOG'!$P$10:$P$16,MATCH($F93,'CFOG'!$B$10:$B$16,0))),"N/A")</f>
        <v/>
      </c>
      <c r="O93" s="25">
        <f>IFERROR(IF(INDEX('CFOG'!$P$23:$P$24,MATCH($F93,'CFOG'!$B$23:$B$24,0))="","Cell will autofill based on response",INDEX('CFOG'!$P$23:$P$24,MATCH($F93,'CFOG'!$B$23:$B$24,0))),"N/A")</f>
        <v/>
      </c>
      <c r="P93" s="25">
        <f>IFERROR(IF(INDEX('ESG'!$P$10:$P$17,MATCH($F93,'ESG'!$B$10:$B$17,0))="","Cell will autofill based on response",INDEX('ESG'!$P$10:$P$17,MATCH($F93,'ESG'!$B$10:$B$17,0))),"N/A")</f>
        <v/>
      </c>
      <c r="Q93" s="25">
        <f>IFERROR(IF(INDEX('CIOG'!$P$10:$P$14,MATCH($F93,'CIOG'!$B$10:$B$14,0))="","Cell will autofill based on response",INDEX('CIOG'!$P$10:$P$14,MATCH($F93,'CIOG'!$B$10:$B$14,0))),"N/A")</f>
        <v/>
      </c>
      <c r="R93" s="25">
        <f>IFERROR(IF(INDEX('MRE'!$P$10:$P$12,MATCH($F93,'MRE'!$B$10:$B$12,0))="","Cell will autofill based on response",INDEX('MRE'!$P$10:$P$12,MATCH($F93,'MRE'!$B$10:$B$12,0))),"N/A")</f>
        <v/>
      </c>
      <c r="S93" s="25">
        <f>IFERROR(IF(INDEX('L&amp;R'!$P$10:$P$11,MATCH($F93,'L&amp;R'!$B$10:$B$11,0))="","Cell will autofill based on response",INDEX('L&amp;R'!$P$10:$P$11,MATCH($F93,'L&amp;R'!$B$10:$B$11,0))),"N/A")</f>
        <v/>
      </c>
    </row>
    <row r="94">
      <c r="A94">
        <f>F94&amp;"|"&amp;G94</f>
        <v/>
      </c>
      <c r="B94" s="29" t="inlineStr"/>
      <c r="C94" s="8" t="inlineStr"/>
      <c r="D94" s="8" t="inlineStr"/>
      <c r="E94" s="8" t="inlineStr"/>
      <c r="F94" s="8" t="inlineStr">
        <is>
          <t>TR3(b)</t>
        </is>
      </c>
      <c r="G94" s="8" t="inlineStr">
        <is>
          <t>Data owner confirms</t>
        </is>
      </c>
      <c r="H94" s="25">
        <f>IFERROR(IF(INDEX('Faculties'!$Q$10:$Q$30,MATCH($F94,'Faculties'!$B$10:$B$30,0))="","Cell will autofill based on response",INDEX('Faculties'!$Q$10:$Q$30,MATCH($F94,'Faculties'!$B$10:$B$30,0))),"N/A")</f>
        <v/>
      </c>
      <c r="I94" s="25">
        <f>IFERROR(IF(INDEX('Faculties'!$Q$37:$Q$57,MATCH($F94,'Faculties'!$B$37:$B$57,0))="","Cell will autofill based on response",INDEX('Faculties'!$Q$37:$Q$57,MATCH($F94,'Faculties'!$B$37:$B$57,0))),"N/A")</f>
        <v/>
      </c>
      <c r="J94" s="25">
        <f>IFERROR(IF(INDEX('Faculties'!$Q$64:$Q$84,MATCH($F94,'Faculties'!$B$64:$B$84,0))="","Cell will autofill based on response",INDEX('Faculties'!$Q$64:$Q$84,MATCH($F94,'Faculties'!$B$64:$B$84,0))),"N/A")</f>
        <v/>
      </c>
      <c r="K94" s="25">
        <f>IFERROR(IF(INDEX('Faculties'!$Q$91:$Q$111,MATCH($F94,'Faculties'!$B$91:$B$111,0))="","Cell will autofill based on response",INDEX('Faculties'!$Q$91:$Q$111,MATCH($F94,'Faculties'!$B$91:$B$111,0))),"N/A")</f>
        <v/>
      </c>
      <c r="L94" s="25">
        <f>IFERROR(IF(INDEX('CI&amp;S'!$Q$10:$Q$15,MATCH($F94,'CI&amp;S'!$B$10:$B$15,0))="","Cell will autofill based on response",INDEX('CI&amp;S'!$Q$10:$Q$15,MATCH($F94,'CI&amp;S'!$B$10:$B$15,0))),"N/A")</f>
        <v/>
      </c>
      <c r="M94" s="25">
        <f>IFERROR(IF(INDEX('CI&amp;S'!$Q$22:$Q$39,MATCH($F94,'CI&amp;S'!$B$22:$B$39,0))="","Cell will autofill based on response",INDEX('CI&amp;S'!$Q$22:$Q$39,MATCH($F94,'CI&amp;S'!$B$22:$B$39,0))),"N/A")</f>
        <v/>
      </c>
      <c r="N94" s="25">
        <f>IFERROR(IF(INDEX('CFOG'!$Q$10:$Q$16,MATCH($F94,'CFOG'!$B$10:$B$16,0))="","Cell will autofill based on response",INDEX('CFOG'!$Q$10:$Q$16,MATCH($F94,'CFOG'!$B$10:$B$16,0))),"N/A")</f>
        <v/>
      </c>
      <c r="O94" s="25">
        <f>IFERROR(IF(INDEX('CFOG'!$Q$23:$Q$24,MATCH($F94,'CFOG'!$B$23:$B$24,0))="","Cell will autofill based on response",INDEX('CFOG'!$Q$23:$Q$24,MATCH($F94,'CFOG'!$B$23:$B$24,0))),"N/A")</f>
        <v/>
      </c>
      <c r="P94" s="25">
        <f>IFERROR(IF(INDEX('ESG'!$Q$10:$Q$17,MATCH($F94,'ESG'!$B$10:$B$17,0))="","Cell will autofill based on response",INDEX('ESG'!$Q$10:$Q$17,MATCH($F94,'ESG'!$B$10:$B$17,0))),"N/A")</f>
        <v/>
      </c>
      <c r="Q94" s="25">
        <f>IFERROR(IF(INDEX('CIOG'!$Q$10:$Q$14,MATCH($F94,'CIOG'!$B$10:$B$14,0))="","Cell will autofill based on response",INDEX('CIOG'!$Q$10:$Q$14,MATCH($F94,'CIOG'!$B$10:$B$14,0))),"N/A")</f>
        <v/>
      </c>
      <c r="R94" s="25">
        <f>IFERROR(IF(INDEX('MRE'!$Q$10:$Q$12,MATCH($F94,'MRE'!$B$10:$B$12,0))="","Cell will autofill based on response",INDEX('MRE'!$Q$10:$Q$12,MATCH($F94,'MRE'!$B$10:$B$12,0))),"N/A")</f>
        <v/>
      </c>
      <c r="S94" s="25">
        <f>IFERROR(IF(INDEX('L&amp;R'!$Q$10:$Q$11,MATCH($F94,'L&amp;R'!$B$10:$B$11,0))="","Cell will autofill based on response",INDEX('L&amp;R'!$Q$10:$Q$11,MATCH($F94,'L&amp;R'!$B$10:$B$11,0))),"N/A")</f>
        <v/>
      </c>
    </row>
    <row r="95">
      <c r="A95">
        <f>F95&amp;"|"&amp;G95</f>
        <v/>
      </c>
      <c r="B95" s="7" t="inlineStr">
        <is>
          <t>TR3(c)</t>
        </is>
      </c>
      <c r="C95" s="12" t="inlineStr">
        <is>
          <t>Transformational research</t>
        </is>
      </c>
      <c r="D95" s="12" t="inlineStr">
        <is>
          <t>Evidence of progress in sustainability-related research culture, capability and awareness, informed by periodic staff and graduate researcher surveys</t>
        </is>
      </c>
      <c r="E95"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95" s="12" t="inlineStr">
        <is>
          <t>TR3(c)</t>
        </is>
      </c>
      <c r="G95" s="12" t="inlineStr">
        <is>
          <t>Confirm end-2026 target status</t>
        </is>
      </c>
      <c r="H95" s="25">
        <f>IFERROR(IF(INDEX('Faculties'!$L$10:$L$30,MATCH($F95,'Faculties'!$B$10:$B$30,0))="","Cell will autofill based on response",INDEX('Faculties'!$L$10:$L$30,MATCH($F95,'Faculties'!$B$10:$B$30,0))),"N/A")</f>
        <v/>
      </c>
      <c r="I95" s="25">
        <f>IFERROR(IF(INDEX('Faculties'!$L$37:$L$57,MATCH($F95,'Faculties'!$B$37:$B$57,0))="","Cell will autofill based on response",INDEX('Faculties'!$L$37:$L$57,MATCH($F95,'Faculties'!$B$37:$B$57,0))),"N/A")</f>
        <v/>
      </c>
      <c r="J95" s="25">
        <f>IFERROR(IF(INDEX('Faculties'!$L$64:$L$84,MATCH($F95,'Faculties'!$B$64:$B$84,0))="","Cell will autofill based on response",INDEX('Faculties'!$L$64:$L$84,MATCH($F95,'Faculties'!$B$64:$B$84,0))),"N/A")</f>
        <v/>
      </c>
      <c r="K95" s="25">
        <f>IFERROR(IF(INDEX('Faculties'!$L$91:$L$111,MATCH($F95,'Faculties'!$B$91:$B$111,0))="","Cell will autofill based on response",INDEX('Faculties'!$L$91:$L$111,MATCH($F95,'Faculties'!$B$91:$B$111,0))),"N/A")</f>
        <v/>
      </c>
      <c r="L95" s="25">
        <f>IFERROR(IF(INDEX('CI&amp;S'!$L$10:$L$15,MATCH($F95,'CI&amp;S'!$B$10:$B$15,0))="","Cell will autofill based on response",INDEX('CI&amp;S'!$L$10:$L$15,MATCH($F95,'CI&amp;S'!$B$10:$B$15,0))),"N/A")</f>
        <v/>
      </c>
      <c r="M95" s="25">
        <f>IFERROR(IF(INDEX('CI&amp;S'!$L$22:$L$39,MATCH($F95,'CI&amp;S'!$B$22:$B$39,0))="","Cell will autofill based on response",INDEX('CI&amp;S'!$L$22:$L$39,MATCH($F95,'CI&amp;S'!$B$22:$B$39,0))),"N/A")</f>
        <v/>
      </c>
      <c r="N95" s="25">
        <f>IFERROR(IF(INDEX('CFOG'!$L$10:$L$16,MATCH($F95,'CFOG'!$B$10:$B$16,0))="","Cell will autofill based on response",INDEX('CFOG'!$L$10:$L$16,MATCH($F95,'CFOG'!$B$10:$B$16,0))),"N/A")</f>
        <v/>
      </c>
      <c r="O95" s="25">
        <f>IFERROR(IF(INDEX('CFOG'!$L$23:$L$24,MATCH($F95,'CFOG'!$B$23:$B$24,0))="","Cell will autofill based on response",INDEX('CFOG'!$L$23:$L$24,MATCH($F95,'CFOG'!$B$23:$B$24,0))),"N/A")</f>
        <v/>
      </c>
      <c r="P95" s="25">
        <f>IFERROR(IF(INDEX('ESG'!$L$10:$L$17,MATCH($F95,'ESG'!$B$10:$B$17,0))="","Cell will autofill based on response",INDEX('ESG'!$L$10:$L$17,MATCH($F95,'ESG'!$B$10:$B$17,0))),"N/A")</f>
        <v/>
      </c>
      <c r="Q95" s="25">
        <f>IFERROR(IF(INDEX('CIOG'!$L$10:$L$14,MATCH($F95,'CIOG'!$B$10:$B$14,0))="","Cell will autofill based on response",INDEX('CIOG'!$L$10:$L$14,MATCH($F95,'CIOG'!$B$10:$B$14,0))),"N/A")</f>
        <v/>
      </c>
      <c r="R95" s="25">
        <f>IFERROR(IF(INDEX('MRE'!$L$10:$L$12,MATCH($F95,'MRE'!$B$10:$B$12,0))="","Cell will autofill based on response",INDEX('MRE'!$L$10:$L$12,MATCH($F95,'MRE'!$B$10:$B$12,0))),"N/A")</f>
        <v/>
      </c>
      <c r="S95" s="25">
        <f>IFERROR(IF(INDEX('L&amp;R'!$L$10:$L$11,MATCH($F95,'L&amp;R'!$B$10:$B$11,0))="","Cell will autofill based on response",INDEX('L&amp;R'!$L$10:$L$11,MATCH($F95,'L&amp;R'!$B$10:$B$11,0))),"N/A")</f>
        <v/>
      </c>
      <c r="U95" s="26">
        <f>COUNTIF($H95:$S95,"Cell will autofill based on response")</f>
        <v/>
      </c>
      <c r="V95" s="26">
        <f>COUNTIF($H95:$S95,"Not yet started")</f>
        <v/>
      </c>
      <c r="W95" s="26">
        <f>COUNTIF($H95:$S95,"Not met")</f>
        <v/>
      </c>
      <c r="X95" s="26">
        <f>COUNTIF($H95:$S95,"Partially met")</f>
        <v/>
      </c>
      <c r="Y95" s="26">
        <f>COUNTIF($H95:$S95,"Met or exceeded")</f>
        <v/>
      </c>
      <c r="Z95" s="26">
        <f>3*Y95+2*X95+W95</f>
        <v/>
      </c>
      <c r="AA95" s="26">
        <f>Y95+X95+W95+V95</f>
        <v/>
      </c>
      <c r="AB95" s="27">
        <f>IF(AA95&gt;0,Z95/AA95,"No valid responses to date")</f>
        <v/>
      </c>
      <c r="AC95" s="26">
        <f>IF(ISNUMBER(AB95),INDEX(Lists!$G$2:$G$5,MATCH(ROUND(AB95,0),Lists!$H$2:$H$5,0)),"")</f>
        <v/>
      </c>
      <c r="AD95" s="28">
        <f>IF(AA95&gt;0,Y95/AA95,"")</f>
        <v/>
      </c>
      <c r="AE95" s="28">
        <f>IF(AA95&gt;0,(Y95+X95)/AA95,"")</f>
        <v/>
      </c>
      <c r="AF95" s="26">
        <f>IF(AA95=0,"",IF(AD95&gt;0.75,"Met or exceeded",IF(AE95&gt;=0.5,"Partially met","Not met")))</f>
        <v/>
      </c>
    </row>
    <row r="96">
      <c r="A96">
        <f>F96&amp;"|"&amp;G96</f>
        <v/>
      </c>
      <c r="B96" s="29" t="inlineStr"/>
      <c r="C96" s="8" t="inlineStr"/>
      <c r="D96" s="8" t="inlineStr"/>
      <c r="E96" s="8" t="inlineStr"/>
      <c r="F96" s="8" t="inlineStr">
        <is>
          <t>TR3(c)</t>
        </is>
      </c>
      <c r="G96" s="8" t="inlineStr">
        <is>
          <t>OPTION 1:  Target-level reporting</t>
        </is>
      </c>
      <c r="H96" s="25">
        <f>IFERROR(IF(INDEX('Faculties'!$M$10:$M$30,MATCH($F96,'Faculties'!$B$10:$B$30,0))="","Cell will autofill based on response",INDEX('Faculties'!$M$10:$M$30,MATCH($F96,'Faculties'!$B$10:$B$30,0))),"N/A")</f>
        <v/>
      </c>
      <c r="I96" s="25">
        <f>IFERROR(IF(INDEX('Faculties'!$M$37:$M$57,MATCH($F96,'Faculties'!$B$37:$B$57,0))="","Cell will autofill based on response",INDEX('Faculties'!$M$37:$M$57,MATCH($F96,'Faculties'!$B$37:$B$57,0))),"N/A")</f>
        <v/>
      </c>
      <c r="J96" s="25">
        <f>IFERROR(IF(INDEX('Faculties'!$M$64:$M$84,MATCH($F96,'Faculties'!$B$64:$B$84,0))="","Cell will autofill based on response",INDEX('Faculties'!$M$64:$M$84,MATCH($F96,'Faculties'!$B$64:$B$84,0))),"N/A")</f>
        <v/>
      </c>
      <c r="K96" s="25">
        <f>IFERROR(IF(INDEX('Faculties'!$M$91:$M$111,MATCH($F96,'Faculties'!$B$91:$B$111,0))="","Cell will autofill based on response",INDEX('Faculties'!$M$91:$M$111,MATCH($F96,'Faculties'!$B$91:$B$111,0))),"N/A")</f>
        <v/>
      </c>
      <c r="L96" s="25">
        <f>IFERROR(IF(INDEX('CI&amp;S'!$M$10:$M$15,MATCH($F96,'CI&amp;S'!$B$10:$B$15,0))="","Cell will autofill based on response",INDEX('CI&amp;S'!$M$10:$M$15,MATCH($F96,'CI&amp;S'!$B$10:$B$15,0))),"N/A")</f>
        <v/>
      </c>
      <c r="M96" s="25">
        <f>IFERROR(IF(INDEX('CI&amp;S'!$M$22:$M$39,MATCH($F96,'CI&amp;S'!$B$22:$B$39,0))="","Cell will autofill based on response",INDEX('CI&amp;S'!$M$22:$M$39,MATCH($F96,'CI&amp;S'!$B$22:$B$39,0))),"N/A")</f>
        <v/>
      </c>
      <c r="N96" s="25">
        <f>IFERROR(IF(INDEX('CFOG'!$M$10:$M$16,MATCH($F96,'CFOG'!$B$10:$B$16,0))="","Cell will autofill based on response",INDEX('CFOG'!$M$10:$M$16,MATCH($F96,'CFOG'!$B$10:$B$16,0))),"N/A")</f>
        <v/>
      </c>
      <c r="O96" s="25">
        <f>IFERROR(IF(INDEX('CFOG'!$M$23:$M$24,MATCH($F96,'CFOG'!$B$23:$B$24,0))="","Cell will autofill based on response",INDEX('CFOG'!$M$23:$M$24,MATCH($F96,'CFOG'!$B$23:$B$24,0))),"N/A")</f>
        <v/>
      </c>
      <c r="P96" s="25">
        <f>IFERROR(IF(INDEX('ESG'!$M$10:$M$17,MATCH($F96,'ESG'!$B$10:$B$17,0))="","Cell will autofill based on response",INDEX('ESG'!$M$10:$M$17,MATCH($F96,'ESG'!$B$10:$B$17,0))),"N/A")</f>
        <v/>
      </c>
      <c r="Q96" s="25">
        <f>IFERROR(IF(INDEX('CIOG'!$M$10:$M$14,MATCH($F96,'CIOG'!$B$10:$B$14,0))="","Cell will autofill based on response",INDEX('CIOG'!$M$10:$M$14,MATCH($F96,'CIOG'!$B$10:$B$14,0))),"N/A")</f>
        <v/>
      </c>
      <c r="R96" s="25">
        <f>IFERROR(IF(INDEX('MRE'!$M$10:$M$12,MATCH($F96,'MRE'!$B$10:$B$12,0))="","Cell will autofill based on response",INDEX('MRE'!$M$10:$M$12,MATCH($F96,'MRE'!$B$10:$B$12,0))),"N/A")</f>
        <v/>
      </c>
      <c r="S96" s="25">
        <f>IFERROR(IF(INDEX('L&amp;R'!$M$10:$M$11,MATCH($F96,'L&amp;R'!$B$10:$B$11,0))="","Cell will autofill based on response",INDEX('L&amp;R'!$M$10:$M$11,MATCH($F96,'L&amp;R'!$B$10:$B$11,0))),"N/A")</f>
        <v/>
      </c>
    </row>
    <row r="97">
      <c r="A97">
        <f>F97&amp;"|"&amp;G97</f>
        <v/>
      </c>
      <c r="B97" s="29" t="inlineStr"/>
      <c r="C97" s="8" t="inlineStr"/>
      <c r="D97" s="8" t="inlineStr"/>
      <c r="E97" s="8" t="inlineStr"/>
      <c r="F97" s="8" t="inlineStr">
        <is>
          <t>TR3(c)</t>
        </is>
      </c>
      <c r="G97" s="8" t="inlineStr">
        <is>
          <t>OPTION 2:  Indicator level reporting</t>
        </is>
      </c>
      <c r="H97" s="25">
        <f>IFERROR(IF(INDEX('Faculties'!$N$10:$N$30,MATCH($F97,'Faculties'!$B$10:$B$30,0))="","Cell will autofill based on response",INDEX('Faculties'!$N$10:$N$30,MATCH($F97,'Faculties'!$B$10:$B$30,0))),"N/A")</f>
        <v/>
      </c>
      <c r="I97" s="25">
        <f>IFERROR(IF(INDEX('Faculties'!$N$37:$N$57,MATCH($F97,'Faculties'!$B$37:$B$57,0))="","Cell will autofill based on response",INDEX('Faculties'!$N$37:$N$57,MATCH($F97,'Faculties'!$B$37:$B$57,0))),"N/A")</f>
        <v/>
      </c>
      <c r="J97" s="25">
        <f>IFERROR(IF(INDEX('Faculties'!$N$64:$N$84,MATCH($F97,'Faculties'!$B$64:$B$84,0))="","Cell will autofill based on response",INDEX('Faculties'!$N$64:$N$84,MATCH($F97,'Faculties'!$B$64:$B$84,0))),"N/A")</f>
        <v/>
      </c>
      <c r="K97" s="25">
        <f>IFERROR(IF(INDEX('Faculties'!$N$91:$N$111,MATCH($F97,'Faculties'!$B$91:$B$111,0))="","Cell will autofill based on response",INDEX('Faculties'!$N$91:$N$111,MATCH($F97,'Faculties'!$B$91:$B$111,0))),"N/A")</f>
        <v/>
      </c>
      <c r="L97" s="25">
        <f>IFERROR(IF(INDEX('CI&amp;S'!$N$10:$N$15,MATCH($F97,'CI&amp;S'!$B$10:$B$15,0))="","Cell will autofill based on response",INDEX('CI&amp;S'!$N$10:$N$15,MATCH($F97,'CI&amp;S'!$B$10:$B$15,0))),"N/A")</f>
        <v/>
      </c>
      <c r="M97" s="25">
        <f>IFERROR(IF(INDEX('CI&amp;S'!$N$22:$N$39,MATCH($F97,'CI&amp;S'!$B$22:$B$39,0))="","Cell will autofill based on response",INDEX('CI&amp;S'!$N$22:$N$39,MATCH($F97,'CI&amp;S'!$B$22:$B$39,0))),"N/A")</f>
        <v/>
      </c>
      <c r="N97" s="25">
        <f>IFERROR(IF(INDEX('CFOG'!$N$10:$N$16,MATCH($F97,'CFOG'!$B$10:$B$16,0))="","Cell will autofill based on response",INDEX('CFOG'!$N$10:$N$16,MATCH($F97,'CFOG'!$B$10:$B$16,0))),"N/A")</f>
        <v/>
      </c>
      <c r="O97" s="25">
        <f>IFERROR(IF(INDEX('CFOG'!$N$23:$N$24,MATCH($F97,'CFOG'!$B$23:$B$24,0))="","Cell will autofill based on response",INDEX('CFOG'!$N$23:$N$24,MATCH($F97,'CFOG'!$B$23:$B$24,0))),"N/A")</f>
        <v/>
      </c>
      <c r="P97" s="25">
        <f>IFERROR(IF(INDEX('ESG'!$N$10:$N$17,MATCH($F97,'ESG'!$B$10:$B$17,0))="","Cell will autofill based on response",INDEX('ESG'!$N$10:$N$17,MATCH($F97,'ESG'!$B$10:$B$17,0))),"N/A")</f>
        <v/>
      </c>
      <c r="Q97" s="25">
        <f>IFERROR(IF(INDEX('CIOG'!$N$10:$N$14,MATCH($F97,'CIOG'!$B$10:$B$14,0))="","Cell will autofill based on response",INDEX('CIOG'!$N$10:$N$14,MATCH($F97,'CIOG'!$B$10:$B$14,0))),"N/A")</f>
        <v/>
      </c>
      <c r="R97" s="25">
        <f>IFERROR(IF(INDEX('MRE'!$N$10:$N$12,MATCH($F97,'MRE'!$B$10:$B$12,0))="","Cell will autofill based on response",INDEX('MRE'!$N$10:$N$12,MATCH($F97,'MRE'!$B$10:$B$12,0))),"N/A")</f>
        <v/>
      </c>
      <c r="S97" s="25">
        <f>IFERROR(IF(INDEX('L&amp;R'!$N$10:$N$11,MATCH($F97,'L&amp;R'!$B$10:$B$11,0))="","Cell will autofill based on response",INDEX('L&amp;R'!$N$10:$N$11,MATCH($F97,'L&amp;R'!$B$10:$B$11,0))),"N/A")</f>
        <v/>
      </c>
    </row>
    <row r="98">
      <c r="A98">
        <f>F98&amp;"|"&amp;G98</f>
        <v/>
      </c>
      <c r="B98" s="29" t="inlineStr"/>
      <c r="C98" s="8" t="inlineStr"/>
      <c r="D98" s="8" t="inlineStr"/>
      <c r="E98" s="8" t="inlineStr"/>
      <c r="F98" s="8" t="inlineStr">
        <is>
          <t>TR3(c)</t>
        </is>
      </c>
      <c r="G98" s="8" t="inlineStr">
        <is>
          <t>Supporting information/comments</t>
        </is>
      </c>
      <c r="H98" s="25">
        <f>IFERROR(IF(INDEX('Faculties'!$O$10:$O$30,MATCH($F98,'Faculties'!$B$10:$B$30,0))="","Cell will autofill based on response",INDEX('Faculties'!$O$10:$O$30,MATCH($F98,'Faculties'!$B$10:$B$30,0))),"N/A")</f>
        <v/>
      </c>
      <c r="I98" s="25">
        <f>IFERROR(IF(INDEX('Faculties'!$O$37:$O$57,MATCH($F98,'Faculties'!$B$37:$B$57,0))="","Cell will autofill based on response",INDEX('Faculties'!$O$37:$O$57,MATCH($F98,'Faculties'!$B$37:$B$57,0))),"N/A")</f>
        <v/>
      </c>
      <c r="J98" s="25">
        <f>IFERROR(IF(INDEX('Faculties'!$O$64:$O$84,MATCH($F98,'Faculties'!$B$64:$B$84,0))="","Cell will autofill based on response",INDEX('Faculties'!$O$64:$O$84,MATCH($F98,'Faculties'!$B$64:$B$84,0))),"N/A")</f>
        <v/>
      </c>
      <c r="K98" s="25">
        <f>IFERROR(IF(INDEX('Faculties'!$O$91:$O$111,MATCH($F98,'Faculties'!$B$91:$B$111,0))="","Cell will autofill based on response",INDEX('Faculties'!$O$91:$O$111,MATCH($F98,'Faculties'!$B$91:$B$111,0))),"N/A")</f>
        <v/>
      </c>
      <c r="L98" s="25">
        <f>IFERROR(IF(INDEX('CI&amp;S'!$O$10:$O$15,MATCH($F98,'CI&amp;S'!$B$10:$B$15,0))="","Cell will autofill based on response",INDEX('CI&amp;S'!$O$10:$O$15,MATCH($F98,'CI&amp;S'!$B$10:$B$15,0))),"N/A")</f>
        <v/>
      </c>
      <c r="M98" s="25">
        <f>IFERROR(IF(INDEX('CI&amp;S'!$O$22:$O$39,MATCH($F98,'CI&amp;S'!$B$22:$B$39,0))="","Cell will autofill based on response",INDEX('CI&amp;S'!$O$22:$O$39,MATCH($F98,'CI&amp;S'!$B$22:$B$39,0))),"N/A")</f>
        <v/>
      </c>
      <c r="N98" s="25">
        <f>IFERROR(IF(INDEX('CFOG'!$O$10:$O$16,MATCH($F98,'CFOG'!$B$10:$B$16,0))="","Cell will autofill based on response",INDEX('CFOG'!$O$10:$O$16,MATCH($F98,'CFOG'!$B$10:$B$16,0))),"N/A")</f>
        <v/>
      </c>
      <c r="O98" s="25">
        <f>IFERROR(IF(INDEX('CFOG'!$O$23:$O$24,MATCH($F98,'CFOG'!$B$23:$B$24,0))="","Cell will autofill based on response",INDEX('CFOG'!$O$23:$O$24,MATCH($F98,'CFOG'!$B$23:$B$24,0))),"N/A")</f>
        <v/>
      </c>
      <c r="P98" s="25">
        <f>IFERROR(IF(INDEX('ESG'!$O$10:$O$17,MATCH($F98,'ESG'!$B$10:$B$17,0))="","Cell will autofill based on response",INDEX('ESG'!$O$10:$O$17,MATCH($F98,'ESG'!$B$10:$B$17,0))),"N/A")</f>
        <v/>
      </c>
      <c r="Q98" s="25">
        <f>IFERROR(IF(INDEX('CIOG'!$O$10:$O$14,MATCH($F98,'CIOG'!$B$10:$B$14,0))="","Cell will autofill based on response",INDEX('CIOG'!$O$10:$O$14,MATCH($F98,'CIOG'!$B$10:$B$14,0))),"N/A")</f>
        <v/>
      </c>
      <c r="R98" s="25">
        <f>IFERROR(IF(INDEX('MRE'!$O$10:$O$12,MATCH($F98,'MRE'!$B$10:$B$12,0))="","Cell will autofill based on response",INDEX('MRE'!$O$10:$O$12,MATCH($F98,'MRE'!$B$10:$B$12,0))),"N/A")</f>
        <v/>
      </c>
      <c r="S98" s="25">
        <f>IFERROR(IF(INDEX('L&amp;R'!$O$10:$O$11,MATCH($F98,'L&amp;R'!$B$10:$B$11,0))="","Cell will autofill based on response",INDEX('L&amp;R'!$O$10:$O$11,MATCH($F98,'L&amp;R'!$B$10:$B$11,0))),"N/A")</f>
        <v/>
      </c>
    </row>
    <row r="99">
      <c r="A99">
        <f>F99&amp;"|"&amp;G99</f>
        <v/>
      </c>
      <c r="B99" s="29" t="inlineStr"/>
      <c r="C99" s="8" t="inlineStr"/>
      <c r="D99" s="8" t="inlineStr"/>
      <c r="E99" s="8" t="inlineStr"/>
      <c r="F99" s="8" t="inlineStr">
        <is>
          <t>TR3(c)</t>
        </is>
      </c>
      <c r="G99" s="8" t="inlineStr">
        <is>
          <t>Data source and limitations</t>
        </is>
      </c>
      <c r="H99" s="25">
        <f>IFERROR(IF(INDEX('Faculties'!$P$10:$P$30,MATCH($F99,'Faculties'!$B$10:$B$30,0))="","Cell will autofill based on response",INDEX('Faculties'!$P$10:$P$30,MATCH($F99,'Faculties'!$B$10:$B$30,0))),"N/A")</f>
        <v/>
      </c>
      <c r="I99" s="25">
        <f>IFERROR(IF(INDEX('Faculties'!$P$37:$P$57,MATCH($F99,'Faculties'!$B$37:$B$57,0))="","Cell will autofill based on response",INDEX('Faculties'!$P$37:$P$57,MATCH($F99,'Faculties'!$B$37:$B$57,0))),"N/A")</f>
        <v/>
      </c>
      <c r="J99" s="25">
        <f>IFERROR(IF(INDEX('Faculties'!$P$64:$P$84,MATCH($F99,'Faculties'!$B$64:$B$84,0))="","Cell will autofill based on response",INDEX('Faculties'!$P$64:$P$84,MATCH($F99,'Faculties'!$B$64:$B$84,0))),"N/A")</f>
        <v/>
      </c>
      <c r="K99" s="25">
        <f>IFERROR(IF(INDEX('Faculties'!$P$91:$P$111,MATCH($F99,'Faculties'!$B$91:$B$111,0))="","Cell will autofill based on response",INDEX('Faculties'!$P$91:$P$111,MATCH($F99,'Faculties'!$B$91:$B$111,0))),"N/A")</f>
        <v/>
      </c>
      <c r="L99" s="25">
        <f>IFERROR(IF(INDEX('CI&amp;S'!$P$10:$P$15,MATCH($F99,'CI&amp;S'!$B$10:$B$15,0))="","Cell will autofill based on response",INDEX('CI&amp;S'!$P$10:$P$15,MATCH($F99,'CI&amp;S'!$B$10:$B$15,0))),"N/A")</f>
        <v/>
      </c>
      <c r="M99" s="25">
        <f>IFERROR(IF(INDEX('CI&amp;S'!$P$22:$P$39,MATCH($F99,'CI&amp;S'!$B$22:$B$39,0))="","Cell will autofill based on response",INDEX('CI&amp;S'!$P$22:$P$39,MATCH($F99,'CI&amp;S'!$B$22:$B$39,0))),"N/A")</f>
        <v/>
      </c>
      <c r="N99" s="25">
        <f>IFERROR(IF(INDEX('CFOG'!$P$10:$P$16,MATCH($F99,'CFOG'!$B$10:$B$16,0))="","Cell will autofill based on response",INDEX('CFOG'!$P$10:$P$16,MATCH($F99,'CFOG'!$B$10:$B$16,0))),"N/A")</f>
        <v/>
      </c>
      <c r="O99" s="25">
        <f>IFERROR(IF(INDEX('CFOG'!$P$23:$P$24,MATCH($F99,'CFOG'!$B$23:$B$24,0))="","Cell will autofill based on response",INDEX('CFOG'!$P$23:$P$24,MATCH($F99,'CFOG'!$B$23:$B$24,0))),"N/A")</f>
        <v/>
      </c>
      <c r="P99" s="25">
        <f>IFERROR(IF(INDEX('ESG'!$P$10:$P$17,MATCH($F99,'ESG'!$B$10:$B$17,0))="","Cell will autofill based on response",INDEX('ESG'!$P$10:$P$17,MATCH($F99,'ESG'!$B$10:$B$17,0))),"N/A")</f>
        <v/>
      </c>
      <c r="Q99" s="25">
        <f>IFERROR(IF(INDEX('CIOG'!$P$10:$P$14,MATCH($F99,'CIOG'!$B$10:$B$14,0))="","Cell will autofill based on response",INDEX('CIOG'!$P$10:$P$14,MATCH($F99,'CIOG'!$B$10:$B$14,0))),"N/A")</f>
        <v/>
      </c>
      <c r="R99" s="25">
        <f>IFERROR(IF(INDEX('MRE'!$P$10:$P$12,MATCH($F99,'MRE'!$B$10:$B$12,0))="","Cell will autofill based on response",INDEX('MRE'!$P$10:$P$12,MATCH($F99,'MRE'!$B$10:$B$12,0))),"N/A")</f>
        <v/>
      </c>
      <c r="S99" s="25">
        <f>IFERROR(IF(INDEX('L&amp;R'!$P$10:$P$11,MATCH($F99,'L&amp;R'!$B$10:$B$11,0))="","Cell will autofill based on response",INDEX('L&amp;R'!$P$10:$P$11,MATCH($F99,'L&amp;R'!$B$10:$B$11,0))),"N/A")</f>
        <v/>
      </c>
    </row>
    <row r="100">
      <c r="A100">
        <f>F100&amp;"|"&amp;G100</f>
        <v/>
      </c>
      <c r="B100" s="29" t="inlineStr"/>
      <c r="C100" s="8" t="inlineStr"/>
      <c r="D100" s="8" t="inlineStr"/>
      <c r="E100" s="8" t="inlineStr"/>
      <c r="F100" s="8" t="inlineStr">
        <is>
          <t>TR3(c)</t>
        </is>
      </c>
      <c r="G100" s="8" t="inlineStr">
        <is>
          <t>Data owner confirms</t>
        </is>
      </c>
      <c r="H100" s="25">
        <f>IFERROR(IF(INDEX('Faculties'!$Q$10:$Q$30,MATCH($F100,'Faculties'!$B$10:$B$30,0))="","Cell will autofill based on response",INDEX('Faculties'!$Q$10:$Q$30,MATCH($F100,'Faculties'!$B$10:$B$30,0))),"N/A")</f>
        <v/>
      </c>
      <c r="I100" s="25">
        <f>IFERROR(IF(INDEX('Faculties'!$Q$37:$Q$57,MATCH($F100,'Faculties'!$B$37:$B$57,0))="","Cell will autofill based on response",INDEX('Faculties'!$Q$37:$Q$57,MATCH($F100,'Faculties'!$B$37:$B$57,0))),"N/A")</f>
        <v/>
      </c>
      <c r="J100" s="25">
        <f>IFERROR(IF(INDEX('Faculties'!$Q$64:$Q$84,MATCH($F100,'Faculties'!$B$64:$B$84,0))="","Cell will autofill based on response",INDEX('Faculties'!$Q$64:$Q$84,MATCH($F100,'Faculties'!$B$64:$B$84,0))),"N/A")</f>
        <v/>
      </c>
      <c r="K100" s="25">
        <f>IFERROR(IF(INDEX('Faculties'!$Q$91:$Q$111,MATCH($F100,'Faculties'!$B$91:$B$111,0))="","Cell will autofill based on response",INDEX('Faculties'!$Q$91:$Q$111,MATCH($F100,'Faculties'!$B$91:$B$111,0))),"N/A")</f>
        <v/>
      </c>
      <c r="L100" s="25">
        <f>IFERROR(IF(INDEX('CI&amp;S'!$Q$10:$Q$15,MATCH($F100,'CI&amp;S'!$B$10:$B$15,0))="","Cell will autofill based on response",INDEX('CI&amp;S'!$Q$10:$Q$15,MATCH($F100,'CI&amp;S'!$B$10:$B$15,0))),"N/A")</f>
        <v/>
      </c>
      <c r="M100" s="25">
        <f>IFERROR(IF(INDEX('CI&amp;S'!$Q$22:$Q$39,MATCH($F100,'CI&amp;S'!$B$22:$B$39,0))="","Cell will autofill based on response",INDEX('CI&amp;S'!$Q$22:$Q$39,MATCH($F100,'CI&amp;S'!$B$22:$B$39,0))),"N/A")</f>
        <v/>
      </c>
      <c r="N100" s="25">
        <f>IFERROR(IF(INDEX('CFOG'!$Q$10:$Q$16,MATCH($F100,'CFOG'!$B$10:$B$16,0))="","Cell will autofill based on response",INDEX('CFOG'!$Q$10:$Q$16,MATCH($F100,'CFOG'!$B$10:$B$16,0))),"N/A")</f>
        <v/>
      </c>
      <c r="O100" s="25">
        <f>IFERROR(IF(INDEX('CFOG'!$Q$23:$Q$24,MATCH($F100,'CFOG'!$B$23:$B$24,0))="","Cell will autofill based on response",INDEX('CFOG'!$Q$23:$Q$24,MATCH($F100,'CFOG'!$B$23:$B$24,0))),"N/A")</f>
        <v/>
      </c>
      <c r="P100" s="25">
        <f>IFERROR(IF(INDEX('ESG'!$Q$10:$Q$17,MATCH($F100,'ESG'!$B$10:$B$17,0))="","Cell will autofill based on response",INDEX('ESG'!$Q$10:$Q$17,MATCH($F100,'ESG'!$B$10:$B$17,0))),"N/A")</f>
        <v/>
      </c>
      <c r="Q100" s="25">
        <f>IFERROR(IF(INDEX('CIOG'!$Q$10:$Q$14,MATCH($F100,'CIOG'!$B$10:$B$14,0))="","Cell will autofill based on response",INDEX('CIOG'!$Q$10:$Q$14,MATCH($F100,'CIOG'!$B$10:$B$14,0))),"N/A")</f>
        <v/>
      </c>
      <c r="R100" s="25">
        <f>IFERROR(IF(INDEX('MRE'!$Q$10:$Q$12,MATCH($F100,'MRE'!$B$10:$B$12,0))="","Cell will autofill based on response",INDEX('MRE'!$Q$10:$Q$12,MATCH($F100,'MRE'!$B$10:$B$12,0))),"N/A")</f>
        <v/>
      </c>
      <c r="S100" s="25">
        <f>IFERROR(IF(INDEX('L&amp;R'!$Q$10:$Q$11,MATCH($F100,'L&amp;R'!$B$10:$B$11,0))="","Cell will autofill based on response",INDEX('L&amp;R'!$Q$10:$Q$11,MATCH($F100,'L&amp;R'!$B$10:$B$11,0))),"N/A")</f>
        <v/>
      </c>
    </row>
    <row r="101">
      <c r="A101">
        <f>F101&amp;"|"&amp;G101</f>
        <v/>
      </c>
      <c r="B101" s="7" t="inlineStr">
        <is>
          <t>TR3(d)</t>
        </is>
      </c>
      <c r="C101" s="12" t="inlineStr">
        <is>
          <t>Transformational research</t>
        </is>
      </c>
      <c r="D101" s="12" t="inlineStr">
        <is>
          <t>Expert assessment of progress in embedding sustainable research practices across the institution.</t>
        </is>
      </c>
      <c r="E101" s="12" t="inlineStr">
        <is>
          <t>Faculty/Portfolio’s assessment of progress in embedding sustainable research practices, highlighting areas of strong progress, remaining gaps and priority actions for further improvement.</t>
        </is>
      </c>
      <c r="F101" s="12" t="inlineStr">
        <is>
          <t>TR3(d)</t>
        </is>
      </c>
      <c r="G101" s="12" t="inlineStr">
        <is>
          <t>Confirm end-2026 target status</t>
        </is>
      </c>
      <c r="H101" s="25">
        <f>IFERROR(IF(INDEX('Faculties'!$L$10:$L$30,MATCH($F101,'Faculties'!$B$10:$B$30,0))="","Cell will autofill based on response",INDEX('Faculties'!$L$10:$L$30,MATCH($F101,'Faculties'!$B$10:$B$30,0))),"N/A")</f>
        <v/>
      </c>
      <c r="I101" s="25">
        <f>IFERROR(IF(INDEX('Faculties'!$L$37:$L$57,MATCH($F101,'Faculties'!$B$37:$B$57,0))="","Cell will autofill based on response",INDEX('Faculties'!$L$37:$L$57,MATCH($F101,'Faculties'!$B$37:$B$57,0))),"N/A")</f>
        <v/>
      </c>
      <c r="J101" s="25">
        <f>IFERROR(IF(INDEX('Faculties'!$L$64:$L$84,MATCH($F101,'Faculties'!$B$64:$B$84,0))="","Cell will autofill based on response",INDEX('Faculties'!$L$64:$L$84,MATCH($F101,'Faculties'!$B$64:$B$84,0))),"N/A")</f>
        <v/>
      </c>
      <c r="K101" s="25">
        <f>IFERROR(IF(INDEX('Faculties'!$L$91:$L$111,MATCH($F101,'Faculties'!$B$91:$B$111,0))="","Cell will autofill based on response",INDEX('Faculties'!$L$91:$L$111,MATCH($F101,'Faculties'!$B$91:$B$111,0))),"N/A")</f>
        <v/>
      </c>
      <c r="L101" s="25">
        <f>IFERROR(IF(INDEX('CI&amp;S'!$L$10:$L$15,MATCH($F101,'CI&amp;S'!$B$10:$B$15,0))="","Cell will autofill based on response",INDEX('CI&amp;S'!$L$10:$L$15,MATCH($F101,'CI&amp;S'!$B$10:$B$15,0))),"N/A")</f>
        <v/>
      </c>
      <c r="M101" s="25">
        <f>IFERROR(IF(INDEX('CI&amp;S'!$L$22:$L$39,MATCH($F101,'CI&amp;S'!$B$22:$B$39,0))="","Cell will autofill based on response",INDEX('CI&amp;S'!$L$22:$L$39,MATCH($F101,'CI&amp;S'!$B$22:$B$39,0))),"N/A")</f>
        <v/>
      </c>
      <c r="N101" s="25">
        <f>IFERROR(IF(INDEX('CFOG'!$L$10:$L$16,MATCH($F101,'CFOG'!$B$10:$B$16,0))="","Cell will autofill based on response",INDEX('CFOG'!$L$10:$L$16,MATCH($F101,'CFOG'!$B$10:$B$16,0))),"N/A")</f>
        <v/>
      </c>
      <c r="O101" s="25">
        <f>IFERROR(IF(INDEX('CFOG'!$L$23:$L$24,MATCH($F101,'CFOG'!$B$23:$B$24,0))="","Cell will autofill based on response",INDEX('CFOG'!$L$23:$L$24,MATCH($F101,'CFOG'!$B$23:$B$24,0))),"N/A")</f>
        <v/>
      </c>
      <c r="P101" s="25">
        <f>IFERROR(IF(INDEX('ESG'!$L$10:$L$17,MATCH($F101,'ESG'!$B$10:$B$17,0))="","Cell will autofill based on response",INDEX('ESG'!$L$10:$L$17,MATCH($F101,'ESG'!$B$10:$B$17,0))),"N/A")</f>
        <v/>
      </c>
      <c r="Q101" s="25">
        <f>IFERROR(IF(INDEX('CIOG'!$L$10:$L$14,MATCH($F101,'CIOG'!$B$10:$B$14,0))="","Cell will autofill based on response",INDEX('CIOG'!$L$10:$L$14,MATCH($F101,'CIOG'!$B$10:$B$14,0))),"N/A")</f>
        <v/>
      </c>
      <c r="R101" s="25">
        <f>IFERROR(IF(INDEX('MRE'!$L$10:$L$12,MATCH($F101,'MRE'!$B$10:$B$12,0))="","Cell will autofill based on response",INDEX('MRE'!$L$10:$L$12,MATCH($F101,'MRE'!$B$10:$B$12,0))),"N/A")</f>
        <v/>
      </c>
      <c r="S101" s="25">
        <f>IFERROR(IF(INDEX('L&amp;R'!$L$10:$L$11,MATCH($F101,'L&amp;R'!$B$10:$B$11,0))="","Cell will autofill based on response",INDEX('L&amp;R'!$L$10:$L$11,MATCH($F101,'L&amp;R'!$B$10:$B$11,0))),"N/A")</f>
        <v/>
      </c>
      <c r="U101" s="26">
        <f>COUNTIF($H101:$S101,"Cell will autofill based on response")</f>
        <v/>
      </c>
      <c r="V101" s="26">
        <f>COUNTIF($H101:$S101,"Not yet started")</f>
        <v/>
      </c>
      <c r="W101" s="26">
        <f>COUNTIF($H101:$S101,"Not met")</f>
        <v/>
      </c>
      <c r="X101" s="26">
        <f>COUNTIF($H101:$S101,"Partially met")</f>
        <v/>
      </c>
      <c r="Y101" s="26">
        <f>COUNTIF($H101:$S101,"Met or exceeded")</f>
        <v/>
      </c>
      <c r="Z101" s="26">
        <f>3*Y101+2*X101+W101</f>
        <v/>
      </c>
      <c r="AA101" s="26">
        <f>Y101+X101+W101+V101</f>
        <v/>
      </c>
      <c r="AB101" s="27">
        <f>IF(AA101&gt;0,Z101/AA101,"No valid responses to date")</f>
        <v/>
      </c>
      <c r="AC101" s="26">
        <f>IF(ISNUMBER(AB101),INDEX(Lists!$G$2:$G$5,MATCH(ROUND(AB101,0),Lists!$H$2:$H$5,0)),"")</f>
        <v/>
      </c>
      <c r="AD101" s="28">
        <f>IF(AA101&gt;0,Y101/AA101,"")</f>
        <v/>
      </c>
      <c r="AE101" s="28">
        <f>IF(AA101&gt;0,(Y101+X101)/AA101,"")</f>
        <v/>
      </c>
      <c r="AF101" s="26">
        <f>IF(AA101=0,"",IF(AD101&gt;0.75,"Met or exceeded",IF(AE101&gt;=0.5,"Partially met","Not met")))</f>
        <v/>
      </c>
    </row>
    <row r="102">
      <c r="A102">
        <f>F102&amp;"|"&amp;G102</f>
        <v/>
      </c>
      <c r="B102" s="29" t="inlineStr"/>
      <c r="C102" s="8" t="inlineStr"/>
      <c r="D102" s="8" t="inlineStr"/>
      <c r="E102" s="8" t="inlineStr"/>
      <c r="F102" s="8" t="inlineStr">
        <is>
          <t>TR3(d)</t>
        </is>
      </c>
      <c r="G102" s="8" t="inlineStr">
        <is>
          <t>OPTION 1:  Target-level reporting</t>
        </is>
      </c>
      <c r="H102" s="25">
        <f>IFERROR(IF(INDEX('Faculties'!$M$10:$M$30,MATCH($F102,'Faculties'!$B$10:$B$30,0))="","Cell will autofill based on response",INDEX('Faculties'!$M$10:$M$30,MATCH($F102,'Faculties'!$B$10:$B$30,0))),"N/A")</f>
        <v/>
      </c>
      <c r="I102" s="25">
        <f>IFERROR(IF(INDEX('Faculties'!$M$37:$M$57,MATCH($F102,'Faculties'!$B$37:$B$57,0))="","Cell will autofill based on response",INDEX('Faculties'!$M$37:$M$57,MATCH($F102,'Faculties'!$B$37:$B$57,0))),"N/A")</f>
        <v/>
      </c>
      <c r="J102" s="25">
        <f>IFERROR(IF(INDEX('Faculties'!$M$64:$M$84,MATCH($F102,'Faculties'!$B$64:$B$84,0))="","Cell will autofill based on response",INDEX('Faculties'!$M$64:$M$84,MATCH($F102,'Faculties'!$B$64:$B$84,0))),"N/A")</f>
        <v/>
      </c>
      <c r="K102" s="25">
        <f>IFERROR(IF(INDEX('Faculties'!$M$91:$M$111,MATCH($F102,'Faculties'!$B$91:$B$111,0))="","Cell will autofill based on response",INDEX('Faculties'!$M$91:$M$111,MATCH($F102,'Faculties'!$B$91:$B$111,0))),"N/A")</f>
        <v/>
      </c>
      <c r="L102" s="25">
        <f>IFERROR(IF(INDEX('CI&amp;S'!$M$10:$M$15,MATCH($F102,'CI&amp;S'!$B$10:$B$15,0))="","Cell will autofill based on response",INDEX('CI&amp;S'!$M$10:$M$15,MATCH($F102,'CI&amp;S'!$B$10:$B$15,0))),"N/A")</f>
        <v/>
      </c>
      <c r="M102" s="25">
        <f>IFERROR(IF(INDEX('CI&amp;S'!$M$22:$M$39,MATCH($F102,'CI&amp;S'!$B$22:$B$39,0))="","Cell will autofill based on response",INDEX('CI&amp;S'!$M$22:$M$39,MATCH($F102,'CI&amp;S'!$B$22:$B$39,0))),"N/A")</f>
        <v/>
      </c>
      <c r="N102" s="25">
        <f>IFERROR(IF(INDEX('CFOG'!$M$10:$M$16,MATCH($F102,'CFOG'!$B$10:$B$16,0))="","Cell will autofill based on response",INDEX('CFOG'!$M$10:$M$16,MATCH($F102,'CFOG'!$B$10:$B$16,0))),"N/A")</f>
        <v/>
      </c>
      <c r="O102" s="25">
        <f>IFERROR(IF(INDEX('CFOG'!$M$23:$M$24,MATCH($F102,'CFOG'!$B$23:$B$24,0))="","Cell will autofill based on response",INDEX('CFOG'!$M$23:$M$24,MATCH($F102,'CFOG'!$B$23:$B$24,0))),"N/A")</f>
        <v/>
      </c>
      <c r="P102" s="25">
        <f>IFERROR(IF(INDEX('ESG'!$M$10:$M$17,MATCH($F102,'ESG'!$B$10:$B$17,0))="","Cell will autofill based on response",INDEX('ESG'!$M$10:$M$17,MATCH($F102,'ESG'!$B$10:$B$17,0))),"N/A")</f>
        <v/>
      </c>
      <c r="Q102" s="25">
        <f>IFERROR(IF(INDEX('CIOG'!$M$10:$M$14,MATCH($F102,'CIOG'!$B$10:$B$14,0))="","Cell will autofill based on response",INDEX('CIOG'!$M$10:$M$14,MATCH($F102,'CIOG'!$B$10:$B$14,0))),"N/A")</f>
        <v/>
      </c>
      <c r="R102" s="25">
        <f>IFERROR(IF(INDEX('MRE'!$M$10:$M$12,MATCH($F102,'MRE'!$B$10:$B$12,0))="","Cell will autofill based on response",INDEX('MRE'!$M$10:$M$12,MATCH($F102,'MRE'!$B$10:$B$12,0))),"N/A")</f>
        <v/>
      </c>
      <c r="S102" s="25">
        <f>IFERROR(IF(INDEX('L&amp;R'!$M$10:$M$11,MATCH($F102,'L&amp;R'!$B$10:$B$11,0))="","Cell will autofill based on response",INDEX('L&amp;R'!$M$10:$M$11,MATCH($F102,'L&amp;R'!$B$10:$B$11,0))),"N/A")</f>
        <v/>
      </c>
    </row>
    <row r="103">
      <c r="A103">
        <f>F103&amp;"|"&amp;G103</f>
        <v/>
      </c>
      <c r="B103" s="29" t="inlineStr"/>
      <c r="C103" s="8" t="inlineStr"/>
      <c r="D103" s="8" t="inlineStr"/>
      <c r="E103" s="8" t="inlineStr"/>
      <c r="F103" s="8" t="inlineStr">
        <is>
          <t>TR3(d)</t>
        </is>
      </c>
      <c r="G103" s="8" t="inlineStr">
        <is>
          <t>OPTION 2:  Indicator level reporting</t>
        </is>
      </c>
      <c r="H103" s="25">
        <f>IFERROR(IF(INDEX('Faculties'!$N$10:$N$30,MATCH($F103,'Faculties'!$B$10:$B$30,0))="","Cell will autofill based on response",INDEX('Faculties'!$N$10:$N$30,MATCH($F103,'Faculties'!$B$10:$B$30,0))),"N/A")</f>
        <v/>
      </c>
      <c r="I103" s="25">
        <f>IFERROR(IF(INDEX('Faculties'!$N$37:$N$57,MATCH($F103,'Faculties'!$B$37:$B$57,0))="","Cell will autofill based on response",INDEX('Faculties'!$N$37:$N$57,MATCH($F103,'Faculties'!$B$37:$B$57,0))),"N/A")</f>
        <v/>
      </c>
      <c r="J103" s="25">
        <f>IFERROR(IF(INDEX('Faculties'!$N$64:$N$84,MATCH($F103,'Faculties'!$B$64:$B$84,0))="","Cell will autofill based on response",INDEX('Faculties'!$N$64:$N$84,MATCH($F103,'Faculties'!$B$64:$B$84,0))),"N/A")</f>
        <v/>
      </c>
      <c r="K103" s="25">
        <f>IFERROR(IF(INDEX('Faculties'!$N$91:$N$111,MATCH($F103,'Faculties'!$B$91:$B$111,0))="","Cell will autofill based on response",INDEX('Faculties'!$N$91:$N$111,MATCH($F103,'Faculties'!$B$91:$B$111,0))),"N/A")</f>
        <v/>
      </c>
      <c r="L103" s="25">
        <f>IFERROR(IF(INDEX('CI&amp;S'!$N$10:$N$15,MATCH($F103,'CI&amp;S'!$B$10:$B$15,0))="","Cell will autofill based on response",INDEX('CI&amp;S'!$N$10:$N$15,MATCH($F103,'CI&amp;S'!$B$10:$B$15,0))),"N/A")</f>
        <v/>
      </c>
      <c r="M103" s="25">
        <f>IFERROR(IF(INDEX('CI&amp;S'!$N$22:$N$39,MATCH($F103,'CI&amp;S'!$B$22:$B$39,0))="","Cell will autofill based on response",INDEX('CI&amp;S'!$N$22:$N$39,MATCH($F103,'CI&amp;S'!$B$22:$B$39,0))),"N/A")</f>
        <v/>
      </c>
      <c r="N103" s="25">
        <f>IFERROR(IF(INDEX('CFOG'!$N$10:$N$16,MATCH($F103,'CFOG'!$B$10:$B$16,0))="","Cell will autofill based on response",INDEX('CFOG'!$N$10:$N$16,MATCH($F103,'CFOG'!$B$10:$B$16,0))),"N/A")</f>
        <v/>
      </c>
      <c r="O103" s="25">
        <f>IFERROR(IF(INDEX('CFOG'!$N$23:$N$24,MATCH($F103,'CFOG'!$B$23:$B$24,0))="","Cell will autofill based on response",INDEX('CFOG'!$N$23:$N$24,MATCH($F103,'CFOG'!$B$23:$B$24,0))),"N/A")</f>
        <v/>
      </c>
      <c r="P103" s="25">
        <f>IFERROR(IF(INDEX('ESG'!$N$10:$N$17,MATCH($F103,'ESG'!$B$10:$B$17,0))="","Cell will autofill based on response",INDEX('ESG'!$N$10:$N$17,MATCH($F103,'ESG'!$B$10:$B$17,0))),"N/A")</f>
        <v/>
      </c>
      <c r="Q103" s="25">
        <f>IFERROR(IF(INDEX('CIOG'!$N$10:$N$14,MATCH($F103,'CIOG'!$B$10:$B$14,0))="","Cell will autofill based on response",INDEX('CIOG'!$N$10:$N$14,MATCH($F103,'CIOG'!$B$10:$B$14,0))),"N/A")</f>
        <v/>
      </c>
      <c r="R103" s="25">
        <f>IFERROR(IF(INDEX('MRE'!$N$10:$N$12,MATCH($F103,'MRE'!$B$10:$B$12,0))="","Cell will autofill based on response",INDEX('MRE'!$N$10:$N$12,MATCH($F103,'MRE'!$B$10:$B$12,0))),"N/A")</f>
        <v/>
      </c>
      <c r="S103" s="25">
        <f>IFERROR(IF(INDEX('L&amp;R'!$N$10:$N$11,MATCH($F103,'L&amp;R'!$B$10:$B$11,0))="","Cell will autofill based on response",INDEX('L&amp;R'!$N$10:$N$11,MATCH($F103,'L&amp;R'!$B$10:$B$11,0))),"N/A")</f>
        <v/>
      </c>
    </row>
    <row r="104">
      <c r="A104">
        <f>F104&amp;"|"&amp;G104</f>
        <v/>
      </c>
      <c r="B104" s="29" t="inlineStr"/>
      <c r="C104" s="8" t="inlineStr"/>
      <c r="D104" s="8" t="inlineStr"/>
      <c r="E104" s="8" t="inlineStr"/>
      <c r="F104" s="8" t="inlineStr">
        <is>
          <t>TR3(d)</t>
        </is>
      </c>
      <c r="G104" s="8" t="inlineStr">
        <is>
          <t>Supporting information/comments</t>
        </is>
      </c>
      <c r="H104" s="25">
        <f>IFERROR(IF(INDEX('Faculties'!$O$10:$O$30,MATCH($F104,'Faculties'!$B$10:$B$30,0))="","Cell will autofill based on response",INDEX('Faculties'!$O$10:$O$30,MATCH($F104,'Faculties'!$B$10:$B$30,0))),"N/A")</f>
        <v/>
      </c>
      <c r="I104" s="25">
        <f>IFERROR(IF(INDEX('Faculties'!$O$37:$O$57,MATCH($F104,'Faculties'!$B$37:$B$57,0))="","Cell will autofill based on response",INDEX('Faculties'!$O$37:$O$57,MATCH($F104,'Faculties'!$B$37:$B$57,0))),"N/A")</f>
        <v/>
      </c>
      <c r="J104" s="25">
        <f>IFERROR(IF(INDEX('Faculties'!$O$64:$O$84,MATCH($F104,'Faculties'!$B$64:$B$84,0))="","Cell will autofill based on response",INDEX('Faculties'!$O$64:$O$84,MATCH($F104,'Faculties'!$B$64:$B$84,0))),"N/A")</f>
        <v/>
      </c>
      <c r="K104" s="25">
        <f>IFERROR(IF(INDEX('Faculties'!$O$91:$O$111,MATCH($F104,'Faculties'!$B$91:$B$111,0))="","Cell will autofill based on response",INDEX('Faculties'!$O$91:$O$111,MATCH($F104,'Faculties'!$B$91:$B$111,0))),"N/A")</f>
        <v/>
      </c>
      <c r="L104" s="25">
        <f>IFERROR(IF(INDEX('CI&amp;S'!$O$10:$O$15,MATCH($F104,'CI&amp;S'!$B$10:$B$15,0))="","Cell will autofill based on response",INDEX('CI&amp;S'!$O$10:$O$15,MATCH($F104,'CI&amp;S'!$B$10:$B$15,0))),"N/A")</f>
        <v/>
      </c>
      <c r="M104" s="25">
        <f>IFERROR(IF(INDEX('CI&amp;S'!$O$22:$O$39,MATCH($F104,'CI&amp;S'!$B$22:$B$39,0))="","Cell will autofill based on response",INDEX('CI&amp;S'!$O$22:$O$39,MATCH($F104,'CI&amp;S'!$B$22:$B$39,0))),"N/A")</f>
        <v/>
      </c>
      <c r="N104" s="25">
        <f>IFERROR(IF(INDEX('CFOG'!$O$10:$O$16,MATCH($F104,'CFOG'!$B$10:$B$16,0))="","Cell will autofill based on response",INDEX('CFOG'!$O$10:$O$16,MATCH($F104,'CFOG'!$B$10:$B$16,0))),"N/A")</f>
        <v/>
      </c>
      <c r="O104" s="25">
        <f>IFERROR(IF(INDEX('CFOG'!$O$23:$O$24,MATCH($F104,'CFOG'!$B$23:$B$24,0))="","Cell will autofill based on response",INDEX('CFOG'!$O$23:$O$24,MATCH($F104,'CFOG'!$B$23:$B$24,0))),"N/A")</f>
        <v/>
      </c>
      <c r="P104" s="25">
        <f>IFERROR(IF(INDEX('ESG'!$O$10:$O$17,MATCH($F104,'ESG'!$B$10:$B$17,0))="","Cell will autofill based on response",INDEX('ESG'!$O$10:$O$17,MATCH($F104,'ESG'!$B$10:$B$17,0))),"N/A")</f>
        <v/>
      </c>
      <c r="Q104" s="25">
        <f>IFERROR(IF(INDEX('CIOG'!$O$10:$O$14,MATCH($F104,'CIOG'!$B$10:$B$14,0))="","Cell will autofill based on response",INDEX('CIOG'!$O$10:$O$14,MATCH($F104,'CIOG'!$B$10:$B$14,0))),"N/A")</f>
        <v/>
      </c>
      <c r="R104" s="25">
        <f>IFERROR(IF(INDEX('MRE'!$O$10:$O$12,MATCH($F104,'MRE'!$B$10:$B$12,0))="","Cell will autofill based on response",INDEX('MRE'!$O$10:$O$12,MATCH($F104,'MRE'!$B$10:$B$12,0))),"N/A")</f>
        <v/>
      </c>
      <c r="S104" s="25">
        <f>IFERROR(IF(INDEX('L&amp;R'!$O$10:$O$11,MATCH($F104,'L&amp;R'!$B$10:$B$11,0))="","Cell will autofill based on response",INDEX('L&amp;R'!$O$10:$O$11,MATCH($F104,'L&amp;R'!$B$10:$B$11,0))),"N/A")</f>
        <v/>
      </c>
    </row>
    <row r="105">
      <c r="A105">
        <f>F105&amp;"|"&amp;G105</f>
        <v/>
      </c>
      <c r="B105" s="29" t="inlineStr"/>
      <c r="C105" s="8" t="inlineStr"/>
      <c r="D105" s="8" t="inlineStr"/>
      <c r="E105" s="8" t="inlineStr"/>
      <c r="F105" s="8" t="inlineStr">
        <is>
          <t>TR3(d)</t>
        </is>
      </c>
      <c r="G105" s="8" t="inlineStr">
        <is>
          <t>Data source and limitations</t>
        </is>
      </c>
      <c r="H105" s="25">
        <f>IFERROR(IF(INDEX('Faculties'!$P$10:$P$30,MATCH($F105,'Faculties'!$B$10:$B$30,0))="","Cell will autofill based on response",INDEX('Faculties'!$P$10:$P$30,MATCH($F105,'Faculties'!$B$10:$B$30,0))),"N/A")</f>
        <v/>
      </c>
      <c r="I105" s="25">
        <f>IFERROR(IF(INDEX('Faculties'!$P$37:$P$57,MATCH($F105,'Faculties'!$B$37:$B$57,0))="","Cell will autofill based on response",INDEX('Faculties'!$P$37:$P$57,MATCH($F105,'Faculties'!$B$37:$B$57,0))),"N/A")</f>
        <v/>
      </c>
      <c r="J105" s="25">
        <f>IFERROR(IF(INDEX('Faculties'!$P$64:$P$84,MATCH($F105,'Faculties'!$B$64:$B$84,0))="","Cell will autofill based on response",INDEX('Faculties'!$P$64:$P$84,MATCH($F105,'Faculties'!$B$64:$B$84,0))),"N/A")</f>
        <v/>
      </c>
      <c r="K105" s="25">
        <f>IFERROR(IF(INDEX('Faculties'!$P$91:$P$111,MATCH($F105,'Faculties'!$B$91:$B$111,0))="","Cell will autofill based on response",INDEX('Faculties'!$P$91:$P$111,MATCH($F105,'Faculties'!$B$91:$B$111,0))),"N/A")</f>
        <v/>
      </c>
      <c r="L105" s="25">
        <f>IFERROR(IF(INDEX('CI&amp;S'!$P$10:$P$15,MATCH($F105,'CI&amp;S'!$B$10:$B$15,0))="","Cell will autofill based on response",INDEX('CI&amp;S'!$P$10:$P$15,MATCH($F105,'CI&amp;S'!$B$10:$B$15,0))),"N/A")</f>
        <v/>
      </c>
      <c r="M105" s="25">
        <f>IFERROR(IF(INDEX('CI&amp;S'!$P$22:$P$39,MATCH($F105,'CI&amp;S'!$B$22:$B$39,0))="","Cell will autofill based on response",INDEX('CI&amp;S'!$P$22:$P$39,MATCH($F105,'CI&amp;S'!$B$22:$B$39,0))),"N/A")</f>
        <v/>
      </c>
      <c r="N105" s="25">
        <f>IFERROR(IF(INDEX('CFOG'!$P$10:$P$16,MATCH($F105,'CFOG'!$B$10:$B$16,0))="","Cell will autofill based on response",INDEX('CFOG'!$P$10:$P$16,MATCH($F105,'CFOG'!$B$10:$B$16,0))),"N/A")</f>
        <v/>
      </c>
      <c r="O105" s="25">
        <f>IFERROR(IF(INDEX('CFOG'!$P$23:$P$24,MATCH($F105,'CFOG'!$B$23:$B$24,0))="","Cell will autofill based on response",INDEX('CFOG'!$P$23:$P$24,MATCH($F105,'CFOG'!$B$23:$B$24,0))),"N/A")</f>
        <v/>
      </c>
      <c r="P105" s="25">
        <f>IFERROR(IF(INDEX('ESG'!$P$10:$P$17,MATCH($F105,'ESG'!$B$10:$B$17,0))="","Cell will autofill based on response",INDEX('ESG'!$P$10:$P$17,MATCH($F105,'ESG'!$B$10:$B$17,0))),"N/A")</f>
        <v/>
      </c>
      <c r="Q105" s="25">
        <f>IFERROR(IF(INDEX('CIOG'!$P$10:$P$14,MATCH($F105,'CIOG'!$B$10:$B$14,0))="","Cell will autofill based on response",INDEX('CIOG'!$P$10:$P$14,MATCH($F105,'CIOG'!$B$10:$B$14,0))),"N/A")</f>
        <v/>
      </c>
      <c r="R105" s="25">
        <f>IFERROR(IF(INDEX('MRE'!$P$10:$P$12,MATCH($F105,'MRE'!$B$10:$B$12,0))="","Cell will autofill based on response",INDEX('MRE'!$P$10:$P$12,MATCH($F105,'MRE'!$B$10:$B$12,0))),"N/A")</f>
        <v/>
      </c>
      <c r="S105" s="25">
        <f>IFERROR(IF(INDEX('L&amp;R'!$P$10:$P$11,MATCH($F105,'L&amp;R'!$B$10:$B$11,0))="","Cell will autofill based on response",INDEX('L&amp;R'!$P$10:$P$11,MATCH($F105,'L&amp;R'!$B$10:$B$11,0))),"N/A")</f>
        <v/>
      </c>
    </row>
    <row r="106">
      <c r="A106">
        <f>F106&amp;"|"&amp;G106</f>
        <v/>
      </c>
      <c r="B106" s="29" t="inlineStr"/>
      <c r="C106" s="8" t="inlineStr"/>
      <c r="D106" s="8" t="inlineStr"/>
      <c r="E106" s="8" t="inlineStr"/>
      <c r="F106" s="8" t="inlineStr">
        <is>
          <t>TR3(d)</t>
        </is>
      </c>
      <c r="G106" s="8" t="inlineStr">
        <is>
          <t>Data owner confirms</t>
        </is>
      </c>
      <c r="H106" s="25">
        <f>IFERROR(IF(INDEX('Faculties'!$Q$10:$Q$30,MATCH($F106,'Faculties'!$B$10:$B$30,0))="","Cell will autofill based on response",INDEX('Faculties'!$Q$10:$Q$30,MATCH($F106,'Faculties'!$B$10:$B$30,0))),"N/A")</f>
        <v/>
      </c>
      <c r="I106" s="25">
        <f>IFERROR(IF(INDEX('Faculties'!$Q$37:$Q$57,MATCH($F106,'Faculties'!$B$37:$B$57,0))="","Cell will autofill based on response",INDEX('Faculties'!$Q$37:$Q$57,MATCH($F106,'Faculties'!$B$37:$B$57,0))),"N/A")</f>
        <v/>
      </c>
      <c r="J106" s="25">
        <f>IFERROR(IF(INDEX('Faculties'!$Q$64:$Q$84,MATCH($F106,'Faculties'!$B$64:$B$84,0))="","Cell will autofill based on response",INDEX('Faculties'!$Q$64:$Q$84,MATCH($F106,'Faculties'!$B$64:$B$84,0))),"N/A")</f>
        <v/>
      </c>
      <c r="K106" s="25">
        <f>IFERROR(IF(INDEX('Faculties'!$Q$91:$Q$111,MATCH($F106,'Faculties'!$B$91:$B$111,0))="","Cell will autofill based on response",INDEX('Faculties'!$Q$91:$Q$111,MATCH($F106,'Faculties'!$B$91:$B$111,0))),"N/A")</f>
        <v/>
      </c>
      <c r="L106" s="25">
        <f>IFERROR(IF(INDEX('CI&amp;S'!$Q$10:$Q$15,MATCH($F106,'CI&amp;S'!$B$10:$B$15,0))="","Cell will autofill based on response",INDEX('CI&amp;S'!$Q$10:$Q$15,MATCH($F106,'CI&amp;S'!$B$10:$B$15,0))),"N/A")</f>
        <v/>
      </c>
      <c r="M106" s="25">
        <f>IFERROR(IF(INDEX('CI&amp;S'!$Q$22:$Q$39,MATCH($F106,'CI&amp;S'!$B$22:$B$39,0))="","Cell will autofill based on response",INDEX('CI&amp;S'!$Q$22:$Q$39,MATCH($F106,'CI&amp;S'!$B$22:$B$39,0))),"N/A")</f>
        <v/>
      </c>
      <c r="N106" s="25">
        <f>IFERROR(IF(INDEX('CFOG'!$Q$10:$Q$16,MATCH($F106,'CFOG'!$B$10:$B$16,0))="","Cell will autofill based on response",INDEX('CFOG'!$Q$10:$Q$16,MATCH($F106,'CFOG'!$B$10:$B$16,0))),"N/A")</f>
        <v/>
      </c>
      <c r="O106" s="25">
        <f>IFERROR(IF(INDEX('CFOG'!$Q$23:$Q$24,MATCH($F106,'CFOG'!$B$23:$B$24,0))="","Cell will autofill based on response",INDEX('CFOG'!$Q$23:$Q$24,MATCH($F106,'CFOG'!$B$23:$B$24,0))),"N/A")</f>
        <v/>
      </c>
      <c r="P106" s="25">
        <f>IFERROR(IF(INDEX('ESG'!$Q$10:$Q$17,MATCH($F106,'ESG'!$B$10:$B$17,0))="","Cell will autofill based on response",INDEX('ESG'!$Q$10:$Q$17,MATCH($F106,'ESG'!$B$10:$B$17,0))),"N/A")</f>
        <v/>
      </c>
      <c r="Q106" s="25">
        <f>IFERROR(IF(INDEX('CIOG'!$Q$10:$Q$14,MATCH($F106,'CIOG'!$B$10:$B$14,0))="","Cell will autofill based on response",INDEX('CIOG'!$Q$10:$Q$14,MATCH($F106,'CIOG'!$B$10:$B$14,0))),"N/A")</f>
        <v/>
      </c>
      <c r="R106" s="25">
        <f>IFERROR(IF(INDEX('MRE'!$Q$10:$Q$12,MATCH($F106,'MRE'!$B$10:$B$12,0))="","Cell will autofill based on response",INDEX('MRE'!$Q$10:$Q$12,MATCH($F106,'MRE'!$B$10:$B$12,0))),"N/A")</f>
        <v/>
      </c>
      <c r="S106" s="25">
        <f>IFERROR(IF(INDEX('L&amp;R'!$Q$10:$Q$11,MATCH($F106,'L&amp;R'!$B$10:$B$11,0))="","Cell will autofill based on response",INDEX('L&amp;R'!$Q$10:$Q$11,MATCH($F106,'L&amp;R'!$B$10:$B$11,0))),"N/A")</f>
        <v/>
      </c>
    </row>
    <row r="107">
      <c r="A107">
        <f>F107&amp;"|"&amp;G107</f>
        <v/>
      </c>
      <c r="B107" s="7" t="inlineStr">
        <is>
          <t>CL1(a)</t>
        </is>
      </c>
      <c r="C107" s="12" t="inlineStr">
        <is>
          <t>Climate leadership</t>
        </is>
      </c>
      <c r="D107" s="12" t="inlineStr">
        <is>
          <t>Annual Greenhouse Gas Inventory (including emissions scopes 1, 2 and 3) demonstrates carbon emission reductions, including maintaining procurement of 100% renewable electricity for all scope 2 sources[1]</t>
        </is>
      </c>
      <c r="E107" s="12" t="inlineStr">
        <is>
          <t>Total scope 1,2 and 3 emissions (tCO2-e); emissions by scope; % reduction from previous baseline; % renewable electircity produced</t>
        </is>
      </c>
      <c r="F107" s="12" t="inlineStr">
        <is>
          <t>CL1(a)</t>
        </is>
      </c>
      <c r="G107" s="12" t="inlineStr">
        <is>
          <t>Confirm end-2026 target status</t>
        </is>
      </c>
      <c r="H107" s="25">
        <f>IFERROR(IF(INDEX('Faculties'!$L$10:$L$30,MATCH($F107,'Faculties'!$B$10:$B$30,0))="","Cell will autofill based on response",INDEX('Faculties'!$L$10:$L$30,MATCH($F107,'Faculties'!$B$10:$B$30,0))),"N/A")</f>
        <v/>
      </c>
      <c r="I107" s="25">
        <f>IFERROR(IF(INDEX('Faculties'!$L$37:$L$57,MATCH($F107,'Faculties'!$B$37:$B$57,0))="","Cell will autofill based on response",INDEX('Faculties'!$L$37:$L$57,MATCH($F107,'Faculties'!$B$37:$B$57,0))),"N/A")</f>
        <v/>
      </c>
      <c r="J107" s="25">
        <f>IFERROR(IF(INDEX('Faculties'!$L$64:$L$84,MATCH($F107,'Faculties'!$B$64:$B$84,0))="","Cell will autofill based on response",INDEX('Faculties'!$L$64:$L$84,MATCH($F107,'Faculties'!$B$64:$B$84,0))),"N/A")</f>
        <v/>
      </c>
      <c r="K107" s="25">
        <f>IFERROR(IF(INDEX('Faculties'!$L$91:$L$111,MATCH($F107,'Faculties'!$B$91:$B$111,0))="","Cell will autofill based on response",INDEX('Faculties'!$L$91:$L$111,MATCH($F107,'Faculties'!$B$91:$B$111,0))),"N/A")</f>
        <v/>
      </c>
      <c r="L107" s="25">
        <f>IFERROR(IF(INDEX('CI&amp;S'!$L$10:$L$15,MATCH($F107,'CI&amp;S'!$B$10:$B$15,0))="","Cell will autofill based on response",INDEX('CI&amp;S'!$L$10:$L$15,MATCH($F107,'CI&amp;S'!$B$10:$B$15,0))),"N/A")</f>
        <v/>
      </c>
      <c r="M107" s="25">
        <f>IFERROR(IF(INDEX('CI&amp;S'!$L$22:$L$39,MATCH($F107,'CI&amp;S'!$B$22:$B$39,0))="","Cell will autofill based on response",INDEX('CI&amp;S'!$L$22:$L$39,MATCH($F107,'CI&amp;S'!$B$22:$B$39,0))),"N/A")</f>
        <v/>
      </c>
      <c r="N107" s="25">
        <f>IFERROR(IF(INDEX('CFOG'!$L$10:$L$16,MATCH($F107,'CFOG'!$B$10:$B$16,0))="","Cell will autofill based on response",INDEX('CFOG'!$L$10:$L$16,MATCH($F107,'CFOG'!$B$10:$B$16,0))),"N/A")</f>
        <v/>
      </c>
      <c r="O107" s="25">
        <f>IFERROR(IF(INDEX('CFOG'!$L$23:$L$24,MATCH($F107,'CFOG'!$B$23:$B$24,0))="","Cell will autofill based on response",INDEX('CFOG'!$L$23:$L$24,MATCH($F107,'CFOG'!$B$23:$B$24,0))),"N/A")</f>
        <v/>
      </c>
      <c r="P107" s="25">
        <f>IFERROR(IF(INDEX('ESG'!$L$10:$L$17,MATCH($F107,'ESG'!$B$10:$B$17,0))="","Cell will autofill based on response",INDEX('ESG'!$L$10:$L$17,MATCH($F107,'ESG'!$B$10:$B$17,0))),"N/A")</f>
        <v/>
      </c>
      <c r="Q107" s="25">
        <f>IFERROR(IF(INDEX('CIOG'!$L$10:$L$14,MATCH($F107,'CIOG'!$B$10:$B$14,0))="","Cell will autofill based on response",INDEX('CIOG'!$L$10:$L$14,MATCH($F107,'CIOG'!$B$10:$B$14,0))),"N/A")</f>
        <v/>
      </c>
      <c r="R107" s="25">
        <f>IFERROR(IF(INDEX('MRE'!$L$10:$L$12,MATCH($F107,'MRE'!$B$10:$B$12,0))="","Cell will autofill based on response",INDEX('MRE'!$L$10:$L$12,MATCH($F107,'MRE'!$B$10:$B$12,0))),"N/A")</f>
        <v/>
      </c>
      <c r="S107" s="25">
        <f>IFERROR(IF(INDEX('L&amp;R'!$L$10:$L$11,MATCH($F107,'L&amp;R'!$B$10:$B$11,0))="","Cell will autofill based on response",INDEX('L&amp;R'!$L$10:$L$11,MATCH($F107,'L&amp;R'!$B$10:$B$11,0))),"N/A")</f>
        <v/>
      </c>
      <c r="U107" s="26">
        <f>COUNTIF($H107:$S107,"Cell will autofill based on response")</f>
        <v/>
      </c>
      <c r="V107" s="26">
        <f>COUNTIF($H107:$S107,"Not yet started")</f>
        <v/>
      </c>
      <c r="W107" s="26">
        <f>COUNTIF($H107:$S107,"Not met")</f>
        <v/>
      </c>
      <c r="X107" s="26">
        <f>COUNTIF($H107:$S107,"Partially met")</f>
        <v/>
      </c>
      <c r="Y107" s="26">
        <f>COUNTIF($H107:$S107,"Met or exceeded")</f>
        <v/>
      </c>
      <c r="Z107" s="26">
        <f>3*Y107+2*X107+W107</f>
        <v/>
      </c>
      <c r="AA107" s="26">
        <f>Y107+X107+W107+V107</f>
        <v/>
      </c>
      <c r="AB107" s="27">
        <f>IF(AA107&gt;0,Z107/AA107,"No valid responses to date")</f>
        <v/>
      </c>
      <c r="AC107" s="26">
        <f>IF(ISNUMBER(AB107),INDEX(Lists!$G$2:$G$5,MATCH(ROUND(AB107,0),Lists!$H$2:$H$5,0)),"")</f>
        <v/>
      </c>
      <c r="AD107" s="28">
        <f>IF(AA107&gt;0,Y107/AA107,"")</f>
        <v/>
      </c>
      <c r="AE107" s="28">
        <f>IF(AA107&gt;0,(Y107+X107)/AA107,"")</f>
        <v/>
      </c>
      <c r="AF107" s="26">
        <f>IF(AA107=0,"",IF(AD107&gt;0.75,"Met or exceeded",IF(AE107&gt;=0.5,"Partially met","Not met")))</f>
        <v/>
      </c>
    </row>
    <row r="108">
      <c r="A108">
        <f>F108&amp;"|"&amp;G108</f>
        <v/>
      </c>
      <c r="B108" s="29" t="inlineStr"/>
      <c r="C108" s="8" t="inlineStr"/>
      <c r="D108" s="8" t="inlineStr"/>
      <c r="E108" s="8" t="inlineStr"/>
      <c r="F108" s="8" t="inlineStr">
        <is>
          <t>CL1(a)</t>
        </is>
      </c>
      <c r="G108" s="8" t="inlineStr">
        <is>
          <t>OPTION 1:  Target-level reporting</t>
        </is>
      </c>
      <c r="H108" s="25">
        <f>IFERROR(IF(INDEX('Faculties'!$M$10:$M$30,MATCH($F108,'Faculties'!$B$10:$B$30,0))="","Cell will autofill based on response",INDEX('Faculties'!$M$10:$M$30,MATCH($F108,'Faculties'!$B$10:$B$30,0))),"N/A")</f>
        <v/>
      </c>
      <c r="I108" s="25">
        <f>IFERROR(IF(INDEX('Faculties'!$M$37:$M$57,MATCH($F108,'Faculties'!$B$37:$B$57,0))="","Cell will autofill based on response",INDEX('Faculties'!$M$37:$M$57,MATCH($F108,'Faculties'!$B$37:$B$57,0))),"N/A")</f>
        <v/>
      </c>
      <c r="J108" s="25">
        <f>IFERROR(IF(INDEX('Faculties'!$M$64:$M$84,MATCH($F108,'Faculties'!$B$64:$B$84,0))="","Cell will autofill based on response",INDEX('Faculties'!$M$64:$M$84,MATCH($F108,'Faculties'!$B$64:$B$84,0))),"N/A")</f>
        <v/>
      </c>
      <c r="K108" s="25">
        <f>IFERROR(IF(INDEX('Faculties'!$M$91:$M$111,MATCH($F108,'Faculties'!$B$91:$B$111,0))="","Cell will autofill based on response",INDEX('Faculties'!$M$91:$M$111,MATCH($F108,'Faculties'!$B$91:$B$111,0))),"N/A")</f>
        <v/>
      </c>
      <c r="L108" s="25">
        <f>IFERROR(IF(INDEX('CI&amp;S'!$M$10:$M$15,MATCH($F108,'CI&amp;S'!$B$10:$B$15,0))="","Cell will autofill based on response",INDEX('CI&amp;S'!$M$10:$M$15,MATCH($F108,'CI&amp;S'!$B$10:$B$15,0))),"N/A")</f>
        <v/>
      </c>
      <c r="M108" s="25">
        <f>IFERROR(IF(INDEX('CI&amp;S'!$M$22:$M$39,MATCH($F108,'CI&amp;S'!$B$22:$B$39,0))="","Cell will autofill based on response",INDEX('CI&amp;S'!$M$22:$M$39,MATCH($F108,'CI&amp;S'!$B$22:$B$39,0))),"N/A")</f>
        <v/>
      </c>
      <c r="N108" s="25">
        <f>IFERROR(IF(INDEX('CFOG'!$M$10:$M$16,MATCH($F108,'CFOG'!$B$10:$B$16,0))="","Cell will autofill based on response",INDEX('CFOG'!$M$10:$M$16,MATCH($F108,'CFOG'!$B$10:$B$16,0))),"N/A")</f>
        <v/>
      </c>
      <c r="O108" s="25">
        <f>IFERROR(IF(INDEX('CFOG'!$M$23:$M$24,MATCH($F108,'CFOG'!$B$23:$B$24,0))="","Cell will autofill based on response",INDEX('CFOG'!$M$23:$M$24,MATCH($F108,'CFOG'!$B$23:$B$24,0))),"N/A")</f>
        <v/>
      </c>
      <c r="P108" s="25">
        <f>IFERROR(IF(INDEX('ESG'!$M$10:$M$17,MATCH($F108,'ESG'!$B$10:$B$17,0))="","Cell will autofill based on response",INDEX('ESG'!$M$10:$M$17,MATCH($F108,'ESG'!$B$10:$B$17,0))),"N/A")</f>
        <v/>
      </c>
      <c r="Q108" s="25">
        <f>IFERROR(IF(INDEX('CIOG'!$M$10:$M$14,MATCH($F108,'CIOG'!$B$10:$B$14,0))="","Cell will autofill based on response",INDEX('CIOG'!$M$10:$M$14,MATCH($F108,'CIOG'!$B$10:$B$14,0))),"N/A")</f>
        <v/>
      </c>
      <c r="R108" s="25">
        <f>IFERROR(IF(INDEX('MRE'!$M$10:$M$12,MATCH($F108,'MRE'!$B$10:$B$12,0))="","Cell will autofill based on response",INDEX('MRE'!$M$10:$M$12,MATCH($F108,'MRE'!$B$10:$B$12,0))),"N/A")</f>
        <v/>
      </c>
      <c r="S108" s="25">
        <f>IFERROR(IF(INDEX('L&amp;R'!$M$10:$M$11,MATCH($F108,'L&amp;R'!$B$10:$B$11,0))="","Cell will autofill based on response",INDEX('L&amp;R'!$M$10:$M$11,MATCH($F108,'L&amp;R'!$B$10:$B$11,0))),"N/A")</f>
        <v/>
      </c>
    </row>
    <row r="109">
      <c r="A109">
        <f>F109&amp;"|"&amp;G109</f>
        <v/>
      </c>
      <c r="B109" s="29" t="inlineStr"/>
      <c r="C109" s="8" t="inlineStr"/>
      <c r="D109" s="8" t="inlineStr"/>
      <c r="E109" s="8" t="inlineStr"/>
      <c r="F109" s="8" t="inlineStr">
        <is>
          <t>CL1(a)</t>
        </is>
      </c>
      <c r="G109" s="8" t="inlineStr">
        <is>
          <t>OPTION 2:  Indicator level reporting</t>
        </is>
      </c>
      <c r="H109" s="25">
        <f>IFERROR(IF(INDEX('Faculties'!$N$10:$N$30,MATCH($F109,'Faculties'!$B$10:$B$30,0))="","Cell will autofill based on response",INDEX('Faculties'!$N$10:$N$30,MATCH($F109,'Faculties'!$B$10:$B$30,0))),"N/A")</f>
        <v/>
      </c>
      <c r="I109" s="25">
        <f>IFERROR(IF(INDEX('Faculties'!$N$37:$N$57,MATCH($F109,'Faculties'!$B$37:$B$57,0))="","Cell will autofill based on response",INDEX('Faculties'!$N$37:$N$57,MATCH($F109,'Faculties'!$B$37:$B$57,0))),"N/A")</f>
        <v/>
      </c>
      <c r="J109" s="25">
        <f>IFERROR(IF(INDEX('Faculties'!$N$64:$N$84,MATCH($F109,'Faculties'!$B$64:$B$84,0))="","Cell will autofill based on response",INDEX('Faculties'!$N$64:$N$84,MATCH($F109,'Faculties'!$B$64:$B$84,0))),"N/A")</f>
        <v/>
      </c>
      <c r="K109" s="25">
        <f>IFERROR(IF(INDEX('Faculties'!$N$91:$N$111,MATCH($F109,'Faculties'!$B$91:$B$111,0))="","Cell will autofill based on response",INDEX('Faculties'!$N$91:$N$111,MATCH($F109,'Faculties'!$B$91:$B$111,0))),"N/A")</f>
        <v/>
      </c>
      <c r="L109" s="25">
        <f>IFERROR(IF(INDEX('CI&amp;S'!$N$10:$N$15,MATCH($F109,'CI&amp;S'!$B$10:$B$15,0))="","Cell will autofill based on response",INDEX('CI&amp;S'!$N$10:$N$15,MATCH($F109,'CI&amp;S'!$B$10:$B$15,0))),"N/A")</f>
        <v/>
      </c>
      <c r="M109" s="25">
        <f>IFERROR(IF(INDEX('CI&amp;S'!$N$22:$N$39,MATCH($F109,'CI&amp;S'!$B$22:$B$39,0))="","Cell will autofill based on response",INDEX('CI&amp;S'!$N$22:$N$39,MATCH($F109,'CI&amp;S'!$B$22:$B$39,0))),"N/A")</f>
        <v/>
      </c>
      <c r="N109" s="25">
        <f>IFERROR(IF(INDEX('CFOG'!$N$10:$N$16,MATCH($F109,'CFOG'!$B$10:$B$16,0))="","Cell will autofill based on response",INDEX('CFOG'!$N$10:$N$16,MATCH($F109,'CFOG'!$B$10:$B$16,0))),"N/A")</f>
        <v/>
      </c>
      <c r="O109" s="25">
        <f>IFERROR(IF(INDEX('CFOG'!$N$23:$N$24,MATCH($F109,'CFOG'!$B$23:$B$24,0))="","Cell will autofill based on response",INDEX('CFOG'!$N$23:$N$24,MATCH($F109,'CFOG'!$B$23:$B$24,0))),"N/A")</f>
        <v/>
      </c>
      <c r="P109" s="25">
        <f>IFERROR(IF(INDEX('ESG'!$N$10:$N$17,MATCH($F109,'ESG'!$B$10:$B$17,0))="","Cell will autofill based on response",INDEX('ESG'!$N$10:$N$17,MATCH($F109,'ESG'!$B$10:$B$17,0))),"N/A")</f>
        <v/>
      </c>
      <c r="Q109" s="25">
        <f>IFERROR(IF(INDEX('CIOG'!$N$10:$N$14,MATCH($F109,'CIOG'!$B$10:$B$14,0))="","Cell will autofill based on response",INDEX('CIOG'!$N$10:$N$14,MATCH($F109,'CIOG'!$B$10:$B$14,0))),"N/A")</f>
        <v/>
      </c>
      <c r="R109" s="25">
        <f>IFERROR(IF(INDEX('MRE'!$N$10:$N$12,MATCH($F109,'MRE'!$B$10:$B$12,0))="","Cell will autofill based on response",INDEX('MRE'!$N$10:$N$12,MATCH($F109,'MRE'!$B$10:$B$12,0))),"N/A")</f>
        <v/>
      </c>
      <c r="S109" s="25">
        <f>IFERROR(IF(INDEX('L&amp;R'!$N$10:$N$11,MATCH($F109,'L&amp;R'!$B$10:$B$11,0))="","Cell will autofill based on response",INDEX('L&amp;R'!$N$10:$N$11,MATCH($F109,'L&amp;R'!$B$10:$B$11,0))),"N/A")</f>
        <v/>
      </c>
    </row>
    <row r="110">
      <c r="A110">
        <f>F110&amp;"|"&amp;G110</f>
        <v/>
      </c>
      <c r="B110" s="29" t="inlineStr"/>
      <c r="C110" s="8" t="inlineStr"/>
      <c r="D110" s="8" t="inlineStr"/>
      <c r="E110" s="8" t="inlineStr"/>
      <c r="F110" s="8" t="inlineStr">
        <is>
          <t>CL1(a)</t>
        </is>
      </c>
      <c r="G110" s="8" t="inlineStr">
        <is>
          <t>Supporting information/comments</t>
        </is>
      </c>
      <c r="H110" s="25">
        <f>IFERROR(IF(INDEX('Faculties'!$O$10:$O$30,MATCH($F110,'Faculties'!$B$10:$B$30,0))="","Cell will autofill based on response",INDEX('Faculties'!$O$10:$O$30,MATCH($F110,'Faculties'!$B$10:$B$30,0))),"N/A")</f>
        <v/>
      </c>
      <c r="I110" s="25">
        <f>IFERROR(IF(INDEX('Faculties'!$O$37:$O$57,MATCH($F110,'Faculties'!$B$37:$B$57,0))="","Cell will autofill based on response",INDEX('Faculties'!$O$37:$O$57,MATCH($F110,'Faculties'!$B$37:$B$57,0))),"N/A")</f>
        <v/>
      </c>
      <c r="J110" s="25">
        <f>IFERROR(IF(INDEX('Faculties'!$O$64:$O$84,MATCH($F110,'Faculties'!$B$64:$B$84,0))="","Cell will autofill based on response",INDEX('Faculties'!$O$64:$O$84,MATCH($F110,'Faculties'!$B$64:$B$84,0))),"N/A")</f>
        <v/>
      </c>
      <c r="K110" s="25">
        <f>IFERROR(IF(INDEX('Faculties'!$O$91:$O$111,MATCH($F110,'Faculties'!$B$91:$B$111,0))="","Cell will autofill based on response",INDEX('Faculties'!$O$91:$O$111,MATCH($F110,'Faculties'!$B$91:$B$111,0))),"N/A")</f>
        <v/>
      </c>
      <c r="L110" s="25">
        <f>IFERROR(IF(INDEX('CI&amp;S'!$O$10:$O$15,MATCH($F110,'CI&amp;S'!$B$10:$B$15,0))="","Cell will autofill based on response",INDEX('CI&amp;S'!$O$10:$O$15,MATCH($F110,'CI&amp;S'!$B$10:$B$15,0))),"N/A")</f>
        <v/>
      </c>
      <c r="M110" s="25">
        <f>IFERROR(IF(INDEX('CI&amp;S'!$O$22:$O$39,MATCH($F110,'CI&amp;S'!$B$22:$B$39,0))="","Cell will autofill based on response",INDEX('CI&amp;S'!$O$22:$O$39,MATCH($F110,'CI&amp;S'!$B$22:$B$39,0))),"N/A")</f>
        <v/>
      </c>
      <c r="N110" s="25">
        <f>IFERROR(IF(INDEX('CFOG'!$O$10:$O$16,MATCH($F110,'CFOG'!$B$10:$B$16,0))="","Cell will autofill based on response",INDEX('CFOG'!$O$10:$O$16,MATCH($F110,'CFOG'!$B$10:$B$16,0))),"N/A")</f>
        <v/>
      </c>
      <c r="O110" s="25">
        <f>IFERROR(IF(INDEX('CFOG'!$O$23:$O$24,MATCH($F110,'CFOG'!$B$23:$B$24,0))="","Cell will autofill based on response",INDEX('CFOG'!$O$23:$O$24,MATCH($F110,'CFOG'!$B$23:$B$24,0))),"N/A")</f>
        <v/>
      </c>
      <c r="P110" s="25">
        <f>IFERROR(IF(INDEX('ESG'!$O$10:$O$17,MATCH($F110,'ESG'!$B$10:$B$17,0))="","Cell will autofill based on response",INDEX('ESG'!$O$10:$O$17,MATCH($F110,'ESG'!$B$10:$B$17,0))),"N/A")</f>
        <v/>
      </c>
      <c r="Q110" s="25">
        <f>IFERROR(IF(INDEX('CIOG'!$O$10:$O$14,MATCH($F110,'CIOG'!$B$10:$B$14,0))="","Cell will autofill based on response",INDEX('CIOG'!$O$10:$O$14,MATCH($F110,'CIOG'!$B$10:$B$14,0))),"N/A")</f>
        <v/>
      </c>
      <c r="R110" s="25">
        <f>IFERROR(IF(INDEX('MRE'!$O$10:$O$12,MATCH($F110,'MRE'!$B$10:$B$12,0))="","Cell will autofill based on response",INDEX('MRE'!$O$10:$O$12,MATCH($F110,'MRE'!$B$10:$B$12,0))),"N/A")</f>
        <v/>
      </c>
      <c r="S110" s="25">
        <f>IFERROR(IF(INDEX('L&amp;R'!$O$10:$O$11,MATCH($F110,'L&amp;R'!$B$10:$B$11,0))="","Cell will autofill based on response",INDEX('L&amp;R'!$O$10:$O$11,MATCH($F110,'L&amp;R'!$B$10:$B$11,0))),"N/A")</f>
        <v/>
      </c>
    </row>
    <row r="111">
      <c r="A111">
        <f>F111&amp;"|"&amp;G111</f>
        <v/>
      </c>
      <c r="B111" s="29" t="inlineStr"/>
      <c r="C111" s="8" t="inlineStr"/>
      <c r="D111" s="8" t="inlineStr"/>
      <c r="E111" s="8" t="inlineStr"/>
      <c r="F111" s="8" t="inlineStr">
        <is>
          <t>CL1(a)</t>
        </is>
      </c>
      <c r="G111" s="8" t="inlineStr">
        <is>
          <t>Data source and limitations</t>
        </is>
      </c>
      <c r="H111" s="25">
        <f>IFERROR(IF(INDEX('Faculties'!$P$10:$P$30,MATCH($F111,'Faculties'!$B$10:$B$30,0))="","Cell will autofill based on response",INDEX('Faculties'!$P$10:$P$30,MATCH($F111,'Faculties'!$B$10:$B$30,0))),"N/A")</f>
        <v/>
      </c>
      <c r="I111" s="25">
        <f>IFERROR(IF(INDEX('Faculties'!$P$37:$P$57,MATCH($F111,'Faculties'!$B$37:$B$57,0))="","Cell will autofill based on response",INDEX('Faculties'!$P$37:$P$57,MATCH($F111,'Faculties'!$B$37:$B$57,0))),"N/A")</f>
        <v/>
      </c>
      <c r="J111" s="25">
        <f>IFERROR(IF(INDEX('Faculties'!$P$64:$P$84,MATCH($F111,'Faculties'!$B$64:$B$84,0))="","Cell will autofill based on response",INDEX('Faculties'!$P$64:$P$84,MATCH($F111,'Faculties'!$B$64:$B$84,0))),"N/A")</f>
        <v/>
      </c>
      <c r="K111" s="25">
        <f>IFERROR(IF(INDEX('Faculties'!$P$91:$P$111,MATCH($F111,'Faculties'!$B$91:$B$111,0))="","Cell will autofill based on response",INDEX('Faculties'!$P$91:$P$111,MATCH($F111,'Faculties'!$B$91:$B$111,0))),"N/A")</f>
        <v/>
      </c>
      <c r="L111" s="25">
        <f>IFERROR(IF(INDEX('CI&amp;S'!$P$10:$P$15,MATCH($F111,'CI&amp;S'!$B$10:$B$15,0))="","Cell will autofill based on response",INDEX('CI&amp;S'!$P$10:$P$15,MATCH($F111,'CI&amp;S'!$B$10:$B$15,0))),"N/A")</f>
        <v/>
      </c>
      <c r="M111" s="25">
        <f>IFERROR(IF(INDEX('CI&amp;S'!$P$22:$P$39,MATCH($F111,'CI&amp;S'!$B$22:$B$39,0))="","Cell will autofill based on response",INDEX('CI&amp;S'!$P$22:$P$39,MATCH($F111,'CI&amp;S'!$B$22:$B$39,0))),"N/A")</f>
        <v/>
      </c>
      <c r="N111" s="25">
        <f>IFERROR(IF(INDEX('CFOG'!$P$10:$P$16,MATCH($F111,'CFOG'!$B$10:$B$16,0))="","Cell will autofill based on response",INDEX('CFOG'!$P$10:$P$16,MATCH($F111,'CFOG'!$B$10:$B$16,0))),"N/A")</f>
        <v/>
      </c>
      <c r="O111" s="25">
        <f>IFERROR(IF(INDEX('CFOG'!$P$23:$P$24,MATCH($F111,'CFOG'!$B$23:$B$24,0))="","Cell will autofill based on response",INDEX('CFOG'!$P$23:$P$24,MATCH($F111,'CFOG'!$B$23:$B$24,0))),"N/A")</f>
        <v/>
      </c>
      <c r="P111" s="25">
        <f>IFERROR(IF(INDEX('ESG'!$P$10:$P$17,MATCH($F111,'ESG'!$B$10:$B$17,0))="","Cell will autofill based on response",INDEX('ESG'!$P$10:$P$17,MATCH($F111,'ESG'!$B$10:$B$17,0))),"N/A")</f>
        <v/>
      </c>
      <c r="Q111" s="25">
        <f>IFERROR(IF(INDEX('CIOG'!$P$10:$P$14,MATCH($F111,'CIOG'!$B$10:$B$14,0))="","Cell will autofill based on response",INDEX('CIOG'!$P$10:$P$14,MATCH($F111,'CIOG'!$B$10:$B$14,0))),"N/A")</f>
        <v/>
      </c>
      <c r="R111" s="25">
        <f>IFERROR(IF(INDEX('MRE'!$P$10:$P$12,MATCH($F111,'MRE'!$B$10:$B$12,0))="","Cell will autofill based on response",INDEX('MRE'!$P$10:$P$12,MATCH($F111,'MRE'!$B$10:$B$12,0))),"N/A")</f>
        <v/>
      </c>
      <c r="S111" s="25">
        <f>IFERROR(IF(INDEX('L&amp;R'!$P$10:$P$11,MATCH($F111,'L&amp;R'!$B$10:$B$11,0))="","Cell will autofill based on response",INDEX('L&amp;R'!$P$10:$P$11,MATCH($F111,'L&amp;R'!$B$10:$B$11,0))),"N/A")</f>
        <v/>
      </c>
    </row>
    <row r="112">
      <c r="A112">
        <f>F112&amp;"|"&amp;G112</f>
        <v/>
      </c>
      <c r="B112" s="29" t="inlineStr"/>
      <c r="C112" s="8" t="inlineStr"/>
      <c r="D112" s="8" t="inlineStr"/>
      <c r="E112" s="8" t="inlineStr"/>
      <c r="F112" s="8" t="inlineStr">
        <is>
          <t>CL1(a)</t>
        </is>
      </c>
      <c r="G112" s="8" t="inlineStr">
        <is>
          <t>Data owner confirms</t>
        </is>
      </c>
      <c r="H112" s="25">
        <f>IFERROR(IF(INDEX('Faculties'!$Q$10:$Q$30,MATCH($F112,'Faculties'!$B$10:$B$30,0))="","Cell will autofill based on response",INDEX('Faculties'!$Q$10:$Q$30,MATCH($F112,'Faculties'!$B$10:$B$30,0))),"N/A")</f>
        <v/>
      </c>
      <c r="I112" s="25">
        <f>IFERROR(IF(INDEX('Faculties'!$Q$37:$Q$57,MATCH($F112,'Faculties'!$B$37:$B$57,0))="","Cell will autofill based on response",INDEX('Faculties'!$Q$37:$Q$57,MATCH($F112,'Faculties'!$B$37:$B$57,0))),"N/A")</f>
        <v/>
      </c>
      <c r="J112" s="25">
        <f>IFERROR(IF(INDEX('Faculties'!$Q$64:$Q$84,MATCH($F112,'Faculties'!$B$64:$B$84,0))="","Cell will autofill based on response",INDEX('Faculties'!$Q$64:$Q$84,MATCH($F112,'Faculties'!$B$64:$B$84,0))),"N/A")</f>
        <v/>
      </c>
      <c r="K112" s="25">
        <f>IFERROR(IF(INDEX('Faculties'!$Q$91:$Q$111,MATCH($F112,'Faculties'!$B$91:$B$111,0))="","Cell will autofill based on response",INDEX('Faculties'!$Q$91:$Q$111,MATCH($F112,'Faculties'!$B$91:$B$111,0))),"N/A")</f>
        <v/>
      </c>
      <c r="L112" s="25">
        <f>IFERROR(IF(INDEX('CI&amp;S'!$Q$10:$Q$15,MATCH($F112,'CI&amp;S'!$B$10:$B$15,0))="","Cell will autofill based on response",INDEX('CI&amp;S'!$Q$10:$Q$15,MATCH($F112,'CI&amp;S'!$B$10:$B$15,0))),"N/A")</f>
        <v/>
      </c>
      <c r="M112" s="25">
        <f>IFERROR(IF(INDEX('CI&amp;S'!$Q$22:$Q$39,MATCH($F112,'CI&amp;S'!$B$22:$B$39,0))="","Cell will autofill based on response",INDEX('CI&amp;S'!$Q$22:$Q$39,MATCH($F112,'CI&amp;S'!$B$22:$B$39,0))),"N/A")</f>
        <v/>
      </c>
      <c r="N112" s="25">
        <f>IFERROR(IF(INDEX('CFOG'!$Q$10:$Q$16,MATCH($F112,'CFOG'!$B$10:$B$16,0))="","Cell will autofill based on response",INDEX('CFOG'!$Q$10:$Q$16,MATCH($F112,'CFOG'!$B$10:$B$16,0))),"N/A")</f>
        <v/>
      </c>
      <c r="O112" s="25">
        <f>IFERROR(IF(INDEX('CFOG'!$Q$23:$Q$24,MATCH($F112,'CFOG'!$B$23:$B$24,0))="","Cell will autofill based on response",INDEX('CFOG'!$Q$23:$Q$24,MATCH($F112,'CFOG'!$B$23:$B$24,0))),"N/A")</f>
        <v/>
      </c>
      <c r="P112" s="25">
        <f>IFERROR(IF(INDEX('ESG'!$Q$10:$Q$17,MATCH($F112,'ESG'!$B$10:$B$17,0))="","Cell will autofill based on response",INDEX('ESG'!$Q$10:$Q$17,MATCH($F112,'ESG'!$B$10:$B$17,0))),"N/A")</f>
        <v/>
      </c>
      <c r="Q112" s="25">
        <f>IFERROR(IF(INDEX('CIOG'!$Q$10:$Q$14,MATCH($F112,'CIOG'!$B$10:$B$14,0))="","Cell will autofill based on response",INDEX('CIOG'!$Q$10:$Q$14,MATCH($F112,'CIOG'!$B$10:$B$14,0))),"N/A")</f>
        <v/>
      </c>
      <c r="R112" s="25">
        <f>IFERROR(IF(INDEX('MRE'!$Q$10:$Q$12,MATCH($F112,'MRE'!$B$10:$B$12,0))="","Cell will autofill based on response",INDEX('MRE'!$Q$10:$Q$12,MATCH($F112,'MRE'!$B$10:$B$12,0))),"N/A")</f>
        <v/>
      </c>
      <c r="S112" s="25">
        <f>IFERROR(IF(INDEX('L&amp;R'!$Q$10:$Q$11,MATCH($F112,'L&amp;R'!$B$10:$B$11,0))="","Cell will autofill based on response",INDEX('L&amp;R'!$Q$10:$Q$11,MATCH($F112,'L&amp;R'!$B$10:$B$11,0))),"N/A")</f>
        <v/>
      </c>
    </row>
    <row r="113">
      <c r="A113">
        <f>F113&amp;"|"&amp;G113</f>
        <v/>
      </c>
      <c r="B113" s="7" t="inlineStr">
        <is>
          <t>CL1(b)</t>
        </is>
      </c>
      <c r="C113" s="12" t="inlineStr">
        <is>
          <t>Climate leadership</t>
        </is>
      </c>
      <c r="D113" s="12" t="inlineStr">
        <is>
          <t>Development of Greenhouse Gas  intensity metrics</t>
        </is>
      </c>
      <c r="E113" s="12" t="inlineStr">
        <is>
          <t>Greenhouse gas emissions by FTE, EFTSL, and Gross floor area (https://www.unimelb.edu.au/sustainabilityreport/2025/data-tables#GHGe-scope)</t>
        </is>
      </c>
      <c r="F113" s="12" t="inlineStr">
        <is>
          <t>CL1(b)</t>
        </is>
      </c>
      <c r="G113" s="12" t="inlineStr">
        <is>
          <t>Confirm end-2026 target status</t>
        </is>
      </c>
      <c r="H113" s="25">
        <f>IFERROR(IF(INDEX('Faculties'!$L$10:$L$30,MATCH($F113,'Faculties'!$B$10:$B$30,0))="","Cell will autofill based on response",INDEX('Faculties'!$L$10:$L$30,MATCH($F113,'Faculties'!$B$10:$B$30,0))),"N/A")</f>
        <v/>
      </c>
      <c r="I113" s="25">
        <f>IFERROR(IF(INDEX('Faculties'!$L$37:$L$57,MATCH($F113,'Faculties'!$B$37:$B$57,0))="","Cell will autofill based on response",INDEX('Faculties'!$L$37:$L$57,MATCH($F113,'Faculties'!$B$37:$B$57,0))),"N/A")</f>
        <v/>
      </c>
      <c r="J113" s="25">
        <f>IFERROR(IF(INDEX('Faculties'!$L$64:$L$84,MATCH($F113,'Faculties'!$B$64:$B$84,0))="","Cell will autofill based on response",INDEX('Faculties'!$L$64:$L$84,MATCH($F113,'Faculties'!$B$64:$B$84,0))),"N/A")</f>
        <v/>
      </c>
      <c r="K113" s="25">
        <f>IFERROR(IF(INDEX('Faculties'!$L$91:$L$111,MATCH($F113,'Faculties'!$B$91:$B$111,0))="","Cell will autofill based on response",INDEX('Faculties'!$L$91:$L$111,MATCH($F113,'Faculties'!$B$91:$B$111,0))),"N/A")</f>
        <v/>
      </c>
      <c r="L113" s="25">
        <f>IFERROR(IF(INDEX('CI&amp;S'!$L$10:$L$15,MATCH($F113,'CI&amp;S'!$B$10:$B$15,0))="","Cell will autofill based on response",INDEX('CI&amp;S'!$L$10:$L$15,MATCH($F113,'CI&amp;S'!$B$10:$B$15,0))),"N/A")</f>
        <v/>
      </c>
      <c r="M113" s="25">
        <f>IFERROR(IF(INDEX('CI&amp;S'!$L$22:$L$39,MATCH($F113,'CI&amp;S'!$B$22:$B$39,0))="","Cell will autofill based on response",INDEX('CI&amp;S'!$L$22:$L$39,MATCH($F113,'CI&amp;S'!$B$22:$B$39,0))),"N/A")</f>
        <v/>
      </c>
      <c r="N113" s="25">
        <f>IFERROR(IF(INDEX('CFOG'!$L$10:$L$16,MATCH($F113,'CFOG'!$B$10:$B$16,0))="","Cell will autofill based on response",INDEX('CFOG'!$L$10:$L$16,MATCH($F113,'CFOG'!$B$10:$B$16,0))),"N/A")</f>
        <v/>
      </c>
      <c r="O113" s="25">
        <f>IFERROR(IF(INDEX('CFOG'!$L$23:$L$24,MATCH($F113,'CFOG'!$B$23:$B$24,0))="","Cell will autofill based on response",INDEX('CFOG'!$L$23:$L$24,MATCH($F113,'CFOG'!$B$23:$B$24,0))),"N/A")</f>
        <v/>
      </c>
      <c r="P113" s="25">
        <f>IFERROR(IF(INDEX('ESG'!$L$10:$L$17,MATCH($F113,'ESG'!$B$10:$B$17,0))="","Cell will autofill based on response",INDEX('ESG'!$L$10:$L$17,MATCH($F113,'ESG'!$B$10:$B$17,0))),"N/A")</f>
        <v/>
      </c>
      <c r="Q113" s="25">
        <f>IFERROR(IF(INDEX('CIOG'!$L$10:$L$14,MATCH($F113,'CIOG'!$B$10:$B$14,0))="","Cell will autofill based on response",INDEX('CIOG'!$L$10:$L$14,MATCH($F113,'CIOG'!$B$10:$B$14,0))),"N/A")</f>
        <v/>
      </c>
      <c r="R113" s="25">
        <f>IFERROR(IF(INDEX('MRE'!$L$10:$L$12,MATCH($F113,'MRE'!$B$10:$B$12,0))="","Cell will autofill based on response",INDEX('MRE'!$L$10:$L$12,MATCH($F113,'MRE'!$B$10:$B$12,0))),"N/A")</f>
        <v/>
      </c>
      <c r="S113" s="25">
        <f>IFERROR(IF(INDEX('L&amp;R'!$L$10:$L$11,MATCH($F113,'L&amp;R'!$B$10:$B$11,0))="","Cell will autofill based on response",INDEX('L&amp;R'!$L$10:$L$11,MATCH($F113,'L&amp;R'!$B$10:$B$11,0))),"N/A")</f>
        <v/>
      </c>
      <c r="U113" s="26">
        <f>COUNTIF($H113:$S113,"Cell will autofill based on response")</f>
        <v/>
      </c>
      <c r="V113" s="26">
        <f>COUNTIF($H113:$S113,"Not yet started")</f>
        <v/>
      </c>
      <c r="W113" s="26">
        <f>COUNTIF($H113:$S113,"Not met")</f>
        <v/>
      </c>
      <c r="X113" s="26">
        <f>COUNTIF($H113:$S113,"Partially met")</f>
        <v/>
      </c>
      <c r="Y113" s="26">
        <f>COUNTIF($H113:$S113,"Met or exceeded")</f>
        <v/>
      </c>
      <c r="Z113" s="26">
        <f>3*Y113+2*X113+W113</f>
        <v/>
      </c>
      <c r="AA113" s="26">
        <f>Y113+X113+W113+V113</f>
        <v/>
      </c>
      <c r="AB113" s="27">
        <f>IF(AA113&gt;0,Z113/AA113,"No valid responses to date")</f>
        <v/>
      </c>
      <c r="AC113" s="26">
        <f>IF(ISNUMBER(AB113),INDEX(Lists!$G$2:$G$5,MATCH(ROUND(AB113,0),Lists!$H$2:$H$5,0)),"")</f>
        <v/>
      </c>
      <c r="AD113" s="28">
        <f>IF(AA113&gt;0,Y113/AA113,"")</f>
        <v/>
      </c>
      <c r="AE113" s="28">
        <f>IF(AA113&gt;0,(Y113+X113)/AA113,"")</f>
        <v/>
      </c>
      <c r="AF113" s="26">
        <f>IF(AA113=0,"",IF(AD113&gt;0.75,"Met or exceeded",IF(AE113&gt;=0.5,"Partially met","Not met")))</f>
        <v/>
      </c>
    </row>
    <row r="114">
      <c r="A114">
        <f>F114&amp;"|"&amp;G114</f>
        <v/>
      </c>
      <c r="B114" s="29" t="inlineStr"/>
      <c r="C114" s="8" t="inlineStr"/>
      <c r="D114" s="8" t="inlineStr"/>
      <c r="E114" s="8" t="inlineStr"/>
      <c r="F114" s="8" t="inlineStr">
        <is>
          <t>CL1(b)</t>
        </is>
      </c>
      <c r="G114" s="8" t="inlineStr">
        <is>
          <t>OPTION 1:  Target-level reporting</t>
        </is>
      </c>
      <c r="H114" s="25">
        <f>IFERROR(IF(INDEX('Faculties'!$M$10:$M$30,MATCH($F114,'Faculties'!$B$10:$B$30,0))="","Cell will autofill based on response",INDEX('Faculties'!$M$10:$M$30,MATCH($F114,'Faculties'!$B$10:$B$30,0))),"N/A")</f>
        <v/>
      </c>
      <c r="I114" s="25">
        <f>IFERROR(IF(INDEX('Faculties'!$M$37:$M$57,MATCH($F114,'Faculties'!$B$37:$B$57,0))="","Cell will autofill based on response",INDEX('Faculties'!$M$37:$M$57,MATCH($F114,'Faculties'!$B$37:$B$57,0))),"N/A")</f>
        <v/>
      </c>
      <c r="J114" s="25">
        <f>IFERROR(IF(INDEX('Faculties'!$M$64:$M$84,MATCH($F114,'Faculties'!$B$64:$B$84,0))="","Cell will autofill based on response",INDEX('Faculties'!$M$64:$M$84,MATCH($F114,'Faculties'!$B$64:$B$84,0))),"N/A")</f>
        <v/>
      </c>
      <c r="K114" s="25">
        <f>IFERROR(IF(INDEX('Faculties'!$M$91:$M$111,MATCH($F114,'Faculties'!$B$91:$B$111,0))="","Cell will autofill based on response",INDEX('Faculties'!$M$91:$M$111,MATCH($F114,'Faculties'!$B$91:$B$111,0))),"N/A")</f>
        <v/>
      </c>
      <c r="L114" s="25">
        <f>IFERROR(IF(INDEX('CI&amp;S'!$M$10:$M$15,MATCH($F114,'CI&amp;S'!$B$10:$B$15,0))="","Cell will autofill based on response",INDEX('CI&amp;S'!$M$10:$M$15,MATCH($F114,'CI&amp;S'!$B$10:$B$15,0))),"N/A")</f>
        <v/>
      </c>
      <c r="M114" s="25">
        <f>IFERROR(IF(INDEX('CI&amp;S'!$M$22:$M$39,MATCH($F114,'CI&amp;S'!$B$22:$B$39,0))="","Cell will autofill based on response",INDEX('CI&amp;S'!$M$22:$M$39,MATCH($F114,'CI&amp;S'!$B$22:$B$39,0))),"N/A")</f>
        <v/>
      </c>
      <c r="N114" s="25">
        <f>IFERROR(IF(INDEX('CFOG'!$M$10:$M$16,MATCH($F114,'CFOG'!$B$10:$B$16,0))="","Cell will autofill based on response",INDEX('CFOG'!$M$10:$M$16,MATCH($F114,'CFOG'!$B$10:$B$16,0))),"N/A")</f>
        <v/>
      </c>
      <c r="O114" s="25">
        <f>IFERROR(IF(INDEX('CFOG'!$M$23:$M$24,MATCH($F114,'CFOG'!$B$23:$B$24,0))="","Cell will autofill based on response",INDEX('CFOG'!$M$23:$M$24,MATCH($F114,'CFOG'!$B$23:$B$24,0))),"N/A")</f>
        <v/>
      </c>
      <c r="P114" s="25">
        <f>IFERROR(IF(INDEX('ESG'!$M$10:$M$17,MATCH($F114,'ESG'!$B$10:$B$17,0))="","Cell will autofill based on response",INDEX('ESG'!$M$10:$M$17,MATCH($F114,'ESG'!$B$10:$B$17,0))),"N/A")</f>
        <v/>
      </c>
      <c r="Q114" s="25">
        <f>IFERROR(IF(INDEX('CIOG'!$M$10:$M$14,MATCH($F114,'CIOG'!$B$10:$B$14,0))="","Cell will autofill based on response",INDEX('CIOG'!$M$10:$M$14,MATCH($F114,'CIOG'!$B$10:$B$14,0))),"N/A")</f>
        <v/>
      </c>
      <c r="R114" s="25">
        <f>IFERROR(IF(INDEX('MRE'!$M$10:$M$12,MATCH($F114,'MRE'!$B$10:$B$12,0))="","Cell will autofill based on response",INDEX('MRE'!$M$10:$M$12,MATCH($F114,'MRE'!$B$10:$B$12,0))),"N/A")</f>
        <v/>
      </c>
      <c r="S114" s="25">
        <f>IFERROR(IF(INDEX('L&amp;R'!$M$10:$M$11,MATCH($F114,'L&amp;R'!$B$10:$B$11,0))="","Cell will autofill based on response",INDEX('L&amp;R'!$M$10:$M$11,MATCH($F114,'L&amp;R'!$B$10:$B$11,0))),"N/A")</f>
        <v/>
      </c>
    </row>
    <row r="115">
      <c r="A115">
        <f>F115&amp;"|"&amp;G115</f>
        <v/>
      </c>
      <c r="B115" s="29" t="inlineStr"/>
      <c r="C115" s="8" t="inlineStr"/>
      <c r="D115" s="8" t="inlineStr"/>
      <c r="E115" s="8" t="inlineStr"/>
      <c r="F115" s="8" t="inlineStr">
        <is>
          <t>CL1(b)</t>
        </is>
      </c>
      <c r="G115" s="8" t="inlineStr">
        <is>
          <t>OPTION 2:  Indicator level reporting</t>
        </is>
      </c>
      <c r="H115" s="25">
        <f>IFERROR(IF(INDEX('Faculties'!$N$10:$N$30,MATCH($F115,'Faculties'!$B$10:$B$30,0))="","Cell will autofill based on response",INDEX('Faculties'!$N$10:$N$30,MATCH($F115,'Faculties'!$B$10:$B$30,0))),"N/A")</f>
        <v/>
      </c>
      <c r="I115" s="25">
        <f>IFERROR(IF(INDEX('Faculties'!$N$37:$N$57,MATCH($F115,'Faculties'!$B$37:$B$57,0))="","Cell will autofill based on response",INDEX('Faculties'!$N$37:$N$57,MATCH($F115,'Faculties'!$B$37:$B$57,0))),"N/A")</f>
        <v/>
      </c>
      <c r="J115" s="25">
        <f>IFERROR(IF(INDEX('Faculties'!$N$64:$N$84,MATCH($F115,'Faculties'!$B$64:$B$84,0))="","Cell will autofill based on response",INDEX('Faculties'!$N$64:$N$84,MATCH($F115,'Faculties'!$B$64:$B$84,0))),"N/A")</f>
        <v/>
      </c>
      <c r="K115" s="25">
        <f>IFERROR(IF(INDEX('Faculties'!$N$91:$N$111,MATCH($F115,'Faculties'!$B$91:$B$111,0))="","Cell will autofill based on response",INDEX('Faculties'!$N$91:$N$111,MATCH($F115,'Faculties'!$B$91:$B$111,0))),"N/A")</f>
        <v/>
      </c>
      <c r="L115" s="25">
        <f>IFERROR(IF(INDEX('CI&amp;S'!$N$10:$N$15,MATCH($F115,'CI&amp;S'!$B$10:$B$15,0))="","Cell will autofill based on response",INDEX('CI&amp;S'!$N$10:$N$15,MATCH($F115,'CI&amp;S'!$B$10:$B$15,0))),"N/A")</f>
        <v/>
      </c>
      <c r="M115" s="25">
        <f>IFERROR(IF(INDEX('CI&amp;S'!$N$22:$N$39,MATCH($F115,'CI&amp;S'!$B$22:$B$39,0))="","Cell will autofill based on response",INDEX('CI&amp;S'!$N$22:$N$39,MATCH($F115,'CI&amp;S'!$B$22:$B$39,0))),"N/A")</f>
        <v/>
      </c>
      <c r="N115" s="25">
        <f>IFERROR(IF(INDEX('CFOG'!$N$10:$N$16,MATCH($F115,'CFOG'!$B$10:$B$16,0))="","Cell will autofill based on response",INDEX('CFOG'!$N$10:$N$16,MATCH($F115,'CFOG'!$B$10:$B$16,0))),"N/A")</f>
        <v/>
      </c>
      <c r="O115" s="25">
        <f>IFERROR(IF(INDEX('CFOG'!$N$23:$N$24,MATCH($F115,'CFOG'!$B$23:$B$24,0))="","Cell will autofill based on response",INDEX('CFOG'!$N$23:$N$24,MATCH($F115,'CFOG'!$B$23:$B$24,0))),"N/A")</f>
        <v/>
      </c>
      <c r="P115" s="25">
        <f>IFERROR(IF(INDEX('ESG'!$N$10:$N$17,MATCH($F115,'ESG'!$B$10:$B$17,0))="","Cell will autofill based on response",INDEX('ESG'!$N$10:$N$17,MATCH($F115,'ESG'!$B$10:$B$17,0))),"N/A")</f>
        <v/>
      </c>
      <c r="Q115" s="25">
        <f>IFERROR(IF(INDEX('CIOG'!$N$10:$N$14,MATCH($F115,'CIOG'!$B$10:$B$14,0))="","Cell will autofill based on response",INDEX('CIOG'!$N$10:$N$14,MATCH($F115,'CIOG'!$B$10:$B$14,0))),"N/A")</f>
        <v/>
      </c>
      <c r="R115" s="25">
        <f>IFERROR(IF(INDEX('MRE'!$N$10:$N$12,MATCH($F115,'MRE'!$B$10:$B$12,0))="","Cell will autofill based on response",INDEX('MRE'!$N$10:$N$12,MATCH($F115,'MRE'!$B$10:$B$12,0))),"N/A")</f>
        <v/>
      </c>
      <c r="S115" s="25">
        <f>IFERROR(IF(INDEX('L&amp;R'!$N$10:$N$11,MATCH($F115,'L&amp;R'!$B$10:$B$11,0))="","Cell will autofill based on response",INDEX('L&amp;R'!$N$10:$N$11,MATCH($F115,'L&amp;R'!$B$10:$B$11,0))),"N/A")</f>
        <v/>
      </c>
    </row>
    <row r="116">
      <c r="A116">
        <f>F116&amp;"|"&amp;G116</f>
        <v/>
      </c>
      <c r="B116" s="29" t="inlineStr"/>
      <c r="C116" s="8" t="inlineStr"/>
      <c r="D116" s="8" t="inlineStr"/>
      <c r="E116" s="8" t="inlineStr"/>
      <c r="F116" s="8" t="inlineStr">
        <is>
          <t>CL1(b)</t>
        </is>
      </c>
      <c r="G116" s="8" t="inlineStr">
        <is>
          <t>Supporting information/comments</t>
        </is>
      </c>
      <c r="H116" s="25">
        <f>IFERROR(IF(INDEX('Faculties'!$O$10:$O$30,MATCH($F116,'Faculties'!$B$10:$B$30,0))="","Cell will autofill based on response",INDEX('Faculties'!$O$10:$O$30,MATCH($F116,'Faculties'!$B$10:$B$30,0))),"N/A")</f>
        <v/>
      </c>
      <c r="I116" s="25">
        <f>IFERROR(IF(INDEX('Faculties'!$O$37:$O$57,MATCH($F116,'Faculties'!$B$37:$B$57,0))="","Cell will autofill based on response",INDEX('Faculties'!$O$37:$O$57,MATCH($F116,'Faculties'!$B$37:$B$57,0))),"N/A")</f>
        <v/>
      </c>
      <c r="J116" s="25">
        <f>IFERROR(IF(INDEX('Faculties'!$O$64:$O$84,MATCH($F116,'Faculties'!$B$64:$B$84,0))="","Cell will autofill based on response",INDEX('Faculties'!$O$64:$O$84,MATCH($F116,'Faculties'!$B$64:$B$84,0))),"N/A")</f>
        <v/>
      </c>
      <c r="K116" s="25">
        <f>IFERROR(IF(INDEX('Faculties'!$O$91:$O$111,MATCH($F116,'Faculties'!$B$91:$B$111,0))="","Cell will autofill based on response",INDEX('Faculties'!$O$91:$O$111,MATCH($F116,'Faculties'!$B$91:$B$111,0))),"N/A")</f>
        <v/>
      </c>
      <c r="L116" s="25">
        <f>IFERROR(IF(INDEX('CI&amp;S'!$O$10:$O$15,MATCH($F116,'CI&amp;S'!$B$10:$B$15,0))="","Cell will autofill based on response",INDEX('CI&amp;S'!$O$10:$O$15,MATCH($F116,'CI&amp;S'!$B$10:$B$15,0))),"N/A")</f>
        <v/>
      </c>
      <c r="M116" s="25">
        <f>IFERROR(IF(INDEX('CI&amp;S'!$O$22:$O$39,MATCH($F116,'CI&amp;S'!$B$22:$B$39,0))="","Cell will autofill based on response",INDEX('CI&amp;S'!$O$22:$O$39,MATCH($F116,'CI&amp;S'!$B$22:$B$39,0))),"N/A")</f>
        <v/>
      </c>
      <c r="N116" s="25">
        <f>IFERROR(IF(INDEX('CFOG'!$O$10:$O$16,MATCH($F116,'CFOG'!$B$10:$B$16,0))="","Cell will autofill based on response",INDEX('CFOG'!$O$10:$O$16,MATCH($F116,'CFOG'!$B$10:$B$16,0))),"N/A")</f>
        <v/>
      </c>
      <c r="O116" s="25">
        <f>IFERROR(IF(INDEX('CFOG'!$O$23:$O$24,MATCH($F116,'CFOG'!$B$23:$B$24,0))="","Cell will autofill based on response",INDEX('CFOG'!$O$23:$O$24,MATCH($F116,'CFOG'!$B$23:$B$24,0))),"N/A")</f>
        <v/>
      </c>
      <c r="P116" s="25">
        <f>IFERROR(IF(INDEX('ESG'!$O$10:$O$17,MATCH($F116,'ESG'!$B$10:$B$17,0))="","Cell will autofill based on response",INDEX('ESG'!$O$10:$O$17,MATCH($F116,'ESG'!$B$10:$B$17,0))),"N/A")</f>
        <v/>
      </c>
      <c r="Q116" s="25">
        <f>IFERROR(IF(INDEX('CIOG'!$O$10:$O$14,MATCH($F116,'CIOG'!$B$10:$B$14,0))="","Cell will autofill based on response",INDEX('CIOG'!$O$10:$O$14,MATCH($F116,'CIOG'!$B$10:$B$14,0))),"N/A")</f>
        <v/>
      </c>
      <c r="R116" s="25">
        <f>IFERROR(IF(INDEX('MRE'!$O$10:$O$12,MATCH($F116,'MRE'!$B$10:$B$12,0))="","Cell will autofill based on response",INDEX('MRE'!$O$10:$O$12,MATCH($F116,'MRE'!$B$10:$B$12,0))),"N/A")</f>
        <v/>
      </c>
      <c r="S116" s="25">
        <f>IFERROR(IF(INDEX('L&amp;R'!$O$10:$O$11,MATCH($F116,'L&amp;R'!$B$10:$B$11,0))="","Cell will autofill based on response",INDEX('L&amp;R'!$O$10:$O$11,MATCH($F116,'L&amp;R'!$B$10:$B$11,0))),"N/A")</f>
        <v/>
      </c>
    </row>
    <row r="117">
      <c r="A117">
        <f>F117&amp;"|"&amp;G117</f>
        <v/>
      </c>
      <c r="B117" s="29" t="inlineStr"/>
      <c r="C117" s="8" t="inlineStr"/>
      <c r="D117" s="8" t="inlineStr"/>
      <c r="E117" s="8" t="inlineStr"/>
      <c r="F117" s="8" t="inlineStr">
        <is>
          <t>CL1(b)</t>
        </is>
      </c>
      <c r="G117" s="8" t="inlineStr">
        <is>
          <t>Data source and limitations</t>
        </is>
      </c>
      <c r="H117" s="25">
        <f>IFERROR(IF(INDEX('Faculties'!$P$10:$P$30,MATCH($F117,'Faculties'!$B$10:$B$30,0))="","Cell will autofill based on response",INDEX('Faculties'!$P$10:$P$30,MATCH($F117,'Faculties'!$B$10:$B$30,0))),"N/A")</f>
        <v/>
      </c>
      <c r="I117" s="25">
        <f>IFERROR(IF(INDEX('Faculties'!$P$37:$P$57,MATCH($F117,'Faculties'!$B$37:$B$57,0))="","Cell will autofill based on response",INDEX('Faculties'!$P$37:$P$57,MATCH($F117,'Faculties'!$B$37:$B$57,0))),"N/A")</f>
        <v/>
      </c>
      <c r="J117" s="25">
        <f>IFERROR(IF(INDEX('Faculties'!$P$64:$P$84,MATCH($F117,'Faculties'!$B$64:$B$84,0))="","Cell will autofill based on response",INDEX('Faculties'!$P$64:$P$84,MATCH($F117,'Faculties'!$B$64:$B$84,0))),"N/A")</f>
        <v/>
      </c>
      <c r="K117" s="25">
        <f>IFERROR(IF(INDEX('Faculties'!$P$91:$P$111,MATCH($F117,'Faculties'!$B$91:$B$111,0))="","Cell will autofill based on response",INDEX('Faculties'!$P$91:$P$111,MATCH($F117,'Faculties'!$B$91:$B$111,0))),"N/A")</f>
        <v/>
      </c>
      <c r="L117" s="25">
        <f>IFERROR(IF(INDEX('CI&amp;S'!$P$10:$P$15,MATCH($F117,'CI&amp;S'!$B$10:$B$15,0))="","Cell will autofill based on response",INDEX('CI&amp;S'!$P$10:$P$15,MATCH($F117,'CI&amp;S'!$B$10:$B$15,0))),"N/A")</f>
        <v/>
      </c>
      <c r="M117" s="25">
        <f>IFERROR(IF(INDEX('CI&amp;S'!$P$22:$P$39,MATCH($F117,'CI&amp;S'!$B$22:$B$39,0))="","Cell will autofill based on response",INDEX('CI&amp;S'!$P$22:$P$39,MATCH($F117,'CI&amp;S'!$B$22:$B$39,0))),"N/A")</f>
        <v/>
      </c>
      <c r="N117" s="25">
        <f>IFERROR(IF(INDEX('CFOG'!$P$10:$P$16,MATCH($F117,'CFOG'!$B$10:$B$16,0))="","Cell will autofill based on response",INDEX('CFOG'!$P$10:$P$16,MATCH($F117,'CFOG'!$B$10:$B$16,0))),"N/A")</f>
        <v/>
      </c>
      <c r="O117" s="25">
        <f>IFERROR(IF(INDEX('CFOG'!$P$23:$P$24,MATCH($F117,'CFOG'!$B$23:$B$24,0))="","Cell will autofill based on response",INDEX('CFOG'!$P$23:$P$24,MATCH($F117,'CFOG'!$B$23:$B$24,0))),"N/A")</f>
        <v/>
      </c>
      <c r="P117" s="25">
        <f>IFERROR(IF(INDEX('ESG'!$P$10:$P$17,MATCH($F117,'ESG'!$B$10:$B$17,0))="","Cell will autofill based on response",INDEX('ESG'!$P$10:$P$17,MATCH($F117,'ESG'!$B$10:$B$17,0))),"N/A")</f>
        <v/>
      </c>
      <c r="Q117" s="25">
        <f>IFERROR(IF(INDEX('CIOG'!$P$10:$P$14,MATCH($F117,'CIOG'!$B$10:$B$14,0))="","Cell will autofill based on response",INDEX('CIOG'!$P$10:$P$14,MATCH($F117,'CIOG'!$B$10:$B$14,0))),"N/A")</f>
        <v/>
      </c>
      <c r="R117" s="25">
        <f>IFERROR(IF(INDEX('MRE'!$P$10:$P$12,MATCH($F117,'MRE'!$B$10:$B$12,0))="","Cell will autofill based on response",INDEX('MRE'!$P$10:$P$12,MATCH($F117,'MRE'!$B$10:$B$12,0))),"N/A")</f>
        <v/>
      </c>
      <c r="S117" s="25">
        <f>IFERROR(IF(INDEX('L&amp;R'!$P$10:$P$11,MATCH($F117,'L&amp;R'!$B$10:$B$11,0))="","Cell will autofill based on response",INDEX('L&amp;R'!$P$10:$P$11,MATCH($F117,'L&amp;R'!$B$10:$B$11,0))),"N/A")</f>
        <v/>
      </c>
    </row>
    <row r="118">
      <c r="A118">
        <f>F118&amp;"|"&amp;G118</f>
        <v/>
      </c>
      <c r="B118" s="29" t="inlineStr"/>
      <c r="C118" s="8" t="inlineStr"/>
      <c r="D118" s="8" t="inlineStr"/>
      <c r="E118" s="8" t="inlineStr"/>
      <c r="F118" s="8" t="inlineStr">
        <is>
          <t>CL1(b)</t>
        </is>
      </c>
      <c r="G118" s="8" t="inlineStr">
        <is>
          <t>Data owner confirms</t>
        </is>
      </c>
      <c r="H118" s="25">
        <f>IFERROR(IF(INDEX('Faculties'!$Q$10:$Q$30,MATCH($F118,'Faculties'!$B$10:$B$30,0))="","Cell will autofill based on response",INDEX('Faculties'!$Q$10:$Q$30,MATCH($F118,'Faculties'!$B$10:$B$30,0))),"N/A")</f>
        <v/>
      </c>
      <c r="I118" s="25">
        <f>IFERROR(IF(INDEX('Faculties'!$Q$37:$Q$57,MATCH($F118,'Faculties'!$B$37:$B$57,0))="","Cell will autofill based on response",INDEX('Faculties'!$Q$37:$Q$57,MATCH($F118,'Faculties'!$B$37:$B$57,0))),"N/A")</f>
        <v/>
      </c>
      <c r="J118" s="25">
        <f>IFERROR(IF(INDEX('Faculties'!$Q$64:$Q$84,MATCH($F118,'Faculties'!$B$64:$B$84,0))="","Cell will autofill based on response",INDEX('Faculties'!$Q$64:$Q$84,MATCH($F118,'Faculties'!$B$64:$B$84,0))),"N/A")</f>
        <v/>
      </c>
      <c r="K118" s="25">
        <f>IFERROR(IF(INDEX('Faculties'!$Q$91:$Q$111,MATCH($F118,'Faculties'!$B$91:$B$111,0))="","Cell will autofill based on response",INDEX('Faculties'!$Q$91:$Q$111,MATCH($F118,'Faculties'!$B$91:$B$111,0))),"N/A")</f>
        <v/>
      </c>
      <c r="L118" s="25">
        <f>IFERROR(IF(INDEX('CI&amp;S'!$Q$10:$Q$15,MATCH($F118,'CI&amp;S'!$B$10:$B$15,0))="","Cell will autofill based on response",INDEX('CI&amp;S'!$Q$10:$Q$15,MATCH($F118,'CI&amp;S'!$B$10:$B$15,0))),"N/A")</f>
        <v/>
      </c>
      <c r="M118" s="25">
        <f>IFERROR(IF(INDEX('CI&amp;S'!$Q$22:$Q$39,MATCH($F118,'CI&amp;S'!$B$22:$B$39,0))="","Cell will autofill based on response",INDEX('CI&amp;S'!$Q$22:$Q$39,MATCH($F118,'CI&amp;S'!$B$22:$B$39,0))),"N/A")</f>
        <v/>
      </c>
      <c r="N118" s="25">
        <f>IFERROR(IF(INDEX('CFOG'!$Q$10:$Q$16,MATCH($F118,'CFOG'!$B$10:$B$16,0))="","Cell will autofill based on response",INDEX('CFOG'!$Q$10:$Q$16,MATCH($F118,'CFOG'!$B$10:$B$16,0))),"N/A")</f>
        <v/>
      </c>
      <c r="O118" s="25">
        <f>IFERROR(IF(INDEX('CFOG'!$Q$23:$Q$24,MATCH($F118,'CFOG'!$B$23:$B$24,0))="","Cell will autofill based on response",INDEX('CFOG'!$Q$23:$Q$24,MATCH($F118,'CFOG'!$B$23:$B$24,0))),"N/A")</f>
        <v/>
      </c>
      <c r="P118" s="25">
        <f>IFERROR(IF(INDEX('ESG'!$Q$10:$Q$17,MATCH($F118,'ESG'!$B$10:$B$17,0))="","Cell will autofill based on response",INDEX('ESG'!$Q$10:$Q$17,MATCH($F118,'ESG'!$B$10:$B$17,0))),"N/A")</f>
        <v/>
      </c>
      <c r="Q118" s="25">
        <f>IFERROR(IF(INDEX('CIOG'!$Q$10:$Q$14,MATCH($F118,'CIOG'!$B$10:$B$14,0))="","Cell will autofill based on response",INDEX('CIOG'!$Q$10:$Q$14,MATCH($F118,'CIOG'!$B$10:$B$14,0))),"N/A")</f>
        <v/>
      </c>
      <c r="R118" s="25">
        <f>IFERROR(IF(INDEX('MRE'!$Q$10:$Q$12,MATCH($F118,'MRE'!$B$10:$B$12,0))="","Cell will autofill based on response",INDEX('MRE'!$Q$10:$Q$12,MATCH($F118,'MRE'!$B$10:$B$12,0))),"N/A")</f>
        <v/>
      </c>
      <c r="S118" s="25">
        <f>IFERROR(IF(INDEX('L&amp;R'!$Q$10:$Q$11,MATCH($F118,'L&amp;R'!$B$10:$B$11,0))="","Cell will autofill based on response",INDEX('L&amp;R'!$Q$10:$Q$11,MATCH($F118,'L&amp;R'!$B$10:$B$11,0))),"N/A")</f>
        <v/>
      </c>
    </row>
    <row r="119">
      <c r="A119">
        <f>F119&amp;"|"&amp;G119</f>
        <v/>
      </c>
      <c r="B119" s="7" t="inlineStr">
        <is>
          <t>CL1(c)</t>
        </is>
      </c>
      <c r="C119" s="12" t="inlineStr">
        <is>
          <t>Climate leadership</t>
        </is>
      </c>
      <c r="D119" s="12" t="inlineStr">
        <is>
          <t>Review of Climate Leadership targets by 2030.[2]</t>
        </is>
      </c>
      <c r="E119" s="12" t="inlineStr"/>
      <c r="F119" s="12" t="inlineStr">
        <is>
          <t>CL1(c)</t>
        </is>
      </c>
      <c r="G119" s="12" t="inlineStr">
        <is>
          <t>Confirm end-2026 target status</t>
        </is>
      </c>
      <c r="H119" s="25">
        <f>IFERROR(IF(INDEX('Faculties'!$L$10:$L$30,MATCH($F119,'Faculties'!$B$10:$B$30,0))="","Cell will autofill based on response",INDEX('Faculties'!$L$10:$L$30,MATCH($F119,'Faculties'!$B$10:$B$30,0))),"N/A")</f>
        <v/>
      </c>
      <c r="I119" s="25">
        <f>IFERROR(IF(INDEX('Faculties'!$L$37:$L$57,MATCH($F119,'Faculties'!$B$37:$B$57,0))="","Cell will autofill based on response",INDEX('Faculties'!$L$37:$L$57,MATCH($F119,'Faculties'!$B$37:$B$57,0))),"N/A")</f>
        <v/>
      </c>
      <c r="J119" s="25">
        <f>IFERROR(IF(INDEX('Faculties'!$L$64:$L$84,MATCH($F119,'Faculties'!$B$64:$B$84,0))="","Cell will autofill based on response",INDEX('Faculties'!$L$64:$L$84,MATCH($F119,'Faculties'!$B$64:$B$84,0))),"N/A")</f>
        <v/>
      </c>
      <c r="K119" s="25">
        <f>IFERROR(IF(INDEX('Faculties'!$L$91:$L$111,MATCH($F119,'Faculties'!$B$91:$B$111,0))="","Cell will autofill based on response",INDEX('Faculties'!$L$91:$L$111,MATCH($F119,'Faculties'!$B$91:$B$111,0))),"N/A")</f>
        <v/>
      </c>
      <c r="L119" s="25">
        <f>IFERROR(IF(INDEX('CI&amp;S'!$L$10:$L$15,MATCH($F119,'CI&amp;S'!$B$10:$B$15,0))="","Cell will autofill based on response",INDEX('CI&amp;S'!$L$10:$L$15,MATCH($F119,'CI&amp;S'!$B$10:$B$15,0))),"N/A")</f>
        <v/>
      </c>
      <c r="M119" s="25">
        <f>IFERROR(IF(INDEX('CI&amp;S'!$L$22:$L$39,MATCH($F119,'CI&amp;S'!$B$22:$B$39,0))="","Cell will autofill based on response",INDEX('CI&amp;S'!$L$22:$L$39,MATCH($F119,'CI&amp;S'!$B$22:$B$39,0))),"N/A")</f>
        <v/>
      </c>
      <c r="N119" s="25">
        <f>IFERROR(IF(INDEX('CFOG'!$L$10:$L$16,MATCH($F119,'CFOG'!$B$10:$B$16,0))="","Cell will autofill based on response",INDEX('CFOG'!$L$10:$L$16,MATCH($F119,'CFOG'!$B$10:$B$16,0))),"N/A")</f>
        <v/>
      </c>
      <c r="O119" s="25">
        <f>IFERROR(IF(INDEX('CFOG'!$L$23:$L$24,MATCH($F119,'CFOG'!$B$23:$B$24,0))="","Cell will autofill based on response",INDEX('CFOG'!$L$23:$L$24,MATCH($F119,'CFOG'!$B$23:$B$24,0))),"N/A")</f>
        <v/>
      </c>
      <c r="P119" s="25">
        <f>IFERROR(IF(INDEX('ESG'!$L$10:$L$17,MATCH($F119,'ESG'!$B$10:$B$17,0))="","Cell will autofill based on response",INDEX('ESG'!$L$10:$L$17,MATCH($F119,'ESG'!$B$10:$B$17,0))),"N/A")</f>
        <v/>
      </c>
      <c r="Q119" s="25">
        <f>IFERROR(IF(INDEX('CIOG'!$L$10:$L$14,MATCH($F119,'CIOG'!$B$10:$B$14,0))="","Cell will autofill based on response",INDEX('CIOG'!$L$10:$L$14,MATCH($F119,'CIOG'!$B$10:$B$14,0))),"N/A")</f>
        <v/>
      </c>
      <c r="R119" s="25">
        <f>IFERROR(IF(INDEX('MRE'!$L$10:$L$12,MATCH($F119,'MRE'!$B$10:$B$12,0))="","Cell will autofill based on response",INDEX('MRE'!$L$10:$L$12,MATCH($F119,'MRE'!$B$10:$B$12,0))),"N/A")</f>
        <v/>
      </c>
      <c r="S119" s="25">
        <f>IFERROR(IF(INDEX('L&amp;R'!$L$10:$L$11,MATCH($F119,'L&amp;R'!$B$10:$B$11,0))="","Cell will autofill based on response",INDEX('L&amp;R'!$L$10:$L$11,MATCH($F119,'L&amp;R'!$B$10:$B$11,0))),"N/A")</f>
        <v/>
      </c>
      <c r="U119" s="26">
        <f>COUNTIF($H119:$S119,"Cell will autofill based on response")</f>
        <v/>
      </c>
      <c r="V119" s="26">
        <f>COUNTIF($H119:$S119,"Not yet started")</f>
        <v/>
      </c>
      <c r="W119" s="26">
        <f>COUNTIF($H119:$S119,"Not met")</f>
        <v/>
      </c>
      <c r="X119" s="26">
        <f>COUNTIF($H119:$S119,"Partially met")</f>
        <v/>
      </c>
      <c r="Y119" s="26">
        <f>COUNTIF($H119:$S119,"Met or exceeded")</f>
        <v/>
      </c>
      <c r="Z119" s="26">
        <f>3*Y119+2*X119+W119</f>
        <v/>
      </c>
      <c r="AA119" s="26">
        <f>Y119+X119+W119+V119</f>
        <v/>
      </c>
      <c r="AB119" s="27">
        <f>IF(AA119&gt;0,Z119/AA119,"No valid responses to date")</f>
        <v/>
      </c>
      <c r="AC119" s="26">
        <f>IF(ISNUMBER(AB119),INDEX(Lists!$G$2:$G$5,MATCH(ROUND(AB119,0),Lists!$H$2:$H$5,0)),"")</f>
        <v/>
      </c>
      <c r="AD119" s="28">
        <f>IF(AA119&gt;0,Y119/AA119,"")</f>
        <v/>
      </c>
      <c r="AE119" s="28">
        <f>IF(AA119&gt;0,(Y119+X119)/AA119,"")</f>
        <v/>
      </c>
      <c r="AF119" s="26">
        <f>IF(AA119=0,"",IF(AD119&gt;0.75,"Met or exceeded",IF(AE119&gt;=0.5,"Partially met","Not met")))</f>
        <v/>
      </c>
    </row>
    <row r="120">
      <c r="A120">
        <f>F120&amp;"|"&amp;G120</f>
        <v/>
      </c>
      <c r="B120" s="29" t="inlineStr"/>
      <c r="C120" s="8" t="inlineStr"/>
      <c r="D120" s="8" t="inlineStr"/>
      <c r="E120" s="8" t="inlineStr"/>
      <c r="F120" s="8" t="inlineStr">
        <is>
          <t>CL1(c)</t>
        </is>
      </c>
      <c r="G120" s="8" t="inlineStr">
        <is>
          <t>OPTION 1:  Target-level reporting</t>
        </is>
      </c>
      <c r="H120" s="25">
        <f>IFERROR(IF(INDEX('Faculties'!$M$10:$M$30,MATCH($F120,'Faculties'!$B$10:$B$30,0))="","Cell will autofill based on response",INDEX('Faculties'!$M$10:$M$30,MATCH($F120,'Faculties'!$B$10:$B$30,0))),"N/A")</f>
        <v/>
      </c>
      <c r="I120" s="25">
        <f>IFERROR(IF(INDEX('Faculties'!$M$37:$M$57,MATCH($F120,'Faculties'!$B$37:$B$57,0))="","Cell will autofill based on response",INDEX('Faculties'!$M$37:$M$57,MATCH($F120,'Faculties'!$B$37:$B$57,0))),"N/A")</f>
        <v/>
      </c>
      <c r="J120" s="25">
        <f>IFERROR(IF(INDEX('Faculties'!$M$64:$M$84,MATCH($F120,'Faculties'!$B$64:$B$84,0))="","Cell will autofill based on response",INDEX('Faculties'!$M$64:$M$84,MATCH($F120,'Faculties'!$B$64:$B$84,0))),"N/A")</f>
        <v/>
      </c>
      <c r="K120" s="25">
        <f>IFERROR(IF(INDEX('Faculties'!$M$91:$M$111,MATCH($F120,'Faculties'!$B$91:$B$111,0))="","Cell will autofill based on response",INDEX('Faculties'!$M$91:$M$111,MATCH($F120,'Faculties'!$B$91:$B$111,0))),"N/A")</f>
        <v/>
      </c>
      <c r="L120" s="25">
        <f>IFERROR(IF(INDEX('CI&amp;S'!$M$10:$M$15,MATCH($F120,'CI&amp;S'!$B$10:$B$15,0))="","Cell will autofill based on response",INDEX('CI&amp;S'!$M$10:$M$15,MATCH($F120,'CI&amp;S'!$B$10:$B$15,0))),"N/A")</f>
        <v/>
      </c>
      <c r="M120" s="25">
        <f>IFERROR(IF(INDEX('CI&amp;S'!$M$22:$M$39,MATCH($F120,'CI&amp;S'!$B$22:$B$39,0))="","Cell will autofill based on response",INDEX('CI&amp;S'!$M$22:$M$39,MATCH($F120,'CI&amp;S'!$B$22:$B$39,0))),"N/A")</f>
        <v/>
      </c>
      <c r="N120" s="25">
        <f>IFERROR(IF(INDEX('CFOG'!$M$10:$M$16,MATCH($F120,'CFOG'!$B$10:$B$16,0))="","Cell will autofill based on response",INDEX('CFOG'!$M$10:$M$16,MATCH($F120,'CFOG'!$B$10:$B$16,0))),"N/A")</f>
        <v/>
      </c>
      <c r="O120" s="25">
        <f>IFERROR(IF(INDEX('CFOG'!$M$23:$M$24,MATCH($F120,'CFOG'!$B$23:$B$24,0))="","Cell will autofill based on response",INDEX('CFOG'!$M$23:$M$24,MATCH($F120,'CFOG'!$B$23:$B$24,0))),"N/A")</f>
        <v/>
      </c>
      <c r="P120" s="25">
        <f>IFERROR(IF(INDEX('ESG'!$M$10:$M$17,MATCH($F120,'ESG'!$B$10:$B$17,0))="","Cell will autofill based on response",INDEX('ESG'!$M$10:$M$17,MATCH($F120,'ESG'!$B$10:$B$17,0))),"N/A")</f>
        <v/>
      </c>
      <c r="Q120" s="25">
        <f>IFERROR(IF(INDEX('CIOG'!$M$10:$M$14,MATCH($F120,'CIOG'!$B$10:$B$14,0))="","Cell will autofill based on response",INDEX('CIOG'!$M$10:$M$14,MATCH($F120,'CIOG'!$B$10:$B$14,0))),"N/A")</f>
        <v/>
      </c>
      <c r="R120" s="25">
        <f>IFERROR(IF(INDEX('MRE'!$M$10:$M$12,MATCH($F120,'MRE'!$B$10:$B$12,0))="","Cell will autofill based on response",INDEX('MRE'!$M$10:$M$12,MATCH($F120,'MRE'!$B$10:$B$12,0))),"N/A")</f>
        <v/>
      </c>
      <c r="S120" s="25">
        <f>IFERROR(IF(INDEX('L&amp;R'!$M$10:$M$11,MATCH($F120,'L&amp;R'!$B$10:$B$11,0))="","Cell will autofill based on response",INDEX('L&amp;R'!$M$10:$M$11,MATCH($F120,'L&amp;R'!$B$10:$B$11,0))),"N/A")</f>
        <v/>
      </c>
    </row>
    <row r="121">
      <c r="A121">
        <f>F121&amp;"|"&amp;G121</f>
        <v/>
      </c>
      <c r="B121" s="29" t="inlineStr"/>
      <c r="C121" s="8" t="inlineStr"/>
      <c r="D121" s="8" t="inlineStr"/>
      <c r="E121" s="8" t="inlineStr"/>
      <c r="F121" s="8" t="inlineStr">
        <is>
          <t>CL1(c)</t>
        </is>
      </c>
      <c r="G121" s="8" t="inlineStr">
        <is>
          <t>OPTION 2:  Indicator level reporting</t>
        </is>
      </c>
      <c r="H121" s="25">
        <f>IFERROR(IF(INDEX('Faculties'!$N$10:$N$30,MATCH($F121,'Faculties'!$B$10:$B$30,0))="","Cell will autofill based on response",INDEX('Faculties'!$N$10:$N$30,MATCH($F121,'Faculties'!$B$10:$B$30,0))),"N/A")</f>
        <v/>
      </c>
      <c r="I121" s="25">
        <f>IFERROR(IF(INDEX('Faculties'!$N$37:$N$57,MATCH($F121,'Faculties'!$B$37:$B$57,0))="","Cell will autofill based on response",INDEX('Faculties'!$N$37:$N$57,MATCH($F121,'Faculties'!$B$37:$B$57,0))),"N/A")</f>
        <v/>
      </c>
      <c r="J121" s="25">
        <f>IFERROR(IF(INDEX('Faculties'!$N$64:$N$84,MATCH($F121,'Faculties'!$B$64:$B$84,0))="","Cell will autofill based on response",INDEX('Faculties'!$N$64:$N$84,MATCH($F121,'Faculties'!$B$64:$B$84,0))),"N/A")</f>
        <v/>
      </c>
      <c r="K121" s="25">
        <f>IFERROR(IF(INDEX('Faculties'!$N$91:$N$111,MATCH($F121,'Faculties'!$B$91:$B$111,0))="","Cell will autofill based on response",INDEX('Faculties'!$N$91:$N$111,MATCH($F121,'Faculties'!$B$91:$B$111,0))),"N/A")</f>
        <v/>
      </c>
      <c r="L121" s="25">
        <f>IFERROR(IF(INDEX('CI&amp;S'!$N$10:$N$15,MATCH($F121,'CI&amp;S'!$B$10:$B$15,0))="","Cell will autofill based on response",INDEX('CI&amp;S'!$N$10:$N$15,MATCH($F121,'CI&amp;S'!$B$10:$B$15,0))),"N/A")</f>
        <v/>
      </c>
      <c r="M121" s="25">
        <f>IFERROR(IF(INDEX('CI&amp;S'!$N$22:$N$39,MATCH($F121,'CI&amp;S'!$B$22:$B$39,0))="","Cell will autofill based on response",INDEX('CI&amp;S'!$N$22:$N$39,MATCH($F121,'CI&amp;S'!$B$22:$B$39,0))),"N/A")</f>
        <v/>
      </c>
      <c r="N121" s="25">
        <f>IFERROR(IF(INDEX('CFOG'!$N$10:$N$16,MATCH($F121,'CFOG'!$B$10:$B$16,0))="","Cell will autofill based on response",INDEX('CFOG'!$N$10:$N$16,MATCH($F121,'CFOG'!$B$10:$B$16,0))),"N/A")</f>
        <v/>
      </c>
      <c r="O121" s="25">
        <f>IFERROR(IF(INDEX('CFOG'!$N$23:$N$24,MATCH($F121,'CFOG'!$B$23:$B$24,0))="","Cell will autofill based on response",INDEX('CFOG'!$N$23:$N$24,MATCH($F121,'CFOG'!$B$23:$B$24,0))),"N/A")</f>
        <v/>
      </c>
      <c r="P121" s="25">
        <f>IFERROR(IF(INDEX('ESG'!$N$10:$N$17,MATCH($F121,'ESG'!$B$10:$B$17,0))="","Cell will autofill based on response",INDEX('ESG'!$N$10:$N$17,MATCH($F121,'ESG'!$B$10:$B$17,0))),"N/A")</f>
        <v/>
      </c>
      <c r="Q121" s="25">
        <f>IFERROR(IF(INDEX('CIOG'!$N$10:$N$14,MATCH($F121,'CIOG'!$B$10:$B$14,0))="","Cell will autofill based on response",INDEX('CIOG'!$N$10:$N$14,MATCH($F121,'CIOG'!$B$10:$B$14,0))),"N/A")</f>
        <v/>
      </c>
      <c r="R121" s="25">
        <f>IFERROR(IF(INDEX('MRE'!$N$10:$N$12,MATCH($F121,'MRE'!$B$10:$B$12,0))="","Cell will autofill based on response",INDEX('MRE'!$N$10:$N$12,MATCH($F121,'MRE'!$B$10:$B$12,0))),"N/A")</f>
        <v/>
      </c>
      <c r="S121" s="25">
        <f>IFERROR(IF(INDEX('L&amp;R'!$N$10:$N$11,MATCH($F121,'L&amp;R'!$B$10:$B$11,0))="","Cell will autofill based on response",INDEX('L&amp;R'!$N$10:$N$11,MATCH($F121,'L&amp;R'!$B$10:$B$11,0))),"N/A")</f>
        <v/>
      </c>
    </row>
    <row r="122">
      <c r="A122">
        <f>F122&amp;"|"&amp;G122</f>
        <v/>
      </c>
      <c r="B122" s="29" t="inlineStr"/>
      <c r="C122" s="8" t="inlineStr"/>
      <c r="D122" s="8" t="inlineStr"/>
      <c r="E122" s="8" t="inlineStr"/>
      <c r="F122" s="8" t="inlineStr">
        <is>
          <t>CL1(c)</t>
        </is>
      </c>
      <c r="G122" s="8" t="inlineStr">
        <is>
          <t>Supporting information/comments</t>
        </is>
      </c>
      <c r="H122" s="25">
        <f>IFERROR(IF(INDEX('Faculties'!$O$10:$O$30,MATCH($F122,'Faculties'!$B$10:$B$30,0))="","Cell will autofill based on response",INDEX('Faculties'!$O$10:$O$30,MATCH($F122,'Faculties'!$B$10:$B$30,0))),"N/A")</f>
        <v/>
      </c>
      <c r="I122" s="25">
        <f>IFERROR(IF(INDEX('Faculties'!$O$37:$O$57,MATCH($F122,'Faculties'!$B$37:$B$57,0))="","Cell will autofill based on response",INDEX('Faculties'!$O$37:$O$57,MATCH($F122,'Faculties'!$B$37:$B$57,0))),"N/A")</f>
        <v/>
      </c>
      <c r="J122" s="25">
        <f>IFERROR(IF(INDEX('Faculties'!$O$64:$O$84,MATCH($F122,'Faculties'!$B$64:$B$84,0))="","Cell will autofill based on response",INDEX('Faculties'!$O$64:$O$84,MATCH($F122,'Faculties'!$B$64:$B$84,0))),"N/A")</f>
        <v/>
      </c>
      <c r="K122" s="25">
        <f>IFERROR(IF(INDEX('Faculties'!$O$91:$O$111,MATCH($F122,'Faculties'!$B$91:$B$111,0))="","Cell will autofill based on response",INDEX('Faculties'!$O$91:$O$111,MATCH($F122,'Faculties'!$B$91:$B$111,0))),"N/A")</f>
        <v/>
      </c>
      <c r="L122" s="25">
        <f>IFERROR(IF(INDEX('CI&amp;S'!$O$10:$O$15,MATCH($F122,'CI&amp;S'!$B$10:$B$15,0))="","Cell will autofill based on response",INDEX('CI&amp;S'!$O$10:$O$15,MATCH($F122,'CI&amp;S'!$B$10:$B$15,0))),"N/A")</f>
        <v/>
      </c>
      <c r="M122" s="25">
        <f>IFERROR(IF(INDEX('CI&amp;S'!$O$22:$O$39,MATCH($F122,'CI&amp;S'!$B$22:$B$39,0))="","Cell will autofill based on response",INDEX('CI&amp;S'!$O$22:$O$39,MATCH($F122,'CI&amp;S'!$B$22:$B$39,0))),"N/A")</f>
        <v/>
      </c>
      <c r="N122" s="25">
        <f>IFERROR(IF(INDEX('CFOG'!$O$10:$O$16,MATCH($F122,'CFOG'!$B$10:$B$16,0))="","Cell will autofill based on response",INDEX('CFOG'!$O$10:$O$16,MATCH($F122,'CFOG'!$B$10:$B$16,0))),"N/A")</f>
        <v/>
      </c>
      <c r="O122" s="25">
        <f>IFERROR(IF(INDEX('CFOG'!$O$23:$O$24,MATCH($F122,'CFOG'!$B$23:$B$24,0))="","Cell will autofill based on response",INDEX('CFOG'!$O$23:$O$24,MATCH($F122,'CFOG'!$B$23:$B$24,0))),"N/A")</f>
        <v/>
      </c>
      <c r="P122" s="25">
        <f>IFERROR(IF(INDEX('ESG'!$O$10:$O$17,MATCH($F122,'ESG'!$B$10:$B$17,0))="","Cell will autofill based on response",INDEX('ESG'!$O$10:$O$17,MATCH($F122,'ESG'!$B$10:$B$17,0))),"N/A")</f>
        <v/>
      </c>
      <c r="Q122" s="25">
        <f>IFERROR(IF(INDEX('CIOG'!$O$10:$O$14,MATCH($F122,'CIOG'!$B$10:$B$14,0))="","Cell will autofill based on response",INDEX('CIOG'!$O$10:$O$14,MATCH($F122,'CIOG'!$B$10:$B$14,0))),"N/A")</f>
        <v/>
      </c>
      <c r="R122" s="25">
        <f>IFERROR(IF(INDEX('MRE'!$O$10:$O$12,MATCH($F122,'MRE'!$B$10:$B$12,0))="","Cell will autofill based on response",INDEX('MRE'!$O$10:$O$12,MATCH($F122,'MRE'!$B$10:$B$12,0))),"N/A")</f>
        <v/>
      </c>
      <c r="S122" s="25">
        <f>IFERROR(IF(INDEX('L&amp;R'!$O$10:$O$11,MATCH($F122,'L&amp;R'!$B$10:$B$11,0))="","Cell will autofill based on response",INDEX('L&amp;R'!$O$10:$O$11,MATCH($F122,'L&amp;R'!$B$10:$B$11,0))),"N/A")</f>
        <v/>
      </c>
    </row>
    <row r="123">
      <c r="A123">
        <f>F123&amp;"|"&amp;G123</f>
        <v/>
      </c>
      <c r="B123" s="29" t="inlineStr"/>
      <c r="C123" s="8" t="inlineStr"/>
      <c r="D123" s="8" t="inlineStr"/>
      <c r="E123" s="8" t="inlineStr"/>
      <c r="F123" s="8" t="inlineStr">
        <is>
          <t>CL1(c)</t>
        </is>
      </c>
      <c r="G123" s="8" t="inlineStr">
        <is>
          <t>Data source and limitations</t>
        </is>
      </c>
      <c r="H123" s="25">
        <f>IFERROR(IF(INDEX('Faculties'!$P$10:$P$30,MATCH($F123,'Faculties'!$B$10:$B$30,0))="","Cell will autofill based on response",INDEX('Faculties'!$P$10:$P$30,MATCH($F123,'Faculties'!$B$10:$B$30,0))),"N/A")</f>
        <v/>
      </c>
      <c r="I123" s="25">
        <f>IFERROR(IF(INDEX('Faculties'!$P$37:$P$57,MATCH($F123,'Faculties'!$B$37:$B$57,0))="","Cell will autofill based on response",INDEX('Faculties'!$P$37:$P$57,MATCH($F123,'Faculties'!$B$37:$B$57,0))),"N/A")</f>
        <v/>
      </c>
      <c r="J123" s="25">
        <f>IFERROR(IF(INDEX('Faculties'!$P$64:$P$84,MATCH($F123,'Faculties'!$B$64:$B$84,0))="","Cell will autofill based on response",INDEX('Faculties'!$P$64:$P$84,MATCH($F123,'Faculties'!$B$64:$B$84,0))),"N/A")</f>
        <v/>
      </c>
      <c r="K123" s="25">
        <f>IFERROR(IF(INDEX('Faculties'!$P$91:$P$111,MATCH($F123,'Faculties'!$B$91:$B$111,0))="","Cell will autofill based on response",INDEX('Faculties'!$P$91:$P$111,MATCH($F123,'Faculties'!$B$91:$B$111,0))),"N/A")</f>
        <v/>
      </c>
      <c r="L123" s="25">
        <f>IFERROR(IF(INDEX('CI&amp;S'!$P$10:$P$15,MATCH($F123,'CI&amp;S'!$B$10:$B$15,0))="","Cell will autofill based on response",INDEX('CI&amp;S'!$P$10:$P$15,MATCH($F123,'CI&amp;S'!$B$10:$B$15,0))),"N/A")</f>
        <v/>
      </c>
      <c r="M123" s="25">
        <f>IFERROR(IF(INDEX('CI&amp;S'!$P$22:$P$39,MATCH($F123,'CI&amp;S'!$B$22:$B$39,0))="","Cell will autofill based on response",INDEX('CI&amp;S'!$P$22:$P$39,MATCH($F123,'CI&amp;S'!$B$22:$B$39,0))),"N/A")</f>
        <v/>
      </c>
      <c r="N123" s="25">
        <f>IFERROR(IF(INDEX('CFOG'!$P$10:$P$16,MATCH($F123,'CFOG'!$B$10:$B$16,0))="","Cell will autofill based on response",INDEX('CFOG'!$P$10:$P$16,MATCH($F123,'CFOG'!$B$10:$B$16,0))),"N/A")</f>
        <v/>
      </c>
      <c r="O123" s="25">
        <f>IFERROR(IF(INDEX('CFOG'!$P$23:$P$24,MATCH($F123,'CFOG'!$B$23:$B$24,0))="","Cell will autofill based on response",INDEX('CFOG'!$P$23:$P$24,MATCH($F123,'CFOG'!$B$23:$B$24,0))),"N/A")</f>
        <v/>
      </c>
      <c r="P123" s="25">
        <f>IFERROR(IF(INDEX('ESG'!$P$10:$P$17,MATCH($F123,'ESG'!$B$10:$B$17,0))="","Cell will autofill based on response",INDEX('ESG'!$P$10:$P$17,MATCH($F123,'ESG'!$B$10:$B$17,0))),"N/A")</f>
        <v/>
      </c>
      <c r="Q123" s="25">
        <f>IFERROR(IF(INDEX('CIOG'!$P$10:$P$14,MATCH($F123,'CIOG'!$B$10:$B$14,0))="","Cell will autofill based on response",INDEX('CIOG'!$P$10:$P$14,MATCH($F123,'CIOG'!$B$10:$B$14,0))),"N/A")</f>
        <v/>
      </c>
      <c r="R123" s="25">
        <f>IFERROR(IF(INDEX('MRE'!$P$10:$P$12,MATCH($F123,'MRE'!$B$10:$B$12,0))="","Cell will autofill based on response",INDEX('MRE'!$P$10:$P$12,MATCH($F123,'MRE'!$B$10:$B$12,0))),"N/A")</f>
        <v/>
      </c>
      <c r="S123" s="25">
        <f>IFERROR(IF(INDEX('L&amp;R'!$P$10:$P$11,MATCH($F123,'L&amp;R'!$B$10:$B$11,0))="","Cell will autofill based on response",INDEX('L&amp;R'!$P$10:$P$11,MATCH($F123,'L&amp;R'!$B$10:$B$11,0))),"N/A")</f>
        <v/>
      </c>
    </row>
    <row r="124">
      <c r="A124">
        <f>F124&amp;"|"&amp;G124</f>
        <v/>
      </c>
      <c r="B124" s="29" t="inlineStr"/>
      <c r="C124" s="8" t="inlineStr"/>
      <c r="D124" s="8" t="inlineStr"/>
      <c r="E124" s="8" t="inlineStr"/>
      <c r="F124" s="8" t="inlineStr">
        <is>
          <t>CL1(c)</t>
        </is>
      </c>
      <c r="G124" s="8" t="inlineStr">
        <is>
          <t>Data owner confirms</t>
        </is>
      </c>
      <c r="H124" s="25">
        <f>IFERROR(IF(INDEX('Faculties'!$Q$10:$Q$30,MATCH($F124,'Faculties'!$B$10:$B$30,0))="","Cell will autofill based on response",INDEX('Faculties'!$Q$10:$Q$30,MATCH($F124,'Faculties'!$B$10:$B$30,0))),"N/A")</f>
        <v/>
      </c>
      <c r="I124" s="25">
        <f>IFERROR(IF(INDEX('Faculties'!$Q$37:$Q$57,MATCH($F124,'Faculties'!$B$37:$B$57,0))="","Cell will autofill based on response",INDEX('Faculties'!$Q$37:$Q$57,MATCH($F124,'Faculties'!$B$37:$B$57,0))),"N/A")</f>
        <v/>
      </c>
      <c r="J124" s="25">
        <f>IFERROR(IF(INDEX('Faculties'!$Q$64:$Q$84,MATCH($F124,'Faculties'!$B$64:$B$84,0))="","Cell will autofill based on response",INDEX('Faculties'!$Q$64:$Q$84,MATCH($F124,'Faculties'!$B$64:$B$84,0))),"N/A")</f>
        <v/>
      </c>
      <c r="K124" s="25">
        <f>IFERROR(IF(INDEX('Faculties'!$Q$91:$Q$111,MATCH($F124,'Faculties'!$B$91:$B$111,0))="","Cell will autofill based on response",INDEX('Faculties'!$Q$91:$Q$111,MATCH($F124,'Faculties'!$B$91:$B$111,0))),"N/A")</f>
        <v/>
      </c>
      <c r="L124" s="25">
        <f>IFERROR(IF(INDEX('CI&amp;S'!$Q$10:$Q$15,MATCH($F124,'CI&amp;S'!$B$10:$B$15,0))="","Cell will autofill based on response",INDEX('CI&amp;S'!$Q$10:$Q$15,MATCH($F124,'CI&amp;S'!$B$10:$B$15,0))),"N/A")</f>
        <v/>
      </c>
      <c r="M124" s="25">
        <f>IFERROR(IF(INDEX('CI&amp;S'!$Q$22:$Q$39,MATCH($F124,'CI&amp;S'!$B$22:$B$39,0))="","Cell will autofill based on response",INDEX('CI&amp;S'!$Q$22:$Q$39,MATCH($F124,'CI&amp;S'!$B$22:$B$39,0))),"N/A")</f>
        <v/>
      </c>
      <c r="N124" s="25">
        <f>IFERROR(IF(INDEX('CFOG'!$Q$10:$Q$16,MATCH($F124,'CFOG'!$B$10:$B$16,0))="","Cell will autofill based on response",INDEX('CFOG'!$Q$10:$Q$16,MATCH($F124,'CFOG'!$B$10:$B$16,0))),"N/A")</f>
        <v/>
      </c>
      <c r="O124" s="25">
        <f>IFERROR(IF(INDEX('CFOG'!$Q$23:$Q$24,MATCH($F124,'CFOG'!$B$23:$B$24,0))="","Cell will autofill based on response",INDEX('CFOG'!$Q$23:$Q$24,MATCH($F124,'CFOG'!$B$23:$B$24,0))),"N/A")</f>
        <v/>
      </c>
      <c r="P124" s="25">
        <f>IFERROR(IF(INDEX('ESG'!$Q$10:$Q$17,MATCH($F124,'ESG'!$B$10:$B$17,0))="","Cell will autofill based on response",INDEX('ESG'!$Q$10:$Q$17,MATCH($F124,'ESG'!$B$10:$B$17,0))),"N/A")</f>
        <v/>
      </c>
      <c r="Q124" s="25">
        <f>IFERROR(IF(INDEX('CIOG'!$Q$10:$Q$14,MATCH($F124,'CIOG'!$B$10:$B$14,0))="","Cell will autofill based on response",INDEX('CIOG'!$Q$10:$Q$14,MATCH($F124,'CIOG'!$B$10:$B$14,0))),"N/A")</f>
        <v/>
      </c>
      <c r="R124" s="25">
        <f>IFERROR(IF(INDEX('MRE'!$Q$10:$Q$12,MATCH($F124,'MRE'!$B$10:$B$12,0))="","Cell will autofill based on response",INDEX('MRE'!$Q$10:$Q$12,MATCH($F124,'MRE'!$B$10:$B$12,0))),"N/A")</f>
        <v/>
      </c>
      <c r="S124" s="25">
        <f>IFERROR(IF(INDEX('L&amp;R'!$Q$10:$Q$11,MATCH($F124,'L&amp;R'!$B$10:$B$11,0))="","Cell will autofill based on response",INDEX('L&amp;R'!$Q$10:$Q$11,MATCH($F124,'L&amp;R'!$B$10:$B$11,0))),"N/A")</f>
        <v/>
      </c>
    </row>
    <row r="125">
      <c r="A125">
        <f>F125&amp;"|"&amp;G125</f>
        <v/>
      </c>
      <c r="B125" s="7" t="inlineStr">
        <is>
          <t>CL2(a)</t>
        </is>
      </c>
      <c r="C125" s="12" t="inlineStr">
        <is>
          <t>Climate leadership</t>
        </is>
      </c>
      <c r="D125" s="12" t="inlineStr">
        <is>
          <t>By 2028, develop and document institutional mapping of research and education activities that are designed to contribute to global decarbonisation</t>
        </is>
      </c>
      <c r="E125"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25" s="12" t="inlineStr">
        <is>
          <t>CL2(a)</t>
        </is>
      </c>
      <c r="G125" s="12" t="inlineStr">
        <is>
          <t>Confirm end-2026 target status</t>
        </is>
      </c>
      <c r="H125" s="25">
        <f>IFERROR(IF(INDEX('Faculties'!$L$10:$L$30,MATCH($F125,'Faculties'!$B$10:$B$30,0))="","Cell will autofill based on response",INDEX('Faculties'!$L$10:$L$30,MATCH($F125,'Faculties'!$B$10:$B$30,0))),"N/A")</f>
        <v/>
      </c>
      <c r="I125" s="25">
        <f>IFERROR(IF(INDEX('Faculties'!$L$37:$L$57,MATCH($F125,'Faculties'!$B$37:$B$57,0))="","Cell will autofill based on response",INDEX('Faculties'!$L$37:$L$57,MATCH($F125,'Faculties'!$B$37:$B$57,0))),"N/A")</f>
        <v/>
      </c>
      <c r="J125" s="25">
        <f>IFERROR(IF(INDEX('Faculties'!$L$64:$L$84,MATCH($F125,'Faculties'!$B$64:$B$84,0))="","Cell will autofill based on response",INDEX('Faculties'!$L$64:$L$84,MATCH($F125,'Faculties'!$B$64:$B$84,0))),"N/A")</f>
        <v/>
      </c>
      <c r="K125" s="25">
        <f>IFERROR(IF(INDEX('Faculties'!$L$91:$L$111,MATCH($F125,'Faculties'!$B$91:$B$111,0))="","Cell will autofill based on response",INDEX('Faculties'!$L$91:$L$111,MATCH($F125,'Faculties'!$B$91:$B$111,0))),"N/A")</f>
        <v/>
      </c>
      <c r="L125" s="25">
        <f>IFERROR(IF(INDEX('CI&amp;S'!$L$10:$L$15,MATCH($F125,'CI&amp;S'!$B$10:$B$15,0))="","Cell will autofill based on response",INDEX('CI&amp;S'!$L$10:$L$15,MATCH($F125,'CI&amp;S'!$B$10:$B$15,0))),"N/A")</f>
        <v/>
      </c>
      <c r="M125" s="25">
        <f>IFERROR(IF(INDEX('CI&amp;S'!$L$22:$L$39,MATCH($F125,'CI&amp;S'!$B$22:$B$39,0))="","Cell will autofill based on response",INDEX('CI&amp;S'!$L$22:$L$39,MATCH($F125,'CI&amp;S'!$B$22:$B$39,0))),"N/A")</f>
        <v/>
      </c>
      <c r="N125" s="25">
        <f>IFERROR(IF(INDEX('CFOG'!$L$10:$L$16,MATCH($F125,'CFOG'!$B$10:$B$16,0))="","Cell will autofill based on response",INDEX('CFOG'!$L$10:$L$16,MATCH($F125,'CFOG'!$B$10:$B$16,0))),"N/A")</f>
        <v/>
      </c>
      <c r="O125" s="25">
        <f>IFERROR(IF(INDEX('CFOG'!$L$23:$L$24,MATCH($F125,'CFOG'!$B$23:$B$24,0))="","Cell will autofill based on response",INDEX('CFOG'!$L$23:$L$24,MATCH($F125,'CFOG'!$B$23:$B$24,0))),"N/A")</f>
        <v/>
      </c>
      <c r="P125" s="25">
        <f>IFERROR(IF(INDEX('ESG'!$L$10:$L$17,MATCH($F125,'ESG'!$B$10:$B$17,0))="","Cell will autofill based on response",INDEX('ESG'!$L$10:$L$17,MATCH($F125,'ESG'!$B$10:$B$17,0))),"N/A")</f>
        <v/>
      </c>
      <c r="Q125" s="25">
        <f>IFERROR(IF(INDEX('CIOG'!$L$10:$L$14,MATCH($F125,'CIOG'!$B$10:$B$14,0))="","Cell will autofill based on response",INDEX('CIOG'!$L$10:$L$14,MATCH($F125,'CIOG'!$B$10:$B$14,0))),"N/A")</f>
        <v/>
      </c>
      <c r="R125" s="25">
        <f>IFERROR(IF(INDEX('MRE'!$L$10:$L$12,MATCH($F125,'MRE'!$B$10:$B$12,0))="","Cell will autofill based on response",INDEX('MRE'!$L$10:$L$12,MATCH($F125,'MRE'!$B$10:$B$12,0))),"N/A")</f>
        <v/>
      </c>
      <c r="S125" s="25">
        <f>IFERROR(IF(INDEX('L&amp;R'!$L$10:$L$11,MATCH($F125,'L&amp;R'!$B$10:$B$11,0))="","Cell will autofill based on response",INDEX('L&amp;R'!$L$10:$L$11,MATCH($F125,'L&amp;R'!$B$10:$B$11,0))),"N/A")</f>
        <v/>
      </c>
      <c r="U125" s="26">
        <f>COUNTIF($H125:$S125,"Cell will autofill based on response")</f>
        <v/>
      </c>
      <c r="V125" s="26">
        <f>COUNTIF($H125:$S125,"Not yet started")</f>
        <v/>
      </c>
      <c r="W125" s="26">
        <f>COUNTIF($H125:$S125,"Not met")</f>
        <v/>
      </c>
      <c r="X125" s="26">
        <f>COUNTIF($H125:$S125,"Partially met")</f>
        <v/>
      </c>
      <c r="Y125" s="26">
        <f>COUNTIF($H125:$S125,"Met or exceeded")</f>
        <v/>
      </c>
      <c r="Z125" s="26">
        <f>3*Y125+2*X125+W125</f>
        <v/>
      </c>
      <c r="AA125" s="26">
        <f>Y125+X125+W125+V125</f>
        <v/>
      </c>
      <c r="AB125" s="27">
        <f>IF(AA125&gt;0,Z125/AA125,"No valid responses to date")</f>
        <v/>
      </c>
      <c r="AC125" s="26">
        <f>IF(ISNUMBER(AB125),INDEX(Lists!$G$2:$G$5,MATCH(ROUND(AB125,0),Lists!$H$2:$H$5,0)),"")</f>
        <v/>
      </c>
      <c r="AD125" s="28">
        <f>IF(AA125&gt;0,Y125/AA125,"")</f>
        <v/>
      </c>
      <c r="AE125" s="28">
        <f>IF(AA125&gt;0,(Y125+X125)/AA125,"")</f>
        <v/>
      </c>
      <c r="AF125" s="26">
        <f>IF(AA125=0,"",IF(AD125&gt;0.75,"Met or exceeded",IF(AE125&gt;=0.5,"Partially met","Not met")))</f>
        <v/>
      </c>
    </row>
    <row r="126">
      <c r="A126">
        <f>F126&amp;"|"&amp;G126</f>
        <v/>
      </c>
      <c r="B126" s="29" t="inlineStr"/>
      <c r="C126" s="8" t="inlineStr"/>
      <c r="D126" s="8" t="inlineStr"/>
      <c r="E126" s="8" t="inlineStr"/>
      <c r="F126" s="8" t="inlineStr">
        <is>
          <t>CL2(a)</t>
        </is>
      </c>
      <c r="G126" s="8" t="inlineStr">
        <is>
          <t>OPTION 1:  Target-level reporting</t>
        </is>
      </c>
      <c r="H126" s="25">
        <f>IFERROR(IF(INDEX('Faculties'!$M$10:$M$30,MATCH($F126,'Faculties'!$B$10:$B$30,0))="","Cell will autofill based on response",INDEX('Faculties'!$M$10:$M$30,MATCH($F126,'Faculties'!$B$10:$B$30,0))),"N/A")</f>
        <v/>
      </c>
      <c r="I126" s="25">
        <f>IFERROR(IF(INDEX('Faculties'!$M$37:$M$57,MATCH($F126,'Faculties'!$B$37:$B$57,0))="","Cell will autofill based on response",INDEX('Faculties'!$M$37:$M$57,MATCH($F126,'Faculties'!$B$37:$B$57,0))),"N/A")</f>
        <v/>
      </c>
      <c r="J126" s="25">
        <f>IFERROR(IF(INDEX('Faculties'!$M$64:$M$84,MATCH($F126,'Faculties'!$B$64:$B$84,0))="","Cell will autofill based on response",INDEX('Faculties'!$M$64:$M$84,MATCH($F126,'Faculties'!$B$64:$B$84,0))),"N/A")</f>
        <v/>
      </c>
      <c r="K126" s="25">
        <f>IFERROR(IF(INDEX('Faculties'!$M$91:$M$111,MATCH($F126,'Faculties'!$B$91:$B$111,0))="","Cell will autofill based on response",INDEX('Faculties'!$M$91:$M$111,MATCH($F126,'Faculties'!$B$91:$B$111,0))),"N/A")</f>
        <v/>
      </c>
      <c r="L126" s="25">
        <f>IFERROR(IF(INDEX('CI&amp;S'!$M$10:$M$15,MATCH($F126,'CI&amp;S'!$B$10:$B$15,0))="","Cell will autofill based on response",INDEX('CI&amp;S'!$M$10:$M$15,MATCH($F126,'CI&amp;S'!$B$10:$B$15,0))),"N/A")</f>
        <v/>
      </c>
      <c r="M126" s="25">
        <f>IFERROR(IF(INDEX('CI&amp;S'!$M$22:$M$39,MATCH($F126,'CI&amp;S'!$B$22:$B$39,0))="","Cell will autofill based on response",INDEX('CI&amp;S'!$M$22:$M$39,MATCH($F126,'CI&amp;S'!$B$22:$B$39,0))),"N/A")</f>
        <v/>
      </c>
      <c r="N126" s="25">
        <f>IFERROR(IF(INDEX('CFOG'!$M$10:$M$16,MATCH($F126,'CFOG'!$B$10:$B$16,0))="","Cell will autofill based on response",INDEX('CFOG'!$M$10:$M$16,MATCH($F126,'CFOG'!$B$10:$B$16,0))),"N/A")</f>
        <v/>
      </c>
      <c r="O126" s="25">
        <f>IFERROR(IF(INDEX('CFOG'!$M$23:$M$24,MATCH($F126,'CFOG'!$B$23:$B$24,0))="","Cell will autofill based on response",INDEX('CFOG'!$M$23:$M$24,MATCH($F126,'CFOG'!$B$23:$B$24,0))),"N/A")</f>
        <v/>
      </c>
      <c r="P126" s="25">
        <f>IFERROR(IF(INDEX('ESG'!$M$10:$M$17,MATCH($F126,'ESG'!$B$10:$B$17,0))="","Cell will autofill based on response",INDEX('ESG'!$M$10:$M$17,MATCH($F126,'ESG'!$B$10:$B$17,0))),"N/A")</f>
        <v/>
      </c>
      <c r="Q126" s="25">
        <f>IFERROR(IF(INDEX('CIOG'!$M$10:$M$14,MATCH($F126,'CIOG'!$B$10:$B$14,0))="","Cell will autofill based on response",INDEX('CIOG'!$M$10:$M$14,MATCH($F126,'CIOG'!$B$10:$B$14,0))),"N/A")</f>
        <v/>
      </c>
      <c r="R126" s="25">
        <f>IFERROR(IF(INDEX('MRE'!$M$10:$M$12,MATCH($F126,'MRE'!$B$10:$B$12,0))="","Cell will autofill based on response",INDEX('MRE'!$M$10:$M$12,MATCH($F126,'MRE'!$B$10:$B$12,0))),"N/A")</f>
        <v/>
      </c>
      <c r="S126" s="25">
        <f>IFERROR(IF(INDEX('L&amp;R'!$M$10:$M$11,MATCH($F126,'L&amp;R'!$B$10:$B$11,0))="","Cell will autofill based on response",INDEX('L&amp;R'!$M$10:$M$11,MATCH($F126,'L&amp;R'!$B$10:$B$11,0))),"N/A")</f>
        <v/>
      </c>
    </row>
    <row r="127">
      <c r="A127">
        <f>F127&amp;"|"&amp;G127</f>
        <v/>
      </c>
      <c r="B127" s="29" t="inlineStr"/>
      <c r="C127" s="8" t="inlineStr"/>
      <c r="D127" s="8" t="inlineStr"/>
      <c r="E127" s="8" t="inlineStr"/>
      <c r="F127" s="8" t="inlineStr">
        <is>
          <t>CL2(a)</t>
        </is>
      </c>
      <c r="G127" s="8" t="inlineStr">
        <is>
          <t>OPTION 2:  Indicator level reporting</t>
        </is>
      </c>
      <c r="H127" s="25">
        <f>IFERROR(IF(INDEX('Faculties'!$N$10:$N$30,MATCH($F127,'Faculties'!$B$10:$B$30,0))="","Cell will autofill based on response",INDEX('Faculties'!$N$10:$N$30,MATCH($F127,'Faculties'!$B$10:$B$30,0))),"N/A")</f>
        <v/>
      </c>
      <c r="I127" s="25">
        <f>IFERROR(IF(INDEX('Faculties'!$N$37:$N$57,MATCH($F127,'Faculties'!$B$37:$B$57,0))="","Cell will autofill based on response",INDEX('Faculties'!$N$37:$N$57,MATCH($F127,'Faculties'!$B$37:$B$57,0))),"N/A")</f>
        <v/>
      </c>
      <c r="J127" s="25">
        <f>IFERROR(IF(INDEX('Faculties'!$N$64:$N$84,MATCH($F127,'Faculties'!$B$64:$B$84,0))="","Cell will autofill based on response",INDEX('Faculties'!$N$64:$N$84,MATCH($F127,'Faculties'!$B$64:$B$84,0))),"N/A")</f>
        <v/>
      </c>
      <c r="K127" s="25">
        <f>IFERROR(IF(INDEX('Faculties'!$N$91:$N$111,MATCH($F127,'Faculties'!$B$91:$B$111,0))="","Cell will autofill based on response",INDEX('Faculties'!$N$91:$N$111,MATCH($F127,'Faculties'!$B$91:$B$111,0))),"N/A")</f>
        <v/>
      </c>
      <c r="L127" s="25">
        <f>IFERROR(IF(INDEX('CI&amp;S'!$N$10:$N$15,MATCH($F127,'CI&amp;S'!$B$10:$B$15,0))="","Cell will autofill based on response",INDEX('CI&amp;S'!$N$10:$N$15,MATCH($F127,'CI&amp;S'!$B$10:$B$15,0))),"N/A")</f>
        <v/>
      </c>
      <c r="M127" s="25">
        <f>IFERROR(IF(INDEX('CI&amp;S'!$N$22:$N$39,MATCH($F127,'CI&amp;S'!$B$22:$B$39,0))="","Cell will autofill based on response",INDEX('CI&amp;S'!$N$22:$N$39,MATCH($F127,'CI&amp;S'!$B$22:$B$39,0))),"N/A")</f>
        <v/>
      </c>
      <c r="N127" s="25">
        <f>IFERROR(IF(INDEX('CFOG'!$N$10:$N$16,MATCH($F127,'CFOG'!$B$10:$B$16,0))="","Cell will autofill based on response",INDEX('CFOG'!$N$10:$N$16,MATCH($F127,'CFOG'!$B$10:$B$16,0))),"N/A")</f>
        <v/>
      </c>
      <c r="O127" s="25">
        <f>IFERROR(IF(INDEX('CFOG'!$N$23:$N$24,MATCH($F127,'CFOG'!$B$23:$B$24,0))="","Cell will autofill based on response",INDEX('CFOG'!$N$23:$N$24,MATCH($F127,'CFOG'!$B$23:$B$24,0))),"N/A")</f>
        <v/>
      </c>
      <c r="P127" s="25">
        <f>IFERROR(IF(INDEX('ESG'!$N$10:$N$17,MATCH($F127,'ESG'!$B$10:$B$17,0))="","Cell will autofill based on response",INDEX('ESG'!$N$10:$N$17,MATCH($F127,'ESG'!$B$10:$B$17,0))),"N/A")</f>
        <v/>
      </c>
      <c r="Q127" s="25">
        <f>IFERROR(IF(INDEX('CIOG'!$N$10:$N$14,MATCH($F127,'CIOG'!$B$10:$B$14,0))="","Cell will autofill based on response",INDEX('CIOG'!$N$10:$N$14,MATCH($F127,'CIOG'!$B$10:$B$14,0))),"N/A")</f>
        <v/>
      </c>
      <c r="R127" s="25">
        <f>IFERROR(IF(INDEX('MRE'!$N$10:$N$12,MATCH($F127,'MRE'!$B$10:$B$12,0))="","Cell will autofill based on response",INDEX('MRE'!$N$10:$N$12,MATCH($F127,'MRE'!$B$10:$B$12,0))),"N/A")</f>
        <v/>
      </c>
      <c r="S127" s="25">
        <f>IFERROR(IF(INDEX('L&amp;R'!$N$10:$N$11,MATCH($F127,'L&amp;R'!$B$10:$B$11,0))="","Cell will autofill based on response",INDEX('L&amp;R'!$N$10:$N$11,MATCH($F127,'L&amp;R'!$B$10:$B$11,0))),"N/A")</f>
        <v/>
      </c>
    </row>
    <row r="128">
      <c r="A128">
        <f>F128&amp;"|"&amp;G128</f>
        <v/>
      </c>
      <c r="B128" s="29" t="inlineStr"/>
      <c r="C128" s="8" t="inlineStr"/>
      <c r="D128" s="8" t="inlineStr"/>
      <c r="E128" s="8" t="inlineStr"/>
      <c r="F128" s="8" t="inlineStr">
        <is>
          <t>CL2(a)</t>
        </is>
      </c>
      <c r="G128" s="8" t="inlineStr">
        <is>
          <t>Supporting information/comments</t>
        </is>
      </c>
      <c r="H128" s="25">
        <f>IFERROR(IF(INDEX('Faculties'!$O$10:$O$30,MATCH($F128,'Faculties'!$B$10:$B$30,0))="","Cell will autofill based on response",INDEX('Faculties'!$O$10:$O$30,MATCH($F128,'Faculties'!$B$10:$B$30,0))),"N/A")</f>
        <v/>
      </c>
      <c r="I128" s="25">
        <f>IFERROR(IF(INDEX('Faculties'!$O$37:$O$57,MATCH($F128,'Faculties'!$B$37:$B$57,0))="","Cell will autofill based on response",INDEX('Faculties'!$O$37:$O$57,MATCH($F128,'Faculties'!$B$37:$B$57,0))),"N/A")</f>
        <v/>
      </c>
      <c r="J128" s="25">
        <f>IFERROR(IF(INDEX('Faculties'!$O$64:$O$84,MATCH($F128,'Faculties'!$B$64:$B$84,0))="","Cell will autofill based on response",INDEX('Faculties'!$O$64:$O$84,MATCH($F128,'Faculties'!$B$64:$B$84,0))),"N/A")</f>
        <v/>
      </c>
      <c r="K128" s="25">
        <f>IFERROR(IF(INDEX('Faculties'!$O$91:$O$111,MATCH($F128,'Faculties'!$B$91:$B$111,0))="","Cell will autofill based on response",INDEX('Faculties'!$O$91:$O$111,MATCH($F128,'Faculties'!$B$91:$B$111,0))),"N/A")</f>
        <v/>
      </c>
      <c r="L128" s="25">
        <f>IFERROR(IF(INDEX('CI&amp;S'!$O$10:$O$15,MATCH($F128,'CI&amp;S'!$B$10:$B$15,0))="","Cell will autofill based on response",INDEX('CI&amp;S'!$O$10:$O$15,MATCH($F128,'CI&amp;S'!$B$10:$B$15,0))),"N/A")</f>
        <v/>
      </c>
      <c r="M128" s="25">
        <f>IFERROR(IF(INDEX('CI&amp;S'!$O$22:$O$39,MATCH($F128,'CI&amp;S'!$B$22:$B$39,0))="","Cell will autofill based on response",INDEX('CI&amp;S'!$O$22:$O$39,MATCH($F128,'CI&amp;S'!$B$22:$B$39,0))),"N/A")</f>
        <v/>
      </c>
      <c r="N128" s="25">
        <f>IFERROR(IF(INDEX('CFOG'!$O$10:$O$16,MATCH($F128,'CFOG'!$B$10:$B$16,0))="","Cell will autofill based on response",INDEX('CFOG'!$O$10:$O$16,MATCH($F128,'CFOG'!$B$10:$B$16,0))),"N/A")</f>
        <v/>
      </c>
      <c r="O128" s="25">
        <f>IFERROR(IF(INDEX('CFOG'!$O$23:$O$24,MATCH($F128,'CFOG'!$B$23:$B$24,0))="","Cell will autofill based on response",INDEX('CFOG'!$O$23:$O$24,MATCH($F128,'CFOG'!$B$23:$B$24,0))),"N/A")</f>
        <v/>
      </c>
      <c r="P128" s="25">
        <f>IFERROR(IF(INDEX('ESG'!$O$10:$O$17,MATCH($F128,'ESG'!$B$10:$B$17,0))="","Cell will autofill based on response",INDEX('ESG'!$O$10:$O$17,MATCH($F128,'ESG'!$B$10:$B$17,0))),"N/A")</f>
        <v/>
      </c>
      <c r="Q128" s="25">
        <f>IFERROR(IF(INDEX('CIOG'!$O$10:$O$14,MATCH($F128,'CIOG'!$B$10:$B$14,0))="","Cell will autofill based on response",INDEX('CIOG'!$O$10:$O$14,MATCH($F128,'CIOG'!$B$10:$B$14,0))),"N/A")</f>
        <v/>
      </c>
      <c r="R128" s="25">
        <f>IFERROR(IF(INDEX('MRE'!$O$10:$O$12,MATCH($F128,'MRE'!$B$10:$B$12,0))="","Cell will autofill based on response",INDEX('MRE'!$O$10:$O$12,MATCH($F128,'MRE'!$B$10:$B$12,0))),"N/A")</f>
        <v/>
      </c>
      <c r="S128" s="25">
        <f>IFERROR(IF(INDEX('L&amp;R'!$O$10:$O$11,MATCH($F128,'L&amp;R'!$B$10:$B$11,0))="","Cell will autofill based on response",INDEX('L&amp;R'!$O$10:$O$11,MATCH($F128,'L&amp;R'!$B$10:$B$11,0))),"N/A")</f>
        <v/>
      </c>
    </row>
    <row r="129">
      <c r="A129">
        <f>F129&amp;"|"&amp;G129</f>
        <v/>
      </c>
      <c r="B129" s="29" t="inlineStr"/>
      <c r="C129" s="8" t="inlineStr"/>
      <c r="D129" s="8" t="inlineStr"/>
      <c r="E129" s="8" t="inlineStr"/>
      <c r="F129" s="8" t="inlineStr">
        <is>
          <t>CL2(a)</t>
        </is>
      </c>
      <c r="G129" s="8" t="inlineStr">
        <is>
          <t>Data source and limitations</t>
        </is>
      </c>
      <c r="H129" s="25">
        <f>IFERROR(IF(INDEX('Faculties'!$P$10:$P$30,MATCH($F129,'Faculties'!$B$10:$B$30,0))="","Cell will autofill based on response",INDEX('Faculties'!$P$10:$P$30,MATCH($F129,'Faculties'!$B$10:$B$30,0))),"N/A")</f>
        <v/>
      </c>
      <c r="I129" s="25">
        <f>IFERROR(IF(INDEX('Faculties'!$P$37:$P$57,MATCH($F129,'Faculties'!$B$37:$B$57,0))="","Cell will autofill based on response",INDEX('Faculties'!$P$37:$P$57,MATCH($F129,'Faculties'!$B$37:$B$57,0))),"N/A")</f>
        <v/>
      </c>
      <c r="J129" s="25">
        <f>IFERROR(IF(INDEX('Faculties'!$P$64:$P$84,MATCH($F129,'Faculties'!$B$64:$B$84,0))="","Cell will autofill based on response",INDEX('Faculties'!$P$64:$P$84,MATCH($F129,'Faculties'!$B$64:$B$84,0))),"N/A")</f>
        <v/>
      </c>
      <c r="K129" s="25">
        <f>IFERROR(IF(INDEX('Faculties'!$P$91:$P$111,MATCH($F129,'Faculties'!$B$91:$B$111,0))="","Cell will autofill based on response",INDEX('Faculties'!$P$91:$P$111,MATCH($F129,'Faculties'!$B$91:$B$111,0))),"N/A")</f>
        <v/>
      </c>
      <c r="L129" s="25">
        <f>IFERROR(IF(INDEX('CI&amp;S'!$P$10:$P$15,MATCH($F129,'CI&amp;S'!$B$10:$B$15,0))="","Cell will autofill based on response",INDEX('CI&amp;S'!$P$10:$P$15,MATCH($F129,'CI&amp;S'!$B$10:$B$15,0))),"N/A")</f>
        <v/>
      </c>
      <c r="M129" s="25">
        <f>IFERROR(IF(INDEX('CI&amp;S'!$P$22:$P$39,MATCH($F129,'CI&amp;S'!$B$22:$B$39,0))="","Cell will autofill based on response",INDEX('CI&amp;S'!$P$22:$P$39,MATCH($F129,'CI&amp;S'!$B$22:$B$39,0))),"N/A")</f>
        <v/>
      </c>
      <c r="N129" s="25">
        <f>IFERROR(IF(INDEX('CFOG'!$P$10:$P$16,MATCH($F129,'CFOG'!$B$10:$B$16,0))="","Cell will autofill based on response",INDEX('CFOG'!$P$10:$P$16,MATCH($F129,'CFOG'!$B$10:$B$16,0))),"N/A")</f>
        <v/>
      </c>
      <c r="O129" s="25">
        <f>IFERROR(IF(INDEX('CFOG'!$P$23:$P$24,MATCH($F129,'CFOG'!$B$23:$B$24,0))="","Cell will autofill based on response",INDEX('CFOG'!$P$23:$P$24,MATCH($F129,'CFOG'!$B$23:$B$24,0))),"N/A")</f>
        <v/>
      </c>
      <c r="P129" s="25">
        <f>IFERROR(IF(INDEX('ESG'!$P$10:$P$17,MATCH($F129,'ESG'!$B$10:$B$17,0))="","Cell will autofill based on response",INDEX('ESG'!$P$10:$P$17,MATCH($F129,'ESG'!$B$10:$B$17,0))),"N/A")</f>
        <v/>
      </c>
      <c r="Q129" s="25">
        <f>IFERROR(IF(INDEX('CIOG'!$P$10:$P$14,MATCH($F129,'CIOG'!$B$10:$B$14,0))="","Cell will autofill based on response",INDEX('CIOG'!$P$10:$P$14,MATCH($F129,'CIOG'!$B$10:$B$14,0))),"N/A")</f>
        <v/>
      </c>
      <c r="R129" s="25">
        <f>IFERROR(IF(INDEX('MRE'!$P$10:$P$12,MATCH($F129,'MRE'!$B$10:$B$12,0))="","Cell will autofill based on response",INDEX('MRE'!$P$10:$P$12,MATCH($F129,'MRE'!$B$10:$B$12,0))),"N/A")</f>
        <v/>
      </c>
      <c r="S129" s="25">
        <f>IFERROR(IF(INDEX('L&amp;R'!$P$10:$P$11,MATCH($F129,'L&amp;R'!$B$10:$B$11,0))="","Cell will autofill based on response",INDEX('L&amp;R'!$P$10:$P$11,MATCH($F129,'L&amp;R'!$B$10:$B$11,0))),"N/A")</f>
        <v/>
      </c>
    </row>
    <row r="130">
      <c r="A130">
        <f>F130&amp;"|"&amp;G130</f>
        <v/>
      </c>
      <c r="B130" s="29" t="inlineStr"/>
      <c r="C130" s="8" t="inlineStr"/>
      <c r="D130" s="8" t="inlineStr"/>
      <c r="E130" s="8" t="inlineStr"/>
      <c r="F130" s="8" t="inlineStr">
        <is>
          <t>CL2(a)</t>
        </is>
      </c>
      <c r="G130" s="8" t="inlineStr">
        <is>
          <t>Data owner confirms</t>
        </is>
      </c>
      <c r="H130" s="25">
        <f>IFERROR(IF(INDEX('Faculties'!$Q$10:$Q$30,MATCH($F130,'Faculties'!$B$10:$B$30,0))="","Cell will autofill based on response",INDEX('Faculties'!$Q$10:$Q$30,MATCH($F130,'Faculties'!$B$10:$B$30,0))),"N/A")</f>
        <v/>
      </c>
      <c r="I130" s="25">
        <f>IFERROR(IF(INDEX('Faculties'!$Q$37:$Q$57,MATCH($F130,'Faculties'!$B$37:$B$57,0))="","Cell will autofill based on response",INDEX('Faculties'!$Q$37:$Q$57,MATCH($F130,'Faculties'!$B$37:$B$57,0))),"N/A")</f>
        <v/>
      </c>
      <c r="J130" s="25">
        <f>IFERROR(IF(INDEX('Faculties'!$Q$64:$Q$84,MATCH($F130,'Faculties'!$B$64:$B$84,0))="","Cell will autofill based on response",INDEX('Faculties'!$Q$64:$Q$84,MATCH($F130,'Faculties'!$B$64:$B$84,0))),"N/A")</f>
        <v/>
      </c>
      <c r="K130" s="25">
        <f>IFERROR(IF(INDEX('Faculties'!$Q$91:$Q$111,MATCH($F130,'Faculties'!$B$91:$B$111,0))="","Cell will autofill based on response",INDEX('Faculties'!$Q$91:$Q$111,MATCH($F130,'Faculties'!$B$91:$B$111,0))),"N/A")</f>
        <v/>
      </c>
      <c r="L130" s="25">
        <f>IFERROR(IF(INDEX('CI&amp;S'!$Q$10:$Q$15,MATCH($F130,'CI&amp;S'!$B$10:$B$15,0))="","Cell will autofill based on response",INDEX('CI&amp;S'!$Q$10:$Q$15,MATCH($F130,'CI&amp;S'!$B$10:$B$15,0))),"N/A")</f>
        <v/>
      </c>
      <c r="M130" s="25">
        <f>IFERROR(IF(INDEX('CI&amp;S'!$Q$22:$Q$39,MATCH($F130,'CI&amp;S'!$B$22:$B$39,0))="","Cell will autofill based on response",INDEX('CI&amp;S'!$Q$22:$Q$39,MATCH($F130,'CI&amp;S'!$B$22:$B$39,0))),"N/A")</f>
        <v/>
      </c>
      <c r="N130" s="25">
        <f>IFERROR(IF(INDEX('CFOG'!$Q$10:$Q$16,MATCH($F130,'CFOG'!$B$10:$B$16,0))="","Cell will autofill based on response",INDEX('CFOG'!$Q$10:$Q$16,MATCH($F130,'CFOG'!$B$10:$B$16,0))),"N/A")</f>
        <v/>
      </c>
      <c r="O130" s="25">
        <f>IFERROR(IF(INDEX('CFOG'!$Q$23:$Q$24,MATCH($F130,'CFOG'!$B$23:$B$24,0))="","Cell will autofill based on response",INDEX('CFOG'!$Q$23:$Q$24,MATCH($F130,'CFOG'!$B$23:$B$24,0))),"N/A")</f>
        <v/>
      </c>
      <c r="P130" s="25">
        <f>IFERROR(IF(INDEX('ESG'!$Q$10:$Q$17,MATCH($F130,'ESG'!$B$10:$B$17,0))="","Cell will autofill based on response",INDEX('ESG'!$Q$10:$Q$17,MATCH($F130,'ESG'!$B$10:$B$17,0))),"N/A")</f>
        <v/>
      </c>
      <c r="Q130" s="25">
        <f>IFERROR(IF(INDEX('CIOG'!$Q$10:$Q$14,MATCH($F130,'CIOG'!$B$10:$B$14,0))="","Cell will autofill based on response",INDEX('CIOG'!$Q$10:$Q$14,MATCH($F130,'CIOG'!$B$10:$B$14,0))),"N/A")</f>
        <v/>
      </c>
      <c r="R130" s="25">
        <f>IFERROR(IF(INDEX('MRE'!$Q$10:$Q$12,MATCH($F130,'MRE'!$B$10:$B$12,0))="","Cell will autofill based on response",INDEX('MRE'!$Q$10:$Q$12,MATCH($F130,'MRE'!$B$10:$B$12,0))),"N/A")</f>
        <v/>
      </c>
      <c r="S130" s="25">
        <f>IFERROR(IF(INDEX('L&amp;R'!$Q$10:$Q$11,MATCH($F130,'L&amp;R'!$B$10:$B$11,0))="","Cell will autofill based on response",INDEX('L&amp;R'!$Q$10:$Q$11,MATCH($F130,'L&amp;R'!$B$10:$B$11,0))),"N/A")</f>
        <v/>
      </c>
    </row>
    <row r="131">
      <c r="A131">
        <f>F131&amp;"|"&amp;G131</f>
        <v/>
      </c>
      <c r="B131" s="7" t="inlineStr">
        <is>
          <t>CL2(b)</t>
        </is>
      </c>
      <c r="C131" s="12" t="inlineStr">
        <is>
          <t>Climate leadership</t>
        </is>
      </c>
      <c r="D131" s="12" t="inlineStr">
        <is>
          <t>Prioritised pipeline of decarbonisation focused research and education opportunities aligned with University emissions reduction priorities from 2028</t>
        </is>
      </c>
      <c r="E131" s="12" t="inlineStr">
        <is>
          <t>Number of pipelined projects or research transitioned from opportunity to active per year</t>
        </is>
      </c>
      <c r="F131" s="12" t="inlineStr">
        <is>
          <t>CL2(b)</t>
        </is>
      </c>
      <c r="G131" s="12" t="inlineStr">
        <is>
          <t>Confirm end-2026 target status</t>
        </is>
      </c>
      <c r="H131" s="25">
        <f>IFERROR(IF(INDEX('Faculties'!$L$10:$L$30,MATCH($F131,'Faculties'!$B$10:$B$30,0))="","Cell will autofill based on response",INDEX('Faculties'!$L$10:$L$30,MATCH($F131,'Faculties'!$B$10:$B$30,0))),"N/A")</f>
        <v/>
      </c>
      <c r="I131" s="25">
        <f>IFERROR(IF(INDEX('Faculties'!$L$37:$L$57,MATCH($F131,'Faculties'!$B$37:$B$57,0))="","Cell will autofill based on response",INDEX('Faculties'!$L$37:$L$57,MATCH($F131,'Faculties'!$B$37:$B$57,0))),"N/A")</f>
        <v/>
      </c>
      <c r="J131" s="25">
        <f>IFERROR(IF(INDEX('Faculties'!$L$64:$L$84,MATCH($F131,'Faculties'!$B$64:$B$84,0))="","Cell will autofill based on response",INDEX('Faculties'!$L$64:$L$84,MATCH($F131,'Faculties'!$B$64:$B$84,0))),"N/A")</f>
        <v/>
      </c>
      <c r="K131" s="25">
        <f>IFERROR(IF(INDEX('Faculties'!$L$91:$L$111,MATCH($F131,'Faculties'!$B$91:$B$111,0))="","Cell will autofill based on response",INDEX('Faculties'!$L$91:$L$111,MATCH($F131,'Faculties'!$B$91:$B$111,0))),"N/A")</f>
        <v/>
      </c>
      <c r="L131" s="25">
        <f>IFERROR(IF(INDEX('CI&amp;S'!$L$10:$L$15,MATCH($F131,'CI&amp;S'!$B$10:$B$15,0))="","Cell will autofill based on response",INDEX('CI&amp;S'!$L$10:$L$15,MATCH($F131,'CI&amp;S'!$B$10:$B$15,0))),"N/A")</f>
        <v/>
      </c>
      <c r="M131" s="25">
        <f>IFERROR(IF(INDEX('CI&amp;S'!$L$22:$L$39,MATCH($F131,'CI&amp;S'!$B$22:$B$39,0))="","Cell will autofill based on response",INDEX('CI&amp;S'!$L$22:$L$39,MATCH($F131,'CI&amp;S'!$B$22:$B$39,0))),"N/A")</f>
        <v/>
      </c>
      <c r="N131" s="25">
        <f>IFERROR(IF(INDEX('CFOG'!$L$10:$L$16,MATCH($F131,'CFOG'!$B$10:$B$16,0))="","Cell will autofill based on response",INDEX('CFOG'!$L$10:$L$16,MATCH($F131,'CFOG'!$B$10:$B$16,0))),"N/A")</f>
        <v/>
      </c>
      <c r="O131" s="25">
        <f>IFERROR(IF(INDEX('CFOG'!$L$23:$L$24,MATCH($F131,'CFOG'!$B$23:$B$24,0))="","Cell will autofill based on response",INDEX('CFOG'!$L$23:$L$24,MATCH($F131,'CFOG'!$B$23:$B$24,0))),"N/A")</f>
        <v/>
      </c>
      <c r="P131" s="25">
        <f>IFERROR(IF(INDEX('ESG'!$L$10:$L$17,MATCH($F131,'ESG'!$B$10:$B$17,0))="","Cell will autofill based on response",INDEX('ESG'!$L$10:$L$17,MATCH($F131,'ESG'!$B$10:$B$17,0))),"N/A")</f>
        <v/>
      </c>
      <c r="Q131" s="25">
        <f>IFERROR(IF(INDEX('CIOG'!$L$10:$L$14,MATCH($F131,'CIOG'!$B$10:$B$14,0))="","Cell will autofill based on response",INDEX('CIOG'!$L$10:$L$14,MATCH($F131,'CIOG'!$B$10:$B$14,0))),"N/A")</f>
        <v/>
      </c>
      <c r="R131" s="25">
        <f>IFERROR(IF(INDEX('MRE'!$L$10:$L$12,MATCH($F131,'MRE'!$B$10:$B$12,0))="","Cell will autofill based on response",INDEX('MRE'!$L$10:$L$12,MATCH($F131,'MRE'!$B$10:$B$12,0))),"N/A")</f>
        <v/>
      </c>
      <c r="S131" s="25">
        <f>IFERROR(IF(INDEX('L&amp;R'!$L$10:$L$11,MATCH($F131,'L&amp;R'!$B$10:$B$11,0))="","Cell will autofill based on response",INDEX('L&amp;R'!$L$10:$L$11,MATCH($F131,'L&amp;R'!$B$10:$B$11,0))),"N/A")</f>
        <v/>
      </c>
      <c r="U131" s="26">
        <f>COUNTIF($H131:$S131,"Cell will autofill based on response")</f>
        <v/>
      </c>
      <c r="V131" s="26">
        <f>COUNTIF($H131:$S131,"Not yet started")</f>
        <v/>
      </c>
      <c r="W131" s="26">
        <f>COUNTIF($H131:$S131,"Not met")</f>
        <v/>
      </c>
      <c r="X131" s="26">
        <f>COUNTIF($H131:$S131,"Partially met")</f>
        <v/>
      </c>
      <c r="Y131" s="26">
        <f>COUNTIF($H131:$S131,"Met or exceeded")</f>
        <v/>
      </c>
      <c r="Z131" s="26">
        <f>3*Y131+2*X131+W131</f>
        <v/>
      </c>
      <c r="AA131" s="26">
        <f>Y131+X131+W131+V131</f>
        <v/>
      </c>
      <c r="AB131" s="27">
        <f>IF(AA131&gt;0,Z131/AA131,"No valid responses to date")</f>
        <v/>
      </c>
      <c r="AC131" s="26">
        <f>IF(ISNUMBER(AB131),INDEX(Lists!$G$2:$G$5,MATCH(ROUND(AB131,0),Lists!$H$2:$H$5,0)),"")</f>
        <v/>
      </c>
      <c r="AD131" s="28">
        <f>IF(AA131&gt;0,Y131/AA131,"")</f>
        <v/>
      </c>
      <c r="AE131" s="28">
        <f>IF(AA131&gt;0,(Y131+X131)/AA131,"")</f>
        <v/>
      </c>
      <c r="AF131" s="26">
        <f>IF(AA131=0,"",IF(AD131&gt;0.75,"Met or exceeded",IF(AE131&gt;=0.5,"Partially met","Not met")))</f>
        <v/>
      </c>
    </row>
    <row r="132">
      <c r="A132">
        <f>F132&amp;"|"&amp;G132</f>
        <v/>
      </c>
      <c r="B132" s="29" t="inlineStr"/>
      <c r="C132" s="8" t="inlineStr"/>
      <c r="D132" s="8" t="inlineStr"/>
      <c r="E132" s="8" t="inlineStr"/>
      <c r="F132" s="8" t="inlineStr">
        <is>
          <t>CL2(b)</t>
        </is>
      </c>
      <c r="G132" s="8" t="inlineStr">
        <is>
          <t>OPTION 1:  Target-level reporting</t>
        </is>
      </c>
      <c r="H132" s="25">
        <f>IFERROR(IF(INDEX('Faculties'!$M$10:$M$30,MATCH($F132,'Faculties'!$B$10:$B$30,0))="","Cell will autofill based on response",INDEX('Faculties'!$M$10:$M$30,MATCH($F132,'Faculties'!$B$10:$B$30,0))),"N/A")</f>
        <v/>
      </c>
      <c r="I132" s="25">
        <f>IFERROR(IF(INDEX('Faculties'!$M$37:$M$57,MATCH($F132,'Faculties'!$B$37:$B$57,0))="","Cell will autofill based on response",INDEX('Faculties'!$M$37:$M$57,MATCH($F132,'Faculties'!$B$37:$B$57,0))),"N/A")</f>
        <v/>
      </c>
      <c r="J132" s="25">
        <f>IFERROR(IF(INDEX('Faculties'!$M$64:$M$84,MATCH($F132,'Faculties'!$B$64:$B$84,0))="","Cell will autofill based on response",INDEX('Faculties'!$M$64:$M$84,MATCH($F132,'Faculties'!$B$64:$B$84,0))),"N/A")</f>
        <v/>
      </c>
      <c r="K132" s="25">
        <f>IFERROR(IF(INDEX('Faculties'!$M$91:$M$111,MATCH($F132,'Faculties'!$B$91:$B$111,0))="","Cell will autofill based on response",INDEX('Faculties'!$M$91:$M$111,MATCH($F132,'Faculties'!$B$91:$B$111,0))),"N/A")</f>
        <v/>
      </c>
      <c r="L132" s="25">
        <f>IFERROR(IF(INDEX('CI&amp;S'!$M$10:$M$15,MATCH($F132,'CI&amp;S'!$B$10:$B$15,0))="","Cell will autofill based on response",INDEX('CI&amp;S'!$M$10:$M$15,MATCH($F132,'CI&amp;S'!$B$10:$B$15,0))),"N/A")</f>
        <v/>
      </c>
      <c r="M132" s="25">
        <f>IFERROR(IF(INDEX('CI&amp;S'!$M$22:$M$39,MATCH($F132,'CI&amp;S'!$B$22:$B$39,0))="","Cell will autofill based on response",INDEX('CI&amp;S'!$M$22:$M$39,MATCH($F132,'CI&amp;S'!$B$22:$B$39,0))),"N/A")</f>
        <v/>
      </c>
      <c r="N132" s="25">
        <f>IFERROR(IF(INDEX('CFOG'!$M$10:$M$16,MATCH($F132,'CFOG'!$B$10:$B$16,0))="","Cell will autofill based on response",INDEX('CFOG'!$M$10:$M$16,MATCH($F132,'CFOG'!$B$10:$B$16,0))),"N/A")</f>
        <v/>
      </c>
      <c r="O132" s="25">
        <f>IFERROR(IF(INDEX('CFOG'!$M$23:$M$24,MATCH($F132,'CFOG'!$B$23:$B$24,0))="","Cell will autofill based on response",INDEX('CFOG'!$M$23:$M$24,MATCH($F132,'CFOG'!$B$23:$B$24,0))),"N/A")</f>
        <v/>
      </c>
      <c r="P132" s="25">
        <f>IFERROR(IF(INDEX('ESG'!$M$10:$M$17,MATCH($F132,'ESG'!$B$10:$B$17,0))="","Cell will autofill based on response",INDEX('ESG'!$M$10:$M$17,MATCH($F132,'ESG'!$B$10:$B$17,0))),"N/A")</f>
        <v/>
      </c>
      <c r="Q132" s="25">
        <f>IFERROR(IF(INDEX('CIOG'!$M$10:$M$14,MATCH($F132,'CIOG'!$B$10:$B$14,0))="","Cell will autofill based on response",INDEX('CIOG'!$M$10:$M$14,MATCH($F132,'CIOG'!$B$10:$B$14,0))),"N/A")</f>
        <v/>
      </c>
      <c r="R132" s="25">
        <f>IFERROR(IF(INDEX('MRE'!$M$10:$M$12,MATCH($F132,'MRE'!$B$10:$B$12,0))="","Cell will autofill based on response",INDEX('MRE'!$M$10:$M$12,MATCH($F132,'MRE'!$B$10:$B$12,0))),"N/A")</f>
        <v/>
      </c>
      <c r="S132" s="25">
        <f>IFERROR(IF(INDEX('L&amp;R'!$M$10:$M$11,MATCH($F132,'L&amp;R'!$B$10:$B$11,0))="","Cell will autofill based on response",INDEX('L&amp;R'!$M$10:$M$11,MATCH($F132,'L&amp;R'!$B$10:$B$11,0))),"N/A")</f>
        <v/>
      </c>
    </row>
    <row r="133">
      <c r="A133">
        <f>F133&amp;"|"&amp;G133</f>
        <v/>
      </c>
      <c r="B133" s="29" t="inlineStr"/>
      <c r="C133" s="8" t="inlineStr"/>
      <c r="D133" s="8" t="inlineStr"/>
      <c r="E133" s="8" t="inlineStr"/>
      <c r="F133" s="8" t="inlineStr">
        <is>
          <t>CL2(b)</t>
        </is>
      </c>
      <c r="G133" s="8" t="inlineStr">
        <is>
          <t>OPTION 2:  Indicator level reporting</t>
        </is>
      </c>
      <c r="H133" s="25">
        <f>IFERROR(IF(INDEX('Faculties'!$N$10:$N$30,MATCH($F133,'Faculties'!$B$10:$B$30,0))="","Cell will autofill based on response",INDEX('Faculties'!$N$10:$N$30,MATCH($F133,'Faculties'!$B$10:$B$30,0))),"N/A")</f>
        <v/>
      </c>
      <c r="I133" s="25">
        <f>IFERROR(IF(INDEX('Faculties'!$N$37:$N$57,MATCH($F133,'Faculties'!$B$37:$B$57,0))="","Cell will autofill based on response",INDEX('Faculties'!$N$37:$N$57,MATCH($F133,'Faculties'!$B$37:$B$57,0))),"N/A")</f>
        <v/>
      </c>
      <c r="J133" s="25">
        <f>IFERROR(IF(INDEX('Faculties'!$N$64:$N$84,MATCH($F133,'Faculties'!$B$64:$B$84,0))="","Cell will autofill based on response",INDEX('Faculties'!$N$64:$N$84,MATCH($F133,'Faculties'!$B$64:$B$84,0))),"N/A")</f>
        <v/>
      </c>
      <c r="K133" s="25">
        <f>IFERROR(IF(INDEX('Faculties'!$N$91:$N$111,MATCH($F133,'Faculties'!$B$91:$B$111,0))="","Cell will autofill based on response",INDEX('Faculties'!$N$91:$N$111,MATCH($F133,'Faculties'!$B$91:$B$111,0))),"N/A")</f>
        <v/>
      </c>
      <c r="L133" s="25">
        <f>IFERROR(IF(INDEX('CI&amp;S'!$N$10:$N$15,MATCH($F133,'CI&amp;S'!$B$10:$B$15,0))="","Cell will autofill based on response",INDEX('CI&amp;S'!$N$10:$N$15,MATCH($F133,'CI&amp;S'!$B$10:$B$15,0))),"N/A")</f>
        <v/>
      </c>
      <c r="M133" s="25">
        <f>IFERROR(IF(INDEX('CI&amp;S'!$N$22:$N$39,MATCH($F133,'CI&amp;S'!$B$22:$B$39,0))="","Cell will autofill based on response",INDEX('CI&amp;S'!$N$22:$N$39,MATCH($F133,'CI&amp;S'!$B$22:$B$39,0))),"N/A")</f>
        <v/>
      </c>
      <c r="N133" s="25">
        <f>IFERROR(IF(INDEX('CFOG'!$N$10:$N$16,MATCH($F133,'CFOG'!$B$10:$B$16,0))="","Cell will autofill based on response",INDEX('CFOG'!$N$10:$N$16,MATCH($F133,'CFOG'!$B$10:$B$16,0))),"N/A")</f>
        <v/>
      </c>
      <c r="O133" s="25">
        <f>IFERROR(IF(INDEX('CFOG'!$N$23:$N$24,MATCH($F133,'CFOG'!$B$23:$B$24,0))="","Cell will autofill based on response",INDEX('CFOG'!$N$23:$N$24,MATCH($F133,'CFOG'!$B$23:$B$24,0))),"N/A")</f>
        <v/>
      </c>
      <c r="P133" s="25">
        <f>IFERROR(IF(INDEX('ESG'!$N$10:$N$17,MATCH($F133,'ESG'!$B$10:$B$17,0))="","Cell will autofill based on response",INDEX('ESG'!$N$10:$N$17,MATCH($F133,'ESG'!$B$10:$B$17,0))),"N/A")</f>
        <v/>
      </c>
      <c r="Q133" s="25">
        <f>IFERROR(IF(INDEX('CIOG'!$N$10:$N$14,MATCH($F133,'CIOG'!$B$10:$B$14,0))="","Cell will autofill based on response",INDEX('CIOG'!$N$10:$N$14,MATCH($F133,'CIOG'!$B$10:$B$14,0))),"N/A")</f>
        <v/>
      </c>
      <c r="R133" s="25">
        <f>IFERROR(IF(INDEX('MRE'!$N$10:$N$12,MATCH($F133,'MRE'!$B$10:$B$12,0))="","Cell will autofill based on response",INDEX('MRE'!$N$10:$N$12,MATCH($F133,'MRE'!$B$10:$B$12,0))),"N/A")</f>
        <v/>
      </c>
      <c r="S133" s="25">
        <f>IFERROR(IF(INDEX('L&amp;R'!$N$10:$N$11,MATCH($F133,'L&amp;R'!$B$10:$B$11,0))="","Cell will autofill based on response",INDEX('L&amp;R'!$N$10:$N$11,MATCH($F133,'L&amp;R'!$B$10:$B$11,0))),"N/A")</f>
        <v/>
      </c>
    </row>
    <row r="134">
      <c r="A134">
        <f>F134&amp;"|"&amp;G134</f>
        <v/>
      </c>
      <c r="B134" s="29" t="inlineStr"/>
      <c r="C134" s="8" t="inlineStr"/>
      <c r="D134" s="8" t="inlineStr"/>
      <c r="E134" s="8" t="inlineStr"/>
      <c r="F134" s="8" t="inlineStr">
        <is>
          <t>CL2(b)</t>
        </is>
      </c>
      <c r="G134" s="8" t="inlineStr">
        <is>
          <t>Supporting information/comments</t>
        </is>
      </c>
      <c r="H134" s="25">
        <f>IFERROR(IF(INDEX('Faculties'!$O$10:$O$30,MATCH($F134,'Faculties'!$B$10:$B$30,0))="","Cell will autofill based on response",INDEX('Faculties'!$O$10:$O$30,MATCH($F134,'Faculties'!$B$10:$B$30,0))),"N/A")</f>
        <v/>
      </c>
      <c r="I134" s="25">
        <f>IFERROR(IF(INDEX('Faculties'!$O$37:$O$57,MATCH($F134,'Faculties'!$B$37:$B$57,0))="","Cell will autofill based on response",INDEX('Faculties'!$O$37:$O$57,MATCH($F134,'Faculties'!$B$37:$B$57,0))),"N/A")</f>
        <v/>
      </c>
      <c r="J134" s="25">
        <f>IFERROR(IF(INDEX('Faculties'!$O$64:$O$84,MATCH($F134,'Faculties'!$B$64:$B$84,0))="","Cell will autofill based on response",INDEX('Faculties'!$O$64:$O$84,MATCH($F134,'Faculties'!$B$64:$B$84,0))),"N/A")</f>
        <v/>
      </c>
      <c r="K134" s="25">
        <f>IFERROR(IF(INDEX('Faculties'!$O$91:$O$111,MATCH($F134,'Faculties'!$B$91:$B$111,0))="","Cell will autofill based on response",INDEX('Faculties'!$O$91:$O$111,MATCH($F134,'Faculties'!$B$91:$B$111,0))),"N/A")</f>
        <v/>
      </c>
      <c r="L134" s="25">
        <f>IFERROR(IF(INDEX('CI&amp;S'!$O$10:$O$15,MATCH($F134,'CI&amp;S'!$B$10:$B$15,0))="","Cell will autofill based on response",INDEX('CI&amp;S'!$O$10:$O$15,MATCH($F134,'CI&amp;S'!$B$10:$B$15,0))),"N/A")</f>
        <v/>
      </c>
      <c r="M134" s="25">
        <f>IFERROR(IF(INDEX('CI&amp;S'!$O$22:$O$39,MATCH($F134,'CI&amp;S'!$B$22:$B$39,0))="","Cell will autofill based on response",INDEX('CI&amp;S'!$O$22:$O$39,MATCH($F134,'CI&amp;S'!$B$22:$B$39,0))),"N/A")</f>
        <v/>
      </c>
      <c r="N134" s="25">
        <f>IFERROR(IF(INDEX('CFOG'!$O$10:$O$16,MATCH($F134,'CFOG'!$B$10:$B$16,0))="","Cell will autofill based on response",INDEX('CFOG'!$O$10:$O$16,MATCH($F134,'CFOG'!$B$10:$B$16,0))),"N/A")</f>
        <v/>
      </c>
      <c r="O134" s="25">
        <f>IFERROR(IF(INDEX('CFOG'!$O$23:$O$24,MATCH($F134,'CFOG'!$B$23:$B$24,0))="","Cell will autofill based on response",INDEX('CFOG'!$O$23:$O$24,MATCH($F134,'CFOG'!$B$23:$B$24,0))),"N/A")</f>
        <v/>
      </c>
      <c r="P134" s="25">
        <f>IFERROR(IF(INDEX('ESG'!$O$10:$O$17,MATCH($F134,'ESG'!$B$10:$B$17,0))="","Cell will autofill based on response",INDEX('ESG'!$O$10:$O$17,MATCH($F134,'ESG'!$B$10:$B$17,0))),"N/A")</f>
        <v/>
      </c>
      <c r="Q134" s="25">
        <f>IFERROR(IF(INDEX('CIOG'!$O$10:$O$14,MATCH($F134,'CIOG'!$B$10:$B$14,0))="","Cell will autofill based on response",INDEX('CIOG'!$O$10:$O$14,MATCH($F134,'CIOG'!$B$10:$B$14,0))),"N/A")</f>
        <v/>
      </c>
      <c r="R134" s="25">
        <f>IFERROR(IF(INDEX('MRE'!$O$10:$O$12,MATCH($F134,'MRE'!$B$10:$B$12,0))="","Cell will autofill based on response",INDEX('MRE'!$O$10:$O$12,MATCH($F134,'MRE'!$B$10:$B$12,0))),"N/A")</f>
        <v/>
      </c>
      <c r="S134" s="25">
        <f>IFERROR(IF(INDEX('L&amp;R'!$O$10:$O$11,MATCH($F134,'L&amp;R'!$B$10:$B$11,0))="","Cell will autofill based on response",INDEX('L&amp;R'!$O$10:$O$11,MATCH($F134,'L&amp;R'!$B$10:$B$11,0))),"N/A")</f>
        <v/>
      </c>
    </row>
    <row r="135">
      <c r="A135">
        <f>F135&amp;"|"&amp;G135</f>
        <v/>
      </c>
      <c r="B135" s="29" t="inlineStr"/>
      <c r="C135" s="8" t="inlineStr"/>
      <c r="D135" s="8" t="inlineStr"/>
      <c r="E135" s="8" t="inlineStr"/>
      <c r="F135" s="8" t="inlineStr">
        <is>
          <t>CL2(b)</t>
        </is>
      </c>
      <c r="G135" s="8" t="inlineStr">
        <is>
          <t>Data source and limitations</t>
        </is>
      </c>
      <c r="H135" s="25">
        <f>IFERROR(IF(INDEX('Faculties'!$P$10:$P$30,MATCH($F135,'Faculties'!$B$10:$B$30,0))="","Cell will autofill based on response",INDEX('Faculties'!$P$10:$P$30,MATCH($F135,'Faculties'!$B$10:$B$30,0))),"N/A")</f>
        <v/>
      </c>
      <c r="I135" s="25">
        <f>IFERROR(IF(INDEX('Faculties'!$P$37:$P$57,MATCH($F135,'Faculties'!$B$37:$B$57,0))="","Cell will autofill based on response",INDEX('Faculties'!$P$37:$P$57,MATCH($F135,'Faculties'!$B$37:$B$57,0))),"N/A")</f>
        <v/>
      </c>
      <c r="J135" s="25">
        <f>IFERROR(IF(INDEX('Faculties'!$P$64:$P$84,MATCH($F135,'Faculties'!$B$64:$B$84,0))="","Cell will autofill based on response",INDEX('Faculties'!$P$64:$P$84,MATCH($F135,'Faculties'!$B$64:$B$84,0))),"N/A")</f>
        <v/>
      </c>
      <c r="K135" s="25">
        <f>IFERROR(IF(INDEX('Faculties'!$P$91:$P$111,MATCH($F135,'Faculties'!$B$91:$B$111,0))="","Cell will autofill based on response",INDEX('Faculties'!$P$91:$P$111,MATCH($F135,'Faculties'!$B$91:$B$111,0))),"N/A")</f>
        <v/>
      </c>
      <c r="L135" s="25">
        <f>IFERROR(IF(INDEX('CI&amp;S'!$P$10:$P$15,MATCH($F135,'CI&amp;S'!$B$10:$B$15,0))="","Cell will autofill based on response",INDEX('CI&amp;S'!$P$10:$P$15,MATCH($F135,'CI&amp;S'!$B$10:$B$15,0))),"N/A")</f>
        <v/>
      </c>
      <c r="M135" s="25">
        <f>IFERROR(IF(INDEX('CI&amp;S'!$P$22:$P$39,MATCH($F135,'CI&amp;S'!$B$22:$B$39,0))="","Cell will autofill based on response",INDEX('CI&amp;S'!$P$22:$P$39,MATCH($F135,'CI&amp;S'!$B$22:$B$39,0))),"N/A")</f>
        <v/>
      </c>
      <c r="N135" s="25">
        <f>IFERROR(IF(INDEX('CFOG'!$P$10:$P$16,MATCH($F135,'CFOG'!$B$10:$B$16,0))="","Cell will autofill based on response",INDEX('CFOG'!$P$10:$P$16,MATCH($F135,'CFOG'!$B$10:$B$16,0))),"N/A")</f>
        <v/>
      </c>
      <c r="O135" s="25">
        <f>IFERROR(IF(INDEX('CFOG'!$P$23:$P$24,MATCH($F135,'CFOG'!$B$23:$B$24,0))="","Cell will autofill based on response",INDEX('CFOG'!$P$23:$P$24,MATCH($F135,'CFOG'!$B$23:$B$24,0))),"N/A")</f>
        <v/>
      </c>
      <c r="P135" s="25">
        <f>IFERROR(IF(INDEX('ESG'!$P$10:$P$17,MATCH($F135,'ESG'!$B$10:$B$17,0))="","Cell will autofill based on response",INDEX('ESG'!$P$10:$P$17,MATCH($F135,'ESG'!$B$10:$B$17,0))),"N/A")</f>
        <v/>
      </c>
      <c r="Q135" s="25">
        <f>IFERROR(IF(INDEX('CIOG'!$P$10:$P$14,MATCH($F135,'CIOG'!$B$10:$B$14,0))="","Cell will autofill based on response",INDEX('CIOG'!$P$10:$P$14,MATCH($F135,'CIOG'!$B$10:$B$14,0))),"N/A")</f>
        <v/>
      </c>
      <c r="R135" s="25">
        <f>IFERROR(IF(INDEX('MRE'!$P$10:$P$12,MATCH($F135,'MRE'!$B$10:$B$12,0))="","Cell will autofill based on response",INDEX('MRE'!$P$10:$P$12,MATCH($F135,'MRE'!$B$10:$B$12,0))),"N/A")</f>
        <v/>
      </c>
      <c r="S135" s="25">
        <f>IFERROR(IF(INDEX('L&amp;R'!$P$10:$P$11,MATCH($F135,'L&amp;R'!$B$10:$B$11,0))="","Cell will autofill based on response",INDEX('L&amp;R'!$P$10:$P$11,MATCH($F135,'L&amp;R'!$B$10:$B$11,0))),"N/A")</f>
        <v/>
      </c>
    </row>
    <row r="136">
      <c r="A136">
        <f>F136&amp;"|"&amp;G136</f>
        <v/>
      </c>
      <c r="B136" s="29" t="inlineStr"/>
      <c r="C136" s="8" t="inlineStr"/>
      <c r="D136" s="8" t="inlineStr"/>
      <c r="E136" s="8" t="inlineStr"/>
      <c r="F136" s="8" t="inlineStr">
        <is>
          <t>CL2(b)</t>
        </is>
      </c>
      <c r="G136" s="8" t="inlineStr">
        <is>
          <t>Data owner confirms</t>
        </is>
      </c>
      <c r="H136" s="25">
        <f>IFERROR(IF(INDEX('Faculties'!$Q$10:$Q$30,MATCH($F136,'Faculties'!$B$10:$B$30,0))="","Cell will autofill based on response",INDEX('Faculties'!$Q$10:$Q$30,MATCH($F136,'Faculties'!$B$10:$B$30,0))),"N/A")</f>
        <v/>
      </c>
      <c r="I136" s="25">
        <f>IFERROR(IF(INDEX('Faculties'!$Q$37:$Q$57,MATCH($F136,'Faculties'!$B$37:$B$57,0))="","Cell will autofill based on response",INDEX('Faculties'!$Q$37:$Q$57,MATCH($F136,'Faculties'!$B$37:$B$57,0))),"N/A")</f>
        <v/>
      </c>
      <c r="J136" s="25">
        <f>IFERROR(IF(INDEX('Faculties'!$Q$64:$Q$84,MATCH($F136,'Faculties'!$B$64:$B$84,0))="","Cell will autofill based on response",INDEX('Faculties'!$Q$64:$Q$84,MATCH($F136,'Faculties'!$B$64:$B$84,0))),"N/A")</f>
        <v/>
      </c>
      <c r="K136" s="25">
        <f>IFERROR(IF(INDEX('Faculties'!$Q$91:$Q$111,MATCH($F136,'Faculties'!$B$91:$B$111,0))="","Cell will autofill based on response",INDEX('Faculties'!$Q$91:$Q$111,MATCH($F136,'Faculties'!$B$91:$B$111,0))),"N/A")</f>
        <v/>
      </c>
      <c r="L136" s="25">
        <f>IFERROR(IF(INDEX('CI&amp;S'!$Q$10:$Q$15,MATCH($F136,'CI&amp;S'!$B$10:$B$15,0))="","Cell will autofill based on response",INDEX('CI&amp;S'!$Q$10:$Q$15,MATCH($F136,'CI&amp;S'!$B$10:$B$15,0))),"N/A")</f>
        <v/>
      </c>
      <c r="M136" s="25">
        <f>IFERROR(IF(INDEX('CI&amp;S'!$Q$22:$Q$39,MATCH($F136,'CI&amp;S'!$B$22:$B$39,0))="","Cell will autofill based on response",INDEX('CI&amp;S'!$Q$22:$Q$39,MATCH($F136,'CI&amp;S'!$B$22:$B$39,0))),"N/A")</f>
        <v/>
      </c>
      <c r="N136" s="25">
        <f>IFERROR(IF(INDEX('CFOG'!$Q$10:$Q$16,MATCH($F136,'CFOG'!$B$10:$B$16,0))="","Cell will autofill based on response",INDEX('CFOG'!$Q$10:$Q$16,MATCH($F136,'CFOG'!$B$10:$B$16,0))),"N/A")</f>
        <v/>
      </c>
      <c r="O136" s="25">
        <f>IFERROR(IF(INDEX('CFOG'!$Q$23:$Q$24,MATCH($F136,'CFOG'!$B$23:$B$24,0))="","Cell will autofill based on response",INDEX('CFOG'!$Q$23:$Q$24,MATCH($F136,'CFOG'!$B$23:$B$24,0))),"N/A")</f>
        <v/>
      </c>
      <c r="P136" s="25">
        <f>IFERROR(IF(INDEX('ESG'!$Q$10:$Q$17,MATCH($F136,'ESG'!$B$10:$B$17,0))="","Cell will autofill based on response",INDEX('ESG'!$Q$10:$Q$17,MATCH($F136,'ESG'!$B$10:$B$17,0))),"N/A")</f>
        <v/>
      </c>
      <c r="Q136" s="25">
        <f>IFERROR(IF(INDEX('CIOG'!$Q$10:$Q$14,MATCH($F136,'CIOG'!$B$10:$B$14,0))="","Cell will autofill based on response",INDEX('CIOG'!$Q$10:$Q$14,MATCH($F136,'CIOG'!$B$10:$B$14,0))),"N/A")</f>
        <v/>
      </c>
      <c r="R136" s="25">
        <f>IFERROR(IF(INDEX('MRE'!$Q$10:$Q$12,MATCH($F136,'MRE'!$B$10:$B$12,0))="","Cell will autofill based on response",INDEX('MRE'!$Q$10:$Q$12,MATCH($F136,'MRE'!$B$10:$B$12,0))),"N/A")</f>
        <v/>
      </c>
      <c r="S136" s="25">
        <f>IFERROR(IF(INDEX('L&amp;R'!$Q$10:$Q$11,MATCH($F136,'L&amp;R'!$B$10:$B$11,0))="","Cell will autofill based on response",INDEX('L&amp;R'!$Q$10:$Q$11,MATCH($F136,'L&amp;R'!$B$10:$B$11,0))),"N/A")</f>
        <v/>
      </c>
    </row>
    <row r="137">
      <c r="A137">
        <f>F137&amp;"|"&amp;G137</f>
        <v/>
      </c>
      <c r="B137" s="7" t="inlineStr">
        <is>
          <t>CL2(c)</t>
        </is>
      </c>
      <c r="C137" s="12" t="inlineStr">
        <is>
          <t>Climate leadership</t>
        </is>
      </c>
      <c r="D137" s="12" t="inlineStr">
        <is>
          <t>Ongoing communications that evidence the University’s climate action, research and learning to inform policy, sector and community decarbonisation efforts.</t>
        </is>
      </c>
      <c r="E137" s="12" t="inlineStr">
        <is>
          <t>List and describe communications from the faculty in terms of climate action, research and learning to inform policy, sector and community decarbonisation efforts</t>
        </is>
      </c>
      <c r="F137" s="12" t="inlineStr">
        <is>
          <t>CL2(c)</t>
        </is>
      </c>
      <c r="G137" s="12" t="inlineStr">
        <is>
          <t>Confirm end-2026 target status</t>
        </is>
      </c>
      <c r="H137" s="25">
        <f>IFERROR(IF(INDEX('Faculties'!$L$10:$L$30,MATCH($F137,'Faculties'!$B$10:$B$30,0))="","Cell will autofill based on response",INDEX('Faculties'!$L$10:$L$30,MATCH($F137,'Faculties'!$B$10:$B$30,0))),"N/A")</f>
        <v/>
      </c>
      <c r="I137" s="25">
        <f>IFERROR(IF(INDEX('Faculties'!$L$37:$L$57,MATCH($F137,'Faculties'!$B$37:$B$57,0))="","Cell will autofill based on response",INDEX('Faculties'!$L$37:$L$57,MATCH($F137,'Faculties'!$B$37:$B$57,0))),"N/A")</f>
        <v/>
      </c>
      <c r="J137" s="25">
        <f>IFERROR(IF(INDEX('Faculties'!$L$64:$L$84,MATCH($F137,'Faculties'!$B$64:$B$84,0))="","Cell will autofill based on response",INDEX('Faculties'!$L$64:$L$84,MATCH($F137,'Faculties'!$B$64:$B$84,0))),"N/A")</f>
        <v/>
      </c>
      <c r="K137" s="25">
        <f>IFERROR(IF(INDEX('Faculties'!$L$91:$L$111,MATCH($F137,'Faculties'!$B$91:$B$111,0))="","Cell will autofill based on response",INDEX('Faculties'!$L$91:$L$111,MATCH($F137,'Faculties'!$B$91:$B$111,0))),"N/A")</f>
        <v/>
      </c>
      <c r="L137" s="25">
        <f>IFERROR(IF(INDEX('CI&amp;S'!$L$10:$L$15,MATCH($F137,'CI&amp;S'!$B$10:$B$15,0))="","Cell will autofill based on response",INDEX('CI&amp;S'!$L$10:$L$15,MATCH($F137,'CI&amp;S'!$B$10:$B$15,0))),"N/A")</f>
        <v/>
      </c>
      <c r="M137" s="25">
        <f>IFERROR(IF(INDEX('CI&amp;S'!$L$22:$L$39,MATCH($F137,'CI&amp;S'!$B$22:$B$39,0))="","Cell will autofill based on response",INDEX('CI&amp;S'!$L$22:$L$39,MATCH($F137,'CI&amp;S'!$B$22:$B$39,0))),"N/A")</f>
        <v/>
      </c>
      <c r="N137" s="25">
        <f>IFERROR(IF(INDEX('CFOG'!$L$10:$L$16,MATCH($F137,'CFOG'!$B$10:$B$16,0))="","Cell will autofill based on response",INDEX('CFOG'!$L$10:$L$16,MATCH($F137,'CFOG'!$B$10:$B$16,0))),"N/A")</f>
        <v/>
      </c>
      <c r="O137" s="25">
        <f>IFERROR(IF(INDEX('CFOG'!$L$23:$L$24,MATCH($F137,'CFOG'!$B$23:$B$24,0))="","Cell will autofill based on response",INDEX('CFOG'!$L$23:$L$24,MATCH($F137,'CFOG'!$B$23:$B$24,0))),"N/A")</f>
        <v/>
      </c>
      <c r="P137" s="25">
        <f>IFERROR(IF(INDEX('ESG'!$L$10:$L$17,MATCH($F137,'ESG'!$B$10:$B$17,0))="","Cell will autofill based on response",INDEX('ESG'!$L$10:$L$17,MATCH($F137,'ESG'!$B$10:$B$17,0))),"N/A")</f>
        <v/>
      </c>
      <c r="Q137" s="25">
        <f>IFERROR(IF(INDEX('CIOG'!$L$10:$L$14,MATCH($F137,'CIOG'!$B$10:$B$14,0))="","Cell will autofill based on response",INDEX('CIOG'!$L$10:$L$14,MATCH($F137,'CIOG'!$B$10:$B$14,0))),"N/A")</f>
        <v/>
      </c>
      <c r="R137" s="25">
        <f>IFERROR(IF(INDEX('MRE'!$L$10:$L$12,MATCH($F137,'MRE'!$B$10:$B$12,0))="","Cell will autofill based on response",INDEX('MRE'!$L$10:$L$12,MATCH($F137,'MRE'!$B$10:$B$12,0))),"N/A")</f>
        <v/>
      </c>
      <c r="S137" s="25">
        <f>IFERROR(IF(INDEX('L&amp;R'!$L$10:$L$11,MATCH($F137,'L&amp;R'!$B$10:$B$11,0))="","Cell will autofill based on response",INDEX('L&amp;R'!$L$10:$L$11,MATCH($F137,'L&amp;R'!$B$10:$B$11,0))),"N/A")</f>
        <v/>
      </c>
      <c r="U137" s="26">
        <f>COUNTIF($H137:$S137,"Cell will autofill based on response")</f>
        <v/>
      </c>
      <c r="V137" s="26">
        <f>COUNTIF($H137:$S137,"Not yet started")</f>
        <v/>
      </c>
      <c r="W137" s="26">
        <f>COUNTIF($H137:$S137,"Not met")</f>
        <v/>
      </c>
      <c r="X137" s="26">
        <f>COUNTIF($H137:$S137,"Partially met")</f>
        <v/>
      </c>
      <c r="Y137" s="26">
        <f>COUNTIF($H137:$S137,"Met or exceeded")</f>
        <v/>
      </c>
      <c r="Z137" s="26">
        <f>3*Y137+2*X137+W137</f>
        <v/>
      </c>
      <c r="AA137" s="26">
        <f>Y137+X137+W137+V137</f>
        <v/>
      </c>
      <c r="AB137" s="27">
        <f>IF(AA137&gt;0,Z137/AA137,"No valid responses to date")</f>
        <v/>
      </c>
      <c r="AC137" s="26">
        <f>IF(ISNUMBER(AB137),INDEX(Lists!$G$2:$G$5,MATCH(ROUND(AB137,0),Lists!$H$2:$H$5,0)),"")</f>
        <v/>
      </c>
      <c r="AD137" s="28">
        <f>IF(AA137&gt;0,Y137/AA137,"")</f>
        <v/>
      </c>
      <c r="AE137" s="28">
        <f>IF(AA137&gt;0,(Y137+X137)/AA137,"")</f>
        <v/>
      </c>
      <c r="AF137" s="26">
        <f>IF(AA137=0,"",IF(AD137&gt;0.75,"Met or exceeded",IF(AE137&gt;=0.5,"Partially met","Not met")))</f>
        <v/>
      </c>
    </row>
    <row r="138">
      <c r="A138">
        <f>F138&amp;"|"&amp;G138</f>
        <v/>
      </c>
      <c r="B138" s="29" t="inlineStr"/>
      <c r="C138" s="8" t="inlineStr"/>
      <c r="D138" s="8" t="inlineStr"/>
      <c r="E138" s="8" t="inlineStr"/>
      <c r="F138" s="8" t="inlineStr">
        <is>
          <t>CL2(c)</t>
        </is>
      </c>
      <c r="G138" s="8" t="inlineStr">
        <is>
          <t>OPTION 1:  Target-level reporting</t>
        </is>
      </c>
      <c r="H138" s="25">
        <f>IFERROR(IF(INDEX('Faculties'!$M$10:$M$30,MATCH($F138,'Faculties'!$B$10:$B$30,0))="","Cell will autofill based on response",INDEX('Faculties'!$M$10:$M$30,MATCH($F138,'Faculties'!$B$10:$B$30,0))),"N/A")</f>
        <v/>
      </c>
      <c r="I138" s="25">
        <f>IFERROR(IF(INDEX('Faculties'!$M$37:$M$57,MATCH($F138,'Faculties'!$B$37:$B$57,0))="","Cell will autofill based on response",INDEX('Faculties'!$M$37:$M$57,MATCH($F138,'Faculties'!$B$37:$B$57,0))),"N/A")</f>
        <v/>
      </c>
      <c r="J138" s="25">
        <f>IFERROR(IF(INDEX('Faculties'!$M$64:$M$84,MATCH($F138,'Faculties'!$B$64:$B$84,0))="","Cell will autofill based on response",INDEX('Faculties'!$M$64:$M$84,MATCH($F138,'Faculties'!$B$64:$B$84,0))),"N/A")</f>
        <v/>
      </c>
      <c r="K138" s="25">
        <f>IFERROR(IF(INDEX('Faculties'!$M$91:$M$111,MATCH($F138,'Faculties'!$B$91:$B$111,0))="","Cell will autofill based on response",INDEX('Faculties'!$M$91:$M$111,MATCH($F138,'Faculties'!$B$91:$B$111,0))),"N/A")</f>
        <v/>
      </c>
      <c r="L138" s="25">
        <f>IFERROR(IF(INDEX('CI&amp;S'!$M$10:$M$15,MATCH($F138,'CI&amp;S'!$B$10:$B$15,0))="","Cell will autofill based on response",INDEX('CI&amp;S'!$M$10:$M$15,MATCH($F138,'CI&amp;S'!$B$10:$B$15,0))),"N/A")</f>
        <v/>
      </c>
      <c r="M138" s="25">
        <f>IFERROR(IF(INDEX('CI&amp;S'!$M$22:$M$39,MATCH($F138,'CI&amp;S'!$B$22:$B$39,0))="","Cell will autofill based on response",INDEX('CI&amp;S'!$M$22:$M$39,MATCH($F138,'CI&amp;S'!$B$22:$B$39,0))),"N/A")</f>
        <v/>
      </c>
      <c r="N138" s="25">
        <f>IFERROR(IF(INDEX('CFOG'!$M$10:$M$16,MATCH($F138,'CFOG'!$B$10:$B$16,0))="","Cell will autofill based on response",INDEX('CFOG'!$M$10:$M$16,MATCH($F138,'CFOG'!$B$10:$B$16,0))),"N/A")</f>
        <v/>
      </c>
      <c r="O138" s="25">
        <f>IFERROR(IF(INDEX('CFOG'!$M$23:$M$24,MATCH($F138,'CFOG'!$B$23:$B$24,0))="","Cell will autofill based on response",INDEX('CFOG'!$M$23:$M$24,MATCH($F138,'CFOG'!$B$23:$B$24,0))),"N/A")</f>
        <v/>
      </c>
      <c r="P138" s="25">
        <f>IFERROR(IF(INDEX('ESG'!$M$10:$M$17,MATCH($F138,'ESG'!$B$10:$B$17,0))="","Cell will autofill based on response",INDEX('ESG'!$M$10:$M$17,MATCH($F138,'ESG'!$B$10:$B$17,0))),"N/A")</f>
        <v/>
      </c>
      <c r="Q138" s="25">
        <f>IFERROR(IF(INDEX('CIOG'!$M$10:$M$14,MATCH($F138,'CIOG'!$B$10:$B$14,0))="","Cell will autofill based on response",INDEX('CIOG'!$M$10:$M$14,MATCH($F138,'CIOG'!$B$10:$B$14,0))),"N/A")</f>
        <v/>
      </c>
      <c r="R138" s="25">
        <f>IFERROR(IF(INDEX('MRE'!$M$10:$M$12,MATCH($F138,'MRE'!$B$10:$B$12,0))="","Cell will autofill based on response",INDEX('MRE'!$M$10:$M$12,MATCH($F138,'MRE'!$B$10:$B$12,0))),"N/A")</f>
        <v/>
      </c>
      <c r="S138" s="25">
        <f>IFERROR(IF(INDEX('L&amp;R'!$M$10:$M$11,MATCH($F138,'L&amp;R'!$B$10:$B$11,0))="","Cell will autofill based on response",INDEX('L&amp;R'!$M$10:$M$11,MATCH($F138,'L&amp;R'!$B$10:$B$11,0))),"N/A")</f>
        <v/>
      </c>
    </row>
    <row r="139">
      <c r="A139">
        <f>F139&amp;"|"&amp;G139</f>
        <v/>
      </c>
      <c r="B139" s="29" t="inlineStr"/>
      <c r="C139" s="8" t="inlineStr"/>
      <c r="D139" s="8" t="inlineStr"/>
      <c r="E139" s="8" t="inlineStr"/>
      <c r="F139" s="8" t="inlineStr">
        <is>
          <t>CL2(c)</t>
        </is>
      </c>
      <c r="G139" s="8" t="inlineStr">
        <is>
          <t>OPTION 2:  Indicator level reporting</t>
        </is>
      </c>
      <c r="H139" s="25">
        <f>IFERROR(IF(INDEX('Faculties'!$N$10:$N$30,MATCH($F139,'Faculties'!$B$10:$B$30,0))="","Cell will autofill based on response",INDEX('Faculties'!$N$10:$N$30,MATCH($F139,'Faculties'!$B$10:$B$30,0))),"N/A")</f>
        <v/>
      </c>
      <c r="I139" s="25">
        <f>IFERROR(IF(INDEX('Faculties'!$N$37:$N$57,MATCH($F139,'Faculties'!$B$37:$B$57,0))="","Cell will autofill based on response",INDEX('Faculties'!$N$37:$N$57,MATCH($F139,'Faculties'!$B$37:$B$57,0))),"N/A")</f>
        <v/>
      </c>
      <c r="J139" s="25">
        <f>IFERROR(IF(INDEX('Faculties'!$N$64:$N$84,MATCH($F139,'Faculties'!$B$64:$B$84,0))="","Cell will autofill based on response",INDEX('Faculties'!$N$64:$N$84,MATCH($F139,'Faculties'!$B$64:$B$84,0))),"N/A")</f>
        <v/>
      </c>
      <c r="K139" s="25">
        <f>IFERROR(IF(INDEX('Faculties'!$N$91:$N$111,MATCH($F139,'Faculties'!$B$91:$B$111,0))="","Cell will autofill based on response",INDEX('Faculties'!$N$91:$N$111,MATCH($F139,'Faculties'!$B$91:$B$111,0))),"N/A")</f>
        <v/>
      </c>
      <c r="L139" s="25">
        <f>IFERROR(IF(INDEX('CI&amp;S'!$N$10:$N$15,MATCH($F139,'CI&amp;S'!$B$10:$B$15,0))="","Cell will autofill based on response",INDEX('CI&amp;S'!$N$10:$N$15,MATCH($F139,'CI&amp;S'!$B$10:$B$15,0))),"N/A")</f>
        <v/>
      </c>
      <c r="M139" s="25">
        <f>IFERROR(IF(INDEX('CI&amp;S'!$N$22:$N$39,MATCH($F139,'CI&amp;S'!$B$22:$B$39,0))="","Cell will autofill based on response",INDEX('CI&amp;S'!$N$22:$N$39,MATCH($F139,'CI&amp;S'!$B$22:$B$39,0))),"N/A")</f>
        <v/>
      </c>
      <c r="N139" s="25">
        <f>IFERROR(IF(INDEX('CFOG'!$N$10:$N$16,MATCH($F139,'CFOG'!$B$10:$B$16,0))="","Cell will autofill based on response",INDEX('CFOG'!$N$10:$N$16,MATCH($F139,'CFOG'!$B$10:$B$16,0))),"N/A")</f>
        <v/>
      </c>
      <c r="O139" s="25">
        <f>IFERROR(IF(INDEX('CFOG'!$N$23:$N$24,MATCH($F139,'CFOG'!$B$23:$B$24,0))="","Cell will autofill based on response",INDEX('CFOG'!$N$23:$N$24,MATCH($F139,'CFOG'!$B$23:$B$24,0))),"N/A")</f>
        <v/>
      </c>
      <c r="P139" s="25">
        <f>IFERROR(IF(INDEX('ESG'!$N$10:$N$17,MATCH($F139,'ESG'!$B$10:$B$17,0))="","Cell will autofill based on response",INDEX('ESG'!$N$10:$N$17,MATCH($F139,'ESG'!$B$10:$B$17,0))),"N/A")</f>
        <v/>
      </c>
      <c r="Q139" s="25">
        <f>IFERROR(IF(INDEX('CIOG'!$N$10:$N$14,MATCH($F139,'CIOG'!$B$10:$B$14,0))="","Cell will autofill based on response",INDEX('CIOG'!$N$10:$N$14,MATCH($F139,'CIOG'!$B$10:$B$14,0))),"N/A")</f>
        <v/>
      </c>
      <c r="R139" s="25">
        <f>IFERROR(IF(INDEX('MRE'!$N$10:$N$12,MATCH($F139,'MRE'!$B$10:$B$12,0))="","Cell will autofill based on response",INDEX('MRE'!$N$10:$N$12,MATCH($F139,'MRE'!$B$10:$B$12,0))),"N/A")</f>
        <v/>
      </c>
      <c r="S139" s="25">
        <f>IFERROR(IF(INDEX('L&amp;R'!$N$10:$N$11,MATCH($F139,'L&amp;R'!$B$10:$B$11,0))="","Cell will autofill based on response",INDEX('L&amp;R'!$N$10:$N$11,MATCH($F139,'L&amp;R'!$B$10:$B$11,0))),"N/A")</f>
        <v/>
      </c>
    </row>
    <row r="140">
      <c r="A140">
        <f>F140&amp;"|"&amp;G140</f>
        <v/>
      </c>
      <c r="B140" s="29" t="inlineStr"/>
      <c r="C140" s="8" t="inlineStr"/>
      <c r="D140" s="8" t="inlineStr"/>
      <c r="E140" s="8" t="inlineStr"/>
      <c r="F140" s="8" t="inlineStr">
        <is>
          <t>CL2(c)</t>
        </is>
      </c>
      <c r="G140" s="8" t="inlineStr">
        <is>
          <t>Supporting information/comments</t>
        </is>
      </c>
      <c r="H140" s="25">
        <f>IFERROR(IF(INDEX('Faculties'!$O$10:$O$30,MATCH($F140,'Faculties'!$B$10:$B$30,0))="","Cell will autofill based on response",INDEX('Faculties'!$O$10:$O$30,MATCH($F140,'Faculties'!$B$10:$B$30,0))),"N/A")</f>
        <v/>
      </c>
      <c r="I140" s="25">
        <f>IFERROR(IF(INDEX('Faculties'!$O$37:$O$57,MATCH($F140,'Faculties'!$B$37:$B$57,0))="","Cell will autofill based on response",INDEX('Faculties'!$O$37:$O$57,MATCH($F140,'Faculties'!$B$37:$B$57,0))),"N/A")</f>
        <v/>
      </c>
      <c r="J140" s="25">
        <f>IFERROR(IF(INDEX('Faculties'!$O$64:$O$84,MATCH($F140,'Faculties'!$B$64:$B$84,0))="","Cell will autofill based on response",INDEX('Faculties'!$O$64:$O$84,MATCH($F140,'Faculties'!$B$64:$B$84,0))),"N/A")</f>
        <v/>
      </c>
      <c r="K140" s="25">
        <f>IFERROR(IF(INDEX('Faculties'!$O$91:$O$111,MATCH($F140,'Faculties'!$B$91:$B$111,0))="","Cell will autofill based on response",INDEX('Faculties'!$O$91:$O$111,MATCH($F140,'Faculties'!$B$91:$B$111,0))),"N/A")</f>
        <v/>
      </c>
      <c r="L140" s="25">
        <f>IFERROR(IF(INDEX('CI&amp;S'!$O$10:$O$15,MATCH($F140,'CI&amp;S'!$B$10:$B$15,0))="","Cell will autofill based on response",INDEX('CI&amp;S'!$O$10:$O$15,MATCH($F140,'CI&amp;S'!$B$10:$B$15,0))),"N/A")</f>
        <v/>
      </c>
      <c r="M140" s="25">
        <f>IFERROR(IF(INDEX('CI&amp;S'!$O$22:$O$39,MATCH($F140,'CI&amp;S'!$B$22:$B$39,0))="","Cell will autofill based on response",INDEX('CI&amp;S'!$O$22:$O$39,MATCH($F140,'CI&amp;S'!$B$22:$B$39,0))),"N/A")</f>
        <v/>
      </c>
      <c r="N140" s="25">
        <f>IFERROR(IF(INDEX('CFOG'!$O$10:$O$16,MATCH($F140,'CFOG'!$B$10:$B$16,0))="","Cell will autofill based on response",INDEX('CFOG'!$O$10:$O$16,MATCH($F140,'CFOG'!$B$10:$B$16,0))),"N/A")</f>
        <v/>
      </c>
      <c r="O140" s="25">
        <f>IFERROR(IF(INDEX('CFOG'!$O$23:$O$24,MATCH($F140,'CFOG'!$B$23:$B$24,0))="","Cell will autofill based on response",INDEX('CFOG'!$O$23:$O$24,MATCH($F140,'CFOG'!$B$23:$B$24,0))),"N/A")</f>
        <v/>
      </c>
      <c r="P140" s="25">
        <f>IFERROR(IF(INDEX('ESG'!$O$10:$O$17,MATCH($F140,'ESG'!$B$10:$B$17,0))="","Cell will autofill based on response",INDEX('ESG'!$O$10:$O$17,MATCH($F140,'ESG'!$B$10:$B$17,0))),"N/A")</f>
        <v/>
      </c>
      <c r="Q140" s="25">
        <f>IFERROR(IF(INDEX('CIOG'!$O$10:$O$14,MATCH($F140,'CIOG'!$B$10:$B$14,0))="","Cell will autofill based on response",INDEX('CIOG'!$O$10:$O$14,MATCH($F140,'CIOG'!$B$10:$B$14,0))),"N/A")</f>
        <v/>
      </c>
      <c r="R140" s="25">
        <f>IFERROR(IF(INDEX('MRE'!$O$10:$O$12,MATCH($F140,'MRE'!$B$10:$B$12,0))="","Cell will autofill based on response",INDEX('MRE'!$O$10:$O$12,MATCH($F140,'MRE'!$B$10:$B$12,0))),"N/A")</f>
        <v/>
      </c>
      <c r="S140" s="25">
        <f>IFERROR(IF(INDEX('L&amp;R'!$O$10:$O$11,MATCH($F140,'L&amp;R'!$B$10:$B$11,0))="","Cell will autofill based on response",INDEX('L&amp;R'!$O$10:$O$11,MATCH($F140,'L&amp;R'!$B$10:$B$11,0))),"N/A")</f>
        <v/>
      </c>
    </row>
    <row r="141">
      <c r="A141">
        <f>F141&amp;"|"&amp;G141</f>
        <v/>
      </c>
      <c r="B141" s="29" t="inlineStr"/>
      <c r="C141" s="8" t="inlineStr"/>
      <c r="D141" s="8" t="inlineStr"/>
      <c r="E141" s="8" t="inlineStr"/>
      <c r="F141" s="8" t="inlineStr">
        <is>
          <t>CL2(c)</t>
        </is>
      </c>
      <c r="G141" s="8" t="inlineStr">
        <is>
          <t>Data source and limitations</t>
        </is>
      </c>
      <c r="H141" s="25">
        <f>IFERROR(IF(INDEX('Faculties'!$P$10:$P$30,MATCH($F141,'Faculties'!$B$10:$B$30,0))="","Cell will autofill based on response",INDEX('Faculties'!$P$10:$P$30,MATCH($F141,'Faculties'!$B$10:$B$30,0))),"N/A")</f>
        <v/>
      </c>
      <c r="I141" s="25">
        <f>IFERROR(IF(INDEX('Faculties'!$P$37:$P$57,MATCH($F141,'Faculties'!$B$37:$B$57,0))="","Cell will autofill based on response",INDEX('Faculties'!$P$37:$P$57,MATCH($F141,'Faculties'!$B$37:$B$57,0))),"N/A")</f>
        <v/>
      </c>
      <c r="J141" s="25">
        <f>IFERROR(IF(INDEX('Faculties'!$P$64:$P$84,MATCH($F141,'Faculties'!$B$64:$B$84,0))="","Cell will autofill based on response",INDEX('Faculties'!$P$64:$P$84,MATCH($F141,'Faculties'!$B$64:$B$84,0))),"N/A")</f>
        <v/>
      </c>
      <c r="K141" s="25">
        <f>IFERROR(IF(INDEX('Faculties'!$P$91:$P$111,MATCH($F141,'Faculties'!$B$91:$B$111,0))="","Cell will autofill based on response",INDEX('Faculties'!$P$91:$P$111,MATCH($F141,'Faculties'!$B$91:$B$111,0))),"N/A")</f>
        <v/>
      </c>
      <c r="L141" s="25">
        <f>IFERROR(IF(INDEX('CI&amp;S'!$P$10:$P$15,MATCH($F141,'CI&amp;S'!$B$10:$B$15,0))="","Cell will autofill based on response",INDEX('CI&amp;S'!$P$10:$P$15,MATCH($F141,'CI&amp;S'!$B$10:$B$15,0))),"N/A")</f>
        <v/>
      </c>
      <c r="M141" s="25">
        <f>IFERROR(IF(INDEX('CI&amp;S'!$P$22:$P$39,MATCH($F141,'CI&amp;S'!$B$22:$B$39,0))="","Cell will autofill based on response",INDEX('CI&amp;S'!$P$22:$P$39,MATCH($F141,'CI&amp;S'!$B$22:$B$39,0))),"N/A")</f>
        <v/>
      </c>
      <c r="N141" s="25">
        <f>IFERROR(IF(INDEX('CFOG'!$P$10:$P$16,MATCH($F141,'CFOG'!$B$10:$B$16,0))="","Cell will autofill based on response",INDEX('CFOG'!$P$10:$P$16,MATCH($F141,'CFOG'!$B$10:$B$16,0))),"N/A")</f>
        <v/>
      </c>
      <c r="O141" s="25">
        <f>IFERROR(IF(INDEX('CFOG'!$P$23:$P$24,MATCH($F141,'CFOG'!$B$23:$B$24,0))="","Cell will autofill based on response",INDEX('CFOG'!$P$23:$P$24,MATCH($F141,'CFOG'!$B$23:$B$24,0))),"N/A")</f>
        <v/>
      </c>
      <c r="P141" s="25">
        <f>IFERROR(IF(INDEX('ESG'!$P$10:$P$17,MATCH($F141,'ESG'!$B$10:$B$17,0))="","Cell will autofill based on response",INDEX('ESG'!$P$10:$P$17,MATCH($F141,'ESG'!$B$10:$B$17,0))),"N/A")</f>
        <v/>
      </c>
      <c r="Q141" s="25">
        <f>IFERROR(IF(INDEX('CIOG'!$P$10:$P$14,MATCH($F141,'CIOG'!$B$10:$B$14,0))="","Cell will autofill based on response",INDEX('CIOG'!$P$10:$P$14,MATCH($F141,'CIOG'!$B$10:$B$14,0))),"N/A")</f>
        <v/>
      </c>
      <c r="R141" s="25">
        <f>IFERROR(IF(INDEX('MRE'!$P$10:$P$12,MATCH($F141,'MRE'!$B$10:$B$12,0))="","Cell will autofill based on response",INDEX('MRE'!$P$10:$P$12,MATCH($F141,'MRE'!$B$10:$B$12,0))),"N/A")</f>
        <v/>
      </c>
      <c r="S141" s="25">
        <f>IFERROR(IF(INDEX('L&amp;R'!$P$10:$P$11,MATCH($F141,'L&amp;R'!$B$10:$B$11,0))="","Cell will autofill based on response",INDEX('L&amp;R'!$P$10:$P$11,MATCH($F141,'L&amp;R'!$B$10:$B$11,0))),"N/A")</f>
        <v/>
      </c>
    </row>
    <row r="142">
      <c r="A142">
        <f>F142&amp;"|"&amp;G142</f>
        <v/>
      </c>
      <c r="B142" s="29" t="inlineStr"/>
      <c r="C142" s="8" t="inlineStr"/>
      <c r="D142" s="8" t="inlineStr"/>
      <c r="E142" s="8" t="inlineStr"/>
      <c r="F142" s="8" t="inlineStr">
        <is>
          <t>CL2(c)</t>
        </is>
      </c>
      <c r="G142" s="8" t="inlineStr">
        <is>
          <t>Data owner confirms</t>
        </is>
      </c>
      <c r="H142" s="25">
        <f>IFERROR(IF(INDEX('Faculties'!$Q$10:$Q$30,MATCH($F142,'Faculties'!$B$10:$B$30,0))="","Cell will autofill based on response",INDEX('Faculties'!$Q$10:$Q$30,MATCH($F142,'Faculties'!$B$10:$B$30,0))),"N/A")</f>
        <v/>
      </c>
      <c r="I142" s="25">
        <f>IFERROR(IF(INDEX('Faculties'!$Q$37:$Q$57,MATCH($F142,'Faculties'!$B$37:$B$57,0))="","Cell will autofill based on response",INDEX('Faculties'!$Q$37:$Q$57,MATCH($F142,'Faculties'!$B$37:$B$57,0))),"N/A")</f>
        <v/>
      </c>
      <c r="J142" s="25">
        <f>IFERROR(IF(INDEX('Faculties'!$Q$64:$Q$84,MATCH($F142,'Faculties'!$B$64:$B$84,0))="","Cell will autofill based on response",INDEX('Faculties'!$Q$64:$Q$84,MATCH($F142,'Faculties'!$B$64:$B$84,0))),"N/A")</f>
        <v/>
      </c>
      <c r="K142" s="25">
        <f>IFERROR(IF(INDEX('Faculties'!$Q$91:$Q$111,MATCH($F142,'Faculties'!$B$91:$B$111,0))="","Cell will autofill based on response",INDEX('Faculties'!$Q$91:$Q$111,MATCH($F142,'Faculties'!$B$91:$B$111,0))),"N/A")</f>
        <v/>
      </c>
      <c r="L142" s="25">
        <f>IFERROR(IF(INDEX('CI&amp;S'!$Q$10:$Q$15,MATCH($F142,'CI&amp;S'!$B$10:$B$15,0))="","Cell will autofill based on response",INDEX('CI&amp;S'!$Q$10:$Q$15,MATCH($F142,'CI&amp;S'!$B$10:$B$15,0))),"N/A")</f>
        <v/>
      </c>
      <c r="M142" s="25">
        <f>IFERROR(IF(INDEX('CI&amp;S'!$Q$22:$Q$39,MATCH($F142,'CI&amp;S'!$B$22:$B$39,0))="","Cell will autofill based on response",INDEX('CI&amp;S'!$Q$22:$Q$39,MATCH($F142,'CI&amp;S'!$B$22:$B$39,0))),"N/A")</f>
        <v/>
      </c>
      <c r="N142" s="25">
        <f>IFERROR(IF(INDEX('CFOG'!$Q$10:$Q$16,MATCH($F142,'CFOG'!$B$10:$B$16,0))="","Cell will autofill based on response",INDEX('CFOG'!$Q$10:$Q$16,MATCH($F142,'CFOG'!$B$10:$B$16,0))),"N/A")</f>
        <v/>
      </c>
      <c r="O142" s="25">
        <f>IFERROR(IF(INDEX('CFOG'!$Q$23:$Q$24,MATCH($F142,'CFOG'!$B$23:$B$24,0))="","Cell will autofill based on response",INDEX('CFOG'!$Q$23:$Q$24,MATCH($F142,'CFOG'!$B$23:$B$24,0))),"N/A")</f>
        <v/>
      </c>
      <c r="P142" s="25">
        <f>IFERROR(IF(INDEX('ESG'!$Q$10:$Q$17,MATCH($F142,'ESG'!$B$10:$B$17,0))="","Cell will autofill based on response",INDEX('ESG'!$Q$10:$Q$17,MATCH($F142,'ESG'!$B$10:$B$17,0))),"N/A")</f>
        <v/>
      </c>
      <c r="Q142" s="25">
        <f>IFERROR(IF(INDEX('CIOG'!$Q$10:$Q$14,MATCH($F142,'CIOG'!$B$10:$B$14,0))="","Cell will autofill based on response",INDEX('CIOG'!$Q$10:$Q$14,MATCH($F142,'CIOG'!$B$10:$B$14,0))),"N/A")</f>
        <v/>
      </c>
      <c r="R142" s="25">
        <f>IFERROR(IF(INDEX('MRE'!$Q$10:$Q$12,MATCH($F142,'MRE'!$B$10:$B$12,0))="","Cell will autofill based on response",INDEX('MRE'!$Q$10:$Q$12,MATCH($F142,'MRE'!$B$10:$B$12,0))),"N/A")</f>
        <v/>
      </c>
      <c r="S142" s="25">
        <f>IFERROR(IF(INDEX('L&amp;R'!$Q$10:$Q$11,MATCH($F142,'L&amp;R'!$B$10:$B$11,0))="","Cell will autofill based on response",INDEX('L&amp;R'!$Q$10:$Q$11,MATCH($F142,'L&amp;R'!$B$10:$B$11,0))),"N/A")</f>
        <v/>
      </c>
    </row>
    <row r="143">
      <c r="A143">
        <f>F143&amp;"|"&amp;G143</f>
        <v/>
      </c>
      <c r="B143" s="7" t="inlineStr">
        <is>
          <t>CL3(a)</t>
        </is>
      </c>
      <c r="C143" s="12" t="inlineStr">
        <is>
          <t>Climate leadership</t>
        </is>
      </c>
      <c r="D143"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43" s="12" t="inlineStr">
        <is>
          <t>Provide update of University maturity assesment. Include maturity ratings, key gaps and priority improvement actions.when available</t>
        </is>
      </c>
      <c r="F143" s="12" t="inlineStr">
        <is>
          <t>CL3(a)</t>
        </is>
      </c>
      <c r="G143" s="12" t="inlineStr">
        <is>
          <t>Confirm end-2026 target status</t>
        </is>
      </c>
      <c r="H143" s="25">
        <f>IFERROR(IF(INDEX('Faculties'!$L$10:$L$30,MATCH($F143,'Faculties'!$B$10:$B$30,0))="","Cell will autofill based on response",INDEX('Faculties'!$L$10:$L$30,MATCH($F143,'Faculties'!$B$10:$B$30,0))),"N/A")</f>
        <v/>
      </c>
      <c r="I143" s="25">
        <f>IFERROR(IF(INDEX('Faculties'!$L$37:$L$57,MATCH($F143,'Faculties'!$B$37:$B$57,0))="","Cell will autofill based on response",INDEX('Faculties'!$L$37:$L$57,MATCH($F143,'Faculties'!$B$37:$B$57,0))),"N/A")</f>
        <v/>
      </c>
      <c r="J143" s="25">
        <f>IFERROR(IF(INDEX('Faculties'!$L$64:$L$84,MATCH($F143,'Faculties'!$B$64:$B$84,0))="","Cell will autofill based on response",INDEX('Faculties'!$L$64:$L$84,MATCH($F143,'Faculties'!$B$64:$B$84,0))),"N/A")</f>
        <v/>
      </c>
      <c r="K143" s="25">
        <f>IFERROR(IF(INDEX('Faculties'!$L$91:$L$111,MATCH($F143,'Faculties'!$B$91:$B$111,0))="","Cell will autofill based on response",INDEX('Faculties'!$L$91:$L$111,MATCH($F143,'Faculties'!$B$91:$B$111,0))),"N/A")</f>
        <v/>
      </c>
      <c r="L143" s="25">
        <f>IFERROR(IF(INDEX('CI&amp;S'!$L$10:$L$15,MATCH($F143,'CI&amp;S'!$B$10:$B$15,0))="","Cell will autofill based on response",INDEX('CI&amp;S'!$L$10:$L$15,MATCH($F143,'CI&amp;S'!$B$10:$B$15,0))),"N/A")</f>
        <v/>
      </c>
      <c r="M143" s="25">
        <f>IFERROR(IF(INDEX('CI&amp;S'!$L$22:$L$39,MATCH($F143,'CI&amp;S'!$B$22:$B$39,0))="","Cell will autofill based on response",INDEX('CI&amp;S'!$L$22:$L$39,MATCH($F143,'CI&amp;S'!$B$22:$B$39,0))),"N/A")</f>
        <v/>
      </c>
      <c r="N143" s="25">
        <f>IFERROR(IF(INDEX('CFOG'!$L$10:$L$16,MATCH($F143,'CFOG'!$B$10:$B$16,0))="","Cell will autofill based on response",INDEX('CFOG'!$L$10:$L$16,MATCH($F143,'CFOG'!$B$10:$B$16,0))),"N/A")</f>
        <v/>
      </c>
      <c r="O143" s="25">
        <f>IFERROR(IF(INDEX('CFOG'!$L$23:$L$24,MATCH($F143,'CFOG'!$B$23:$B$24,0))="","Cell will autofill based on response",INDEX('CFOG'!$L$23:$L$24,MATCH($F143,'CFOG'!$B$23:$B$24,0))),"N/A")</f>
        <v/>
      </c>
      <c r="P143" s="25">
        <f>IFERROR(IF(INDEX('ESG'!$L$10:$L$17,MATCH($F143,'ESG'!$B$10:$B$17,0))="","Cell will autofill based on response",INDEX('ESG'!$L$10:$L$17,MATCH($F143,'ESG'!$B$10:$B$17,0))),"N/A")</f>
        <v/>
      </c>
      <c r="Q143" s="25">
        <f>IFERROR(IF(INDEX('CIOG'!$L$10:$L$14,MATCH($F143,'CIOG'!$B$10:$B$14,0))="","Cell will autofill based on response",INDEX('CIOG'!$L$10:$L$14,MATCH($F143,'CIOG'!$B$10:$B$14,0))),"N/A")</f>
        <v/>
      </c>
      <c r="R143" s="25">
        <f>IFERROR(IF(INDEX('MRE'!$L$10:$L$12,MATCH($F143,'MRE'!$B$10:$B$12,0))="","Cell will autofill based on response",INDEX('MRE'!$L$10:$L$12,MATCH($F143,'MRE'!$B$10:$B$12,0))),"N/A")</f>
        <v/>
      </c>
      <c r="S143" s="25">
        <f>IFERROR(IF(INDEX('L&amp;R'!$L$10:$L$11,MATCH($F143,'L&amp;R'!$B$10:$B$11,0))="","Cell will autofill based on response",INDEX('L&amp;R'!$L$10:$L$11,MATCH($F143,'L&amp;R'!$B$10:$B$11,0))),"N/A")</f>
        <v/>
      </c>
      <c r="U143" s="26">
        <f>COUNTIF($H143:$S143,"Cell will autofill based on response")</f>
        <v/>
      </c>
      <c r="V143" s="26">
        <f>COUNTIF($H143:$S143,"Not yet started")</f>
        <v/>
      </c>
      <c r="W143" s="26">
        <f>COUNTIF($H143:$S143,"Not met")</f>
        <v/>
      </c>
      <c r="X143" s="26">
        <f>COUNTIF($H143:$S143,"Partially met")</f>
        <v/>
      </c>
      <c r="Y143" s="26">
        <f>COUNTIF($H143:$S143,"Met or exceeded")</f>
        <v/>
      </c>
      <c r="Z143" s="26">
        <f>3*Y143+2*X143+W143</f>
        <v/>
      </c>
      <c r="AA143" s="26">
        <f>Y143+X143+W143+V143</f>
        <v/>
      </c>
      <c r="AB143" s="27">
        <f>IF(AA143&gt;0,Z143/AA143,"No valid responses to date")</f>
        <v/>
      </c>
      <c r="AC143" s="26">
        <f>IF(ISNUMBER(AB143),INDEX(Lists!$G$2:$G$5,MATCH(ROUND(AB143,0),Lists!$H$2:$H$5,0)),"")</f>
        <v/>
      </c>
      <c r="AD143" s="28">
        <f>IF(AA143&gt;0,Y143/AA143,"")</f>
        <v/>
      </c>
      <c r="AE143" s="28">
        <f>IF(AA143&gt;0,(Y143+X143)/AA143,"")</f>
        <v/>
      </c>
      <c r="AF143" s="26">
        <f>IF(AA143=0,"",IF(AD143&gt;0.75,"Met or exceeded",IF(AE143&gt;=0.5,"Partially met","Not met")))</f>
        <v/>
      </c>
    </row>
    <row r="144">
      <c r="A144">
        <f>F144&amp;"|"&amp;G144</f>
        <v/>
      </c>
      <c r="B144" s="29" t="inlineStr"/>
      <c r="C144" s="8" t="inlineStr"/>
      <c r="D144" s="8" t="inlineStr"/>
      <c r="E144" s="8" t="inlineStr"/>
      <c r="F144" s="8" t="inlineStr">
        <is>
          <t>CL3(a)</t>
        </is>
      </c>
      <c r="G144" s="8" t="inlineStr">
        <is>
          <t>OPTION 1:  Target-level reporting</t>
        </is>
      </c>
      <c r="H144" s="25">
        <f>IFERROR(IF(INDEX('Faculties'!$M$10:$M$30,MATCH($F144,'Faculties'!$B$10:$B$30,0))="","Cell will autofill based on response",INDEX('Faculties'!$M$10:$M$30,MATCH($F144,'Faculties'!$B$10:$B$30,0))),"N/A")</f>
        <v/>
      </c>
      <c r="I144" s="25">
        <f>IFERROR(IF(INDEX('Faculties'!$M$37:$M$57,MATCH($F144,'Faculties'!$B$37:$B$57,0))="","Cell will autofill based on response",INDEX('Faculties'!$M$37:$M$57,MATCH($F144,'Faculties'!$B$37:$B$57,0))),"N/A")</f>
        <v/>
      </c>
      <c r="J144" s="25">
        <f>IFERROR(IF(INDEX('Faculties'!$M$64:$M$84,MATCH($F144,'Faculties'!$B$64:$B$84,0))="","Cell will autofill based on response",INDEX('Faculties'!$M$64:$M$84,MATCH($F144,'Faculties'!$B$64:$B$84,0))),"N/A")</f>
        <v/>
      </c>
      <c r="K144" s="25">
        <f>IFERROR(IF(INDEX('Faculties'!$M$91:$M$111,MATCH($F144,'Faculties'!$B$91:$B$111,0))="","Cell will autofill based on response",INDEX('Faculties'!$M$91:$M$111,MATCH($F144,'Faculties'!$B$91:$B$111,0))),"N/A")</f>
        <v/>
      </c>
      <c r="L144" s="25">
        <f>IFERROR(IF(INDEX('CI&amp;S'!$M$10:$M$15,MATCH($F144,'CI&amp;S'!$B$10:$B$15,0))="","Cell will autofill based on response",INDEX('CI&amp;S'!$M$10:$M$15,MATCH($F144,'CI&amp;S'!$B$10:$B$15,0))),"N/A")</f>
        <v/>
      </c>
      <c r="M144" s="25">
        <f>IFERROR(IF(INDEX('CI&amp;S'!$M$22:$M$39,MATCH($F144,'CI&amp;S'!$B$22:$B$39,0))="","Cell will autofill based on response",INDEX('CI&amp;S'!$M$22:$M$39,MATCH($F144,'CI&amp;S'!$B$22:$B$39,0))),"N/A")</f>
        <v/>
      </c>
      <c r="N144" s="25">
        <f>IFERROR(IF(INDEX('CFOG'!$M$10:$M$16,MATCH($F144,'CFOG'!$B$10:$B$16,0))="","Cell will autofill based on response",INDEX('CFOG'!$M$10:$M$16,MATCH($F144,'CFOG'!$B$10:$B$16,0))),"N/A")</f>
        <v/>
      </c>
      <c r="O144" s="25">
        <f>IFERROR(IF(INDEX('CFOG'!$M$23:$M$24,MATCH($F144,'CFOG'!$B$23:$B$24,0))="","Cell will autofill based on response",INDEX('CFOG'!$M$23:$M$24,MATCH($F144,'CFOG'!$B$23:$B$24,0))),"N/A")</f>
        <v/>
      </c>
      <c r="P144" s="25">
        <f>IFERROR(IF(INDEX('ESG'!$M$10:$M$17,MATCH($F144,'ESG'!$B$10:$B$17,0))="","Cell will autofill based on response",INDEX('ESG'!$M$10:$M$17,MATCH($F144,'ESG'!$B$10:$B$17,0))),"N/A")</f>
        <v/>
      </c>
      <c r="Q144" s="25">
        <f>IFERROR(IF(INDEX('CIOG'!$M$10:$M$14,MATCH($F144,'CIOG'!$B$10:$B$14,0))="","Cell will autofill based on response",INDEX('CIOG'!$M$10:$M$14,MATCH($F144,'CIOG'!$B$10:$B$14,0))),"N/A")</f>
        <v/>
      </c>
      <c r="R144" s="25">
        <f>IFERROR(IF(INDEX('MRE'!$M$10:$M$12,MATCH($F144,'MRE'!$B$10:$B$12,0))="","Cell will autofill based on response",INDEX('MRE'!$M$10:$M$12,MATCH($F144,'MRE'!$B$10:$B$12,0))),"N/A")</f>
        <v/>
      </c>
      <c r="S144" s="25">
        <f>IFERROR(IF(INDEX('L&amp;R'!$M$10:$M$11,MATCH($F144,'L&amp;R'!$B$10:$B$11,0))="","Cell will autofill based on response",INDEX('L&amp;R'!$M$10:$M$11,MATCH($F144,'L&amp;R'!$B$10:$B$11,0))),"N/A")</f>
        <v/>
      </c>
    </row>
    <row r="145">
      <c r="A145">
        <f>F145&amp;"|"&amp;G145</f>
        <v/>
      </c>
      <c r="B145" s="29" t="inlineStr"/>
      <c r="C145" s="8" t="inlineStr"/>
      <c r="D145" s="8" t="inlineStr"/>
      <c r="E145" s="8" t="inlineStr"/>
      <c r="F145" s="8" t="inlineStr">
        <is>
          <t>CL3(a)</t>
        </is>
      </c>
      <c r="G145" s="8" t="inlineStr">
        <is>
          <t>OPTION 2:  Indicator level reporting</t>
        </is>
      </c>
      <c r="H145" s="25">
        <f>IFERROR(IF(INDEX('Faculties'!$N$10:$N$30,MATCH($F145,'Faculties'!$B$10:$B$30,0))="","Cell will autofill based on response",INDEX('Faculties'!$N$10:$N$30,MATCH($F145,'Faculties'!$B$10:$B$30,0))),"N/A")</f>
        <v/>
      </c>
      <c r="I145" s="25">
        <f>IFERROR(IF(INDEX('Faculties'!$N$37:$N$57,MATCH($F145,'Faculties'!$B$37:$B$57,0))="","Cell will autofill based on response",INDEX('Faculties'!$N$37:$N$57,MATCH($F145,'Faculties'!$B$37:$B$57,0))),"N/A")</f>
        <v/>
      </c>
      <c r="J145" s="25">
        <f>IFERROR(IF(INDEX('Faculties'!$N$64:$N$84,MATCH($F145,'Faculties'!$B$64:$B$84,0))="","Cell will autofill based on response",INDEX('Faculties'!$N$64:$N$84,MATCH($F145,'Faculties'!$B$64:$B$84,0))),"N/A")</f>
        <v/>
      </c>
      <c r="K145" s="25">
        <f>IFERROR(IF(INDEX('Faculties'!$N$91:$N$111,MATCH($F145,'Faculties'!$B$91:$B$111,0))="","Cell will autofill based on response",INDEX('Faculties'!$N$91:$N$111,MATCH($F145,'Faculties'!$B$91:$B$111,0))),"N/A")</f>
        <v/>
      </c>
      <c r="L145" s="25">
        <f>IFERROR(IF(INDEX('CI&amp;S'!$N$10:$N$15,MATCH($F145,'CI&amp;S'!$B$10:$B$15,0))="","Cell will autofill based on response",INDEX('CI&amp;S'!$N$10:$N$15,MATCH($F145,'CI&amp;S'!$B$10:$B$15,0))),"N/A")</f>
        <v/>
      </c>
      <c r="M145" s="25">
        <f>IFERROR(IF(INDEX('CI&amp;S'!$N$22:$N$39,MATCH($F145,'CI&amp;S'!$B$22:$B$39,0))="","Cell will autofill based on response",INDEX('CI&amp;S'!$N$22:$N$39,MATCH($F145,'CI&amp;S'!$B$22:$B$39,0))),"N/A")</f>
        <v/>
      </c>
      <c r="N145" s="25">
        <f>IFERROR(IF(INDEX('CFOG'!$N$10:$N$16,MATCH($F145,'CFOG'!$B$10:$B$16,0))="","Cell will autofill based on response",INDEX('CFOG'!$N$10:$N$16,MATCH($F145,'CFOG'!$B$10:$B$16,0))),"N/A")</f>
        <v/>
      </c>
      <c r="O145" s="25">
        <f>IFERROR(IF(INDEX('CFOG'!$N$23:$N$24,MATCH($F145,'CFOG'!$B$23:$B$24,0))="","Cell will autofill based on response",INDEX('CFOG'!$N$23:$N$24,MATCH($F145,'CFOG'!$B$23:$B$24,0))),"N/A")</f>
        <v/>
      </c>
      <c r="P145" s="25">
        <f>IFERROR(IF(INDEX('ESG'!$N$10:$N$17,MATCH($F145,'ESG'!$B$10:$B$17,0))="","Cell will autofill based on response",INDEX('ESG'!$N$10:$N$17,MATCH($F145,'ESG'!$B$10:$B$17,0))),"N/A")</f>
        <v/>
      </c>
      <c r="Q145" s="25">
        <f>IFERROR(IF(INDEX('CIOG'!$N$10:$N$14,MATCH($F145,'CIOG'!$B$10:$B$14,0))="","Cell will autofill based on response",INDEX('CIOG'!$N$10:$N$14,MATCH($F145,'CIOG'!$B$10:$B$14,0))),"N/A")</f>
        <v/>
      </c>
      <c r="R145" s="25">
        <f>IFERROR(IF(INDEX('MRE'!$N$10:$N$12,MATCH($F145,'MRE'!$B$10:$B$12,0))="","Cell will autofill based on response",INDEX('MRE'!$N$10:$N$12,MATCH($F145,'MRE'!$B$10:$B$12,0))),"N/A")</f>
        <v/>
      </c>
      <c r="S145" s="25">
        <f>IFERROR(IF(INDEX('L&amp;R'!$N$10:$N$11,MATCH($F145,'L&amp;R'!$B$10:$B$11,0))="","Cell will autofill based on response",INDEX('L&amp;R'!$N$10:$N$11,MATCH($F145,'L&amp;R'!$B$10:$B$11,0))),"N/A")</f>
        <v/>
      </c>
    </row>
    <row r="146">
      <c r="A146">
        <f>F146&amp;"|"&amp;G146</f>
        <v/>
      </c>
      <c r="B146" s="29" t="inlineStr"/>
      <c r="C146" s="8" t="inlineStr"/>
      <c r="D146" s="8" t="inlineStr"/>
      <c r="E146" s="8" t="inlineStr"/>
      <c r="F146" s="8" t="inlineStr">
        <is>
          <t>CL3(a)</t>
        </is>
      </c>
      <c r="G146" s="8" t="inlineStr">
        <is>
          <t>Supporting information/comments</t>
        </is>
      </c>
      <c r="H146" s="25">
        <f>IFERROR(IF(INDEX('Faculties'!$O$10:$O$30,MATCH($F146,'Faculties'!$B$10:$B$30,0))="","Cell will autofill based on response",INDEX('Faculties'!$O$10:$O$30,MATCH($F146,'Faculties'!$B$10:$B$30,0))),"N/A")</f>
        <v/>
      </c>
      <c r="I146" s="25">
        <f>IFERROR(IF(INDEX('Faculties'!$O$37:$O$57,MATCH($F146,'Faculties'!$B$37:$B$57,0))="","Cell will autofill based on response",INDEX('Faculties'!$O$37:$O$57,MATCH($F146,'Faculties'!$B$37:$B$57,0))),"N/A")</f>
        <v/>
      </c>
      <c r="J146" s="25">
        <f>IFERROR(IF(INDEX('Faculties'!$O$64:$O$84,MATCH($F146,'Faculties'!$B$64:$B$84,0))="","Cell will autofill based on response",INDEX('Faculties'!$O$64:$O$84,MATCH($F146,'Faculties'!$B$64:$B$84,0))),"N/A")</f>
        <v/>
      </c>
      <c r="K146" s="25">
        <f>IFERROR(IF(INDEX('Faculties'!$O$91:$O$111,MATCH($F146,'Faculties'!$B$91:$B$111,0))="","Cell will autofill based on response",INDEX('Faculties'!$O$91:$O$111,MATCH($F146,'Faculties'!$B$91:$B$111,0))),"N/A")</f>
        <v/>
      </c>
      <c r="L146" s="25">
        <f>IFERROR(IF(INDEX('CI&amp;S'!$O$10:$O$15,MATCH($F146,'CI&amp;S'!$B$10:$B$15,0))="","Cell will autofill based on response",INDEX('CI&amp;S'!$O$10:$O$15,MATCH($F146,'CI&amp;S'!$B$10:$B$15,0))),"N/A")</f>
        <v/>
      </c>
      <c r="M146" s="25">
        <f>IFERROR(IF(INDEX('CI&amp;S'!$O$22:$O$39,MATCH($F146,'CI&amp;S'!$B$22:$B$39,0))="","Cell will autofill based on response",INDEX('CI&amp;S'!$O$22:$O$39,MATCH($F146,'CI&amp;S'!$B$22:$B$39,0))),"N/A")</f>
        <v/>
      </c>
      <c r="N146" s="25">
        <f>IFERROR(IF(INDEX('CFOG'!$O$10:$O$16,MATCH($F146,'CFOG'!$B$10:$B$16,0))="","Cell will autofill based on response",INDEX('CFOG'!$O$10:$O$16,MATCH($F146,'CFOG'!$B$10:$B$16,0))),"N/A")</f>
        <v/>
      </c>
      <c r="O146" s="25">
        <f>IFERROR(IF(INDEX('CFOG'!$O$23:$O$24,MATCH($F146,'CFOG'!$B$23:$B$24,0))="","Cell will autofill based on response",INDEX('CFOG'!$O$23:$O$24,MATCH($F146,'CFOG'!$B$23:$B$24,0))),"N/A")</f>
        <v/>
      </c>
      <c r="P146" s="25">
        <f>IFERROR(IF(INDEX('ESG'!$O$10:$O$17,MATCH($F146,'ESG'!$B$10:$B$17,0))="","Cell will autofill based on response",INDEX('ESG'!$O$10:$O$17,MATCH($F146,'ESG'!$B$10:$B$17,0))),"N/A")</f>
        <v/>
      </c>
      <c r="Q146" s="25">
        <f>IFERROR(IF(INDEX('CIOG'!$O$10:$O$14,MATCH($F146,'CIOG'!$B$10:$B$14,0))="","Cell will autofill based on response",INDEX('CIOG'!$O$10:$O$14,MATCH($F146,'CIOG'!$B$10:$B$14,0))),"N/A")</f>
        <v/>
      </c>
      <c r="R146" s="25">
        <f>IFERROR(IF(INDEX('MRE'!$O$10:$O$12,MATCH($F146,'MRE'!$B$10:$B$12,0))="","Cell will autofill based on response",INDEX('MRE'!$O$10:$O$12,MATCH($F146,'MRE'!$B$10:$B$12,0))),"N/A")</f>
        <v/>
      </c>
      <c r="S146" s="25">
        <f>IFERROR(IF(INDEX('L&amp;R'!$O$10:$O$11,MATCH($F146,'L&amp;R'!$B$10:$B$11,0))="","Cell will autofill based on response",INDEX('L&amp;R'!$O$10:$O$11,MATCH($F146,'L&amp;R'!$B$10:$B$11,0))),"N/A")</f>
        <v/>
      </c>
    </row>
    <row r="147">
      <c r="A147">
        <f>F147&amp;"|"&amp;G147</f>
        <v/>
      </c>
      <c r="B147" s="29" t="inlineStr"/>
      <c r="C147" s="8" t="inlineStr"/>
      <c r="D147" s="8" t="inlineStr"/>
      <c r="E147" s="8" t="inlineStr"/>
      <c r="F147" s="8" t="inlineStr">
        <is>
          <t>CL3(a)</t>
        </is>
      </c>
      <c r="G147" s="8" t="inlineStr">
        <is>
          <t>Data source and limitations</t>
        </is>
      </c>
      <c r="H147" s="25">
        <f>IFERROR(IF(INDEX('Faculties'!$P$10:$P$30,MATCH($F147,'Faculties'!$B$10:$B$30,0))="","Cell will autofill based on response",INDEX('Faculties'!$P$10:$P$30,MATCH($F147,'Faculties'!$B$10:$B$30,0))),"N/A")</f>
        <v/>
      </c>
      <c r="I147" s="25">
        <f>IFERROR(IF(INDEX('Faculties'!$P$37:$P$57,MATCH($F147,'Faculties'!$B$37:$B$57,0))="","Cell will autofill based on response",INDEX('Faculties'!$P$37:$P$57,MATCH($F147,'Faculties'!$B$37:$B$57,0))),"N/A")</f>
        <v/>
      </c>
      <c r="J147" s="25">
        <f>IFERROR(IF(INDEX('Faculties'!$P$64:$P$84,MATCH($F147,'Faculties'!$B$64:$B$84,0))="","Cell will autofill based on response",INDEX('Faculties'!$P$64:$P$84,MATCH($F147,'Faculties'!$B$64:$B$84,0))),"N/A")</f>
        <v/>
      </c>
      <c r="K147" s="25">
        <f>IFERROR(IF(INDEX('Faculties'!$P$91:$P$111,MATCH($F147,'Faculties'!$B$91:$B$111,0))="","Cell will autofill based on response",INDEX('Faculties'!$P$91:$P$111,MATCH($F147,'Faculties'!$B$91:$B$111,0))),"N/A")</f>
        <v/>
      </c>
      <c r="L147" s="25">
        <f>IFERROR(IF(INDEX('CI&amp;S'!$P$10:$P$15,MATCH($F147,'CI&amp;S'!$B$10:$B$15,0))="","Cell will autofill based on response",INDEX('CI&amp;S'!$P$10:$P$15,MATCH($F147,'CI&amp;S'!$B$10:$B$15,0))),"N/A")</f>
        <v/>
      </c>
      <c r="M147" s="25">
        <f>IFERROR(IF(INDEX('CI&amp;S'!$P$22:$P$39,MATCH($F147,'CI&amp;S'!$B$22:$B$39,0))="","Cell will autofill based on response",INDEX('CI&amp;S'!$P$22:$P$39,MATCH($F147,'CI&amp;S'!$B$22:$B$39,0))),"N/A")</f>
        <v/>
      </c>
      <c r="N147" s="25">
        <f>IFERROR(IF(INDEX('CFOG'!$P$10:$P$16,MATCH($F147,'CFOG'!$B$10:$B$16,0))="","Cell will autofill based on response",INDEX('CFOG'!$P$10:$P$16,MATCH($F147,'CFOG'!$B$10:$B$16,0))),"N/A")</f>
        <v/>
      </c>
      <c r="O147" s="25">
        <f>IFERROR(IF(INDEX('CFOG'!$P$23:$P$24,MATCH($F147,'CFOG'!$B$23:$B$24,0))="","Cell will autofill based on response",INDEX('CFOG'!$P$23:$P$24,MATCH($F147,'CFOG'!$B$23:$B$24,0))),"N/A")</f>
        <v/>
      </c>
      <c r="P147" s="25">
        <f>IFERROR(IF(INDEX('ESG'!$P$10:$P$17,MATCH($F147,'ESG'!$B$10:$B$17,0))="","Cell will autofill based on response",INDEX('ESG'!$P$10:$P$17,MATCH($F147,'ESG'!$B$10:$B$17,0))),"N/A")</f>
        <v/>
      </c>
      <c r="Q147" s="25">
        <f>IFERROR(IF(INDEX('CIOG'!$P$10:$P$14,MATCH($F147,'CIOG'!$B$10:$B$14,0))="","Cell will autofill based on response",INDEX('CIOG'!$P$10:$P$14,MATCH($F147,'CIOG'!$B$10:$B$14,0))),"N/A")</f>
        <v/>
      </c>
      <c r="R147" s="25">
        <f>IFERROR(IF(INDEX('MRE'!$P$10:$P$12,MATCH($F147,'MRE'!$B$10:$B$12,0))="","Cell will autofill based on response",INDEX('MRE'!$P$10:$P$12,MATCH($F147,'MRE'!$B$10:$B$12,0))),"N/A")</f>
        <v/>
      </c>
      <c r="S147" s="25">
        <f>IFERROR(IF(INDEX('L&amp;R'!$P$10:$P$11,MATCH($F147,'L&amp;R'!$B$10:$B$11,0))="","Cell will autofill based on response",INDEX('L&amp;R'!$P$10:$P$11,MATCH($F147,'L&amp;R'!$B$10:$B$11,0))),"N/A")</f>
        <v/>
      </c>
    </row>
    <row r="148">
      <c r="A148">
        <f>F148&amp;"|"&amp;G148</f>
        <v/>
      </c>
      <c r="B148" s="29" t="inlineStr"/>
      <c r="C148" s="8" t="inlineStr"/>
      <c r="D148" s="8" t="inlineStr"/>
      <c r="E148" s="8" t="inlineStr"/>
      <c r="F148" s="8" t="inlineStr">
        <is>
          <t>CL3(a)</t>
        </is>
      </c>
      <c r="G148" s="8" t="inlineStr">
        <is>
          <t>Data owner confirms</t>
        </is>
      </c>
      <c r="H148" s="25">
        <f>IFERROR(IF(INDEX('Faculties'!$Q$10:$Q$30,MATCH($F148,'Faculties'!$B$10:$B$30,0))="","Cell will autofill based on response",INDEX('Faculties'!$Q$10:$Q$30,MATCH($F148,'Faculties'!$B$10:$B$30,0))),"N/A")</f>
        <v/>
      </c>
      <c r="I148" s="25">
        <f>IFERROR(IF(INDEX('Faculties'!$Q$37:$Q$57,MATCH($F148,'Faculties'!$B$37:$B$57,0))="","Cell will autofill based on response",INDEX('Faculties'!$Q$37:$Q$57,MATCH($F148,'Faculties'!$B$37:$B$57,0))),"N/A")</f>
        <v/>
      </c>
      <c r="J148" s="25">
        <f>IFERROR(IF(INDEX('Faculties'!$Q$64:$Q$84,MATCH($F148,'Faculties'!$B$64:$B$84,0))="","Cell will autofill based on response",INDEX('Faculties'!$Q$64:$Q$84,MATCH($F148,'Faculties'!$B$64:$B$84,0))),"N/A")</f>
        <v/>
      </c>
      <c r="K148" s="25">
        <f>IFERROR(IF(INDEX('Faculties'!$Q$91:$Q$111,MATCH($F148,'Faculties'!$B$91:$B$111,0))="","Cell will autofill based on response",INDEX('Faculties'!$Q$91:$Q$111,MATCH($F148,'Faculties'!$B$91:$B$111,0))),"N/A")</f>
        <v/>
      </c>
      <c r="L148" s="25">
        <f>IFERROR(IF(INDEX('CI&amp;S'!$Q$10:$Q$15,MATCH($F148,'CI&amp;S'!$B$10:$B$15,0))="","Cell will autofill based on response",INDEX('CI&amp;S'!$Q$10:$Q$15,MATCH($F148,'CI&amp;S'!$B$10:$B$15,0))),"N/A")</f>
        <v/>
      </c>
      <c r="M148" s="25">
        <f>IFERROR(IF(INDEX('CI&amp;S'!$Q$22:$Q$39,MATCH($F148,'CI&amp;S'!$B$22:$B$39,0))="","Cell will autofill based on response",INDEX('CI&amp;S'!$Q$22:$Q$39,MATCH($F148,'CI&amp;S'!$B$22:$B$39,0))),"N/A")</f>
        <v/>
      </c>
      <c r="N148" s="25">
        <f>IFERROR(IF(INDEX('CFOG'!$Q$10:$Q$16,MATCH($F148,'CFOG'!$B$10:$B$16,0))="","Cell will autofill based on response",INDEX('CFOG'!$Q$10:$Q$16,MATCH($F148,'CFOG'!$B$10:$B$16,0))),"N/A")</f>
        <v/>
      </c>
      <c r="O148" s="25">
        <f>IFERROR(IF(INDEX('CFOG'!$Q$23:$Q$24,MATCH($F148,'CFOG'!$B$23:$B$24,0))="","Cell will autofill based on response",INDEX('CFOG'!$Q$23:$Q$24,MATCH($F148,'CFOG'!$B$23:$B$24,0))),"N/A")</f>
        <v/>
      </c>
      <c r="P148" s="25">
        <f>IFERROR(IF(INDEX('ESG'!$Q$10:$Q$17,MATCH($F148,'ESG'!$B$10:$B$17,0))="","Cell will autofill based on response",INDEX('ESG'!$Q$10:$Q$17,MATCH($F148,'ESG'!$B$10:$B$17,0))),"N/A")</f>
        <v/>
      </c>
      <c r="Q148" s="25">
        <f>IFERROR(IF(INDEX('CIOG'!$Q$10:$Q$14,MATCH($F148,'CIOG'!$B$10:$B$14,0))="","Cell will autofill based on response",INDEX('CIOG'!$Q$10:$Q$14,MATCH($F148,'CIOG'!$B$10:$B$14,0))),"N/A")</f>
        <v/>
      </c>
      <c r="R148" s="25">
        <f>IFERROR(IF(INDEX('MRE'!$Q$10:$Q$12,MATCH($F148,'MRE'!$B$10:$B$12,0))="","Cell will autofill based on response",INDEX('MRE'!$Q$10:$Q$12,MATCH($F148,'MRE'!$B$10:$B$12,0))),"N/A")</f>
        <v/>
      </c>
      <c r="S148" s="25">
        <f>IFERROR(IF(INDEX('L&amp;R'!$Q$10:$Q$11,MATCH($F148,'L&amp;R'!$B$10:$B$11,0))="","Cell will autofill based on response",INDEX('L&amp;R'!$Q$10:$Q$11,MATCH($F148,'L&amp;R'!$B$10:$B$11,0))),"N/A")</f>
        <v/>
      </c>
    </row>
    <row r="149">
      <c r="A149">
        <f>F149&amp;"|"&amp;G149</f>
        <v/>
      </c>
      <c r="B149" s="7" t="inlineStr">
        <is>
          <t>NB1(a)</t>
        </is>
      </c>
      <c r="C149" s="12" t="inlineStr">
        <is>
          <t>Nature and biodiversity</t>
        </is>
      </c>
      <c r="D149" s="12" t="inlineStr">
        <is>
          <t>Monitoring of biodiversity metrics from the Biodiversity Baseline Data Project</t>
        </is>
      </c>
      <c r="E149" s="12" t="inlineStr">
        <is>
          <t>7 diversity metrics from https://sustainablecampus.unimelb.edu.au/biodiversity/biodiversity-baseline-data-project#main-content</t>
        </is>
      </c>
      <c r="F149" s="12" t="inlineStr">
        <is>
          <t>NB1(a)</t>
        </is>
      </c>
      <c r="G149" s="12" t="inlineStr">
        <is>
          <t>Confirm end-2026 target status</t>
        </is>
      </c>
      <c r="H149" s="25">
        <f>IFERROR(IF(INDEX('Faculties'!$L$10:$L$30,MATCH($F149,'Faculties'!$B$10:$B$30,0))="","Cell will autofill based on response",INDEX('Faculties'!$L$10:$L$30,MATCH($F149,'Faculties'!$B$10:$B$30,0))),"N/A")</f>
        <v/>
      </c>
      <c r="I149" s="25">
        <f>IFERROR(IF(INDEX('Faculties'!$L$37:$L$57,MATCH($F149,'Faculties'!$B$37:$B$57,0))="","Cell will autofill based on response",INDEX('Faculties'!$L$37:$L$57,MATCH($F149,'Faculties'!$B$37:$B$57,0))),"N/A")</f>
        <v/>
      </c>
      <c r="J149" s="25">
        <f>IFERROR(IF(INDEX('Faculties'!$L$64:$L$84,MATCH($F149,'Faculties'!$B$64:$B$84,0))="","Cell will autofill based on response",INDEX('Faculties'!$L$64:$L$84,MATCH($F149,'Faculties'!$B$64:$B$84,0))),"N/A")</f>
        <v/>
      </c>
      <c r="K149" s="25">
        <f>IFERROR(IF(INDEX('Faculties'!$L$91:$L$111,MATCH($F149,'Faculties'!$B$91:$B$111,0))="","Cell will autofill based on response",INDEX('Faculties'!$L$91:$L$111,MATCH($F149,'Faculties'!$B$91:$B$111,0))),"N/A")</f>
        <v/>
      </c>
      <c r="L149" s="25">
        <f>IFERROR(IF(INDEX('CI&amp;S'!$L$10:$L$15,MATCH($F149,'CI&amp;S'!$B$10:$B$15,0))="","Cell will autofill based on response",INDEX('CI&amp;S'!$L$10:$L$15,MATCH($F149,'CI&amp;S'!$B$10:$B$15,0))),"N/A")</f>
        <v/>
      </c>
      <c r="M149" s="25">
        <f>IFERROR(IF(INDEX('CI&amp;S'!$L$22:$L$39,MATCH($F149,'CI&amp;S'!$B$22:$B$39,0))="","Cell will autofill based on response",INDEX('CI&amp;S'!$L$22:$L$39,MATCH($F149,'CI&amp;S'!$B$22:$B$39,0))),"N/A")</f>
        <v/>
      </c>
      <c r="N149" s="25">
        <f>IFERROR(IF(INDEX('CFOG'!$L$10:$L$16,MATCH($F149,'CFOG'!$B$10:$B$16,0))="","Cell will autofill based on response",INDEX('CFOG'!$L$10:$L$16,MATCH($F149,'CFOG'!$B$10:$B$16,0))),"N/A")</f>
        <v/>
      </c>
      <c r="O149" s="25">
        <f>IFERROR(IF(INDEX('CFOG'!$L$23:$L$24,MATCH($F149,'CFOG'!$B$23:$B$24,0))="","Cell will autofill based on response",INDEX('CFOG'!$L$23:$L$24,MATCH($F149,'CFOG'!$B$23:$B$24,0))),"N/A")</f>
        <v/>
      </c>
      <c r="P149" s="25">
        <f>IFERROR(IF(INDEX('ESG'!$L$10:$L$17,MATCH($F149,'ESG'!$B$10:$B$17,0))="","Cell will autofill based on response",INDEX('ESG'!$L$10:$L$17,MATCH($F149,'ESG'!$B$10:$B$17,0))),"N/A")</f>
        <v/>
      </c>
      <c r="Q149" s="25">
        <f>IFERROR(IF(INDEX('CIOG'!$L$10:$L$14,MATCH($F149,'CIOG'!$B$10:$B$14,0))="","Cell will autofill based on response",INDEX('CIOG'!$L$10:$L$14,MATCH($F149,'CIOG'!$B$10:$B$14,0))),"N/A")</f>
        <v/>
      </c>
      <c r="R149" s="25">
        <f>IFERROR(IF(INDEX('MRE'!$L$10:$L$12,MATCH($F149,'MRE'!$B$10:$B$12,0))="","Cell will autofill based on response",INDEX('MRE'!$L$10:$L$12,MATCH($F149,'MRE'!$B$10:$B$12,0))),"N/A")</f>
        <v/>
      </c>
      <c r="S149" s="25">
        <f>IFERROR(IF(INDEX('L&amp;R'!$L$10:$L$11,MATCH($F149,'L&amp;R'!$B$10:$B$11,0))="","Cell will autofill based on response",INDEX('L&amp;R'!$L$10:$L$11,MATCH($F149,'L&amp;R'!$B$10:$B$11,0))),"N/A")</f>
        <v/>
      </c>
      <c r="U149" s="26">
        <f>COUNTIF($H149:$S149,"Cell will autofill based on response")</f>
        <v/>
      </c>
      <c r="V149" s="26">
        <f>COUNTIF($H149:$S149,"Not yet started")</f>
        <v/>
      </c>
      <c r="W149" s="26">
        <f>COUNTIF($H149:$S149,"Not met")</f>
        <v/>
      </c>
      <c r="X149" s="26">
        <f>COUNTIF($H149:$S149,"Partially met")</f>
        <v/>
      </c>
      <c r="Y149" s="26">
        <f>COUNTIF($H149:$S149,"Met or exceeded")</f>
        <v/>
      </c>
      <c r="Z149" s="26">
        <f>3*Y149+2*X149+W149</f>
        <v/>
      </c>
      <c r="AA149" s="26">
        <f>Y149+X149+W149+V149</f>
        <v/>
      </c>
      <c r="AB149" s="27">
        <f>IF(AA149&gt;0,Z149/AA149,"No valid responses to date")</f>
        <v/>
      </c>
      <c r="AC149" s="26">
        <f>IF(ISNUMBER(AB149),INDEX(Lists!$G$2:$G$5,MATCH(ROUND(AB149,0),Lists!$H$2:$H$5,0)),"")</f>
        <v/>
      </c>
      <c r="AD149" s="28">
        <f>IF(AA149&gt;0,Y149/AA149,"")</f>
        <v/>
      </c>
      <c r="AE149" s="28">
        <f>IF(AA149&gt;0,(Y149+X149)/AA149,"")</f>
        <v/>
      </c>
      <c r="AF149" s="26">
        <f>IF(AA149=0,"",IF(AD149&gt;0.75,"Met or exceeded",IF(AE149&gt;=0.5,"Partially met","Not met")))</f>
        <v/>
      </c>
    </row>
    <row r="150">
      <c r="A150">
        <f>F150&amp;"|"&amp;G150</f>
        <v/>
      </c>
      <c r="B150" s="29" t="inlineStr"/>
      <c r="C150" s="8" t="inlineStr"/>
      <c r="D150" s="8" t="inlineStr"/>
      <c r="E150" s="8" t="inlineStr"/>
      <c r="F150" s="8" t="inlineStr">
        <is>
          <t>NB1(a)</t>
        </is>
      </c>
      <c r="G150" s="8" t="inlineStr">
        <is>
          <t>OPTION 1:  Target-level reporting</t>
        </is>
      </c>
      <c r="H150" s="25">
        <f>IFERROR(IF(INDEX('Faculties'!$M$10:$M$30,MATCH($F150,'Faculties'!$B$10:$B$30,0))="","Cell will autofill based on response",INDEX('Faculties'!$M$10:$M$30,MATCH($F150,'Faculties'!$B$10:$B$30,0))),"N/A")</f>
        <v/>
      </c>
      <c r="I150" s="25">
        <f>IFERROR(IF(INDEX('Faculties'!$M$37:$M$57,MATCH($F150,'Faculties'!$B$37:$B$57,0))="","Cell will autofill based on response",INDEX('Faculties'!$M$37:$M$57,MATCH($F150,'Faculties'!$B$37:$B$57,0))),"N/A")</f>
        <v/>
      </c>
      <c r="J150" s="25">
        <f>IFERROR(IF(INDEX('Faculties'!$M$64:$M$84,MATCH($F150,'Faculties'!$B$64:$B$84,0))="","Cell will autofill based on response",INDEX('Faculties'!$M$64:$M$84,MATCH($F150,'Faculties'!$B$64:$B$84,0))),"N/A")</f>
        <v/>
      </c>
      <c r="K150" s="25">
        <f>IFERROR(IF(INDEX('Faculties'!$M$91:$M$111,MATCH($F150,'Faculties'!$B$91:$B$111,0))="","Cell will autofill based on response",INDEX('Faculties'!$M$91:$M$111,MATCH($F150,'Faculties'!$B$91:$B$111,0))),"N/A")</f>
        <v/>
      </c>
      <c r="L150" s="25">
        <f>IFERROR(IF(INDEX('CI&amp;S'!$M$10:$M$15,MATCH($F150,'CI&amp;S'!$B$10:$B$15,0))="","Cell will autofill based on response",INDEX('CI&amp;S'!$M$10:$M$15,MATCH($F150,'CI&amp;S'!$B$10:$B$15,0))),"N/A")</f>
        <v/>
      </c>
      <c r="M150" s="25">
        <f>IFERROR(IF(INDEX('CI&amp;S'!$M$22:$M$39,MATCH($F150,'CI&amp;S'!$B$22:$B$39,0))="","Cell will autofill based on response",INDEX('CI&amp;S'!$M$22:$M$39,MATCH($F150,'CI&amp;S'!$B$22:$B$39,0))),"N/A")</f>
        <v/>
      </c>
      <c r="N150" s="25">
        <f>IFERROR(IF(INDEX('CFOG'!$M$10:$M$16,MATCH($F150,'CFOG'!$B$10:$B$16,0))="","Cell will autofill based on response",INDEX('CFOG'!$M$10:$M$16,MATCH($F150,'CFOG'!$B$10:$B$16,0))),"N/A")</f>
        <v/>
      </c>
      <c r="O150" s="25">
        <f>IFERROR(IF(INDEX('CFOG'!$M$23:$M$24,MATCH($F150,'CFOG'!$B$23:$B$24,0))="","Cell will autofill based on response",INDEX('CFOG'!$M$23:$M$24,MATCH($F150,'CFOG'!$B$23:$B$24,0))),"N/A")</f>
        <v/>
      </c>
      <c r="P150" s="25">
        <f>IFERROR(IF(INDEX('ESG'!$M$10:$M$17,MATCH($F150,'ESG'!$B$10:$B$17,0))="","Cell will autofill based on response",INDEX('ESG'!$M$10:$M$17,MATCH($F150,'ESG'!$B$10:$B$17,0))),"N/A")</f>
        <v/>
      </c>
      <c r="Q150" s="25">
        <f>IFERROR(IF(INDEX('CIOG'!$M$10:$M$14,MATCH($F150,'CIOG'!$B$10:$B$14,0))="","Cell will autofill based on response",INDEX('CIOG'!$M$10:$M$14,MATCH($F150,'CIOG'!$B$10:$B$14,0))),"N/A")</f>
        <v/>
      </c>
      <c r="R150" s="25">
        <f>IFERROR(IF(INDEX('MRE'!$M$10:$M$12,MATCH($F150,'MRE'!$B$10:$B$12,0))="","Cell will autofill based on response",INDEX('MRE'!$M$10:$M$12,MATCH($F150,'MRE'!$B$10:$B$12,0))),"N/A")</f>
        <v/>
      </c>
      <c r="S150" s="25">
        <f>IFERROR(IF(INDEX('L&amp;R'!$M$10:$M$11,MATCH($F150,'L&amp;R'!$B$10:$B$11,0))="","Cell will autofill based on response",INDEX('L&amp;R'!$M$10:$M$11,MATCH($F150,'L&amp;R'!$B$10:$B$11,0))),"N/A")</f>
        <v/>
      </c>
    </row>
    <row r="151">
      <c r="A151">
        <f>F151&amp;"|"&amp;G151</f>
        <v/>
      </c>
      <c r="B151" s="29" t="inlineStr"/>
      <c r="C151" s="8" t="inlineStr"/>
      <c r="D151" s="8" t="inlineStr"/>
      <c r="E151" s="8" t="inlineStr"/>
      <c r="F151" s="8" t="inlineStr">
        <is>
          <t>NB1(a)</t>
        </is>
      </c>
      <c r="G151" s="8" t="inlineStr">
        <is>
          <t>OPTION 2:  Indicator level reporting</t>
        </is>
      </c>
      <c r="H151" s="25">
        <f>IFERROR(IF(INDEX('Faculties'!$N$10:$N$30,MATCH($F151,'Faculties'!$B$10:$B$30,0))="","Cell will autofill based on response",INDEX('Faculties'!$N$10:$N$30,MATCH($F151,'Faculties'!$B$10:$B$30,0))),"N/A")</f>
        <v/>
      </c>
      <c r="I151" s="25">
        <f>IFERROR(IF(INDEX('Faculties'!$N$37:$N$57,MATCH($F151,'Faculties'!$B$37:$B$57,0))="","Cell will autofill based on response",INDEX('Faculties'!$N$37:$N$57,MATCH($F151,'Faculties'!$B$37:$B$57,0))),"N/A")</f>
        <v/>
      </c>
      <c r="J151" s="25">
        <f>IFERROR(IF(INDEX('Faculties'!$N$64:$N$84,MATCH($F151,'Faculties'!$B$64:$B$84,0))="","Cell will autofill based on response",INDEX('Faculties'!$N$64:$N$84,MATCH($F151,'Faculties'!$B$64:$B$84,0))),"N/A")</f>
        <v/>
      </c>
      <c r="K151" s="25">
        <f>IFERROR(IF(INDEX('Faculties'!$N$91:$N$111,MATCH($F151,'Faculties'!$B$91:$B$111,0))="","Cell will autofill based on response",INDEX('Faculties'!$N$91:$N$111,MATCH($F151,'Faculties'!$B$91:$B$111,0))),"N/A")</f>
        <v/>
      </c>
      <c r="L151" s="25">
        <f>IFERROR(IF(INDEX('CI&amp;S'!$N$10:$N$15,MATCH($F151,'CI&amp;S'!$B$10:$B$15,0))="","Cell will autofill based on response",INDEX('CI&amp;S'!$N$10:$N$15,MATCH($F151,'CI&amp;S'!$B$10:$B$15,0))),"N/A")</f>
        <v/>
      </c>
      <c r="M151" s="25">
        <f>IFERROR(IF(INDEX('CI&amp;S'!$N$22:$N$39,MATCH($F151,'CI&amp;S'!$B$22:$B$39,0))="","Cell will autofill based on response",INDEX('CI&amp;S'!$N$22:$N$39,MATCH($F151,'CI&amp;S'!$B$22:$B$39,0))),"N/A")</f>
        <v/>
      </c>
      <c r="N151" s="25">
        <f>IFERROR(IF(INDEX('CFOG'!$N$10:$N$16,MATCH($F151,'CFOG'!$B$10:$B$16,0))="","Cell will autofill based on response",INDEX('CFOG'!$N$10:$N$16,MATCH($F151,'CFOG'!$B$10:$B$16,0))),"N/A")</f>
        <v/>
      </c>
      <c r="O151" s="25">
        <f>IFERROR(IF(INDEX('CFOG'!$N$23:$N$24,MATCH($F151,'CFOG'!$B$23:$B$24,0))="","Cell will autofill based on response",INDEX('CFOG'!$N$23:$N$24,MATCH($F151,'CFOG'!$B$23:$B$24,0))),"N/A")</f>
        <v/>
      </c>
      <c r="P151" s="25">
        <f>IFERROR(IF(INDEX('ESG'!$N$10:$N$17,MATCH($F151,'ESG'!$B$10:$B$17,0))="","Cell will autofill based on response",INDEX('ESG'!$N$10:$N$17,MATCH($F151,'ESG'!$B$10:$B$17,0))),"N/A")</f>
        <v/>
      </c>
      <c r="Q151" s="25">
        <f>IFERROR(IF(INDEX('CIOG'!$N$10:$N$14,MATCH($F151,'CIOG'!$B$10:$B$14,0))="","Cell will autofill based on response",INDEX('CIOG'!$N$10:$N$14,MATCH($F151,'CIOG'!$B$10:$B$14,0))),"N/A")</f>
        <v/>
      </c>
      <c r="R151" s="25">
        <f>IFERROR(IF(INDEX('MRE'!$N$10:$N$12,MATCH($F151,'MRE'!$B$10:$B$12,0))="","Cell will autofill based on response",INDEX('MRE'!$N$10:$N$12,MATCH($F151,'MRE'!$B$10:$B$12,0))),"N/A")</f>
        <v/>
      </c>
      <c r="S151" s="25">
        <f>IFERROR(IF(INDEX('L&amp;R'!$N$10:$N$11,MATCH($F151,'L&amp;R'!$B$10:$B$11,0))="","Cell will autofill based on response",INDEX('L&amp;R'!$N$10:$N$11,MATCH($F151,'L&amp;R'!$B$10:$B$11,0))),"N/A")</f>
        <v/>
      </c>
    </row>
    <row r="152">
      <c r="A152">
        <f>F152&amp;"|"&amp;G152</f>
        <v/>
      </c>
      <c r="B152" s="29" t="inlineStr"/>
      <c r="C152" s="8" t="inlineStr"/>
      <c r="D152" s="8" t="inlineStr"/>
      <c r="E152" s="8" t="inlineStr"/>
      <c r="F152" s="8" t="inlineStr">
        <is>
          <t>NB1(a)</t>
        </is>
      </c>
      <c r="G152" s="8" t="inlineStr">
        <is>
          <t>Supporting information/comments</t>
        </is>
      </c>
      <c r="H152" s="25">
        <f>IFERROR(IF(INDEX('Faculties'!$O$10:$O$30,MATCH($F152,'Faculties'!$B$10:$B$30,0))="","Cell will autofill based on response",INDEX('Faculties'!$O$10:$O$30,MATCH($F152,'Faculties'!$B$10:$B$30,0))),"N/A")</f>
        <v/>
      </c>
      <c r="I152" s="25">
        <f>IFERROR(IF(INDEX('Faculties'!$O$37:$O$57,MATCH($F152,'Faculties'!$B$37:$B$57,0))="","Cell will autofill based on response",INDEX('Faculties'!$O$37:$O$57,MATCH($F152,'Faculties'!$B$37:$B$57,0))),"N/A")</f>
        <v/>
      </c>
      <c r="J152" s="25">
        <f>IFERROR(IF(INDEX('Faculties'!$O$64:$O$84,MATCH($F152,'Faculties'!$B$64:$B$84,0))="","Cell will autofill based on response",INDEX('Faculties'!$O$64:$O$84,MATCH($F152,'Faculties'!$B$64:$B$84,0))),"N/A")</f>
        <v/>
      </c>
      <c r="K152" s="25">
        <f>IFERROR(IF(INDEX('Faculties'!$O$91:$O$111,MATCH($F152,'Faculties'!$B$91:$B$111,0))="","Cell will autofill based on response",INDEX('Faculties'!$O$91:$O$111,MATCH($F152,'Faculties'!$B$91:$B$111,0))),"N/A")</f>
        <v/>
      </c>
      <c r="L152" s="25">
        <f>IFERROR(IF(INDEX('CI&amp;S'!$O$10:$O$15,MATCH($F152,'CI&amp;S'!$B$10:$B$15,0))="","Cell will autofill based on response",INDEX('CI&amp;S'!$O$10:$O$15,MATCH($F152,'CI&amp;S'!$B$10:$B$15,0))),"N/A")</f>
        <v/>
      </c>
      <c r="M152" s="25">
        <f>IFERROR(IF(INDEX('CI&amp;S'!$O$22:$O$39,MATCH($F152,'CI&amp;S'!$B$22:$B$39,0))="","Cell will autofill based on response",INDEX('CI&amp;S'!$O$22:$O$39,MATCH($F152,'CI&amp;S'!$B$22:$B$39,0))),"N/A")</f>
        <v/>
      </c>
      <c r="N152" s="25">
        <f>IFERROR(IF(INDEX('CFOG'!$O$10:$O$16,MATCH($F152,'CFOG'!$B$10:$B$16,0))="","Cell will autofill based on response",INDEX('CFOG'!$O$10:$O$16,MATCH($F152,'CFOG'!$B$10:$B$16,0))),"N/A")</f>
        <v/>
      </c>
      <c r="O152" s="25">
        <f>IFERROR(IF(INDEX('CFOG'!$O$23:$O$24,MATCH($F152,'CFOG'!$B$23:$B$24,0))="","Cell will autofill based on response",INDEX('CFOG'!$O$23:$O$24,MATCH($F152,'CFOG'!$B$23:$B$24,0))),"N/A")</f>
        <v/>
      </c>
      <c r="P152" s="25">
        <f>IFERROR(IF(INDEX('ESG'!$O$10:$O$17,MATCH($F152,'ESG'!$B$10:$B$17,0))="","Cell will autofill based on response",INDEX('ESG'!$O$10:$O$17,MATCH($F152,'ESG'!$B$10:$B$17,0))),"N/A")</f>
        <v/>
      </c>
      <c r="Q152" s="25">
        <f>IFERROR(IF(INDEX('CIOG'!$O$10:$O$14,MATCH($F152,'CIOG'!$B$10:$B$14,0))="","Cell will autofill based on response",INDEX('CIOG'!$O$10:$O$14,MATCH($F152,'CIOG'!$B$10:$B$14,0))),"N/A")</f>
        <v/>
      </c>
      <c r="R152" s="25">
        <f>IFERROR(IF(INDEX('MRE'!$O$10:$O$12,MATCH($F152,'MRE'!$B$10:$B$12,0))="","Cell will autofill based on response",INDEX('MRE'!$O$10:$O$12,MATCH($F152,'MRE'!$B$10:$B$12,0))),"N/A")</f>
        <v/>
      </c>
      <c r="S152" s="25">
        <f>IFERROR(IF(INDEX('L&amp;R'!$O$10:$O$11,MATCH($F152,'L&amp;R'!$B$10:$B$11,0))="","Cell will autofill based on response",INDEX('L&amp;R'!$O$10:$O$11,MATCH($F152,'L&amp;R'!$B$10:$B$11,0))),"N/A")</f>
        <v/>
      </c>
    </row>
    <row r="153">
      <c r="A153">
        <f>F153&amp;"|"&amp;G153</f>
        <v/>
      </c>
      <c r="B153" s="29" t="inlineStr"/>
      <c r="C153" s="8" t="inlineStr"/>
      <c r="D153" s="8" t="inlineStr"/>
      <c r="E153" s="8" t="inlineStr"/>
      <c r="F153" s="8" t="inlineStr">
        <is>
          <t>NB1(a)</t>
        </is>
      </c>
      <c r="G153" s="8" t="inlineStr">
        <is>
          <t>Data source and limitations</t>
        </is>
      </c>
      <c r="H153" s="25">
        <f>IFERROR(IF(INDEX('Faculties'!$P$10:$P$30,MATCH($F153,'Faculties'!$B$10:$B$30,0))="","Cell will autofill based on response",INDEX('Faculties'!$P$10:$P$30,MATCH($F153,'Faculties'!$B$10:$B$30,0))),"N/A")</f>
        <v/>
      </c>
      <c r="I153" s="25">
        <f>IFERROR(IF(INDEX('Faculties'!$P$37:$P$57,MATCH($F153,'Faculties'!$B$37:$B$57,0))="","Cell will autofill based on response",INDEX('Faculties'!$P$37:$P$57,MATCH($F153,'Faculties'!$B$37:$B$57,0))),"N/A")</f>
        <v/>
      </c>
      <c r="J153" s="25">
        <f>IFERROR(IF(INDEX('Faculties'!$P$64:$P$84,MATCH($F153,'Faculties'!$B$64:$B$84,0))="","Cell will autofill based on response",INDEX('Faculties'!$P$64:$P$84,MATCH($F153,'Faculties'!$B$64:$B$84,0))),"N/A")</f>
        <v/>
      </c>
      <c r="K153" s="25">
        <f>IFERROR(IF(INDEX('Faculties'!$P$91:$P$111,MATCH($F153,'Faculties'!$B$91:$B$111,0))="","Cell will autofill based on response",INDEX('Faculties'!$P$91:$P$111,MATCH($F153,'Faculties'!$B$91:$B$111,0))),"N/A")</f>
        <v/>
      </c>
      <c r="L153" s="25">
        <f>IFERROR(IF(INDEX('CI&amp;S'!$P$10:$P$15,MATCH($F153,'CI&amp;S'!$B$10:$B$15,0))="","Cell will autofill based on response",INDEX('CI&amp;S'!$P$10:$P$15,MATCH($F153,'CI&amp;S'!$B$10:$B$15,0))),"N/A")</f>
        <v/>
      </c>
      <c r="M153" s="25">
        <f>IFERROR(IF(INDEX('CI&amp;S'!$P$22:$P$39,MATCH($F153,'CI&amp;S'!$B$22:$B$39,0))="","Cell will autofill based on response",INDEX('CI&amp;S'!$P$22:$P$39,MATCH($F153,'CI&amp;S'!$B$22:$B$39,0))),"N/A")</f>
        <v/>
      </c>
      <c r="N153" s="25">
        <f>IFERROR(IF(INDEX('CFOG'!$P$10:$P$16,MATCH($F153,'CFOG'!$B$10:$B$16,0))="","Cell will autofill based on response",INDEX('CFOG'!$P$10:$P$16,MATCH($F153,'CFOG'!$B$10:$B$16,0))),"N/A")</f>
        <v/>
      </c>
      <c r="O153" s="25">
        <f>IFERROR(IF(INDEX('CFOG'!$P$23:$P$24,MATCH($F153,'CFOG'!$B$23:$B$24,0))="","Cell will autofill based on response",INDEX('CFOG'!$P$23:$P$24,MATCH($F153,'CFOG'!$B$23:$B$24,0))),"N/A")</f>
        <v/>
      </c>
      <c r="P153" s="25">
        <f>IFERROR(IF(INDEX('ESG'!$P$10:$P$17,MATCH($F153,'ESG'!$B$10:$B$17,0))="","Cell will autofill based on response",INDEX('ESG'!$P$10:$P$17,MATCH($F153,'ESG'!$B$10:$B$17,0))),"N/A")</f>
        <v/>
      </c>
      <c r="Q153" s="25">
        <f>IFERROR(IF(INDEX('CIOG'!$P$10:$P$14,MATCH($F153,'CIOG'!$B$10:$B$14,0))="","Cell will autofill based on response",INDEX('CIOG'!$P$10:$P$14,MATCH($F153,'CIOG'!$B$10:$B$14,0))),"N/A")</f>
        <v/>
      </c>
      <c r="R153" s="25">
        <f>IFERROR(IF(INDEX('MRE'!$P$10:$P$12,MATCH($F153,'MRE'!$B$10:$B$12,0))="","Cell will autofill based on response",INDEX('MRE'!$P$10:$P$12,MATCH($F153,'MRE'!$B$10:$B$12,0))),"N/A")</f>
        <v/>
      </c>
      <c r="S153" s="25">
        <f>IFERROR(IF(INDEX('L&amp;R'!$P$10:$P$11,MATCH($F153,'L&amp;R'!$B$10:$B$11,0))="","Cell will autofill based on response",INDEX('L&amp;R'!$P$10:$P$11,MATCH($F153,'L&amp;R'!$B$10:$B$11,0))),"N/A")</f>
        <v/>
      </c>
    </row>
    <row r="154">
      <c r="A154">
        <f>F154&amp;"|"&amp;G154</f>
        <v/>
      </c>
      <c r="B154" s="29" t="inlineStr"/>
      <c r="C154" s="8" t="inlineStr"/>
      <c r="D154" s="8" t="inlineStr"/>
      <c r="E154" s="8" t="inlineStr"/>
      <c r="F154" s="8" t="inlineStr">
        <is>
          <t>NB1(a)</t>
        </is>
      </c>
      <c r="G154" s="8" t="inlineStr">
        <is>
          <t>Data owner confirms</t>
        </is>
      </c>
      <c r="H154" s="25">
        <f>IFERROR(IF(INDEX('Faculties'!$Q$10:$Q$30,MATCH($F154,'Faculties'!$B$10:$B$30,0))="","Cell will autofill based on response",INDEX('Faculties'!$Q$10:$Q$30,MATCH($F154,'Faculties'!$B$10:$B$30,0))),"N/A")</f>
        <v/>
      </c>
      <c r="I154" s="25">
        <f>IFERROR(IF(INDEX('Faculties'!$Q$37:$Q$57,MATCH($F154,'Faculties'!$B$37:$B$57,0))="","Cell will autofill based on response",INDEX('Faculties'!$Q$37:$Q$57,MATCH($F154,'Faculties'!$B$37:$B$57,0))),"N/A")</f>
        <v/>
      </c>
      <c r="J154" s="25">
        <f>IFERROR(IF(INDEX('Faculties'!$Q$64:$Q$84,MATCH($F154,'Faculties'!$B$64:$B$84,0))="","Cell will autofill based on response",INDEX('Faculties'!$Q$64:$Q$84,MATCH($F154,'Faculties'!$B$64:$B$84,0))),"N/A")</f>
        <v/>
      </c>
      <c r="K154" s="25">
        <f>IFERROR(IF(INDEX('Faculties'!$Q$91:$Q$111,MATCH($F154,'Faculties'!$B$91:$B$111,0))="","Cell will autofill based on response",INDEX('Faculties'!$Q$91:$Q$111,MATCH($F154,'Faculties'!$B$91:$B$111,0))),"N/A")</f>
        <v/>
      </c>
      <c r="L154" s="25">
        <f>IFERROR(IF(INDEX('CI&amp;S'!$Q$10:$Q$15,MATCH($F154,'CI&amp;S'!$B$10:$B$15,0))="","Cell will autofill based on response",INDEX('CI&amp;S'!$Q$10:$Q$15,MATCH($F154,'CI&amp;S'!$B$10:$B$15,0))),"N/A")</f>
        <v/>
      </c>
      <c r="M154" s="25">
        <f>IFERROR(IF(INDEX('CI&amp;S'!$Q$22:$Q$39,MATCH($F154,'CI&amp;S'!$B$22:$B$39,0))="","Cell will autofill based on response",INDEX('CI&amp;S'!$Q$22:$Q$39,MATCH($F154,'CI&amp;S'!$B$22:$B$39,0))),"N/A")</f>
        <v/>
      </c>
      <c r="N154" s="25">
        <f>IFERROR(IF(INDEX('CFOG'!$Q$10:$Q$16,MATCH($F154,'CFOG'!$B$10:$B$16,0))="","Cell will autofill based on response",INDEX('CFOG'!$Q$10:$Q$16,MATCH($F154,'CFOG'!$B$10:$B$16,0))),"N/A")</f>
        <v/>
      </c>
      <c r="O154" s="25">
        <f>IFERROR(IF(INDEX('CFOG'!$Q$23:$Q$24,MATCH($F154,'CFOG'!$B$23:$B$24,0))="","Cell will autofill based on response",INDEX('CFOG'!$Q$23:$Q$24,MATCH($F154,'CFOG'!$B$23:$B$24,0))),"N/A")</f>
        <v/>
      </c>
      <c r="P154" s="25">
        <f>IFERROR(IF(INDEX('ESG'!$Q$10:$Q$17,MATCH($F154,'ESG'!$B$10:$B$17,0))="","Cell will autofill based on response",INDEX('ESG'!$Q$10:$Q$17,MATCH($F154,'ESG'!$B$10:$B$17,0))),"N/A")</f>
        <v/>
      </c>
      <c r="Q154" s="25">
        <f>IFERROR(IF(INDEX('CIOG'!$Q$10:$Q$14,MATCH($F154,'CIOG'!$B$10:$B$14,0))="","Cell will autofill based on response",INDEX('CIOG'!$Q$10:$Q$14,MATCH($F154,'CIOG'!$B$10:$B$14,0))),"N/A")</f>
        <v/>
      </c>
      <c r="R154" s="25">
        <f>IFERROR(IF(INDEX('MRE'!$Q$10:$Q$12,MATCH($F154,'MRE'!$B$10:$B$12,0))="","Cell will autofill based on response",INDEX('MRE'!$Q$10:$Q$12,MATCH($F154,'MRE'!$B$10:$B$12,0))),"N/A")</f>
        <v/>
      </c>
      <c r="S154" s="25">
        <f>IFERROR(IF(INDEX('L&amp;R'!$Q$10:$Q$11,MATCH($F154,'L&amp;R'!$B$10:$B$11,0))="","Cell will autofill based on response",INDEX('L&amp;R'!$Q$10:$Q$11,MATCH($F154,'L&amp;R'!$B$10:$B$11,0))),"N/A")</f>
        <v/>
      </c>
    </row>
    <row r="155">
      <c r="A155">
        <f>F155&amp;"|"&amp;G155</f>
        <v/>
      </c>
      <c r="B155" s="7" t="inlineStr">
        <is>
          <t>NB1(b)</t>
        </is>
      </c>
      <c r="C155" s="12" t="inlineStr">
        <is>
          <t>Nature and biodiversity</t>
        </is>
      </c>
      <c r="D155" s="12" t="inlineStr">
        <is>
          <t>Size, health and diversity of remnant vegetation at the Dookie and Creswick campuses</t>
        </is>
      </c>
      <c r="E155" s="12" t="inlineStr"/>
      <c r="F155" s="12" t="inlineStr">
        <is>
          <t>NB1(b)</t>
        </is>
      </c>
      <c r="G155" s="12" t="inlineStr">
        <is>
          <t>Confirm end-2026 target status</t>
        </is>
      </c>
      <c r="H155" s="25">
        <f>IFERROR(IF(INDEX('Faculties'!$L$10:$L$30,MATCH($F155,'Faculties'!$B$10:$B$30,0))="","Cell will autofill based on response",INDEX('Faculties'!$L$10:$L$30,MATCH($F155,'Faculties'!$B$10:$B$30,0))),"N/A")</f>
        <v/>
      </c>
      <c r="I155" s="25">
        <f>IFERROR(IF(INDEX('Faculties'!$L$37:$L$57,MATCH($F155,'Faculties'!$B$37:$B$57,0))="","Cell will autofill based on response",INDEX('Faculties'!$L$37:$L$57,MATCH($F155,'Faculties'!$B$37:$B$57,0))),"N/A")</f>
        <v/>
      </c>
      <c r="J155" s="25">
        <f>IFERROR(IF(INDEX('Faculties'!$L$64:$L$84,MATCH($F155,'Faculties'!$B$64:$B$84,0))="","Cell will autofill based on response",INDEX('Faculties'!$L$64:$L$84,MATCH($F155,'Faculties'!$B$64:$B$84,0))),"N/A")</f>
        <v/>
      </c>
      <c r="K155" s="25">
        <f>IFERROR(IF(INDEX('Faculties'!$L$91:$L$111,MATCH($F155,'Faculties'!$B$91:$B$111,0))="","Cell will autofill based on response",INDEX('Faculties'!$L$91:$L$111,MATCH($F155,'Faculties'!$B$91:$B$111,0))),"N/A")</f>
        <v/>
      </c>
      <c r="L155" s="25">
        <f>IFERROR(IF(INDEX('CI&amp;S'!$L$10:$L$15,MATCH($F155,'CI&amp;S'!$B$10:$B$15,0))="","Cell will autofill based on response",INDEX('CI&amp;S'!$L$10:$L$15,MATCH($F155,'CI&amp;S'!$B$10:$B$15,0))),"N/A")</f>
        <v/>
      </c>
      <c r="M155" s="25">
        <f>IFERROR(IF(INDEX('CI&amp;S'!$L$22:$L$39,MATCH($F155,'CI&amp;S'!$B$22:$B$39,0))="","Cell will autofill based on response",INDEX('CI&amp;S'!$L$22:$L$39,MATCH($F155,'CI&amp;S'!$B$22:$B$39,0))),"N/A")</f>
        <v/>
      </c>
      <c r="N155" s="25">
        <f>IFERROR(IF(INDEX('CFOG'!$L$10:$L$16,MATCH($F155,'CFOG'!$B$10:$B$16,0))="","Cell will autofill based on response",INDEX('CFOG'!$L$10:$L$16,MATCH($F155,'CFOG'!$B$10:$B$16,0))),"N/A")</f>
        <v/>
      </c>
      <c r="O155" s="25">
        <f>IFERROR(IF(INDEX('CFOG'!$L$23:$L$24,MATCH($F155,'CFOG'!$B$23:$B$24,0))="","Cell will autofill based on response",INDEX('CFOG'!$L$23:$L$24,MATCH($F155,'CFOG'!$B$23:$B$24,0))),"N/A")</f>
        <v/>
      </c>
      <c r="P155" s="25">
        <f>IFERROR(IF(INDEX('ESG'!$L$10:$L$17,MATCH($F155,'ESG'!$B$10:$B$17,0))="","Cell will autofill based on response",INDEX('ESG'!$L$10:$L$17,MATCH($F155,'ESG'!$B$10:$B$17,0))),"N/A")</f>
        <v/>
      </c>
      <c r="Q155" s="25">
        <f>IFERROR(IF(INDEX('CIOG'!$L$10:$L$14,MATCH($F155,'CIOG'!$B$10:$B$14,0))="","Cell will autofill based on response",INDEX('CIOG'!$L$10:$L$14,MATCH($F155,'CIOG'!$B$10:$B$14,0))),"N/A")</f>
        <v/>
      </c>
      <c r="R155" s="25">
        <f>IFERROR(IF(INDEX('MRE'!$L$10:$L$12,MATCH($F155,'MRE'!$B$10:$B$12,0))="","Cell will autofill based on response",INDEX('MRE'!$L$10:$L$12,MATCH($F155,'MRE'!$B$10:$B$12,0))),"N/A")</f>
        <v/>
      </c>
      <c r="S155" s="25">
        <f>IFERROR(IF(INDEX('L&amp;R'!$L$10:$L$11,MATCH($F155,'L&amp;R'!$B$10:$B$11,0))="","Cell will autofill based on response",INDEX('L&amp;R'!$L$10:$L$11,MATCH($F155,'L&amp;R'!$B$10:$B$11,0))),"N/A")</f>
        <v/>
      </c>
      <c r="U155" s="26">
        <f>COUNTIF($H155:$S155,"Cell will autofill based on response")</f>
        <v/>
      </c>
      <c r="V155" s="26">
        <f>COUNTIF($H155:$S155,"Not yet started")</f>
        <v/>
      </c>
      <c r="W155" s="26">
        <f>COUNTIF($H155:$S155,"Not met")</f>
        <v/>
      </c>
      <c r="X155" s="26">
        <f>COUNTIF($H155:$S155,"Partially met")</f>
        <v/>
      </c>
      <c r="Y155" s="26">
        <f>COUNTIF($H155:$S155,"Met or exceeded")</f>
        <v/>
      </c>
      <c r="Z155" s="26">
        <f>3*Y155+2*X155+W155</f>
        <v/>
      </c>
      <c r="AA155" s="26">
        <f>Y155+X155+W155+V155</f>
        <v/>
      </c>
      <c r="AB155" s="27">
        <f>IF(AA155&gt;0,Z155/AA155,"No valid responses to date")</f>
        <v/>
      </c>
      <c r="AC155" s="26">
        <f>IF(ISNUMBER(AB155),INDEX(Lists!$G$2:$G$5,MATCH(ROUND(AB155,0),Lists!$H$2:$H$5,0)),"")</f>
        <v/>
      </c>
      <c r="AD155" s="28">
        <f>IF(AA155&gt;0,Y155/AA155,"")</f>
        <v/>
      </c>
      <c r="AE155" s="28">
        <f>IF(AA155&gt;0,(Y155+X155)/AA155,"")</f>
        <v/>
      </c>
      <c r="AF155" s="26">
        <f>IF(AA155=0,"",IF(AD155&gt;0.75,"Met or exceeded",IF(AE155&gt;=0.5,"Partially met","Not met")))</f>
        <v/>
      </c>
    </row>
    <row r="156">
      <c r="A156">
        <f>F156&amp;"|"&amp;G156</f>
        <v/>
      </c>
      <c r="B156" s="29" t="inlineStr"/>
      <c r="C156" s="8" t="inlineStr"/>
      <c r="D156" s="8" t="inlineStr"/>
      <c r="E156" s="8" t="inlineStr"/>
      <c r="F156" s="8" t="inlineStr">
        <is>
          <t>NB1(b)</t>
        </is>
      </c>
      <c r="G156" s="8" t="inlineStr">
        <is>
          <t>OPTION 1:  Target-level reporting</t>
        </is>
      </c>
      <c r="H156" s="25">
        <f>IFERROR(IF(INDEX('Faculties'!$M$10:$M$30,MATCH($F156,'Faculties'!$B$10:$B$30,0))="","Cell will autofill based on response",INDEX('Faculties'!$M$10:$M$30,MATCH($F156,'Faculties'!$B$10:$B$30,0))),"N/A")</f>
        <v/>
      </c>
      <c r="I156" s="25">
        <f>IFERROR(IF(INDEX('Faculties'!$M$37:$M$57,MATCH($F156,'Faculties'!$B$37:$B$57,0))="","Cell will autofill based on response",INDEX('Faculties'!$M$37:$M$57,MATCH($F156,'Faculties'!$B$37:$B$57,0))),"N/A")</f>
        <v/>
      </c>
      <c r="J156" s="25">
        <f>IFERROR(IF(INDEX('Faculties'!$M$64:$M$84,MATCH($F156,'Faculties'!$B$64:$B$84,0))="","Cell will autofill based on response",INDEX('Faculties'!$M$64:$M$84,MATCH($F156,'Faculties'!$B$64:$B$84,0))),"N/A")</f>
        <v/>
      </c>
      <c r="K156" s="25">
        <f>IFERROR(IF(INDEX('Faculties'!$M$91:$M$111,MATCH($F156,'Faculties'!$B$91:$B$111,0))="","Cell will autofill based on response",INDEX('Faculties'!$M$91:$M$111,MATCH($F156,'Faculties'!$B$91:$B$111,0))),"N/A")</f>
        <v/>
      </c>
      <c r="L156" s="25">
        <f>IFERROR(IF(INDEX('CI&amp;S'!$M$10:$M$15,MATCH($F156,'CI&amp;S'!$B$10:$B$15,0))="","Cell will autofill based on response",INDEX('CI&amp;S'!$M$10:$M$15,MATCH($F156,'CI&amp;S'!$B$10:$B$15,0))),"N/A")</f>
        <v/>
      </c>
      <c r="M156" s="25">
        <f>IFERROR(IF(INDEX('CI&amp;S'!$M$22:$M$39,MATCH($F156,'CI&amp;S'!$B$22:$B$39,0))="","Cell will autofill based on response",INDEX('CI&amp;S'!$M$22:$M$39,MATCH($F156,'CI&amp;S'!$B$22:$B$39,0))),"N/A")</f>
        <v/>
      </c>
      <c r="N156" s="25">
        <f>IFERROR(IF(INDEX('CFOG'!$M$10:$M$16,MATCH($F156,'CFOG'!$B$10:$B$16,0))="","Cell will autofill based on response",INDEX('CFOG'!$M$10:$M$16,MATCH($F156,'CFOG'!$B$10:$B$16,0))),"N/A")</f>
        <v/>
      </c>
      <c r="O156" s="25">
        <f>IFERROR(IF(INDEX('CFOG'!$M$23:$M$24,MATCH($F156,'CFOG'!$B$23:$B$24,0))="","Cell will autofill based on response",INDEX('CFOG'!$M$23:$M$24,MATCH($F156,'CFOG'!$B$23:$B$24,0))),"N/A")</f>
        <v/>
      </c>
      <c r="P156" s="25">
        <f>IFERROR(IF(INDEX('ESG'!$M$10:$M$17,MATCH($F156,'ESG'!$B$10:$B$17,0))="","Cell will autofill based on response",INDEX('ESG'!$M$10:$M$17,MATCH($F156,'ESG'!$B$10:$B$17,0))),"N/A")</f>
        <v/>
      </c>
      <c r="Q156" s="25">
        <f>IFERROR(IF(INDEX('CIOG'!$M$10:$M$14,MATCH($F156,'CIOG'!$B$10:$B$14,0))="","Cell will autofill based on response",INDEX('CIOG'!$M$10:$M$14,MATCH($F156,'CIOG'!$B$10:$B$14,0))),"N/A")</f>
        <v/>
      </c>
      <c r="R156" s="25">
        <f>IFERROR(IF(INDEX('MRE'!$M$10:$M$12,MATCH($F156,'MRE'!$B$10:$B$12,0))="","Cell will autofill based on response",INDEX('MRE'!$M$10:$M$12,MATCH($F156,'MRE'!$B$10:$B$12,0))),"N/A")</f>
        <v/>
      </c>
      <c r="S156" s="25">
        <f>IFERROR(IF(INDEX('L&amp;R'!$M$10:$M$11,MATCH($F156,'L&amp;R'!$B$10:$B$11,0))="","Cell will autofill based on response",INDEX('L&amp;R'!$M$10:$M$11,MATCH($F156,'L&amp;R'!$B$10:$B$11,0))),"N/A")</f>
        <v/>
      </c>
    </row>
    <row r="157">
      <c r="A157">
        <f>F157&amp;"|"&amp;G157</f>
        <v/>
      </c>
      <c r="B157" s="29" t="inlineStr"/>
      <c r="C157" s="8" t="inlineStr"/>
      <c r="D157" s="8" t="inlineStr"/>
      <c r="E157" s="8" t="inlineStr"/>
      <c r="F157" s="8" t="inlineStr">
        <is>
          <t>NB1(b)</t>
        </is>
      </c>
      <c r="G157" s="8" t="inlineStr">
        <is>
          <t>OPTION 2:  Indicator level reporting</t>
        </is>
      </c>
      <c r="H157" s="25">
        <f>IFERROR(IF(INDEX('Faculties'!$N$10:$N$30,MATCH($F157,'Faculties'!$B$10:$B$30,0))="","Cell will autofill based on response",INDEX('Faculties'!$N$10:$N$30,MATCH($F157,'Faculties'!$B$10:$B$30,0))),"N/A")</f>
        <v/>
      </c>
      <c r="I157" s="25">
        <f>IFERROR(IF(INDEX('Faculties'!$N$37:$N$57,MATCH($F157,'Faculties'!$B$37:$B$57,0))="","Cell will autofill based on response",INDEX('Faculties'!$N$37:$N$57,MATCH($F157,'Faculties'!$B$37:$B$57,0))),"N/A")</f>
        <v/>
      </c>
      <c r="J157" s="25">
        <f>IFERROR(IF(INDEX('Faculties'!$N$64:$N$84,MATCH($F157,'Faculties'!$B$64:$B$84,0))="","Cell will autofill based on response",INDEX('Faculties'!$N$64:$N$84,MATCH($F157,'Faculties'!$B$64:$B$84,0))),"N/A")</f>
        <v/>
      </c>
      <c r="K157" s="25">
        <f>IFERROR(IF(INDEX('Faculties'!$N$91:$N$111,MATCH($F157,'Faculties'!$B$91:$B$111,0))="","Cell will autofill based on response",INDEX('Faculties'!$N$91:$N$111,MATCH($F157,'Faculties'!$B$91:$B$111,0))),"N/A")</f>
        <v/>
      </c>
      <c r="L157" s="25">
        <f>IFERROR(IF(INDEX('CI&amp;S'!$N$10:$N$15,MATCH($F157,'CI&amp;S'!$B$10:$B$15,0))="","Cell will autofill based on response",INDEX('CI&amp;S'!$N$10:$N$15,MATCH($F157,'CI&amp;S'!$B$10:$B$15,0))),"N/A")</f>
        <v/>
      </c>
      <c r="M157" s="25">
        <f>IFERROR(IF(INDEX('CI&amp;S'!$N$22:$N$39,MATCH($F157,'CI&amp;S'!$B$22:$B$39,0))="","Cell will autofill based on response",INDEX('CI&amp;S'!$N$22:$N$39,MATCH($F157,'CI&amp;S'!$B$22:$B$39,0))),"N/A")</f>
        <v/>
      </c>
      <c r="N157" s="25">
        <f>IFERROR(IF(INDEX('CFOG'!$N$10:$N$16,MATCH($F157,'CFOG'!$B$10:$B$16,0))="","Cell will autofill based on response",INDEX('CFOG'!$N$10:$N$16,MATCH($F157,'CFOG'!$B$10:$B$16,0))),"N/A")</f>
        <v/>
      </c>
      <c r="O157" s="25">
        <f>IFERROR(IF(INDEX('CFOG'!$N$23:$N$24,MATCH($F157,'CFOG'!$B$23:$B$24,0))="","Cell will autofill based on response",INDEX('CFOG'!$N$23:$N$24,MATCH($F157,'CFOG'!$B$23:$B$24,0))),"N/A")</f>
        <v/>
      </c>
      <c r="P157" s="25">
        <f>IFERROR(IF(INDEX('ESG'!$N$10:$N$17,MATCH($F157,'ESG'!$B$10:$B$17,0))="","Cell will autofill based on response",INDEX('ESG'!$N$10:$N$17,MATCH($F157,'ESG'!$B$10:$B$17,0))),"N/A")</f>
        <v/>
      </c>
      <c r="Q157" s="25">
        <f>IFERROR(IF(INDEX('CIOG'!$N$10:$N$14,MATCH($F157,'CIOG'!$B$10:$B$14,0))="","Cell will autofill based on response",INDEX('CIOG'!$N$10:$N$14,MATCH($F157,'CIOG'!$B$10:$B$14,0))),"N/A")</f>
        <v/>
      </c>
      <c r="R157" s="25">
        <f>IFERROR(IF(INDEX('MRE'!$N$10:$N$12,MATCH($F157,'MRE'!$B$10:$B$12,0))="","Cell will autofill based on response",INDEX('MRE'!$N$10:$N$12,MATCH($F157,'MRE'!$B$10:$B$12,0))),"N/A")</f>
        <v/>
      </c>
      <c r="S157" s="25">
        <f>IFERROR(IF(INDEX('L&amp;R'!$N$10:$N$11,MATCH($F157,'L&amp;R'!$B$10:$B$11,0))="","Cell will autofill based on response",INDEX('L&amp;R'!$N$10:$N$11,MATCH($F157,'L&amp;R'!$B$10:$B$11,0))),"N/A")</f>
        <v/>
      </c>
    </row>
    <row r="158">
      <c r="A158">
        <f>F158&amp;"|"&amp;G158</f>
        <v/>
      </c>
      <c r="B158" s="29" t="inlineStr"/>
      <c r="C158" s="8" t="inlineStr"/>
      <c r="D158" s="8" t="inlineStr"/>
      <c r="E158" s="8" t="inlineStr"/>
      <c r="F158" s="8" t="inlineStr">
        <is>
          <t>NB1(b)</t>
        </is>
      </c>
      <c r="G158" s="8" t="inlineStr">
        <is>
          <t>Supporting information/comments</t>
        </is>
      </c>
      <c r="H158" s="25">
        <f>IFERROR(IF(INDEX('Faculties'!$O$10:$O$30,MATCH($F158,'Faculties'!$B$10:$B$30,0))="","Cell will autofill based on response",INDEX('Faculties'!$O$10:$O$30,MATCH($F158,'Faculties'!$B$10:$B$30,0))),"N/A")</f>
        <v/>
      </c>
      <c r="I158" s="25">
        <f>IFERROR(IF(INDEX('Faculties'!$O$37:$O$57,MATCH($F158,'Faculties'!$B$37:$B$57,0))="","Cell will autofill based on response",INDEX('Faculties'!$O$37:$O$57,MATCH($F158,'Faculties'!$B$37:$B$57,0))),"N/A")</f>
        <v/>
      </c>
      <c r="J158" s="25">
        <f>IFERROR(IF(INDEX('Faculties'!$O$64:$O$84,MATCH($F158,'Faculties'!$B$64:$B$84,0))="","Cell will autofill based on response",INDEX('Faculties'!$O$64:$O$84,MATCH($F158,'Faculties'!$B$64:$B$84,0))),"N/A")</f>
        <v/>
      </c>
      <c r="K158" s="25">
        <f>IFERROR(IF(INDEX('Faculties'!$O$91:$O$111,MATCH($F158,'Faculties'!$B$91:$B$111,0))="","Cell will autofill based on response",INDEX('Faculties'!$O$91:$O$111,MATCH($F158,'Faculties'!$B$91:$B$111,0))),"N/A")</f>
        <v/>
      </c>
      <c r="L158" s="25">
        <f>IFERROR(IF(INDEX('CI&amp;S'!$O$10:$O$15,MATCH($F158,'CI&amp;S'!$B$10:$B$15,0))="","Cell will autofill based on response",INDEX('CI&amp;S'!$O$10:$O$15,MATCH($F158,'CI&amp;S'!$B$10:$B$15,0))),"N/A")</f>
        <v/>
      </c>
      <c r="M158" s="25">
        <f>IFERROR(IF(INDEX('CI&amp;S'!$O$22:$O$39,MATCH($F158,'CI&amp;S'!$B$22:$B$39,0))="","Cell will autofill based on response",INDEX('CI&amp;S'!$O$22:$O$39,MATCH($F158,'CI&amp;S'!$B$22:$B$39,0))),"N/A")</f>
        <v/>
      </c>
      <c r="N158" s="25">
        <f>IFERROR(IF(INDEX('CFOG'!$O$10:$O$16,MATCH($F158,'CFOG'!$B$10:$B$16,0))="","Cell will autofill based on response",INDEX('CFOG'!$O$10:$O$16,MATCH($F158,'CFOG'!$B$10:$B$16,0))),"N/A")</f>
        <v/>
      </c>
      <c r="O158" s="25">
        <f>IFERROR(IF(INDEX('CFOG'!$O$23:$O$24,MATCH($F158,'CFOG'!$B$23:$B$24,0))="","Cell will autofill based on response",INDEX('CFOG'!$O$23:$O$24,MATCH($F158,'CFOG'!$B$23:$B$24,0))),"N/A")</f>
        <v/>
      </c>
      <c r="P158" s="25">
        <f>IFERROR(IF(INDEX('ESG'!$O$10:$O$17,MATCH($F158,'ESG'!$B$10:$B$17,0))="","Cell will autofill based on response",INDEX('ESG'!$O$10:$O$17,MATCH($F158,'ESG'!$B$10:$B$17,0))),"N/A")</f>
        <v/>
      </c>
      <c r="Q158" s="25">
        <f>IFERROR(IF(INDEX('CIOG'!$O$10:$O$14,MATCH($F158,'CIOG'!$B$10:$B$14,0))="","Cell will autofill based on response",INDEX('CIOG'!$O$10:$O$14,MATCH($F158,'CIOG'!$B$10:$B$14,0))),"N/A")</f>
        <v/>
      </c>
      <c r="R158" s="25">
        <f>IFERROR(IF(INDEX('MRE'!$O$10:$O$12,MATCH($F158,'MRE'!$B$10:$B$12,0))="","Cell will autofill based on response",INDEX('MRE'!$O$10:$O$12,MATCH($F158,'MRE'!$B$10:$B$12,0))),"N/A")</f>
        <v/>
      </c>
      <c r="S158" s="25">
        <f>IFERROR(IF(INDEX('L&amp;R'!$O$10:$O$11,MATCH($F158,'L&amp;R'!$B$10:$B$11,0))="","Cell will autofill based on response",INDEX('L&amp;R'!$O$10:$O$11,MATCH($F158,'L&amp;R'!$B$10:$B$11,0))),"N/A")</f>
        <v/>
      </c>
    </row>
    <row r="159">
      <c r="A159">
        <f>F159&amp;"|"&amp;G159</f>
        <v/>
      </c>
      <c r="B159" s="29" t="inlineStr"/>
      <c r="C159" s="8" t="inlineStr"/>
      <c r="D159" s="8" t="inlineStr"/>
      <c r="E159" s="8" t="inlineStr"/>
      <c r="F159" s="8" t="inlineStr">
        <is>
          <t>NB1(b)</t>
        </is>
      </c>
      <c r="G159" s="8" t="inlineStr">
        <is>
          <t>Data source and limitations</t>
        </is>
      </c>
      <c r="H159" s="25">
        <f>IFERROR(IF(INDEX('Faculties'!$P$10:$P$30,MATCH($F159,'Faculties'!$B$10:$B$30,0))="","Cell will autofill based on response",INDEX('Faculties'!$P$10:$P$30,MATCH($F159,'Faculties'!$B$10:$B$30,0))),"N/A")</f>
        <v/>
      </c>
      <c r="I159" s="25">
        <f>IFERROR(IF(INDEX('Faculties'!$P$37:$P$57,MATCH($F159,'Faculties'!$B$37:$B$57,0))="","Cell will autofill based on response",INDEX('Faculties'!$P$37:$P$57,MATCH($F159,'Faculties'!$B$37:$B$57,0))),"N/A")</f>
        <v/>
      </c>
      <c r="J159" s="25">
        <f>IFERROR(IF(INDEX('Faculties'!$P$64:$P$84,MATCH($F159,'Faculties'!$B$64:$B$84,0))="","Cell will autofill based on response",INDEX('Faculties'!$P$64:$P$84,MATCH($F159,'Faculties'!$B$64:$B$84,0))),"N/A")</f>
        <v/>
      </c>
      <c r="K159" s="25">
        <f>IFERROR(IF(INDEX('Faculties'!$P$91:$P$111,MATCH($F159,'Faculties'!$B$91:$B$111,0))="","Cell will autofill based on response",INDEX('Faculties'!$P$91:$P$111,MATCH($F159,'Faculties'!$B$91:$B$111,0))),"N/A")</f>
        <v/>
      </c>
      <c r="L159" s="25">
        <f>IFERROR(IF(INDEX('CI&amp;S'!$P$10:$P$15,MATCH($F159,'CI&amp;S'!$B$10:$B$15,0))="","Cell will autofill based on response",INDEX('CI&amp;S'!$P$10:$P$15,MATCH($F159,'CI&amp;S'!$B$10:$B$15,0))),"N/A")</f>
        <v/>
      </c>
      <c r="M159" s="25">
        <f>IFERROR(IF(INDEX('CI&amp;S'!$P$22:$P$39,MATCH($F159,'CI&amp;S'!$B$22:$B$39,0))="","Cell will autofill based on response",INDEX('CI&amp;S'!$P$22:$P$39,MATCH($F159,'CI&amp;S'!$B$22:$B$39,0))),"N/A")</f>
        <v/>
      </c>
      <c r="N159" s="25">
        <f>IFERROR(IF(INDEX('CFOG'!$P$10:$P$16,MATCH($F159,'CFOG'!$B$10:$B$16,0))="","Cell will autofill based on response",INDEX('CFOG'!$P$10:$P$16,MATCH($F159,'CFOG'!$B$10:$B$16,0))),"N/A")</f>
        <v/>
      </c>
      <c r="O159" s="25">
        <f>IFERROR(IF(INDEX('CFOG'!$P$23:$P$24,MATCH($F159,'CFOG'!$B$23:$B$24,0))="","Cell will autofill based on response",INDEX('CFOG'!$P$23:$P$24,MATCH($F159,'CFOG'!$B$23:$B$24,0))),"N/A")</f>
        <v/>
      </c>
      <c r="P159" s="25">
        <f>IFERROR(IF(INDEX('ESG'!$P$10:$P$17,MATCH($F159,'ESG'!$B$10:$B$17,0))="","Cell will autofill based on response",INDEX('ESG'!$P$10:$P$17,MATCH($F159,'ESG'!$B$10:$B$17,0))),"N/A")</f>
        <v/>
      </c>
      <c r="Q159" s="25">
        <f>IFERROR(IF(INDEX('CIOG'!$P$10:$P$14,MATCH($F159,'CIOG'!$B$10:$B$14,0))="","Cell will autofill based on response",INDEX('CIOG'!$P$10:$P$14,MATCH($F159,'CIOG'!$B$10:$B$14,0))),"N/A")</f>
        <v/>
      </c>
      <c r="R159" s="25">
        <f>IFERROR(IF(INDEX('MRE'!$P$10:$P$12,MATCH($F159,'MRE'!$B$10:$B$12,0))="","Cell will autofill based on response",INDEX('MRE'!$P$10:$P$12,MATCH($F159,'MRE'!$B$10:$B$12,0))),"N/A")</f>
        <v/>
      </c>
      <c r="S159" s="25">
        <f>IFERROR(IF(INDEX('L&amp;R'!$P$10:$P$11,MATCH($F159,'L&amp;R'!$B$10:$B$11,0))="","Cell will autofill based on response",INDEX('L&amp;R'!$P$10:$P$11,MATCH($F159,'L&amp;R'!$B$10:$B$11,0))),"N/A")</f>
        <v/>
      </c>
    </row>
    <row r="160">
      <c r="A160">
        <f>F160&amp;"|"&amp;G160</f>
        <v/>
      </c>
      <c r="B160" s="29" t="inlineStr"/>
      <c r="C160" s="8" t="inlineStr"/>
      <c r="D160" s="8" t="inlineStr"/>
      <c r="E160" s="8" t="inlineStr"/>
      <c r="F160" s="8" t="inlineStr">
        <is>
          <t>NB1(b)</t>
        </is>
      </c>
      <c r="G160" s="8" t="inlineStr">
        <is>
          <t>Data owner confirms</t>
        </is>
      </c>
      <c r="H160" s="25">
        <f>IFERROR(IF(INDEX('Faculties'!$Q$10:$Q$30,MATCH($F160,'Faculties'!$B$10:$B$30,0))="","Cell will autofill based on response",INDEX('Faculties'!$Q$10:$Q$30,MATCH($F160,'Faculties'!$B$10:$B$30,0))),"N/A")</f>
        <v/>
      </c>
      <c r="I160" s="25">
        <f>IFERROR(IF(INDEX('Faculties'!$Q$37:$Q$57,MATCH($F160,'Faculties'!$B$37:$B$57,0))="","Cell will autofill based on response",INDEX('Faculties'!$Q$37:$Q$57,MATCH($F160,'Faculties'!$B$37:$B$57,0))),"N/A")</f>
        <v/>
      </c>
      <c r="J160" s="25">
        <f>IFERROR(IF(INDEX('Faculties'!$Q$64:$Q$84,MATCH($F160,'Faculties'!$B$64:$B$84,0))="","Cell will autofill based on response",INDEX('Faculties'!$Q$64:$Q$84,MATCH($F160,'Faculties'!$B$64:$B$84,0))),"N/A")</f>
        <v/>
      </c>
      <c r="K160" s="25">
        <f>IFERROR(IF(INDEX('Faculties'!$Q$91:$Q$111,MATCH($F160,'Faculties'!$B$91:$B$111,0))="","Cell will autofill based on response",INDEX('Faculties'!$Q$91:$Q$111,MATCH($F160,'Faculties'!$B$91:$B$111,0))),"N/A")</f>
        <v/>
      </c>
      <c r="L160" s="25">
        <f>IFERROR(IF(INDEX('CI&amp;S'!$Q$10:$Q$15,MATCH($F160,'CI&amp;S'!$B$10:$B$15,0))="","Cell will autofill based on response",INDEX('CI&amp;S'!$Q$10:$Q$15,MATCH($F160,'CI&amp;S'!$B$10:$B$15,0))),"N/A")</f>
        <v/>
      </c>
      <c r="M160" s="25">
        <f>IFERROR(IF(INDEX('CI&amp;S'!$Q$22:$Q$39,MATCH($F160,'CI&amp;S'!$B$22:$B$39,0))="","Cell will autofill based on response",INDEX('CI&amp;S'!$Q$22:$Q$39,MATCH($F160,'CI&amp;S'!$B$22:$B$39,0))),"N/A")</f>
        <v/>
      </c>
      <c r="N160" s="25">
        <f>IFERROR(IF(INDEX('CFOG'!$Q$10:$Q$16,MATCH($F160,'CFOG'!$B$10:$B$16,0))="","Cell will autofill based on response",INDEX('CFOG'!$Q$10:$Q$16,MATCH($F160,'CFOG'!$B$10:$B$16,0))),"N/A")</f>
        <v/>
      </c>
      <c r="O160" s="25">
        <f>IFERROR(IF(INDEX('CFOG'!$Q$23:$Q$24,MATCH($F160,'CFOG'!$B$23:$B$24,0))="","Cell will autofill based on response",INDEX('CFOG'!$Q$23:$Q$24,MATCH($F160,'CFOG'!$B$23:$B$24,0))),"N/A")</f>
        <v/>
      </c>
      <c r="P160" s="25">
        <f>IFERROR(IF(INDEX('ESG'!$Q$10:$Q$17,MATCH($F160,'ESG'!$B$10:$B$17,0))="","Cell will autofill based on response",INDEX('ESG'!$Q$10:$Q$17,MATCH($F160,'ESG'!$B$10:$B$17,0))),"N/A")</f>
        <v/>
      </c>
      <c r="Q160" s="25">
        <f>IFERROR(IF(INDEX('CIOG'!$Q$10:$Q$14,MATCH($F160,'CIOG'!$B$10:$B$14,0))="","Cell will autofill based on response",INDEX('CIOG'!$Q$10:$Q$14,MATCH($F160,'CIOG'!$B$10:$B$14,0))),"N/A")</f>
        <v/>
      </c>
      <c r="R160" s="25">
        <f>IFERROR(IF(INDEX('MRE'!$Q$10:$Q$12,MATCH($F160,'MRE'!$B$10:$B$12,0))="","Cell will autofill based on response",INDEX('MRE'!$Q$10:$Q$12,MATCH($F160,'MRE'!$B$10:$B$12,0))),"N/A")</f>
        <v/>
      </c>
      <c r="S160" s="25">
        <f>IFERROR(IF(INDEX('L&amp;R'!$Q$10:$Q$11,MATCH($F160,'L&amp;R'!$B$10:$B$11,0))="","Cell will autofill based on response",INDEX('L&amp;R'!$Q$10:$Q$11,MATCH($F160,'L&amp;R'!$B$10:$B$11,0))),"N/A")</f>
        <v/>
      </c>
    </row>
    <row r="161">
      <c r="A161">
        <f>F161&amp;"|"&amp;G161</f>
        <v/>
      </c>
      <c r="B161" s="7" t="inlineStr">
        <is>
          <t>NB1(c)</t>
        </is>
      </c>
      <c r="C161" s="12" t="inlineStr">
        <is>
          <t>Nature and biodiversity</t>
        </is>
      </c>
      <c r="D161" s="12" t="inlineStr">
        <is>
          <t>Defined quality measurement framework</t>
        </is>
      </c>
      <c r="E161" s="12" t="inlineStr"/>
      <c r="F161" s="12" t="inlineStr">
        <is>
          <t>NB1(c)</t>
        </is>
      </c>
      <c r="G161" s="12" t="inlineStr">
        <is>
          <t>Confirm end-2026 target status</t>
        </is>
      </c>
      <c r="H161" s="25">
        <f>IFERROR(IF(INDEX('Faculties'!$L$10:$L$30,MATCH($F161,'Faculties'!$B$10:$B$30,0))="","Cell will autofill based on response",INDEX('Faculties'!$L$10:$L$30,MATCH($F161,'Faculties'!$B$10:$B$30,0))),"N/A")</f>
        <v/>
      </c>
      <c r="I161" s="25">
        <f>IFERROR(IF(INDEX('Faculties'!$L$37:$L$57,MATCH($F161,'Faculties'!$B$37:$B$57,0))="","Cell will autofill based on response",INDEX('Faculties'!$L$37:$L$57,MATCH($F161,'Faculties'!$B$37:$B$57,0))),"N/A")</f>
        <v/>
      </c>
      <c r="J161" s="25">
        <f>IFERROR(IF(INDEX('Faculties'!$L$64:$L$84,MATCH($F161,'Faculties'!$B$64:$B$84,0))="","Cell will autofill based on response",INDEX('Faculties'!$L$64:$L$84,MATCH($F161,'Faculties'!$B$64:$B$84,0))),"N/A")</f>
        <v/>
      </c>
      <c r="K161" s="25">
        <f>IFERROR(IF(INDEX('Faculties'!$L$91:$L$111,MATCH($F161,'Faculties'!$B$91:$B$111,0))="","Cell will autofill based on response",INDEX('Faculties'!$L$91:$L$111,MATCH($F161,'Faculties'!$B$91:$B$111,0))),"N/A")</f>
        <v/>
      </c>
      <c r="L161" s="25">
        <f>IFERROR(IF(INDEX('CI&amp;S'!$L$10:$L$15,MATCH($F161,'CI&amp;S'!$B$10:$B$15,0))="","Cell will autofill based on response",INDEX('CI&amp;S'!$L$10:$L$15,MATCH($F161,'CI&amp;S'!$B$10:$B$15,0))),"N/A")</f>
        <v/>
      </c>
      <c r="M161" s="25">
        <f>IFERROR(IF(INDEX('CI&amp;S'!$L$22:$L$39,MATCH($F161,'CI&amp;S'!$B$22:$B$39,0))="","Cell will autofill based on response",INDEX('CI&amp;S'!$L$22:$L$39,MATCH($F161,'CI&amp;S'!$B$22:$B$39,0))),"N/A")</f>
        <v/>
      </c>
      <c r="N161" s="25">
        <f>IFERROR(IF(INDEX('CFOG'!$L$10:$L$16,MATCH($F161,'CFOG'!$B$10:$B$16,0))="","Cell will autofill based on response",INDEX('CFOG'!$L$10:$L$16,MATCH($F161,'CFOG'!$B$10:$B$16,0))),"N/A")</f>
        <v/>
      </c>
      <c r="O161" s="25">
        <f>IFERROR(IF(INDEX('CFOG'!$L$23:$L$24,MATCH($F161,'CFOG'!$B$23:$B$24,0))="","Cell will autofill based on response",INDEX('CFOG'!$L$23:$L$24,MATCH($F161,'CFOG'!$B$23:$B$24,0))),"N/A")</f>
        <v/>
      </c>
      <c r="P161" s="25">
        <f>IFERROR(IF(INDEX('ESG'!$L$10:$L$17,MATCH($F161,'ESG'!$B$10:$B$17,0))="","Cell will autofill based on response",INDEX('ESG'!$L$10:$L$17,MATCH($F161,'ESG'!$B$10:$B$17,0))),"N/A")</f>
        <v/>
      </c>
      <c r="Q161" s="25">
        <f>IFERROR(IF(INDEX('CIOG'!$L$10:$L$14,MATCH($F161,'CIOG'!$B$10:$B$14,0))="","Cell will autofill based on response",INDEX('CIOG'!$L$10:$L$14,MATCH($F161,'CIOG'!$B$10:$B$14,0))),"N/A")</f>
        <v/>
      </c>
      <c r="R161" s="25">
        <f>IFERROR(IF(INDEX('MRE'!$L$10:$L$12,MATCH($F161,'MRE'!$B$10:$B$12,0))="","Cell will autofill based on response",INDEX('MRE'!$L$10:$L$12,MATCH($F161,'MRE'!$B$10:$B$12,0))),"N/A")</f>
        <v/>
      </c>
      <c r="S161" s="25">
        <f>IFERROR(IF(INDEX('L&amp;R'!$L$10:$L$11,MATCH($F161,'L&amp;R'!$B$10:$B$11,0))="","Cell will autofill based on response",INDEX('L&amp;R'!$L$10:$L$11,MATCH($F161,'L&amp;R'!$B$10:$B$11,0))),"N/A")</f>
        <v/>
      </c>
      <c r="U161" s="26">
        <f>COUNTIF($H161:$S161,"Cell will autofill based on response")</f>
        <v/>
      </c>
      <c r="V161" s="26">
        <f>COUNTIF($H161:$S161,"Not yet started")</f>
        <v/>
      </c>
      <c r="W161" s="26">
        <f>COUNTIF($H161:$S161,"Not met")</f>
        <v/>
      </c>
      <c r="X161" s="26">
        <f>COUNTIF($H161:$S161,"Partially met")</f>
        <v/>
      </c>
      <c r="Y161" s="26">
        <f>COUNTIF($H161:$S161,"Met or exceeded")</f>
        <v/>
      </c>
      <c r="Z161" s="26">
        <f>3*Y161+2*X161+W161</f>
        <v/>
      </c>
      <c r="AA161" s="26">
        <f>Y161+X161+W161+V161</f>
        <v/>
      </c>
      <c r="AB161" s="27">
        <f>IF(AA161&gt;0,Z161/AA161,"No valid responses to date")</f>
        <v/>
      </c>
      <c r="AC161" s="26">
        <f>IF(ISNUMBER(AB161),INDEX(Lists!$G$2:$G$5,MATCH(ROUND(AB161,0),Lists!$H$2:$H$5,0)),"")</f>
        <v/>
      </c>
      <c r="AD161" s="28">
        <f>IF(AA161&gt;0,Y161/AA161,"")</f>
        <v/>
      </c>
      <c r="AE161" s="28">
        <f>IF(AA161&gt;0,(Y161+X161)/AA161,"")</f>
        <v/>
      </c>
      <c r="AF161" s="26">
        <f>IF(AA161=0,"",IF(AD161&gt;0.75,"Met or exceeded",IF(AE161&gt;=0.5,"Partially met","Not met")))</f>
        <v/>
      </c>
    </row>
    <row r="162">
      <c r="A162">
        <f>F162&amp;"|"&amp;G162</f>
        <v/>
      </c>
      <c r="B162" s="29" t="inlineStr"/>
      <c r="C162" s="8" t="inlineStr"/>
      <c r="D162" s="8" t="inlineStr"/>
      <c r="E162" s="8" t="inlineStr"/>
      <c r="F162" s="8" t="inlineStr">
        <is>
          <t>NB1(c)</t>
        </is>
      </c>
      <c r="G162" s="8" t="inlineStr">
        <is>
          <t>OPTION 1:  Target-level reporting</t>
        </is>
      </c>
      <c r="H162" s="25">
        <f>IFERROR(IF(INDEX('Faculties'!$M$10:$M$30,MATCH($F162,'Faculties'!$B$10:$B$30,0))="","Cell will autofill based on response",INDEX('Faculties'!$M$10:$M$30,MATCH($F162,'Faculties'!$B$10:$B$30,0))),"N/A")</f>
        <v/>
      </c>
      <c r="I162" s="25">
        <f>IFERROR(IF(INDEX('Faculties'!$M$37:$M$57,MATCH($F162,'Faculties'!$B$37:$B$57,0))="","Cell will autofill based on response",INDEX('Faculties'!$M$37:$M$57,MATCH($F162,'Faculties'!$B$37:$B$57,0))),"N/A")</f>
        <v/>
      </c>
      <c r="J162" s="25">
        <f>IFERROR(IF(INDEX('Faculties'!$M$64:$M$84,MATCH($F162,'Faculties'!$B$64:$B$84,0))="","Cell will autofill based on response",INDEX('Faculties'!$M$64:$M$84,MATCH($F162,'Faculties'!$B$64:$B$84,0))),"N/A")</f>
        <v/>
      </c>
      <c r="K162" s="25">
        <f>IFERROR(IF(INDEX('Faculties'!$M$91:$M$111,MATCH($F162,'Faculties'!$B$91:$B$111,0))="","Cell will autofill based on response",INDEX('Faculties'!$M$91:$M$111,MATCH($F162,'Faculties'!$B$91:$B$111,0))),"N/A")</f>
        <v/>
      </c>
      <c r="L162" s="25">
        <f>IFERROR(IF(INDEX('CI&amp;S'!$M$10:$M$15,MATCH($F162,'CI&amp;S'!$B$10:$B$15,0))="","Cell will autofill based on response",INDEX('CI&amp;S'!$M$10:$M$15,MATCH($F162,'CI&amp;S'!$B$10:$B$15,0))),"N/A")</f>
        <v/>
      </c>
      <c r="M162" s="25">
        <f>IFERROR(IF(INDEX('CI&amp;S'!$M$22:$M$39,MATCH($F162,'CI&amp;S'!$B$22:$B$39,0))="","Cell will autofill based on response",INDEX('CI&amp;S'!$M$22:$M$39,MATCH($F162,'CI&amp;S'!$B$22:$B$39,0))),"N/A")</f>
        <v/>
      </c>
      <c r="N162" s="25">
        <f>IFERROR(IF(INDEX('CFOG'!$M$10:$M$16,MATCH($F162,'CFOG'!$B$10:$B$16,0))="","Cell will autofill based on response",INDEX('CFOG'!$M$10:$M$16,MATCH($F162,'CFOG'!$B$10:$B$16,0))),"N/A")</f>
        <v/>
      </c>
      <c r="O162" s="25">
        <f>IFERROR(IF(INDEX('CFOG'!$M$23:$M$24,MATCH($F162,'CFOG'!$B$23:$B$24,0))="","Cell will autofill based on response",INDEX('CFOG'!$M$23:$M$24,MATCH($F162,'CFOG'!$B$23:$B$24,0))),"N/A")</f>
        <v/>
      </c>
      <c r="P162" s="25">
        <f>IFERROR(IF(INDEX('ESG'!$M$10:$M$17,MATCH($F162,'ESG'!$B$10:$B$17,0))="","Cell will autofill based on response",INDEX('ESG'!$M$10:$M$17,MATCH($F162,'ESG'!$B$10:$B$17,0))),"N/A")</f>
        <v/>
      </c>
      <c r="Q162" s="25">
        <f>IFERROR(IF(INDEX('CIOG'!$M$10:$M$14,MATCH($F162,'CIOG'!$B$10:$B$14,0))="","Cell will autofill based on response",INDEX('CIOG'!$M$10:$M$14,MATCH($F162,'CIOG'!$B$10:$B$14,0))),"N/A")</f>
        <v/>
      </c>
      <c r="R162" s="25">
        <f>IFERROR(IF(INDEX('MRE'!$M$10:$M$12,MATCH($F162,'MRE'!$B$10:$B$12,0))="","Cell will autofill based on response",INDEX('MRE'!$M$10:$M$12,MATCH($F162,'MRE'!$B$10:$B$12,0))),"N/A")</f>
        <v/>
      </c>
      <c r="S162" s="25">
        <f>IFERROR(IF(INDEX('L&amp;R'!$M$10:$M$11,MATCH($F162,'L&amp;R'!$B$10:$B$11,0))="","Cell will autofill based on response",INDEX('L&amp;R'!$M$10:$M$11,MATCH($F162,'L&amp;R'!$B$10:$B$11,0))),"N/A")</f>
        <v/>
      </c>
    </row>
    <row r="163">
      <c r="A163">
        <f>F163&amp;"|"&amp;G163</f>
        <v/>
      </c>
      <c r="B163" s="29" t="inlineStr"/>
      <c r="C163" s="8" t="inlineStr"/>
      <c r="D163" s="8" t="inlineStr"/>
      <c r="E163" s="8" t="inlineStr"/>
      <c r="F163" s="8" t="inlineStr">
        <is>
          <t>NB1(c)</t>
        </is>
      </c>
      <c r="G163" s="8" t="inlineStr">
        <is>
          <t>OPTION 2:  Indicator level reporting</t>
        </is>
      </c>
      <c r="H163" s="25">
        <f>IFERROR(IF(INDEX('Faculties'!$N$10:$N$30,MATCH($F163,'Faculties'!$B$10:$B$30,0))="","Cell will autofill based on response",INDEX('Faculties'!$N$10:$N$30,MATCH($F163,'Faculties'!$B$10:$B$30,0))),"N/A")</f>
        <v/>
      </c>
      <c r="I163" s="25">
        <f>IFERROR(IF(INDEX('Faculties'!$N$37:$N$57,MATCH($F163,'Faculties'!$B$37:$B$57,0))="","Cell will autofill based on response",INDEX('Faculties'!$N$37:$N$57,MATCH($F163,'Faculties'!$B$37:$B$57,0))),"N/A")</f>
        <v/>
      </c>
      <c r="J163" s="25">
        <f>IFERROR(IF(INDEX('Faculties'!$N$64:$N$84,MATCH($F163,'Faculties'!$B$64:$B$84,0))="","Cell will autofill based on response",INDEX('Faculties'!$N$64:$N$84,MATCH($F163,'Faculties'!$B$64:$B$84,0))),"N/A")</f>
        <v/>
      </c>
      <c r="K163" s="25">
        <f>IFERROR(IF(INDEX('Faculties'!$N$91:$N$111,MATCH($F163,'Faculties'!$B$91:$B$111,0))="","Cell will autofill based on response",INDEX('Faculties'!$N$91:$N$111,MATCH($F163,'Faculties'!$B$91:$B$111,0))),"N/A")</f>
        <v/>
      </c>
      <c r="L163" s="25">
        <f>IFERROR(IF(INDEX('CI&amp;S'!$N$10:$N$15,MATCH($F163,'CI&amp;S'!$B$10:$B$15,0))="","Cell will autofill based on response",INDEX('CI&amp;S'!$N$10:$N$15,MATCH($F163,'CI&amp;S'!$B$10:$B$15,0))),"N/A")</f>
        <v/>
      </c>
      <c r="M163" s="25">
        <f>IFERROR(IF(INDEX('CI&amp;S'!$N$22:$N$39,MATCH($F163,'CI&amp;S'!$B$22:$B$39,0))="","Cell will autofill based on response",INDEX('CI&amp;S'!$N$22:$N$39,MATCH($F163,'CI&amp;S'!$B$22:$B$39,0))),"N/A")</f>
        <v/>
      </c>
      <c r="N163" s="25">
        <f>IFERROR(IF(INDEX('CFOG'!$N$10:$N$16,MATCH($F163,'CFOG'!$B$10:$B$16,0))="","Cell will autofill based on response",INDEX('CFOG'!$N$10:$N$16,MATCH($F163,'CFOG'!$B$10:$B$16,0))),"N/A")</f>
        <v/>
      </c>
      <c r="O163" s="25">
        <f>IFERROR(IF(INDEX('CFOG'!$N$23:$N$24,MATCH($F163,'CFOG'!$B$23:$B$24,0))="","Cell will autofill based on response",INDEX('CFOG'!$N$23:$N$24,MATCH($F163,'CFOG'!$B$23:$B$24,0))),"N/A")</f>
        <v/>
      </c>
      <c r="P163" s="25">
        <f>IFERROR(IF(INDEX('ESG'!$N$10:$N$17,MATCH($F163,'ESG'!$B$10:$B$17,0))="","Cell will autofill based on response",INDEX('ESG'!$N$10:$N$17,MATCH($F163,'ESG'!$B$10:$B$17,0))),"N/A")</f>
        <v/>
      </c>
      <c r="Q163" s="25">
        <f>IFERROR(IF(INDEX('CIOG'!$N$10:$N$14,MATCH($F163,'CIOG'!$B$10:$B$14,0))="","Cell will autofill based on response",INDEX('CIOG'!$N$10:$N$14,MATCH($F163,'CIOG'!$B$10:$B$14,0))),"N/A")</f>
        <v/>
      </c>
      <c r="R163" s="25">
        <f>IFERROR(IF(INDEX('MRE'!$N$10:$N$12,MATCH($F163,'MRE'!$B$10:$B$12,0))="","Cell will autofill based on response",INDEX('MRE'!$N$10:$N$12,MATCH($F163,'MRE'!$B$10:$B$12,0))),"N/A")</f>
        <v/>
      </c>
      <c r="S163" s="25">
        <f>IFERROR(IF(INDEX('L&amp;R'!$N$10:$N$11,MATCH($F163,'L&amp;R'!$B$10:$B$11,0))="","Cell will autofill based on response",INDEX('L&amp;R'!$N$10:$N$11,MATCH($F163,'L&amp;R'!$B$10:$B$11,0))),"N/A")</f>
        <v/>
      </c>
    </row>
    <row r="164">
      <c r="A164">
        <f>F164&amp;"|"&amp;G164</f>
        <v/>
      </c>
      <c r="B164" s="29" t="inlineStr"/>
      <c r="C164" s="8" t="inlineStr"/>
      <c r="D164" s="8" t="inlineStr"/>
      <c r="E164" s="8" t="inlineStr"/>
      <c r="F164" s="8" t="inlineStr">
        <is>
          <t>NB1(c)</t>
        </is>
      </c>
      <c r="G164" s="8" t="inlineStr">
        <is>
          <t>Supporting information/comments</t>
        </is>
      </c>
      <c r="H164" s="25">
        <f>IFERROR(IF(INDEX('Faculties'!$O$10:$O$30,MATCH($F164,'Faculties'!$B$10:$B$30,0))="","Cell will autofill based on response",INDEX('Faculties'!$O$10:$O$30,MATCH($F164,'Faculties'!$B$10:$B$30,0))),"N/A")</f>
        <v/>
      </c>
      <c r="I164" s="25">
        <f>IFERROR(IF(INDEX('Faculties'!$O$37:$O$57,MATCH($F164,'Faculties'!$B$37:$B$57,0))="","Cell will autofill based on response",INDEX('Faculties'!$O$37:$O$57,MATCH($F164,'Faculties'!$B$37:$B$57,0))),"N/A")</f>
        <v/>
      </c>
      <c r="J164" s="25">
        <f>IFERROR(IF(INDEX('Faculties'!$O$64:$O$84,MATCH($F164,'Faculties'!$B$64:$B$84,0))="","Cell will autofill based on response",INDEX('Faculties'!$O$64:$O$84,MATCH($F164,'Faculties'!$B$64:$B$84,0))),"N/A")</f>
        <v/>
      </c>
      <c r="K164" s="25">
        <f>IFERROR(IF(INDEX('Faculties'!$O$91:$O$111,MATCH($F164,'Faculties'!$B$91:$B$111,0))="","Cell will autofill based on response",INDEX('Faculties'!$O$91:$O$111,MATCH($F164,'Faculties'!$B$91:$B$111,0))),"N/A")</f>
        <v/>
      </c>
      <c r="L164" s="25">
        <f>IFERROR(IF(INDEX('CI&amp;S'!$O$10:$O$15,MATCH($F164,'CI&amp;S'!$B$10:$B$15,0))="","Cell will autofill based on response",INDEX('CI&amp;S'!$O$10:$O$15,MATCH($F164,'CI&amp;S'!$B$10:$B$15,0))),"N/A")</f>
        <v/>
      </c>
      <c r="M164" s="25">
        <f>IFERROR(IF(INDEX('CI&amp;S'!$O$22:$O$39,MATCH($F164,'CI&amp;S'!$B$22:$B$39,0))="","Cell will autofill based on response",INDEX('CI&amp;S'!$O$22:$O$39,MATCH($F164,'CI&amp;S'!$B$22:$B$39,0))),"N/A")</f>
        <v/>
      </c>
      <c r="N164" s="25">
        <f>IFERROR(IF(INDEX('CFOG'!$O$10:$O$16,MATCH($F164,'CFOG'!$B$10:$B$16,0))="","Cell will autofill based on response",INDEX('CFOG'!$O$10:$O$16,MATCH($F164,'CFOG'!$B$10:$B$16,0))),"N/A")</f>
        <v/>
      </c>
      <c r="O164" s="25">
        <f>IFERROR(IF(INDEX('CFOG'!$O$23:$O$24,MATCH($F164,'CFOG'!$B$23:$B$24,0))="","Cell will autofill based on response",INDEX('CFOG'!$O$23:$O$24,MATCH($F164,'CFOG'!$B$23:$B$24,0))),"N/A")</f>
        <v/>
      </c>
      <c r="P164" s="25">
        <f>IFERROR(IF(INDEX('ESG'!$O$10:$O$17,MATCH($F164,'ESG'!$B$10:$B$17,0))="","Cell will autofill based on response",INDEX('ESG'!$O$10:$O$17,MATCH($F164,'ESG'!$B$10:$B$17,0))),"N/A")</f>
        <v/>
      </c>
      <c r="Q164" s="25">
        <f>IFERROR(IF(INDEX('CIOG'!$O$10:$O$14,MATCH($F164,'CIOG'!$B$10:$B$14,0))="","Cell will autofill based on response",INDEX('CIOG'!$O$10:$O$14,MATCH($F164,'CIOG'!$B$10:$B$14,0))),"N/A")</f>
        <v/>
      </c>
      <c r="R164" s="25">
        <f>IFERROR(IF(INDEX('MRE'!$O$10:$O$12,MATCH($F164,'MRE'!$B$10:$B$12,0))="","Cell will autofill based on response",INDEX('MRE'!$O$10:$O$12,MATCH($F164,'MRE'!$B$10:$B$12,0))),"N/A")</f>
        <v/>
      </c>
      <c r="S164" s="25">
        <f>IFERROR(IF(INDEX('L&amp;R'!$O$10:$O$11,MATCH($F164,'L&amp;R'!$B$10:$B$11,0))="","Cell will autofill based on response",INDEX('L&amp;R'!$O$10:$O$11,MATCH($F164,'L&amp;R'!$B$10:$B$11,0))),"N/A")</f>
        <v/>
      </c>
    </row>
    <row r="165">
      <c r="A165">
        <f>F165&amp;"|"&amp;G165</f>
        <v/>
      </c>
      <c r="B165" s="29" t="inlineStr"/>
      <c r="C165" s="8" t="inlineStr"/>
      <c r="D165" s="8" t="inlineStr"/>
      <c r="E165" s="8" t="inlineStr"/>
      <c r="F165" s="8" t="inlineStr">
        <is>
          <t>NB1(c)</t>
        </is>
      </c>
      <c r="G165" s="8" t="inlineStr">
        <is>
          <t>Data source and limitations</t>
        </is>
      </c>
      <c r="H165" s="25">
        <f>IFERROR(IF(INDEX('Faculties'!$P$10:$P$30,MATCH($F165,'Faculties'!$B$10:$B$30,0))="","Cell will autofill based on response",INDEX('Faculties'!$P$10:$P$30,MATCH($F165,'Faculties'!$B$10:$B$30,0))),"N/A")</f>
        <v/>
      </c>
      <c r="I165" s="25">
        <f>IFERROR(IF(INDEX('Faculties'!$P$37:$P$57,MATCH($F165,'Faculties'!$B$37:$B$57,0))="","Cell will autofill based on response",INDEX('Faculties'!$P$37:$P$57,MATCH($F165,'Faculties'!$B$37:$B$57,0))),"N/A")</f>
        <v/>
      </c>
      <c r="J165" s="25">
        <f>IFERROR(IF(INDEX('Faculties'!$P$64:$P$84,MATCH($F165,'Faculties'!$B$64:$B$84,0))="","Cell will autofill based on response",INDEX('Faculties'!$P$64:$P$84,MATCH($F165,'Faculties'!$B$64:$B$84,0))),"N/A")</f>
        <v/>
      </c>
      <c r="K165" s="25">
        <f>IFERROR(IF(INDEX('Faculties'!$P$91:$P$111,MATCH($F165,'Faculties'!$B$91:$B$111,0))="","Cell will autofill based on response",INDEX('Faculties'!$P$91:$P$111,MATCH($F165,'Faculties'!$B$91:$B$111,0))),"N/A")</f>
        <v/>
      </c>
      <c r="L165" s="25">
        <f>IFERROR(IF(INDEX('CI&amp;S'!$P$10:$P$15,MATCH($F165,'CI&amp;S'!$B$10:$B$15,0))="","Cell will autofill based on response",INDEX('CI&amp;S'!$P$10:$P$15,MATCH($F165,'CI&amp;S'!$B$10:$B$15,0))),"N/A")</f>
        <v/>
      </c>
      <c r="M165" s="25">
        <f>IFERROR(IF(INDEX('CI&amp;S'!$P$22:$P$39,MATCH($F165,'CI&amp;S'!$B$22:$B$39,0))="","Cell will autofill based on response",INDEX('CI&amp;S'!$P$22:$P$39,MATCH($F165,'CI&amp;S'!$B$22:$B$39,0))),"N/A")</f>
        <v/>
      </c>
      <c r="N165" s="25">
        <f>IFERROR(IF(INDEX('CFOG'!$P$10:$P$16,MATCH($F165,'CFOG'!$B$10:$B$16,0))="","Cell will autofill based on response",INDEX('CFOG'!$P$10:$P$16,MATCH($F165,'CFOG'!$B$10:$B$16,0))),"N/A")</f>
        <v/>
      </c>
      <c r="O165" s="25">
        <f>IFERROR(IF(INDEX('CFOG'!$P$23:$P$24,MATCH($F165,'CFOG'!$B$23:$B$24,0))="","Cell will autofill based on response",INDEX('CFOG'!$P$23:$P$24,MATCH($F165,'CFOG'!$B$23:$B$24,0))),"N/A")</f>
        <v/>
      </c>
      <c r="P165" s="25">
        <f>IFERROR(IF(INDEX('ESG'!$P$10:$P$17,MATCH($F165,'ESG'!$B$10:$B$17,0))="","Cell will autofill based on response",INDEX('ESG'!$P$10:$P$17,MATCH($F165,'ESG'!$B$10:$B$17,0))),"N/A")</f>
        <v/>
      </c>
      <c r="Q165" s="25">
        <f>IFERROR(IF(INDEX('CIOG'!$P$10:$P$14,MATCH($F165,'CIOG'!$B$10:$B$14,0))="","Cell will autofill based on response",INDEX('CIOG'!$P$10:$P$14,MATCH($F165,'CIOG'!$B$10:$B$14,0))),"N/A")</f>
        <v/>
      </c>
      <c r="R165" s="25">
        <f>IFERROR(IF(INDEX('MRE'!$P$10:$P$12,MATCH($F165,'MRE'!$B$10:$B$12,0))="","Cell will autofill based on response",INDEX('MRE'!$P$10:$P$12,MATCH($F165,'MRE'!$B$10:$B$12,0))),"N/A")</f>
        <v/>
      </c>
      <c r="S165" s="25">
        <f>IFERROR(IF(INDEX('L&amp;R'!$P$10:$P$11,MATCH($F165,'L&amp;R'!$B$10:$B$11,0))="","Cell will autofill based on response",INDEX('L&amp;R'!$P$10:$P$11,MATCH($F165,'L&amp;R'!$B$10:$B$11,0))),"N/A")</f>
        <v/>
      </c>
    </row>
    <row r="166">
      <c r="A166">
        <f>F166&amp;"|"&amp;G166</f>
        <v/>
      </c>
      <c r="B166" s="29" t="inlineStr"/>
      <c r="C166" s="8" t="inlineStr"/>
      <c r="D166" s="8" t="inlineStr"/>
      <c r="E166" s="8" t="inlineStr"/>
      <c r="F166" s="8" t="inlineStr">
        <is>
          <t>NB1(c)</t>
        </is>
      </c>
      <c r="G166" s="8" t="inlineStr">
        <is>
          <t>Data owner confirms</t>
        </is>
      </c>
      <c r="H166" s="25">
        <f>IFERROR(IF(INDEX('Faculties'!$Q$10:$Q$30,MATCH($F166,'Faculties'!$B$10:$B$30,0))="","Cell will autofill based on response",INDEX('Faculties'!$Q$10:$Q$30,MATCH($F166,'Faculties'!$B$10:$B$30,0))),"N/A")</f>
        <v/>
      </c>
      <c r="I166" s="25">
        <f>IFERROR(IF(INDEX('Faculties'!$Q$37:$Q$57,MATCH($F166,'Faculties'!$B$37:$B$57,0))="","Cell will autofill based on response",INDEX('Faculties'!$Q$37:$Q$57,MATCH($F166,'Faculties'!$B$37:$B$57,0))),"N/A")</f>
        <v/>
      </c>
      <c r="J166" s="25">
        <f>IFERROR(IF(INDEX('Faculties'!$Q$64:$Q$84,MATCH($F166,'Faculties'!$B$64:$B$84,0))="","Cell will autofill based on response",INDEX('Faculties'!$Q$64:$Q$84,MATCH($F166,'Faculties'!$B$64:$B$84,0))),"N/A")</f>
        <v/>
      </c>
      <c r="K166" s="25">
        <f>IFERROR(IF(INDEX('Faculties'!$Q$91:$Q$111,MATCH($F166,'Faculties'!$B$91:$B$111,0))="","Cell will autofill based on response",INDEX('Faculties'!$Q$91:$Q$111,MATCH($F166,'Faculties'!$B$91:$B$111,0))),"N/A")</f>
        <v/>
      </c>
      <c r="L166" s="25">
        <f>IFERROR(IF(INDEX('CI&amp;S'!$Q$10:$Q$15,MATCH($F166,'CI&amp;S'!$B$10:$B$15,0))="","Cell will autofill based on response",INDEX('CI&amp;S'!$Q$10:$Q$15,MATCH($F166,'CI&amp;S'!$B$10:$B$15,0))),"N/A")</f>
        <v/>
      </c>
      <c r="M166" s="25">
        <f>IFERROR(IF(INDEX('CI&amp;S'!$Q$22:$Q$39,MATCH($F166,'CI&amp;S'!$B$22:$B$39,0))="","Cell will autofill based on response",INDEX('CI&amp;S'!$Q$22:$Q$39,MATCH($F166,'CI&amp;S'!$B$22:$B$39,0))),"N/A")</f>
        <v/>
      </c>
      <c r="N166" s="25">
        <f>IFERROR(IF(INDEX('CFOG'!$Q$10:$Q$16,MATCH($F166,'CFOG'!$B$10:$B$16,0))="","Cell will autofill based on response",INDEX('CFOG'!$Q$10:$Q$16,MATCH($F166,'CFOG'!$B$10:$B$16,0))),"N/A")</f>
        <v/>
      </c>
      <c r="O166" s="25">
        <f>IFERROR(IF(INDEX('CFOG'!$Q$23:$Q$24,MATCH($F166,'CFOG'!$B$23:$B$24,0))="","Cell will autofill based on response",INDEX('CFOG'!$Q$23:$Q$24,MATCH($F166,'CFOG'!$B$23:$B$24,0))),"N/A")</f>
        <v/>
      </c>
      <c r="P166" s="25">
        <f>IFERROR(IF(INDEX('ESG'!$Q$10:$Q$17,MATCH($F166,'ESG'!$B$10:$B$17,0))="","Cell will autofill based on response",INDEX('ESG'!$Q$10:$Q$17,MATCH($F166,'ESG'!$B$10:$B$17,0))),"N/A")</f>
        <v/>
      </c>
      <c r="Q166" s="25">
        <f>IFERROR(IF(INDEX('CIOG'!$Q$10:$Q$14,MATCH($F166,'CIOG'!$B$10:$B$14,0))="","Cell will autofill based on response",INDEX('CIOG'!$Q$10:$Q$14,MATCH($F166,'CIOG'!$B$10:$B$14,0))),"N/A")</f>
        <v/>
      </c>
      <c r="R166" s="25">
        <f>IFERROR(IF(INDEX('MRE'!$Q$10:$Q$12,MATCH($F166,'MRE'!$B$10:$B$12,0))="","Cell will autofill based on response",INDEX('MRE'!$Q$10:$Q$12,MATCH($F166,'MRE'!$B$10:$B$12,0))),"N/A")</f>
        <v/>
      </c>
      <c r="S166" s="25">
        <f>IFERROR(IF(INDEX('L&amp;R'!$Q$10:$Q$11,MATCH($F166,'L&amp;R'!$B$10:$B$11,0))="","Cell will autofill based on response",INDEX('L&amp;R'!$Q$10:$Q$11,MATCH($F166,'L&amp;R'!$B$10:$B$11,0))),"N/A")</f>
        <v/>
      </c>
    </row>
    <row r="167">
      <c r="A167">
        <f>F167&amp;"|"&amp;G167</f>
        <v/>
      </c>
      <c r="B167" s="7" t="inlineStr">
        <is>
          <t>NB1(d)</t>
        </is>
      </c>
      <c r="C167" s="12" t="inlineStr">
        <is>
          <t>Nature and biodiversity</t>
        </is>
      </c>
      <c r="D167" s="12" t="inlineStr">
        <is>
          <t>Defined and quantified campus connectivity</t>
        </is>
      </c>
      <c r="E167" s="12" t="inlineStr">
        <is>
          <t>Please provide the current definition and quantified assessment of campus ecological connectivity, could include the methodology used, campuses covered, baseline or benchmark values, and any material change over the reporting period.</t>
        </is>
      </c>
      <c r="F167" s="12" t="inlineStr">
        <is>
          <t>NB1(d)</t>
        </is>
      </c>
      <c r="G167" s="12" t="inlineStr">
        <is>
          <t>Confirm end-2026 target status</t>
        </is>
      </c>
      <c r="H167" s="25">
        <f>IFERROR(IF(INDEX('Faculties'!$L$10:$L$30,MATCH($F167,'Faculties'!$B$10:$B$30,0))="","Cell will autofill based on response",INDEX('Faculties'!$L$10:$L$30,MATCH($F167,'Faculties'!$B$10:$B$30,0))),"N/A")</f>
        <v/>
      </c>
      <c r="I167" s="25">
        <f>IFERROR(IF(INDEX('Faculties'!$L$37:$L$57,MATCH($F167,'Faculties'!$B$37:$B$57,0))="","Cell will autofill based on response",INDEX('Faculties'!$L$37:$L$57,MATCH($F167,'Faculties'!$B$37:$B$57,0))),"N/A")</f>
        <v/>
      </c>
      <c r="J167" s="25">
        <f>IFERROR(IF(INDEX('Faculties'!$L$64:$L$84,MATCH($F167,'Faculties'!$B$64:$B$84,0))="","Cell will autofill based on response",INDEX('Faculties'!$L$64:$L$84,MATCH($F167,'Faculties'!$B$64:$B$84,0))),"N/A")</f>
        <v/>
      </c>
      <c r="K167" s="25">
        <f>IFERROR(IF(INDEX('Faculties'!$L$91:$L$111,MATCH($F167,'Faculties'!$B$91:$B$111,0))="","Cell will autofill based on response",INDEX('Faculties'!$L$91:$L$111,MATCH($F167,'Faculties'!$B$91:$B$111,0))),"N/A")</f>
        <v/>
      </c>
      <c r="L167" s="25">
        <f>IFERROR(IF(INDEX('CI&amp;S'!$L$10:$L$15,MATCH($F167,'CI&amp;S'!$B$10:$B$15,0))="","Cell will autofill based on response",INDEX('CI&amp;S'!$L$10:$L$15,MATCH($F167,'CI&amp;S'!$B$10:$B$15,0))),"N/A")</f>
        <v/>
      </c>
      <c r="M167" s="25">
        <f>IFERROR(IF(INDEX('CI&amp;S'!$L$22:$L$39,MATCH($F167,'CI&amp;S'!$B$22:$B$39,0))="","Cell will autofill based on response",INDEX('CI&amp;S'!$L$22:$L$39,MATCH($F167,'CI&amp;S'!$B$22:$B$39,0))),"N/A")</f>
        <v/>
      </c>
      <c r="N167" s="25">
        <f>IFERROR(IF(INDEX('CFOG'!$L$10:$L$16,MATCH($F167,'CFOG'!$B$10:$B$16,0))="","Cell will autofill based on response",INDEX('CFOG'!$L$10:$L$16,MATCH($F167,'CFOG'!$B$10:$B$16,0))),"N/A")</f>
        <v/>
      </c>
      <c r="O167" s="25">
        <f>IFERROR(IF(INDEX('CFOG'!$L$23:$L$24,MATCH($F167,'CFOG'!$B$23:$B$24,0))="","Cell will autofill based on response",INDEX('CFOG'!$L$23:$L$24,MATCH($F167,'CFOG'!$B$23:$B$24,0))),"N/A")</f>
        <v/>
      </c>
      <c r="P167" s="25">
        <f>IFERROR(IF(INDEX('ESG'!$L$10:$L$17,MATCH($F167,'ESG'!$B$10:$B$17,0))="","Cell will autofill based on response",INDEX('ESG'!$L$10:$L$17,MATCH($F167,'ESG'!$B$10:$B$17,0))),"N/A")</f>
        <v/>
      </c>
      <c r="Q167" s="25">
        <f>IFERROR(IF(INDEX('CIOG'!$L$10:$L$14,MATCH($F167,'CIOG'!$B$10:$B$14,0))="","Cell will autofill based on response",INDEX('CIOG'!$L$10:$L$14,MATCH($F167,'CIOG'!$B$10:$B$14,0))),"N/A")</f>
        <v/>
      </c>
      <c r="R167" s="25">
        <f>IFERROR(IF(INDEX('MRE'!$L$10:$L$12,MATCH($F167,'MRE'!$B$10:$B$12,0))="","Cell will autofill based on response",INDEX('MRE'!$L$10:$L$12,MATCH($F167,'MRE'!$B$10:$B$12,0))),"N/A")</f>
        <v/>
      </c>
      <c r="S167" s="25">
        <f>IFERROR(IF(INDEX('L&amp;R'!$L$10:$L$11,MATCH($F167,'L&amp;R'!$B$10:$B$11,0))="","Cell will autofill based on response",INDEX('L&amp;R'!$L$10:$L$11,MATCH($F167,'L&amp;R'!$B$10:$B$11,0))),"N/A")</f>
        <v/>
      </c>
      <c r="U167" s="26">
        <f>COUNTIF($H167:$S167,"Cell will autofill based on response")</f>
        <v/>
      </c>
      <c r="V167" s="26">
        <f>COUNTIF($H167:$S167,"Not yet started")</f>
        <v/>
      </c>
      <c r="W167" s="26">
        <f>COUNTIF($H167:$S167,"Not met")</f>
        <v/>
      </c>
      <c r="X167" s="26">
        <f>COUNTIF($H167:$S167,"Partially met")</f>
        <v/>
      </c>
      <c r="Y167" s="26">
        <f>COUNTIF($H167:$S167,"Met or exceeded")</f>
        <v/>
      </c>
      <c r="Z167" s="26">
        <f>3*Y167+2*X167+W167</f>
        <v/>
      </c>
      <c r="AA167" s="26">
        <f>Y167+X167+W167+V167</f>
        <v/>
      </c>
      <c r="AB167" s="27">
        <f>IF(AA167&gt;0,Z167/AA167,"No valid responses to date")</f>
        <v/>
      </c>
      <c r="AC167" s="26">
        <f>IF(ISNUMBER(AB167),INDEX(Lists!$G$2:$G$5,MATCH(ROUND(AB167,0),Lists!$H$2:$H$5,0)),"")</f>
        <v/>
      </c>
      <c r="AD167" s="28">
        <f>IF(AA167&gt;0,Y167/AA167,"")</f>
        <v/>
      </c>
      <c r="AE167" s="28">
        <f>IF(AA167&gt;0,(Y167+X167)/AA167,"")</f>
        <v/>
      </c>
      <c r="AF167" s="26">
        <f>IF(AA167=0,"",IF(AD167&gt;0.75,"Met or exceeded",IF(AE167&gt;=0.5,"Partially met","Not met")))</f>
        <v/>
      </c>
    </row>
    <row r="168">
      <c r="A168">
        <f>F168&amp;"|"&amp;G168</f>
        <v/>
      </c>
      <c r="B168" s="29" t="inlineStr"/>
      <c r="C168" s="8" t="inlineStr"/>
      <c r="D168" s="8" t="inlineStr"/>
      <c r="E168" s="8" t="inlineStr"/>
      <c r="F168" s="8" t="inlineStr">
        <is>
          <t>NB1(d)</t>
        </is>
      </c>
      <c r="G168" s="8" t="inlineStr">
        <is>
          <t>OPTION 1:  Target-level reporting</t>
        </is>
      </c>
      <c r="H168" s="25">
        <f>IFERROR(IF(INDEX('Faculties'!$M$10:$M$30,MATCH($F168,'Faculties'!$B$10:$B$30,0))="","Cell will autofill based on response",INDEX('Faculties'!$M$10:$M$30,MATCH($F168,'Faculties'!$B$10:$B$30,0))),"N/A")</f>
        <v/>
      </c>
      <c r="I168" s="25">
        <f>IFERROR(IF(INDEX('Faculties'!$M$37:$M$57,MATCH($F168,'Faculties'!$B$37:$B$57,0))="","Cell will autofill based on response",INDEX('Faculties'!$M$37:$M$57,MATCH($F168,'Faculties'!$B$37:$B$57,0))),"N/A")</f>
        <v/>
      </c>
      <c r="J168" s="25">
        <f>IFERROR(IF(INDEX('Faculties'!$M$64:$M$84,MATCH($F168,'Faculties'!$B$64:$B$84,0))="","Cell will autofill based on response",INDEX('Faculties'!$M$64:$M$84,MATCH($F168,'Faculties'!$B$64:$B$84,0))),"N/A")</f>
        <v/>
      </c>
      <c r="K168" s="25">
        <f>IFERROR(IF(INDEX('Faculties'!$M$91:$M$111,MATCH($F168,'Faculties'!$B$91:$B$111,0))="","Cell will autofill based on response",INDEX('Faculties'!$M$91:$M$111,MATCH($F168,'Faculties'!$B$91:$B$111,0))),"N/A")</f>
        <v/>
      </c>
      <c r="L168" s="25">
        <f>IFERROR(IF(INDEX('CI&amp;S'!$M$10:$M$15,MATCH($F168,'CI&amp;S'!$B$10:$B$15,0))="","Cell will autofill based on response",INDEX('CI&amp;S'!$M$10:$M$15,MATCH($F168,'CI&amp;S'!$B$10:$B$15,0))),"N/A")</f>
        <v/>
      </c>
      <c r="M168" s="25">
        <f>IFERROR(IF(INDEX('CI&amp;S'!$M$22:$M$39,MATCH($F168,'CI&amp;S'!$B$22:$B$39,0))="","Cell will autofill based on response",INDEX('CI&amp;S'!$M$22:$M$39,MATCH($F168,'CI&amp;S'!$B$22:$B$39,0))),"N/A")</f>
        <v/>
      </c>
      <c r="N168" s="25">
        <f>IFERROR(IF(INDEX('CFOG'!$M$10:$M$16,MATCH($F168,'CFOG'!$B$10:$B$16,0))="","Cell will autofill based on response",INDEX('CFOG'!$M$10:$M$16,MATCH($F168,'CFOG'!$B$10:$B$16,0))),"N/A")</f>
        <v/>
      </c>
      <c r="O168" s="25">
        <f>IFERROR(IF(INDEX('CFOG'!$M$23:$M$24,MATCH($F168,'CFOG'!$B$23:$B$24,0))="","Cell will autofill based on response",INDEX('CFOG'!$M$23:$M$24,MATCH($F168,'CFOG'!$B$23:$B$24,0))),"N/A")</f>
        <v/>
      </c>
      <c r="P168" s="25">
        <f>IFERROR(IF(INDEX('ESG'!$M$10:$M$17,MATCH($F168,'ESG'!$B$10:$B$17,0))="","Cell will autofill based on response",INDEX('ESG'!$M$10:$M$17,MATCH($F168,'ESG'!$B$10:$B$17,0))),"N/A")</f>
        <v/>
      </c>
      <c r="Q168" s="25">
        <f>IFERROR(IF(INDEX('CIOG'!$M$10:$M$14,MATCH($F168,'CIOG'!$B$10:$B$14,0))="","Cell will autofill based on response",INDEX('CIOG'!$M$10:$M$14,MATCH($F168,'CIOG'!$B$10:$B$14,0))),"N/A")</f>
        <v/>
      </c>
      <c r="R168" s="25">
        <f>IFERROR(IF(INDEX('MRE'!$M$10:$M$12,MATCH($F168,'MRE'!$B$10:$B$12,0))="","Cell will autofill based on response",INDEX('MRE'!$M$10:$M$12,MATCH($F168,'MRE'!$B$10:$B$12,0))),"N/A")</f>
        <v/>
      </c>
      <c r="S168" s="25">
        <f>IFERROR(IF(INDEX('L&amp;R'!$M$10:$M$11,MATCH($F168,'L&amp;R'!$B$10:$B$11,0))="","Cell will autofill based on response",INDEX('L&amp;R'!$M$10:$M$11,MATCH($F168,'L&amp;R'!$B$10:$B$11,0))),"N/A")</f>
        <v/>
      </c>
    </row>
    <row r="169">
      <c r="A169">
        <f>F169&amp;"|"&amp;G169</f>
        <v/>
      </c>
      <c r="B169" s="29" t="inlineStr"/>
      <c r="C169" s="8" t="inlineStr"/>
      <c r="D169" s="8" t="inlineStr"/>
      <c r="E169" s="8" t="inlineStr"/>
      <c r="F169" s="8" t="inlineStr">
        <is>
          <t>NB1(d)</t>
        </is>
      </c>
      <c r="G169" s="8" t="inlineStr">
        <is>
          <t>OPTION 2:  Indicator level reporting</t>
        </is>
      </c>
      <c r="H169" s="25">
        <f>IFERROR(IF(INDEX('Faculties'!$N$10:$N$30,MATCH($F169,'Faculties'!$B$10:$B$30,0))="","Cell will autofill based on response",INDEX('Faculties'!$N$10:$N$30,MATCH($F169,'Faculties'!$B$10:$B$30,0))),"N/A")</f>
        <v/>
      </c>
      <c r="I169" s="25">
        <f>IFERROR(IF(INDEX('Faculties'!$N$37:$N$57,MATCH($F169,'Faculties'!$B$37:$B$57,0))="","Cell will autofill based on response",INDEX('Faculties'!$N$37:$N$57,MATCH($F169,'Faculties'!$B$37:$B$57,0))),"N/A")</f>
        <v/>
      </c>
      <c r="J169" s="25">
        <f>IFERROR(IF(INDEX('Faculties'!$N$64:$N$84,MATCH($F169,'Faculties'!$B$64:$B$84,0))="","Cell will autofill based on response",INDEX('Faculties'!$N$64:$N$84,MATCH($F169,'Faculties'!$B$64:$B$84,0))),"N/A")</f>
        <v/>
      </c>
      <c r="K169" s="25">
        <f>IFERROR(IF(INDEX('Faculties'!$N$91:$N$111,MATCH($F169,'Faculties'!$B$91:$B$111,0))="","Cell will autofill based on response",INDEX('Faculties'!$N$91:$N$111,MATCH($F169,'Faculties'!$B$91:$B$111,0))),"N/A")</f>
        <v/>
      </c>
      <c r="L169" s="25">
        <f>IFERROR(IF(INDEX('CI&amp;S'!$N$10:$N$15,MATCH($F169,'CI&amp;S'!$B$10:$B$15,0))="","Cell will autofill based on response",INDEX('CI&amp;S'!$N$10:$N$15,MATCH($F169,'CI&amp;S'!$B$10:$B$15,0))),"N/A")</f>
        <v/>
      </c>
      <c r="M169" s="25">
        <f>IFERROR(IF(INDEX('CI&amp;S'!$N$22:$N$39,MATCH($F169,'CI&amp;S'!$B$22:$B$39,0))="","Cell will autofill based on response",INDEX('CI&amp;S'!$N$22:$N$39,MATCH($F169,'CI&amp;S'!$B$22:$B$39,0))),"N/A")</f>
        <v/>
      </c>
      <c r="N169" s="25">
        <f>IFERROR(IF(INDEX('CFOG'!$N$10:$N$16,MATCH($F169,'CFOG'!$B$10:$B$16,0))="","Cell will autofill based on response",INDEX('CFOG'!$N$10:$N$16,MATCH($F169,'CFOG'!$B$10:$B$16,0))),"N/A")</f>
        <v/>
      </c>
      <c r="O169" s="25">
        <f>IFERROR(IF(INDEX('CFOG'!$N$23:$N$24,MATCH($F169,'CFOG'!$B$23:$B$24,0))="","Cell will autofill based on response",INDEX('CFOG'!$N$23:$N$24,MATCH($F169,'CFOG'!$B$23:$B$24,0))),"N/A")</f>
        <v/>
      </c>
      <c r="P169" s="25">
        <f>IFERROR(IF(INDEX('ESG'!$N$10:$N$17,MATCH($F169,'ESG'!$B$10:$B$17,0))="","Cell will autofill based on response",INDEX('ESG'!$N$10:$N$17,MATCH($F169,'ESG'!$B$10:$B$17,0))),"N/A")</f>
        <v/>
      </c>
      <c r="Q169" s="25">
        <f>IFERROR(IF(INDEX('CIOG'!$N$10:$N$14,MATCH($F169,'CIOG'!$B$10:$B$14,0))="","Cell will autofill based on response",INDEX('CIOG'!$N$10:$N$14,MATCH($F169,'CIOG'!$B$10:$B$14,0))),"N/A")</f>
        <v/>
      </c>
      <c r="R169" s="25">
        <f>IFERROR(IF(INDEX('MRE'!$N$10:$N$12,MATCH($F169,'MRE'!$B$10:$B$12,0))="","Cell will autofill based on response",INDEX('MRE'!$N$10:$N$12,MATCH($F169,'MRE'!$B$10:$B$12,0))),"N/A")</f>
        <v/>
      </c>
      <c r="S169" s="25">
        <f>IFERROR(IF(INDEX('L&amp;R'!$N$10:$N$11,MATCH($F169,'L&amp;R'!$B$10:$B$11,0))="","Cell will autofill based on response",INDEX('L&amp;R'!$N$10:$N$11,MATCH($F169,'L&amp;R'!$B$10:$B$11,0))),"N/A")</f>
        <v/>
      </c>
    </row>
    <row r="170">
      <c r="A170">
        <f>F170&amp;"|"&amp;G170</f>
        <v/>
      </c>
      <c r="B170" s="29" t="inlineStr"/>
      <c r="C170" s="8" t="inlineStr"/>
      <c r="D170" s="8" t="inlineStr"/>
      <c r="E170" s="8" t="inlineStr"/>
      <c r="F170" s="8" t="inlineStr">
        <is>
          <t>NB1(d)</t>
        </is>
      </c>
      <c r="G170" s="8" t="inlineStr">
        <is>
          <t>Supporting information/comments</t>
        </is>
      </c>
      <c r="H170" s="25">
        <f>IFERROR(IF(INDEX('Faculties'!$O$10:$O$30,MATCH($F170,'Faculties'!$B$10:$B$30,0))="","Cell will autofill based on response",INDEX('Faculties'!$O$10:$O$30,MATCH($F170,'Faculties'!$B$10:$B$30,0))),"N/A")</f>
        <v/>
      </c>
      <c r="I170" s="25">
        <f>IFERROR(IF(INDEX('Faculties'!$O$37:$O$57,MATCH($F170,'Faculties'!$B$37:$B$57,0))="","Cell will autofill based on response",INDEX('Faculties'!$O$37:$O$57,MATCH($F170,'Faculties'!$B$37:$B$57,0))),"N/A")</f>
        <v/>
      </c>
      <c r="J170" s="25">
        <f>IFERROR(IF(INDEX('Faculties'!$O$64:$O$84,MATCH($F170,'Faculties'!$B$64:$B$84,0))="","Cell will autofill based on response",INDEX('Faculties'!$O$64:$O$84,MATCH($F170,'Faculties'!$B$64:$B$84,0))),"N/A")</f>
        <v/>
      </c>
      <c r="K170" s="25">
        <f>IFERROR(IF(INDEX('Faculties'!$O$91:$O$111,MATCH($F170,'Faculties'!$B$91:$B$111,0))="","Cell will autofill based on response",INDEX('Faculties'!$O$91:$O$111,MATCH($F170,'Faculties'!$B$91:$B$111,0))),"N/A")</f>
        <v/>
      </c>
      <c r="L170" s="25">
        <f>IFERROR(IF(INDEX('CI&amp;S'!$O$10:$O$15,MATCH($F170,'CI&amp;S'!$B$10:$B$15,0))="","Cell will autofill based on response",INDEX('CI&amp;S'!$O$10:$O$15,MATCH($F170,'CI&amp;S'!$B$10:$B$15,0))),"N/A")</f>
        <v/>
      </c>
      <c r="M170" s="25">
        <f>IFERROR(IF(INDEX('CI&amp;S'!$O$22:$O$39,MATCH($F170,'CI&amp;S'!$B$22:$B$39,0))="","Cell will autofill based on response",INDEX('CI&amp;S'!$O$22:$O$39,MATCH($F170,'CI&amp;S'!$B$22:$B$39,0))),"N/A")</f>
        <v/>
      </c>
      <c r="N170" s="25">
        <f>IFERROR(IF(INDEX('CFOG'!$O$10:$O$16,MATCH($F170,'CFOG'!$B$10:$B$16,0))="","Cell will autofill based on response",INDEX('CFOG'!$O$10:$O$16,MATCH($F170,'CFOG'!$B$10:$B$16,0))),"N/A")</f>
        <v/>
      </c>
      <c r="O170" s="25">
        <f>IFERROR(IF(INDEX('CFOG'!$O$23:$O$24,MATCH($F170,'CFOG'!$B$23:$B$24,0))="","Cell will autofill based on response",INDEX('CFOG'!$O$23:$O$24,MATCH($F170,'CFOG'!$B$23:$B$24,0))),"N/A")</f>
        <v/>
      </c>
      <c r="P170" s="25">
        <f>IFERROR(IF(INDEX('ESG'!$O$10:$O$17,MATCH($F170,'ESG'!$B$10:$B$17,0))="","Cell will autofill based on response",INDEX('ESG'!$O$10:$O$17,MATCH($F170,'ESG'!$B$10:$B$17,0))),"N/A")</f>
        <v/>
      </c>
      <c r="Q170" s="25">
        <f>IFERROR(IF(INDEX('CIOG'!$O$10:$O$14,MATCH($F170,'CIOG'!$B$10:$B$14,0))="","Cell will autofill based on response",INDEX('CIOG'!$O$10:$O$14,MATCH($F170,'CIOG'!$B$10:$B$14,0))),"N/A")</f>
        <v/>
      </c>
      <c r="R170" s="25">
        <f>IFERROR(IF(INDEX('MRE'!$O$10:$O$12,MATCH($F170,'MRE'!$B$10:$B$12,0))="","Cell will autofill based on response",INDEX('MRE'!$O$10:$O$12,MATCH($F170,'MRE'!$B$10:$B$12,0))),"N/A")</f>
        <v/>
      </c>
      <c r="S170" s="25">
        <f>IFERROR(IF(INDEX('L&amp;R'!$O$10:$O$11,MATCH($F170,'L&amp;R'!$B$10:$B$11,0))="","Cell will autofill based on response",INDEX('L&amp;R'!$O$10:$O$11,MATCH($F170,'L&amp;R'!$B$10:$B$11,0))),"N/A")</f>
        <v/>
      </c>
    </row>
    <row r="171">
      <c r="A171">
        <f>F171&amp;"|"&amp;G171</f>
        <v/>
      </c>
      <c r="B171" s="29" t="inlineStr"/>
      <c r="C171" s="8" t="inlineStr"/>
      <c r="D171" s="8" t="inlineStr"/>
      <c r="E171" s="8" t="inlineStr"/>
      <c r="F171" s="8" t="inlineStr">
        <is>
          <t>NB1(d)</t>
        </is>
      </c>
      <c r="G171" s="8" t="inlineStr">
        <is>
          <t>Data source and limitations</t>
        </is>
      </c>
      <c r="H171" s="25">
        <f>IFERROR(IF(INDEX('Faculties'!$P$10:$P$30,MATCH($F171,'Faculties'!$B$10:$B$30,0))="","Cell will autofill based on response",INDEX('Faculties'!$P$10:$P$30,MATCH($F171,'Faculties'!$B$10:$B$30,0))),"N/A")</f>
        <v/>
      </c>
      <c r="I171" s="25">
        <f>IFERROR(IF(INDEX('Faculties'!$P$37:$P$57,MATCH($F171,'Faculties'!$B$37:$B$57,0))="","Cell will autofill based on response",INDEX('Faculties'!$P$37:$P$57,MATCH($F171,'Faculties'!$B$37:$B$57,0))),"N/A")</f>
        <v/>
      </c>
      <c r="J171" s="25">
        <f>IFERROR(IF(INDEX('Faculties'!$P$64:$P$84,MATCH($F171,'Faculties'!$B$64:$B$84,0))="","Cell will autofill based on response",INDEX('Faculties'!$P$64:$P$84,MATCH($F171,'Faculties'!$B$64:$B$84,0))),"N/A")</f>
        <v/>
      </c>
      <c r="K171" s="25">
        <f>IFERROR(IF(INDEX('Faculties'!$P$91:$P$111,MATCH($F171,'Faculties'!$B$91:$B$111,0))="","Cell will autofill based on response",INDEX('Faculties'!$P$91:$P$111,MATCH($F171,'Faculties'!$B$91:$B$111,0))),"N/A")</f>
        <v/>
      </c>
      <c r="L171" s="25">
        <f>IFERROR(IF(INDEX('CI&amp;S'!$P$10:$P$15,MATCH($F171,'CI&amp;S'!$B$10:$B$15,0))="","Cell will autofill based on response",INDEX('CI&amp;S'!$P$10:$P$15,MATCH($F171,'CI&amp;S'!$B$10:$B$15,0))),"N/A")</f>
        <v/>
      </c>
      <c r="M171" s="25">
        <f>IFERROR(IF(INDEX('CI&amp;S'!$P$22:$P$39,MATCH($F171,'CI&amp;S'!$B$22:$B$39,0))="","Cell will autofill based on response",INDEX('CI&amp;S'!$P$22:$P$39,MATCH($F171,'CI&amp;S'!$B$22:$B$39,0))),"N/A")</f>
        <v/>
      </c>
      <c r="N171" s="25">
        <f>IFERROR(IF(INDEX('CFOG'!$P$10:$P$16,MATCH($F171,'CFOG'!$B$10:$B$16,0))="","Cell will autofill based on response",INDEX('CFOG'!$P$10:$P$16,MATCH($F171,'CFOG'!$B$10:$B$16,0))),"N/A")</f>
        <v/>
      </c>
      <c r="O171" s="25">
        <f>IFERROR(IF(INDEX('CFOG'!$P$23:$P$24,MATCH($F171,'CFOG'!$B$23:$B$24,0))="","Cell will autofill based on response",INDEX('CFOG'!$P$23:$P$24,MATCH($F171,'CFOG'!$B$23:$B$24,0))),"N/A")</f>
        <v/>
      </c>
      <c r="P171" s="25">
        <f>IFERROR(IF(INDEX('ESG'!$P$10:$P$17,MATCH($F171,'ESG'!$B$10:$B$17,0))="","Cell will autofill based on response",INDEX('ESG'!$P$10:$P$17,MATCH($F171,'ESG'!$B$10:$B$17,0))),"N/A")</f>
        <v/>
      </c>
      <c r="Q171" s="25">
        <f>IFERROR(IF(INDEX('CIOG'!$P$10:$P$14,MATCH($F171,'CIOG'!$B$10:$B$14,0))="","Cell will autofill based on response",INDEX('CIOG'!$P$10:$P$14,MATCH($F171,'CIOG'!$B$10:$B$14,0))),"N/A")</f>
        <v/>
      </c>
      <c r="R171" s="25">
        <f>IFERROR(IF(INDEX('MRE'!$P$10:$P$12,MATCH($F171,'MRE'!$B$10:$B$12,0))="","Cell will autofill based on response",INDEX('MRE'!$P$10:$P$12,MATCH($F171,'MRE'!$B$10:$B$12,0))),"N/A")</f>
        <v/>
      </c>
      <c r="S171" s="25">
        <f>IFERROR(IF(INDEX('L&amp;R'!$P$10:$P$11,MATCH($F171,'L&amp;R'!$B$10:$B$11,0))="","Cell will autofill based on response",INDEX('L&amp;R'!$P$10:$P$11,MATCH($F171,'L&amp;R'!$B$10:$B$11,0))),"N/A")</f>
        <v/>
      </c>
    </row>
    <row r="172">
      <c r="A172">
        <f>F172&amp;"|"&amp;G172</f>
        <v/>
      </c>
      <c r="B172" s="29" t="inlineStr"/>
      <c r="C172" s="8" t="inlineStr"/>
      <c r="D172" s="8" t="inlineStr"/>
      <c r="E172" s="8" t="inlineStr"/>
      <c r="F172" s="8" t="inlineStr">
        <is>
          <t>NB1(d)</t>
        </is>
      </c>
      <c r="G172" s="8" t="inlineStr">
        <is>
          <t>Data owner confirms</t>
        </is>
      </c>
      <c r="H172" s="25">
        <f>IFERROR(IF(INDEX('Faculties'!$Q$10:$Q$30,MATCH($F172,'Faculties'!$B$10:$B$30,0))="","Cell will autofill based on response",INDEX('Faculties'!$Q$10:$Q$30,MATCH($F172,'Faculties'!$B$10:$B$30,0))),"N/A")</f>
        <v/>
      </c>
      <c r="I172" s="25">
        <f>IFERROR(IF(INDEX('Faculties'!$Q$37:$Q$57,MATCH($F172,'Faculties'!$B$37:$B$57,0))="","Cell will autofill based on response",INDEX('Faculties'!$Q$37:$Q$57,MATCH($F172,'Faculties'!$B$37:$B$57,0))),"N/A")</f>
        <v/>
      </c>
      <c r="J172" s="25">
        <f>IFERROR(IF(INDEX('Faculties'!$Q$64:$Q$84,MATCH($F172,'Faculties'!$B$64:$B$84,0))="","Cell will autofill based on response",INDEX('Faculties'!$Q$64:$Q$84,MATCH($F172,'Faculties'!$B$64:$B$84,0))),"N/A")</f>
        <v/>
      </c>
      <c r="K172" s="25">
        <f>IFERROR(IF(INDEX('Faculties'!$Q$91:$Q$111,MATCH($F172,'Faculties'!$B$91:$B$111,0))="","Cell will autofill based on response",INDEX('Faculties'!$Q$91:$Q$111,MATCH($F172,'Faculties'!$B$91:$B$111,0))),"N/A")</f>
        <v/>
      </c>
      <c r="L172" s="25">
        <f>IFERROR(IF(INDEX('CI&amp;S'!$Q$10:$Q$15,MATCH($F172,'CI&amp;S'!$B$10:$B$15,0))="","Cell will autofill based on response",INDEX('CI&amp;S'!$Q$10:$Q$15,MATCH($F172,'CI&amp;S'!$B$10:$B$15,0))),"N/A")</f>
        <v/>
      </c>
      <c r="M172" s="25">
        <f>IFERROR(IF(INDEX('CI&amp;S'!$Q$22:$Q$39,MATCH($F172,'CI&amp;S'!$B$22:$B$39,0))="","Cell will autofill based on response",INDEX('CI&amp;S'!$Q$22:$Q$39,MATCH($F172,'CI&amp;S'!$B$22:$B$39,0))),"N/A")</f>
        <v/>
      </c>
      <c r="N172" s="25">
        <f>IFERROR(IF(INDEX('CFOG'!$Q$10:$Q$16,MATCH($F172,'CFOG'!$B$10:$B$16,0))="","Cell will autofill based on response",INDEX('CFOG'!$Q$10:$Q$16,MATCH($F172,'CFOG'!$B$10:$B$16,0))),"N/A")</f>
        <v/>
      </c>
      <c r="O172" s="25">
        <f>IFERROR(IF(INDEX('CFOG'!$Q$23:$Q$24,MATCH($F172,'CFOG'!$B$23:$B$24,0))="","Cell will autofill based on response",INDEX('CFOG'!$Q$23:$Q$24,MATCH($F172,'CFOG'!$B$23:$B$24,0))),"N/A")</f>
        <v/>
      </c>
      <c r="P172" s="25">
        <f>IFERROR(IF(INDEX('ESG'!$Q$10:$Q$17,MATCH($F172,'ESG'!$B$10:$B$17,0))="","Cell will autofill based on response",INDEX('ESG'!$Q$10:$Q$17,MATCH($F172,'ESG'!$B$10:$B$17,0))),"N/A")</f>
        <v/>
      </c>
      <c r="Q172" s="25">
        <f>IFERROR(IF(INDEX('CIOG'!$Q$10:$Q$14,MATCH($F172,'CIOG'!$B$10:$B$14,0))="","Cell will autofill based on response",INDEX('CIOG'!$Q$10:$Q$14,MATCH($F172,'CIOG'!$B$10:$B$14,0))),"N/A")</f>
        <v/>
      </c>
      <c r="R172" s="25">
        <f>IFERROR(IF(INDEX('MRE'!$Q$10:$Q$12,MATCH($F172,'MRE'!$B$10:$B$12,0))="","Cell will autofill based on response",INDEX('MRE'!$Q$10:$Q$12,MATCH($F172,'MRE'!$B$10:$B$12,0))),"N/A")</f>
        <v/>
      </c>
      <c r="S172" s="25">
        <f>IFERROR(IF(INDEX('L&amp;R'!$Q$10:$Q$11,MATCH($F172,'L&amp;R'!$B$10:$B$11,0))="","Cell will autofill based on response",INDEX('L&amp;R'!$Q$10:$Q$11,MATCH($F172,'L&amp;R'!$B$10:$B$11,0))),"N/A")</f>
        <v/>
      </c>
    </row>
    <row r="173">
      <c r="A173">
        <f>F173&amp;"|"&amp;G173</f>
        <v/>
      </c>
      <c r="B173" s="7" t="inlineStr">
        <is>
          <t>NB2(a)</t>
        </is>
      </c>
      <c r="C173" s="12" t="inlineStr">
        <is>
          <t>Nature and biodiversity</t>
        </is>
      </c>
      <c r="D173" s="12" t="inlineStr">
        <is>
          <t>Documented baseline nature footprint analysis</t>
        </is>
      </c>
      <c r="E173" s="12" t="inlineStr">
        <is>
          <t>Impact Encore Measurement</t>
        </is>
      </c>
      <c r="F173" s="12" t="inlineStr">
        <is>
          <t>NB2(a)</t>
        </is>
      </c>
      <c r="G173" s="12" t="inlineStr">
        <is>
          <t>Confirm end-2026 target status</t>
        </is>
      </c>
      <c r="H173" s="25">
        <f>IFERROR(IF(INDEX('Faculties'!$L$10:$L$30,MATCH($F173,'Faculties'!$B$10:$B$30,0))="","Cell will autofill based on response",INDEX('Faculties'!$L$10:$L$30,MATCH($F173,'Faculties'!$B$10:$B$30,0))),"N/A")</f>
        <v/>
      </c>
      <c r="I173" s="25">
        <f>IFERROR(IF(INDEX('Faculties'!$L$37:$L$57,MATCH($F173,'Faculties'!$B$37:$B$57,0))="","Cell will autofill based on response",INDEX('Faculties'!$L$37:$L$57,MATCH($F173,'Faculties'!$B$37:$B$57,0))),"N/A")</f>
        <v/>
      </c>
      <c r="J173" s="25">
        <f>IFERROR(IF(INDEX('Faculties'!$L$64:$L$84,MATCH($F173,'Faculties'!$B$64:$B$84,0))="","Cell will autofill based on response",INDEX('Faculties'!$L$64:$L$84,MATCH($F173,'Faculties'!$B$64:$B$84,0))),"N/A")</f>
        <v/>
      </c>
      <c r="K173" s="25">
        <f>IFERROR(IF(INDEX('Faculties'!$L$91:$L$111,MATCH($F173,'Faculties'!$B$91:$B$111,0))="","Cell will autofill based on response",INDEX('Faculties'!$L$91:$L$111,MATCH($F173,'Faculties'!$B$91:$B$111,0))),"N/A")</f>
        <v/>
      </c>
      <c r="L173" s="25">
        <f>IFERROR(IF(INDEX('CI&amp;S'!$L$10:$L$15,MATCH($F173,'CI&amp;S'!$B$10:$B$15,0))="","Cell will autofill based on response",INDEX('CI&amp;S'!$L$10:$L$15,MATCH($F173,'CI&amp;S'!$B$10:$B$15,0))),"N/A")</f>
        <v/>
      </c>
      <c r="M173" s="25">
        <f>IFERROR(IF(INDEX('CI&amp;S'!$L$22:$L$39,MATCH($F173,'CI&amp;S'!$B$22:$B$39,0))="","Cell will autofill based on response",INDEX('CI&amp;S'!$L$22:$L$39,MATCH($F173,'CI&amp;S'!$B$22:$B$39,0))),"N/A")</f>
        <v/>
      </c>
      <c r="N173" s="25">
        <f>IFERROR(IF(INDEX('CFOG'!$L$10:$L$16,MATCH($F173,'CFOG'!$B$10:$B$16,0))="","Cell will autofill based on response",INDEX('CFOG'!$L$10:$L$16,MATCH($F173,'CFOG'!$B$10:$B$16,0))),"N/A")</f>
        <v/>
      </c>
      <c r="O173" s="25">
        <f>IFERROR(IF(INDEX('CFOG'!$L$23:$L$24,MATCH($F173,'CFOG'!$B$23:$B$24,0))="","Cell will autofill based on response",INDEX('CFOG'!$L$23:$L$24,MATCH($F173,'CFOG'!$B$23:$B$24,0))),"N/A")</f>
        <v/>
      </c>
      <c r="P173" s="25">
        <f>IFERROR(IF(INDEX('ESG'!$L$10:$L$17,MATCH($F173,'ESG'!$B$10:$B$17,0))="","Cell will autofill based on response",INDEX('ESG'!$L$10:$L$17,MATCH($F173,'ESG'!$B$10:$B$17,0))),"N/A")</f>
        <v/>
      </c>
      <c r="Q173" s="25">
        <f>IFERROR(IF(INDEX('CIOG'!$L$10:$L$14,MATCH($F173,'CIOG'!$B$10:$B$14,0))="","Cell will autofill based on response",INDEX('CIOG'!$L$10:$L$14,MATCH($F173,'CIOG'!$B$10:$B$14,0))),"N/A")</f>
        <v/>
      </c>
      <c r="R173" s="25">
        <f>IFERROR(IF(INDEX('MRE'!$L$10:$L$12,MATCH($F173,'MRE'!$B$10:$B$12,0))="","Cell will autofill based on response",INDEX('MRE'!$L$10:$L$12,MATCH($F173,'MRE'!$B$10:$B$12,0))),"N/A")</f>
        <v/>
      </c>
      <c r="S173" s="25">
        <f>IFERROR(IF(INDEX('L&amp;R'!$L$10:$L$11,MATCH($F173,'L&amp;R'!$B$10:$B$11,0))="","Cell will autofill based on response",INDEX('L&amp;R'!$L$10:$L$11,MATCH($F173,'L&amp;R'!$B$10:$B$11,0))),"N/A")</f>
        <v/>
      </c>
      <c r="U173" s="26">
        <f>COUNTIF($H173:$S173,"Cell will autofill based on response")</f>
        <v/>
      </c>
      <c r="V173" s="26">
        <f>COUNTIF($H173:$S173,"Not yet started")</f>
        <v/>
      </c>
      <c r="W173" s="26">
        <f>COUNTIF($H173:$S173,"Not met")</f>
        <v/>
      </c>
      <c r="X173" s="26">
        <f>COUNTIF($H173:$S173,"Partially met")</f>
        <v/>
      </c>
      <c r="Y173" s="26">
        <f>COUNTIF($H173:$S173,"Met or exceeded")</f>
        <v/>
      </c>
      <c r="Z173" s="26">
        <f>3*Y173+2*X173+W173</f>
        <v/>
      </c>
      <c r="AA173" s="26">
        <f>Y173+X173+W173+V173</f>
        <v/>
      </c>
      <c r="AB173" s="27">
        <f>IF(AA173&gt;0,Z173/AA173,"No valid responses to date")</f>
        <v/>
      </c>
      <c r="AC173" s="26">
        <f>IF(ISNUMBER(AB173),INDEX(Lists!$G$2:$G$5,MATCH(ROUND(AB173,0),Lists!$H$2:$H$5,0)),"")</f>
        <v/>
      </c>
      <c r="AD173" s="28">
        <f>IF(AA173&gt;0,Y173/AA173,"")</f>
        <v/>
      </c>
      <c r="AE173" s="28">
        <f>IF(AA173&gt;0,(Y173+X173)/AA173,"")</f>
        <v/>
      </c>
      <c r="AF173" s="26">
        <f>IF(AA173=0,"",IF(AD173&gt;0.75,"Met or exceeded",IF(AE173&gt;=0.5,"Partially met","Not met")))</f>
        <v/>
      </c>
    </row>
    <row r="174">
      <c r="A174">
        <f>F174&amp;"|"&amp;G174</f>
        <v/>
      </c>
      <c r="B174" s="29" t="inlineStr"/>
      <c r="C174" s="8" t="inlineStr"/>
      <c r="D174" s="8" t="inlineStr"/>
      <c r="E174" s="8" t="inlineStr"/>
      <c r="F174" s="8" t="inlineStr">
        <is>
          <t>NB2(a)</t>
        </is>
      </c>
      <c r="G174" s="8" t="inlineStr">
        <is>
          <t>OPTION 1:  Target-level reporting</t>
        </is>
      </c>
      <c r="H174" s="25">
        <f>IFERROR(IF(INDEX('Faculties'!$M$10:$M$30,MATCH($F174,'Faculties'!$B$10:$B$30,0))="","Cell will autofill based on response",INDEX('Faculties'!$M$10:$M$30,MATCH($F174,'Faculties'!$B$10:$B$30,0))),"N/A")</f>
        <v/>
      </c>
      <c r="I174" s="25">
        <f>IFERROR(IF(INDEX('Faculties'!$M$37:$M$57,MATCH($F174,'Faculties'!$B$37:$B$57,0))="","Cell will autofill based on response",INDEX('Faculties'!$M$37:$M$57,MATCH($F174,'Faculties'!$B$37:$B$57,0))),"N/A")</f>
        <v/>
      </c>
      <c r="J174" s="25">
        <f>IFERROR(IF(INDEX('Faculties'!$M$64:$M$84,MATCH($F174,'Faculties'!$B$64:$B$84,0))="","Cell will autofill based on response",INDEX('Faculties'!$M$64:$M$84,MATCH($F174,'Faculties'!$B$64:$B$84,0))),"N/A")</f>
        <v/>
      </c>
      <c r="K174" s="25">
        <f>IFERROR(IF(INDEX('Faculties'!$M$91:$M$111,MATCH($F174,'Faculties'!$B$91:$B$111,0))="","Cell will autofill based on response",INDEX('Faculties'!$M$91:$M$111,MATCH($F174,'Faculties'!$B$91:$B$111,0))),"N/A")</f>
        <v/>
      </c>
      <c r="L174" s="25">
        <f>IFERROR(IF(INDEX('CI&amp;S'!$M$10:$M$15,MATCH($F174,'CI&amp;S'!$B$10:$B$15,0))="","Cell will autofill based on response",INDEX('CI&amp;S'!$M$10:$M$15,MATCH($F174,'CI&amp;S'!$B$10:$B$15,0))),"N/A")</f>
        <v/>
      </c>
      <c r="M174" s="25">
        <f>IFERROR(IF(INDEX('CI&amp;S'!$M$22:$M$39,MATCH($F174,'CI&amp;S'!$B$22:$B$39,0))="","Cell will autofill based on response",INDEX('CI&amp;S'!$M$22:$M$39,MATCH($F174,'CI&amp;S'!$B$22:$B$39,0))),"N/A")</f>
        <v/>
      </c>
      <c r="N174" s="25">
        <f>IFERROR(IF(INDEX('CFOG'!$M$10:$M$16,MATCH($F174,'CFOG'!$B$10:$B$16,0))="","Cell will autofill based on response",INDEX('CFOG'!$M$10:$M$16,MATCH($F174,'CFOG'!$B$10:$B$16,0))),"N/A")</f>
        <v/>
      </c>
      <c r="O174" s="25">
        <f>IFERROR(IF(INDEX('CFOG'!$M$23:$M$24,MATCH($F174,'CFOG'!$B$23:$B$24,0))="","Cell will autofill based on response",INDEX('CFOG'!$M$23:$M$24,MATCH($F174,'CFOG'!$B$23:$B$24,0))),"N/A")</f>
        <v/>
      </c>
      <c r="P174" s="25">
        <f>IFERROR(IF(INDEX('ESG'!$M$10:$M$17,MATCH($F174,'ESG'!$B$10:$B$17,0))="","Cell will autofill based on response",INDEX('ESG'!$M$10:$M$17,MATCH($F174,'ESG'!$B$10:$B$17,0))),"N/A")</f>
        <v/>
      </c>
      <c r="Q174" s="25">
        <f>IFERROR(IF(INDEX('CIOG'!$M$10:$M$14,MATCH($F174,'CIOG'!$B$10:$B$14,0))="","Cell will autofill based on response",INDEX('CIOG'!$M$10:$M$14,MATCH($F174,'CIOG'!$B$10:$B$14,0))),"N/A")</f>
        <v/>
      </c>
      <c r="R174" s="25">
        <f>IFERROR(IF(INDEX('MRE'!$M$10:$M$12,MATCH($F174,'MRE'!$B$10:$B$12,0))="","Cell will autofill based on response",INDEX('MRE'!$M$10:$M$12,MATCH($F174,'MRE'!$B$10:$B$12,0))),"N/A")</f>
        <v/>
      </c>
      <c r="S174" s="25">
        <f>IFERROR(IF(INDEX('L&amp;R'!$M$10:$M$11,MATCH($F174,'L&amp;R'!$B$10:$B$11,0))="","Cell will autofill based on response",INDEX('L&amp;R'!$M$10:$M$11,MATCH($F174,'L&amp;R'!$B$10:$B$11,0))),"N/A")</f>
        <v/>
      </c>
    </row>
    <row r="175">
      <c r="A175">
        <f>F175&amp;"|"&amp;G175</f>
        <v/>
      </c>
      <c r="B175" s="29" t="inlineStr"/>
      <c r="C175" s="8" t="inlineStr"/>
      <c r="D175" s="8" t="inlineStr"/>
      <c r="E175" s="8" t="inlineStr"/>
      <c r="F175" s="8" t="inlineStr">
        <is>
          <t>NB2(a)</t>
        </is>
      </c>
      <c r="G175" s="8" t="inlineStr">
        <is>
          <t>OPTION 2:  Indicator level reporting</t>
        </is>
      </c>
      <c r="H175" s="25">
        <f>IFERROR(IF(INDEX('Faculties'!$N$10:$N$30,MATCH($F175,'Faculties'!$B$10:$B$30,0))="","Cell will autofill based on response",INDEX('Faculties'!$N$10:$N$30,MATCH($F175,'Faculties'!$B$10:$B$30,0))),"N/A")</f>
        <v/>
      </c>
      <c r="I175" s="25">
        <f>IFERROR(IF(INDEX('Faculties'!$N$37:$N$57,MATCH($F175,'Faculties'!$B$37:$B$57,0))="","Cell will autofill based on response",INDEX('Faculties'!$N$37:$N$57,MATCH($F175,'Faculties'!$B$37:$B$57,0))),"N/A")</f>
        <v/>
      </c>
      <c r="J175" s="25">
        <f>IFERROR(IF(INDEX('Faculties'!$N$64:$N$84,MATCH($F175,'Faculties'!$B$64:$B$84,0))="","Cell will autofill based on response",INDEX('Faculties'!$N$64:$N$84,MATCH($F175,'Faculties'!$B$64:$B$84,0))),"N/A")</f>
        <v/>
      </c>
      <c r="K175" s="25">
        <f>IFERROR(IF(INDEX('Faculties'!$N$91:$N$111,MATCH($F175,'Faculties'!$B$91:$B$111,0))="","Cell will autofill based on response",INDEX('Faculties'!$N$91:$N$111,MATCH($F175,'Faculties'!$B$91:$B$111,0))),"N/A")</f>
        <v/>
      </c>
      <c r="L175" s="25">
        <f>IFERROR(IF(INDEX('CI&amp;S'!$N$10:$N$15,MATCH($F175,'CI&amp;S'!$B$10:$B$15,0))="","Cell will autofill based on response",INDEX('CI&amp;S'!$N$10:$N$15,MATCH($F175,'CI&amp;S'!$B$10:$B$15,0))),"N/A")</f>
        <v/>
      </c>
      <c r="M175" s="25">
        <f>IFERROR(IF(INDEX('CI&amp;S'!$N$22:$N$39,MATCH($F175,'CI&amp;S'!$B$22:$B$39,0))="","Cell will autofill based on response",INDEX('CI&amp;S'!$N$22:$N$39,MATCH($F175,'CI&amp;S'!$B$22:$B$39,0))),"N/A")</f>
        <v/>
      </c>
      <c r="N175" s="25">
        <f>IFERROR(IF(INDEX('CFOG'!$N$10:$N$16,MATCH($F175,'CFOG'!$B$10:$B$16,0))="","Cell will autofill based on response",INDEX('CFOG'!$N$10:$N$16,MATCH($F175,'CFOG'!$B$10:$B$16,0))),"N/A")</f>
        <v/>
      </c>
      <c r="O175" s="25">
        <f>IFERROR(IF(INDEX('CFOG'!$N$23:$N$24,MATCH($F175,'CFOG'!$B$23:$B$24,0))="","Cell will autofill based on response",INDEX('CFOG'!$N$23:$N$24,MATCH($F175,'CFOG'!$B$23:$B$24,0))),"N/A")</f>
        <v/>
      </c>
      <c r="P175" s="25">
        <f>IFERROR(IF(INDEX('ESG'!$N$10:$N$17,MATCH($F175,'ESG'!$B$10:$B$17,0))="","Cell will autofill based on response",INDEX('ESG'!$N$10:$N$17,MATCH($F175,'ESG'!$B$10:$B$17,0))),"N/A")</f>
        <v/>
      </c>
      <c r="Q175" s="25">
        <f>IFERROR(IF(INDEX('CIOG'!$N$10:$N$14,MATCH($F175,'CIOG'!$B$10:$B$14,0))="","Cell will autofill based on response",INDEX('CIOG'!$N$10:$N$14,MATCH($F175,'CIOG'!$B$10:$B$14,0))),"N/A")</f>
        <v/>
      </c>
      <c r="R175" s="25">
        <f>IFERROR(IF(INDEX('MRE'!$N$10:$N$12,MATCH($F175,'MRE'!$B$10:$B$12,0))="","Cell will autofill based on response",INDEX('MRE'!$N$10:$N$12,MATCH($F175,'MRE'!$B$10:$B$12,0))),"N/A")</f>
        <v/>
      </c>
      <c r="S175" s="25">
        <f>IFERROR(IF(INDEX('L&amp;R'!$N$10:$N$11,MATCH($F175,'L&amp;R'!$B$10:$B$11,0))="","Cell will autofill based on response",INDEX('L&amp;R'!$N$10:$N$11,MATCH($F175,'L&amp;R'!$B$10:$B$11,0))),"N/A")</f>
        <v/>
      </c>
    </row>
    <row r="176">
      <c r="A176">
        <f>F176&amp;"|"&amp;G176</f>
        <v/>
      </c>
      <c r="B176" s="29" t="inlineStr"/>
      <c r="C176" s="8" t="inlineStr"/>
      <c r="D176" s="8" t="inlineStr"/>
      <c r="E176" s="8" t="inlineStr"/>
      <c r="F176" s="8" t="inlineStr">
        <is>
          <t>NB2(a)</t>
        </is>
      </c>
      <c r="G176" s="8" t="inlineStr">
        <is>
          <t>Supporting information/comments</t>
        </is>
      </c>
      <c r="H176" s="25">
        <f>IFERROR(IF(INDEX('Faculties'!$O$10:$O$30,MATCH($F176,'Faculties'!$B$10:$B$30,0))="","Cell will autofill based on response",INDEX('Faculties'!$O$10:$O$30,MATCH($F176,'Faculties'!$B$10:$B$30,0))),"N/A")</f>
        <v/>
      </c>
      <c r="I176" s="25">
        <f>IFERROR(IF(INDEX('Faculties'!$O$37:$O$57,MATCH($F176,'Faculties'!$B$37:$B$57,0))="","Cell will autofill based on response",INDEX('Faculties'!$O$37:$O$57,MATCH($F176,'Faculties'!$B$37:$B$57,0))),"N/A")</f>
        <v/>
      </c>
      <c r="J176" s="25">
        <f>IFERROR(IF(INDEX('Faculties'!$O$64:$O$84,MATCH($F176,'Faculties'!$B$64:$B$84,0))="","Cell will autofill based on response",INDEX('Faculties'!$O$64:$O$84,MATCH($F176,'Faculties'!$B$64:$B$84,0))),"N/A")</f>
        <v/>
      </c>
      <c r="K176" s="25">
        <f>IFERROR(IF(INDEX('Faculties'!$O$91:$O$111,MATCH($F176,'Faculties'!$B$91:$B$111,0))="","Cell will autofill based on response",INDEX('Faculties'!$O$91:$O$111,MATCH($F176,'Faculties'!$B$91:$B$111,0))),"N/A")</f>
        <v/>
      </c>
      <c r="L176" s="25">
        <f>IFERROR(IF(INDEX('CI&amp;S'!$O$10:$O$15,MATCH($F176,'CI&amp;S'!$B$10:$B$15,0))="","Cell will autofill based on response",INDEX('CI&amp;S'!$O$10:$O$15,MATCH($F176,'CI&amp;S'!$B$10:$B$15,0))),"N/A")</f>
        <v/>
      </c>
      <c r="M176" s="25">
        <f>IFERROR(IF(INDEX('CI&amp;S'!$O$22:$O$39,MATCH($F176,'CI&amp;S'!$B$22:$B$39,0))="","Cell will autofill based on response",INDEX('CI&amp;S'!$O$22:$O$39,MATCH($F176,'CI&amp;S'!$B$22:$B$39,0))),"N/A")</f>
        <v/>
      </c>
      <c r="N176" s="25">
        <f>IFERROR(IF(INDEX('CFOG'!$O$10:$O$16,MATCH($F176,'CFOG'!$B$10:$B$16,0))="","Cell will autofill based on response",INDEX('CFOG'!$O$10:$O$16,MATCH($F176,'CFOG'!$B$10:$B$16,0))),"N/A")</f>
        <v/>
      </c>
      <c r="O176" s="25">
        <f>IFERROR(IF(INDEX('CFOG'!$O$23:$O$24,MATCH($F176,'CFOG'!$B$23:$B$24,0))="","Cell will autofill based on response",INDEX('CFOG'!$O$23:$O$24,MATCH($F176,'CFOG'!$B$23:$B$24,0))),"N/A")</f>
        <v/>
      </c>
      <c r="P176" s="25">
        <f>IFERROR(IF(INDEX('ESG'!$O$10:$O$17,MATCH($F176,'ESG'!$B$10:$B$17,0))="","Cell will autofill based on response",INDEX('ESG'!$O$10:$O$17,MATCH($F176,'ESG'!$B$10:$B$17,0))),"N/A")</f>
        <v/>
      </c>
      <c r="Q176" s="25">
        <f>IFERROR(IF(INDEX('CIOG'!$O$10:$O$14,MATCH($F176,'CIOG'!$B$10:$B$14,0))="","Cell will autofill based on response",INDEX('CIOG'!$O$10:$O$14,MATCH($F176,'CIOG'!$B$10:$B$14,0))),"N/A")</f>
        <v/>
      </c>
      <c r="R176" s="25">
        <f>IFERROR(IF(INDEX('MRE'!$O$10:$O$12,MATCH($F176,'MRE'!$B$10:$B$12,0))="","Cell will autofill based on response",INDEX('MRE'!$O$10:$O$12,MATCH($F176,'MRE'!$B$10:$B$12,0))),"N/A")</f>
        <v/>
      </c>
      <c r="S176" s="25">
        <f>IFERROR(IF(INDEX('L&amp;R'!$O$10:$O$11,MATCH($F176,'L&amp;R'!$B$10:$B$11,0))="","Cell will autofill based on response",INDEX('L&amp;R'!$O$10:$O$11,MATCH($F176,'L&amp;R'!$B$10:$B$11,0))),"N/A")</f>
        <v/>
      </c>
    </row>
    <row r="177">
      <c r="A177">
        <f>F177&amp;"|"&amp;G177</f>
        <v/>
      </c>
      <c r="B177" s="29" t="inlineStr"/>
      <c r="C177" s="8" t="inlineStr"/>
      <c r="D177" s="8" t="inlineStr"/>
      <c r="E177" s="8" t="inlineStr"/>
      <c r="F177" s="8" t="inlineStr">
        <is>
          <t>NB2(a)</t>
        </is>
      </c>
      <c r="G177" s="8" t="inlineStr">
        <is>
          <t>Data source and limitations</t>
        </is>
      </c>
      <c r="H177" s="25">
        <f>IFERROR(IF(INDEX('Faculties'!$P$10:$P$30,MATCH($F177,'Faculties'!$B$10:$B$30,0))="","Cell will autofill based on response",INDEX('Faculties'!$P$10:$P$30,MATCH($F177,'Faculties'!$B$10:$B$30,0))),"N/A")</f>
        <v/>
      </c>
      <c r="I177" s="25">
        <f>IFERROR(IF(INDEX('Faculties'!$P$37:$P$57,MATCH($F177,'Faculties'!$B$37:$B$57,0))="","Cell will autofill based on response",INDEX('Faculties'!$P$37:$P$57,MATCH($F177,'Faculties'!$B$37:$B$57,0))),"N/A")</f>
        <v/>
      </c>
      <c r="J177" s="25">
        <f>IFERROR(IF(INDEX('Faculties'!$P$64:$P$84,MATCH($F177,'Faculties'!$B$64:$B$84,0))="","Cell will autofill based on response",INDEX('Faculties'!$P$64:$P$84,MATCH($F177,'Faculties'!$B$64:$B$84,0))),"N/A")</f>
        <v/>
      </c>
      <c r="K177" s="25">
        <f>IFERROR(IF(INDEX('Faculties'!$P$91:$P$111,MATCH($F177,'Faculties'!$B$91:$B$111,0))="","Cell will autofill based on response",INDEX('Faculties'!$P$91:$P$111,MATCH($F177,'Faculties'!$B$91:$B$111,0))),"N/A")</f>
        <v/>
      </c>
      <c r="L177" s="25">
        <f>IFERROR(IF(INDEX('CI&amp;S'!$P$10:$P$15,MATCH($F177,'CI&amp;S'!$B$10:$B$15,0))="","Cell will autofill based on response",INDEX('CI&amp;S'!$P$10:$P$15,MATCH($F177,'CI&amp;S'!$B$10:$B$15,0))),"N/A")</f>
        <v/>
      </c>
      <c r="M177" s="25">
        <f>IFERROR(IF(INDEX('CI&amp;S'!$P$22:$P$39,MATCH($F177,'CI&amp;S'!$B$22:$B$39,0))="","Cell will autofill based on response",INDEX('CI&amp;S'!$P$22:$P$39,MATCH($F177,'CI&amp;S'!$B$22:$B$39,0))),"N/A")</f>
        <v/>
      </c>
      <c r="N177" s="25">
        <f>IFERROR(IF(INDEX('CFOG'!$P$10:$P$16,MATCH($F177,'CFOG'!$B$10:$B$16,0))="","Cell will autofill based on response",INDEX('CFOG'!$P$10:$P$16,MATCH($F177,'CFOG'!$B$10:$B$16,0))),"N/A")</f>
        <v/>
      </c>
      <c r="O177" s="25">
        <f>IFERROR(IF(INDEX('CFOG'!$P$23:$P$24,MATCH($F177,'CFOG'!$B$23:$B$24,0))="","Cell will autofill based on response",INDEX('CFOG'!$P$23:$P$24,MATCH($F177,'CFOG'!$B$23:$B$24,0))),"N/A")</f>
        <v/>
      </c>
      <c r="P177" s="25">
        <f>IFERROR(IF(INDEX('ESG'!$P$10:$P$17,MATCH($F177,'ESG'!$B$10:$B$17,0))="","Cell will autofill based on response",INDEX('ESG'!$P$10:$P$17,MATCH($F177,'ESG'!$B$10:$B$17,0))),"N/A")</f>
        <v/>
      </c>
      <c r="Q177" s="25">
        <f>IFERROR(IF(INDEX('CIOG'!$P$10:$P$14,MATCH($F177,'CIOG'!$B$10:$B$14,0))="","Cell will autofill based on response",INDEX('CIOG'!$P$10:$P$14,MATCH($F177,'CIOG'!$B$10:$B$14,0))),"N/A")</f>
        <v/>
      </c>
      <c r="R177" s="25">
        <f>IFERROR(IF(INDEX('MRE'!$P$10:$P$12,MATCH($F177,'MRE'!$B$10:$B$12,0))="","Cell will autofill based on response",INDEX('MRE'!$P$10:$P$12,MATCH($F177,'MRE'!$B$10:$B$12,0))),"N/A")</f>
        <v/>
      </c>
      <c r="S177" s="25">
        <f>IFERROR(IF(INDEX('L&amp;R'!$P$10:$P$11,MATCH($F177,'L&amp;R'!$B$10:$B$11,0))="","Cell will autofill based on response",INDEX('L&amp;R'!$P$10:$P$11,MATCH($F177,'L&amp;R'!$B$10:$B$11,0))),"N/A")</f>
        <v/>
      </c>
    </row>
    <row r="178">
      <c r="A178">
        <f>F178&amp;"|"&amp;G178</f>
        <v/>
      </c>
      <c r="B178" s="29" t="inlineStr"/>
      <c r="C178" s="8" t="inlineStr"/>
      <c r="D178" s="8" t="inlineStr"/>
      <c r="E178" s="8" t="inlineStr"/>
      <c r="F178" s="8" t="inlineStr">
        <is>
          <t>NB2(a)</t>
        </is>
      </c>
      <c r="G178" s="8" t="inlineStr">
        <is>
          <t>Data owner confirms</t>
        </is>
      </c>
      <c r="H178" s="25">
        <f>IFERROR(IF(INDEX('Faculties'!$Q$10:$Q$30,MATCH($F178,'Faculties'!$B$10:$B$30,0))="","Cell will autofill based on response",INDEX('Faculties'!$Q$10:$Q$30,MATCH($F178,'Faculties'!$B$10:$B$30,0))),"N/A")</f>
        <v/>
      </c>
      <c r="I178" s="25">
        <f>IFERROR(IF(INDEX('Faculties'!$Q$37:$Q$57,MATCH($F178,'Faculties'!$B$37:$B$57,0))="","Cell will autofill based on response",INDEX('Faculties'!$Q$37:$Q$57,MATCH($F178,'Faculties'!$B$37:$B$57,0))),"N/A")</f>
        <v/>
      </c>
      <c r="J178" s="25">
        <f>IFERROR(IF(INDEX('Faculties'!$Q$64:$Q$84,MATCH($F178,'Faculties'!$B$64:$B$84,0))="","Cell will autofill based on response",INDEX('Faculties'!$Q$64:$Q$84,MATCH($F178,'Faculties'!$B$64:$B$84,0))),"N/A")</f>
        <v/>
      </c>
      <c r="K178" s="25">
        <f>IFERROR(IF(INDEX('Faculties'!$Q$91:$Q$111,MATCH($F178,'Faculties'!$B$91:$B$111,0))="","Cell will autofill based on response",INDEX('Faculties'!$Q$91:$Q$111,MATCH($F178,'Faculties'!$B$91:$B$111,0))),"N/A")</f>
        <v/>
      </c>
      <c r="L178" s="25">
        <f>IFERROR(IF(INDEX('CI&amp;S'!$Q$10:$Q$15,MATCH($F178,'CI&amp;S'!$B$10:$B$15,0))="","Cell will autofill based on response",INDEX('CI&amp;S'!$Q$10:$Q$15,MATCH($F178,'CI&amp;S'!$B$10:$B$15,0))),"N/A")</f>
        <v/>
      </c>
      <c r="M178" s="25">
        <f>IFERROR(IF(INDEX('CI&amp;S'!$Q$22:$Q$39,MATCH($F178,'CI&amp;S'!$B$22:$B$39,0))="","Cell will autofill based on response",INDEX('CI&amp;S'!$Q$22:$Q$39,MATCH($F178,'CI&amp;S'!$B$22:$B$39,0))),"N/A")</f>
        <v/>
      </c>
      <c r="N178" s="25">
        <f>IFERROR(IF(INDEX('CFOG'!$Q$10:$Q$16,MATCH($F178,'CFOG'!$B$10:$B$16,0))="","Cell will autofill based on response",INDEX('CFOG'!$Q$10:$Q$16,MATCH($F178,'CFOG'!$B$10:$B$16,0))),"N/A")</f>
        <v/>
      </c>
      <c r="O178" s="25">
        <f>IFERROR(IF(INDEX('CFOG'!$Q$23:$Q$24,MATCH($F178,'CFOG'!$B$23:$B$24,0))="","Cell will autofill based on response",INDEX('CFOG'!$Q$23:$Q$24,MATCH($F178,'CFOG'!$B$23:$B$24,0))),"N/A")</f>
        <v/>
      </c>
      <c r="P178" s="25">
        <f>IFERROR(IF(INDEX('ESG'!$Q$10:$Q$17,MATCH($F178,'ESG'!$B$10:$B$17,0))="","Cell will autofill based on response",INDEX('ESG'!$Q$10:$Q$17,MATCH($F178,'ESG'!$B$10:$B$17,0))),"N/A")</f>
        <v/>
      </c>
      <c r="Q178" s="25">
        <f>IFERROR(IF(INDEX('CIOG'!$Q$10:$Q$14,MATCH($F178,'CIOG'!$B$10:$B$14,0))="","Cell will autofill based on response",INDEX('CIOG'!$Q$10:$Q$14,MATCH($F178,'CIOG'!$B$10:$B$14,0))),"N/A")</f>
        <v/>
      </c>
      <c r="R178" s="25">
        <f>IFERROR(IF(INDEX('MRE'!$Q$10:$Q$12,MATCH($F178,'MRE'!$B$10:$B$12,0))="","Cell will autofill based on response",INDEX('MRE'!$Q$10:$Q$12,MATCH($F178,'MRE'!$B$10:$B$12,0))),"N/A")</f>
        <v/>
      </c>
      <c r="S178" s="25">
        <f>IFERROR(IF(INDEX('L&amp;R'!$Q$10:$Q$11,MATCH($F178,'L&amp;R'!$B$10:$B$11,0))="","Cell will autofill based on response",INDEX('L&amp;R'!$Q$10:$Q$11,MATCH($F178,'L&amp;R'!$B$10:$B$11,0))),"N/A")</f>
        <v/>
      </c>
    </row>
    <row r="179">
      <c r="A179">
        <f>F179&amp;"|"&amp;G179</f>
        <v/>
      </c>
      <c r="B179" s="7" t="inlineStr">
        <is>
          <t>NB2(b)</t>
        </is>
      </c>
      <c r="C179" s="12" t="inlineStr">
        <is>
          <t>Nature and biodiversity</t>
        </is>
      </c>
      <c r="D179" s="12" t="inlineStr">
        <is>
          <t>Evidence of established framework to monitor and track supply-chain nature impacts over time</t>
        </is>
      </c>
      <c r="E179" s="12" t="inlineStr">
        <is>
          <t>Please describe the framework established to monitor and track supply-chain impacts on nature over time, could include metrics, data sources, governance/ownership, reporting frequency and current implementation status.</t>
        </is>
      </c>
      <c r="F179" s="12" t="inlineStr">
        <is>
          <t>NB2(b)</t>
        </is>
      </c>
      <c r="G179" s="12" t="inlineStr">
        <is>
          <t>Confirm end-2026 target status</t>
        </is>
      </c>
      <c r="H179" s="25">
        <f>IFERROR(IF(INDEX('Faculties'!$L$10:$L$30,MATCH($F179,'Faculties'!$B$10:$B$30,0))="","Cell will autofill based on response",INDEX('Faculties'!$L$10:$L$30,MATCH($F179,'Faculties'!$B$10:$B$30,0))),"N/A")</f>
        <v/>
      </c>
      <c r="I179" s="25">
        <f>IFERROR(IF(INDEX('Faculties'!$L$37:$L$57,MATCH($F179,'Faculties'!$B$37:$B$57,0))="","Cell will autofill based on response",INDEX('Faculties'!$L$37:$L$57,MATCH($F179,'Faculties'!$B$37:$B$57,0))),"N/A")</f>
        <v/>
      </c>
      <c r="J179" s="25">
        <f>IFERROR(IF(INDEX('Faculties'!$L$64:$L$84,MATCH($F179,'Faculties'!$B$64:$B$84,0))="","Cell will autofill based on response",INDEX('Faculties'!$L$64:$L$84,MATCH($F179,'Faculties'!$B$64:$B$84,0))),"N/A")</f>
        <v/>
      </c>
      <c r="K179" s="25">
        <f>IFERROR(IF(INDEX('Faculties'!$L$91:$L$111,MATCH($F179,'Faculties'!$B$91:$B$111,0))="","Cell will autofill based on response",INDEX('Faculties'!$L$91:$L$111,MATCH($F179,'Faculties'!$B$91:$B$111,0))),"N/A")</f>
        <v/>
      </c>
      <c r="L179" s="25">
        <f>IFERROR(IF(INDEX('CI&amp;S'!$L$10:$L$15,MATCH($F179,'CI&amp;S'!$B$10:$B$15,0))="","Cell will autofill based on response",INDEX('CI&amp;S'!$L$10:$L$15,MATCH($F179,'CI&amp;S'!$B$10:$B$15,0))),"N/A")</f>
        <v/>
      </c>
      <c r="M179" s="25">
        <f>IFERROR(IF(INDEX('CI&amp;S'!$L$22:$L$39,MATCH($F179,'CI&amp;S'!$B$22:$B$39,0))="","Cell will autofill based on response",INDEX('CI&amp;S'!$L$22:$L$39,MATCH($F179,'CI&amp;S'!$B$22:$B$39,0))),"N/A")</f>
        <v/>
      </c>
      <c r="N179" s="25">
        <f>IFERROR(IF(INDEX('CFOG'!$L$10:$L$16,MATCH($F179,'CFOG'!$B$10:$B$16,0))="","Cell will autofill based on response",INDEX('CFOG'!$L$10:$L$16,MATCH($F179,'CFOG'!$B$10:$B$16,0))),"N/A")</f>
        <v/>
      </c>
      <c r="O179" s="25">
        <f>IFERROR(IF(INDEX('CFOG'!$L$23:$L$24,MATCH($F179,'CFOG'!$B$23:$B$24,0))="","Cell will autofill based on response",INDEX('CFOG'!$L$23:$L$24,MATCH($F179,'CFOG'!$B$23:$B$24,0))),"N/A")</f>
        <v/>
      </c>
      <c r="P179" s="25">
        <f>IFERROR(IF(INDEX('ESG'!$L$10:$L$17,MATCH($F179,'ESG'!$B$10:$B$17,0))="","Cell will autofill based on response",INDEX('ESG'!$L$10:$L$17,MATCH($F179,'ESG'!$B$10:$B$17,0))),"N/A")</f>
        <v/>
      </c>
      <c r="Q179" s="25">
        <f>IFERROR(IF(INDEX('CIOG'!$L$10:$L$14,MATCH($F179,'CIOG'!$B$10:$B$14,0))="","Cell will autofill based on response",INDEX('CIOG'!$L$10:$L$14,MATCH($F179,'CIOG'!$B$10:$B$14,0))),"N/A")</f>
        <v/>
      </c>
      <c r="R179" s="25">
        <f>IFERROR(IF(INDEX('MRE'!$L$10:$L$12,MATCH($F179,'MRE'!$B$10:$B$12,0))="","Cell will autofill based on response",INDEX('MRE'!$L$10:$L$12,MATCH($F179,'MRE'!$B$10:$B$12,0))),"N/A")</f>
        <v/>
      </c>
      <c r="S179" s="25">
        <f>IFERROR(IF(INDEX('L&amp;R'!$L$10:$L$11,MATCH($F179,'L&amp;R'!$B$10:$B$11,0))="","Cell will autofill based on response",INDEX('L&amp;R'!$L$10:$L$11,MATCH($F179,'L&amp;R'!$B$10:$B$11,0))),"N/A")</f>
        <v/>
      </c>
      <c r="U179" s="26">
        <f>COUNTIF($H179:$S179,"Cell will autofill based on response")</f>
        <v/>
      </c>
      <c r="V179" s="26">
        <f>COUNTIF($H179:$S179,"Not yet started")</f>
        <v/>
      </c>
      <c r="W179" s="26">
        <f>COUNTIF($H179:$S179,"Not met")</f>
        <v/>
      </c>
      <c r="X179" s="26">
        <f>COUNTIF($H179:$S179,"Partially met")</f>
        <v/>
      </c>
      <c r="Y179" s="26">
        <f>COUNTIF($H179:$S179,"Met or exceeded")</f>
        <v/>
      </c>
      <c r="Z179" s="26">
        <f>3*Y179+2*X179+W179</f>
        <v/>
      </c>
      <c r="AA179" s="26">
        <f>Y179+X179+W179+V179</f>
        <v/>
      </c>
      <c r="AB179" s="27">
        <f>IF(AA179&gt;0,Z179/AA179,"No valid responses to date")</f>
        <v/>
      </c>
      <c r="AC179" s="26">
        <f>IF(ISNUMBER(AB179),INDEX(Lists!$G$2:$G$5,MATCH(ROUND(AB179,0),Lists!$H$2:$H$5,0)),"")</f>
        <v/>
      </c>
      <c r="AD179" s="28">
        <f>IF(AA179&gt;0,Y179/AA179,"")</f>
        <v/>
      </c>
      <c r="AE179" s="28">
        <f>IF(AA179&gt;0,(Y179+X179)/AA179,"")</f>
        <v/>
      </c>
      <c r="AF179" s="26">
        <f>IF(AA179=0,"",IF(AD179&gt;0.75,"Met or exceeded",IF(AE179&gt;=0.5,"Partially met","Not met")))</f>
        <v/>
      </c>
    </row>
    <row r="180">
      <c r="A180">
        <f>F180&amp;"|"&amp;G180</f>
        <v/>
      </c>
      <c r="B180" s="29" t="inlineStr"/>
      <c r="C180" s="8" t="inlineStr"/>
      <c r="D180" s="8" t="inlineStr"/>
      <c r="E180" s="8" t="inlineStr"/>
      <c r="F180" s="8" t="inlineStr">
        <is>
          <t>NB2(b)</t>
        </is>
      </c>
      <c r="G180" s="8" t="inlineStr">
        <is>
          <t>OPTION 1:  Target-level reporting</t>
        </is>
      </c>
      <c r="H180" s="25">
        <f>IFERROR(IF(INDEX('Faculties'!$M$10:$M$30,MATCH($F180,'Faculties'!$B$10:$B$30,0))="","Cell will autofill based on response",INDEX('Faculties'!$M$10:$M$30,MATCH($F180,'Faculties'!$B$10:$B$30,0))),"N/A")</f>
        <v/>
      </c>
      <c r="I180" s="25">
        <f>IFERROR(IF(INDEX('Faculties'!$M$37:$M$57,MATCH($F180,'Faculties'!$B$37:$B$57,0))="","Cell will autofill based on response",INDEX('Faculties'!$M$37:$M$57,MATCH($F180,'Faculties'!$B$37:$B$57,0))),"N/A")</f>
        <v/>
      </c>
      <c r="J180" s="25">
        <f>IFERROR(IF(INDEX('Faculties'!$M$64:$M$84,MATCH($F180,'Faculties'!$B$64:$B$84,0))="","Cell will autofill based on response",INDEX('Faculties'!$M$64:$M$84,MATCH($F180,'Faculties'!$B$64:$B$84,0))),"N/A")</f>
        <v/>
      </c>
      <c r="K180" s="25">
        <f>IFERROR(IF(INDEX('Faculties'!$M$91:$M$111,MATCH($F180,'Faculties'!$B$91:$B$111,0))="","Cell will autofill based on response",INDEX('Faculties'!$M$91:$M$111,MATCH($F180,'Faculties'!$B$91:$B$111,0))),"N/A")</f>
        <v/>
      </c>
      <c r="L180" s="25">
        <f>IFERROR(IF(INDEX('CI&amp;S'!$M$10:$M$15,MATCH($F180,'CI&amp;S'!$B$10:$B$15,0))="","Cell will autofill based on response",INDEX('CI&amp;S'!$M$10:$M$15,MATCH($F180,'CI&amp;S'!$B$10:$B$15,0))),"N/A")</f>
        <v/>
      </c>
      <c r="M180" s="25">
        <f>IFERROR(IF(INDEX('CI&amp;S'!$M$22:$M$39,MATCH($F180,'CI&amp;S'!$B$22:$B$39,0))="","Cell will autofill based on response",INDEX('CI&amp;S'!$M$22:$M$39,MATCH($F180,'CI&amp;S'!$B$22:$B$39,0))),"N/A")</f>
        <v/>
      </c>
      <c r="N180" s="25">
        <f>IFERROR(IF(INDEX('CFOG'!$M$10:$M$16,MATCH($F180,'CFOG'!$B$10:$B$16,0))="","Cell will autofill based on response",INDEX('CFOG'!$M$10:$M$16,MATCH($F180,'CFOG'!$B$10:$B$16,0))),"N/A")</f>
        <v/>
      </c>
      <c r="O180" s="25">
        <f>IFERROR(IF(INDEX('CFOG'!$M$23:$M$24,MATCH($F180,'CFOG'!$B$23:$B$24,0))="","Cell will autofill based on response",INDEX('CFOG'!$M$23:$M$24,MATCH($F180,'CFOG'!$B$23:$B$24,0))),"N/A")</f>
        <v/>
      </c>
      <c r="P180" s="25">
        <f>IFERROR(IF(INDEX('ESG'!$M$10:$M$17,MATCH($F180,'ESG'!$B$10:$B$17,0))="","Cell will autofill based on response",INDEX('ESG'!$M$10:$M$17,MATCH($F180,'ESG'!$B$10:$B$17,0))),"N/A")</f>
        <v/>
      </c>
      <c r="Q180" s="25">
        <f>IFERROR(IF(INDEX('CIOG'!$M$10:$M$14,MATCH($F180,'CIOG'!$B$10:$B$14,0))="","Cell will autofill based on response",INDEX('CIOG'!$M$10:$M$14,MATCH($F180,'CIOG'!$B$10:$B$14,0))),"N/A")</f>
        <v/>
      </c>
      <c r="R180" s="25">
        <f>IFERROR(IF(INDEX('MRE'!$M$10:$M$12,MATCH($F180,'MRE'!$B$10:$B$12,0))="","Cell will autofill based on response",INDEX('MRE'!$M$10:$M$12,MATCH($F180,'MRE'!$B$10:$B$12,0))),"N/A")</f>
        <v/>
      </c>
      <c r="S180" s="25">
        <f>IFERROR(IF(INDEX('L&amp;R'!$M$10:$M$11,MATCH($F180,'L&amp;R'!$B$10:$B$11,0))="","Cell will autofill based on response",INDEX('L&amp;R'!$M$10:$M$11,MATCH($F180,'L&amp;R'!$B$10:$B$11,0))),"N/A")</f>
        <v/>
      </c>
    </row>
    <row r="181">
      <c r="A181">
        <f>F181&amp;"|"&amp;G181</f>
        <v/>
      </c>
      <c r="B181" s="29" t="inlineStr"/>
      <c r="C181" s="8" t="inlineStr"/>
      <c r="D181" s="8" t="inlineStr"/>
      <c r="E181" s="8" t="inlineStr"/>
      <c r="F181" s="8" t="inlineStr">
        <is>
          <t>NB2(b)</t>
        </is>
      </c>
      <c r="G181" s="8" t="inlineStr">
        <is>
          <t>OPTION 2:  Indicator level reporting</t>
        </is>
      </c>
      <c r="H181" s="25">
        <f>IFERROR(IF(INDEX('Faculties'!$N$10:$N$30,MATCH($F181,'Faculties'!$B$10:$B$30,0))="","Cell will autofill based on response",INDEX('Faculties'!$N$10:$N$30,MATCH($F181,'Faculties'!$B$10:$B$30,0))),"N/A")</f>
        <v/>
      </c>
      <c r="I181" s="25">
        <f>IFERROR(IF(INDEX('Faculties'!$N$37:$N$57,MATCH($F181,'Faculties'!$B$37:$B$57,0))="","Cell will autofill based on response",INDEX('Faculties'!$N$37:$N$57,MATCH($F181,'Faculties'!$B$37:$B$57,0))),"N/A")</f>
        <v/>
      </c>
      <c r="J181" s="25">
        <f>IFERROR(IF(INDEX('Faculties'!$N$64:$N$84,MATCH($F181,'Faculties'!$B$64:$B$84,0))="","Cell will autofill based on response",INDEX('Faculties'!$N$64:$N$84,MATCH($F181,'Faculties'!$B$64:$B$84,0))),"N/A")</f>
        <v/>
      </c>
      <c r="K181" s="25">
        <f>IFERROR(IF(INDEX('Faculties'!$N$91:$N$111,MATCH($F181,'Faculties'!$B$91:$B$111,0))="","Cell will autofill based on response",INDEX('Faculties'!$N$91:$N$111,MATCH($F181,'Faculties'!$B$91:$B$111,0))),"N/A")</f>
        <v/>
      </c>
      <c r="L181" s="25">
        <f>IFERROR(IF(INDEX('CI&amp;S'!$N$10:$N$15,MATCH($F181,'CI&amp;S'!$B$10:$B$15,0))="","Cell will autofill based on response",INDEX('CI&amp;S'!$N$10:$N$15,MATCH($F181,'CI&amp;S'!$B$10:$B$15,0))),"N/A")</f>
        <v/>
      </c>
      <c r="M181" s="25">
        <f>IFERROR(IF(INDEX('CI&amp;S'!$N$22:$N$39,MATCH($F181,'CI&amp;S'!$B$22:$B$39,0))="","Cell will autofill based on response",INDEX('CI&amp;S'!$N$22:$N$39,MATCH($F181,'CI&amp;S'!$B$22:$B$39,0))),"N/A")</f>
        <v/>
      </c>
      <c r="N181" s="25">
        <f>IFERROR(IF(INDEX('CFOG'!$N$10:$N$16,MATCH($F181,'CFOG'!$B$10:$B$16,0))="","Cell will autofill based on response",INDEX('CFOG'!$N$10:$N$16,MATCH($F181,'CFOG'!$B$10:$B$16,0))),"N/A")</f>
        <v/>
      </c>
      <c r="O181" s="25">
        <f>IFERROR(IF(INDEX('CFOG'!$N$23:$N$24,MATCH($F181,'CFOG'!$B$23:$B$24,0))="","Cell will autofill based on response",INDEX('CFOG'!$N$23:$N$24,MATCH($F181,'CFOG'!$B$23:$B$24,0))),"N/A")</f>
        <v/>
      </c>
      <c r="P181" s="25">
        <f>IFERROR(IF(INDEX('ESG'!$N$10:$N$17,MATCH($F181,'ESG'!$B$10:$B$17,0))="","Cell will autofill based on response",INDEX('ESG'!$N$10:$N$17,MATCH($F181,'ESG'!$B$10:$B$17,0))),"N/A")</f>
        <v/>
      </c>
      <c r="Q181" s="25">
        <f>IFERROR(IF(INDEX('CIOG'!$N$10:$N$14,MATCH($F181,'CIOG'!$B$10:$B$14,0))="","Cell will autofill based on response",INDEX('CIOG'!$N$10:$N$14,MATCH($F181,'CIOG'!$B$10:$B$14,0))),"N/A")</f>
        <v/>
      </c>
      <c r="R181" s="25">
        <f>IFERROR(IF(INDEX('MRE'!$N$10:$N$12,MATCH($F181,'MRE'!$B$10:$B$12,0))="","Cell will autofill based on response",INDEX('MRE'!$N$10:$N$12,MATCH($F181,'MRE'!$B$10:$B$12,0))),"N/A")</f>
        <v/>
      </c>
      <c r="S181" s="25">
        <f>IFERROR(IF(INDEX('L&amp;R'!$N$10:$N$11,MATCH($F181,'L&amp;R'!$B$10:$B$11,0))="","Cell will autofill based on response",INDEX('L&amp;R'!$N$10:$N$11,MATCH($F181,'L&amp;R'!$B$10:$B$11,0))),"N/A")</f>
        <v/>
      </c>
    </row>
    <row r="182">
      <c r="A182">
        <f>F182&amp;"|"&amp;G182</f>
        <v/>
      </c>
      <c r="B182" s="29" t="inlineStr"/>
      <c r="C182" s="8" t="inlineStr"/>
      <c r="D182" s="8" t="inlineStr"/>
      <c r="E182" s="8" t="inlineStr"/>
      <c r="F182" s="8" t="inlineStr">
        <is>
          <t>NB2(b)</t>
        </is>
      </c>
      <c r="G182" s="8" t="inlineStr">
        <is>
          <t>Supporting information/comments</t>
        </is>
      </c>
      <c r="H182" s="25">
        <f>IFERROR(IF(INDEX('Faculties'!$O$10:$O$30,MATCH($F182,'Faculties'!$B$10:$B$30,0))="","Cell will autofill based on response",INDEX('Faculties'!$O$10:$O$30,MATCH($F182,'Faculties'!$B$10:$B$30,0))),"N/A")</f>
        <v/>
      </c>
      <c r="I182" s="25">
        <f>IFERROR(IF(INDEX('Faculties'!$O$37:$O$57,MATCH($F182,'Faculties'!$B$37:$B$57,0))="","Cell will autofill based on response",INDEX('Faculties'!$O$37:$O$57,MATCH($F182,'Faculties'!$B$37:$B$57,0))),"N/A")</f>
        <v/>
      </c>
      <c r="J182" s="25">
        <f>IFERROR(IF(INDEX('Faculties'!$O$64:$O$84,MATCH($F182,'Faculties'!$B$64:$B$84,0))="","Cell will autofill based on response",INDEX('Faculties'!$O$64:$O$84,MATCH($F182,'Faculties'!$B$64:$B$84,0))),"N/A")</f>
        <v/>
      </c>
      <c r="K182" s="25">
        <f>IFERROR(IF(INDEX('Faculties'!$O$91:$O$111,MATCH($F182,'Faculties'!$B$91:$B$111,0))="","Cell will autofill based on response",INDEX('Faculties'!$O$91:$O$111,MATCH($F182,'Faculties'!$B$91:$B$111,0))),"N/A")</f>
        <v/>
      </c>
      <c r="L182" s="25">
        <f>IFERROR(IF(INDEX('CI&amp;S'!$O$10:$O$15,MATCH($F182,'CI&amp;S'!$B$10:$B$15,0))="","Cell will autofill based on response",INDEX('CI&amp;S'!$O$10:$O$15,MATCH($F182,'CI&amp;S'!$B$10:$B$15,0))),"N/A")</f>
        <v/>
      </c>
      <c r="M182" s="25">
        <f>IFERROR(IF(INDEX('CI&amp;S'!$O$22:$O$39,MATCH($F182,'CI&amp;S'!$B$22:$B$39,0))="","Cell will autofill based on response",INDEX('CI&amp;S'!$O$22:$O$39,MATCH($F182,'CI&amp;S'!$B$22:$B$39,0))),"N/A")</f>
        <v/>
      </c>
      <c r="N182" s="25">
        <f>IFERROR(IF(INDEX('CFOG'!$O$10:$O$16,MATCH($F182,'CFOG'!$B$10:$B$16,0))="","Cell will autofill based on response",INDEX('CFOG'!$O$10:$O$16,MATCH($F182,'CFOG'!$B$10:$B$16,0))),"N/A")</f>
        <v/>
      </c>
      <c r="O182" s="25">
        <f>IFERROR(IF(INDEX('CFOG'!$O$23:$O$24,MATCH($F182,'CFOG'!$B$23:$B$24,0))="","Cell will autofill based on response",INDEX('CFOG'!$O$23:$O$24,MATCH($F182,'CFOG'!$B$23:$B$24,0))),"N/A")</f>
        <v/>
      </c>
      <c r="P182" s="25">
        <f>IFERROR(IF(INDEX('ESG'!$O$10:$O$17,MATCH($F182,'ESG'!$B$10:$B$17,0))="","Cell will autofill based on response",INDEX('ESG'!$O$10:$O$17,MATCH($F182,'ESG'!$B$10:$B$17,0))),"N/A")</f>
        <v/>
      </c>
      <c r="Q182" s="25">
        <f>IFERROR(IF(INDEX('CIOG'!$O$10:$O$14,MATCH($F182,'CIOG'!$B$10:$B$14,0))="","Cell will autofill based on response",INDEX('CIOG'!$O$10:$O$14,MATCH($F182,'CIOG'!$B$10:$B$14,0))),"N/A")</f>
        <v/>
      </c>
      <c r="R182" s="25">
        <f>IFERROR(IF(INDEX('MRE'!$O$10:$O$12,MATCH($F182,'MRE'!$B$10:$B$12,0))="","Cell will autofill based on response",INDEX('MRE'!$O$10:$O$12,MATCH($F182,'MRE'!$B$10:$B$12,0))),"N/A")</f>
        <v/>
      </c>
      <c r="S182" s="25">
        <f>IFERROR(IF(INDEX('L&amp;R'!$O$10:$O$11,MATCH($F182,'L&amp;R'!$B$10:$B$11,0))="","Cell will autofill based on response",INDEX('L&amp;R'!$O$10:$O$11,MATCH($F182,'L&amp;R'!$B$10:$B$11,0))),"N/A")</f>
        <v/>
      </c>
    </row>
    <row r="183">
      <c r="A183">
        <f>F183&amp;"|"&amp;G183</f>
        <v/>
      </c>
      <c r="B183" s="29" t="inlineStr"/>
      <c r="C183" s="8" t="inlineStr"/>
      <c r="D183" s="8" t="inlineStr"/>
      <c r="E183" s="8" t="inlineStr"/>
      <c r="F183" s="8" t="inlineStr">
        <is>
          <t>NB2(b)</t>
        </is>
      </c>
      <c r="G183" s="8" t="inlineStr">
        <is>
          <t>Data source and limitations</t>
        </is>
      </c>
      <c r="H183" s="25">
        <f>IFERROR(IF(INDEX('Faculties'!$P$10:$P$30,MATCH($F183,'Faculties'!$B$10:$B$30,0))="","Cell will autofill based on response",INDEX('Faculties'!$P$10:$P$30,MATCH($F183,'Faculties'!$B$10:$B$30,0))),"N/A")</f>
        <v/>
      </c>
      <c r="I183" s="25">
        <f>IFERROR(IF(INDEX('Faculties'!$P$37:$P$57,MATCH($F183,'Faculties'!$B$37:$B$57,0))="","Cell will autofill based on response",INDEX('Faculties'!$P$37:$P$57,MATCH($F183,'Faculties'!$B$37:$B$57,0))),"N/A")</f>
        <v/>
      </c>
      <c r="J183" s="25">
        <f>IFERROR(IF(INDEX('Faculties'!$P$64:$P$84,MATCH($F183,'Faculties'!$B$64:$B$84,0))="","Cell will autofill based on response",INDEX('Faculties'!$P$64:$P$84,MATCH($F183,'Faculties'!$B$64:$B$84,0))),"N/A")</f>
        <v/>
      </c>
      <c r="K183" s="25">
        <f>IFERROR(IF(INDEX('Faculties'!$P$91:$P$111,MATCH($F183,'Faculties'!$B$91:$B$111,0))="","Cell will autofill based on response",INDEX('Faculties'!$P$91:$P$111,MATCH($F183,'Faculties'!$B$91:$B$111,0))),"N/A")</f>
        <v/>
      </c>
      <c r="L183" s="25">
        <f>IFERROR(IF(INDEX('CI&amp;S'!$P$10:$P$15,MATCH($F183,'CI&amp;S'!$B$10:$B$15,0))="","Cell will autofill based on response",INDEX('CI&amp;S'!$P$10:$P$15,MATCH($F183,'CI&amp;S'!$B$10:$B$15,0))),"N/A")</f>
        <v/>
      </c>
      <c r="M183" s="25">
        <f>IFERROR(IF(INDEX('CI&amp;S'!$P$22:$P$39,MATCH($F183,'CI&amp;S'!$B$22:$B$39,0))="","Cell will autofill based on response",INDEX('CI&amp;S'!$P$22:$P$39,MATCH($F183,'CI&amp;S'!$B$22:$B$39,0))),"N/A")</f>
        <v/>
      </c>
      <c r="N183" s="25">
        <f>IFERROR(IF(INDEX('CFOG'!$P$10:$P$16,MATCH($F183,'CFOG'!$B$10:$B$16,0))="","Cell will autofill based on response",INDEX('CFOG'!$P$10:$P$16,MATCH($F183,'CFOG'!$B$10:$B$16,0))),"N/A")</f>
        <v/>
      </c>
      <c r="O183" s="25">
        <f>IFERROR(IF(INDEX('CFOG'!$P$23:$P$24,MATCH($F183,'CFOG'!$B$23:$B$24,0))="","Cell will autofill based on response",INDEX('CFOG'!$P$23:$P$24,MATCH($F183,'CFOG'!$B$23:$B$24,0))),"N/A")</f>
        <v/>
      </c>
      <c r="P183" s="25">
        <f>IFERROR(IF(INDEX('ESG'!$P$10:$P$17,MATCH($F183,'ESG'!$B$10:$B$17,0))="","Cell will autofill based on response",INDEX('ESG'!$P$10:$P$17,MATCH($F183,'ESG'!$B$10:$B$17,0))),"N/A")</f>
        <v/>
      </c>
      <c r="Q183" s="25">
        <f>IFERROR(IF(INDEX('CIOG'!$P$10:$P$14,MATCH($F183,'CIOG'!$B$10:$B$14,0))="","Cell will autofill based on response",INDEX('CIOG'!$P$10:$P$14,MATCH($F183,'CIOG'!$B$10:$B$14,0))),"N/A")</f>
        <v/>
      </c>
      <c r="R183" s="25">
        <f>IFERROR(IF(INDEX('MRE'!$P$10:$P$12,MATCH($F183,'MRE'!$B$10:$B$12,0))="","Cell will autofill based on response",INDEX('MRE'!$P$10:$P$12,MATCH($F183,'MRE'!$B$10:$B$12,0))),"N/A")</f>
        <v/>
      </c>
      <c r="S183" s="25">
        <f>IFERROR(IF(INDEX('L&amp;R'!$P$10:$P$11,MATCH($F183,'L&amp;R'!$B$10:$B$11,0))="","Cell will autofill based on response",INDEX('L&amp;R'!$P$10:$P$11,MATCH($F183,'L&amp;R'!$B$10:$B$11,0))),"N/A")</f>
        <v/>
      </c>
    </row>
    <row r="184">
      <c r="A184">
        <f>F184&amp;"|"&amp;G184</f>
        <v/>
      </c>
      <c r="B184" s="29" t="inlineStr"/>
      <c r="C184" s="8" t="inlineStr"/>
      <c r="D184" s="8" t="inlineStr"/>
      <c r="E184" s="8" t="inlineStr"/>
      <c r="F184" s="8" t="inlineStr">
        <is>
          <t>NB2(b)</t>
        </is>
      </c>
      <c r="G184" s="8" t="inlineStr">
        <is>
          <t>Data owner confirms</t>
        </is>
      </c>
      <c r="H184" s="25">
        <f>IFERROR(IF(INDEX('Faculties'!$Q$10:$Q$30,MATCH($F184,'Faculties'!$B$10:$B$30,0))="","Cell will autofill based on response",INDEX('Faculties'!$Q$10:$Q$30,MATCH($F184,'Faculties'!$B$10:$B$30,0))),"N/A")</f>
        <v/>
      </c>
      <c r="I184" s="25">
        <f>IFERROR(IF(INDEX('Faculties'!$Q$37:$Q$57,MATCH($F184,'Faculties'!$B$37:$B$57,0))="","Cell will autofill based on response",INDEX('Faculties'!$Q$37:$Q$57,MATCH($F184,'Faculties'!$B$37:$B$57,0))),"N/A")</f>
        <v/>
      </c>
      <c r="J184" s="25">
        <f>IFERROR(IF(INDEX('Faculties'!$Q$64:$Q$84,MATCH($F184,'Faculties'!$B$64:$B$84,0))="","Cell will autofill based on response",INDEX('Faculties'!$Q$64:$Q$84,MATCH($F184,'Faculties'!$B$64:$B$84,0))),"N/A")</f>
        <v/>
      </c>
      <c r="K184" s="25">
        <f>IFERROR(IF(INDEX('Faculties'!$Q$91:$Q$111,MATCH($F184,'Faculties'!$B$91:$B$111,0))="","Cell will autofill based on response",INDEX('Faculties'!$Q$91:$Q$111,MATCH($F184,'Faculties'!$B$91:$B$111,0))),"N/A")</f>
        <v/>
      </c>
      <c r="L184" s="25">
        <f>IFERROR(IF(INDEX('CI&amp;S'!$Q$10:$Q$15,MATCH($F184,'CI&amp;S'!$B$10:$B$15,0))="","Cell will autofill based on response",INDEX('CI&amp;S'!$Q$10:$Q$15,MATCH($F184,'CI&amp;S'!$B$10:$B$15,0))),"N/A")</f>
        <v/>
      </c>
      <c r="M184" s="25">
        <f>IFERROR(IF(INDEX('CI&amp;S'!$Q$22:$Q$39,MATCH($F184,'CI&amp;S'!$B$22:$B$39,0))="","Cell will autofill based on response",INDEX('CI&amp;S'!$Q$22:$Q$39,MATCH($F184,'CI&amp;S'!$B$22:$B$39,0))),"N/A")</f>
        <v/>
      </c>
      <c r="N184" s="25">
        <f>IFERROR(IF(INDEX('CFOG'!$Q$10:$Q$16,MATCH($F184,'CFOG'!$B$10:$B$16,0))="","Cell will autofill based on response",INDEX('CFOG'!$Q$10:$Q$16,MATCH($F184,'CFOG'!$B$10:$B$16,0))),"N/A")</f>
        <v/>
      </c>
      <c r="O184" s="25">
        <f>IFERROR(IF(INDEX('CFOG'!$Q$23:$Q$24,MATCH($F184,'CFOG'!$B$23:$B$24,0))="","Cell will autofill based on response",INDEX('CFOG'!$Q$23:$Q$24,MATCH($F184,'CFOG'!$B$23:$B$24,0))),"N/A")</f>
        <v/>
      </c>
      <c r="P184" s="25">
        <f>IFERROR(IF(INDEX('ESG'!$Q$10:$Q$17,MATCH($F184,'ESG'!$B$10:$B$17,0))="","Cell will autofill based on response",INDEX('ESG'!$Q$10:$Q$17,MATCH($F184,'ESG'!$B$10:$B$17,0))),"N/A")</f>
        <v/>
      </c>
      <c r="Q184" s="25">
        <f>IFERROR(IF(INDEX('CIOG'!$Q$10:$Q$14,MATCH($F184,'CIOG'!$B$10:$B$14,0))="","Cell will autofill based on response",INDEX('CIOG'!$Q$10:$Q$14,MATCH($F184,'CIOG'!$B$10:$B$14,0))),"N/A")</f>
        <v/>
      </c>
      <c r="R184" s="25">
        <f>IFERROR(IF(INDEX('MRE'!$Q$10:$Q$12,MATCH($F184,'MRE'!$B$10:$B$12,0))="","Cell will autofill based on response",INDEX('MRE'!$Q$10:$Q$12,MATCH($F184,'MRE'!$B$10:$B$12,0))),"N/A")</f>
        <v/>
      </c>
      <c r="S184" s="25">
        <f>IFERROR(IF(INDEX('L&amp;R'!$Q$10:$Q$11,MATCH($F184,'L&amp;R'!$B$10:$B$11,0))="","Cell will autofill based on response",INDEX('L&amp;R'!$Q$10:$Q$11,MATCH($F184,'L&amp;R'!$B$10:$B$11,0))),"N/A")</f>
        <v/>
      </c>
    </row>
    <row r="185">
      <c r="A185">
        <f>F185&amp;"|"&amp;G185</f>
        <v/>
      </c>
      <c r="B185" s="7" t="inlineStr">
        <is>
          <t>NB2(c)</t>
        </is>
      </c>
      <c r="C185" s="12" t="inlineStr">
        <is>
          <t>Nature and biodiversity</t>
        </is>
      </c>
      <c r="D185" s="12" t="inlineStr">
        <is>
          <t>Evidence of prioritised high risk procurement categories or suppliers for nature impact management</t>
        </is>
      </c>
      <c r="E185" s="12" t="inlineStr">
        <is>
          <t>Please provide the prioritised high-risk procurement categories and/or suppliers identified for nature-impact management, could include the basis for prioritisation and any risk-management, engagement or mitigation actions undertaken or planned.</t>
        </is>
      </c>
      <c r="F185" s="12" t="inlineStr">
        <is>
          <t>NB2(c)</t>
        </is>
      </c>
      <c r="G185" s="12" t="inlineStr">
        <is>
          <t>Confirm end-2026 target status</t>
        </is>
      </c>
      <c r="H185" s="25">
        <f>IFERROR(IF(INDEX('Faculties'!$L$10:$L$30,MATCH($F185,'Faculties'!$B$10:$B$30,0))="","Cell will autofill based on response",INDEX('Faculties'!$L$10:$L$30,MATCH($F185,'Faculties'!$B$10:$B$30,0))),"N/A")</f>
        <v/>
      </c>
      <c r="I185" s="25">
        <f>IFERROR(IF(INDEX('Faculties'!$L$37:$L$57,MATCH($F185,'Faculties'!$B$37:$B$57,0))="","Cell will autofill based on response",INDEX('Faculties'!$L$37:$L$57,MATCH($F185,'Faculties'!$B$37:$B$57,0))),"N/A")</f>
        <v/>
      </c>
      <c r="J185" s="25">
        <f>IFERROR(IF(INDEX('Faculties'!$L$64:$L$84,MATCH($F185,'Faculties'!$B$64:$B$84,0))="","Cell will autofill based on response",INDEX('Faculties'!$L$64:$L$84,MATCH($F185,'Faculties'!$B$64:$B$84,0))),"N/A")</f>
        <v/>
      </c>
      <c r="K185" s="25">
        <f>IFERROR(IF(INDEX('Faculties'!$L$91:$L$111,MATCH($F185,'Faculties'!$B$91:$B$111,0))="","Cell will autofill based on response",INDEX('Faculties'!$L$91:$L$111,MATCH($F185,'Faculties'!$B$91:$B$111,0))),"N/A")</f>
        <v/>
      </c>
      <c r="L185" s="25">
        <f>IFERROR(IF(INDEX('CI&amp;S'!$L$10:$L$15,MATCH($F185,'CI&amp;S'!$B$10:$B$15,0))="","Cell will autofill based on response",INDEX('CI&amp;S'!$L$10:$L$15,MATCH($F185,'CI&amp;S'!$B$10:$B$15,0))),"N/A")</f>
        <v/>
      </c>
      <c r="M185" s="25">
        <f>IFERROR(IF(INDEX('CI&amp;S'!$L$22:$L$39,MATCH($F185,'CI&amp;S'!$B$22:$B$39,0))="","Cell will autofill based on response",INDEX('CI&amp;S'!$L$22:$L$39,MATCH($F185,'CI&amp;S'!$B$22:$B$39,0))),"N/A")</f>
        <v/>
      </c>
      <c r="N185" s="25">
        <f>IFERROR(IF(INDEX('CFOG'!$L$10:$L$16,MATCH($F185,'CFOG'!$B$10:$B$16,0))="","Cell will autofill based on response",INDEX('CFOG'!$L$10:$L$16,MATCH($F185,'CFOG'!$B$10:$B$16,0))),"N/A")</f>
        <v/>
      </c>
      <c r="O185" s="25">
        <f>IFERROR(IF(INDEX('CFOG'!$L$23:$L$24,MATCH($F185,'CFOG'!$B$23:$B$24,0))="","Cell will autofill based on response",INDEX('CFOG'!$L$23:$L$24,MATCH($F185,'CFOG'!$B$23:$B$24,0))),"N/A")</f>
        <v/>
      </c>
      <c r="P185" s="25">
        <f>IFERROR(IF(INDEX('ESG'!$L$10:$L$17,MATCH($F185,'ESG'!$B$10:$B$17,0))="","Cell will autofill based on response",INDEX('ESG'!$L$10:$L$17,MATCH($F185,'ESG'!$B$10:$B$17,0))),"N/A")</f>
        <v/>
      </c>
      <c r="Q185" s="25">
        <f>IFERROR(IF(INDEX('CIOG'!$L$10:$L$14,MATCH($F185,'CIOG'!$B$10:$B$14,0))="","Cell will autofill based on response",INDEX('CIOG'!$L$10:$L$14,MATCH($F185,'CIOG'!$B$10:$B$14,0))),"N/A")</f>
        <v/>
      </c>
      <c r="R185" s="25">
        <f>IFERROR(IF(INDEX('MRE'!$L$10:$L$12,MATCH($F185,'MRE'!$B$10:$B$12,0))="","Cell will autofill based on response",INDEX('MRE'!$L$10:$L$12,MATCH($F185,'MRE'!$B$10:$B$12,0))),"N/A")</f>
        <v/>
      </c>
      <c r="S185" s="25">
        <f>IFERROR(IF(INDEX('L&amp;R'!$L$10:$L$11,MATCH($F185,'L&amp;R'!$B$10:$B$11,0))="","Cell will autofill based on response",INDEX('L&amp;R'!$L$10:$L$11,MATCH($F185,'L&amp;R'!$B$10:$B$11,0))),"N/A")</f>
        <v/>
      </c>
      <c r="U185" s="26">
        <f>COUNTIF($H185:$S185,"Cell will autofill based on response")</f>
        <v/>
      </c>
      <c r="V185" s="26">
        <f>COUNTIF($H185:$S185,"Not yet started")</f>
        <v/>
      </c>
      <c r="W185" s="26">
        <f>COUNTIF($H185:$S185,"Not met")</f>
        <v/>
      </c>
      <c r="X185" s="26">
        <f>COUNTIF($H185:$S185,"Partially met")</f>
        <v/>
      </c>
      <c r="Y185" s="26">
        <f>COUNTIF($H185:$S185,"Met or exceeded")</f>
        <v/>
      </c>
      <c r="Z185" s="26">
        <f>3*Y185+2*X185+W185</f>
        <v/>
      </c>
      <c r="AA185" s="26">
        <f>Y185+X185+W185+V185</f>
        <v/>
      </c>
      <c r="AB185" s="27">
        <f>IF(AA185&gt;0,Z185/AA185,"No valid responses to date")</f>
        <v/>
      </c>
      <c r="AC185" s="26">
        <f>IF(ISNUMBER(AB185),INDEX(Lists!$G$2:$G$5,MATCH(ROUND(AB185,0),Lists!$H$2:$H$5,0)),"")</f>
        <v/>
      </c>
      <c r="AD185" s="28">
        <f>IF(AA185&gt;0,Y185/AA185,"")</f>
        <v/>
      </c>
      <c r="AE185" s="28">
        <f>IF(AA185&gt;0,(Y185+X185)/AA185,"")</f>
        <v/>
      </c>
      <c r="AF185" s="26">
        <f>IF(AA185=0,"",IF(AD185&gt;0.75,"Met or exceeded",IF(AE185&gt;=0.5,"Partially met","Not met")))</f>
        <v/>
      </c>
    </row>
    <row r="186">
      <c r="A186">
        <f>F186&amp;"|"&amp;G186</f>
        <v/>
      </c>
      <c r="B186" s="29" t="inlineStr"/>
      <c r="C186" s="8" t="inlineStr"/>
      <c r="D186" s="8" t="inlineStr"/>
      <c r="E186" s="8" t="inlineStr"/>
      <c r="F186" s="8" t="inlineStr">
        <is>
          <t>NB2(c)</t>
        </is>
      </c>
      <c r="G186" s="8" t="inlineStr">
        <is>
          <t>OPTION 1:  Target-level reporting</t>
        </is>
      </c>
      <c r="H186" s="25">
        <f>IFERROR(IF(INDEX('Faculties'!$M$10:$M$30,MATCH($F186,'Faculties'!$B$10:$B$30,0))="","Cell will autofill based on response",INDEX('Faculties'!$M$10:$M$30,MATCH($F186,'Faculties'!$B$10:$B$30,0))),"N/A")</f>
        <v/>
      </c>
      <c r="I186" s="25">
        <f>IFERROR(IF(INDEX('Faculties'!$M$37:$M$57,MATCH($F186,'Faculties'!$B$37:$B$57,0))="","Cell will autofill based on response",INDEX('Faculties'!$M$37:$M$57,MATCH($F186,'Faculties'!$B$37:$B$57,0))),"N/A")</f>
        <v/>
      </c>
      <c r="J186" s="25">
        <f>IFERROR(IF(INDEX('Faculties'!$M$64:$M$84,MATCH($F186,'Faculties'!$B$64:$B$84,0))="","Cell will autofill based on response",INDEX('Faculties'!$M$64:$M$84,MATCH($F186,'Faculties'!$B$64:$B$84,0))),"N/A")</f>
        <v/>
      </c>
      <c r="K186" s="25">
        <f>IFERROR(IF(INDEX('Faculties'!$M$91:$M$111,MATCH($F186,'Faculties'!$B$91:$B$111,0))="","Cell will autofill based on response",INDEX('Faculties'!$M$91:$M$111,MATCH($F186,'Faculties'!$B$91:$B$111,0))),"N/A")</f>
        <v/>
      </c>
      <c r="L186" s="25">
        <f>IFERROR(IF(INDEX('CI&amp;S'!$M$10:$M$15,MATCH($F186,'CI&amp;S'!$B$10:$B$15,0))="","Cell will autofill based on response",INDEX('CI&amp;S'!$M$10:$M$15,MATCH($F186,'CI&amp;S'!$B$10:$B$15,0))),"N/A")</f>
        <v/>
      </c>
      <c r="M186" s="25">
        <f>IFERROR(IF(INDEX('CI&amp;S'!$M$22:$M$39,MATCH($F186,'CI&amp;S'!$B$22:$B$39,0))="","Cell will autofill based on response",INDEX('CI&amp;S'!$M$22:$M$39,MATCH($F186,'CI&amp;S'!$B$22:$B$39,0))),"N/A")</f>
        <v/>
      </c>
      <c r="N186" s="25">
        <f>IFERROR(IF(INDEX('CFOG'!$M$10:$M$16,MATCH($F186,'CFOG'!$B$10:$B$16,0))="","Cell will autofill based on response",INDEX('CFOG'!$M$10:$M$16,MATCH($F186,'CFOG'!$B$10:$B$16,0))),"N/A")</f>
        <v/>
      </c>
      <c r="O186" s="25">
        <f>IFERROR(IF(INDEX('CFOG'!$M$23:$M$24,MATCH($F186,'CFOG'!$B$23:$B$24,0))="","Cell will autofill based on response",INDEX('CFOG'!$M$23:$M$24,MATCH($F186,'CFOG'!$B$23:$B$24,0))),"N/A")</f>
        <v/>
      </c>
      <c r="P186" s="25">
        <f>IFERROR(IF(INDEX('ESG'!$M$10:$M$17,MATCH($F186,'ESG'!$B$10:$B$17,0))="","Cell will autofill based on response",INDEX('ESG'!$M$10:$M$17,MATCH($F186,'ESG'!$B$10:$B$17,0))),"N/A")</f>
        <v/>
      </c>
      <c r="Q186" s="25">
        <f>IFERROR(IF(INDEX('CIOG'!$M$10:$M$14,MATCH($F186,'CIOG'!$B$10:$B$14,0))="","Cell will autofill based on response",INDEX('CIOG'!$M$10:$M$14,MATCH($F186,'CIOG'!$B$10:$B$14,0))),"N/A")</f>
        <v/>
      </c>
      <c r="R186" s="25">
        <f>IFERROR(IF(INDEX('MRE'!$M$10:$M$12,MATCH($F186,'MRE'!$B$10:$B$12,0))="","Cell will autofill based on response",INDEX('MRE'!$M$10:$M$12,MATCH($F186,'MRE'!$B$10:$B$12,0))),"N/A")</f>
        <v/>
      </c>
      <c r="S186" s="25">
        <f>IFERROR(IF(INDEX('L&amp;R'!$M$10:$M$11,MATCH($F186,'L&amp;R'!$B$10:$B$11,0))="","Cell will autofill based on response",INDEX('L&amp;R'!$M$10:$M$11,MATCH($F186,'L&amp;R'!$B$10:$B$11,0))),"N/A")</f>
        <v/>
      </c>
    </row>
    <row r="187">
      <c r="A187">
        <f>F187&amp;"|"&amp;G187</f>
        <v/>
      </c>
      <c r="B187" s="29" t="inlineStr"/>
      <c r="C187" s="8" t="inlineStr"/>
      <c r="D187" s="8" t="inlineStr"/>
      <c r="E187" s="8" t="inlineStr"/>
      <c r="F187" s="8" t="inlineStr">
        <is>
          <t>NB2(c)</t>
        </is>
      </c>
      <c r="G187" s="8" t="inlineStr">
        <is>
          <t>OPTION 2:  Indicator level reporting</t>
        </is>
      </c>
      <c r="H187" s="25">
        <f>IFERROR(IF(INDEX('Faculties'!$N$10:$N$30,MATCH($F187,'Faculties'!$B$10:$B$30,0))="","Cell will autofill based on response",INDEX('Faculties'!$N$10:$N$30,MATCH($F187,'Faculties'!$B$10:$B$30,0))),"N/A")</f>
        <v/>
      </c>
      <c r="I187" s="25">
        <f>IFERROR(IF(INDEX('Faculties'!$N$37:$N$57,MATCH($F187,'Faculties'!$B$37:$B$57,0))="","Cell will autofill based on response",INDEX('Faculties'!$N$37:$N$57,MATCH($F187,'Faculties'!$B$37:$B$57,0))),"N/A")</f>
        <v/>
      </c>
      <c r="J187" s="25">
        <f>IFERROR(IF(INDEX('Faculties'!$N$64:$N$84,MATCH($F187,'Faculties'!$B$64:$B$84,0))="","Cell will autofill based on response",INDEX('Faculties'!$N$64:$N$84,MATCH($F187,'Faculties'!$B$64:$B$84,0))),"N/A")</f>
        <v/>
      </c>
      <c r="K187" s="25">
        <f>IFERROR(IF(INDEX('Faculties'!$N$91:$N$111,MATCH($F187,'Faculties'!$B$91:$B$111,0))="","Cell will autofill based on response",INDEX('Faculties'!$N$91:$N$111,MATCH($F187,'Faculties'!$B$91:$B$111,0))),"N/A")</f>
        <v/>
      </c>
      <c r="L187" s="25">
        <f>IFERROR(IF(INDEX('CI&amp;S'!$N$10:$N$15,MATCH($F187,'CI&amp;S'!$B$10:$B$15,0))="","Cell will autofill based on response",INDEX('CI&amp;S'!$N$10:$N$15,MATCH($F187,'CI&amp;S'!$B$10:$B$15,0))),"N/A")</f>
        <v/>
      </c>
      <c r="M187" s="25">
        <f>IFERROR(IF(INDEX('CI&amp;S'!$N$22:$N$39,MATCH($F187,'CI&amp;S'!$B$22:$B$39,0))="","Cell will autofill based on response",INDEX('CI&amp;S'!$N$22:$N$39,MATCH($F187,'CI&amp;S'!$B$22:$B$39,0))),"N/A")</f>
        <v/>
      </c>
      <c r="N187" s="25">
        <f>IFERROR(IF(INDEX('CFOG'!$N$10:$N$16,MATCH($F187,'CFOG'!$B$10:$B$16,0))="","Cell will autofill based on response",INDEX('CFOG'!$N$10:$N$16,MATCH($F187,'CFOG'!$B$10:$B$16,0))),"N/A")</f>
        <v/>
      </c>
      <c r="O187" s="25">
        <f>IFERROR(IF(INDEX('CFOG'!$N$23:$N$24,MATCH($F187,'CFOG'!$B$23:$B$24,0))="","Cell will autofill based on response",INDEX('CFOG'!$N$23:$N$24,MATCH($F187,'CFOG'!$B$23:$B$24,0))),"N/A")</f>
        <v/>
      </c>
      <c r="P187" s="25">
        <f>IFERROR(IF(INDEX('ESG'!$N$10:$N$17,MATCH($F187,'ESG'!$B$10:$B$17,0))="","Cell will autofill based on response",INDEX('ESG'!$N$10:$N$17,MATCH($F187,'ESG'!$B$10:$B$17,0))),"N/A")</f>
        <v/>
      </c>
      <c r="Q187" s="25">
        <f>IFERROR(IF(INDEX('CIOG'!$N$10:$N$14,MATCH($F187,'CIOG'!$B$10:$B$14,0))="","Cell will autofill based on response",INDEX('CIOG'!$N$10:$N$14,MATCH($F187,'CIOG'!$B$10:$B$14,0))),"N/A")</f>
        <v/>
      </c>
      <c r="R187" s="25">
        <f>IFERROR(IF(INDEX('MRE'!$N$10:$N$12,MATCH($F187,'MRE'!$B$10:$B$12,0))="","Cell will autofill based on response",INDEX('MRE'!$N$10:$N$12,MATCH($F187,'MRE'!$B$10:$B$12,0))),"N/A")</f>
        <v/>
      </c>
      <c r="S187" s="25">
        <f>IFERROR(IF(INDEX('L&amp;R'!$N$10:$N$11,MATCH($F187,'L&amp;R'!$B$10:$B$11,0))="","Cell will autofill based on response",INDEX('L&amp;R'!$N$10:$N$11,MATCH($F187,'L&amp;R'!$B$10:$B$11,0))),"N/A")</f>
        <v/>
      </c>
    </row>
    <row r="188">
      <c r="A188">
        <f>F188&amp;"|"&amp;G188</f>
        <v/>
      </c>
      <c r="B188" s="29" t="inlineStr"/>
      <c r="C188" s="8" t="inlineStr"/>
      <c r="D188" s="8" t="inlineStr"/>
      <c r="E188" s="8" t="inlineStr"/>
      <c r="F188" s="8" t="inlineStr">
        <is>
          <t>NB2(c)</t>
        </is>
      </c>
      <c r="G188" s="8" t="inlineStr">
        <is>
          <t>Supporting information/comments</t>
        </is>
      </c>
      <c r="H188" s="25">
        <f>IFERROR(IF(INDEX('Faculties'!$O$10:$O$30,MATCH($F188,'Faculties'!$B$10:$B$30,0))="","Cell will autofill based on response",INDEX('Faculties'!$O$10:$O$30,MATCH($F188,'Faculties'!$B$10:$B$30,0))),"N/A")</f>
        <v/>
      </c>
      <c r="I188" s="25">
        <f>IFERROR(IF(INDEX('Faculties'!$O$37:$O$57,MATCH($F188,'Faculties'!$B$37:$B$57,0))="","Cell will autofill based on response",INDEX('Faculties'!$O$37:$O$57,MATCH($F188,'Faculties'!$B$37:$B$57,0))),"N/A")</f>
        <v/>
      </c>
      <c r="J188" s="25">
        <f>IFERROR(IF(INDEX('Faculties'!$O$64:$O$84,MATCH($F188,'Faculties'!$B$64:$B$84,0))="","Cell will autofill based on response",INDEX('Faculties'!$O$64:$O$84,MATCH($F188,'Faculties'!$B$64:$B$84,0))),"N/A")</f>
        <v/>
      </c>
      <c r="K188" s="25">
        <f>IFERROR(IF(INDEX('Faculties'!$O$91:$O$111,MATCH($F188,'Faculties'!$B$91:$B$111,0))="","Cell will autofill based on response",INDEX('Faculties'!$O$91:$O$111,MATCH($F188,'Faculties'!$B$91:$B$111,0))),"N/A")</f>
        <v/>
      </c>
      <c r="L188" s="25">
        <f>IFERROR(IF(INDEX('CI&amp;S'!$O$10:$O$15,MATCH($F188,'CI&amp;S'!$B$10:$B$15,0))="","Cell will autofill based on response",INDEX('CI&amp;S'!$O$10:$O$15,MATCH($F188,'CI&amp;S'!$B$10:$B$15,0))),"N/A")</f>
        <v/>
      </c>
      <c r="M188" s="25">
        <f>IFERROR(IF(INDEX('CI&amp;S'!$O$22:$O$39,MATCH($F188,'CI&amp;S'!$B$22:$B$39,0))="","Cell will autofill based on response",INDEX('CI&amp;S'!$O$22:$O$39,MATCH($F188,'CI&amp;S'!$B$22:$B$39,0))),"N/A")</f>
        <v/>
      </c>
      <c r="N188" s="25">
        <f>IFERROR(IF(INDEX('CFOG'!$O$10:$O$16,MATCH($F188,'CFOG'!$B$10:$B$16,0))="","Cell will autofill based on response",INDEX('CFOG'!$O$10:$O$16,MATCH($F188,'CFOG'!$B$10:$B$16,0))),"N/A")</f>
        <v/>
      </c>
      <c r="O188" s="25">
        <f>IFERROR(IF(INDEX('CFOG'!$O$23:$O$24,MATCH($F188,'CFOG'!$B$23:$B$24,0))="","Cell will autofill based on response",INDEX('CFOG'!$O$23:$O$24,MATCH($F188,'CFOG'!$B$23:$B$24,0))),"N/A")</f>
        <v/>
      </c>
      <c r="P188" s="25">
        <f>IFERROR(IF(INDEX('ESG'!$O$10:$O$17,MATCH($F188,'ESG'!$B$10:$B$17,0))="","Cell will autofill based on response",INDEX('ESG'!$O$10:$O$17,MATCH($F188,'ESG'!$B$10:$B$17,0))),"N/A")</f>
        <v/>
      </c>
      <c r="Q188" s="25">
        <f>IFERROR(IF(INDEX('CIOG'!$O$10:$O$14,MATCH($F188,'CIOG'!$B$10:$B$14,0))="","Cell will autofill based on response",INDEX('CIOG'!$O$10:$O$14,MATCH($F188,'CIOG'!$B$10:$B$14,0))),"N/A")</f>
        <v/>
      </c>
      <c r="R188" s="25">
        <f>IFERROR(IF(INDEX('MRE'!$O$10:$O$12,MATCH($F188,'MRE'!$B$10:$B$12,0))="","Cell will autofill based on response",INDEX('MRE'!$O$10:$O$12,MATCH($F188,'MRE'!$B$10:$B$12,0))),"N/A")</f>
        <v/>
      </c>
      <c r="S188" s="25">
        <f>IFERROR(IF(INDEX('L&amp;R'!$O$10:$O$11,MATCH($F188,'L&amp;R'!$B$10:$B$11,0))="","Cell will autofill based on response",INDEX('L&amp;R'!$O$10:$O$11,MATCH($F188,'L&amp;R'!$B$10:$B$11,0))),"N/A")</f>
        <v/>
      </c>
    </row>
    <row r="189">
      <c r="A189">
        <f>F189&amp;"|"&amp;G189</f>
        <v/>
      </c>
      <c r="B189" s="29" t="inlineStr"/>
      <c r="C189" s="8" t="inlineStr"/>
      <c r="D189" s="8" t="inlineStr"/>
      <c r="E189" s="8" t="inlineStr"/>
      <c r="F189" s="8" t="inlineStr">
        <is>
          <t>NB2(c)</t>
        </is>
      </c>
      <c r="G189" s="8" t="inlineStr">
        <is>
          <t>Data source and limitations</t>
        </is>
      </c>
      <c r="H189" s="25">
        <f>IFERROR(IF(INDEX('Faculties'!$P$10:$P$30,MATCH($F189,'Faculties'!$B$10:$B$30,0))="","Cell will autofill based on response",INDEX('Faculties'!$P$10:$P$30,MATCH($F189,'Faculties'!$B$10:$B$30,0))),"N/A")</f>
        <v/>
      </c>
      <c r="I189" s="25">
        <f>IFERROR(IF(INDEX('Faculties'!$P$37:$P$57,MATCH($F189,'Faculties'!$B$37:$B$57,0))="","Cell will autofill based on response",INDEX('Faculties'!$P$37:$P$57,MATCH($F189,'Faculties'!$B$37:$B$57,0))),"N/A")</f>
        <v/>
      </c>
      <c r="J189" s="25">
        <f>IFERROR(IF(INDEX('Faculties'!$P$64:$P$84,MATCH($F189,'Faculties'!$B$64:$B$84,0))="","Cell will autofill based on response",INDEX('Faculties'!$P$64:$P$84,MATCH($F189,'Faculties'!$B$64:$B$84,0))),"N/A")</f>
        <v/>
      </c>
      <c r="K189" s="25">
        <f>IFERROR(IF(INDEX('Faculties'!$P$91:$P$111,MATCH($F189,'Faculties'!$B$91:$B$111,0))="","Cell will autofill based on response",INDEX('Faculties'!$P$91:$P$111,MATCH($F189,'Faculties'!$B$91:$B$111,0))),"N/A")</f>
        <v/>
      </c>
      <c r="L189" s="25">
        <f>IFERROR(IF(INDEX('CI&amp;S'!$P$10:$P$15,MATCH($F189,'CI&amp;S'!$B$10:$B$15,0))="","Cell will autofill based on response",INDEX('CI&amp;S'!$P$10:$P$15,MATCH($F189,'CI&amp;S'!$B$10:$B$15,0))),"N/A")</f>
        <v/>
      </c>
      <c r="M189" s="25">
        <f>IFERROR(IF(INDEX('CI&amp;S'!$P$22:$P$39,MATCH($F189,'CI&amp;S'!$B$22:$B$39,0))="","Cell will autofill based on response",INDEX('CI&amp;S'!$P$22:$P$39,MATCH($F189,'CI&amp;S'!$B$22:$B$39,0))),"N/A")</f>
        <v/>
      </c>
      <c r="N189" s="25">
        <f>IFERROR(IF(INDEX('CFOG'!$P$10:$P$16,MATCH($F189,'CFOG'!$B$10:$B$16,0))="","Cell will autofill based on response",INDEX('CFOG'!$P$10:$P$16,MATCH($F189,'CFOG'!$B$10:$B$16,0))),"N/A")</f>
        <v/>
      </c>
      <c r="O189" s="25">
        <f>IFERROR(IF(INDEX('CFOG'!$P$23:$P$24,MATCH($F189,'CFOG'!$B$23:$B$24,0))="","Cell will autofill based on response",INDEX('CFOG'!$P$23:$P$24,MATCH($F189,'CFOG'!$B$23:$B$24,0))),"N/A")</f>
        <v/>
      </c>
      <c r="P189" s="25">
        <f>IFERROR(IF(INDEX('ESG'!$P$10:$P$17,MATCH($F189,'ESG'!$B$10:$B$17,0))="","Cell will autofill based on response",INDEX('ESG'!$P$10:$P$17,MATCH($F189,'ESG'!$B$10:$B$17,0))),"N/A")</f>
        <v/>
      </c>
      <c r="Q189" s="25">
        <f>IFERROR(IF(INDEX('CIOG'!$P$10:$P$14,MATCH($F189,'CIOG'!$B$10:$B$14,0))="","Cell will autofill based on response",INDEX('CIOG'!$P$10:$P$14,MATCH($F189,'CIOG'!$B$10:$B$14,0))),"N/A")</f>
        <v/>
      </c>
      <c r="R189" s="25">
        <f>IFERROR(IF(INDEX('MRE'!$P$10:$P$12,MATCH($F189,'MRE'!$B$10:$B$12,0))="","Cell will autofill based on response",INDEX('MRE'!$P$10:$P$12,MATCH($F189,'MRE'!$B$10:$B$12,0))),"N/A")</f>
        <v/>
      </c>
      <c r="S189" s="25">
        <f>IFERROR(IF(INDEX('L&amp;R'!$P$10:$P$11,MATCH($F189,'L&amp;R'!$B$10:$B$11,0))="","Cell will autofill based on response",INDEX('L&amp;R'!$P$10:$P$11,MATCH($F189,'L&amp;R'!$B$10:$B$11,0))),"N/A")</f>
        <v/>
      </c>
    </row>
    <row r="190">
      <c r="A190">
        <f>F190&amp;"|"&amp;G190</f>
        <v/>
      </c>
      <c r="B190" s="29" t="inlineStr"/>
      <c r="C190" s="8" t="inlineStr"/>
      <c r="D190" s="8" t="inlineStr"/>
      <c r="E190" s="8" t="inlineStr"/>
      <c r="F190" s="8" t="inlineStr">
        <is>
          <t>NB2(c)</t>
        </is>
      </c>
      <c r="G190" s="8" t="inlineStr">
        <is>
          <t>Data owner confirms</t>
        </is>
      </c>
      <c r="H190" s="25">
        <f>IFERROR(IF(INDEX('Faculties'!$Q$10:$Q$30,MATCH($F190,'Faculties'!$B$10:$B$30,0))="","Cell will autofill based on response",INDEX('Faculties'!$Q$10:$Q$30,MATCH($F190,'Faculties'!$B$10:$B$30,0))),"N/A")</f>
        <v/>
      </c>
      <c r="I190" s="25">
        <f>IFERROR(IF(INDEX('Faculties'!$Q$37:$Q$57,MATCH($F190,'Faculties'!$B$37:$B$57,0))="","Cell will autofill based on response",INDEX('Faculties'!$Q$37:$Q$57,MATCH($F190,'Faculties'!$B$37:$B$57,0))),"N/A")</f>
        <v/>
      </c>
      <c r="J190" s="25">
        <f>IFERROR(IF(INDEX('Faculties'!$Q$64:$Q$84,MATCH($F190,'Faculties'!$B$64:$B$84,0))="","Cell will autofill based on response",INDEX('Faculties'!$Q$64:$Q$84,MATCH($F190,'Faculties'!$B$64:$B$84,0))),"N/A")</f>
        <v/>
      </c>
      <c r="K190" s="25">
        <f>IFERROR(IF(INDEX('Faculties'!$Q$91:$Q$111,MATCH($F190,'Faculties'!$B$91:$B$111,0))="","Cell will autofill based on response",INDEX('Faculties'!$Q$91:$Q$111,MATCH($F190,'Faculties'!$B$91:$B$111,0))),"N/A")</f>
        <v/>
      </c>
      <c r="L190" s="25">
        <f>IFERROR(IF(INDEX('CI&amp;S'!$Q$10:$Q$15,MATCH($F190,'CI&amp;S'!$B$10:$B$15,0))="","Cell will autofill based on response",INDEX('CI&amp;S'!$Q$10:$Q$15,MATCH($F190,'CI&amp;S'!$B$10:$B$15,0))),"N/A")</f>
        <v/>
      </c>
      <c r="M190" s="25">
        <f>IFERROR(IF(INDEX('CI&amp;S'!$Q$22:$Q$39,MATCH($F190,'CI&amp;S'!$B$22:$B$39,0))="","Cell will autofill based on response",INDEX('CI&amp;S'!$Q$22:$Q$39,MATCH($F190,'CI&amp;S'!$B$22:$B$39,0))),"N/A")</f>
        <v/>
      </c>
      <c r="N190" s="25">
        <f>IFERROR(IF(INDEX('CFOG'!$Q$10:$Q$16,MATCH($F190,'CFOG'!$B$10:$B$16,0))="","Cell will autofill based on response",INDEX('CFOG'!$Q$10:$Q$16,MATCH($F190,'CFOG'!$B$10:$B$16,0))),"N/A")</f>
        <v/>
      </c>
      <c r="O190" s="25">
        <f>IFERROR(IF(INDEX('CFOG'!$Q$23:$Q$24,MATCH($F190,'CFOG'!$B$23:$B$24,0))="","Cell will autofill based on response",INDEX('CFOG'!$Q$23:$Q$24,MATCH($F190,'CFOG'!$B$23:$B$24,0))),"N/A")</f>
        <v/>
      </c>
      <c r="P190" s="25">
        <f>IFERROR(IF(INDEX('ESG'!$Q$10:$Q$17,MATCH($F190,'ESG'!$B$10:$B$17,0))="","Cell will autofill based on response",INDEX('ESG'!$Q$10:$Q$17,MATCH($F190,'ESG'!$B$10:$B$17,0))),"N/A")</f>
        <v/>
      </c>
      <c r="Q190" s="25">
        <f>IFERROR(IF(INDEX('CIOG'!$Q$10:$Q$14,MATCH($F190,'CIOG'!$B$10:$B$14,0))="","Cell will autofill based on response",INDEX('CIOG'!$Q$10:$Q$14,MATCH($F190,'CIOG'!$B$10:$B$14,0))),"N/A")</f>
        <v/>
      </c>
      <c r="R190" s="25">
        <f>IFERROR(IF(INDEX('MRE'!$Q$10:$Q$12,MATCH($F190,'MRE'!$B$10:$B$12,0))="","Cell will autofill based on response",INDEX('MRE'!$Q$10:$Q$12,MATCH($F190,'MRE'!$B$10:$B$12,0))),"N/A")</f>
        <v/>
      </c>
      <c r="S190" s="25">
        <f>IFERROR(IF(INDEX('L&amp;R'!$Q$10:$Q$11,MATCH($F190,'L&amp;R'!$B$10:$B$11,0))="","Cell will autofill based on response",INDEX('L&amp;R'!$Q$10:$Q$11,MATCH($F190,'L&amp;R'!$B$10:$B$11,0))),"N/A")</f>
        <v/>
      </c>
    </row>
    <row r="191">
      <c r="A191">
        <f>F191&amp;"|"&amp;G191</f>
        <v/>
      </c>
      <c r="B191" s="7" t="inlineStr">
        <is>
          <t>AI1(a)</t>
        </is>
      </c>
      <c r="C191" s="12" t="inlineStr">
        <is>
          <t>Responsible AI</t>
        </is>
      </c>
      <c r="D191" s="12" t="inlineStr">
        <is>
          <t>Established measurement of estimated operational impacts and opportunities (eg operational impacts could include energy, water, emissions and intensity measures)</t>
        </is>
      </c>
      <c r="E191" s="12" t="inlineStr"/>
      <c r="F191" s="12" t="inlineStr">
        <is>
          <t>AI1(a)</t>
        </is>
      </c>
      <c r="G191" s="12" t="inlineStr">
        <is>
          <t>Confirm end-2026 target status</t>
        </is>
      </c>
      <c r="H191" s="25">
        <f>IFERROR(IF(INDEX('Faculties'!$L$10:$L$30,MATCH($F191,'Faculties'!$B$10:$B$30,0))="","Cell will autofill based on response",INDEX('Faculties'!$L$10:$L$30,MATCH($F191,'Faculties'!$B$10:$B$30,0))),"N/A")</f>
        <v/>
      </c>
      <c r="I191" s="25">
        <f>IFERROR(IF(INDEX('Faculties'!$L$37:$L$57,MATCH($F191,'Faculties'!$B$37:$B$57,0))="","Cell will autofill based on response",INDEX('Faculties'!$L$37:$L$57,MATCH($F191,'Faculties'!$B$37:$B$57,0))),"N/A")</f>
        <v/>
      </c>
      <c r="J191" s="25">
        <f>IFERROR(IF(INDEX('Faculties'!$L$64:$L$84,MATCH($F191,'Faculties'!$B$64:$B$84,0))="","Cell will autofill based on response",INDEX('Faculties'!$L$64:$L$84,MATCH($F191,'Faculties'!$B$64:$B$84,0))),"N/A")</f>
        <v/>
      </c>
      <c r="K191" s="25">
        <f>IFERROR(IF(INDEX('Faculties'!$L$91:$L$111,MATCH($F191,'Faculties'!$B$91:$B$111,0))="","Cell will autofill based on response",INDEX('Faculties'!$L$91:$L$111,MATCH($F191,'Faculties'!$B$91:$B$111,0))),"N/A")</f>
        <v/>
      </c>
      <c r="L191" s="25">
        <f>IFERROR(IF(INDEX('CI&amp;S'!$L$10:$L$15,MATCH($F191,'CI&amp;S'!$B$10:$B$15,0))="","Cell will autofill based on response",INDEX('CI&amp;S'!$L$10:$L$15,MATCH($F191,'CI&amp;S'!$B$10:$B$15,0))),"N/A")</f>
        <v/>
      </c>
      <c r="M191" s="25">
        <f>IFERROR(IF(INDEX('CI&amp;S'!$L$22:$L$39,MATCH($F191,'CI&amp;S'!$B$22:$B$39,0))="","Cell will autofill based on response",INDEX('CI&amp;S'!$L$22:$L$39,MATCH($F191,'CI&amp;S'!$B$22:$B$39,0))),"N/A")</f>
        <v/>
      </c>
      <c r="N191" s="25">
        <f>IFERROR(IF(INDEX('CFOG'!$L$10:$L$16,MATCH($F191,'CFOG'!$B$10:$B$16,0))="","Cell will autofill based on response",INDEX('CFOG'!$L$10:$L$16,MATCH($F191,'CFOG'!$B$10:$B$16,0))),"N/A")</f>
        <v/>
      </c>
      <c r="O191" s="25">
        <f>IFERROR(IF(INDEX('CFOG'!$L$23:$L$24,MATCH($F191,'CFOG'!$B$23:$B$24,0))="","Cell will autofill based on response",INDEX('CFOG'!$L$23:$L$24,MATCH($F191,'CFOG'!$B$23:$B$24,0))),"N/A")</f>
        <v/>
      </c>
      <c r="P191" s="25">
        <f>IFERROR(IF(INDEX('ESG'!$L$10:$L$17,MATCH($F191,'ESG'!$B$10:$B$17,0))="","Cell will autofill based on response",INDEX('ESG'!$L$10:$L$17,MATCH($F191,'ESG'!$B$10:$B$17,0))),"N/A")</f>
        <v/>
      </c>
      <c r="Q191" s="25">
        <f>IFERROR(IF(INDEX('CIOG'!$L$10:$L$14,MATCH($F191,'CIOG'!$B$10:$B$14,0))="","Cell will autofill based on response",INDEX('CIOG'!$L$10:$L$14,MATCH($F191,'CIOG'!$B$10:$B$14,0))),"N/A")</f>
        <v/>
      </c>
      <c r="R191" s="25">
        <f>IFERROR(IF(INDEX('MRE'!$L$10:$L$12,MATCH($F191,'MRE'!$B$10:$B$12,0))="","Cell will autofill based on response",INDEX('MRE'!$L$10:$L$12,MATCH($F191,'MRE'!$B$10:$B$12,0))),"N/A")</f>
        <v/>
      </c>
      <c r="S191" s="25">
        <f>IFERROR(IF(INDEX('L&amp;R'!$L$10:$L$11,MATCH($F191,'L&amp;R'!$B$10:$B$11,0))="","Cell will autofill based on response",INDEX('L&amp;R'!$L$10:$L$11,MATCH($F191,'L&amp;R'!$B$10:$B$11,0))),"N/A")</f>
        <v/>
      </c>
      <c r="U191" s="26">
        <f>COUNTIF($H191:$S191,"Cell will autofill based on response")</f>
        <v/>
      </c>
      <c r="V191" s="26">
        <f>COUNTIF($H191:$S191,"Not yet started")</f>
        <v/>
      </c>
      <c r="W191" s="26">
        <f>COUNTIF($H191:$S191,"Not met")</f>
        <v/>
      </c>
      <c r="X191" s="26">
        <f>COUNTIF($H191:$S191,"Partially met")</f>
        <v/>
      </c>
      <c r="Y191" s="26">
        <f>COUNTIF($H191:$S191,"Met or exceeded")</f>
        <v/>
      </c>
      <c r="Z191" s="26">
        <f>3*Y191+2*X191+W191</f>
        <v/>
      </c>
      <c r="AA191" s="26">
        <f>Y191+X191+W191+V191</f>
        <v/>
      </c>
      <c r="AB191" s="27">
        <f>IF(AA191&gt;0,Z191/AA191,"No valid responses to date")</f>
        <v/>
      </c>
      <c r="AC191" s="26">
        <f>IF(ISNUMBER(AB191),INDEX(Lists!$G$2:$G$5,MATCH(ROUND(AB191,0),Lists!$H$2:$H$5,0)),"")</f>
        <v/>
      </c>
      <c r="AD191" s="28">
        <f>IF(AA191&gt;0,Y191/AA191,"")</f>
        <v/>
      </c>
      <c r="AE191" s="28">
        <f>IF(AA191&gt;0,(Y191+X191)/AA191,"")</f>
        <v/>
      </c>
      <c r="AF191" s="26">
        <f>IF(AA191=0,"",IF(AD191&gt;0.75,"Met or exceeded",IF(AE191&gt;=0.5,"Partially met","Not met")))</f>
        <v/>
      </c>
    </row>
    <row r="192">
      <c r="A192">
        <f>F192&amp;"|"&amp;G192</f>
        <v/>
      </c>
      <c r="B192" s="29" t="inlineStr"/>
      <c r="C192" s="8" t="inlineStr"/>
      <c r="D192" s="8" t="inlineStr"/>
      <c r="E192" s="8" t="inlineStr"/>
      <c r="F192" s="8" t="inlineStr">
        <is>
          <t>AI1(a)</t>
        </is>
      </c>
      <c r="G192" s="8" t="inlineStr">
        <is>
          <t>OPTION 1:  Target-level reporting</t>
        </is>
      </c>
      <c r="H192" s="25">
        <f>IFERROR(IF(INDEX('Faculties'!$M$10:$M$30,MATCH($F192,'Faculties'!$B$10:$B$30,0))="","Cell will autofill based on response",INDEX('Faculties'!$M$10:$M$30,MATCH($F192,'Faculties'!$B$10:$B$30,0))),"N/A")</f>
        <v/>
      </c>
      <c r="I192" s="25">
        <f>IFERROR(IF(INDEX('Faculties'!$M$37:$M$57,MATCH($F192,'Faculties'!$B$37:$B$57,0))="","Cell will autofill based on response",INDEX('Faculties'!$M$37:$M$57,MATCH($F192,'Faculties'!$B$37:$B$57,0))),"N/A")</f>
        <v/>
      </c>
      <c r="J192" s="25">
        <f>IFERROR(IF(INDEX('Faculties'!$M$64:$M$84,MATCH($F192,'Faculties'!$B$64:$B$84,0))="","Cell will autofill based on response",INDEX('Faculties'!$M$64:$M$84,MATCH($F192,'Faculties'!$B$64:$B$84,0))),"N/A")</f>
        <v/>
      </c>
      <c r="K192" s="25">
        <f>IFERROR(IF(INDEX('Faculties'!$M$91:$M$111,MATCH($F192,'Faculties'!$B$91:$B$111,0))="","Cell will autofill based on response",INDEX('Faculties'!$M$91:$M$111,MATCH($F192,'Faculties'!$B$91:$B$111,0))),"N/A")</f>
        <v/>
      </c>
      <c r="L192" s="25">
        <f>IFERROR(IF(INDEX('CI&amp;S'!$M$10:$M$15,MATCH($F192,'CI&amp;S'!$B$10:$B$15,0))="","Cell will autofill based on response",INDEX('CI&amp;S'!$M$10:$M$15,MATCH($F192,'CI&amp;S'!$B$10:$B$15,0))),"N/A")</f>
        <v/>
      </c>
      <c r="M192" s="25">
        <f>IFERROR(IF(INDEX('CI&amp;S'!$M$22:$M$39,MATCH($F192,'CI&amp;S'!$B$22:$B$39,0))="","Cell will autofill based on response",INDEX('CI&amp;S'!$M$22:$M$39,MATCH($F192,'CI&amp;S'!$B$22:$B$39,0))),"N/A")</f>
        <v/>
      </c>
      <c r="N192" s="25">
        <f>IFERROR(IF(INDEX('CFOG'!$M$10:$M$16,MATCH($F192,'CFOG'!$B$10:$B$16,0))="","Cell will autofill based on response",INDEX('CFOG'!$M$10:$M$16,MATCH($F192,'CFOG'!$B$10:$B$16,0))),"N/A")</f>
        <v/>
      </c>
      <c r="O192" s="25">
        <f>IFERROR(IF(INDEX('CFOG'!$M$23:$M$24,MATCH($F192,'CFOG'!$B$23:$B$24,0))="","Cell will autofill based on response",INDEX('CFOG'!$M$23:$M$24,MATCH($F192,'CFOG'!$B$23:$B$24,0))),"N/A")</f>
        <v/>
      </c>
      <c r="P192" s="25">
        <f>IFERROR(IF(INDEX('ESG'!$M$10:$M$17,MATCH($F192,'ESG'!$B$10:$B$17,0))="","Cell will autofill based on response",INDEX('ESG'!$M$10:$M$17,MATCH($F192,'ESG'!$B$10:$B$17,0))),"N/A")</f>
        <v/>
      </c>
      <c r="Q192" s="25">
        <f>IFERROR(IF(INDEX('CIOG'!$M$10:$M$14,MATCH($F192,'CIOG'!$B$10:$B$14,0))="","Cell will autofill based on response",INDEX('CIOG'!$M$10:$M$14,MATCH($F192,'CIOG'!$B$10:$B$14,0))),"N/A")</f>
        <v/>
      </c>
      <c r="R192" s="25">
        <f>IFERROR(IF(INDEX('MRE'!$M$10:$M$12,MATCH($F192,'MRE'!$B$10:$B$12,0))="","Cell will autofill based on response",INDEX('MRE'!$M$10:$M$12,MATCH($F192,'MRE'!$B$10:$B$12,0))),"N/A")</f>
        <v/>
      </c>
      <c r="S192" s="25">
        <f>IFERROR(IF(INDEX('L&amp;R'!$M$10:$M$11,MATCH($F192,'L&amp;R'!$B$10:$B$11,0))="","Cell will autofill based on response",INDEX('L&amp;R'!$M$10:$M$11,MATCH($F192,'L&amp;R'!$B$10:$B$11,0))),"N/A")</f>
        <v/>
      </c>
    </row>
    <row r="193">
      <c r="A193">
        <f>F193&amp;"|"&amp;G193</f>
        <v/>
      </c>
      <c r="B193" s="29" t="inlineStr"/>
      <c r="C193" s="8" t="inlineStr"/>
      <c r="D193" s="8" t="inlineStr"/>
      <c r="E193" s="8" t="inlineStr"/>
      <c r="F193" s="8" t="inlineStr">
        <is>
          <t>AI1(a)</t>
        </is>
      </c>
      <c r="G193" s="8" t="inlineStr">
        <is>
          <t>OPTION 2:  Indicator level reporting</t>
        </is>
      </c>
      <c r="H193" s="25">
        <f>IFERROR(IF(INDEX('Faculties'!$N$10:$N$30,MATCH($F193,'Faculties'!$B$10:$B$30,0))="","Cell will autofill based on response",INDEX('Faculties'!$N$10:$N$30,MATCH($F193,'Faculties'!$B$10:$B$30,0))),"N/A")</f>
        <v/>
      </c>
      <c r="I193" s="25">
        <f>IFERROR(IF(INDEX('Faculties'!$N$37:$N$57,MATCH($F193,'Faculties'!$B$37:$B$57,0))="","Cell will autofill based on response",INDEX('Faculties'!$N$37:$N$57,MATCH($F193,'Faculties'!$B$37:$B$57,0))),"N/A")</f>
        <v/>
      </c>
      <c r="J193" s="25">
        <f>IFERROR(IF(INDEX('Faculties'!$N$64:$N$84,MATCH($F193,'Faculties'!$B$64:$B$84,0))="","Cell will autofill based on response",INDEX('Faculties'!$N$64:$N$84,MATCH($F193,'Faculties'!$B$64:$B$84,0))),"N/A")</f>
        <v/>
      </c>
      <c r="K193" s="25">
        <f>IFERROR(IF(INDEX('Faculties'!$N$91:$N$111,MATCH($F193,'Faculties'!$B$91:$B$111,0))="","Cell will autofill based on response",INDEX('Faculties'!$N$91:$N$111,MATCH($F193,'Faculties'!$B$91:$B$111,0))),"N/A")</f>
        <v/>
      </c>
      <c r="L193" s="25">
        <f>IFERROR(IF(INDEX('CI&amp;S'!$N$10:$N$15,MATCH($F193,'CI&amp;S'!$B$10:$B$15,0))="","Cell will autofill based on response",INDEX('CI&amp;S'!$N$10:$N$15,MATCH($F193,'CI&amp;S'!$B$10:$B$15,0))),"N/A")</f>
        <v/>
      </c>
      <c r="M193" s="25">
        <f>IFERROR(IF(INDEX('CI&amp;S'!$N$22:$N$39,MATCH($F193,'CI&amp;S'!$B$22:$B$39,0))="","Cell will autofill based on response",INDEX('CI&amp;S'!$N$22:$N$39,MATCH($F193,'CI&amp;S'!$B$22:$B$39,0))),"N/A")</f>
        <v/>
      </c>
      <c r="N193" s="25">
        <f>IFERROR(IF(INDEX('CFOG'!$N$10:$N$16,MATCH($F193,'CFOG'!$B$10:$B$16,0))="","Cell will autofill based on response",INDEX('CFOG'!$N$10:$N$16,MATCH($F193,'CFOG'!$B$10:$B$16,0))),"N/A")</f>
        <v/>
      </c>
      <c r="O193" s="25">
        <f>IFERROR(IF(INDEX('CFOG'!$N$23:$N$24,MATCH($F193,'CFOG'!$B$23:$B$24,0))="","Cell will autofill based on response",INDEX('CFOG'!$N$23:$N$24,MATCH($F193,'CFOG'!$B$23:$B$24,0))),"N/A")</f>
        <v/>
      </c>
      <c r="P193" s="25">
        <f>IFERROR(IF(INDEX('ESG'!$N$10:$N$17,MATCH($F193,'ESG'!$B$10:$B$17,0))="","Cell will autofill based on response",INDEX('ESG'!$N$10:$N$17,MATCH($F193,'ESG'!$B$10:$B$17,0))),"N/A")</f>
        <v/>
      </c>
      <c r="Q193" s="25">
        <f>IFERROR(IF(INDEX('CIOG'!$N$10:$N$14,MATCH($F193,'CIOG'!$B$10:$B$14,0))="","Cell will autofill based on response",INDEX('CIOG'!$N$10:$N$14,MATCH($F193,'CIOG'!$B$10:$B$14,0))),"N/A")</f>
        <v/>
      </c>
      <c r="R193" s="25">
        <f>IFERROR(IF(INDEX('MRE'!$N$10:$N$12,MATCH($F193,'MRE'!$B$10:$B$12,0))="","Cell will autofill based on response",INDEX('MRE'!$N$10:$N$12,MATCH($F193,'MRE'!$B$10:$B$12,0))),"N/A")</f>
        <v/>
      </c>
      <c r="S193" s="25">
        <f>IFERROR(IF(INDEX('L&amp;R'!$N$10:$N$11,MATCH($F193,'L&amp;R'!$B$10:$B$11,0))="","Cell will autofill based on response",INDEX('L&amp;R'!$N$10:$N$11,MATCH($F193,'L&amp;R'!$B$10:$B$11,0))),"N/A")</f>
        <v/>
      </c>
    </row>
    <row r="194">
      <c r="A194">
        <f>F194&amp;"|"&amp;G194</f>
        <v/>
      </c>
      <c r="B194" s="29" t="inlineStr"/>
      <c r="C194" s="8" t="inlineStr"/>
      <c r="D194" s="8" t="inlineStr"/>
      <c r="E194" s="8" t="inlineStr"/>
      <c r="F194" s="8" t="inlineStr">
        <is>
          <t>AI1(a)</t>
        </is>
      </c>
      <c r="G194" s="8" t="inlineStr">
        <is>
          <t>Supporting information/comments</t>
        </is>
      </c>
      <c r="H194" s="25">
        <f>IFERROR(IF(INDEX('Faculties'!$O$10:$O$30,MATCH($F194,'Faculties'!$B$10:$B$30,0))="","Cell will autofill based on response",INDEX('Faculties'!$O$10:$O$30,MATCH($F194,'Faculties'!$B$10:$B$30,0))),"N/A")</f>
        <v/>
      </c>
      <c r="I194" s="25">
        <f>IFERROR(IF(INDEX('Faculties'!$O$37:$O$57,MATCH($F194,'Faculties'!$B$37:$B$57,0))="","Cell will autofill based on response",INDEX('Faculties'!$O$37:$O$57,MATCH($F194,'Faculties'!$B$37:$B$57,0))),"N/A")</f>
        <v/>
      </c>
      <c r="J194" s="25">
        <f>IFERROR(IF(INDEX('Faculties'!$O$64:$O$84,MATCH($F194,'Faculties'!$B$64:$B$84,0))="","Cell will autofill based on response",INDEX('Faculties'!$O$64:$O$84,MATCH($F194,'Faculties'!$B$64:$B$84,0))),"N/A")</f>
        <v/>
      </c>
      <c r="K194" s="25">
        <f>IFERROR(IF(INDEX('Faculties'!$O$91:$O$111,MATCH($F194,'Faculties'!$B$91:$B$111,0))="","Cell will autofill based on response",INDEX('Faculties'!$O$91:$O$111,MATCH($F194,'Faculties'!$B$91:$B$111,0))),"N/A")</f>
        <v/>
      </c>
      <c r="L194" s="25">
        <f>IFERROR(IF(INDEX('CI&amp;S'!$O$10:$O$15,MATCH($F194,'CI&amp;S'!$B$10:$B$15,0))="","Cell will autofill based on response",INDEX('CI&amp;S'!$O$10:$O$15,MATCH($F194,'CI&amp;S'!$B$10:$B$15,0))),"N/A")</f>
        <v/>
      </c>
      <c r="M194" s="25">
        <f>IFERROR(IF(INDEX('CI&amp;S'!$O$22:$O$39,MATCH($F194,'CI&amp;S'!$B$22:$B$39,0))="","Cell will autofill based on response",INDEX('CI&amp;S'!$O$22:$O$39,MATCH($F194,'CI&amp;S'!$B$22:$B$39,0))),"N/A")</f>
        <v/>
      </c>
      <c r="N194" s="25">
        <f>IFERROR(IF(INDEX('CFOG'!$O$10:$O$16,MATCH($F194,'CFOG'!$B$10:$B$16,0))="","Cell will autofill based on response",INDEX('CFOG'!$O$10:$O$16,MATCH($F194,'CFOG'!$B$10:$B$16,0))),"N/A")</f>
        <v/>
      </c>
      <c r="O194" s="25">
        <f>IFERROR(IF(INDEX('CFOG'!$O$23:$O$24,MATCH($F194,'CFOG'!$B$23:$B$24,0))="","Cell will autofill based on response",INDEX('CFOG'!$O$23:$O$24,MATCH($F194,'CFOG'!$B$23:$B$24,0))),"N/A")</f>
        <v/>
      </c>
      <c r="P194" s="25">
        <f>IFERROR(IF(INDEX('ESG'!$O$10:$O$17,MATCH($F194,'ESG'!$B$10:$B$17,0))="","Cell will autofill based on response",INDEX('ESG'!$O$10:$O$17,MATCH($F194,'ESG'!$B$10:$B$17,0))),"N/A")</f>
        <v/>
      </c>
      <c r="Q194" s="25">
        <f>IFERROR(IF(INDEX('CIOG'!$O$10:$O$14,MATCH($F194,'CIOG'!$B$10:$B$14,0))="","Cell will autofill based on response",INDEX('CIOG'!$O$10:$O$14,MATCH($F194,'CIOG'!$B$10:$B$14,0))),"N/A")</f>
        <v/>
      </c>
      <c r="R194" s="25">
        <f>IFERROR(IF(INDEX('MRE'!$O$10:$O$12,MATCH($F194,'MRE'!$B$10:$B$12,0))="","Cell will autofill based on response",INDEX('MRE'!$O$10:$O$12,MATCH($F194,'MRE'!$B$10:$B$12,0))),"N/A")</f>
        <v/>
      </c>
      <c r="S194" s="25">
        <f>IFERROR(IF(INDEX('L&amp;R'!$O$10:$O$11,MATCH($F194,'L&amp;R'!$B$10:$B$11,0))="","Cell will autofill based on response",INDEX('L&amp;R'!$O$10:$O$11,MATCH($F194,'L&amp;R'!$B$10:$B$11,0))),"N/A")</f>
        <v/>
      </c>
    </row>
    <row r="195">
      <c r="A195">
        <f>F195&amp;"|"&amp;G195</f>
        <v/>
      </c>
      <c r="B195" s="29" t="inlineStr"/>
      <c r="C195" s="8" t="inlineStr"/>
      <c r="D195" s="8" t="inlineStr"/>
      <c r="E195" s="8" t="inlineStr"/>
      <c r="F195" s="8" t="inlineStr">
        <is>
          <t>AI1(a)</t>
        </is>
      </c>
      <c r="G195" s="8" t="inlineStr">
        <is>
          <t>Data source and limitations</t>
        </is>
      </c>
      <c r="H195" s="25">
        <f>IFERROR(IF(INDEX('Faculties'!$P$10:$P$30,MATCH($F195,'Faculties'!$B$10:$B$30,0))="","Cell will autofill based on response",INDEX('Faculties'!$P$10:$P$30,MATCH($F195,'Faculties'!$B$10:$B$30,0))),"N/A")</f>
        <v/>
      </c>
      <c r="I195" s="25">
        <f>IFERROR(IF(INDEX('Faculties'!$P$37:$P$57,MATCH($F195,'Faculties'!$B$37:$B$57,0))="","Cell will autofill based on response",INDEX('Faculties'!$P$37:$P$57,MATCH($F195,'Faculties'!$B$37:$B$57,0))),"N/A")</f>
        <v/>
      </c>
      <c r="J195" s="25">
        <f>IFERROR(IF(INDEX('Faculties'!$P$64:$P$84,MATCH($F195,'Faculties'!$B$64:$B$84,0))="","Cell will autofill based on response",INDEX('Faculties'!$P$64:$P$84,MATCH($F195,'Faculties'!$B$64:$B$84,0))),"N/A")</f>
        <v/>
      </c>
      <c r="K195" s="25">
        <f>IFERROR(IF(INDEX('Faculties'!$P$91:$P$111,MATCH($F195,'Faculties'!$B$91:$B$111,0))="","Cell will autofill based on response",INDEX('Faculties'!$P$91:$P$111,MATCH($F195,'Faculties'!$B$91:$B$111,0))),"N/A")</f>
        <v/>
      </c>
      <c r="L195" s="25">
        <f>IFERROR(IF(INDEX('CI&amp;S'!$P$10:$P$15,MATCH($F195,'CI&amp;S'!$B$10:$B$15,0))="","Cell will autofill based on response",INDEX('CI&amp;S'!$P$10:$P$15,MATCH($F195,'CI&amp;S'!$B$10:$B$15,0))),"N/A")</f>
        <v/>
      </c>
      <c r="M195" s="25">
        <f>IFERROR(IF(INDEX('CI&amp;S'!$P$22:$P$39,MATCH($F195,'CI&amp;S'!$B$22:$B$39,0))="","Cell will autofill based on response",INDEX('CI&amp;S'!$P$22:$P$39,MATCH($F195,'CI&amp;S'!$B$22:$B$39,0))),"N/A")</f>
        <v/>
      </c>
      <c r="N195" s="25">
        <f>IFERROR(IF(INDEX('CFOG'!$P$10:$P$16,MATCH($F195,'CFOG'!$B$10:$B$16,0))="","Cell will autofill based on response",INDEX('CFOG'!$P$10:$P$16,MATCH($F195,'CFOG'!$B$10:$B$16,0))),"N/A")</f>
        <v/>
      </c>
      <c r="O195" s="25">
        <f>IFERROR(IF(INDEX('CFOG'!$P$23:$P$24,MATCH($F195,'CFOG'!$B$23:$B$24,0))="","Cell will autofill based on response",INDEX('CFOG'!$P$23:$P$24,MATCH($F195,'CFOG'!$B$23:$B$24,0))),"N/A")</f>
        <v/>
      </c>
      <c r="P195" s="25">
        <f>IFERROR(IF(INDEX('ESG'!$P$10:$P$17,MATCH($F195,'ESG'!$B$10:$B$17,0))="","Cell will autofill based on response",INDEX('ESG'!$P$10:$P$17,MATCH($F195,'ESG'!$B$10:$B$17,0))),"N/A")</f>
        <v/>
      </c>
      <c r="Q195" s="25">
        <f>IFERROR(IF(INDEX('CIOG'!$P$10:$P$14,MATCH($F195,'CIOG'!$B$10:$B$14,0))="","Cell will autofill based on response",INDEX('CIOG'!$P$10:$P$14,MATCH($F195,'CIOG'!$B$10:$B$14,0))),"N/A")</f>
        <v/>
      </c>
      <c r="R195" s="25">
        <f>IFERROR(IF(INDEX('MRE'!$P$10:$P$12,MATCH($F195,'MRE'!$B$10:$B$12,0))="","Cell will autofill based on response",INDEX('MRE'!$P$10:$P$12,MATCH($F195,'MRE'!$B$10:$B$12,0))),"N/A")</f>
        <v/>
      </c>
      <c r="S195" s="25">
        <f>IFERROR(IF(INDEX('L&amp;R'!$P$10:$P$11,MATCH($F195,'L&amp;R'!$B$10:$B$11,0))="","Cell will autofill based on response",INDEX('L&amp;R'!$P$10:$P$11,MATCH($F195,'L&amp;R'!$B$10:$B$11,0))),"N/A")</f>
        <v/>
      </c>
    </row>
    <row r="196">
      <c r="A196">
        <f>F196&amp;"|"&amp;G196</f>
        <v/>
      </c>
      <c r="B196" s="29" t="inlineStr"/>
      <c r="C196" s="8" t="inlineStr"/>
      <c r="D196" s="8" t="inlineStr"/>
      <c r="E196" s="8" t="inlineStr"/>
      <c r="F196" s="8" t="inlineStr">
        <is>
          <t>AI1(a)</t>
        </is>
      </c>
      <c r="G196" s="8" t="inlineStr">
        <is>
          <t>Data owner confirms</t>
        </is>
      </c>
      <c r="H196" s="25">
        <f>IFERROR(IF(INDEX('Faculties'!$Q$10:$Q$30,MATCH($F196,'Faculties'!$B$10:$B$30,0))="","Cell will autofill based on response",INDEX('Faculties'!$Q$10:$Q$30,MATCH($F196,'Faculties'!$B$10:$B$30,0))),"N/A")</f>
        <v/>
      </c>
      <c r="I196" s="25">
        <f>IFERROR(IF(INDEX('Faculties'!$Q$37:$Q$57,MATCH($F196,'Faculties'!$B$37:$B$57,0))="","Cell will autofill based on response",INDEX('Faculties'!$Q$37:$Q$57,MATCH($F196,'Faculties'!$B$37:$B$57,0))),"N/A")</f>
        <v/>
      </c>
      <c r="J196" s="25">
        <f>IFERROR(IF(INDEX('Faculties'!$Q$64:$Q$84,MATCH($F196,'Faculties'!$B$64:$B$84,0))="","Cell will autofill based on response",INDEX('Faculties'!$Q$64:$Q$84,MATCH($F196,'Faculties'!$B$64:$B$84,0))),"N/A")</f>
        <v/>
      </c>
      <c r="K196" s="25">
        <f>IFERROR(IF(INDEX('Faculties'!$Q$91:$Q$111,MATCH($F196,'Faculties'!$B$91:$B$111,0))="","Cell will autofill based on response",INDEX('Faculties'!$Q$91:$Q$111,MATCH($F196,'Faculties'!$B$91:$B$111,0))),"N/A")</f>
        <v/>
      </c>
      <c r="L196" s="25">
        <f>IFERROR(IF(INDEX('CI&amp;S'!$Q$10:$Q$15,MATCH($F196,'CI&amp;S'!$B$10:$B$15,0))="","Cell will autofill based on response",INDEX('CI&amp;S'!$Q$10:$Q$15,MATCH($F196,'CI&amp;S'!$B$10:$B$15,0))),"N/A")</f>
        <v/>
      </c>
      <c r="M196" s="25">
        <f>IFERROR(IF(INDEX('CI&amp;S'!$Q$22:$Q$39,MATCH($F196,'CI&amp;S'!$B$22:$B$39,0))="","Cell will autofill based on response",INDEX('CI&amp;S'!$Q$22:$Q$39,MATCH($F196,'CI&amp;S'!$B$22:$B$39,0))),"N/A")</f>
        <v/>
      </c>
      <c r="N196" s="25">
        <f>IFERROR(IF(INDEX('CFOG'!$Q$10:$Q$16,MATCH($F196,'CFOG'!$B$10:$B$16,0))="","Cell will autofill based on response",INDEX('CFOG'!$Q$10:$Q$16,MATCH($F196,'CFOG'!$B$10:$B$16,0))),"N/A")</f>
        <v/>
      </c>
      <c r="O196" s="25">
        <f>IFERROR(IF(INDEX('CFOG'!$Q$23:$Q$24,MATCH($F196,'CFOG'!$B$23:$B$24,0))="","Cell will autofill based on response",INDEX('CFOG'!$Q$23:$Q$24,MATCH($F196,'CFOG'!$B$23:$B$24,0))),"N/A")</f>
        <v/>
      </c>
      <c r="P196" s="25">
        <f>IFERROR(IF(INDEX('ESG'!$Q$10:$Q$17,MATCH($F196,'ESG'!$B$10:$B$17,0))="","Cell will autofill based on response",INDEX('ESG'!$Q$10:$Q$17,MATCH($F196,'ESG'!$B$10:$B$17,0))),"N/A")</f>
        <v/>
      </c>
      <c r="Q196" s="25">
        <f>IFERROR(IF(INDEX('CIOG'!$Q$10:$Q$14,MATCH($F196,'CIOG'!$B$10:$B$14,0))="","Cell will autofill based on response",INDEX('CIOG'!$Q$10:$Q$14,MATCH($F196,'CIOG'!$B$10:$B$14,0))),"N/A")</f>
        <v/>
      </c>
      <c r="R196" s="25">
        <f>IFERROR(IF(INDEX('MRE'!$Q$10:$Q$12,MATCH($F196,'MRE'!$B$10:$B$12,0))="","Cell will autofill based on response",INDEX('MRE'!$Q$10:$Q$12,MATCH($F196,'MRE'!$B$10:$B$12,0))),"N/A")</f>
        <v/>
      </c>
      <c r="S196" s="25">
        <f>IFERROR(IF(INDEX('L&amp;R'!$Q$10:$Q$11,MATCH($F196,'L&amp;R'!$B$10:$B$11,0))="","Cell will autofill based on response",INDEX('L&amp;R'!$Q$10:$Q$11,MATCH($F196,'L&amp;R'!$B$10:$B$11,0))),"N/A")</f>
        <v/>
      </c>
    </row>
    <row r="197">
      <c r="A197">
        <f>F197&amp;"|"&amp;G197</f>
        <v/>
      </c>
      <c r="B197" s="7" t="inlineStr">
        <is>
          <t>AI1(b)</t>
        </is>
      </c>
      <c r="C197" s="12" t="inlineStr">
        <is>
          <t>Responsible AI</t>
        </is>
      </c>
      <c r="D197" s="12" t="inlineStr">
        <is>
          <t>Case studies of sustainability and AI-related education, research and collaboration activities.</t>
        </is>
      </c>
      <c r="E197" s="12" t="inlineStr">
        <is>
          <t>Please provide case studies from your Faculty/Portfolio of sustainability and AI-related education, research or collaboration activities, describing the activity, participants or partners, sustainability issue addressed and key outcomes or lessons.</t>
        </is>
      </c>
      <c r="F197" s="12" t="inlineStr">
        <is>
          <t>AI1(b)</t>
        </is>
      </c>
      <c r="G197" s="12" t="inlineStr">
        <is>
          <t>Confirm end-2026 target status</t>
        </is>
      </c>
      <c r="H197" s="25">
        <f>IFERROR(IF(INDEX('Faculties'!$L$10:$L$30,MATCH($F197,'Faculties'!$B$10:$B$30,0))="","Cell will autofill based on response",INDEX('Faculties'!$L$10:$L$30,MATCH($F197,'Faculties'!$B$10:$B$30,0))),"N/A")</f>
        <v/>
      </c>
      <c r="I197" s="25">
        <f>IFERROR(IF(INDEX('Faculties'!$L$37:$L$57,MATCH($F197,'Faculties'!$B$37:$B$57,0))="","Cell will autofill based on response",INDEX('Faculties'!$L$37:$L$57,MATCH($F197,'Faculties'!$B$37:$B$57,0))),"N/A")</f>
        <v/>
      </c>
      <c r="J197" s="25">
        <f>IFERROR(IF(INDEX('Faculties'!$L$64:$L$84,MATCH($F197,'Faculties'!$B$64:$B$84,0))="","Cell will autofill based on response",INDEX('Faculties'!$L$64:$L$84,MATCH($F197,'Faculties'!$B$64:$B$84,0))),"N/A")</f>
        <v/>
      </c>
      <c r="K197" s="25">
        <f>IFERROR(IF(INDEX('Faculties'!$L$91:$L$111,MATCH($F197,'Faculties'!$B$91:$B$111,0))="","Cell will autofill based on response",INDEX('Faculties'!$L$91:$L$111,MATCH($F197,'Faculties'!$B$91:$B$111,0))),"N/A")</f>
        <v/>
      </c>
      <c r="L197" s="25">
        <f>IFERROR(IF(INDEX('CI&amp;S'!$L$10:$L$15,MATCH($F197,'CI&amp;S'!$B$10:$B$15,0))="","Cell will autofill based on response",INDEX('CI&amp;S'!$L$10:$L$15,MATCH($F197,'CI&amp;S'!$B$10:$B$15,0))),"N/A")</f>
        <v/>
      </c>
      <c r="M197" s="25">
        <f>IFERROR(IF(INDEX('CI&amp;S'!$L$22:$L$39,MATCH($F197,'CI&amp;S'!$B$22:$B$39,0))="","Cell will autofill based on response",INDEX('CI&amp;S'!$L$22:$L$39,MATCH($F197,'CI&amp;S'!$B$22:$B$39,0))),"N/A")</f>
        <v/>
      </c>
      <c r="N197" s="25">
        <f>IFERROR(IF(INDEX('CFOG'!$L$10:$L$16,MATCH($F197,'CFOG'!$B$10:$B$16,0))="","Cell will autofill based on response",INDEX('CFOG'!$L$10:$L$16,MATCH($F197,'CFOG'!$B$10:$B$16,0))),"N/A")</f>
        <v/>
      </c>
      <c r="O197" s="25">
        <f>IFERROR(IF(INDEX('CFOG'!$L$23:$L$24,MATCH($F197,'CFOG'!$B$23:$B$24,0))="","Cell will autofill based on response",INDEX('CFOG'!$L$23:$L$24,MATCH($F197,'CFOG'!$B$23:$B$24,0))),"N/A")</f>
        <v/>
      </c>
      <c r="P197" s="25">
        <f>IFERROR(IF(INDEX('ESG'!$L$10:$L$17,MATCH($F197,'ESG'!$B$10:$B$17,0))="","Cell will autofill based on response",INDEX('ESG'!$L$10:$L$17,MATCH($F197,'ESG'!$B$10:$B$17,0))),"N/A")</f>
        <v/>
      </c>
      <c r="Q197" s="25">
        <f>IFERROR(IF(INDEX('CIOG'!$L$10:$L$14,MATCH($F197,'CIOG'!$B$10:$B$14,0))="","Cell will autofill based on response",INDEX('CIOG'!$L$10:$L$14,MATCH($F197,'CIOG'!$B$10:$B$14,0))),"N/A")</f>
        <v/>
      </c>
      <c r="R197" s="25">
        <f>IFERROR(IF(INDEX('MRE'!$L$10:$L$12,MATCH($F197,'MRE'!$B$10:$B$12,0))="","Cell will autofill based on response",INDEX('MRE'!$L$10:$L$12,MATCH($F197,'MRE'!$B$10:$B$12,0))),"N/A")</f>
        <v/>
      </c>
      <c r="S197" s="25">
        <f>IFERROR(IF(INDEX('L&amp;R'!$L$10:$L$11,MATCH($F197,'L&amp;R'!$B$10:$B$11,0))="","Cell will autofill based on response",INDEX('L&amp;R'!$L$10:$L$11,MATCH($F197,'L&amp;R'!$B$10:$B$11,0))),"N/A")</f>
        <v/>
      </c>
      <c r="U197" s="26">
        <f>COUNTIF($H197:$S197,"Cell will autofill based on response")</f>
        <v/>
      </c>
      <c r="V197" s="26">
        <f>COUNTIF($H197:$S197,"Not yet started")</f>
        <v/>
      </c>
      <c r="W197" s="26">
        <f>COUNTIF($H197:$S197,"Not met")</f>
        <v/>
      </c>
      <c r="X197" s="26">
        <f>COUNTIF($H197:$S197,"Partially met")</f>
        <v/>
      </c>
      <c r="Y197" s="26">
        <f>COUNTIF($H197:$S197,"Met or exceeded")</f>
        <v/>
      </c>
      <c r="Z197" s="26">
        <f>3*Y197+2*X197+W197</f>
        <v/>
      </c>
      <c r="AA197" s="26">
        <f>Y197+X197+W197+V197</f>
        <v/>
      </c>
      <c r="AB197" s="27">
        <f>IF(AA197&gt;0,Z197/AA197,"No valid responses to date")</f>
        <v/>
      </c>
      <c r="AC197" s="26">
        <f>IF(ISNUMBER(AB197),INDEX(Lists!$G$2:$G$5,MATCH(ROUND(AB197,0),Lists!$H$2:$H$5,0)),"")</f>
        <v/>
      </c>
      <c r="AD197" s="28">
        <f>IF(AA197&gt;0,Y197/AA197,"")</f>
        <v/>
      </c>
      <c r="AE197" s="28">
        <f>IF(AA197&gt;0,(Y197+X197)/AA197,"")</f>
        <v/>
      </c>
      <c r="AF197" s="26">
        <f>IF(AA197=0,"",IF(AD197&gt;0.75,"Met or exceeded",IF(AE197&gt;=0.5,"Partially met","Not met")))</f>
        <v/>
      </c>
    </row>
    <row r="198">
      <c r="A198">
        <f>F198&amp;"|"&amp;G198</f>
        <v/>
      </c>
      <c r="B198" s="29" t="inlineStr"/>
      <c r="C198" s="8" t="inlineStr"/>
      <c r="D198" s="8" t="inlineStr"/>
      <c r="E198" s="8" t="inlineStr"/>
      <c r="F198" s="8" t="inlineStr">
        <is>
          <t>AI1(b)</t>
        </is>
      </c>
      <c r="G198" s="8" t="inlineStr">
        <is>
          <t>OPTION 1:  Target-level reporting</t>
        </is>
      </c>
      <c r="H198" s="25">
        <f>IFERROR(IF(INDEX('Faculties'!$M$10:$M$30,MATCH($F198,'Faculties'!$B$10:$B$30,0))="","Cell will autofill based on response",INDEX('Faculties'!$M$10:$M$30,MATCH($F198,'Faculties'!$B$10:$B$30,0))),"N/A")</f>
        <v/>
      </c>
      <c r="I198" s="25">
        <f>IFERROR(IF(INDEX('Faculties'!$M$37:$M$57,MATCH($F198,'Faculties'!$B$37:$B$57,0))="","Cell will autofill based on response",INDEX('Faculties'!$M$37:$M$57,MATCH($F198,'Faculties'!$B$37:$B$57,0))),"N/A")</f>
        <v/>
      </c>
      <c r="J198" s="25">
        <f>IFERROR(IF(INDEX('Faculties'!$M$64:$M$84,MATCH($F198,'Faculties'!$B$64:$B$84,0))="","Cell will autofill based on response",INDEX('Faculties'!$M$64:$M$84,MATCH($F198,'Faculties'!$B$64:$B$84,0))),"N/A")</f>
        <v/>
      </c>
      <c r="K198" s="25">
        <f>IFERROR(IF(INDEX('Faculties'!$M$91:$M$111,MATCH($F198,'Faculties'!$B$91:$B$111,0))="","Cell will autofill based on response",INDEX('Faculties'!$M$91:$M$111,MATCH($F198,'Faculties'!$B$91:$B$111,0))),"N/A")</f>
        <v/>
      </c>
      <c r="L198" s="25">
        <f>IFERROR(IF(INDEX('CI&amp;S'!$M$10:$M$15,MATCH($F198,'CI&amp;S'!$B$10:$B$15,0))="","Cell will autofill based on response",INDEX('CI&amp;S'!$M$10:$M$15,MATCH($F198,'CI&amp;S'!$B$10:$B$15,0))),"N/A")</f>
        <v/>
      </c>
      <c r="M198" s="25">
        <f>IFERROR(IF(INDEX('CI&amp;S'!$M$22:$M$39,MATCH($F198,'CI&amp;S'!$B$22:$B$39,0))="","Cell will autofill based on response",INDEX('CI&amp;S'!$M$22:$M$39,MATCH($F198,'CI&amp;S'!$B$22:$B$39,0))),"N/A")</f>
        <v/>
      </c>
      <c r="N198" s="25">
        <f>IFERROR(IF(INDEX('CFOG'!$M$10:$M$16,MATCH($F198,'CFOG'!$B$10:$B$16,0))="","Cell will autofill based on response",INDEX('CFOG'!$M$10:$M$16,MATCH($F198,'CFOG'!$B$10:$B$16,0))),"N/A")</f>
        <v/>
      </c>
      <c r="O198" s="25">
        <f>IFERROR(IF(INDEX('CFOG'!$M$23:$M$24,MATCH($F198,'CFOG'!$B$23:$B$24,0))="","Cell will autofill based on response",INDEX('CFOG'!$M$23:$M$24,MATCH($F198,'CFOG'!$B$23:$B$24,0))),"N/A")</f>
        <v/>
      </c>
      <c r="P198" s="25">
        <f>IFERROR(IF(INDEX('ESG'!$M$10:$M$17,MATCH($F198,'ESG'!$B$10:$B$17,0))="","Cell will autofill based on response",INDEX('ESG'!$M$10:$M$17,MATCH($F198,'ESG'!$B$10:$B$17,0))),"N/A")</f>
        <v/>
      </c>
      <c r="Q198" s="25">
        <f>IFERROR(IF(INDEX('CIOG'!$M$10:$M$14,MATCH($F198,'CIOG'!$B$10:$B$14,0))="","Cell will autofill based on response",INDEX('CIOG'!$M$10:$M$14,MATCH($F198,'CIOG'!$B$10:$B$14,0))),"N/A")</f>
        <v/>
      </c>
      <c r="R198" s="25">
        <f>IFERROR(IF(INDEX('MRE'!$M$10:$M$12,MATCH($F198,'MRE'!$B$10:$B$12,0))="","Cell will autofill based on response",INDEX('MRE'!$M$10:$M$12,MATCH($F198,'MRE'!$B$10:$B$12,0))),"N/A")</f>
        <v/>
      </c>
      <c r="S198" s="25">
        <f>IFERROR(IF(INDEX('L&amp;R'!$M$10:$M$11,MATCH($F198,'L&amp;R'!$B$10:$B$11,0))="","Cell will autofill based on response",INDEX('L&amp;R'!$M$10:$M$11,MATCH($F198,'L&amp;R'!$B$10:$B$11,0))),"N/A")</f>
        <v/>
      </c>
    </row>
    <row r="199">
      <c r="A199">
        <f>F199&amp;"|"&amp;G199</f>
        <v/>
      </c>
      <c r="B199" s="29" t="inlineStr"/>
      <c r="C199" s="8" t="inlineStr"/>
      <c r="D199" s="8" t="inlineStr"/>
      <c r="E199" s="8" t="inlineStr"/>
      <c r="F199" s="8" t="inlineStr">
        <is>
          <t>AI1(b)</t>
        </is>
      </c>
      <c r="G199" s="8" t="inlineStr">
        <is>
          <t>OPTION 2:  Indicator level reporting</t>
        </is>
      </c>
      <c r="H199" s="25">
        <f>IFERROR(IF(INDEX('Faculties'!$N$10:$N$30,MATCH($F199,'Faculties'!$B$10:$B$30,0))="","Cell will autofill based on response",INDEX('Faculties'!$N$10:$N$30,MATCH($F199,'Faculties'!$B$10:$B$30,0))),"N/A")</f>
        <v/>
      </c>
      <c r="I199" s="25">
        <f>IFERROR(IF(INDEX('Faculties'!$N$37:$N$57,MATCH($F199,'Faculties'!$B$37:$B$57,0))="","Cell will autofill based on response",INDEX('Faculties'!$N$37:$N$57,MATCH($F199,'Faculties'!$B$37:$B$57,0))),"N/A")</f>
        <v/>
      </c>
      <c r="J199" s="25">
        <f>IFERROR(IF(INDEX('Faculties'!$N$64:$N$84,MATCH($F199,'Faculties'!$B$64:$B$84,0))="","Cell will autofill based on response",INDEX('Faculties'!$N$64:$N$84,MATCH($F199,'Faculties'!$B$64:$B$84,0))),"N/A")</f>
        <v/>
      </c>
      <c r="K199" s="25">
        <f>IFERROR(IF(INDEX('Faculties'!$N$91:$N$111,MATCH($F199,'Faculties'!$B$91:$B$111,0))="","Cell will autofill based on response",INDEX('Faculties'!$N$91:$N$111,MATCH($F199,'Faculties'!$B$91:$B$111,0))),"N/A")</f>
        <v/>
      </c>
      <c r="L199" s="25">
        <f>IFERROR(IF(INDEX('CI&amp;S'!$N$10:$N$15,MATCH($F199,'CI&amp;S'!$B$10:$B$15,0))="","Cell will autofill based on response",INDEX('CI&amp;S'!$N$10:$N$15,MATCH($F199,'CI&amp;S'!$B$10:$B$15,0))),"N/A")</f>
        <v/>
      </c>
      <c r="M199" s="25">
        <f>IFERROR(IF(INDEX('CI&amp;S'!$N$22:$N$39,MATCH($F199,'CI&amp;S'!$B$22:$B$39,0))="","Cell will autofill based on response",INDEX('CI&amp;S'!$N$22:$N$39,MATCH($F199,'CI&amp;S'!$B$22:$B$39,0))),"N/A")</f>
        <v/>
      </c>
      <c r="N199" s="25">
        <f>IFERROR(IF(INDEX('CFOG'!$N$10:$N$16,MATCH($F199,'CFOG'!$B$10:$B$16,0))="","Cell will autofill based on response",INDEX('CFOG'!$N$10:$N$16,MATCH($F199,'CFOG'!$B$10:$B$16,0))),"N/A")</f>
        <v/>
      </c>
      <c r="O199" s="25">
        <f>IFERROR(IF(INDEX('CFOG'!$N$23:$N$24,MATCH($F199,'CFOG'!$B$23:$B$24,0))="","Cell will autofill based on response",INDEX('CFOG'!$N$23:$N$24,MATCH($F199,'CFOG'!$B$23:$B$24,0))),"N/A")</f>
        <v/>
      </c>
      <c r="P199" s="25">
        <f>IFERROR(IF(INDEX('ESG'!$N$10:$N$17,MATCH($F199,'ESG'!$B$10:$B$17,0))="","Cell will autofill based on response",INDEX('ESG'!$N$10:$N$17,MATCH($F199,'ESG'!$B$10:$B$17,0))),"N/A")</f>
        <v/>
      </c>
      <c r="Q199" s="25">
        <f>IFERROR(IF(INDEX('CIOG'!$N$10:$N$14,MATCH($F199,'CIOG'!$B$10:$B$14,0))="","Cell will autofill based on response",INDEX('CIOG'!$N$10:$N$14,MATCH($F199,'CIOG'!$B$10:$B$14,0))),"N/A")</f>
        <v/>
      </c>
      <c r="R199" s="25">
        <f>IFERROR(IF(INDEX('MRE'!$N$10:$N$12,MATCH($F199,'MRE'!$B$10:$B$12,0))="","Cell will autofill based on response",INDEX('MRE'!$N$10:$N$12,MATCH($F199,'MRE'!$B$10:$B$12,0))),"N/A")</f>
        <v/>
      </c>
      <c r="S199" s="25">
        <f>IFERROR(IF(INDEX('L&amp;R'!$N$10:$N$11,MATCH($F199,'L&amp;R'!$B$10:$B$11,0))="","Cell will autofill based on response",INDEX('L&amp;R'!$N$10:$N$11,MATCH($F199,'L&amp;R'!$B$10:$B$11,0))),"N/A")</f>
        <v/>
      </c>
    </row>
    <row r="200">
      <c r="A200">
        <f>F200&amp;"|"&amp;G200</f>
        <v/>
      </c>
      <c r="B200" s="29" t="inlineStr"/>
      <c r="C200" s="8" t="inlineStr"/>
      <c r="D200" s="8" t="inlineStr"/>
      <c r="E200" s="8" t="inlineStr"/>
      <c r="F200" s="8" t="inlineStr">
        <is>
          <t>AI1(b)</t>
        </is>
      </c>
      <c r="G200" s="8" t="inlineStr">
        <is>
          <t>Supporting information/comments</t>
        </is>
      </c>
      <c r="H200" s="25">
        <f>IFERROR(IF(INDEX('Faculties'!$O$10:$O$30,MATCH($F200,'Faculties'!$B$10:$B$30,0))="","Cell will autofill based on response",INDEX('Faculties'!$O$10:$O$30,MATCH($F200,'Faculties'!$B$10:$B$30,0))),"N/A")</f>
        <v/>
      </c>
      <c r="I200" s="25">
        <f>IFERROR(IF(INDEX('Faculties'!$O$37:$O$57,MATCH($F200,'Faculties'!$B$37:$B$57,0))="","Cell will autofill based on response",INDEX('Faculties'!$O$37:$O$57,MATCH($F200,'Faculties'!$B$37:$B$57,0))),"N/A")</f>
        <v/>
      </c>
      <c r="J200" s="25">
        <f>IFERROR(IF(INDEX('Faculties'!$O$64:$O$84,MATCH($F200,'Faculties'!$B$64:$B$84,0))="","Cell will autofill based on response",INDEX('Faculties'!$O$64:$O$84,MATCH($F200,'Faculties'!$B$64:$B$84,0))),"N/A")</f>
        <v/>
      </c>
      <c r="K200" s="25">
        <f>IFERROR(IF(INDEX('Faculties'!$O$91:$O$111,MATCH($F200,'Faculties'!$B$91:$B$111,0))="","Cell will autofill based on response",INDEX('Faculties'!$O$91:$O$111,MATCH($F200,'Faculties'!$B$91:$B$111,0))),"N/A")</f>
        <v/>
      </c>
      <c r="L200" s="25">
        <f>IFERROR(IF(INDEX('CI&amp;S'!$O$10:$O$15,MATCH($F200,'CI&amp;S'!$B$10:$B$15,0))="","Cell will autofill based on response",INDEX('CI&amp;S'!$O$10:$O$15,MATCH($F200,'CI&amp;S'!$B$10:$B$15,0))),"N/A")</f>
        <v/>
      </c>
      <c r="M200" s="25">
        <f>IFERROR(IF(INDEX('CI&amp;S'!$O$22:$O$39,MATCH($F200,'CI&amp;S'!$B$22:$B$39,0))="","Cell will autofill based on response",INDEX('CI&amp;S'!$O$22:$O$39,MATCH($F200,'CI&amp;S'!$B$22:$B$39,0))),"N/A")</f>
        <v/>
      </c>
      <c r="N200" s="25">
        <f>IFERROR(IF(INDEX('CFOG'!$O$10:$O$16,MATCH($F200,'CFOG'!$B$10:$B$16,0))="","Cell will autofill based on response",INDEX('CFOG'!$O$10:$O$16,MATCH($F200,'CFOG'!$B$10:$B$16,0))),"N/A")</f>
        <v/>
      </c>
      <c r="O200" s="25">
        <f>IFERROR(IF(INDEX('CFOG'!$O$23:$O$24,MATCH($F200,'CFOG'!$B$23:$B$24,0))="","Cell will autofill based on response",INDEX('CFOG'!$O$23:$O$24,MATCH($F200,'CFOG'!$B$23:$B$24,0))),"N/A")</f>
        <v/>
      </c>
      <c r="P200" s="25">
        <f>IFERROR(IF(INDEX('ESG'!$O$10:$O$17,MATCH($F200,'ESG'!$B$10:$B$17,0))="","Cell will autofill based on response",INDEX('ESG'!$O$10:$O$17,MATCH($F200,'ESG'!$B$10:$B$17,0))),"N/A")</f>
        <v/>
      </c>
      <c r="Q200" s="25">
        <f>IFERROR(IF(INDEX('CIOG'!$O$10:$O$14,MATCH($F200,'CIOG'!$B$10:$B$14,0))="","Cell will autofill based on response",INDEX('CIOG'!$O$10:$O$14,MATCH($F200,'CIOG'!$B$10:$B$14,0))),"N/A")</f>
        <v/>
      </c>
      <c r="R200" s="25">
        <f>IFERROR(IF(INDEX('MRE'!$O$10:$O$12,MATCH($F200,'MRE'!$B$10:$B$12,0))="","Cell will autofill based on response",INDEX('MRE'!$O$10:$O$12,MATCH($F200,'MRE'!$B$10:$B$12,0))),"N/A")</f>
        <v/>
      </c>
      <c r="S200" s="25">
        <f>IFERROR(IF(INDEX('L&amp;R'!$O$10:$O$11,MATCH($F200,'L&amp;R'!$B$10:$B$11,0))="","Cell will autofill based on response",INDEX('L&amp;R'!$O$10:$O$11,MATCH($F200,'L&amp;R'!$B$10:$B$11,0))),"N/A")</f>
        <v/>
      </c>
    </row>
    <row r="201">
      <c r="A201">
        <f>F201&amp;"|"&amp;G201</f>
        <v/>
      </c>
      <c r="B201" s="29" t="inlineStr"/>
      <c r="C201" s="8" t="inlineStr"/>
      <c r="D201" s="8" t="inlineStr"/>
      <c r="E201" s="8" t="inlineStr"/>
      <c r="F201" s="8" t="inlineStr">
        <is>
          <t>AI1(b)</t>
        </is>
      </c>
      <c r="G201" s="8" t="inlineStr">
        <is>
          <t>Data source and limitations</t>
        </is>
      </c>
      <c r="H201" s="25">
        <f>IFERROR(IF(INDEX('Faculties'!$P$10:$P$30,MATCH($F201,'Faculties'!$B$10:$B$30,0))="","Cell will autofill based on response",INDEX('Faculties'!$P$10:$P$30,MATCH($F201,'Faculties'!$B$10:$B$30,0))),"N/A")</f>
        <v/>
      </c>
      <c r="I201" s="25">
        <f>IFERROR(IF(INDEX('Faculties'!$P$37:$P$57,MATCH($F201,'Faculties'!$B$37:$B$57,0))="","Cell will autofill based on response",INDEX('Faculties'!$P$37:$P$57,MATCH($F201,'Faculties'!$B$37:$B$57,0))),"N/A")</f>
        <v/>
      </c>
      <c r="J201" s="25">
        <f>IFERROR(IF(INDEX('Faculties'!$P$64:$P$84,MATCH($F201,'Faculties'!$B$64:$B$84,0))="","Cell will autofill based on response",INDEX('Faculties'!$P$64:$P$84,MATCH($F201,'Faculties'!$B$64:$B$84,0))),"N/A")</f>
        <v/>
      </c>
      <c r="K201" s="25">
        <f>IFERROR(IF(INDEX('Faculties'!$P$91:$P$111,MATCH($F201,'Faculties'!$B$91:$B$111,0))="","Cell will autofill based on response",INDEX('Faculties'!$P$91:$P$111,MATCH($F201,'Faculties'!$B$91:$B$111,0))),"N/A")</f>
        <v/>
      </c>
      <c r="L201" s="25">
        <f>IFERROR(IF(INDEX('CI&amp;S'!$P$10:$P$15,MATCH($F201,'CI&amp;S'!$B$10:$B$15,0))="","Cell will autofill based on response",INDEX('CI&amp;S'!$P$10:$P$15,MATCH($F201,'CI&amp;S'!$B$10:$B$15,0))),"N/A")</f>
        <v/>
      </c>
      <c r="M201" s="25">
        <f>IFERROR(IF(INDEX('CI&amp;S'!$P$22:$P$39,MATCH($F201,'CI&amp;S'!$B$22:$B$39,0))="","Cell will autofill based on response",INDEX('CI&amp;S'!$P$22:$P$39,MATCH($F201,'CI&amp;S'!$B$22:$B$39,0))),"N/A")</f>
        <v/>
      </c>
      <c r="N201" s="25">
        <f>IFERROR(IF(INDEX('CFOG'!$P$10:$P$16,MATCH($F201,'CFOG'!$B$10:$B$16,0))="","Cell will autofill based on response",INDEX('CFOG'!$P$10:$P$16,MATCH($F201,'CFOG'!$B$10:$B$16,0))),"N/A")</f>
        <v/>
      </c>
      <c r="O201" s="25">
        <f>IFERROR(IF(INDEX('CFOG'!$P$23:$P$24,MATCH($F201,'CFOG'!$B$23:$B$24,0))="","Cell will autofill based on response",INDEX('CFOG'!$P$23:$P$24,MATCH($F201,'CFOG'!$B$23:$B$24,0))),"N/A")</f>
        <v/>
      </c>
      <c r="P201" s="25">
        <f>IFERROR(IF(INDEX('ESG'!$P$10:$P$17,MATCH($F201,'ESG'!$B$10:$B$17,0))="","Cell will autofill based on response",INDEX('ESG'!$P$10:$P$17,MATCH($F201,'ESG'!$B$10:$B$17,0))),"N/A")</f>
        <v/>
      </c>
      <c r="Q201" s="25">
        <f>IFERROR(IF(INDEX('CIOG'!$P$10:$P$14,MATCH($F201,'CIOG'!$B$10:$B$14,0))="","Cell will autofill based on response",INDEX('CIOG'!$P$10:$P$14,MATCH($F201,'CIOG'!$B$10:$B$14,0))),"N/A")</f>
        <v/>
      </c>
      <c r="R201" s="25">
        <f>IFERROR(IF(INDEX('MRE'!$P$10:$P$12,MATCH($F201,'MRE'!$B$10:$B$12,0))="","Cell will autofill based on response",INDEX('MRE'!$P$10:$P$12,MATCH($F201,'MRE'!$B$10:$B$12,0))),"N/A")</f>
        <v/>
      </c>
      <c r="S201" s="25">
        <f>IFERROR(IF(INDEX('L&amp;R'!$P$10:$P$11,MATCH($F201,'L&amp;R'!$B$10:$B$11,0))="","Cell will autofill based on response",INDEX('L&amp;R'!$P$10:$P$11,MATCH($F201,'L&amp;R'!$B$10:$B$11,0))),"N/A")</f>
        <v/>
      </c>
    </row>
    <row r="202">
      <c r="A202">
        <f>F202&amp;"|"&amp;G202</f>
        <v/>
      </c>
      <c r="B202" s="29" t="inlineStr"/>
      <c r="C202" s="8" t="inlineStr"/>
      <c r="D202" s="8" t="inlineStr"/>
      <c r="E202" s="8" t="inlineStr"/>
      <c r="F202" s="8" t="inlineStr">
        <is>
          <t>AI1(b)</t>
        </is>
      </c>
      <c r="G202" s="8" t="inlineStr">
        <is>
          <t>Data owner confirms</t>
        </is>
      </c>
      <c r="H202" s="25">
        <f>IFERROR(IF(INDEX('Faculties'!$Q$10:$Q$30,MATCH($F202,'Faculties'!$B$10:$B$30,0))="","Cell will autofill based on response",INDEX('Faculties'!$Q$10:$Q$30,MATCH($F202,'Faculties'!$B$10:$B$30,0))),"N/A")</f>
        <v/>
      </c>
      <c r="I202" s="25">
        <f>IFERROR(IF(INDEX('Faculties'!$Q$37:$Q$57,MATCH($F202,'Faculties'!$B$37:$B$57,0))="","Cell will autofill based on response",INDEX('Faculties'!$Q$37:$Q$57,MATCH($F202,'Faculties'!$B$37:$B$57,0))),"N/A")</f>
        <v/>
      </c>
      <c r="J202" s="25">
        <f>IFERROR(IF(INDEX('Faculties'!$Q$64:$Q$84,MATCH($F202,'Faculties'!$B$64:$B$84,0))="","Cell will autofill based on response",INDEX('Faculties'!$Q$64:$Q$84,MATCH($F202,'Faculties'!$B$64:$B$84,0))),"N/A")</f>
        <v/>
      </c>
      <c r="K202" s="25">
        <f>IFERROR(IF(INDEX('Faculties'!$Q$91:$Q$111,MATCH($F202,'Faculties'!$B$91:$B$111,0))="","Cell will autofill based on response",INDEX('Faculties'!$Q$91:$Q$111,MATCH($F202,'Faculties'!$B$91:$B$111,0))),"N/A")</f>
        <v/>
      </c>
      <c r="L202" s="25">
        <f>IFERROR(IF(INDEX('CI&amp;S'!$Q$10:$Q$15,MATCH($F202,'CI&amp;S'!$B$10:$B$15,0))="","Cell will autofill based on response",INDEX('CI&amp;S'!$Q$10:$Q$15,MATCH($F202,'CI&amp;S'!$B$10:$B$15,0))),"N/A")</f>
        <v/>
      </c>
      <c r="M202" s="25">
        <f>IFERROR(IF(INDEX('CI&amp;S'!$Q$22:$Q$39,MATCH($F202,'CI&amp;S'!$B$22:$B$39,0))="","Cell will autofill based on response",INDEX('CI&amp;S'!$Q$22:$Q$39,MATCH($F202,'CI&amp;S'!$B$22:$B$39,0))),"N/A")</f>
        <v/>
      </c>
      <c r="N202" s="25">
        <f>IFERROR(IF(INDEX('CFOG'!$Q$10:$Q$16,MATCH($F202,'CFOG'!$B$10:$B$16,0))="","Cell will autofill based on response",INDEX('CFOG'!$Q$10:$Q$16,MATCH($F202,'CFOG'!$B$10:$B$16,0))),"N/A")</f>
        <v/>
      </c>
      <c r="O202" s="25">
        <f>IFERROR(IF(INDEX('CFOG'!$Q$23:$Q$24,MATCH($F202,'CFOG'!$B$23:$B$24,0))="","Cell will autofill based on response",INDEX('CFOG'!$Q$23:$Q$24,MATCH($F202,'CFOG'!$B$23:$B$24,0))),"N/A")</f>
        <v/>
      </c>
      <c r="P202" s="25">
        <f>IFERROR(IF(INDEX('ESG'!$Q$10:$Q$17,MATCH($F202,'ESG'!$B$10:$B$17,0))="","Cell will autofill based on response",INDEX('ESG'!$Q$10:$Q$17,MATCH($F202,'ESG'!$B$10:$B$17,0))),"N/A")</f>
        <v/>
      </c>
      <c r="Q202" s="25">
        <f>IFERROR(IF(INDEX('CIOG'!$Q$10:$Q$14,MATCH($F202,'CIOG'!$B$10:$B$14,0))="","Cell will autofill based on response",INDEX('CIOG'!$Q$10:$Q$14,MATCH($F202,'CIOG'!$B$10:$B$14,0))),"N/A")</f>
        <v/>
      </c>
      <c r="R202" s="25">
        <f>IFERROR(IF(INDEX('MRE'!$Q$10:$Q$12,MATCH($F202,'MRE'!$B$10:$B$12,0))="","Cell will autofill based on response",INDEX('MRE'!$Q$10:$Q$12,MATCH($F202,'MRE'!$B$10:$B$12,0))),"N/A")</f>
        <v/>
      </c>
      <c r="S202" s="25">
        <f>IFERROR(IF(INDEX('L&amp;R'!$Q$10:$Q$11,MATCH($F202,'L&amp;R'!$B$10:$B$11,0))="","Cell will autofill based on response",INDEX('L&amp;R'!$Q$10:$Q$11,MATCH($F202,'L&amp;R'!$B$10:$B$11,0))),"N/A")</f>
        <v/>
      </c>
    </row>
    <row r="203">
      <c r="A203">
        <f>F203&amp;"|"&amp;G203</f>
        <v/>
      </c>
      <c r="B203" s="7" t="inlineStr">
        <is>
          <t>EI1(a)</t>
        </is>
      </c>
      <c r="C203" s="12" t="inlineStr">
        <is>
          <t>Estate and infrastructure</t>
        </is>
      </c>
      <c r="D203" s="12" t="inlineStr">
        <is>
          <t>Evidence of increased maturity of estate and infrastructure planning, development and operations to support the other priority areas in Sustainability 2030</t>
        </is>
      </c>
      <c r="E203" s="12"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203" s="12" t="inlineStr">
        <is>
          <t>EI1(a)</t>
        </is>
      </c>
      <c r="G203" s="12" t="inlineStr">
        <is>
          <t>Confirm end-2026 target status</t>
        </is>
      </c>
      <c r="H203" s="25">
        <f>IFERROR(IF(INDEX('Faculties'!$L$10:$L$30,MATCH($F203,'Faculties'!$B$10:$B$30,0))="","Cell will autofill based on response",INDEX('Faculties'!$L$10:$L$30,MATCH($F203,'Faculties'!$B$10:$B$30,0))),"N/A")</f>
        <v/>
      </c>
      <c r="I203" s="25">
        <f>IFERROR(IF(INDEX('Faculties'!$L$37:$L$57,MATCH($F203,'Faculties'!$B$37:$B$57,0))="","Cell will autofill based on response",INDEX('Faculties'!$L$37:$L$57,MATCH($F203,'Faculties'!$B$37:$B$57,0))),"N/A")</f>
        <v/>
      </c>
      <c r="J203" s="25">
        <f>IFERROR(IF(INDEX('Faculties'!$L$64:$L$84,MATCH($F203,'Faculties'!$B$64:$B$84,0))="","Cell will autofill based on response",INDEX('Faculties'!$L$64:$L$84,MATCH($F203,'Faculties'!$B$64:$B$84,0))),"N/A")</f>
        <v/>
      </c>
      <c r="K203" s="25">
        <f>IFERROR(IF(INDEX('Faculties'!$L$91:$L$111,MATCH($F203,'Faculties'!$B$91:$B$111,0))="","Cell will autofill based on response",INDEX('Faculties'!$L$91:$L$111,MATCH($F203,'Faculties'!$B$91:$B$111,0))),"N/A")</f>
        <v/>
      </c>
      <c r="L203" s="25">
        <f>IFERROR(IF(INDEX('CI&amp;S'!$L$10:$L$15,MATCH($F203,'CI&amp;S'!$B$10:$B$15,0))="","Cell will autofill based on response",INDEX('CI&amp;S'!$L$10:$L$15,MATCH($F203,'CI&amp;S'!$B$10:$B$15,0))),"N/A")</f>
        <v/>
      </c>
      <c r="M203" s="25">
        <f>IFERROR(IF(INDEX('CI&amp;S'!$L$22:$L$39,MATCH($F203,'CI&amp;S'!$B$22:$B$39,0))="","Cell will autofill based on response",INDEX('CI&amp;S'!$L$22:$L$39,MATCH($F203,'CI&amp;S'!$B$22:$B$39,0))),"N/A")</f>
        <v/>
      </c>
      <c r="N203" s="25">
        <f>IFERROR(IF(INDEX('CFOG'!$L$10:$L$16,MATCH($F203,'CFOG'!$B$10:$B$16,0))="","Cell will autofill based on response",INDEX('CFOG'!$L$10:$L$16,MATCH($F203,'CFOG'!$B$10:$B$16,0))),"N/A")</f>
        <v/>
      </c>
      <c r="O203" s="25">
        <f>IFERROR(IF(INDEX('CFOG'!$L$23:$L$24,MATCH($F203,'CFOG'!$B$23:$B$24,0))="","Cell will autofill based on response",INDEX('CFOG'!$L$23:$L$24,MATCH($F203,'CFOG'!$B$23:$B$24,0))),"N/A")</f>
        <v/>
      </c>
      <c r="P203" s="25">
        <f>IFERROR(IF(INDEX('ESG'!$L$10:$L$17,MATCH($F203,'ESG'!$B$10:$B$17,0))="","Cell will autofill based on response",INDEX('ESG'!$L$10:$L$17,MATCH($F203,'ESG'!$B$10:$B$17,0))),"N/A")</f>
        <v/>
      </c>
      <c r="Q203" s="25">
        <f>IFERROR(IF(INDEX('CIOG'!$L$10:$L$14,MATCH($F203,'CIOG'!$B$10:$B$14,0))="","Cell will autofill based on response",INDEX('CIOG'!$L$10:$L$14,MATCH($F203,'CIOG'!$B$10:$B$14,0))),"N/A")</f>
        <v/>
      </c>
      <c r="R203" s="25">
        <f>IFERROR(IF(INDEX('MRE'!$L$10:$L$12,MATCH($F203,'MRE'!$B$10:$B$12,0))="","Cell will autofill based on response",INDEX('MRE'!$L$10:$L$12,MATCH($F203,'MRE'!$B$10:$B$12,0))),"N/A")</f>
        <v/>
      </c>
      <c r="S203" s="25">
        <f>IFERROR(IF(INDEX('L&amp;R'!$L$10:$L$11,MATCH($F203,'L&amp;R'!$B$10:$B$11,0))="","Cell will autofill based on response",INDEX('L&amp;R'!$L$10:$L$11,MATCH($F203,'L&amp;R'!$B$10:$B$11,0))),"N/A")</f>
        <v/>
      </c>
      <c r="U203" s="26">
        <f>COUNTIF($H203:$S203,"Cell will autofill based on response")</f>
        <v/>
      </c>
      <c r="V203" s="26">
        <f>COUNTIF($H203:$S203,"Not yet started")</f>
        <v/>
      </c>
      <c r="W203" s="26">
        <f>COUNTIF($H203:$S203,"Not met")</f>
        <v/>
      </c>
      <c r="X203" s="26">
        <f>COUNTIF($H203:$S203,"Partially met")</f>
        <v/>
      </c>
      <c r="Y203" s="26">
        <f>COUNTIF($H203:$S203,"Met or exceeded")</f>
        <v/>
      </c>
      <c r="Z203" s="26">
        <f>3*Y203+2*X203+W203</f>
        <v/>
      </c>
      <c r="AA203" s="26">
        <f>Y203+X203+W203+V203</f>
        <v/>
      </c>
      <c r="AB203" s="27">
        <f>IF(AA203&gt;0,Z203/AA203,"No valid responses to date")</f>
        <v/>
      </c>
      <c r="AC203" s="26">
        <f>IF(ISNUMBER(AB203),INDEX(Lists!$G$2:$G$5,MATCH(ROUND(AB203,0),Lists!$H$2:$H$5,0)),"")</f>
        <v/>
      </c>
      <c r="AD203" s="28">
        <f>IF(AA203&gt;0,Y203/AA203,"")</f>
        <v/>
      </c>
      <c r="AE203" s="28">
        <f>IF(AA203&gt;0,(Y203+X203)/AA203,"")</f>
        <v/>
      </c>
      <c r="AF203" s="26">
        <f>IF(AA203=0,"",IF(AD203&gt;0.75,"Met or exceeded",IF(AE203&gt;=0.5,"Partially met","Not met")))</f>
        <v/>
      </c>
    </row>
    <row r="204">
      <c r="A204">
        <f>F204&amp;"|"&amp;G204</f>
        <v/>
      </c>
      <c r="B204" s="29" t="inlineStr"/>
      <c r="C204" s="8" t="inlineStr"/>
      <c r="D204" s="8" t="inlineStr"/>
      <c r="E204" s="8" t="inlineStr"/>
      <c r="F204" s="8" t="inlineStr">
        <is>
          <t>EI1(a)</t>
        </is>
      </c>
      <c r="G204" s="8" t="inlineStr">
        <is>
          <t>OPTION 1:  Target-level reporting</t>
        </is>
      </c>
      <c r="H204" s="25">
        <f>IFERROR(IF(INDEX('Faculties'!$M$10:$M$30,MATCH($F204,'Faculties'!$B$10:$B$30,0))="","Cell will autofill based on response",INDEX('Faculties'!$M$10:$M$30,MATCH($F204,'Faculties'!$B$10:$B$30,0))),"N/A")</f>
        <v/>
      </c>
      <c r="I204" s="25">
        <f>IFERROR(IF(INDEX('Faculties'!$M$37:$M$57,MATCH($F204,'Faculties'!$B$37:$B$57,0))="","Cell will autofill based on response",INDEX('Faculties'!$M$37:$M$57,MATCH($F204,'Faculties'!$B$37:$B$57,0))),"N/A")</f>
        <v/>
      </c>
      <c r="J204" s="25">
        <f>IFERROR(IF(INDEX('Faculties'!$M$64:$M$84,MATCH($F204,'Faculties'!$B$64:$B$84,0))="","Cell will autofill based on response",INDEX('Faculties'!$M$64:$M$84,MATCH($F204,'Faculties'!$B$64:$B$84,0))),"N/A")</f>
        <v/>
      </c>
      <c r="K204" s="25">
        <f>IFERROR(IF(INDEX('Faculties'!$M$91:$M$111,MATCH($F204,'Faculties'!$B$91:$B$111,0))="","Cell will autofill based on response",INDEX('Faculties'!$M$91:$M$111,MATCH($F204,'Faculties'!$B$91:$B$111,0))),"N/A")</f>
        <v/>
      </c>
      <c r="L204" s="25">
        <f>IFERROR(IF(INDEX('CI&amp;S'!$M$10:$M$15,MATCH($F204,'CI&amp;S'!$B$10:$B$15,0))="","Cell will autofill based on response",INDEX('CI&amp;S'!$M$10:$M$15,MATCH($F204,'CI&amp;S'!$B$10:$B$15,0))),"N/A")</f>
        <v/>
      </c>
      <c r="M204" s="25">
        <f>IFERROR(IF(INDEX('CI&amp;S'!$M$22:$M$39,MATCH($F204,'CI&amp;S'!$B$22:$B$39,0))="","Cell will autofill based on response",INDEX('CI&amp;S'!$M$22:$M$39,MATCH($F204,'CI&amp;S'!$B$22:$B$39,0))),"N/A")</f>
        <v/>
      </c>
      <c r="N204" s="25">
        <f>IFERROR(IF(INDEX('CFOG'!$M$10:$M$16,MATCH($F204,'CFOG'!$B$10:$B$16,0))="","Cell will autofill based on response",INDEX('CFOG'!$M$10:$M$16,MATCH($F204,'CFOG'!$B$10:$B$16,0))),"N/A")</f>
        <v/>
      </c>
      <c r="O204" s="25">
        <f>IFERROR(IF(INDEX('CFOG'!$M$23:$M$24,MATCH($F204,'CFOG'!$B$23:$B$24,0))="","Cell will autofill based on response",INDEX('CFOG'!$M$23:$M$24,MATCH($F204,'CFOG'!$B$23:$B$24,0))),"N/A")</f>
        <v/>
      </c>
      <c r="P204" s="25">
        <f>IFERROR(IF(INDEX('ESG'!$M$10:$M$17,MATCH($F204,'ESG'!$B$10:$B$17,0))="","Cell will autofill based on response",INDEX('ESG'!$M$10:$M$17,MATCH($F204,'ESG'!$B$10:$B$17,0))),"N/A")</f>
        <v/>
      </c>
      <c r="Q204" s="25">
        <f>IFERROR(IF(INDEX('CIOG'!$M$10:$M$14,MATCH($F204,'CIOG'!$B$10:$B$14,0))="","Cell will autofill based on response",INDEX('CIOG'!$M$10:$M$14,MATCH($F204,'CIOG'!$B$10:$B$14,0))),"N/A")</f>
        <v/>
      </c>
      <c r="R204" s="25">
        <f>IFERROR(IF(INDEX('MRE'!$M$10:$M$12,MATCH($F204,'MRE'!$B$10:$B$12,0))="","Cell will autofill based on response",INDEX('MRE'!$M$10:$M$12,MATCH($F204,'MRE'!$B$10:$B$12,0))),"N/A")</f>
        <v/>
      </c>
      <c r="S204" s="25">
        <f>IFERROR(IF(INDEX('L&amp;R'!$M$10:$M$11,MATCH($F204,'L&amp;R'!$B$10:$B$11,0))="","Cell will autofill based on response",INDEX('L&amp;R'!$M$10:$M$11,MATCH($F204,'L&amp;R'!$B$10:$B$11,0))),"N/A")</f>
        <v/>
      </c>
    </row>
    <row r="205">
      <c r="A205">
        <f>F205&amp;"|"&amp;G205</f>
        <v/>
      </c>
      <c r="B205" s="29" t="inlineStr"/>
      <c r="C205" s="8" t="inlineStr"/>
      <c r="D205" s="8" t="inlineStr"/>
      <c r="E205" s="8" t="inlineStr"/>
      <c r="F205" s="8" t="inlineStr">
        <is>
          <t>EI1(a)</t>
        </is>
      </c>
      <c r="G205" s="8" t="inlineStr">
        <is>
          <t>OPTION 2:  Indicator level reporting</t>
        </is>
      </c>
      <c r="H205" s="25">
        <f>IFERROR(IF(INDEX('Faculties'!$N$10:$N$30,MATCH($F205,'Faculties'!$B$10:$B$30,0))="","Cell will autofill based on response",INDEX('Faculties'!$N$10:$N$30,MATCH($F205,'Faculties'!$B$10:$B$30,0))),"N/A")</f>
        <v/>
      </c>
      <c r="I205" s="25">
        <f>IFERROR(IF(INDEX('Faculties'!$N$37:$N$57,MATCH($F205,'Faculties'!$B$37:$B$57,0))="","Cell will autofill based on response",INDEX('Faculties'!$N$37:$N$57,MATCH($F205,'Faculties'!$B$37:$B$57,0))),"N/A")</f>
        <v/>
      </c>
      <c r="J205" s="25">
        <f>IFERROR(IF(INDEX('Faculties'!$N$64:$N$84,MATCH($F205,'Faculties'!$B$64:$B$84,0))="","Cell will autofill based on response",INDEX('Faculties'!$N$64:$N$84,MATCH($F205,'Faculties'!$B$64:$B$84,0))),"N/A")</f>
        <v/>
      </c>
      <c r="K205" s="25">
        <f>IFERROR(IF(INDEX('Faculties'!$N$91:$N$111,MATCH($F205,'Faculties'!$B$91:$B$111,0))="","Cell will autofill based on response",INDEX('Faculties'!$N$91:$N$111,MATCH($F205,'Faculties'!$B$91:$B$111,0))),"N/A")</f>
        <v/>
      </c>
      <c r="L205" s="25">
        <f>IFERROR(IF(INDEX('CI&amp;S'!$N$10:$N$15,MATCH($F205,'CI&amp;S'!$B$10:$B$15,0))="","Cell will autofill based on response",INDEX('CI&amp;S'!$N$10:$N$15,MATCH($F205,'CI&amp;S'!$B$10:$B$15,0))),"N/A")</f>
        <v/>
      </c>
      <c r="M205" s="25">
        <f>IFERROR(IF(INDEX('CI&amp;S'!$N$22:$N$39,MATCH($F205,'CI&amp;S'!$B$22:$B$39,0))="","Cell will autofill based on response",INDEX('CI&amp;S'!$N$22:$N$39,MATCH($F205,'CI&amp;S'!$B$22:$B$39,0))),"N/A")</f>
        <v/>
      </c>
      <c r="N205" s="25">
        <f>IFERROR(IF(INDEX('CFOG'!$N$10:$N$16,MATCH($F205,'CFOG'!$B$10:$B$16,0))="","Cell will autofill based on response",INDEX('CFOG'!$N$10:$N$16,MATCH($F205,'CFOG'!$B$10:$B$16,0))),"N/A")</f>
        <v/>
      </c>
      <c r="O205" s="25">
        <f>IFERROR(IF(INDEX('CFOG'!$N$23:$N$24,MATCH($F205,'CFOG'!$B$23:$B$24,0))="","Cell will autofill based on response",INDEX('CFOG'!$N$23:$N$24,MATCH($F205,'CFOG'!$B$23:$B$24,0))),"N/A")</f>
        <v/>
      </c>
      <c r="P205" s="25">
        <f>IFERROR(IF(INDEX('ESG'!$N$10:$N$17,MATCH($F205,'ESG'!$B$10:$B$17,0))="","Cell will autofill based on response",INDEX('ESG'!$N$10:$N$17,MATCH($F205,'ESG'!$B$10:$B$17,0))),"N/A")</f>
        <v/>
      </c>
      <c r="Q205" s="25">
        <f>IFERROR(IF(INDEX('CIOG'!$N$10:$N$14,MATCH($F205,'CIOG'!$B$10:$B$14,0))="","Cell will autofill based on response",INDEX('CIOG'!$N$10:$N$14,MATCH($F205,'CIOG'!$B$10:$B$14,0))),"N/A")</f>
        <v/>
      </c>
      <c r="R205" s="25">
        <f>IFERROR(IF(INDEX('MRE'!$N$10:$N$12,MATCH($F205,'MRE'!$B$10:$B$12,0))="","Cell will autofill based on response",INDEX('MRE'!$N$10:$N$12,MATCH($F205,'MRE'!$B$10:$B$12,0))),"N/A")</f>
        <v/>
      </c>
      <c r="S205" s="25">
        <f>IFERROR(IF(INDEX('L&amp;R'!$N$10:$N$11,MATCH($F205,'L&amp;R'!$B$10:$B$11,0))="","Cell will autofill based on response",INDEX('L&amp;R'!$N$10:$N$11,MATCH($F205,'L&amp;R'!$B$10:$B$11,0))),"N/A")</f>
        <v/>
      </c>
    </row>
    <row r="206">
      <c r="A206">
        <f>F206&amp;"|"&amp;G206</f>
        <v/>
      </c>
      <c r="B206" s="29" t="inlineStr"/>
      <c r="C206" s="8" t="inlineStr"/>
      <c r="D206" s="8" t="inlineStr"/>
      <c r="E206" s="8" t="inlineStr"/>
      <c r="F206" s="8" t="inlineStr">
        <is>
          <t>EI1(a)</t>
        </is>
      </c>
      <c r="G206" s="8" t="inlineStr">
        <is>
          <t>Supporting information/comments</t>
        </is>
      </c>
      <c r="H206" s="25">
        <f>IFERROR(IF(INDEX('Faculties'!$O$10:$O$30,MATCH($F206,'Faculties'!$B$10:$B$30,0))="","Cell will autofill based on response",INDEX('Faculties'!$O$10:$O$30,MATCH($F206,'Faculties'!$B$10:$B$30,0))),"N/A")</f>
        <v/>
      </c>
      <c r="I206" s="25">
        <f>IFERROR(IF(INDEX('Faculties'!$O$37:$O$57,MATCH($F206,'Faculties'!$B$37:$B$57,0))="","Cell will autofill based on response",INDEX('Faculties'!$O$37:$O$57,MATCH($F206,'Faculties'!$B$37:$B$57,0))),"N/A")</f>
        <v/>
      </c>
      <c r="J206" s="25">
        <f>IFERROR(IF(INDEX('Faculties'!$O$64:$O$84,MATCH($F206,'Faculties'!$B$64:$B$84,0))="","Cell will autofill based on response",INDEX('Faculties'!$O$64:$O$84,MATCH($F206,'Faculties'!$B$64:$B$84,0))),"N/A")</f>
        <v/>
      </c>
      <c r="K206" s="25">
        <f>IFERROR(IF(INDEX('Faculties'!$O$91:$O$111,MATCH($F206,'Faculties'!$B$91:$B$111,0))="","Cell will autofill based on response",INDEX('Faculties'!$O$91:$O$111,MATCH($F206,'Faculties'!$B$91:$B$111,0))),"N/A")</f>
        <v/>
      </c>
      <c r="L206" s="25">
        <f>IFERROR(IF(INDEX('CI&amp;S'!$O$10:$O$15,MATCH($F206,'CI&amp;S'!$B$10:$B$15,0))="","Cell will autofill based on response",INDEX('CI&amp;S'!$O$10:$O$15,MATCH($F206,'CI&amp;S'!$B$10:$B$15,0))),"N/A")</f>
        <v/>
      </c>
      <c r="M206" s="25">
        <f>IFERROR(IF(INDEX('CI&amp;S'!$O$22:$O$39,MATCH($F206,'CI&amp;S'!$B$22:$B$39,0))="","Cell will autofill based on response",INDEX('CI&amp;S'!$O$22:$O$39,MATCH($F206,'CI&amp;S'!$B$22:$B$39,0))),"N/A")</f>
        <v/>
      </c>
      <c r="N206" s="25">
        <f>IFERROR(IF(INDEX('CFOG'!$O$10:$O$16,MATCH($F206,'CFOG'!$B$10:$B$16,0))="","Cell will autofill based on response",INDEX('CFOG'!$O$10:$O$16,MATCH($F206,'CFOG'!$B$10:$B$16,0))),"N/A")</f>
        <v/>
      </c>
      <c r="O206" s="25">
        <f>IFERROR(IF(INDEX('CFOG'!$O$23:$O$24,MATCH($F206,'CFOG'!$B$23:$B$24,0))="","Cell will autofill based on response",INDEX('CFOG'!$O$23:$O$24,MATCH($F206,'CFOG'!$B$23:$B$24,0))),"N/A")</f>
        <v/>
      </c>
      <c r="P206" s="25">
        <f>IFERROR(IF(INDEX('ESG'!$O$10:$O$17,MATCH($F206,'ESG'!$B$10:$B$17,0))="","Cell will autofill based on response",INDEX('ESG'!$O$10:$O$17,MATCH($F206,'ESG'!$B$10:$B$17,0))),"N/A")</f>
        <v/>
      </c>
      <c r="Q206" s="25">
        <f>IFERROR(IF(INDEX('CIOG'!$O$10:$O$14,MATCH($F206,'CIOG'!$B$10:$B$14,0))="","Cell will autofill based on response",INDEX('CIOG'!$O$10:$O$14,MATCH($F206,'CIOG'!$B$10:$B$14,0))),"N/A")</f>
        <v/>
      </c>
      <c r="R206" s="25">
        <f>IFERROR(IF(INDEX('MRE'!$O$10:$O$12,MATCH($F206,'MRE'!$B$10:$B$12,0))="","Cell will autofill based on response",INDEX('MRE'!$O$10:$O$12,MATCH($F206,'MRE'!$B$10:$B$12,0))),"N/A")</f>
        <v/>
      </c>
      <c r="S206" s="25">
        <f>IFERROR(IF(INDEX('L&amp;R'!$O$10:$O$11,MATCH($F206,'L&amp;R'!$B$10:$B$11,0))="","Cell will autofill based on response",INDEX('L&amp;R'!$O$10:$O$11,MATCH($F206,'L&amp;R'!$B$10:$B$11,0))),"N/A")</f>
        <v/>
      </c>
    </row>
    <row r="207">
      <c r="A207">
        <f>F207&amp;"|"&amp;G207</f>
        <v/>
      </c>
      <c r="B207" s="29" t="inlineStr"/>
      <c r="C207" s="8" t="inlineStr"/>
      <c r="D207" s="8" t="inlineStr"/>
      <c r="E207" s="8" t="inlineStr"/>
      <c r="F207" s="8" t="inlineStr">
        <is>
          <t>EI1(a)</t>
        </is>
      </c>
      <c r="G207" s="8" t="inlineStr">
        <is>
          <t>Data source and limitations</t>
        </is>
      </c>
      <c r="H207" s="25">
        <f>IFERROR(IF(INDEX('Faculties'!$P$10:$P$30,MATCH($F207,'Faculties'!$B$10:$B$30,0))="","Cell will autofill based on response",INDEX('Faculties'!$P$10:$P$30,MATCH($F207,'Faculties'!$B$10:$B$30,0))),"N/A")</f>
        <v/>
      </c>
      <c r="I207" s="25">
        <f>IFERROR(IF(INDEX('Faculties'!$P$37:$P$57,MATCH($F207,'Faculties'!$B$37:$B$57,0))="","Cell will autofill based on response",INDEX('Faculties'!$P$37:$P$57,MATCH($F207,'Faculties'!$B$37:$B$57,0))),"N/A")</f>
        <v/>
      </c>
      <c r="J207" s="25">
        <f>IFERROR(IF(INDEX('Faculties'!$P$64:$P$84,MATCH($F207,'Faculties'!$B$64:$B$84,0))="","Cell will autofill based on response",INDEX('Faculties'!$P$64:$P$84,MATCH($F207,'Faculties'!$B$64:$B$84,0))),"N/A")</f>
        <v/>
      </c>
      <c r="K207" s="25">
        <f>IFERROR(IF(INDEX('Faculties'!$P$91:$P$111,MATCH($F207,'Faculties'!$B$91:$B$111,0))="","Cell will autofill based on response",INDEX('Faculties'!$P$91:$P$111,MATCH($F207,'Faculties'!$B$91:$B$111,0))),"N/A")</f>
        <v/>
      </c>
      <c r="L207" s="25">
        <f>IFERROR(IF(INDEX('CI&amp;S'!$P$10:$P$15,MATCH($F207,'CI&amp;S'!$B$10:$B$15,0))="","Cell will autofill based on response",INDEX('CI&amp;S'!$P$10:$P$15,MATCH($F207,'CI&amp;S'!$B$10:$B$15,0))),"N/A")</f>
        <v/>
      </c>
      <c r="M207" s="25">
        <f>IFERROR(IF(INDEX('CI&amp;S'!$P$22:$P$39,MATCH($F207,'CI&amp;S'!$B$22:$B$39,0))="","Cell will autofill based on response",INDEX('CI&amp;S'!$P$22:$P$39,MATCH($F207,'CI&amp;S'!$B$22:$B$39,0))),"N/A")</f>
        <v/>
      </c>
      <c r="N207" s="25">
        <f>IFERROR(IF(INDEX('CFOG'!$P$10:$P$16,MATCH($F207,'CFOG'!$B$10:$B$16,0))="","Cell will autofill based on response",INDEX('CFOG'!$P$10:$P$16,MATCH($F207,'CFOG'!$B$10:$B$16,0))),"N/A")</f>
        <v/>
      </c>
      <c r="O207" s="25">
        <f>IFERROR(IF(INDEX('CFOG'!$P$23:$P$24,MATCH($F207,'CFOG'!$B$23:$B$24,0))="","Cell will autofill based on response",INDEX('CFOG'!$P$23:$P$24,MATCH($F207,'CFOG'!$B$23:$B$24,0))),"N/A")</f>
        <v/>
      </c>
      <c r="P207" s="25">
        <f>IFERROR(IF(INDEX('ESG'!$P$10:$P$17,MATCH($F207,'ESG'!$B$10:$B$17,0))="","Cell will autofill based on response",INDEX('ESG'!$P$10:$P$17,MATCH($F207,'ESG'!$B$10:$B$17,0))),"N/A")</f>
        <v/>
      </c>
      <c r="Q207" s="25">
        <f>IFERROR(IF(INDEX('CIOG'!$P$10:$P$14,MATCH($F207,'CIOG'!$B$10:$B$14,0))="","Cell will autofill based on response",INDEX('CIOG'!$P$10:$P$14,MATCH($F207,'CIOG'!$B$10:$B$14,0))),"N/A")</f>
        <v/>
      </c>
      <c r="R207" s="25">
        <f>IFERROR(IF(INDEX('MRE'!$P$10:$P$12,MATCH($F207,'MRE'!$B$10:$B$12,0))="","Cell will autofill based on response",INDEX('MRE'!$P$10:$P$12,MATCH($F207,'MRE'!$B$10:$B$12,0))),"N/A")</f>
        <v/>
      </c>
      <c r="S207" s="25">
        <f>IFERROR(IF(INDEX('L&amp;R'!$P$10:$P$11,MATCH($F207,'L&amp;R'!$B$10:$B$11,0))="","Cell will autofill based on response",INDEX('L&amp;R'!$P$10:$P$11,MATCH($F207,'L&amp;R'!$B$10:$B$11,0))),"N/A")</f>
        <v/>
      </c>
    </row>
    <row r="208">
      <c r="A208">
        <f>F208&amp;"|"&amp;G208</f>
        <v/>
      </c>
      <c r="B208" s="29" t="inlineStr"/>
      <c r="C208" s="8" t="inlineStr"/>
      <c r="D208" s="8" t="inlineStr"/>
      <c r="E208" s="8" t="inlineStr"/>
      <c r="F208" s="8" t="inlineStr">
        <is>
          <t>EI1(a)</t>
        </is>
      </c>
      <c r="G208" s="8" t="inlineStr">
        <is>
          <t>Data owner confirms</t>
        </is>
      </c>
      <c r="H208" s="25">
        <f>IFERROR(IF(INDEX('Faculties'!$Q$10:$Q$30,MATCH($F208,'Faculties'!$B$10:$B$30,0))="","Cell will autofill based on response",INDEX('Faculties'!$Q$10:$Q$30,MATCH($F208,'Faculties'!$B$10:$B$30,0))),"N/A")</f>
        <v/>
      </c>
      <c r="I208" s="25">
        <f>IFERROR(IF(INDEX('Faculties'!$Q$37:$Q$57,MATCH($F208,'Faculties'!$B$37:$B$57,0))="","Cell will autofill based on response",INDEX('Faculties'!$Q$37:$Q$57,MATCH($F208,'Faculties'!$B$37:$B$57,0))),"N/A")</f>
        <v/>
      </c>
      <c r="J208" s="25">
        <f>IFERROR(IF(INDEX('Faculties'!$Q$64:$Q$84,MATCH($F208,'Faculties'!$B$64:$B$84,0))="","Cell will autofill based on response",INDEX('Faculties'!$Q$64:$Q$84,MATCH($F208,'Faculties'!$B$64:$B$84,0))),"N/A")</f>
        <v/>
      </c>
      <c r="K208" s="25">
        <f>IFERROR(IF(INDEX('Faculties'!$Q$91:$Q$111,MATCH($F208,'Faculties'!$B$91:$B$111,0))="","Cell will autofill based on response",INDEX('Faculties'!$Q$91:$Q$111,MATCH($F208,'Faculties'!$B$91:$B$111,0))),"N/A")</f>
        <v/>
      </c>
      <c r="L208" s="25">
        <f>IFERROR(IF(INDEX('CI&amp;S'!$Q$10:$Q$15,MATCH($F208,'CI&amp;S'!$B$10:$B$15,0))="","Cell will autofill based on response",INDEX('CI&amp;S'!$Q$10:$Q$15,MATCH($F208,'CI&amp;S'!$B$10:$B$15,0))),"N/A")</f>
        <v/>
      </c>
      <c r="M208" s="25">
        <f>IFERROR(IF(INDEX('CI&amp;S'!$Q$22:$Q$39,MATCH($F208,'CI&amp;S'!$B$22:$B$39,0))="","Cell will autofill based on response",INDEX('CI&amp;S'!$Q$22:$Q$39,MATCH($F208,'CI&amp;S'!$B$22:$B$39,0))),"N/A")</f>
        <v/>
      </c>
      <c r="N208" s="25">
        <f>IFERROR(IF(INDEX('CFOG'!$Q$10:$Q$16,MATCH($F208,'CFOG'!$B$10:$B$16,0))="","Cell will autofill based on response",INDEX('CFOG'!$Q$10:$Q$16,MATCH($F208,'CFOG'!$B$10:$B$16,0))),"N/A")</f>
        <v/>
      </c>
      <c r="O208" s="25">
        <f>IFERROR(IF(INDEX('CFOG'!$Q$23:$Q$24,MATCH($F208,'CFOG'!$B$23:$B$24,0))="","Cell will autofill based on response",INDEX('CFOG'!$Q$23:$Q$24,MATCH($F208,'CFOG'!$B$23:$B$24,0))),"N/A")</f>
        <v/>
      </c>
      <c r="P208" s="25">
        <f>IFERROR(IF(INDEX('ESG'!$Q$10:$Q$17,MATCH($F208,'ESG'!$B$10:$B$17,0))="","Cell will autofill based on response",INDEX('ESG'!$Q$10:$Q$17,MATCH($F208,'ESG'!$B$10:$B$17,0))),"N/A")</f>
        <v/>
      </c>
      <c r="Q208" s="25">
        <f>IFERROR(IF(INDEX('CIOG'!$Q$10:$Q$14,MATCH($F208,'CIOG'!$B$10:$B$14,0))="","Cell will autofill based on response",INDEX('CIOG'!$Q$10:$Q$14,MATCH($F208,'CIOG'!$B$10:$B$14,0))),"N/A")</f>
        <v/>
      </c>
      <c r="R208" s="25">
        <f>IFERROR(IF(INDEX('MRE'!$Q$10:$Q$12,MATCH($F208,'MRE'!$B$10:$B$12,0))="","Cell will autofill based on response",INDEX('MRE'!$Q$10:$Q$12,MATCH($F208,'MRE'!$B$10:$B$12,0))),"N/A")</f>
        <v/>
      </c>
      <c r="S208" s="25">
        <f>IFERROR(IF(INDEX('L&amp;R'!$Q$10:$Q$11,MATCH($F208,'L&amp;R'!$B$10:$B$11,0))="","Cell will autofill based on response",INDEX('L&amp;R'!$Q$10:$Q$11,MATCH($F208,'L&amp;R'!$B$10:$B$11,0))),"N/A")</f>
        <v/>
      </c>
    </row>
    <row r="209">
      <c r="A209">
        <f>F209&amp;"|"&amp;G209</f>
        <v/>
      </c>
      <c r="B209" s="7" t="inlineStr">
        <is>
          <t>EI1(b)</t>
        </is>
      </c>
      <c r="C209" s="12" t="inlineStr">
        <is>
          <t>Estate and infrastructure</t>
        </is>
      </c>
      <c r="D209" s="12" t="inlineStr">
        <is>
          <t>Estimated sustainability impacts of the University’s estate and infrastructure capital plan to inform progress towards emissions reduction targets and other priority areas (to the extent enabled by available information)</t>
        </is>
      </c>
      <c r="E209"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209" s="12" t="inlineStr">
        <is>
          <t>EI1(b)</t>
        </is>
      </c>
      <c r="G209" s="12" t="inlineStr">
        <is>
          <t>Confirm end-2026 target status</t>
        </is>
      </c>
      <c r="H209" s="25">
        <f>IFERROR(IF(INDEX('Faculties'!$L$10:$L$30,MATCH($F209,'Faculties'!$B$10:$B$30,0))="","Cell will autofill based on response",INDEX('Faculties'!$L$10:$L$30,MATCH($F209,'Faculties'!$B$10:$B$30,0))),"N/A")</f>
        <v/>
      </c>
      <c r="I209" s="25">
        <f>IFERROR(IF(INDEX('Faculties'!$L$37:$L$57,MATCH($F209,'Faculties'!$B$37:$B$57,0))="","Cell will autofill based on response",INDEX('Faculties'!$L$37:$L$57,MATCH($F209,'Faculties'!$B$37:$B$57,0))),"N/A")</f>
        <v/>
      </c>
      <c r="J209" s="25">
        <f>IFERROR(IF(INDEX('Faculties'!$L$64:$L$84,MATCH($F209,'Faculties'!$B$64:$B$84,0))="","Cell will autofill based on response",INDEX('Faculties'!$L$64:$L$84,MATCH($F209,'Faculties'!$B$64:$B$84,0))),"N/A")</f>
        <v/>
      </c>
      <c r="K209" s="25">
        <f>IFERROR(IF(INDEX('Faculties'!$L$91:$L$111,MATCH($F209,'Faculties'!$B$91:$B$111,0))="","Cell will autofill based on response",INDEX('Faculties'!$L$91:$L$111,MATCH($F209,'Faculties'!$B$91:$B$111,0))),"N/A")</f>
        <v/>
      </c>
      <c r="L209" s="25">
        <f>IFERROR(IF(INDEX('CI&amp;S'!$L$10:$L$15,MATCH($F209,'CI&amp;S'!$B$10:$B$15,0))="","Cell will autofill based on response",INDEX('CI&amp;S'!$L$10:$L$15,MATCH($F209,'CI&amp;S'!$B$10:$B$15,0))),"N/A")</f>
        <v/>
      </c>
      <c r="M209" s="25">
        <f>IFERROR(IF(INDEX('CI&amp;S'!$L$22:$L$39,MATCH($F209,'CI&amp;S'!$B$22:$B$39,0))="","Cell will autofill based on response",INDEX('CI&amp;S'!$L$22:$L$39,MATCH($F209,'CI&amp;S'!$B$22:$B$39,0))),"N/A")</f>
        <v/>
      </c>
      <c r="N209" s="25">
        <f>IFERROR(IF(INDEX('CFOG'!$L$10:$L$16,MATCH($F209,'CFOG'!$B$10:$B$16,0))="","Cell will autofill based on response",INDEX('CFOG'!$L$10:$L$16,MATCH($F209,'CFOG'!$B$10:$B$16,0))),"N/A")</f>
        <v/>
      </c>
      <c r="O209" s="25">
        <f>IFERROR(IF(INDEX('CFOG'!$L$23:$L$24,MATCH($F209,'CFOG'!$B$23:$B$24,0))="","Cell will autofill based on response",INDEX('CFOG'!$L$23:$L$24,MATCH($F209,'CFOG'!$B$23:$B$24,0))),"N/A")</f>
        <v/>
      </c>
      <c r="P209" s="25">
        <f>IFERROR(IF(INDEX('ESG'!$L$10:$L$17,MATCH($F209,'ESG'!$B$10:$B$17,0))="","Cell will autofill based on response",INDEX('ESG'!$L$10:$L$17,MATCH($F209,'ESG'!$B$10:$B$17,0))),"N/A")</f>
        <v/>
      </c>
      <c r="Q209" s="25">
        <f>IFERROR(IF(INDEX('CIOG'!$L$10:$L$14,MATCH($F209,'CIOG'!$B$10:$B$14,0))="","Cell will autofill based on response",INDEX('CIOG'!$L$10:$L$14,MATCH($F209,'CIOG'!$B$10:$B$14,0))),"N/A")</f>
        <v/>
      </c>
      <c r="R209" s="25">
        <f>IFERROR(IF(INDEX('MRE'!$L$10:$L$12,MATCH($F209,'MRE'!$B$10:$B$12,0))="","Cell will autofill based on response",INDEX('MRE'!$L$10:$L$12,MATCH($F209,'MRE'!$B$10:$B$12,0))),"N/A")</f>
        <v/>
      </c>
      <c r="S209" s="25">
        <f>IFERROR(IF(INDEX('L&amp;R'!$L$10:$L$11,MATCH($F209,'L&amp;R'!$B$10:$B$11,0))="","Cell will autofill based on response",INDEX('L&amp;R'!$L$10:$L$11,MATCH($F209,'L&amp;R'!$B$10:$B$11,0))),"N/A")</f>
        <v/>
      </c>
      <c r="U209" s="26">
        <f>COUNTIF($H209:$S209,"Cell will autofill based on response")</f>
        <v/>
      </c>
      <c r="V209" s="26">
        <f>COUNTIF($H209:$S209,"Not yet started")</f>
        <v/>
      </c>
      <c r="W209" s="26">
        <f>COUNTIF($H209:$S209,"Not met")</f>
        <v/>
      </c>
      <c r="X209" s="26">
        <f>COUNTIF($H209:$S209,"Partially met")</f>
        <v/>
      </c>
      <c r="Y209" s="26">
        <f>COUNTIF($H209:$S209,"Met or exceeded")</f>
        <v/>
      </c>
      <c r="Z209" s="26">
        <f>3*Y209+2*X209+W209</f>
        <v/>
      </c>
      <c r="AA209" s="26">
        <f>Y209+X209+W209+V209</f>
        <v/>
      </c>
      <c r="AB209" s="27">
        <f>IF(AA209&gt;0,Z209/AA209,"No valid responses to date")</f>
        <v/>
      </c>
      <c r="AC209" s="26">
        <f>IF(ISNUMBER(AB209),INDEX(Lists!$G$2:$G$5,MATCH(ROUND(AB209,0),Lists!$H$2:$H$5,0)),"")</f>
        <v/>
      </c>
      <c r="AD209" s="28">
        <f>IF(AA209&gt;0,Y209/AA209,"")</f>
        <v/>
      </c>
      <c r="AE209" s="28">
        <f>IF(AA209&gt;0,(Y209+X209)/AA209,"")</f>
        <v/>
      </c>
      <c r="AF209" s="26">
        <f>IF(AA209=0,"",IF(AD209&gt;0.75,"Met or exceeded",IF(AE209&gt;=0.5,"Partially met","Not met")))</f>
        <v/>
      </c>
    </row>
    <row r="210">
      <c r="A210">
        <f>F210&amp;"|"&amp;G210</f>
        <v/>
      </c>
      <c r="B210" s="29" t="inlineStr"/>
      <c r="C210" s="8" t="inlineStr"/>
      <c r="D210" s="8" t="inlineStr"/>
      <c r="E210" s="8" t="inlineStr"/>
      <c r="F210" s="8" t="inlineStr">
        <is>
          <t>EI1(b)</t>
        </is>
      </c>
      <c r="G210" s="8" t="inlineStr">
        <is>
          <t>OPTION 1:  Target-level reporting</t>
        </is>
      </c>
      <c r="H210" s="25">
        <f>IFERROR(IF(INDEX('Faculties'!$M$10:$M$30,MATCH($F210,'Faculties'!$B$10:$B$30,0))="","Cell will autofill based on response",INDEX('Faculties'!$M$10:$M$30,MATCH($F210,'Faculties'!$B$10:$B$30,0))),"N/A")</f>
        <v/>
      </c>
      <c r="I210" s="25">
        <f>IFERROR(IF(INDEX('Faculties'!$M$37:$M$57,MATCH($F210,'Faculties'!$B$37:$B$57,0))="","Cell will autofill based on response",INDEX('Faculties'!$M$37:$M$57,MATCH($F210,'Faculties'!$B$37:$B$57,0))),"N/A")</f>
        <v/>
      </c>
      <c r="J210" s="25">
        <f>IFERROR(IF(INDEX('Faculties'!$M$64:$M$84,MATCH($F210,'Faculties'!$B$64:$B$84,0))="","Cell will autofill based on response",INDEX('Faculties'!$M$64:$M$84,MATCH($F210,'Faculties'!$B$64:$B$84,0))),"N/A")</f>
        <v/>
      </c>
      <c r="K210" s="25">
        <f>IFERROR(IF(INDEX('Faculties'!$M$91:$M$111,MATCH($F210,'Faculties'!$B$91:$B$111,0))="","Cell will autofill based on response",INDEX('Faculties'!$M$91:$M$111,MATCH($F210,'Faculties'!$B$91:$B$111,0))),"N/A")</f>
        <v/>
      </c>
      <c r="L210" s="25">
        <f>IFERROR(IF(INDEX('CI&amp;S'!$M$10:$M$15,MATCH($F210,'CI&amp;S'!$B$10:$B$15,0))="","Cell will autofill based on response",INDEX('CI&amp;S'!$M$10:$M$15,MATCH($F210,'CI&amp;S'!$B$10:$B$15,0))),"N/A")</f>
        <v/>
      </c>
      <c r="M210" s="25">
        <f>IFERROR(IF(INDEX('CI&amp;S'!$M$22:$M$39,MATCH($F210,'CI&amp;S'!$B$22:$B$39,0))="","Cell will autofill based on response",INDEX('CI&amp;S'!$M$22:$M$39,MATCH($F210,'CI&amp;S'!$B$22:$B$39,0))),"N/A")</f>
        <v/>
      </c>
      <c r="N210" s="25">
        <f>IFERROR(IF(INDEX('CFOG'!$M$10:$M$16,MATCH($F210,'CFOG'!$B$10:$B$16,0))="","Cell will autofill based on response",INDEX('CFOG'!$M$10:$M$16,MATCH($F210,'CFOG'!$B$10:$B$16,0))),"N/A")</f>
        <v/>
      </c>
      <c r="O210" s="25">
        <f>IFERROR(IF(INDEX('CFOG'!$M$23:$M$24,MATCH($F210,'CFOG'!$B$23:$B$24,0))="","Cell will autofill based on response",INDEX('CFOG'!$M$23:$M$24,MATCH($F210,'CFOG'!$B$23:$B$24,0))),"N/A")</f>
        <v/>
      </c>
      <c r="P210" s="25">
        <f>IFERROR(IF(INDEX('ESG'!$M$10:$M$17,MATCH($F210,'ESG'!$B$10:$B$17,0))="","Cell will autofill based on response",INDEX('ESG'!$M$10:$M$17,MATCH($F210,'ESG'!$B$10:$B$17,0))),"N/A")</f>
        <v/>
      </c>
      <c r="Q210" s="25">
        <f>IFERROR(IF(INDEX('CIOG'!$M$10:$M$14,MATCH($F210,'CIOG'!$B$10:$B$14,0))="","Cell will autofill based on response",INDEX('CIOG'!$M$10:$M$14,MATCH($F210,'CIOG'!$B$10:$B$14,0))),"N/A")</f>
        <v/>
      </c>
      <c r="R210" s="25">
        <f>IFERROR(IF(INDEX('MRE'!$M$10:$M$12,MATCH($F210,'MRE'!$B$10:$B$12,0))="","Cell will autofill based on response",INDEX('MRE'!$M$10:$M$12,MATCH($F210,'MRE'!$B$10:$B$12,0))),"N/A")</f>
        <v/>
      </c>
      <c r="S210" s="25">
        <f>IFERROR(IF(INDEX('L&amp;R'!$M$10:$M$11,MATCH($F210,'L&amp;R'!$B$10:$B$11,0))="","Cell will autofill based on response",INDEX('L&amp;R'!$M$10:$M$11,MATCH($F210,'L&amp;R'!$B$10:$B$11,0))),"N/A")</f>
        <v/>
      </c>
    </row>
    <row r="211">
      <c r="A211">
        <f>F211&amp;"|"&amp;G211</f>
        <v/>
      </c>
      <c r="B211" s="29" t="inlineStr"/>
      <c r="C211" s="8" t="inlineStr"/>
      <c r="D211" s="8" t="inlineStr"/>
      <c r="E211" s="8" t="inlineStr"/>
      <c r="F211" s="8" t="inlineStr">
        <is>
          <t>EI1(b)</t>
        </is>
      </c>
      <c r="G211" s="8" t="inlineStr">
        <is>
          <t>OPTION 2:  Indicator level reporting</t>
        </is>
      </c>
      <c r="H211" s="25">
        <f>IFERROR(IF(INDEX('Faculties'!$N$10:$N$30,MATCH($F211,'Faculties'!$B$10:$B$30,0))="","Cell will autofill based on response",INDEX('Faculties'!$N$10:$N$30,MATCH($F211,'Faculties'!$B$10:$B$30,0))),"N/A")</f>
        <v/>
      </c>
      <c r="I211" s="25">
        <f>IFERROR(IF(INDEX('Faculties'!$N$37:$N$57,MATCH($F211,'Faculties'!$B$37:$B$57,0))="","Cell will autofill based on response",INDEX('Faculties'!$N$37:$N$57,MATCH($F211,'Faculties'!$B$37:$B$57,0))),"N/A")</f>
        <v/>
      </c>
      <c r="J211" s="25">
        <f>IFERROR(IF(INDEX('Faculties'!$N$64:$N$84,MATCH($F211,'Faculties'!$B$64:$B$84,0))="","Cell will autofill based on response",INDEX('Faculties'!$N$64:$N$84,MATCH($F211,'Faculties'!$B$64:$B$84,0))),"N/A")</f>
        <v/>
      </c>
      <c r="K211" s="25">
        <f>IFERROR(IF(INDEX('Faculties'!$N$91:$N$111,MATCH($F211,'Faculties'!$B$91:$B$111,0))="","Cell will autofill based on response",INDEX('Faculties'!$N$91:$N$111,MATCH($F211,'Faculties'!$B$91:$B$111,0))),"N/A")</f>
        <v/>
      </c>
      <c r="L211" s="25">
        <f>IFERROR(IF(INDEX('CI&amp;S'!$N$10:$N$15,MATCH($F211,'CI&amp;S'!$B$10:$B$15,0))="","Cell will autofill based on response",INDEX('CI&amp;S'!$N$10:$N$15,MATCH($F211,'CI&amp;S'!$B$10:$B$15,0))),"N/A")</f>
        <v/>
      </c>
      <c r="M211" s="25">
        <f>IFERROR(IF(INDEX('CI&amp;S'!$N$22:$N$39,MATCH($F211,'CI&amp;S'!$B$22:$B$39,0))="","Cell will autofill based on response",INDEX('CI&amp;S'!$N$22:$N$39,MATCH($F211,'CI&amp;S'!$B$22:$B$39,0))),"N/A")</f>
        <v/>
      </c>
      <c r="N211" s="25">
        <f>IFERROR(IF(INDEX('CFOG'!$N$10:$N$16,MATCH($F211,'CFOG'!$B$10:$B$16,0))="","Cell will autofill based on response",INDEX('CFOG'!$N$10:$N$16,MATCH($F211,'CFOG'!$B$10:$B$16,0))),"N/A")</f>
        <v/>
      </c>
      <c r="O211" s="25">
        <f>IFERROR(IF(INDEX('CFOG'!$N$23:$N$24,MATCH($F211,'CFOG'!$B$23:$B$24,0))="","Cell will autofill based on response",INDEX('CFOG'!$N$23:$N$24,MATCH($F211,'CFOG'!$B$23:$B$24,0))),"N/A")</f>
        <v/>
      </c>
      <c r="P211" s="25">
        <f>IFERROR(IF(INDEX('ESG'!$N$10:$N$17,MATCH($F211,'ESG'!$B$10:$B$17,0))="","Cell will autofill based on response",INDEX('ESG'!$N$10:$N$17,MATCH($F211,'ESG'!$B$10:$B$17,0))),"N/A")</f>
        <v/>
      </c>
      <c r="Q211" s="25">
        <f>IFERROR(IF(INDEX('CIOG'!$N$10:$N$14,MATCH($F211,'CIOG'!$B$10:$B$14,0))="","Cell will autofill based on response",INDEX('CIOG'!$N$10:$N$14,MATCH($F211,'CIOG'!$B$10:$B$14,0))),"N/A")</f>
        <v/>
      </c>
      <c r="R211" s="25">
        <f>IFERROR(IF(INDEX('MRE'!$N$10:$N$12,MATCH($F211,'MRE'!$B$10:$B$12,0))="","Cell will autofill based on response",INDEX('MRE'!$N$10:$N$12,MATCH($F211,'MRE'!$B$10:$B$12,0))),"N/A")</f>
        <v/>
      </c>
      <c r="S211" s="25">
        <f>IFERROR(IF(INDEX('L&amp;R'!$N$10:$N$11,MATCH($F211,'L&amp;R'!$B$10:$B$11,0))="","Cell will autofill based on response",INDEX('L&amp;R'!$N$10:$N$11,MATCH($F211,'L&amp;R'!$B$10:$B$11,0))),"N/A")</f>
        <v/>
      </c>
    </row>
    <row r="212">
      <c r="A212">
        <f>F212&amp;"|"&amp;G212</f>
        <v/>
      </c>
      <c r="B212" s="29" t="inlineStr"/>
      <c r="C212" s="8" t="inlineStr"/>
      <c r="D212" s="8" t="inlineStr"/>
      <c r="E212" s="8" t="inlineStr"/>
      <c r="F212" s="8" t="inlineStr">
        <is>
          <t>EI1(b)</t>
        </is>
      </c>
      <c r="G212" s="8" t="inlineStr">
        <is>
          <t>Supporting information/comments</t>
        </is>
      </c>
      <c r="H212" s="25">
        <f>IFERROR(IF(INDEX('Faculties'!$O$10:$O$30,MATCH($F212,'Faculties'!$B$10:$B$30,0))="","Cell will autofill based on response",INDEX('Faculties'!$O$10:$O$30,MATCH($F212,'Faculties'!$B$10:$B$30,0))),"N/A")</f>
        <v/>
      </c>
      <c r="I212" s="25">
        <f>IFERROR(IF(INDEX('Faculties'!$O$37:$O$57,MATCH($F212,'Faculties'!$B$37:$B$57,0))="","Cell will autofill based on response",INDEX('Faculties'!$O$37:$O$57,MATCH($F212,'Faculties'!$B$37:$B$57,0))),"N/A")</f>
        <v/>
      </c>
      <c r="J212" s="25">
        <f>IFERROR(IF(INDEX('Faculties'!$O$64:$O$84,MATCH($F212,'Faculties'!$B$64:$B$84,0))="","Cell will autofill based on response",INDEX('Faculties'!$O$64:$O$84,MATCH($F212,'Faculties'!$B$64:$B$84,0))),"N/A")</f>
        <v/>
      </c>
      <c r="K212" s="25">
        <f>IFERROR(IF(INDEX('Faculties'!$O$91:$O$111,MATCH($F212,'Faculties'!$B$91:$B$111,0))="","Cell will autofill based on response",INDEX('Faculties'!$O$91:$O$111,MATCH($F212,'Faculties'!$B$91:$B$111,0))),"N/A")</f>
        <v/>
      </c>
      <c r="L212" s="25">
        <f>IFERROR(IF(INDEX('CI&amp;S'!$O$10:$O$15,MATCH($F212,'CI&amp;S'!$B$10:$B$15,0))="","Cell will autofill based on response",INDEX('CI&amp;S'!$O$10:$O$15,MATCH($F212,'CI&amp;S'!$B$10:$B$15,0))),"N/A")</f>
        <v/>
      </c>
      <c r="M212" s="25">
        <f>IFERROR(IF(INDEX('CI&amp;S'!$O$22:$O$39,MATCH($F212,'CI&amp;S'!$B$22:$B$39,0))="","Cell will autofill based on response",INDEX('CI&amp;S'!$O$22:$O$39,MATCH($F212,'CI&amp;S'!$B$22:$B$39,0))),"N/A")</f>
        <v/>
      </c>
      <c r="N212" s="25">
        <f>IFERROR(IF(INDEX('CFOG'!$O$10:$O$16,MATCH($F212,'CFOG'!$B$10:$B$16,0))="","Cell will autofill based on response",INDEX('CFOG'!$O$10:$O$16,MATCH($F212,'CFOG'!$B$10:$B$16,0))),"N/A")</f>
        <v/>
      </c>
      <c r="O212" s="25">
        <f>IFERROR(IF(INDEX('CFOG'!$O$23:$O$24,MATCH($F212,'CFOG'!$B$23:$B$24,0))="","Cell will autofill based on response",INDEX('CFOG'!$O$23:$O$24,MATCH($F212,'CFOG'!$B$23:$B$24,0))),"N/A")</f>
        <v/>
      </c>
      <c r="P212" s="25">
        <f>IFERROR(IF(INDEX('ESG'!$O$10:$O$17,MATCH($F212,'ESG'!$B$10:$B$17,0))="","Cell will autofill based on response",INDEX('ESG'!$O$10:$O$17,MATCH($F212,'ESG'!$B$10:$B$17,0))),"N/A")</f>
        <v/>
      </c>
      <c r="Q212" s="25">
        <f>IFERROR(IF(INDEX('CIOG'!$O$10:$O$14,MATCH($F212,'CIOG'!$B$10:$B$14,0))="","Cell will autofill based on response",INDEX('CIOG'!$O$10:$O$14,MATCH($F212,'CIOG'!$B$10:$B$14,0))),"N/A")</f>
        <v/>
      </c>
      <c r="R212" s="25">
        <f>IFERROR(IF(INDEX('MRE'!$O$10:$O$12,MATCH($F212,'MRE'!$B$10:$B$12,0))="","Cell will autofill based on response",INDEX('MRE'!$O$10:$O$12,MATCH($F212,'MRE'!$B$10:$B$12,0))),"N/A")</f>
        <v/>
      </c>
      <c r="S212" s="25">
        <f>IFERROR(IF(INDEX('L&amp;R'!$O$10:$O$11,MATCH($F212,'L&amp;R'!$B$10:$B$11,0))="","Cell will autofill based on response",INDEX('L&amp;R'!$O$10:$O$11,MATCH($F212,'L&amp;R'!$B$10:$B$11,0))),"N/A")</f>
        <v/>
      </c>
    </row>
    <row r="213">
      <c r="A213">
        <f>F213&amp;"|"&amp;G213</f>
        <v/>
      </c>
      <c r="B213" s="29" t="inlineStr"/>
      <c r="C213" s="8" t="inlineStr"/>
      <c r="D213" s="8" t="inlineStr"/>
      <c r="E213" s="8" t="inlineStr"/>
      <c r="F213" s="8" t="inlineStr">
        <is>
          <t>EI1(b)</t>
        </is>
      </c>
      <c r="G213" s="8" t="inlineStr">
        <is>
          <t>Data source and limitations</t>
        </is>
      </c>
      <c r="H213" s="25">
        <f>IFERROR(IF(INDEX('Faculties'!$P$10:$P$30,MATCH($F213,'Faculties'!$B$10:$B$30,0))="","Cell will autofill based on response",INDEX('Faculties'!$P$10:$P$30,MATCH($F213,'Faculties'!$B$10:$B$30,0))),"N/A")</f>
        <v/>
      </c>
      <c r="I213" s="25">
        <f>IFERROR(IF(INDEX('Faculties'!$P$37:$P$57,MATCH($F213,'Faculties'!$B$37:$B$57,0))="","Cell will autofill based on response",INDEX('Faculties'!$P$37:$P$57,MATCH($F213,'Faculties'!$B$37:$B$57,0))),"N/A")</f>
        <v/>
      </c>
      <c r="J213" s="25">
        <f>IFERROR(IF(INDEX('Faculties'!$P$64:$P$84,MATCH($F213,'Faculties'!$B$64:$B$84,0))="","Cell will autofill based on response",INDEX('Faculties'!$P$64:$P$84,MATCH($F213,'Faculties'!$B$64:$B$84,0))),"N/A")</f>
        <v/>
      </c>
      <c r="K213" s="25">
        <f>IFERROR(IF(INDEX('Faculties'!$P$91:$P$111,MATCH($F213,'Faculties'!$B$91:$B$111,0))="","Cell will autofill based on response",INDEX('Faculties'!$P$91:$P$111,MATCH($F213,'Faculties'!$B$91:$B$111,0))),"N/A")</f>
        <v/>
      </c>
      <c r="L213" s="25">
        <f>IFERROR(IF(INDEX('CI&amp;S'!$P$10:$P$15,MATCH($F213,'CI&amp;S'!$B$10:$B$15,0))="","Cell will autofill based on response",INDEX('CI&amp;S'!$P$10:$P$15,MATCH($F213,'CI&amp;S'!$B$10:$B$15,0))),"N/A")</f>
        <v/>
      </c>
      <c r="M213" s="25">
        <f>IFERROR(IF(INDEX('CI&amp;S'!$P$22:$P$39,MATCH($F213,'CI&amp;S'!$B$22:$B$39,0))="","Cell will autofill based on response",INDEX('CI&amp;S'!$P$22:$P$39,MATCH($F213,'CI&amp;S'!$B$22:$B$39,0))),"N/A")</f>
        <v/>
      </c>
      <c r="N213" s="25">
        <f>IFERROR(IF(INDEX('CFOG'!$P$10:$P$16,MATCH($F213,'CFOG'!$B$10:$B$16,0))="","Cell will autofill based on response",INDEX('CFOG'!$P$10:$P$16,MATCH($F213,'CFOG'!$B$10:$B$16,0))),"N/A")</f>
        <v/>
      </c>
      <c r="O213" s="25">
        <f>IFERROR(IF(INDEX('CFOG'!$P$23:$P$24,MATCH($F213,'CFOG'!$B$23:$B$24,0))="","Cell will autofill based on response",INDEX('CFOG'!$P$23:$P$24,MATCH($F213,'CFOG'!$B$23:$B$24,0))),"N/A")</f>
        <v/>
      </c>
      <c r="P213" s="25">
        <f>IFERROR(IF(INDEX('ESG'!$P$10:$P$17,MATCH($F213,'ESG'!$B$10:$B$17,0))="","Cell will autofill based on response",INDEX('ESG'!$P$10:$P$17,MATCH($F213,'ESG'!$B$10:$B$17,0))),"N/A")</f>
        <v/>
      </c>
      <c r="Q213" s="25">
        <f>IFERROR(IF(INDEX('CIOG'!$P$10:$P$14,MATCH($F213,'CIOG'!$B$10:$B$14,0))="","Cell will autofill based on response",INDEX('CIOG'!$P$10:$P$14,MATCH($F213,'CIOG'!$B$10:$B$14,0))),"N/A")</f>
        <v/>
      </c>
      <c r="R213" s="25">
        <f>IFERROR(IF(INDEX('MRE'!$P$10:$P$12,MATCH($F213,'MRE'!$B$10:$B$12,0))="","Cell will autofill based on response",INDEX('MRE'!$P$10:$P$12,MATCH($F213,'MRE'!$B$10:$B$12,0))),"N/A")</f>
        <v/>
      </c>
      <c r="S213" s="25">
        <f>IFERROR(IF(INDEX('L&amp;R'!$P$10:$P$11,MATCH($F213,'L&amp;R'!$B$10:$B$11,0))="","Cell will autofill based on response",INDEX('L&amp;R'!$P$10:$P$11,MATCH($F213,'L&amp;R'!$B$10:$B$11,0))),"N/A")</f>
        <v/>
      </c>
    </row>
    <row r="214">
      <c r="A214">
        <f>F214&amp;"|"&amp;G214</f>
        <v/>
      </c>
      <c r="B214" s="29" t="inlineStr"/>
      <c r="C214" s="8" t="inlineStr"/>
      <c r="D214" s="8" t="inlineStr"/>
      <c r="E214" s="8" t="inlineStr"/>
      <c r="F214" s="8" t="inlineStr">
        <is>
          <t>EI1(b)</t>
        </is>
      </c>
      <c r="G214" s="8" t="inlineStr">
        <is>
          <t>Data owner confirms</t>
        </is>
      </c>
      <c r="H214" s="25">
        <f>IFERROR(IF(INDEX('Faculties'!$Q$10:$Q$30,MATCH($F214,'Faculties'!$B$10:$B$30,0))="","Cell will autofill based on response",INDEX('Faculties'!$Q$10:$Q$30,MATCH($F214,'Faculties'!$B$10:$B$30,0))),"N/A")</f>
        <v/>
      </c>
      <c r="I214" s="25">
        <f>IFERROR(IF(INDEX('Faculties'!$Q$37:$Q$57,MATCH($F214,'Faculties'!$B$37:$B$57,0))="","Cell will autofill based on response",INDEX('Faculties'!$Q$37:$Q$57,MATCH($F214,'Faculties'!$B$37:$B$57,0))),"N/A")</f>
        <v/>
      </c>
      <c r="J214" s="25">
        <f>IFERROR(IF(INDEX('Faculties'!$Q$64:$Q$84,MATCH($F214,'Faculties'!$B$64:$B$84,0))="","Cell will autofill based on response",INDEX('Faculties'!$Q$64:$Q$84,MATCH($F214,'Faculties'!$B$64:$B$84,0))),"N/A")</f>
        <v/>
      </c>
      <c r="K214" s="25">
        <f>IFERROR(IF(INDEX('Faculties'!$Q$91:$Q$111,MATCH($F214,'Faculties'!$B$91:$B$111,0))="","Cell will autofill based on response",INDEX('Faculties'!$Q$91:$Q$111,MATCH($F214,'Faculties'!$B$91:$B$111,0))),"N/A")</f>
        <v/>
      </c>
      <c r="L214" s="25">
        <f>IFERROR(IF(INDEX('CI&amp;S'!$Q$10:$Q$15,MATCH($F214,'CI&amp;S'!$B$10:$B$15,0))="","Cell will autofill based on response",INDEX('CI&amp;S'!$Q$10:$Q$15,MATCH($F214,'CI&amp;S'!$B$10:$B$15,0))),"N/A")</f>
        <v/>
      </c>
      <c r="M214" s="25">
        <f>IFERROR(IF(INDEX('CI&amp;S'!$Q$22:$Q$39,MATCH($F214,'CI&amp;S'!$B$22:$B$39,0))="","Cell will autofill based on response",INDEX('CI&amp;S'!$Q$22:$Q$39,MATCH($F214,'CI&amp;S'!$B$22:$B$39,0))),"N/A")</f>
        <v/>
      </c>
      <c r="N214" s="25">
        <f>IFERROR(IF(INDEX('CFOG'!$Q$10:$Q$16,MATCH($F214,'CFOG'!$B$10:$B$16,0))="","Cell will autofill based on response",INDEX('CFOG'!$Q$10:$Q$16,MATCH($F214,'CFOG'!$B$10:$B$16,0))),"N/A")</f>
        <v/>
      </c>
      <c r="O214" s="25">
        <f>IFERROR(IF(INDEX('CFOG'!$Q$23:$Q$24,MATCH($F214,'CFOG'!$B$23:$B$24,0))="","Cell will autofill based on response",INDEX('CFOG'!$Q$23:$Q$24,MATCH($F214,'CFOG'!$B$23:$B$24,0))),"N/A")</f>
        <v/>
      </c>
      <c r="P214" s="25">
        <f>IFERROR(IF(INDEX('ESG'!$Q$10:$Q$17,MATCH($F214,'ESG'!$B$10:$B$17,0))="","Cell will autofill based on response",INDEX('ESG'!$Q$10:$Q$17,MATCH($F214,'ESG'!$B$10:$B$17,0))),"N/A")</f>
        <v/>
      </c>
      <c r="Q214" s="25">
        <f>IFERROR(IF(INDEX('CIOG'!$Q$10:$Q$14,MATCH($F214,'CIOG'!$B$10:$B$14,0))="","Cell will autofill based on response",INDEX('CIOG'!$Q$10:$Q$14,MATCH($F214,'CIOG'!$B$10:$B$14,0))),"N/A")</f>
        <v/>
      </c>
      <c r="R214" s="25">
        <f>IFERROR(IF(INDEX('MRE'!$Q$10:$Q$12,MATCH($F214,'MRE'!$B$10:$B$12,0))="","Cell will autofill based on response",INDEX('MRE'!$Q$10:$Q$12,MATCH($F214,'MRE'!$B$10:$B$12,0))),"N/A")</f>
        <v/>
      </c>
      <c r="S214" s="25">
        <f>IFERROR(IF(INDEX('L&amp;R'!$Q$10:$Q$11,MATCH($F214,'L&amp;R'!$B$10:$B$11,0))="","Cell will autofill based on response",INDEX('L&amp;R'!$Q$10:$Q$11,MATCH($F214,'L&amp;R'!$B$10:$B$11,0))),"N/A")</f>
        <v/>
      </c>
    </row>
    <row r="215">
      <c r="A215">
        <f>F215&amp;"|"&amp;G215</f>
        <v/>
      </c>
      <c r="B215" s="7" t="inlineStr">
        <is>
          <t>EI1(c)</t>
        </is>
      </c>
      <c r="C215" s="12" t="inlineStr">
        <is>
          <t>Estate and infrastructure</t>
        </is>
      </c>
      <c r="D215" s="12" t="inlineStr">
        <is>
          <t>Reporting on relevant activities and impacts for the University’s major estate and infrastructure projects and programs aligned with the other priority areas in Sustainability 2030</t>
        </is>
      </c>
      <c r="E215"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215" s="12" t="inlineStr">
        <is>
          <t>EI1(c)</t>
        </is>
      </c>
      <c r="G215" s="12" t="inlineStr">
        <is>
          <t>Confirm end-2026 target status</t>
        </is>
      </c>
      <c r="H215" s="25">
        <f>IFERROR(IF(INDEX('Faculties'!$L$10:$L$30,MATCH($F215,'Faculties'!$B$10:$B$30,0))="","Cell will autofill based on response",INDEX('Faculties'!$L$10:$L$30,MATCH($F215,'Faculties'!$B$10:$B$30,0))),"N/A")</f>
        <v/>
      </c>
      <c r="I215" s="25">
        <f>IFERROR(IF(INDEX('Faculties'!$L$37:$L$57,MATCH($F215,'Faculties'!$B$37:$B$57,0))="","Cell will autofill based on response",INDEX('Faculties'!$L$37:$L$57,MATCH($F215,'Faculties'!$B$37:$B$57,0))),"N/A")</f>
        <v/>
      </c>
      <c r="J215" s="25">
        <f>IFERROR(IF(INDEX('Faculties'!$L$64:$L$84,MATCH($F215,'Faculties'!$B$64:$B$84,0))="","Cell will autofill based on response",INDEX('Faculties'!$L$64:$L$84,MATCH($F215,'Faculties'!$B$64:$B$84,0))),"N/A")</f>
        <v/>
      </c>
      <c r="K215" s="25">
        <f>IFERROR(IF(INDEX('Faculties'!$L$91:$L$111,MATCH($F215,'Faculties'!$B$91:$B$111,0))="","Cell will autofill based on response",INDEX('Faculties'!$L$91:$L$111,MATCH($F215,'Faculties'!$B$91:$B$111,0))),"N/A")</f>
        <v/>
      </c>
      <c r="L215" s="25">
        <f>IFERROR(IF(INDEX('CI&amp;S'!$L$10:$L$15,MATCH($F215,'CI&amp;S'!$B$10:$B$15,0))="","Cell will autofill based on response",INDEX('CI&amp;S'!$L$10:$L$15,MATCH($F215,'CI&amp;S'!$B$10:$B$15,0))),"N/A")</f>
        <v/>
      </c>
      <c r="M215" s="25">
        <f>IFERROR(IF(INDEX('CI&amp;S'!$L$22:$L$39,MATCH($F215,'CI&amp;S'!$B$22:$B$39,0))="","Cell will autofill based on response",INDEX('CI&amp;S'!$L$22:$L$39,MATCH($F215,'CI&amp;S'!$B$22:$B$39,0))),"N/A")</f>
        <v/>
      </c>
      <c r="N215" s="25">
        <f>IFERROR(IF(INDEX('CFOG'!$L$10:$L$16,MATCH($F215,'CFOG'!$B$10:$B$16,0))="","Cell will autofill based on response",INDEX('CFOG'!$L$10:$L$16,MATCH($F215,'CFOG'!$B$10:$B$16,0))),"N/A")</f>
        <v/>
      </c>
      <c r="O215" s="25">
        <f>IFERROR(IF(INDEX('CFOG'!$L$23:$L$24,MATCH($F215,'CFOG'!$B$23:$B$24,0))="","Cell will autofill based on response",INDEX('CFOG'!$L$23:$L$24,MATCH($F215,'CFOG'!$B$23:$B$24,0))),"N/A")</f>
        <v/>
      </c>
      <c r="P215" s="25">
        <f>IFERROR(IF(INDEX('ESG'!$L$10:$L$17,MATCH($F215,'ESG'!$B$10:$B$17,0))="","Cell will autofill based on response",INDEX('ESG'!$L$10:$L$17,MATCH($F215,'ESG'!$B$10:$B$17,0))),"N/A")</f>
        <v/>
      </c>
      <c r="Q215" s="25">
        <f>IFERROR(IF(INDEX('CIOG'!$L$10:$L$14,MATCH($F215,'CIOG'!$B$10:$B$14,0))="","Cell will autofill based on response",INDEX('CIOG'!$L$10:$L$14,MATCH($F215,'CIOG'!$B$10:$B$14,0))),"N/A")</f>
        <v/>
      </c>
      <c r="R215" s="25">
        <f>IFERROR(IF(INDEX('MRE'!$L$10:$L$12,MATCH($F215,'MRE'!$B$10:$B$12,0))="","Cell will autofill based on response",INDEX('MRE'!$L$10:$L$12,MATCH($F215,'MRE'!$B$10:$B$12,0))),"N/A")</f>
        <v/>
      </c>
      <c r="S215" s="25">
        <f>IFERROR(IF(INDEX('L&amp;R'!$L$10:$L$11,MATCH($F215,'L&amp;R'!$B$10:$B$11,0))="","Cell will autofill based on response",INDEX('L&amp;R'!$L$10:$L$11,MATCH($F215,'L&amp;R'!$B$10:$B$11,0))),"N/A")</f>
        <v/>
      </c>
      <c r="U215" s="26">
        <f>COUNTIF($H215:$S215,"Cell will autofill based on response")</f>
        <v/>
      </c>
      <c r="V215" s="26">
        <f>COUNTIF($H215:$S215,"Not yet started")</f>
        <v/>
      </c>
      <c r="W215" s="26">
        <f>COUNTIF($H215:$S215,"Not met")</f>
        <v/>
      </c>
      <c r="X215" s="26">
        <f>COUNTIF($H215:$S215,"Partially met")</f>
        <v/>
      </c>
      <c r="Y215" s="26">
        <f>COUNTIF($H215:$S215,"Met or exceeded")</f>
        <v/>
      </c>
      <c r="Z215" s="26">
        <f>3*Y215+2*X215+W215</f>
        <v/>
      </c>
      <c r="AA215" s="26">
        <f>Y215+X215+W215+V215</f>
        <v/>
      </c>
      <c r="AB215" s="27">
        <f>IF(AA215&gt;0,Z215/AA215,"No valid responses to date")</f>
        <v/>
      </c>
      <c r="AC215" s="26">
        <f>IF(ISNUMBER(AB215),INDEX(Lists!$G$2:$G$5,MATCH(ROUND(AB215,0),Lists!$H$2:$H$5,0)),"")</f>
        <v/>
      </c>
      <c r="AD215" s="28">
        <f>IF(AA215&gt;0,Y215/AA215,"")</f>
        <v/>
      </c>
      <c r="AE215" s="28">
        <f>IF(AA215&gt;0,(Y215+X215)/AA215,"")</f>
        <v/>
      </c>
      <c r="AF215" s="26">
        <f>IF(AA215=0,"",IF(AD215&gt;0.75,"Met or exceeded",IF(AE215&gt;=0.5,"Partially met","Not met")))</f>
        <v/>
      </c>
    </row>
    <row r="216">
      <c r="A216">
        <f>F216&amp;"|"&amp;G216</f>
        <v/>
      </c>
      <c r="B216" s="29" t="inlineStr"/>
      <c r="C216" s="8" t="inlineStr"/>
      <c r="D216" s="8" t="inlineStr"/>
      <c r="E216" s="8" t="inlineStr"/>
      <c r="F216" s="8" t="inlineStr">
        <is>
          <t>EI1(c)</t>
        </is>
      </c>
      <c r="G216" s="8" t="inlineStr">
        <is>
          <t>OPTION 1:  Target-level reporting</t>
        </is>
      </c>
      <c r="H216" s="25">
        <f>IFERROR(IF(INDEX('Faculties'!$M$10:$M$30,MATCH($F216,'Faculties'!$B$10:$B$30,0))="","Cell will autofill based on response",INDEX('Faculties'!$M$10:$M$30,MATCH($F216,'Faculties'!$B$10:$B$30,0))),"N/A")</f>
        <v/>
      </c>
      <c r="I216" s="25">
        <f>IFERROR(IF(INDEX('Faculties'!$M$37:$M$57,MATCH($F216,'Faculties'!$B$37:$B$57,0))="","Cell will autofill based on response",INDEX('Faculties'!$M$37:$M$57,MATCH($F216,'Faculties'!$B$37:$B$57,0))),"N/A")</f>
        <v/>
      </c>
      <c r="J216" s="25">
        <f>IFERROR(IF(INDEX('Faculties'!$M$64:$M$84,MATCH($F216,'Faculties'!$B$64:$B$84,0))="","Cell will autofill based on response",INDEX('Faculties'!$M$64:$M$84,MATCH($F216,'Faculties'!$B$64:$B$84,0))),"N/A")</f>
        <v/>
      </c>
      <c r="K216" s="25">
        <f>IFERROR(IF(INDEX('Faculties'!$M$91:$M$111,MATCH($F216,'Faculties'!$B$91:$B$111,0))="","Cell will autofill based on response",INDEX('Faculties'!$M$91:$M$111,MATCH($F216,'Faculties'!$B$91:$B$111,0))),"N/A")</f>
        <v/>
      </c>
      <c r="L216" s="25">
        <f>IFERROR(IF(INDEX('CI&amp;S'!$M$10:$M$15,MATCH($F216,'CI&amp;S'!$B$10:$B$15,0))="","Cell will autofill based on response",INDEX('CI&amp;S'!$M$10:$M$15,MATCH($F216,'CI&amp;S'!$B$10:$B$15,0))),"N/A")</f>
        <v/>
      </c>
      <c r="M216" s="25">
        <f>IFERROR(IF(INDEX('CI&amp;S'!$M$22:$M$39,MATCH($F216,'CI&amp;S'!$B$22:$B$39,0))="","Cell will autofill based on response",INDEX('CI&amp;S'!$M$22:$M$39,MATCH($F216,'CI&amp;S'!$B$22:$B$39,0))),"N/A")</f>
        <v/>
      </c>
      <c r="N216" s="25">
        <f>IFERROR(IF(INDEX('CFOG'!$M$10:$M$16,MATCH($F216,'CFOG'!$B$10:$B$16,0))="","Cell will autofill based on response",INDEX('CFOG'!$M$10:$M$16,MATCH($F216,'CFOG'!$B$10:$B$16,0))),"N/A")</f>
        <v/>
      </c>
      <c r="O216" s="25">
        <f>IFERROR(IF(INDEX('CFOG'!$M$23:$M$24,MATCH($F216,'CFOG'!$B$23:$B$24,0))="","Cell will autofill based on response",INDEX('CFOG'!$M$23:$M$24,MATCH($F216,'CFOG'!$B$23:$B$24,0))),"N/A")</f>
        <v/>
      </c>
      <c r="P216" s="25">
        <f>IFERROR(IF(INDEX('ESG'!$M$10:$M$17,MATCH($F216,'ESG'!$B$10:$B$17,0))="","Cell will autofill based on response",INDEX('ESG'!$M$10:$M$17,MATCH($F216,'ESG'!$B$10:$B$17,0))),"N/A")</f>
        <v/>
      </c>
      <c r="Q216" s="25">
        <f>IFERROR(IF(INDEX('CIOG'!$M$10:$M$14,MATCH($F216,'CIOG'!$B$10:$B$14,0))="","Cell will autofill based on response",INDEX('CIOG'!$M$10:$M$14,MATCH($F216,'CIOG'!$B$10:$B$14,0))),"N/A")</f>
        <v/>
      </c>
      <c r="R216" s="25">
        <f>IFERROR(IF(INDEX('MRE'!$M$10:$M$12,MATCH($F216,'MRE'!$B$10:$B$12,0))="","Cell will autofill based on response",INDEX('MRE'!$M$10:$M$12,MATCH($F216,'MRE'!$B$10:$B$12,0))),"N/A")</f>
        <v/>
      </c>
      <c r="S216" s="25">
        <f>IFERROR(IF(INDEX('L&amp;R'!$M$10:$M$11,MATCH($F216,'L&amp;R'!$B$10:$B$11,0))="","Cell will autofill based on response",INDEX('L&amp;R'!$M$10:$M$11,MATCH($F216,'L&amp;R'!$B$10:$B$11,0))),"N/A")</f>
        <v/>
      </c>
    </row>
    <row r="217">
      <c r="A217">
        <f>F217&amp;"|"&amp;G217</f>
        <v/>
      </c>
      <c r="B217" s="29" t="inlineStr"/>
      <c r="C217" s="8" t="inlineStr"/>
      <c r="D217" s="8" t="inlineStr"/>
      <c r="E217" s="8" t="inlineStr"/>
      <c r="F217" s="8" t="inlineStr">
        <is>
          <t>EI1(c)</t>
        </is>
      </c>
      <c r="G217" s="8" t="inlineStr">
        <is>
          <t>OPTION 2:  Indicator level reporting</t>
        </is>
      </c>
      <c r="H217" s="25">
        <f>IFERROR(IF(INDEX('Faculties'!$N$10:$N$30,MATCH($F217,'Faculties'!$B$10:$B$30,0))="","Cell will autofill based on response",INDEX('Faculties'!$N$10:$N$30,MATCH($F217,'Faculties'!$B$10:$B$30,0))),"N/A")</f>
        <v/>
      </c>
      <c r="I217" s="25">
        <f>IFERROR(IF(INDEX('Faculties'!$N$37:$N$57,MATCH($F217,'Faculties'!$B$37:$B$57,0))="","Cell will autofill based on response",INDEX('Faculties'!$N$37:$N$57,MATCH($F217,'Faculties'!$B$37:$B$57,0))),"N/A")</f>
        <v/>
      </c>
      <c r="J217" s="25">
        <f>IFERROR(IF(INDEX('Faculties'!$N$64:$N$84,MATCH($F217,'Faculties'!$B$64:$B$84,0))="","Cell will autofill based on response",INDEX('Faculties'!$N$64:$N$84,MATCH($F217,'Faculties'!$B$64:$B$84,0))),"N/A")</f>
        <v/>
      </c>
      <c r="K217" s="25">
        <f>IFERROR(IF(INDEX('Faculties'!$N$91:$N$111,MATCH($F217,'Faculties'!$B$91:$B$111,0))="","Cell will autofill based on response",INDEX('Faculties'!$N$91:$N$111,MATCH($F217,'Faculties'!$B$91:$B$111,0))),"N/A")</f>
        <v/>
      </c>
      <c r="L217" s="25">
        <f>IFERROR(IF(INDEX('CI&amp;S'!$N$10:$N$15,MATCH($F217,'CI&amp;S'!$B$10:$B$15,0))="","Cell will autofill based on response",INDEX('CI&amp;S'!$N$10:$N$15,MATCH($F217,'CI&amp;S'!$B$10:$B$15,0))),"N/A")</f>
        <v/>
      </c>
      <c r="M217" s="25">
        <f>IFERROR(IF(INDEX('CI&amp;S'!$N$22:$N$39,MATCH($F217,'CI&amp;S'!$B$22:$B$39,0))="","Cell will autofill based on response",INDEX('CI&amp;S'!$N$22:$N$39,MATCH($F217,'CI&amp;S'!$B$22:$B$39,0))),"N/A")</f>
        <v/>
      </c>
      <c r="N217" s="25">
        <f>IFERROR(IF(INDEX('CFOG'!$N$10:$N$16,MATCH($F217,'CFOG'!$B$10:$B$16,0))="","Cell will autofill based on response",INDEX('CFOG'!$N$10:$N$16,MATCH($F217,'CFOG'!$B$10:$B$16,0))),"N/A")</f>
        <v/>
      </c>
      <c r="O217" s="25">
        <f>IFERROR(IF(INDEX('CFOG'!$N$23:$N$24,MATCH($F217,'CFOG'!$B$23:$B$24,0))="","Cell will autofill based on response",INDEX('CFOG'!$N$23:$N$24,MATCH($F217,'CFOG'!$B$23:$B$24,0))),"N/A")</f>
        <v/>
      </c>
      <c r="P217" s="25">
        <f>IFERROR(IF(INDEX('ESG'!$N$10:$N$17,MATCH($F217,'ESG'!$B$10:$B$17,0))="","Cell will autofill based on response",INDEX('ESG'!$N$10:$N$17,MATCH($F217,'ESG'!$B$10:$B$17,0))),"N/A")</f>
        <v/>
      </c>
      <c r="Q217" s="25">
        <f>IFERROR(IF(INDEX('CIOG'!$N$10:$N$14,MATCH($F217,'CIOG'!$B$10:$B$14,0))="","Cell will autofill based on response",INDEX('CIOG'!$N$10:$N$14,MATCH($F217,'CIOG'!$B$10:$B$14,0))),"N/A")</f>
        <v/>
      </c>
      <c r="R217" s="25">
        <f>IFERROR(IF(INDEX('MRE'!$N$10:$N$12,MATCH($F217,'MRE'!$B$10:$B$12,0))="","Cell will autofill based on response",INDEX('MRE'!$N$10:$N$12,MATCH($F217,'MRE'!$B$10:$B$12,0))),"N/A")</f>
        <v/>
      </c>
      <c r="S217" s="25">
        <f>IFERROR(IF(INDEX('L&amp;R'!$N$10:$N$11,MATCH($F217,'L&amp;R'!$B$10:$B$11,0))="","Cell will autofill based on response",INDEX('L&amp;R'!$N$10:$N$11,MATCH($F217,'L&amp;R'!$B$10:$B$11,0))),"N/A")</f>
        <v/>
      </c>
    </row>
    <row r="218">
      <c r="A218">
        <f>F218&amp;"|"&amp;G218</f>
        <v/>
      </c>
      <c r="B218" s="29" t="inlineStr"/>
      <c r="C218" s="8" t="inlineStr"/>
      <c r="D218" s="8" t="inlineStr"/>
      <c r="E218" s="8" t="inlineStr"/>
      <c r="F218" s="8" t="inlineStr">
        <is>
          <t>EI1(c)</t>
        </is>
      </c>
      <c r="G218" s="8" t="inlineStr">
        <is>
          <t>Supporting information/comments</t>
        </is>
      </c>
      <c r="H218" s="25">
        <f>IFERROR(IF(INDEX('Faculties'!$O$10:$O$30,MATCH($F218,'Faculties'!$B$10:$B$30,0))="","Cell will autofill based on response",INDEX('Faculties'!$O$10:$O$30,MATCH($F218,'Faculties'!$B$10:$B$30,0))),"N/A")</f>
        <v/>
      </c>
      <c r="I218" s="25">
        <f>IFERROR(IF(INDEX('Faculties'!$O$37:$O$57,MATCH($F218,'Faculties'!$B$37:$B$57,0))="","Cell will autofill based on response",INDEX('Faculties'!$O$37:$O$57,MATCH($F218,'Faculties'!$B$37:$B$57,0))),"N/A")</f>
        <v/>
      </c>
      <c r="J218" s="25">
        <f>IFERROR(IF(INDEX('Faculties'!$O$64:$O$84,MATCH($F218,'Faculties'!$B$64:$B$84,0))="","Cell will autofill based on response",INDEX('Faculties'!$O$64:$O$84,MATCH($F218,'Faculties'!$B$64:$B$84,0))),"N/A")</f>
        <v/>
      </c>
      <c r="K218" s="25">
        <f>IFERROR(IF(INDEX('Faculties'!$O$91:$O$111,MATCH($F218,'Faculties'!$B$91:$B$111,0))="","Cell will autofill based on response",INDEX('Faculties'!$O$91:$O$111,MATCH($F218,'Faculties'!$B$91:$B$111,0))),"N/A")</f>
        <v/>
      </c>
      <c r="L218" s="25">
        <f>IFERROR(IF(INDEX('CI&amp;S'!$O$10:$O$15,MATCH($F218,'CI&amp;S'!$B$10:$B$15,0))="","Cell will autofill based on response",INDEX('CI&amp;S'!$O$10:$O$15,MATCH($F218,'CI&amp;S'!$B$10:$B$15,0))),"N/A")</f>
        <v/>
      </c>
      <c r="M218" s="25">
        <f>IFERROR(IF(INDEX('CI&amp;S'!$O$22:$O$39,MATCH($F218,'CI&amp;S'!$B$22:$B$39,0))="","Cell will autofill based on response",INDEX('CI&amp;S'!$O$22:$O$39,MATCH($F218,'CI&amp;S'!$B$22:$B$39,0))),"N/A")</f>
        <v/>
      </c>
      <c r="N218" s="25">
        <f>IFERROR(IF(INDEX('CFOG'!$O$10:$O$16,MATCH($F218,'CFOG'!$B$10:$B$16,0))="","Cell will autofill based on response",INDEX('CFOG'!$O$10:$O$16,MATCH($F218,'CFOG'!$B$10:$B$16,0))),"N/A")</f>
        <v/>
      </c>
      <c r="O218" s="25">
        <f>IFERROR(IF(INDEX('CFOG'!$O$23:$O$24,MATCH($F218,'CFOG'!$B$23:$B$24,0))="","Cell will autofill based on response",INDEX('CFOG'!$O$23:$O$24,MATCH($F218,'CFOG'!$B$23:$B$24,0))),"N/A")</f>
        <v/>
      </c>
      <c r="P218" s="25">
        <f>IFERROR(IF(INDEX('ESG'!$O$10:$O$17,MATCH($F218,'ESG'!$B$10:$B$17,0))="","Cell will autofill based on response",INDEX('ESG'!$O$10:$O$17,MATCH($F218,'ESG'!$B$10:$B$17,0))),"N/A")</f>
        <v/>
      </c>
      <c r="Q218" s="25">
        <f>IFERROR(IF(INDEX('CIOG'!$O$10:$O$14,MATCH($F218,'CIOG'!$B$10:$B$14,0))="","Cell will autofill based on response",INDEX('CIOG'!$O$10:$O$14,MATCH($F218,'CIOG'!$B$10:$B$14,0))),"N/A")</f>
        <v/>
      </c>
      <c r="R218" s="25">
        <f>IFERROR(IF(INDEX('MRE'!$O$10:$O$12,MATCH($F218,'MRE'!$B$10:$B$12,0))="","Cell will autofill based on response",INDEX('MRE'!$O$10:$O$12,MATCH($F218,'MRE'!$B$10:$B$12,0))),"N/A")</f>
        <v/>
      </c>
      <c r="S218" s="25">
        <f>IFERROR(IF(INDEX('L&amp;R'!$O$10:$O$11,MATCH($F218,'L&amp;R'!$B$10:$B$11,0))="","Cell will autofill based on response",INDEX('L&amp;R'!$O$10:$O$11,MATCH($F218,'L&amp;R'!$B$10:$B$11,0))),"N/A")</f>
        <v/>
      </c>
    </row>
    <row r="219">
      <c r="A219">
        <f>F219&amp;"|"&amp;G219</f>
        <v/>
      </c>
      <c r="B219" s="29" t="inlineStr"/>
      <c r="C219" s="8" t="inlineStr"/>
      <c r="D219" s="8" t="inlineStr"/>
      <c r="E219" s="8" t="inlineStr"/>
      <c r="F219" s="8" t="inlineStr">
        <is>
          <t>EI1(c)</t>
        </is>
      </c>
      <c r="G219" s="8" t="inlineStr">
        <is>
          <t>Data source and limitations</t>
        </is>
      </c>
      <c r="H219" s="25">
        <f>IFERROR(IF(INDEX('Faculties'!$P$10:$P$30,MATCH($F219,'Faculties'!$B$10:$B$30,0))="","Cell will autofill based on response",INDEX('Faculties'!$P$10:$P$30,MATCH($F219,'Faculties'!$B$10:$B$30,0))),"N/A")</f>
        <v/>
      </c>
      <c r="I219" s="25">
        <f>IFERROR(IF(INDEX('Faculties'!$P$37:$P$57,MATCH($F219,'Faculties'!$B$37:$B$57,0))="","Cell will autofill based on response",INDEX('Faculties'!$P$37:$P$57,MATCH($F219,'Faculties'!$B$37:$B$57,0))),"N/A")</f>
        <v/>
      </c>
      <c r="J219" s="25">
        <f>IFERROR(IF(INDEX('Faculties'!$P$64:$P$84,MATCH($F219,'Faculties'!$B$64:$B$84,0))="","Cell will autofill based on response",INDEX('Faculties'!$P$64:$P$84,MATCH($F219,'Faculties'!$B$64:$B$84,0))),"N/A")</f>
        <v/>
      </c>
      <c r="K219" s="25">
        <f>IFERROR(IF(INDEX('Faculties'!$P$91:$P$111,MATCH($F219,'Faculties'!$B$91:$B$111,0))="","Cell will autofill based on response",INDEX('Faculties'!$P$91:$P$111,MATCH($F219,'Faculties'!$B$91:$B$111,0))),"N/A")</f>
        <v/>
      </c>
      <c r="L219" s="25">
        <f>IFERROR(IF(INDEX('CI&amp;S'!$P$10:$P$15,MATCH($F219,'CI&amp;S'!$B$10:$B$15,0))="","Cell will autofill based on response",INDEX('CI&amp;S'!$P$10:$P$15,MATCH($F219,'CI&amp;S'!$B$10:$B$15,0))),"N/A")</f>
        <v/>
      </c>
      <c r="M219" s="25">
        <f>IFERROR(IF(INDEX('CI&amp;S'!$P$22:$P$39,MATCH($F219,'CI&amp;S'!$B$22:$B$39,0))="","Cell will autofill based on response",INDEX('CI&amp;S'!$P$22:$P$39,MATCH($F219,'CI&amp;S'!$B$22:$B$39,0))),"N/A")</f>
        <v/>
      </c>
      <c r="N219" s="25">
        <f>IFERROR(IF(INDEX('CFOG'!$P$10:$P$16,MATCH($F219,'CFOG'!$B$10:$B$16,0))="","Cell will autofill based on response",INDEX('CFOG'!$P$10:$P$16,MATCH($F219,'CFOG'!$B$10:$B$16,0))),"N/A")</f>
        <v/>
      </c>
      <c r="O219" s="25">
        <f>IFERROR(IF(INDEX('CFOG'!$P$23:$P$24,MATCH($F219,'CFOG'!$B$23:$B$24,0))="","Cell will autofill based on response",INDEX('CFOG'!$P$23:$P$24,MATCH($F219,'CFOG'!$B$23:$B$24,0))),"N/A")</f>
        <v/>
      </c>
      <c r="P219" s="25">
        <f>IFERROR(IF(INDEX('ESG'!$P$10:$P$17,MATCH($F219,'ESG'!$B$10:$B$17,0))="","Cell will autofill based on response",INDEX('ESG'!$P$10:$P$17,MATCH($F219,'ESG'!$B$10:$B$17,0))),"N/A")</f>
        <v/>
      </c>
      <c r="Q219" s="25">
        <f>IFERROR(IF(INDEX('CIOG'!$P$10:$P$14,MATCH($F219,'CIOG'!$B$10:$B$14,0))="","Cell will autofill based on response",INDEX('CIOG'!$P$10:$P$14,MATCH($F219,'CIOG'!$B$10:$B$14,0))),"N/A")</f>
        <v/>
      </c>
      <c r="R219" s="25">
        <f>IFERROR(IF(INDEX('MRE'!$P$10:$P$12,MATCH($F219,'MRE'!$B$10:$B$12,0))="","Cell will autofill based on response",INDEX('MRE'!$P$10:$P$12,MATCH($F219,'MRE'!$B$10:$B$12,0))),"N/A")</f>
        <v/>
      </c>
      <c r="S219" s="25">
        <f>IFERROR(IF(INDEX('L&amp;R'!$P$10:$P$11,MATCH($F219,'L&amp;R'!$B$10:$B$11,0))="","Cell will autofill based on response",INDEX('L&amp;R'!$P$10:$P$11,MATCH($F219,'L&amp;R'!$B$10:$B$11,0))),"N/A")</f>
        <v/>
      </c>
    </row>
    <row r="220">
      <c r="A220">
        <f>F220&amp;"|"&amp;G220</f>
        <v/>
      </c>
      <c r="B220" s="29" t="inlineStr"/>
      <c r="C220" s="8" t="inlineStr"/>
      <c r="D220" s="8" t="inlineStr"/>
      <c r="E220" s="8" t="inlineStr"/>
      <c r="F220" s="8" t="inlineStr">
        <is>
          <t>EI1(c)</t>
        </is>
      </c>
      <c r="G220" s="8" t="inlineStr">
        <is>
          <t>Data owner confirms</t>
        </is>
      </c>
      <c r="H220" s="25">
        <f>IFERROR(IF(INDEX('Faculties'!$Q$10:$Q$30,MATCH($F220,'Faculties'!$B$10:$B$30,0))="","Cell will autofill based on response",INDEX('Faculties'!$Q$10:$Q$30,MATCH($F220,'Faculties'!$B$10:$B$30,0))),"N/A")</f>
        <v/>
      </c>
      <c r="I220" s="25">
        <f>IFERROR(IF(INDEX('Faculties'!$Q$37:$Q$57,MATCH($F220,'Faculties'!$B$37:$B$57,0))="","Cell will autofill based on response",INDEX('Faculties'!$Q$37:$Q$57,MATCH($F220,'Faculties'!$B$37:$B$57,0))),"N/A")</f>
        <v/>
      </c>
      <c r="J220" s="25">
        <f>IFERROR(IF(INDEX('Faculties'!$Q$64:$Q$84,MATCH($F220,'Faculties'!$B$64:$B$84,0))="","Cell will autofill based on response",INDEX('Faculties'!$Q$64:$Q$84,MATCH($F220,'Faculties'!$B$64:$B$84,0))),"N/A")</f>
        <v/>
      </c>
      <c r="K220" s="25">
        <f>IFERROR(IF(INDEX('Faculties'!$Q$91:$Q$111,MATCH($F220,'Faculties'!$B$91:$B$111,0))="","Cell will autofill based on response",INDEX('Faculties'!$Q$91:$Q$111,MATCH($F220,'Faculties'!$B$91:$B$111,0))),"N/A")</f>
        <v/>
      </c>
      <c r="L220" s="25">
        <f>IFERROR(IF(INDEX('CI&amp;S'!$Q$10:$Q$15,MATCH($F220,'CI&amp;S'!$B$10:$B$15,0))="","Cell will autofill based on response",INDEX('CI&amp;S'!$Q$10:$Q$15,MATCH($F220,'CI&amp;S'!$B$10:$B$15,0))),"N/A")</f>
        <v/>
      </c>
      <c r="M220" s="25">
        <f>IFERROR(IF(INDEX('CI&amp;S'!$Q$22:$Q$39,MATCH($F220,'CI&amp;S'!$B$22:$B$39,0))="","Cell will autofill based on response",INDEX('CI&amp;S'!$Q$22:$Q$39,MATCH($F220,'CI&amp;S'!$B$22:$B$39,0))),"N/A")</f>
        <v/>
      </c>
      <c r="N220" s="25">
        <f>IFERROR(IF(INDEX('CFOG'!$Q$10:$Q$16,MATCH($F220,'CFOG'!$B$10:$B$16,0))="","Cell will autofill based on response",INDEX('CFOG'!$Q$10:$Q$16,MATCH($F220,'CFOG'!$B$10:$B$16,0))),"N/A")</f>
        <v/>
      </c>
      <c r="O220" s="25">
        <f>IFERROR(IF(INDEX('CFOG'!$Q$23:$Q$24,MATCH($F220,'CFOG'!$B$23:$B$24,0))="","Cell will autofill based on response",INDEX('CFOG'!$Q$23:$Q$24,MATCH($F220,'CFOG'!$B$23:$B$24,0))),"N/A")</f>
        <v/>
      </c>
      <c r="P220" s="25">
        <f>IFERROR(IF(INDEX('ESG'!$Q$10:$Q$17,MATCH($F220,'ESG'!$B$10:$B$17,0))="","Cell will autofill based on response",INDEX('ESG'!$Q$10:$Q$17,MATCH($F220,'ESG'!$B$10:$B$17,0))),"N/A")</f>
        <v/>
      </c>
      <c r="Q220" s="25">
        <f>IFERROR(IF(INDEX('CIOG'!$Q$10:$Q$14,MATCH($F220,'CIOG'!$B$10:$B$14,0))="","Cell will autofill based on response",INDEX('CIOG'!$Q$10:$Q$14,MATCH($F220,'CIOG'!$B$10:$B$14,0))),"N/A")</f>
        <v/>
      </c>
      <c r="R220" s="25">
        <f>IFERROR(IF(INDEX('MRE'!$Q$10:$Q$12,MATCH($F220,'MRE'!$B$10:$B$12,0))="","Cell will autofill based on response",INDEX('MRE'!$Q$10:$Q$12,MATCH($F220,'MRE'!$B$10:$B$12,0))),"N/A")</f>
        <v/>
      </c>
      <c r="S220" s="25">
        <f>IFERROR(IF(INDEX('L&amp;R'!$Q$10:$Q$11,MATCH($F220,'L&amp;R'!$B$10:$B$11,0))="","Cell will autofill based on response",INDEX('L&amp;R'!$Q$10:$Q$11,MATCH($F220,'L&amp;R'!$B$10:$B$11,0))),"N/A")</f>
        <v/>
      </c>
    </row>
    <row r="221">
      <c r="A221">
        <f>F221&amp;"|"&amp;G221</f>
        <v/>
      </c>
      <c r="B221" s="7" t="inlineStr">
        <is>
          <t>EI1(d)</t>
        </is>
      </c>
      <c r="C221" s="12" t="inlineStr">
        <is>
          <t>Estate and infrastructure</t>
        </is>
      </c>
      <c r="D221" s="12" t="inlineStr">
        <is>
          <t>Evidence of understanding and integration of Indigenous approaches to sustainability in estate planning and development programs and projects.</t>
        </is>
      </c>
      <c r="E221"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221" s="12" t="inlineStr">
        <is>
          <t>EI1(d)</t>
        </is>
      </c>
      <c r="G221" s="12" t="inlineStr">
        <is>
          <t>Confirm end-2026 target status</t>
        </is>
      </c>
      <c r="H221" s="25">
        <f>IFERROR(IF(INDEX('Faculties'!$L$10:$L$30,MATCH($F221,'Faculties'!$B$10:$B$30,0))="","Cell will autofill based on response",INDEX('Faculties'!$L$10:$L$30,MATCH($F221,'Faculties'!$B$10:$B$30,0))),"N/A")</f>
        <v/>
      </c>
      <c r="I221" s="25">
        <f>IFERROR(IF(INDEX('Faculties'!$L$37:$L$57,MATCH($F221,'Faculties'!$B$37:$B$57,0))="","Cell will autofill based on response",INDEX('Faculties'!$L$37:$L$57,MATCH($F221,'Faculties'!$B$37:$B$57,0))),"N/A")</f>
        <v/>
      </c>
      <c r="J221" s="25">
        <f>IFERROR(IF(INDEX('Faculties'!$L$64:$L$84,MATCH($F221,'Faculties'!$B$64:$B$84,0))="","Cell will autofill based on response",INDEX('Faculties'!$L$64:$L$84,MATCH($F221,'Faculties'!$B$64:$B$84,0))),"N/A")</f>
        <v/>
      </c>
      <c r="K221" s="25">
        <f>IFERROR(IF(INDEX('Faculties'!$L$91:$L$111,MATCH($F221,'Faculties'!$B$91:$B$111,0))="","Cell will autofill based on response",INDEX('Faculties'!$L$91:$L$111,MATCH($F221,'Faculties'!$B$91:$B$111,0))),"N/A")</f>
        <v/>
      </c>
      <c r="L221" s="25">
        <f>IFERROR(IF(INDEX('CI&amp;S'!$L$10:$L$15,MATCH($F221,'CI&amp;S'!$B$10:$B$15,0))="","Cell will autofill based on response",INDEX('CI&amp;S'!$L$10:$L$15,MATCH($F221,'CI&amp;S'!$B$10:$B$15,0))),"N/A")</f>
        <v/>
      </c>
      <c r="M221" s="25">
        <f>IFERROR(IF(INDEX('CI&amp;S'!$L$22:$L$39,MATCH($F221,'CI&amp;S'!$B$22:$B$39,0))="","Cell will autofill based on response",INDEX('CI&amp;S'!$L$22:$L$39,MATCH($F221,'CI&amp;S'!$B$22:$B$39,0))),"N/A")</f>
        <v/>
      </c>
      <c r="N221" s="25">
        <f>IFERROR(IF(INDEX('CFOG'!$L$10:$L$16,MATCH($F221,'CFOG'!$B$10:$B$16,0))="","Cell will autofill based on response",INDEX('CFOG'!$L$10:$L$16,MATCH($F221,'CFOG'!$B$10:$B$16,0))),"N/A")</f>
        <v/>
      </c>
      <c r="O221" s="25">
        <f>IFERROR(IF(INDEX('CFOG'!$L$23:$L$24,MATCH($F221,'CFOG'!$B$23:$B$24,0))="","Cell will autofill based on response",INDEX('CFOG'!$L$23:$L$24,MATCH($F221,'CFOG'!$B$23:$B$24,0))),"N/A")</f>
        <v/>
      </c>
      <c r="P221" s="25">
        <f>IFERROR(IF(INDEX('ESG'!$L$10:$L$17,MATCH($F221,'ESG'!$B$10:$B$17,0))="","Cell will autofill based on response",INDEX('ESG'!$L$10:$L$17,MATCH($F221,'ESG'!$B$10:$B$17,0))),"N/A")</f>
        <v/>
      </c>
      <c r="Q221" s="25">
        <f>IFERROR(IF(INDEX('CIOG'!$L$10:$L$14,MATCH($F221,'CIOG'!$B$10:$B$14,0))="","Cell will autofill based on response",INDEX('CIOG'!$L$10:$L$14,MATCH($F221,'CIOG'!$B$10:$B$14,0))),"N/A")</f>
        <v/>
      </c>
      <c r="R221" s="25">
        <f>IFERROR(IF(INDEX('MRE'!$L$10:$L$12,MATCH($F221,'MRE'!$B$10:$B$12,0))="","Cell will autofill based on response",INDEX('MRE'!$L$10:$L$12,MATCH($F221,'MRE'!$B$10:$B$12,0))),"N/A")</f>
        <v/>
      </c>
      <c r="S221" s="25">
        <f>IFERROR(IF(INDEX('L&amp;R'!$L$10:$L$11,MATCH($F221,'L&amp;R'!$B$10:$B$11,0))="","Cell will autofill based on response",INDEX('L&amp;R'!$L$10:$L$11,MATCH($F221,'L&amp;R'!$B$10:$B$11,0))),"N/A")</f>
        <v/>
      </c>
      <c r="U221" s="26">
        <f>COUNTIF($H221:$S221,"Cell will autofill based on response")</f>
        <v/>
      </c>
      <c r="V221" s="26">
        <f>COUNTIF($H221:$S221,"Not yet started")</f>
        <v/>
      </c>
      <c r="W221" s="26">
        <f>COUNTIF($H221:$S221,"Not met")</f>
        <v/>
      </c>
      <c r="X221" s="26">
        <f>COUNTIF($H221:$S221,"Partially met")</f>
        <v/>
      </c>
      <c r="Y221" s="26">
        <f>COUNTIF($H221:$S221,"Met or exceeded")</f>
        <v/>
      </c>
      <c r="Z221" s="26">
        <f>3*Y221+2*X221+W221</f>
        <v/>
      </c>
      <c r="AA221" s="26">
        <f>Y221+X221+W221+V221</f>
        <v/>
      </c>
      <c r="AB221" s="27">
        <f>IF(AA221&gt;0,Z221/AA221,"No valid responses to date")</f>
        <v/>
      </c>
      <c r="AC221" s="26">
        <f>IF(ISNUMBER(AB221),INDEX(Lists!$G$2:$G$5,MATCH(ROUND(AB221,0),Lists!$H$2:$H$5,0)),"")</f>
        <v/>
      </c>
      <c r="AD221" s="28">
        <f>IF(AA221&gt;0,Y221/AA221,"")</f>
        <v/>
      </c>
      <c r="AE221" s="28">
        <f>IF(AA221&gt;0,(Y221+X221)/AA221,"")</f>
        <v/>
      </c>
      <c r="AF221" s="26">
        <f>IF(AA221=0,"",IF(AD221&gt;0.75,"Met or exceeded",IF(AE221&gt;=0.5,"Partially met","Not met")))</f>
        <v/>
      </c>
    </row>
    <row r="222">
      <c r="A222">
        <f>F222&amp;"|"&amp;G222</f>
        <v/>
      </c>
      <c r="B222" s="29" t="inlineStr"/>
      <c r="C222" s="8" t="inlineStr"/>
      <c r="D222" s="8" t="inlineStr"/>
      <c r="E222" s="8" t="inlineStr"/>
      <c r="F222" s="8" t="inlineStr">
        <is>
          <t>EI1(d)</t>
        </is>
      </c>
      <c r="G222" s="8" t="inlineStr">
        <is>
          <t>OPTION 1:  Target-level reporting</t>
        </is>
      </c>
      <c r="H222" s="25">
        <f>IFERROR(IF(INDEX('Faculties'!$M$10:$M$30,MATCH($F222,'Faculties'!$B$10:$B$30,0))="","Cell will autofill based on response",INDEX('Faculties'!$M$10:$M$30,MATCH($F222,'Faculties'!$B$10:$B$30,0))),"N/A")</f>
        <v/>
      </c>
      <c r="I222" s="25">
        <f>IFERROR(IF(INDEX('Faculties'!$M$37:$M$57,MATCH($F222,'Faculties'!$B$37:$B$57,0))="","Cell will autofill based on response",INDEX('Faculties'!$M$37:$M$57,MATCH($F222,'Faculties'!$B$37:$B$57,0))),"N/A")</f>
        <v/>
      </c>
      <c r="J222" s="25">
        <f>IFERROR(IF(INDEX('Faculties'!$M$64:$M$84,MATCH($F222,'Faculties'!$B$64:$B$84,0))="","Cell will autofill based on response",INDEX('Faculties'!$M$64:$M$84,MATCH($F222,'Faculties'!$B$64:$B$84,0))),"N/A")</f>
        <v/>
      </c>
      <c r="K222" s="25">
        <f>IFERROR(IF(INDEX('Faculties'!$M$91:$M$111,MATCH($F222,'Faculties'!$B$91:$B$111,0))="","Cell will autofill based on response",INDEX('Faculties'!$M$91:$M$111,MATCH($F222,'Faculties'!$B$91:$B$111,0))),"N/A")</f>
        <v/>
      </c>
      <c r="L222" s="25">
        <f>IFERROR(IF(INDEX('CI&amp;S'!$M$10:$M$15,MATCH($F222,'CI&amp;S'!$B$10:$B$15,0))="","Cell will autofill based on response",INDEX('CI&amp;S'!$M$10:$M$15,MATCH($F222,'CI&amp;S'!$B$10:$B$15,0))),"N/A")</f>
        <v/>
      </c>
      <c r="M222" s="25">
        <f>IFERROR(IF(INDEX('CI&amp;S'!$M$22:$M$39,MATCH($F222,'CI&amp;S'!$B$22:$B$39,0))="","Cell will autofill based on response",INDEX('CI&amp;S'!$M$22:$M$39,MATCH($F222,'CI&amp;S'!$B$22:$B$39,0))),"N/A")</f>
        <v/>
      </c>
      <c r="N222" s="25">
        <f>IFERROR(IF(INDEX('CFOG'!$M$10:$M$16,MATCH($F222,'CFOG'!$B$10:$B$16,0))="","Cell will autofill based on response",INDEX('CFOG'!$M$10:$M$16,MATCH($F222,'CFOG'!$B$10:$B$16,0))),"N/A")</f>
        <v/>
      </c>
      <c r="O222" s="25">
        <f>IFERROR(IF(INDEX('CFOG'!$M$23:$M$24,MATCH($F222,'CFOG'!$B$23:$B$24,0))="","Cell will autofill based on response",INDEX('CFOG'!$M$23:$M$24,MATCH($F222,'CFOG'!$B$23:$B$24,0))),"N/A")</f>
        <v/>
      </c>
      <c r="P222" s="25">
        <f>IFERROR(IF(INDEX('ESG'!$M$10:$M$17,MATCH($F222,'ESG'!$B$10:$B$17,0))="","Cell will autofill based on response",INDEX('ESG'!$M$10:$M$17,MATCH($F222,'ESG'!$B$10:$B$17,0))),"N/A")</f>
        <v/>
      </c>
      <c r="Q222" s="25">
        <f>IFERROR(IF(INDEX('CIOG'!$M$10:$M$14,MATCH($F222,'CIOG'!$B$10:$B$14,0))="","Cell will autofill based on response",INDEX('CIOG'!$M$10:$M$14,MATCH($F222,'CIOG'!$B$10:$B$14,0))),"N/A")</f>
        <v/>
      </c>
      <c r="R222" s="25">
        <f>IFERROR(IF(INDEX('MRE'!$M$10:$M$12,MATCH($F222,'MRE'!$B$10:$B$12,0))="","Cell will autofill based on response",INDEX('MRE'!$M$10:$M$12,MATCH($F222,'MRE'!$B$10:$B$12,0))),"N/A")</f>
        <v/>
      </c>
      <c r="S222" s="25">
        <f>IFERROR(IF(INDEX('L&amp;R'!$M$10:$M$11,MATCH($F222,'L&amp;R'!$B$10:$B$11,0))="","Cell will autofill based on response",INDEX('L&amp;R'!$M$10:$M$11,MATCH($F222,'L&amp;R'!$B$10:$B$11,0))),"N/A")</f>
        <v/>
      </c>
    </row>
    <row r="223">
      <c r="A223">
        <f>F223&amp;"|"&amp;G223</f>
        <v/>
      </c>
      <c r="B223" s="29" t="inlineStr"/>
      <c r="C223" s="8" t="inlineStr"/>
      <c r="D223" s="8" t="inlineStr"/>
      <c r="E223" s="8" t="inlineStr"/>
      <c r="F223" s="8" t="inlineStr">
        <is>
          <t>EI1(d)</t>
        </is>
      </c>
      <c r="G223" s="8" t="inlineStr">
        <is>
          <t>OPTION 2:  Indicator level reporting</t>
        </is>
      </c>
      <c r="H223" s="25">
        <f>IFERROR(IF(INDEX('Faculties'!$N$10:$N$30,MATCH($F223,'Faculties'!$B$10:$B$30,0))="","Cell will autofill based on response",INDEX('Faculties'!$N$10:$N$30,MATCH($F223,'Faculties'!$B$10:$B$30,0))),"N/A")</f>
        <v/>
      </c>
      <c r="I223" s="25">
        <f>IFERROR(IF(INDEX('Faculties'!$N$37:$N$57,MATCH($F223,'Faculties'!$B$37:$B$57,0))="","Cell will autofill based on response",INDEX('Faculties'!$N$37:$N$57,MATCH($F223,'Faculties'!$B$37:$B$57,0))),"N/A")</f>
        <v/>
      </c>
      <c r="J223" s="25">
        <f>IFERROR(IF(INDEX('Faculties'!$N$64:$N$84,MATCH($F223,'Faculties'!$B$64:$B$84,0))="","Cell will autofill based on response",INDEX('Faculties'!$N$64:$N$84,MATCH($F223,'Faculties'!$B$64:$B$84,0))),"N/A")</f>
        <v/>
      </c>
      <c r="K223" s="25">
        <f>IFERROR(IF(INDEX('Faculties'!$N$91:$N$111,MATCH($F223,'Faculties'!$B$91:$B$111,0))="","Cell will autofill based on response",INDEX('Faculties'!$N$91:$N$111,MATCH($F223,'Faculties'!$B$91:$B$111,0))),"N/A")</f>
        <v/>
      </c>
      <c r="L223" s="25">
        <f>IFERROR(IF(INDEX('CI&amp;S'!$N$10:$N$15,MATCH($F223,'CI&amp;S'!$B$10:$B$15,0))="","Cell will autofill based on response",INDEX('CI&amp;S'!$N$10:$N$15,MATCH($F223,'CI&amp;S'!$B$10:$B$15,0))),"N/A")</f>
        <v/>
      </c>
      <c r="M223" s="25">
        <f>IFERROR(IF(INDEX('CI&amp;S'!$N$22:$N$39,MATCH($F223,'CI&amp;S'!$B$22:$B$39,0))="","Cell will autofill based on response",INDEX('CI&amp;S'!$N$22:$N$39,MATCH($F223,'CI&amp;S'!$B$22:$B$39,0))),"N/A")</f>
        <v/>
      </c>
      <c r="N223" s="25">
        <f>IFERROR(IF(INDEX('CFOG'!$N$10:$N$16,MATCH($F223,'CFOG'!$B$10:$B$16,0))="","Cell will autofill based on response",INDEX('CFOG'!$N$10:$N$16,MATCH($F223,'CFOG'!$B$10:$B$16,0))),"N/A")</f>
        <v/>
      </c>
      <c r="O223" s="25">
        <f>IFERROR(IF(INDEX('CFOG'!$N$23:$N$24,MATCH($F223,'CFOG'!$B$23:$B$24,0))="","Cell will autofill based on response",INDEX('CFOG'!$N$23:$N$24,MATCH($F223,'CFOG'!$B$23:$B$24,0))),"N/A")</f>
        <v/>
      </c>
      <c r="P223" s="25">
        <f>IFERROR(IF(INDEX('ESG'!$N$10:$N$17,MATCH($F223,'ESG'!$B$10:$B$17,0))="","Cell will autofill based on response",INDEX('ESG'!$N$10:$N$17,MATCH($F223,'ESG'!$B$10:$B$17,0))),"N/A")</f>
        <v/>
      </c>
      <c r="Q223" s="25">
        <f>IFERROR(IF(INDEX('CIOG'!$N$10:$N$14,MATCH($F223,'CIOG'!$B$10:$B$14,0))="","Cell will autofill based on response",INDEX('CIOG'!$N$10:$N$14,MATCH($F223,'CIOG'!$B$10:$B$14,0))),"N/A")</f>
        <v/>
      </c>
      <c r="R223" s="25">
        <f>IFERROR(IF(INDEX('MRE'!$N$10:$N$12,MATCH($F223,'MRE'!$B$10:$B$12,0))="","Cell will autofill based on response",INDEX('MRE'!$N$10:$N$12,MATCH($F223,'MRE'!$B$10:$B$12,0))),"N/A")</f>
        <v/>
      </c>
      <c r="S223" s="25">
        <f>IFERROR(IF(INDEX('L&amp;R'!$N$10:$N$11,MATCH($F223,'L&amp;R'!$B$10:$B$11,0))="","Cell will autofill based on response",INDEX('L&amp;R'!$N$10:$N$11,MATCH($F223,'L&amp;R'!$B$10:$B$11,0))),"N/A")</f>
        <v/>
      </c>
    </row>
    <row r="224">
      <c r="A224">
        <f>F224&amp;"|"&amp;G224</f>
        <v/>
      </c>
      <c r="B224" s="29" t="inlineStr"/>
      <c r="C224" s="8" t="inlineStr"/>
      <c r="D224" s="8" t="inlineStr"/>
      <c r="E224" s="8" t="inlineStr"/>
      <c r="F224" s="8" t="inlineStr">
        <is>
          <t>EI1(d)</t>
        </is>
      </c>
      <c r="G224" s="8" t="inlineStr">
        <is>
          <t>Supporting information/comments</t>
        </is>
      </c>
      <c r="H224" s="25">
        <f>IFERROR(IF(INDEX('Faculties'!$O$10:$O$30,MATCH($F224,'Faculties'!$B$10:$B$30,0))="","Cell will autofill based on response",INDEX('Faculties'!$O$10:$O$30,MATCH($F224,'Faculties'!$B$10:$B$30,0))),"N/A")</f>
        <v/>
      </c>
      <c r="I224" s="25">
        <f>IFERROR(IF(INDEX('Faculties'!$O$37:$O$57,MATCH($F224,'Faculties'!$B$37:$B$57,0))="","Cell will autofill based on response",INDEX('Faculties'!$O$37:$O$57,MATCH($F224,'Faculties'!$B$37:$B$57,0))),"N/A")</f>
        <v/>
      </c>
      <c r="J224" s="25">
        <f>IFERROR(IF(INDEX('Faculties'!$O$64:$O$84,MATCH($F224,'Faculties'!$B$64:$B$84,0))="","Cell will autofill based on response",INDEX('Faculties'!$O$64:$O$84,MATCH($F224,'Faculties'!$B$64:$B$84,0))),"N/A")</f>
        <v/>
      </c>
      <c r="K224" s="25">
        <f>IFERROR(IF(INDEX('Faculties'!$O$91:$O$111,MATCH($F224,'Faculties'!$B$91:$B$111,0))="","Cell will autofill based on response",INDEX('Faculties'!$O$91:$O$111,MATCH($F224,'Faculties'!$B$91:$B$111,0))),"N/A")</f>
        <v/>
      </c>
      <c r="L224" s="25">
        <f>IFERROR(IF(INDEX('CI&amp;S'!$O$10:$O$15,MATCH($F224,'CI&amp;S'!$B$10:$B$15,0))="","Cell will autofill based on response",INDEX('CI&amp;S'!$O$10:$O$15,MATCH($F224,'CI&amp;S'!$B$10:$B$15,0))),"N/A")</f>
        <v/>
      </c>
      <c r="M224" s="25">
        <f>IFERROR(IF(INDEX('CI&amp;S'!$O$22:$O$39,MATCH($F224,'CI&amp;S'!$B$22:$B$39,0))="","Cell will autofill based on response",INDEX('CI&amp;S'!$O$22:$O$39,MATCH($F224,'CI&amp;S'!$B$22:$B$39,0))),"N/A")</f>
        <v/>
      </c>
      <c r="N224" s="25">
        <f>IFERROR(IF(INDEX('CFOG'!$O$10:$O$16,MATCH($F224,'CFOG'!$B$10:$B$16,0))="","Cell will autofill based on response",INDEX('CFOG'!$O$10:$O$16,MATCH($F224,'CFOG'!$B$10:$B$16,0))),"N/A")</f>
        <v/>
      </c>
      <c r="O224" s="25">
        <f>IFERROR(IF(INDEX('CFOG'!$O$23:$O$24,MATCH($F224,'CFOG'!$B$23:$B$24,0))="","Cell will autofill based on response",INDEX('CFOG'!$O$23:$O$24,MATCH($F224,'CFOG'!$B$23:$B$24,0))),"N/A")</f>
        <v/>
      </c>
      <c r="P224" s="25">
        <f>IFERROR(IF(INDEX('ESG'!$O$10:$O$17,MATCH($F224,'ESG'!$B$10:$B$17,0))="","Cell will autofill based on response",INDEX('ESG'!$O$10:$O$17,MATCH($F224,'ESG'!$B$10:$B$17,0))),"N/A")</f>
        <v/>
      </c>
      <c r="Q224" s="25">
        <f>IFERROR(IF(INDEX('CIOG'!$O$10:$O$14,MATCH($F224,'CIOG'!$B$10:$B$14,0))="","Cell will autofill based on response",INDEX('CIOG'!$O$10:$O$14,MATCH($F224,'CIOG'!$B$10:$B$14,0))),"N/A")</f>
        <v/>
      </c>
      <c r="R224" s="25">
        <f>IFERROR(IF(INDEX('MRE'!$O$10:$O$12,MATCH($F224,'MRE'!$B$10:$B$12,0))="","Cell will autofill based on response",INDEX('MRE'!$O$10:$O$12,MATCH($F224,'MRE'!$B$10:$B$12,0))),"N/A")</f>
        <v/>
      </c>
      <c r="S224" s="25">
        <f>IFERROR(IF(INDEX('L&amp;R'!$O$10:$O$11,MATCH($F224,'L&amp;R'!$B$10:$B$11,0))="","Cell will autofill based on response",INDEX('L&amp;R'!$O$10:$O$11,MATCH($F224,'L&amp;R'!$B$10:$B$11,0))),"N/A")</f>
        <v/>
      </c>
    </row>
    <row r="225">
      <c r="A225">
        <f>F225&amp;"|"&amp;G225</f>
        <v/>
      </c>
      <c r="B225" s="29" t="inlineStr"/>
      <c r="C225" s="8" t="inlineStr"/>
      <c r="D225" s="8" t="inlineStr"/>
      <c r="E225" s="8" t="inlineStr"/>
      <c r="F225" s="8" t="inlineStr">
        <is>
          <t>EI1(d)</t>
        </is>
      </c>
      <c r="G225" s="8" t="inlineStr">
        <is>
          <t>Data source and limitations</t>
        </is>
      </c>
      <c r="H225" s="25">
        <f>IFERROR(IF(INDEX('Faculties'!$P$10:$P$30,MATCH($F225,'Faculties'!$B$10:$B$30,0))="","Cell will autofill based on response",INDEX('Faculties'!$P$10:$P$30,MATCH($F225,'Faculties'!$B$10:$B$30,0))),"N/A")</f>
        <v/>
      </c>
      <c r="I225" s="25">
        <f>IFERROR(IF(INDEX('Faculties'!$P$37:$P$57,MATCH($F225,'Faculties'!$B$37:$B$57,0))="","Cell will autofill based on response",INDEX('Faculties'!$P$37:$P$57,MATCH($F225,'Faculties'!$B$37:$B$57,0))),"N/A")</f>
        <v/>
      </c>
      <c r="J225" s="25">
        <f>IFERROR(IF(INDEX('Faculties'!$P$64:$P$84,MATCH($F225,'Faculties'!$B$64:$B$84,0))="","Cell will autofill based on response",INDEX('Faculties'!$P$64:$P$84,MATCH($F225,'Faculties'!$B$64:$B$84,0))),"N/A")</f>
        <v/>
      </c>
      <c r="K225" s="25">
        <f>IFERROR(IF(INDEX('Faculties'!$P$91:$P$111,MATCH($F225,'Faculties'!$B$91:$B$111,0))="","Cell will autofill based on response",INDEX('Faculties'!$P$91:$P$111,MATCH($F225,'Faculties'!$B$91:$B$111,0))),"N/A")</f>
        <v/>
      </c>
      <c r="L225" s="25">
        <f>IFERROR(IF(INDEX('CI&amp;S'!$P$10:$P$15,MATCH($F225,'CI&amp;S'!$B$10:$B$15,0))="","Cell will autofill based on response",INDEX('CI&amp;S'!$P$10:$P$15,MATCH($F225,'CI&amp;S'!$B$10:$B$15,0))),"N/A")</f>
        <v/>
      </c>
      <c r="M225" s="25">
        <f>IFERROR(IF(INDEX('CI&amp;S'!$P$22:$P$39,MATCH($F225,'CI&amp;S'!$B$22:$B$39,0))="","Cell will autofill based on response",INDEX('CI&amp;S'!$P$22:$P$39,MATCH($F225,'CI&amp;S'!$B$22:$B$39,0))),"N/A")</f>
        <v/>
      </c>
      <c r="N225" s="25">
        <f>IFERROR(IF(INDEX('CFOG'!$P$10:$P$16,MATCH($F225,'CFOG'!$B$10:$B$16,0))="","Cell will autofill based on response",INDEX('CFOG'!$P$10:$P$16,MATCH($F225,'CFOG'!$B$10:$B$16,0))),"N/A")</f>
        <v/>
      </c>
      <c r="O225" s="25">
        <f>IFERROR(IF(INDEX('CFOG'!$P$23:$P$24,MATCH($F225,'CFOG'!$B$23:$B$24,0))="","Cell will autofill based on response",INDEX('CFOG'!$P$23:$P$24,MATCH($F225,'CFOG'!$B$23:$B$24,0))),"N/A")</f>
        <v/>
      </c>
      <c r="P225" s="25">
        <f>IFERROR(IF(INDEX('ESG'!$P$10:$P$17,MATCH($F225,'ESG'!$B$10:$B$17,0))="","Cell will autofill based on response",INDEX('ESG'!$P$10:$P$17,MATCH($F225,'ESG'!$B$10:$B$17,0))),"N/A")</f>
        <v/>
      </c>
      <c r="Q225" s="25">
        <f>IFERROR(IF(INDEX('CIOG'!$P$10:$P$14,MATCH($F225,'CIOG'!$B$10:$B$14,0))="","Cell will autofill based on response",INDEX('CIOG'!$P$10:$P$14,MATCH($F225,'CIOG'!$B$10:$B$14,0))),"N/A")</f>
        <v/>
      </c>
      <c r="R225" s="25">
        <f>IFERROR(IF(INDEX('MRE'!$P$10:$P$12,MATCH($F225,'MRE'!$B$10:$B$12,0))="","Cell will autofill based on response",INDEX('MRE'!$P$10:$P$12,MATCH($F225,'MRE'!$B$10:$B$12,0))),"N/A")</f>
        <v/>
      </c>
      <c r="S225" s="25">
        <f>IFERROR(IF(INDEX('L&amp;R'!$P$10:$P$11,MATCH($F225,'L&amp;R'!$B$10:$B$11,0))="","Cell will autofill based on response",INDEX('L&amp;R'!$P$10:$P$11,MATCH($F225,'L&amp;R'!$B$10:$B$11,0))),"N/A")</f>
        <v/>
      </c>
    </row>
    <row r="226">
      <c r="A226">
        <f>F226&amp;"|"&amp;G226</f>
        <v/>
      </c>
      <c r="B226" s="29" t="inlineStr"/>
      <c r="C226" s="8" t="inlineStr"/>
      <c r="D226" s="8" t="inlineStr"/>
      <c r="E226" s="8" t="inlineStr"/>
      <c r="F226" s="8" t="inlineStr">
        <is>
          <t>EI1(d)</t>
        </is>
      </c>
      <c r="G226" s="8" t="inlineStr">
        <is>
          <t>Data owner confirms</t>
        </is>
      </c>
      <c r="H226" s="25">
        <f>IFERROR(IF(INDEX('Faculties'!$Q$10:$Q$30,MATCH($F226,'Faculties'!$B$10:$B$30,0))="","Cell will autofill based on response",INDEX('Faculties'!$Q$10:$Q$30,MATCH($F226,'Faculties'!$B$10:$B$30,0))),"N/A")</f>
        <v/>
      </c>
      <c r="I226" s="25">
        <f>IFERROR(IF(INDEX('Faculties'!$Q$37:$Q$57,MATCH($F226,'Faculties'!$B$37:$B$57,0))="","Cell will autofill based on response",INDEX('Faculties'!$Q$37:$Q$57,MATCH($F226,'Faculties'!$B$37:$B$57,0))),"N/A")</f>
        <v/>
      </c>
      <c r="J226" s="25">
        <f>IFERROR(IF(INDEX('Faculties'!$Q$64:$Q$84,MATCH($F226,'Faculties'!$B$64:$B$84,0))="","Cell will autofill based on response",INDEX('Faculties'!$Q$64:$Q$84,MATCH($F226,'Faculties'!$B$64:$B$84,0))),"N/A")</f>
        <v/>
      </c>
      <c r="K226" s="25">
        <f>IFERROR(IF(INDEX('Faculties'!$Q$91:$Q$111,MATCH($F226,'Faculties'!$B$91:$B$111,0))="","Cell will autofill based on response",INDEX('Faculties'!$Q$91:$Q$111,MATCH($F226,'Faculties'!$B$91:$B$111,0))),"N/A")</f>
        <v/>
      </c>
      <c r="L226" s="25">
        <f>IFERROR(IF(INDEX('CI&amp;S'!$Q$10:$Q$15,MATCH($F226,'CI&amp;S'!$B$10:$B$15,0))="","Cell will autofill based on response",INDEX('CI&amp;S'!$Q$10:$Q$15,MATCH($F226,'CI&amp;S'!$B$10:$B$15,0))),"N/A")</f>
        <v/>
      </c>
      <c r="M226" s="25">
        <f>IFERROR(IF(INDEX('CI&amp;S'!$Q$22:$Q$39,MATCH($F226,'CI&amp;S'!$B$22:$B$39,0))="","Cell will autofill based on response",INDEX('CI&amp;S'!$Q$22:$Q$39,MATCH($F226,'CI&amp;S'!$B$22:$B$39,0))),"N/A")</f>
        <v/>
      </c>
      <c r="N226" s="25">
        <f>IFERROR(IF(INDEX('CFOG'!$Q$10:$Q$16,MATCH($F226,'CFOG'!$B$10:$B$16,0))="","Cell will autofill based on response",INDEX('CFOG'!$Q$10:$Q$16,MATCH($F226,'CFOG'!$B$10:$B$16,0))),"N/A")</f>
        <v/>
      </c>
      <c r="O226" s="25">
        <f>IFERROR(IF(INDEX('CFOG'!$Q$23:$Q$24,MATCH($F226,'CFOG'!$B$23:$B$24,0))="","Cell will autofill based on response",INDEX('CFOG'!$Q$23:$Q$24,MATCH($F226,'CFOG'!$B$23:$B$24,0))),"N/A")</f>
        <v/>
      </c>
      <c r="P226" s="25">
        <f>IFERROR(IF(INDEX('ESG'!$Q$10:$Q$17,MATCH($F226,'ESG'!$B$10:$B$17,0))="","Cell will autofill based on response",INDEX('ESG'!$Q$10:$Q$17,MATCH($F226,'ESG'!$B$10:$B$17,0))),"N/A")</f>
        <v/>
      </c>
      <c r="Q226" s="25">
        <f>IFERROR(IF(INDEX('CIOG'!$Q$10:$Q$14,MATCH($F226,'CIOG'!$B$10:$B$14,0))="","Cell will autofill based on response",INDEX('CIOG'!$Q$10:$Q$14,MATCH($F226,'CIOG'!$B$10:$B$14,0))),"N/A")</f>
        <v/>
      </c>
      <c r="R226" s="25">
        <f>IFERROR(IF(INDEX('MRE'!$Q$10:$Q$12,MATCH($F226,'MRE'!$B$10:$B$12,0))="","Cell will autofill based on response",INDEX('MRE'!$Q$10:$Q$12,MATCH($F226,'MRE'!$B$10:$B$12,0))),"N/A")</f>
        <v/>
      </c>
      <c r="S226" s="25">
        <f>IFERROR(IF(INDEX('L&amp;R'!$Q$10:$Q$11,MATCH($F226,'L&amp;R'!$B$10:$B$11,0))="","Cell will autofill based on response",INDEX('L&amp;R'!$Q$10:$Q$11,MATCH($F226,'L&amp;R'!$B$10:$B$11,0))),"N/A")</f>
        <v/>
      </c>
    </row>
    <row r="227">
      <c r="A227">
        <f>F227&amp;"|"&amp;G227</f>
        <v/>
      </c>
      <c r="B227" s="7" t="inlineStr">
        <is>
          <t>CE1(a)</t>
        </is>
      </c>
      <c r="C227" s="12" t="inlineStr">
        <is>
          <t>Circular economy</t>
        </is>
      </c>
      <c r="D227" s="12" t="inlineStr">
        <is>
          <t>Comparison of year-to-year tonnes of waste (absolute).</t>
        </is>
      </c>
      <c r="E227" s="12" t="inlineStr">
        <is>
          <t>tonnes of waste; % change against previous baseline</t>
        </is>
      </c>
      <c r="F227" s="12" t="inlineStr">
        <is>
          <t>CE1(a)</t>
        </is>
      </c>
      <c r="G227" s="12" t="inlineStr">
        <is>
          <t>Confirm end-2026 target status</t>
        </is>
      </c>
      <c r="H227" s="25">
        <f>IFERROR(IF(INDEX('Faculties'!$L$10:$L$30,MATCH($F227,'Faculties'!$B$10:$B$30,0))="","Cell will autofill based on response",INDEX('Faculties'!$L$10:$L$30,MATCH($F227,'Faculties'!$B$10:$B$30,0))),"N/A")</f>
        <v/>
      </c>
      <c r="I227" s="25">
        <f>IFERROR(IF(INDEX('Faculties'!$L$37:$L$57,MATCH($F227,'Faculties'!$B$37:$B$57,0))="","Cell will autofill based on response",INDEX('Faculties'!$L$37:$L$57,MATCH($F227,'Faculties'!$B$37:$B$57,0))),"N/A")</f>
        <v/>
      </c>
      <c r="J227" s="25">
        <f>IFERROR(IF(INDEX('Faculties'!$L$64:$L$84,MATCH($F227,'Faculties'!$B$64:$B$84,0))="","Cell will autofill based on response",INDEX('Faculties'!$L$64:$L$84,MATCH($F227,'Faculties'!$B$64:$B$84,0))),"N/A")</f>
        <v/>
      </c>
      <c r="K227" s="25">
        <f>IFERROR(IF(INDEX('Faculties'!$L$91:$L$111,MATCH($F227,'Faculties'!$B$91:$B$111,0))="","Cell will autofill based on response",INDEX('Faculties'!$L$91:$L$111,MATCH($F227,'Faculties'!$B$91:$B$111,0))),"N/A")</f>
        <v/>
      </c>
      <c r="L227" s="25">
        <f>IFERROR(IF(INDEX('CI&amp;S'!$L$10:$L$15,MATCH($F227,'CI&amp;S'!$B$10:$B$15,0))="","Cell will autofill based on response",INDEX('CI&amp;S'!$L$10:$L$15,MATCH($F227,'CI&amp;S'!$B$10:$B$15,0))),"N/A")</f>
        <v/>
      </c>
      <c r="M227" s="25">
        <f>IFERROR(IF(INDEX('CI&amp;S'!$L$22:$L$39,MATCH($F227,'CI&amp;S'!$B$22:$B$39,0))="","Cell will autofill based on response",INDEX('CI&amp;S'!$L$22:$L$39,MATCH($F227,'CI&amp;S'!$B$22:$B$39,0))),"N/A")</f>
        <v/>
      </c>
      <c r="N227" s="25">
        <f>IFERROR(IF(INDEX('CFOG'!$L$10:$L$16,MATCH($F227,'CFOG'!$B$10:$B$16,0))="","Cell will autofill based on response",INDEX('CFOG'!$L$10:$L$16,MATCH($F227,'CFOG'!$B$10:$B$16,0))),"N/A")</f>
        <v/>
      </c>
      <c r="O227" s="25">
        <f>IFERROR(IF(INDEX('CFOG'!$L$23:$L$24,MATCH($F227,'CFOG'!$B$23:$B$24,0))="","Cell will autofill based on response",INDEX('CFOG'!$L$23:$L$24,MATCH($F227,'CFOG'!$B$23:$B$24,0))),"N/A")</f>
        <v/>
      </c>
      <c r="P227" s="25">
        <f>IFERROR(IF(INDEX('ESG'!$L$10:$L$17,MATCH($F227,'ESG'!$B$10:$B$17,0))="","Cell will autofill based on response",INDEX('ESG'!$L$10:$L$17,MATCH($F227,'ESG'!$B$10:$B$17,0))),"N/A")</f>
        <v/>
      </c>
      <c r="Q227" s="25">
        <f>IFERROR(IF(INDEX('CIOG'!$L$10:$L$14,MATCH($F227,'CIOG'!$B$10:$B$14,0))="","Cell will autofill based on response",INDEX('CIOG'!$L$10:$L$14,MATCH($F227,'CIOG'!$B$10:$B$14,0))),"N/A")</f>
        <v/>
      </c>
      <c r="R227" s="25">
        <f>IFERROR(IF(INDEX('MRE'!$L$10:$L$12,MATCH($F227,'MRE'!$B$10:$B$12,0))="","Cell will autofill based on response",INDEX('MRE'!$L$10:$L$12,MATCH($F227,'MRE'!$B$10:$B$12,0))),"N/A")</f>
        <v/>
      </c>
      <c r="S227" s="25">
        <f>IFERROR(IF(INDEX('L&amp;R'!$L$10:$L$11,MATCH($F227,'L&amp;R'!$B$10:$B$11,0))="","Cell will autofill based on response",INDEX('L&amp;R'!$L$10:$L$11,MATCH($F227,'L&amp;R'!$B$10:$B$11,0))),"N/A")</f>
        <v/>
      </c>
      <c r="U227" s="26">
        <f>COUNTIF($H227:$S227,"Cell will autofill based on response")</f>
        <v/>
      </c>
      <c r="V227" s="26">
        <f>COUNTIF($H227:$S227,"Not yet started")</f>
        <v/>
      </c>
      <c r="W227" s="26">
        <f>COUNTIF($H227:$S227,"Not met")</f>
        <v/>
      </c>
      <c r="X227" s="26">
        <f>COUNTIF($H227:$S227,"Partially met")</f>
        <v/>
      </c>
      <c r="Y227" s="26">
        <f>COUNTIF($H227:$S227,"Met or exceeded")</f>
        <v/>
      </c>
      <c r="Z227" s="26">
        <f>3*Y227+2*X227+W227</f>
        <v/>
      </c>
      <c r="AA227" s="26">
        <f>Y227+X227+W227+V227</f>
        <v/>
      </c>
      <c r="AB227" s="27">
        <f>IF(AA227&gt;0,Z227/AA227,"No valid responses to date")</f>
        <v/>
      </c>
      <c r="AC227" s="26">
        <f>IF(ISNUMBER(AB227),INDEX(Lists!$G$2:$G$5,MATCH(ROUND(AB227,0),Lists!$H$2:$H$5,0)),"")</f>
        <v/>
      </c>
      <c r="AD227" s="28">
        <f>IF(AA227&gt;0,Y227/AA227,"")</f>
        <v/>
      </c>
      <c r="AE227" s="28">
        <f>IF(AA227&gt;0,(Y227+X227)/AA227,"")</f>
        <v/>
      </c>
      <c r="AF227" s="26">
        <f>IF(AA227=0,"",IF(AD227&gt;0.75,"Met or exceeded",IF(AE227&gt;=0.5,"Partially met","Not met")))</f>
        <v/>
      </c>
    </row>
    <row r="228">
      <c r="A228">
        <f>F228&amp;"|"&amp;G228</f>
        <v/>
      </c>
      <c r="B228" s="29" t="inlineStr"/>
      <c r="C228" s="8" t="inlineStr"/>
      <c r="D228" s="8" t="inlineStr"/>
      <c r="E228" s="8" t="inlineStr"/>
      <c r="F228" s="8" t="inlineStr">
        <is>
          <t>CE1(a)</t>
        </is>
      </c>
      <c r="G228" s="8" t="inlineStr">
        <is>
          <t>OPTION 1:  Target-level reporting</t>
        </is>
      </c>
      <c r="H228" s="25">
        <f>IFERROR(IF(INDEX('Faculties'!$M$10:$M$30,MATCH($F228,'Faculties'!$B$10:$B$30,0))="","Cell will autofill based on response",INDEX('Faculties'!$M$10:$M$30,MATCH($F228,'Faculties'!$B$10:$B$30,0))),"N/A")</f>
        <v/>
      </c>
      <c r="I228" s="25">
        <f>IFERROR(IF(INDEX('Faculties'!$M$37:$M$57,MATCH($F228,'Faculties'!$B$37:$B$57,0))="","Cell will autofill based on response",INDEX('Faculties'!$M$37:$M$57,MATCH($F228,'Faculties'!$B$37:$B$57,0))),"N/A")</f>
        <v/>
      </c>
      <c r="J228" s="25">
        <f>IFERROR(IF(INDEX('Faculties'!$M$64:$M$84,MATCH($F228,'Faculties'!$B$64:$B$84,0))="","Cell will autofill based on response",INDEX('Faculties'!$M$64:$M$84,MATCH($F228,'Faculties'!$B$64:$B$84,0))),"N/A")</f>
        <v/>
      </c>
      <c r="K228" s="25">
        <f>IFERROR(IF(INDEX('Faculties'!$M$91:$M$111,MATCH($F228,'Faculties'!$B$91:$B$111,0))="","Cell will autofill based on response",INDEX('Faculties'!$M$91:$M$111,MATCH($F228,'Faculties'!$B$91:$B$111,0))),"N/A")</f>
        <v/>
      </c>
      <c r="L228" s="25">
        <f>IFERROR(IF(INDEX('CI&amp;S'!$M$10:$M$15,MATCH($F228,'CI&amp;S'!$B$10:$B$15,0))="","Cell will autofill based on response",INDEX('CI&amp;S'!$M$10:$M$15,MATCH($F228,'CI&amp;S'!$B$10:$B$15,0))),"N/A")</f>
        <v/>
      </c>
      <c r="M228" s="25">
        <f>IFERROR(IF(INDEX('CI&amp;S'!$M$22:$M$39,MATCH($F228,'CI&amp;S'!$B$22:$B$39,0))="","Cell will autofill based on response",INDEX('CI&amp;S'!$M$22:$M$39,MATCH($F228,'CI&amp;S'!$B$22:$B$39,0))),"N/A")</f>
        <v/>
      </c>
      <c r="N228" s="25">
        <f>IFERROR(IF(INDEX('CFOG'!$M$10:$M$16,MATCH($F228,'CFOG'!$B$10:$B$16,0))="","Cell will autofill based on response",INDEX('CFOG'!$M$10:$M$16,MATCH($F228,'CFOG'!$B$10:$B$16,0))),"N/A")</f>
        <v/>
      </c>
      <c r="O228" s="25">
        <f>IFERROR(IF(INDEX('CFOG'!$M$23:$M$24,MATCH($F228,'CFOG'!$B$23:$B$24,0))="","Cell will autofill based on response",INDEX('CFOG'!$M$23:$M$24,MATCH($F228,'CFOG'!$B$23:$B$24,0))),"N/A")</f>
        <v/>
      </c>
      <c r="P228" s="25">
        <f>IFERROR(IF(INDEX('ESG'!$M$10:$M$17,MATCH($F228,'ESG'!$B$10:$B$17,0))="","Cell will autofill based on response",INDEX('ESG'!$M$10:$M$17,MATCH($F228,'ESG'!$B$10:$B$17,0))),"N/A")</f>
        <v/>
      </c>
      <c r="Q228" s="25">
        <f>IFERROR(IF(INDEX('CIOG'!$M$10:$M$14,MATCH($F228,'CIOG'!$B$10:$B$14,0))="","Cell will autofill based on response",INDEX('CIOG'!$M$10:$M$14,MATCH($F228,'CIOG'!$B$10:$B$14,0))),"N/A")</f>
        <v/>
      </c>
      <c r="R228" s="25">
        <f>IFERROR(IF(INDEX('MRE'!$M$10:$M$12,MATCH($F228,'MRE'!$B$10:$B$12,0))="","Cell will autofill based on response",INDEX('MRE'!$M$10:$M$12,MATCH($F228,'MRE'!$B$10:$B$12,0))),"N/A")</f>
        <v/>
      </c>
      <c r="S228" s="25">
        <f>IFERROR(IF(INDEX('L&amp;R'!$M$10:$M$11,MATCH($F228,'L&amp;R'!$B$10:$B$11,0))="","Cell will autofill based on response",INDEX('L&amp;R'!$M$10:$M$11,MATCH($F228,'L&amp;R'!$B$10:$B$11,0))),"N/A")</f>
        <v/>
      </c>
    </row>
    <row r="229">
      <c r="A229">
        <f>F229&amp;"|"&amp;G229</f>
        <v/>
      </c>
      <c r="B229" s="29" t="inlineStr"/>
      <c r="C229" s="8" t="inlineStr"/>
      <c r="D229" s="8" t="inlineStr"/>
      <c r="E229" s="8" t="inlineStr"/>
      <c r="F229" s="8" t="inlineStr">
        <is>
          <t>CE1(a)</t>
        </is>
      </c>
      <c r="G229" s="8" t="inlineStr">
        <is>
          <t>OPTION 2:  Indicator level reporting</t>
        </is>
      </c>
      <c r="H229" s="25">
        <f>IFERROR(IF(INDEX('Faculties'!$N$10:$N$30,MATCH($F229,'Faculties'!$B$10:$B$30,0))="","Cell will autofill based on response",INDEX('Faculties'!$N$10:$N$30,MATCH($F229,'Faculties'!$B$10:$B$30,0))),"N/A")</f>
        <v/>
      </c>
      <c r="I229" s="25">
        <f>IFERROR(IF(INDEX('Faculties'!$N$37:$N$57,MATCH($F229,'Faculties'!$B$37:$B$57,0))="","Cell will autofill based on response",INDEX('Faculties'!$N$37:$N$57,MATCH($F229,'Faculties'!$B$37:$B$57,0))),"N/A")</f>
        <v/>
      </c>
      <c r="J229" s="25">
        <f>IFERROR(IF(INDEX('Faculties'!$N$64:$N$84,MATCH($F229,'Faculties'!$B$64:$B$84,0))="","Cell will autofill based on response",INDEX('Faculties'!$N$64:$N$84,MATCH($F229,'Faculties'!$B$64:$B$84,0))),"N/A")</f>
        <v/>
      </c>
      <c r="K229" s="25">
        <f>IFERROR(IF(INDEX('Faculties'!$N$91:$N$111,MATCH($F229,'Faculties'!$B$91:$B$111,0))="","Cell will autofill based on response",INDEX('Faculties'!$N$91:$N$111,MATCH($F229,'Faculties'!$B$91:$B$111,0))),"N/A")</f>
        <v/>
      </c>
      <c r="L229" s="25">
        <f>IFERROR(IF(INDEX('CI&amp;S'!$N$10:$N$15,MATCH($F229,'CI&amp;S'!$B$10:$B$15,0))="","Cell will autofill based on response",INDEX('CI&amp;S'!$N$10:$N$15,MATCH($F229,'CI&amp;S'!$B$10:$B$15,0))),"N/A")</f>
        <v/>
      </c>
      <c r="M229" s="25">
        <f>IFERROR(IF(INDEX('CI&amp;S'!$N$22:$N$39,MATCH($F229,'CI&amp;S'!$B$22:$B$39,0))="","Cell will autofill based on response",INDEX('CI&amp;S'!$N$22:$N$39,MATCH($F229,'CI&amp;S'!$B$22:$B$39,0))),"N/A")</f>
        <v/>
      </c>
      <c r="N229" s="25">
        <f>IFERROR(IF(INDEX('CFOG'!$N$10:$N$16,MATCH($F229,'CFOG'!$B$10:$B$16,0))="","Cell will autofill based on response",INDEX('CFOG'!$N$10:$N$16,MATCH($F229,'CFOG'!$B$10:$B$16,0))),"N/A")</f>
        <v/>
      </c>
      <c r="O229" s="25">
        <f>IFERROR(IF(INDEX('CFOG'!$N$23:$N$24,MATCH($F229,'CFOG'!$B$23:$B$24,0))="","Cell will autofill based on response",INDEX('CFOG'!$N$23:$N$24,MATCH($F229,'CFOG'!$B$23:$B$24,0))),"N/A")</f>
        <v/>
      </c>
      <c r="P229" s="25">
        <f>IFERROR(IF(INDEX('ESG'!$N$10:$N$17,MATCH($F229,'ESG'!$B$10:$B$17,0))="","Cell will autofill based on response",INDEX('ESG'!$N$10:$N$17,MATCH($F229,'ESG'!$B$10:$B$17,0))),"N/A")</f>
        <v/>
      </c>
      <c r="Q229" s="25">
        <f>IFERROR(IF(INDEX('CIOG'!$N$10:$N$14,MATCH($F229,'CIOG'!$B$10:$B$14,0))="","Cell will autofill based on response",INDEX('CIOG'!$N$10:$N$14,MATCH($F229,'CIOG'!$B$10:$B$14,0))),"N/A")</f>
        <v/>
      </c>
      <c r="R229" s="25">
        <f>IFERROR(IF(INDEX('MRE'!$N$10:$N$12,MATCH($F229,'MRE'!$B$10:$B$12,0))="","Cell will autofill based on response",INDEX('MRE'!$N$10:$N$12,MATCH($F229,'MRE'!$B$10:$B$12,0))),"N/A")</f>
        <v/>
      </c>
      <c r="S229" s="25">
        <f>IFERROR(IF(INDEX('L&amp;R'!$N$10:$N$11,MATCH($F229,'L&amp;R'!$B$10:$B$11,0))="","Cell will autofill based on response",INDEX('L&amp;R'!$N$10:$N$11,MATCH($F229,'L&amp;R'!$B$10:$B$11,0))),"N/A")</f>
        <v/>
      </c>
    </row>
    <row r="230">
      <c r="A230">
        <f>F230&amp;"|"&amp;G230</f>
        <v/>
      </c>
      <c r="B230" s="29" t="inlineStr"/>
      <c r="C230" s="8" t="inlineStr"/>
      <c r="D230" s="8" t="inlineStr"/>
      <c r="E230" s="8" t="inlineStr"/>
      <c r="F230" s="8" t="inlineStr">
        <is>
          <t>CE1(a)</t>
        </is>
      </c>
      <c r="G230" s="8" t="inlineStr">
        <is>
          <t>Supporting information/comments</t>
        </is>
      </c>
      <c r="H230" s="25">
        <f>IFERROR(IF(INDEX('Faculties'!$O$10:$O$30,MATCH($F230,'Faculties'!$B$10:$B$30,0))="","Cell will autofill based on response",INDEX('Faculties'!$O$10:$O$30,MATCH($F230,'Faculties'!$B$10:$B$30,0))),"N/A")</f>
        <v/>
      </c>
      <c r="I230" s="25">
        <f>IFERROR(IF(INDEX('Faculties'!$O$37:$O$57,MATCH($F230,'Faculties'!$B$37:$B$57,0))="","Cell will autofill based on response",INDEX('Faculties'!$O$37:$O$57,MATCH($F230,'Faculties'!$B$37:$B$57,0))),"N/A")</f>
        <v/>
      </c>
      <c r="J230" s="25">
        <f>IFERROR(IF(INDEX('Faculties'!$O$64:$O$84,MATCH($F230,'Faculties'!$B$64:$B$84,0))="","Cell will autofill based on response",INDEX('Faculties'!$O$64:$O$84,MATCH($F230,'Faculties'!$B$64:$B$84,0))),"N/A")</f>
        <v/>
      </c>
      <c r="K230" s="25">
        <f>IFERROR(IF(INDEX('Faculties'!$O$91:$O$111,MATCH($F230,'Faculties'!$B$91:$B$111,0))="","Cell will autofill based on response",INDEX('Faculties'!$O$91:$O$111,MATCH($F230,'Faculties'!$B$91:$B$111,0))),"N/A")</f>
        <v/>
      </c>
      <c r="L230" s="25">
        <f>IFERROR(IF(INDEX('CI&amp;S'!$O$10:$O$15,MATCH($F230,'CI&amp;S'!$B$10:$B$15,0))="","Cell will autofill based on response",INDEX('CI&amp;S'!$O$10:$O$15,MATCH($F230,'CI&amp;S'!$B$10:$B$15,0))),"N/A")</f>
        <v/>
      </c>
      <c r="M230" s="25">
        <f>IFERROR(IF(INDEX('CI&amp;S'!$O$22:$O$39,MATCH($F230,'CI&amp;S'!$B$22:$B$39,0))="","Cell will autofill based on response",INDEX('CI&amp;S'!$O$22:$O$39,MATCH($F230,'CI&amp;S'!$B$22:$B$39,0))),"N/A")</f>
        <v/>
      </c>
      <c r="N230" s="25">
        <f>IFERROR(IF(INDEX('CFOG'!$O$10:$O$16,MATCH($F230,'CFOG'!$B$10:$B$16,0))="","Cell will autofill based on response",INDEX('CFOG'!$O$10:$O$16,MATCH($F230,'CFOG'!$B$10:$B$16,0))),"N/A")</f>
        <v/>
      </c>
      <c r="O230" s="25">
        <f>IFERROR(IF(INDEX('CFOG'!$O$23:$O$24,MATCH($F230,'CFOG'!$B$23:$B$24,0))="","Cell will autofill based on response",INDEX('CFOG'!$O$23:$O$24,MATCH($F230,'CFOG'!$B$23:$B$24,0))),"N/A")</f>
        <v/>
      </c>
      <c r="P230" s="25">
        <f>IFERROR(IF(INDEX('ESG'!$O$10:$O$17,MATCH($F230,'ESG'!$B$10:$B$17,0))="","Cell will autofill based on response",INDEX('ESG'!$O$10:$O$17,MATCH($F230,'ESG'!$B$10:$B$17,0))),"N/A")</f>
        <v/>
      </c>
      <c r="Q230" s="25">
        <f>IFERROR(IF(INDEX('CIOG'!$O$10:$O$14,MATCH($F230,'CIOG'!$B$10:$B$14,0))="","Cell will autofill based on response",INDEX('CIOG'!$O$10:$O$14,MATCH($F230,'CIOG'!$B$10:$B$14,0))),"N/A")</f>
        <v/>
      </c>
      <c r="R230" s="25">
        <f>IFERROR(IF(INDEX('MRE'!$O$10:$O$12,MATCH($F230,'MRE'!$B$10:$B$12,0))="","Cell will autofill based on response",INDEX('MRE'!$O$10:$O$12,MATCH($F230,'MRE'!$B$10:$B$12,0))),"N/A")</f>
        <v/>
      </c>
      <c r="S230" s="25">
        <f>IFERROR(IF(INDEX('L&amp;R'!$O$10:$O$11,MATCH($F230,'L&amp;R'!$B$10:$B$11,0))="","Cell will autofill based on response",INDEX('L&amp;R'!$O$10:$O$11,MATCH($F230,'L&amp;R'!$B$10:$B$11,0))),"N/A")</f>
        <v/>
      </c>
    </row>
    <row r="231">
      <c r="A231">
        <f>F231&amp;"|"&amp;G231</f>
        <v/>
      </c>
      <c r="B231" s="29" t="inlineStr"/>
      <c r="C231" s="8" t="inlineStr"/>
      <c r="D231" s="8" t="inlineStr"/>
      <c r="E231" s="8" t="inlineStr"/>
      <c r="F231" s="8" t="inlineStr">
        <is>
          <t>CE1(a)</t>
        </is>
      </c>
      <c r="G231" s="8" t="inlineStr">
        <is>
          <t>Data source and limitations</t>
        </is>
      </c>
      <c r="H231" s="25">
        <f>IFERROR(IF(INDEX('Faculties'!$P$10:$P$30,MATCH($F231,'Faculties'!$B$10:$B$30,0))="","Cell will autofill based on response",INDEX('Faculties'!$P$10:$P$30,MATCH($F231,'Faculties'!$B$10:$B$30,0))),"N/A")</f>
        <v/>
      </c>
      <c r="I231" s="25">
        <f>IFERROR(IF(INDEX('Faculties'!$P$37:$P$57,MATCH($F231,'Faculties'!$B$37:$B$57,0))="","Cell will autofill based on response",INDEX('Faculties'!$P$37:$P$57,MATCH($F231,'Faculties'!$B$37:$B$57,0))),"N/A")</f>
        <v/>
      </c>
      <c r="J231" s="25">
        <f>IFERROR(IF(INDEX('Faculties'!$P$64:$P$84,MATCH($F231,'Faculties'!$B$64:$B$84,0))="","Cell will autofill based on response",INDEX('Faculties'!$P$64:$P$84,MATCH($F231,'Faculties'!$B$64:$B$84,0))),"N/A")</f>
        <v/>
      </c>
      <c r="K231" s="25">
        <f>IFERROR(IF(INDEX('Faculties'!$P$91:$P$111,MATCH($F231,'Faculties'!$B$91:$B$111,0))="","Cell will autofill based on response",INDEX('Faculties'!$P$91:$P$111,MATCH($F231,'Faculties'!$B$91:$B$111,0))),"N/A")</f>
        <v/>
      </c>
      <c r="L231" s="25">
        <f>IFERROR(IF(INDEX('CI&amp;S'!$P$10:$P$15,MATCH($F231,'CI&amp;S'!$B$10:$B$15,0))="","Cell will autofill based on response",INDEX('CI&amp;S'!$P$10:$P$15,MATCH($F231,'CI&amp;S'!$B$10:$B$15,0))),"N/A")</f>
        <v/>
      </c>
      <c r="M231" s="25">
        <f>IFERROR(IF(INDEX('CI&amp;S'!$P$22:$P$39,MATCH($F231,'CI&amp;S'!$B$22:$B$39,0))="","Cell will autofill based on response",INDEX('CI&amp;S'!$P$22:$P$39,MATCH($F231,'CI&amp;S'!$B$22:$B$39,0))),"N/A")</f>
        <v/>
      </c>
      <c r="N231" s="25">
        <f>IFERROR(IF(INDEX('CFOG'!$P$10:$P$16,MATCH($F231,'CFOG'!$B$10:$B$16,0))="","Cell will autofill based on response",INDEX('CFOG'!$P$10:$P$16,MATCH($F231,'CFOG'!$B$10:$B$16,0))),"N/A")</f>
        <v/>
      </c>
      <c r="O231" s="25">
        <f>IFERROR(IF(INDEX('CFOG'!$P$23:$P$24,MATCH($F231,'CFOG'!$B$23:$B$24,0))="","Cell will autofill based on response",INDEX('CFOG'!$P$23:$P$24,MATCH($F231,'CFOG'!$B$23:$B$24,0))),"N/A")</f>
        <v/>
      </c>
      <c r="P231" s="25">
        <f>IFERROR(IF(INDEX('ESG'!$P$10:$P$17,MATCH($F231,'ESG'!$B$10:$B$17,0))="","Cell will autofill based on response",INDEX('ESG'!$P$10:$P$17,MATCH($F231,'ESG'!$B$10:$B$17,0))),"N/A")</f>
        <v/>
      </c>
      <c r="Q231" s="25">
        <f>IFERROR(IF(INDEX('CIOG'!$P$10:$P$14,MATCH($F231,'CIOG'!$B$10:$B$14,0))="","Cell will autofill based on response",INDEX('CIOG'!$P$10:$P$14,MATCH($F231,'CIOG'!$B$10:$B$14,0))),"N/A")</f>
        <v/>
      </c>
      <c r="R231" s="25">
        <f>IFERROR(IF(INDEX('MRE'!$P$10:$P$12,MATCH($F231,'MRE'!$B$10:$B$12,0))="","Cell will autofill based on response",INDEX('MRE'!$P$10:$P$12,MATCH($F231,'MRE'!$B$10:$B$12,0))),"N/A")</f>
        <v/>
      </c>
      <c r="S231" s="25">
        <f>IFERROR(IF(INDEX('L&amp;R'!$P$10:$P$11,MATCH($F231,'L&amp;R'!$B$10:$B$11,0))="","Cell will autofill based on response",INDEX('L&amp;R'!$P$10:$P$11,MATCH($F231,'L&amp;R'!$B$10:$B$11,0))),"N/A")</f>
        <v/>
      </c>
    </row>
    <row r="232">
      <c r="A232">
        <f>F232&amp;"|"&amp;G232</f>
        <v/>
      </c>
      <c r="B232" s="29" t="inlineStr"/>
      <c r="C232" s="8" t="inlineStr"/>
      <c r="D232" s="8" t="inlineStr"/>
      <c r="E232" s="8" t="inlineStr"/>
      <c r="F232" s="8" t="inlineStr">
        <is>
          <t>CE1(a)</t>
        </is>
      </c>
      <c r="G232" s="8" t="inlineStr">
        <is>
          <t>Data owner confirms</t>
        </is>
      </c>
      <c r="H232" s="25">
        <f>IFERROR(IF(INDEX('Faculties'!$Q$10:$Q$30,MATCH($F232,'Faculties'!$B$10:$B$30,0))="","Cell will autofill based on response",INDEX('Faculties'!$Q$10:$Q$30,MATCH($F232,'Faculties'!$B$10:$B$30,0))),"N/A")</f>
        <v/>
      </c>
      <c r="I232" s="25">
        <f>IFERROR(IF(INDEX('Faculties'!$Q$37:$Q$57,MATCH($F232,'Faculties'!$B$37:$B$57,0))="","Cell will autofill based on response",INDEX('Faculties'!$Q$37:$Q$57,MATCH($F232,'Faculties'!$B$37:$B$57,0))),"N/A")</f>
        <v/>
      </c>
      <c r="J232" s="25">
        <f>IFERROR(IF(INDEX('Faculties'!$Q$64:$Q$84,MATCH($F232,'Faculties'!$B$64:$B$84,0))="","Cell will autofill based on response",INDEX('Faculties'!$Q$64:$Q$84,MATCH($F232,'Faculties'!$B$64:$B$84,0))),"N/A")</f>
        <v/>
      </c>
      <c r="K232" s="25">
        <f>IFERROR(IF(INDEX('Faculties'!$Q$91:$Q$111,MATCH($F232,'Faculties'!$B$91:$B$111,0))="","Cell will autofill based on response",INDEX('Faculties'!$Q$91:$Q$111,MATCH($F232,'Faculties'!$B$91:$B$111,0))),"N/A")</f>
        <v/>
      </c>
      <c r="L232" s="25">
        <f>IFERROR(IF(INDEX('CI&amp;S'!$Q$10:$Q$15,MATCH($F232,'CI&amp;S'!$B$10:$B$15,0))="","Cell will autofill based on response",INDEX('CI&amp;S'!$Q$10:$Q$15,MATCH($F232,'CI&amp;S'!$B$10:$B$15,0))),"N/A")</f>
        <v/>
      </c>
      <c r="M232" s="25">
        <f>IFERROR(IF(INDEX('CI&amp;S'!$Q$22:$Q$39,MATCH($F232,'CI&amp;S'!$B$22:$B$39,0))="","Cell will autofill based on response",INDEX('CI&amp;S'!$Q$22:$Q$39,MATCH($F232,'CI&amp;S'!$B$22:$B$39,0))),"N/A")</f>
        <v/>
      </c>
      <c r="N232" s="25">
        <f>IFERROR(IF(INDEX('CFOG'!$Q$10:$Q$16,MATCH($F232,'CFOG'!$B$10:$B$16,0))="","Cell will autofill based on response",INDEX('CFOG'!$Q$10:$Q$16,MATCH($F232,'CFOG'!$B$10:$B$16,0))),"N/A")</f>
        <v/>
      </c>
      <c r="O232" s="25">
        <f>IFERROR(IF(INDEX('CFOG'!$Q$23:$Q$24,MATCH($F232,'CFOG'!$B$23:$B$24,0))="","Cell will autofill based on response",INDEX('CFOG'!$Q$23:$Q$24,MATCH($F232,'CFOG'!$B$23:$B$24,0))),"N/A")</f>
        <v/>
      </c>
      <c r="P232" s="25">
        <f>IFERROR(IF(INDEX('ESG'!$Q$10:$Q$17,MATCH($F232,'ESG'!$B$10:$B$17,0))="","Cell will autofill based on response",INDEX('ESG'!$Q$10:$Q$17,MATCH($F232,'ESG'!$B$10:$B$17,0))),"N/A")</f>
        <v/>
      </c>
      <c r="Q232" s="25">
        <f>IFERROR(IF(INDEX('CIOG'!$Q$10:$Q$14,MATCH($F232,'CIOG'!$B$10:$B$14,0))="","Cell will autofill based on response",INDEX('CIOG'!$Q$10:$Q$14,MATCH($F232,'CIOG'!$B$10:$B$14,0))),"N/A")</f>
        <v/>
      </c>
      <c r="R232" s="25">
        <f>IFERROR(IF(INDEX('MRE'!$Q$10:$Q$12,MATCH($F232,'MRE'!$B$10:$B$12,0))="","Cell will autofill based on response",INDEX('MRE'!$Q$10:$Q$12,MATCH($F232,'MRE'!$B$10:$B$12,0))),"N/A")</f>
        <v/>
      </c>
      <c r="S232" s="25">
        <f>IFERROR(IF(INDEX('L&amp;R'!$Q$10:$Q$11,MATCH($F232,'L&amp;R'!$B$10:$B$11,0))="","Cell will autofill based on response",INDEX('L&amp;R'!$Q$10:$Q$11,MATCH($F232,'L&amp;R'!$B$10:$B$11,0))),"N/A")</f>
        <v/>
      </c>
    </row>
    <row r="233">
      <c r="A233">
        <f>F233&amp;"|"&amp;G233</f>
        <v/>
      </c>
      <c r="B233" s="7" t="inlineStr">
        <is>
          <t>CE2(a)</t>
        </is>
      </c>
      <c r="C233" s="12" t="inlineStr">
        <is>
          <t>Circular economy</t>
        </is>
      </c>
      <c r="D233" s="12" t="inlineStr">
        <is>
          <t>Comparison of year-to-year tonnes of recyclables (absolute).</t>
        </is>
      </c>
      <c r="E233" s="12" t="inlineStr">
        <is>
          <t>waste diversion rate; tonnes diverted from landfill; % change against previous baseline</t>
        </is>
      </c>
      <c r="F233" s="12" t="inlineStr">
        <is>
          <t>CE2(a)</t>
        </is>
      </c>
      <c r="G233" s="12" t="inlineStr">
        <is>
          <t>Confirm end-2026 target status</t>
        </is>
      </c>
      <c r="H233" s="25">
        <f>IFERROR(IF(INDEX('Faculties'!$L$10:$L$30,MATCH($F233,'Faculties'!$B$10:$B$30,0))="","Cell will autofill based on response",INDEX('Faculties'!$L$10:$L$30,MATCH($F233,'Faculties'!$B$10:$B$30,0))),"N/A")</f>
        <v/>
      </c>
      <c r="I233" s="25">
        <f>IFERROR(IF(INDEX('Faculties'!$L$37:$L$57,MATCH($F233,'Faculties'!$B$37:$B$57,0))="","Cell will autofill based on response",INDEX('Faculties'!$L$37:$L$57,MATCH($F233,'Faculties'!$B$37:$B$57,0))),"N/A")</f>
        <v/>
      </c>
      <c r="J233" s="25">
        <f>IFERROR(IF(INDEX('Faculties'!$L$64:$L$84,MATCH($F233,'Faculties'!$B$64:$B$84,0))="","Cell will autofill based on response",INDEX('Faculties'!$L$64:$L$84,MATCH($F233,'Faculties'!$B$64:$B$84,0))),"N/A")</f>
        <v/>
      </c>
      <c r="K233" s="25">
        <f>IFERROR(IF(INDEX('Faculties'!$L$91:$L$111,MATCH($F233,'Faculties'!$B$91:$B$111,0))="","Cell will autofill based on response",INDEX('Faculties'!$L$91:$L$111,MATCH($F233,'Faculties'!$B$91:$B$111,0))),"N/A")</f>
        <v/>
      </c>
      <c r="L233" s="25">
        <f>IFERROR(IF(INDEX('CI&amp;S'!$L$10:$L$15,MATCH($F233,'CI&amp;S'!$B$10:$B$15,0))="","Cell will autofill based on response",INDEX('CI&amp;S'!$L$10:$L$15,MATCH($F233,'CI&amp;S'!$B$10:$B$15,0))),"N/A")</f>
        <v/>
      </c>
      <c r="M233" s="25">
        <f>IFERROR(IF(INDEX('CI&amp;S'!$L$22:$L$39,MATCH($F233,'CI&amp;S'!$B$22:$B$39,0))="","Cell will autofill based on response",INDEX('CI&amp;S'!$L$22:$L$39,MATCH($F233,'CI&amp;S'!$B$22:$B$39,0))),"N/A")</f>
        <v/>
      </c>
      <c r="N233" s="25">
        <f>IFERROR(IF(INDEX('CFOG'!$L$10:$L$16,MATCH($F233,'CFOG'!$B$10:$B$16,0))="","Cell will autofill based on response",INDEX('CFOG'!$L$10:$L$16,MATCH($F233,'CFOG'!$B$10:$B$16,0))),"N/A")</f>
        <v/>
      </c>
      <c r="O233" s="25">
        <f>IFERROR(IF(INDEX('CFOG'!$L$23:$L$24,MATCH($F233,'CFOG'!$B$23:$B$24,0))="","Cell will autofill based on response",INDEX('CFOG'!$L$23:$L$24,MATCH($F233,'CFOG'!$B$23:$B$24,0))),"N/A")</f>
        <v/>
      </c>
      <c r="P233" s="25">
        <f>IFERROR(IF(INDEX('ESG'!$L$10:$L$17,MATCH($F233,'ESG'!$B$10:$B$17,0))="","Cell will autofill based on response",INDEX('ESG'!$L$10:$L$17,MATCH($F233,'ESG'!$B$10:$B$17,0))),"N/A")</f>
        <v/>
      </c>
      <c r="Q233" s="25">
        <f>IFERROR(IF(INDEX('CIOG'!$L$10:$L$14,MATCH($F233,'CIOG'!$B$10:$B$14,0))="","Cell will autofill based on response",INDEX('CIOG'!$L$10:$L$14,MATCH($F233,'CIOG'!$B$10:$B$14,0))),"N/A")</f>
        <v/>
      </c>
      <c r="R233" s="25">
        <f>IFERROR(IF(INDEX('MRE'!$L$10:$L$12,MATCH($F233,'MRE'!$B$10:$B$12,0))="","Cell will autofill based on response",INDEX('MRE'!$L$10:$L$12,MATCH($F233,'MRE'!$B$10:$B$12,0))),"N/A")</f>
        <v/>
      </c>
      <c r="S233" s="25">
        <f>IFERROR(IF(INDEX('L&amp;R'!$L$10:$L$11,MATCH($F233,'L&amp;R'!$B$10:$B$11,0))="","Cell will autofill based on response",INDEX('L&amp;R'!$L$10:$L$11,MATCH($F233,'L&amp;R'!$B$10:$B$11,0))),"N/A")</f>
        <v/>
      </c>
      <c r="U233" s="26">
        <f>COUNTIF($H233:$S233,"Cell will autofill based on response")</f>
        <v/>
      </c>
      <c r="V233" s="26">
        <f>COUNTIF($H233:$S233,"Not yet started")</f>
        <v/>
      </c>
      <c r="W233" s="26">
        <f>COUNTIF($H233:$S233,"Not met")</f>
        <v/>
      </c>
      <c r="X233" s="26">
        <f>COUNTIF($H233:$S233,"Partially met")</f>
        <v/>
      </c>
      <c r="Y233" s="26">
        <f>COUNTIF($H233:$S233,"Met or exceeded")</f>
        <v/>
      </c>
      <c r="Z233" s="26">
        <f>3*Y233+2*X233+W233</f>
        <v/>
      </c>
      <c r="AA233" s="26">
        <f>Y233+X233+W233+V233</f>
        <v/>
      </c>
      <c r="AB233" s="27">
        <f>IF(AA233&gt;0,Z233/AA233,"No valid responses to date")</f>
        <v/>
      </c>
      <c r="AC233" s="26">
        <f>IF(ISNUMBER(AB233),INDEX(Lists!$G$2:$G$5,MATCH(ROUND(AB233,0),Lists!$H$2:$H$5,0)),"")</f>
        <v/>
      </c>
      <c r="AD233" s="28">
        <f>IF(AA233&gt;0,Y233/AA233,"")</f>
        <v/>
      </c>
      <c r="AE233" s="28">
        <f>IF(AA233&gt;0,(Y233+X233)/AA233,"")</f>
        <v/>
      </c>
      <c r="AF233" s="26">
        <f>IF(AA233=0,"",IF(AD233&gt;0.75,"Met or exceeded",IF(AE233&gt;=0.5,"Partially met","Not met")))</f>
        <v/>
      </c>
    </row>
    <row r="234">
      <c r="A234">
        <f>F234&amp;"|"&amp;G234</f>
        <v/>
      </c>
      <c r="B234" s="29" t="inlineStr"/>
      <c r="C234" s="8" t="inlineStr"/>
      <c r="D234" s="8" t="inlineStr"/>
      <c r="E234" s="8" t="inlineStr"/>
      <c r="F234" s="8" t="inlineStr">
        <is>
          <t>CE2(a)</t>
        </is>
      </c>
      <c r="G234" s="8" t="inlineStr">
        <is>
          <t>OPTION 1:  Target-level reporting</t>
        </is>
      </c>
      <c r="H234" s="25">
        <f>IFERROR(IF(INDEX('Faculties'!$M$10:$M$30,MATCH($F234,'Faculties'!$B$10:$B$30,0))="","Cell will autofill based on response",INDEX('Faculties'!$M$10:$M$30,MATCH($F234,'Faculties'!$B$10:$B$30,0))),"N/A")</f>
        <v/>
      </c>
      <c r="I234" s="25">
        <f>IFERROR(IF(INDEX('Faculties'!$M$37:$M$57,MATCH($F234,'Faculties'!$B$37:$B$57,0))="","Cell will autofill based on response",INDEX('Faculties'!$M$37:$M$57,MATCH($F234,'Faculties'!$B$37:$B$57,0))),"N/A")</f>
        <v/>
      </c>
      <c r="J234" s="25">
        <f>IFERROR(IF(INDEX('Faculties'!$M$64:$M$84,MATCH($F234,'Faculties'!$B$64:$B$84,0))="","Cell will autofill based on response",INDEX('Faculties'!$M$64:$M$84,MATCH($F234,'Faculties'!$B$64:$B$84,0))),"N/A")</f>
        <v/>
      </c>
      <c r="K234" s="25">
        <f>IFERROR(IF(INDEX('Faculties'!$M$91:$M$111,MATCH($F234,'Faculties'!$B$91:$B$111,0))="","Cell will autofill based on response",INDEX('Faculties'!$M$91:$M$111,MATCH($F234,'Faculties'!$B$91:$B$111,0))),"N/A")</f>
        <v/>
      </c>
      <c r="L234" s="25">
        <f>IFERROR(IF(INDEX('CI&amp;S'!$M$10:$M$15,MATCH($F234,'CI&amp;S'!$B$10:$B$15,0))="","Cell will autofill based on response",INDEX('CI&amp;S'!$M$10:$M$15,MATCH($F234,'CI&amp;S'!$B$10:$B$15,0))),"N/A")</f>
        <v/>
      </c>
      <c r="M234" s="25">
        <f>IFERROR(IF(INDEX('CI&amp;S'!$M$22:$M$39,MATCH($F234,'CI&amp;S'!$B$22:$B$39,0))="","Cell will autofill based on response",INDEX('CI&amp;S'!$M$22:$M$39,MATCH($F234,'CI&amp;S'!$B$22:$B$39,0))),"N/A")</f>
        <v/>
      </c>
      <c r="N234" s="25">
        <f>IFERROR(IF(INDEX('CFOG'!$M$10:$M$16,MATCH($F234,'CFOG'!$B$10:$B$16,0))="","Cell will autofill based on response",INDEX('CFOG'!$M$10:$M$16,MATCH($F234,'CFOG'!$B$10:$B$16,0))),"N/A")</f>
        <v/>
      </c>
      <c r="O234" s="25">
        <f>IFERROR(IF(INDEX('CFOG'!$M$23:$M$24,MATCH($F234,'CFOG'!$B$23:$B$24,0))="","Cell will autofill based on response",INDEX('CFOG'!$M$23:$M$24,MATCH($F234,'CFOG'!$B$23:$B$24,0))),"N/A")</f>
        <v/>
      </c>
      <c r="P234" s="25">
        <f>IFERROR(IF(INDEX('ESG'!$M$10:$M$17,MATCH($F234,'ESG'!$B$10:$B$17,0))="","Cell will autofill based on response",INDEX('ESG'!$M$10:$M$17,MATCH($F234,'ESG'!$B$10:$B$17,0))),"N/A")</f>
        <v/>
      </c>
      <c r="Q234" s="25">
        <f>IFERROR(IF(INDEX('CIOG'!$M$10:$M$14,MATCH($F234,'CIOG'!$B$10:$B$14,0))="","Cell will autofill based on response",INDEX('CIOG'!$M$10:$M$14,MATCH($F234,'CIOG'!$B$10:$B$14,0))),"N/A")</f>
        <v/>
      </c>
      <c r="R234" s="25">
        <f>IFERROR(IF(INDEX('MRE'!$M$10:$M$12,MATCH($F234,'MRE'!$B$10:$B$12,0))="","Cell will autofill based on response",INDEX('MRE'!$M$10:$M$12,MATCH($F234,'MRE'!$B$10:$B$12,0))),"N/A")</f>
        <v/>
      </c>
      <c r="S234" s="25">
        <f>IFERROR(IF(INDEX('L&amp;R'!$M$10:$M$11,MATCH($F234,'L&amp;R'!$B$10:$B$11,0))="","Cell will autofill based on response",INDEX('L&amp;R'!$M$10:$M$11,MATCH($F234,'L&amp;R'!$B$10:$B$11,0))),"N/A")</f>
        <v/>
      </c>
    </row>
    <row r="235">
      <c r="A235">
        <f>F235&amp;"|"&amp;G235</f>
        <v/>
      </c>
      <c r="B235" s="29" t="inlineStr"/>
      <c r="C235" s="8" t="inlineStr"/>
      <c r="D235" s="8" t="inlineStr"/>
      <c r="E235" s="8" t="inlineStr"/>
      <c r="F235" s="8" t="inlineStr">
        <is>
          <t>CE2(a)</t>
        </is>
      </c>
      <c r="G235" s="8" t="inlineStr">
        <is>
          <t>OPTION 2:  Indicator level reporting</t>
        </is>
      </c>
      <c r="H235" s="25">
        <f>IFERROR(IF(INDEX('Faculties'!$N$10:$N$30,MATCH($F235,'Faculties'!$B$10:$B$30,0))="","Cell will autofill based on response",INDEX('Faculties'!$N$10:$N$30,MATCH($F235,'Faculties'!$B$10:$B$30,0))),"N/A")</f>
        <v/>
      </c>
      <c r="I235" s="25">
        <f>IFERROR(IF(INDEX('Faculties'!$N$37:$N$57,MATCH($F235,'Faculties'!$B$37:$B$57,0))="","Cell will autofill based on response",INDEX('Faculties'!$N$37:$N$57,MATCH($F235,'Faculties'!$B$37:$B$57,0))),"N/A")</f>
        <v/>
      </c>
      <c r="J235" s="25">
        <f>IFERROR(IF(INDEX('Faculties'!$N$64:$N$84,MATCH($F235,'Faculties'!$B$64:$B$84,0))="","Cell will autofill based on response",INDEX('Faculties'!$N$64:$N$84,MATCH($F235,'Faculties'!$B$64:$B$84,0))),"N/A")</f>
        <v/>
      </c>
      <c r="K235" s="25">
        <f>IFERROR(IF(INDEX('Faculties'!$N$91:$N$111,MATCH($F235,'Faculties'!$B$91:$B$111,0))="","Cell will autofill based on response",INDEX('Faculties'!$N$91:$N$111,MATCH($F235,'Faculties'!$B$91:$B$111,0))),"N/A")</f>
        <v/>
      </c>
      <c r="L235" s="25">
        <f>IFERROR(IF(INDEX('CI&amp;S'!$N$10:$N$15,MATCH($F235,'CI&amp;S'!$B$10:$B$15,0))="","Cell will autofill based on response",INDEX('CI&amp;S'!$N$10:$N$15,MATCH($F235,'CI&amp;S'!$B$10:$B$15,0))),"N/A")</f>
        <v/>
      </c>
      <c r="M235" s="25">
        <f>IFERROR(IF(INDEX('CI&amp;S'!$N$22:$N$39,MATCH($F235,'CI&amp;S'!$B$22:$B$39,0))="","Cell will autofill based on response",INDEX('CI&amp;S'!$N$22:$N$39,MATCH($F235,'CI&amp;S'!$B$22:$B$39,0))),"N/A")</f>
        <v/>
      </c>
      <c r="N235" s="25">
        <f>IFERROR(IF(INDEX('CFOG'!$N$10:$N$16,MATCH($F235,'CFOG'!$B$10:$B$16,0))="","Cell will autofill based on response",INDEX('CFOG'!$N$10:$N$16,MATCH($F235,'CFOG'!$B$10:$B$16,0))),"N/A")</f>
        <v/>
      </c>
      <c r="O235" s="25">
        <f>IFERROR(IF(INDEX('CFOG'!$N$23:$N$24,MATCH($F235,'CFOG'!$B$23:$B$24,0))="","Cell will autofill based on response",INDEX('CFOG'!$N$23:$N$24,MATCH($F235,'CFOG'!$B$23:$B$24,0))),"N/A")</f>
        <v/>
      </c>
      <c r="P235" s="25">
        <f>IFERROR(IF(INDEX('ESG'!$N$10:$N$17,MATCH($F235,'ESG'!$B$10:$B$17,0))="","Cell will autofill based on response",INDEX('ESG'!$N$10:$N$17,MATCH($F235,'ESG'!$B$10:$B$17,0))),"N/A")</f>
        <v/>
      </c>
      <c r="Q235" s="25">
        <f>IFERROR(IF(INDEX('CIOG'!$N$10:$N$14,MATCH($F235,'CIOG'!$B$10:$B$14,0))="","Cell will autofill based on response",INDEX('CIOG'!$N$10:$N$14,MATCH($F235,'CIOG'!$B$10:$B$14,0))),"N/A")</f>
        <v/>
      </c>
      <c r="R235" s="25">
        <f>IFERROR(IF(INDEX('MRE'!$N$10:$N$12,MATCH($F235,'MRE'!$B$10:$B$12,0))="","Cell will autofill based on response",INDEX('MRE'!$N$10:$N$12,MATCH($F235,'MRE'!$B$10:$B$12,0))),"N/A")</f>
        <v/>
      </c>
      <c r="S235" s="25">
        <f>IFERROR(IF(INDEX('L&amp;R'!$N$10:$N$11,MATCH($F235,'L&amp;R'!$B$10:$B$11,0))="","Cell will autofill based on response",INDEX('L&amp;R'!$N$10:$N$11,MATCH($F235,'L&amp;R'!$B$10:$B$11,0))),"N/A")</f>
        <v/>
      </c>
    </row>
    <row r="236">
      <c r="A236">
        <f>F236&amp;"|"&amp;G236</f>
        <v/>
      </c>
      <c r="B236" s="29" t="inlineStr"/>
      <c r="C236" s="8" t="inlineStr"/>
      <c r="D236" s="8" t="inlineStr"/>
      <c r="E236" s="8" t="inlineStr"/>
      <c r="F236" s="8" t="inlineStr">
        <is>
          <t>CE2(a)</t>
        </is>
      </c>
      <c r="G236" s="8" t="inlineStr">
        <is>
          <t>Supporting information/comments</t>
        </is>
      </c>
      <c r="H236" s="25">
        <f>IFERROR(IF(INDEX('Faculties'!$O$10:$O$30,MATCH($F236,'Faculties'!$B$10:$B$30,0))="","Cell will autofill based on response",INDEX('Faculties'!$O$10:$O$30,MATCH($F236,'Faculties'!$B$10:$B$30,0))),"N/A")</f>
        <v/>
      </c>
      <c r="I236" s="25">
        <f>IFERROR(IF(INDEX('Faculties'!$O$37:$O$57,MATCH($F236,'Faculties'!$B$37:$B$57,0))="","Cell will autofill based on response",INDEX('Faculties'!$O$37:$O$57,MATCH($F236,'Faculties'!$B$37:$B$57,0))),"N/A")</f>
        <v/>
      </c>
      <c r="J236" s="25">
        <f>IFERROR(IF(INDEX('Faculties'!$O$64:$O$84,MATCH($F236,'Faculties'!$B$64:$B$84,0))="","Cell will autofill based on response",INDEX('Faculties'!$O$64:$O$84,MATCH($F236,'Faculties'!$B$64:$B$84,0))),"N/A")</f>
        <v/>
      </c>
      <c r="K236" s="25">
        <f>IFERROR(IF(INDEX('Faculties'!$O$91:$O$111,MATCH($F236,'Faculties'!$B$91:$B$111,0))="","Cell will autofill based on response",INDEX('Faculties'!$O$91:$O$111,MATCH($F236,'Faculties'!$B$91:$B$111,0))),"N/A")</f>
        <v/>
      </c>
      <c r="L236" s="25">
        <f>IFERROR(IF(INDEX('CI&amp;S'!$O$10:$O$15,MATCH($F236,'CI&amp;S'!$B$10:$B$15,0))="","Cell will autofill based on response",INDEX('CI&amp;S'!$O$10:$O$15,MATCH($F236,'CI&amp;S'!$B$10:$B$15,0))),"N/A")</f>
        <v/>
      </c>
      <c r="M236" s="25">
        <f>IFERROR(IF(INDEX('CI&amp;S'!$O$22:$O$39,MATCH($F236,'CI&amp;S'!$B$22:$B$39,0))="","Cell will autofill based on response",INDEX('CI&amp;S'!$O$22:$O$39,MATCH($F236,'CI&amp;S'!$B$22:$B$39,0))),"N/A")</f>
        <v/>
      </c>
      <c r="N236" s="25">
        <f>IFERROR(IF(INDEX('CFOG'!$O$10:$O$16,MATCH($F236,'CFOG'!$B$10:$B$16,0))="","Cell will autofill based on response",INDEX('CFOG'!$O$10:$O$16,MATCH($F236,'CFOG'!$B$10:$B$16,0))),"N/A")</f>
        <v/>
      </c>
      <c r="O236" s="25">
        <f>IFERROR(IF(INDEX('CFOG'!$O$23:$O$24,MATCH($F236,'CFOG'!$B$23:$B$24,0))="","Cell will autofill based on response",INDEX('CFOG'!$O$23:$O$24,MATCH($F236,'CFOG'!$B$23:$B$24,0))),"N/A")</f>
        <v/>
      </c>
      <c r="P236" s="25">
        <f>IFERROR(IF(INDEX('ESG'!$O$10:$O$17,MATCH($F236,'ESG'!$B$10:$B$17,0))="","Cell will autofill based on response",INDEX('ESG'!$O$10:$O$17,MATCH($F236,'ESG'!$B$10:$B$17,0))),"N/A")</f>
        <v/>
      </c>
      <c r="Q236" s="25">
        <f>IFERROR(IF(INDEX('CIOG'!$O$10:$O$14,MATCH($F236,'CIOG'!$B$10:$B$14,0))="","Cell will autofill based on response",INDEX('CIOG'!$O$10:$O$14,MATCH($F236,'CIOG'!$B$10:$B$14,0))),"N/A")</f>
        <v/>
      </c>
      <c r="R236" s="25">
        <f>IFERROR(IF(INDEX('MRE'!$O$10:$O$12,MATCH($F236,'MRE'!$B$10:$B$12,0))="","Cell will autofill based on response",INDEX('MRE'!$O$10:$O$12,MATCH($F236,'MRE'!$B$10:$B$12,0))),"N/A")</f>
        <v/>
      </c>
      <c r="S236" s="25">
        <f>IFERROR(IF(INDEX('L&amp;R'!$O$10:$O$11,MATCH($F236,'L&amp;R'!$B$10:$B$11,0))="","Cell will autofill based on response",INDEX('L&amp;R'!$O$10:$O$11,MATCH($F236,'L&amp;R'!$B$10:$B$11,0))),"N/A")</f>
        <v/>
      </c>
    </row>
    <row r="237">
      <c r="A237">
        <f>F237&amp;"|"&amp;G237</f>
        <v/>
      </c>
      <c r="B237" s="29" t="inlineStr"/>
      <c r="C237" s="8" t="inlineStr"/>
      <c r="D237" s="8" t="inlineStr"/>
      <c r="E237" s="8" t="inlineStr"/>
      <c r="F237" s="8" t="inlineStr">
        <is>
          <t>CE2(a)</t>
        </is>
      </c>
      <c r="G237" s="8" t="inlineStr">
        <is>
          <t>Data source and limitations</t>
        </is>
      </c>
      <c r="H237" s="25">
        <f>IFERROR(IF(INDEX('Faculties'!$P$10:$P$30,MATCH($F237,'Faculties'!$B$10:$B$30,0))="","Cell will autofill based on response",INDEX('Faculties'!$P$10:$P$30,MATCH($F237,'Faculties'!$B$10:$B$30,0))),"N/A")</f>
        <v/>
      </c>
      <c r="I237" s="25">
        <f>IFERROR(IF(INDEX('Faculties'!$P$37:$P$57,MATCH($F237,'Faculties'!$B$37:$B$57,0))="","Cell will autofill based on response",INDEX('Faculties'!$P$37:$P$57,MATCH($F237,'Faculties'!$B$37:$B$57,0))),"N/A")</f>
        <v/>
      </c>
      <c r="J237" s="25">
        <f>IFERROR(IF(INDEX('Faculties'!$P$64:$P$84,MATCH($F237,'Faculties'!$B$64:$B$84,0))="","Cell will autofill based on response",INDEX('Faculties'!$P$64:$P$84,MATCH($F237,'Faculties'!$B$64:$B$84,0))),"N/A")</f>
        <v/>
      </c>
      <c r="K237" s="25">
        <f>IFERROR(IF(INDEX('Faculties'!$P$91:$P$111,MATCH($F237,'Faculties'!$B$91:$B$111,0))="","Cell will autofill based on response",INDEX('Faculties'!$P$91:$P$111,MATCH($F237,'Faculties'!$B$91:$B$111,0))),"N/A")</f>
        <v/>
      </c>
      <c r="L237" s="25">
        <f>IFERROR(IF(INDEX('CI&amp;S'!$P$10:$P$15,MATCH($F237,'CI&amp;S'!$B$10:$B$15,0))="","Cell will autofill based on response",INDEX('CI&amp;S'!$P$10:$P$15,MATCH($F237,'CI&amp;S'!$B$10:$B$15,0))),"N/A")</f>
        <v/>
      </c>
      <c r="M237" s="25">
        <f>IFERROR(IF(INDEX('CI&amp;S'!$P$22:$P$39,MATCH($F237,'CI&amp;S'!$B$22:$B$39,0))="","Cell will autofill based on response",INDEX('CI&amp;S'!$P$22:$P$39,MATCH($F237,'CI&amp;S'!$B$22:$B$39,0))),"N/A")</f>
        <v/>
      </c>
      <c r="N237" s="25">
        <f>IFERROR(IF(INDEX('CFOG'!$P$10:$P$16,MATCH($F237,'CFOG'!$B$10:$B$16,0))="","Cell will autofill based on response",INDEX('CFOG'!$P$10:$P$16,MATCH($F237,'CFOG'!$B$10:$B$16,0))),"N/A")</f>
        <v/>
      </c>
      <c r="O237" s="25">
        <f>IFERROR(IF(INDEX('CFOG'!$P$23:$P$24,MATCH($F237,'CFOG'!$B$23:$B$24,0))="","Cell will autofill based on response",INDEX('CFOG'!$P$23:$P$24,MATCH($F237,'CFOG'!$B$23:$B$24,0))),"N/A")</f>
        <v/>
      </c>
      <c r="P237" s="25">
        <f>IFERROR(IF(INDEX('ESG'!$P$10:$P$17,MATCH($F237,'ESG'!$B$10:$B$17,0))="","Cell will autofill based on response",INDEX('ESG'!$P$10:$P$17,MATCH($F237,'ESG'!$B$10:$B$17,0))),"N/A")</f>
        <v/>
      </c>
      <c r="Q237" s="25">
        <f>IFERROR(IF(INDEX('CIOG'!$P$10:$P$14,MATCH($F237,'CIOG'!$B$10:$B$14,0))="","Cell will autofill based on response",INDEX('CIOG'!$P$10:$P$14,MATCH($F237,'CIOG'!$B$10:$B$14,0))),"N/A")</f>
        <v/>
      </c>
      <c r="R237" s="25">
        <f>IFERROR(IF(INDEX('MRE'!$P$10:$P$12,MATCH($F237,'MRE'!$B$10:$B$12,0))="","Cell will autofill based on response",INDEX('MRE'!$P$10:$P$12,MATCH($F237,'MRE'!$B$10:$B$12,0))),"N/A")</f>
        <v/>
      </c>
      <c r="S237" s="25">
        <f>IFERROR(IF(INDEX('L&amp;R'!$P$10:$P$11,MATCH($F237,'L&amp;R'!$B$10:$B$11,0))="","Cell will autofill based on response",INDEX('L&amp;R'!$P$10:$P$11,MATCH($F237,'L&amp;R'!$B$10:$B$11,0))),"N/A")</f>
        <v/>
      </c>
    </row>
    <row r="238">
      <c r="A238">
        <f>F238&amp;"|"&amp;G238</f>
        <v/>
      </c>
      <c r="B238" s="29" t="inlineStr"/>
      <c r="C238" s="8" t="inlineStr"/>
      <c r="D238" s="8" t="inlineStr"/>
      <c r="E238" s="8" t="inlineStr"/>
      <c r="F238" s="8" t="inlineStr">
        <is>
          <t>CE2(a)</t>
        </is>
      </c>
      <c r="G238" s="8" t="inlineStr">
        <is>
          <t>Data owner confirms</t>
        </is>
      </c>
      <c r="H238" s="25">
        <f>IFERROR(IF(INDEX('Faculties'!$Q$10:$Q$30,MATCH($F238,'Faculties'!$B$10:$B$30,0))="","Cell will autofill based on response",INDEX('Faculties'!$Q$10:$Q$30,MATCH($F238,'Faculties'!$B$10:$B$30,0))),"N/A")</f>
        <v/>
      </c>
      <c r="I238" s="25">
        <f>IFERROR(IF(INDEX('Faculties'!$Q$37:$Q$57,MATCH($F238,'Faculties'!$B$37:$B$57,0))="","Cell will autofill based on response",INDEX('Faculties'!$Q$37:$Q$57,MATCH($F238,'Faculties'!$B$37:$B$57,0))),"N/A")</f>
        <v/>
      </c>
      <c r="J238" s="25">
        <f>IFERROR(IF(INDEX('Faculties'!$Q$64:$Q$84,MATCH($F238,'Faculties'!$B$64:$B$84,0))="","Cell will autofill based on response",INDEX('Faculties'!$Q$64:$Q$84,MATCH($F238,'Faculties'!$B$64:$B$84,0))),"N/A")</f>
        <v/>
      </c>
      <c r="K238" s="25">
        <f>IFERROR(IF(INDEX('Faculties'!$Q$91:$Q$111,MATCH($F238,'Faculties'!$B$91:$B$111,0))="","Cell will autofill based on response",INDEX('Faculties'!$Q$91:$Q$111,MATCH($F238,'Faculties'!$B$91:$B$111,0))),"N/A")</f>
        <v/>
      </c>
      <c r="L238" s="25">
        <f>IFERROR(IF(INDEX('CI&amp;S'!$Q$10:$Q$15,MATCH($F238,'CI&amp;S'!$B$10:$B$15,0))="","Cell will autofill based on response",INDEX('CI&amp;S'!$Q$10:$Q$15,MATCH($F238,'CI&amp;S'!$B$10:$B$15,0))),"N/A")</f>
        <v/>
      </c>
      <c r="M238" s="25">
        <f>IFERROR(IF(INDEX('CI&amp;S'!$Q$22:$Q$39,MATCH($F238,'CI&amp;S'!$B$22:$B$39,0))="","Cell will autofill based on response",INDEX('CI&amp;S'!$Q$22:$Q$39,MATCH($F238,'CI&amp;S'!$B$22:$B$39,0))),"N/A")</f>
        <v/>
      </c>
      <c r="N238" s="25">
        <f>IFERROR(IF(INDEX('CFOG'!$Q$10:$Q$16,MATCH($F238,'CFOG'!$B$10:$B$16,0))="","Cell will autofill based on response",INDEX('CFOG'!$Q$10:$Q$16,MATCH($F238,'CFOG'!$B$10:$B$16,0))),"N/A")</f>
        <v/>
      </c>
      <c r="O238" s="25">
        <f>IFERROR(IF(INDEX('CFOG'!$Q$23:$Q$24,MATCH($F238,'CFOG'!$B$23:$B$24,0))="","Cell will autofill based on response",INDEX('CFOG'!$Q$23:$Q$24,MATCH($F238,'CFOG'!$B$23:$B$24,0))),"N/A")</f>
        <v/>
      </c>
      <c r="P238" s="25">
        <f>IFERROR(IF(INDEX('ESG'!$Q$10:$Q$17,MATCH($F238,'ESG'!$B$10:$B$17,0))="","Cell will autofill based on response",INDEX('ESG'!$Q$10:$Q$17,MATCH($F238,'ESG'!$B$10:$B$17,0))),"N/A")</f>
        <v/>
      </c>
      <c r="Q238" s="25">
        <f>IFERROR(IF(INDEX('CIOG'!$Q$10:$Q$14,MATCH($F238,'CIOG'!$B$10:$B$14,0))="","Cell will autofill based on response",INDEX('CIOG'!$Q$10:$Q$14,MATCH($F238,'CIOG'!$B$10:$B$14,0))),"N/A")</f>
        <v/>
      </c>
      <c r="R238" s="25">
        <f>IFERROR(IF(INDEX('MRE'!$Q$10:$Q$12,MATCH($F238,'MRE'!$B$10:$B$12,0))="","Cell will autofill based on response",INDEX('MRE'!$Q$10:$Q$12,MATCH($F238,'MRE'!$B$10:$B$12,0))),"N/A")</f>
        <v/>
      </c>
      <c r="S238" s="25">
        <f>IFERROR(IF(INDEX('L&amp;R'!$Q$10:$Q$11,MATCH($F238,'L&amp;R'!$B$10:$B$11,0))="","Cell will autofill based on response",INDEX('L&amp;R'!$Q$10:$Q$11,MATCH($F238,'L&amp;R'!$B$10:$B$11,0))),"N/A")</f>
        <v/>
      </c>
    </row>
    <row r="239">
      <c r="A239">
        <f>F239&amp;"|"&amp;G239</f>
        <v/>
      </c>
      <c r="B239" s="7" t="inlineStr">
        <is>
          <t>RP1(a)</t>
        </is>
      </c>
      <c r="C239" s="12" t="inlineStr">
        <is>
          <t>Responsible procurement</t>
        </is>
      </c>
      <c r="D239" s="12" t="inlineStr">
        <is>
          <t>Case studies of maturity improvement related to responsible procurement process and systems.</t>
        </is>
      </c>
      <c r="E239" s="12" t="inlineStr">
        <is>
          <t>Maturity score if framework established; % procurement staff trained</t>
        </is>
      </c>
      <c r="F239" s="12" t="inlineStr">
        <is>
          <t>RP1(a)</t>
        </is>
      </c>
      <c r="G239" s="12" t="inlineStr">
        <is>
          <t>Confirm end-2026 target status</t>
        </is>
      </c>
      <c r="H239" s="25">
        <f>IFERROR(IF(INDEX('Faculties'!$L$10:$L$30,MATCH($F239,'Faculties'!$B$10:$B$30,0))="","Cell will autofill based on response",INDEX('Faculties'!$L$10:$L$30,MATCH($F239,'Faculties'!$B$10:$B$30,0))),"N/A")</f>
        <v/>
      </c>
      <c r="I239" s="25">
        <f>IFERROR(IF(INDEX('Faculties'!$L$37:$L$57,MATCH($F239,'Faculties'!$B$37:$B$57,0))="","Cell will autofill based on response",INDEX('Faculties'!$L$37:$L$57,MATCH($F239,'Faculties'!$B$37:$B$57,0))),"N/A")</f>
        <v/>
      </c>
      <c r="J239" s="25">
        <f>IFERROR(IF(INDEX('Faculties'!$L$64:$L$84,MATCH($F239,'Faculties'!$B$64:$B$84,0))="","Cell will autofill based on response",INDEX('Faculties'!$L$64:$L$84,MATCH($F239,'Faculties'!$B$64:$B$84,0))),"N/A")</f>
        <v/>
      </c>
      <c r="K239" s="25">
        <f>IFERROR(IF(INDEX('Faculties'!$L$91:$L$111,MATCH($F239,'Faculties'!$B$91:$B$111,0))="","Cell will autofill based on response",INDEX('Faculties'!$L$91:$L$111,MATCH($F239,'Faculties'!$B$91:$B$111,0))),"N/A")</f>
        <v/>
      </c>
      <c r="L239" s="25">
        <f>IFERROR(IF(INDEX('CI&amp;S'!$L$10:$L$15,MATCH($F239,'CI&amp;S'!$B$10:$B$15,0))="","Cell will autofill based on response",INDEX('CI&amp;S'!$L$10:$L$15,MATCH($F239,'CI&amp;S'!$B$10:$B$15,0))),"N/A")</f>
        <v/>
      </c>
      <c r="M239" s="25">
        <f>IFERROR(IF(INDEX('CI&amp;S'!$L$22:$L$39,MATCH($F239,'CI&amp;S'!$B$22:$B$39,0))="","Cell will autofill based on response",INDEX('CI&amp;S'!$L$22:$L$39,MATCH($F239,'CI&amp;S'!$B$22:$B$39,0))),"N/A")</f>
        <v/>
      </c>
      <c r="N239" s="25">
        <f>IFERROR(IF(INDEX('CFOG'!$L$10:$L$16,MATCH($F239,'CFOG'!$B$10:$B$16,0))="","Cell will autofill based on response",INDEX('CFOG'!$L$10:$L$16,MATCH($F239,'CFOG'!$B$10:$B$16,0))),"N/A")</f>
        <v/>
      </c>
      <c r="O239" s="25">
        <f>IFERROR(IF(INDEX('CFOG'!$L$23:$L$24,MATCH($F239,'CFOG'!$B$23:$B$24,0))="","Cell will autofill based on response",INDEX('CFOG'!$L$23:$L$24,MATCH($F239,'CFOG'!$B$23:$B$24,0))),"N/A")</f>
        <v/>
      </c>
      <c r="P239" s="25">
        <f>IFERROR(IF(INDEX('ESG'!$L$10:$L$17,MATCH($F239,'ESG'!$B$10:$B$17,0))="","Cell will autofill based on response",INDEX('ESG'!$L$10:$L$17,MATCH($F239,'ESG'!$B$10:$B$17,0))),"N/A")</f>
        <v/>
      </c>
      <c r="Q239" s="25">
        <f>IFERROR(IF(INDEX('CIOG'!$L$10:$L$14,MATCH($F239,'CIOG'!$B$10:$B$14,0))="","Cell will autofill based on response",INDEX('CIOG'!$L$10:$L$14,MATCH($F239,'CIOG'!$B$10:$B$14,0))),"N/A")</f>
        <v/>
      </c>
      <c r="R239" s="25">
        <f>IFERROR(IF(INDEX('MRE'!$L$10:$L$12,MATCH($F239,'MRE'!$B$10:$B$12,0))="","Cell will autofill based on response",INDEX('MRE'!$L$10:$L$12,MATCH($F239,'MRE'!$B$10:$B$12,0))),"N/A")</f>
        <v/>
      </c>
      <c r="S239" s="25">
        <f>IFERROR(IF(INDEX('L&amp;R'!$L$10:$L$11,MATCH($F239,'L&amp;R'!$B$10:$B$11,0))="","Cell will autofill based on response",INDEX('L&amp;R'!$L$10:$L$11,MATCH($F239,'L&amp;R'!$B$10:$B$11,0))),"N/A")</f>
        <v/>
      </c>
      <c r="U239" s="26">
        <f>COUNTIF($H239:$S239,"Cell will autofill based on response")</f>
        <v/>
      </c>
      <c r="V239" s="26">
        <f>COUNTIF($H239:$S239,"Not yet started")</f>
        <v/>
      </c>
      <c r="W239" s="26">
        <f>COUNTIF($H239:$S239,"Not met")</f>
        <v/>
      </c>
      <c r="X239" s="26">
        <f>COUNTIF($H239:$S239,"Partially met")</f>
        <v/>
      </c>
      <c r="Y239" s="26">
        <f>COUNTIF($H239:$S239,"Met or exceeded")</f>
        <v/>
      </c>
      <c r="Z239" s="26">
        <f>3*Y239+2*X239+W239</f>
        <v/>
      </c>
      <c r="AA239" s="26">
        <f>Y239+X239+W239+V239</f>
        <v/>
      </c>
      <c r="AB239" s="27">
        <f>IF(AA239&gt;0,Z239/AA239,"No valid responses to date")</f>
        <v/>
      </c>
      <c r="AC239" s="26">
        <f>IF(ISNUMBER(AB239),INDEX(Lists!$G$2:$G$5,MATCH(ROUND(AB239,0),Lists!$H$2:$H$5,0)),"")</f>
        <v/>
      </c>
      <c r="AD239" s="28">
        <f>IF(AA239&gt;0,Y239/AA239,"")</f>
        <v/>
      </c>
      <c r="AE239" s="28">
        <f>IF(AA239&gt;0,(Y239+X239)/AA239,"")</f>
        <v/>
      </c>
      <c r="AF239" s="26">
        <f>IF(AA239=0,"",IF(AD239&gt;0.75,"Met or exceeded",IF(AE239&gt;=0.5,"Partially met","Not met")))</f>
        <v/>
      </c>
    </row>
    <row r="240">
      <c r="A240">
        <f>F240&amp;"|"&amp;G240</f>
        <v/>
      </c>
      <c r="B240" s="29" t="inlineStr"/>
      <c r="C240" s="8" t="inlineStr"/>
      <c r="D240" s="8" t="inlineStr"/>
      <c r="E240" s="8" t="inlineStr"/>
      <c r="F240" s="8" t="inlineStr">
        <is>
          <t>RP1(a)</t>
        </is>
      </c>
      <c r="G240" s="8" t="inlineStr">
        <is>
          <t>OPTION 1:  Target-level reporting</t>
        </is>
      </c>
      <c r="H240" s="25">
        <f>IFERROR(IF(INDEX('Faculties'!$M$10:$M$30,MATCH($F240,'Faculties'!$B$10:$B$30,0))="","Cell will autofill based on response",INDEX('Faculties'!$M$10:$M$30,MATCH($F240,'Faculties'!$B$10:$B$30,0))),"N/A")</f>
        <v/>
      </c>
      <c r="I240" s="25">
        <f>IFERROR(IF(INDEX('Faculties'!$M$37:$M$57,MATCH($F240,'Faculties'!$B$37:$B$57,0))="","Cell will autofill based on response",INDEX('Faculties'!$M$37:$M$57,MATCH($F240,'Faculties'!$B$37:$B$57,0))),"N/A")</f>
        <v/>
      </c>
      <c r="J240" s="25">
        <f>IFERROR(IF(INDEX('Faculties'!$M$64:$M$84,MATCH($F240,'Faculties'!$B$64:$B$84,0))="","Cell will autofill based on response",INDEX('Faculties'!$M$64:$M$84,MATCH($F240,'Faculties'!$B$64:$B$84,0))),"N/A")</f>
        <v/>
      </c>
      <c r="K240" s="25">
        <f>IFERROR(IF(INDEX('Faculties'!$M$91:$M$111,MATCH($F240,'Faculties'!$B$91:$B$111,0))="","Cell will autofill based on response",INDEX('Faculties'!$M$91:$M$111,MATCH($F240,'Faculties'!$B$91:$B$111,0))),"N/A")</f>
        <v/>
      </c>
      <c r="L240" s="25">
        <f>IFERROR(IF(INDEX('CI&amp;S'!$M$10:$M$15,MATCH($F240,'CI&amp;S'!$B$10:$B$15,0))="","Cell will autofill based on response",INDEX('CI&amp;S'!$M$10:$M$15,MATCH($F240,'CI&amp;S'!$B$10:$B$15,0))),"N/A")</f>
        <v/>
      </c>
      <c r="M240" s="25">
        <f>IFERROR(IF(INDEX('CI&amp;S'!$M$22:$M$39,MATCH($F240,'CI&amp;S'!$B$22:$B$39,0))="","Cell will autofill based on response",INDEX('CI&amp;S'!$M$22:$M$39,MATCH($F240,'CI&amp;S'!$B$22:$B$39,0))),"N/A")</f>
        <v/>
      </c>
      <c r="N240" s="25">
        <f>IFERROR(IF(INDEX('CFOG'!$M$10:$M$16,MATCH($F240,'CFOG'!$B$10:$B$16,0))="","Cell will autofill based on response",INDEX('CFOG'!$M$10:$M$16,MATCH($F240,'CFOG'!$B$10:$B$16,0))),"N/A")</f>
        <v/>
      </c>
      <c r="O240" s="25">
        <f>IFERROR(IF(INDEX('CFOG'!$M$23:$M$24,MATCH($F240,'CFOG'!$B$23:$B$24,0))="","Cell will autofill based on response",INDEX('CFOG'!$M$23:$M$24,MATCH($F240,'CFOG'!$B$23:$B$24,0))),"N/A")</f>
        <v/>
      </c>
      <c r="P240" s="25">
        <f>IFERROR(IF(INDEX('ESG'!$M$10:$M$17,MATCH($F240,'ESG'!$B$10:$B$17,0))="","Cell will autofill based on response",INDEX('ESG'!$M$10:$M$17,MATCH($F240,'ESG'!$B$10:$B$17,0))),"N/A")</f>
        <v/>
      </c>
      <c r="Q240" s="25">
        <f>IFERROR(IF(INDEX('CIOG'!$M$10:$M$14,MATCH($F240,'CIOG'!$B$10:$B$14,0))="","Cell will autofill based on response",INDEX('CIOG'!$M$10:$M$14,MATCH($F240,'CIOG'!$B$10:$B$14,0))),"N/A")</f>
        <v/>
      </c>
      <c r="R240" s="25">
        <f>IFERROR(IF(INDEX('MRE'!$M$10:$M$12,MATCH($F240,'MRE'!$B$10:$B$12,0))="","Cell will autofill based on response",INDEX('MRE'!$M$10:$M$12,MATCH($F240,'MRE'!$B$10:$B$12,0))),"N/A")</f>
        <v/>
      </c>
      <c r="S240" s="25">
        <f>IFERROR(IF(INDEX('L&amp;R'!$M$10:$M$11,MATCH($F240,'L&amp;R'!$B$10:$B$11,0))="","Cell will autofill based on response",INDEX('L&amp;R'!$M$10:$M$11,MATCH($F240,'L&amp;R'!$B$10:$B$11,0))),"N/A")</f>
        <v/>
      </c>
    </row>
    <row r="241">
      <c r="A241">
        <f>F241&amp;"|"&amp;G241</f>
        <v/>
      </c>
      <c r="B241" s="29" t="inlineStr"/>
      <c r="C241" s="8" t="inlineStr"/>
      <c r="D241" s="8" t="inlineStr"/>
      <c r="E241" s="8" t="inlineStr"/>
      <c r="F241" s="8" t="inlineStr">
        <is>
          <t>RP1(a)</t>
        </is>
      </c>
      <c r="G241" s="8" t="inlineStr">
        <is>
          <t>OPTION 2:  Indicator level reporting</t>
        </is>
      </c>
      <c r="H241" s="25">
        <f>IFERROR(IF(INDEX('Faculties'!$N$10:$N$30,MATCH($F241,'Faculties'!$B$10:$B$30,0))="","Cell will autofill based on response",INDEX('Faculties'!$N$10:$N$30,MATCH($F241,'Faculties'!$B$10:$B$30,0))),"N/A")</f>
        <v/>
      </c>
      <c r="I241" s="25">
        <f>IFERROR(IF(INDEX('Faculties'!$N$37:$N$57,MATCH($F241,'Faculties'!$B$37:$B$57,0))="","Cell will autofill based on response",INDEX('Faculties'!$N$37:$N$57,MATCH($F241,'Faculties'!$B$37:$B$57,0))),"N/A")</f>
        <v/>
      </c>
      <c r="J241" s="25">
        <f>IFERROR(IF(INDEX('Faculties'!$N$64:$N$84,MATCH($F241,'Faculties'!$B$64:$B$84,0))="","Cell will autofill based on response",INDEX('Faculties'!$N$64:$N$84,MATCH($F241,'Faculties'!$B$64:$B$84,0))),"N/A")</f>
        <v/>
      </c>
      <c r="K241" s="25">
        <f>IFERROR(IF(INDEX('Faculties'!$N$91:$N$111,MATCH($F241,'Faculties'!$B$91:$B$111,0))="","Cell will autofill based on response",INDEX('Faculties'!$N$91:$N$111,MATCH($F241,'Faculties'!$B$91:$B$111,0))),"N/A")</f>
        <v/>
      </c>
      <c r="L241" s="25">
        <f>IFERROR(IF(INDEX('CI&amp;S'!$N$10:$N$15,MATCH($F241,'CI&amp;S'!$B$10:$B$15,0))="","Cell will autofill based on response",INDEX('CI&amp;S'!$N$10:$N$15,MATCH($F241,'CI&amp;S'!$B$10:$B$15,0))),"N/A")</f>
        <v/>
      </c>
      <c r="M241" s="25">
        <f>IFERROR(IF(INDEX('CI&amp;S'!$N$22:$N$39,MATCH($F241,'CI&amp;S'!$B$22:$B$39,0))="","Cell will autofill based on response",INDEX('CI&amp;S'!$N$22:$N$39,MATCH($F241,'CI&amp;S'!$B$22:$B$39,0))),"N/A")</f>
        <v/>
      </c>
      <c r="N241" s="25">
        <f>IFERROR(IF(INDEX('CFOG'!$N$10:$N$16,MATCH($F241,'CFOG'!$B$10:$B$16,0))="","Cell will autofill based on response",INDEX('CFOG'!$N$10:$N$16,MATCH($F241,'CFOG'!$B$10:$B$16,0))),"N/A")</f>
        <v/>
      </c>
      <c r="O241" s="25">
        <f>IFERROR(IF(INDEX('CFOG'!$N$23:$N$24,MATCH($F241,'CFOG'!$B$23:$B$24,0))="","Cell will autofill based on response",INDEX('CFOG'!$N$23:$N$24,MATCH($F241,'CFOG'!$B$23:$B$24,0))),"N/A")</f>
        <v/>
      </c>
      <c r="P241" s="25">
        <f>IFERROR(IF(INDEX('ESG'!$N$10:$N$17,MATCH($F241,'ESG'!$B$10:$B$17,0))="","Cell will autofill based on response",INDEX('ESG'!$N$10:$N$17,MATCH($F241,'ESG'!$B$10:$B$17,0))),"N/A")</f>
        <v/>
      </c>
      <c r="Q241" s="25">
        <f>IFERROR(IF(INDEX('CIOG'!$N$10:$N$14,MATCH($F241,'CIOG'!$B$10:$B$14,0))="","Cell will autofill based on response",INDEX('CIOG'!$N$10:$N$14,MATCH($F241,'CIOG'!$B$10:$B$14,0))),"N/A")</f>
        <v/>
      </c>
      <c r="R241" s="25">
        <f>IFERROR(IF(INDEX('MRE'!$N$10:$N$12,MATCH($F241,'MRE'!$B$10:$B$12,0))="","Cell will autofill based on response",INDEX('MRE'!$N$10:$N$12,MATCH($F241,'MRE'!$B$10:$B$12,0))),"N/A")</f>
        <v/>
      </c>
      <c r="S241" s="25">
        <f>IFERROR(IF(INDEX('L&amp;R'!$N$10:$N$11,MATCH($F241,'L&amp;R'!$B$10:$B$11,0))="","Cell will autofill based on response",INDEX('L&amp;R'!$N$10:$N$11,MATCH($F241,'L&amp;R'!$B$10:$B$11,0))),"N/A")</f>
        <v/>
      </c>
    </row>
    <row r="242">
      <c r="A242">
        <f>F242&amp;"|"&amp;G242</f>
        <v/>
      </c>
      <c r="B242" s="29" t="inlineStr"/>
      <c r="C242" s="8" t="inlineStr"/>
      <c r="D242" s="8" t="inlineStr"/>
      <c r="E242" s="8" t="inlineStr"/>
      <c r="F242" s="8" t="inlineStr">
        <is>
          <t>RP1(a)</t>
        </is>
      </c>
      <c r="G242" s="8" t="inlineStr">
        <is>
          <t>Supporting information/comments</t>
        </is>
      </c>
      <c r="H242" s="25">
        <f>IFERROR(IF(INDEX('Faculties'!$O$10:$O$30,MATCH($F242,'Faculties'!$B$10:$B$30,0))="","Cell will autofill based on response",INDEX('Faculties'!$O$10:$O$30,MATCH($F242,'Faculties'!$B$10:$B$30,0))),"N/A")</f>
        <v/>
      </c>
      <c r="I242" s="25">
        <f>IFERROR(IF(INDEX('Faculties'!$O$37:$O$57,MATCH($F242,'Faculties'!$B$37:$B$57,0))="","Cell will autofill based on response",INDEX('Faculties'!$O$37:$O$57,MATCH($F242,'Faculties'!$B$37:$B$57,0))),"N/A")</f>
        <v/>
      </c>
      <c r="J242" s="25">
        <f>IFERROR(IF(INDEX('Faculties'!$O$64:$O$84,MATCH($F242,'Faculties'!$B$64:$B$84,0))="","Cell will autofill based on response",INDEX('Faculties'!$O$64:$O$84,MATCH($F242,'Faculties'!$B$64:$B$84,0))),"N/A")</f>
        <v/>
      </c>
      <c r="K242" s="25">
        <f>IFERROR(IF(INDEX('Faculties'!$O$91:$O$111,MATCH($F242,'Faculties'!$B$91:$B$111,0))="","Cell will autofill based on response",INDEX('Faculties'!$O$91:$O$111,MATCH($F242,'Faculties'!$B$91:$B$111,0))),"N/A")</f>
        <v/>
      </c>
      <c r="L242" s="25">
        <f>IFERROR(IF(INDEX('CI&amp;S'!$O$10:$O$15,MATCH($F242,'CI&amp;S'!$B$10:$B$15,0))="","Cell will autofill based on response",INDEX('CI&amp;S'!$O$10:$O$15,MATCH($F242,'CI&amp;S'!$B$10:$B$15,0))),"N/A")</f>
        <v/>
      </c>
      <c r="M242" s="25">
        <f>IFERROR(IF(INDEX('CI&amp;S'!$O$22:$O$39,MATCH($F242,'CI&amp;S'!$B$22:$B$39,0))="","Cell will autofill based on response",INDEX('CI&amp;S'!$O$22:$O$39,MATCH($F242,'CI&amp;S'!$B$22:$B$39,0))),"N/A")</f>
        <v/>
      </c>
      <c r="N242" s="25">
        <f>IFERROR(IF(INDEX('CFOG'!$O$10:$O$16,MATCH($F242,'CFOG'!$B$10:$B$16,0))="","Cell will autofill based on response",INDEX('CFOG'!$O$10:$O$16,MATCH($F242,'CFOG'!$B$10:$B$16,0))),"N/A")</f>
        <v/>
      </c>
      <c r="O242" s="25">
        <f>IFERROR(IF(INDEX('CFOG'!$O$23:$O$24,MATCH($F242,'CFOG'!$B$23:$B$24,0))="","Cell will autofill based on response",INDEX('CFOG'!$O$23:$O$24,MATCH($F242,'CFOG'!$B$23:$B$24,0))),"N/A")</f>
        <v/>
      </c>
      <c r="P242" s="25">
        <f>IFERROR(IF(INDEX('ESG'!$O$10:$O$17,MATCH($F242,'ESG'!$B$10:$B$17,0))="","Cell will autofill based on response",INDEX('ESG'!$O$10:$O$17,MATCH($F242,'ESG'!$B$10:$B$17,0))),"N/A")</f>
        <v/>
      </c>
      <c r="Q242" s="25">
        <f>IFERROR(IF(INDEX('CIOG'!$O$10:$O$14,MATCH($F242,'CIOG'!$B$10:$B$14,0))="","Cell will autofill based on response",INDEX('CIOG'!$O$10:$O$14,MATCH($F242,'CIOG'!$B$10:$B$14,0))),"N/A")</f>
        <v/>
      </c>
      <c r="R242" s="25">
        <f>IFERROR(IF(INDEX('MRE'!$O$10:$O$12,MATCH($F242,'MRE'!$B$10:$B$12,0))="","Cell will autofill based on response",INDEX('MRE'!$O$10:$O$12,MATCH($F242,'MRE'!$B$10:$B$12,0))),"N/A")</f>
        <v/>
      </c>
      <c r="S242" s="25">
        <f>IFERROR(IF(INDEX('L&amp;R'!$O$10:$O$11,MATCH($F242,'L&amp;R'!$B$10:$B$11,0))="","Cell will autofill based on response",INDEX('L&amp;R'!$O$10:$O$11,MATCH($F242,'L&amp;R'!$B$10:$B$11,0))),"N/A")</f>
        <v/>
      </c>
    </row>
    <row r="243">
      <c r="A243">
        <f>F243&amp;"|"&amp;G243</f>
        <v/>
      </c>
      <c r="B243" s="29" t="inlineStr"/>
      <c r="C243" s="8" t="inlineStr"/>
      <c r="D243" s="8" t="inlineStr"/>
      <c r="E243" s="8" t="inlineStr"/>
      <c r="F243" s="8" t="inlineStr">
        <is>
          <t>RP1(a)</t>
        </is>
      </c>
      <c r="G243" s="8" t="inlineStr">
        <is>
          <t>Data source and limitations</t>
        </is>
      </c>
      <c r="H243" s="25">
        <f>IFERROR(IF(INDEX('Faculties'!$P$10:$P$30,MATCH($F243,'Faculties'!$B$10:$B$30,0))="","Cell will autofill based on response",INDEX('Faculties'!$P$10:$P$30,MATCH($F243,'Faculties'!$B$10:$B$30,0))),"N/A")</f>
        <v/>
      </c>
      <c r="I243" s="25">
        <f>IFERROR(IF(INDEX('Faculties'!$P$37:$P$57,MATCH($F243,'Faculties'!$B$37:$B$57,0))="","Cell will autofill based on response",INDEX('Faculties'!$P$37:$P$57,MATCH($F243,'Faculties'!$B$37:$B$57,0))),"N/A")</f>
        <v/>
      </c>
      <c r="J243" s="25">
        <f>IFERROR(IF(INDEX('Faculties'!$P$64:$P$84,MATCH($F243,'Faculties'!$B$64:$B$84,0))="","Cell will autofill based on response",INDEX('Faculties'!$P$64:$P$84,MATCH($F243,'Faculties'!$B$64:$B$84,0))),"N/A")</f>
        <v/>
      </c>
      <c r="K243" s="25">
        <f>IFERROR(IF(INDEX('Faculties'!$P$91:$P$111,MATCH($F243,'Faculties'!$B$91:$B$111,0))="","Cell will autofill based on response",INDEX('Faculties'!$P$91:$P$111,MATCH($F243,'Faculties'!$B$91:$B$111,0))),"N/A")</f>
        <v/>
      </c>
      <c r="L243" s="25">
        <f>IFERROR(IF(INDEX('CI&amp;S'!$P$10:$P$15,MATCH($F243,'CI&amp;S'!$B$10:$B$15,0))="","Cell will autofill based on response",INDEX('CI&amp;S'!$P$10:$P$15,MATCH($F243,'CI&amp;S'!$B$10:$B$15,0))),"N/A")</f>
        <v/>
      </c>
      <c r="M243" s="25">
        <f>IFERROR(IF(INDEX('CI&amp;S'!$P$22:$P$39,MATCH($F243,'CI&amp;S'!$B$22:$B$39,0))="","Cell will autofill based on response",INDEX('CI&amp;S'!$P$22:$P$39,MATCH($F243,'CI&amp;S'!$B$22:$B$39,0))),"N/A")</f>
        <v/>
      </c>
      <c r="N243" s="25">
        <f>IFERROR(IF(INDEX('CFOG'!$P$10:$P$16,MATCH($F243,'CFOG'!$B$10:$B$16,0))="","Cell will autofill based on response",INDEX('CFOG'!$P$10:$P$16,MATCH($F243,'CFOG'!$B$10:$B$16,0))),"N/A")</f>
        <v/>
      </c>
      <c r="O243" s="25">
        <f>IFERROR(IF(INDEX('CFOG'!$P$23:$P$24,MATCH($F243,'CFOG'!$B$23:$B$24,0))="","Cell will autofill based on response",INDEX('CFOG'!$P$23:$P$24,MATCH($F243,'CFOG'!$B$23:$B$24,0))),"N/A")</f>
        <v/>
      </c>
      <c r="P243" s="25">
        <f>IFERROR(IF(INDEX('ESG'!$P$10:$P$17,MATCH($F243,'ESG'!$B$10:$B$17,0))="","Cell will autofill based on response",INDEX('ESG'!$P$10:$P$17,MATCH($F243,'ESG'!$B$10:$B$17,0))),"N/A")</f>
        <v/>
      </c>
      <c r="Q243" s="25">
        <f>IFERROR(IF(INDEX('CIOG'!$P$10:$P$14,MATCH($F243,'CIOG'!$B$10:$B$14,0))="","Cell will autofill based on response",INDEX('CIOG'!$P$10:$P$14,MATCH($F243,'CIOG'!$B$10:$B$14,0))),"N/A")</f>
        <v/>
      </c>
      <c r="R243" s="25">
        <f>IFERROR(IF(INDEX('MRE'!$P$10:$P$12,MATCH($F243,'MRE'!$B$10:$B$12,0))="","Cell will autofill based on response",INDEX('MRE'!$P$10:$P$12,MATCH($F243,'MRE'!$B$10:$B$12,0))),"N/A")</f>
        <v/>
      </c>
      <c r="S243" s="25">
        <f>IFERROR(IF(INDEX('L&amp;R'!$P$10:$P$11,MATCH($F243,'L&amp;R'!$B$10:$B$11,0))="","Cell will autofill based on response",INDEX('L&amp;R'!$P$10:$P$11,MATCH($F243,'L&amp;R'!$B$10:$B$11,0))),"N/A")</f>
        <v/>
      </c>
    </row>
    <row r="244">
      <c r="A244">
        <f>F244&amp;"|"&amp;G244</f>
        <v/>
      </c>
      <c r="B244" s="29" t="inlineStr"/>
      <c r="C244" s="8" t="inlineStr"/>
      <c r="D244" s="8" t="inlineStr"/>
      <c r="E244" s="8" t="inlineStr"/>
      <c r="F244" s="8" t="inlineStr">
        <is>
          <t>RP1(a)</t>
        </is>
      </c>
      <c r="G244" s="8" t="inlineStr">
        <is>
          <t>Data owner confirms</t>
        </is>
      </c>
      <c r="H244" s="25">
        <f>IFERROR(IF(INDEX('Faculties'!$Q$10:$Q$30,MATCH($F244,'Faculties'!$B$10:$B$30,0))="","Cell will autofill based on response",INDEX('Faculties'!$Q$10:$Q$30,MATCH($F244,'Faculties'!$B$10:$B$30,0))),"N/A")</f>
        <v/>
      </c>
      <c r="I244" s="25">
        <f>IFERROR(IF(INDEX('Faculties'!$Q$37:$Q$57,MATCH($F244,'Faculties'!$B$37:$B$57,0))="","Cell will autofill based on response",INDEX('Faculties'!$Q$37:$Q$57,MATCH($F244,'Faculties'!$B$37:$B$57,0))),"N/A")</f>
        <v/>
      </c>
      <c r="J244" s="25">
        <f>IFERROR(IF(INDEX('Faculties'!$Q$64:$Q$84,MATCH($F244,'Faculties'!$B$64:$B$84,0))="","Cell will autofill based on response",INDEX('Faculties'!$Q$64:$Q$84,MATCH($F244,'Faculties'!$B$64:$B$84,0))),"N/A")</f>
        <v/>
      </c>
      <c r="K244" s="25">
        <f>IFERROR(IF(INDEX('Faculties'!$Q$91:$Q$111,MATCH($F244,'Faculties'!$B$91:$B$111,0))="","Cell will autofill based on response",INDEX('Faculties'!$Q$91:$Q$111,MATCH($F244,'Faculties'!$B$91:$B$111,0))),"N/A")</f>
        <v/>
      </c>
      <c r="L244" s="25">
        <f>IFERROR(IF(INDEX('CI&amp;S'!$Q$10:$Q$15,MATCH($F244,'CI&amp;S'!$B$10:$B$15,0))="","Cell will autofill based on response",INDEX('CI&amp;S'!$Q$10:$Q$15,MATCH($F244,'CI&amp;S'!$B$10:$B$15,0))),"N/A")</f>
        <v/>
      </c>
      <c r="M244" s="25">
        <f>IFERROR(IF(INDEX('CI&amp;S'!$Q$22:$Q$39,MATCH($F244,'CI&amp;S'!$B$22:$B$39,0))="","Cell will autofill based on response",INDEX('CI&amp;S'!$Q$22:$Q$39,MATCH($F244,'CI&amp;S'!$B$22:$B$39,0))),"N/A")</f>
        <v/>
      </c>
      <c r="N244" s="25">
        <f>IFERROR(IF(INDEX('CFOG'!$Q$10:$Q$16,MATCH($F244,'CFOG'!$B$10:$B$16,0))="","Cell will autofill based on response",INDEX('CFOG'!$Q$10:$Q$16,MATCH($F244,'CFOG'!$B$10:$B$16,0))),"N/A")</f>
        <v/>
      </c>
      <c r="O244" s="25">
        <f>IFERROR(IF(INDEX('CFOG'!$Q$23:$Q$24,MATCH($F244,'CFOG'!$B$23:$B$24,0))="","Cell will autofill based on response",INDEX('CFOG'!$Q$23:$Q$24,MATCH($F244,'CFOG'!$B$23:$B$24,0))),"N/A")</f>
        <v/>
      </c>
      <c r="P244" s="25">
        <f>IFERROR(IF(INDEX('ESG'!$Q$10:$Q$17,MATCH($F244,'ESG'!$B$10:$B$17,0))="","Cell will autofill based on response",INDEX('ESG'!$Q$10:$Q$17,MATCH($F244,'ESG'!$B$10:$B$17,0))),"N/A")</f>
        <v/>
      </c>
      <c r="Q244" s="25">
        <f>IFERROR(IF(INDEX('CIOG'!$Q$10:$Q$14,MATCH($F244,'CIOG'!$B$10:$B$14,0))="","Cell will autofill based on response",INDEX('CIOG'!$Q$10:$Q$14,MATCH($F244,'CIOG'!$B$10:$B$14,0))),"N/A")</f>
        <v/>
      </c>
      <c r="R244" s="25">
        <f>IFERROR(IF(INDEX('MRE'!$Q$10:$Q$12,MATCH($F244,'MRE'!$B$10:$B$12,0))="","Cell will autofill based on response",INDEX('MRE'!$Q$10:$Q$12,MATCH($F244,'MRE'!$B$10:$B$12,0))),"N/A")</f>
        <v/>
      </c>
      <c r="S244" s="25">
        <f>IFERROR(IF(INDEX('L&amp;R'!$Q$10:$Q$11,MATCH($F244,'L&amp;R'!$B$10:$B$11,0))="","Cell will autofill based on response",INDEX('L&amp;R'!$Q$10:$Q$11,MATCH($F244,'L&amp;R'!$B$10:$B$11,0))),"N/A")</f>
        <v/>
      </c>
    </row>
    <row r="245">
      <c r="A245">
        <f>F245&amp;"|"&amp;G245</f>
        <v/>
      </c>
      <c r="B245" s="7" t="inlineStr">
        <is>
          <t>RP2(a)</t>
        </is>
      </c>
      <c r="C245" s="12" t="inlineStr">
        <is>
          <t>Responsible procurement</t>
        </is>
      </c>
      <c r="D245" s="12" t="inlineStr">
        <is>
          <t>Percentage of Indigenous spend of total addressable procurement spend</t>
        </is>
      </c>
      <c r="E245" s="12" t="inlineStr">
        <is>
          <t>Percentage of Indigenous spend of total addressable procurement spend</t>
        </is>
      </c>
      <c r="F245" s="12" t="inlineStr">
        <is>
          <t>RP2(a)</t>
        </is>
      </c>
      <c r="G245" s="12" t="inlineStr">
        <is>
          <t>Confirm end-2026 target status</t>
        </is>
      </c>
      <c r="H245" s="25">
        <f>IFERROR(IF(INDEX('Faculties'!$L$10:$L$30,MATCH($F245,'Faculties'!$B$10:$B$30,0))="","Cell will autofill based on response",INDEX('Faculties'!$L$10:$L$30,MATCH($F245,'Faculties'!$B$10:$B$30,0))),"N/A")</f>
        <v/>
      </c>
      <c r="I245" s="25">
        <f>IFERROR(IF(INDEX('Faculties'!$L$37:$L$57,MATCH($F245,'Faculties'!$B$37:$B$57,0))="","Cell will autofill based on response",INDEX('Faculties'!$L$37:$L$57,MATCH($F245,'Faculties'!$B$37:$B$57,0))),"N/A")</f>
        <v/>
      </c>
      <c r="J245" s="25">
        <f>IFERROR(IF(INDEX('Faculties'!$L$64:$L$84,MATCH($F245,'Faculties'!$B$64:$B$84,0))="","Cell will autofill based on response",INDEX('Faculties'!$L$64:$L$84,MATCH($F245,'Faculties'!$B$64:$B$84,0))),"N/A")</f>
        <v/>
      </c>
      <c r="K245" s="25">
        <f>IFERROR(IF(INDEX('Faculties'!$L$91:$L$111,MATCH($F245,'Faculties'!$B$91:$B$111,0))="","Cell will autofill based on response",INDEX('Faculties'!$L$91:$L$111,MATCH($F245,'Faculties'!$B$91:$B$111,0))),"N/A")</f>
        <v/>
      </c>
      <c r="L245" s="25">
        <f>IFERROR(IF(INDEX('CI&amp;S'!$L$10:$L$15,MATCH($F245,'CI&amp;S'!$B$10:$B$15,0))="","Cell will autofill based on response",INDEX('CI&amp;S'!$L$10:$L$15,MATCH($F245,'CI&amp;S'!$B$10:$B$15,0))),"N/A")</f>
        <v/>
      </c>
      <c r="M245" s="25">
        <f>IFERROR(IF(INDEX('CI&amp;S'!$L$22:$L$39,MATCH($F245,'CI&amp;S'!$B$22:$B$39,0))="","Cell will autofill based on response",INDEX('CI&amp;S'!$L$22:$L$39,MATCH($F245,'CI&amp;S'!$B$22:$B$39,0))),"N/A")</f>
        <v/>
      </c>
      <c r="N245" s="25">
        <f>IFERROR(IF(INDEX('CFOG'!$L$10:$L$16,MATCH($F245,'CFOG'!$B$10:$B$16,0))="","Cell will autofill based on response",INDEX('CFOG'!$L$10:$L$16,MATCH($F245,'CFOG'!$B$10:$B$16,0))),"N/A")</f>
        <v/>
      </c>
      <c r="O245" s="25">
        <f>IFERROR(IF(INDEX('CFOG'!$L$23:$L$24,MATCH($F245,'CFOG'!$B$23:$B$24,0))="","Cell will autofill based on response",INDEX('CFOG'!$L$23:$L$24,MATCH($F245,'CFOG'!$B$23:$B$24,0))),"N/A")</f>
        <v/>
      </c>
      <c r="P245" s="25">
        <f>IFERROR(IF(INDEX('ESG'!$L$10:$L$17,MATCH($F245,'ESG'!$B$10:$B$17,0))="","Cell will autofill based on response",INDEX('ESG'!$L$10:$L$17,MATCH($F245,'ESG'!$B$10:$B$17,0))),"N/A")</f>
        <v/>
      </c>
      <c r="Q245" s="25">
        <f>IFERROR(IF(INDEX('CIOG'!$L$10:$L$14,MATCH($F245,'CIOG'!$B$10:$B$14,0))="","Cell will autofill based on response",INDEX('CIOG'!$L$10:$L$14,MATCH($F245,'CIOG'!$B$10:$B$14,0))),"N/A")</f>
        <v/>
      </c>
      <c r="R245" s="25">
        <f>IFERROR(IF(INDEX('MRE'!$L$10:$L$12,MATCH($F245,'MRE'!$B$10:$B$12,0))="","Cell will autofill based on response",INDEX('MRE'!$L$10:$L$12,MATCH($F245,'MRE'!$B$10:$B$12,0))),"N/A")</f>
        <v/>
      </c>
      <c r="S245" s="25">
        <f>IFERROR(IF(INDEX('L&amp;R'!$L$10:$L$11,MATCH($F245,'L&amp;R'!$B$10:$B$11,0))="","Cell will autofill based on response",INDEX('L&amp;R'!$L$10:$L$11,MATCH($F245,'L&amp;R'!$B$10:$B$11,0))),"N/A")</f>
        <v/>
      </c>
      <c r="U245" s="26">
        <f>COUNTIF($H245:$S245,"Cell will autofill based on response")</f>
        <v/>
      </c>
      <c r="V245" s="26">
        <f>COUNTIF($H245:$S245,"Not yet started")</f>
        <v/>
      </c>
      <c r="W245" s="26">
        <f>COUNTIF($H245:$S245,"Not met")</f>
        <v/>
      </c>
      <c r="X245" s="26">
        <f>COUNTIF($H245:$S245,"Partially met")</f>
        <v/>
      </c>
      <c r="Y245" s="26">
        <f>COUNTIF($H245:$S245,"Met or exceeded")</f>
        <v/>
      </c>
      <c r="Z245" s="26">
        <f>3*Y245+2*X245+W245</f>
        <v/>
      </c>
      <c r="AA245" s="26">
        <f>Y245+X245+W245+V245</f>
        <v/>
      </c>
      <c r="AB245" s="27">
        <f>IF(AA245&gt;0,Z245/AA245,"No valid responses to date")</f>
        <v/>
      </c>
      <c r="AC245" s="26">
        <f>IF(ISNUMBER(AB245),INDEX(Lists!$G$2:$G$5,MATCH(ROUND(AB245,0),Lists!$H$2:$H$5,0)),"")</f>
        <v/>
      </c>
      <c r="AD245" s="28">
        <f>IF(AA245&gt;0,Y245/AA245,"")</f>
        <v/>
      </c>
      <c r="AE245" s="28">
        <f>IF(AA245&gt;0,(Y245+X245)/AA245,"")</f>
        <v/>
      </c>
      <c r="AF245" s="26">
        <f>IF(AA245=0,"",IF(AD245&gt;0.75,"Met or exceeded",IF(AE245&gt;=0.5,"Partially met","Not met")))</f>
        <v/>
      </c>
    </row>
    <row r="246">
      <c r="A246">
        <f>F246&amp;"|"&amp;G246</f>
        <v/>
      </c>
      <c r="B246" s="29" t="inlineStr"/>
      <c r="C246" s="8" t="inlineStr"/>
      <c r="D246" s="8" t="inlineStr"/>
      <c r="E246" s="8" t="inlineStr"/>
      <c r="F246" s="8" t="inlineStr">
        <is>
          <t>RP2(a)</t>
        </is>
      </c>
      <c r="G246" s="8" t="inlineStr">
        <is>
          <t>OPTION 1:  Target-level reporting</t>
        </is>
      </c>
      <c r="H246" s="25">
        <f>IFERROR(IF(INDEX('Faculties'!$M$10:$M$30,MATCH($F246,'Faculties'!$B$10:$B$30,0))="","Cell will autofill based on response",INDEX('Faculties'!$M$10:$M$30,MATCH($F246,'Faculties'!$B$10:$B$30,0))),"N/A")</f>
        <v/>
      </c>
      <c r="I246" s="25">
        <f>IFERROR(IF(INDEX('Faculties'!$M$37:$M$57,MATCH($F246,'Faculties'!$B$37:$B$57,0))="","Cell will autofill based on response",INDEX('Faculties'!$M$37:$M$57,MATCH($F246,'Faculties'!$B$37:$B$57,0))),"N/A")</f>
        <v/>
      </c>
      <c r="J246" s="25">
        <f>IFERROR(IF(INDEX('Faculties'!$M$64:$M$84,MATCH($F246,'Faculties'!$B$64:$B$84,0))="","Cell will autofill based on response",INDEX('Faculties'!$M$64:$M$84,MATCH($F246,'Faculties'!$B$64:$B$84,0))),"N/A")</f>
        <v/>
      </c>
      <c r="K246" s="25">
        <f>IFERROR(IF(INDEX('Faculties'!$M$91:$M$111,MATCH($F246,'Faculties'!$B$91:$B$111,0))="","Cell will autofill based on response",INDEX('Faculties'!$M$91:$M$111,MATCH($F246,'Faculties'!$B$91:$B$111,0))),"N/A")</f>
        <v/>
      </c>
      <c r="L246" s="25">
        <f>IFERROR(IF(INDEX('CI&amp;S'!$M$10:$M$15,MATCH($F246,'CI&amp;S'!$B$10:$B$15,0))="","Cell will autofill based on response",INDEX('CI&amp;S'!$M$10:$M$15,MATCH($F246,'CI&amp;S'!$B$10:$B$15,0))),"N/A")</f>
        <v/>
      </c>
      <c r="M246" s="25">
        <f>IFERROR(IF(INDEX('CI&amp;S'!$M$22:$M$39,MATCH($F246,'CI&amp;S'!$B$22:$B$39,0))="","Cell will autofill based on response",INDEX('CI&amp;S'!$M$22:$M$39,MATCH($F246,'CI&amp;S'!$B$22:$B$39,0))),"N/A")</f>
        <v/>
      </c>
      <c r="N246" s="25">
        <f>IFERROR(IF(INDEX('CFOG'!$M$10:$M$16,MATCH($F246,'CFOG'!$B$10:$B$16,0))="","Cell will autofill based on response",INDEX('CFOG'!$M$10:$M$16,MATCH($F246,'CFOG'!$B$10:$B$16,0))),"N/A")</f>
        <v/>
      </c>
      <c r="O246" s="25">
        <f>IFERROR(IF(INDEX('CFOG'!$M$23:$M$24,MATCH($F246,'CFOG'!$B$23:$B$24,0))="","Cell will autofill based on response",INDEX('CFOG'!$M$23:$M$24,MATCH($F246,'CFOG'!$B$23:$B$24,0))),"N/A")</f>
        <v/>
      </c>
      <c r="P246" s="25">
        <f>IFERROR(IF(INDEX('ESG'!$M$10:$M$17,MATCH($F246,'ESG'!$B$10:$B$17,0))="","Cell will autofill based on response",INDEX('ESG'!$M$10:$M$17,MATCH($F246,'ESG'!$B$10:$B$17,0))),"N/A")</f>
        <v/>
      </c>
      <c r="Q246" s="25">
        <f>IFERROR(IF(INDEX('CIOG'!$M$10:$M$14,MATCH($F246,'CIOG'!$B$10:$B$14,0))="","Cell will autofill based on response",INDEX('CIOG'!$M$10:$M$14,MATCH($F246,'CIOG'!$B$10:$B$14,0))),"N/A")</f>
        <v/>
      </c>
      <c r="R246" s="25">
        <f>IFERROR(IF(INDEX('MRE'!$M$10:$M$12,MATCH($F246,'MRE'!$B$10:$B$12,0))="","Cell will autofill based on response",INDEX('MRE'!$M$10:$M$12,MATCH($F246,'MRE'!$B$10:$B$12,0))),"N/A")</f>
        <v/>
      </c>
      <c r="S246" s="25">
        <f>IFERROR(IF(INDEX('L&amp;R'!$M$10:$M$11,MATCH($F246,'L&amp;R'!$B$10:$B$11,0))="","Cell will autofill based on response",INDEX('L&amp;R'!$M$10:$M$11,MATCH($F246,'L&amp;R'!$B$10:$B$11,0))),"N/A")</f>
        <v/>
      </c>
    </row>
    <row r="247">
      <c r="A247">
        <f>F247&amp;"|"&amp;G247</f>
        <v/>
      </c>
      <c r="B247" s="29" t="inlineStr"/>
      <c r="C247" s="8" t="inlineStr"/>
      <c r="D247" s="8" t="inlineStr"/>
      <c r="E247" s="8" t="inlineStr"/>
      <c r="F247" s="8" t="inlineStr">
        <is>
          <t>RP2(a)</t>
        </is>
      </c>
      <c r="G247" s="8" t="inlineStr">
        <is>
          <t>OPTION 2:  Indicator level reporting</t>
        </is>
      </c>
      <c r="H247" s="25">
        <f>IFERROR(IF(INDEX('Faculties'!$N$10:$N$30,MATCH($F247,'Faculties'!$B$10:$B$30,0))="","Cell will autofill based on response",INDEX('Faculties'!$N$10:$N$30,MATCH($F247,'Faculties'!$B$10:$B$30,0))),"N/A")</f>
        <v/>
      </c>
      <c r="I247" s="25">
        <f>IFERROR(IF(INDEX('Faculties'!$N$37:$N$57,MATCH($F247,'Faculties'!$B$37:$B$57,0))="","Cell will autofill based on response",INDEX('Faculties'!$N$37:$N$57,MATCH($F247,'Faculties'!$B$37:$B$57,0))),"N/A")</f>
        <v/>
      </c>
      <c r="J247" s="25">
        <f>IFERROR(IF(INDEX('Faculties'!$N$64:$N$84,MATCH($F247,'Faculties'!$B$64:$B$84,0))="","Cell will autofill based on response",INDEX('Faculties'!$N$64:$N$84,MATCH($F247,'Faculties'!$B$64:$B$84,0))),"N/A")</f>
        <v/>
      </c>
      <c r="K247" s="25">
        <f>IFERROR(IF(INDEX('Faculties'!$N$91:$N$111,MATCH($F247,'Faculties'!$B$91:$B$111,0))="","Cell will autofill based on response",INDEX('Faculties'!$N$91:$N$111,MATCH($F247,'Faculties'!$B$91:$B$111,0))),"N/A")</f>
        <v/>
      </c>
      <c r="L247" s="25">
        <f>IFERROR(IF(INDEX('CI&amp;S'!$N$10:$N$15,MATCH($F247,'CI&amp;S'!$B$10:$B$15,0))="","Cell will autofill based on response",INDEX('CI&amp;S'!$N$10:$N$15,MATCH($F247,'CI&amp;S'!$B$10:$B$15,0))),"N/A")</f>
        <v/>
      </c>
      <c r="M247" s="25">
        <f>IFERROR(IF(INDEX('CI&amp;S'!$N$22:$N$39,MATCH($F247,'CI&amp;S'!$B$22:$B$39,0))="","Cell will autofill based on response",INDEX('CI&amp;S'!$N$22:$N$39,MATCH($F247,'CI&amp;S'!$B$22:$B$39,0))),"N/A")</f>
        <v/>
      </c>
      <c r="N247" s="25">
        <f>IFERROR(IF(INDEX('CFOG'!$N$10:$N$16,MATCH($F247,'CFOG'!$B$10:$B$16,0))="","Cell will autofill based on response",INDEX('CFOG'!$N$10:$N$16,MATCH($F247,'CFOG'!$B$10:$B$16,0))),"N/A")</f>
        <v/>
      </c>
      <c r="O247" s="25">
        <f>IFERROR(IF(INDEX('CFOG'!$N$23:$N$24,MATCH($F247,'CFOG'!$B$23:$B$24,0))="","Cell will autofill based on response",INDEX('CFOG'!$N$23:$N$24,MATCH($F247,'CFOG'!$B$23:$B$24,0))),"N/A")</f>
        <v/>
      </c>
      <c r="P247" s="25">
        <f>IFERROR(IF(INDEX('ESG'!$N$10:$N$17,MATCH($F247,'ESG'!$B$10:$B$17,0))="","Cell will autofill based on response",INDEX('ESG'!$N$10:$N$17,MATCH($F247,'ESG'!$B$10:$B$17,0))),"N/A")</f>
        <v/>
      </c>
      <c r="Q247" s="25">
        <f>IFERROR(IF(INDEX('CIOG'!$N$10:$N$14,MATCH($F247,'CIOG'!$B$10:$B$14,0))="","Cell will autofill based on response",INDEX('CIOG'!$N$10:$N$14,MATCH($F247,'CIOG'!$B$10:$B$14,0))),"N/A")</f>
        <v/>
      </c>
      <c r="R247" s="25">
        <f>IFERROR(IF(INDEX('MRE'!$N$10:$N$12,MATCH($F247,'MRE'!$B$10:$B$12,0))="","Cell will autofill based on response",INDEX('MRE'!$N$10:$N$12,MATCH($F247,'MRE'!$B$10:$B$12,0))),"N/A")</f>
        <v/>
      </c>
      <c r="S247" s="25">
        <f>IFERROR(IF(INDEX('L&amp;R'!$N$10:$N$11,MATCH($F247,'L&amp;R'!$B$10:$B$11,0))="","Cell will autofill based on response",INDEX('L&amp;R'!$N$10:$N$11,MATCH($F247,'L&amp;R'!$B$10:$B$11,0))),"N/A")</f>
        <v/>
      </c>
    </row>
    <row r="248">
      <c r="A248">
        <f>F248&amp;"|"&amp;G248</f>
        <v/>
      </c>
      <c r="B248" s="29" t="inlineStr"/>
      <c r="C248" s="8" t="inlineStr"/>
      <c r="D248" s="8" t="inlineStr"/>
      <c r="E248" s="8" t="inlineStr"/>
      <c r="F248" s="8" t="inlineStr">
        <is>
          <t>RP2(a)</t>
        </is>
      </c>
      <c r="G248" s="8" t="inlineStr">
        <is>
          <t>Supporting information/comments</t>
        </is>
      </c>
      <c r="H248" s="25">
        <f>IFERROR(IF(INDEX('Faculties'!$O$10:$O$30,MATCH($F248,'Faculties'!$B$10:$B$30,0))="","Cell will autofill based on response",INDEX('Faculties'!$O$10:$O$30,MATCH($F248,'Faculties'!$B$10:$B$30,0))),"N/A")</f>
        <v/>
      </c>
      <c r="I248" s="25">
        <f>IFERROR(IF(INDEX('Faculties'!$O$37:$O$57,MATCH($F248,'Faculties'!$B$37:$B$57,0))="","Cell will autofill based on response",INDEX('Faculties'!$O$37:$O$57,MATCH($F248,'Faculties'!$B$37:$B$57,0))),"N/A")</f>
        <v/>
      </c>
      <c r="J248" s="25">
        <f>IFERROR(IF(INDEX('Faculties'!$O$64:$O$84,MATCH($F248,'Faculties'!$B$64:$B$84,0))="","Cell will autofill based on response",INDEX('Faculties'!$O$64:$O$84,MATCH($F248,'Faculties'!$B$64:$B$84,0))),"N/A")</f>
        <v/>
      </c>
      <c r="K248" s="25">
        <f>IFERROR(IF(INDEX('Faculties'!$O$91:$O$111,MATCH($F248,'Faculties'!$B$91:$B$111,0))="","Cell will autofill based on response",INDEX('Faculties'!$O$91:$O$111,MATCH($F248,'Faculties'!$B$91:$B$111,0))),"N/A")</f>
        <v/>
      </c>
      <c r="L248" s="25">
        <f>IFERROR(IF(INDEX('CI&amp;S'!$O$10:$O$15,MATCH($F248,'CI&amp;S'!$B$10:$B$15,0))="","Cell will autofill based on response",INDEX('CI&amp;S'!$O$10:$O$15,MATCH($F248,'CI&amp;S'!$B$10:$B$15,0))),"N/A")</f>
        <v/>
      </c>
      <c r="M248" s="25">
        <f>IFERROR(IF(INDEX('CI&amp;S'!$O$22:$O$39,MATCH($F248,'CI&amp;S'!$B$22:$B$39,0))="","Cell will autofill based on response",INDEX('CI&amp;S'!$O$22:$O$39,MATCH($F248,'CI&amp;S'!$B$22:$B$39,0))),"N/A")</f>
        <v/>
      </c>
      <c r="N248" s="25">
        <f>IFERROR(IF(INDEX('CFOG'!$O$10:$O$16,MATCH($F248,'CFOG'!$B$10:$B$16,0))="","Cell will autofill based on response",INDEX('CFOG'!$O$10:$O$16,MATCH($F248,'CFOG'!$B$10:$B$16,0))),"N/A")</f>
        <v/>
      </c>
      <c r="O248" s="25">
        <f>IFERROR(IF(INDEX('CFOG'!$O$23:$O$24,MATCH($F248,'CFOG'!$B$23:$B$24,0))="","Cell will autofill based on response",INDEX('CFOG'!$O$23:$O$24,MATCH($F248,'CFOG'!$B$23:$B$24,0))),"N/A")</f>
        <v/>
      </c>
      <c r="P248" s="25">
        <f>IFERROR(IF(INDEX('ESG'!$O$10:$O$17,MATCH($F248,'ESG'!$B$10:$B$17,0))="","Cell will autofill based on response",INDEX('ESG'!$O$10:$O$17,MATCH($F248,'ESG'!$B$10:$B$17,0))),"N/A")</f>
        <v/>
      </c>
      <c r="Q248" s="25">
        <f>IFERROR(IF(INDEX('CIOG'!$O$10:$O$14,MATCH($F248,'CIOG'!$B$10:$B$14,0))="","Cell will autofill based on response",INDEX('CIOG'!$O$10:$O$14,MATCH($F248,'CIOG'!$B$10:$B$14,0))),"N/A")</f>
        <v/>
      </c>
      <c r="R248" s="25">
        <f>IFERROR(IF(INDEX('MRE'!$O$10:$O$12,MATCH($F248,'MRE'!$B$10:$B$12,0))="","Cell will autofill based on response",INDEX('MRE'!$O$10:$O$12,MATCH($F248,'MRE'!$B$10:$B$12,0))),"N/A")</f>
        <v/>
      </c>
      <c r="S248" s="25">
        <f>IFERROR(IF(INDEX('L&amp;R'!$O$10:$O$11,MATCH($F248,'L&amp;R'!$B$10:$B$11,0))="","Cell will autofill based on response",INDEX('L&amp;R'!$O$10:$O$11,MATCH($F248,'L&amp;R'!$B$10:$B$11,0))),"N/A")</f>
        <v/>
      </c>
    </row>
    <row r="249">
      <c r="A249">
        <f>F249&amp;"|"&amp;G249</f>
        <v/>
      </c>
      <c r="B249" s="29" t="inlineStr"/>
      <c r="C249" s="8" t="inlineStr"/>
      <c r="D249" s="8" t="inlineStr"/>
      <c r="E249" s="8" t="inlineStr"/>
      <c r="F249" s="8" t="inlineStr">
        <is>
          <t>RP2(a)</t>
        </is>
      </c>
      <c r="G249" s="8" t="inlineStr">
        <is>
          <t>Data source and limitations</t>
        </is>
      </c>
      <c r="H249" s="25">
        <f>IFERROR(IF(INDEX('Faculties'!$P$10:$P$30,MATCH($F249,'Faculties'!$B$10:$B$30,0))="","Cell will autofill based on response",INDEX('Faculties'!$P$10:$P$30,MATCH($F249,'Faculties'!$B$10:$B$30,0))),"N/A")</f>
        <v/>
      </c>
      <c r="I249" s="25">
        <f>IFERROR(IF(INDEX('Faculties'!$P$37:$P$57,MATCH($F249,'Faculties'!$B$37:$B$57,0))="","Cell will autofill based on response",INDEX('Faculties'!$P$37:$P$57,MATCH($F249,'Faculties'!$B$37:$B$57,0))),"N/A")</f>
        <v/>
      </c>
      <c r="J249" s="25">
        <f>IFERROR(IF(INDEX('Faculties'!$P$64:$P$84,MATCH($F249,'Faculties'!$B$64:$B$84,0))="","Cell will autofill based on response",INDEX('Faculties'!$P$64:$P$84,MATCH($F249,'Faculties'!$B$64:$B$84,0))),"N/A")</f>
        <v/>
      </c>
      <c r="K249" s="25">
        <f>IFERROR(IF(INDEX('Faculties'!$P$91:$P$111,MATCH($F249,'Faculties'!$B$91:$B$111,0))="","Cell will autofill based on response",INDEX('Faculties'!$P$91:$P$111,MATCH($F249,'Faculties'!$B$91:$B$111,0))),"N/A")</f>
        <v/>
      </c>
      <c r="L249" s="25">
        <f>IFERROR(IF(INDEX('CI&amp;S'!$P$10:$P$15,MATCH($F249,'CI&amp;S'!$B$10:$B$15,0))="","Cell will autofill based on response",INDEX('CI&amp;S'!$P$10:$P$15,MATCH($F249,'CI&amp;S'!$B$10:$B$15,0))),"N/A")</f>
        <v/>
      </c>
      <c r="M249" s="25">
        <f>IFERROR(IF(INDEX('CI&amp;S'!$P$22:$P$39,MATCH($F249,'CI&amp;S'!$B$22:$B$39,0))="","Cell will autofill based on response",INDEX('CI&amp;S'!$P$22:$P$39,MATCH($F249,'CI&amp;S'!$B$22:$B$39,0))),"N/A")</f>
        <v/>
      </c>
      <c r="N249" s="25">
        <f>IFERROR(IF(INDEX('CFOG'!$P$10:$P$16,MATCH($F249,'CFOG'!$B$10:$B$16,0))="","Cell will autofill based on response",INDEX('CFOG'!$P$10:$P$16,MATCH($F249,'CFOG'!$B$10:$B$16,0))),"N/A")</f>
        <v/>
      </c>
      <c r="O249" s="25">
        <f>IFERROR(IF(INDEX('CFOG'!$P$23:$P$24,MATCH($F249,'CFOG'!$B$23:$B$24,0))="","Cell will autofill based on response",INDEX('CFOG'!$P$23:$P$24,MATCH($F249,'CFOG'!$B$23:$B$24,0))),"N/A")</f>
        <v/>
      </c>
      <c r="P249" s="25">
        <f>IFERROR(IF(INDEX('ESG'!$P$10:$P$17,MATCH($F249,'ESG'!$B$10:$B$17,0))="","Cell will autofill based on response",INDEX('ESG'!$P$10:$P$17,MATCH($F249,'ESG'!$B$10:$B$17,0))),"N/A")</f>
        <v/>
      </c>
      <c r="Q249" s="25">
        <f>IFERROR(IF(INDEX('CIOG'!$P$10:$P$14,MATCH($F249,'CIOG'!$B$10:$B$14,0))="","Cell will autofill based on response",INDEX('CIOG'!$P$10:$P$14,MATCH($F249,'CIOG'!$B$10:$B$14,0))),"N/A")</f>
        <v/>
      </c>
      <c r="R249" s="25">
        <f>IFERROR(IF(INDEX('MRE'!$P$10:$P$12,MATCH($F249,'MRE'!$B$10:$B$12,0))="","Cell will autofill based on response",INDEX('MRE'!$P$10:$P$12,MATCH($F249,'MRE'!$B$10:$B$12,0))),"N/A")</f>
        <v/>
      </c>
      <c r="S249" s="25">
        <f>IFERROR(IF(INDEX('L&amp;R'!$P$10:$P$11,MATCH($F249,'L&amp;R'!$B$10:$B$11,0))="","Cell will autofill based on response",INDEX('L&amp;R'!$P$10:$P$11,MATCH($F249,'L&amp;R'!$B$10:$B$11,0))),"N/A")</f>
        <v/>
      </c>
    </row>
    <row r="250">
      <c r="A250">
        <f>F250&amp;"|"&amp;G250</f>
        <v/>
      </c>
      <c r="B250" s="29" t="inlineStr"/>
      <c r="C250" s="8" t="inlineStr"/>
      <c r="D250" s="8" t="inlineStr"/>
      <c r="E250" s="8" t="inlineStr"/>
      <c r="F250" s="8" t="inlineStr">
        <is>
          <t>RP2(a)</t>
        </is>
      </c>
      <c r="G250" s="8" t="inlineStr">
        <is>
          <t>Data owner confirms</t>
        </is>
      </c>
      <c r="H250" s="25">
        <f>IFERROR(IF(INDEX('Faculties'!$Q$10:$Q$30,MATCH($F250,'Faculties'!$B$10:$B$30,0))="","Cell will autofill based on response",INDEX('Faculties'!$Q$10:$Q$30,MATCH($F250,'Faculties'!$B$10:$B$30,0))),"N/A")</f>
        <v/>
      </c>
      <c r="I250" s="25">
        <f>IFERROR(IF(INDEX('Faculties'!$Q$37:$Q$57,MATCH($F250,'Faculties'!$B$37:$B$57,0))="","Cell will autofill based on response",INDEX('Faculties'!$Q$37:$Q$57,MATCH($F250,'Faculties'!$B$37:$B$57,0))),"N/A")</f>
        <v/>
      </c>
      <c r="J250" s="25">
        <f>IFERROR(IF(INDEX('Faculties'!$Q$64:$Q$84,MATCH($F250,'Faculties'!$B$64:$B$84,0))="","Cell will autofill based on response",INDEX('Faculties'!$Q$64:$Q$84,MATCH($F250,'Faculties'!$B$64:$B$84,0))),"N/A")</f>
        <v/>
      </c>
      <c r="K250" s="25">
        <f>IFERROR(IF(INDEX('Faculties'!$Q$91:$Q$111,MATCH($F250,'Faculties'!$B$91:$B$111,0))="","Cell will autofill based on response",INDEX('Faculties'!$Q$91:$Q$111,MATCH($F250,'Faculties'!$B$91:$B$111,0))),"N/A")</f>
        <v/>
      </c>
      <c r="L250" s="25">
        <f>IFERROR(IF(INDEX('CI&amp;S'!$Q$10:$Q$15,MATCH($F250,'CI&amp;S'!$B$10:$B$15,0))="","Cell will autofill based on response",INDEX('CI&amp;S'!$Q$10:$Q$15,MATCH($F250,'CI&amp;S'!$B$10:$B$15,0))),"N/A")</f>
        <v/>
      </c>
      <c r="M250" s="25">
        <f>IFERROR(IF(INDEX('CI&amp;S'!$Q$22:$Q$39,MATCH($F250,'CI&amp;S'!$B$22:$B$39,0))="","Cell will autofill based on response",INDEX('CI&amp;S'!$Q$22:$Q$39,MATCH($F250,'CI&amp;S'!$B$22:$B$39,0))),"N/A")</f>
        <v/>
      </c>
      <c r="N250" s="25">
        <f>IFERROR(IF(INDEX('CFOG'!$Q$10:$Q$16,MATCH($F250,'CFOG'!$B$10:$B$16,0))="","Cell will autofill based on response",INDEX('CFOG'!$Q$10:$Q$16,MATCH($F250,'CFOG'!$B$10:$B$16,0))),"N/A")</f>
        <v/>
      </c>
      <c r="O250" s="25">
        <f>IFERROR(IF(INDEX('CFOG'!$Q$23:$Q$24,MATCH($F250,'CFOG'!$B$23:$B$24,0))="","Cell will autofill based on response",INDEX('CFOG'!$Q$23:$Q$24,MATCH($F250,'CFOG'!$B$23:$B$24,0))),"N/A")</f>
        <v/>
      </c>
      <c r="P250" s="25">
        <f>IFERROR(IF(INDEX('ESG'!$Q$10:$Q$17,MATCH($F250,'ESG'!$B$10:$B$17,0))="","Cell will autofill based on response",INDEX('ESG'!$Q$10:$Q$17,MATCH($F250,'ESG'!$B$10:$B$17,0))),"N/A")</f>
        <v/>
      </c>
      <c r="Q250" s="25">
        <f>IFERROR(IF(INDEX('CIOG'!$Q$10:$Q$14,MATCH($F250,'CIOG'!$B$10:$B$14,0))="","Cell will autofill based on response",INDEX('CIOG'!$Q$10:$Q$14,MATCH($F250,'CIOG'!$B$10:$B$14,0))),"N/A")</f>
        <v/>
      </c>
      <c r="R250" s="25">
        <f>IFERROR(IF(INDEX('MRE'!$Q$10:$Q$12,MATCH($F250,'MRE'!$B$10:$B$12,0))="","Cell will autofill based on response",INDEX('MRE'!$Q$10:$Q$12,MATCH($F250,'MRE'!$B$10:$B$12,0))),"N/A")</f>
        <v/>
      </c>
      <c r="S250" s="25">
        <f>IFERROR(IF(INDEX('L&amp;R'!$Q$10:$Q$11,MATCH($F250,'L&amp;R'!$B$10:$B$11,0))="","Cell will autofill based on response",INDEX('L&amp;R'!$Q$10:$Q$11,MATCH($F250,'L&amp;R'!$B$10:$B$11,0))),"N/A")</f>
        <v/>
      </c>
    </row>
    <row r="251">
      <c r="A251">
        <f>F251&amp;"|"&amp;G251</f>
        <v/>
      </c>
      <c r="B251" s="7" t="inlineStr">
        <is>
          <t>RP2(b)</t>
        </is>
      </c>
      <c r="C251" s="12" t="inlineStr">
        <is>
          <t>Responsible procurement</t>
        </is>
      </c>
      <c r="D251" s="12" t="inlineStr">
        <is>
          <t>Percentage of social spend of total addressable procurement spend.</t>
        </is>
      </c>
      <c r="E251" s="12" t="inlineStr">
        <is>
          <t>Percentage of social spend of total addressable procurement spend.</t>
        </is>
      </c>
      <c r="F251" s="12" t="inlineStr">
        <is>
          <t>RP2(b)</t>
        </is>
      </c>
      <c r="G251" s="12" t="inlineStr">
        <is>
          <t>Confirm end-2026 target status</t>
        </is>
      </c>
      <c r="H251" s="25">
        <f>IFERROR(IF(INDEX('Faculties'!$L$10:$L$30,MATCH($F251,'Faculties'!$B$10:$B$30,0))="","Cell will autofill based on response",INDEX('Faculties'!$L$10:$L$30,MATCH($F251,'Faculties'!$B$10:$B$30,0))),"N/A")</f>
        <v/>
      </c>
      <c r="I251" s="25">
        <f>IFERROR(IF(INDEX('Faculties'!$L$37:$L$57,MATCH($F251,'Faculties'!$B$37:$B$57,0))="","Cell will autofill based on response",INDEX('Faculties'!$L$37:$L$57,MATCH($F251,'Faculties'!$B$37:$B$57,0))),"N/A")</f>
        <v/>
      </c>
      <c r="J251" s="25">
        <f>IFERROR(IF(INDEX('Faculties'!$L$64:$L$84,MATCH($F251,'Faculties'!$B$64:$B$84,0))="","Cell will autofill based on response",INDEX('Faculties'!$L$64:$L$84,MATCH($F251,'Faculties'!$B$64:$B$84,0))),"N/A")</f>
        <v/>
      </c>
      <c r="K251" s="25">
        <f>IFERROR(IF(INDEX('Faculties'!$L$91:$L$111,MATCH($F251,'Faculties'!$B$91:$B$111,0))="","Cell will autofill based on response",INDEX('Faculties'!$L$91:$L$111,MATCH($F251,'Faculties'!$B$91:$B$111,0))),"N/A")</f>
        <v/>
      </c>
      <c r="L251" s="25">
        <f>IFERROR(IF(INDEX('CI&amp;S'!$L$10:$L$15,MATCH($F251,'CI&amp;S'!$B$10:$B$15,0))="","Cell will autofill based on response",INDEX('CI&amp;S'!$L$10:$L$15,MATCH($F251,'CI&amp;S'!$B$10:$B$15,0))),"N/A")</f>
        <v/>
      </c>
      <c r="M251" s="25">
        <f>IFERROR(IF(INDEX('CI&amp;S'!$L$22:$L$39,MATCH($F251,'CI&amp;S'!$B$22:$B$39,0))="","Cell will autofill based on response",INDEX('CI&amp;S'!$L$22:$L$39,MATCH($F251,'CI&amp;S'!$B$22:$B$39,0))),"N/A")</f>
        <v/>
      </c>
      <c r="N251" s="25">
        <f>IFERROR(IF(INDEX('CFOG'!$L$10:$L$16,MATCH($F251,'CFOG'!$B$10:$B$16,0))="","Cell will autofill based on response",INDEX('CFOG'!$L$10:$L$16,MATCH($F251,'CFOG'!$B$10:$B$16,0))),"N/A")</f>
        <v/>
      </c>
      <c r="O251" s="25">
        <f>IFERROR(IF(INDEX('CFOG'!$L$23:$L$24,MATCH($F251,'CFOG'!$B$23:$B$24,0))="","Cell will autofill based on response",INDEX('CFOG'!$L$23:$L$24,MATCH($F251,'CFOG'!$B$23:$B$24,0))),"N/A")</f>
        <v/>
      </c>
      <c r="P251" s="25">
        <f>IFERROR(IF(INDEX('ESG'!$L$10:$L$17,MATCH($F251,'ESG'!$B$10:$B$17,0))="","Cell will autofill based on response",INDEX('ESG'!$L$10:$L$17,MATCH($F251,'ESG'!$B$10:$B$17,0))),"N/A")</f>
        <v/>
      </c>
      <c r="Q251" s="25">
        <f>IFERROR(IF(INDEX('CIOG'!$L$10:$L$14,MATCH($F251,'CIOG'!$B$10:$B$14,0))="","Cell will autofill based on response",INDEX('CIOG'!$L$10:$L$14,MATCH($F251,'CIOG'!$B$10:$B$14,0))),"N/A")</f>
        <v/>
      </c>
      <c r="R251" s="25">
        <f>IFERROR(IF(INDEX('MRE'!$L$10:$L$12,MATCH($F251,'MRE'!$B$10:$B$12,0))="","Cell will autofill based on response",INDEX('MRE'!$L$10:$L$12,MATCH($F251,'MRE'!$B$10:$B$12,0))),"N/A")</f>
        <v/>
      </c>
      <c r="S251" s="25">
        <f>IFERROR(IF(INDEX('L&amp;R'!$L$10:$L$11,MATCH($F251,'L&amp;R'!$B$10:$B$11,0))="","Cell will autofill based on response",INDEX('L&amp;R'!$L$10:$L$11,MATCH($F251,'L&amp;R'!$B$10:$B$11,0))),"N/A")</f>
        <v/>
      </c>
      <c r="U251" s="26">
        <f>COUNTIF($H251:$S251,"Cell will autofill based on response")</f>
        <v/>
      </c>
      <c r="V251" s="26">
        <f>COUNTIF($H251:$S251,"Not yet started")</f>
        <v/>
      </c>
      <c r="W251" s="26">
        <f>COUNTIF($H251:$S251,"Not met")</f>
        <v/>
      </c>
      <c r="X251" s="26">
        <f>COUNTIF($H251:$S251,"Partially met")</f>
        <v/>
      </c>
      <c r="Y251" s="26">
        <f>COUNTIF($H251:$S251,"Met or exceeded")</f>
        <v/>
      </c>
      <c r="Z251" s="26">
        <f>3*Y251+2*X251+W251</f>
        <v/>
      </c>
      <c r="AA251" s="26">
        <f>Y251+X251+W251+V251</f>
        <v/>
      </c>
      <c r="AB251" s="27">
        <f>IF(AA251&gt;0,Z251/AA251,"No valid responses to date")</f>
        <v/>
      </c>
      <c r="AC251" s="26">
        <f>IF(ISNUMBER(AB251),INDEX(Lists!$G$2:$G$5,MATCH(ROUND(AB251,0),Lists!$H$2:$H$5,0)),"")</f>
        <v/>
      </c>
      <c r="AD251" s="28">
        <f>IF(AA251&gt;0,Y251/AA251,"")</f>
        <v/>
      </c>
      <c r="AE251" s="28">
        <f>IF(AA251&gt;0,(Y251+X251)/AA251,"")</f>
        <v/>
      </c>
      <c r="AF251" s="26">
        <f>IF(AA251=0,"",IF(AD251&gt;0.75,"Met or exceeded",IF(AE251&gt;=0.5,"Partially met","Not met")))</f>
        <v/>
      </c>
    </row>
    <row r="252">
      <c r="A252">
        <f>F252&amp;"|"&amp;G252</f>
        <v/>
      </c>
      <c r="B252" s="29" t="inlineStr"/>
      <c r="C252" s="8" t="inlineStr"/>
      <c r="D252" s="8" t="inlineStr"/>
      <c r="E252" s="8" t="inlineStr"/>
      <c r="F252" s="8" t="inlineStr">
        <is>
          <t>RP2(b)</t>
        </is>
      </c>
      <c r="G252" s="8" t="inlineStr">
        <is>
          <t>OPTION 1:  Target-level reporting</t>
        </is>
      </c>
      <c r="H252" s="25">
        <f>IFERROR(IF(INDEX('Faculties'!$M$10:$M$30,MATCH($F252,'Faculties'!$B$10:$B$30,0))="","Cell will autofill based on response",INDEX('Faculties'!$M$10:$M$30,MATCH($F252,'Faculties'!$B$10:$B$30,0))),"N/A")</f>
        <v/>
      </c>
      <c r="I252" s="25">
        <f>IFERROR(IF(INDEX('Faculties'!$M$37:$M$57,MATCH($F252,'Faculties'!$B$37:$B$57,0))="","Cell will autofill based on response",INDEX('Faculties'!$M$37:$M$57,MATCH($F252,'Faculties'!$B$37:$B$57,0))),"N/A")</f>
        <v/>
      </c>
      <c r="J252" s="25">
        <f>IFERROR(IF(INDEX('Faculties'!$M$64:$M$84,MATCH($F252,'Faculties'!$B$64:$B$84,0))="","Cell will autofill based on response",INDEX('Faculties'!$M$64:$M$84,MATCH($F252,'Faculties'!$B$64:$B$84,0))),"N/A")</f>
        <v/>
      </c>
      <c r="K252" s="25">
        <f>IFERROR(IF(INDEX('Faculties'!$M$91:$M$111,MATCH($F252,'Faculties'!$B$91:$B$111,0))="","Cell will autofill based on response",INDEX('Faculties'!$M$91:$M$111,MATCH($F252,'Faculties'!$B$91:$B$111,0))),"N/A")</f>
        <v/>
      </c>
      <c r="L252" s="25">
        <f>IFERROR(IF(INDEX('CI&amp;S'!$M$10:$M$15,MATCH($F252,'CI&amp;S'!$B$10:$B$15,0))="","Cell will autofill based on response",INDEX('CI&amp;S'!$M$10:$M$15,MATCH($F252,'CI&amp;S'!$B$10:$B$15,0))),"N/A")</f>
        <v/>
      </c>
      <c r="M252" s="25">
        <f>IFERROR(IF(INDEX('CI&amp;S'!$M$22:$M$39,MATCH($F252,'CI&amp;S'!$B$22:$B$39,0))="","Cell will autofill based on response",INDEX('CI&amp;S'!$M$22:$M$39,MATCH($F252,'CI&amp;S'!$B$22:$B$39,0))),"N/A")</f>
        <v/>
      </c>
      <c r="N252" s="25">
        <f>IFERROR(IF(INDEX('CFOG'!$M$10:$M$16,MATCH($F252,'CFOG'!$B$10:$B$16,0))="","Cell will autofill based on response",INDEX('CFOG'!$M$10:$M$16,MATCH($F252,'CFOG'!$B$10:$B$16,0))),"N/A")</f>
        <v/>
      </c>
      <c r="O252" s="25">
        <f>IFERROR(IF(INDEX('CFOG'!$M$23:$M$24,MATCH($F252,'CFOG'!$B$23:$B$24,0))="","Cell will autofill based on response",INDEX('CFOG'!$M$23:$M$24,MATCH($F252,'CFOG'!$B$23:$B$24,0))),"N/A")</f>
        <v/>
      </c>
      <c r="P252" s="25">
        <f>IFERROR(IF(INDEX('ESG'!$M$10:$M$17,MATCH($F252,'ESG'!$B$10:$B$17,0))="","Cell will autofill based on response",INDEX('ESG'!$M$10:$M$17,MATCH($F252,'ESG'!$B$10:$B$17,0))),"N/A")</f>
        <v/>
      </c>
      <c r="Q252" s="25">
        <f>IFERROR(IF(INDEX('CIOG'!$M$10:$M$14,MATCH($F252,'CIOG'!$B$10:$B$14,0))="","Cell will autofill based on response",INDEX('CIOG'!$M$10:$M$14,MATCH($F252,'CIOG'!$B$10:$B$14,0))),"N/A")</f>
        <v/>
      </c>
      <c r="R252" s="25">
        <f>IFERROR(IF(INDEX('MRE'!$M$10:$M$12,MATCH($F252,'MRE'!$B$10:$B$12,0))="","Cell will autofill based on response",INDEX('MRE'!$M$10:$M$12,MATCH($F252,'MRE'!$B$10:$B$12,0))),"N/A")</f>
        <v/>
      </c>
      <c r="S252" s="25">
        <f>IFERROR(IF(INDEX('L&amp;R'!$M$10:$M$11,MATCH($F252,'L&amp;R'!$B$10:$B$11,0))="","Cell will autofill based on response",INDEX('L&amp;R'!$M$10:$M$11,MATCH($F252,'L&amp;R'!$B$10:$B$11,0))),"N/A")</f>
        <v/>
      </c>
    </row>
    <row r="253">
      <c r="A253">
        <f>F253&amp;"|"&amp;G253</f>
        <v/>
      </c>
      <c r="B253" s="29" t="inlineStr"/>
      <c r="C253" s="8" t="inlineStr"/>
      <c r="D253" s="8" t="inlineStr"/>
      <c r="E253" s="8" t="inlineStr"/>
      <c r="F253" s="8" t="inlineStr">
        <is>
          <t>RP2(b)</t>
        </is>
      </c>
      <c r="G253" s="8" t="inlineStr">
        <is>
          <t>OPTION 2:  Indicator level reporting</t>
        </is>
      </c>
      <c r="H253" s="25">
        <f>IFERROR(IF(INDEX('Faculties'!$N$10:$N$30,MATCH($F253,'Faculties'!$B$10:$B$30,0))="","Cell will autofill based on response",INDEX('Faculties'!$N$10:$N$30,MATCH($F253,'Faculties'!$B$10:$B$30,0))),"N/A")</f>
        <v/>
      </c>
      <c r="I253" s="25">
        <f>IFERROR(IF(INDEX('Faculties'!$N$37:$N$57,MATCH($F253,'Faculties'!$B$37:$B$57,0))="","Cell will autofill based on response",INDEX('Faculties'!$N$37:$N$57,MATCH($F253,'Faculties'!$B$37:$B$57,0))),"N/A")</f>
        <v/>
      </c>
      <c r="J253" s="25">
        <f>IFERROR(IF(INDEX('Faculties'!$N$64:$N$84,MATCH($F253,'Faculties'!$B$64:$B$84,0))="","Cell will autofill based on response",INDEX('Faculties'!$N$64:$N$84,MATCH($F253,'Faculties'!$B$64:$B$84,0))),"N/A")</f>
        <v/>
      </c>
      <c r="K253" s="25">
        <f>IFERROR(IF(INDEX('Faculties'!$N$91:$N$111,MATCH($F253,'Faculties'!$B$91:$B$111,0))="","Cell will autofill based on response",INDEX('Faculties'!$N$91:$N$111,MATCH($F253,'Faculties'!$B$91:$B$111,0))),"N/A")</f>
        <v/>
      </c>
      <c r="L253" s="25">
        <f>IFERROR(IF(INDEX('CI&amp;S'!$N$10:$N$15,MATCH($F253,'CI&amp;S'!$B$10:$B$15,0))="","Cell will autofill based on response",INDEX('CI&amp;S'!$N$10:$N$15,MATCH($F253,'CI&amp;S'!$B$10:$B$15,0))),"N/A")</f>
        <v/>
      </c>
      <c r="M253" s="25">
        <f>IFERROR(IF(INDEX('CI&amp;S'!$N$22:$N$39,MATCH($F253,'CI&amp;S'!$B$22:$B$39,0))="","Cell will autofill based on response",INDEX('CI&amp;S'!$N$22:$N$39,MATCH($F253,'CI&amp;S'!$B$22:$B$39,0))),"N/A")</f>
        <v/>
      </c>
      <c r="N253" s="25">
        <f>IFERROR(IF(INDEX('CFOG'!$N$10:$N$16,MATCH($F253,'CFOG'!$B$10:$B$16,0))="","Cell will autofill based on response",INDEX('CFOG'!$N$10:$N$16,MATCH($F253,'CFOG'!$B$10:$B$16,0))),"N/A")</f>
        <v/>
      </c>
      <c r="O253" s="25">
        <f>IFERROR(IF(INDEX('CFOG'!$N$23:$N$24,MATCH($F253,'CFOG'!$B$23:$B$24,0))="","Cell will autofill based on response",INDEX('CFOG'!$N$23:$N$24,MATCH($F253,'CFOG'!$B$23:$B$24,0))),"N/A")</f>
        <v/>
      </c>
      <c r="P253" s="25">
        <f>IFERROR(IF(INDEX('ESG'!$N$10:$N$17,MATCH($F253,'ESG'!$B$10:$B$17,0))="","Cell will autofill based on response",INDEX('ESG'!$N$10:$N$17,MATCH($F253,'ESG'!$B$10:$B$17,0))),"N/A")</f>
        <v/>
      </c>
      <c r="Q253" s="25">
        <f>IFERROR(IF(INDEX('CIOG'!$N$10:$N$14,MATCH($F253,'CIOG'!$B$10:$B$14,0))="","Cell will autofill based on response",INDEX('CIOG'!$N$10:$N$14,MATCH($F253,'CIOG'!$B$10:$B$14,0))),"N/A")</f>
        <v/>
      </c>
      <c r="R253" s="25">
        <f>IFERROR(IF(INDEX('MRE'!$N$10:$N$12,MATCH($F253,'MRE'!$B$10:$B$12,0))="","Cell will autofill based on response",INDEX('MRE'!$N$10:$N$12,MATCH($F253,'MRE'!$B$10:$B$12,0))),"N/A")</f>
        <v/>
      </c>
      <c r="S253" s="25">
        <f>IFERROR(IF(INDEX('L&amp;R'!$N$10:$N$11,MATCH($F253,'L&amp;R'!$B$10:$B$11,0))="","Cell will autofill based on response",INDEX('L&amp;R'!$N$10:$N$11,MATCH($F253,'L&amp;R'!$B$10:$B$11,0))),"N/A")</f>
        <v/>
      </c>
    </row>
    <row r="254">
      <c r="A254">
        <f>F254&amp;"|"&amp;G254</f>
        <v/>
      </c>
      <c r="B254" s="29" t="inlineStr"/>
      <c r="C254" s="8" t="inlineStr"/>
      <c r="D254" s="8" t="inlineStr"/>
      <c r="E254" s="8" t="inlineStr"/>
      <c r="F254" s="8" t="inlineStr">
        <is>
          <t>RP2(b)</t>
        </is>
      </c>
      <c r="G254" s="8" t="inlineStr">
        <is>
          <t>Supporting information/comments</t>
        </is>
      </c>
      <c r="H254" s="25">
        <f>IFERROR(IF(INDEX('Faculties'!$O$10:$O$30,MATCH($F254,'Faculties'!$B$10:$B$30,0))="","Cell will autofill based on response",INDEX('Faculties'!$O$10:$O$30,MATCH($F254,'Faculties'!$B$10:$B$30,0))),"N/A")</f>
        <v/>
      </c>
      <c r="I254" s="25">
        <f>IFERROR(IF(INDEX('Faculties'!$O$37:$O$57,MATCH($F254,'Faculties'!$B$37:$B$57,0))="","Cell will autofill based on response",INDEX('Faculties'!$O$37:$O$57,MATCH($F254,'Faculties'!$B$37:$B$57,0))),"N/A")</f>
        <v/>
      </c>
      <c r="J254" s="25">
        <f>IFERROR(IF(INDEX('Faculties'!$O$64:$O$84,MATCH($F254,'Faculties'!$B$64:$B$84,0))="","Cell will autofill based on response",INDEX('Faculties'!$O$64:$O$84,MATCH($F254,'Faculties'!$B$64:$B$84,0))),"N/A")</f>
        <v/>
      </c>
      <c r="K254" s="25">
        <f>IFERROR(IF(INDEX('Faculties'!$O$91:$O$111,MATCH($F254,'Faculties'!$B$91:$B$111,0))="","Cell will autofill based on response",INDEX('Faculties'!$O$91:$O$111,MATCH($F254,'Faculties'!$B$91:$B$111,0))),"N/A")</f>
        <v/>
      </c>
      <c r="L254" s="25">
        <f>IFERROR(IF(INDEX('CI&amp;S'!$O$10:$O$15,MATCH($F254,'CI&amp;S'!$B$10:$B$15,0))="","Cell will autofill based on response",INDEX('CI&amp;S'!$O$10:$O$15,MATCH($F254,'CI&amp;S'!$B$10:$B$15,0))),"N/A")</f>
        <v/>
      </c>
      <c r="M254" s="25">
        <f>IFERROR(IF(INDEX('CI&amp;S'!$O$22:$O$39,MATCH($F254,'CI&amp;S'!$B$22:$B$39,0))="","Cell will autofill based on response",INDEX('CI&amp;S'!$O$22:$O$39,MATCH($F254,'CI&amp;S'!$B$22:$B$39,0))),"N/A")</f>
        <v/>
      </c>
      <c r="N254" s="25">
        <f>IFERROR(IF(INDEX('CFOG'!$O$10:$O$16,MATCH($F254,'CFOG'!$B$10:$B$16,0))="","Cell will autofill based on response",INDEX('CFOG'!$O$10:$O$16,MATCH($F254,'CFOG'!$B$10:$B$16,0))),"N/A")</f>
        <v/>
      </c>
      <c r="O254" s="25">
        <f>IFERROR(IF(INDEX('CFOG'!$O$23:$O$24,MATCH($F254,'CFOG'!$B$23:$B$24,0))="","Cell will autofill based on response",INDEX('CFOG'!$O$23:$O$24,MATCH($F254,'CFOG'!$B$23:$B$24,0))),"N/A")</f>
        <v/>
      </c>
      <c r="P254" s="25">
        <f>IFERROR(IF(INDEX('ESG'!$O$10:$O$17,MATCH($F254,'ESG'!$B$10:$B$17,0))="","Cell will autofill based on response",INDEX('ESG'!$O$10:$O$17,MATCH($F254,'ESG'!$B$10:$B$17,0))),"N/A")</f>
        <v/>
      </c>
      <c r="Q254" s="25">
        <f>IFERROR(IF(INDEX('CIOG'!$O$10:$O$14,MATCH($F254,'CIOG'!$B$10:$B$14,0))="","Cell will autofill based on response",INDEX('CIOG'!$O$10:$O$14,MATCH($F254,'CIOG'!$B$10:$B$14,0))),"N/A")</f>
        <v/>
      </c>
      <c r="R254" s="25">
        <f>IFERROR(IF(INDEX('MRE'!$O$10:$O$12,MATCH($F254,'MRE'!$B$10:$B$12,0))="","Cell will autofill based on response",INDEX('MRE'!$O$10:$O$12,MATCH($F254,'MRE'!$B$10:$B$12,0))),"N/A")</f>
        <v/>
      </c>
      <c r="S254" s="25">
        <f>IFERROR(IF(INDEX('L&amp;R'!$O$10:$O$11,MATCH($F254,'L&amp;R'!$B$10:$B$11,0))="","Cell will autofill based on response",INDEX('L&amp;R'!$O$10:$O$11,MATCH($F254,'L&amp;R'!$B$10:$B$11,0))),"N/A")</f>
        <v/>
      </c>
    </row>
    <row r="255">
      <c r="A255">
        <f>F255&amp;"|"&amp;G255</f>
        <v/>
      </c>
      <c r="B255" s="29" t="inlineStr"/>
      <c r="C255" s="8" t="inlineStr"/>
      <c r="D255" s="8" t="inlineStr"/>
      <c r="E255" s="8" t="inlineStr"/>
      <c r="F255" s="8" t="inlineStr">
        <is>
          <t>RP2(b)</t>
        </is>
      </c>
      <c r="G255" s="8" t="inlineStr">
        <is>
          <t>Data source and limitations</t>
        </is>
      </c>
      <c r="H255" s="25">
        <f>IFERROR(IF(INDEX('Faculties'!$P$10:$P$30,MATCH($F255,'Faculties'!$B$10:$B$30,0))="","Cell will autofill based on response",INDEX('Faculties'!$P$10:$P$30,MATCH($F255,'Faculties'!$B$10:$B$30,0))),"N/A")</f>
        <v/>
      </c>
      <c r="I255" s="25">
        <f>IFERROR(IF(INDEX('Faculties'!$P$37:$P$57,MATCH($F255,'Faculties'!$B$37:$B$57,0))="","Cell will autofill based on response",INDEX('Faculties'!$P$37:$P$57,MATCH($F255,'Faculties'!$B$37:$B$57,0))),"N/A")</f>
        <v/>
      </c>
      <c r="J255" s="25">
        <f>IFERROR(IF(INDEX('Faculties'!$P$64:$P$84,MATCH($F255,'Faculties'!$B$64:$B$84,0))="","Cell will autofill based on response",INDEX('Faculties'!$P$64:$P$84,MATCH($F255,'Faculties'!$B$64:$B$84,0))),"N/A")</f>
        <v/>
      </c>
      <c r="K255" s="25">
        <f>IFERROR(IF(INDEX('Faculties'!$P$91:$P$111,MATCH($F255,'Faculties'!$B$91:$B$111,0))="","Cell will autofill based on response",INDEX('Faculties'!$P$91:$P$111,MATCH($F255,'Faculties'!$B$91:$B$111,0))),"N/A")</f>
        <v/>
      </c>
      <c r="L255" s="25">
        <f>IFERROR(IF(INDEX('CI&amp;S'!$P$10:$P$15,MATCH($F255,'CI&amp;S'!$B$10:$B$15,0))="","Cell will autofill based on response",INDEX('CI&amp;S'!$P$10:$P$15,MATCH($F255,'CI&amp;S'!$B$10:$B$15,0))),"N/A")</f>
        <v/>
      </c>
      <c r="M255" s="25">
        <f>IFERROR(IF(INDEX('CI&amp;S'!$P$22:$P$39,MATCH($F255,'CI&amp;S'!$B$22:$B$39,0))="","Cell will autofill based on response",INDEX('CI&amp;S'!$P$22:$P$39,MATCH($F255,'CI&amp;S'!$B$22:$B$39,0))),"N/A")</f>
        <v/>
      </c>
      <c r="N255" s="25">
        <f>IFERROR(IF(INDEX('CFOG'!$P$10:$P$16,MATCH($F255,'CFOG'!$B$10:$B$16,0))="","Cell will autofill based on response",INDEX('CFOG'!$P$10:$P$16,MATCH($F255,'CFOG'!$B$10:$B$16,0))),"N/A")</f>
        <v/>
      </c>
      <c r="O255" s="25">
        <f>IFERROR(IF(INDEX('CFOG'!$P$23:$P$24,MATCH($F255,'CFOG'!$B$23:$B$24,0))="","Cell will autofill based on response",INDEX('CFOG'!$P$23:$P$24,MATCH($F255,'CFOG'!$B$23:$B$24,0))),"N/A")</f>
        <v/>
      </c>
      <c r="P255" s="25">
        <f>IFERROR(IF(INDEX('ESG'!$P$10:$P$17,MATCH($F255,'ESG'!$B$10:$B$17,0))="","Cell will autofill based on response",INDEX('ESG'!$P$10:$P$17,MATCH($F255,'ESG'!$B$10:$B$17,0))),"N/A")</f>
        <v/>
      </c>
      <c r="Q255" s="25">
        <f>IFERROR(IF(INDEX('CIOG'!$P$10:$P$14,MATCH($F255,'CIOG'!$B$10:$B$14,0))="","Cell will autofill based on response",INDEX('CIOG'!$P$10:$P$14,MATCH($F255,'CIOG'!$B$10:$B$14,0))),"N/A")</f>
        <v/>
      </c>
      <c r="R255" s="25">
        <f>IFERROR(IF(INDEX('MRE'!$P$10:$P$12,MATCH($F255,'MRE'!$B$10:$B$12,0))="","Cell will autofill based on response",INDEX('MRE'!$P$10:$P$12,MATCH($F255,'MRE'!$B$10:$B$12,0))),"N/A")</f>
        <v/>
      </c>
      <c r="S255" s="25">
        <f>IFERROR(IF(INDEX('L&amp;R'!$P$10:$P$11,MATCH($F255,'L&amp;R'!$B$10:$B$11,0))="","Cell will autofill based on response",INDEX('L&amp;R'!$P$10:$P$11,MATCH($F255,'L&amp;R'!$B$10:$B$11,0))),"N/A")</f>
        <v/>
      </c>
    </row>
    <row r="256">
      <c r="A256">
        <f>F256&amp;"|"&amp;G256</f>
        <v/>
      </c>
      <c r="B256" s="29" t="inlineStr"/>
      <c r="C256" s="8" t="inlineStr"/>
      <c r="D256" s="8" t="inlineStr"/>
      <c r="E256" s="8" t="inlineStr"/>
      <c r="F256" s="8" t="inlineStr">
        <is>
          <t>RP2(b)</t>
        </is>
      </c>
      <c r="G256" s="8" t="inlineStr">
        <is>
          <t>Data owner confirms</t>
        </is>
      </c>
      <c r="H256" s="25">
        <f>IFERROR(IF(INDEX('Faculties'!$Q$10:$Q$30,MATCH($F256,'Faculties'!$B$10:$B$30,0))="","Cell will autofill based on response",INDEX('Faculties'!$Q$10:$Q$30,MATCH($F256,'Faculties'!$B$10:$B$30,0))),"N/A")</f>
        <v/>
      </c>
      <c r="I256" s="25">
        <f>IFERROR(IF(INDEX('Faculties'!$Q$37:$Q$57,MATCH($F256,'Faculties'!$B$37:$B$57,0))="","Cell will autofill based on response",INDEX('Faculties'!$Q$37:$Q$57,MATCH($F256,'Faculties'!$B$37:$B$57,0))),"N/A")</f>
        <v/>
      </c>
      <c r="J256" s="25">
        <f>IFERROR(IF(INDEX('Faculties'!$Q$64:$Q$84,MATCH($F256,'Faculties'!$B$64:$B$84,0))="","Cell will autofill based on response",INDEX('Faculties'!$Q$64:$Q$84,MATCH($F256,'Faculties'!$B$64:$B$84,0))),"N/A")</f>
        <v/>
      </c>
      <c r="K256" s="25">
        <f>IFERROR(IF(INDEX('Faculties'!$Q$91:$Q$111,MATCH($F256,'Faculties'!$B$91:$B$111,0))="","Cell will autofill based on response",INDEX('Faculties'!$Q$91:$Q$111,MATCH($F256,'Faculties'!$B$91:$B$111,0))),"N/A")</f>
        <v/>
      </c>
      <c r="L256" s="25">
        <f>IFERROR(IF(INDEX('CI&amp;S'!$Q$10:$Q$15,MATCH($F256,'CI&amp;S'!$B$10:$B$15,0))="","Cell will autofill based on response",INDEX('CI&amp;S'!$Q$10:$Q$15,MATCH($F256,'CI&amp;S'!$B$10:$B$15,0))),"N/A")</f>
        <v/>
      </c>
      <c r="M256" s="25">
        <f>IFERROR(IF(INDEX('CI&amp;S'!$Q$22:$Q$39,MATCH($F256,'CI&amp;S'!$B$22:$B$39,0))="","Cell will autofill based on response",INDEX('CI&amp;S'!$Q$22:$Q$39,MATCH($F256,'CI&amp;S'!$B$22:$B$39,0))),"N/A")</f>
        <v/>
      </c>
      <c r="N256" s="25">
        <f>IFERROR(IF(INDEX('CFOG'!$Q$10:$Q$16,MATCH($F256,'CFOG'!$B$10:$B$16,0))="","Cell will autofill based on response",INDEX('CFOG'!$Q$10:$Q$16,MATCH($F256,'CFOG'!$B$10:$B$16,0))),"N/A")</f>
        <v/>
      </c>
      <c r="O256" s="25">
        <f>IFERROR(IF(INDEX('CFOG'!$Q$23:$Q$24,MATCH($F256,'CFOG'!$B$23:$B$24,0))="","Cell will autofill based on response",INDEX('CFOG'!$Q$23:$Q$24,MATCH($F256,'CFOG'!$B$23:$B$24,0))),"N/A")</f>
        <v/>
      </c>
      <c r="P256" s="25">
        <f>IFERROR(IF(INDEX('ESG'!$Q$10:$Q$17,MATCH($F256,'ESG'!$B$10:$B$17,0))="","Cell will autofill based on response",INDEX('ESG'!$Q$10:$Q$17,MATCH($F256,'ESG'!$B$10:$B$17,0))),"N/A")</f>
        <v/>
      </c>
      <c r="Q256" s="25">
        <f>IFERROR(IF(INDEX('CIOG'!$Q$10:$Q$14,MATCH($F256,'CIOG'!$B$10:$B$14,0))="","Cell will autofill based on response",INDEX('CIOG'!$Q$10:$Q$14,MATCH($F256,'CIOG'!$B$10:$B$14,0))),"N/A")</f>
        <v/>
      </c>
      <c r="R256" s="25">
        <f>IFERROR(IF(INDEX('MRE'!$Q$10:$Q$12,MATCH($F256,'MRE'!$B$10:$B$12,0))="","Cell will autofill based on response",INDEX('MRE'!$Q$10:$Q$12,MATCH($F256,'MRE'!$B$10:$B$12,0))),"N/A")</f>
        <v/>
      </c>
      <c r="S256" s="25">
        <f>IFERROR(IF(INDEX('L&amp;R'!$Q$10:$Q$11,MATCH($F256,'L&amp;R'!$B$10:$B$11,0))="","Cell will autofill based on response",INDEX('L&amp;R'!$Q$10:$Q$11,MATCH($F256,'L&amp;R'!$B$10:$B$11,0))),"N/A")</f>
        <v/>
      </c>
    </row>
    <row r="257">
      <c r="A257">
        <f>F257&amp;"|"&amp;G257</f>
        <v/>
      </c>
      <c r="B257" s="7" t="inlineStr">
        <is>
          <t>MS1(a)</t>
        </is>
      </c>
      <c r="C257" s="12" t="inlineStr">
        <is>
          <t>Modern slavery and human rights</t>
        </is>
      </c>
      <c r="D257" s="12" t="inlineStr">
        <is>
          <t>Annual progress reporting via the Modern Slavery Statement</t>
        </is>
      </c>
      <c r="E257" s="12" t="inlineStr">
        <is>
          <t>Annual Modern Slavery Statement, with case studies</t>
        </is>
      </c>
      <c r="F257" s="12" t="inlineStr">
        <is>
          <t>MS1(a)</t>
        </is>
      </c>
      <c r="G257" s="12" t="inlineStr">
        <is>
          <t>Confirm end-2026 target status</t>
        </is>
      </c>
      <c r="H257" s="25">
        <f>IFERROR(IF(INDEX('Faculties'!$L$10:$L$30,MATCH($F257,'Faculties'!$B$10:$B$30,0))="","Cell will autofill based on response",INDEX('Faculties'!$L$10:$L$30,MATCH($F257,'Faculties'!$B$10:$B$30,0))),"N/A")</f>
        <v/>
      </c>
      <c r="I257" s="25">
        <f>IFERROR(IF(INDEX('Faculties'!$L$37:$L$57,MATCH($F257,'Faculties'!$B$37:$B$57,0))="","Cell will autofill based on response",INDEX('Faculties'!$L$37:$L$57,MATCH($F257,'Faculties'!$B$37:$B$57,0))),"N/A")</f>
        <v/>
      </c>
      <c r="J257" s="25">
        <f>IFERROR(IF(INDEX('Faculties'!$L$64:$L$84,MATCH($F257,'Faculties'!$B$64:$B$84,0))="","Cell will autofill based on response",INDEX('Faculties'!$L$64:$L$84,MATCH($F257,'Faculties'!$B$64:$B$84,0))),"N/A")</f>
        <v/>
      </c>
      <c r="K257" s="25">
        <f>IFERROR(IF(INDEX('Faculties'!$L$91:$L$111,MATCH($F257,'Faculties'!$B$91:$B$111,0))="","Cell will autofill based on response",INDEX('Faculties'!$L$91:$L$111,MATCH($F257,'Faculties'!$B$91:$B$111,0))),"N/A")</f>
        <v/>
      </c>
      <c r="L257" s="25">
        <f>IFERROR(IF(INDEX('CI&amp;S'!$L$10:$L$15,MATCH($F257,'CI&amp;S'!$B$10:$B$15,0))="","Cell will autofill based on response",INDEX('CI&amp;S'!$L$10:$L$15,MATCH($F257,'CI&amp;S'!$B$10:$B$15,0))),"N/A")</f>
        <v/>
      </c>
      <c r="M257" s="25">
        <f>IFERROR(IF(INDEX('CI&amp;S'!$L$22:$L$39,MATCH($F257,'CI&amp;S'!$B$22:$B$39,0))="","Cell will autofill based on response",INDEX('CI&amp;S'!$L$22:$L$39,MATCH($F257,'CI&amp;S'!$B$22:$B$39,0))),"N/A")</f>
        <v/>
      </c>
      <c r="N257" s="25">
        <f>IFERROR(IF(INDEX('CFOG'!$L$10:$L$16,MATCH($F257,'CFOG'!$B$10:$B$16,0))="","Cell will autofill based on response",INDEX('CFOG'!$L$10:$L$16,MATCH($F257,'CFOG'!$B$10:$B$16,0))),"N/A")</f>
        <v/>
      </c>
      <c r="O257" s="25">
        <f>IFERROR(IF(INDEX('CFOG'!$L$23:$L$24,MATCH($F257,'CFOG'!$B$23:$B$24,0))="","Cell will autofill based on response",INDEX('CFOG'!$L$23:$L$24,MATCH($F257,'CFOG'!$B$23:$B$24,0))),"N/A")</f>
        <v/>
      </c>
      <c r="P257" s="25">
        <f>IFERROR(IF(INDEX('ESG'!$L$10:$L$17,MATCH($F257,'ESG'!$B$10:$B$17,0))="","Cell will autofill based on response",INDEX('ESG'!$L$10:$L$17,MATCH($F257,'ESG'!$B$10:$B$17,0))),"N/A")</f>
        <v/>
      </c>
      <c r="Q257" s="25">
        <f>IFERROR(IF(INDEX('CIOG'!$L$10:$L$14,MATCH($F257,'CIOG'!$B$10:$B$14,0))="","Cell will autofill based on response",INDEX('CIOG'!$L$10:$L$14,MATCH($F257,'CIOG'!$B$10:$B$14,0))),"N/A")</f>
        <v/>
      </c>
      <c r="R257" s="25">
        <f>IFERROR(IF(INDEX('MRE'!$L$10:$L$12,MATCH($F257,'MRE'!$B$10:$B$12,0))="","Cell will autofill based on response",INDEX('MRE'!$L$10:$L$12,MATCH($F257,'MRE'!$B$10:$B$12,0))),"N/A")</f>
        <v/>
      </c>
      <c r="S257" s="25">
        <f>IFERROR(IF(INDEX('L&amp;R'!$L$10:$L$11,MATCH($F257,'L&amp;R'!$B$10:$B$11,0))="","Cell will autofill based on response",INDEX('L&amp;R'!$L$10:$L$11,MATCH($F257,'L&amp;R'!$B$10:$B$11,0))),"N/A")</f>
        <v/>
      </c>
      <c r="U257" s="26">
        <f>COUNTIF($H257:$S257,"Cell will autofill based on response")</f>
        <v/>
      </c>
      <c r="V257" s="26">
        <f>COUNTIF($H257:$S257,"Not yet started")</f>
        <v/>
      </c>
      <c r="W257" s="26">
        <f>COUNTIF($H257:$S257,"Not met")</f>
        <v/>
      </c>
      <c r="X257" s="26">
        <f>COUNTIF($H257:$S257,"Partially met")</f>
        <v/>
      </c>
      <c r="Y257" s="26">
        <f>COUNTIF($H257:$S257,"Met or exceeded")</f>
        <v/>
      </c>
      <c r="Z257" s="26">
        <f>3*Y257+2*X257+W257</f>
        <v/>
      </c>
      <c r="AA257" s="26">
        <f>Y257+X257+W257+V257</f>
        <v/>
      </c>
      <c r="AB257" s="27">
        <f>IF(AA257&gt;0,Z257/AA257,"No valid responses to date")</f>
        <v/>
      </c>
      <c r="AC257" s="26">
        <f>IF(ISNUMBER(AB257),INDEX(Lists!$G$2:$G$5,MATCH(ROUND(AB257,0),Lists!$H$2:$H$5,0)),"")</f>
        <v/>
      </c>
      <c r="AD257" s="28">
        <f>IF(AA257&gt;0,Y257/AA257,"")</f>
        <v/>
      </c>
      <c r="AE257" s="28">
        <f>IF(AA257&gt;0,(Y257+X257)/AA257,"")</f>
        <v/>
      </c>
      <c r="AF257" s="26">
        <f>IF(AA257=0,"",IF(AD257&gt;0.75,"Met or exceeded",IF(AE257&gt;=0.5,"Partially met","Not met")))</f>
        <v/>
      </c>
    </row>
    <row r="258">
      <c r="A258">
        <f>F258&amp;"|"&amp;G258</f>
        <v/>
      </c>
      <c r="B258" s="29" t="inlineStr"/>
      <c r="C258" s="8" t="inlineStr"/>
      <c r="D258" s="8" t="inlineStr"/>
      <c r="E258" s="8" t="inlineStr"/>
      <c r="F258" s="8" t="inlineStr">
        <is>
          <t>MS1(a)</t>
        </is>
      </c>
      <c r="G258" s="8" t="inlineStr">
        <is>
          <t>OPTION 1:  Target-level reporting</t>
        </is>
      </c>
      <c r="H258" s="25">
        <f>IFERROR(IF(INDEX('Faculties'!$M$10:$M$30,MATCH($F258,'Faculties'!$B$10:$B$30,0))="","Cell will autofill based on response",INDEX('Faculties'!$M$10:$M$30,MATCH($F258,'Faculties'!$B$10:$B$30,0))),"N/A")</f>
        <v/>
      </c>
      <c r="I258" s="25">
        <f>IFERROR(IF(INDEX('Faculties'!$M$37:$M$57,MATCH($F258,'Faculties'!$B$37:$B$57,0))="","Cell will autofill based on response",INDEX('Faculties'!$M$37:$M$57,MATCH($F258,'Faculties'!$B$37:$B$57,0))),"N/A")</f>
        <v/>
      </c>
      <c r="J258" s="25">
        <f>IFERROR(IF(INDEX('Faculties'!$M$64:$M$84,MATCH($F258,'Faculties'!$B$64:$B$84,0))="","Cell will autofill based on response",INDEX('Faculties'!$M$64:$M$84,MATCH($F258,'Faculties'!$B$64:$B$84,0))),"N/A")</f>
        <v/>
      </c>
      <c r="K258" s="25">
        <f>IFERROR(IF(INDEX('Faculties'!$M$91:$M$111,MATCH($F258,'Faculties'!$B$91:$B$111,0))="","Cell will autofill based on response",INDEX('Faculties'!$M$91:$M$111,MATCH($F258,'Faculties'!$B$91:$B$111,0))),"N/A")</f>
        <v/>
      </c>
      <c r="L258" s="25">
        <f>IFERROR(IF(INDEX('CI&amp;S'!$M$10:$M$15,MATCH($F258,'CI&amp;S'!$B$10:$B$15,0))="","Cell will autofill based on response",INDEX('CI&amp;S'!$M$10:$M$15,MATCH($F258,'CI&amp;S'!$B$10:$B$15,0))),"N/A")</f>
        <v/>
      </c>
      <c r="M258" s="25">
        <f>IFERROR(IF(INDEX('CI&amp;S'!$M$22:$M$39,MATCH($F258,'CI&amp;S'!$B$22:$B$39,0))="","Cell will autofill based on response",INDEX('CI&amp;S'!$M$22:$M$39,MATCH($F258,'CI&amp;S'!$B$22:$B$39,0))),"N/A")</f>
        <v/>
      </c>
      <c r="N258" s="25">
        <f>IFERROR(IF(INDEX('CFOG'!$M$10:$M$16,MATCH($F258,'CFOG'!$B$10:$B$16,0))="","Cell will autofill based on response",INDEX('CFOG'!$M$10:$M$16,MATCH($F258,'CFOG'!$B$10:$B$16,0))),"N/A")</f>
        <v/>
      </c>
      <c r="O258" s="25">
        <f>IFERROR(IF(INDEX('CFOG'!$M$23:$M$24,MATCH($F258,'CFOG'!$B$23:$B$24,0))="","Cell will autofill based on response",INDEX('CFOG'!$M$23:$M$24,MATCH($F258,'CFOG'!$B$23:$B$24,0))),"N/A")</f>
        <v/>
      </c>
      <c r="P258" s="25">
        <f>IFERROR(IF(INDEX('ESG'!$M$10:$M$17,MATCH($F258,'ESG'!$B$10:$B$17,0))="","Cell will autofill based on response",INDEX('ESG'!$M$10:$M$17,MATCH($F258,'ESG'!$B$10:$B$17,0))),"N/A")</f>
        <v/>
      </c>
      <c r="Q258" s="25">
        <f>IFERROR(IF(INDEX('CIOG'!$M$10:$M$14,MATCH($F258,'CIOG'!$B$10:$B$14,0))="","Cell will autofill based on response",INDEX('CIOG'!$M$10:$M$14,MATCH($F258,'CIOG'!$B$10:$B$14,0))),"N/A")</f>
        <v/>
      </c>
      <c r="R258" s="25">
        <f>IFERROR(IF(INDEX('MRE'!$M$10:$M$12,MATCH($F258,'MRE'!$B$10:$B$12,0))="","Cell will autofill based on response",INDEX('MRE'!$M$10:$M$12,MATCH($F258,'MRE'!$B$10:$B$12,0))),"N/A")</f>
        <v/>
      </c>
      <c r="S258" s="25">
        <f>IFERROR(IF(INDEX('L&amp;R'!$M$10:$M$11,MATCH($F258,'L&amp;R'!$B$10:$B$11,0))="","Cell will autofill based on response",INDEX('L&amp;R'!$M$10:$M$11,MATCH($F258,'L&amp;R'!$B$10:$B$11,0))),"N/A")</f>
        <v/>
      </c>
    </row>
    <row r="259">
      <c r="A259">
        <f>F259&amp;"|"&amp;G259</f>
        <v/>
      </c>
      <c r="B259" s="29" t="inlineStr"/>
      <c r="C259" s="8" t="inlineStr"/>
      <c r="D259" s="8" t="inlineStr"/>
      <c r="E259" s="8" t="inlineStr"/>
      <c r="F259" s="8" t="inlineStr">
        <is>
          <t>MS1(a)</t>
        </is>
      </c>
      <c r="G259" s="8" t="inlineStr">
        <is>
          <t>OPTION 2:  Indicator level reporting</t>
        </is>
      </c>
      <c r="H259" s="25">
        <f>IFERROR(IF(INDEX('Faculties'!$N$10:$N$30,MATCH($F259,'Faculties'!$B$10:$B$30,0))="","Cell will autofill based on response",INDEX('Faculties'!$N$10:$N$30,MATCH($F259,'Faculties'!$B$10:$B$30,0))),"N/A")</f>
        <v/>
      </c>
      <c r="I259" s="25">
        <f>IFERROR(IF(INDEX('Faculties'!$N$37:$N$57,MATCH($F259,'Faculties'!$B$37:$B$57,0))="","Cell will autofill based on response",INDEX('Faculties'!$N$37:$N$57,MATCH($F259,'Faculties'!$B$37:$B$57,0))),"N/A")</f>
        <v/>
      </c>
      <c r="J259" s="25">
        <f>IFERROR(IF(INDEX('Faculties'!$N$64:$N$84,MATCH($F259,'Faculties'!$B$64:$B$84,0))="","Cell will autofill based on response",INDEX('Faculties'!$N$64:$N$84,MATCH($F259,'Faculties'!$B$64:$B$84,0))),"N/A")</f>
        <v/>
      </c>
      <c r="K259" s="25">
        <f>IFERROR(IF(INDEX('Faculties'!$N$91:$N$111,MATCH($F259,'Faculties'!$B$91:$B$111,0))="","Cell will autofill based on response",INDEX('Faculties'!$N$91:$N$111,MATCH($F259,'Faculties'!$B$91:$B$111,0))),"N/A")</f>
        <v/>
      </c>
      <c r="L259" s="25">
        <f>IFERROR(IF(INDEX('CI&amp;S'!$N$10:$N$15,MATCH($F259,'CI&amp;S'!$B$10:$B$15,0))="","Cell will autofill based on response",INDEX('CI&amp;S'!$N$10:$N$15,MATCH($F259,'CI&amp;S'!$B$10:$B$15,0))),"N/A")</f>
        <v/>
      </c>
      <c r="M259" s="25">
        <f>IFERROR(IF(INDEX('CI&amp;S'!$N$22:$N$39,MATCH($F259,'CI&amp;S'!$B$22:$B$39,0))="","Cell will autofill based on response",INDEX('CI&amp;S'!$N$22:$N$39,MATCH($F259,'CI&amp;S'!$B$22:$B$39,0))),"N/A")</f>
        <v/>
      </c>
      <c r="N259" s="25">
        <f>IFERROR(IF(INDEX('CFOG'!$N$10:$N$16,MATCH($F259,'CFOG'!$B$10:$B$16,0))="","Cell will autofill based on response",INDEX('CFOG'!$N$10:$N$16,MATCH($F259,'CFOG'!$B$10:$B$16,0))),"N/A")</f>
        <v/>
      </c>
      <c r="O259" s="25">
        <f>IFERROR(IF(INDEX('CFOG'!$N$23:$N$24,MATCH($F259,'CFOG'!$B$23:$B$24,0))="","Cell will autofill based on response",INDEX('CFOG'!$N$23:$N$24,MATCH($F259,'CFOG'!$B$23:$B$24,0))),"N/A")</f>
        <v/>
      </c>
      <c r="P259" s="25">
        <f>IFERROR(IF(INDEX('ESG'!$N$10:$N$17,MATCH($F259,'ESG'!$B$10:$B$17,0))="","Cell will autofill based on response",INDEX('ESG'!$N$10:$N$17,MATCH($F259,'ESG'!$B$10:$B$17,0))),"N/A")</f>
        <v/>
      </c>
      <c r="Q259" s="25">
        <f>IFERROR(IF(INDEX('CIOG'!$N$10:$N$14,MATCH($F259,'CIOG'!$B$10:$B$14,0))="","Cell will autofill based on response",INDEX('CIOG'!$N$10:$N$14,MATCH($F259,'CIOG'!$B$10:$B$14,0))),"N/A")</f>
        <v/>
      </c>
      <c r="R259" s="25">
        <f>IFERROR(IF(INDEX('MRE'!$N$10:$N$12,MATCH($F259,'MRE'!$B$10:$B$12,0))="","Cell will autofill based on response",INDEX('MRE'!$N$10:$N$12,MATCH($F259,'MRE'!$B$10:$B$12,0))),"N/A")</f>
        <v/>
      </c>
      <c r="S259" s="25">
        <f>IFERROR(IF(INDEX('L&amp;R'!$N$10:$N$11,MATCH($F259,'L&amp;R'!$B$10:$B$11,0))="","Cell will autofill based on response",INDEX('L&amp;R'!$N$10:$N$11,MATCH($F259,'L&amp;R'!$B$10:$B$11,0))),"N/A")</f>
        <v/>
      </c>
    </row>
    <row r="260">
      <c r="A260">
        <f>F260&amp;"|"&amp;G260</f>
        <v/>
      </c>
      <c r="B260" s="29" t="inlineStr"/>
      <c r="C260" s="8" t="inlineStr"/>
      <c r="D260" s="8" t="inlineStr"/>
      <c r="E260" s="8" t="inlineStr"/>
      <c r="F260" s="8" t="inlineStr">
        <is>
          <t>MS1(a)</t>
        </is>
      </c>
      <c r="G260" s="8" t="inlineStr">
        <is>
          <t>Supporting information/comments</t>
        </is>
      </c>
      <c r="H260" s="25">
        <f>IFERROR(IF(INDEX('Faculties'!$O$10:$O$30,MATCH($F260,'Faculties'!$B$10:$B$30,0))="","Cell will autofill based on response",INDEX('Faculties'!$O$10:$O$30,MATCH($F260,'Faculties'!$B$10:$B$30,0))),"N/A")</f>
        <v/>
      </c>
      <c r="I260" s="25">
        <f>IFERROR(IF(INDEX('Faculties'!$O$37:$O$57,MATCH($F260,'Faculties'!$B$37:$B$57,0))="","Cell will autofill based on response",INDEX('Faculties'!$O$37:$O$57,MATCH($F260,'Faculties'!$B$37:$B$57,0))),"N/A")</f>
        <v/>
      </c>
      <c r="J260" s="25">
        <f>IFERROR(IF(INDEX('Faculties'!$O$64:$O$84,MATCH($F260,'Faculties'!$B$64:$B$84,0))="","Cell will autofill based on response",INDEX('Faculties'!$O$64:$O$84,MATCH($F260,'Faculties'!$B$64:$B$84,0))),"N/A")</f>
        <v/>
      </c>
      <c r="K260" s="25">
        <f>IFERROR(IF(INDEX('Faculties'!$O$91:$O$111,MATCH($F260,'Faculties'!$B$91:$B$111,0))="","Cell will autofill based on response",INDEX('Faculties'!$O$91:$O$111,MATCH($F260,'Faculties'!$B$91:$B$111,0))),"N/A")</f>
        <v/>
      </c>
      <c r="L260" s="25">
        <f>IFERROR(IF(INDEX('CI&amp;S'!$O$10:$O$15,MATCH($F260,'CI&amp;S'!$B$10:$B$15,0))="","Cell will autofill based on response",INDEX('CI&amp;S'!$O$10:$O$15,MATCH($F260,'CI&amp;S'!$B$10:$B$15,0))),"N/A")</f>
        <v/>
      </c>
      <c r="M260" s="25">
        <f>IFERROR(IF(INDEX('CI&amp;S'!$O$22:$O$39,MATCH($F260,'CI&amp;S'!$B$22:$B$39,0))="","Cell will autofill based on response",INDEX('CI&amp;S'!$O$22:$O$39,MATCH($F260,'CI&amp;S'!$B$22:$B$39,0))),"N/A")</f>
        <v/>
      </c>
      <c r="N260" s="25">
        <f>IFERROR(IF(INDEX('CFOG'!$O$10:$O$16,MATCH($F260,'CFOG'!$B$10:$B$16,0))="","Cell will autofill based on response",INDEX('CFOG'!$O$10:$O$16,MATCH($F260,'CFOG'!$B$10:$B$16,0))),"N/A")</f>
        <v/>
      </c>
      <c r="O260" s="25">
        <f>IFERROR(IF(INDEX('CFOG'!$O$23:$O$24,MATCH($F260,'CFOG'!$B$23:$B$24,0))="","Cell will autofill based on response",INDEX('CFOG'!$O$23:$O$24,MATCH($F260,'CFOG'!$B$23:$B$24,0))),"N/A")</f>
        <v/>
      </c>
      <c r="P260" s="25">
        <f>IFERROR(IF(INDEX('ESG'!$O$10:$O$17,MATCH($F260,'ESG'!$B$10:$B$17,0))="","Cell will autofill based on response",INDEX('ESG'!$O$10:$O$17,MATCH($F260,'ESG'!$B$10:$B$17,0))),"N/A")</f>
        <v/>
      </c>
      <c r="Q260" s="25">
        <f>IFERROR(IF(INDEX('CIOG'!$O$10:$O$14,MATCH($F260,'CIOG'!$B$10:$B$14,0))="","Cell will autofill based on response",INDEX('CIOG'!$O$10:$O$14,MATCH($F260,'CIOG'!$B$10:$B$14,0))),"N/A")</f>
        <v/>
      </c>
      <c r="R260" s="25">
        <f>IFERROR(IF(INDEX('MRE'!$O$10:$O$12,MATCH($F260,'MRE'!$B$10:$B$12,0))="","Cell will autofill based on response",INDEX('MRE'!$O$10:$O$12,MATCH($F260,'MRE'!$B$10:$B$12,0))),"N/A")</f>
        <v/>
      </c>
      <c r="S260" s="25">
        <f>IFERROR(IF(INDEX('L&amp;R'!$O$10:$O$11,MATCH($F260,'L&amp;R'!$B$10:$B$11,0))="","Cell will autofill based on response",INDEX('L&amp;R'!$O$10:$O$11,MATCH($F260,'L&amp;R'!$B$10:$B$11,0))),"N/A")</f>
        <v/>
      </c>
    </row>
    <row r="261">
      <c r="A261">
        <f>F261&amp;"|"&amp;G261</f>
        <v/>
      </c>
      <c r="B261" s="29" t="inlineStr"/>
      <c r="C261" s="8" t="inlineStr"/>
      <c r="D261" s="8" t="inlineStr"/>
      <c r="E261" s="8" t="inlineStr"/>
      <c r="F261" s="8" t="inlineStr">
        <is>
          <t>MS1(a)</t>
        </is>
      </c>
      <c r="G261" s="8" t="inlineStr">
        <is>
          <t>Data source and limitations</t>
        </is>
      </c>
      <c r="H261" s="25">
        <f>IFERROR(IF(INDEX('Faculties'!$P$10:$P$30,MATCH($F261,'Faculties'!$B$10:$B$30,0))="","Cell will autofill based on response",INDEX('Faculties'!$P$10:$P$30,MATCH($F261,'Faculties'!$B$10:$B$30,0))),"N/A")</f>
        <v/>
      </c>
      <c r="I261" s="25">
        <f>IFERROR(IF(INDEX('Faculties'!$P$37:$P$57,MATCH($F261,'Faculties'!$B$37:$B$57,0))="","Cell will autofill based on response",INDEX('Faculties'!$P$37:$P$57,MATCH($F261,'Faculties'!$B$37:$B$57,0))),"N/A")</f>
        <v/>
      </c>
      <c r="J261" s="25">
        <f>IFERROR(IF(INDEX('Faculties'!$P$64:$P$84,MATCH($F261,'Faculties'!$B$64:$B$84,0))="","Cell will autofill based on response",INDEX('Faculties'!$P$64:$P$84,MATCH($F261,'Faculties'!$B$64:$B$84,0))),"N/A")</f>
        <v/>
      </c>
      <c r="K261" s="25">
        <f>IFERROR(IF(INDEX('Faculties'!$P$91:$P$111,MATCH($F261,'Faculties'!$B$91:$B$111,0))="","Cell will autofill based on response",INDEX('Faculties'!$P$91:$P$111,MATCH($F261,'Faculties'!$B$91:$B$111,0))),"N/A")</f>
        <v/>
      </c>
      <c r="L261" s="25">
        <f>IFERROR(IF(INDEX('CI&amp;S'!$P$10:$P$15,MATCH($F261,'CI&amp;S'!$B$10:$B$15,0))="","Cell will autofill based on response",INDEX('CI&amp;S'!$P$10:$P$15,MATCH($F261,'CI&amp;S'!$B$10:$B$15,0))),"N/A")</f>
        <v/>
      </c>
      <c r="M261" s="25">
        <f>IFERROR(IF(INDEX('CI&amp;S'!$P$22:$P$39,MATCH($F261,'CI&amp;S'!$B$22:$B$39,0))="","Cell will autofill based on response",INDEX('CI&amp;S'!$P$22:$P$39,MATCH($F261,'CI&amp;S'!$B$22:$B$39,0))),"N/A")</f>
        <v/>
      </c>
      <c r="N261" s="25">
        <f>IFERROR(IF(INDEX('CFOG'!$P$10:$P$16,MATCH($F261,'CFOG'!$B$10:$B$16,0))="","Cell will autofill based on response",INDEX('CFOG'!$P$10:$P$16,MATCH($F261,'CFOG'!$B$10:$B$16,0))),"N/A")</f>
        <v/>
      </c>
      <c r="O261" s="25">
        <f>IFERROR(IF(INDEX('CFOG'!$P$23:$P$24,MATCH($F261,'CFOG'!$B$23:$B$24,0))="","Cell will autofill based on response",INDEX('CFOG'!$P$23:$P$24,MATCH($F261,'CFOG'!$B$23:$B$24,0))),"N/A")</f>
        <v/>
      </c>
      <c r="P261" s="25">
        <f>IFERROR(IF(INDEX('ESG'!$P$10:$P$17,MATCH($F261,'ESG'!$B$10:$B$17,0))="","Cell will autofill based on response",INDEX('ESG'!$P$10:$P$17,MATCH($F261,'ESG'!$B$10:$B$17,0))),"N/A")</f>
        <v/>
      </c>
      <c r="Q261" s="25">
        <f>IFERROR(IF(INDEX('CIOG'!$P$10:$P$14,MATCH($F261,'CIOG'!$B$10:$B$14,0))="","Cell will autofill based on response",INDEX('CIOG'!$P$10:$P$14,MATCH($F261,'CIOG'!$B$10:$B$14,0))),"N/A")</f>
        <v/>
      </c>
      <c r="R261" s="25">
        <f>IFERROR(IF(INDEX('MRE'!$P$10:$P$12,MATCH($F261,'MRE'!$B$10:$B$12,0))="","Cell will autofill based on response",INDEX('MRE'!$P$10:$P$12,MATCH($F261,'MRE'!$B$10:$B$12,0))),"N/A")</f>
        <v/>
      </c>
      <c r="S261" s="25">
        <f>IFERROR(IF(INDEX('L&amp;R'!$P$10:$P$11,MATCH($F261,'L&amp;R'!$B$10:$B$11,0))="","Cell will autofill based on response",INDEX('L&amp;R'!$P$10:$P$11,MATCH($F261,'L&amp;R'!$B$10:$B$11,0))),"N/A")</f>
        <v/>
      </c>
    </row>
    <row r="262">
      <c r="A262">
        <f>F262&amp;"|"&amp;G262</f>
        <v/>
      </c>
      <c r="B262" s="29" t="inlineStr"/>
      <c r="C262" s="8" t="inlineStr"/>
      <c r="D262" s="8" t="inlineStr"/>
      <c r="E262" s="8" t="inlineStr"/>
      <c r="F262" s="8" t="inlineStr">
        <is>
          <t>MS1(a)</t>
        </is>
      </c>
      <c r="G262" s="8" t="inlineStr">
        <is>
          <t>Data owner confirms</t>
        </is>
      </c>
      <c r="H262" s="25">
        <f>IFERROR(IF(INDEX('Faculties'!$Q$10:$Q$30,MATCH($F262,'Faculties'!$B$10:$B$30,0))="","Cell will autofill based on response",INDEX('Faculties'!$Q$10:$Q$30,MATCH($F262,'Faculties'!$B$10:$B$30,0))),"N/A")</f>
        <v/>
      </c>
      <c r="I262" s="25">
        <f>IFERROR(IF(INDEX('Faculties'!$Q$37:$Q$57,MATCH($F262,'Faculties'!$B$37:$B$57,0))="","Cell will autofill based on response",INDEX('Faculties'!$Q$37:$Q$57,MATCH($F262,'Faculties'!$B$37:$B$57,0))),"N/A")</f>
        <v/>
      </c>
      <c r="J262" s="25">
        <f>IFERROR(IF(INDEX('Faculties'!$Q$64:$Q$84,MATCH($F262,'Faculties'!$B$64:$B$84,0))="","Cell will autofill based on response",INDEX('Faculties'!$Q$64:$Q$84,MATCH($F262,'Faculties'!$B$64:$B$84,0))),"N/A")</f>
        <v/>
      </c>
      <c r="K262" s="25">
        <f>IFERROR(IF(INDEX('Faculties'!$Q$91:$Q$111,MATCH($F262,'Faculties'!$B$91:$B$111,0))="","Cell will autofill based on response",INDEX('Faculties'!$Q$91:$Q$111,MATCH($F262,'Faculties'!$B$91:$B$111,0))),"N/A")</f>
        <v/>
      </c>
      <c r="L262" s="25">
        <f>IFERROR(IF(INDEX('CI&amp;S'!$Q$10:$Q$15,MATCH($F262,'CI&amp;S'!$B$10:$B$15,0))="","Cell will autofill based on response",INDEX('CI&amp;S'!$Q$10:$Q$15,MATCH($F262,'CI&amp;S'!$B$10:$B$15,0))),"N/A")</f>
        <v/>
      </c>
      <c r="M262" s="25">
        <f>IFERROR(IF(INDEX('CI&amp;S'!$Q$22:$Q$39,MATCH($F262,'CI&amp;S'!$B$22:$B$39,0))="","Cell will autofill based on response",INDEX('CI&amp;S'!$Q$22:$Q$39,MATCH($F262,'CI&amp;S'!$B$22:$B$39,0))),"N/A")</f>
        <v/>
      </c>
      <c r="N262" s="25">
        <f>IFERROR(IF(INDEX('CFOG'!$Q$10:$Q$16,MATCH($F262,'CFOG'!$B$10:$B$16,0))="","Cell will autofill based on response",INDEX('CFOG'!$Q$10:$Q$16,MATCH($F262,'CFOG'!$B$10:$B$16,0))),"N/A")</f>
        <v/>
      </c>
      <c r="O262" s="25">
        <f>IFERROR(IF(INDEX('CFOG'!$Q$23:$Q$24,MATCH($F262,'CFOG'!$B$23:$B$24,0))="","Cell will autofill based on response",INDEX('CFOG'!$Q$23:$Q$24,MATCH($F262,'CFOG'!$B$23:$B$24,0))),"N/A")</f>
        <v/>
      </c>
      <c r="P262" s="25">
        <f>IFERROR(IF(INDEX('ESG'!$Q$10:$Q$17,MATCH($F262,'ESG'!$B$10:$B$17,0))="","Cell will autofill based on response",INDEX('ESG'!$Q$10:$Q$17,MATCH($F262,'ESG'!$B$10:$B$17,0))),"N/A")</f>
        <v/>
      </c>
      <c r="Q262" s="25">
        <f>IFERROR(IF(INDEX('CIOG'!$Q$10:$Q$14,MATCH($F262,'CIOG'!$B$10:$B$14,0))="","Cell will autofill based on response",INDEX('CIOG'!$Q$10:$Q$14,MATCH($F262,'CIOG'!$B$10:$B$14,0))),"N/A")</f>
        <v/>
      </c>
      <c r="R262" s="25">
        <f>IFERROR(IF(INDEX('MRE'!$Q$10:$Q$12,MATCH($F262,'MRE'!$B$10:$B$12,0))="","Cell will autofill based on response",INDEX('MRE'!$Q$10:$Q$12,MATCH($F262,'MRE'!$B$10:$B$12,0))),"N/A")</f>
        <v/>
      </c>
      <c r="S262" s="25">
        <f>IFERROR(IF(INDEX('L&amp;R'!$Q$10:$Q$11,MATCH($F262,'L&amp;R'!$B$10:$B$11,0))="","Cell will autofill based on response",INDEX('L&amp;R'!$Q$10:$Q$11,MATCH($F262,'L&amp;R'!$B$10:$B$11,0))),"N/A")</f>
        <v/>
      </c>
    </row>
    <row r="263">
      <c r="A263">
        <f>F263&amp;"|"&amp;G263</f>
        <v/>
      </c>
      <c r="B263" s="7" t="inlineStr">
        <is>
          <t>RI1(a)</t>
        </is>
      </c>
      <c r="C263" s="12" t="inlineStr">
        <is>
          <t>Responsible investments</t>
        </is>
      </c>
      <c r="D263" s="12" t="inlineStr">
        <is>
          <t>Annual monitoring and reporting on the investment portfolio’s net zero transition progress, including tracking the percentage of assets under management (AUM) managed by investment managers aligned with (or committed to) net zero by 2050</t>
        </is>
      </c>
      <c r="E263" s="12" t="inlineStr">
        <is>
          <t>Percentage of AUM managed by investment managers aligned with net zero by 2050</t>
        </is>
      </c>
      <c r="F263" s="12" t="inlineStr">
        <is>
          <t>RI1(a)</t>
        </is>
      </c>
      <c r="G263" s="12" t="inlineStr">
        <is>
          <t>Confirm end-2026 target status</t>
        </is>
      </c>
      <c r="H263" s="25">
        <f>IFERROR(IF(INDEX('Faculties'!$L$10:$L$30,MATCH($F263,'Faculties'!$B$10:$B$30,0))="","Cell will autofill based on response",INDEX('Faculties'!$L$10:$L$30,MATCH($F263,'Faculties'!$B$10:$B$30,0))),"N/A")</f>
        <v/>
      </c>
      <c r="I263" s="25">
        <f>IFERROR(IF(INDEX('Faculties'!$L$37:$L$57,MATCH($F263,'Faculties'!$B$37:$B$57,0))="","Cell will autofill based on response",INDEX('Faculties'!$L$37:$L$57,MATCH($F263,'Faculties'!$B$37:$B$57,0))),"N/A")</f>
        <v/>
      </c>
      <c r="J263" s="25">
        <f>IFERROR(IF(INDEX('Faculties'!$L$64:$L$84,MATCH($F263,'Faculties'!$B$64:$B$84,0))="","Cell will autofill based on response",INDEX('Faculties'!$L$64:$L$84,MATCH($F263,'Faculties'!$B$64:$B$84,0))),"N/A")</f>
        <v/>
      </c>
      <c r="K263" s="25">
        <f>IFERROR(IF(INDEX('Faculties'!$L$91:$L$111,MATCH($F263,'Faculties'!$B$91:$B$111,0))="","Cell will autofill based on response",INDEX('Faculties'!$L$91:$L$111,MATCH($F263,'Faculties'!$B$91:$B$111,0))),"N/A")</f>
        <v/>
      </c>
      <c r="L263" s="25">
        <f>IFERROR(IF(INDEX('CI&amp;S'!$L$10:$L$15,MATCH($F263,'CI&amp;S'!$B$10:$B$15,0))="","Cell will autofill based on response",INDEX('CI&amp;S'!$L$10:$L$15,MATCH($F263,'CI&amp;S'!$B$10:$B$15,0))),"N/A")</f>
        <v/>
      </c>
      <c r="M263" s="25">
        <f>IFERROR(IF(INDEX('CI&amp;S'!$L$22:$L$39,MATCH($F263,'CI&amp;S'!$B$22:$B$39,0))="","Cell will autofill based on response",INDEX('CI&amp;S'!$L$22:$L$39,MATCH($F263,'CI&amp;S'!$B$22:$B$39,0))),"N/A")</f>
        <v/>
      </c>
      <c r="N263" s="25">
        <f>IFERROR(IF(INDEX('CFOG'!$L$10:$L$16,MATCH($F263,'CFOG'!$B$10:$B$16,0))="","Cell will autofill based on response",INDEX('CFOG'!$L$10:$L$16,MATCH($F263,'CFOG'!$B$10:$B$16,0))),"N/A")</f>
        <v/>
      </c>
      <c r="O263" s="25">
        <f>IFERROR(IF(INDEX('CFOG'!$L$23:$L$24,MATCH($F263,'CFOG'!$B$23:$B$24,0))="","Cell will autofill based on response",INDEX('CFOG'!$L$23:$L$24,MATCH($F263,'CFOG'!$B$23:$B$24,0))),"N/A")</f>
        <v/>
      </c>
      <c r="P263" s="25">
        <f>IFERROR(IF(INDEX('ESG'!$L$10:$L$17,MATCH($F263,'ESG'!$B$10:$B$17,0))="","Cell will autofill based on response",INDEX('ESG'!$L$10:$L$17,MATCH($F263,'ESG'!$B$10:$B$17,0))),"N/A")</f>
        <v/>
      </c>
      <c r="Q263" s="25">
        <f>IFERROR(IF(INDEX('CIOG'!$L$10:$L$14,MATCH($F263,'CIOG'!$B$10:$B$14,0))="","Cell will autofill based on response",INDEX('CIOG'!$L$10:$L$14,MATCH($F263,'CIOG'!$B$10:$B$14,0))),"N/A")</f>
        <v/>
      </c>
      <c r="R263" s="25">
        <f>IFERROR(IF(INDEX('MRE'!$L$10:$L$12,MATCH($F263,'MRE'!$B$10:$B$12,0))="","Cell will autofill based on response",INDEX('MRE'!$L$10:$L$12,MATCH($F263,'MRE'!$B$10:$B$12,0))),"N/A")</f>
        <v/>
      </c>
      <c r="S263" s="25">
        <f>IFERROR(IF(INDEX('L&amp;R'!$L$10:$L$11,MATCH($F263,'L&amp;R'!$B$10:$B$11,0))="","Cell will autofill based on response",INDEX('L&amp;R'!$L$10:$L$11,MATCH($F263,'L&amp;R'!$B$10:$B$11,0))),"N/A")</f>
        <v/>
      </c>
      <c r="U263" s="26">
        <f>COUNTIF($H263:$S263,"Cell will autofill based on response")</f>
        <v/>
      </c>
      <c r="V263" s="26">
        <f>COUNTIF($H263:$S263,"Not yet started")</f>
        <v/>
      </c>
      <c r="W263" s="26">
        <f>COUNTIF($H263:$S263,"Not met")</f>
        <v/>
      </c>
      <c r="X263" s="26">
        <f>COUNTIF($H263:$S263,"Partially met")</f>
        <v/>
      </c>
      <c r="Y263" s="26">
        <f>COUNTIF($H263:$S263,"Met or exceeded")</f>
        <v/>
      </c>
      <c r="Z263" s="26">
        <f>3*Y263+2*X263+W263</f>
        <v/>
      </c>
      <c r="AA263" s="26">
        <f>Y263+X263+W263+V263</f>
        <v/>
      </c>
      <c r="AB263" s="27">
        <f>IF(AA263&gt;0,Z263/AA263,"No valid responses to date")</f>
        <v/>
      </c>
      <c r="AC263" s="26">
        <f>IF(ISNUMBER(AB263),INDEX(Lists!$G$2:$G$5,MATCH(ROUND(AB263,0),Lists!$H$2:$H$5,0)),"")</f>
        <v/>
      </c>
      <c r="AD263" s="28">
        <f>IF(AA263&gt;0,Y263/AA263,"")</f>
        <v/>
      </c>
      <c r="AE263" s="28">
        <f>IF(AA263&gt;0,(Y263+X263)/AA263,"")</f>
        <v/>
      </c>
      <c r="AF263" s="26">
        <f>IF(AA263=0,"",IF(AD263&gt;0.75,"Met or exceeded",IF(AE263&gt;=0.5,"Partially met","Not met")))</f>
        <v/>
      </c>
    </row>
    <row r="264">
      <c r="A264">
        <f>F264&amp;"|"&amp;G264</f>
        <v/>
      </c>
      <c r="B264" s="29" t="inlineStr"/>
      <c r="C264" s="8" t="inlineStr"/>
      <c r="D264" s="8" t="inlineStr"/>
      <c r="E264" s="8" t="inlineStr"/>
      <c r="F264" s="8" t="inlineStr">
        <is>
          <t>RI1(a)</t>
        </is>
      </c>
      <c r="G264" s="8" t="inlineStr">
        <is>
          <t>OPTION 1:  Target-level reporting</t>
        </is>
      </c>
      <c r="H264" s="25">
        <f>IFERROR(IF(INDEX('Faculties'!$M$10:$M$30,MATCH($F264,'Faculties'!$B$10:$B$30,0))="","Cell will autofill based on response",INDEX('Faculties'!$M$10:$M$30,MATCH($F264,'Faculties'!$B$10:$B$30,0))),"N/A")</f>
        <v/>
      </c>
      <c r="I264" s="25">
        <f>IFERROR(IF(INDEX('Faculties'!$M$37:$M$57,MATCH($F264,'Faculties'!$B$37:$B$57,0))="","Cell will autofill based on response",INDEX('Faculties'!$M$37:$M$57,MATCH($F264,'Faculties'!$B$37:$B$57,0))),"N/A")</f>
        <v/>
      </c>
      <c r="J264" s="25">
        <f>IFERROR(IF(INDEX('Faculties'!$M$64:$M$84,MATCH($F264,'Faculties'!$B$64:$B$84,0))="","Cell will autofill based on response",INDEX('Faculties'!$M$64:$M$84,MATCH($F264,'Faculties'!$B$64:$B$84,0))),"N/A")</f>
        <v/>
      </c>
      <c r="K264" s="25">
        <f>IFERROR(IF(INDEX('Faculties'!$M$91:$M$111,MATCH($F264,'Faculties'!$B$91:$B$111,0))="","Cell will autofill based on response",INDEX('Faculties'!$M$91:$M$111,MATCH($F264,'Faculties'!$B$91:$B$111,0))),"N/A")</f>
        <v/>
      </c>
      <c r="L264" s="25">
        <f>IFERROR(IF(INDEX('CI&amp;S'!$M$10:$M$15,MATCH($F264,'CI&amp;S'!$B$10:$B$15,0))="","Cell will autofill based on response",INDEX('CI&amp;S'!$M$10:$M$15,MATCH($F264,'CI&amp;S'!$B$10:$B$15,0))),"N/A")</f>
        <v/>
      </c>
      <c r="M264" s="25">
        <f>IFERROR(IF(INDEX('CI&amp;S'!$M$22:$M$39,MATCH($F264,'CI&amp;S'!$B$22:$B$39,0))="","Cell will autofill based on response",INDEX('CI&amp;S'!$M$22:$M$39,MATCH($F264,'CI&amp;S'!$B$22:$B$39,0))),"N/A")</f>
        <v/>
      </c>
      <c r="N264" s="25">
        <f>IFERROR(IF(INDEX('CFOG'!$M$10:$M$16,MATCH($F264,'CFOG'!$B$10:$B$16,0))="","Cell will autofill based on response",INDEX('CFOG'!$M$10:$M$16,MATCH($F264,'CFOG'!$B$10:$B$16,0))),"N/A")</f>
        <v/>
      </c>
      <c r="O264" s="25">
        <f>IFERROR(IF(INDEX('CFOG'!$M$23:$M$24,MATCH($F264,'CFOG'!$B$23:$B$24,0))="","Cell will autofill based on response",INDEX('CFOG'!$M$23:$M$24,MATCH($F264,'CFOG'!$B$23:$B$24,0))),"N/A")</f>
        <v/>
      </c>
      <c r="P264" s="25">
        <f>IFERROR(IF(INDEX('ESG'!$M$10:$M$17,MATCH($F264,'ESG'!$B$10:$B$17,0))="","Cell will autofill based on response",INDEX('ESG'!$M$10:$M$17,MATCH($F264,'ESG'!$B$10:$B$17,0))),"N/A")</f>
        <v/>
      </c>
      <c r="Q264" s="25">
        <f>IFERROR(IF(INDEX('CIOG'!$M$10:$M$14,MATCH($F264,'CIOG'!$B$10:$B$14,0))="","Cell will autofill based on response",INDEX('CIOG'!$M$10:$M$14,MATCH($F264,'CIOG'!$B$10:$B$14,0))),"N/A")</f>
        <v/>
      </c>
      <c r="R264" s="25">
        <f>IFERROR(IF(INDEX('MRE'!$M$10:$M$12,MATCH($F264,'MRE'!$B$10:$B$12,0))="","Cell will autofill based on response",INDEX('MRE'!$M$10:$M$12,MATCH($F264,'MRE'!$B$10:$B$12,0))),"N/A")</f>
        <v/>
      </c>
      <c r="S264" s="25">
        <f>IFERROR(IF(INDEX('L&amp;R'!$M$10:$M$11,MATCH($F264,'L&amp;R'!$B$10:$B$11,0))="","Cell will autofill based on response",INDEX('L&amp;R'!$M$10:$M$11,MATCH($F264,'L&amp;R'!$B$10:$B$11,0))),"N/A")</f>
        <v/>
      </c>
    </row>
    <row r="265">
      <c r="A265">
        <f>F265&amp;"|"&amp;G265</f>
        <v/>
      </c>
      <c r="B265" s="29" t="inlineStr"/>
      <c r="C265" s="8" t="inlineStr"/>
      <c r="D265" s="8" t="inlineStr"/>
      <c r="E265" s="8" t="inlineStr"/>
      <c r="F265" s="8" t="inlineStr">
        <is>
          <t>RI1(a)</t>
        </is>
      </c>
      <c r="G265" s="8" t="inlineStr">
        <is>
          <t>OPTION 2:  Indicator level reporting</t>
        </is>
      </c>
      <c r="H265" s="25">
        <f>IFERROR(IF(INDEX('Faculties'!$N$10:$N$30,MATCH($F265,'Faculties'!$B$10:$B$30,0))="","Cell will autofill based on response",INDEX('Faculties'!$N$10:$N$30,MATCH($F265,'Faculties'!$B$10:$B$30,0))),"N/A")</f>
        <v/>
      </c>
      <c r="I265" s="25">
        <f>IFERROR(IF(INDEX('Faculties'!$N$37:$N$57,MATCH($F265,'Faculties'!$B$37:$B$57,0))="","Cell will autofill based on response",INDEX('Faculties'!$N$37:$N$57,MATCH($F265,'Faculties'!$B$37:$B$57,0))),"N/A")</f>
        <v/>
      </c>
      <c r="J265" s="25">
        <f>IFERROR(IF(INDEX('Faculties'!$N$64:$N$84,MATCH($F265,'Faculties'!$B$64:$B$84,0))="","Cell will autofill based on response",INDEX('Faculties'!$N$64:$N$84,MATCH($F265,'Faculties'!$B$64:$B$84,0))),"N/A")</f>
        <v/>
      </c>
      <c r="K265" s="25">
        <f>IFERROR(IF(INDEX('Faculties'!$N$91:$N$111,MATCH($F265,'Faculties'!$B$91:$B$111,0))="","Cell will autofill based on response",INDEX('Faculties'!$N$91:$N$111,MATCH($F265,'Faculties'!$B$91:$B$111,0))),"N/A")</f>
        <v/>
      </c>
      <c r="L265" s="25">
        <f>IFERROR(IF(INDEX('CI&amp;S'!$N$10:$N$15,MATCH($F265,'CI&amp;S'!$B$10:$B$15,0))="","Cell will autofill based on response",INDEX('CI&amp;S'!$N$10:$N$15,MATCH($F265,'CI&amp;S'!$B$10:$B$15,0))),"N/A")</f>
        <v/>
      </c>
      <c r="M265" s="25">
        <f>IFERROR(IF(INDEX('CI&amp;S'!$N$22:$N$39,MATCH($F265,'CI&amp;S'!$B$22:$B$39,0))="","Cell will autofill based on response",INDEX('CI&amp;S'!$N$22:$N$39,MATCH($F265,'CI&amp;S'!$B$22:$B$39,0))),"N/A")</f>
        <v/>
      </c>
      <c r="N265" s="25">
        <f>IFERROR(IF(INDEX('CFOG'!$N$10:$N$16,MATCH($F265,'CFOG'!$B$10:$B$16,0))="","Cell will autofill based on response",INDEX('CFOG'!$N$10:$N$16,MATCH($F265,'CFOG'!$B$10:$B$16,0))),"N/A")</f>
        <v/>
      </c>
      <c r="O265" s="25">
        <f>IFERROR(IF(INDEX('CFOG'!$N$23:$N$24,MATCH($F265,'CFOG'!$B$23:$B$24,0))="","Cell will autofill based on response",INDEX('CFOG'!$N$23:$N$24,MATCH($F265,'CFOG'!$B$23:$B$24,0))),"N/A")</f>
        <v/>
      </c>
      <c r="P265" s="25">
        <f>IFERROR(IF(INDEX('ESG'!$N$10:$N$17,MATCH($F265,'ESG'!$B$10:$B$17,0))="","Cell will autofill based on response",INDEX('ESG'!$N$10:$N$17,MATCH($F265,'ESG'!$B$10:$B$17,0))),"N/A")</f>
        <v/>
      </c>
      <c r="Q265" s="25">
        <f>IFERROR(IF(INDEX('CIOG'!$N$10:$N$14,MATCH($F265,'CIOG'!$B$10:$B$14,0))="","Cell will autofill based on response",INDEX('CIOG'!$N$10:$N$14,MATCH($F265,'CIOG'!$B$10:$B$14,0))),"N/A")</f>
        <v/>
      </c>
      <c r="R265" s="25">
        <f>IFERROR(IF(INDEX('MRE'!$N$10:$N$12,MATCH($F265,'MRE'!$B$10:$B$12,0))="","Cell will autofill based on response",INDEX('MRE'!$N$10:$N$12,MATCH($F265,'MRE'!$B$10:$B$12,0))),"N/A")</f>
        <v/>
      </c>
      <c r="S265" s="25">
        <f>IFERROR(IF(INDEX('L&amp;R'!$N$10:$N$11,MATCH($F265,'L&amp;R'!$B$10:$B$11,0))="","Cell will autofill based on response",INDEX('L&amp;R'!$N$10:$N$11,MATCH($F265,'L&amp;R'!$B$10:$B$11,0))),"N/A")</f>
        <v/>
      </c>
    </row>
    <row r="266">
      <c r="A266">
        <f>F266&amp;"|"&amp;G266</f>
        <v/>
      </c>
      <c r="B266" s="29" t="inlineStr"/>
      <c r="C266" s="8" t="inlineStr"/>
      <c r="D266" s="8" t="inlineStr"/>
      <c r="E266" s="8" t="inlineStr"/>
      <c r="F266" s="8" t="inlineStr">
        <is>
          <t>RI1(a)</t>
        </is>
      </c>
      <c r="G266" s="8" t="inlineStr">
        <is>
          <t>Supporting information/comments</t>
        </is>
      </c>
      <c r="H266" s="25">
        <f>IFERROR(IF(INDEX('Faculties'!$O$10:$O$30,MATCH($F266,'Faculties'!$B$10:$B$30,0))="","Cell will autofill based on response",INDEX('Faculties'!$O$10:$O$30,MATCH($F266,'Faculties'!$B$10:$B$30,0))),"N/A")</f>
        <v/>
      </c>
      <c r="I266" s="25">
        <f>IFERROR(IF(INDEX('Faculties'!$O$37:$O$57,MATCH($F266,'Faculties'!$B$37:$B$57,0))="","Cell will autofill based on response",INDEX('Faculties'!$O$37:$O$57,MATCH($F266,'Faculties'!$B$37:$B$57,0))),"N/A")</f>
        <v/>
      </c>
      <c r="J266" s="25">
        <f>IFERROR(IF(INDEX('Faculties'!$O$64:$O$84,MATCH($F266,'Faculties'!$B$64:$B$84,0))="","Cell will autofill based on response",INDEX('Faculties'!$O$64:$O$84,MATCH($F266,'Faculties'!$B$64:$B$84,0))),"N/A")</f>
        <v/>
      </c>
      <c r="K266" s="25">
        <f>IFERROR(IF(INDEX('Faculties'!$O$91:$O$111,MATCH($F266,'Faculties'!$B$91:$B$111,0))="","Cell will autofill based on response",INDEX('Faculties'!$O$91:$O$111,MATCH($F266,'Faculties'!$B$91:$B$111,0))),"N/A")</f>
        <v/>
      </c>
      <c r="L266" s="25">
        <f>IFERROR(IF(INDEX('CI&amp;S'!$O$10:$O$15,MATCH($F266,'CI&amp;S'!$B$10:$B$15,0))="","Cell will autofill based on response",INDEX('CI&amp;S'!$O$10:$O$15,MATCH($F266,'CI&amp;S'!$B$10:$B$15,0))),"N/A")</f>
        <v/>
      </c>
      <c r="M266" s="25">
        <f>IFERROR(IF(INDEX('CI&amp;S'!$O$22:$O$39,MATCH($F266,'CI&amp;S'!$B$22:$B$39,0))="","Cell will autofill based on response",INDEX('CI&amp;S'!$O$22:$O$39,MATCH($F266,'CI&amp;S'!$B$22:$B$39,0))),"N/A")</f>
        <v/>
      </c>
      <c r="N266" s="25">
        <f>IFERROR(IF(INDEX('CFOG'!$O$10:$O$16,MATCH($F266,'CFOG'!$B$10:$B$16,0))="","Cell will autofill based on response",INDEX('CFOG'!$O$10:$O$16,MATCH($F266,'CFOG'!$B$10:$B$16,0))),"N/A")</f>
        <v/>
      </c>
      <c r="O266" s="25">
        <f>IFERROR(IF(INDEX('CFOG'!$O$23:$O$24,MATCH($F266,'CFOG'!$B$23:$B$24,0))="","Cell will autofill based on response",INDEX('CFOG'!$O$23:$O$24,MATCH($F266,'CFOG'!$B$23:$B$24,0))),"N/A")</f>
        <v/>
      </c>
      <c r="P266" s="25">
        <f>IFERROR(IF(INDEX('ESG'!$O$10:$O$17,MATCH($F266,'ESG'!$B$10:$B$17,0))="","Cell will autofill based on response",INDEX('ESG'!$O$10:$O$17,MATCH($F266,'ESG'!$B$10:$B$17,0))),"N/A")</f>
        <v/>
      </c>
      <c r="Q266" s="25">
        <f>IFERROR(IF(INDEX('CIOG'!$O$10:$O$14,MATCH($F266,'CIOG'!$B$10:$B$14,0))="","Cell will autofill based on response",INDEX('CIOG'!$O$10:$O$14,MATCH($F266,'CIOG'!$B$10:$B$14,0))),"N/A")</f>
        <v/>
      </c>
      <c r="R266" s="25">
        <f>IFERROR(IF(INDEX('MRE'!$O$10:$O$12,MATCH($F266,'MRE'!$B$10:$B$12,0))="","Cell will autofill based on response",INDEX('MRE'!$O$10:$O$12,MATCH($F266,'MRE'!$B$10:$B$12,0))),"N/A")</f>
        <v/>
      </c>
      <c r="S266" s="25">
        <f>IFERROR(IF(INDEX('L&amp;R'!$O$10:$O$11,MATCH($F266,'L&amp;R'!$B$10:$B$11,0))="","Cell will autofill based on response",INDEX('L&amp;R'!$O$10:$O$11,MATCH($F266,'L&amp;R'!$B$10:$B$11,0))),"N/A")</f>
        <v/>
      </c>
    </row>
    <row r="267">
      <c r="A267">
        <f>F267&amp;"|"&amp;G267</f>
        <v/>
      </c>
      <c r="B267" s="29" t="inlineStr"/>
      <c r="C267" s="8" t="inlineStr"/>
      <c r="D267" s="8" t="inlineStr"/>
      <c r="E267" s="8" t="inlineStr"/>
      <c r="F267" s="8" t="inlineStr">
        <is>
          <t>RI1(a)</t>
        </is>
      </c>
      <c r="G267" s="8" t="inlineStr">
        <is>
          <t>Data source and limitations</t>
        </is>
      </c>
      <c r="H267" s="25">
        <f>IFERROR(IF(INDEX('Faculties'!$P$10:$P$30,MATCH($F267,'Faculties'!$B$10:$B$30,0))="","Cell will autofill based on response",INDEX('Faculties'!$P$10:$P$30,MATCH($F267,'Faculties'!$B$10:$B$30,0))),"N/A")</f>
        <v/>
      </c>
      <c r="I267" s="25">
        <f>IFERROR(IF(INDEX('Faculties'!$P$37:$P$57,MATCH($F267,'Faculties'!$B$37:$B$57,0))="","Cell will autofill based on response",INDEX('Faculties'!$P$37:$P$57,MATCH($F267,'Faculties'!$B$37:$B$57,0))),"N/A")</f>
        <v/>
      </c>
      <c r="J267" s="25">
        <f>IFERROR(IF(INDEX('Faculties'!$P$64:$P$84,MATCH($F267,'Faculties'!$B$64:$B$84,0))="","Cell will autofill based on response",INDEX('Faculties'!$P$64:$P$84,MATCH($F267,'Faculties'!$B$64:$B$84,0))),"N/A")</f>
        <v/>
      </c>
      <c r="K267" s="25">
        <f>IFERROR(IF(INDEX('Faculties'!$P$91:$P$111,MATCH($F267,'Faculties'!$B$91:$B$111,0))="","Cell will autofill based on response",INDEX('Faculties'!$P$91:$P$111,MATCH($F267,'Faculties'!$B$91:$B$111,0))),"N/A")</f>
        <v/>
      </c>
      <c r="L267" s="25">
        <f>IFERROR(IF(INDEX('CI&amp;S'!$P$10:$P$15,MATCH($F267,'CI&amp;S'!$B$10:$B$15,0))="","Cell will autofill based on response",INDEX('CI&amp;S'!$P$10:$P$15,MATCH($F267,'CI&amp;S'!$B$10:$B$15,0))),"N/A")</f>
        <v/>
      </c>
      <c r="M267" s="25">
        <f>IFERROR(IF(INDEX('CI&amp;S'!$P$22:$P$39,MATCH($F267,'CI&amp;S'!$B$22:$B$39,0))="","Cell will autofill based on response",INDEX('CI&amp;S'!$P$22:$P$39,MATCH($F267,'CI&amp;S'!$B$22:$B$39,0))),"N/A")</f>
        <v/>
      </c>
      <c r="N267" s="25">
        <f>IFERROR(IF(INDEX('CFOG'!$P$10:$P$16,MATCH($F267,'CFOG'!$B$10:$B$16,0))="","Cell will autofill based on response",INDEX('CFOG'!$P$10:$P$16,MATCH($F267,'CFOG'!$B$10:$B$16,0))),"N/A")</f>
        <v/>
      </c>
      <c r="O267" s="25">
        <f>IFERROR(IF(INDEX('CFOG'!$P$23:$P$24,MATCH($F267,'CFOG'!$B$23:$B$24,0))="","Cell will autofill based on response",INDEX('CFOG'!$P$23:$P$24,MATCH($F267,'CFOG'!$B$23:$B$24,0))),"N/A")</f>
        <v/>
      </c>
      <c r="P267" s="25">
        <f>IFERROR(IF(INDEX('ESG'!$P$10:$P$17,MATCH($F267,'ESG'!$B$10:$B$17,0))="","Cell will autofill based on response",INDEX('ESG'!$P$10:$P$17,MATCH($F267,'ESG'!$B$10:$B$17,0))),"N/A")</f>
        <v/>
      </c>
      <c r="Q267" s="25">
        <f>IFERROR(IF(INDEX('CIOG'!$P$10:$P$14,MATCH($F267,'CIOG'!$B$10:$B$14,0))="","Cell will autofill based on response",INDEX('CIOG'!$P$10:$P$14,MATCH($F267,'CIOG'!$B$10:$B$14,0))),"N/A")</f>
        <v/>
      </c>
      <c r="R267" s="25">
        <f>IFERROR(IF(INDEX('MRE'!$P$10:$P$12,MATCH($F267,'MRE'!$B$10:$B$12,0))="","Cell will autofill based on response",INDEX('MRE'!$P$10:$P$12,MATCH($F267,'MRE'!$B$10:$B$12,0))),"N/A")</f>
        <v/>
      </c>
      <c r="S267" s="25">
        <f>IFERROR(IF(INDEX('L&amp;R'!$P$10:$P$11,MATCH($F267,'L&amp;R'!$B$10:$B$11,0))="","Cell will autofill based on response",INDEX('L&amp;R'!$P$10:$P$11,MATCH($F267,'L&amp;R'!$B$10:$B$11,0))),"N/A")</f>
        <v/>
      </c>
    </row>
    <row r="268">
      <c r="A268">
        <f>F268&amp;"|"&amp;G268</f>
        <v/>
      </c>
      <c r="B268" s="29" t="inlineStr"/>
      <c r="C268" s="8" t="inlineStr"/>
      <c r="D268" s="8" t="inlineStr"/>
      <c r="E268" s="8" t="inlineStr"/>
      <c r="F268" s="8" t="inlineStr">
        <is>
          <t>RI1(a)</t>
        </is>
      </c>
      <c r="G268" s="8" t="inlineStr">
        <is>
          <t>Data owner confirms</t>
        </is>
      </c>
      <c r="H268" s="25">
        <f>IFERROR(IF(INDEX('Faculties'!$Q$10:$Q$30,MATCH($F268,'Faculties'!$B$10:$B$30,0))="","Cell will autofill based on response",INDEX('Faculties'!$Q$10:$Q$30,MATCH($F268,'Faculties'!$B$10:$B$30,0))),"N/A")</f>
        <v/>
      </c>
      <c r="I268" s="25">
        <f>IFERROR(IF(INDEX('Faculties'!$Q$37:$Q$57,MATCH($F268,'Faculties'!$B$37:$B$57,0))="","Cell will autofill based on response",INDEX('Faculties'!$Q$37:$Q$57,MATCH($F268,'Faculties'!$B$37:$B$57,0))),"N/A")</f>
        <v/>
      </c>
      <c r="J268" s="25">
        <f>IFERROR(IF(INDEX('Faculties'!$Q$64:$Q$84,MATCH($F268,'Faculties'!$B$64:$B$84,0))="","Cell will autofill based on response",INDEX('Faculties'!$Q$64:$Q$84,MATCH($F268,'Faculties'!$B$64:$B$84,0))),"N/A")</f>
        <v/>
      </c>
      <c r="K268" s="25">
        <f>IFERROR(IF(INDEX('Faculties'!$Q$91:$Q$111,MATCH($F268,'Faculties'!$B$91:$B$111,0))="","Cell will autofill based on response",INDEX('Faculties'!$Q$91:$Q$111,MATCH($F268,'Faculties'!$B$91:$B$111,0))),"N/A")</f>
        <v/>
      </c>
      <c r="L268" s="25">
        <f>IFERROR(IF(INDEX('CI&amp;S'!$Q$10:$Q$15,MATCH($F268,'CI&amp;S'!$B$10:$B$15,0))="","Cell will autofill based on response",INDEX('CI&amp;S'!$Q$10:$Q$15,MATCH($F268,'CI&amp;S'!$B$10:$B$15,0))),"N/A")</f>
        <v/>
      </c>
      <c r="M268" s="25">
        <f>IFERROR(IF(INDEX('CI&amp;S'!$Q$22:$Q$39,MATCH($F268,'CI&amp;S'!$B$22:$B$39,0))="","Cell will autofill based on response",INDEX('CI&amp;S'!$Q$22:$Q$39,MATCH($F268,'CI&amp;S'!$B$22:$B$39,0))),"N/A")</f>
        <v/>
      </c>
      <c r="N268" s="25">
        <f>IFERROR(IF(INDEX('CFOG'!$Q$10:$Q$16,MATCH($F268,'CFOG'!$B$10:$B$16,0))="","Cell will autofill based on response",INDEX('CFOG'!$Q$10:$Q$16,MATCH($F268,'CFOG'!$B$10:$B$16,0))),"N/A")</f>
        <v/>
      </c>
      <c r="O268" s="25">
        <f>IFERROR(IF(INDEX('CFOG'!$Q$23:$Q$24,MATCH($F268,'CFOG'!$B$23:$B$24,0))="","Cell will autofill based on response",INDEX('CFOG'!$Q$23:$Q$24,MATCH($F268,'CFOG'!$B$23:$B$24,0))),"N/A")</f>
        <v/>
      </c>
      <c r="P268" s="25">
        <f>IFERROR(IF(INDEX('ESG'!$Q$10:$Q$17,MATCH($F268,'ESG'!$B$10:$B$17,0))="","Cell will autofill based on response",INDEX('ESG'!$Q$10:$Q$17,MATCH($F268,'ESG'!$B$10:$B$17,0))),"N/A")</f>
        <v/>
      </c>
      <c r="Q268" s="25">
        <f>IFERROR(IF(INDEX('CIOG'!$Q$10:$Q$14,MATCH($F268,'CIOG'!$B$10:$B$14,0))="","Cell will autofill based on response",INDEX('CIOG'!$Q$10:$Q$14,MATCH($F268,'CIOG'!$B$10:$B$14,0))),"N/A")</f>
        <v/>
      </c>
      <c r="R268" s="25">
        <f>IFERROR(IF(INDEX('MRE'!$Q$10:$Q$12,MATCH($F268,'MRE'!$B$10:$B$12,0))="","Cell will autofill based on response",INDEX('MRE'!$Q$10:$Q$12,MATCH($F268,'MRE'!$B$10:$B$12,0))),"N/A")</f>
        <v/>
      </c>
      <c r="S268" s="25">
        <f>IFERROR(IF(INDEX('L&amp;R'!$Q$10:$Q$11,MATCH($F268,'L&amp;R'!$B$10:$B$11,0))="","Cell will autofill based on response",INDEX('L&amp;R'!$Q$10:$Q$11,MATCH($F268,'L&amp;R'!$B$10:$B$11,0))),"N/A")</f>
        <v/>
      </c>
    </row>
    <row r="269">
      <c r="A269">
        <f>F269&amp;"|"&amp;G269</f>
        <v/>
      </c>
      <c r="B269" s="7" t="inlineStr">
        <is>
          <t>RI1(b)</t>
        </is>
      </c>
      <c r="C269" s="12" t="inlineStr">
        <is>
          <t>Responsible investments</t>
        </is>
      </c>
      <c r="D269" s="12" t="inlineStr">
        <is>
          <t>Continuous improvement of the reporting of the University’s sustainability-related investment profile metrics, could include investment in climate mitigation and transition solutions, and compliance with related obligations (eg UNPRI).</t>
        </is>
      </c>
      <c r="E269" s="12" t="inlineStr">
        <is>
          <t>Report on relevant sustainability-related investment portfolio metrics and report on how the University has complied with its related obligations</t>
        </is>
      </c>
      <c r="F269" s="12" t="inlineStr">
        <is>
          <t>RI1(b)</t>
        </is>
      </c>
      <c r="G269" s="12" t="inlineStr">
        <is>
          <t>Confirm end-2026 target status</t>
        </is>
      </c>
      <c r="H269" s="25">
        <f>IFERROR(IF(INDEX('Faculties'!$L$10:$L$30,MATCH($F269,'Faculties'!$B$10:$B$30,0))="","Cell will autofill based on response",INDEX('Faculties'!$L$10:$L$30,MATCH($F269,'Faculties'!$B$10:$B$30,0))),"N/A")</f>
        <v/>
      </c>
      <c r="I269" s="25">
        <f>IFERROR(IF(INDEX('Faculties'!$L$37:$L$57,MATCH($F269,'Faculties'!$B$37:$B$57,0))="","Cell will autofill based on response",INDEX('Faculties'!$L$37:$L$57,MATCH($F269,'Faculties'!$B$37:$B$57,0))),"N/A")</f>
        <v/>
      </c>
      <c r="J269" s="25">
        <f>IFERROR(IF(INDEX('Faculties'!$L$64:$L$84,MATCH($F269,'Faculties'!$B$64:$B$84,0))="","Cell will autofill based on response",INDEX('Faculties'!$L$64:$L$84,MATCH($F269,'Faculties'!$B$64:$B$84,0))),"N/A")</f>
        <v/>
      </c>
      <c r="K269" s="25">
        <f>IFERROR(IF(INDEX('Faculties'!$L$91:$L$111,MATCH($F269,'Faculties'!$B$91:$B$111,0))="","Cell will autofill based on response",INDEX('Faculties'!$L$91:$L$111,MATCH($F269,'Faculties'!$B$91:$B$111,0))),"N/A")</f>
        <v/>
      </c>
      <c r="L269" s="25">
        <f>IFERROR(IF(INDEX('CI&amp;S'!$L$10:$L$15,MATCH($F269,'CI&amp;S'!$B$10:$B$15,0))="","Cell will autofill based on response",INDEX('CI&amp;S'!$L$10:$L$15,MATCH($F269,'CI&amp;S'!$B$10:$B$15,0))),"N/A")</f>
        <v/>
      </c>
      <c r="M269" s="25">
        <f>IFERROR(IF(INDEX('CI&amp;S'!$L$22:$L$39,MATCH($F269,'CI&amp;S'!$B$22:$B$39,0))="","Cell will autofill based on response",INDEX('CI&amp;S'!$L$22:$L$39,MATCH($F269,'CI&amp;S'!$B$22:$B$39,0))),"N/A")</f>
        <v/>
      </c>
      <c r="N269" s="25">
        <f>IFERROR(IF(INDEX('CFOG'!$L$10:$L$16,MATCH($F269,'CFOG'!$B$10:$B$16,0))="","Cell will autofill based on response",INDEX('CFOG'!$L$10:$L$16,MATCH($F269,'CFOG'!$B$10:$B$16,0))),"N/A")</f>
        <v/>
      </c>
      <c r="O269" s="25">
        <f>IFERROR(IF(INDEX('CFOG'!$L$23:$L$24,MATCH($F269,'CFOG'!$B$23:$B$24,0))="","Cell will autofill based on response",INDEX('CFOG'!$L$23:$L$24,MATCH($F269,'CFOG'!$B$23:$B$24,0))),"N/A")</f>
        <v/>
      </c>
      <c r="P269" s="25">
        <f>IFERROR(IF(INDEX('ESG'!$L$10:$L$17,MATCH($F269,'ESG'!$B$10:$B$17,0))="","Cell will autofill based on response",INDEX('ESG'!$L$10:$L$17,MATCH($F269,'ESG'!$B$10:$B$17,0))),"N/A")</f>
        <v/>
      </c>
      <c r="Q269" s="25">
        <f>IFERROR(IF(INDEX('CIOG'!$L$10:$L$14,MATCH($F269,'CIOG'!$B$10:$B$14,0))="","Cell will autofill based on response",INDEX('CIOG'!$L$10:$L$14,MATCH($F269,'CIOG'!$B$10:$B$14,0))),"N/A")</f>
        <v/>
      </c>
      <c r="R269" s="25">
        <f>IFERROR(IF(INDEX('MRE'!$L$10:$L$12,MATCH($F269,'MRE'!$B$10:$B$12,0))="","Cell will autofill based on response",INDEX('MRE'!$L$10:$L$12,MATCH($F269,'MRE'!$B$10:$B$12,0))),"N/A")</f>
        <v/>
      </c>
      <c r="S269" s="25">
        <f>IFERROR(IF(INDEX('L&amp;R'!$L$10:$L$11,MATCH($F269,'L&amp;R'!$B$10:$B$11,0))="","Cell will autofill based on response",INDEX('L&amp;R'!$L$10:$L$11,MATCH($F269,'L&amp;R'!$B$10:$B$11,0))),"N/A")</f>
        <v/>
      </c>
      <c r="U269" s="26">
        <f>COUNTIF($H269:$S269,"Cell will autofill based on response")</f>
        <v/>
      </c>
      <c r="V269" s="26">
        <f>COUNTIF($H269:$S269,"Not yet started")</f>
        <v/>
      </c>
      <c r="W269" s="26">
        <f>COUNTIF($H269:$S269,"Not met")</f>
        <v/>
      </c>
      <c r="X269" s="26">
        <f>COUNTIF($H269:$S269,"Partially met")</f>
        <v/>
      </c>
      <c r="Y269" s="26">
        <f>COUNTIF($H269:$S269,"Met or exceeded")</f>
        <v/>
      </c>
      <c r="Z269" s="26">
        <f>3*Y269+2*X269+W269</f>
        <v/>
      </c>
      <c r="AA269" s="26">
        <f>Y269+X269+W269+V269</f>
        <v/>
      </c>
      <c r="AB269" s="27">
        <f>IF(AA269&gt;0,Z269/AA269,"No valid responses to date")</f>
        <v/>
      </c>
      <c r="AC269" s="26">
        <f>IF(ISNUMBER(AB269),INDEX(Lists!$G$2:$G$5,MATCH(ROUND(AB269,0),Lists!$H$2:$H$5,0)),"")</f>
        <v/>
      </c>
      <c r="AD269" s="28">
        <f>IF(AA269&gt;0,Y269/AA269,"")</f>
        <v/>
      </c>
      <c r="AE269" s="28">
        <f>IF(AA269&gt;0,(Y269+X269)/AA269,"")</f>
        <v/>
      </c>
      <c r="AF269" s="26">
        <f>IF(AA269=0,"",IF(AD269&gt;0.75,"Met or exceeded",IF(AE269&gt;=0.5,"Partially met","Not met")))</f>
        <v/>
      </c>
    </row>
    <row r="270">
      <c r="A270">
        <f>F270&amp;"|"&amp;G270</f>
        <v/>
      </c>
      <c r="B270" s="29" t="inlineStr"/>
      <c r="C270" s="8" t="inlineStr"/>
      <c r="D270" s="8" t="inlineStr"/>
      <c r="E270" s="8" t="inlineStr"/>
      <c r="F270" s="8" t="inlineStr">
        <is>
          <t>RI1(b)</t>
        </is>
      </c>
      <c r="G270" s="8" t="inlineStr">
        <is>
          <t>OPTION 1:  Target-level reporting</t>
        </is>
      </c>
      <c r="H270" s="25">
        <f>IFERROR(IF(INDEX('Faculties'!$M$10:$M$30,MATCH($F270,'Faculties'!$B$10:$B$30,0))="","Cell will autofill based on response",INDEX('Faculties'!$M$10:$M$30,MATCH($F270,'Faculties'!$B$10:$B$30,0))),"N/A")</f>
        <v/>
      </c>
      <c r="I270" s="25">
        <f>IFERROR(IF(INDEX('Faculties'!$M$37:$M$57,MATCH($F270,'Faculties'!$B$37:$B$57,0))="","Cell will autofill based on response",INDEX('Faculties'!$M$37:$M$57,MATCH($F270,'Faculties'!$B$37:$B$57,0))),"N/A")</f>
        <v/>
      </c>
      <c r="J270" s="25">
        <f>IFERROR(IF(INDEX('Faculties'!$M$64:$M$84,MATCH($F270,'Faculties'!$B$64:$B$84,0))="","Cell will autofill based on response",INDEX('Faculties'!$M$64:$M$84,MATCH($F270,'Faculties'!$B$64:$B$84,0))),"N/A")</f>
        <v/>
      </c>
      <c r="K270" s="25">
        <f>IFERROR(IF(INDEX('Faculties'!$M$91:$M$111,MATCH($F270,'Faculties'!$B$91:$B$111,0))="","Cell will autofill based on response",INDEX('Faculties'!$M$91:$M$111,MATCH($F270,'Faculties'!$B$91:$B$111,0))),"N/A")</f>
        <v/>
      </c>
      <c r="L270" s="25">
        <f>IFERROR(IF(INDEX('CI&amp;S'!$M$10:$M$15,MATCH($F270,'CI&amp;S'!$B$10:$B$15,0))="","Cell will autofill based on response",INDEX('CI&amp;S'!$M$10:$M$15,MATCH($F270,'CI&amp;S'!$B$10:$B$15,0))),"N/A")</f>
        <v/>
      </c>
      <c r="M270" s="25">
        <f>IFERROR(IF(INDEX('CI&amp;S'!$M$22:$M$39,MATCH($F270,'CI&amp;S'!$B$22:$B$39,0))="","Cell will autofill based on response",INDEX('CI&amp;S'!$M$22:$M$39,MATCH($F270,'CI&amp;S'!$B$22:$B$39,0))),"N/A")</f>
        <v/>
      </c>
      <c r="N270" s="25">
        <f>IFERROR(IF(INDEX('CFOG'!$M$10:$M$16,MATCH($F270,'CFOG'!$B$10:$B$16,0))="","Cell will autofill based on response",INDEX('CFOG'!$M$10:$M$16,MATCH($F270,'CFOG'!$B$10:$B$16,0))),"N/A")</f>
        <v/>
      </c>
      <c r="O270" s="25">
        <f>IFERROR(IF(INDEX('CFOG'!$M$23:$M$24,MATCH($F270,'CFOG'!$B$23:$B$24,0))="","Cell will autofill based on response",INDEX('CFOG'!$M$23:$M$24,MATCH($F270,'CFOG'!$B$23:$B$24,0))),"N/A")</f>
        <v/>
      </c>
      <c r="P270" s="25">
        <f>IFERROR(IF(INDEX('ESG'!$M$10:$M$17,MATCH($F270,'ESG'!$B$10:$B$17,0))="","Cell will autofill based on response",INDEX('ESG'!$M$10:$M$17,MATCH($F270,'ESG'!$B$10:$B$17,0))),"N/A")</f>
        <v/>
      </c>
      <c r="Q270" s="25">
        <f>IFERROR(IF(INDEX('CIOG'!$M$10:$M$14,MATCH($F270,'CIOG'!$B$10:$B$14,0))="","Cell will autofill based on response",INDEX('CIOG'!$M$10:$M$14,MATCH($F270,'CIOG'!$B$10:$B$14,0))),"N/A")</f>
        <v/>
      </c>
      <c r="R270" s="25">
        <f>IFERROR(IF(INDEX('MRE'!$M$10:$M$12,MATCH($F270,'MRE'!$B$10:$B$12,0))="","Cell will autofill based on response",INDEX('MRE'!$M$10:$M$12,MATCH($F270,'MRE'!$B$10:$B$12,0))),"N/A")</f>
        <v/>
      </c>
      <c r="S270" s="25">
        <f>IFERROR(IF(INDEX('L&amp;R'!$M$10:$M$11,MATCH($F270,'L&amp;R'!$B$10:$B$11,0))="","Cell will autofill based on response",INDEX('L&amp;R'!$M$10:$M$11,MATCH($F270,'L&amp;R'!$B$10:$B$11,0))),"N/A")</f>
        <v/>
      </c>
    </row>
    <row r="271">
      <c r="A271">
        <f>F271&amp;"|"&amp;G271</f>
        <v/>
      </c>
      <c r="B271" s="29" t="inlineStr"/>
      <c r="C271" s="8" t="inlineStr"/>
      <c r="D271" s="8" t="inlineStr"/>
      <c r="E271" s="8" t="inlineStr"/>
      <c r="F271" s="8" t="inlineStr">
        <is>
          <t>RI1(b)</t>
        </is>
      </c>
      <c r="G271" s="8" t="inlineStr">
        <is>
          <t>OPTION 2:  Indicator level reporting</t>
        </is>
      </c>
      <c r="H271" s="25">
        <f>IFERROR(IF(INDEX('Faculties'!$N$10:$N$30,MATCH($F271,'Faculties'!$B$10:$B$30,0))="","Cell will autofill based on response",INDEX('Faculties'!$N$10:$N$30,MATCH($F271,'Faculties'!$B$10:$B$30,0))),"N/A")</f>
        <v/>
      </c>
      <c r="I271" s="25">
        <f>IFERROR(IF(INDEX('Faculties'!$N$37:$N$57,MATCH($F271,'Faculties'!$B$37:$B$57,0))="","Cell will autofill based on response",INDEX('Faculties'!$N$37:$N$57,MATCH($F271,'Faculties'!$B$37:$B$57,0))),"N/A")</f>
        <v/>
      </c>
      <c r="J271" s="25">
        <f>IFERROR(IF(INDEX('Faculties'!$N$64:$N$84,MATCH($F271,'Faculties'!$B$64:$B$84,0))="","Cell will autofill based on response",INDEX('Faculties'!$N$64:$N$84,MATCH($F271,'Faculties'!$B$64:$B$84,0))),"N/A")</f>
        <v/>
      </c>
      <c r="K271" s="25">
        <f>IFERROR(IF(INDEX('Faculties'!$N$91:$N$111,MATCH($F271,'Faculties'!$B$91:$B$111,0))="","Cell will autofill based on response",INDEX('Faculties'!$N$91:$N$111,MATCH($F271,'Faculties'!$B$91:$B$111,0))),"N/A")</f>
        <v/>
      </c>
      <c r="L271" s="25">
        <f>IFERROR(IF(INDEX('CI&amp;S'!$N$10:$N$15,MATCH($F271,'CI&amp;S'!$B$10:$B$15,0))="","Cell will autofill based on response",INDEX('CI&amp;S'!$N$10:$N$15,MATCH($F271,'CI&amp;S'!$B$10:$B$15,0))),"N/A")</f>
        <v/>
      </c>
      <c r="M271" s="25">
        <f>IFERROR(IF(INDEX('CI&amp;S'!$N$22:$N$39,MATCH($F271,'CI&amp;S'!$B$22:$B$39,0))="","Cell will autofill based on response",INDEX('CI&amp;S'!$N$22:$N$39,MATCH($F271,'CI&amp;S'!$B$22:$B$39,0))),"N/A")</f>
        <v/>
      </c>
      <c r="N271" s="25">
        <f>IFERROR(IF(INDEX('CFOG'!$N$10:$N$16,MATCH($F271,'CFOG'!$B$10:$B$16,0))="","Cell will autofill based on response",INDEX('CFOG'!$N$10:$N$16,MATCH($F271,'CFOG'!$B$10:$B$16,0))),"N/A")</f>
        <v/>
      </c>
      <c r="O271" s="25">
        <f>IFERROR(IF(INDEX('CFOG'!$N$23:$N$24,MATCH($F271,'CFOG'!$B$23:$B$24,0))="","Cell will autofill based on response",INDEX('CFOG'!$N$23:$N$24,MATCH($F271,'CFOG'!$B$23:$B$24,0))),"N/A")</f>
        <v/>
      </c>
      <c r="P271" s="25">
        <f>IFERROR(IF(INDEX('ESG'!$N$10:$N$17,MATCH($F271,'ESG'!$B$10:$B$17,0))="","Cell will autofill based on response",INDEX('ESG'!$N$10:$N$17,MATCH($F271,'ESG'!$B$10:$B$17,0))),"N/A")</f>
        <v/>
      </c>
      <c r="Q271" s="25">
        <f>IFERROR(IF(INDEX('CIOG'!$N$10:$N$14,MATCH($F271,'CIOG'!$B$10:$B$14,0))="","Cell will autofill based on response",INDEX('CIOG'!$N$10:$N$14,MATCH($F271,'CIOG'!$B$10:$B$14,0))),"N/A")</f>
        <v/>
      </c>
      <c r="R271" s="25">
        <f>IFERROR(IF(INDEX('MRE'!$N$10:$N$12,MATCH($F271,'MRE'!$B$10:$B$12,0))="","Cell will autofill based on response",INDEX('MRE'!$N$10:$N$12,MATCH($F271,'MRE'!$B$10:$B$12,0))),"N/A")</f>
        <v/>
      </c>
      <c r="S271" s="25">
        <f>IFERROR(IF(INDEX('L&amp;R'!$N$10:$N$11,MATCH($F271,'L&amp;R'!$B$10:$B$11,0))="","Cell will autofill based on response",INDEX('L&amp;R'!$N$10:$N$11,MATCH($F271,'L&amp;R'!$B$10:$B$11,0))),"N/A")</f>
        <v/>
      </c>
    </row>
    <row r="272">
      <c r="A272">
        <f>F272&amp;"|"&amp;G272</f>
        <v/>
      </c>
      <c r="B272" s="29" t="inlineStr"/>
      <c r="C272" s="8" t="inlineStr"/>
      <c r="D272" s="8" t="inlineStr"/>
      <c r="E272" s="8" t="inlineStr"/>
      <c r="F272" s="8" t="inlineStr">
        <is>
          <t>RI1(b)</t>
        </is>
      </c>
      <c r="G272" s="8" t="inlineStr">
        <is>
          <t>Supporting information/comments</t>
        </is>
      </c>
      <c r="H272" s="25">
        <f>IFERROR(IF(INDEX('Faculties'!$O$10:$O$30,MATCH($F272,'Faculties'!$B$10:$B$30,0))="","Cell will autofill based on response",INDEX('Faculties'!$O$10:$O$30,MATCH($F272,'Faculties'!$B$10:$B$30,0))),"N/A")</f>
        <v/>
      </c>
      <c r="I272" s="25">
        <f>IFERROR(IF(INDEX('Faculties'!$O$37:$O$57,MATCH($F272,'Faculties'!$B$37:$B$57,0))="","Cell will autofill based on response",INDEX('Faculties'!$O$37:$O$57,MATCH($F272,'Faculties'!$B$37:$B$57,0))),"N/A")</f>
        <v/>
      </c>
      <c r="J272" s="25">
        <f>IFERROR(IF(INDEX('Faculties'!$O$64:$O$84,MATCH($F272,'Faculties'!$B$64:$B$84,0))="","Cell will autofill based on response",INDEX('Faculties'!$O$64:$O$84,MATCH($F272,'Faculties'!$B$64:$B$84,0))),"N/A")</f>
        <v/>
      </c>
      <c r="K272" s="25">
        <f>IFERROR(IF(INDEX('Faculties'!$O$91:$O$111,MATCH($F272,'Faculties'!$B$91:$B$111,0))="","Cell will autofill based on response",INDEX('Faculties'!$O$91:$O$111,MATCH($F272,'Faculties'!$B$91:$B$111,0))),"N/A")</f>
        <v/>
      </c>
      <c r="L272" s="25">
        <f>IFERROR(IF(INDEX('CI&amp;S'!$O$10:$O$15,MATCH($F272,'CI&amp;S'!$B$10:$B$15,0))="","Cell will autofill based on response",INDEX('CI&amp;S'!$O$10:$O$15,MATCH($F272,'CI&amp;S'!$B$10:$B$15,0))),"N/A")</f>
        <v/>
      </c>
      <c r="M272" s="25">
        <f>IFERROR(IF(INDEX('CI&amp;S'!$O$22:$O$39,MATCH($F272,'CI&amp;S'!$B$22:$B$39,0))="","Cell will autofill based on response",INDEX('CI&amp;S'!$O$22:$O$39,MATCH($F272,'CI&amp;S'!$B$22:$B$39,0))),"N/A")</f>
        <v/>
      </c>
      <c r="N272" s="25">
        <f>IFERROR(IF(INDEX('CFOG'!$O$10:$O$16,MATCH($F272,'CFOG'!$B$10:$B$16,0))="","Cell will autofill based on response",INDEX('CFOG'!$O$10:$O$16,MATCH($F272,'CFOG'!$B$10:$B$16,0))),"N/A")</f>
        <v/>
      </c>
      <c r="O272" s="25">
        <f>IFERROR(IF(INDEX('CFOG'!$O$23:$O$24,MATCH($F272,'CFOG'!$B$23:$B$24,0))="","Cell will autofill based on response",INDEX('CFOG'!$O$23:$O$24,MATCH($F272,'CFOG'!$B$23:$B$24,0))),"N/A")</f>
        <v/>
      </c>
      <c r="P272" s="25">
        <f>IFERROR(IF(INDEX('ESG'!$O$10:$O$17,MATCH($F272,'ESG'!$B$10:$B$17,0))="","Cell will autofill based on response",INDEX('ESG'!$O$10:$O$17,MATCH($F272,'ESG'!$B$10:$B$17,0))),"N/A")</f>
        <v/>
      </c>
      <c r="Q272" s="25">
        <f>IFERROR(IF(INDEX('CIOG'!$O$10:$O$14,MATCH($F272,'CIOG'!$B$10:$B$14,0))="","Cell will autofill based on response",INDEX('CIOG'!$O$10:$O$14,MATCH($F272,'CIOG'!$B$10:$B$14,0))),"N/A")</f>
        <v/>
      </c>
      <c r="R272" s="25">
        <f>IFERROR(IF(INDEX('MRE'!$O$10:$O$12,MATCH($F272,'MRE'!$B$10:$B$12,0))="","Cell will autofill based on response",INDEX('MRE'!$O$10:$O$12,MATCH($F272,'MRE'!$B$10:$B$12,0))),"N/A")</f>
        <v/>
      </c>
      <c r="S272" s="25">
        <f>IFERROR(IF(INDEX('L&amp;R'!$O$10:$O$11,MATCH($F272,'L&amp;R'!$B$10:$B$11,0))="","Cell will autofill based on response",INDEX('L&amp;R'!$O$10:$O$11,MATCH($F272,'L&amp;R'!$B$10:$B$11,0))),"N/A")</f>
        <v/>
      </c>
    </row>
    <row r="273">
      <c r="A273">
        <f>F273&amp;"|"&amp;G273</f>
        <v/>
      </c>
      <c r="B273" s="29" t="inlineStr"/>
      <c r="C273" s="8" t="inlineStr"/>
      <c r="D273" s="8" t="inlineStr"/>
      <c r="E273" s="8" t="inlineStr"/>
      <c r="F273" s="8" t="inlineStr">
        <is>
          <t>RI1(b)</t>
        </is>
      </c>
      <c r="G273" s="8" t="inlineStr">
        <is>
          <t>Data source and limitations</t>
        </is>
      </c>
      <c r="H273" s="25">
        <f>IFERROR(IF(INDEX('Faculties'!$P$10:$P$30,MATCH($F273,'Faculties'!$B$10:$B$30,0))="","Cell will autofill based on response",INDEX('Faculties'!$P$10:$P$30,MATCH($F273,'Faculties'!$B$10:$B$30,0))),"N/A")</f>
        <v/>
      </c>
      <c r="I273" s="25">
        <f>IFERROR(IF(INDEX('Faculties'!$P$37:$P$57,MATCH($F273,'Faculties'!$B$37:$B$57,0))="","Cell will autofill based on response",INDEX('Faculties'!$P$37:$P$57,MATCH($F273,'Faculties'!$B$37:$B$57,0))),"N/A")</f>
        <v/>
      </c>
      <c r="J273" s="25">
        <f>IFERROR(IF(INDEX('Faculties'!$P$64:$P$84,MATCH($F273,'Faculties'!$B$64:$B$84,0))="","Cell will autofill based on response",INDEX('Faculties'!$P$64:$P$84,MATCH($F273,'Faculties'!$B$64:$B$84,0))),"N/A")</f>
        <v/>
      </c>
      <c r="K273" s="25">
        <f>IFERROR(IF(INDEX('Faculties'!$P$91:$P$111,MATCH($F273,'Faculties'!$B$91:$B$111,0))="","Cell will autofill based on response",INDEX('Faculties'!$P$91:$P$111,MATCH($F273,'Faculties'!$B$91:$B$111,0))),"N/A")</f>
        <v/>
      </c>
      <c r="L273" s="25">
        <f>IFERROR(IF(INDEX('CI&amp;S'!$P$10:$P$15,MATCH($F273,'CI&amp;S'!$B$10:$B$15,0))="","Cell will autofill based on response",INDEX('CI&amp;S'!$P$10:$P$15,MATCH($F273,'CI&amp;S'!$B$10:$B$15,0))),"N/A")</f>
        <v/>
      </c>
      <c r="M273" s="25">
        <f>IFERROR(IF(INDEX('CI&amp;S'!$P$22:$P$39,MATCH($F273,'CI&amp;S'!$B$22:$B$39,0))="","Cell will autofill based on response",INDEX('CI&amp;S'!$P$22:$P$39,MATCH($F273,'CI&amp;S'!$B$22:$B$39,0))),"N/A")</f>
        <v/>
      </c>
      <c r="N273" s="25">
        <f>IFERROR(IF(INDEX('CFOG'!$P$10:$P$16,MATCH($F273,'CFOG'!$B$10:$B$16,0))="","Cell will autofill based on response",INDEX('CFOG'!$P$10:$P$16,MATCH($F273,'CFOG'!$B$10:$B$16,0))),"N/A")</f>
        <v/>
      </c>
      <c r="O273" s="25">
        <f>IFERROR(IF(INDEX('CFOG'!$P$23:$P$24,MATCH($F273,'CFOG'!$B$23:$B$24,0))="","Cell will autofill based on response",INDEX('CFOG'!$P$23:$P$24,MATCH($F273,'CFOG'!$B$23:$B$24,0))),"N/A")</f>
        <v/>
      </c>
      <c r="P273" s="25">
        <f>IFERROR(IF(INDEX('ESG'!$P$10:$P$17,MATCH($F273,'ESG'!$B$10:$B$17,0))="","Cell will autofill based on response",INDEX('ESG'!$P$10:$P$17,MATCH($F273,'ESG'!$B$10:$B$17,0))),"N/A")</f>
        <v/>
      </c>
      <c r="Q273" s="25">
        <f>IFERROR(IF(INDEX('CIOG'!$P$10:$P$14,MATCH($F273,'CIOG'!$B$10:$B$14,0))="","Cell will autofill based on response",INDEX('CIOG'!$P$10:$P$14,MATCH($F273,'CIOG'!$B$10:$B$14,0))),"N/A")</f>
        <v/>
      </c>
      <c r="R273" s="25">
        <f>IFERROR(IF(INDEX('MRE'!$P$10:$P$12,MATCH($F273,'MRE'!$B$10:$B$12,0))="","Cell will autofill based on response",INDEX('MRE'!$P$10:$P$12,MATCH($F273,'MRE'!$B$10:$B$12,0))),"N/A")</f>
        <v/>
      </c>
      <c r="S273" s="25">
        <f>IFERROR(IF(INDEX('L&amp;R'!$P$10:$P$11,MATCH($F273,'L&amp;R'!$B$10:$B$11,0))="","Cell will autofill based on response",INDEX('L&amp;R'!$P$10:$P$11,MATCH($F273,'L&amp;R'!$B$10:$B$11,0))),"N/A")</f>
        <v/>
      </c>
    </row>
    <row r="274">
      <c r="A274">
        <f>F274&amp;"|"&amp;G274</f>
        <v/>
      </c>
      <c r="B274" s="29" t="inlineStr"/>
      <c r="C274" s="8" t="inlineStr"/>
      <c r="D274" s="8" t="inlineStr"/>
      <c r="E274" s="8" t="inlineStr"/>
      <c r="F274" s="8" t="inlineStr">
        <is>
          <t>RI1(b)</t>
        </is>
      </c>
      <c r="G274" s="8" t="inlineStr">
        <is>
          <t>Data owner confirms</t>
        </is>
      </c>
      <c r="H274" s="25">
        <f>IFERROR(IF(INDEX('Faculties'!$Q$10:$Q$30,MATCH($F274,'Faculties'!$B$10:$B$30,0))="","Cell will autofill based on response",INDEX('Faculties'!$Q$10:$Q$30,MATCH($F274,'Faculties'!$B$10:$B$30,0))),"N/A")</f>
        <v/>
      </c>
      <c r="I274" s="25">
        <f>IFERROR(IF(INDEX('Faculties'!$Q$37:$Q$57,MATCH($F274,'Faculties'!$B$37:$B$57,0))="","Cell will autofill based on response",INDEX('Faculties'!$Q$37:$Q$57,MATCH($F274,'Faculties'!$B$37:$B$57,0))),"N/A")</f>
        <v/>
      </c>
      <c r="J274" s="25">
        <f>IFERROR(IF(INDEX('Faculties'!$Q$64:$Q$84,MATCH($F274,'Faculties'!$B$64:$B$84,0))="","Cell will autofill based on response",INDEX('Faculties'!$Q$64:$Q$84,MATCH($F274,'Faculties'!$B$64:$B$84,0))),"N/A")</f>
        <v/>
      </c>
      <c r="K274" s="25">
        <f>IFERROR(IF(INDEX('Faculties'!$Q$91:$Q$111,MATCH($F274,'Faculties'!$B$91:$B$111,0))="","Cell will autofill based on response",INDEX('Faculties'!$Q$91:$Q$111,MATCH($F274,'Faculties'!$B$91:$B$111,0))),"N/A")</f>
        <v/>
      </c>
      <c r="L274" s="25">
        <f>IFERROR(IF(INDEX('CI&amp;S'!$Q$10:$Q$15,MATCH($F274,'CI&amp;S'!$B$10:$B$15,0))="","Cell will autofill based on response",INDEX('CI&amp;S'!$Q$10:$Q$15,MATCH($F274,'CI&amp;S'!$B$10:$B$15,0))),"N/A")</f>
        <v/>
      </c>
      <c r="M274" s="25">
        <f>IFERROR(IF(INDEX('CI&amp;S'!$Q$22:$Q$39,MATCH($F274,'CI&amp;S'!$B$22:$B$39,0))="","Cell will autofill based on response",INDEX('CI&amp;S'!$Q$22:$Q$39,MATCH($F274,'CI&amp;S'!$B$22:$B$39,0))),"N/A")</f>
        <v/>
      </c>
      <c r="N274" s="25">
        <f>IFERROR(IF(INDEX('CFOG'!$Q$10:$Q$16,MATCH($F274,'CFOG'!$B$10:$B$16,0))="","Cell will autofill based on response",INDEX('CFOG'!$Q$10:$Q$16,MATCH($F274,'CFOG'!$B$10:$B$16,0))),"N/A")</f>
        <v/>
      </c>
      <c r="O274" s="25">
        <f>IFERROR(IF(INDEX('CFOG'!$Q$23:$Q$24,MATCH($F274,'CFOG'!$B$23:$B$24,0))="","Cell will autofill based on response",INDEX('CFOG'!$Q$23:$Q$24,MATCH($F274,'CFOG'!$B$23:$B$24,0))),"N/A")</f>
        <v/>
      </c>
      <c r="P274" s="25">
        <f>IFERROR(IF(INDEX('ESG'!$Q$10:$Q$17,MATCH($F274,'ESG'!$B$10:$B$17,0))="","Cell will autofill based on response",INDEX('ESG'!$Q$10:$Q$17,MATCH($F274,'ESG'!$B$10:$B$17,0))),"N/A")</f>
        <v/>
      </c>
      <c r="Q274" s="25">
        <f>IFERROR(IF(INDEX('CIOG'!$Q$10:$Q$14,MATCH($F274,'CIOG'!$B$10:$B$14,0))="","Cell will autofill based on response",INDEX('CIOG'!$Q$10:$Q$14,MATCH($F274,'CIOG'!$B$10:$B$14,0))),"N/A")</f>
        <v/>
      </c>
      <c r="R274" s="25">
        <f>IFERROR(IF(INDEX('MRE'!$Q$10:$Q$12,MATCH($F274,'MRE'!$B$10:$B$12,0))="","Cell will autofill based on response",INDEX('MRE'!$Q$10:$Q$12,MATCH($F274,'MRE'!$B$10:$B$12,0))),"N/A")</f>
        <v/>
      </c>
      <c r="S274" s="25">
        <f>IFERROR(IF(INDEX('L&amp;R'!$Q$10:$Q$11,MATCH($F274,'L&amp;R'!$B$10:$B$11,0))="","Cell will autofill based on response",INDEX('L&amp;R'!$Q$10:$Q$11,MATCH($F274,'L&amp;R'!$B$10:$B$11,0))),"N/A")</f>
        <v/>
      </c>
    </row>
    <row r="275">
      <c r="A275">
        <f>F275&amp;"|"&amp;G275</f>
        <v/>
      </c>
      <c r="B275" s="7" t="inlineStr">
        <is>
          <t>EN1(a)</t>
        </is>
      </c>
      <c r="C275" s="12" t="inlineStr">
        <is>
          <t>Enablers</t>
        </is>
      </c>
      <c r="D275" s="12" t="inlineStr">
        <is>
          <t>Evidence of sustainability outcomes informed by Indigenous knowledges</t>
        </is>
      </c>
      <c r="E275"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75" s="12" t="inlineStr">
        <is>
          <t>EN1(a)</t>
        </is>
      </c>
      <c r="G275" s="12" t="inlineStr">
        <is>
          <t>Confirm end-2026 target status</t>
        </is>
      </c>
      <c r="H275" s="25">
        <f>IFERROR(IF(INDEX('Faculties'!$L$10:$L$30,MATCH($F275,'Faculties'!$B$10:$B$30,0))="","Cell will autofill based on response",INDEX('Faculties'!$L$10:$L$30,MATCH($F275,'Faculties'!$B$10:$B$30,0))),"N/A")</f>
        <v/>
      </c>
      <c r="I275" s="25">
        <f>IFERROR(IF(INDEX('Faculties'!$L$37:$L$57,MATCH($F275,'Faculties'!$B$37:$B$57,0))="","Cell will autofill based on response",INDEX('Faculties'!$L$37:$L$57,MATCH($F275,'Faculties'!$B$37:$B$57,0))),"N/A")</f>
        <v/>
      </c>
      <c r="J275" s="25">
        <f>IFERROR(IF(INDEX('Faculties'!$L$64:$L$84,MATCH($F275,'Faculties'!$B$64:$B$84,0))="","Cell will autofill based on response",INDEX('Faculties'!$L$64:$L$84,MATCH($F275,'Faculties'!$B$64:$B$84,0))),"N/A")</f>
        <v/>
      </c>
      <c r="K275" s="25">
        <f>IFERROR(IF(INDEX('Faculties'!$L$91:$L$111,MATCH($F275,'Faculties'!$B$91:$B$111,0))="","Cell will autofill based on response",INDEX('Faculties'!$L$91:$L$111,MATCH($F275,'Faculties'!$B$91:$B$111,0))),"N/A")</f>
        <v/>
      </c>
      <c r="L275" s="25">
        <f>IFERROR(IF(INDEX('CI&amp;S'!$L$10:$L$15,MATCH($F275,'CI&amp;S'!$B$10:$B$15,0))="","Cell will autofill based on response",INDEX('CI&amp;S'!$L$10:$L$15,MATCH($F275,'CI&amp;S'!$B$10:$B$15,0))),"N/A")</f>
        <v/>
      </c>
      <c r="M275" s="25">
        <f>IFERROR(IF(INDEX('CI&amp;S'!$L$22:$L$39,MATCH($F275,'CI&amp;S'!$B$22:$B$39,0))="","Cell will autofill based on response",INDEX('CI&amp;S'!$L$22:$L$39,MATCH($F275,'CI&amp;S'!$B$22:$B$39,0))),"N/A")</f>
        <v/>
      </c>
      <c r="N275" s="25">
        <f>IFERROR(IF(INDEX('CFOG'!$L$10:$L$16,MATCH($F275,'CFOG'!$B$10:$B$16,0))="","Cell will autofill based on response",INDEX('CFOG'!$L$10:$L$16,MATCH($F275,'CFOG'!$B$10:$B$16,0))),"N/A")</f>
        <v/>
      </c>
      <c r="O275" s="25">
        <f>IFERROR(IF(INDEX('CFOG'!$L$23:$L$24,MATCH($F275,'CFOG'!$B$23:$B$24,0))="","Cell will autofill based on response",INDEX('CFOG'!$L$23:$L$24,MATCH($F275,'CFOG'!$B$23:$B$24,0))),"N/A")</f>
        <v/>
      </c>
      <c r="P275" s="25">
        <f>IFERROR(IF(INDEX('ESG'!$L$10:$L$17,MATCH($F275,'ESG'!$B$10:$B$17,0))="","Cell will autofill based on response",INDEX('ESG'!$L$10:$L$17,MATCH($F275,'ESG'!$B$10:$B$17,0))),"N/A")</f>
        <v/>
      </c>
      <c r="Q275" s="25">
        <f>IFERROR(IF(INDEX('CIOG'!$L$10:$L$14,MATCH($F275,'CIOG'!$B$10:$B$14,0))="","Cell will autofill based on response",INDEX('CIOG'!$L$10:$L$14,MATCH($F275,'CIOG'!$B$10:$B$14,0))),"N/A")</f>
        <v/>
      </c>
      <c r="R275" s="25">
        <f>IFERROR(IF(INDEX('MRE'!$L$10:$L$12,MATCH($F275,'MRE'!$B$10:$B$12,0))="","Cell will autofill based on response",INDEX('MRE'!$L$10:$L$12,MATCH($F275,'MRE'!$B$10:$B$12,0))),"N/A")</f>
        <v/>
      </c>
      <c r="S275" s="25">
        <f>IFERROR(IF(INDEX('L&amp;R'!$L$10:$L$11,MATCH($F275,'L&amp;R'!$B$10:$B$11,0))="","Cell will autofill based on response",INDEX('L&amp;R'!$L$10:$L$11,MATCH($F275,'L&amp;R'!$B$10:$B$11,0))),"N/A")</f>
        <v/>
      </c>
      <c r="U275" s="26">
        <f>COUNTIF($H275:$S275,"Cell will autofill based on response")</f>
        <v/>
      </c>
      <c r="V275" s="26">
        <f>COUNTIF($H275:$S275,"Not yet started")</f>
        <v/>
      </c>
      <c r="W275" s="26">
        <f>COUNTIF($H275:$S275,"Not met")</f>
        <v/>
      </c>
      <c r="X275" s="26">
        <f>COUNTIF($H275:$S275,"Partially met")</f>
        <v/>
      </c>
      <c r="Y275" s="26">
        <f>COUNTIF($H275:$S275,"Met or exceeded")</f>
        <v/>
      </c>
      <c r="Z275" s="26">
        <f>3*Y275+2*X275+W275</f>
        <v/>
      </c>
      <c r="AA275" s="26">
        <f>Y275+X275+W275+V275</f>
        <v/>
      </c>
      <c r="AB275" s="27">
        <f>IF(AA275&gt;0,Z275/AA275,"No valid responses to date")</f>
        <v/>
      </c>
      <c r="AC275" s="26">
        <f>IF(ISNUMBER(AB275),INDEX(Lists!$G$2:$G$5,MATCH(ROUND(AB275,0),Lists!$H$2:$H$5,0)),"")</f>
        <v/>
      </c>
      <c r="AD275" s="28">
        <f>IF(AA275&gt;0,Y275/AA275,"")</f>
        <v/>
      </c>
      <c r="AE275" s="28">
        <f>IF(AA275&gt;0,(Y275+X275)/AA275,"")</f>
        <v/>
      </c>
      <c r="AF275" s="26">
        <f>IF(AA275=0,"",IF(AD275&gt;0.75,"Met or exceeded",IF(AE275&gt;=0.5,"Partially met","Not met")))</f>
        <v/>
      </c>
    </row>
    <row r="276">
      <c r="A276">
        <f>F276&amp;"|"&amp;G276</f>
        <v/>
      </c>
      <c r="B276" s="29" t="inlineStr"/>
      <c r="C276" s="8" t="inlineStr"/>
      <c r="D276" s="8" t="inlineStr"/>
      <c r="E276" s="8" t="inlineStr"/>
      <c r="F276" s="8" t="inlineStr">
        <is>
          <t>EN1(a)</t>
        </is>
      </c>
      <c r="G276" s="8" t="inlineStr">
        <is>
          <t>OPTION 1:  Target-level reporting</t>
        </is>
      </c>
      <c r="H276" s="25">
        <f>IFERROR(IF(INDEX('Faculties'!$M$10:$M$30,MATCH($F276,'Faculties'!$B$10:$B$30,0))="","Cell will autofill based on response",INDEX('Faculties'!$M$10:$M$30,MATCH($F276,'Faculties'!$B$10:$B$30,0))),"N/A")</f>
        <v/>
      </c>
      <c r="I276" s="25">
        <f>IFERROR(IF(INDEX('Faculties'!$M$37:$M$57,MATCH($F276,'Faculties'!$B$37:$B$57,0))="","Cell will autofill based on response",INDEX('Faculties'!$M$37:$M$57,MATCH($F276,'Faculties'!$B$37:$B$57,0))),"N/A")</f>
        <v/>
      </c>
      <c r="J276" s="25">
        <f>IFERROR(IF(INDEX('Faculties'!$M$64:$M$84,MATCH($F276,'Faculties'!$B$64:$B$84,0))="","Cell will autofill based on response",INDEX('Faculties'!$M$64:$M$84,MATCH($F276,'Faculties'!$B$64:$B$84,0))),"N/A")</f>
        <v/>
      </c>
      <c r="K276" s="25">
        <f>IFERROR(IF(INDEX('Faculties'!$M$91:$M$111,MATCH($F276,'Faculties'!$B$91:$B$111,0))="","Cell will autofill based on response",INDEX('Faculties'!$M$91:$M$111,MATCH($F276,'Faculties'!$B$91:$B$111,0))),"N/A")</f>
        <v/>
      </c>
      <c r="L276" s="25">
        <f>IFERROR(IF(INDEX('CI&amp;S'!$M$10:$M$15,MATCH($F276,'CI&amp;S'!$B$10:$B$15,0))="","Cell will autofill based on response",INDEX('CI&amp;S'!$M$10:$M$15,MATCH($F276,'CI&amp;S'!$B$10:$B$15,0))),"N/A")</f>
        <v/>
      </c>
      <c r="M276" s="25">
        <f>IFERROR(IF(INDEX('CI&amp;S'!$M$22:$M$39,MATCH($F276,'CI&amp;S'!$B$22:$B$39,0))="","Cell will autofill based on response",INDEX('CI&amp;S'!$M$22:$M$39,MATCH($F276,'CI&amp;S'!$B$22:$B$39,0))),"N/A")</f>
        <v/>
      </c>
      <c r="N276" s="25">
        <f>IFERROR(IF(INDEX('CFOG'!$M$10:$M$16,MATCH($F276,'CFOG'!$B$10:$B$16,0))="","Cell will autofill based on response",INDEX('CFOG'!$M$10:$M$16,MATCH($F276,'CFOG'!$B$10:$B$16,0))),"N/A")</f>
        <v/>
      </c>
      <c r="O276" s="25">
        <f>IFERROR(IF(INDEX('CFOG'!$M$23:$M$24,MATCH($F276,'CFOG'!$B$23:$B$24,0))="","Cell will autofill based on response",INDEX('CFOG'!$M$23:$M$24,MATCH($F276,'CFOG'!$B$23:$B$24,0))),"N/A")</f>
        <v/>
      </c>
      <c r="P276" s="25">
        <f>IFERROR(IF(INDEX('ESG'!$M$10:$M$17,MATCH($F276,'ESG'!$B$10:$B$17,0))="","Cell will autofill based on response",INDEX('ESG'!$M$10:$M$17,MATCH($F276,'ESG'!$B$10:$B$17,0))),"N/A")</f>
        <v/>
      </c>
      <c r="Q276" s="25">
        <f>IFERROR(IF(INDEX('CIOG'!$M$10:$M$14,MATCH($F276,'CIOG'!$B$10:$B$14,0))="","Cell will autofill based on response",INDEX('CIOG'!$M$10:$M$14,MATCH($F276,'CIOG'!$B$10:$B$14,0))),"N/A")</f>
        <v/>
      </c>
      <c r="R276" s="25">
        <f>IFERROR(IF(INDEX('MRE'!$M$10:$M$12,MATCH($F276,'MRE'!$B$10:$B$12,0))="","Cell will autofill based on response",INDEX('MRE'!$M$10:$M$12,MATCH($F276,'MRE'!$B$10:$B$12,0))),"N/A")</f>
        <v/>
      </c>
      <c r="S276" s="25">
        <f>IFERROR(IF(INDEX('L&amp;R'!$M$10:$M$11,MATCH($F276,'L&amp;R'!$B$10:$B$11,0))="","Cell will autofill based on response",INDEX('L&amp;R'!$M$10:$M$11,MATCH($F276,'L&amp;R'!$B$10:$B$11,0))),"N/A")</f>
        <v/>
      </c>
    </row>
    <row r="277">
      <c r="A277">
        <f>F277&amp;"|"&amp;G277</f>
        <v/>
      </c>
      <c r="B277" s="29" t="inlineStr"/>
      <c r="C277" s="8" t="inlineStr"/>
      <c r="D277" s="8" t="inlineStr"/>
      <c r="E277" s="8" t="inlineStr"/>
      <c r="F277" s="8" t="inlineStr">
        <is>
          <t>EN1(a)</t>
        </is>
      </c>
      <c r="G277" s="8" t="inlineStr">
        <is>
          <t>OPTION 2:  Indicator level reporting</t>
        </is>
      </c>
      <c r="H277" s="25">
        <f>IFERROR(IF(INDEX('Faculties'!$N$10:$N$30,MATCH($F277,'Faculties'!$B$10:$B$30,0))="","Cell will autofill based on response",INDEX('Faculties'!$N$10:$N$30,MATCH($F277,'Faculties'!$B$10:$B$30,0))),"N/A")</f>
        <v/>
      </c>
      <c r="I277" s="25">
        <f>IFERROR(IF(INDEX('Faculties'!$N$37:$N$57,MATCH($F277,'Faculties'!$B$37:$B$57,0))="","Cell will autofill based on response",INDEX('Faculties'!$N$37:$N$57,MATCH($F277,'Faculties'!$B$37:$B$57,0))),"N/A")</f>
        <v/>
      </c>
      <c r="J277" s="25">
        <f>IFERROR(IF(INDEX('Faculties'!$N$64:$N$84,MATCH($F277,'Faculties'!$B$64:$B$84,0))="","Cell will autofill based on response",INDEX('Faculties'!$N$64:$N$84,MATCH($F277,'Faculties'!$B$64:$B$84,0))),"N/A")</f>
        <v/>
      </c>
      <c r="K277" s="25">
        <f>IFERROR(IF(INDEX('Faculties'!$N$91:$N$111,MATCH($F277,'Faculties'!$B$91:$B$111,0))="","Cell will autofill based on response",INDEX('Faculties'!$N$91:$N$111,MATCH($F277,'Faculties'!$B$91:$B$111,0))),"N/A")</f>
        <v/>
      </c>
      <c r="L277" s="25">
        <f>IFERROR(IF(INDEX('CI&amp;S'!$N$10:$N$15,MATCH($F277,'CI&amp;S'!$B$10:$B$15,0))="","Cell will autofill based on response",INDEX('CI&amp;S'!$N$10:$N$15,MATCH($F277,'CI&amp;S'!$B$10:$B$15,0))),"N/A")</f>
        <v/>
      </c>
      <c r="M277" s="25">
        <f>IFERROR(IF(INDEX('CI&amp;S'!$N$22:$N$39,MATCH($F277,'CI&amp;S'!$B$22:$B$39,0))="","Cell will autofill based on response",INDEX('CI&amp;S'!$N$22:$N$39,MATCH($F277,'CI&amp;S'!$B$22:$B$39,0))),"N/A")</f>
        <v/>
      </c>
      <c r="N277" s="25">
        <f>IFERROR(IF(INDEX('CFOG'!$N$10:$N$16,MATCH($F277,'CFOG'!$B$10:$B$16,0))="","Cell will autofill based on response",INDEX('CFOG'!$N$10:$N$16,MATCH($F277,'CFOG'!$B$10:$B$16,0))),"N/A")</f>
        <v/>
      </c>
      <c r="O277" s="25">
        <f>IFERROR(IF(INDEX('CFOG'!$N$23:$N$24,MATCH($F277,'CFOG'!$B$23:$B$24,0))="","Cell will autofill based on response",INDEX('CFOG'!$N$23:$N$24,MATCH($F277,'CFOG'!$B$23:$B$24,0))),"N/A")</f>
        <v/>
      </c>
      <c r="P277" s="25">
        <f>IFERROR(IF(INDEX('ESG'!$N$10:$N$17,MATCH($F277,'ESG'!$B$10:$B$17,0))="","Cell will autofill based on response",INDEX('ESG'!$N$10:$N$17,MATCH($F277,'ESG'!$B$10:$B$17,0))),"N/A")</f>
        <v/>
      </c>
      <c r="Q277" s="25">
        <f>IFERROR(IF(INDEX('CIOG'!$N$10:$N$14,MATCH($F277,'CIOG'!$B$10:$B$14,0))="","Cell will autofill based on response",INDEX('CIOG'!$N$10:$N$14,MATCH($F277,'CIOG'!$B$10:$B$14,0))),"N/A")</f>
        <v/>
      </c>
      <c r="R277" s="25">
        <f>IFERROR(IF(INDEX('MRE'!$N$10:$N$12,MATCH($F277,'MRE'!$B$10:$B$12,0))="","Cell will autofill based on response",INDEX('MRE'!$N$10:$N$12,MATCH($F277,'MRE'!$B$10:$B$12,0))),"N/A")</f>
        <v/>
      </c>
      <c r="S277" s="25">
        <f>IFERROR(IF(INDEX('L&amp;R'!$N$10:$N$11,MATCH($F277,'L&amp;R'!$B$10:$B$11,0))="","Cell will autofill based on response",INDEX('L&amp;R'!$N$10:$N$11,MATCH($F277,'L&amp;R'!$B$10:$B$11,0))),"N/A")</f>
        <v/>
      </c>
    </row>
    <row r="278">
      <c r="A278">
        <f>F278&amp;"|"&amp;G278</f>
        <v/>
      </c>
      <c r="B278" s="29" t="inlineStr"/>
      <c r="C278" s="8" t="inlineStr"/>
      <c r="D278" s="8" t="inlineStr"/>
      <c r="E278" s="8" t="inlineStr"/>
      <c r="F278" s="8" t="inlineStr">
        <is>
          <t>EN1(a)</t>
        </is>
      </c>
      <c r="G278" s="8" t="inlineStr">
        <is>
          <t>Supporting information/comments</t>
        </is>
      </c>
      <c r="H278" s="25">
        <f>IFERROR(IF(INDEX('Faculties'!$O$10:$O$30,MATCH($F278,'Faculties'!$B$10:$B$30,0))="","Cell will autofill based on response",INDEX('Faculties'!$O$10:$O$30,MATCH($F278,'Faculties'!$B$10:$B$30,0))),"N/A")</f>
        <v/>
      </c>
      <c r="I278" s="25">
        <f>IFERROR(IF(INDEX('Faculties'!$O$37:$O$57,MATCH($F278,'Faculties'!$B$37:$B$57,0))="","Cell will autofill based on response",INDEX('Faculties'!$O$37:$O$57,MATCH($F278,'Faculties'!$B$37:$B$57,0))),"N/A")</f>
        <v/>
      </c>
      <c r="J278" s="25">
        <f>IFERROR(IF(INDEX('Faculties'!$O$64:$O$84,MATCH($F278,'Faculties'!$B$64:$B$84,0))="","Cell will autofill based on response",INDEX('Faculties'!$O$64:$O$84,MATCH($F278,'Faculties'!$B$64:$B$84,0))),"N/A")</f>
        <v/>
      </c>
      <c r="K278" s="25">
        <f>IFERROR(IF(INDEX('Faculties'!$O$91:$O$111,MATCH($F278,'Faculties'!$B$91:$B$111,0))="","Cell will autofill based on response",INDEX('Faculties'!$O$91:$O$111,MATCH($F278,'Faculties'!$B$91:$B$111,0))),"N/A")</f>
        <v/>
      </c>
      <c r="L278" s="25">
        <f>IFERROR(IF(INDEX('CI&amp;S'!$O$10:$O$15,MATCH($F278,'CI&amp;S'!$B$10:$B$15,0))="","Cell will autofill based on response",INDEX('CI&amp;S'!$O$10:$O$15,MATCH($F278,'CI&amp;S'!$B$10:$B$15,0))),"N/A")</f>
        <v/>
      </c>
      <c r="M278" s="25">
        <f>IFERROR(IF(INDEX('CI&amp;S'!$O$22:$O$39,MATCH($F278,'CI&amp;S'!$B$22:$B$39,0))="","Cell will autofill based on response",INDEX('CI&amp;S'!$O$22:$O$39,MATCH($F278,'CI&amp;S'!$B$22:$B$39,0))),"N/A")</f>
        <v/>
      </c>
      <c r="N278" s="25">
        <f>IFERROR(IF(INDEX('CFOG'!$O$10:$O$16,MATCH($F278,'CFOG'!$B$10:$B$16,0))="","Cell will autofill based on response",INDEX('CFOG'!$O$10:$O$16,MATCH($F278,'CFOG'!$B$10:$B$16,0))),"N/A")</f>
        <v/>
      </c>
      <c r="O278" s="25">
        <f>IFERROR(IF(INDEX('CFOG'!$O$23:$O$24,MATCH($F278,'CFOG'!$B$23:$B$24,0))="","Cell will autofill based on response",INDEX('CFOG'!$O$23:$O$24,MATCH($F278,'CFOG'!$B$23:$B$24,0))),"N/A")</f>
        <v/>
      </c>
      <c r="P278" s="25">
        <f>IFERROR(IF(INDEX('ESG'!$O$10:$O$17,MATCH($F278,'ESG'!$B$10:$B$17,0))="","Cell will autofill based on response",INDEX('ESG'!$O$10:$O$17,MATCH($F278,'ESG'!$B$10:$B$17,0))),"N/A")</f>
        <v/>
      </c>
      <c r="Q278" s="25">
        <f>IFERROR(IF(INDEX('CIOG'!$O$10:$O$14,MATCH($F278,'CIOG'!$B$10:$B$14,0))="","Cell will autofill based on response",INDEX('CIOG'!$O$10:$O$14,MATCH($F278,'CIOG'!$B$10:$B$14,0))),"N/A")</f>
        <v/>
      </c>
      <c r="R278" s="25">
        <f>IFERROR(IF(INDEX('MRE'!$O$10:$O$12,MATCH($F278,'MRE'!$B$10:$B$12,0))="","Cell will autofill based on response",INDEX('MRE'!$O$10:$O$12,MATCH($F278,'MRE'!$B$10:$B$12,0))),"N/A")</f>
        <v/>
      </c>
      <c r="S278" s="25">
        <f>IFERROR(IF(INDEX('L&amp;R'!$O$10:$O$11,MATCH($F278,'L&amp;R'!$B$10:$B$11,0))="","Cell will autofill based on response",INDEX('L&amp;R'!$O$10:$O$11,MATCH($F278,'L&amp;R'!$B$10:$B$11,0))),"N/A")</f>
        <v/>
      </c>
    </row>
    <row r="279">
      <c r="A279">
        <f>F279&amp;"|"&amp;G279</f>
        <v/>
      </c>
      <c r="B279" s="29" t="inlineStr"/>
      <c r="C279" s="8" t="inlineStr"/>
      <c r="D279" s="8" t="inlineStr"/>
      <c r="E279" s="8" t="inlineStr"/>
      <c r="F279" s="8" t="inlineStr">
        <is>
          <t>EN1(a)</t>
        </is>
      </c>
      <c r="G279" s="8" t="inlineStr">
        <is>
          <t>Data source and limitations</t>
        </is>
      </c>
      <c r="H279" s="25">
        <f>IFERROR(IF(INDEX('Faculties'!$P$10:$P$30,MATCH($F279,'Faculties'!$B$10:$B$30,0))="","Cell will autofill based on response",INDEX('Faculties'!$P$10:$P$30,MATCH($F279,'Faculties'!$B$10:$B$30,0))),"N/A")</f>
        <v/>
      </c>
      <c r="I279" s="25">
        <f>IFERROR(IF(INDEX('Faculties'!$P$37:$P$57,MATCH($F279,'Faculties'!$B$37:$B$57,0))="","Cell will autofill based on response",INDEX('Faculties'!$P$37:$P$57,MATCH($F279,'Faculties'!$B$37:$B$57,0))),"N/A")</f>
        <v/>
      </c>
      <c r="J279" s="25">
        <f>IFERROR(IF(INDEX('Faculties'!$P$64:$P$84,MATCH($F279,'Faculties'!$B$64:$B$84,0))="","Cell will autofill based on response",INDEX('Faculties'!$P$64:$P$84,MATCH($F279,'Faculties'!$B$64:$B$84,0))),"N/A")</f>
        <v/>
      </c>
      <c r="K279" s="25">
        <f>IFERROR(IF(INDEX('Faculties'!$P$91:$P$111,MATCH($F279,'Faculties'!$B$91:$B$111,0))="","Cell will autofill based on response",INDEX('Faculties'!$P$91:$P$111,MATCH($F279,'Faculties'!$B$91:$B$111,0))),"N/A")</f>
        <v/>
      </c>
      <c r="L279" s="25">
        <f>IFERROR(IF(INDEX('CI&amp;S'!$P$10:$P$15,MATCH($F279,'CI&amp;S'!$B$10:$B$15,0))="","Cell will autofill based on response",INDEX('CI&amp;S'!$P$10:$P$15,MATCH($F279,'CI&amp;S'!$B$10:$B$15,0))),"N/A")</f>
        <v/>
      </c>
      <c r="M279" s="25">
        <f>IFERROR(IF(INDEX('CI&amp;S'!$P$22:$P$39,MATCH($F279,'CI&amp;S'!$B$22:$B$39,0))="","Cell will autofill based on response",INDEX('CI&amp;S'!$P$22:$P$39,MATCH($F279,'CI&amp;S'!$B$22:$B$39,0))),"N/A")</f>
        <v/>
      </c>
      <c r="N279" s="25">
        <f>IFERROR(IF(INDEX('CFOG'!$P$10:$P$16,MATCH($F279,'CFOG'!$B$10:$B$16,0))="","Cell will autofill based on response",INDEX('CFOG'!$P$10:$P$16,MATCH($F279,'CFOG'!$B$10:$B$16,0))),"N/A")</f>
        <v/>
      </c>
      <c r="O279" s="25">
        <f>IFERROR(IF(INDEX('CFOG'!$P$23:$P$24,MATCH($F279,'CFOG'!$B$23:$B$24,0))="","Cell will autofill based on response",INDEX('CFOG'!$P$23:$P$24,MATCH($F279,'CFOG'!$B$23:$B$24,0))),"N/A")</f>
        <v/>
      </c>
      <c r="P279" s="25">
        <f>IFERROR(IF(INDEX('ESG'!$P$10:$P$17,MATCH($F279,'ESG'!$B$10:$B$17,0))="","Cell will autofill based on response",INDEX('ESG'!$P$10:$P$17,MATCH($F279,'ESG'!$B$10:$B$17,0))),"N/A")</f>
        <v/>
      </c>
      <c r="Q279" s="25">
        <f>IFERROR(IF(INDEX('CIOG'!$P$10:$P$14,MATCH($F279,'CIOG'!$B$10:$B$14,0))="","Cell will autofill based on response",INDEX('CIOG'!$P$10:$P$14,MATCH($F279,'CIOG'!$B$10:$B$14,0))),"N/A")</f>
        <v/>
      </c>
      <c r="R279" s="25">
        <f>IFERROR(IF(INDEX('MRE'!$P$10:$P$12,MATCH($F279,'MRE'!$B$10:$B$12,0))="","Cell will autofill based on response",INDEX('MRE'!$P$10:$P$12,MATCH($F279,'MRE'!$B$10:$B$12,0))),"N/A")</f>
        <v/>
      </c>
      <c r="S279" s="25">
        <f>IFERROR(IF(INDEX('L&amp;R'!$P$10:$P$11,MATCH($F279,'L&amp;R'!$B$10:$B$11,0))="","Cell will autofill based on response",INDEX('L&amp;R'!$P$10:$P$11,MATCH($F279,'L&amp;R'!$B$10:$B$11,0))),"N/A")</f>
        <v/>
      </c>
    </row>
    <row r="280">
      <c r="A280">
        <f>F280&amp;"|"&amp;G280</f>
        <v/>
      </c>
      <c r="B280" s="29" t="inlineStr"/>
      <c r="C280" s="8" t="inlineStr"/>
      <c r="D280" s="8" t="inlineStr"/>
      <c r="E280" s="8" t="inlineStr"/>
      <c r="F280" s="8" t="inlineStr">
        <is>
          <t>EN1(a)</t>
        </is>
      </c>
      <c r="G280" s="8" t="inlineStr">
        <is>
          <t>Data owner confirms</t>
        </is>
      </c>
      <c r="H280" s="25">
        <f>IFERROR(IF(INDEX('Faculties'!$Q$10:$Q$30,MATCH($F280,'Faculties'!$B$10:$B$30,0))="","Cell will autofill based on response",INDEX('Faculties'!$Q$10:$Q$30,MATCH($F280,'Faculties'!$B$10:$B$30,0))),"N/A")</f>
        <v/>
      </c>
      <c r="I280" s="25">
        <f>IFERROR(IF(INDEX('Faculties'!$Q$37:$Q$57,MATCH($F280,'Faculties'!$B$37:$B$57,0))="","Cell will autofill based on response",INDEX('Faculties'!$Q$37:$Q$57,MATCH($F280,'Faculties'!$B$37:$B$57,0))),"N/A")</f>
        <v/>
      </c>
      <c r="J280" s="25">
        <f>IFERROR(IF(INDEX('Faculties'!$Q$64:$Q$84,MATCH($F280,'Faculties'!$B$64:$B$84,0))="","Cell will autofill based on response",INDEX('Faculties'!$Q$64:$Q$84,MATCH($F280,'Faculties'!$B$64:$B$84,0))),"N/A")</f>
        <v/>
      </c>
      <c r="K280" s="25">
        <f>IFERROR(IF(INDEX('Faculties'!$Q$91:$Q$111,MATCH($F280,'Faculties'!$B$91:$B$111,0))="","Cell will autofill based on response",INDEX('Faculties'!$Q$91:$Q$111,MATCH($F280,'Faculties'!$B$91:$B$111,0))),"N/A")</f>
        <v/>
      </c>
      <c r="L280" s="25">
        <f>IFERROR(IF(INDEX('CI&amp;S'!$Q$10:$Q$15,MATCH($F280,'CI&amp;S'!$B$10:$B$15,0))="","Cell will autofill based on response",INDEX('CI&amp;S'!$Q$10:$Q$15,MATCH($F280,'CI&amp;S'!$B$10:$B$15,0))),"N/A")</f>
        <v/>
      </c>
      <c r="M280" s="25">
        <f>IFERROR(IF(INDEX('CI&amp;S'!$Q$22:$Q$39,MATCH($F280,'CI&amp;S'!$B$22:$B$39,0))="","Cell will autofill based on response",INDEX('CI&amp;S'!$Q$22:$Q$39,MATCH($F280,'CI&amp;S'!$B$22:$B$39,0))),"N/A")</f>
        <v/>
      </c>
      <c r="N280" s="25">
        <f>IFERROR(IF(INDEX('CFOG'!$Q$10:$Q$16,MATCH($F280,'CFOG'!$B$10:$B$16,0))="","Cell will autofill based on response",INDEX('CFOG'!$Q$10:$Q$16,MATCH($F280,'CFOG'!$B$10:$B$16,0))),"N/A")</f>
        <v/>
      </c>
      <c r="O280" s="25">
        <f>IFERROR(IF(INDEX('CFOG'!$Q$23:$Q$24,MATCH($F280,'CFOG'!$B$23:$B$24,0))="","Cell will autofill based on response",INDEX('CFOG'!$Q$23:$Q$24,MATCH($F280,'CFOG'!$B$23:$B$24,0))),"N/A")</f>
        <v/>
      </c>
      <c r="P280" s="25">
        <f>IFERROR(IF(INDEX('ESG'!$Q$10:$Q$17,MATCH($F280,'ESG'!$B$10:$B$17,0))="","Cell will autofill based on response",INDEX('ESG'!$Q$10:$Q$17,MATCH($F280,'ESG'!$B$10:$B$17,0))),"N/A")</f>
        <v/>
      </c>
      <c r="Q280" s="25">
        <f>IFERROR(IF(INDEX('CIOG'!$Q$10:$Q$14,MATCH($F280,'CIOG'!$B$10:$B$14,0))="","Cell will autofill based on response",INDEX('CIOG'!$Q$10:$Q$14,MATCH($F280,'CIOG'!$B$10:$B$14,0))),"N/A")</f>
        <v/>
      </c>
      <c r="R280" s="25">
        <f>IFERROR(IF(INDEX('MRE'!$Q$10:$Q$12,MATCH($F280,'MRE'!$B$10:$B$12,0))="","Cell will autofill based on response",INDEX('MRE'!$Q$10:$Q$12,MATCH($F280,'MRE'!$B$10:$B$12,0))),"N/A")</f>
        <v/>
      </c>
      <c r="S280" s="25">
        <f>IFERROR(IF(INDEX('L&amp;R'!$Q$10:$Q$11,MATCH($F280,'L&amp;R'!$B$10:$B$11,0))="","Cell will autofill based on response",INDEX('L&amp;R'!$Q$10:$Q$11,MATCH($F280,'L&amp;R'!$B$10:$B$11,0))),"N/A")</f>
        <v/>
      </c>
    </row>
    <row r="281">
      <c r="A281">
        <f>F281&amp;"|"&amp;G281</f>
        <v/>
      </c>
      <c r="B281" s="7" t="inlineStr">
        <is>
          <t>EN1(b)</t>
        </is>
      </c>
      <c r="C281" s="12" t="inlineStr">
        <is>
          <t>Enablers</t>
        </is>
      </c>
      <c r="D281" s="12" t="inlineStr">
        <is>
          <t>Living laboratories enabling applied learning, research and operational sustainability outcomes</t>
        </is>
      </c>
      <c r="E281" s="12" t="inlineStr">
        <is>
          <t>Comment on living labs in the Faculty - outputs, outcomes, and impact</t>
        </is>
      </c>
      <c r="F281" s="12" t="inlineStr">
        <is>
          <t>EN1(b)</t>
        </is>
      </c>
      <c r="G281" s="12" t="inlineStr">
        <is>
          <t>Confirm end-2026 target status</t>
        </is>
      </c>
      <c r="H281" s="25">
        <f>IFERROR(IF(INDEX('Faculties'!$L$10:$L$30,MATCH($F281,'Faculties'!$B$10:$B$30,0))="","Cell will autofill based on response",INDEX('Faculties'!$L$10:$L$30,MATCH($F281,'Faculties'!$B$10:$B$30,0))),"N/A")</f>
        <v/>
      </c>
      <c r="I281" s="25">
        <f>IFERROR(IF(INDEX('Faculties'!$L$37:$L$57,MATCH($F281,'Faculties'!$B$37:$B$57,0))="","Cell will autofill based on response",INDEX('Faculties'!$L$37:$L$57,MATCH($F281,'Faculties'!$B$37:$B$57,0))),"N/A")</f>
        <v/>
      </c>
      <c r="J281" s="25">
        <f>IFERROR(IF(INDEX('Faculties'!$L$64:$L$84,MATCH($F281,'Faculties'!$B$64:$B$84,0))="","Cell will autofill based on response",INDEX('Faculties'!$L$64:$L$84,MATCH($F281,'Faculties'!$B$64:$B$84,0))),"N/A")</f>
        <v/>
      </c>
      <c r="K281" s="25">
        <f>IFERROR(IF(INDEX('Faculties'!$L$91:$L$111,MATCH($F281,'Faculties'!$B$91:$B$111,0))="","Cell will autofill based on response",INDEX('Faculties'!$L$91:$L$111,MATCH($F281,'Faculties'!$B$91:$B$111,0))),"N/A")</f>
        <v/>
      </c>
      <c r="L281" s="25">
        <f>IFERROR(IF(INDEX('CI&amp;S'!$L$10:$L$15,MATCH($F281,'CI&amp;S'!$B$10:$B$15,0))="","Cell will autofill based on response",INDEX('CI&amp;S'!$L$10:$L$15,MATCH($F281,'CI&amp;S'!$B$10:$B$15,0))),"N/A")</f>
        <v/>
      </c>
      <c r="M281" s="25">
        <f>IFERROR(IF(INDEX('CI&amp;S'!$L$22:$L$39,MATCH($F281,'CI&amp;S'!$B$22:$B$39,0))="","Cell will autofill based on response",INDEX('CI&amp;S'!$L$22:$L$39,MATCH($F281,'CI&amp;S'!$B$22:$B$39,0))),"N/A")</f>
        <v/>
      </c>
      <c r="N281" s="25">
        <f>IFERROR(IF(INDEX('CFOG'!$L$10:$L$16,MATCH($F281,'CFOG'!$B$10:$B$16,0))="","Cell will autofill based on response",INDEX('CFOG'!$L$10:$L$16,MATCH($F281,'CFOG'!$B$10:$B$16,0))),"N/A")</f>
        <v/>
      </c>
      <c r="O281" s="25">
        <f>IFERROR(IF(INDEX('CFOG'!$L$23:$L$24,MATCH($F281,'CFOG'!$B$23:$B$24,0))="","Cell will autofill based on response",INDEX('CFOG'!$L$23:$L$24,MATCH($F281,'CFOG'!$B$23:$B$24,0))),"N/A")</f>
        <v/>
      </c>
      <c r="P281" s="25">
        <f>IFERROR(IF(INDEX('ESG'!$L$10:$L$17,MATCH($F281,'ESG'!$B$10:$B$17,0))="","Cell will autofill based on response",INDEX('ESG'!$L$10:$L$17,MATCH($F281,'ESG'!$B$10:$B$17,0))),"N/A")</f>
        <v/>
      </c>
      <c r="Q281" s="25">
        <f>IFERROR(IF(INDEX('CIOG'!$L$10:$L$14,MATCH($F281,'CIOG'!$B$10:$B$14,0))="","Cell will autofill based on response",INDEX('CIOG'!$L$10:$L$14,MATCH($F281,'CIOG'!$B$10:$B$14,0))),"N/A")</f>
        <v/>
      </c>
      <c r="R281" s="25">
        <f>IFERROR(IF(INDEX('MRE'!$L$10:$L$12,MATCH($F281,'MRE'!$B$10:$B$12,0))="","Cell will autofill based on response",INDEX('MRE'!$L$10:$L$12,MATCH($F281,'MRE'!$B$10:$B$12,0))),"N/A")</f>
        <v/>
      </c>
      <c r="S281" s="25">
        <f>IFERROR(IF(INDEX('L&amp;R'!$L$10:$L$11,MATCH($F281,'L&amp;R'!$B$10:$B$11,0))="","Cell will autofill based on response",INDEX('L&amp;R'!$L$10:$L$11,MATCH($F281,'L&amp;R'!$B$10:$B$11,0))),"N/A")</f>
        <v/>
      </c>
      <c r="U281" s="26">
        <f>COUNTIF($H281:$S281,"Cell will autofill based on response")</f>
        <v/>
      </c>
      <c r="V281" s="26">
        <f>COUNTIF($H281:$S281,"Not yet started")</f>
        <v/>
      </c>
      <c r="W281" s="26">
        <f>COUNTIF($H281:$S281,"Not met")</f>
        <v/>
      </c>
      <c r="X281" s="26">
        <f>COUNTIF($H281:$S281,"Partially met")</f>
        <v/>
      </c>
      <c r="Y281" s="26">
        <f>COUNTIF($H281:$S281,"Met or exceeded")</f>
        <v/>
      </c>
      <c r="Z281" s="26">
        <f>3*Y281+2*X281+W281</f>
        <v/>
      </c>
      <c r="AA281" s="26">
        <f>Y281+X281+W281+V281</f>
        <v/>
      </c>
      <c r="AB281" s="27">
        <f>IF(AA281&gt;0,Z281/AA281,"No valid responses to date")</f>
        <v/>
      </c>
      <c r="AC281" s="26">
        <f>IF(ISNUMBER(AB281),INDEX(Lists!$G$2:$G$5,MATCH(ROUND(AB281,0),Lists!$H$2:$H$5,0)),"")</f>
        <v/>
      </c>
      <c r="AD281" s="28">
        <f>IF(AA281&gt;0,Y281/AA281,"")</f>
        <v/>
      </c>
      <c r="AE281" s="28">
        <f>IF(AA281&gt;0,(Y281+X281)/AA281,"")</f>
        <v/>
      </c>
      <c r="AF281" s="26">
        <f>IF(AA281=0,"",IF(AD281&gt;0.75,"Met or exceeded",IF(AE281&gt;=0.5,"Partially met","Not met")))</f>
        <v/>
      </c>
    </row>
    <row r="282">
      <c r="A282">
        <f>F282&amp;"|"&amp;G282</f>
        <v/>
      </c>
      <c r="B282" s="29" t="inlineStr"/>
      <c r="C282" s="8" t="inlineStr"/>
      <c r="D282" s="8" t="inlineStr"/>
      <c r="E282" s="8" t="inlineStr"/>
      <c r="F282" s="8" t="inlineStr">
        <is>
          <t>EN1(b)</t>
        </is>
      </c>
      <c r="G282" s="8" t="inlineStr">
        <is>
          <t>OPTION 1:  Target-level reporting</t>
        </is>
      </c>
      <c r="H282" s="25">
        <f>IFERROR(IF(INDEX('Faculties'!$M$10:$M$30,MATCH($F282,'Faculties'!$B$10:$B$30,0))="","Cell will autofill based on response",INDEX('Faculties'!$M$10:$M$30,MATCH($F282,'Faculties'!$B$10:$B$30,0))),"N/A")</f>
        <v/>
      </c>
      <c r="I282" s="25">
        <f>IFERROR(IF(INDEX('Faculties'!$M$37:$M$57,MATCH($F282,'Faculties'!$B$37:$B$57,0))="","Cell will autofill based on response",INDEX('Faculties'!$M$37:$M$57,MATCH($F282,'Faculties'!$B$37:$B$57,0))),"N/A")</f>
        <v/>
      </c>
      <c r="J282" s="25">
        <f>IFERROR(IF(INDEX('Faculties'!$M$64:$M$84,MATCH($F282,'Faculties'!$B$64:$B$84,0))="","Cell will autofill based on response",INDEX('Faculties'!$M$64:$M$84,MATCH($F282,'Faculties'!$B$64:$B$84,0))),"N/A")</f>
        <v/>
      </c>
      <c r="K282" s="25">
        <f>IFERROR(IF(INDEX('Faculties'!$M$91:$M$111,MATCH($F282,'Faculties'!$B$91:$B$111,0))="","Cell will autofill based on response",INDEX('Faculties'!$M$91:$M$111,MATCH($F282,'Faculties'!$B$91:$B$111,0))),"N/A")</f>
        <v/>
      </c>
      <c r="L282" s="25">
        <f>IFERROR(IF(INDEX('CI&amp;S'!$M$10:$M$15,MATCH($F282,'CI&amp;S'!$B$10:$B$15,0))="","Cell will autofill based on response",INDEX('CI&amp;S'!$M$10:$M$15,MATCH($F282,'CI&amp;S'!$B$10:$B$15,0))),"N/A")</f>
        <v/>
      </c>
      <c r="M282" s="25">
        <f>IFERROR(IF(INDEX('CI&amp;S'!$M$22:$M$39,MATCH($F282,'CI&amp;S'!$B$22:$B$39,0))="","Cell will autofill based on response",INDEX('CI&amp;S'!$M$22:$M$39,MATCH($F282,'CI&amp;S'!$B$22:$B$39,0))),"N/A")</f>
        <v/>
      </c>
      <c r="N282" s="25">
        <f>IFERROR(IF(INDEX('CFOG'!$M$10:$M$16,MATCH($F282,'CFOG'!$B$10:$B$16,0))="","Cell will autofill based on response",INDEX('CFOG'!$M$10:$M$16,MATCH($F282,'CFOG'!$B$10:$B$16,0))),"N/A")</f>
        <v/>
      </c>
      <c r="O282" s="25">
        <f>IFERROR(IF(INDEX('CFOG'!$M$23:$M$24,MATCH($F282,'CFOG'!$B$23:$B$24,0))="","Cell will autofill based on response",INDEX('CFOG'!$M$23:$M$24,MATCH($F282,'CFOG'!$B$23:$B$24,0))),"N/A")</f>
        <v/>
      </c>
      <c r="P282" s="25">
        <f>IFERROR(IF(INDEX('ESG'!$M$10:$M$17,MATCH($F282,'ESG'!$B$10:$B$17,0))="","Cell will autofill based on response",INDEX('ESG'!$M$10:$M$17,MATCH($F282,'ESG'!$B$10:$B$17,0))),"N/A")</f>
        <v/>
      </c>
      <c r="Q282" s="25">
        <f>IFERROR(IF(INDEX('CIOG'!$M$10:$M$14,MATCH($F282,'CIOG'!$B$10:$B$14,0))="","Cell will autofill based on response",INDEX('CIOG'!$M$10:$M$14,MATCH($F282,'CIOG'!$B$10:$B$14,0))),"N/A")</f>
        <v/>
      </c>
      <c r="R282" s="25">
        <f>IFERROR(IF(INDEX('MRE'!$M$10:$M$12,MATCH($F282,'MRE'!$B$10:$B$12,0))="","Cell will autofill based on response",INDEX('MRE'!$M$10:$M$12,MATCH($F282,'MRE'!$B$10:$B$12,0))),"N/A")</f>
        <v/>
      </c>
      <c r="S282" s="25">
        <f>IFERROR(IF(INDEX('L&amp;R'!$M$10:$M$11,MATCH($F282,'L&amp;R'!$B$10:$B$11,0))="","Cell will autofill based on response",INDEX('L&amp;R'!$M$10:$M$11,MATCH($F282,'L&amp;R'!$B$10:$B$11,0))),"N/A")</f>
        <v/>
      </c>
    </row>
    <row r="283">
      <c r="A283">
        <f>F283&amp;"|"&amp;G283</f>
        <v/>
      </c>
      <c r="B283" s="29" t="inlineStr"/>
      <c r="C283" s="8" t="inlineStr"/>
      <c r="D283" s="8" t="inlineStr"/>
      <c r="E283" s="8" t="inlineStr"/>
      <c r="F283" s="8" t="inlineStr">
        <is>
          <t>EN1(b)</t>
        </is>
      </c>
      <c r="G283" s="8" t="inlineStr">
        <is>
          <t>OPTION 2:  Indicator level reporting</t>
        </is>
      </c>
      <c r="H283" s="25">
        <f>IFERROR(IF(INDEX('Faculties'!$N$10:$N$30,MATCH($F283,'Faculties'!$B$10:$B$30,0))="","Cell will autofill based on response",INDEX('Faculties'!$N$10:$N$30,MATCH($F283,'Faculties'!$B$10:$B$30,0))),"N/A")</f>
        <v/>
      </c>
      <c r="I283" s="25">
        <f>IFERROR(IF(INDEX('Faculties'!$N$37:$N$57,MATCH($F283,'Faculties'!$B$37:$B$57,0))="","Cell will autofill based on response",INDEX('Faculties'!$N$37:$N$57,MATCH($F283,'Faculties'!$B$37:$B$57,0))),"N/A")</f>
        <v/>
      </c>
      <c r="J283" s="25">
        <f>IFERROR(IF(INDEX('Faculties'!$N$64:$N$84,MATCH($F283,'Faculties'!$B$64:$B$84,0))="","Cell will autofill based on response",INDEX('Faculties'!$N$64:$N$84,MATCH($F283,'Faculties'!$B$64:$B$84,0))),"N/A")</f>
        <v/>
      </c>
      <c r="K283" s="25">
        <f>IFERROR(IF(INDEX('Faculties'!$N$91:$N$111,MATCH($F283,'Faculties'!$B$91:$B$111,0))="","Cell will autofill based on response",INDEX('Faculties'!$N$91:$N$111,MATCH($F283,'Faculties'!$B$91:$B$111,0))),"N/A")</f>
        <v/>
      </c>
      <c r="L283" s="25">
        <f>IFERROR(IF(INDEX('CI&amp;S'!$N$10:$N$15,MATCH($F283,'CI&amp;S'!$B$10:$B$15,0))="","Cell will autofill based on response",INDEX('CI&amp;S'!$N$10:$N$15,MATCH($F283,'CI&amp;S'!$B$10:$B$15,0))),"N/A")</f>
        <v/>
      </c>
      <c r="M283" s="25">
        <f>IFERROR(IF(INDEX('CI&amp;S'!$N$22:$N$39,MATCH($F283,'CI&amp;S'!$B$22:$B$39,0))="","Cell will autofill based on response",INDEX('CI&amp;S'!$N$22:$N$39,MATCH($F283,'CI&amp;S'!$B$22:$B$39,0))),"N/A")</f>
        <v/>
      </c>
      <c r="N283" s="25">
        <f>IFERROR(IF(INDEX('CFOG'!$N$10:$N$16,MATCH($F283,'CFOG'!$B$10:$B$16,0))="","Cell will autofill based on response",INDEX('CFOG'!$N$10:$N$16,MATCH($F283,'CFOG'!$B$10:$B$16,0))),"N/A")</f>
        <v/>
      </c>
      <c r="O283" s="25">
        <f>IFERROR(IF(INDEX('CFOG'!$N$23:$N$24,MATCH($F283,'CFOG'!$B$23:$B$24,0))="","Cell will autofill based on response",INDEX('CFOG'!$N$23:$N$24,MATCH($F283,'CFOG'!$B$23:$B$24,0))),"N/A")</f>
        <v/>
      </c>
      <c r="P283" s="25">
        <f>IFERROR(IF(INDEX('ESG'!$N$10:$N$17,MATCH($F283,'ESG'!$B$10:$B$17,0))="","Cell will autofill based on response",INDEX('ESG'!$N$10:$N$17,MATCH($F283,'ESG'!$B$10:$B$17,0))),"N/A")</f>
        <v/>
      </c>
      <c r="Q283" s="25">
        <f>IFERROR(IF(INDEX('CIOG'!$N$10:$N$14,MATCH($F283,'CIOG'!$B$10:$B$14,0))="","Cell will autofill based on response",INDEX('CIOG'!$N$10:$N$14,MATCH($F283,'CIOG'!$B$10:$B$14,0))),"N/A")</f>
        <v/>
      </c>
      <c r="R283" s="25">
        <f>IFERROR(IF(INDEX('MRE'!$N$10:$N$12,MATCH($F283,'MRE'!$B$10:$B$12,0))="","Cell will autofill based on response",INDEX('MRE'!$N$10:$N$12,MATCH($F283,'MRE'!$B$10:$B$12,0))),"N/A")</f>
        <v/>
      </c>
      <c r="S283" s="25">
        <f>IFERROR(IF(INDEX('L&amp;R'!$N$10:$N$11,MATCH($F283,'L&amp;R'!$B$10:$B$11,0))="","Cell will autofill based on response",INDEX('L&amp;R'!$N$10:$N$11,MATCH($F283,'L&amp;R'!$B$10:$B$11,0))),"N/A")</f>
        <v/>
      </c>
    </row>
    <row r="284">
      <c r="A284">
        <f>F284&amp;"|"&amp;G284</f>
        <v/>
      </c>
      <c r="B284" s="29" t="inlineStr"/>
      <c r="C284" s="8" t="inlineStr"/>
      <c r="D284" s="8" t="inlineStr"/>
      <c r="E284" s="8" t="inlineStr"/>
      <c r="F284" s="8" t="inlineStr">
        <is>
          <t>EN1(b)</t>
        </is>
      </c>
      <c r="G284" s="8" t="inlineStr">
        <is>
          <t>Supporting information/comments</t>
        </is>
      </c>
      <c r="H284" s="25">
        <f>IFERROR(IF(INDEX('Faculties'!$O$10:$O$30,MATCH($F284,'Faculties'!$B$10:$B$30,0))="","Cell will autofill based on response",INDEX('Faculties'!$O$10:$O$30,MATCH($F284,'Faculties'!$B$10:$B$30,0))),"N/A")</f>
        <v/>
      </c>
      <c r="I284" s="25">
        <f>IFERROR(IF(INDEX('Faculties'!$O$37:$O$57,MATCH($F284,'Faculties'!$B$37:$B$57,0))="","Cell will autofill based on response",INDEX('Faculties'!$O$37:$O$57,MATCH($F284,'Faculties'!$B$37:$B$57,0))),"N/A")</f>
        <v/>
      </c>
      <c r="J284" s="25">
        <f>IFERROR(IF(INDEX('Faculties'!$O$64:$O$84,MATCH($F284,'Faculties'!$B$64:$B$84,0))="","Cell will autofill based on response",INDEX('Faculties'!$O$64:$O$84,MATCH($F284,'Faculties'!$B$64:$B$84,0))),"N/A")</f>
        <v/>
      </c>
      <c r="K284" s="25">
        <f>IFERROR(IF(INDEX('Faculties'!$O$91:$O$111,MATCH($F284,'Faculties'!$B$91:$B$111,0))="","Cell will autofill based on response",INDEX('Faculties'!$O$91:$O$111,MATCH($F284,'Faculties'!$B$91:$B$111,0))),"N/A")</f>
        <v/>
      </c>
      <c r="L284" s="25">
        <f>IFERROR(IF(INDEX('CI&amp;S'!$O$10:$O$15,MATCH($F284,'CI&amp;S'!$B$10:$B$15,0))="","Cell will autofill based on response",INDEX('CI&amp;S'!$O$10:$O$15,MATCH($F284,'CI&amp;S'!$B$10:$B$15,0))),"N/A")</f>
        <v/>
      </c>
      <c r="M284" s="25">
        <f>IFERROR(IF(INDEX('CI&amp;S'!$O$22:$O$39,MATCH($F284,'CI&amp;S'!$B$22:$B$39,0))="","Cell will autofill based on response",INDEX('CI&amp;S'!$O$22:$O$39,MATCH($F284,'CI&amp;S'!$B$22:$B$39,0))),"N/A")</f>
        <v/>
      </c>
      <c r="N284" s="25">
        <f>IFERROR(IF(INDEX('CFOG'!$O$10:$O$16,MATCH($F284,'CFOG'!$B$10:$B$16,0))="","Cell will autofill based on response",INDEX('CFOG'!$O$10:$O$16,MATCH($F284,'CFOG'!$B$10:$B$16,0))),"N/A")</f>
        <v/>
      </c>
      <c r="O284" s="25">
        <f>IFERROR(IF(INDEX('CFOG'!$O$23:$O$24,MATCH($F284,'CFOG'!$B$23:$B$24,0))="","Cell will autofill based on response",INDEX('CFOG'!$O$23:$O$24,MATCH($F284,'CFOG'!$B$23:$B$24,0))),"N/A")</f>
        <v/>
      </c>
      <c r="P284" s="25">
        <f>IFERROR(IF(INDEX('ESG'!$O$10:$O$17,MATCH($F284,'ESG'!$B$10:$B$17,0))="","Cell will autofill based on response",INDEX('ESG'!$O$10:$O$17,MATCH($F284,'ESG'!$B$10:$B$17,0))),"N/A")</f>
        <v/>
      </c>
      <c r="Q284" s="25">
        <f>IFERROR(IF(INDEX('CIOG'!$O$10:$O$14,MATCH($F284,'CIOG'!$B$10:$B$14,0))="","Cell will autofill based on response",INDEX('CIOG'!$O$10:$O$14,MATCH($F284,'CIOG'!$B$10:$B$14,0))),"N/A")</f>
        <v/>
      </c>
      <c r="R284" s="25">
        <f>IFERROR(IF(INDEX('MRE'!$O$10:$O$12,MATCH($F284,'MRE'!$B$10:$B$12,0))="","Cell will autofill based on response",INDEX('MRE'!$O$10:$O$12,MATCH($F284,'MRE'!$B$10:$B$12,0))),"N/A")</f>
        <v/>
      </c>
      <c r="S284" s="25">
        <f>IFERROR(IF(INDEX('L&amp;R'!$O$10:$O$11,MATCH($F284,'L&amp;R'!$B$10:$B$11,0))="","Cell will autofill based on response",INDEX('L&amp;R'!$O$10:$O$11,MATCH($F284,'L&amp;R'!$B$10:$B$11,0))),"N/A")</f>
        <v/>
      </c>
    </row>
    <row r="285">
      <c r="A285">
        <f>F285&amp;"|"&amp;G285</f>
        <v/>
      </c>
      <c r="B285" s="29" t="inlineStr"/>
      <c r="C285" s="8" t="inlineStr"/>
      <c r="D285" s="8" t="inlineStr"/>
      <c r="E285" s="8" t="inlineStr"/>
      <c r="F285" s="8" t="inlineStr">
        <is>
          <t>EN1(b)</t>
        </is>
      </c>
      <c r="G285" s="8" t="inlineStr">
        <is>
          <t>Data source and limitations</t>
        </is>
      </c>
      <c r="H285" s="25">
        <f>IFERROR(IF(INDEX('Faculties'!$P$10:$P$30,MATCH($F285,'Faculties'!$B$10:$B$30,0))="","Cell will autofill based on response",INDEX('Faculties'!$P$10:$P$30,MATCH($F285,'Faculties'!$B$10:$B$30,0))),"N/A")</f>
        <v/>
      </c>
      <c r="I285" s="25">
        <f>IFERROR(IF(INDEX('Faculties'!$P$37:$P$57,MATCH($F285,'Faculties'!$B$37:$B$57,0))="","Cell will autofill based on response",INDEX('Faculties'!$P$37:$P$57,MATCH($F285,'Faculties'!$B$37:$B$57,0))),"N/A")</f>
        <v/>
      </c>
      <c r="J285" s="25">
        <f>IFERROR(IF(INDEX('Faculties'!$P$64:$P$84,MATCH($F285,'Faculties'!$B$64:$B$84,0))="","Cell will autofill based on response",INDEX('Faculties'!$P$64:$P$84,MATCH($F285,'Faculties'!$B$64:$B$84,0))),"N/A")</f>
        <v/>
      </c>
      <c r="K285" s="25">
        <f>IFERROR(IF(INDEX('Faculties'!$P$91:$P$111,MATCH($F285,'Faculties'!$B$91:$B$111,0))="","Cell will autofill based on response",INDEX('Faculties'!$P$91:$P$111,MATCH($F285,'Faculties'!$B$91:$B$111,0))),"N/A")</f>
        <v/>
      </c>
      <c r="L285" s="25">
        <f>IFERROR(IF(INDEX('CI&amp;S'!$P$10:$P$15,MATCH($F285,'CI&amp;S'!$B$10:$B$15,0))="","Cell will autofill based on response",INDEX('CI&amp;S'!$P$10:$P$15,MATCH($F285,'CI&amp;S'!$B$10:$B$15,0))),"N/A")</f>
        <v/>
      </c>
      <c r="M285" s="25">
        <f>IFERROR(IF(INDEX('CI&amp;S'!$P$22:$P$39,MATCH($F285,'CI&amp;S'!$B$22:$B$39,0))="","Cell will autofill based on response",INDEX('CI&amp;S'!$P$22:$P$39,MATCH($F285,'CI&amp;S'!$B$22:$B$39,0))),"N/A")</f>
        <v/>
      </c>
      <c r="N285" s="25">
        <f>IFERROR(IF(INDEX('CFOG'!$P$10:$P$16,MATCH($F285,'CFOG'!$B$10:$B$16,0))="","Cell will autofill based on response",INDEX('CFOG'!$P$10:$P$16,MATCH($F285,'CFOG'!$B$10:$B$16,0))),"N/A")</f>
        <v/>
      </c>
      <c r="O285" s="25">
        <f>IFERROR(IF(INDEX('CFOG'!$P$23:$P$24,MATCH($F285,'CFOG'!$B$23:$B$24,0))="","Cell will autofill based on response",INDEX('CFOG'!$P$23:$P$24,MATCH($F285,'CFOG'!$B$23:$B$24,0))),"N/A")</f>
        <v/>
      </c>
      <c r="P285" s="25">
        <f>IFERROR(IF(INDEX('ESG'!$P$10:$P$17,MATCH($F285,'ESG'!$B$10:$B$17,0))="","Cell will autofill based on response",INDEX('ESG'!$P$10:$P$17,MATCH($F285,'ESG'!$B$10:$B$17,0))),"N/A")</f>
        <v/>
      </c>
      <c r="Q285" s="25">
        <f>IFERROR(IF(INDEX('CIOG'!$P$10:$P$14,MATCH($F285,'CIOG'!$B$10:$B$14,0))="","Cell will autofill based on response",INDEX('CIOG'!$P$10:$P$14,MATCH($F285,'CIOG'!$B$10:$B$14,0))),"N/A")</f>
        <v/>
      </c>
      <c r="R285" s="25">
        <f>IFERROR(IF(INDEX('MRE'!$P$10:$P$12,MATCH($F285,'MRE'!$B$10:$B$12,0))="","Cell will autofill based on response",INDEX('MRE'!$P$10:$P$12,MATCH($F285,'MRE'!$B$10:$B$12,0))),"N/A")</f>
        <v/>
      </c>
      <c r="S285" s="25">
        <f>IFERROR(IF(INDEX('L&amp;R'!$P$10:$P$11,MATCH($F285,'L&amp;R'!$B$10:$B$11,0))="","Cell will autofill based on response",INDEX('L&amp;R'!$P$10:$P$11,MATCH($F285,'L&amp;R'!$B$10:$B$11,0))),"N/A")</f>
        <v/>
      </c>
    </row>
    <row r="286">
      <c r="A286">
        <f>F286&amp;"|"&amp;G286</f>
        <v/>
      </c>
      <c r="B286" s="29" t="inlineStr"/>
      <c r="C286" s="8" t="inlineStr"/>
      <c r="D286" s="8" t="inlineStr"/>
      <c r="E286" s="8" t="inlineStr"/>
      <c r="F286" s="8" t="inlineStr">
        <is>
          <t>EN1(b)</t>
        </is>
      </c>
      <c r="G286" s="8" t="inlineStr">
        <is>
          <t>Data owner confirms</t>
        </is>
      </c>
      <c r="H286" s="25">
        <f>IFERROR(IF(INDEX('Faculties'!$Q$10:$Q$30,MATCH($F286,'Faculties'!$B$10:$B$30,0))="","Cell will autofill based on response",INDEX('Faculties'!$Q$10:$Q$30,MATCH($F286,'Faculties'!$B$10:$B$30,0))),"N/A")</f>
        <v/>
      </c>
      <c r="I286" s="25">
        <f>IFERROR(IF(INDEX('Faculties'!$Q$37:$Q$57,MATCH($F286,'Faculties'!$B$37:$B$57,0))="","Cell will autofill based on response",INDEX('Faculties'!$Q$37:$Q$57,MATCH($F286,'Faculties'!$B$37:$B$57,0))),"N/A")</f>
        <v/>
      </c>
      <c r="J286" s="25">
        <f>IFERROR(IF(INDEX('Faculties'!$Q$64:$Q$84,MATCH($F286,'Faculties'!$B$64:$B$84,0))="","Cell will autofill based on response",INDEX('Faculties'!$Q$64:$Q$84,MATCH($F286,'Faculties'!$B$64:$B$84,0))),"N/A")</f>
        <v/>
      </c>
      <c r="K286" s="25">
        <f>IFERROR(IF(INDEX('Faculties'!$Q$91:$Q$111,MATCH($F286,'Faculties'!$B$91:$B$111,0))="","Cell will autofill based on response",INDEX('Faculties'!$Q$91:$Q$111,MATCH($F286,'Faculties'!$B$91:$B$111,0))),"N/A")</f>
        <v/>
      </c>
      <c r="L286" s="25">
        <f>IFERROR(IF(INDEX('CI&amp;S'!$Q$10:$Q$15,MATCH($F286,'CI&amp;S'!$B$10:$B$15,0))="","Cell will autofill based on response",INDEX('CI&amp;S'!$Q$10:$Q$15,MATCH($F286,'CI&amp;S'!$B$10:$B$15,0))),"N/A")</f>
        <v/>
      </c>
      <c r="M286" s="25">
        <f>IFERROR(IF(INDEX('CI&amp;S'!$Q$22:$Q$39,MATCH($F286,'CI&amp;S'!$B$22:$B$39,0))="","Cell will autofill based on response",INDEX('CI&amp;S'!$Q$22:$Q$39,MATCH($F286,'CI&amp;S'!$B$22:$B$39,0))),"N/A")</f>
        <v/>
      </c>
      <c r="N286" s="25">
        <f>IFERROR(IF(INDEX('CFOG'!$Q$10:$Q$16,MATCH($F286,'CFOG'!$B$10:$B$16,0))="","Cell will autofill based on response",INDEX('CFOG'!$Q$10:$Q$16,MATCH($F286,'CFOG'!$B$10:$B$16,0))),"N/A")</f>
        <v/>
      </c>
      <c r="O286" s="25">
        <f>IFERROR(IF(INDEX('CFOG'!$Q$23:$Q$24,MATCH($F286,'CFOG'!$B$23:$B$24,0))="","Cell will autofill based on response",INDEX('CFOG'!$Q$23:$Q$24,MATCH($F286,'CFOG'!$B$23:$B$24,0))),"N/A")</f>
        <v/>
      </c>
      <c r="P286" s="25">
        <f>IFERROR(IF(INDEX('ESG'!$Q$10:$Q$17,MATCH($F286,'ESG'!$B$10:$B$17,0))="","Cell will autofill based on response",INDEX('ESG'!$Q$10:$Q$17,MATCH($F286,'ESG'!$B$10:$B$17,0))),"N/A")</f>
        <v/>
      </c>
      <c r="Q286" s="25">
        <f>IFERROR(IF(INDEX('CIOG'!$Q$10:$Q$14,MATCH($F286,'CIOG'!$B$10:$B$14,0))="","Cell will autofill based on response",INDEX('CIOG'!$Q$10:$Q$14,MATCH($F286,'CIOG'!$B$10:$B$14,0))),"N/A")</f>
        <v/>
      </c>
      <c r="R286" s="25">
        <f>IFERROR(IF(INDEX('MRE'!$Q$10:$Q$12,MATCH($F286,'MRE'!$B$10:$B$12,0))="","Cell will autofill based on response",INDEX('MRE'!$Q$10:$Q$12,MATCH($F286,'MRE'!$B$10:$B$12,0))),"N/A")</f>
        <v/>
      </c>
      <c r="S286" s="25">
        <f>IFERROR(IF(INDEX('L&amp;R'!$Q$10:$Q$11,MATCH($F286,'L&amp;R'!$B$10:$B$11,0))="","Cell will autofill based on response",INDEX('L&amp;R'!$Q$10:$Q$11,MATCH($F286,'L&amp;R'!$B$10:$B$11,0))),"N/A")</f>
        <v/>
      </c>
    </row>
    <row r="287">
      <c r="A287">
        <f>F287&amp;"|"&amp;G287</f>
        <v/>
      </c>
      <c r="B287" s="7" t="inlineStr">
        <is>
          <t>EN1(c)</t>
        </is>
      </c>
      <c r="C287" s="12" t="inlineStr">
        <is>
          <t>Enablers</t>
        </is>
      </c>
      <c r="D287" s="12" t="inlineStr">
        <is>
          <t>Coordinated internal engagement and external partnerships contributing to delivery of sustainability outcomes across priority areas.</t>
        </is>
      </c>
      <c r="E287"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87" s="12" t="inlineStr">
        <is>
          <t>EN1(c)</t>
        </is>
      </c>
      <c r="G287" s="12" t="inlineStr">
        <is>
          <t>Confirm end-2026 target status</t>
        </is>
      </c>
      <c r="H287" s="25">
        <f>IFERROR(IF(INDEX('Faculties'!$L$10:$L$30,MATCH($F287,'Faculties'!$B$10:$B$30,0))="","Cell will autofill based on response",INDEX('Faculties'!$L$10:$L$30,MATCH($F287,'Faculties'!$B$10:$B$30,0))),"N/A")</f>
        <v/>
      </c>
      <c r="I287" s="25">
        <f>IFERROR(IF(INDEX('Faculties'!$L$37:$L$57,MATCH($F287,'Faculties'!$B$37:$B$57,0))="","Cell will autofill based on response",INDEX('Faculties'!$L$37:$L$57,MATCH($F287,'Faculties'!$B$37:$B$57,0))),"N/A")</f>
        <v/>
      </c>
      <c r="J287" s="25">
        <f>IFERROR(IF(INDEX('Faculties'!$L$64:$L$84,MATCH($F287,'Faculties'!$B$64:$B$84,0))="","Cell will autofill based on response",INDEX('Faculties'!$L$64:$L$84,MATCH($F287,'Faculties'!$B$64:$B$84,0))),"N/A")</f>
        <v/>
      </c>
      <c r="K287" s="25">
        <f>IFERROR(IF(INDEX('Faculties'!$L$91:$L$111,MATCH($F287,'Faculties'!$B$91:$B$111,0))="","Cell will autofill based on response",INDEX('Faculties'!$L$91:$L$111,MATCH($F287,'Faculties'!$B$91:$B$111,0))),"N/A")</f>
        <v/>
      </c>
      <c r="L287" s="25">
        <f>IFERROR(IF(INDEX('CI&amp;S'!$L$10:$L$15,MATCH($F287,'CI&amp;S'!$B$10:$B$15,0))="","Cell will autofill based on response",INDEX('CI&amp;S'!$L$10:$L$15,MATCH($F287,'CI&amp;S'!$B$10:$B$15,0))),"N/A")</f>
        <v/>
      </c>
      <c r="M287" s="25">
        <f>IFERROR(IF(INDEX('CI&amp;S'!$L$22:$L$39,MATCH($F287,'CI&amp;S'!$B$22:$B$39,0))="","Cell will autofill based on response",INDEX('CI&amp;S'!$L$22:$L$39,MATCH($F287,'CI&amp;S'!$B$22:$B$39,0))),"N/A")</f>
        <v/>
      </c>
      <c r="N287" s="25">
        <f>IFERROR(IF(INDEX('CFOG'!$L$10:$L$16,MATCH($F287,'CFOG'!$B$10:$B$16,0))="","Cell will autofill based on response",INDEX('CFOG'!$L$10:$L$16,MATCH($F287,'CFOG'!$B$10:$B$16,0))),"N/A")</f>
        <v/>
      </c>
      <c r="O287" s="25">
        <f>IFERROR(IF(INDEX('CFOG'!$L$23:$L$24,MATCH($F287,'CFOG'!$B$23:$B$24,0))="","Cell will autofill based on response",INDEX('CFOG'!$L$23:$L$24,MATCH($F287,'CFOG'!$B$23:$B$24,0))),"N/A")</f>
        <v/>
      </c>
      <c r="P287" s="25">
        <f>IFERROR(IF(INDEX('ESG'!$L$10:$L$17,MATCH($F287,'ESG'!$B$10:$B$17,0))="","Cell will autofill based on response",INDEX('ESG'!$L$10:$L$17,MATCH($F287,'ESG'!$B$10:$B$17,0))),"N/A")</f>
        <v/>
      </c>
      <c r="Q287" s="25">
        <f>IFERROR(IF(INDEX('CIOG'!$L$10:$L$14,MATCH($F287,'CIOG'!$B$10:$B$14,0))="","Cell will autofill based on response",INDEX('CIOG'!$L$10:$L$14,MATCH($F287,'CIOG'!$B$10:$B$14,0))),"N/A")</f>
        <v/>
      </c>
      <c r="R287" s="25">
        <f>IFERROR(IF(INDEX('MRE'!$L$10:$L$12,MATCH($F287,'MRE'!$B$10:$B$12,0))="","Cell will autofill based on response",INDEX('MRE'!$L$10:$L$12,MATCH($F287,'MRE'!$B$10:$B$12,0))),"N/A")</f>
        <v/>
      </c>
      <c r="S287" s="25">
        <f>IFERROR(IF(INDEX('L&amp;R'!$L$10:$L$11,MATCH($F287,'L&amp;R'!$B$10:$B$11,0))="","Cell will autofill based on response",INDEX('L&amp;R'!$L$10:$L$11,MATCH($F287,'L&amp;R'!$B$10:$B$11,0))),"N/A")</f>
        <v/>
      </c>
      <c r="U287" s="26">
        <f>COUNTIF($H287:$S287,"Cell will autofill based on response")</f>
        <v/>
      </c>
      <c r="V287" s="26">
        <f>COUNTIF($H287:$S287,"Not yet started")</f>
        <v/>
      </c>
      <c r="W287" s="26">
        <f>COUNTIF($H287:$S287,"Not met")</f>
        <v/>
      </c>
      <c r="X287" s="26">
        <f>COUNTIF($H287:$S287,"Partially met")</f>
        <v/>
      </c>
      <c r="Y287" s="26">
        <f>COUNTIF($H287:$S287,"Met or exceeded")</f>
        <v/>
      </c>
      <c r="Z287" s="26">
        <f>3*Y287+2*X287+W287</f>
        <v/>
      </c>
      <c r="AA287" s="26">
        <f>Y287+X287+W287+V287</f>
        <v/>
      </c>
      <c r="AB287" s="27">
        <f>IF(AA287&gt;0,Z287/AA287,"No valid responses to date")</f>
        <v/>
      </c>
      <c r="AC287" s="26">
        <f>IF(ISNUMBER(AB287),INDEX(Lists!$G$2:$G$5,MATCH(ROUND(AB287,0),Lists!$H$2:$H$5,0)),"")</f>
        <v/>
      </c>
      <c r="AD287" s="28">
        <f>IF(AA287&gt;0,Y287/AA287,"")</f>
        <v/>
      </c>
      <c r="AE287" s="28">
        <f>IF(AA287&gt;0,(Y287+X287)/AA287,"")</f>
        <v/>
      </c>
      <c r="AF287" s="26">
        <f>IF(AA287=0,"",IF(AD287&gt;0.75,"Met or exceeded",IF(AE287&gt;=0.5,"Partially met","Not met")))</f>
        <v/>
      </c>
    </row>
    <row r="288">
      <c r="A288">
        <f>F288&amp;"|"&amp;G288</f>
        <v/>
      </c>
      <c r="B288" s="29" t="inlineStr"/>
      <c r="C288" s="8" t="inlineStr"/>
      <c r="D288" s="8" t="inlineStr"/>
      <c r="E288" s="8" t="inlineStr"/>
      <c r="F288" s="8" t="inlineStr">
        <is>
          <t>EN1(c)</t>
        </is>
      </c>
      <c r="G288" s="8" t="inlineStr">
        <is>
          <t>OPTION 1:  Target-level reporting</t>
        </is>
      </c>
      <c r="H288" s="25">
        <f>IFERROR(IF(INDEX('Faculties'!$M$10:$M$30,MATCH($F288,'Faculties'!$B$10:$B$30,0))="","Cell will autofill based on response",INDEX('Faculties'!$M$10:$M$30,MATCH($F288,'Faculties'!$B$10:$B$30,0))),"N/A")</f>
        <v/>
      </c>
      <c r="I288" s="25">
        <f>IFERROR(IF(INDEX('Faculties'!$M$37:$M$57,MATCH($F288,'Faculties'!$B$37:$B$57,0))="","Cell will autofill based on response",INDEX('Faculties'!$M$37:$M$57,MATCH($F288,'Faculties'!$B$37:$B$57,0))),"N/A")</f>
        <v/>
      </c>
      <c r="J288" s="25">
        <f>IFERROR(IF(INDEX('Faculties'!$M$64:$M$84,MATCH($F288,'Faculties'!$B$64:$B$84,0))="","Cell will autofill based on response",INDEX('Faculties'!$M$64:$M$84,MATCH($F288,'Faculties'!$B$64:$B$84,0))),"N/A")</f>
        <v/>
      </c>
      <c r="K288" s="25">
        <f>IFERROR(IF(INDEX('Faculties'!$M$91:$M$111,MATCH($F288,'Faculties'!$B$91:$B$111,0))="","Cell will autofill based on response",INDEX('Faculties'!$M$91:$M$111,MATCH($F288,'Faculties'!$B$91:$B$111,0))),"N/A")</f>
        <v/>
      </c>
      <c r="L288" s="25">
        <f>IFERROR(IF(INDEX('CI&amp;S'!$M$10:$M$15,MATCH($F288,'CI&amp;S'!$B$10:$B$15,0))="","Cell will autofill based on response",INDEX('CI&amp;S'!$M$10:$M$15,MATCH($F288,'CI&amp;S'!$B$10:$B$15,0))),"N/A")</f>
        <v/>
      </c>
      <c r="M288" s="25">
        <f>IFERROR(IF(INDEX('CI&amp;S'!$M$22:$M$39,MATCH($F288,'CI&amp;S'!$B$22:$B$39,0))="","Cell will autofill based on response",INDEX('CI&amp;S'!$M$22:$M$39,MATCH($F288,'CI&amp;S'!$B$22:$B$39,0))),"N/A")</f>
        <v/>
      </c>
      <c r="N288" s="25">
        <f>IFERROR(IF(INDEX('CFOG'!$M$10:$M$16,MATCH($F288,'CFOG'!$B$10:$B$16,0))="","Cell will autofill based on response",INDEX('CFOG'!$M$10:$M$16,MATCH($F288,'CFOG'!$B$10:$B$16,0))),"N/A")</f>
        <v/>
      </c>
      <c r="O288" s="25">
        <f>IFERROR(IF(INDEX('CFOG'!$M$23:$M$24,MATCH($F288,'CFOG'!$B$23:$B$24,0))="","Cell will autofill based on response",INDEX('CFOG'!$M$23:$M$24,MATCH($F288,'CFOG'!$B$23:$B$24,0))),"N/A")</f>
        <v/>
      </c>
      <c r="P288" s="25">
        <f>IFERROR(IF(INDEX('ESG'!$M$10:$M$17,MATCH($F288,'ESG'!$B$10:$B$17,0))="","Cell will autofill based on response",INDEX('ESG'!$M$10:$M$17,MATCH($F288,'ESG'!$B$10:$B$17,0))),"N/A")</f>
        <v/>
      </c>
      <c r="Q288" s="25">
        <f>IFERROR(IF(INDEX('CIOG'!$M$10:$M$14,MATCH($F288,'CIOG'!$B$10:$B$14,0))="","Cell will autofill based on response",INDEX('CIOG'!$M$10:$M$14,MATCH($F288,'CIOG'!$B$10:$B$14,0))),"N/A")</f>
        <v/>
      </c>
      <c r="R288" s="25">
        <f>IFERROR(IF(INDEX('MRE'!$M$10:$M$12,MATCH($F288,'MRE'!$B$10:$B$12,0))="","Cell will autofill based on response",INDEX('MRE'!$M$10:$M$12,MATCH($F288,'MRE'!$B$10:$B$12,0))),"N/A")</f>
        <v/>
      </c>
      <c r="S288" s="25">
        <f>IFERROR(IF(INDEX('L&amp;R'!$M$10:$M$11,MATCH($F288,'L&amp;R'!$B$10:$B$11,0))="","Cell will autofill based on response",INDEX('L&amp;R'!$M$10:$M$11,MATCH($F288,'L&amp;R'!$B$10:$B$11,0))),"N/A")</f>
        <v/>
      </c>
    </row>
    <row r="289">
      <c r="A289">
        <f>F289&amp;"|"&amp;G289</f>
        <v/>
      </c>
      <c r="B289" s="29" t="inlineStr"/>
      <c r="C289" s="8" t="inlineStr"/>
      <c r="D289" s="8" t="inlineStr"/>
      <c r="E289" s="8" t="inlineStr"/>
      <c r="F289" s="8" t="inlineStr">
        <is>
          <t>EN1(c)</t>
        </is>
      </c>
      <c r="G289" s="8" t="inlineStr">
        <is>
          <t>OPTION 2:  Indicator level reporting</t>
        </is>
      </c>
      <c r="H289" s="25">
        <f>IFERROR(IF(INDEX('Faculties'!$N$10:$N$30,MATCH($F289,'Faculties'!$B$10:$B$30,0))="","Cell will autofill based on response",INDEX('Faculties'!$N$10:$N$30,MATCH($F289,'Faculties'!$B$10:$B$30,0))),"N/A")</f>
        <v/>
      </c>
      <c r="I289" s="25">
        <f>IFERROR(IF(INDEX('Faculties'!$N$37:$N$57,MATCH($F289,'Faculties'!$B$37:$B$57,0))="","Cell will autofill based on response",INDEX('Faculties'!$N$37:$N$57,MATCH($F289,'Faculties'!$B$37:$B$57,0))),"N/A")</f>
        <v/>
      </c>
      <c r="J289" s="25">
        <f>IFERROR(IF(INDEX('Faculties'!$N$64:$N$84,MATCH($F289,'Faculties'!$B$64:$B$84,0))="","Cell will autofill based on response",INDEX('Faculties'!$N$64:$N$84,MATCH($F289,'Faculties'!$B$64:$B$84,0))),"N/A")</f>
        <v/>
      </c>
      <c r="K289" s="25">
        <f>IFERROR(IF(INDEX('Faculties'!$N$91:$N$111,MATCH($F289,'Faculties'!$B$91:$B$111,0))="","Cell will autofill based on response",INDEX('Faculties'!$N$91:$N$111,MATCH($F289,'Faculties'!$B$91:$B$111,0))),"N/A")</f>
        <v/>
      </c>
      <c r="L289" s="25">
        <f>IFERROR(IF(INDEX('CI&amp;S'!$N$10:$N$15,MATCH($F289,'CI&amp;S'!$B$10:$B$15,0))="","Cell will autofill based on response",INDEX('CI&amp;S'!$N$10:$N$15,MATCH($F289,'CI&amp;S'!$B$10:$B$15,0))),"N/A")</f>
        <v/>
      </c>
      <c r="M289" s="25">
        <f>IFERROR(IF(INDEX('CI&amp;S'!$N$22:$N$39,MATCH($F289,'CI&amp;S'!$B$22:$B$39,0))="","Cell will autofill based on response",INDEX('CI&amp;S'!$N$22:$N$39,MATCH($F289,'CI&amp;S'!$B$22:$B$39,0))),"N/A")</f>
        <v/>
      </c>
      <c r="N289" s="25">
        <f>IFERROR(IF(INDEX('CFOG'!$N$10:$N$16,MATCH($F289,'CFOG'!$B$10:$B$16,0))="","Cell will autofill based on response",INDEX('CFOG'!$N$10:$N$16,MATCH($F289,'CFOG'!$B$10:$B$16,0))),"N/A")</f>
        <v/>
      </c>
      <c r="O289" s="25">
        <f>IFERROR(IF(INDEX('CFOG'!$N$23:$N$24,MATCH($F289,'CFOG'!$B$23:$B$24,0))="","Cell will autofill based on response",INDEX('CFOG'!$N$23:$N$24,MATCH($F289,'CFOG'!$B$23:$B$24,0))),"N/A")</f>
        <v/>
      </c>
      <c r="P289" s="25">
        <f>IFERROR(IF(INDEX('ESG'!$N$10:$N$17,MATCH($F289,'ESG'!$B$10:$B$17,0))="","Cell will autofill based on response",INDEX('ESG'!$N$10:$N$17,MATCH($F289,'ESG'!$B$10:$B$17,0))),"N/A")</f>
        <v/>
      </c>
      <c r="Q289" s="25">
        <f>IFERROR(IF(INDEX('CIOG'!$N$10:$N$14,MATCH($F289,'CIOG'!$B$10:$B$14,0))="","Cell will autofill based on response",INDEX('CIOG'!$N$10:$N$14,MATCH($F289,'CIOG'!$B$10:$B$14,0))),"N/A")</f>
        <v/>
      </c>
      <c r="R289" s="25">
        <f>IFERROR(IF(INDEX('MRE'!$N$10:$N$12,MATCH($F289,'MRE'!$B$10:$B$12,0))="","Cell will autofill based on response",INDEX('MRE'!$N$10:$N$12,MATCH($F289,'MRE'!$B$10:$B$12,0))),"N/A")</f>
        <v/>
      </c>
      <c r="S289" s="25">
        <f>IFERROR(IF(INDEX('L&amp;R'!$N$10:$N$11,MATCH($F289,'L&amp;R'!$B$10:$B$11,0))="","Cell will autofill based on response",INDEX('L&amp;R'!$N$10:$N$11,MATCH($F289,'L&amp;R'!$B$10:$B$11,0))),"N/A")</f>
        <v/>
      </c>
    </row>
    <row r="290">
      <c r="A290">
        <f>F290&amp;"|"&amp;G290</f>
        <v/>
      </c>
      <c r="B290" s="29" t="inlineStr"/>
      <c r="C290" s="8" t="inlineStr"/>
      <c r="D290" s="8" t="inlineStr"/>
      <c r="E290" s="8" t="inlineStr"/>
      <c r="F290" s="8" t="inlineStr">
        <is>
          <t>EN1(c)</t>
        </is>
      </c>
      <c r="G290" s="8" t="inlineStr">
        <is>
          <t>Supporting information/comments</t>
        </is>
      </c>
      <c r="H290" s="25">
        <f>IFERROR(IF(INDEX('Faculties'!$O$10:$O$30,MATCH($F290,'Faculties'!$B$10:$B$30,0))="","Cell will autofill based on response",INDEX('Faculties'!$O$10:$O$30,MATCH($F290,'Faculties'!$B$10:$B$30,0))),"N/A")</f>
        <v/>
      </c>
      <c r="I290" s="25">
        <f>IFERROR(IF(INDEX('Faculties'!$O$37:$O$57,MATCH($F290,'Faculties'!$B$37:$B$57,0))="","Cell will autofill based on response",INDEX('Faculties'!$O$37:$O$57,MATCH($F290,'Faculties'!$B$37:$B$57,0))),"N/A")</f>
        <v/>
      </c>
      <c r="J290" s="25">
        <f>IFERROR(IF(INDEX('Faculties'!$O$64:$O$84,MATCH($F290,'Faculties'!$B$64:$B$84,0))="","Cell will autofill based on response",INDEX('Faculties'!$O$64:$O$84,MATCH($F290,'Faculties'!$B$64:$B$84,0))),"N/A")</f>
        <v/>
      </c>
      <c r="K290" s="25">
        <f>IFERROR(IF(INDEX('Faculties'!$O$91:$O$111,MATCH($F290,'Faculties'!$B$91:$B$111,0))="","Cell will autofill based on response",INDEX('Faculties'!$O$91:$O$111,MATCH($F290,'Faculties'!$B$91:$B$111,0))),"N/A")</f>
        <v/>
      </c>
      <c r="L290" s="25">
        <f>IFERROR(IF(INDEX('CI&amp;S'!$O$10:$O$15,MATCH($F290,'CI&amp;S'!$B$10:$B$15,0))="","Cell will autofill based on response",INDEX('CI&amp;S'!$O$10:$O$15,MATCH($F290,'CI&amp;S'!$B$10:$B$15,0))),"N/A")</f>
        <v/>
      </c>
      <c r="M290" s="25">
        <f>IFERROR(IF(INDEX('CI&amp;S'!$O$22:$O$39,MATCH($F290,'CI&amp;S'!$B$22:$B$39,0))="","Cell will autofill based on response",INDEX('CI&amp;S'!$O$22:$O$39,MATCH($F290,'CI&amp;S'!$B$22:$B$39,0))),"N/A")</f>
        <v/>
      </c>
      <c r="N290" s="25">
        <f>IFERROR(IF(INDEX('CFOG'!$O$10:$O$16,MATCH($F290,'CFOG'!$B$10:$B$16,0))="","Cell will autofill based on response",INDEX('CFOG'!$O$10:$O$16,MATCH($F290,'CFOG'!$B$10:$B$16,0))),"N/A")</f>
        <v/>
      </c>
      <c r="O290" s="25">
        <f>IFERROR(IF(INDEX('CFOG'!$O$23:$O$24,MATCH($F290,'CFOG'!$B$23:$B$24,0))="","Cell will autofill based on response",INDEX('CFOG'!$O$23:$O$24,MATCH($F290,'CFOG'!$B$23:$B$24,0))),"N/A")</f>
        <v/>
      </c>
      <c r="P290" s="25">
        <f>IFERROR(IF(INDEX('ESG'!$O$10:$O$17,MATCH($F290,'ESG'!$B$10:$B$17,0))="","Cell will autofill based on response",INDEX('ESG'!$O$10:$O$17,MATCH($F290,'ESG'!$B$10:$B$17,0))),"N/A")</f>
        <v/>
      </c>
      <c r="Q290" s="25">
        <f>IFERROR(IF(INDEX('CIOG'!$O$10:$O$14,MATCH($F290,'CIOG'!$B$10:$B$14,0))="","Cell will autofill based on response",INDEX('CIOG'!$O$10:$O$14,MATCH($F290,'CIOG'!$B$10:$B$14,0))),"N/A")</f>
        <v/>
      </c>
      <c r="R290" s="25">
        <f>IFERROR(IF(INDEX('MRE'!$O$10:$O$12,MATCH($F290,'MRE'!$B$10:$B$12,0))="","Cell will autofill based on response",INDEX('MRE'!$O$10:$O$12,MATCH($F290,'MRE'!$B$10:$B$12,0))),"N/A")</f>
        <v/>
      </c>
      <c r="S290" s="25">
        <f>IFERROR(IF(INDEX('L&amp;R'!$O$10:$O$11,MATCH($F290,'L&amp;R'!$B$10:$B$11,0))="","Cell will autofill based on response",INDEX('L&amp;R'!$O$10:$O$11,MATCH($F290,'L&amp;R'!$B$10:$B$11,0))),"N/A")</f>
        <v/>
      </c>
    </row>
    <row r="291">
      <c r="A291">
        <f>F291&amp;"|"&amp;G291</f>
        <v/>
      </c>
      <c r="B291" s="29" t="inlineStr"/>
      <c r="C291" s="8" t="inlineStr"/>
      <c r="D291" s="8" t="inlineStr"/>
      <c r="E291" s="8" t="inlineStr"/>
      <c r="F291" s="8" t="inlineStr">
        <is>
          <t>EN1(c)</t>
        </is>
      </c>
      <c r="G291" s="8" t="inlineStr">
        <is>
          <t>Data source and limitations</t>
        </is>
      </c>
      <c r="H291" s="25">
        <f>IFERROR(IF(INDEX('Faculties'!$P$10:$P$30,MATCH($F291,'Faculties'!$B$10:$B$30,0))="","Cell will autofill based on response",INDEX('Faculties'!$P$10:$P$30,MATCH($F291,'Faculties'!$B$10:$B$30,0))),"N/A")</f>
        <v/>
      </c>
      <c r="I291" s="25">
        <f>IFERROR(IF(INDEX('Faculties'!$P$37:$P$57,MATCH($F291,'Faculties'!$B$37:$B$57,0))="","Cell will autofill based on response",INDEX('Faculties'!$P$37:$P$57,MATCH($F291,'Faculties'!$B$37:$B$57,0))),"N/A")</f>
        <v/>
      </c>
      <c r="J291" s="25">
        <f>IFERROR(IF(INDEX('Faculties'!$P$64:$P$84,MATCH($F291,'Faculties'!$B$64:$B$84,0))="","Cell will autofill based on response",INDEX('Faculties'!$P$64:$P$84,MATCH($F291,'Faculties'!$B$64:$B$84,0))),"N/A")</f>
        <v/>
      </c>
      <c r="K291" s="25">
        <f>IFERROR(IF(INDEX('Faculties'!$P$91:$P$111,MATCH($F291,'Faculties'!$B$91:$B$111,0))="","Cell will autofill based on response",INDEX('Faculties'!$P$91:$P$111,MATCH($F291,'Faculties'!$B$91:$B$111,0))),"N/A")</f>
        <v/>
      </c>
      <c r="L291" s="25">
        <f>IFERROR(IF(INDEX('CI&amp;S'!$P$10:$P$15,MATCH($F291,'CI&amp;S'!$B$10:$B$15,0))="","Cell will autofill based on response",INDEX('CI&amp;S'!$P$10:$P$15,MATCH($F291,'CI&amp;S'!$B$10:$B$15,0))),"N/A")</f>
        <v/>
      </c>
      <c r="M291" s="25">
        <f>IFERROR(IF(INDEX('CI&amp;S'!$P$22:$P$39,MATCH($F291,'CI&amp;S'!$B$22:$B$39,0))="","Cell will autofill based on response",INDEX('CI&amp;S'!$P$22:$P$39,MATCH($F291,'CI&amp;S'!$B$22:$B$39,0))),"N/A")</f>
        <v/>
      </c>
      <c r="N291" s="25">
        <f>IFERROR(IF(INDEX('CFOG'!$P$10:$P$16,MATCH($F291,'CFOG'!$B$10:$B$16,0))="","Cell will autofill based on response",INDEX('CFOG'!$P$10:$P$16,MATCH($F291,'CFOG'!$B$10:$B$16,0))),"N/A")</f>
        <v/>
      </c>
      <c r="O291" s="25">
        <f>IFERROR(IF(INDEX('CFOG'!$P$23:$P$24,MATCH($F291,'CFOG'!$B$23:$B$24,0))="","Cell will autofill based on response",INDEX('CFOG'!$P$23:$P$24,MATCH($F291,'CFOG'!$B$23:$B$24,0))),"N/A")</f>
        <v/>
      </c>
      <c r="P291" s="25">
        <f>IFERROR(IF(INDEX('ESG'!$P$10:$P$17,MATCH($F291,'ESG'!$B$10:$B$17,0))="","Cell will autofill based on response",INDEX('ESG'!$P$10:$P$17,MATCH($F291,'ESG'!$B$10:$B$17,0))),"N/A")</f>
        <v/>
      </c>
      <c r="Q291" s="25">
        <f>IFERROR(IF(INDEX('CIOG'!$P$10:$P$14,MATCH($F291,'CIOG'!$B$10:$B$14,0))="","Cell will autofill based on response",INDEX('CIOG'!$P$10:$P$14,MATCH($F291,'CIOG'!$B$10:$B$14,0))),"N/A")</f>
        <v/>
      </c>
      <c r="R291" s="25">
        <f>IFERROR(IF(INDEX('MRE'!$P$10:$P$12,MATCH($F291,'MRE'!$B$10:$B$12,0))="","Cell will autofill based on response",INDEX('MRE'!$P$10:$P$12,MATCH($F291,'MRE'!$B$10:$B$12,0))),"N/A")</f>
        <v/>
      </c>
      <c r="S291" s="25">
        <f>IFERROR(IF(INDEX('L&amp;R'!$P$10:$P$11,MATCH($F291,'L&amp;R'!$B$10:$B$11,0))="","Cell will autofill based on response",INDEX('L&amp;R'!$P$10:$P$11,MATCH($F291,'L&amp;R'!$B$10:$B$11,0))),"N/A")</f>
        <v/>
      </c>
    </row>
    <row r="292">
      <c r="A292">
        <f>F292&amp;"|"&amp;G292</f>
        <v/>
      </c>
      <c r="B292" s="29" t="inlineStr"/>
      <c r="C292" s="8" t="inlineStr"/>
      <c r="D292" s="8" t="inlineStr"/>
      <c r="E292" s="8" t="inlineStr"/>
      <c r="F292" s="8" t="inlineStr">
        <is>
          <t>EN1(c)</t>
        </is>
      </c>
      <c r="G292" s="8" t="inlineStr">
        <is>
          <t>Data owner confirms</t>
        </is>
      </c>
      <c r="H292" s="25">
        <f>IFERROR(IF(INDEX('Faculties'!$Q$10:$Q$30,MATCH($F292,'Faculties'!$B$10:$B$30,0))="","Cell will autofill based on response",INDEX('Faculties'!$Q$10:$Q$30,MATCH($F292,'Faculties'!$B$10:$B$30,0))),"N/A")</f>
        <v/>
      </c>
      <c r="I292" s="25">
        <f>IFERROR(IF(INDEX('Faculties'!$Q$37:$Q$57,MATCH($F292,'Faculties'!$B$37:$B$57,0))="","Cell will autofill based on response",INDEX('Faculties'!$Q$37:$Q$57,MATCH($F292,'Faculties'!$B$37:$B$57,0))),"N/A")</f>
        <v/>
      </c>
      <c r="J292" s="25">
        <f>IFERROR(IF(INDEX('Faculties'!$Q$64:$Q$84,MATCH($F292,'Faculties'!$B$64:$B$84,0))="","Cell will autofill based on response",INDEX('Faculties'!$Q$64:$Q$84,MATCH($F292,'Faculties'!$B$64:$B$84,0))),"N/A")</f>
        <v/>
      </c>
      <c r="K292" s="25">
        <f>IFERROR(IF(INDEX('Faculties'!$Q$91:$Q$111,MATCH($F292,'Faculties'!$B$91:$B$111,0))="","Cell will autofill based on response",INDEX('Faculties'!$Q$91:$Q$111,MATCH($F292,'Faculties'!$B$91:$B$111,0))),"N/A")</f>
        <v/>
      </c>
      <c r="L292" s="25">
        <f>IFERROR(IF(INDEX('CI&amp;S'!$Q$10:$Q$15,MATCH($F292,'CI&amp;S'!$B$10:$B$15,0))="","Cell will autofill based on response",INDEX('CI&amp;S'!$Q$10:$Q$15,MATCH($F292,'CI&amp;S'!$B$10:$B$15,0))),"N/A")</f>
        <v/>
      </c>
      <c r="M292" s="25">
        <f>IFERROR(IF(INDEX('CI&amp;S'!$Q$22:$Q$39,MATCH($F292,'CI&amp;S'!$B$22:$B$39,0))="","Cell will autofill based on response",INDEX('CI&amp;S'!$Q$22:$Q$39,MATCH($F292,'CI&amp;S'!$B$22:$B$39,0))),"N/A")</f>
        <v/>
      </c>
      <c r="N292" s="25">
        <f>IFERROR(IF(INDEX('CFOG'!$Q$10:$Q$16,MATCH($F292,'CFOG'!$B$10:$B$16,0))="","Cell will autofill based on response",INDEX('CFOG'!$Q$10:$Q$16,MATCH($F292,'CFOG'!$B$10:$B$16,0))),"N/A")</f>
        <v/>
      </c>
      <c r="O292" s="25">
        <f>IFERROR(IF(INDEX('CFOG'!$Q$23:$Q$24,MATCH($F292,'CFOG'!$B$23:$B$24,0))="","Cell will autofill based on response",INDEX('CFOG'!$Q$23:$Q$24,MATCH($F292,'CFOG'!$B$23:$B$24,0))),"N/A")</f>
        <v/>
      </c>
      <c r="P292" s="25">
        <f>IFERROR(IF(INDEX('ESG'!$Q$10:$Q$17,MATCH($F292,'ESG'!$B$10:$B$17,0))="","Cell will autofill based on response",INDEX('ESG'!$Q$10:$Q$17,MATCH($F292,'ESG'!$B$10:$B$17,0))),"N/A")</f>
        <v/>
      </c>
      <c r="Q292" s="25">
        <f>IFERROR(IF(INDEX('CIOG'!$Q$10:$Q$14,MATCH($F292,'CIOG'!$B$10:$B$14,0))="","Cell will autofill based on response",INDEX('CIOG'!$Q$10:$Q$14,MATCH($F292,'CIOG'!$B$10:$B$14,0))),"N/A")</f>
        <v/>
      </c>
      <c r="R292" s="25">
        <f>IFERROR(IF(INDEX('MRE'!$Q$10:$Q$12,MATCH($F292,'MRE'!$B$10:$B$12,0))="","Cell will autofill based on response",INDEX('MRE'!$Q$10:$Q$12,MATCH($F292,'MRE'!$B$10:$B$12,0))),"N/A")</f>
        <v/>
      </c>
      <c r="S292" s="25">
        <f>IFERROR(IF(INDEX('L&amp;R'!$Q$10:$Q$11,MATCH($F292,'L&amp;R'!$B$10:$B$11,0))="","Cell will autofill based on response",INDEX('L&amp;R'!$Q$10:$Q$11,MATCH($F292,'L&amp;R'!$B$10:$B$11,0))),"N/A")</f>
        <v/>
      </c>
    </row>
    <row r="293">
      <c r="A293">
        <f>F293&amp;"|"&amp;G293</f>
        <v/>
      </c>
      <c r="B293" s="7" t="inlineStr">
        <is>
          <t>EN1(d)</t>
        </is>
      </c>
      <c r="C293" s="12" t="inlineStr">
        <is>
          <t>Enablers</t>
        </is>
      </c>
      <c r="D293" s="12" t="inlineStr">
        <is>
          <t>Sustainability objectives integrated into governance and decision‑making processes, supported by transparent reporting.</t>
        </is>
      </c>
      <c r="E293"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93" s="12" t="inlineStr">
        <is>
          <t>EN1(d)</t>
        </is>
      </c>
      <c r="G293" s="12" t="inlineStr">
        <is>
          <t>Confirm end-2026 target status</t>
        </is>
      </c>
      <c r="H293" s="25">
        <f>IFERROR(IF(INDEX('Faculties'!$L$10:$L$30,MATCH($F293,'Faculties'!$B$10:$B$30,0))="","Cell will autofill based on response",INDEX('Faculties'!$L$10:$L$30,MATCH($F293,'Faculties'!$B$10:$B$30,0))),"N/A")</f>
        <v/>
      </c>
      <c r="I293" s="25">
        <f>IFERROR(IF(INDEX('Faculties'!$L$37:$L$57,MATCH($F293,'Faculties'!$B$37:$B$57,0))="","Cell will autofill based on response",INDEX('Faculties'!$L$37:$L$57,MATCH($F293,'Faculties'!$B$37:$B$57,0))),"N/A")</f>
        <v/>
      </c>
      <c r="J293" s="25">
        <f>IFERROR(IF(INDEX('Faculties'!$L$64:$L$84,MATCH($F293,'Faculties'!$B$64:$B$84,0))="","Cell will autofill based on response",INDEX('Faculties'!$L$64:$L$84,MATCH($F293,'Faculties'!$B$64:$B$84,0))),"N/A")</f>
        <v/>
      </c>
      <c r="K293" s="25">
        <f>IFERROR(IF(INDEX('Faculties'!$L$91:$L$111,MATCH($F293,'Faculties'!$B$91:$B$111,0))="","Cell will autofill based on response",INDEX('Faculties'!$L$91:$L$111,MATCH($F293,'Faculties'!$B$91:$B$111,0))),"N/A")</f>
        <v/>
      </c>
      <c r="L293" s="25">
        <f>IFERROR(IF(INDEX('CI&amp;S'!$L$10:$L$15,MATCH($F293,'CI&amp;S'!$B$10:$B$15,0))="","Cell will autofill based on response",INDEX('CI&amp;S'!$L$10:$L$15,MATCH($F293,'CI&amp;S'!$B$10:$B$15,0))),"N/A")</f>
        <v/>
      </c>
      <c r="M293" s="25">
        <f>IFERROR(IF(INDEX('CI&amp;S'!$L$22:$L$39,MATCH($F293,'CI&amp;S'!$B$22:$B$39,0))="","Cell will autofill based on response",INDEX('CI&amp;S'!$L$22:$L$39,MATCH($F293,'CI&amp;S'!$B$22:$B$39,0))),"N/A")</f>
        <v/>
      </c>
      <c r="N293" s="25">
        <f>IFERROR(IF(INDEX('CFOG'!$L$10:$L$16,MATCH($F293,'CFOG'!$B$10:$B$16,0))="","Cell will autofill based on response",INDEX('CFOG'!$L$10:$L$16,MATCH($F293,'CFOG'!$B$10:$B$16,0))),"N/A")</f>
        <v/>
      </c>
      <c r="O293" s="25">
        <f>IFERROR(IF(INDEX('CFOG'!$L$23:$L$24,MATCH($F293,'CFOG'!$B$23:$B$24,0))="","Cell will autofill based on response",INDEX('CFOG'!$L$23:$L$24,MATCH($F293,'CFOG'!$B$23:$B$24,0))),"N/A")</f>
        <v/>
      </c>
      <c r="P293" s="25">
        <f>IFERROR(IF(INDEX('ESG'!$L$10:$L$17,MATCH($F293,'ESG'!$B$10:$B$17,0))="","Cell will autofill based on response",INDEX('ESG'!$L$10:$L$17,MATCH($F293,'ESG'!$B$10:$B$17,0))),"N/A")</f>
        <v/>
      </c>
      <c r="Q293" s="25">
        <f>IFERROR(IF(INDEX('CIOG'!$L$10:$L$14,MATCH($F293,'CIOG'!$B$10:$B$14,0))="","Cell will autofill based on response",INDEX('CIOG'!$L$10:$L$14,MATCH($F293,'CIOG'!$B$10:$B$14,0))),"N/A")</f>
        <v/>
      </c>
      <c r="R293" s="25">
        <f>IFERROR(IF(INDEX('MRE'!$L$10:$L$12,MATCH($F293,'MRE'!$B$10:$B$12,0))="","Cell will autofill based on response",INDEX('MRE'!$L$10:$L$12,MATCH($F293,'MRE'!$B$10:$B$12,0))),"N/A")</f>
        <v/>
      </c>
      <c r="S293" s="25">
        <f>IFERROR(IF(INDEX('L&amp;R'!$L$10:$L$11,MATCH($F293,'L&amp;R'!$B$10:$B$11,0))="","Cell will autofill based on response",INDEX('L&amp;R'!$L$10:$L$11,MATCH($F293,'L&amp;R'!$B$10:$B$11,0))),"N/A")</f>
        <v/>
      </c>
      <c r="U293" s="26">
        <f>COUNTIF($H293:$S293,"Cell will autofill based on response")</f>
        <v/>
      </c>
      <c r="V293" s="26">
        <f>COUNTIF($H293:$S293,"Not yet started")</f>
        <v/>
      </c>
      <c r="W293" s="26">
        <f>COUNTIF($H293:$S293,"Not met")</f>
        <v/>
      </c>
      <c r="X293" s="26">
        <f>COUNTIF($H293:$S293,"Partially met")</f>
        <v/>
      </c>
      <c r="Y293" s="26">
        <f>COUNTIF($H293:$S293,"Met or exceeded")</f>
        <v/>
      </c>
      <c r="Z293" s="26">
        <f>3*Y293+2*X293+W293</f>
        <v/>
      </c>
      <c r="AA293" s="26">
        <f>Y293+X293+W293+V293</f>
        <v/>
      </c>
      <c r="AB293" s="27">
        <f>IF(AA293&gt;0,Z293/AA293,"No valid responses to date")</f>
        <v/>
      </c>
      <c r="AC293" s="26">
        <f>IF(ISNUMBER(AB293),INDEX(Lists!$G$2:$G$5,MATCH(ROUND(AB293,0),Lists!$H$2:$H$5,0)),"")</f>
        <v/>
      </c>
      <c r="AD293" s="28">
        <f>IF(AA293&gt;0,Y293/AA293,"")</f>
        <v/>
      </c>
      <c r="AE293" s="28">
        <f>IF(AA293&gt;0,(Y293+X293)/AA293,"")</f>
        <v/>
      </c>
      <c r="AF293" s="26">
        <f>IF(AA293=0,"",IF(AD293&gt;0.75,"Met or exceeded",IF(AE293&gt;=0.5,"Partially met","Not met")))</f>
        <v/>
      </c>
    </row>
    <row r="294">
      <c r="A294">
        <f>F294&amp;"|"&amp;G294</f>
        <v/>
      </c>
      <c r="B294" s="29" t="inlineStr"/>
      <c r="C294" s="8" t="inlineStr"/>
      <c r="D294" s="8" t="inlineStr"/>
      <c r="E294" s="8" t="inlineStr"/>
      <c r="F294" s="8" t="inlineStr">
        <is>
          <t>EN1(d)</t>
        </is>
      </c>
      <c r="G294" s="8" t="inlineStr">
        <is>
          <t>OPTION 1:  Target-level reporting</t>
        </is>
      </c>
      <c r="H294" s="25">
        <f>IFERROR(IF(INDEX('Faculties'!$M$10:$M$30,MATCH($F294,'Faculties'!$B$10:$B$30,0))="","Cell will autofill based on response",INDEX('Faculties'!$M$10:$M$30,MATCH($F294,'Faculties'!$B$10:$B$30,0))),"N/A")</f>
        <v/>
      </c>
      <c r="I294" s="25">
        <f>IFERROR(IF(INDEX('Faculties'!$M$37:$M$57,MATCH($F294,'Faculties'!$B$37:$B$57,0))="","Cell will autofill based on response",INDEX('Faculties'!$M$37:$M$57,MATCH($F294,'Faculties'!$B$37:$B$57,0))),"N/A")</f>
        <v/>
      </c>
      <c r="J294" s="25">
        <f>IFERROR(IF(INDEX('Faculties'!$M$64:$M$84,MATCH($F294,'Faculties'!$B$64:$B$84,0))="","Cell will autofill based on response",INDEX('Faculties'!$M$64:$M$84,MATCH($F294,'Faculties'!$B$64:$B$84,0))),"N/A")</f>
        <v/>
      </c>
      <c r="K294" s="25">
        <f>IFERROR(IF(INDEX('Faculties'!$M$91:$M$111,MATCH($F294,'Faculties'!$B$91:$B$111,0))="","Cell will autofill based on response",INDEX('Faculties'!$M$91:$M$111,MATCH($F294,'Faculties'!$B$91:$B$111,0))),"N/A")</f>
        <v/>
      </c>
      <c r="L294" s="25">
        <f>IFERROR(IF(INDEX('CI&amp;S'!$M$10:$M$15,MATCH($F294,'CI&amp;S'!$B$10:$B$15,0))="","Cell will autofill based on response",INDEX('CI&amp;S'!$M$10:$M$15,MATCH($F294,'CI&amp;S'!$B$10:$B$15,0))),"N/A")</f>
        <v/>
      </c>
      <c r="M294" s="25">
        <f>IFERROR(IF(INDEX('CI&amp;S'!$M$22:$M$39,MATCH($F294,'CI&amp;S'!$B$22:$B$39,0))="","Cell will autofill based on response",INDEX('CI&amp;S'!$M$22:$M$39,MATCH($F294,'CI&amp;S'!$B$22:$B$39,0))),"N/A")</f>
        <v/>
      </c>
      <c r="N294" s="25">
        <f>IFERROR(IF(INDEX('CFOG'!$M$10:$M$16,MATCH($F294,'CFOG'!$B$10:$B$16,0))="","Cell will autofill based on response",INDEX('CFOG'!$M$10:$M$16,MATCH($F294,'CFOG'!$B$10:$B$16,0))),"N/A")</f>
        <v/>
      </c>
      <c r="O294" s="25">
        <f>IFERROR(IF(INDEX('CFOG'!$M$23:$M$24,MATCH($F294,'CFOG'!$B$23:$B$24,0))="","Cell will autofill based on response",INDEX('CFOG'!$M$23:$M$24,MATCH($F294,'CFOG'!$B$23:$B$24,0))),"N/A")</f>
        <v/>
      </c>
      <c r="P294" s="25">
        <f>IFERROR(IF(INDEX('ESG'!$M$10:$M$17,MATCH($F294,'ESG'!$B$10:$B$17,0))="","Cell will autofill based on response",INDEX('ESG'!$M$10:$M$17,MATCH($F294,'ESG'!$B$10:$B$17,0))),"N/A")</f>
        <v/>
      </c>
      <c r="Q294" s="25">
        <f>IFERROR(IF(INDEX('CIOG'!$M$10:$M$14,MATCH($F294,'CIOG'!$B$10:$B$14,0))="","Cell will autofill based on response",INDEX('CIOG'!$M$10:$M$14,MATCH($F294,'CIOG'!$B$10:$B$14,0))),"N/A")</f>
        <v/>
      </c>
      <c r="R294" s="25">
        <f>IFERROR(IF(INDEX('MRE'!$M$10:$M$12,MATCH($F294,'MRE'!$B$10:$B$12,0))="","Cell will autofill based on response",INDEX('MRE'!$M$10:$M$12,MATCH($F294,'MRE'!$B$10:$B$12,0))),"N/A")</f>
        <v/>
      </c>
      <c r="S294" s="25">
        <f>IFERROR(IF(INDEX('L&amp;R'!$M$10:$M$11,MATCH($F294,'L&amp;R'!$B$10:$B$11,0))="","Cell will autofill based on response",INDEX('L&amp;R'!$M$10:$M$11,MATCH($F294,'L&amp;R'!$B$10:$B$11,0))),"N/A")</f>
        <v/>
      </c>
    </row>
    <row r="295">
      <c r="A295">
        <f>F295&amp;"|"&amp;G295</f>
        <v/>
      </c>
      <c r="B295" s="29" t="inlineStr"/>
      <c r="C295" s="8" t="inlineStr"/>
      <c r="D295" s="8" t="inlineStr"/>
      <c r="E295" s="8" t="inlineStr"/>
      <c r="F295" s="8" t="inlineStr">
        <is>
          <t>EN1(d)</t>
        </is>
      </c>
      <c r="G295" s="8" t="inlineStr">
        <is>
          <t>OPTION 2:  Indicator level reporting</t>
        </is>
      </c>
      <c r="H295" s="25">
        <f>IFERROR(IF(INDEX('Faculties'!$N$10:$N$30,MATCH($F295,'Faculties'!$B$10:$B$30,0))="","Cell will autofill based on response",INDEX('Faculties'!$N$10:$N$30,MATCH($F295,'Faculties'!$B$10:$B$30,0))),"N/A")</f>
        <v/>
      </c>
      <c r="I295" s="25">
        <f>IFERROR(IF(INDEX('Faculties'!$N$37:$N$57,MATCH($F295,'Faculties'!$B$37:$B$57,0))="","Cell will autofill based on response",INDEX('Faculties'!$N$37:$N$57,MATCH($F295,'Faculties'!$B$37:$B$57,0))),"N/A")</f>
        <v/>
      </c>
      <c r="J295" s="25">
        <f>IFERROR(IF(INDEX('Faculties'!$N$64:$N$84,MATCH($F295,'Faculties'!$B$64:$B$84,0))="","Cell will autofill based on response",INDEX('Faculties'!$N$64:$N$84,MATCH($F295,'Faculties'!$B$64:$B$84,0))),"N/A")</f>
        <v/>
      </c>
      <c r="K295" s="25">
        <f>IFERROR(IF(INDEX('Faculties'!$N$91:$N$111,MATCH($F295,'Faculties'!$B$91:$B$111,0))="","Cell will autofill based on response",INDEX('Faculties'!$N$91:$N$111,MATCH($F295,'Faculties'!$B$91:$B$111,0))),"N/A")</f>
        <v/>
      </c>
      <c r="L295" s="25">
        <f>IFERROR(IF(INDEX('CI&amp;S'!$N$10:$N$15,MATCH($F295,'CI&amp;S'!$B$10:$B$15,0))="","Cell will autofill based on response",INDEX('CI&amp;S'!$N$10:$N$15,MATCH($F295,'CI&amp;S'!$B$10:$B$15,0))),"N/A")</f>
        <v/>
      </c>
      <c r="M295" s="25">
        <f>IFERROR(IF(INDEX('CI&amp;S'!$N$22:$N$39,MATCH($F295,'CI&amp;S'!$B$22:$B$39,0))="","Cell will autofill based on response",INDEX('CI&amp;S'!$N$22:$N$39,MATCH($F295,'CI&amp;S'!$B$22:$B$39,0))),"N/A")</f>
        <v/>
      </c>
      <c r="N295" s="25">
        <f>IFERROR(IF(INDEX('CFOG'!$N$10:$N$16,MATCH($F295,'CFOG'!$B$10:$B$16,0))="","Cell will autofill based on response",INDEX('CFOG'!$N$10:$N$16,MATCH($F295,'CFOG'!$B$10:$B$16,0))),"N/A")</f>
        <v/>
      </c>
      <c r="O295" s="25">
        <f>IFERROR(IF(INDEX('CFOG'!$N$23:$N$24,MATCH($F295,'CFOG'!$B$23:$B$24,0))="","Cell will autofill based on response",INDEX('CFOG'!$N$23:$N$24,MATCH($F295,'CFOG'!$B$23:$B$24,0))),"N/A")</f>
        <v/>
      </c>
      <c r="P295" s="25">
        <f>IFERROR(IF(INDEX('ESG'!$N$10:$N$17,MATCH($F295,'ESG'!$B$10:$B$17,0))="","Cell will autofill based on response",INDEX('ESG'!$N$10:$N$17,MATCH($F295,'ESG'!$B$10:$B$17,0))),"N/A")</f>
        <v/>
      </c>
      <c r="Q295" s="25">
        <f>IFERROR(IF(INDEX('CIOG'!$N$10:$N$14,MATCH($F295,'CIOG'!$B$10:$B$14,0))="","Cell will autofill based on response",INDEX('CIOG'!$N$10:$N$14,MATCH($F295,'CIOG'!$B$10:$B$14,0))),"N/A")</f>
        <v/>
      </c>
      <c r="R295" s="25">
        <f>IFERROR(IF(INDEX('MRE'!$N$10:$N$12,MATCH($F295,'MRE'!$B$10:$B$12,0))="","Cell will autofill based on response",INDEX('MRE'!$N$10:$N$12,MATCH($F295,'MRE'!$B$10:$B$12,0))),"N/A")</f>
        <v/>
      </c>
      <c r="S295" s="25">
        <f>IFERROR(IF(INDEX('L&amp;R'!$N$10:$N$11,MATCH($F295,'L&amp;R'!$B$10:$B$11,0))="","Cell will autofill based on response",INDEX('L&amp;R'!$N$10:$N$11,MATCH($F295,'L&amp;R'!$B$10:$B$11,0))),"N/A")</f>
        <v/>
      </c>
    </row>
    <row r="296">
      <c r="A296">
        <f>F296&amp;"|"&amp;G296</f>
        <v/>
      </c>
      <c r="B296" s="29" t="inlineStr"/>
      <c r="C296" s="8" t="inlineStr"/>
      <c r="D296" s="8" t="inlineStr"/>
      <c r="E296" s="8" t="inlineStr"/>
      <c r="F296" s="8" t="inlineStr">
        <is>
          <t>EN1(d)</t>
        </is>
      </c>
      <c r="G296" s="8" t="inlineStr">
        <is>
          <t>Supporting information/comments</t>
        </is>
      </c>
      <c r="H296" s="25">
        <f>IFERROR(IF(INDEX('Faculties'!$O$10:$O$30,MATCH($F296,'Faculties'!$B$10:$B$30,0))="","Cell will autofill based on response",INDEX('Faculties'!$O$10:$O$30,MATCH($F296,'Faculties'!$B$10:$B$30,0))),"N/A")</f>
        <v/>
      </c>
      <c r="I296" s="25">
        <f>IFERROR(IF(INDEX('Faculties'!$O$37:$O$57,MATCH($F296,'Faculties'!$B$37:$B$57,0))="","Cell will autofill based on response",INDEX('Faculties'!$O$37:$O$57,MATCH($F296,'Faculties'!$B$37:$B$57,0))),"N/A")</f>
        <v/>
      </c>
      <c r="J296" s="25">
        <f>IFERROR(IF(INDEX('Faculties'!$O$64:$O$84,MATCH($F296,'Faculties'!$B$64:$B$84,0))="","Cell will autofill based on response",INDEX('Faculties'!$O$64:$O$84,MATCH($F296,'Faculties'!$B$64:$B$84,0))),"N/A")</f>
        <v/>
      </c>
      <c r="K296" s="25">
        <f>IFERROR(IF(INDEX('Faculties'!$O$91:$O$111,MATCH($F296,'Faculties'!$B$91:$B$111,0))="","Cell will autofill based on response",INDEX('Faculties'!$O$91:$O$111,MATCH($F296,'Faculties'!$B$91:$B$111,0))),"N/A")</f>
        <v/>
      </c>
      <c r="L296" s="25">
        <f>IFERROR(IF(INDEX('CI&amp;S'!$O$10:$O$15,MATCH($F296,'CI&amp;S'!$B$10:$B$15,0))="","Cell will autofill based on response",INDEX('CI&amp;S'!$O$10:$O$15,MATCH($F296,'CI&amp;S'!$B$10:$B$15,0))),"N/A")</f>
        <v/>
      </c>
      <c r="M296" s="25">
        <f>IFERROR(IF(INDEX('CI&amp;S'!$O$22:$O$39,MATCH($F296,'CI&amp;S'!$B$22:$B$39,0))="","Cell will autofill based on response",INDEX('CI&amp;S'!$O$22:$O$39,MATCH($F296,'CI&amp;S'!$B$22:$B$39,0))),"N/A")</f>
        <v/>
      </c>
      <c r="N296" s="25">
        <f>IFERROR(IF(INDEX('CFOG'!$O$10:$O$16,MATCH($F296,'CFOG'!$B$10:$B$16,0))="","Cell will autofill based on response",INDEX('CFOG'!$O$10:$O$16,MATCH($F296,'CFOG'!$B$10:$B$16,0))),"N/A")</f>
        <v/>
      </c>
      <c r="O296" s="25">
        <f>IFERROR(IF(INDEX('CFOG'!$O$23:$O$24,MATCH($F296,'CFOG'!$B$23:$B$24,0))="","Cell will autofill based on response",INDEX('CFOG'!$O$23:$O$24,MATCH($F296,'CFOG'!$B$23:$B$24,0))),"N/A")</f>
        <v/>
      </c>
      <c r="P296" s="25">
        <f>IFERROR(IF(INDEX('ESG'!$O$10:$O$17,MATCH($F296,'ESG'!$B$10:$B$17,0))="","Cell will autofill based on response",INDEX('ESG'!$O$10:$O$17,MATCH($F296,'ESG'!$B$10:$B$17,0))),"N/A")</f>
        <v/>
      </c>
      <c r="Q296" s="25">
        <f>IFERROR(IF(INDEX('CIOG'!$O$10:$O$14,MATCH($F296,'CIOG'!$B$10:$B$14,0))="","Cell will autofill based on response",INDEX('CIOG'!$O$10:$O$14,MATCH($F296,'CIOG'!$B$10:$B$14,0))),"N/A")</f>
        <v/>
      </c>
      <c r="R296" s="25">
        <f>IFERROR(IF(INDEX('MRE'!$O$10:$O$12,MATCH($F296,'MRE'!$B$10:$B$12,0))="","Cell will autofill based on response",INDEX('MRE'!$O$10:$O$12,MATCH($F296,'MRE'!$B$10:$B$12,0))),"N/A")</f>
        <v/>
      </c>
      <c r="S296" s="25">
        <f>IFERROR(IF(INDEX('L&amp;R'!$O$10:$O$11,MATCH($F296,'L&amp;R'!$B$10:$B$11,0))="","Cell will autofill based on response",INDEX('L&amp;R'!$O$10:$O$11,MATCH($F296,'L&amp;R'!$B$10:$B$11,0))),"N/A")</f>
        <v/>
      </c>
    </row>
    <row r="297">
      <c r="A297">
        <f>F297&amp;"|"&amp;G297</f>
        <v/>
      </c>
      <c r="B297" s="29" t="inlineStr"/>
      <c r="C297" s="8" t="inlineStr"/>
      <c r="D297" s="8" t="inlineStr"/>
      <c r="E297" s="8" t="inlineStr"/>
      <c r="F297" s="8" t="inlineStr">
        <is>
          <t>EN1(d)</t>
        </is>
      </c>
      <c r="G297" s="8" t="inlineStr">
        <is>
          <t>Data source and limitations</t>
        </is>
      </c>
      <c r="H297" s="25">
        <f>IFERROR(IF(INDEX('Faculties'!$P$10:$P$30,MATCH($F297,'Faculties'!$B$10:$B$30,0))="","Cell will autofill based on response",INDEX('Faculties'!$P$10:$P$30,MATCH($F297,'Faculties'!$B$10:$B$30,0))),"N/A")</f>
        <v/>
      </c>
      <c r="I297" s="25">
        <f>IFERROR(IF(INDEX('Faculties'!$P$37:$P$57,MATCH($F297,'Faculties'!$B$37:$B$57,0))="","Cell will autofill based on response",INDEX('Faculties'!$P$37:$P$57,MATCH($F297,'Faculties'!$B$37:$B$57,0))),"N/A")</f>
        <v/>
      </c>
      <c r="J297" s="25">
        <f>IFERROR(IF(INDEX('Faculties'!$P$64:$P$84,MATCH($F297,'Faculties'!$B$64:$B$84,0))="","Cell will autofill based on response",INDEX('Faculties'!$P$64:$P$84,MATCH($F297,'Faculties'!$B$64:$B$84,0))),"N/A")</f>
        <v/>
      </c>
      <c r="K297" s="25">
        <f>IFERROR(IF(INDEX('Faculties'!$P$91:$P$111,MATCH($F297,'Faculties'!$B$91:$B$111,0))="","Cell will autofill based on response",INDEX('Faculties'!$P$91:$P$111,MATCH($F297,'Faculties'!$B$91:$B$111,0))),"N/A")</f>
        <v/>
      </c>
      <c r="L297" s="25">
        <f>IFERROR(IF(INDEX('CI&amp;S'!$P$10:$P$15,MATCH($F297,'CI&amp;S'!$B$10:$B$15,0))="","Cell will autofill based on response",INDEX('CI&amp;S'!$P$10:$P$15,MATCH($F297,'CI&amp;S'!$B$10:$B$15,0))),"N/A")</f>
        <v/>
      </c>
      <c r="M297" s="25">
        <f>IFERROR(IF(INDEX('CI&amp;S'!$P$22:$P$39,MATCH($F297,'CI&amp;S'!$B$22:$B$39,0))="","Cell will autofill based on response",INDEX('CI&amp;S'!$P$22:$P$39,MATCH($F297,'CI&amp;S'!$B$22:$B$39,0))),"N/A")</f>
        <v/>
      </c>
      <c r="N297" s="25">
        <f>IFERROR(IF(INDEX('CFOG'!$P$10:$P$16,MATCH($F297,'CFOG'!$B$10:$B$16,0))="","Cell will autofill based on response",INDEX('CFOG'!$P$10:$P$16,MATCH($F297,'CFOG'!$B$10:$B$16,0))),"N/A")</f>
        <v/>
      </c>
      <c r="O297" s="25">
        <f>IFERROR(IF(INDEX('CFOG'!$P$23:$P$24,MATCH($F297,'CFOG'!$B$23:$B$24,0))="","Cell will autofill based on response",INDEX('CFOG'!$P$23:$P$24,MATCH($F297,'CFOG'!$B$23:$B$24,0))),"N/A")</f>
        <v/>
      </c>
      <c r="P297" s="25">
        <f>IFERROR(IF(INDEX('ESG'!$P$10:$P$17,MATCH($F297,'ESG'!$B$10:$B$17,0))="","Cell will autofill based on response",INDEX('ESG'!$P$10:$P$17,MATCH($F297,'ESG'!$B$10:$B$17,0))),"N/A")</f>
        <v/>
      </c>
      <c r="Q297" s="25">
        <f>IFERROR(IF(INDEX('CIOG'!$P$10:$P$14,MATCH($F297,'CIOG'!$B$10:$B$14,0))="","Cell will autofill based on response",INDEX('CIOG'!$P$10:$P$14,MATCH($F297,'CIOG'!$B$10:$B$14,0))),"N/A")</f>
        <v/>
      </c>
      <c r="R297" s="25">
        <f>IFERROR(IF(INDEX('MRE'!$P$10:$P$12,MATCH($F297,'MRE'!$B$10:$B$12,0))="","Cell will autofill based on response",INDEX('MRE'!$P$10:$P$12,MATCH($F297,'MRE'!$B$10:$B$12,0))),"N/A")</f>
        <v/>
      </c>
      <c r="S297" s="25">
        <f>IFERROR(IF(INDEX('L&amp;R'!$P$10:$P$11,MATCH($F297,'L&amp;R'!$B$10:$B$11,0))="","Cell will autofill based on response",INDEX('L&amp;R'!$P$10:$P$11,MATCH($F297,'L&amp;R'!$B$10:$B$11,0))),"N/A")</f>
        <v/>
      </c>
    </row>
    <row r="298">
      <c r="A298">
        <f>F298&amp;"|"&amp;G298</f>
        <v/>
      </c>
      <c r="B298" s="29" t="inlineStr"/>
      <c r="C298" s="8" t="inlineStr"/>
      <c r="D298" s="8" t="inlineStr"/>
      <c r="E298" s="8" t="inlineStr"/>
      <c r="F298" s="8" t="inlineStr">
        <is>
          <t>EN1(d)</t>
        </is>
      </c>
      <c r="G298" s="8" t="inlineStr">
        <is>
          <t>Data owner confirms</t>
        </is>
      </c>
      <c r="H298" s="25">
        <f>IFERROR(IF(INDEX('Faculties'!$Q$10:$Q$30,MATCH($F298,'Faculties'!$B$10:$B$30,0))="","Cell will autofill based on response",INDEX('Faculties'!$Q$10:$Q$30,MATCH($F298,'Faculties'!$B$10:$B$30,0))),"N/A")</f>
        <v/>
      </c>
      <c r="I298" s="25">
        <f>IFERROR(IF(INDEX('Faculties'!$Q$37:$Q$57,MATCH($F298,'Faculties'!$B$37:$B$57,0))="","Cell will autofill based on response",INDEX('Faculties'!$Q$37:$Q$57,MATCH($F298,'Faculties'!$B$37:$B$57,0))),"N/A")</f>
        <v/>
      </c>
      <c r="J298" s="25">
        <f>IFERROR(IF(INDEX('Faculties'!$Q$64:$Q$84,MATCH($F298,'Faculties'!$B$64:$B$84,0))="","Cell will autofill based on response",INDEX('Faculties'!$Q$64:$Q$84,MATCH($F298,'Faculties'!$B$64:$B$84,0))),"N/A")</f>
        <v/>
      </c>
      <c r="K298" s="25">
        <f>IFERROR(IF(INDEX('Faculties'!$Q$91:$Q$111,MATCH($F298,'Faculties'!$B$91:$B$111,0))="","Cell will autofill based on response",INDEX('Faculties'!$Q$91:$Q$111,MATCH($F298,'Faculties'!$B$91:$B$111,0))),"N/A")</f>
        <v/>
      </c>
      <c r="L298" s="25">
        <f>IFERROR(IF(INDEX('CI&amp;S'!$Q$10:$Q$15,MATCH($F298,'CI&amp;S'!$B$10:$B$15,0))="","Cell will autofill based on response",INDEX('CI&amp;S'!$Q$10:$Q$15,MATCH($F298,'CI&amp;S'!$B$10:$B$15,0))),"N/A")</f>
        <v/>
      </c>
      <c r="M298" s="25">
        <f>IFERROR(IF(INDEX('CI&amp;S'!$Q$22:$Q$39,MATCH($F298,'CI&amp;S'!$B$22:$B$39,0))="","Cell will autofill based on response",INDEX('CI&amp;S'!$Q$22:$Q$39,MATCH($F298,'CI&amp;S'!$B$22:$B$39,0))),"N/A")</f>
        <v/>
      </c>
      <c r="N298" s="25">
        <f>IFERROR(IF(INDEX('CFOG'!$Q$10:$Q$16,MATCH($F298,'CFOG'!$B$10:$B$16,0))="","Cell will autofill based on response",INDEX('CFOG'!$Q$10:$Q$16,MATCH($F298,'CFOG'!$B$10:$B$16,0))),"N/A")</f>
        <v/>
      </c>
      <c r="O298" s="25">
        <f>IFERROR(IF(INDEX('CFOG'!$Q$23:$Q$24,MATCH($F298,'CFOG'!$B$23:$B$24,0))="","Cell will autofill based on response",INDEX('CFOG'!$Q$23:$Q$24,MATCH($F298,'CFOG'!$B$23:$B$24,0))),"N/A")</f>
        <v/>
      </c>
      <c r="P298" s="25">
        <f>IFERROR(IF(INDEX('ESG'!$Q$10:$Q$17,MATCH($F298,'ESG'!$B$10:$B$17,0))="","Cell will autofill based on response",INDEX('ESG'!$Q$10:$Q$17,MATCH($F298,'ESG'!$B$10:$B$17,0))),"N/A")</f>
        <v/>
      </c>
      <c r="Q298" s="25">
        <f>IFERROR(IF(INDEX('CIOG'!$Q$10:$Q$14,MATCH($F298,'CIOG'!$B$10:$B$14,0))="","Cell will autofill based on response",INDEX('CIOG'!$Q$10:$Q$14,MATCH($F298,'CIOG'!$B$10:$B$14,0))),"N/A")</f>
        <v/>
      </c>
      <c r="R298" s="25">
        <f>IFERROR(IF(INDEX('MRE'!$Q$10:$Q$12,MATCH($F298,'MRE'!$B$10:$B$12,0))="","Cell will autofill based on response",INDEX('MRE'!$Q$10:$Q$12,MATCH($F298,'MRE'!$B$10:$B$12,0))),"N/A")</f>
        <v/>
      </c>
      <c r="S298" s="25">
        <f>IFERROR(IF(INDEX('L&amp;R'!$Q$10:$Q$11,MATCH($F298,'L&amp;R'!$B$10:$B$11,0))="","Cell will autofill based on response",INDEX('L&amp;R'!$Q$10:$Q$11,MATCH($F298,'L&amp;R'!$B$10:$B$11,0))),"N/A")</f>
        <v/>
      </c>
    </row>
  </sheetData>
  <autoFilter ref="B10:AF298"/>
  <mergeCells count="1">
    <mergeCell ref="D4: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Legal &amp; Risk – Risk &amp; resilience</t>
        </is>
      </c>
      <c r="O6" s="6" t="inlineStr">
        <is>
          <t>No. of units requested</t>
        </is>
      </c>
    </row>
    <row r="7">
      <c r="B7" s="7" t="inlineStr">
        <is>
          <t>EE1(a)</t>
        </is>
      </c>
      <c r="C7" s="14">
        <f>IF('A1. Data scoring'!H11&lt;&gt;"N/A","Yes","No")</f>
        <v/>
      </c>
      <c r="D7" s="14">
        <f>IF('A1. Data scoring'!I11&lt;&gt;"N/A","Yes","No")</f>
        <v/>
      </c>
      <c r="E7" s="14">
        <f>IF('A1. Data scoring'!J11&lt;&gt;"N/A","Yes","No")</f>
        <v/>
      </c>
      <c r="F7" s="14">
        <f>IF('A1. Data scoring'!K11&lt;&gt;"N/A","Yes","No")</f>
        <v/>
      </c>
      <c r="G7" s="14">
        <f>IF('A1. Data scoring'!L11&lt;&gt;"N/A","Yes","No")</f>
        <v/>
      </c>
      <c r="H7" s="14">
        <f>IF('A1. Data scoring'!M11&lt;&gt;"N/A","Yes","No")</f>
        <v/>
      </c>
      <c r="I7" s="14">
        <f>IF('A1. Data scoring'!N11&lt;&gt;"N/A","Yes","No")</f>
        <v/>
      </c>
      <c r="J7" s="14">
        <f>IF('A1. Data scoring'!O11&lt;&gt;"N/A","Yes","No")</f>
        <v/>
      </c>
      <c r="K7" s="14">
        <f>IF('A1. Data scoring'!P11&lt;&gt;"N/A","Yes","No")</f>
        <v/>
      </c>
      <c r="L7" s="14">
        <f>IF('A1. Data scoring'!Q11&lt;&gt;"N/A","Yes","No")</f>
        <v/>
      </c>
      <c r="M7" s="14">
        <f>IF('A1. Data scoring'!R11&lt;&gt;"N/A","Yes","No")</f>
        <v/>
      </c>
      <c r="N7" s="14">
        <f>IF('A1. Data scoring'!S11&lt;&gt;"N/A","Yes","No")</f>
        <v/>
      </c>
      <c r="O7" s="8">
        <f>COUNTIF(C7:N7,"Yes")</f>
        <v/>
      </c>
    </row>
    <row r="8">
      <c r="B8" s="7" t="inlineStr">
        <is>
          <t>EE1(b)</t>
        </is>
      </c>
      <c r="C8" s="14">
        <f>IF('A1. Data scoring'!H17&lt;&gt;"N/A","Yes","No")</f>
        <v/>
      </c>
      <c r="D8" s="14">
        <f>IF('A1. Data scoring'!I17&lt;&gt;"N/A","Yes","No")</f>
        <v/>
      </c>
      <c r="E8" s="14">
        <f>IF('A1. Data scoring'!J17&lt;&gt;"N/A","Yes","No")</f>
        <v/>
      </c>
      <c r="F8" s="14">
        <f>IF('A1. Data scoring'!K17&lt;&gt;"N/A","Yes","No")</f>
        <v/>
      </c>
      <c r="G8" s="14">
        <f>IF('A1. Data scoring'!L17&lt;&gt;"N/A","Yes","No")</f>
        <v/>
      </c>
      <c r="H8" s="14">
        <f>IF('A1. Data scoring'!M17&lt;&gt;"N/A","Yes","No")</f>
        <v/>
      </c>
      <c r="I8" s="14">
        <f>IF('A1. Data scoring'!N17&lt;&gt;"N/A","Yes","No")</f>
        <v/>
      </c>
      <c r="J8" s="14">
        <f>IF('A1. Data scoring'!O17&lt;&gt;"N/A","Yes","No")</f>
        <v/>
      </c>
      <c r="K8" s="14">
        <f>IF('A1. Data scoring'!P17&lt;&gt;"N/A","Yes","No")</f>
        <v/>
      </c>
      <c r="L8" s="14">
        <f>IF('A1. Data scoring'!Q17&lt;&gt;"N/A","Yes","No")</f>
        <v/>
      </c>
      <c r="M8" s="14">
        <f>IF('A1. Data scoring'!R17&lt;&gt;"N/A","Yes","No")</f>
        <v/>
      </c>
      <c r="N8" s="14">
        <f>IF('A1. Data scoring'!S17&lt;&gt;"N/A","Yes","No")</f>
        <v/>
      </c>
      <c r="O8" s="8">
        <f>COUNTIF(C8:N8,"Yes")</f>
        <v/>
      </c>
    </row>
    <row r="9">
      <c r="B9" s="7" t="inlineStr">
        <is>
          <t>EE1(c)</t>
        </is>
      </c>
      <c r="C9" s="14">
        <f>IF('A1. Data scoring'!H23&lt;&gt;"N/A","Yes","No")</f>
        <v/>
      </c>
      <c r="D9" s="14">
        <f>IF('A1. Data scoring'!I23&lt;&gt;"N/A","Yes","No")</f>
        <v/>
      </c>
      <c r="E9" s="14">
        <f>IF('A1. Data scoring'!J23&lt;&gt;"N/A","Yes","No")</f>
        <v/>
      </c>
      <c r="F9" s="14">
        <f>IF('A1. Data scoring'!K23&lt;&gt;"N/A","Yes","No")</f>
        <v/>
      </c>
      <c r="G9" s="14">
        <f>IF('A1. Data scoring'!L23&lt;&gt;"N/A","Yes","No")</f>
        <v/>
      </c>
      <c r="H9" s="14">
        <f>IF('A1. Data scoring'!M23&lt;&gt;"N/A","Yes","No")</f>
        <v/>
      </c>
      <c r="I9" s="14">
        <f>IF('A1. Data scoring'!N23&lt;&gt;"N/A","Yes","No")</f>
        <v/>
      </c>
      <c r="J9" s="14">
        <f>IF('A1. Data scoring'!O23&lt;&gt;"N/A","Yes","No")</f>
        <v/>
      </c>
      <c r="K9" s="14">
        <f>IF('A1. Data scoring'!P23&lt;&gt;"N/A","Yes","No")</f>
        <v/>
      </c>
      <c r="L9" s="14">
        <f>IF('A1. Data scoring'!Q23&lt;&gt;"N/A","Yes","No")</f>
        <v/>
      </c>
      <c r="M9" s="14">
        <f>IF('A1. Data scoring'!R23&lt;&gt;"N/A","Yes","No")</f>
        <v/>
      </c>
      <c r="N9" s="14">
        <f>IF('A1. Data scoring'!S23&lt;&gt;"N/A","Yes","No")</f>
        <v/>
      </c>
      <c r="O9" s="8">
        <f>COUNTIF(C9:N9,"Yes")</f>
        <v/>
      </c>
    </row>
    <row r="10">
      <c r="B10" s="7" t="inlineStr">
        <is>
          <t>EE1(d)</t>
        </is>
      </c>
      <c r="C10" s="14">
        <f>IF('A1. Data scoring'!H29&lt;&gt;"N/A","Yes","No")</f>
        <v/>
      </c>
      <c r="D10" s="14">
        <f>IF('A1. Data scoring'!I29&lt;&gt;"N/A","Yes","No")</f>
        <v/>
      </c>
      <c r="E10" s="14">
        <f>IF('A1. Data scoring'!J29&lt;&gt;"N/A","Yes","No")</f>
        <v/>
      </c>
      <c r="F10" s="14">
        <f>IF('A1. Data scoring'!K29&lt;&gt;"N/A","Yes","No")</f>
        <v/>
      </c>
      <c r="G10" s="14">
        <f>IF('A1. Data scoring'!L29&lt;&gt;"N/A","Yes","No")</f>
        <v/>
      </c>
      <c r="H10" s="14">
        <f>IF('A1. Data scoring'!M29&lt;&gt;"N/A","Yes","No")</f>
        <v/>
      </c>
      <c r="I10" s="14">
        <f>IF('A1. Data scoring'!N29&lt;&gt;"N/A","Yes","No")</f>
        <v/>
      </c>
      <c r="J10" s="14">
        <f>IF('A1. Data scoring'!O29&lt;&gt;"N/A","Yes","No")</f>
        <v/>
      </c>
      <c r="K10" s="14">
        <f>IF('A1. Data scoring'!P29&lt;&gt;"N/A","Yes","No")</f>
        <v/>
      </c>
      <c r="L10" s="14">
        <f>IF('A1. Data scoring'!Q29&lt;&gt;"N/A","Yes","No")</f>
        <v/>
      </c>
      <c r="M10" s="14">
        <f>IF('A1. Data scoring'!R29&lt;&gt;"N/A","Yes","No")</f>
        <v/>
      </c>
      <c r="N10" s="14">
        <f>IF('A1. Data scoring'!S29&lt;&gt;"N/A","Yes","No")</f>
        <v/>
      </c>
      <c r="O10" s="8">
        <f>COUNTIF(C10:N10,"Yes")</f>
        <v/>
      </c>
    </row>
    <row r="11">
      <c r="B11" s="7" t="inlineStr">
        <is>
          <t>TR1(a)</t>
        </is>
      </c>
      <c r="C11" s="14">
        <f>IF('A1. Data scoring'!H35&lt;&gt;"N/A","Yes","No")</f>
        <v/>
      </c>
      <c r="D11" s="14">
        <f>IF('A1. Data scoring'!I35&lt;&gt;"N/A","Yes","No")</f>
        <v/>
      </c>
      <c r="E11" s="14">
        <f>IF('A1. Data scoring'!J35&lt;&gt;"N/A","Yes","No")</f>
        <v/>
      </c>
      <c r="F11" s="14">
        <f>IF('A1. Data scoring'!K35&lt;&gt;"N/A","Yes","No")</f>
        <v/>
      </c>
      <c r="G11" s="14">
        <f>IF('A1. Data scoring'!L35&lt;&gt;"N/A","Yes","No")</f>
        <v/>
      </c>
      <c r="H11" s="14">
        <f>IF('A1. Data scoring'!M35&lt;&gt;"N/A","Yes","No")</f>
        <v/>
      </c>
      <c r="I11" s="14">
        <f>IF('A1. Data scoring'!N35&lt;&gt;"N/A","Yes","No")</f>
        <v/>
      </c>
      <c r="J11" s="14">
        <f>IF('A1. Data scoring'!O35&lt;&gt;"N/A","Yes","No")</f>
        <v/>
      </c>
      <c r="K11" s="14">
        <f>IF('A1. Data scoring'!P35&lt;&gt;"N/A","Yes","No")</f>
        <v/>
      </c>
      <c r="L11" s="14">
        <f>IF('A1. Data scoring'!Q35&lt;&gt;"N/A","Yes","No")</f>
        <v/>
      </c>
      <c r="M11" s="14">
        <f>IF('A1. Data scoring'!R35&lt;&gt;"N/A","Yes","No")</f>
        <v/>
      </c>
      <c r="N11" s="14">
        <f>IF('A1. Data scoring'!S35&lt;&gt;"N/A","Yes","No")</f>
        <v/>
      </c>
      <c r="O11" s="8">
        <f>COUNTIF(C11:N11,"Yes")</f>
        <v/>
      </c>
    </row>
    <row r="12">
      <c r="B12" s="7" t="inlineStr">
        <is>
          <t>TR1(b)</t>
        </is>
      </c>
      <c r="C12" s="14">
        <f>IF('A1. Data scoring'!H41&lt;&gt;"N/A","Yes","No")</f>
        <v/>
      </c>
      <c r="D12" s="14">
        <f>IF('A1. Data scoring'!I41&lt;&gt;"N/A","Yes","No")</f>
        <v/>
      </c>
      <c r="E12" s="14">
        <f>IF('A1. Data scoring'!J41&lt;&gt;"N/A","Yes","No")</f>
        <v/>
      </c>
      <c r="F12" s="14">
        <f>IF('A1. Data scoring'!K41&lt;&gt;"N/A","Yes","No")</f>
        <v/>
      </c>
      <c r="G12" s="14">
        <f>IF('A1. Data scoring'!L41&lt;&gt;"N/A","Yes","No")</f>
        <v/>
      </c>
      <c r="H12" s="14">
        <f>IF('A1. Data scoring'!M41&lt;&gt;"N/A","Yes","No")</f>
        <v/>
      </c>
      <c r="I12" s="14">
        <f>IF('A1. Data scoring'!N41&lt;&gt;"N/A","Yes","No")</f>
        <v/>
      </c>
      <c r="J12" s="14">
        <f>IF('A1. Data scoring'!O41&lt;&gt;"N/A","Yes","No")</f>
        <v/>
      </c>
      <c r="K12" s="14">
        <f>IF('A1. Data scoring'!P41&lt;&gt;"N/A","Yes","No")</f>
        <v/>
      </c>
      <c r="L12" s="14">
        <f>IF('A1. Data scoring'!Q41&lt;&gt;"N/A","Yes","No")</f>
        <v/>
      </c>
      <c r="M12" s="14">
        <f>IF('A1. Data scoring'!R41&lt;&gt;"N/A","Yes","No")</f>
        <v/>
      </c>
      <c r="N12" s="14">
        <f>IF('A1. Data scoring'!S41&lt;&gt;"N/A","Yes","No")</f>
        <v/>
      </c>
      <c r="O12" s="8">
        <f>COUNTIF(C12:N12,"Yes")</f>
        <v/>
      </c>
    </row>
    <row r="13">
      <c r="B13" s="7" t="inlineStr">
        <is>
          <t>TR1(c)</t>
        </is>
      </c>
      <c r="C13" s="14">
        <f>IF('A1. Data scoring'!H47&lt;&gt;"N/A","Yes","No")</f>
        <v/>
      </c>
      <c r="D13" s="14">
        <f>IF('A1. Data scoring'!I47&lt;&gt;"N/A","Yes","No")</f>
        <v/>
      </c>
      <c r="E13" s="14">
        <f>IF('A1. Data scoring'!J47&lt;&gt;"N/A","Yes","No")</f>
        <v/>
      </c>
      <c r="F13" s="14">
        <f>IF('A1. Data scoring'!K47&lt;&gt;"N/A","Yes","No")</f>
        <v/>
      </c>
      <c r="G13" s="14">
        <f>IF('A1. Data scoring'!L47&lt;&gt;"N/A","Yes","No")</f>
        <v/>
      </c>
      <c r="H13" s="14">
        <f>IF('A1. Data scoring'!M47&lt;&gt;"N/A","Yes","No")</f>
        <v/>
      </c>
      <c r="I13" s="14">
        <f>IF('A1. Data scoring'!N47&lt;&gt;"N/A","Yes","No")</f>
        <v/>
      </c>
      <c r="J13" s="14">
        <f>IF('A1. Data scoring'!O47&lt;&gt;"N/A","Yes","No")</f>
        <v/>
      </c>
      <c r="K13" s="14">
        <f>IF('A1. Data scoring'!P47&lt;&gt;"N/A","Yes","No")</f>
        <v/>
      </c>
      <c r="L13" s="14">
        <f>IF('A1. Data scoring'!Q47&lt;&gt;"N/A","Yes","No")</f>
        <v/>
      </c>
      <c r="M13" s="14">
        <f>IF('A1. Data scoring'!R47&lt;&gt;"N/A","Yes","No")</f>
        <v/>
      </c>
      <c r="N13" s="14">
        <f>IF('A1. Data scoring'!S47&lt;&gt;"N/A","Yes","No")</f>
        <v/>
      </c>
      <c r="O13" s="8">
        <f>COUNTIF(C13:N13,"Yes")</f>
        <v/>
      </c>
    </row>
    <row r="14">
      <c r="B14" s="7" t="inlineStr">
        <is>
          <t>TR1(d)</t>
        </is>
      </c>
      <c r="C14" s="14">
        <f>IF('A1. Data scoring'!H53&lt;&gt;"N/A","Yes","No")</f>
        <v/>
      </c>
      <c r="D14" s="14">
        <f>IF('A1. Data scoring'!I53&lt;&gt;"N/A","Yes","No")</f>
        <v/>
      </c>
      <c r="E14" s="14">
        <f>IF('A1. Data scoring'!J53&lt;&gt;"N/A","Yes","No")</f>
        <v/>
      </c>
      <c r="F14" s="14">
        <f>IF('A1. Data scoring'!K53&lt;&gt;"N/A","Yes","No")</f>
        <v/>
      </c>
      <c r="G14" s="14">
        <f>IF('A1. Data scoring'!L53&lt;&gt;"N/A","Yes","No")</f>
        <v/>
      </c>
      <c r="H14" s="14">
        <f>IF('A1. Data scoring'!M53&lt;&gt;"N/A","Yes","No")</f>
        <v/>
      </c>
      <c r="I14" s="14">
        <f>IF('A1. Data scoring'!N53&lt;&gt;"N/A","Yes","No")</f>
        <v/>
      </c>
      <c r="J14" s="14">
        <f>IF('A1. Data scoring'!O53&lt;&gt;"N/A","Yes","No")</f>
        <v/>
      </c>
      <c r="K14" s="14">
        <f>IF('A1. Data scoring'!P53&lt;&gt;"N/A","Yes","No")</f>
        <v/>
      </c>
      <c r="L14" s="14">
        <f>IF('A1. Data scoring'!Q53&lt;&gt;"N/A","Yes","No")</f>
        <v/>
      </c>
      <c r="M14" s="14">
        <f>IF('A1. Data scoring'!R53&lt;&gt;"N/A","Yes","No")</f>
        <v/>
      </c>
      <c r="N14" s="14">
        <f>IF('A1. Data scoring'!S53&lt;&gt;"N/A","Yes","No")</f>
        <v/>
      </c>
      <c r="O14" s="8">
        <f>COUNTIF(C14:N14,"Yes")</f>
        <v/>
      </c>
    </row>
    <row r="15">
      <c r="B15" s="7" t="inlineStr">
        <is>
          <t>TR2(a)</t>
        </is>
      </c>
      <c r="C15" s="14">
        <f>IF('A1. Data scoring'!H59&lt;&gt;"N/A","Yes","No")</f>
        <v/>
      </c>
      <c r="D15" s="14">
        <f>IF('A1. Data scoring'!I59&lt;&gt;"N/A","Yes","No")</f>
        <v/>
      </c>
      <c r="E15" s="14">
        <f>IF('A1. Data scoring'!J59&lt;&gt;"N/A","Yes","No")</f>
        <v/>
      </c>
      <c r="F15" s="14">
        <f>IF('A1. Data scoring'!K59&lt;&gt;"N/A","Yes","No")</f>
        <v/>
      </c>
      <c r="G15" s="14">
        <f>IF('A1. Data scoring'!L59&lt;&gt;"N/A","Yes","No")</f>
        <v/>
      </c>
      <c r="H15" s="14">
        <f>IF('A1. Data scoring'!M59&lt;&gt;"N/A","Yes","No")</f>
        <v/>
      </c>
      <c r="I15" s="14">
        <f>IF('A1. Data scoring'!N59&lt;&gt;"N/A","Yes","No")</f>
        <v/>
      </c>
      <c r="J15" s="14">
        <f>IF('A1. Data scoring'!O59&lt;&gt;"N/A","Yes","No")</f>
        <v/>
      </c>
      <c r="K15" s="14">
        <f>IF('A1. Data scoring'!P59&lt;&gt;"N/A","Yes","No")</f>
        <v/>
      </c>
      <c r="L15" s="14">
        <f>IF('A1. Data scoring'!Q59&lt;&gt;"N/A","Yes","No")</f>
        <v/>
      </c>
      <c r="M15" s="14">
        <f>IF('A1. Data scoring'!R59&lt;&gt;"N/A","Yes","No")</f>
        <v/>
      </c>
      <c r="N15" s="14">
        <f>IF('A1. Data scoring'!S59&lt;&gt;"N/A","Yes","No")</f>
        <v/>
      </c>
      <c r="O15" s="8">
        <f>COUNTIF(C15:N15,"Yes")</f>
        <v/>
      </c>
    </row>
    <row r="16">
      <c r="B16" s="7" t="inlineStr">
        <is>
          <t>TR2(b)</t>
        </is>
      </c>
      <c r="C16" s="14">
        <f>IF('A1. Data scoring'!H65&lt;&gt;"N/A","Yes","No")</f>
        <v/>
      </c>
      <c r="D16" s="14">
        <f>IF('A1. Data scoring'!I65&lt;&gt;"N/A","Yes","No")</f>
        <v/>
      </c>
      <c r="E16" s="14">
        <f>IF('A1. Data scoring'!J65&lt;&gt;"N/A","Yes","No")</f>
        <v/>
      </c>
      <c r="F16" s="14">
        <f>IF('A1. Data scoring'!K65&lt;&gt;"N/A","Yes","No")</f>
        <v/>
      </c>
      <c r="G16" s="14">
        <f>IF('A1. Data scoring'!L65&lt;&gt;"N/A","Yes","No")</f>
        <v/>
      </c>
      <c r="H16" s="14">
        <f>IF('A1. Data scoring'!M65&lt;&gt;"N/A","Yes","No")</f>
        <v/>
      </c>
      <c r="I16" s="14">
        <f>IF('A1. Data scoring'!N65&lt;&gt;"N/A","Yes","No")</f>
        <v/>
      </c>
      <c r="J16" s="14">
        <f>IF('A1. Data scoring'!O65&lt;&gt;"N/A","Yes","No")</f>
        <v/>
      </c>
      <c r="K16" s="14">
        <f>IF('A1. Data scoring'!P65&lt;&gt;"N/A","Yes","No")</f>
        <v/>
      </c>
      <c r="L16" s="14">
        <f>IF('A1. Data scoring'!Q65&lt;&gt;"N/A","Yes","No")</f>
        <v/>
      </c>
      <c r="M16" s="14">
        <f>IF('A1. Data scoring'!R65&lt;&gt;"N/A","Yes","No")</f>
        <v/>
      </c>
      <c r="N16" s="14">
        <f>IF('A1. Data scoring'!S65&lt;&gt;"N/A","Yes","No")</f>
        <v/>
      </c>
      <c r="O16" s="8">
        <f>COUNTIF(C16:N16,"Yes")</f>
        <v/>
      </c>
    </row>
    <row r="17">
      <c r="B17" s="7" t="inlineStr">
        <is>
          <t>TR2(c)</t>
        </is>
      </c>
      <c r="C17" s="14">
        <f>IF('A1. Data scoring'!H71&lt;&gt;"N/A","Yes","No")</f>
        <v/>
      </c>
      <c r="D17" s="14">
        <f>IF('A1. Data scoring'!I71&lt;&gt;"N/A","Yes","No")</f>
        <v/>
      </c>
      <c r="E17" s="14">
        <f>IF('A1. Data scoring'!J71&lt;&gt;"N/A","Yes","No")</f>
        <v/>
      </c>
      <c r="F17" s="14">
        <f>IF('A1. Data scoring'!K71&lt;&gt;"N/A","Yes","No")</f>
        <v/>
      </c>
      <c r="G17" s="14">
        <f>IF('A1. Data scoring'!L71&lt;&gt;"N/A","Yes","No")</f>
        <v/>
      </c>
      <c r="H17" s="14">
        <f>IF('A1. Data scoring'!M71&lt;&gt;"N/A","Yes","No")</f>
        <v/>
      </c>
      <c r="I17" s="14">
        <f>IF('A1. Data scoring'!N71&lt;&gt;"N/A","Yes","No")</f>
        <v/>
      </c>
      <c r="J17" s="14">
        <f>IF('A1. Data scoring'!O71&lt;&gt;"N/A","Yes","No")</f>
        <v/>
      </c>
      <c r="K17" s="14">
        <f>IF('A1. Data scoring'!P71&lt;&gt;"N/A","Yes","No")</f>
        <v/>
      </c>
      <c r="L17" s="14">
        <f>IF('A1. Data scoring'!Q71&lt;&gt;"N/A","Yes","No")</f>
        <v/>
      </c>
      <c r="M17" s="14">
        <f>IF('A1. Data scoring'!R71&lt;&gt;"N/A","Yes","No")</f>
        <v/>
      </c>
      <c r="N17" s="14">
        <f>IF('A1. Data scoring'!S71&lt;&gt;"N/A","Yes","No")</f>
        <v/>
      </c>
      <c r="O17" s="8">
        <f>COUNTIF(C17:N17,"Yes")</f>
        <v/>
      </c>
    </row>
    <row r="18">
      <c r="B18" s="7" t="inlineStr">
        <is>
          <t>TR2(d)</t>
        </is>
      </c>
      <c r="C18" s="14">
        <f>IF('A1. Data scoring'!H77&lt;&gt;"N/A","Yes","No")</f>
        <v/>
      </c>
      <c r="D18" s="14">
        <f>IF('A1. Data scoring'!I77&lt;&gt;"N/A","Yes","No")</f>
        <v/>
      </c>
      <c r="E18" s="14">
        <f>IF('A1. Data scoring'!J77&lt;&gt;"N/A","Yes","No")</f>
        <v/>
      </c>
      <c r="F18" s="14">
        <f>IF('A1. Data scoring'!K77&lt;&gt;"N/A","Yes","No")</f>
        <v/>
      </c>
      <c r="G18" s="14">
        <f>IF('A1. Data scoring'!L77&lt;&gt;"N/A","Yes","No")</f>
        <v/>
      </c>
      <c r="H18" s="14">
        <f>IF('A1. Data scoring'!M77&lt;&gt;"N/A","Yes","No")</f>
        <v/>
      </c>
      <c r="I18" s="14">
        <f>IF('A1. Data scoring'!N77&lt;&gt;"N/A","Yes","No")</f>
        <v/>
      </c>
      <c r="J18" s="14">
        <f>IF('A1. Data scoring'!O77&lt;&gt;"N/A","Yes","No")</f>
        <v/>
      </c>
      <c r="K18" s="14">
        <f>IF('A1. Data scoring'!P77&lt;&gt;"N/A","Yes","No")</f>
        <v/>
      </c>
      <c r="L18" s="14">
        <f>IF('A1. Data scoring'!Q77&lt;&gt;"N/A","Yes","No")</f>
        <v/>
      </c>
      <c r="M18" s="14">
        <f>IF('A1. Data scoring'!R77&lt;&gt;"N/A","Yes","No")</f>
        <v/>
      </c>
      <c r="N18" s="14">
        <f>IF('A1. Data scoring'!S77&lt;&gt;"N/A","Yes","No")</f>
        <v/>
      </c>
      <c r="O18" s="8">
        <f>COUNTIF(C18:N18,"Yes")</f>
        <v/>
      </c>
    </row>
    <row r="19">
      <c r="B19" s="7" t="inlineStr">
        <is>
          <t>TR3(a)</t>
        </is>
      </c>
      <c r="C19" s="14">
        <f>IF('A1. Data scoring'!H83&lt;&gt;"N/A","Yes","No")</f>
        <v/>
      </c>
      <c r="D19" s="14">
        <f>IF('A1. Data scoring'!I83&lt;&gt;"N/A","Yes","No")</f>
        <v/>
      </c>
      <c r="E19" s="14">
        <f>IF('A1. Data scoring'!J83&lt;&gt;"N/A","Yes","No")</f>
        <v/>
      </c>
      <c r="F19" s="14">
        <f>IF('A1. Data scoring'!K83&lt;&gt;"N/A","Yes","No")</f>
        <v/>
      </c>
      <c r="G19" s="14">
        <f>IF('A1. Data scoring'!L83&lt;&gt;"N/A","Yes","No")</f>
        <v/>
      </c>
      <c r="H19" s="14">
        <f>IF('A1. Data scoring'!M83&lt;&gt;"N/A","Yes","No")</f>
        <v/>
      </c>
      <c r="I19" s="14">
        <f>IF('A1. Data scoring'!N83&lt;&gt;"N/A","Yes","No")</f>
        <v/>
      </c>
      <c r="J19" s="14">
        <f>IF('A1. Data scoring'!O83&lt;&gt;"N/A","Yes","No")</f>
        <v/>
      </c>
      <c r="K19" s="14">
        <f>IF('A1. Data scoring'!P83&lt;&gt;"N/A","Yes","No")</f>
        <v/>
      </c>
      <c r="L19" s="14">
        <f>IF('A1. Data scoring'!Q83&lt;&gt;"N/A","Yes","No")</f>
        <v/>
      </c>
      <c r="M19" s="14">
        <f>IF('A1. Data scoring'!R83&lt;&gt;"N/A","Yes","No")</f>
        <v/>
      </c>
      <c r="N19" s="14">
        <f>IF('A1. Data scoring'!S83&lt;&gt;"N/A","Yes","No")</f>
        <v/>
      </c>
      <c r="O19" s="8">
        <f>COUNTIF(C19:N19,"Yes")</f>
        <v/>
      </c>
    </row>
    <row r="20">
      <c r="B20" s="7" t="inlineStr">
        <is>
          <t>TR3(b)</t>
        </is>
      </c>
      <c r="C20" s="14">
        <f>IF('A1. Data scoring'!H89&lt;&gt;"N/A","Yes","No")</f>
        <v/>
      </c>
      <c r="D20" s="14">
        <f>IF('A1. Data scoring'!I89&lt;&gt;"N/A","Yes","No")</f>
        <v/>
      </c>
      <c r="E20" s="14">
        <f>IF('A1. Data scoring'!J89&lt;&gt;"N/A","Yes","No")</f>
        <v/>
      </c>
      <c r="F20" s="14">
        <f>IF('A1. Data scoring'!K89&lt;&gt;"N/A","Yes","No")</f>
        <v/>
      </c>
      <c r="G20" s="14">
        <f>IF('A1. Data scoring'!L89&lt;&gt;"N/A","Yes","No")</f>
        <v/>
      </c>
      <c r="H20" s="14">
        <f>IF('A1. Data scoring'!M89&lt;&gt;"N/A","Yes","No")</f>
        <v/>
      </c>
      <c r="I20" s="14">
        <f>IF('A1. Data scoring'!N89&lt;&gt;"N/A","Yes","No")</f>
        <v/>
      </c>
      <c r="J20" s="14">
        <f>IF('A1. Data scoring'!O89&lt;&gt;"N/A","Yes","No")</f>
        <v/>
      </c>
      <c r="K20" s="14">
        <f>IF('A1. Data scoring'!P89&lt;&gt;"N/A","Yes","No")</f>
        <v/>
      </c>
      <c r="L20" s="14">
        <f>IF('A1. Data scoring'!Q89&lt;&gt;"N/A","Yes","No")</f>
        <v/>
      </c>
      <c r="M20" s="14">
        <f>IF('A1. Data scoring'!R89&lt;&gt;"N/A","Yes","No")</f>
        <v/>
      </c>
      <c r="N20" s="14">
        <f>IF('A1. Data scoring'!S89&lt;&gt;"N/A","Yes","No")</f>
        <v/>
      </c>
      <c r="O20" s="8">
        <f>COUNTIF(C20:N20,"Yes")</f>
        <v/>
      </c>
    </row>
    <row r="21">
      <c r="B21" s="7" t="inlineStr">
        <is>
          <t>TR3(c)</t>
        </is>
      </c>
      <c r="C21" s="14">
        <f>IF('A1. Data scoring'!H95&lt;&gt;"N/A","Yes","No")</f>
        <v/>
      </c>
      <c r="D21" s="14">
        <f>IF('A1. Data scoring'!I95&lt;&gt;"N/A","Yes","No")</f>
        <v/>
      </c>
      <c r="E21" s="14">
        <f>IF('A1. Data scoring'!J95&lt;&gt;"N/A","Yes","No")</f>
        <v/>
      </c>
      <c r="F21" s="14">
        <f>IF('A1. Data scoring'!K95&lt;&gt;"N/A","Yes","No")</f>
        <v/>
      </c>
      <c r="G21" s="14">
        <f>IF('A1. Data scoring'!L95&lt;&gt;"N/A","Yes","No")</f>
        <v/>
      </c>
      <c r="H21" s="14">
        <f>IF('A1. Data scoring'!M95&lt;&gt;"N/A","Yes","No")</f>
        <v/>
      </c>
      <c r="I21" s="14">
        <f>IF('A1. Data scoring'!N95&lt;&gt;"N/A","Yes","No")</f>
        <v/>
      </c>
      <c r="J21" s="14">
        <f>IF('A1. Data scoring'!O95&lt;&gt;"N/A","Yes","No")</f>
        <v/>
      </c>
      <c r="K21" s="14">
        <f>IF('A1. Data scoring'!P95&lt;&gt;"N/A","Yes","No")</f>
        <v/>
      </c>
      <c r="L21" s="14">
        <f>IF('A1. Data scoring'!Q95&lt;&gt;"N/A","Yes","No")</f>
        <v/>
      </c>
      <c r="M21" s="14">
        <f>IF('A1. Data scoring'!R95&lt;&gt;"N/A","Yes","No")</f>
        <v/>
      </c>
      <c r="N21" s="14">
        <f>IF('A1. Data scoring'!S95&lt;&gt;"N/A","Yes","No")</f>
        <v/>
      </c>
      <c r="O21" s="8">
        <f>COUNTIF(C21:N21,"Yes")</f>
        <v/>
      </c>
    </row>
    <row r="22">
      <c r="B22" s="7" t="inlineStr">
        <is>
          <t>TR3(d)</t>
        </is>
      </c>
      <c r="C22" s="14">
        <f>IF('A1. Data scoring'!H101&lt;&gt;"N/A","Yes","No")</f>
        <v/>
      </c>
      <c r="D22" s="14">
        <f>IF('A1. Data scoring'!I101&lt;&gt;"N/A","Yes","No")</f>
        <v/>
      </c>
      <c r="E22" s="14">
        <f>IF('A1. Data scoring'!J101&lt;&gt;"N/A","Yes","No")</f>
        <v/>
      </c>
      <c r="F22" s="14">
        <f>IF('A1. Data scoring'!K101&lt;&gt;"N/A","Yes","No")</f>
        <v/>
      </c>
      <c r="G22" s="14">
        <f>IF('A1. Data scoring'!L101&lt;&gt;"N/A","Yes","No")</f>
        <v/>
      </c>
      <c r="H22" s="14">
        <f>IF('A1. Data scoring'!M101&lt;&gt;"N/A","Yes","No")</f>
        <v/>
      </c>
      <c r="I22" s="14">
        <f>IF('A1. Data scoring'!N101&lt;&gt;"N/A","Yes","No")</f>
        <v/>
      </c>
      <c r="J22" s="14">
        <f>IF('A1. Data scoring'!O101&lt;&gt;"N/A","Yes","No")</f>
        <v/>
      </c>
      <c r="K22" s="14">
        <f>IF('A1. Data scoring'!P101&lt;&gt;"N/A","Yes","No")</f>
        <v/>
      </c>
      <c r="L22" s="14">
        <f>IF('A1. Data scoring'!Q101&lt;&gt;"N/A","Yes","No")</f>
        <v/>
      </c>
      <c r="M22" s="14">
        <f>IF('A1. Data scoring'!R101&lt;&gt;"N/A","Yes","No")</f>
        <v/>
      </c>
      <c r="N22" s="14">
        <f>IF('A1. Data scoring'!S101&lt;&gt;"N/A","Yes","No")</f>
        <v/>
      </c>
      <c r="O22" s="8">
        <f>COUNTIF(C22:N22,"Yes")</f>
        <v/>
      </c>
    </row>
    <row r="23">
      <c r="B23" s="7" t="inlineStr">
        <is>
          <t>CL1(a)</t>
        </is>
      </c>
      <c r="C23" s="14">
        <f>IF('A1. Data scoring'!H107&lt;&gt;"N/A","Yes","No")</f>
        <v/>
      </c>
      <c r="D23" s="14">
        <f>IF('A1. Data scoring'!I107&lt;&gt;"N/A","Yes","No")</f>
        <v/>
      </c>
      <c r="E23" s="14">
        <f>IF('A1. Data scoring'!J107&lt;&gt;"N/A","Yes","No")</f>
        <v/>
      </c>
      <c r="F23" s="14">
        <f>IF('A1. Data scoring'!K107&lt;&gt;"N/A","Yes","No")</f>
        <v/>
      </c>
      <c r="G23" s="14">
        <f>IF('A1. Data scoring'!L107&lt;&gt;"N/A","Yes","No")</f>
        <v/>
      </c>
      <c r="H23" s="14">
        <f>IF('A1. Data scoring'!M107&lt;&gt;"N/A","Yes","No")</f>
        <v/>
      </c>
      <c r="I23" s="14">
        <f>IF('A1. Data scoring'!N107&lt;&gt;"N/A","Yes","No")</f>
        <v/>
      </c>
      <c r="J23" s="14">
        <f>IF('A1. Data scoring'!O107&lt;&gt;"N/A","Yes","No")</f>
        <v/>
      </c>
      <c r="K23" s="14">
        <f>IF('A1. Data scoring'!P107&lt;&gt;"N/A","Yes","No")</f>
        <v/>
      </c>
      <c r="L23" s="14">
        <f>IF('A1. Data scoring'!Q107&lt;&gt;"N/A","Yes","No")</f>
        <v/>
      </c>
      <c r="M23" s="14">
        <f>IF('A1. Data scoring'!R107&lt;&gt;"N/A","Yes","No")</f>
        <v/>
      </c>
      <c r="N23" s="14">
        <f>IF('A1. Data scoring'!S107&lt;&gt;"N/A","Yes","No")</f>
        <v/>
      </c>
      <c r="O23" s="8">
        <f>COUNTIF(C23:N23,"Yes")</f>
        <v/>
      </c>
    </row>
    <row r="24">
      <c r="B24" s="7" t="inlineStr">
        <is>
          <t>CL1(b)</t>
        </is>
      </c>
      <c r="C24" s="14">
        <f>IF('A1. Data scoring'!H113&lt;&gt;"N/A","Yes","No")</f>
        <v/>
      </c>
      <c r="D24" s="14">
        <f>IF('A1. Data scoring'!I113&lt;&gt;"N/A","Yes","No")</f>
        <v/>
      </c>
      <c r="E24" s="14">
        <f>IF('A1. Data scoring'!J113&lt;&gt;"N/A","Yes","No")</f>
        <v/>
      </c>
      <c r="F24" s="14">
        <f>IF('A1. Data scoring'!K113&lt;&gt;"N/A","Yes","No")</f>
        <v/>
      </c>
      <c r="G24" s="14">
        <f>IF('A1. Data scoring'!L113&lt;&gt;"N/A","Yes","No")</f>
        <v/>
      </c>
      <c r="H24" s="14">
        <f>IF('A1. Data scoring'!M113&lt;&gt;"N/A","Yes","No")</f>
        <v/>
      </c>
      <c r="I24" s="14">
        <f>IF('A1. Data scoring'!N113&lt;&gt;"N/A","Yes","No")</f>
        <v/>
      </c>
      <c r="J24" s="14">
        <f>IF('A1. Data scoring'!O113&lt;&gt;"N/A","Yes","No")</f>
        <v/>
      </c>
      <c r="K24" s="14">
        <f>IF('A1. Data scoring'!P113&lt;&gt;"N/A","Yes","No")</f>
        <v/>
      </c>
      <c r="L24" s="14">
        <f>IF('A1. Data scoring'!Q113&lt;&gt;"N/A","Yes","No")</f>
        <v/>
      </c>
      <c r="M24" s="14">
        <f>IF('A1. Data scoring'!R113&lt;&gt;"N/A","Yes","No")</f>
        <v/>
      </c>
      <c r="N24" s="14">
        <f>IF('A1. Data scoring'!S113&lt;&gt;"N/A","Yes","No")</f>
        <v/>
      </c>
      <c r="O24" s="8">
        <f>COUNTIF(C24:N24,"Yes")</f>
        <v/>
      </c>
    </row>
    <row r="25">
      <c r="B25" s="7" t="inlineStr">
        <is>
          <t>CL1(c)</t>
        </is>
      </c>
      <c r="C25" s="14">
        <f>IF('A1. Data scoring'!H119&lt;&gt;"N/A","Yes","No")</f>
        <v/>
      </c>
      <c r="D25" s="14">
        <f>IF('A1. Data scoring'!I119&lt;&gt;"N/A","Yes","No")</f>
        <v/>
      </c>
      <c r="E25" s="14">
        <f>IF('A1. Data scoring'!J119&lt;&gt;"N/A","Yes","No")</f>
        <v/>
      </c>
      <c r="F25" s="14">
        <f>IF('A1. Data scoring'!K119&lt;&gt;"N/A","Yes","No")</f>
        <v/>
      </c>
      <c r="G25" s="14">
        <f>IF('A1. Data scoring'!L119&lt;&gt;"N/A","Yes","No")</f>
        <v/>
      </c>
      <c r="H25" s="14">
        <f>IF('A1. Data scoring'!M119&lt;&gt;"N/A","Yes","No")</f>
        <v/>
      </c>
      <c r="I25" s="14">
        <f>IF('A1. Data scoring'!N119&lt;&gt;"N/A","Yes","No")</f>
        <v/>
      </c>
      <c r="J25" s="14">
        <f>IF('A1. Data scoring'!O119&lt;&gt;"N/A","Yes","No")</f>
        <v/>
      </c>
      <c r="K25" s="14">
        <f>IF('A1. Data scoring'!P119&lt;&gt;"N/A","Yes","No")</f>
        <v/>
      </c>
      <c r="L25" s="14">
        <f>IF('A1. Data scoring'!Q119&lt;&gt;"N/A","Yes","No")</f>
        <v/>
      </c>
      <c r="M25" s="14">
        <f>IF('A1. Data scoring'!R119&lt;&gt;"N/A","Yes","No")</f>
        <v/>
      </c>
      <c r="N25" s="14">
        <f>IF('A1. Data scoring'!S119&lt;&gt;"N/A","Yes","No")</f>
        <v/>
      </c>
      <c r="O25" s="8">
        <f>COUNTIF(C25:N25,"Yes")</f>
        <v/>
      </c>
    </row>
    <row r="26">
      <c r="B26" s="7" t="inlineStr">
        <is>
          <t>CL2(a)</t>
        </is>
      </c>
      <c r="C26" s="14">
        <f>IF('A1. Data scoring'!H125&lt;&gt;"N/A","Yes","No")</f>
        <v/>
      </c>
      <c r="D26" s="14">
        <f>IF('A1. Data scoring'!I125&lt;&gt;"N/A","Yes","No")</f>
        <v/>
      </c>
      <c r="E26" s="14">
        <f>IF('A1. Data scoring'!J125&lt;&gt;"N/A","Yes","No")</f>
        <v/>
      </c>
      <c r="F26" s="14">
        <f>IF('A1. Data scoring'!K125&lt;&gt;"N/A","Yes","No")</f>
        <v/>
      </c>
      <c r="G26" s="14">
        <f>IF('A1. Data scoring'!L125&lt;&gt;"N/A","Yes","No")</f>
        <v/>
      </c>
      <c r="H26" s="14">
        <f>IF('A1. Data scoring'!M125&lt;&gt;"N/A","Yes","No")</f>
        <v/>
      </c>
      <c r="I26" s="14">
        <f>IF('A1. Data scoring'!N125&lt;&gt;"N/A","Yes","No")</f>
        <v/>
      </c>
      <c r="J26" s="14">
        <f>IF('A1. Data scoring'!O125&lt;&gt;"N/A","Yes","No")</f>
        <v/>
      </c>
      <c r="K26" s="14">
        <f>IF('A1. Data scoring'!P125&lt;&gt;"N/A","Yes","No")</f>
        <v/>
      </c>
      <c r="L26" s="14">
        <f>IF('A1. Data scoring'!Q125&lt;&gt;"N/A","Yes","No")</f>
        <v/>
      </c>
      <c r="M26" s="14">
        <f>IF('A1. Data scoring'!R125&lt;&gt;"N/A","Yes","No")</f>
        <v/>
      </c>
      <c r="N26" s="14">
        <f>IF('A1. Data scoring'!S125&lt;&gt;"N/A","Yes","No")</f>
        <v/>
      </c>
      <c r="O26" s="8">
        <f>COUNTIF(C26:N26,"Yes")</f>
        <v/>
      </c>
    </row>
    <row r="27">
      <c r="B27" s="7" t="inlineStr">
        <is>
          <t>CL2(b)</t>
        </is>
      </c>
      <c r="C27" s="14">
        <f>IF('A1. Data scoring'!H131&lt;&gt;"N/A","Yes","No")</f>
        <v/>
      </c>
      <c r="D27" s="14">
        <f>IF('A1. Data scoring'!I131&lt;&gt;"N/A","Yes","No")</f>
        <v/>
      </c>
      <c r="E27" s="14">
        <f>IF('A1. Data scoring'!J131&lt;&gt;"N/A","Yes","No")</f>
        <v/>
      </c>
      <c r="F27" s="14">
        <f>IF('A1. Data scoring'!K131&lt;&gt;"N/A","Yes","No")</f>
        <v/>
      </c>
      <c r="G27" s="14">
        <f>IF('A1. Data scoring'!L131&lt;&gt;"N/A","Yes","No")</f>
        <v/>
      </c>
      <c r="H27" s="14">
        <f>IF('A1. Data scoring'!M131&lt;&gt;"N/A","Yes","No")</f>
        <v/>
      </c>
      <c r="I27" s="14">
        <f>IF('A1. Data scoring'!N131&lt;&gt;"N/A","Yes","No")</f>
        <v/>
      </c>
      <c r="J27" s="14">
        <f>IF('A1. Data scoring'!O131&lt;&gt;"N/A","Yes","No")</f>
        <v/>
      </c>
      <c r="K27" s="14">
        <f>IF('A1. Data scoring'!P131&lt;&gt;"N/A","Yes","No")</f>
        <v/>
      </c>
      <c r="L27" s="14">
        <f>IF('A1. Data scoring'!Q131&lt;&gt;"N/A","Yes","No")</f>
        <v/>
      </c>
      <c r="M27" s="14">
        <f>IF('A1. Data scoring'!R131&lt;&gt;"N/A","Yes","No")</f>
        <v/>
      </c>
      <c r="N27" s="14">
        <f>IF('A1. Data scoring'!S131&lt;&gt;"N/A","Yes","No")</f>
        <v/>
      </c>
      <c r="O27" s="8">
        <f>COUNTIF(C27:N27,"Yes")</f>
        <v/>
      </c>
    </row>
    <row r="28">
      <c r="B28" s="7" t="inlineStr">
        <is>
          <t>CL2(c)</t>
        </is>
      </c>
      <c r="C28" s="14">
        <f>IF('A1. Data scoring'!H137&lt;&gt;"N/A","Yes","No")</f>
        <v/>
      </c>
      <c r="D28" s="14">
        <f>IF('A1. Data scoring'!I137&lt;&gt;"N/A","Yes","No")</f>
        <v/>
      </c>
      <c r="E28" s="14">
        <f>IF('A1. Data scoring'!J137&lt;&gt;"N/A","Yes","No")</f>
        <v/>
      </c>
      <c r="F28" s="14">
        <f>IF('A1. Data scoring'!K137&lt;&gt;"N/A","Yes","No")</f>
        <v/>
      </c>
      <c r="G28" s="14">
        <f>IF('A1. Data scoring'!L137&lt;&gt;"N/A","Yes","No")</f>
        <v/>
      </c>
      <c r="H28" s="14">
        <f>IF('A1. Data scoring'!M137&lt;&gt;"N/A","Yes","No")</f>
        <v/>
      </c>
      <c r="I28" s="14">
        <f>IF('A1. Data scoring'!N137&lt;&gt;"N/A","Yes","No")</f>
        <v/>
      </c>
      <c r="J28" s="14">
        <f>IF('A1. Data scoring'!O137&lt;&gt;"N/A","Yes","No")</f>
        <v/>
      </c>
      <c r="K28" s="14">
        <f>IF('A1. Data scoring'!P137&lt;&gt;"N/A","Yes","No")</f>
        <v/>
      </c>
      <c r="L28" s="14">
        <f>IF('A1. Data scoring'!Q137&lt;&gt;"N/A","Yes","No")</f>
        <v/>
      </c>
      <c r="M28" s="14">
        <f>IF('A1. Data scoring'!R137&lt;&gt;"N/A","Yes","No")</f>
        <v/>
      </c>
      <c r="N28" s="14">
        <f>IF('A1. Data scoring'!S137&lt;&gt;"N/A","Yes","No")</f>
        <v/>
      </c>
      <c r="O28" s="8">
        <f>COUNTIF(C28:N28,"Yes")</f>
        <v/>
      </c>
    </row>
    <row r="29">
      <c r="B29" s="7" t="inlineStr">
        <is>
          <t>CL3(a)</t>
        </is>
      </c>
      <c r="C29" s="14">
        <f>IF('A1. Data scoring'!H143&lt;&gt;"N/A","Yes","No")</f>
        <v/>
      </c>
      <c r="D29" s="14">
        <f>IF('A1. Data scoring'!I143&lt;&gt;"N/A","Yes","No")</f>
        <v/>
      </c>
      <c r="E29" s="14">
        <f>IF('A1. Data scoring'!J143&lt;&gt;"N/A","Yes","No")</f>
        <v/>
      </c>
      <c r="F29" s="14">
        <f>IF('A1. Data scoring'!K143&lt;&gt;"N/A","Yes","No")</f>
        <v/>
      </c>
      <c r="G29" s="14">
        <f>IF('A1. Data scoring'!L143&lt;&gt;"N/A","Yes","No")</f>
        <v/>
      </c>
      <c r="H29" s="14">
        <f>IF('A1. Data scoring'!M143&lt;&gt;"N/A","Yes","No")</f>
        <v/>
      </c>
      <c r="I29" s="14">
        <f>IF('A1. Data scoring'!N143&lt;&gt;"N/A","Yes","No")</f>
        <v/>
      </c>
      <c r="J29" s="14">
        <f>IF('A1. Data scoring'!O143&lt;&gt;"N/A","Yes","No")</f>
        <v/>
      </c>
      <c r="K29" s="14">
        <f>IF('A1. Data scoring'!P143&lt;&gt;"N/A","Yes","No")</f>
        <v/>
      </c>
      <c r="L29" s="14">
        <f>IF('A1. Data scoring'!Q143&lt;&gt;"N/A","Yes","No")</f>
        <v/>
      </c>
      <c r="M29" s="14">
        <f>IF('A1. Data scoring'!R143&lt;&gt;"N/A","Yes","No")</f>
        <v/>
      </c>
      <c r="N29" s="14">
        <f>IF('A1. Data scoring'!S143&lt;&gt;"N/A","Yes","No")</f>
        <v/>
      </c>
      <c r="O29" s="8">
        <f>COUNTIF(C29:N29,"Yes")</f>
        <v/>
      </c>
    </row>
    <row r="30">
      <c r="B30" s="7" t="inlineStr">
        <is>
          <t>NB1(a)</t>
        </is>
      </c>
      <c r="C30" s="14">
        <f>IF('A1. Data scoring'!H149&lt;&gt;"N/A","Yes","No")</f>
        <v/>
      </c>
      <c r="D30" s="14">
        <f>IF('A1. Data scoring'!I149&lt;&gt;"N/A","Yes","No")</f>
        <v/>
      </c>
      <c r="E30" s="14">
        <f>IF('A1. Data scoring'!J149&lt;&gt;"N/A","Yes","No")</f>
        <v/>
      </c>
      <c r="F30" s="14">
        <f>IF('A1. Data scoring'!K149&lt;&gt;"N/A","Yes","No")</f>
        <v/>
      </c>
      <c r="G30" s="14">
        <f>IF('A1. Data scoring'!L149&lt;&gt;"N/A","Yes","No")</f>
        <v/>
      </c>
      <c r="H30" s="14">
        <f>IF('A1. Data scoring'!M149&lt;&gt;"N/A","Yes","No")</f>
        <v/>
      </c>
      <c r="I30" s="14">
        <f>IF('A1. Data scoring'!N149&lt;&gt;"N/A","Yes","No")</f>
        <v/>
      </c>
      <c r="J30" s="14">
        <f>IF('A1. Data scoring'!O149&lt;&gt;"N/A","Yes","No")</f>
        <v/>
      </c>
      <c r="K30" s="14">
        <f>IF('A1. Data scoring'!P149&lt;&gt;"N/A","Yes","No")</f>
        <v/>
      </c>
      <c r="L30" s="14">
        <f>IF('A1. Data scoring'!Q149&lt;&gt;"N/A","Yes","No")</f>
        <v/>
      </c>
      <c r="M30" s="14">
        <f>IF('A1. Data scoring'!R149&lt;&gt;"N/A","Yes","No")</f>
        <v/>
      </c>
      <c r="N30" s="14">
        <f>IF('A1. Data scoring'!S149&lt;&gt;"N/A","Yes","No")</f>
        <v/>
      </c>
      <c r="O30" s="8">
        <f>COUNTIF(C30:N30,"Yes")</f>
        <v/>
      </c>
    </row>
    <row r="31">
      <c r="B31" s="7" t="inlineStr">
        <is>
          <t>NB1(b)</t>
        </is>
      </c>
      <c r="C31" s="14">
        <f>IF('A1. Data scoring'!H155&lt;&gt;"N/A","Yes","No")</f>
        <v/>
      </c>
      <c r="D31" s="14">
        <f>IF('A1. Data scoring'!I155&lt;&gt;"N/A","Yes","No")</f>
        <v/>
      </c>
      <c r="E31" s="14">
        <f>IF('A1. Data scoring'!J155&lt;&gt;"N/A","Yes","No")</f>
        <v/>
      </c>
      <c r="F31" s="14">
        <f>IF('A1. Data scoring'!K155&lt;&gt;"N/A","Yes","No")</f>
        <v/>
      </c>
      <c r="G31" s="14">
        <f>IF('A1. Data scoring'!L155&lt;&gt;"N/A","Yes","No")</f>
        <v/>
      </c>
      <c r="H31" s="14">
        <f>IF('A1. Data scoring'!M155&lt;&gt;"N/A","Yes","No")</f>
        <v/>
      </c>
      <c r="I31" s="14">
        <f>IF('A1. Data scoring'!N155&lt;&gt;"N/A","Yes","No")</f>
        <v/>
      </c>
      <c r="J31" s="14">
        <f>IF('A1. Data scoring'!O155&lt;&gt;"N/A","Yes","No")</f>
        <v/>
      </c>
      <c r="K31" s="14">
        <f>IF('A1. Data scoring'!P155&lt;&gt;"N/A","Yes","No")</f>
        <v/>
      </c>
      <c r="L31" s="14">
        <f>IF('A1. Data scoring'!Q155&lt;&gt;"N/A","Yes","No")</f>
        <v/>
      </c>
      <c r="M31" s="14">
        <f>IF('A1. Data scoring'!R155&lt;&gt;"N/A","Yes","No")</f>
        <v/>
      </c>
      <c r="N31" s="14">
        <f>IF('A1. Data scoring'!S155&lt;&gt;"N/A","Yes","No")</f>
        <v/>
      </c>
      <c r="O31" s="8">
        <f>COUNTIF(C31:N31,"Yes")</f>
        <v/>
      </c>
    </row>
    <row r="32">
      <c r="B32" s="7" t="inlineStr">
        <is>
          <t>NB1(c)</t>
        </is>
      </c>
      <c r="C32" s="14">
        <f>IF('A1. Data scoring'!H161&lt;&gt;"N/A","Yes","No")</f>
        <v/>
      </c>
      <c r="D32" s="14">
        <f>IF('A1. Data scoring'!I161&lt;&gt;"N/A","Yes","No")</f>
        <v/>
      </c>
      <c r="E32" s="14">
        <f>IF('A1. Data scoring'!J161&lt;&gt;"N/A","Yes","No")</f>
        <v/>
      </c>
      <c r="F32" s="14">
        <f>IF('A1. Data scoring'!K161&lt;&gt;"N/A","Yes","No")</f>
        <v/>
      </c>
      <c r="G32" s="14">
        <f>IF('A1. Data scoring'!L161&lt;&gt;"N/A","Yes","No")</f>
        <v/>
      </c>
      <c r="H32" s="14">
        <f>IF('A1. Data scoring'!M161&lt;&gt;"N/A","Yes","No")</f>
        <v/>
      </c>
      <c r="I32" s="14">
        <f>IF('A1. Data scoring'!N161&lt;&gt;"N/A","Yes","No")</f>
        <v/>
      </c>
      <c r="J32" s="14">
        <f>IF('A1. Data scoring'!O161&lt;&gt;"N/A","Yes","No")</f>
        <v/>
      </c>
      <c r="K32" s="14">
        <f>IF('A1. Data scoring'!P161&lt;&gt;"N/A","Yes","No")</f>
        <v/>
      </c>
      <c r="L32" s="14">
        <f>IF('A1. Data scoring'!Q161&lt;&gt;"N/A","Yes","No")</f>
        <v/>
      </c>
      <c r="M32" s="14">
        <f>IF('A1. Data scoring'!R161&lt;&gt;"N/A","Yes","No")</f>
        <v/>
      </c>
      <c r="N32" s="14">
        <f>IF('A1. Data scoring'!S161&lt;&gt;"N/A","Yes","No")</f>
        <v/>
      </c>
      <c r="O32" s="8">
        <f>COUNTIF(C32:N32,"Yes")</f>
        <v/>
      </c>
    </row>
    <row r="33">
      <c r="B33" s="7" t="inlineStr">
        <is>
          <t>NB1(d)</t>
        </is>
      </c>
      <c r="C33" s="14">
        <f>IF('A1. Data scoring'!H167&lt;&gt;"N/A","Yes","No")</f>
        <v/>
      </c>
      <c r="D33" s="14">
        <f>IF('A1. Data scoring'!I167&lt;&gt;"N/A","Yes","No")</f>
        <v/>
      </c>
      <c r="E33" s="14">
        <f>IF('A1. Data scoring'!J167&lt;&gt;"N/A","Yes","No")</f>
        <v/>
      </c>
      <c r="F33" s="14">
        <f>IF('A1. Data scoring'!K167&lt;&gt;"N/A","Yes","No")</f>
        <v/>
      </c>
      <c r="G33" s="14">
        <f>IF('A1. Data scoring'!L167&lt;&gt;"N/A","Yes","No")</f>
        <v/>
      </c>
      <c r="H33" s="14">
        <f>IF('A1. Data scoring'!M167&lt;&gt;"N/A","Yes","No")</f>
        <v/>
      </c>
      <c r="I33" s="14">
        <f>IF('A1. Data scoring'!N167&lt;&gt;"N/A","Yes","No")</f>
        <v/>
      </c>
      <c r="J33" s="14">
        <f>IF('A1. Data scoring'!O167&lt;&gt;"N/A","Yes","No")</f>
        <v/>
      </c>
      <c r="K33" s="14">
        <f>IF('A1. Data scoring'!P167&lt;&gt;"N/A","Yes","No")</f>
        <v/>
      </c>
      <c r="L33" s="14">
        <f>IF('A1. Data scoring'!Q167&lt;&gt;"N/A","Yes","No")</f>
        <v/>
      </c>
      <c r="M33" s="14">
        <f>IF('A1. Data scoring'!R167&lt;&gt;"N/A","Yes","No")</f>
        <v/>
      </c>
      <c r="N33" s="14">
        <f>IF('A1. Data scoring'!S167&lt;&gt;"N/A","Yes","No")</f>
        <v/>
      </c>
      <c r="O33" s="8">
        <f>COUNTIF(C33:N33,"Yes")</f>
        <v/>
      </c>
    </row>
    <row r="34">
      <c r="B34" s="7" t="inlineStr">
        <is>
          <t>NB2(a)</t>
        </is>
      </c>
      <c r="C34" s="14">
        <f>IF('A1. Data scoring'!H173&lt;&gt;"N/A","Yes","No")</f>
        <v/>
      </c>
      <c r="D34" s="14">
        <f>IF('A1. Data scoring'!I173&lt;&gt;"N/A","Yes","No")</f>
        <v/>
      </c>
      <c r="E34" s="14">
        <f>IF('A1. Data scoring'!J173&lt;&gt;"N/A","Yes","No")</f>
        <v/>
      </c>
      <c r="F34" s="14">
        <f>IF('A1. Data scoring'!K173&lt;&gt;"N/A","Yes","No")</f>
        <v/>
      </c>
      <c r="G34" s="14">
        <f>IF('A1. Data scoring'!L173&lt;&gt;"N/A","Yes","No")</f>
        <v/>
      </c>
      <c r="H34" s="14">
        <f>IF('A1. Data scoring'!M173&lt;&gt;"N/A","Yes","No")</f>
        <v/>
      </c>
      <c r="I34" s="14">
        <f>IF('A1. Data scoring'!N173&lt;&gt;"N/A","Yes","No")</f>
        <v/>
      </c>
      <c r="J34" s="14">
        <f>IF('A1. Data scoring'!O173&lt;&gt;"N/A","Yes","No")</f>
        <v/>
      </c>
      <c r="K34" s="14">
        <f>IF('A1. Data scoring'!P173&lt;&gt;"N/A","Yes","No")</f>
        <v/>
      </c>
      <c r="L34" s="14">
        <f>IF('A1. Data scoring'!Q173&lt;&gt;"N/A","Yes","No")</f>
        <v/>
      </c>
      <c r="M34" s="14">
        <f>IF('A1. Data scoring'!R173&lt;&gt;"N/A","Yes","No")</f>
        <v/>
      </c>
      <c r="N34" s="14">
        <f>IF('A1. Data scoring'!S173&lt;&gt;"N/A","Yes","No")</f>
        <v/>
      </c>
      <c r="O34" s="8">
        <f>COUNTIF(C34:N34,"Yes")</f>
        <v/>
      </c>
    </row>
    <row r="35">
      <c r="B35" s="7" t="inlineStr">
        <is>
          <t>NB2(b)</t>
        </is>
      </c>
      <c r="C35" s="14">
        <f>IF('A1. Data scoring'!H179&lt;&gt;"N/A","Yes","No")</f>
        <v/>
      </c>
      <c r="D35" s="14">
        <f>IF('A1. Data scoring'!I179&lt;&gt;"N/A","Yes","No")</f>
        <v/>
      </c>
      <c r="E35" s="14">
        <f>IF('A1. Data scoring'!J179&lt;&gt;"N/A","Yes","No")</f>
        <v/>
      </c>
      <c r="F35" s="14">
        <f>IF('A1. Data scoring'!K179&lt;&gt;"N/A","Yes","No")</f>
        <v/>
      </c>
      <c r="G35" s="14">
        <f>IF('A1. Data scoring'!L179&lt;&gt;"N/A","Yes","No")</f>
        <v/>
      </c>
      <c r="H35" s="14">
        <f>IF('A1. Data scoring'!M179&lt;&gt;"N/A","Yes","No")</f>
        <v/>
      </c>
      <c r="I35" s="14">
        <f>IF('A1. Data scoring'!N179&lt;&gt;"N/A","Yes","No")</f>
        <v/>
      </c>
      <c r="J35" s="14">
        <f>IF('A1. Data scoring'!O179&lt;&gt;"N/A","Yes","No")</f>
        <v/>
      </c>
      <c r="K35" s="14">
        <f>IF('A1. Data scoring'!P179&lt;&gt;"N/A","Yes","No")</f>
        <v/>
      </c>
      <c r="L35" s="14">
        <f>IF('A1. Data scoring'!Q179&lt;&gt;"N/A","Yes","No")</f>
        <v/>
      </c>
      <c r="M35" s="14">
        <f>IF('A1. Data scoring'!R179&lt;&gt;"N/A","Yes","No")</f>
        <v/>
      </c>
      <c r="N35" s="14">
        <f>IF('A1. Data scoring'!S179&lt;&gt;"N/A","Yes","No")</f>
        <v/>
      </c>
      <c r="O35" s="8">
        <f>COUNTIF(C35:N35,"Yes")</f>
        <v/>
      </c>
    </row>
    <row r="36">
      <c r="B36" s="7" t="inlineStr">
        <is>
          <t>NB2(c)</t>
        </is>
      </c>
      <c r="C36" s="14">
        <f>IF('A1. Data scoring'!H185&lt;&gt;"N/A","Yes","No")</f>
        <v/>
      </c>
      <c r="D36" s="14">
        <f>IF('A1. Data scoring'!I185&lt;&gt;"N/A","Yes","No")</f>
        <v/>
      </c>
      <c r="E36" s="14">
        <f>IF('A1. Data scoring'!J185&lt;&gt;"N/A","Yes","No")</f>
        <v/>
      </c>
      <c r="F36" s="14">
        <f>IF('A1. Data scoring'!K185&lt;&gt;"N/A","Yes","No")</f>
        <v/>
      </c>
      <c r="G36" s="14">
        <f>IF('A1. Data scoring'!L185&lt;&gt;"N/A","Yes","No")</f>
        <v/>
      </c>
      <c r="H36" s="14">
        <f>IF('A1. Data scoring'!M185&lt;&gt;"N/A","Yes","No")</f>
        <v/>
      </c>
      <c r="I36" s="14">
        <f>IF('A1. Data scoring'!N185&lt;&gt;"N/A","Yes","No")</f>
        <v/>
      </c>
      <c r="J36" s="14">
        <f>IF('A1. Data scoring'!O185&lt;&gt;"N/A","Yes","No")</f>
        <v/>
      </c>
      <c r="K36" s="14">
        <f>IF('A1. Data scoring'!P185&lt;&gt;"N/A","Yes","No")</f>
        <v/>
      </c>
      <c r="L36" s="14">
        <f>IF('A1. Data scoring'!Q185&lt;&gt;"N/A","Yes","No")</f>
        <v/>
      </c>
      <c r="M36" s="14">
        <f>IF('A1. Data scoring'!R185&lt;&gt;"N/A","Yes","No")</f>
        <v/>
      </c>
      <c r="N36" s="14">
        <f>IF('A1. Data scoring'!S185&lt;&gt;"N/A","Yes","No")</f>
        <v/>
      </c>
      <c r="O36" s="8">
        <f>COUNTIF(C36:N36,"Yes")</f>
        <v/>
      </c>
    </row>
    <row r="37">
      <c r="B37" s="7" t="inlineStr">
        <is>
          <t>AI1(a)</t>
        </is>
      </c>
      <c r="C37" s="14">
        <f>IF('A1. Data scoring'!H191&lt;&gt;"N/A","Yes","No")</f>
        <v/>
      </c>
      <c r="D37" s="14">
        <f>IF('A1. Data scoring'!I191&lt;&gt;"N/A","Yes","No")</f>
        <v/>
      </c>
      <c r="E37" s="14">
        <f>IF('A1. Data scoring'!J191&lt;&gt;"N/A","Yes","No")</f>
        <v/>
      </c>
      <c r="F37" s="14">
        <f>IF('A1. Data scoring'!K191&lt;&gt;"N/A","Yes","No")</f>
        <v/>
      </c>
      <c r="G37" s="14">
        <f>IF('A1. Data scoring'!L191&lt;&gt;"N/A","Yes","No")</f>
        <v/>
      </c>
      <c r="H37" s="14">
        <f>IF('A1. Data scoring'!M191&lt;&gt;"N/A","Yes","No")</f>
        <v/>
      </c>
      <c r="I37" s="14">
        <f>IF('A1. Data scoring'!N191&lt;&gt;"N/A","Yes","No")</f>
        <v/>
      </c>
      <c r="J37" s="14">
        <f>IF('A1. Data scoring'!O191&lt;&gt;"N/A","Yes","No")</f>
        <v/>
      </c>
      <c r="K37" s="14">
        <f>IF('A1. Data scoring'!P191&lt;&gt;"N/A","Yes","No")</f>
        <v/>
      </c>
      <c r="L37" s="14">
        <f>IF('A1. Data scoring'!Q191&lt;&gt;"N/A","Yes","No")</f>
        <v/>
      </c>
      <c r="M37" s="14">
        <f>IF('A1. Data scoring'!R191&lt;&gt;"N/A","Yes","No")</f>
        <v/>
      </c>
      <c r="N37" s="14">
        <f>IF('A1. Data scoring'!S191&lt;&gt;"N/A","Yes","No")</f>
        <v/>
      </c>
      <c r="O37" s="8">
        <f>COUNTIF(C37:N37,"Yes")</f>
        <v/>
      </c>
    </row>
    <row r="38">
      <c r="B38" s="7" t="inlineStr">
        <is>
          <t>AI1(b)</t>
        </is>
      </c>
      <c r="C38" s="14">
        <f>IF('A1. Data scoring'!H197&lt;&gt;"N/A","Yes","No")</f>
        <v/>
      </c>
      <c r="D38" s="14">
        <f>IF('A1. Data scoring'!I197&lt;&gt;"N/A","Yes","No")</f>
        <v/>
      </c>
      <c r="E38" s="14">
        <f>IF('A1. Data scoring'!J197&lt;&gt;"N/A","Yes","No")</f>
        <v/>
      </c>
      <c r="F38" s="14">
        <f>IF('A1. Data scoring'!K197&lt;&gt;"N/A","Yes","No")</f>
        <v/>
      </c>
      <c r="G38" s="14">
        <f>IF('A1. Data scoring'!L197&lt;&gt;"N/A","Yes","No")</f>
        <v/>
      </c>
      <c r="H38" s="14">
        <f>IF('A1. Data scoring'!M197&lt;&gt;"N/A","Yes","No")</f>
        <v/>
      </c>
      <c r="I38" s="14">
        <f>IF('A1. Data scoring'!N197&lt;&gt;"N/A","Yes","No")</f>
        <v/>
      </c>
      <c r="J38" s="14">
        <f>IF('A1. Data scoring'!O197&lt;&gt;"N/A","Yes","No")</f>
        <v/>
      </c>
      <c r="K38" s="14">
        <f>IF('A1. Data scoring'!P197&lt;&gt;"N/A","Yes","No")</f>
        <v/>
      </c>
      <c r="L38" s="14">
        <f>IF('A1. Data scoring'!Q197&lt;&gt;"N/A","Yes","No")</f>
        <v/>
      </c>
      <c r="M38" s="14">
        <f>IF('A1. Data scoring'!R197&lt;&gt;"N/A","Yes","No")</f>
        <v/>
      </c>
      <c r="N38" s="14">
        <f>IF('A1. Data scoring'!S197&lt;&gt;"N/A","Yes","No")</f>
        <v/>
      </c>
      <c r="O38" s="8">
        <f>COUNTIF(C38:N38,"Yes")</f>
        <v/>
      </c>
    </row>
    <row r="39">
      <c r="B39" s="7" t="inlineStr">
        <is>
          <t>EI1(a)</t>
        </is>
      </c>
      <c r="C39" s="14">
        <f>IF('A1. Data scoring'!H203&lt;&gt;"N/A","Yes","No")</f>
        <v/>
      </c>
      <c r="D39" s="14">
        <f>IF('A1. Data scoring'!I203&lt;&gt;"N/A","Yes","No")</f>
        <v/>
      </c>
      <c r="E39" s="14">
        <f>IF('A1. Data scoring'!J203&lt;&gt;"N/A","Yes","No")</f>
        <v/>
      </c>
      <c r="F39" s="14">
        <f>IF('A1. Data scoring'!K203&lt;&gt;"N/A","Yes","No")</f>
        <v/>
      </c>
      <c r="G39" s="14">
        <f>IF('A1. Data scoring'!L203&lt;&gt;"N/A","Yes","No")</f>
        <v/>
      </c>
      <c r="H39" s="14">
        <f>IF('A1. Data scoring'!M203&lt;&gt;"N/A","Yes","No")</f>
        <v/>
      </c>
      <c r="I39" s="14">
        <f>IF('A1. Data scoring'!N203&lt;&gt;"N/A","Yes","No")</f>
        <v/>
      </c>
      <c r="J39" s="14">
        <f>IF('A1. Data scoring'!O203&lt;&gt;"N/A","Yes","No")</f>
        <v/>
      </c>
      <c r="K39" s="14">
        <f>IF('A1. Data scoring'!P203&lt;&gt;"N/A","Yes","No")</f>
        <v/>
      </c>
      <c r="L39" s="14">
        <f>IF('A1. Data scoring'!Q203&lt;&gt;"N/A","Yes","No")</f>
        <v/>
      </c>
      <c r="M39" s="14">
        <f>IF('A1. Data scoring'!R203&lt;&gt;"N/A","Yes","No")</f>
        <v/>
      </c>
      <c r="N39" s="14">
        <f>IF('A1. Data scoring'!S203&lt;&gt;"N/A","Yes","No")</f>
        <v/>
      </c>
      <c r="O39" s="8">
        <f>COUNTIF(C39:N39,"Yes")</f>
        <v/>
      </c>
    </row>
    <row r="40">
      <c r="B40" s="7" t="inlineStr">
        <is>
          <t>EI1(b)</t>
        </is>
      </c>
      <c r="C40" s="14">
        <f>IF('A1. Data scoring'!H209&lt;&gt;"N/A","Yes","No")</f>
        <v/>
      </c>
      <c r="D40" s="14">
        <f>IF('A1. Data scoring'!I209&lt;&gt;"N/A","Yes","No")</f>
        <v/>
      </c>
      <c r="E40" s="14">
        <f>IF('A1. Data scoring'!J209&lt;&gt;"N/A","Yes","No")</f>
        <v/>
      </c>
      <c r="F40" s="14">
        <f>IF('A1. Data scoring'!K209&lt;&gt;"N/A","Yes","No")</f>
        <v/>
      </c>
      <c r="G40" s="14">
        <f>IF('A1. Data scoring'!L209&lt;&gt;"N/A","Yes","No")</f>
        <v/>
      </c>
      <c r="H40" s="14">
        <f>IF('A1. Data scoring'!M209&lt;&gt;"N/A","Yes","No")</f>
        <v/>
      </c>
      <c r="I40" s="14">
        <f>IF('A1. Data scoring'!N209&lt;&gt;"N/A","Yes","No")</f>
        <v/>
      </c>
      <c r="J40" s="14">
        <f>IF('A1. Data scoring'!O209&lt;&gt;"N/A","Yes","No")</f>
        <v/>
      </c>
      <c r="K40" s="14">
        <f>IF('A1. Data scoring'!P209&lt;&gt;"N/A","Yes","No")</f>
        <v/>
      </c>
      <c r="L40" s="14">
        <f>IF('A1. Data scoring'!Q209&lt;&gt;"N/A","Yes","No")</f>
        <v/>
      </c>
      <c r="M40" s="14">
        <f>IF('A1. Data scoring'!R209&lt;&gt;"N/A","Yes","No")</f>
        <v/>
      </c>
      <c r="N40" s="14">
        <f>IF('A1. Data scoring'!S209&lt;&gt;"N/A","Yes","No")</f>
        <v/>
      </c>
      <c r="O40" s="8">
        <f>COUNTIF(C40:N40,"Yes")</f>
        <v/>
      </c>
    </row>
    <row r="41">
      <c r="B41" s="7" t="inlineStr">
        <is>
          <t>EI1(c)</t>
        </is>
      </c>
      <c r="C41" s="14">
        <f>IF('A1. Data scoring'!H215&lt;&gt;"N/A","Yes","No")</f>
        <v/>
      </c>
      <c r="D41" s="14">
        <f>IF('A1. Data scoring'!I215&lt;&gt;"N/A","Yes","No")</f>
        <v/>
      </c>
      <c r="E41" s="14">
        <f>IF('A1. Data scoring'!J215&lt;&gt;"N/A","Yes","No")</f>
        <v/>
      </c>
      <c r="F41" s="14">
        <f>IF('A1. Data scoring'!K215&lt;&gt;"N/A","Yes","No")</f>
        <v/>
      </c>
      <c r="G41" s="14">
        <f>IF('A1. Data scoring'!L215&lt;&gt;"N/A","Yes","No")</f>
        <v/>
      </c>
      <c r="H41" s="14">
        <f>IF('A1. Data scoring'!M215&lt;&gt;"N/A","Yes","No")</f>
        <v/>
      </c>
      <c r="I41" s="14">
        <f>IF('A1. Data scoring'!N215&lt;&gt;"N/A","Yes","No")</f>
        <v/>
      </c>
      <c r="J41" s="14">
        <f>IF('A1. Data scoring'!O215&lt;&gt;"N/A","Yes","No")</f>
        <v/>
      </c>
      <c r="K41" s="14">
        <f>IF('A1. Data scoring'!P215&lt;&gt;"N/A","Yes","No")</f>
        <v/>
      </c>
      <c r="L41" s="14">
        <f>IF('A1. Data scoring'!Q215&lt;&gt;"N/A","Yes","No")</f>
        <v/>
      </c>
      <c r="M41" s="14">
        <f>IF('A1. Data scoring'!R215&lt;&gt;"N/A","Yes","No")</f>
        <v/>
      </c>
      <c r="N41" s="14">
        <f>IF('A1. Data scoring'!S215&lt;&gt;"N/A","Yes","No")</f>
        <v/>
      </c>
      <c r="O41" s="8">
        <f>COUNTIF(C41:N41,"Yes")</f>
        <v/>
      </c>
    </row>
    <row r="42">
      <c r="B42" s="7" t="inlineStr">
        <is>
          <t>EI1(d)</t>
        </is>
      </c>
      <c r="C42" s="14">
        <f>IF('A1. Data scoring'!H221&lt;&gt;"N/A","Yes","No")</f>
        <v/>
      </c>
      <c r="D42" s="14">
        <f>IF('A1. Data scoring'!I221&lt;&gt;"N/A","Yes","No")</f>
        <v/>
      </c>
      <c r="E42" s="14">
        <f>IF('A1. Data scoring'!J221&lt;&gt;"N/A","Yes","No")</f>
        <v/>
      </c>
      <c r="F42" s="14">
        <f>IF('A1. Data scoring'!K221&lt;&gt;"N/A","Yes","No")</f>
        <v/>
      </c>
      <c r="G42" s="14">
        <f>IF('A1. Data scoring'!L221&lt;&gt;"N/A","Yes","No")</f>
        <v/>
      </c>
      <c r="H42" s="14">
        <f>IF('A1. Data scoring'!M221&lt;&gt;"N/A","Yes","No")</f>
        <v/>
      </c>
      <c r="I42" s="14">
        <f>IF('A1. Data scoring'!N221&lt;&gt;"N/A","Yes","No")</f>
        <v/>
      </c>
      <c r="J42" s="14">
        <f>IF('A1. Data scoring'!O221&lt;&gt;"N/A","Yes","No")</f>
        <v/>
      </c>
      <c r="K42" s="14">
        <f>IF('A1. Data scoring'!P221&lt;&gt;"N/A","Yes","No")</f>
        <v/>
      </c>
      <c r="L42" s="14">
        <f>IF('A1. Data scoring'!Q221&lt;&gt;"N/A","Yes","No")</f>
        <v/>
      </c>
      <c r="M42" s="14">
        <f>IF('A1. Data scoring'!R221&lt;&gt;"N/A","Yes","No")</f>
        <v/>
      </c>
      <c r="N42" s="14">
        <f>IF('A1. Data scoring'!S221&lt;&gt;"N/A","Yes","No")</f>
        <v/>
      </c>
      <c r="O42" s="8">
        <f>COUNTIF(C42:N42,"Yes")</f>
        <v/>
      </c>
    </row>
    <row r="43">
      <c r="B43" s="7" t="inlineStr">
        <is>
          <t>CE1(a)</t>
        </is>
      </c>
      <c r="C43" s="14">
        <f>IF('A1. Data scoring'!H227&lt;&gt;"N/A","Yes","No")</f>
        <v/>
      </c>
      <c r="D43" s="14">
        <f>IF('A1. Data scoring'!I227&lt;&gt;"N/A","Yes","No")</f>
        <v/>
      </c>
      <c r="E43" s="14">
        <f>IF('A1. Data scoring'!J227&lt;&gt;"N/A","Yes","No")</f>
        <v/>
      </c>
      <c r="F43" s="14">
        <f>IF('A1. Data scoring'!K227&lt;&gt;"N/A","Yes","No")</f>
        <v/>
      </c>
      <c r="G43" s="14">
        <f>IF('A1. Data scoring'!L227&lt;&gt;"N/A","Yes","No")</f>
        <v/>
      </c>
      <c r="H43" s="14">
        <f>IF('A1. Data scoring'!M227&lt;&gt;"N/A","Yes","No")</f>
        <v/>
      </c>
      <c r="I43" s="14">
        <f>IF('A1. Data scoring'!N227&lt;&gt;"N/A","Yes","No")</f>
        <v/>
      </c>
      <c r="J43" s="14">
        <f>IF('A1. Data scoring'!O227&lt;&gt;"N/A","Yes","No")</f>
        <v/>
      </c>
      <c r="K43" s="14">
        <f>IF('A1. Data scoring'!P227&lt;&gt;"N/A","Yes","No")</f>
        <v/>
      </c>
      <c r="L43" s="14">
        <f>IF('A1. Data scoring'!Q227&lt;&gt;"N/A","Yes","No")</f>
        <v/>
      </c>
      <c r="M43" s="14">
        <f>IF('A1. Data scoring'!R227&lt;&gt;"N/A","Yes","No")</f>
        <v/>
      </c>
      <c r="N43" s="14">
        <f>IF('A1. Data scoring'!S227&lt;&gt;"N/A","Yes","No")</f>
        <v/>
      </c>
      <c r="O43" s="8">
        <f>COUNTIF(C43:N43,"Yes")</f>
        <v/>
      </c>
    </row>
    <row r="44">
      <c r="B44" s="7" t="inlineStr">
        <is>
          <t>CE2(a)</t>
        </is>
      </c>
      <c r="C44" s="14">
        <f>IF('A1. Data scoring'!H233&lt;&gt;"N/A","Yes","No")</f>
        <v/>
      </c>
      <c r="D44" s="14">
        <f>IF('A1. Data scoring'!I233&lt;&gt;"N/A","Yes","No")</f>
        <v/>
      </c>
      <c r="E44" s="14">
        <f>IF('A1. Data scoring'!J233&lt;&gt;"N/A","Yes","No")</f>
        <v/>
      </c>
      <c r="F44" s="14">
        <f>IF('A1. Data scoring'!K233&lt;&gt;"N/A","Yes","No")</f>
        <v/>
      </c>
      <c r="G44" s="14">
        <f>IF('A1. Data scoring'!L233&lt;&gt;"N/A","Yes","No")</f>
        <v/>
      </c>
      <c r="H44" s="14">
        <f>IF('A1. Data scoring'!M233&lt;&gt;"N/A","Yes","No")</f>
        <v/>
      </c>
      <c r="I44" s="14">
        <f>IF('A1. Data scoring'!N233&lt;&gt;"N/A","Yes","No")</f>
        <v/>
      </c>
      <c r="J44" s="14">
        <f>IF('A1. Data scoring'!O233&lt;&gt;"N/A","Yes","No")</f>
        <v/>
      </c>
      <c r="K44" s="14">
        <f>IF('A1. Data scoring'!P233&lt;&gt;"N/A","Yes","No")</f>
        <v/>
      </c>
      <c r="L44" s="14">
        <f>IF('A1. Data scoring'!Q233&lt;&gt;"N/A","Yes","No")</f>
        <v/>
      </c>
      <c r="M44" s="14">
        <f>IF('A1. Data scoring'!R233&lt;&gt;"N/A","Yes","No")</f>
        <v/>
      </c>
      <c r="N44" s="14">
        <f>IF('A1. Data scoring'!S233&lt;&gt;"N/A","Yes","No")</f>
        <v/>
      </c>
      <c r="O44" s="8">
        <f>COUNTIF(C44:N44,"Yes")</f>
        <v/>
      </c>
    </row>
    <row r="45">
      <c r="B45" s="7" t="inlineStr">
        <is>
          <t>RP1(a)</t>
        </is>
      </c>
      <c r="C45" s="14">
        <f>IF('A1. Data scoring'!H239&lt;&gt;"N/A","Yes","No")</f>
        <v/>
      </c>
      <c r="D45" s="14">
        <f>IF('A1. Data scoring'!I239&lt;&gt;"N/A","Yes","No")</f>
        <v/>
      </c>
      <c r="E45" s="14">
        <f>IF('A1. Data scoring'!J239&lt;&gt;"N/A","Yes","No")</f>
        <v/>
      </c>
      <c r="F45" s="14">
        <f>IF('A1. Data scoring'!K239&lt;&gt;"N/A","Yes","No")</f>
        <v/>
      </c>
      <c r="G45" s="14">
        <f>IF('A1. Data scoring'!L239&lt;&gt;"N/A","Yes","No")</f>
        <v/>
      </c>
      <c r="H45" s="14">
        <f>IF('A1. Data scoring'!M239&lt;&gt;"N/A","Yes","No")</f>
        <v/>
      </c>
      <c r="I45" s="14">
        <f>IF('A1. Data scoring'!N239&lt;&gt;"N/A","Yes","No")</f>
        <v/>
      </c>
      <c r="J45" s="14">
        <f>IF('A1. Data scoring'!O239&lt;&gt;"N/A","Yes","No")</f>
        <v/>
      </c>
      <c r="K45" s="14">
        <f>IF('A1. Data scoring'!P239&lt;&gt;"N/A","Yes","No")</f>
        <v/>
      </c>
      <c r="L45" s="14">
        <f>IF('A1. Data scoring'!Q239&lt;&gt;"N/A","Yes","No")</f>
        <v/>
      </c>
      <c r="M45" s="14">
        <f>IF('A1. Data scoring'!R239&lt;&gt;"N/A","Yes","No")</f>
        <v/>
      </c>
      <c r="N45" s="14">
        <f>IF('A1. Data scoring'!S239&lt;&gt;"N/A","Yes","No")</f>
        <v/>
      </c>
      <c r="O45" s="8">
        <f>COUNTIF(C45:N45,"Yes")</f>
        <v/>
      </c>
    </row>
    <row r="46">
      <c r="B46" s="7" t="inlineStr">
        <is>
          <t>RP2(a)</t>
        </is>
      </c>
      <c r="C46" s="14">
        <f>IF('A1. Data scoring'!H245&lt;&gt;"N/A","Yes","No")</f>
        <v/>
      </c>
      <c r="D46" s="14">
        <f>IF('A1. Data scoring'!I245&lt;&gt;"N/A","Yes","No")</f>
        <v/>
      </c>
      <c r="E46" s="14">
        <f>IF('A1. Data scoring'!J245&lt;&gt;"N/A","Yes","No")</f>
        <v/>
      </c>
      <c r="F46" s="14">
        <f>IF('A1. Data scoring'!K245&lt;&gt;"N/A","Yes","No")</f>
        <v/>
      </c>
      <c r="G46" s="14">
        <f>IF('A1. Data scoring'!L245&lt;&gt;"N/A","Yes","No")</f>
        <v/>
      </c>
      <c r="H46" s="14">
        <f>IF('A1. Data scoring'!M245&lt;&gt;"N/A","Yes","No")</f>
        <v/>
      </c>
      <c r="I46" s="14">
        <f>IF('A1. Data scoring'!N245&lt;&gt;"N/A","Yes","No")</f>
        <v/>
      </c>
      <c r="J46" s="14">
        <f>IF('A1. Data scoring'!O245&lt;&gt;"N/A","Yes","No")</f>
        <v/>
      </c>
      <c r="K46" s="14">
        <f>IF('A1. Data scoring'!P245&lt;&gt;"N/A","Yes","No")</f>
        <v/>
      </c>
      <c r="L46" s="14">
        <f>IF('A1. Data scoring'!Q245&lt;&gt;"N/A","Yes","No")</f>
        <v/>
      </c>
      <c r="M46" s="14">
        <f>IF('A1. Data scoring'!R245&lt;&gt;"N/A","Yes","No")</f>
        <v/>
      </c>
      <c r="N46" s="14">
        <f>IF('A1. Data scoring'!S245&lt;&gt;"N/A","Yes","No")</f>
        <v/>
      </c>
      <c r="O46" s="8">
        <f>COUNTIF(C46:N46,"Yes")</f>
        <v/>
      </c>
    </row>
    <row r="47">
      <c r="B47" s="7" t="inlineStr">
        <is>
          <t>RP2(b)</t>
        </is>
      </c>
      <c r="C47" s="14">
        <f>IF('A1. Data scoring'!H251&lt;&gt;"N/A","Yes","No")</f>
        <v/>
      </c>
      <c r="D47" s="14">
        <f>IF('A1. Data scoring'!I251&lt;&gt;"N/A","Yes","No")</f>
        <v/>
      </c>
      <c r="E47" s="14">
        <f>IF('A1. Data scoring'!J251&lt;&gt;"N/A","Yes","No")</f>
        <v/>
      </c>
      <c r="F47" s="14">
        <f>IF('A1. Data scoring'!K251&lt;&gt;"N/A","Yes","No")</f>
        <v/>
      </c>
      <c r="G47" s="14">
        <f>IF('A1. Data scoring'!L251&lt;&gt;"N/A","Yes","No")</f>
        <v/>
      </c>
      <c r="H47" s="14">
        <f>IF('A1. Data scoring'!M251&lt;&gt;"N/A","Yes","No")</f>
        <v/>
      </c>
      <c r="I47" s="14">
        <f>IF('A1. Data scoring'!N251&lt;&gt;"N/A","Yes","No")</f>
        <v/>
      </c>
      <c r="J47" s="14">
        <f>IF('A1. Data scoring'!O251&lt;&gt;"N/A","Yes","No")</f>
        <v/>
      </c>
      <c r="K47" s="14">
        <f>IF('A1. Data scoring'!P251&lt;&gt;"N/A","Yes","No")</f>
        <v/>
      </c>
      <c r="L47" s="14">
        <f>IF('A1. Data scoring'!Q251&lt;&gt;"N/A","Yes","No")</f>
        <v/>
      </c>
      <c r="M47" s="14">
        <f>IF('A1. Data scoring'!R251&lt;&gt;"N/A","Yes","No")</f>
        <v/>
      </c>
      <c r="N47" s="14">
        <f>IF('A1. Data scoring'!S251&lt;&gt;"N/A","Yes","No")</f>
        <v/>
      </c>
      <c r="O47" s="8">
        <f>COUNTIF(C47:N47,"Yes")</f>
        <v/>
      </c>
    </row>
    <row r="48">
      <c r="B48" s="7" t="inlineStr">
        <is>
          <t>MS1(a)</t>
        </is>
      </c>
      <c r="C48" s="14">
        <f>IF('A1. Data scoring'!H257&lt;&gt;"N/A","Yes","No")</f>
        <v/>
      </c>
      <c r="D48" s="14">
        <f>IF('A1. Data scoring'!I257&lt;&gt;"N/A","Yes","No")</f>
        <v/>
      </c>
      <c r="E48" s="14">
        <f>IF('A1. Data scoring'!J257&lt;&gt;"N/A","Yes","No")</f>
        <v/>
      </c>
      <c r="F48" s="14">
        <f>IF('A1. Data scoring'!K257&lt;&gt;"N/A","Yes","No")</f>
        <v/>
      </c>
      <c r="G48" s="14">
        <f>IF('A1. Data scoring'!L257&lt;&gt;"N/A","Yes","No")</f>
        <v/>
      </c>
      <c r="H48" s="14">
        <f>IF('A1. Data scoring'!M257&lt;&gt;"N/A","Yes","No")</f>
        <v/>
      </c>
      <c r="I48" s="14">
        <f>IF('A1. Data scoring'!N257&lt;&gt;"N/A","Yes","No")</f>
        <v/>
      </c>
      <c r="J48" s="14">
        <f>IF('A1. Data scoring'!O257&lt;&gt;"N/A","Yes","No")</f>
        <v/>
      </c>
      <c r="K48" s="14">
        <f>IF('A1. Data scoring'!P257&lt;&gt;"N/A","Yes","No")</f>
        <v/>
      </c>
      <c r="L48" s="14">
        <f>IF('A1. Data scoring'!Q257&lt;&gt;"N/A","Yes","No")</f>
        <v/>
      </c>
      <c r="M48" s="14">
        <f>IF('A1. Data scoring'!R257&lt;&gt;"N/A","Yes","No")</f>
        <v/>
      </c>
      <c r="N48" s="14">
        <f>IF('A1. Data scoring'!S257&lt;&gt;"N/A","Yes","No")</f>
        <v/>
      </c>
      <c r="O48" s="8">
        <f>COUNTIF(C48:N48,"Yes")</f>
        <v/>
      </c>
    </row>
    <row r="49">
      <c r="B49" s="7" t="inlineStr">
        <is>
          <t>RI1(a)</t>
        </is>
      </c>
      <c r="C49" s="14">
        <f>IF('A1. Data scoring'!H263&lt;&gt;"N/A","Yes","No")</f>
        <v/>
      </c>
      <c r="D49" s="14">
        <f>IF('A1. Data scoring'!I263&lt;&gt;"N/A","Yes","No")</f>
        <v/>
      </c>
      <c r="E49" s="14">
        <f>IF('A1. Data scoring'!J263&lt;&gt;"N/A","Yes","No")</f>
        <v/>
      </c>
      <c r="F49" s="14">
        <f>IF('A1. Data scoring'!K263&lt;&gt;"N/A","Yes","No")</f>
        <v/>
      </c>
      <c r="G49" s="14">
        <f>IF('A1. Data scoring'!L263&lt;&gt;"N/A","Yes","No")</f>
        <v/>
      </c>
      <c r="H49" s="14">
        <f>IF('A1. Data scoring'!M263&lt;&gt;"N/A","Yes","No")</f>
        <v/>
      </c>
      <c r="I49" s="14">
        <f>IF('A1. Data scoring'!N263&lt;&gt;"N/A","Yes","No")</f>
        <v/>
      </c>
      <c r="J49" s="14">
        <f>IF('A1. Data scoring'!O263&lt;&gt;"N/A","Yes","No")</f>
        <v/>
      </c>
      <c r="K49" s="14">
        <f>IF('A1. Data scoring'!P263&lt;&gt;"N/A","Yes","No")</f>
        <v/>
      </c>
      <c r="L49" s="14">
        <f>IF('A1. Data scoring'!Q263&lt;&gt;"N/A","Yes","No")</f>
        <v/>
      </c>
      <c r="M49" s="14">
        <f>IF('A1. Data scoring'!R263&lt;&gt;"N/A","Yes","No")</f>
        <v/>
      </c>
      <c r="N49" s="14">
        <f>IF('A1. Data scoring'!S263&lt;&gt;"N/A","Yes","No")</f>
        <v/>
      </c>
      <c r="O49" s="8">
        <f>COUNTIF(C49:N49,"Yes")</f>
        <v/>
      </c>
    </row>
    <row r="50">
      <c r="B50" s="7" t="inlineStr">
        <is>
          <t>RI1(b)</t>
        </is>
      </c>
      <c r="C50" s="14">
        <f>IF('A1. Data scoring'!H269&lt;&gt;"N/A","Yes","No")</f>
        <v/>
      </c>
      <c r="D50" s="14">
        <f>IF('A1. Data scoring'!I269&lt;&gt;"N/A","Yes","No")</f>
        <v/>
      </c>
      <c r="E50" s="14">
        <f>IF('A1. Data scoring'!J269&lt;&gt;"N/A","Yes","No")</f>
        <v/>
      </c>
      <c r="F50" s="14">
        <f>IF('A1. Data scoring'!K269&lt;&gt;"N/A","Yes","No")</f>
        <v/>
      </c>
      <c r="G50" s="14">
        <f>IF('A1. Data scoring'!L269&lt;&gt;"N/A","Yes","No")</f>
        <v/>
      </c>
      <c r="H50" s="14">
        <f>IF('A1. Data scoring'!M269&lt;&gt;"N/A","Yes","No")</f>
        <v/>
      </c>
      <c r="I50" s="14">
        <f>IF('A1. Data scoring'!N269&lt;&gt;"N/A","Yes","No")</f>
        <v/>
      </c>
      <c r="J50" s="14">
        <f>IF('A1. Data scoring'!O269&lt;&gt;"N/A","Yes","No")</f>
        <v/>
      </c>
      <c r="K50" s="14">
        <f>IF('A1. Data scoring'!P269&lt;&gt;"N/A","Yes","No")</f>
        <v/>
      </c>
      <c r="L50" s="14">
        <f>IF('A1. Data scoring'!Q269&lt;&gt;"N/A","Yes","No")</f>
        <v/>
      </c>
      <c r="M50" s="14">
        <f>IF('A1. Data scoring'!R269&lt;&gt;"N/A","Yes","No")</f>
        <v/>
      </c>
      <c r="N50" s="14">
        <f>IF('A1. Data scoring'!S269&lt;&gt;"N/A","Yes","No")</f>
        <v/>
      </c>
      <c r="O50" s="8">
        <f>COUNTIF(C50:N50,"Yes")</f>
        <v/>
      </c>
    </row>
    <row r="51">
      <c r="B51" s="7" t="inlineStr">
        <is>
          <t>EN1(a)</t>
        </is>
      </c>
      <c r="C51" s="14">
        <f>IF('A1. Data scoring'!H275&lt;&gt;"N/A","Yes","No")</f>
        <v/>
      </c>
      <c r="D51" s="14">
        <f>IF('A1. Data scoring'!I275&lt;&gt;"N/A","Yes","No")</f>
        <v/>
      </c>
      <c r="E51" s="14">
        <f>IF('A1. Data scoring'!J275&lt;&gt;"N/A","Yes","No")</f>
        <v/>
      </c>
      <c r="F51" s="14">
        <f>IF('A1. Data scoring'!K275&lt;&gt;"N/A","Yes","No")</f>
        <v/>
      </c>
      <c r="G51" s="14">
        <f>IF('A1. Data scoring'!L275&lt;&gt;"N/A","Yes","No")</f>
        <v/>
      </c>
      <c r="H51" s="14">
        <f>IF('A1. Data scoring'!M275&lt;&gt;"N/A","Yes","No")</f>
        <v/>
      </c>
      <c r="I51" s="14">
        <f>IF('A1. Data scoring'!N275&lt;&gt;"N/A","Yes","No")</f>
        <v/>
      </c>
      <c r="J51" s="14">
        <f>IF('A1. Data scoring'!O275&lt;&gt;"N/A","Yes","No")</f>
        <v/>
      </c>
      <c r="K51" s="14">
        <f>IF('A1. Data scoring'!P275&lt;&gt;"N/A","Yes","No")</f>
        <v/>
      </c>
      <c r="L51" s="14">
        <f>IF('A1. Data scoring'!Q275&lt;&gt;"N/A","Yes","No")</f>
        <v/>
      </c>
      <c r="M51" s="14">
        <f>IF('A1. Data scoring'!R275&lt;&gt;"N/A","Yes","No")</f>
        <v/>
      </c>
      <c r="N51" s="14">
        <f>IF('A1. Data scoring'!S275&lt;&gt;"N/A","Yes","No")</f>
        <v/>
      </c>
      <c r="O51" s="8">
        <f>COUNTIF(C51:N51,"Yes")</f>
        <v/>
      </c>
    </row>
    <row r="52">
      <c r="B52" s="7" t="inlineStr">
        <is>
          <t>EN1(b)</t>
        </is>
      </c>
      <c r="C52" s="14">
        <f>IF('A1. Data scoring'!H281&lt;&gt;"N/A","Yes","No")</f>
        <v/>
      </c>
      <c r="D52" s="14">
        <f>IF('A1. Data scoring'!I281&lt;&gt;"N/A","Yes","No")</f>
        <v/>
      </c>
      <c r="E52" s="14">
        <f>IF('A1. Data scoring'!J281&lt;&gt;"N/A","Yes","No")</f>
        <v/>
      </c>
      <c r="F52" s="14">
        <f>IF('A1. Data scoring'!K281&lt;&gt;"N/A","Yes","No")</f>
        <v/>
      </c>
      <c r="G52" s="14">
        <f>IF('A1. Data scoring'!L281&lt;&gt;"N/A","Yes","No")</f>
        <v/>
      </c>
      <c r="H52" s="14">
        <f>IF('A1. Data scoring'!M281&lt;&gt;"N/A","Yes","No")</f>
        <v/>
      </c>
      <c r="I52" s="14">
        <f>IF('A1. Data scoring'!N281&lt;&gt;"N/A","Yes","No")</f>
        <v/>
      </c>
      <c r="J52" s="14">
        <f>IF('A1. Data scoring'!O281&lt;&gt;"N/A","Yes","No")</f>
        <v/>
      </c>
      <c r="K52" s="14">
        <f>IF('A1. Data scoring'!P281&lt;&gt;"N/A","Yes","No")</f>
        <v/>
      </c>
      <c r="L52" s="14">
        <f>IF('A1. Data scoring'!Q281&lt;&gt;"N/A","Yes","No")</f>
        <v/>
      </c>
      <c r="M52" s="14">
        <f>IF('A1. Data scoring'!R281&lt;&gt;"N/A","Yes","No")</f>
        <v/>
      </c>
      <c r="N52" s="14">
        <f>IF('A1. Data scoring'!S281&lt;&gt;"N/A","Yes","No")</f>
        <v/>
      </c>
      <c r="O52" s="8">
        <f>COUNTIF(C52:N52,"Yes")</f>
        <v/>
      </c>
    </row>
    <row r="53">
      <c r="B53" s="7" t="inlineStr">
        <is>
          <t>EN1(c)</t>
        </is>
      </c>
      <c r="C53" s="14">
        <f>IF('A1. Data scoring'!H287&lt;&gt;"N/A","Yes","No")</f>
        <v/>
      </c>
      <c r="D53" s="14">
        <f>IF('A1. Data scoring'!I287&lt;&gt;"N/A","Yes","No")</f>
        <v/>
      </c>
      <c r="E53" s="14">
        <f>IF('A1. Data scoring'!J287&lt;&gt;"N/A","Yes","No")</f>
        <v/>
      </c>
      <c r="F53" s="14">
        <f>IF('A1. Data scoring'!K287&lt;&gt;"N/A","Yes","No")</f>
        <v/>
      </c>
      <c r="G53" s="14">
        <f>IF('A1. Data scoring'!L287&lt;&gt;"N/A","Yes","No")</f>
        <v/>
      </c>
      <c r="H53" s="14">
        <f>IF('A1. Data scoring'!M287&lt;&gt;"N/A","Yes","No")</f>
        <v/>
      </c>
      <c r="I53" s="14">
        <f>IF('A1. Data scoring'!N287&lt;&gt;"N/A","Yes","No")</f>
        <v/>
      </c>
      <c r="J53" s="14">
        <f>IF('A1. Data scoring'!O287&lt;&gt;"N/A","Yes","No")</f>
        <v/>
      </c>
      <c r="K53" s="14">
        <f>IF('A1. Data scoring'!P287&lt;&gt;"N/A","Yes","No")</f>
        <v/>
      </c>
      <c r="L53" s="14">
        <f>IF('A1. Data scoring'!Q287&lt;&gt;"N/A","Yes","No")</f>
        <v/>
      </c>
      <c r="M53" s="14">
        <f>IF('A1. Data scoring'!R287&lt;&gt;"N/A","Yes","No")</f>
        <v/>
      </c>
      <c r="N53" s="14">
        <f>IF('A1. Data scoring'!S287&lt;&gt;"N/A","Yes","No")</f>
        <v/>
      </c>
      <c r="O53" s="8">
        <f>COUNTIF(C53:N53,"Yes")</f>
        <v/>
      </c>
    </row>
    <row r="54">
      <c r="B54" s="7" t="inlineStr">
        <is>
          <t>EN1(d)</t>
        </is>
      </c>
      <c r="C54" s="14">
        <f>IF('A1. Data scoring'!H293&lt;&gt;"N/A","Yes","No")</f>
        <v/>
      </c>
      <c r="D54" s="14">
        <f>IF('A1. Data scoring'!I293&lt;&gt;"N/A","Yes","No")</f>
        <v/>
      </c>
      <c r="E54" s="14">
        <f>IF('A1. Data scoring'!J293&lt;&gt;"N/A","Yes","No")</f>
        <v/>
      </c>
      <c r="F54" s="14">
        <f>IF('A1. Data scoring'!K293&lt;&gt;"N/A","Yes","No")</f>
        <v/>
      </c>
      <c r="G54" s="14">
        <f>IF('A1. Data scoring'!L293&lt;&gt;"N/A","Yes","No")</f>
        <v/>
      </c>
      <c r="H54" s="14">
        <f>IF('A1. Data scoring'!M293&lt;&gt;"N/A","Yes","No")</f>
        <v/>
      </c>
      <c r="I54" s="14">
        <f>IF('A1. Data scoring'!N293&lt;&gt;"N/A","Yes","No")</f>
        <v/>
      </c>
      <c r="J54" s="14">
        <f>IF('A1. Data scoring'!O293&lt;&gt;"N/A","Yes","No")</f>
        <v/>
      </c>
      <c r="K54" s="14">
        <f>IF('A1. Data scoring'!P293&lt;&gt;"N/A","Yes","No")</f>
        <v/>
      </c>
      <c r="L54" s="14">
        <f>IF('A1. Data scoring'!Q293&lt;&gt;"N/A","Yes","No")</f>
        <v/>
      </c>
      <c r="M54" s="14">
        <f>IF('A1. Data scoring'!R293&lt;&gt;"N/A","Yes","No")</f>
        <v/>
      </c>
      <c r="N54" s="14">
        <f>IF('A1. Data scoring'!S293&lt;&gt;"N/A","Yes","No")</f>
        <v/>
      </c>
      <c r="O54" s="8">
        <f>COUNTIF(C54:N54,"Yes")</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s>
  <sheetData>
    <row r="1">
      <c r="A1" s="1" t="inlineStr">
        <is>
          <t>↑</t>
        </is>
      </c>
      <c r="B1" s="2" t="inlineStr">
        <is>
          <t>End-2026 target status assessment and reporting</t>
        </is>
      </c>
    </row>
    <row r="2">
      <c r="B2" s="3" t="inlineStr">
        <is>
          <t>T2. Single target review</t>
        </is>
      </c>
    </row>
    <row r="4">
      <c r="B4" s="15" t="inlineStr">
        <is>
          <t>Target selected</t>
        </is>
      </c>
      <c r="C4" s="30" t="inlineStr">
        <is>
          <t>EE1(a)</t>
        </is>
      </c>
      <c r="D4" t="inlineStr">
        <is>
          <t>← select an indicator ref from the dropdown</t>
        </is>
      </c>
    </row>
    <row r="5" ht="45" customHeight="1">
      <c r="B5" s="31" t="inlineStr">
        <is>
          <t>Priority area</t>
        </is>
      </c>
      <c r="C5" s="32">
        <f>IFERROR(INDEX('1. Requirements matrix'!$D$6:$D$53,MATCH($C$4,'1. Requirements matrix'!$B$6:$B$53,0)),"")</f>
        <v/>
      </c>
    </row>
    <row r="6" ht="45" customHeight="1">
      <c r="B6" s="31" t="inlineStr">
        <is>
          <t>Target</t>
        </is>
      </c>
      <c r="C6" s="32">
        <f>IFERROR(INDEX('1. Requirements matrix'!$E$6:$E$53,MATCH($C$4,'1. Requirements matrix'!$B$6:$B$53,0)),"")</f>
        <v/>
      </c>
    </row>
    <row r="7" ht="45" customHeight="1">
      <c r="B7" s="31" t="inlineStr">
        <is>
          <t>Indicator</t>
        </is>
      </c>
      <c r="C7" s="32">
        <f>IFERROR(INDEX('1. Requirements matrix'!$F$6:$F$53,MATCH($C$4,'1. Requirements matrix'!$B$6:$B$53,0)),"")</f>
        <v/>
      </c>
    </row>
    <row r="8" ht="45" customHeight="1">
      <c r="B8" s="31" t="inlineStr">
        <is>
          <t>Reporting requirement</t>
        </is>
      </c>
      <c r="C8" s="32">
        <f>IFERROR(INDEX('1. Requirements matrix'!$G$6:$G$53,MATCH($C$4,'1. Requirements matrix'!$B$6:$B$53,0)),"")</f>
        <v/>
      </c>
    </row>
    <row r="9" ht="45" customHeight="1">
      <c r="B9" s="31" t="inlineStr">
        <is>
          <t>Request issued to</t>
        </is>
      </c>
      <c r="C9" s="32">
        <f>IFERROR(INDEX('1. Requirements matrix'!$I$6:$I$53,MATCH($C$4,'1. Requirements matrix'!$B$6:$B$53,0)),"")</f>
        <v/>
      </c>
    </row>
    <row r="11">
      <c r="B11" s="33" t="inlineStr">
        <is>
          <t>Target score (text)</t>
        </is>
      </c>
      <c r="D11" s="33" t="inlineStr">
        <is>
          <t>Threshold status (SR25 rule)</t>
        </is>
      </c>
      <c r="F11" s="33" t="inlineStr">
        <is>
          <t>% met</t>
        </is>
      </c>
      <c r="H11" s="33" t="inlineStr">
        <is>
          <t>Total valid responses</t>
        </is>
      </c>
      <c r="J11" s="33" t="inlineStr">
        <is>
          <t>Requested, no response received</t>
        </is>
      </c>
    </row>
    <row r="12">
      <c r="B12" s="34">
        <f>IFERROR(INDEX('A1. Data scoring'!$AC$11:$AC$298,MATCH($C$4&amp;"|"&amp;"Confirm end-2026 target status",'A1. Data scoring'!$A$11:$A$298,0)),"")</f>
        <v/>
      </c>
      <c r="D12" s="34">
        <f>IFERROR(INDEX('A1. Data scoring'!$AF$11:$AF$298,MATCH($C$4&amp;"|"&amp;"Confirm end-2026 target status",'A1. Data scoring'!$A$11:$A$298,0)),"")</f>
        <v/>
      </c>
      <c r="F12" s="35">
        <f>IFERROR(INDEX('A1. Data scoring'!$AD$11:$AD$298,MATCH($C$4&amp;"|"&amp;"Confirm end-2026 target status",'A1. Data scoring'!$A$11:$A$298,0)),"")</f>
        <v/>
      </c>
      <c r="H12" s="34">
        <f>IFERROR(INDEX('A1. Data scoring'!$AA$11:$AA$298,MATCH($C$4&amp;"|"&amp;"Confirm end-2026 target status",'A1. Data scoring'!$A$11:$A$298,0)),"")</f>
        <v/>
      </c>
      <c r="J12" s="34">
        <f>IFERROR(INDEX('A1. Data scoring'!$U$11:$U$298,MATCH($C$4&amp;"|"&amp;"Confirm end-2026 target status",'A1. Data scoring'!$A$11:$A$298,0)),"")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Legal &amp; Risk – Risk &amp; resilience</t>
        </is>
      </c>
    </row>
    <row r="15">
      <c r="B15" s="36" t="inlineStr">
        <is>
          <t>Requested?</t>
        </is>
      </c>
      <c r="C15" s="37">
        <f>IFERROR(INDEX('0.5 Target Check'!C$7:C$54,MATCH($C$4,'0.5 Target Check'!$B$7:$B$54,0)),"")</f>
        <v/>
      </c>
      <c r="D15" s="37">
        <f>IFERROR(INDEX('0.5 Target Check'!D$7:D$54,MATCH($C$4,'0.5 Target Check'!$B$7:$B$54,0)),"")</f>
        <v/>
      </c>
      <c r="E15" s="37">
        <f>IFERROR(INDEX('0.5 Target Check'!E$7:E$54,MATCH($C$4,'0.5 Target Check'!$B$7:$B$54,0)),"")</f>
        <v/>
      </c>
      <c r="F15" s="37">
        <f>IFERROR(INDEX('0.5 Target Check'!F$7:F$54,MATCH($C$4,'0.5 Target Check'!$B$7:$B$54,0)),"")</f>
        <v/>
      </c>
      <c r="G15" s="37">
        <f>IFERROR(INDEX('0.5 Target Check'!G$7:G$54,MATCH($C$4,'0.5 Target Check'!$B$7:$B$54,0)),"")</f>
        <v/>
      </c>
      <c r="H15" s="37">
        <f>IFERROR(INDEX('0.5 Target Check'!H$7:H$54,MATCH($C$4,'0.5 Target Check'!$B$7:$B$54,0)),"")</f>
        <v/>
      </c>
      <c r="I15" s="37">
        <f>IFERROR(INDEX('0.5 Target Check'!I$7:I$54,MATCH($C$4,'0.5 Target Check'!$B$7:$B$54,0)),"")</f>
        <v/>
      </c>
      <c r="J15" s="37">
        <f>IFERROR(INDEX('0.5 Target Check'!J$7:J$54,MATCH($C$4,'0.5 Target Check'!$B$7:$B$54,0)),"")</f>
        <v/>
      </c>
      <c r="K15" s="37">
        <f>IFERROR(INDEX('0.5 Target Check'!K$7:K$54,MATCH($C$4,'0.5 Target Check'!$B$7:$B$54,0)),"")</f>
        <v/>
      </c>
      <c r="L15" s="37">
        <f>IFERROR(INDEX('0.5 Target Check'!L$7:L$54,MATCH($C$4,'0.5 Target Check'!$B$7:$B$54,0)),"")</f>
        <v/>
      </c>
      <c r="M15" s="37">
        <f>IFERROR(INDEX('0.5 Target Check'!M$7:M$54,MATCH($C$4,'0.5 Target Check'!$B$7:$B$54,0)),"")</f>
        <v/>
      </c>
      <c r="N15" s="37">
        <f>IFERROR(INDEX('0.5 Target Check'!N$7:N$54,MATCH($C$4,'0.5 Target Check'!$B$7:$B$54,0)),"")</f>
        <v/>
      </c>
    </row>
    <row r="16" ht="45" customHeight="1">
      <c r="B16" s="7" t="inlineStr">
        <is>
          <t>Confirm end-2026 target status</t>
        </is>
      </c>
      <c r="C16" s="8">
        <f>IFERROR(INDEX('A1. Data scoring'!H$11:H$298,MATCH($C$4&amp;"|"&amp;$B16,'A1. Data scoring'!$A$11:$A$298,0)),"")</f>
        <v/>
      </c>
      <c r="D16" s="8">
        <f>IFERROR(INDEX('A1. Data scoring'!I$11:I$298,MATCH($C$4&amp;"|"&amp;$B16,'A1. Data scoring'!$A$11:$A$298,0)),"")</f>
        <v/>
      </c>
      <c r="E16" s="8">
        <f>IFERROR(INDEX('A1. Data scoring'!J$11:J$298,MATCH($C$4&amp;"|"&amp;$B16,'A1. Data scoring'!$A$11:$A$298,0)),"")</f>
        <v/>
      </c>
      <c r="F16" s="8">
        <f>IFERROR(INDEX('A1. Data scoring'!K$11:K$298,MATCH($C$4&amp;"|"&amp;$B16,'A1. Data scoring'!$A$11:$A$298,0)),"")</f>
        <v/>
      </c>
      <c r="G16" s="8">
        <f>IFERROR(INDEX('A1. Data scoring'!L$11:L$298,MATCH($C$4&amp;"|"&amp;$B16,'A1. Data scoring'!$A$11:$A$298,0)),"")</f>
        <v/>
      </c>
      <c r="H16" s="8">
        <f>IFERROR(INDEX('A1. Data scoring'!M$11:M$298,MATCH($C$4&amp;"|"&amp;$B16,'A1. Data scoring'!$A$11:$A$298,0)),"")</f>
        <v/>
      </c>
      <c r="I16" s="8">
        <f>IFERROR(INDEX('A1. Data scoring'!N$11:N$298,MATCH($C$4&amp;"|"&amp;$B16,'A1. Data scoring'!$A$11:$A$298,0)),"")</f>
        <v/>
      </c>
      <c r="J16" s="8">
        <f>IFERROR(INDEX('A1. Data scoring'!O$11:O$298,MATCH($C$4&amp;"|"&amp;$B16,'A1. Data scoring'!$A$11:$A$298,0)),"")</f>
        <v/>
      </c>
      <c r="K16" s="8">
        <f>IFERROR(INDEX('A1. Data scoring'!P$11:P$298,MATCH($C$4&amp;"|"&amp;$B16,'A1. Data scoring'!$A$11:$A$298,0)),"")</f>
        <v/>
      </c>
      <c r="L16" s="8">
        <f>IFERROR(INDEX('A1. Data scoring'!Q$11:Q$298,MATCH($C$4&amp;"|"&amp;$B16,'A1. Data scoring'!$A$11:$A$298,0)),"")</f>
        <v/>
      </c>
      <c r="M16" s="8">
        <f>IFERROR(INDEX('A1. Data scoring'!R$11:R$298,MATCH($C$4&amp;"|"&amp;$B16,'A1. Data scoring'!$A$11:$A$298,0)),"")</f>
        <v/>
      </c>
      <c r="N16" s="8">
        <f>IFERROR(INDEX('A1. Data scoring'!S$11:S$298,MATCH($C$4&amp;"|"&amp;$B16,'A1. Data scoring'!$A$11:$A$298,0)),"")</f>
        <v/>
      </c>
    </row>
    <row r="17" ht="120" customHeight="1">
      <c r="B17" s="7" t="inlineStr">
        <is>
          <t>OPTION 1:  Target-level reporting</t>
        </is>
      </c>
      <c r="C17" s="8">
        <f>IFERROR(INDEX('A1. Data scoring'!H$11:H$298,MATCH($C$4&amp;"|"&amp;$B17,'A1. Data scoring'!$A$11:$A$298,0)),"")</f>
        <v/>
      </c>
      <c r="D17" s="8">
        <f>IFERROR(INDEX('A1. Data scoring'!I$11:I$298,MATCH($C$4&amp;"|"&amp;$B17,'A1. Data scoring'!$A$11:$A$298,0)),"")</f>
        <v/>
      </c>
      <c r="E17" s="8">
        <f>IFERROR(INDEX('A1. Data scoring'!J$11:J$298,MATCH($C$4&amp;"|"&amp;$B17,'A1. Data scoring'!$A$11:$A$298,0)),"")</f>
        <v/>
      </c>
      <c r="F17" s="8">
        <f>IFERROR(INDEX('A1. Data scoring'!K$11:K$298,MATCH($C$4&amp;"|"&amp;$B17,'A1. Data scoring'!$A$11:$A$298,0)),"")</f>
        <v/>
      </c>
      <c r="G17" s="8">
        <f>IFERROR(INDEX('A1. Data scoring'!L$11:L$298,MATCH($C$4&amp;"|"&amp;$B17,'A1. Data scoring'!$A$11:$A$298,0)),"")</f>
        <v/>
      </c>
      <c r="H17" s="8">
        <f>IFERROR(INDEX('A1. Data scoring'!M$11:M$298,MATCH($C$4&amp;"|"&amp;$B17,'A1. Data scoring'!$A$11:$A$298,0)),"")</f>
        <v/>
      </c>
      <c r="I17" s="8">
        <f>IFERROR(INDEX('A1. Data scoring'!N$11:N$298,MATCH($C$4&amp;"|"&amp;$B17,'A1. Data scoring'!$A$11:$A$298,0)),"")</f>
        <v/>
      </c>
      <c r="J17" s="8">
        <f>IFERROR(INDEX('A1. Data scoring'!O$11:O$298,MATCH($C$4&amp;"|"&amp;$B17,'A1. Data scoring'!$A$11:$A$298,0)),"")</f>
        <v/>
      </c>
      <c r="K17" s="8">
        <f>IFERROR(INDEX('A1. Data scoring'!P$11:P$298,MATCH($C$4&amp;"|"&amp;$B17,'A1. Data scoring'!$A$11:$A$298,0)),"")</f>
        <v/>
      </c>
      <c r="L17" s="8">
        <f>IFERROR(INDEX('A1. Data scoring'!Q$11:Q$298,MATCH($C$4&amp;"|"&amp;$B17,'A1. Data scoring'!$A$11:$A$298,0)),"")</f>
        <v/>
      </c>
      <c r="M17" s="8">
        <f>IFERROR(INDEX('A1. Data scoring'!R$11:R$298,MATCH($C$4&amp;"|"&amp;$B17,'A1. Data scoring'!$A$11:$A$298,0)),"")</f>
        <v/>
      </c>
      <c r="N17" s="8">
        <f>IFERROR(INDEX('A1. Data scoring'!S$11:S$298,MATCH($C$4&amp;"|"&amp;$B17,'A1. Data scoring'!$A$11:$A$298,0)),"")</f>
        <v/>
      </c>
    </row>
    <row r="18" ht="120" customHeight="1">
      <c r="B18" s="7" t="inlineStr">
        <is>
          <t>OPTION 2:  Indicator level reporting</t>
        </is>
      </c>
      <c r="C18" s="8">
        <f>IFERROR(INDEX('A1. Data scoring'!H$11:H$298,MATCH($C$4&amp;"|"&amp;$B18,'A1. Data scoring'!$A$11:$A$298,0)),"")</f>
        <v/>
      </c>
      <c r="D18" s="8">
        <f>IFERROR(INDEX('A1. Data scoring'!I$11:I$298,MATCH($C$4&amp;"|"&amp;$B18,'A1. Data scoring'!$A$11:$A$298,0)),"")</f>
        <v/>
      </c>
      <c r="E18" s="8">
        <f>IFERROR(INDEX('A1. Data scoring'!J$11:J$298,MATCH($C$4&amp;"|"&amp;$B18,'A1. Data scoring'!$A$11:$A$298,0)),"")</f>
        <v/>
      </c>
      <c r="F18" s="8">
        <f>IFERROR(INDEX('A1. Data scoring'!K$11:K$298,MATCH($C$4&amp;"|"&amp;$B18,'A1. Data scoring'!$A$11:$A$298,0)),"")</f>
        <v/>
      </c>
      <c r="G18" s="8">
        <f>IFERROR(INDEX('A1. Data scoring'!L$11:L$298,MATCH($C$4&amp;"|"&amp;$B18,'A1. Data scoring'!$A$11:$A$298,0)),"")</f>
        <v/>
      </c>
      <c r="H18" s="8">
        <f>IFERROR(INDEX('A1. Data scoring'!M$11:M$298,MATCH($C$4&amp;"|"&amp;$B18,'A1. Data scoring'!$A$11:$A$298,0)),"")</f>
        <v/>
      </c>
      <c r="I18" s="8">
        <f>IFERROR(INDEX('A1. Data scoring'!N$11:N$298,MATCH($C$4&amp;"|"&amp;$B18,'A1. Data scoring'!$A$11:$A$298,0)),"")</f>
        <v/>
      </c>
      <c r="J18" s="8">
        <f>IFERROR(INDEX('A1. Data scoring'!O$11:O$298,MATCH($C$4&amp;"|"&amp;$B18,'A1. Data scoring'!$A$11:$A$298,0)),"")</f>
        <v/>
      </c>
      <c r="K18" s="8">
        <f>IFERROR(INDEX('A1. Data scoring'!P$11:P$298,MATCH($C$4&amp;"|"&amp;$B18,'A1. Data scoring'!$A$11:$A$298,0)),"")</f>
        <v/>
      </c>
      <c r="L18" s="8">
        <f>IFERROR(INDEX('A1. Data scoring'!Q$11:Q$298,MATCH($C$4&amp;"|"&amp;$B18,'A1. Data scoring'!$A$11:$A$298,0)),"")</f>
        <v/>
      </c>
      <c r="M18" s="8">
        <f>IFERROR(INDEX('A1. Data scoring'!R$11:R$298,MATCH($C$4&amp;"|"&amp;$B18,'A1. Data scoring'!$A$11:$A$298,0)),"")</f>
        <v/>
      </c>
      <c r="N18" s="8">
        <f>IFERROR(INDEX('A1. Data scoring'!S$11:S$298,MATCH($C$4&amp;"|"&amp;$B18,'A1. Data scoring'!$A$11:$A$298,0)),"")</f>
        <v/>
      </c>
    </row>
    <row r="19" ht="45" customHeight="1">
      <c r="B19" s="7" t="inlineStr">
        <is>
          <t>Supporting information/comments</t>
        </is>
      </c>
      <c r="C19" s="8">
        <f>IFERROR(INDEX('A1. Data scoring'!H$11:H$298,MATCH($C$4&amp;"|"&amp;$B19,'A1. Data scoring'!$A$11:$A$298,0)),"")</f>
        <v/>
      </c>
      <c r="D19" s="8">
        <f>IFERROR(INDEX('A1. Data scoring'!I$11:I$298,MATCH($C$4&amp;"|"&amp;$B19,'A1. Data scoring'!$A$11:$A$298,0)),"")</f>
        <v/>
      </c>
      <c r="E19" s="8">
        <f>IFERROR(INDEX('A1. Data scoring'!J$11:J$298,MATCH($C$4&amp;"|"&amp;$B19,'A1. Data scoring'!$A$11:$A$298,0)),"")</f>
        <v/>
      </c>
      <c r="F19" s="8">
        <f>IFERROR(INDEX('A1. Data scoring'!K$11:K$298,MATCH($C$4&amp;"|"&amp;$B19,'A1. Data scoring'!$A$11:$A$298,0)),"")</f>
        <v/>
      </c>
      <c r="G19" s="8">
        <f>IFERROR(INDEX('A1. Data scoring'!L$11:L$298,MATCH($C$4&amp;"|"&amp;$B19,'A1. Data scoring'!$A$11:$A$298,0)),"")</f>
        <v/>
      </c>
      <c r="H19" s="8">
        <f>IFERROR(INDEX('A1. Data scoring'!M$11:M$298,MATCH($C$4&amp;"|"&amp;$B19,'A1. Data scoring'!$A$11:$A$298,0)),"")</f>
        <v/>
      </c>
      <c r="I19" s="8">
        <f>IFERROR(INDEX('A1. Data scoring'!N$11:N$298,MATCH($C$4&amp;"|"&amp;$B19,'A1. Data scoring'!$A$11:$A$298,0)),"")</f>
        <v/>
      </c>
      <c r="J19" s="8">
        <f>IFERROR(INDEX('A1. Data scoring'!O$11:O$298,MATCH($C$4&amp;"|"&amp;$B19,'A1. Data scoring'!$A$11:$A$298,0)),"")</f>
        <v/>
      </c>
      <c r="K19" s="8">
        <f>IFERROR(INDEX('A1. Data scoring'!P$11:P$298,MATCH($C$4&amp;"|"&amp;$B19,'A1. Data scoring'!$A$11:$A$298,0)),"")</f>
        <v/>
      </c>
      <c r="L19" s="8">
        <f>IFERROR(INDEX('A1. Data scoring'!Q$11:Q$298,MATCH($C$4&amp;"|"&amp;$B19,'A1. Data scoring'!$A$11:$A$298,0)),"")</f>
        <v/>
      </c>
      <c r="M19" s="8">
        <f>IFERROR(INDEX('A1. Data scoring'!R$11:R$298,MATCH($C$4&amp;"|"&amp;$B19,'A1. Data scoring'!$A$11:$A$298,0)),"")</f>
        <v/>
      </c>
      <c r="N19" s="8">
        <f>IFERROR(INDEX('A1. Data scoring'!S$11:S$298,MATCH($C$4&amp;"|"&amp;$B19,'A1. Data scoring'!$A$11:$A$298,0)),"")</f>
        <v/>
      </c>
    </row>
    <row r="20" ht="45" customHeight="1">
      <c r="B20" s="7" t="inlineStr">
        <is>
          <t>Data source and limitations</t>
        </is>
      </c>
      <c r="C20" s="8">
        <f>IFERROR(INDEX('A1. Data scoring'!H$11:H$298,MATCH($C$4&amp;"|"&amp;$B20,'A1. Data scoring'!$A$11:$A$298,0)),"")</f>
        <v/>
      </c>
      <c r="D20" s="8">
        <f>IFERROR(INDEX('A1. Data scoring'!I$11:I$298,MATCH($C$4&amp;"|"&amp;$B20,'A1. Data scoring'!$A$11:$A$298,0)),"")</f>
        <v/>
      </c>
      <c r="E20" s="8">
        <f>IFERROR(INDEX('A1. Data scoring'!J$11:J$298,MATCH($C$4&amp;"|"&amp;$B20,'A1. Data scoring'!$A$11:$A$298,0)),"")</f>
        <v/>
      </c>
      <c r="F20" s="8">
        <f>IFERROR(INDEX('A1. Data scoring'!K$11:K$298,MATCH($C$4&amp;"|"&amp;$B20,'A1. Data scoring'!$A$11:$A$298,0)),"")</f>
        <v/>
      </c>
      <c r="G20" s="8">
        <f>IFERROR(INDEX('A1. Data scoring'!L$11:L$298,MATCH($C$4&amp;"|"&amp;$B20,'A1. Data scoring'!$A$11:$A$298,0)),"")</f>
        <v/>
      </c>
      <c r="H20" s="8">
        <f>IFERROR(INDEX('A1. Data scoring'!M$11:M$298,MATCH($C$4&amp;"|"&amp;$B20,'A1. Data scoring'!$A$11:$A$298,0)),"")</f>
        <v/>
      </c>
      <c r="I20" s="8">
        <f>IFERROR(INDEX('A1. Data scoring'!N$11:N$298,MATCH($C$4&amp;"|"&amp;$B20,'A1. Data scoring'!$A$11:$A$298,0)),"")</f>
        <v/>
      </c>
      <c r="J20" s="8">
        <f>IFERROR(INDEX('A1. Data scoring'!O$11:O$298,MATCH($C$4&amp;"|"&amp;$B20,'A1. Data scoring'!$A$11:$A$298,0)),"")</f>
        <v/>
      </c>
      <c r="K20" s="8">
        <f>IFERROR(INDEX('A1. Data scoring'!P$11:P$298,MATCH($C$4&amp;"|"&amp;$B20,'A1. Data scoring'!$A$11:$A$298,0)),"")</f>
        <v/>
      </c>
      <c r="L20" s="8">
        <f>IFERROR(INDEX('A1. Data scoring'!Q$11:Q$298,MATCH($C$4&amp;"|"&amp;$B20,'A1. Data scoring'!$A$11:$A$298,0)),"")</f>
        <v/>
      </c>
      <c r="M20" s="8">
        <f>IFERROR(INDEX('A1. Data scoring'!R$11:R$298,MATCH($C$4&amp;"|"&amp;$B20,'A1. Data scoring'!$A$11:$A$298,0)),"")</f>
        <v/>
      </c>
      <c r="N20" s="8">
        <f>IFERROR(INDEX('A1. Data scoring'!S$11:S$298,MATCH($C$4&amp;"|"&amp;$B20,'A1. Data scoring'!$A$11:$A$298,0)),"")</f>
        <v/>
      </c>
    </row>
    <row r="21" ht="45" customHeight="1">
      <c r="B21" s="7" t="inlineStr">
        <is>
          <t>Data owner confirms</t>
        </is>
      </c>
      <c r="C21" s="8">
        <f>IFERROR(INDEX('A1. Data scoring'!H$11:H$298,MATCH($C$4&amp;"|"&amp;$B21,'A1. Data scoring'!$A$11:$A$298,0)),"")</f>
        <v/>
      </c>
      <c r="D21" s="8">
        <f>IFERROR(INDEX('A1. Data scoring'!I$11:I$298,MATCH($C$4&amp;"|"&amp;$B21,'A1. Data scoring'!$A$11:$A$298,0)),"")</f>
        <v/>
      </c>
      <c r="E21" s="8">
        <f>IFERROR(INDEX('A1. Data scoring'!J$11:J$298,MATCH($C$4&amp;"|"&amp;$B21,'A1. Data scoring'!$A$11:$A$298,0)),"")</f>
        <v/>
      </c>
      <c r="F21" s="8">
        <f>IFERROR(INDEX('A1. Data scoring'!K$11:K$298,MATCH($C$4&amp;"|"&amp;$B21,'A1. Data scoring'!$A$11:$A$298,0)),"")</f>
        <v/>
      </c>
      <c r="G21" s="8">
        <f>IFERROR(INDEX('A1. Data scoring'!L$11:L$298,MATCH($C$4&amp;"|"&amp;$B21,'A1. Data scoring'!$A$11:$A$298,0)),"")</f>
        <v/>
      </c>
      <c r="H21" s="8">
        <f>IFERROR(INDEX('A1. Data scoring'!M$11:M$298,MATCH($C$4&amp;"|"&amp;$B21,'A1. Data scoring'!$A$11:$A$298,0)),"")</f>
        <v/>
      </c>
      <c r="I21" s="8">
        <f>IFERROR(INDEX('A1. Data scoring'!N$11:N$298,MATCH($C$4&amp;"|"&amp;$B21,'A1. Data scoring'!$A$11:$A$298,0)),"")</f>
        <v/>
      </c>
      <c r="J21" s="8">
        <f>IFERROR(INDEX('A1. Data scoring'!O$11:O$298,MATCH($C$4&amp;"|"&amp;$B21,'A1. Data scoring'!$A$11:$A$298,0)),"")</f>
        <v/>
      </c>
      <c r="K21" s="8">
        <f>IFERROR(INDEX('A1. Data scoring'!P$11:P$298,MATCH($C$4&amp;"|"&amp;$B21,'A1. Data scoring'!$A$11:$A$298,0)),"")</f>
        <v/>
      </c>
      <c r="L21" s="8">
        <f>IFERROR(INDEX('A1. Data scoring'!Q$11:Q$298,MATCH($C$4&amp;"|"&amp;$B21,'A1. Data scoring'!$A$11:$A$298,0)),"")</f>
        <v/>
      </c>
      <c r="M21" s="8">
        <f>IFERROR(INDEX('A1. Data scoring'!R$11:R$298,MATCH($C$4&amp;"|"&amp;$B21,'A1. Data scoring'!$A$11:$A$298,0)),"")</f>
        <v/>
      </c>
      <c r="N21" s="8">
        <f>IFERROR(INDEX('A1. Data scoring'!S$11:S$298,MATCH($C$4&amp;"|"&amp;$B21,'A1. Data scoring'!$A$11:$A$298,0)),"")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matrix'!$B$6:$B$53</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23"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38" t="inlineStr">
        <is>
          <t>Faculty/Portfolio</t>
        </is>
      </c>
      <c r="C8" s="38" t="inlineStr">
        <is>
          <t>Title</t>
        </is>
      </c>
      <c r="D8" s="38" t="inlineStr">
        <is>
          <t>Description</t>
        </is>
      </c>
      <c r="E8" s="38" t="inlineStr">
        <is>
          <t>Related Sustainability 2030 targets (optional)</t>
        </is>
      </c>
      <c r="F8" s="38" t="inlineStr">
        <is>
          <t>Images and other media</t>
        </is>
      </c>
      <c r="G8" s="38" t="inlineStr">
        <is>
          <t>Links and supporting documentation</t>
        </is>
      </c>
      <c r="H8" s="38" t="inlineStr">
        <is>
          <t>SST: shortlisted for case study?</t>
        </is>
      </c>
      <c r="I8" s="38" t="inlineStr">
        <is>
          <t>SST: permission to publish confirmed?</t>
        </is>
      </c>
      <c r="J8" s="38" t="inlineStr">
        <is>
          <t>SST notes</t>
        </is>
      </c>
    </row>
    <row r="9" ht="90" customHeight="1">
      <c r="B9" s="39" t="inlineStr"/>
      <c r="C9" s="39" t="inlineStr"/>
      <c r="D9" s="3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39" t="inlineStr"/>
      <c r="F9" s="39" t="inlineStr">
        <is>
          <t>(link to OneDrive/SharePoint files or published online content preferred)</t>
        </is>
      </c>
      <c r="G9" s="39" t="inlineStr"/>
      <c r="H9" s="39" t="inlineStr"/>
      <c r="I9" s="39" t="inlineStr"/>
      <c r="J9" s="39"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Legal &amp; Risk asked for climate resilience maturity CL3(a), following SR25 (8a(i)/(ii): University Risk 16 Climate Change; flood emergency response plans). CL3(a) is also with CI&amp;S (Gerard) – agree who leads.</t>
        </is>
      </c>
      <c r="E10" s="8" t="inlineStr">
        <is>
          <t>CL3(a); L&amp;R; CI&amp;S</t>
        </is>
      </c>
      <c r="F10" s="8" t="inlineStr">
        <is>
          <t>Stefanus</t>
        </is>
      </c>
      <c r="G10" s="8" t="inlineStr">
        <is>
          <t>Confirm with Gerard</t>
        </is>
      </c>
      <c r="H10" s="8" t="inlineStr">
        <is>
          <t>Open</t>
        </is>
      </c>
    </row>
    <row r="11">
      <c r="B11" s="8" t="n">
        <v>7</v>
      </c>
      <c r="C11" s="17" t="n">
        <v>46300</v>
      </c>
      <c r="D11" s="8" t="inlineStr">
        <is>
          <t>TR2(b) 'Documented progress of strategic initiatives, incl. Impact Accelerators' reuses the TR2(d) case-study wording and has no stakeholder in the Qual sheet – left as-is.</t>
        </is>
      </c>
      <c r="E11" s="8" t="inlineStr">
        <is>
          <t>TR2(b)</t>
        </is>
      </c>
      <c r="F11" s="8" t="inlineStr">
        <is>
          <t>TBC</t>
        </is>
      </c>
      <c r="G11" s="8" t="inlineStr">
        <is>
          <t>Review wording/owner</t>
        </is>
      </c>
      <c r="H11" s="8" t="inlineStr">
        <is>
          <t>Open</t>
        </is>
      </c>
    </row>
    <row r="12">
      <c r="B12" s="8" t="n">
        <v>8</v>
      </c>
      <c r="C12" s="17" t="n">
        <v>46300</v>
      </c>
      <c r="D12" s="8" t="inlineStr">
        <is>
          <t>Several rows in the Qual sheet are quantitative (GHG inventory, intensity, waste, procurement spend %, AUM %, biodiversity metrics) and have no stakeholder – routed to the Databook mapping tab, not requested from units.</t>
        </is>
      </c>
      <c r="E12" s="8" t="inlineStr">
        <is>
          <t>CL1(a)-(b); CL2(b); NB1(a); CE1-2; RP2; RI1(a)</t>
        </is>
      </c>
      <c r="F12" s="8" t="inlineStr">
        <is>
          <t>TBC</t>
        </is>
      </c>
      <c r="G12" s="8" t="inlineStr">
        <is>
          <t>Confirm Databook coverage</t>
        </is>
      </c>
      <c r="H12" s="8" t="inlineStr">
        <is>
          <t>Open</t>
        </is>
      </c>
    </row>
    <row r="13">
      <c r="B13" s="8" t="n">
        <v>9</v>
      </c>
      <c r="C13" s="17" t="n">
        <v>46300</v>
      </c>
      <c r="D13" s="8" t="inlineStr">
        <is>
          <t>Target status rating (Met/Partially met/Not met) retained pending revamp of the traffic-light framework.</t>
        </is>
      </c>
      <c r="E13" s="8" t="inlineStr">
        <is>
          <t>All</t>
        </is>
      </c>
      <c r="F13" s="8" t="inlineStr">
        <is>
          <t>Director, Sustainability</t>
        </is>
      </c>
      <c r="G13" s="8" t="inlineStr">
        <is>
          <t>Update templates once agreed</t>
        </is>
      </c>
      <c r="H13" s="8" t="inlineStr">
        <is>
          <t>Open</t>
        </is>
      </c>
    </row>
    <row r="14">
      <c r="B14" s="8" t="n">
        <v>10</v>
      </c>
      <c r="C14" s="17" t="n">
        <v>46300</v>
      </c>
      <c r="D14" s="8" t="inlineStr">
        <is>
          <t>Due dates are placeholders based on the SR26 approach timeline (stories early Dec; requests due January).</t>
        </is>
      </c>
      <c r="E14" s="8" t="inlineStr">
        <is>
          <t>All</t>
        </is>
      </c>
      <c r="F14" s="8" t="inlineStr">
        <is>
          <t>TBC</t>
        </is>
      </c>
      <c r="G14" s="8" t="inlineStr">
        <is>
          <t>Confirm dates</t>
        </is>
      </c>
      <c r="H14" s="8" t="inlineStr">
        <is>
          <t>Open</t>
        </is>
      </c>
    </row>
    <row r="15">
      <c r="B15" s="8" t="n">
        <v>11</v>
      </c>
      <c r="C15" s="17" t="n">
        <v>46300</v>
      </c>
      <c r="D15" s="8" t="inlineStr">
        <is>
          <t>20 indicators are requested from each faculty (SR25 sent 10). Monitor burden in pilot.</t>
        </is>
      </c>
      <c r="E15" s="8" t="inlineStr">
        <is>
          <t>Faculties</t>
        </is>
      </c>
      <c r="F15" s="8" t="inlineStr">
        <is>
          <t>TBC</t>
        </is>
      </c>
      <c r="G15" s="8" t="inlineStr">
        <is>
          <t>Review after pilot</t>
        </is>
      </c>
      <c r="H15" s="8" t="inlineStr">
        <is>
          <t>Open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P0. Project overview</t>
        </is>
      </c>
    </row>
    <row r="4">
      <c r="B4" s="11" t="inlineStr">
        <is>
          <t>1. Purpose</t>
        </is>
      </c>
    </row>
    <row r="5" ht="30" customHeight="1">
      <c r="B5" s="4" t="inlineStr">
        <is>
          <t>This workbook</t>
        </is>
      </c>
      <c r="C5" s="5" t="inlineStr">
        <is>
          <t>Single working file for SR26 data collection and project delivery: requirements, requests, responses, scoring, evidence, plus project plan, timeline, comms/web to-do list and content-contributor checklist (P-tabs).</t>
        </is>
      </c>
    </row>
    <row r="6" ht="30" customHeight="1">
      <c r="B6" s="4" t="inlineStr">
        <is>
          <t>SR26 in one line</t>
        </is>
      </c>
      <c r="C6" s="5" t="inlineStr">
        <is>
          <t>Transition-year report covering CY2026: distinguish activity under the former Sustainability Plan 2030 from foundations and early actions after the Sustainability 2030 launch (~20 Oct 2026 TBC). No published traffic lights in 2026.</t>
        </is>
      </c>
    </row>
    <row r="8">
      <c r="B8" s="11" t="inlineStr">
        <is>
          <t>2. Lessons from SR25 and actions for SR26</t>
        </is>
      </c>
    </row>
    <row r="9" ht="30" customHeight="1">
      <c r="B9" s="4" t="inlineStr">
        <is>
          <t>Keep tailored data requests</t>
        </is>
      </c>
      <c r="C9" s="5" t="inlineStr">
        <is>
          <t>SR25 streamlined requests achieved a 100% response rate → keep targeted, faculty-specific requests (see Request wording log); avoid complex requests.</t>
        </is>
      </c>
    </row>
    <row r="10" ht="20" customHeight="1">
      <c r="B10" s="4" t="inlineStr">
        <is>
          <t>Keep independent senior review</t>
        </is>
      </c>
      <c r="C10" s="5" t="inlineStr">
        <is>
          <t>Retain Target Status Review Group as the Sustainability Reporting Review Group (~15 Feb 2027).</t>
        </is>
      </c>
    </row>
    <row r="11" ht="30" customHeight="1">
      <c r="B11" s="4" t="inlineStr">
        <is>
          <t>Strengthen data controls</t>
        </is>
      </c>
      <c r="C11" s="5" t="inlineStr">
        <is>
          <t>Central Evidence register, data owner confirmation (columns Q–R on every request), data source records, Databook alignment.</t>
        </is>
      </c>
    </row>
    <row r="12" ht="20" customHeight="1">
      <c r="B12" s="4" t="inlineStr">
        <is>
          <t>Integrate with Annual Report</t>
        </is>
      </c>
      <c r="C12" s="5" t="inlineStr">
        <is>
          <t>Engage Annual Report team in October; shared dependency map; late operational data (Feb–Mar) on a later pathway.</t>
        </is>
      </c>
    </row>
    <row r="13" ht="20" customHeight="1">
      <c r="B13" s="4" t="inlineStr">
        <is>
          <t>Agree comms roles early</t>
        </is>
      </c>
      <c r="C13" s="5" t="inlineStr">
        <is>
          <t>RASCI with Strategic Communications, comms, digital and design at project start (P2).</t>
        </is>
      </c>
    </row>
    <row r="14" ht="20" customHeight="1">
      <c r="B14" s="4" t="inlineStr">
        <is>
          <t>Plan web and close from the outset</t>
        </is>
      </c>
      <c r="C14" s="5" t="inlineStr">
        <is>
          <t>Year-specific report URL, central landing page, analytics measures agreed before launch, formal retrospective (P3, P2).</t>
        </is>
      </c>
    </row>
    <row r="15" ht="30" customHeight="1">
      <c r="B15" s="4" t="inlineStr">
        <is>
          <t>Simpler project management</t>
        </is>
      </c>
      <c r="C15" s="5" t="inlineStr">
        <is>
          <t>This simplified tracker; induction walkthrough; direct messages for assigned tasks, group channel for shared updates; blocker escalation as a standing meeting item.</t>
        </is>
      </c>
    </row>
    <row r="16" ht="30" customHeight="1">
      <c r="B16" s="4" t="inlineStr">
        <is>
          <t>Follow up non-approval</t>
        </is>
      </c>
      <c r="C16" s="5" t="inlineStr">
        <is>
          <t>SR25: FBE filled in the template but did not approve; Science disagreed with metrics → track 'Owner confirmed' in the Request tracker and chase; offer January support meetings.</t>
        </is>
      </c>
    </row>
    <row r="18">
      <c r="B18" s="11" t="inlineStr">
        <is>
          <t>3. How to use this workbook</t>
        </is>
      </c>
    </row>
    <row r="19" ht="30" customHeight="1">
      <c r="B19" s="4" t="inlineStr">
        <is>
          <t>Records management</t>
        </is>
      </c>
      <c r="C19" s="5" t="inlineStr">
        <is>
          <t>Save on the Sustainability Strategy Team SharePoint (Sustainability report 2026 &gt; Report development). One document owner per working file; notify collaborators when a new version is saved. Avoid extra sub-folders in the data folder.</t>
        </is>
      </c>
    </row>
    <row r="20" ht="30" customHeight="1">
      <c r="B20" s="4" t="inlineStr">
        <is>
          <t>Responses</t>
        </is>
      </c>
      <c r="C20" s="5" t="inlineStr">
        <is>
          <t>Paste returned responses into the Faculties / central-unit tabs without inserting rows inside a block (A1/0.5/T2 formulas look up by Ref).</t>
        </is>
      </c>
    </row>
    <row r="21" ht="20" customHeight="1">
      <c r="B21" s="4" t="inlineStr">
        <is>
          <t>Regenerating</t>
        </is>
      </c>
      <c r="C21" s="5" t="inlineStr">
        <is>
          <t>Templates are generated by build.py – update settings there to add faculties/units, then re-run.</t>
        </is>
      </c>
    </row>
    <row r="23">
      <c r="B23" s="11" t="inlineStr">
        <is>
          <t>4. Key reference documents</t>
        </is>
      </c>
    </row>
    <row r="24" ht="20" customHeight="1">
      <c r="B24" s="4" t="inlineStr">
        <is>
          <t>SR26 approach</t>
        </is>
      </c>
      <c r="C24" s="5" t="inlineStr">
        <is>
          <t>2026 Sustainability reporting approach &amp; target status assessment framework – DRAFT Sep 2026</t>
        </is>
      </c>
    </row>
    <row r="25" ht="45" customHeight="1">
      <c r="B25" s="4" t="inlineStr">
        <is>
          <t>SR25 documents</t>
        </is>
      </c>
      <c r="C25" s="5" t="inlineStr">
        <is>
          <t>SR25 Reporting framework (Jan 2026); Faculty/portfolio engagement plan and comms 2025-26; 2025 end-year reporting master spreadsheet V0.2; Target status review process doc (Jan 2026); Target status assessment (final 18.3.26); SR25 Final (Word); SR25 Project close report and key lessons learnt</t>
        </is>
      </c>
    </row>
    <row r="26" ht="20" customHeight="1">
      <c r="B26" s="4" t="inlineStr">
        <is>
          <t>Targets</t>
        </is>
      </c>
      <c r="C26" s="5" t="inlineStr">
        <is>
          <t>Sustainability 2030 Updated Targets (Not for distribution) – Qual and Quan worksheets</t>
        </is>
      </c>
    </row>
    <row r="28">
      <c r="B28" s="11" t="inlineStr">
        <is>
          <t>5. Team processes</t>
        </is>
      </c>
    </row>
    <row r="29" ht="20" customHeight="1">
      <c r="B29" s="4" t="inlineStr">
        <is>
          <t>Meetings</t>
        </is>
      </c>
      <c r="C29" s="5" t="inlineStr">
        <is>
          <t>Weekly production meeting (SST + comms/design); standing items: progress, blockers/escalation, decisions.</t>
        </is>
      </c>
    </row>
    <row r="30" ht="20" customHeight="1">
      <c r="B30" s="4" t="inlineStr">
        <is>
          <t>Communication</t>
        </is>
      </c>
      <c r="C30" s="5" t="inlineStr">
        <is>
          <t>Direct messages for individual tasks; group channel for shared updates.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P1. SR26 Project plan on a page</t>
        </is>
      </c>
    </row>
    <row r="4">
      <c r="B4" s="11" t="inlineStr">
        <is>
          <t>Project plan on a page</t>
        </is>
      </c>
    </row>
    <row r="5" ht="20" customHeight="1">
      <c r="B5" s="4" t="inlineStr">
        <is>
          <t>Version control</t>
        </is>
      </c>
      <c r="C5" s="5" t="inlineStr">
        <is>
          <t>DRAFT v0.1 – based on SR26 approach (Sep 2026)</t>
        </is>
      </c>
    </row>
    <row r="6" ht="30" customHeight="1">
      <c r="B6" s="4" t="inlineStr">
        <is>
          <t>Context</t>
        </is>
      </c>
      <c r="C6" s="5" t="inlineStr">
        <is>
          <t>The annual Sustainability Report is the University's core public account of sustainability progress. SR26 is a transition report following the refreshed Sustainability 2030 launch (~20 Oct 2026).</t>
        </is>
      </c>
    </row>
    <row r="7" ht="60" customHeight="1">
      <c r="B7" s="4" t="inlineStr">
        <is>
          <t>Objectives / principles</t>
        </is>
      </c>
      <c r="C7" s="5" t="inlineStr">
        <is>
          <t>Accurate and transparent (clear transition-year framing) • Fit-for-purpose (request only what is necessary, available and usable) • Evidence-led (each request linked to an indicator, report use and evidence) • Integrated (Databook is the primary quantitative source) • Reusable (templates and roles for 2027+) • Accessible (one web page per priority area: narrative + case studies) • Credible (independent review; traffic-light ratings deferred to 2027 reporting)</t>
        </is>
      </c>
    </row>
    <row r="8" ht="30" customHeight="1">
      <c r="B8" s="4" t="inlineStr">
        <is>
          <t>Reporting model</t>
        </is>
      </c>
      <c r="C8" s="5" t="inlineStr">
        <is>
          <t>Webpages by priority area; transition-year framing; no published traffic lights (internal ratings only); Databook for quantitative data; targeted qualitative requests; early case-study pipeline; Sustainability Reporting Review Group.</t>
        </is>
      </c>
    </row>
    <row r="9" ht="20" customHeight="1">
      <c r="B9" s="4" t="inlineStr">
        <is>
          <t>Workstreams</t>
        </is>
      </c>
      <c r="C9" s="5" t="inlineStr">
        <is>
          <t>Governance • Data collection &amp; analysis (this workbook) • Content development • Communications &amp; web build</t>
        </is>
      </c>
    </row>
    <row r="10" ht="60" customHeight="1">
      <c r="B10" s="4" t="inlineStr">
        <is>
          <t>Key stakeholders</t>
        </is>
      </c>
      <c r="C10" s="5" t="inlineStr">
        <is>
          <t>Director, Sustainability (decision owner) • COO • VCAG • University Executive • University Council • Investment Management Committee • Sustainability Reporting Review Group • Associate Deans Sustainability • Priority-area working groups • Central data owners (CI&amp;S, CFOG, ESG, CIOG, MRE, Legal &amp; Risk) • Strategic Communications, digital &amp; design • University Annual Report team</t>
        </is>
      </c>
    </row>
    <row r="11" ht="30" customHeight="1">
      <c r="B11" s="4" t="inlineStr">
        <is>
          <t>Phases</t>
        </is>
      </c>
      <c r="C11" s="5" t="inlineStr">
        <is>
          <t>Sep–Oct 2026 Set-up • Oct 2026 Process design &amp; launch • Nov–Dec 2026 Evidence collection • Jan 2027 Drafting &amp; validation • Feb–May 2027 Review &amp; governance • May–Jun 2027 Publication &amp; close-out</t>
        </is>
      </c>
    </row>
    <row r="12" ht="30" customHeight="1">
      <c r="B12" s="4" t="inlineStr">
        <is>
          <t>Outputs</t>
        </is>
      </c>
      <c r="C12" s="5" t="inlineStr">
        <is>
          <t>Requirements matrix • Request templates • Evidence register • Case-study pipeline • Draft report &amp; issues paper • VCAG/UE/Council papers • Report website • Retrospective</t>
        </is>
      </c>
    </row>
    <row r="13" ht="30" customHeight="1">
      <c r="B13" s="4" t="inlineStr">
        <is>
          <t>Success measures</t>
        </is>
      </c>
      <c r="C13" s="5" t="inlineStr">
        <is>
          <t>Response rate • Reporting burden • Project effort • Data-quality issues • Web sessions, users and views • Stakeholder feedback</t>
        </is>
      </c>
    </row>
    <row r="15">
      <c r="B15" s="11" t="inlineStr">
        <is>
          <t>Key risks and controls</t>
        </is>
      </c>
    </row>
    <row r="16" ht="20" customHeight="1">
      <c r="B16" s="4" t="inlineStr">
        <is>
          <t>Full-year implication</t>
        </is>
      </c>
      <c r="C16" s="5" t="inlineStr">
        <is>
          <t>Report implies a full year of progress against targets launched 20 Oct → explicit transition-year framing.</t>
        </is>
      </c>
    </row>
    <row r="17" ht="30" customHeight="1">
      <c r="B17" s="4" t="inlineStr">
        <is>
          <t>Onerous requests</t>
        </is>
      </c>
      <c r="C17" s="5" t="inlineStr">
        <is>
          <t>Requests onerous or non-comparable → necessity and usability test; pilot templates; don't ask for data areas can't hold.</t>
        </is>
      </c>
    </row>
    <row r="18" ht="30" customHeight="1">
      <c r="B18" s="4" t="inlineStr">
        <is>
          <t>Databook overlap</t>
        </is>
      </c>
      <c r="C18" s="5" t="inlineStr">
        <is>
          <t>Databook and narrative requests overlap/conflict → one requirements matrix and evidence register; one source of truth per indicator.</t>
        </is>
      </c>
    </row>
    <row r="19" ht="20" customHeight="1">
      <c r="B19" s="4" t="inlineStr">
        <is>
          <t>New working groups</t>
        </is>
      </c>
      <c r="C19" s="5" t="inlineStr">
        <is>
          <t>Asked to evidence delivery before established → maturity-based 2026 request.</t>
        </is>
      </c>
    </row>
    <row r="20" ht="20" customHeight="1">
      <c r="B20" s="4" t="inlineStr">
        <is>
          <t>Case studies dominate</t>
        </is>
      </c>
      <c r="C20" s="5" t="inlineStr">
        <is>
          <t>→ selection criteria: relevance, evidence, outcome, transferability, balance, permission.</t>
        </is>
      </c>
    </row>
    <row r="21" ht="20" customHeight="1">
      <c r="B21" s="4" t="inlineStr">
        <is>
          <t>Late responses</t>
        </is>
      </c>
      <c r="C21" s="5" t="inlineStr">
        <is>
          <t>→ issue requirements early, support meetings, senior sponsorship, escalate gaps.</t>
        </is>
      </c>
    </row>
    <row r="22" ht="20" customHeight="1">
      <c r="B22" s="4" t="inlineStr">
        <is>
          <t>Review group role</t>
        </is>
      </c>
      <c r="C22" s="5" t="inlineStr">
        <is>
          <t>Unclear without traffic lights → approve review criteria and decision rights in advance.</t>
        </is>
      </c>
    </row>
    <row r="23" ht="20" customHeight="1">
      <c r="B23" s="4" t="inlineStr">
        <is>
          <t>Annual Report divergence</t>
        </is>
      </c>
      <c r="C23" s="5" t="inlineStr">
        <is>
          <t>→ engage in October; shared dependency/data map; reconcile shared figures.</t>
        </is>
      </c>
    </row>
    <row r="25">
      <c r="B25" s="11" t="inlineStr">
        <is>
          <t>Decisions required (from SR26 approach)</t>
        </is>
      </c>
    </row>
    <row r="26" ht="20" customHeight="1">
      <c r="B26" s="4" t="inlineStr">
        <is>
          <t>1. Transition-year model</t>
        </is>
      </c>
      <c r="C26" s="5" t="inlineStr">
        <is>
          <t>Director, Sustainability – Approved (internal traffic lights: sub-decision)</t>
        </is>
      </c>
    </row>
    <row r="27" ht="20" customHeight="1">
      <c r="B27" s="4" t="inlineStr">
        <is>
          <t>2. Evidence &amp; engagement model</t>
        </is>
      </c>
      <c r="C27" s="5" t="inlineStr">
        <is>
          <t>Director, Sustainability – Pending (awaiting Stefanus' WIP)</t>
        </is>
      </c>
    </row>
    <row r="28" ht="20" customHeight="1">
      <c r="B28" s="4" t="inlineStr">
        <is>
          <t>3. Assurance &amp; governance pathway</t>
        </is>
      </c>
      <c r="C28" s="5" t="inlineStr">
        <is>
          <t>Director, Sustainability – Closed</t>
        </is>
      </c>
    </row>
    <row r="29" ht="20" customHeight="1">
      <c r="B29" s="4" t="inlineStr">
        <is>
          <t>4. Modern slavery timeline alignment</t>
        </is>
      </c>
      <c r="C29" s="5" t="inlineStr">
        <is>
          <t>Director, Sustainability (and Head of Procurement) – Open, watch item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G49"/>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4" customWidth="1" min="1" max="1"/>
    <col width="52" customWidth="1" min="2" max="2"/>
    <col width="22" customWidth="1" min="3" max="3"/>
    <col width="11" customWidth="1" min="4" max="4"/>
    <col width="11" customWidth="1" min="5" max="5"/>
    <col width="14" customWidth="1" min="6" max="6"/>
    <col width="16" customWidth="1" min="7" max="7"/>
    <col width="12" customWidth="1" min="8" max="8"/>
    <col width="14" customWidth="1" min="9" max="9"/>
    <col width="10" customWidth="1" min="10" max="10"/>
    <col width="14"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s>
  <sheetData>
    <row r="1">
      <c r="A1" s="1" t="inlineStr">
        <is>
          <t>↑</t>
        </is>
      </c>
      <c r="B1" s="2" t="inlineStr">
        <is>
          <t>2026 Sustainability Report</t>
        </is>
      </c>
    </row>
    <row r="2">
      <c r="B2" s="3" t="inlineStr">
        <is>
          <t>P2. Timeline, RASCI &amp; task register</t>
        </is>
      </c>
    </row>
    <row r="3">
      <c r="B3" s="9" t="inlineStr">
        <is>
          <t>Indicative dates from the SR26 approach – confirm governance dates with governance offices. Gantt bars fill automatically from Start/End.</t>
        </is>
      </c>
    </row>
    <row r="8">
      <c r="L8" s="15" t="inlineStr">
        <is>
          <t>Sep</t>
        </is>
      </c>
      <c r="M8" s="15" t="inlineStr"/>
      <c r="N8" s="15" t="inlineStr"/>
      <c r="O8" s="15" t="inlineStr"/>
      <c r="P8" s="15" t="inlineStr">
        <is>
          <t>Oct</t>
        </is>
      </c>
      <c r="Q8" s="15" t="inlineStr"/>
      <c r="R8" s="15" t="inlineStr"/>
      <c r="S8" s="15" t="inlineStr"/>
      <c r="T8" s="15" t="inlineStr">
        <is>
          <t>Nov</t>
        </is>
      </c>
      <c r="U8" s="15" t="inlineStr"/>
      <c r="V8" s="15" t="inlineStr"/>
      <c r="W8" s="15" t="inlineStr"/>
      <c r="X8" s="15" t="inlineStr"/>
      <c r="Y8" s="15" t="inlineStr">
        <is>
          <t>Dec</t>
        </is>
      </c>
      <c r="Z8" s="15" t="inlineStr"/>
      <c r="AA8" s="15" t="inlineStr"/>
      <c r="AB8" s="15" t="inlineStr"/>
      <c r="AC8" s="15" t="inlineStr">
        <is>
          <t>Jan</t>
        </is>
      </c>
      <c r="AD8" s="15" t="inlineStr"/>
      <c r="AE8" s="15" t="inlineStr"/>
      <c r="AF8" s="15" t="inlineStr"/>
      <c r="AG8" s="15" t="inlineStr">
        <is>
          <t>Feb</t>
        </is>
      </c>
      <c r="AH8" s="15" t="inlineStr"/>
      <c r="AI8" s="15" t="inlineStr"/>
      <c r="AJ8" s="15" t="inlineStr"/>
      <c r="AK8" s="15" t="inlineStr">
        <is>
          <t>Mar</t>
        </is>
      </c>
      <c r="AL8" s="15" t="inlineStr"/>
      <c r="AM8" s="15" t="inlineStr"/>
      <c r="AN8" s="15" t="inlineStr"/>
      <c r="AO8" s="15" t="inlineStr"/>
      <c r="AP8" s="15" t="inlineStr">
        <is>
          <t>Apr</t>
        </is>
      </c>
      <c r="AQ8" s="15" t="inlineStr"/>
      <c r="AR8" s="15" t="inlineStr"/>
      <c r="AS8" s="15" t="inlineStr"/>
      <c r="AT8" s="15" t="inlineStr">
        <is>
          <t>May</t>
        </is>
      </c>
      <c r="AU8" s="15" t="inlineStr"/>
      <c r="AV8" s="15" t="inlineStr"/>
      <c r="AW8" s="15" t="inlineStr"/>
      <c r="AX8" s="15" t="inlineStr"/>
      <c r="AY8" s="15" t="inlineStr">
        <is>
          <t>Jun</t>
        </is>
      </c>
      <c r="AZ8" s="15" t="inlineStr"/>
      <c r="BA8" s="15" t="inlineStr"/>
      <c r="BB8" s="15" t="inlineStr"/>
      <c r="BC8" s="15" t="inlineStr">
        <is>
          <t>Jul</t>
        </is>
      </c>
      <c r="BD8" s="15" t="inlineStr"/>
      <c r="BE8" s="15" t="inlineStr"/>
      <c r="BF8" s="15" t="inlineStr"/>
      <c r="BG8" s="15" t="inlineStr">
        <is>
          <t>Aug</t>
        </is>
      </c>
    </row>
    <row r="9">
      <c r="B9" s="6" t="inlineStr">
        <is>
          <t>Phase / key activity</t>
        </is>
      </c>
      <c r="C9" s="6" t="inlineStr">
        <is>
          <t>Key milestone</t>
        </is>
      </c>
      <c r="D9" s="6" t="inlineStr">
        <is>
          <t>Start</t>
        </is>
      </c>
      <c r="E9" s="6" t="inlineStr">
        <is>
          <t>End</t>
        </is>
      </c>
      <c r="F9" s="6" t="inlineStr">
        <is>
          <t>R</t>
        </is>
      </c>
      <c r="G9" s="6" t="inlineStr">
        <is>
          <t>A</t>
        </is>
      </c>
      <c r="H9" s="6" t="inlineStr">
        <is>
          <t>S</t>
        </is>
      </c>
      <c r="I9" s="6" t="inlineStr">
        <is>
          <t>C/I</t>
        </is>
      </c>
      <c r="J9" s="6" t="inlineStr">
        <is>
          <t>Priority</t>
        </is>
      </c>
      <c r="K9" s="6" t="inlineStr">
        <is>
          <t>Status</t>
        </is>
      </c>
      <c r="L9" s="40" t="n">
        <v>46272</v>
      </c>
      <c r="M9" s="40" t="n">
        <v>46279</v>
      </c>
      <c r="N9" s="40" t="n">
        <v>46286</v>
      </c>
      <c r="O9" s="40" t="n">
        <v>46293</v>
      </c>
      <c r="P9" s="40" t="n">
        <v>46300</v>
      </c>
      <c r="Q9" s="40" t="n">
        <v>46307</v>
      </c>
      <c r="R9" s="40" t="n">
        <v>46314</v>
      </c>
      <c r="S9" s="40" t="n">
        <v>46321</v>
      </c>
      <c r="T9" s="40" t="n">
        <v>46328</v>
      </c>
      <c r="U9" s="40" t="n">
        <v>46335</v>
      </c>
      <c r="V9" s="40" t="n">
        <v>46342</v>
      </c>
      <c r="W9" s="40" t="n">
        <v>46349</v>
      </c>
      <c r="X9" s="40" t="n">
        <v>46356</v>
      </c>
      <c r="Y9" s="40" t="n">
        <v>46363</v>
      </c>
      <c r="Z9" s="40" t="n">
        <v>46370</v>
      </c>
      <c r="AA9" s="40" t="n">
        <v>46377</v>
      </c>
      <c r="AB9" s="40" t="n">
        <v>46384</v>
      </c>
      <c r="AC9" s="40" t="n">
        <v>46391</v>
      </c>
      <c r="AD9" s="40" t="n">
        <v>46398</v>
      </c>
      <c r="AE9" s="40" t="n">
        <v>46405</v>
      </c>
      <c r="AF9" s="40" t="n">
        <v>46412</v>
      </c>
      <c r="AG9" s="40" t="n">
        <v>46419</v>
      </c>
      <c r="AH9" s="40" t="n">
        <v>46426</v>
      </c>
      <c r="AI9" s="40" t="n">
        <v>46433</v>
      </c>
      <c r="AJ9" s="40" t="n">
        <v>46440</v>
      </c>
      <c r="AK9" s="40" t="n">
        <v>46447</v>
      </c>
      <c r="AL9" s="40" t="n">
        <v>46454</v>
      </c>
      <c r="AM9" s="40" t="n">
        <v>46461</v>
      </c>
      <c r="AN9" s="40" t="n">
        <v>46468</v>
      </c>
      <c r="AO9" s="40" t="n">
        <v>46475</v>
      </c>
      <c r="AP9" s="40" t="n">
        <v>46482</v>
      </c>
      <c r="AQ9" s="40" t="n">
        <v>46489</v>
      </c>
      <c r="AR9" s="40" t="n">
        <v>46496</v>
      </c>
      <c r="AS9" s="40" t="n">
        <v>46503</v>
      </c>
      <c r="AT9" s="40" t="n">
        <v>46510</v>
      </c>
      <c r="AU9" s="40" t="n">
        <v>46517</v>
      </c>
      <c r="AV9" s="40" t="n">
        <v>46524</v>
      </c>
      <c r="AW9" s="40" t="n">
        <v>46531</v>
      </c>
      <c r="AX9" s="40" t="n">
        <v>46538</v>
      </c>
      <c r="AY9" s="40" t="n">
        <v>46545</v>
      </c>
      <c r="AZ9" s="40" t="n">
        <v>46552</v>
      </c>
      <c r="BA9" s="40" t="n">
        <v>46559</v>
      </c>
      <c r="BB9" s="40" t="n">
        <v>46566</v>
      </c>
      <c r="BC9" s="40" t="n">
        <v>46573</v>
      </c>
      <c r="BD9" s="40" t="n">
        <v>46580</v>
      </c>
      <c r="BE9" s="40" t="n">
        <v>46587</v>
      </c>
      <c r="BF9" s="40" t="n">
        <v>46594</v>
      </c>
      <c r="BG9" s="40" t="n">
        <v>46601</v>
      </c>
    </row>
    <row r="10">
      <c r="B10" s="41" t="inlineStr">
        <is>
          <t>Project set-up (Sep–Oct 2026)</t>
        </is>
      </c>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row>
    <row r="11">
      <c r="B11" s="8" t="inlineStr">
        <is>
          <t>Confirm scope, reporting model, governance pathway and decisions</t>
        </is>
      </c>
      <c r="C11" s="8" t="inlineStr">
        <is>
          <t>Decision log</t>
        </is>
      </c>
      <c r="D11" s="17" t="n">
        <v>46279</v>
      </c>
      <c r="E11" s="17" t="n">
        <v>46311</v>
      </c>
      <c r="F11" s="8" t="inlineStr">
        <is>
          <t>SST</t>
        </is>
      </c>
      <c r="G11" s="8" t="inlineStr">
        <is>
          <t>Director, Sustainability</t>
        </is>
      </c>
      <c r="H11" s="8" t="inlineStr"/>
      <c r="I11" s="8" t="inlineStr">
        <is>
          <t>VCAG (I)</t>
        </is>
      </c>
      <c r="J11" s="8" t="inlineStr">
        <is>
          <t>High</t>
        </is>
      </c>
      <c r="K11" s="8" t="inlineStr">
        <is>
          <t>Not yet started</t>
        </is>
      </c>
      <c r="L11">
        <f>IF(AND(L$9+6&gt;=$D11,L$9&lt;=$E11),1,"")</f>
        <v/>
      </c>
      <c r="M11">
        <f>IF(AND(M$9+6&gt;=$D11,M$9&lt;=$E11),1,"")</f>
        <v/>
      </c>
      <c r="N11">
        <f>IF(AND(N$9+6&gt;=$D11,N$9&lt;=$E11),1,"")</f>
        <v/>
      </c>
      <c r="O11">
        <f>IF(AND(O$9+6&gt;=$D11,O$9&lt;=$E11),1,"")</f>
        <v/>
      </c>
      <c r="P11">
        <f>IF(AND(P$9+6&gt;=$D11,P$9&lt;=$E11),1,"")</f>
        <v/>
      </c>
      <c r="Q11">
        <f>IF(AND(Q$9+6&gt;=$D11,Q$9&lt;=$E11),1,"")</f>
        <v/>
      </c>
      <c r="R11">
        <f>IF(AND(R$9+6&gt;=$D11,R$9&lt;=$E11),1,"")</f>
        <v/>
      </c>
      <c r="S11">
        <f>IF(AND(S$9+6&gt;=$D11,S$9&lt;=$E11),1,"")</f>
        <v/>
      </c>
      <c r="T11">
        <f>IF(AND(T$9+6&gt;=$D11,T$9&lt;=$E11),1,"")</f>
        <v/>
      </c>
      <c r="U11">
        <f>IF(AND(U$9+6&gt;=$D11,U$9&lt;=$E11),1,"")</f>
        <v/>
      </c>
      <c r="V11">
        <f>IF(AND(V$9+6&gt;=$D11,V$9&lt;=$E11),1,"")</f>
        <v/>
      </c>
      <c r="W11">
        <f>IF(AND(W$9+6&gt;=$D11,W$9&lt;=$E11),1,"")</f>
        <v/>
      </c>
      <c r="X11">
        <f>IF(AND(X$9+6&gt;=$D11,X$9&lt;=$E11),1,"")</f>
        <v/>
      </c>
      <c r="Y11">
        <f>IF(AND(Y$9+6&gt;=$D11,Y$9&lt;=$E11),1,"")</f>
        <v/>
      </c>
      <c r="Z11">
        <f>IF(AND(Z$9+6&gt;=$D11,Z$9&lt;=$E11),1,"")</f>
        <v/>
      </c>
      <c r="AA11">
        <f>IF(AND(AA$9+6&gt;=$D11,AA$9&lt;=$E11),1,"")</f>
        <v/>
      </c>
      <c r="AB11">
        <f>IF(AND(AB$9+6&gt;=$D11,AB$9&lt;=$E11),1,"")</f>
        <v/>
      </c>
      <c r="AC11">
        <f>IF(AND(AC$9+6&gt;=$D11,AC$9&lt;=$E11),1,"")</f>
        <v/>
      </c>
      <c r="AD11">
        <f>IF(AND(AD$9+6&gt;=$D11,AD$9&lt;=$E11),1,"")</f>
        <v/>
      </c>
      <c r="AE11">
        <f>IF(AND(AE$9+6&gt;=$D11,AE$9&lt;=$E11),1,"")</f>
        <v/>
      </c>
      <c r="AF11">
        <f>IF(AND(AF$9+6&gt;=$D11,AF$9&lt;=$E11),1,"")</f>
        <v/>
      </c>
      <c r="AG11">
        <f>IF(AND(AG$9+6&gt;=$D11,AG$9&lt;=$E11),1,"")</f>
        <v/>
      </c>
      <c r="AH11">
        <f>IF(AND(AH$9+6&gt;=$D11,AH$9&lt;=$E11),1,"")</f>
        <v/>
      </c>
      <c r="AI11">
        <f>IF(AND(AI$9+6&gt;=$D11,AI$9&lt;=$E11),1,"")</f>
        <v/>
      </c>
      <c r="AJ11">
        <f>IF(AND(AJ$9+6&gt;=$D11,AJ$9&lt;=$E11),1,"")</f>
        <v/>
      </c>
      <c r="AK11">
        <f>IF(AND(AK$9+6&gt;=$D11,AK$9&lt;=$E11),1,"")</f>
        <v/>
      </c>
      <c r="AL11">
        <f>IF(AND(AL$9+6&gt;=$D11,AL$9&lt;=$E11),1,"")</f>
        <v/>
      </c>
      <c r="AM11">
        <f>IF(AND(AM$9+6&gt;=$D11,AM$9&lt;=$E11),1,"")</f>
        <v/>
      </c>
      <c r="AN11">
        <f>IF(AND(AN$9+6&gt;=$D11,AN$9&lt;=$E11),1,"")</f>
        <v/>
      </c>
      <c r="AO11">
        <f>IF(AND(AO$9+6&gt;=$D11,AO$9&lt;=$E11),1,"")</f>
        <v/>
      </c>
      <c r="AP11">
        <f>IF(AND(AP$9+6&gt;=$D11,AP$9&lt;=$E11),1,"")</f>
        <v/>
      </c>
      <c r="AQ11">
        <f>IF(AND(AQ$9+6&gt;=$D11,AQ$9&lt;=$E11),1,"")</f>
        <v/>
      </c>
      <c r="AR11">
        <f>IF(AND(AR$9+6&gt;=$D11,AR$9&lt;=$E11),1,"")</f>
        <v/>
      </c>
      <c r="AS11">
        <f>IF(AND(AS$9+6&gt;=$D11,AS$9&lt;=$E11),1,"")</f>
        <v/>
      </c>
      <c r="AT11">
        <f>IF(AND(AT$9+6&gt;=$D11,AT$9&lt;=$E11),1,"")</f>
        <v/>
      </c>
      <c r="AU11">
        <f>IF(AND(AU$9+6&gt;=$D11,AU$9&lt;=$E11),1,"")</f>
        <v/>
      </c>
      <c r="AV11">
        <f>IF(AND(AV$9+6&gt;=$D11,AV$9&lt;=$E11),1,"")</f>
        <v/>
      </c>
      <c r="AW11">
        <f>IF(AND(AW$9+6&gt;=$D11,AW$9&lt;=$E11),1,"")</f>
        <v/>
      </c>
      <c r="AX11">
        <f>IF(AND(AX$9+6&gt;=$D11,AX$9&lt;=$E11),1,"")</f>
        <v/>
      </c>
      <c r="AY11">
        <f>IF(AND(AY$9+6&gt;=$D11,AY$9&lt;=$E11),1,"")</f>
        <v/>
      </c>
      <c r="AZ11">
        <f>IF(AND(AZ$9+6&gt;=$D11,AZ$9&lt;=$E11),1,"")</f>
        <v/>
      </c>
      <c r="BA11">
        <f>IF(AND(BA$9+6&gt;=$D11,BA$9&lt;=$E11),1,"")</f>
        <v/>
      </c>
      <c r="BB11">
        <f>IF(AND(BB$9+6&gt;=$D11,BB$9&lt;=$E11),1,"")</f>
        <v/>
      </c>
      <c r="BC11">
        <f>IF(AND(BC$9+6&gt;=$D11,BC$9&lt;=$E11),1,"")</f>
        <v/>
      </c>
      <c r="BD11">
        <f>IF(AND(BD$9+6&gt;=$D11,BD$9&lt;=$E11),1,"")</f>
        <v/>
      </c>
      <c r="BE11">
        <f>IF(AND(BE$9+6&gt;=$D11,BE$9&lt;=$E11),1,"")</f>
        <v/>
      </c>
      <c r="BF11">
        <f>IF(AND(BF$9+6&gt;=$D11,BF$9&lt;=$E11),1,"")</f>
        <v/>
      </c>
      <c r="BG11">
        <f>IF(AND(BG$9+6&gt;=$D11,BG$9&lt;=$E11),1,"")</f>
        <v/>
      </c>
    </row>
    <row r="12">
      <c r="B12" s="8" t="inlineStr">
        <is>
          <t>Project charter, schedule, RASCI, decision log, issues register</t>
        </is>
      </c>
      <c r="C12" s="8" t="inlineStr">
        <is>
          <t>Approved by Oct</t>
        </is>
      </c>
      <c r="D12" s="17" t="n">
        <v>46293</v>
      </c>
      <c r="E12" s="17" t="n">
        <v>46318</v>
      </c>
      <c r="F12" s="8" t="inlineStr">
        <is>
          <t>SST</t>
        </is>
      </c>
      <c r="G12" s="8" t="inlineStr">
        <is>
          <t>Director, Sustainability</t>
        </is>
      </c>
      <c r="H12" s="8" t="inlineStr"/>
      <c r="I12" s="8" t="inlineStr">
        <is>
          <t>Comms, design</t>
        </is>
      </c>
      <c r="J12" s="8" t="inlineStr">
        <is>
          <t>High</t>
        </is>
      </c>
      <c r="K12" s="8" t="inlineStr">
        <is>
          <t>Not yet started</t>
        </is>
      </c>
      <c r="L12">
        <f>IF(AND(L$9+6&gt;=$D12,L$9&lt;=$E12),1,"")</f>
        <v/>
      </c>
      <c r="M12">
        <f>IF(AND(M$9+6&gt;=$D12,M$9&lt;=$E12),1,"")</f>
        <v/>
      </c>
      <c r="N12">
        <f>IF(AND(N$9+6&gt;=$D12,N$9&lt;=$E12),1,"")</f>
        <v/>
      </c>
      <c r="O12">
        <f>IF(AND(O$9+6&gt;=$D12,O$9&lt;=$E12),1,"")</f>
        <v/>
      </c>
      <c r="P12">
        <f>IF(AND(P$9+6&gt;=$D12,P$9&lt;=$E12),1,"")</f>
        <v/>
      </c>
      <c r="Q12">
        <f>IF(AND(Q$9+6&gt;=$D12,Q$9&lt;=$E12),1,"")</f>
        <v/>
      </c>
      <c r="R12">
        <f>IF(AND(R$9+6&gt;=$D12,R$9&lt;=$E12),1,"")</f>
        <v/>
      </c>
      <c r="S12">
        <f>IF(AND(S$9+6&gt;=$D12,S$9&lt;=$E12),1,"")</f>
        <v/>
      </c>
      <c r="T12">
        <f>IF(AND(T$9+6&gt;=$D12,T$9&lt;=$E12),1,"")</f>
        <v/>
      </c>
      <c r="U12">
        <f>IF(AND(U$9+6&gt;=$D12,U$9&lt;=$E12),1,"")</f>
        <v/>
      </c>
      <c r="V12">
        <f>IF(AND(V$9+6&gt;=$D12,V$9&lt;=$E12),1,"")</f>
        <v/>
      </c>
      <c r="W12">
        <f>IF(AND(W$9+6&gt;=$D12,W$9&lt;=$E12),1,"")</f>
        <v/>
      </c>
      <c r="X12">
        <f>IF(AND(X$9+6&gt;=$D12,X$9&lt;=$E12),1,"")</f>
        <v/>
      </c>
      <c r="Y12">
        <f>IF(AND(Y$9+6&gt;=$D12,Y$9&lt;=$E12),1,"")</f>
        <v/>
      </c>
      <c r="Z12">
        <f>IF(AND(Z$9+6&gt;=$D12,Z$9&lt;=$E12),1,"")</f>
        <v/>
      </c>
      <c r="AA12">
        <f>IF(AND(AA$9+6&gt;=$D12,AA$9&lt;=$E12),1,"")</f>
        <v/>
      </c>
      <c r="AB12">
        <f>IF(AND(AB$9+6&gt;=$D12,AB$9&lt;=$E12),1,"")</f>
        <v/>
      </c>
      <c r="AC12">
        <f>IF(AND(AC$9+6&gt;=$D12,AC$9&lt;=$E12),1,"")</f>
        <v/>
      </c>
      <c r="AD12">
        <f>IF(AND(AD$9+6&gt;=$D12,AD$9&lt;=$E12),1,"")</f>
        <v/>
      </c>
      <c r="AE12">
        <f>IF(AND(AE$9+6&gt;=$D12,AE$9&lt;=$E12),1,"")</f>
        <v/>
      </c>
      <c r="AF12">
        <f>IF(AND(AF$9+6&gt;=$D12,AF$9&lt;=$E12),1,"")</f>
        <v/>
      </c>
      <c r="AG12">
        <f>IF(AND(AG$9+6&gt;=$D12,AG$9&lt;=$E12),1,"")</f>
        <v/>
      </c>
      <c r="AH12">
        <f>IF(AND(AH$9+6&gt;=$D12,AH$9&lt;=$E12),1,"")</f>
        <v/>
      </c>
      <c r="AI12">
        <f>IF(AND(AI$9+6&gt;=$D12,AI$9&lt;=$E12),1,"")</f>
        <v/>
      </c>
      <c r="AJ12">
        <f>IF(AND(AJ$9+6&gt;=$D12,AJ$9&lt;=$E12),1,"")</f>
        <v/>
      </c>
      <c r="AK12">
        <f>IF(AND(AK$9+6&gt;=$D12,AK$9&lt;=$E12),1,"")</f>
        <v/>
      </c>
      <c r="AL12">
        <f>IF(AND(AL$9+6&gt;=$D12,AL$9&lt;=$E12),1,"")</f>
        <v/>
      </c>
      <c r="AM12">
        <f>IF(AND(AM$9+6&gt;=$D12,AM$9&lt;=$E12),1,"")</f>
        <v/>
      </c>
      <c r="AN12">
        <f>IF(AND(AN$9+6&gt;=$D12,AN$9&lt;=$E12),1,"")</f>
        <v/>
      </c>
      <c r="AO12">
        <f>IF(AND(AO$9+6&gt;=$D12,AO$9&lt;=$E12),1,"")</f>
        <v/>
      </c>
      <c r="AP12">
        <f>IF(AND(AP$9+6&gt;=$D12,AP$9&lt;=$E12),1,"")</f>
        <v/>
      </c>
      <c r="AQ12">
        <f>IF(AND(AQ$9+6&gt;=$D12,AQ$9&lt;=$E12),1,"")</f>
        <v/>
      </c>
      <c r="AR12">
        <f>IF(AND(AR$9+6&gt;=$D12,AR$9&lt;=$E12),1,"")</f>
        <v/>
      </c>
      <c r="AS12">
        <f>IF(AND(AS$9+6&gt;=$D12,AS$9&lt;=$E12),1,"")</f>
        <v/>
      </c>
      <c r="AT12">
        <f>IF(AND(AT$9+6&gt;=$D12,AT$9&lt;=$E12),1,"")</f>
        <v/>
      </c>
      <c r="AU12">
        <f>IF(AND(AU$9+6&gt;=$D12,AU$9&lt;=$E12),1,"")</f>
        <v/>
      </c>
      <c r="AV12">
        <f>IF(AND(AV$9+6&gt;=$D12,AV$9&lt;=$E12),1,"")</f>
        <v/>
      </c>
      <c r="AW12">
        <f>IF(AND(AW$9+6&gt;=$D12,AW$9&lt;=$E12),1,"")</f>
        <v/>
      </c>
      <c r="AX12">
        <f>IF(AND(AX$9+6&gt;=$D12,AX$9&lt;=$E12),1,"")</f>
        <v/>
      </c>
      <c r="AY12">
        <f>IF(AND(AY$9+6&gt;=$D12,AY$9&lt;=$E12),1,"")</f>
        <v/>
      </c>
      <c r="AZ12">
        <f>IF(AND(AZ$9+6&gt;=$D12,AZ$9&lt;=$E12),1,"")</f>
        <v/>
      </c>
      <c r="BA12">
        <f>IF(AND(BA$9+6&gt;=$D12,BA$9&lt;=$E12),1,"")</f>
        <v/>
      </c>
      <c r="BB12">
        <f>IF(AND(BB$9+6&gt;=$D12,BB$9&lt;=$E12),1,"")</f>
        <v/>
      </c>
      <c r="BC12">
        <f>IF(AND(BC$9+6&gt;=$D12,BC$9&lt;=$E12),1,"")</f>
        <v/>
      </c>
      <c r="BD12">
        <f>IF(AND(BD$9+6&gt;=$D12,BD$9&lt;=$E12),1,"")</f>
        <v/>
      </c>
      <c r="BE12">
        <f>IF(AND(BE$9+6&gt;=$D12,BE$9&lt;=$E12),1,"")</f>
        <v/>
      </c>
      <c r="BF12">
        <f>IF(AND(BF$9+6&gt;=$D12,BF$9&lt;=$E12),1,"")</f>
        <v/>
      </c>
      <c r="BG12">
        <f>IF(AND(BG$9+6&gt;=$D12,BG$9&lt;=$E12),1,"")</f>
        <v/>
      </c>
    </row>
    <row r="13">
      <c r="B13" s="8" t="inlineStr">
        <is>
          <t>Map refreshed targets/indicators to Databook, systems, owners</t>
        </is>
      </c>
      <c r="C13" s="8" t="inlineStr">
        <is>
          <t>Requirements matrix</t>
        </is>
      </c>
      <c r="D13" s="17" t="n">
        <v>46286</v>
      </c>
      <c r="E13" s="17" t="n">
        <v>46311</v>
      </c>
      <c r="F13" s="8" t="inlineStr">
        <is>
          <t>Stefanus</t>
        </is>
      </c>
      <c r="G13" s="8" t="inlineStr">
        <is>
          <t>Gerard Healey</t>
        </is>
      </c>
      <c r="H13" s="8" t="inlineStr">
        <is>
          <t>Rose</t>
        </is>
      </c>
      <c r="I13" s="8" t="inlineStr">
        <is>
          <t>Data owners</t>
        </is>
      </c>
      <c r="J13" s="8" t="inlineStr">
        <is>
          <t>High</t>
        </is>
      </c>
      <c r="K13" s="8" t="inlineStr">
        <is>
          <t>Not yet started</t>
        </is>
      </c>
      <c r="L13">
        <f>IF(AND(L$9+6&gt;=$D13,L$9&lt;=$E13),1,"")</f>
        <v/>
      </c>
      <c r="M13">
        <f>IF(AND(M$9+6&gt;=$D13,M$9&lt;=$E13),1,"")</f>
        <v/>
      </c>
      <c r="N13">
        <f>IF(AND(N$9+6&gt;=$D13,N$9&lt;=$E13),1,"")</f>
        <v/>
      </c>
      <c r="O13">
        <f>IF(AND(O$9+6&gt;=$D13,O$9&lt;=$E13),1,"")</f>
        <v/>
      </c>
      <c r="P13">
        <f>IF(AND(P$9+6&gt;=$D13,P$9&lt;=$E13),1,"")</f>
        <v/>
      </c>
      <c r="Q13">
        <f>IF(AND(Q$9+6&gt;=$D13,Q$9&lt;=$E13),1,"")</f>
        <v/>
      </c>
      <c r="R13">
        <f>IF(AND(R$9+6&gt;=$D13,R$9&lt;=$E13),1,"")</f>
        <v/>
      </c>
      <c r="S13">
        <f>IF(AND(S$9+6&gt;=$D13,S$9&lt;=$E13),1,"")</f>
        <v/>
      </c>
      <c r="T13">
        <f>IF(AND(T$9+6&gt;=$D13,T$9&lt;=$E13),1,"")</f>
        <v/>
      </c>
      <c r="U13">
        <f>IF(AND(U$9+6&gt;=$D13,U$9&lt;=$E13),1,"")</f>
        <v/>
      </c>
      <c r="V13">
        <f>IF(AND(V$9+6&gt;=$D13,V$9&lt;=$E13),1,"")</f>
        <v/>
      </c>
      <c r="W13">
        <f>IF(AND(W$9+6&gt;=$D13,W$9&lt;=$E13),1,"")</f>
        <v/>
      </c>
      <c r="X13">
        <f>IF(AND(X$9+6&gt;=$D13,X$9&lt;=$E13),1,"")</f>
        <v/>
      </c>
      <c r="Y13">
        <f>IF(AND(Y$9+6&gt;=$D13,Y$9&lt;=$E13),1,"")</f>
        <v/>
      </c>
      <c r="Z13">
        <f>IF(AND(Z$9+6&gt;=$D13,Z$9&lt;=$E13),1,"")</f>
        <v/>
      </c>
      <c r="AA13">
        <f>IF(AND(AA$9+6&gt;=$D13,AA$9&lt;=$E13),1,"")</f>
        <v/>
      </c>
      <c r="AB13">
        <f>IF(AND(AB$9+6&gt;=$D13,AB$9&lt;=$E13),1,"")</f>
        <v/>
      </c>
      <c r="AC13">
        <f>IF(AND(AC$9+6&gt;=$D13,AC$9&lt;=$E13),1,"")</f>
        <v/>
      </c>
      <c r="AD13">
        <f>IF(AND(AD$9+6&gt;=$D13,AD$9&lt;=$E13),1,"")</f>
        <v/>
      </c>
      <c r="AE13">
        <f>IF(AND(AE$9+6&gt;=$D13,AE$9&lt;=$E13),1,"")</f>
        <v/>
      </c>
      <c r="AF13">
        <f>IF(AND(AF$9+6&gt;=$D13,AF$9&lt;=$E13),1,"")</f>
        <v/>
      </c>
      <c r="AG13">
        <f>IF(AND(AG$9+6&gt;=$D13,AG$9&lt;=$E13),1,"")</f>
        <v/>
      </c>
      <c r="AH13">
        <f>IF(AND(AH$9+6&gt;=$D13,AH$9&lt;=$E13),1,"")</f>
        <v/>
      </c>
      <c r="AI13">
        <f>IF(AND(AI$9+6&gt;=$D13,AI$9&lt;=$E13),1,"")</f>
        <v/>
      </c>
      <c r="AJ13">
        <f>IF(AND(AJ$9+6&gt;=$D13,AJ$9&lt;=$E13),1,"")</f>
        <v/>
      </c>
      <c r="AK13">
        <f>IF(AND(AK$9+6&gt;=$D13,AK$9&lt;=$E13),1,"")</f>
        <v/>
      </c>
      <c r="AL13">
        <f>IF(AND(AL$9+6&gt;=$D13,AL$9&lt;=$E13),1,"")</f>
        <v/>
      </c>
      <c r="AM13">
        <f>IF(AND(AM$9+6&gt;=$D13,AM$9&lt;=$E13),1,"")</f>
        <v/>
      </c>
      <c r="AN13">
        <f>IF(AND(AN$9+6&gt;=$D13,AN$9&lt;=$E13),1,"")</f>
        <v/>
      </c>
      <c r="AO13">
        <f>IF(AND(AO$9+6&gt;=$D13,AO$9&lt;=$E13),1,"")</f>
        <v/>
      </c>
      <c r="AP13">
        <f>IF(AND(AP$9+6&gt;=$D13,AP$9&lt;=$E13),1,"")</f>
        <v/>
      </c>
      <c r="AQ13">
        <f>IF(AND(AQ$9+6&gt;=$D13,AQ$9&lt;=$E13),1,"")</f>
        <v/>
      </c>
      <c r="AR13">
        <f>IF(AND(AR$9+6&gt;=$D13,AR$9&lt;=$E13),1,"")</f>
        <v/>
      </c>
      <c r="AS13">
        <f>IF(AND(AS$9+6&gt;=$D13,AS$9&lt;=$E13),1,"")</f>
        <v/>
      </c>
      <c r="AT13">
        <f>IF(AND(AT$9+6&gt;=$D13,AT$9&lt;=$E13),1,"")</f>
        <v/>
      </c>
      <c r="AU13">
        <f>IF(AND(AU$9+6&gt;=$D13,AU$9&lt;=$E13),1,"")</f>
        <v/>
      </c>
      <c r="AV13">
        <f>IF(AND(AV$9+6&gt;=$D13,AV$9&lt;=$E13),1,"")</f>
        <v/>
      </c>
      <c r="AW13">
        <f>IF(AND(AW$9+6&gt;=$D13,AW$9&lt;=$E13),1,"")</f>
        <v/>
      </c>
      <c r="AX13">
        <f>IF(AND(AX$9+6&gt;=$D13,AX$9&lt;=$E13),1,"")</f>
        <v/>
      </c>
      <c r="AY13">
        <f>IF(AND(AY$9+6&gt;=$D13,AY$9&lt;=$E13),1,"")</f>
        <v/>
      </c>
      <c r="AZ13">
        <f>IF(AND(AZ$9+6&gt;=$D13,AZ$9&lt;=$E13),1,"")</f>
        <v/>
      </c>
      <c r="BA13">
        <f>IF(AND(BA$9+6&gt;=$D13,BA$9&lt;=$E13),1,"")</f>
        <v/>
      </c>
      <c r="BB13">
        <f>IF(AND(BB$9+6&gt;=$D13,BB$9&lt;=$E13),1,"")</f>
        <v/>
      </c>
      <c r="BC13">
        <f>IF(AND(BC$9+6&gt;=$D13,BC$9&lt;=$E13),1,"")</f>
        <v/>
      </c>
      <c r="BD13">
        <f>IF(AND(BD$9+6&gt;=$D13,BD$9&lt;=$E13),1,"")</f>
        <v/>
      </c>
      <c r="BE13">
        <f>IF(AND(BE$9+6&gt;=$D13,BE$9&lt;=$E13),1,"")</f>
        <v/>
      </c>
      <c r="BF13">
        <f>IF(AND(BF$9+6&gt;=$D13,BF$9&lt;=$E13),1,"")</f>
        <v/>
      </c>
      <c r="BG13">
        <f>IF(AND(BG$9+6&gt;=$D13,BG$9&lt;=$E13),1,"")</f>
        <v/>
      </c>
    </row>
    <row r="14">
      <c r="B14" s="8" t="inlineStr">
        <is>
          <t>Confirm stakeholder structure (CGOP/CDEP/CDSS) and owners (Gerard: resilience, estate)</t>
        </is>
      </c>
      <c r="C14" s="8" t="inlineStr">
        <is>
          <t>Stakeholder map</t>
        </is>
      </c>
      <c r="D14" s="17" t="n">
        <v>46300</v>
      </c>
      <c r="E14" s="17" t="n">
        <v>46311</v>
      </c>
      <c r="F14" s="8" t="inlineStr">
        <is>
          <t>Stefanus</t>
        </is>
      </c>
      <c r="G14" s="8" t="inlineStr">
        <is>
          <t>Gerard Healey</t>
        </is>
      </c>
      <c r="H14" s="8" t="inlineStr"/>
      <c r="I14" s="8" t="inlineStr"/>
      <c r="J14" s="8" t="inlineStr">
        <is>
          <t>High</t>
        </is>
      </c>
      <c r="K14" s="8" t="inlineStr">
        <is>
          <t>Not yet started</t>
        </is>
      </c>
      <c r="L14">
        <f>IF(AND(L$9+6&gt;=$D14,L$9&lt;=$E14),1,"")</f>
        <v/>
      </c>
      <c r="M14">
        <f>IF(AND(M$9+6&gt;=$D14,M$9&lt;=$E14),1,"")</f>
        <v/>
      </c>
      <c r="N14">
        <f>IF(AND(N$9+6&gt;=$D14,N$9&lt;=$E14),1,"")</f>
        <v/>
      </c>
      <c r="O14">
        <f>IF(AND(O$9+6&gt;=$D14,O$9&lt;=$E14),1,"")</f>
        <v/>
      </c>
      <c r="P14">
        <f>IF(AND(P$9+6&gt;=$D14,P$9&lt;=$E14),1,"")</f>
        <v/>
      </c>
      <c r="Q14">
        <f>IF(AND(Q$9+6&gt;=$D14,Q$9&lt;=$E14),1,"")</f>
        <v/>
      </c>
      <c r="R14">
        <f>IF(AND(R$9+6&gt;=$D14,R$9&lt;=$E14),1,"")</f>
        <v/>
      </c>
      <c r="S14">
        <f>IF(AND(S$9+6&gt;=$D14,S$9&lt;=$E14),1,"")</f>
        <v/>
      </c>
      <c r="T14">
        <f>IF(AND(T$9+6&gt;=$D14,T$9&lt;=$E14),1,"")</f>
        <v/>
      </c>
      <c r="U14">
        <f>IF(AND(U$9+6&gt;=$D14,U$9&lt;=$E14),1,"")</f>
        <v/>
      </c>
      <c r="V14">
        <f>IF(AND(V$9+6&gt;=$D14,V$9&lt;=$E14),1,"")</f>
        <v/>
      </c>
      <c r="W14">
        <f>IF(AND(W$9+6&gt;=$D14,W$9&lt;=$E14),1,"")</f>
        <v/>
      </c>
      <c r="X14">
        <f>IF(AND(X$9+6&gt;=$D14,X$9&lt;=$E14),1,"")</f>
        <v/>
      </c>
      <c r="Y14">
        <f>IF(AND(Y$9+6&gt;=$D14,Y$9&lt;=$E14),1,"")</f>
        <v/>
      </c>
      <c r="Z14">
        <f>IF(AND(Z$9+6&gt;=$D14,Z$9&lt;=$E14),1,"")</f>
        <v/>
      </c>
      <c r="AA14">
        <f>IF(AND(AA$9+6&gt;=$D14,AA$9&lt;=$E14),1,"")</f>
        <v/>
      </c>
      <c r="AB14">
        <f>IF(AND(AB$9+6&gt;=$D14,AB$9&lt;=$E14),1,"")</f>
        <v/>
      </c>
      <c r="AC14">
        <f>IF(AND(AC$9+6&gt;=$D14,AC$9&lt;=$E14),1,"")</f>
        <v/>
      </c>
      <c r="AD14">
        <f>IF(AND(AD$9+6&gt;=$D14,AD$9&lt;=$E14),1,"")</f>
        <v/>
      </c>
      <c r="AE14">
        <f>IF(AND(AE$9+6&gt;=$D14,AE$9&lt;=$E14),1,"")</f>
        <v/>
      </c>
      <c r="AF14">
        <f>IF(AND(AF$9+6&gt;=$D14,AF$9&lt;=$E14),1,"")</f>
        <v/>
      </c>
      <c r="AG14">
        <f>IF(AND(AG$9+6&gt;=$D14,AG$9&lt;=$E14),1,"")</f>
        <v/>
      </c>
      <c r="AH14">
        <f>IF(AND(AH$9+6&gt;=$D14,AH$9&lt;=$E14),1,"")</f>
        <v/>
      </c>
      <c r="AI14">
        <f>IF(AND(AI$9+6&gt;=$D14,AI$9&lt;=$E14),1,"")</f>
        <v/>
      </c>
      <c r="AJ14">
        <f>IF(AND(AJ$9+6&gt;=$D14,AJ$9&lt;=$E14),1,"")</f>
        <v/>
      </c>
      <c r="AK14">
        <f>IF(AND(AK$9+6&gt;=$D14,AK$9&lt;=$E14),1,"")</f>
        <v/>
      </c>
      <c r="AL14">
        <f>IF(AND(AL$9+6&gt;=$D14,AL$9&lt;=$E14),1,"")</f>
        <v/>
      </c>
      <c r="AM14">
        <f>IF(AND(AM$9+6&gt;=$D14,AM$9&lt;=$E14),1,"")</f>
        <v/>
      </c>
      <c r="AN14">
        <f>IF(AND(AN$9+6&gt;=$D14,AN$9&lt;=$E14),1,"")</f>
        <v/>
      </c>
      <c r="AO14">
        <f>IF(AND(AO$9+6&gt;=$D14,AO$9&lt;=$E14),1,"")</f>
        <v/>
      </c>
      <c r="AP14">
        <f>IF(AND(AP$9+6&gt;=$D14,AP$9&lt;=$E14),1,"")</f>
        <v/>
      </c>
      <c r="AQ14">
        <f>IF(AND(AQ$9+6&gt;=$D14,AQ$9&lt;=$E14),1,"")</f>
        <v/>
      </c>
      <c r="AR14">
        <f>IF(AND(AR$9+6&gt;=$D14,AR$9&lt;=$E14),1,"")</f>
        <v/>
      </c>
      <c r="AS14">
        <f>IF(AND(AS$9+6&gt;=$D14,AS$9&lt;=$E14),1,"")</f>
        <v/>
      </c>
      <c r="AT14">
        <f>IF(AND(AT$9+6&gt;=$D14,AT$9&lt;=$E14),1,"")</f>
        <v/>
      </c>
      <c r="AU14">
        <f>IF(AND(AU$9+6&gt;=$D14,AU$9&lt;=$E14),1,"")</f>
        <v/>
      </c>
      <c r="AV14">
        <f>IF(AND(AV$9+6&gt;=$D14,AV$9&lt;=$E14),1,"")</f>
        <v/>
      </c>
      <c r="AW14">
        <f>IF(AND(AW$9+6&gt;=$D14,AW$9&lt;=$E14),1,"")</f>
        <v/>
      </c>
      <c r="AX14">
        <f>IF(AND(AX$9+6&gt;=$D14,AX$9&lt;=$E14),1,"")</f>
        <v/>
      </c>
      <c r="AY14">
        <f>IF(AND(AY$9+6&gt;=$D14,AY$9&lt;=$E14),1,"")</f>
        <v/>
      </c>
      <c r="AZ14">
        <f>IF(AND(AZ$9+6&gt;=$D14,AZ$9&lt;=$E14),1,"")</f>
        <v/>
      </c>
      <c r="BA14">
        <f>IF(AND(BA$9+6&gt;=$D14,BA$9&lt;=$E14),1,"")</f>
        <v/>
      </c>
      <c r="BB14">
        <f>IF(AND(BB$9+6&gt;=$D14,BB$9&lt;=$E14),1,"")</f>
        <v/>
      </c>
      <c r="BC14">
        <f>IF(AND(BC$9+6&gt;=$D14,BC$9&lt;=$E14),1,"")</f>
        <v/>
      </c>
      <c r="BD14">
        <f>IF(AND(BD$9+6&gt;=$D14,BD$9&lt;=$E14),1,"")</f>
        <v/>
      </c>
      <c r="BE14">
        <f>IF(AND(BE$9+6&gt;=$D14,BE$9&lt;=$E14),1,"")</f>
        <v/>
      </c>
      <c r="BF14">
        <f>IF(AND(BF$9+6&gt;=$D14,BF$9&lt;=$E14),1,"")</f>
        <v/>
      </c>
      <c r="BG14">
        <f>IF(AND(BG$9+6&gt;=$D14,BG$9&lt;=$E14),1,"")</f>
        <v/>
      </c>
    </row>
    <row r="15">
      <c r="B15" s="8" t="inlineStr">
        <is>
          <t>Pilot request templates with 4 faculties (ABP, Arts, FBE, Science)</t>
        </is>
      </c>
      <c r="C15" s="8" t="inlineStr">
        <is>
          <t>Pilot feedback</t>
        </is>
      </c>
      <c r="D15" s="17" t="n">
        <v>46307</v>
      </c>
      <c r="E15" s="17" t="n">
        <v>46325</v>
      </c>
      <c r="F15" s="8" t="inlineStr">
        <is>
          <t>Stefanus</t>
        </is>
      </c>
      <c r="G15" s="8" t="inlineStr">
        <is>
          <t>Gerard Healey</t>
        </is>
      </c>
      <c r="H15" s="8" t="inlineStr"/>
      <c r="I15" s="8" t="inlineStr">
        <is>
          <t>ADs Sustainability</t>
        </is>
      </c>
      <c r="J15" s="8" t="inlineStr">
        <is>
          <t>High</t>
        </is>
      </c>
      <c r="K15" s="8" t="inlineStr">
        <is>
          <t>Not yet started</t>
        </is>
      </c>
      <c r="L15">
        <f>IF(AND(L$9+6&gt;=$D15,L$9&lt;=$E15),1,"")</f>
        <v/>
      </c>
      <c r="M15">
        <f>IF(AND(M$9+6&gt;=$D15,M$9&lt;=$E15),1,"")</f>
        <v/>
      </c>
      <c r="N15">
        <f>IF(AND(N$9+6&gt;=$D15,N$9&lt;=$E15),1,"")</f>
        <v/>
      </c>
      <c r="O15">
        <f>IF(AND(O$9+6&gt;=$D15,O$9&lt;=$E15),1,"")</f>
        <v/>
      </c>
      <c r="P15">
        <f>IF(AND(P$9+6&gt;=$D15,P$9&lt;=$E15),1,"")</f>
        <v/>
      </c>
      <c r="Q15">
        <f>IF(AND(Q$9+6&gt;=$D15,Q$9&lt;=$E15),1,"")</f>
        <v/>
      </c>
      <c r="R15">
        <f>IF(AND(R$9+6&gt;=$D15,R$9&lt;=$E15),1,"")</f>
        <v/>
      </c>
      <c r="S15">
        <f>IF(AND(S$9+6&gt;=$D15,S$9&lt;=$E15),1,"")</f>
        <v/>
      </c>
      <c r="T15">
        <f>IF(AND(T$9+6&gt;=$D15,T$9&lt;=$E15),1,"")</f>
        <v/>
      </c>
      <c r="U15">
        <f>IF(AND(U$9+6&gt;=$D15,U$9&lt;=$E15),1,"")</f>
        <v/>
      </c>
      <c r="V15">
        <f>IF(AND(V$9+6&gt;=$D15,V$9&lt;=$E15),1,"")</f>
        <v/>
      </c>
      <c r="W15">
        <f>IF(AND(W$9+6&gt;=$D15,W$9&lt;=$E15),1,"")</f>
        <v/>
      </c>
      <c r="X15">
        <f>IF(AND(X$9+6&gt;=$D15,X$9&lt;=$E15),1,"")</f>
        <v/>
      </c>
      <c r="Y15">
        <f>IF(AND(Y$9+6&gt;=$D15,Y$9&lt;=$E15),1,"")</f>
        <v/>
      </c>
      <c r="Z15">
        <f>IF(AND(Z$9+6&gt;=$D15,Z$9&lt;=$E15),1,"")</f>
        <v/>
      </c>
      <c r="AA15">
        <f>IF(AND(AA$9+6&gt;=$D15,AA$9&lt;=$E15),1,"")</f>
        <v/>
      </c>
      <c r="AB15">
        <f>IF(AND(AB$9+6&gt;=$D15,AB$9&lt;=$E15),1,"")</f>
        <v/>
      </c>
      <c r="AC15">
        <f>IF(AND(AC$9+6&gt;=$D15,AC$9&lt;=$E15),1,"")</f>
        <v/>
      </c>
      <c r="AD15">
        <f>IF(AND(AD$9+6&gt;=$D15,AD$9&lt;=$E15),1,"")</f>
        <v/>
      </c>
      <c r="AE15">
        <f>IF(AND(AE$9+6&gt;=$D15,AE$9&lt;=$E15),1,"")</f>
        <v/>
      </c>
      <c r="AF15">
        <f>IF(AND(AF$9+6&gt;=$D15,AF$9&lt;=$E15),1,"")</f>
        <v/>
      </c>
      <c r="AG15">
        <f>IF(AND(AG$9+6&gt;=$D15,AG$9&lt;=$E15),1,"")</f>
        <v/>
      </c>
      <c r="AH15">
        <f>IF(AND(AH$9+6&gt;=$D15,AH$9&lt;=$E15),1,"")</f>
        <v/>
      </c>
      <c r="AI15">
        <f>IF(AND(AI$9+6&gt;=$D15,AI$9&lt;=$E15),1,"")</f>
        <v/>
      </c>
      <c r="AJ15">
        <f>IF(AND(AJ$9+6&gt;=$D15,AJ$9&lt;=$E15),1,"")</f>
        <v/>
      </c>
      <c r="AK15">
        <f>IF(AND(AK$9+6&gt;=$D15,AK$9&lt;=$E15),1,"")</f>
        <v/>
      </c>
      <c r="AL15">
        <f>IF(AND(AL$9+6&gt;=$D15,AL$9&lt;=$E15),1,"")</f>
        <v/>
      </c>
      <c r="AM15">
        <f>IF(AND(AM$9+6&gt;=$D15,AM$9&lt;=$E15),1,"")</f>
        <v/>
      </c>
      <c r="AN15">
        <f>IF(AND(AN$9+6&gt;=$D15,AN$9&lt;=$E15),1,"")</f>
        <v/>
      </c>
      <c r="AO15">
        <f>IF(AND(AO$9+6&gt;=$D15,AO$9&lt;=$E15),1,"")</f>
        <v/>
      </c>
      <c r="AP15">
        <f>IF(AND(AP$9+6&gt;=$D15,AP$9&lt;=$E15),1,"")</f>
        <v/>
      </c>
      <c r="AQ15">
        <f>IF(AND(AQ$9+6&gt;=$D15,AQ$9&lt;=$E15),1,"")</f>
        <v/>
      </c>
      <c r="AR15">
        <f>IF(AND(AR$9+6&gt;=$D15,AR$9&lt;=$E15),1,"")</f>
        <v/>
      </c>
      <c r="AS15">
        <f>IF(AND(AS$9+6&gt;=$D15,AS$9&lt;=$E15),1,"")</f>
        <v/>
      </c>
      <c r="AT15">
        <f>IF(AND(AT$9+6&gt;=$D15,AT$9&lt;=$E15),1,"")</f>
        <v/>
      </c>
      <c r="AU15">
        <f>IF(AND(AU$9+6&gt;=$D15,AU$9&lt;=$E15),1,"")</f>
        <v/>
      </c>
      <c r="AV15">
        <f>IF(AND(AV$9+6&gt;=$D15,AV$9&lt;=$E15),1,"")</f>
        <v/>
      </c>
      <c r="AW15">
        <f>IF(AND(AW$9+6&gt;=$D15,AW$9&lt;=$E15),1,"")</f>
        <v/>
      </c>
      <c r="AX15">
        <f>IF(AND(AX$9+6&gt;=$D15,AX$9&lt;=$E15),1,"")</f>
        <v/>
      </c>
      <c r="AY15">
        <f>IF(AND(AY$9+6&gt;=$D15,AY$9&lt;=$E15),1,"")</f>
        <v/>
      </c>
      <c r="AZ15">
        <f>IF(AND(AZ$9+6&gt;=$D15,AZ$9&lt;=$E15),1,"")</f>
        <v/>
      </c>
      <c r="BA15">
        <f>IF(AND(BA$9+6&gt;=$D15,BA$9&lt;=$E15),1,"")</f>
        <v/>
      </c>
      <c r="BB15">
        <f>IF(AND(BB$9+6&gt;=$D15,BB$9&lt;=$E15),1,"")</f>
        <v/>
      </c>
      <c r="BC15">
        <f>IF(AND(BC$9+6&gt;=$D15,BC$9&lt;=$E15),1,"")</f>
        <v/>
      </c>
      <c r="BD15">
        <f>IF(AND(BD$9+6&gt;=$D15,BD$9&lt;=$E15),1,"")</f>
        <v/>
      </c>
      <c r="BE15">
        <f>IF(AND(BE$9+6&gt;=$D15,BE$9&lt;=$E15),1,"")</f>
        <v/>
      </c>
      <c r="BF15">
        <f>IF(AND(BF$9+6&gt;=$D15,BF$9&lt;=$E15),1,"")</f>
        <v/>
      </c>
      <c r="BG15">
        <f>IF(AND(BG$9+6&gt;=$D15,BG$9&lt;=$E15),1,"")</f>
        <v/>
      </c>
    </row>
    <row r="16">
      <c r="B16" s="8" t="inlineStr">
        <is>
          <t>Approve Review Group criteria, decision rights, escalation pathway</t>
        </is>
      </c>
      <c r="C16" s="8" t="inlineStr">
        <is>
          <t>Before collection</t>
        </is>
      </c>
      <c r="D16" s="17" t="n">
        <v>46300</v>
      </c>
      <c r="E16" s="17" t="n">
        <v>46325</v>
      </c>
      <c r="F16" s="8" t="inlineStr">
        <is>
          <t>SST</t>
        </is>
      </c>
      <c r="G16" s="8" t="inlineStr">
        <is>
          <t>Director, Sustainability</t>
        </is>
      </c>
      <c r="H16" s="8" t="inlineStr"/>
      <c r="I16" s="8" t="inlineStr">
        <is>
          <t>Review Group</t>
        </is>
      </c>
      <c r="J16" s="8" t="inlineStr">
        <is>
          <t>Medium</t>
        </is>
      </c>
      <c r="K16" s="8" t="inlineStr">
        <is>
          <t>Not yet started</t>
        </is>
      </c>
      <c r="L16">
        <f>IF(AND(L$9+6&gt;=$D16,L$9&lt;=$E16),1,"")</f>
        <v/>
      </c>
      <c r="M16">
        <f>IF(AND(M$9+6&gt;=$D16,M$9&lt;=$E16),1,"")</f>
        <v/>
      </c>
      <c r="N16">
        <f>IF(AND(N$9+6&gt;=$D16,N$9&lt;=$E16),1,"")</f>
        <v/>
      </c>
      <c r="O16">
        <f>IF(AND(O$9+6&gt;=$D16,O$9&lt;=$E16),1,"")</f>
        <v/>
      </c>
      <c r="P16">
        <f>IF(AND(P$9+6&gt;=$D16,P$9&lt;=$E16),1,"")</f>
        <v/>
      </c>
      <c r="Q16">
        <f>IF(AND(Q$9+6&gt;=$D16,Q$9&lt;=$E16),1,"")</f>
        <v/>
      </c>
      <c r="R16">
        <f>IF(AND(R$9+6&gt;=$D16,R$9&lt;=$E16),1,"")</f>
        <v/>
      </c>
      <c r="S16">
        <f>IF(AND(S$9+6&gt;=$D16,S$9&lt;=$E16),1,"")</f>
        <v/>
      </c>
      <c r="T16">
        <f>IF(AND(T$9+6&gt;=$D16,T$9&lt;=$E16),1,"")</f>
        <v/>
      </c>
      <c r="U16">
        <f>IF(AND(U$9+6&gt;=$D16,U$9&lt;=$E16),1,"")</f>
        <v/>
      </c>
      <c r="V16">
        <f>IF(AND(V$9+6&gt;=$D16,V$9&lt;=$E16),1,"")</f>
        <v/>
      </c>
      <c r="W16">
        <f>IF(AND(W$9+6&gt;=$D16,W$9&lt;=$E16),1,"")</f>
        <v/>
      </c>
      <c r="X16">
        <f>IF(AND(X$9+6&gt;=$D16,X$9&lt;=$E16),1,"")</f>
        <v/>
      </c>
      <c r="Y16">
        <f>IF(AND(Y$9+6&gt;=$D16,Y$9&lt;=$E16),1,"")</f>
        <v/>
      </c>
      <c r="Z16">
        <f>IF(AND(Z$9+6&gt;=$D16,Z$9&lt;=$E16),1,"")</f>
        <v/>
      </c>
      <c r="AA16">
        <f>IF(AND(AA$9+6&gt;=$D16,AA$9&lt;=$E16),1,"")</f>
        <v/>
      </c>
      <c r="AB16">
        <f>IF(AND(AB$9+6&gt;=$D16,AB$9&lt;=$E16),1,"")</f>
        <v/>
      </c>
      <c r="AC16">
        <f>IF(AND(AC$9+6&gt;=$D16,AC$9&lt;=$E16),1,"")</f>
        <v/>
      </c>
      <c r="AD16">
        <f>IF(AND(AD$9+6&gt;=$D16,AD$9&lt;=$E16),1,"")</f>
        <v/>
      </c>
      <c r="AE16">
        <f>IF(AND(AE$9+6&gt;=$D16,AE$9&lt;=$E16),1,"")</f>
        <v/>
      </c>
      <c r="AF16">
        <f>IF(AND(AF$9+6&gt;=$D16,AF$9&lt;=$E16),1,"")</f>
        <v/>
      </c>
      <c r="AG16">
        <f>IF(AND(AG$9+6&gt;=$D16,AG$9&lt;=$E16),1,"")</f>
        <v/>
      </c>
      <c r="AH16">
        <f>IF(AND(AH$9+6&gt;=$D16,AH$9&lt;=$E16),1,"")</f>
        <v/>
      </c>
      <c r="AI16">
        <f>IF(AND(AI$9+6&gt;=$D16,AI$9&lt;=$E16),1,"")</f>
        <v/>
      </c>
      <c r="AJ16">
        <f>IF(AND(AJ$9+6&gt;=$D16,AJ$9&lt;=$E16),1,"")</f>
        <v/>
      </c>
      <c r="AK16">
        <f>IF(AND(AK$9+6&gt;=$D16,AK$9&lt;=$E16),1,"")</f>
        <v/>
      </c>
      <c r="AL16">
        <f>IF(AND(AL$9+6&gt;=$D16,AL$9&lt;=$E16),1,"")</f>
        <v/>
      </c>
      <c r="AM16">
        <f>IF(AND(AM$9+6&gt;=$D16,AM$9&lt;=$E16),1,"")</f>
        <v/>
      </c>
      <c r="AN16">
        <f>IF(AND(AN$9+6&gt;=$D16,AN$9&lt;=$E16),1,"")</f>
        <v/>
      </c>
      <c r="AO16">
        <f>IF(AND(AO$9+6&gt;=$D16,AO$9&lt;=$E16),1,"")</f>
        <v/>
      </c>
      <c r="AP16">
        <f>IF(AND(AP$9+6&gt;=$D16,AP$9&lt;=$E16),1,"")</f>
        <v/>
      </c>
      <c r="AQ16">
        <f>IF(AND(AQ$9+6&gt;=$D16,AQ$9&lt;=$E16),1,"")</f>
        <v/>
      </c>
      <c r="AR16">
        <f>IF(AND(AR$9+6&gt;=$D16,AR$9&lt;=$E16),1,"")</f>
        <v/>
      </c>
      <c r="AS16">
        <f>IF(AND(AS$9+6&gt;=$D16,AS$9&lt;=$E16),1,"")</f>
        <v/>
      </c>
      <c r="AT16">
        <f>IF(AND(AT$9+6&gt;=$D16,AT$9&lt;=$E16),1,"")</f>
        <v/>
      </c>
      <c r="AU16">
        <f>IF(AND(AU$9+6&gt;=$D16,AU$9&lt;=$E16),1,"")</f>
        <v/>
      </c>
      <c r="AV16">
        <f>IF(AND(AV$9+6&gt;=$D16,AV$9&lt;=$E16),1,"")</f>
        <v/>
      </c>
      <c r="AW16">
        <f>IF(AND(AW$9+6&gt;=$D16,AW$9&lt;=$E16),1,"")</f>
        <v/>
      </c>
      <c r="AX16">
        <f>IF(AND(AX$9+6&gt;=$D16,AX$9&lt;=$E16),1,"")</f>
        <v/>
      </c>
      <c r="AY16">
        <f>IF(AND(AY$9+6&gt;=$D16,AY$9&lt;=$E16),1,"")</f>
        <v/>
      </c>
      <c r="AZ16">
        <f>IF(AND(AZ$9+6&gt;=$D16,AZ$9&lt;=$E16),1,"")</f>
        <v/>
      </c>
      <c r="BA16">
        <f>IF(AND(BA$9+6&gt;=$D16,BA$9&lt;=$E16),1,"")</f>
        <v/>
      </c>
      <c r="BB16">
        <f>IF(AND(BB$9+6&gt;=$D16,BB$9&lt;=$E16),1,"")</f>
        <v/>
      </c>
      <c r="BC16">
        <f>IF(AND(BC$9+6&gt;=$D16,BC$9&lt;=$E16),1,"")</f>
        <v/>
      </c>
      <c r="BD16">
        <f>IF(AND(BD$9+6&gt;=$D16,BD$9&lt;=$E16),1,"")</f>
        <v/>
      </c>
      <c r="BE16">
        <f>IF(AND(BE$9+6&gt;=$D16,BE$9&lt;=$E16),1,"")</f>
        <v/>
      </c>
      <c r="BF16">
        <f>IF(AND(BF$9+6&gt;=$D16,BF$9&lt;=$E16),1,"")</f>
        <v/>
      </c>
      <c r="BG16">
        <f>IF(AND(BG$9+6&gt;=$D16,BG$9&lt;=$E16),1,"")</f>
        <v/>
      </c>
    </row>
    <row r="17">
      <c r="B17" s="41" t="inlineStr">
        <is>
          <t>Process design &amp; launch (Oct 2026)</t>
        </is>
      </c>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c r="AA17" s="42" t="n"/>
      <c r="AB17" s="42" t="n"/>
      <c r="AC17" s="42" t="n"/>
      <c r="AD17" s="42" t="n"/>
      <c r="AE17" s="42" t="n"/>
      <c r="AF17" s="42" t="n"/>
      <c r="AG17" s="42" t="n"/>
      <c r="AH17" s="42" t="n"/>
      <c r="AI17" s="42" t="n"/>
      <c r="AJ17" s="42" t="n"/>
      <c r="AK17" s="42" t="n"/>
      <c r="AL17" s="42" t="n"/>
      <c r="AM17" s="42" t="n"/>
      <c r="AN17" s="42" t="n"/>
      <c r="AO17" s="42" t="n"/>
      <c r="AP17" s="42" t="n"/>
      <c r="AQ17" s="42" t="n"/>
      <c r="AR17" s="42" t="n"/>
      <c r="AS17" s="42" t="n"/>
      <c r="AT17" s="42" t="n"/>
      <c r="AU17" s="42" t="n"/>
      <c r="AV17" s="42" t="n"/>
      <c r="AW17" s="42" t="n"/>
      <c r="AX17" s="42" t="n"/>
      <c r="AY17" s="42" t="n"/>
      <c r="AZ17" s="42" t="n"/>
      <c r="BA17" s="42" t="n"/>
      <c r="BB17" s="42" t="n"/>
      <c r="BC17" s="42" t="n"/>
      <c r="BD17" s="42" t="n"/>
      <c r="BE17" s="42" t="n"/>
      <c r="BF17" s="42" t="n"/>
      <c r="BG17" s="42" t="n"/>
    </row>
    <row r="18">
      <c r="B18" s="8" t="inlineStr">
        <is>
          <t>Finalise templates and evidence register</t>
        </is>
      </c>
      <c r="C18" s="8" t="inlineStr">
        <is>
          <t>Templates final</t>
        </is>
      </c>
      <c r="D18" s="17" t="n">
        <v>46314</v>
      </c>
      <c r="E18" s="17" t="n">
        <v>46325</v>
      </c>
      <c r="F18" s="8" t="inlineStr">
        <is>
          <t>Stefanus</t>
        </is>
      </c>
      <c r="G18" s="8" t="inlineStr">
        <is>
          <t>Gerard Healey</t>
        </is>
      </c>
      <c r="H18" s="8" t="inlineStr"/>
      <c r="I18" s="8" t="inlineStr"/>
      <c r="J18" s="8" t="inlineStr">
        <is>
          <t>High</t>
        </is>
      </c>
      <c r="K18" s="8" t="inlineStr">
        <is>
          <t>Not yet started</t>
        </is>
      </c>
      <c r="L18">
        <f>IF(AND(L$9+6&gt;=$D18,L$9&lt;=$E18),1,"")</f>
        <v/>
      </c>
      <c r="M18">
        <f>IF(AND(M$9+6&gt;=$D18,M$9&lt;=$E18),1,"")</f>
        <v/>
      </c>
      <c r="N18">
        <f>IF(AND(N$9+6&gt;=$D18,N$9&lt;=$E18),1,"")</f>
        <v/>
      </c>
      <c r="O18">
        <f>IF(AND(O$9+6&gt;=$D18,O$9&lt;=$E18),1,"")</f>
        <v/>
      </c>
      <c r="P18">
        <f>IF(AND(P$9+6&gt;=$D18,P$9&lt;=$E18),1,"")</f>
        <v/>
      </c>
      <c r="Q18">
        <f>IF(AND(Q$9+6&gt;=$D18,Q$9&lt;=$E18),1,"")</f>
        <v/>
      </c>
      <c r="R18">
        <f>IF(AND(R$9+6&gt;=$D18,R$9&lt;=$E18),1,"")</f>
        <v/>
      </c>
      <c r="S18">
        <f>IF(AND(S$9+6&gt;=$D18,S$9&lt;=$E18),1,"")</f>
        <v/>
      </c>
      <c r="T18">
        <f>IF(AND(T$9+6&gt;=$D18,T$9&lt;=$E18),1,"")</f>
        <v/>
      </c>
      <c r="U18">
        <f>IF(AND(U$9+6&gt;=$D18,U$9&lt;=$E18),1,"")</f>
        <v/>
      </c>
      <c r="V18">
        <f>IF(AND(V$9+6&gt;=$D18,V$9&lt;=$E18),1,"")</f>
        <v/>
      </c>
      <c r="W18">
        <f>IF(AND(W$9+6&gt;=$D18,W$9&lt;=$E18),1,"")</f>
        <v/>
      </c>
      <c r="X18">
        <f>IF(AND(X$9+6&gt;=$D18,X$9&lt;=$E18),1,"")</f>
        <v/>
      </c>
      <c r="Y18">
        <f>IF(AND(Y$9+6&gt;=$D18,Y$9&lt;=$E18),1,"")</f>
        <v/>
      </c>
      <c r="Z18">
        <f>IF(AND(Z$9+6&gt;=$D18,Z$9&lt;=$E18),1,"")</f>
        <v/>
      </c>
      <c r="AA18">
        <f>IF(AND(AA$9+6&gt;=$D18,AA$9&lt;=$E18),1,"")</f>
        <v/>
      </c>
      <c r="AB18">
        <f>IF(AND(AB$9+6&gt;=$D18,AB$9&lt;=$E18),1,"")</f>
        <v/>
      </c>
      <c r="AC18">
        <f>IF(AND(AC$9+6&gt;=$D18,AC$9&lt;=$E18),1,"")</f>
        <v/>
      </c>
      <c r="AD18">
        <f>IF(AND(AD$9+6&gt;=$D18,AD$9&lt;=$E18),1,"")</f>
        <v/>
      </c>
      <c r="AE18">
        <f>IF(AND(AE$9+6&gt;=$D18,AE$9&lt;=$E18),1,"")</f>
        <v/>
      </c>
      <c r="AF18">
        <f>IF(AND(AF$9+6&gt;=$D18,AF$9&lt;=$E18),1,"")</f>
        <v/>
      </c>
      <c r="AG18">
        <f>IF(AND(AG$9+6&gt;=$D18,AG$9&lt;=$E18),1,"")</f>
        <v/>
      </c>
      <c r="AH18">
        <f>IF(AND(AH$9+6&gt;=$D18,AH$9&lt;=$E18),1,"")</f>
        <v/>
      </c>
      <c r="AI18">
        <f>IF(AND(AI$9+6&gt;=$D18,AI$9&lt;=$E18),1,"")</f>
        <v/>
      </c>
      <c r="AJ18">
        <f>IF(AND(AJ$9+6&gt;=$D18,AJ$9&lt;=$E18),1,"")</f>
        <v/>
      </c>
      <c r="AK18">
        <f>IF(AND(AK$9+6&gt;=$D18,AK$9&lt;=$E18),1,"")</f>
        <v/>
      </c>
      <c r="AL18">
        <f>IF(AND(AL$9+6&gt;=$D18,AL$9&lt;=$E18),1,"")</f>
        <v/>
      </c>
      <c r="AM18">
        <f>IF(AND(AM$9+6&gt;=$D18,AM$9&lt;=$E18),1,"")</f>
        <v/>
      </c>
      <c r="AN18">
        <f>IF(AND(AN$9+6&gt;=$D18,AN$9&lt;=$E18),1,"")</f>
        <v/>
      </c>
      <c r="AO18">
        <f>IF(AND(AO$9+6&gt;=$D18,AO$9&lt;=$E18),1,"")</f>
        <v/>
      </c>
      <c r="AP18">
        <f>IF(AND(AP$9+6&gt;=$D18,AP$9&lt;=$E18),1,"")</f>
        <v/>
      </c>
      <c r="AQ18">
        <f>IF(AND(AQ$9+6&gt;=$D18,AQ$9&lt;=$E18),1,"")</f>
        <v/>
      </c>
      <c r="AR18">
        <f>IF(AND(AR$9+6&gt;=$D18,AR$9&lt;=$E18),1,"")</f>
        <v/>
      </c>
      <c r="AS18">
        <f>IF(AND(AS$9+6&gt;=$D18,AS$9&lt;=$E18),1,"")</f>
        <v/>
      </c>
      <c r="AT18">
        <f>IF(AND(AT$9+6&gt;=$D18,AT$9&lt;=$E18),1,"")</f>
        <v/>
      </c>
      <c r="AU18">
        <f>IF(AND(AU$9+6&gt;=$D18,AU$9&lt;=$E18),1,"")</f>
        <v/>
      </c>
      <c r="AV18">
        <f>IF(AND(AV$9+6&gt;=$D18,AV$9&lt;=$E18),1,"")</f>
        <v/>
      </c>
      <c r="AW18">
        <f>IF(AND(AW$9+6&gt;=$D18,AW$9&lt;=$E18),1,"")</f>
        <v/>
      </c>
      <c r="AX18">
        <f>IF(AND(AX$9+6&gt;=$D18,AX$9&lt;=$E18),1,"")</f>
        <v/>
      </c>
      <c r="AY18">
        <f>IF(AND(AY$9+6&gt;=$D18,AY$9&lt;=$E18),1,"")</f>
        <v/>
      </c>
      <c r="AZ18">
        <f>IF(AND(AZ$9+6&gt;=$D18,AZ$9&lt;=$E18),1,"")</f>
        <v/>
      </c>
      <c r="BA18">
        <f>IF(AND(BA$9+6&gt;=$D18,BA$9&lt;=$E18),1,"")</f>
        <v/>
      </c>
      <c r="BB18">
        <f>IF(AND(BB$9+6&gt;=$D18,BB$9&lt;=$E18),1,"")</f>
        <v/>
      </c>
      <c r="BC18">
        <f>IF(AND(BC$9+6&gt;=$D18,BC$9&lt;=$E18),1,"")</f>
        <v/>
      </c>
      <c r="BD18">
        <f>IF(AND(BD$9+6&gt;=$D18,BD$9&lt;=$E18),1,"")</f>
        <v/>
      </c>
      <c r="BE18">
        <f>IF(AND(BE$9+6&gt;=$D18,BE$9&lt;=$E18),1,"")</f>
        <v/>
      </c>
      <c r="BF18">
        <f>IF(AND(BF$9+6&gt;=$D18,BF$9&lt;=$E18),1,"")</f>
        <v/>
      </c>
      <c r="BG18">
        <f>IF(AND(BG$9+6&gt;=$D18,BG$9&lt;=$E18),1,"")</f>
        <v/>
      </c>
    </row>
    <row r="19">
      <c r="B19" s="8" t="inlineStr">
        <is>
          <t>Coordinate with University Annual Report team (dependency map)</t>
        </is>
      </c>
      <c r="C19" s="8" t="inlineStr">
        <is>
          <t>Shared data map</t>
        </is>
      </c>
      <c r="D19" s="17" t="n">
        <v>46300</v>
      </c>
      <c r="E19" s="17" t="n">
        <v>46325</v>
      </c>
      <c r="F19" s="8" t="inlineStr">
        <is>
          <t>SST</t>
        </is>
      </c>
      <c r="G19" s="8" t="inlineStr">
        <is>
          <t>Director, Sustainability</t>
        </is>
      </c>
      <c r="H19" s="8" t="inlineStr"/>
      <c r="I19" s="8" t="inlineStr">
        <is>
          <t>Annual Report team</t>
        </is>
      </c>
      <c r="J19" s="8" t="inlineStr">
        <is>
          <t>High</t>
        </is>
      </c>
      <c r="K19" s="8" t="inlineStr">
        <is>
          <t>Not yet started</t>
        </is>
      </c>
      <c r="L19">
        <f>IF(AND(L$9+6&gt;=$D19,L$9&lt;=$E19),1,"")</f>
        <v/>
      </c>
      <c r="M19">
        <f>IF(AND(M$9+6&gt;=$D19,M$9&lt;=$E19),1,"")</f>
        <v/>
      </c>
      <c r="N19">
        <f>IF(AND(N$9+6&gt;=$D19,N$9&lt;=$E19),1,"")</f>
        <v/>
      </c>
      <c r="O19">
        <f>IF(AND(O$9+6&gt;=$D19,O$9&lt;=$E19),1,"")</f>
        <v/>
      </c>
      <c r="P19">
        <f>IF(AND(P$9+6&gt;=$D19,P$9&lt;=$E19),1,"")</f>
        <v/>
      </c>
      <c r="Q19">
        <f>IF(AND(Q$9+6&gt;=$D19,Q$9&lt;=$E19),1,"")</f>
        <v/>
      </c>
      <c r="R19">
        <f>IF(AND(R$9+6&gt;=$D19,R$9&lt;=$E19),1,"")</f>
        <v/>
      </c>
      <c r="S19">
        <f>IF(AND(S$9+6&gt;=$D19,S$9&lt;=$E19),1,"")</f>
        <v/>
      </c>
      <c r="T19">
        <f>IF(AND(T$9+6&gt;=$D19,T$9&lt;=$E19),1,"")</f>
        <v/>
      </c>
      <c r="U19">
        <f>IF(AND(U$9+6&gt;=$D19,U$9&lt;=$E19),1,"")</f>
        <v/>
      </c>
      <c r="V19">
        <f>IF(AND(V$9+6&gt;=$D19,V$9&lt;=$E19),1,"")</f>
        <v/>
      </c>
      <c r="W19">
        <f>IF(AND(W$9+6&gt;=$D19,W$9&lt;=$E19),1,"")</f>
        <v/>
      </c>
      <c r="X19">
        <f>IF(AND(X$9+6&gt;=$D19,X$9&lt;=$E19),1,"")</f>
        <v/>
      </c>
      <c r="Y19">
        <f>IF(AND(Y$9+6&gt;=$D19,Y$9&lt;=$E19),1,"")</f>
        <v/>
      </c>
      <c r="Z19">
        <f>IF(AND(Z$9+6&gt;=$D19,Z$9&lt;=$E19),1,"")</f>
        <v/>
      </c>
      <c r="AA19">
        <f>IF(AND(AA$9+6&gt;=$D19,AA$9&lt;=$E19),1,"")</f>
        <v/>
      </c>
      <c r="AB19">
        <f>IF(AND(AB$9+6&gt;=$D19,AB$9&lt;=$E19),1,"")</f>
        <v/>
      </c>
      <c r="AC19">
        <f>IF(AND(AC$9+6&gt;=$D19,AC$9&lt;=$E19),1,"")</f>
        <v/>
      </c>
      <c r="AD19">
        <f>IF(AND(AD$9+6&gt;=$D19,AD$9&lt;=$E19),1,"")</f>
        <v/>
      </c>
      <c r="AE19">
        <f>IF(AND(AE$9+6&gt;=$D19,AE$9&lt;=$E19),1,"")</f>
        <v/>
      </c>
      <c r="AF19">
        <f>IF(AND(AF$9+6&gt;=$D19,AF$9&lt;=$E19),1,"")</f>
        <v/>
      </c>
      <c r="AG19">
        <f>IF(AND(AG$9+6&gt;=$D19,AG$9&lt;=$E19),1,"")</f>
        <v/>
      </c>
      <c r="AH19">
        <f>IF(AND(AH$9+6&gt;=$D19,AH$9&lt;=$E19),1,"")</f>
        <v/>
      </c>
      <c r="AI19">
        <f>IF(AND(AI$9+6&gt;=$D19,AI$9&lt;=$E19),1,"")</f>
        <v/>
      </c>
      <c r="AJ19">
        <f>IF(AND(AJ$9+6&gt;=$D19,AJ$9&lt;=$E19),1,"")</f>
        <v/>
      </c>
      <c r="AK19">
        <f>IF(AND(AK$9+6&gt;=$D19,AK$9&lt;=$E19),1,"")</f>
        <v/>
      </c>
      <c r="AL19">
        <f>IF(AND(AL$9+6&gt;=$D19,AL$9&lt;=$E19),1,"")</f>
        <v/>
      </c>
      <c r="AM19">
        <f>IF(AND(AM$9+6&gt;=$D19,AM$9&lt;=$E19),1,"")</f>
        <v/>
      </c>
      <c r="AN19">
        <f>IF(AND(AN$9+6&gt;=$D19,AN$9&lt;=$E19),1,"")</f>
        <v/>
      </c>
      <c r="AO19">
        <f>IF(AND(AO$9+6&gt;=$D19,AO$9&lt;=$E19),1,"")</f>
        <v/>
      </c>
      <c r="AP19">
        <f>IF(AND(AP$9+6&gt;=$D19,AP$9&lt;=$E19),1,"")</f>
        <v/>
      </c>
      <c r="AQ19">
        <f>IF(AND(AQ$9+6&gt;=$D19,AQ$9&lt;=$E19),1,"")</f>
        <v/>
      </c>
      <c r="AR19">
        <f>IF(AND(AR$9+6&gt;=$D19,AR$9&lt;=$E19),1,"")</f>
        <v/>
      </c>
      <c r="AS19">
        <f>IF(AND(AS$9+6&gt;=$D19,AS$9&lt;=$E19),1,"")</f>
        <v/>
      </c>
      <c r="AT19">
        <f>IF(AND(AT$9+6&gt;=$D19,AT$9&lt;=$E19),1,"")</f>
        <v/>
      </c>
      <c r="AU19">
        <f>IF(AND(AU$9+6&gt;=$D19,AU$9&lt;=$E19),1,"")</f>
        <v/>
      </c>
      <c r="AV19">
        <f>IF(AND(AV$9+6&gt;=$D19,AV$9&lt;=$E19),1,"")</f>
        <v/>
      </c>
      <c r="AW19">
        <f>IF(AND(AW$9+6&gt;=$D19,AW$9&lt;=$E19),1,"")</f>
        <v/>
      </c>
      <c r="AX19">
        <f>IF(AND(AX$9+6&gt;=$D19,AX$9&lt;=$E19),1,"")</f>
        <v/>
      </c>
      <c r="AY19">
        <f>IF(AND(AY$9+6&gt;=$D19,AY$9&lt;=$E19),1,"")</f>
        <v/>
      </c>
      <c r="AZ19">
        <f>IF(AND(AZ$9+6&gt;=$D19,AZ$9&lt;=$E19),1,"")</f>
        <v/>
      </c>
      <c r="BA19">
        <f>IF(AND(BA$9+6&gt;=$D19,BA$9&lt;=$E19),1,"")</f>
        <v/>
      </c>
      <c r="BB19">
        <f>IF(AND(BB$9+6&gt;=$D19,BB$9&lt;=$E19),1,"")</f>
        <v/>
      </c>
      <c r="BC19">
        <f>IF(AND(BC$9+6&gt;=$D19,BC$9&lt;=$E19),1,"")</f>
        <v/>
      </c>
      <c r="BD19">
        <f>IF(AND(BD$9+6&gt;=$D19,BD$9&lt;=$E19),1,"")</f>
        <v/>
      </c>
      <c r="BE19">
        <f>IF(AND(BE$9+6&gt;=$D19,BE$9&lt;=$E19),1,"")</f>
        <v/>
      </c>
      <c r="BF19">
        <f>IF(AND(BF$9+6&gt;=$D19,BF$9&lt;=$E19),1,"")</f>
        <v/>
      </c>
      <c r="BG19">
        <f>IF(AND(BG$9+6&gt;=$D19,BG$9&lt;=$E19),1,"")</f>
        <v/>
      </c>
    </row>
    <row r="20">
      <c r="B20" s="8" t="inlineStr">
        <is>
          <t>Convene Strategic Comms, digital &amp; design; agree comms RASCI</t>
        </is>
      </c>
      <c r="C20" s="8" t="inlineStr">
        <is>
          <t>Kick-off</t>
        </is>
      </c>
      <c r="D20" s="17" t="n">
        <v>46300</v>
      </c>
      <c r="E20" s="17" t="n">
        <v>46318</v>
      </c>
      <c r="F20" s="8" t="inlineStr">
        <is>
          <t>SST</t>
        </is>
      </c>
      <c r="G20" s="8" t="inlineStr">
        <is>
          <t>Director, Sustainability</t>
        </is>
      </c>
      <c r="H20" s="8" t="inlineStr">
        <is>
          <t>Strategic Comms</t>
        </is>
      </c>
      <c r="I20" s="8" t="inlineStr">
        <is>
          <t>Design, digital</t>
        </is>
      </c>
      <c r="J20" s="8" t="inlineStr">
        <is>
          <t>High</t>
        </is>
      </c>
      <c r="K20" s="8" t="inlineStr">
        <is>
          <t>Not yet started</t>
        </is>
      </c>
      <c r="L20">
        <f>IF(AND(L$9+6&gt;=$D20,L$9&lt;=$E20),1,"")</f>
        <v/>
      </c>
      <c r="M20">
        <f>IF(AND(M$9+6&gt;=$D20,M$9&lt;=$E20),1,"")</f>
        <v/>
      </c>
      <c r="N20">
        <f>IF(AND(N$9+6&gt;=$D20,N$9&lt;=$E20),1,"")</f>
        <v/>
      </c>
      <c r="O20">
        <f>IF(AND(O$9+6&gt;=$D20,O$9&lt;=$E20),1,"")</f>
        <v/>
      </c>
      <c r="P20">
        <f>IF(AND(P$9+6&gt;=$D20,P$9&lt;=$E20),1,"")</f>
        <v/>
      </c>
      <c r="Q20">
        <f>IF(AND(Q$9+6&gt;=$D20,Q$9&lt;=$E20),1,"")</f>
        <v/>
      </c>
      <c r="R20">
        <f>IF(AND(R$9+6&gt;=$D20,R$9&lt;=$E20),1,"")</f>
        <v/>
      </c>
      <c r="S20">
        <f>IF(AND(S$9+6&gt;=$D20,S$9&lt;=$E20),1,"")</f>
        <v/>
      </c>
      <c r="T20">
        <f>IF(AND(T$9+6&gt;=$D20,T$9&lt;=$E20),1,"")</f>
        <v/>
      </c>
      <c r="U20">
        <f>IF(AND(U$9+6&gt;=$D20,U$9&lt;=$E20),1,"")</f>
        <v/>
      </c>
      <c r="V20">
        <f>IF(AND(V$9+6&gt;=$D20,V$9&lt;=$E20),1,"")</f>
        <v/>
      </c>
      <c r="W20">
        <f>IF(AND(W$9+6&gt;=$D20,W$9&lt;=$E20),1,"")</f>
        <v/>
      </c>
      <c r="X20">
        <f>IF(AND(X$9+6&gt;=$D20,X$9&lt;=$E20),1,"")</f>
        <v/>
      </c>
      <c r="Y20">
        <f>IF(AND(Y$9+6&gt;=$D20,Y$9&lt;=$E20),1,"")</f>
        <v/>
      </c>
      <c r="Z20">
        <f>IF(AND(Z$9+6&gt;=$D20,Z$9&lt;=$E20),1,"")</f>
        <v/>
      </c>
      <c r="AA20">
        <f>IF(AND(AA$9+6&gt;=$D20,AA$9&lt;=$E20),1,"")</f>
        <v/>
      </c>
      <c r="AB20">
        <f>IF(AND(AB$9+6&gt;=$D20,AB$9&lt;=$E20),1,"")</f>
        <v/>
      </c>
      <c r="AC20">
        <f>IF(AND(AC$9+6&gt;=$D20,AC$9&lt;=$E20),1,"")</f>
        <v/>
      </c>
      <c r="AD20">
        <f>IF(AND(AD$9+6&gt;=$D20,AD$9&lt;=$E20),1,"")</f>
        <v/>
      </c>
      <c r="AE20">
        <f>IF(AND(AE$9+6&gt;=$D20,AE$9&lt;=$E20),1,"")</f>
        <v/>
      </c>
      <c r="AF20">
        <f>IF(AND(AF$9+6&gt;=$D20,AF$9&lt;=$E20),1,"")</f>
        <v/>
      </c>
      <c r="AG20">
        <f>IF(AND(AG$9+6&gt;=$D20,AG$9&lt;=$E20),1,"")</f>
        <v/>
      </c>
      <c r="AH20">
        <f>IF(AND(AH$9+6&gt;=$D20,AH$9&lt;=$E20),1,"")</f>
        <v/>
      </c>
      <c r="AI20">
        <f>IF(AND(AI$9+6&gt;=$D20,AI$9&lt;=$E20),1,"")</f>
        <v/>
      </c>
      <c r="AJ20">
        <f>IF(AND(AJ$9+6&gt;=$D20,AJ$9&lt;=$E20),1,"")</f>
        <v/>
      </c>
      <c r="AK20">
        <f>IF(AND(AK$9+6&gt;=$D20,AK$9&lt;=$E20),1,"")</f>
        <v/>
      </c>
      <c r="AL20">
        <f>IF(AND(AL$9+6&gt;=$D20,AL$9&lt;=$E20),1,"")</f>
        <v/>
      </c>
      <c r="AM20">
        <f>IF(AND(AM$9+6&gt;=$D20,AM$9&lt;=$E20),1,"")</f>
        <v/>
      </c>
      <c r="AN20">
        <f>IF(AND(AN$9+6&gt;=$D20,AN$9&lt;=$E20),1,"")</f>
        <v/>
      </c>
      <c r="AO20">
        <f>IF(AND(AO$9+6&gt;=$D20,AO$9&lt;=$E20),1,"")</f>
        <v/>
      </c>
      <c r="AP20">
        <f>IF(AND(AP$9+6&gt;=$D20,AP$9&lt;=$E20),1,"")</f>
        <v/>
      </c>
      <c r="AQ20">
        <f>IF(AND(AQ$9+6&gt;=$D20,AQ$9&lt;=$E20),1,"")</f>
        <v/>
      </c>
      <c r="AR20">
        <f>IF(AND(AR$9+6&gt;=$D20,AR$9&lt;=$E20),1,"")</f>
        <v/>
      </c>
      <c r="AS20">
        <f>IF(AND(AS$9+6&gt;=$D20,AS$9&lt;=$E20),1,"")</f>
        <v/>
      </c>
      <c r="AT20">
        <f>IF(AND(AT$9+6&gt;=$D20,AT$9&lt;=$E20),1,"")</f>
        <v/>
      </c>
      <c r="AU20">
        <f>IF(AND(AU$9+6&gt;=$D20,AU$9&lt;=$E20),1,"")</f>
        <v/>
      </c>
      <c r="AV20">
        <f>IF(AND(AV$9+6&gt;=$D20,AV$9&lt;=$E20),1,"")</f>
        <v/>
      </c>
      <c r="AW20">
        <f>IF(AND(AW$9+6&gt;=$D20,AW$9&lt;=$E20),1,"")</f>
        <v/>
      </c>
      <c r="AX20">
        <f>IF(AND(AX$9+6&gt;=$D20,AX$9&lt;=$E20),1,"")</f>
        <v/>
      </c>
      <c r="AY20">
        <f>IF(AND(AY$9+6&gt;=$D20,AY$9&lt;=$E20),1,"")</f>
        <v/>
      </c>
      <c r="AZ20">
        <f>IF(AND(AZ$9+6&gt;=$D20,AZ$9&lt;=$E20),1,"")</f>
        <v/>
      </c>
      <c r="BA20">
        <f>IF(AND(BA$9+6&gt;=$D20,BA$9&lt;=$E20),1,"")</f>
        <v/>
      </c>
      <c r="BB20">
        <f>IF(AND(BB$9+6&gt;=$D20,BB$9&lt;=$E20),1,"")</f>
        <v/>
      </c>
      <c r="BC20">
        <f>IF(AND(BC$9+6&gt;=$D20,BC$9&lt;=$E20),1,"")</f>
        <v/>
      </c>
      <c r="BD20">
        <f>IF(AND(BD$9+6&gt;=$D20,BD$9&lt;=$E20),1,"")</f>
        <v/>
      </c>
      <c r="BE20">
        <f>IF(AND(BE$9+6&gt;=$D20,BE$9&lt;=$E20),1,"")</f>
        <v/>
      </c>
      <c r="BF20">
        <f>IF(AND(BF$9+6&gt;=$D20,BF$9&lt;=$E20),1,"")</f>
        <v/>
      </c>
      <c r="BG20">
        <f>IF(AND(BG$9+6&gt;=$D20,BG$9&lt;=$E20),1,"")</f>
        <v/>
      </c>
    </row>
    <row r="21">
      <c r="B21" s="8" t="inlineStr">
        <is>
          <t>Sustainability 2030 launch</t>
        </is>
      </c>
      <c r="C21" s="8" t="inlineStr">
        <is>
          <t>~20 Oct (TBC)</t>
        </is>
      </c>
      <c r="D21" s="17" t="n">
        <v>46315</v>
      </c>
      <c r="E21" s="17" t="n">
        <v>46315</v>
      </c>
      <c r="F21" s="8" t="inlineStr"/>
      <c r="G21" s="8" t="inlineStr"/>
      <c r="H21" s="8" t="inlineStr"/>
      <c r="I21" s="8" t="inlineStr"/>
      <c r="J21" s="8" t="inlineStr">
        <is>
          <t>Milestone</t>
        </is>
      </c>
      <c r="K21" s="8" t="inlineStr">
        <is>
          <t>Not yet started</t>
        </is>
      </c>
      <c r="L21">
        <f>IF(AND(L$9+6&gt;=$D21,L$9&lt;=$E21),1,"")</f>
        <v/>
      </c>
      <c r="M21">
        <f>IF(AND(M$9+6&gt;=$D21,M$9&lt;=$E21),1,"")</f>
        <v/>
      </c>
      <c r="N21">
        <f>IF(AND(N$9+6&gt;=$D21,N$9&lt;=$E21),1,"")</f>
        <v/>
      </c>
      <c r="O21">
        <f>IF(AND(O$9+6&gt;=$D21,O$9&lt;=$E21),1,"")</f>
        <v/>
      </c>
      <c r="P21">
        <f>IF(AND(P$9+6&gt;=$D21,P$9&lt;=$E21),1,"")</f>
        <v/>
      </c>
      <c r="Q21">
        <f>IF(AND(Q$9+6&gt;=$D21,Q$9&lt;=$E21),1,"")</f>
        <v/>
      </c>
      <c r="R21">
        <f>IF(AND(R$9+6&gt;=$D21,R$9&lt;=$E21),1,"")</f>
        <v/>
      </c>
      <c r="S21">
        <f>IF(AND(S$9+6&gt;=$D21,S$9&lt;=$E21),1,"")</f>
        <v/>
      </c>
      <c r="T21">
        <f>IF(AND(T$9+6&gt;=$D21,T$9&lt;=$E21),1,"")</f>
        <v/>
      </c>
      <c r="U21">
        <f>IF(AND(U$9+6&gt;=$D21,U$9&lt;=$E21),1,"")</f>
        <v/>
      </c>
      <c r="V21">
        <f>IF(AND(V$9+6&gt;=$D21,V$9&lt;=$E21),1,"")</f>
        <v/>
      </c>
      <c r="W21">
        <f>IF(AND(W$9+6&gt;=$D21,W$9&lt;=$E21),1,"")</f>
        <v/>
      </c>
      <c r="X21">
        <f>IF(AND(X$9+6&gt;=$D21,X$9&lt;=$E21),1,"")</f>
        <v/>
      </c>
      <c r="Y21">
        <f>IF(AND(Y$9+6&gt;=$D21,Y$9&lt;=$E21),1,"")</f>
        <v/>
      </c>
      <c r="Z21">
        <f>IF(AND(Z$9+6&gt;=$D21,Z$9&lt;=$E21),1,"")</f>
        <v/>
      </c>
      <c r="AA21">
        <f>IF(AND(AA$9+6&gt;=$D21,AA$9&lt;=$E21),1,"")</f>
        <v/>
      </c>
      <c r="AB21">
        <f>IF(AND(AB$9+6&gt;=$D21,AB$9&lt;=$E21),1,"")</f>
        <v/>
      </c>
      <c r="AC21">
        <f>IF(AND(AC$9+6&gt;=$D21,AC$9&lt;=$E21),1,"")</f>
        <v/>
      </c>
      <c r="AD21">
        <f>IF(AND(AD$9+6&gt;=$D21,AD$9&lt;=$E21),1,"")</f>
        <v/>
      </c>
      <c r="AE21">
        <f>IF(AND(AE$9+6&gt;=$D21,AE$9&lt;=$E21),1,"")</f>
        <v/>
      </c>
      <c r="AF21">
        <f>IF(AND(AF$9+6&gt;=$D21,AF$9&lt;=$E21),1,"")</f>
        <v/>
      </c>
      <c r="AG21">
        <f>IF(AND(AG$9+6&gt;=$D21,AG$9&lt;=$E21),1,"")</f>
        <v/>
      </c>
      <c r="AH21">
        <f>IF(AND(AH$9+6&gt;=$D21,AH$9&lt;=$E21),1,"")</f>
        <v/>
      </c>
      <c r="AI21">
        <f>IF(AND(AI$9+6&gt;=$D21,AI$9&lt;=$E21),1,"")</f>
        <v/>
      </c>
      <c r="AJ21">
        <f>IF(AND(AJ$9+6&gt;=$D21,AJ$9&lt;=$E21),1,"")</f>
        <v/>
      </c>
      <c r="AK21">
        <f>IF(AND(AK$9+6&gt;=$D21,AK$9&lt;=$E21),1,"")</f>
        <v/>
      </c>
      <c r="AL21">
        <f>IF(AND(AL$9+6&gt;=$D21,AL$9&lt;=$E21),1,"")</f>
        <v/>
      </c>
      <c r="AM21">
        <f>IF(AND(AM$9+6&gt;=$D21,AM$9&lt;=$E21),1,"")</f>
        <v/>
      </c>
      <c r="AN21">
        <f>IF(AND(AN$9+6&gt;=$D21,AN$9&lt;=$E21),1,"")</f>
        <v/>
      </c>
      <c r="AO21">
        <f>IF(AND(AO$9+6&gt;=$D21,AO$9&lt;=$E21),1,"")</f>
        <v/>
      </c>
      <c r="AP21">
        <f>IF(AND(AP$9+6&gt;=$D21,AP$9&lt;=$E21),1,"")</f>
        <v/>
      </c>
      <c r="AQ21">
        <f>IF(AND(AQ$9+6&gt;=$D21,AQ$9&lt;=$E21),1,"")</f>
        <v/>
      </c>
      <c r="AR21">
        <f>IF(AND(AR$9+6&gt;=$D21,AR$9&lt;=$E21),1,"")</f>
        <v/>
      </c>
      <c r="AS21">
        <f>IF(AND(AS$9+6&gt;=$D21,AS$9&lt;=$E21),1,"")</f>
        <v/>
      </c>
      <c r="AT21">
        <f>IF(AND(AT$9+6&gt;=$D21,AT$9&lt;=$E21),1,"")</f>
        <v/>
      </c>
      <c r="AU21">
        <f>IF(AND(AU$9+6&gt;=$D21,AU$9&lt;=$E21),1,"")</f>
        <v/>
      </c>
      <c r="AV21">
        <f>IF(AND(AV$9+6&gt;=$D21,AV$9&lt;=$E21),1,"")</f>
        <v/>
      </c>
      <c r="AW21">
        <f>IF(AND(AW$9+6&gt;=$D21,AW$9&lt;=$E21),1,"")</f>
        <v/>
      </c>
      <c r="AX21">
        <f>IF(AND(AX$9+6&gt;=$D21,AX$9&lt;=$E21),1,"")</f>
        <v/>
      </c>
      <c r="AY21">
        <f>IF(AND(AY$9+6&gt;=$D21,AY$9&lt;=$E21),1,"")</f>
        <v/>
      </c>
      <c r="AZ21">
        <f>IF(AND(AZ$9+6&gt;=$D21,AZ$9&lt;=$E21),1,"")</f>
        <v/>
      </c>
      <c r="BA21">
        <f>IF(AND(BA$9+6&gt;=$D21,BA$9&lt;=$E21),1,"")</f>
        <v/>
      </c>
      <c r="BB21">
        <f>IF(AND(BB$9+6&gt;=$D21,BB$9&lt;=$E21),1,"")</f>
        <v/>
      </c>
      <c r="BC21">
        <f>IF(AND(BC$9+6&gt;=$D21,BC$9&lt;=$E21),1,"")</f>
        <v/>
      </c>
      <c r="BD21">
        <f>IF(AND(BD$9+6&gt;=$D21,BD$9&lt;=$E21),1,"")</f>
        <v/>
      </c>
      <c r="BE21">
        <f>IF(AND(BE$9+6&gt;=$D21,BE$9&lt;=$E21),1,"")</f>
        <v/>
      </c>
      <c r="BF21">
        <f>IF(AND(BF$9+6&gt;=$D21,BF$9&lt;=$E21),1,"")</f>
        <v/>
      </c>
      <c r="BG21">
        <f>IF(AND(BG$9+6&gt;=$D21,BG$9&lt;=$E21),1,"")</f>
        <v/>
      </c>
    </row>
    <row r="22">
      <c r="B22" s="8" t="inlineStr">
        <is>
          <t>Brief contributor groups / working groups (after launch)</t>
        </is>
      </c>
      <c r="C22" s="8" t="inlineStr"/>
      <c r="D22" s="17" t="n">
        <v>46315</v>
      </c>
      <c r="E22" s="17" t="n">
        <v>46332</v>
      </c>
      <c r="F22" s="8" t="inlineStr">
        <is>
          <t>SST</t>
        </is>
      </c>
      <c r="G22" s="8" t="inlineStr"/>
      <c r="H22" s="8" t="inlineStr"/>
      <c r="I22" s="8" t="inlineStr">
        <is>
          <t>Working groups</t>
        </is>
      </c>
      <c r="J22" s="8" t="inlineStr">
        <is>
          <t>Medium</t>
        </is>
      </c>
      <c r="K22" s="8" t="inlineStr">
        <is>
          <t>Not yet started</t>
        </is>
      </c>
      <c r="L22">
        <f>IF(AND(L$9+6&gt;=$D22,L$9&lt;=$E22),1,"")</f>
        <v/>
      </c>
      <c r="M22">
        <f>IF(AND(M$9+6&gt;=$D22,M$9&lt;=$E22),1,"")</f>
        <v/>
      </c>
      <c r="N22">
        <f>IF(AND(N$9+6&gt;=$D22,N$9&lt;=$E22),1,"")</f>
        <v/>
      </c>
      <c r="O22">
        <f>IF(AND(O$9+6&gt;=$D22,O$9&lt;=$E22),1,"")</f>
        <v/>
      </c>
      <c r="P22">
        <f>IF(AND(P$9+6&gt;=$D22,P$9&lt;=$E22),1,"")</f>
        <v/>
      </c>
      <c r="Q22">
        <f>IF(AND(Q$9+6&gt;=$D22,Q$9&lt;=$E22),1,"")</f>
        <v/>
      </c>
      <c r="R22">
        <f>IF(AND(R$9+6&gt;=$D22,R$9&lt;=$E22),1,"")</f>
        <v/>
      </c>
      <c r="S22">
        <f>IF(AND(S$9+6&gt;=$D22,S$9&lt;=$E22),1,"")</f>
        <v/>
      </c>
      <c r="T22">
        <f>IF(AND(T$9+6&gt;=$D22,T$9&lt;=$E22),1,"")</f>
        <v/>
      </c>
      <c r="U22">
        <f>IF(AND(U$9+6&gt;=$D22,U$9&lt;=$E22),1,"")</f>
        <v/>
      </c>
      <c r="V22">
        <f>IF(AND(V$9+6&gt;=$D22,V$9&lt;=$E22),1,"")</f>
        <v/>
      </c>
      <c r="W22">
        <f>IF(AND(W$9+6&gt;=$D22,W$9&lt;=$E22),1,"")</f>
        <v/>
      </c>
      <c r="X22">
        <f>IF(AND(X$9+6&gt;=$D22,X$9&lt;=$E22),1,"")</f>
        <v/>
      </c>
      <c r="Y22">
        <f>IF(AND(Y$9+6&gt;=$D22,Y$9&lt;=$E22),1,"")</f>
        <v/>
      </c>
      <c r="Z22">
        <f>IF(AND(Z$9+6&gt;=$D22,Z$9&lt;=$E22),1,"")</f>
        <v/>
      </c>
      <c r="AA22">
        <f>IF(AND(AA$9+6&gt;=$D22,AA$9&lt;=$E22),1,"")</f>
        <v/>
      </c>
      <c r="AB22">
        <f>IF(AND(AB$9+6&gt;=$D22,AB$9&lt;=$E22),1,"")</f>
        <v/>
      </c>
      <c r="AC22">
        <f>IF(AND(AC$9+6&gt;=$D22,AC$9&lt;=$E22),1,"")</f>
        <v/>
      </c>
      <c r="AD22">
        <f>IF(AND(AD$9+6&gt;=$D22,AD$9&lt;=$E22),1,"")</f>
        <v/>
      </c>
      <c r="AE22">
        <f>IF(AND(AE$9+6&gt;=$D22,AE$9&lt;=$E22),1,"")</f>
        <v/>
      </c>
      <c r="AF22">
        <f>IF(AND(AF$9+6&gt;=$D22,AF$9&lt;=$E22),1,"")</f>
        <v/>
      </c>
      <c r="AG22">
        <f>IF(AND(AG$9+6&gt;=$D22,AG$9&lt;=$E22),1,"")</f>
        <v/>
      </c>
      <c r="AH22">
        <f>IF(AND(AH$9+6&gt;=$D22,AH$9&lt;=$E22),1,"")</f>
        <v/>
      </c>
      <c r="AI22">
        <f>IF(AND(AI$9+6&gt;=$D22,AI$9&lt;=$E22),1,"")</f>
        <v/>
      </c>
      <c r="AJ22">
        <f>IF(AND(AJ$9+6&gt;=$D22,AJ$9&lt;=$E22),1,"")</f>
        <v/>
      </c>
      <c r="AK22">
        <f>IF(AND(AK$9+6&gt;=$D22,AK$9&lt;=$E22),1,"")</f>
        <v/>
      </c>
      <c r="AL22">
        <f>IF(AND(AL$9+6&gt;=$D22,AL$9&lt;=$E22),1,"")</f>
        <v/>
      </c>
      <c r="AM22">
        <f>IF(AND(AM$9+6&gt;=$D22,AM$9&lt;=$E22),1,"")</f>
        <v/>
      </c>
      <c r="AN22">
        <f>IF(AND(AN$9+6&gt;=$D22,AN$9&lt;=$E22),1,"")</f>
        <v/>
      </c>
      <c r="AO22">
        <f>IF(AND(AO$9+6&gt;=$D22,AO$9&lt;=$E22),1,"")</f>
        <v/>
      </c>
      <c r="AP22">
        <f>IF(AND(AP$9+6&gt;=$D22,AP$9&lt;=$E22),1,"")</f>
        <v/>
      </c>
      <c r="AQ22">
        <f>IF(AND(AQ$9+6&gt;=$D22,AQ$9&lt;=$E22),1,"")</f>
        <v/>
      </c>
      <c r="AR22">
        <f>IF(AND(AR$9+6&gt;=$D22,AR$9&lt;=$E22),1,"")</f>
        <v/>
      </c>
      <c r="AS22">
        <f>IF(AND(AS$9+6&gt;=$D22,AS$9&lt;=$E22),1,"")</f>
        <v/>
      </c>
      <c r="AT22">
        <f>IF(AND(AT$9+6&gt;=$D22,AT$9&lt;=$E22),1,"")</f>
        <v/>
      </c>
      <c r="AU22">
        <f>IF(AND(AU$9+6&gt;=$D22,AU$9&lt;=$E22),1,"")</f>
        <v/>
      </c>
      <c r="AV22">
        <f>IF(AND(AV$9+6&gt;=$D22,AV$9&lt;=$E22),1,"")</f>
        <v/>
      </c>
      <c r="AW22">
        <f>IF(AND(AW$9+6&gt;=$D22,AW$9&lt;=$E22),1,"")</f>
        <v/>
      </c>
      <c r="AX22">
        <f>IF(AND(AX$9+6&gt;=$D22,AX$9&lt;=$E22),1,"")</f>
        <v/>
      </c>
      <c r="AY22">
        <f>IF(AND(AY$9+6&gt;=$D22,AY$9&lt;=$E22),1,"")</f>
        <v/>
      </c>
      <c r="AZ22">
        <f>IF(AND(AZ$9+6&gt;=$D22,AZ$9&lt;=$E22),1,"")</f>
        <v/>
      </c>
      <c r="BA22">
        <f>IF(AND(BA$9+6&gt;=$D22,BA$9&lt;=$E22),1,"")</f>
        <v/>
      </c>
      <c r="BB22">
        <f>IF(AND(BB$9+6&gt;=$D22,BB$9&lt;=$E22),1,"")</f>
        <v/>
      </c>
      <c r="BC22">
        <f>IF(AND(BC$9+6&gt;=$D22,BC$9&lt;=$E22),1,"")</f>
        <v/>
      </c>
      <c r="BD22">
        <f>IF(AND(BD$9+6&gt;=$D22,BD$9&lt;=$E22),1,"")</f>
        <v/>
      </c>
      <c r="BE22">
        <f>IF(AND(BE$9+6&gt;=$D22,BE$9&lt;=$E22),1,"")</f>
        <v/>
      </c>
      <c r="BF22">
        <f>IF(AND(BF$9+6&gt;=$D22,BF$9&lt;=$E22),1,"")</f>
        <v/>
      </c>
      <c r="BG22">
        <f>IF(AND(BG$9+6&gt;=$D22,BG$9&lt;=$E22),1,"")</f>
        <v/>
      </c>
    </row>
    <row r="23">
      <c r="B23" s="8" t="inlineStr">
        <is>
          <t>Joint ADs Sustainability &amp; ADs T&amp;L session</t>
        </is>
      </c>
      <c r="C23" s="8" t="inlineStr">
        <is>
          <t>Structured prompt in advance</t>
        </is>
      </c>
      <c r="D23" s="17" t="n">
        <v>46314</v>
      </c>
      <c r="E23" s="17" t="n">
        <v>46325</v>
      </c>
      <c r="F23" s="8" t="inlineStr">
        <is>
          <t>SST</t>
        </is>
      </c>
      <c r="G23" s="8" t="inlineStr"/>
      <c r="H23" s="8" t="inlineStr"/>
      <c r="I23" s="8" t="inlineStr">
        <is>
          <t>ADs</t>
        </is>
      </c>
      <c r="J23" s="8" t="inlineStr">
        <is>
          <t>Medium</t>
        </is>
      </c>
      <c r="K23" s="8" t="inlineStr">
        <is>
          <t>Not yet started</t>
        </is>
      </c>
      <c r="L23">
        <f>IF(AND(L$9+6&gt;=$D23,L$9&lt;=$E23),1,"")</f>
        <v/>
      </c>
      <c r="M23">
        <f>IF(AND(M$9+6&gt;=$D23,M$9&lt;=$E23),1,"")</f>
        <v/>
      </c>
      <c r="N23">
        <f>IF(AND(N$9+6&gt;=$D23,N$9&lt;=$E23),1,"")</f>
        <v/>
      </c>
      <c r="O23">
        <f>IF(AND(O$9+6&gt;=$D23,O$9&lt;=$E23),1,"")</f>
        <v/>
      </c>
      <c r="P23">
        <f>IF(AND(P$9+6&gt;=$D23,P$9&lt;=$E23),1,"")</f>
        <v/>
      </c>
      <c r="Q23">
        <f>IF(AND(Q$9+6&gt;=$D23,Q$9&lt;=$E23),1,"")</f>
        <v/>
      </c>
      <c r="R23">
        <f>IF(AND(R$9+6&gt;=$D23,R$9&lt;=$E23),1,"")</f>
        <v/>
      </c>
      <c r="S23">
        <f>IF(AND(S$9+6&gt;=$D23,S$9&lt;=$E23),1,"")</f>
        <v/>
      </c>
      <c r="T23">
        <f>IF(AND(T$9+6&gt;=$D23,T$9&lt;=$E23),1,"")</f>
        <v/>
      </c>
      <c r="U23">
        <f>IF(AND(U$9+6&gt;=$D23,U$9&lt;=$E23),1,"")</f>
        <v/>
      </c>
      <c r="V23">
        <f>IF(AND(V$9+6&gt;=$D23,V$9&lt;=$E23),1,"")</f>
        <v/>
      </c>
      <c r="W23">
        <f>IF(AND(W$9+6&gt;=$D23,W$9&lt;=$E23),1,"")</f>
        <v/>
      </c>
      <c r="X23">
        <f>IF(AND(X$9+6&gt;=$D23,X$9&lt;=$E23),1,"")</f>
        <v/>
      </c>
      <c r="Y23">
        <f>IF(AND(Y$9+6&gt;=$D23,Y$9&lt;=$E23),1,"")</f>
        <v/>
      </c>
      <c r="Z23">
        <f>IF(AND(Z$9+6&gt;=$D23,Z$9&lt;=$E23),1,"")</f>
        <v/>
      </c>
      <c r="AA23">
        <f>IF(AND(AA$9+6&gt;=$D23,AA$9&lt;=$E23),1,"")</f>
        <v/>
      </c>
      <c r="AB23">
        <f>IF(AND(AB$9+6&gt;=$D23,AB$9&lt;=$E23),1,"")</f>
        <v/>
      </c>
      <c r="AC23">
        <f>IF(AND(AC$9+6&gt;=$D23,AC$9&lt;=$E23),1,"")</f>
        <v/>
      </c>
      <c r="AD23">
        <f>IF(AND(AD$9+6&gt;=$D23,AD$9&lt;=$E23),1,"")</f>
        <v/>
      </c>
      <c r="AE23">
        <f>IF(AND(AE$9+6&gt;=$D23,AE$9&lt;=$E23),1,"")</f>
        <v/>
      </c>
      <c r="AF23">
        <f>IF(AND(AF$9+6&gt;=$D23,AF$9&lt;=$E23),1,"")</f>
        <v/>
      </c>
      <c r="AG23">
        <f>IF(AND(AG$9+6&gt;=$D23,AG$9&lt;=$E23),1,"")</f>
        <v/>
      </c>
      <c r="AH23">
        <f>IF(AND(AH$9+6&gt;=$D23,AH$9&lt;=$E23),1,"")</f>
        <v/>
      </c>
      <c r="AI23">
        <f>IF(AND(AI$9+6&gt;=$D23,AI$9&lt;=$E23),1,"")</f>
        <v/>
      </c>
      <c r="AJ23">
        <f>IF(AND(AJ$9+6&gt;=$D23,AJ$9&lt;=$E23),1,"")</f>
        <v/>
      </c>
      <c r="AK23">
        <f>IF(AND(AK$9+6&gt;=$D23,AK$9&lt;=$E23),1,"")</f>
        <v/>
      </c>
      <c r="AL23">
        <f>IF(AND(AL$9+6&gt;=$D23,AL$9&lt;=$E23),1,"")</f>
        <v/>
      </c>
      <c r="AM23">
        <f>IF(AND(AM$9+6&gt;=$D23,AM$9&lt;=$E23),1,"")</f>
        <v/>
      </c>
      <c r="AN23">
        <f>IF(AND(AN$9+6&gt;=$D23,AN$9&lt;=$E23),1,"")</f>
        <v/>
      </c>
      <c r="AO23">
        <f>IF(AND(AO$9+6&gt;=$D23,AO$9&lt;=$E23),1,"")</f>
        <v/>
      </c>
      <c r="AP23">
        <f>IF(AND(AP$9+6&gt;=$D23,AP$9&lt;=$E23),1,"")</f>
        <v/>
      </c>
      <c r="AQ23">
        <f>IF(AND(AQ$9+6&gt;=$D23,AQ$9&lt;=$E23),1,"")</f>
        <v/>
      </c>
      <c r="AR23">
        <f>IF(AND(AR$9+6&gt;=$D23,AR$9&lt;=$E23),1,"")</f>
        <v/>
      </c>
      <c r="AS23">
        <f>IF(AND(AS$9+6&gt;=$D23,AS$9&lt;=$E23),1,"")</f>
        <v/>
      </c>
      <c r="AT23">
        <f>IF(AND(AT$9+6&gt;=$D23,AT$9&lt;=$E23),1,"")</f>
        <v/>
      </c>
      <c r="AU23">
        <f>IF(AND(AU$9+6&gt;=$D23,AU$9&lt;=$E23),1,"")</f>
        <v/>
      </c>
      <c r="AV23">
        <f>IF(AND(AV$9+6&gt;=$D23,AV$9&lt;=$E23),1,"")</f>
        <v/>
      </c>
      <c r="AW23">
        <f>IF(AND(AW$9+6&gt;=$D23,AW$9&lt;=$E23),1,"")</f>
        <v/>
      </c>
      <c r="AX23">
        <f>IF(AND(AX$9+6&gt;=$D23,AX$9&lt;=$E23),1,"")</f>
        <v/>
      </c>
      <c r="AY23">
        <f>IF(AND(AY$9+6&gt;=$D23,AY$9&lt;=$E23),1,"")</f>
        <v/>
      </c>
      <c r="AZ23">
        <f>IF(AND(AZ$9+6&gt;=$D23,AZ$9&lt;=$E23),1,"")</f>
        <v/>
      </c>
      <c r="BA23">
        <f>IF(AND(BA$9+6&gt;=$D23,BA$9&lt;=$E23),1,"")</f>
        <v/>
      </c>
      <c r="BB23">
        <f>IF(AND(BB$9+6&gt;=$D23,BB$9&lt;=$E23),1,"")</f>
        <v/>
      </c>
      <c r="BC23">
        <f>IF(AND(BC$9+6&gt;=$D23,BC$9&lt;=$E23),1,"")</f>
        <v/>
      </c>
      <c r="BD23">
        <f>IF(AND(BD$9+6&gt;=$D23,BD$9&lt;=$E23),1,"")</f>
        <v/>
      </c>
      <c r="BE23">
        <f>IF(AND(BE$9+6&gt;=$D23,BE$9&lt;=$E23),1,"")</f>
        <v/>
      </c>
      <c r="BF23">
        <f>IF(AND(BF$9+6&gt;=$D23,BF$9&lt;=$E23),1,"")</f>
        <v/>
      </c>
      <c r="BG23">
        <f>IF(AND(BG$9+6&gt;=$D23,BG$9&lt;=$E23),1,"")</f>
        <v/>
      </c>
    </row>
    <row r="24">
      <c r="B24" s="8" t="inlineStr">
        <is>
          <t>Open case-study calls (University-wide + faculty networks)</t>
        </is>
      </c>
      <c r="C24" s="8" t="inlineStr">
        <is>
          <t>Close early Dec</t>
        </is>
      </c>
      <c r="D24" s="17" t="n">
        <v>46315</v>
      </c>
      <c r="E24" s="17" t="n">
        <v>46360</v>
      </c>
      <c r="F24" s="8" t="inlineStr">
        <is>
          <t>SST</t>
        </is>
      </c>
      <c r="G24" s="8" t="inlineStr"/>
      <c r="H24" s="8" t="inlineStr">
        <is>
          <t>Comms</t>
        </is>
      </c>
      <c r="I24" s="8" t="inlineStr">
        <is>
          <t>All staff</t>
        </is>
      </c>
      <c r="J24" s="8" t="inlineStr">
        <is>
          <t>Medium</t>
        </is>
      </c>
      <c r="K24" s="8" t="inlineStr">
        <is>
          <t>Not yet started</t>
        </is>
      </c>
      <c r="L24">
        <f>IF(AND(L$9+6&gt;=$D24,L$9&lt;=$E24),1,"")</f>
        <v/>
      </c>
      <c r="M24">
        <f>IF(AND(M$9+6&gt;=$D24,M$9&lt;=$E24),1,"")</f>
        <v/>
      </c>
      <c r="N24">
        <f>IF(AND(N$9+6&gt;=$D24,N$9&lt;=$E24),1,"")</f>
        <v/>
      </c>
      <c r="O24">
        <f>IF(AND(O$9+6&gt;=$D24,O$9&lt;=$E24),1,"")</f>
        <v/>
      </c>
      <c r="P24">
        <f>IF(AND(P$9+6&gt;=$D24,P$9&lt;=$E24),1,"")</f>
        <v/>
      </c>
      <c r="Q24">
        <f>IF(AND(Q$9+6&gt;=$D24,Q$9&lt;=$E24),1,"")</f>
        <v/>
      </c>
      <c r="R24">
        <f>IF(AND(R$9+6&gt;=$D24,R$9&lt;=$E24),1,"")</f>
        <v/>
      </c>
      <c r="S24">
        <f>IF(AND(S$9+6&gt;=$D24,S$9&lt;=$E24),1,"")</f>
        <v/>
      </c>
      <c r="T24">
        <f>IF(AND(T$9+6&gt;=$D24,T$9&lt;=$E24),1,"")</f>
        <v/>
      </c>
      <c r="U24">
        <f>IF(AND(U$9+6&gt;=$D24,U$9&lt;=$E24),1,"")</f>
        <v/>
      </c>
      <c r="V24">
        <f>IF(AND(V$9+6&gt;=$D24,V$9&lt;=$E24),1,"")</f>
        <v/>
      </c>
      <c r="W24">
        <f>IF(AND(W$9+6&gt;=$D24,W$9&lt;=$E24),1,"")</f>
        <v/>
      </c>
      <c r="X24">
        <f>IF(AND(X$9+6&gt;=$D24,X$9&lt;=$E24),1,"")</f>
        <v/>
      </c>
      <c r="Y24">
        <f>IF(AND(Y$9+6&gt;=$D24,Y$9&lt;=$E24),1,"")</f>
        <v/>
      </c>
      <c r="Z24">
        <f>IF(AND(Z$9+6&gt;=$D24,Z$9&lt;=$E24),1,"")</f>
        <v/>
      </c>
      <c r="AA24">
        <f>IF(AND(AA$9+6&gt;=$D24,AA$9&lt;=$E24),1,"")</f>
        <v/>
      </c>
      <c r="AB24">
        <f>IF(AND(AB$9+6&gt;=$D24,AB$9&lt;=$E24),1,"")</f>
        <v/>
      </c>
      <c r="AC24">
        <f>IF(AND(AC$9+6&gt;=$D24,AC$9&lt;=$E24),1,"")</f>
        <v/>
      </c>
      <c r="AD24">
        <f>IF(AND(AD$9+6&gt;=$D24,AD$9&lt;=$E24),1,"")</f>
        <v/>
      </c>
      <c r="AE24">
        <f>IF(AND(AE$9+6&gt;=$D24,AE$9&lt;=$E24),1,"")</f>
        <v/>
      </c>
      <c r="AF24">
        <f>IF(AND(AF$9+6&gt;=$D24,AF$9&lt;=$E24),1,"")</f>
        <v/>
      </c>
      <c r="AG24">
        <f>IF(AND(AG$9+6&gt;=$D24,AG$9&lt;=$E24),1,"")</f>
        <v/>
      </c>
      <c r="AH24">
        <f>IF(AND(AH$9+6&gt;=$D24,AH$9&lt;=$E24),1,"")</f>
        <v/>
      </c>
      <c r="AI24">
        <f>IF(AND(AI$9+6&gt;=$D24,AI$9&lt;=$E24),1,"")</f>
        <v/>
      </c>
      <c r="AJ24">
        <f>IF(AND(AJ$9+6&gt;=$D24,AJ$9&lt;=$E24),1,"")</f>
        <v/>
      </c>
      <c r="AK24">
        <f>IF(AND(AK$9+6&gt;=$D24,AK$9&lt;=$E24),1,"")</f>
        <v/>
      </c>
      <c r="AL24">
        <f>IF(AND(AL$9+6&gt;=$D24,AL$9&lt;=$E24),1,"")</f>
        <v/>
      </c>
      <c r="AM24">
        <f>IF(AND(AM$9+6&gt;=$D24,AM$9&lt;=$E24),1,"")</f>
        <v/>
      </c>
      <c r="AN24">
        <f>IF(AND(AN$9+6&gt;=$D24,AN$9&lt;=$E24),1,"")</f>
        <v/>
      </c>
      <c r="AO24">
        <f>IF(AND(AO$9+6&gt;=$D24,AO$9&lt;=$E24),1,"")</f>
        <v/>
      </c>
      <c r="AP24">
        <f>IF(AND(AP$9+6&gt;=$D24,AP$9&lt;=$E24),1,"")</f>
        <v/>
      </c>
      <c r="AQ24">
        <f>IF(AND(AQ$9+6&gt;=$D24,AQ$9&lt;=$E24),1,"")</f>
        <v/>
      </c>
      <c r="AR24">
        <f>IF(AND(AR$9+6&gt;=$D24,AR$9&lt;=$E24),1,"")</f>
        <v/>
      </c>
      <c r="AS24">
        <f>IF(AND(AS$9+6&gt;=$D24,AS$9&lt;=$E24),1,"")</f>
        <v/>
      </c>
      <c r="AT24">
        <f>IF(AND(AT$9+6&gt;=$D24,AT$9&lt;=$E24),1,"")</f>
        <v/>
      </c>
      <c r="AU24">
        <f>IF(AND(AU$9+6&gt;=$D24,AU$9&lt;=$E24),1,"")</f>
        <v/>
      </c>
      <c r="AV24">
        <f>IF(AND(AV$9+6&gt;=$D24,AV$9&lt;=$E24),1,"")</f>
        <v/>
      </c>
      <c r="AW24">
        <f>IF(AND(AW$9+6&gt;=$D24,AW$9&lt;=$E24),1,"")</f>
        <v/>
      </c>
      <c r="AX24">
        <f>IF(AND(AX$9+6&gt;=$D24,AX$9&lt;=$E24),1,"")</f>
        <v/>
      </c>
      <c r="AY24">
        <f>IF(AND(AY$9+6&gt;=$D24,AY$9&lt;=$E24),1,"")</f>
        <v/>
      </c>
      <c r="AZ24">
        <f>IF(AND(AZ$9+6&gt;=$D24,AZ$9&lt;=$E24),1,"")</f>
        <v/>
      </c>
      <c r="BA24">
        <f>IF(AND(BA$9+6&gt;=$D24,BA$9&lt;=$E24),1,"")</f>
        <v/>
      </c>
      <c r="BB24">
        <f>IF(AND(BB$9+6&gt;=$D24,BB$9&lt;=$E24),1,"")</f>
        <v/>
      </c>
      <c r="BC24">
        <f>IF(AND(BC$9+6&gt;=$D24,BC$9&lt;=$E24),1,"")</f>
        <v/>
      </c>
      <c r="BD24">
        <f>IF(AND(BD$9+6&gt;=$D24,BD$9&lt;=$E24),1,"")</f>
        <v/>
      </c>
      <c r="BE24">
        <f>IF(AND(BE$9+6&gt;=$D24,BE$9&lt;=$E24),1,"")</f>
        <v/>
      </c>
      <c r="BF24">
        <f>IF(AND(BF$9+6&gt;=$D24,BF$9&lt;=$E24),1,"")</f>
        <v/>
      </c>
      <c r="BG24">
        <f>IF(AND(BG$9+6&gt;=$D24,BG$9&lt;=$E24),1,"")</f>
        <v/>
      </c>
    </row>
    <row r="25">
      <c r="B25" s="41" t="inlineStr">
        <is>
          <t>Evidence collection (Nov–Dec 2026)</t>
        </is>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c r="AA25" s="42" t="n"/>
      <c r="AB25" s="42" t="n"/>
      <c r="AC25" s="42" t="n"/>
      <c r="AD25" s="42" t="n"/>
      <c r="AE25" s="42" t="n"/>
      <c r="AF25" s="42" t="n"/>
      <c r="AG25" s="42" t="n"/>
      <c r="AH25" s="42" t="n"/>
      <c r="AI25" s="42" t="n"/>
      <c r="AJ25" s="42" t="n"/>
      <c r="AK25" s="42" t="n"/>
      <c r="AL25" s="42" t="n"/>
      <c r="AM25" s="42" t="n"/>
      <c r="AN25" s="42" t="n"/>
      <c r="AO25" s="42" t="n"/>
      <c r="AP25" s="42" t="n"/>
      <c r="AQ25" s="42" t="n"/>
      <c r="AR25" s="42" t="n"/>
      <c r="AS25" s="42" t="n"/>
      <c r="AT25" s="42" t="n"/>
      <c r="AU25" s="42" t="n"/>
      <c r="AV25" s="42" t="n"/>
      <c r="AW25" s="42" t="n"/>
      <c r="AX25" s="42" t="n"/>
      <c r="AY25" s="42" t="n"/>
      <c r="AZ25" s="42" t="n"/>
      <c r="BA25" s="42" t="n"/>
      <c r="BB25" s="42" t="n"/>
      <c r="BC25" s="42" t="n"/>
      <c r="BD25" s="42" t="n"/>
      <c r="BE25" s="42" t="n"/>
      <c r="BF25" s="42" t="n"/>
      <c r="BG25" s="42" t="n"/>
    </row>
    <row r="26">
      <c r="B26" s="8" t="inlineStr">
        <is>
          <t>Issue tailored requests (faculties, central units)</t>
        </is>
      </c>
      <c r="C26" s="8" t="inlineStr">
        <is>
          <t>Request tracker</t>
        </is>
      </c>
      <c r="D26" s="17" t="n">
        <v>46328</v>
      </c>
      <c r="E26" s="17" t="n">
        <v>46346</v>
      </c>
      <c r="F26" s="8" t="inlineStr">
        <is>
          <t>SST</t>
        </is>
      </c>
      <c r="G26" s="8" t="inlineStr">
        <is>
          <t>Director, Sustainability</t>
        </is>
      </c>
      <c r="H26" s="8" t="inlineStr">
        <is>
          <t>COO (sponsor)</t>
        </is>
      </c>
      <c r="I26" s="8" t="inlineStr"/>
      <c r="J26" s="8" t="inlineStr">
        <is>
          <t>High</t>
        </is>
      </c>
      <c r="K26" s="8" t="inlineStr">
        <is>
          <t>Not yet started</t>
        </is>
      </c>
      <c r="L26">
        <f>IF(AND(L$9+6&gt;=$D26,L$9&lt;=$E26),1,"")</f>
        <v/>
      </c>
      <c r="M26">
        <f>IF(AND(M$9+6&gt;=$D26,M$9&lt;=$E26),1,"")</f>
        <v/>
      </c>
      <c r="N26">
        <f>IF(AND(N$9+6&gt;=$D26,N$9&lt;=$E26),1,"")</f>
        <v/>
      </c>
      <c r="O26">
        <f>IF(AND(O$9+6&gt;=$D26,O$9&lt;=$E26),1,"")</f>
        <v/>
      </c>
      <c r="P26">
        <f>IF(AND(P$9+6&gt;=$D26,P$9&lt;=$E26),1,"")</f>
        <v/>
      </c>
      <c r="Q26">
        <f>IF(AND(Q$9+6&gt;=$D26,Q$9&lt;=$E26),1,"")</f>
        <v/>
      </c>
      <c r="R26">
        <f>IF(AND(R$9+6&gt;=$D26,R$9&lt;=$E26),1,"")</f>
        <v/>
      </c>
      <c r="S26">
        <f>IF(AND(S$9+6&gt;=$D26,S$9&lt;=$E26),1,"")</f>
        <v/>
      </c>
      <c r="T26">
        <f>IF(AND(T$9+6&gt;=$D26,T$9&lt;=$E26),1,"")</f>
        <v/>
      </c>
      <c r="U26">
        <f>IF(AND(U$9+6&gt;=$D26,U$9&lt;=$E26),1,"")</f>
        <v/>
      </c>
      <c r="V26">
        <f>IF(AND(V$9+6&gt;=$D26,V$9&lt;=$E26),1,"")</f>
        <v/>
      </c>
      <c r="W26">
        <f>IF(AND(W$9+6&gt;=$D26,W$9&lt;=$E26),1,"")</f>
        <v/>
      </c>
      <c r="X26">
        <f>IF(AND(X$9+6&gt;=$D26,X$9&lt;=$E26),1,"")</f>
        <v/>
      </c>
      <c r="Y26">
        <f>IF(AND(Y$9+6&gt;=$D26,Y$9&lt;=$E26),1,"")</f>
        <v/>
      </c>
      <c r="Z26">
        <f>IF(AND(Z$9+6&gt;=$D26,Z$9&lt;=$E26),1,"")</f>
        <v/>
      </c>
      <c r="AA26">
        <f>IF(AND(AA$9+6&gt;=$D26,AA$9&lt;=$E26),1,"")</f>
        <v/>
      </c>
      <c r="AB26">
        <f>IF(AND(AB$9+6&gt;=$D26,AB$9&lt;=$E26),1,"")</f>
        <v/>
      </c>
      <c r="AC26">
        <f>IF(AND(AC$9+6&gt;=$D26,AC$9&lt;=$E26),1,"")</f>
        <v/>
      </c>
      <c r="AD26">
        <f>IF(AND(AD$9+6&gt;=$D26,AD$9&lt;=$E26),1,"")</f>
        <v/>
      </c>
      <c r="AE26">
        <f>IF(AND(AE$9+6&gt;=$D26,AE$9&lt;=$E26),1,"")</f>
        <v/>
      </c>
      <c r="AF26">
        <f>IF(AND(AF$9+6&gt;=$D26,AF$9&lt;=$E26),1,"")</f>
        <v/>
      </c>
      <c r="AG26">
        <f>IF(AND(AG$9+6&gt;=$D26,AG$9&lt;=$E26),1,"")</f>
        <v/>
      </c>
      <c r="AH26">
        <f>IF(AND(AH$9+6&gt;=$D26,AH$9&lt;=$E26),1,"")</f>
        <v/>
      </c>
      <c r="AI26">
        <f>IF(AND(AI$9+6&gt;=$D26,AI$9&lt;=$E26),1,"")</f>
        <v/>
      </c>
      <c r="AJ26">
        <f>IF(AND(AJ$9+6&gt;=$D26,AJ$9&lt;=$E26),1,"")</f>
        <v/>
      </c>
      <c r="AK26">
        <f>IF(AND(AK$9+6&gt;=$D26,AK$9&lt;=$E26),1,"")</f>
        <v/>
      </c>
      <c r="AL26">
        <f>IF(AND(AL$9+6&gt;=$D26,AL$9&lt;=$E26),1,"")</f>
        <v/>
      </c>
      <c r="AM26">
        <f>IF(AND(AM$9+6&gt;=$D26,AM$9&lt;=$E26),1,"")</f>
        <v/>
      </c>
      <c r="AN26">
        <f>IF(AND(AN$9+6&gt;=$D26,AN$9&lt;=$E26),1,"")</f>
        <v/>
      </c>
      <c r="AO26">
        <f>IF(AND(AO$9+6&gt;=$D26,AO$9&lt;=$E26),1,"")</f>
        <v/>
      </c>
      <c r="AP26">
        <f>IF(AND(AP$9+6&gt;=$D26,AP$9&lt;=$E26),1,"")</f>
        <v/>
      </c>
      <c r="AQ26">
        <f>IF(AND(AQ$9+6&gt;=$D26,AQ$9&lt;=$E26),1,"")</f>
        <v/>
      </c>
      <c r="AR26">
        <f>IF(AND(AR$9+6&gt;=$D26,AR$9&lt;=$E26),1,"")</f>
        <v/>
      </c>
      <c r="AS26">
        <f>IF(AND(AS$9+6&gt;=$D26,AS$9&lt;=$E26),1,"")</f>
        <v/>
      </c>
      <c r="AT26">
        <f>IF(AND(AT$9+6&gt;=$D26,AT$9&lt;=$E26),1,"")</f>
        <v/>
      </c>
      <c r="AU26">
        <f>IF(AND(AU$9+6&gt;=$D26,AU$9&lt;=$E26),1,"")</f>
        <v/>
      </c>
      <c r="AV26">
        <f>IF(AND(AV$9+6&gt;=$D26,AV$9&lt;=$E26),1,"")</f>
        <v/>
      </c>
      <c r="AW26">
        <f>IF(AND(AW$9+6&gt;=$D26,AW$9&lt;=$E26),1,"")</f>
        <v/>
      </c>
      <c r="AX26">
        <f>IF(AND(AX$9+6&gt;=$D26,AX$9&lt;=$E26),1,"")</f>
        <v/>
      </c>
      <c r="AY26">
        <f>IF(AND(AY$9+6&gt;=$D26,AY$9&lt;=$E26),1,"")</f>
        <v/>
      </c>
      <c r="AZ26">
        <f>IF(AND(AZ$9+6&gt;=$D26,AZ$9&lt;=$E26),1,"")</f>
        <v/>
      </c>
      <c r="BA26">
        <f>IF(AND(BA$9+6&gt;=$D26,BA$9&lt;=$E26),1,"")</f>
        <v/>
      </c>
      <c r="BB26">
        <f>IF(AND(BB$9+6&gt;=$D26,BB$9&lt;=$E26),1,"")</f>
        <v/>
      </c>
      <c r="BC26">
        <f>IF(AND(BC$9+6&gt;=$D26,BC$9&lt;=$E26),1,"")</f>
        <v/>
      </c>
      <c r="BD26">
        <f>IF(AND(BD$9+6&gt;=$D26,BD$9&lt;=$E26),1,"")</f>
        <v/>
      </c>
      <c r="BE26">
        <f>IF(AND(BE$9+6&gt;=$D26,BE$9&lt;=$E26),1,"")</f>
        <v/>
      </c>
      <c r="BF26">
        <f>IF(AND(BF$9+6&gt;=$D26,BF$9&lt;=$E26),1,"")</f>
        <v/>
      </c>
      <c r="BG26">
        <f>IF(AND(BG$9+6&gt;=$D26,BG$9&lt;=$E26),1,"")</f>
        <v/>
      </c>
    </row>
    <row r="27">
      <c r="B27" s="8" t="inlineStr">
        <is>
          <t>Highlighted stories due</t>
        </is>
      </c>
      <c r="C27" s="8" t="inlineStr">
        <is>
          <t>4 Dec (TBC)</t>
        </is>
      </c>
      <c r="D27" s="17" t="n">
        <v>46360</v>
      </c>
      <c r="E27" s="17" t="n">
        <v>46360</v>
      </c>
      <c r="F27" s="8" t="inlineStr"/>
      <c r="G27" s="8" t="inlineStr"/>
      <c r="H27" s="8" t="inlineStr"/>
      <c r="I27" s="8" t="inlineStr"/>
      <c r="J27" s="8" t="inlineStr">
        <is>
          <t>Milestone</t>
        </is>
      </c>
      <c r="K27" s="8" t="inlineStr">
        <is>
          <t>Not yet started</t>
        </is>
      </c>
      <c r="L27">
        <f>IF(AND(L$9+6&gt;=$D27,L$9&lt;=$E27),1,"")</f>
        <v/>
      </c>
      <c r="M27">
        <f>IF(AND(M$9+6&gt;=$D27,M$9&lt;=$E27),1,"")</f>
        <v/>
      </c>
      <c r="N27">
        <f>IF(AND(N$9+6&gt;=$D27,N$9&lt;=$E27),1,"")</f>
        <v/>
      </c>
      <c r="O27">
        <f>IF(AND(O$9+6&gt;=$D27,O$9&lt;=$E27),1,"")</f>
        <v/>
      </c>
      <c r="P27">
        <f>IF(AND(P$9+6&gt;=$D27,P$9&lt;=$E27),1,"")</f>
        <v/>
      </c>
      <c r="Q27">
        <f>IF(AND(Q$9+6&gt;=$D27,Q$9&lt;=$E27),1,"")</f>
        <v/>
      </c>
      <c r="R27">
        <f>IF(AND(R$9+6&gt;=$D27,R$9&lt;=$E27),1,"")</f>
        <v/>
      </c>
      <c r="S27">
        <f>IF(AND(S$9+6&gt;=$D27,S$9&lt;=$E27),1,"")</f>
        <v/>
      </c>
      <c r="T27">
        <f>IF(AND(T$9+6&gt;=$D27,T$9&lt;=$E27),1,"")</f>
        <v/>
      </c>
      <c r="U27">
        <f>IF(AND(U$9+6&gt;=$D27,U$9&lt;=$E27),1,"")</f>
        <v/>
      </c>
      <c r="V27">
        <f>IF(AND(V$9+6&gt;=$D27,V$9&lt;=$E27),1,"")</f>
        <v/>
      </c>
      <c r="W27">
        <f>IF(AND(W$9+6&gt;=$D27,W$9&lt;=$E27),1,"")</f>
        <v/>
      </c>
      <c r="X27">
        <f>IF(AND(X$9+6&gt;=$D27,X$9&lt;=$E27),1,"")</f>
        <v/>
      </c>
      <c r="Y27">
        <f>IF(AND(Y$9+6&gt;=$D27,Y$9&lt;=$E27),1,"")</f>
        <v/>
      </c>
      <c r="Z27">
        <f>IF(AND(Z$9+6&gt;=$D27,Z$9&lt;=$E27),1,"")</f>
        <v/>
      </c>
      <c r="AA27">
        <f>IF(AND(AA$9+6&gt;=$D27,AA$9&lt;=$E27),1,"")</f>
        <v/>
      </c>
      <c r="AB27">
        <f>IF(AND(AB$9+6&gt;=$D27,AB$9&lt;=$E27),1,"")</f>
        <v/>
      </c>
      <c r="AC27">
        <f>IF(AND(AC$9+6&gt;=$D27,AC$9&lt;=$E27),1,"")</f>
        <v/>
      </c>
      <c r="AD27">
        <f>IF(AND(AD$9+6&gt;=$D27,AD$9&lt;=$E27),1,"")</f>
        <v/>
      </c>
      <c r="AE27">
        <f>IF(AND(AE$9+6&gt;=$D27,AE$9&lt;=$E27),1,"")</f>
        <v/>
      </c>
      <c r="AF27">
        <f>IF(AND(AF$9+6&gt;=$D27,AF$9&lt;=$E27),1,"")</f>
        <v/>
      </c>
      <c r="AG27">
        <f>IF(AND(AG$9+6&gt;=$D27,AG$9&lt;=$E27),1,"")</f>
        <v/>
      </c>
      <c r="AH27">
        <f>IF(AND(AH$9+6&gt;=$D27,AH$9&lt;=$E27),1,"")</f>
        <v/>
      </c>
      <c r="AI27">
        <f>IF(AND(AI$9+6&gt;=$D27,AI$9&lt;=$E27),1,"")</f>
        <v/>
      </c>
      <c r="AJ27">
        <f>IF(AND(AJ$9+6&gt;=$D27,AJ$9&lt;=$E27),1,"")</f>
        <v/>
      </c>
      <c r="AK27">
        <f>IF(AND(AK$9+6&gt;=$D27,AK$9&lt;=$E27),1,"")</f>
        <v/>
      </c>
      <c r="AL27">
        <f>IF(AND(AL$9+6&gt;=$D27,AL$9&lt;=$E27),1,"")</f>
        <v/>
      </c>
      <c r="AM27">
        <f>IF(AND(AM$9+6&gt;=$D27,AM$9&lt;=$E27),1,"")</f>
        <v/>
      </c>
      <c r="AN27">
        <f>IF(AND(AN$9+6&gt;=$D27,AN$9&lt;=$E27),1,"")</f>
        <v/>
      </c>
      <c r="AO27">
        <f>IF(AND(AO$9+6&gt;=$D27,AO$9&lt;=$E27),1,"")</f>
        <v/>
      </c>
      <c r="AP27">
        <f>IF(AND(AP$9+6&gt;=$D27,AP$9&lt;=$E27),1,"")</f>
        <v/>
      </c>
      <c r="AQ27">
        <f>IF(AND(AQ$9+6&gt;=$D27,AQ$9&lt;=$E27),1,"")</f>
        <v/>
      </c>
      <c r="AR27">
        <f>IF(AND(AR$9+6&gt;=$D27,AR$9&lt;=$E27),1,"")</f>
        <v/>
      </c>
      <c r="AS27">
        <f>IF(AND(AS$9+6&gt;=$D27,AS$9&lt;=$E27),1,"")</f>
        <v/>
      </c>
      <c r="AT27">
        <f>IF(AND(AT$9+6&gt;=$D27,AT$9&lt;=$E27),1,"")</f>
        <v/>
      </c>
      <c r="AU27">
        <f>IF(AND(AU$9+6&gt;=$D27,AU$9&lt;=$E27),1,"")</f>
        <v/>
      </c>
      <c r="AV27">
        <f>IF(AND(AV$9+6&gt;=$D27,AV$9&lt;=$E27),1,"")</f>
        <v/>
      </c>
      <c r="AW27">
        <f>IF(AND(AW$9+6&gt;=$D27,AW$9&lt;=$E27),1,"")</f>
        <v/>
      </c>
      <c r="AX27">
        <f>IF(AND(AX$9+6&gt;=$D27,AX$9&lt;=$E27),1,"")</f>
        <v/>
      </c>
      <c r="AY27">
        <f>IF(AND(AY$9+6&gt;=$D27,AY$9&lt;=$E27),1,"")</f>
        <v/>
      </c>
      <c r="AZ27">
        <f>IF(AND(AZ$9+6&gt;=$D27,AZ$9&lt;=$E27),1,"")</f>
        <v/>
      </c>
      <c r="BA27">
        <f>IF(AND(BA$9+6&gt;=$D27,BA$9&lt;=$E27),1,"")</f>
        <v/>
      </c>
      <c r="BB27">
        <f>IF(AND(BB$9+6&gt;=$D27,BB$9&lt;=$E27),1,"")</f>
        <v/>
      </c>
      <c r="BC27">
        <f>IF(AND(BC$9+6&gt;=$D27,BC$9&lt;=$E27),1,"")</f>
        <v/>
      </c>
      <c r="BD27">
        <f>IF(AND(BD$9+6&gt;=$D27,BD$9&lt;=$E27),1,"")</f>
        <v/>
      </c>
      <c r="BE27">
        <f>IF(AND(BE$9+6&gt;=$D27,BE$9&lt;=$E27),1,"")</f>
        <v/>
      </c>
      <c r="BF27">
        <f>IF(AND(BF$9+6&gt;=$D27,BF$9&lt;=$E27),1,"")</f>
        <v/>
      </c>
      <c r="BG27">
        <f>IF(AND(BG$9+6&gt;=$D27,BG$9&lt;=$E27),1,"")</f>
        <v/>
      </c>
    </row>
    <row r="28">
      <c r="B28" s="8" t="inlineStr">
        <is>
          <t>Collect narrative, evidence, case studies; maintain evidence register</t>
        </is>
      </c>
      <c r="C28" s="8" t="inlineStr"/>
      <c r="D28" s="17" t="n">
        <v>46328</v>
      </c>
      <c r="E28" s="17" t="n">
        <v>46416</v>
      </c>
      <c r="F28" s="8" t="inlineStr">
        <is>
          <t>SST</t>
        </is>
      </c>
      <c r="G28" s="8" t="inlineStr"/>
      <c r="H28" s="8" t="inlineStr"/>
      <c r="I28" s="8" t="inlineStr"/>
      <c r="J28" s="8" t="inlineStr">
        <is>
          <t>High</t>
        </is>
      </c>
      <c r="K28" s="8" t="inlineStr">
        <is>
          <t>Not yet started</t>
        </is>
      </c>
      <c r="L28">
        <f>IF(AND(L$9+6&gt;=$D28,L$9&lt;=$E28),1,"")</f>
        <v/>
      </c>
      <c r="M28">
        <f>IF(AND(M$9+6&gt;=$D28,M$9&lt;=$E28),1,"")</f>
        <v/>
      </c>
      <c r="N28">
        <f>IF(AND(N$9+6&gt;=$D28,N$9&lt;=$E28),1,"")</f>
        <v/>
      </c>
      <c r="O28">
        <f>IF(AND(O$9+6&gt;=$D28,O$9&lt;=$E28),1,"")</f>
        <v/>
      </c>
      <c r="P28">
        <f>IF(AND(P$9+6&gt;=$D28,P$9&lt;=$E28),1,"")</f>
        <v/>
      </c>
      <c r="Q28">
        <f>IF(AND(Q$9+6&gt;=$D28,Q$9&lt;=$E28),1,"")</f>
        <v/>
      </c>
      <c r="R28">
        <f>IF(AND(R$9+6&gt;=$D28,R$9&lt;=$E28),1,"")</f>
        <v/>
      </c>
      <c r="S28">
        <f>IF(AND(S$9+6&gt;=$D28,S$9&lt;=$E28),1,"")</f>
        <v/>
      </c>
      <c r="T28">
        <f>IF(AND(T$9+6&gt;=$D28,T$9&lt;=$E28),1,"")</f>
        <v/>
      </c>
      <c r="U28">
        <f>IF(AND(U$9+6&gt;=$D28,U$9&lt;=$E28),1,"")</f>
        <v/>
      </c>
      <c r="V28">
        <f>IF(AND(V$9+6&gt;=$D28,V$9&lt;=$E28),1,"")</f>
        <v/>
      </c>
      <c r="W28">
        <f>IF(AND(W$9+6&gt;=$D28,W$9&lt;=$E28),1,"")</f>
        <v/>
      </c>
      <c r="X28">
        <f>IF(AND(X$9+6&gt;=$D28,X$9&lt;=$E28),1,"")</f>
        <v/>
      </c>
      <c r="Y28">
        <f>IF(AND(Y$9+6&gt;=$D28,Y$9&lt;=$E28),1,"")</f>
        <v/>
      </c>
      <c r="Z28">
        <f>IF(AND(Z$9+6&gt;=$D28,Z$9&lt;=$E28),1,"")</f>
        <v/>
      </c>
      <c r="AA28">
        <f>IF(AND(AA$9+6&gt;=$D28,AA$9&lt;=$E28),1,"")</f>
        <v/>
      </c>
      <c r="AB28">
        <f>IF(AND(AB$9+6&gt;=$D28,AB$9&lt;=$E28),1,"")</f>
        <v/>
      </c>
      <c r="AC28">
        <f>IF(AND(AC$9+6&gt;=$D28,AC$9&lt;=$E28),1,"")</f>
        <v/>
      </c>
      <c r="AD28">
        <f>IF(AND(AD$9+6&gt;=$D28,AD$9&lt;=$E28),1,"")</f>
        <v/>
      </c>
      <c r="AE28">
        <f>IF(AND(AE$9+6&gt;=$D28,AE$9&lt;=$E28),1,"")</f>
        <v/>
      </c>
      <c r="AF28">
        <f>IF(AND(AF$9+6&gt;=$D28,AF$9&lt;=$E28),1,"")</f>
        <v/>
      </c>
      <c r="AG28">
        <f>IF(AND(AG$9+6&gt;=$D28,AG$9&lt;=$E28),1,"")</f>
        <v/>
      </c>
      <c r="AH28">
        <f>IF(AND(AH$9+6&gt;=$D28,AH$9&lt;=$E28),1,"")</f>
        <v/>
      </c>
      <c r="AI28">
        <f>IF(AND(AI$9+6&gt;=$D28,AI$9&lt;=$E28),1,"")</f>
        <v/>
      </c>
      <c r="AJ28">
        <f>IF(AND(AJ$9+6&gt;=$D28,AJ$9&lt;=$E28),1,"")</f>
        <v/>
      </c>
      <c r="AK28">
        <f>IF(AND(AK$9+6&gt;=$D28,AK$9&lt;=$E28),1,"")</f>
        <v/>
      </c>
      <c r="AL28">
        <f>IF(AND(AL$9+6&gt;=$D28,AL$9&lt;=$E28),1,"")</f>
        <v/>
      </c>
      <c r="AM28">
        <f>IF(AND(AM$9+6&gt;=$D28,AM$9&lt;=$E28),1,"")</f>
        <v/>
      </c>
      <c r="AN28">
        <f>IF(AND(AN$9+6&gt;=$D28,AN$9&lt;=$E28),1,"")</f>
        <v/>
      </c>
      <c r="AO28">
        <f>IF(AND(AO$9+6&gt;=$D28,AO$9&lt;=$E28),1,"")</f>
        <v/>
      </c>
      <c r="AP28">
        <f>IF(AND(AP$9+6&gt;=$D28,AP$9&lt;=$E28),1,"")</f>
        <v/>
      </c>
      <c r="AQ28">
        <f>IF(AND(AQ$9+6&gt;=$D28,AQ$9&lt;=$E28),1,"")</f>
        <v/>
      </c>
      <c r="AR28">
        <f>IF(AND(AR$9+6&gt;=$D28,AR$9&lt;=$E28),1,"")</f>
        <v/>
      </c>
      <c r="AS28">
        <f>IF(AND(AS$9+6&gt;=$D28,AS$9&lt;=$E28),1,"")</f>
        <v/>
      </c>
      <c r="AT28">
        <f>IF(AND(AT$9+6&gt;=$D28,AT$9&lt;=$E28),1,"")</f>
        <v/>
      </c>
      <c r="AU28">
        <f>IF(AND(AU$9+6&gt;=$D28,AU$9&lt;=$E28),1,"")</f>
        <v/>
      </c>
      <c r="AV28">
        <f>IF(AND(AV$9+6&gt;=$D28,AV$9&lt;=$E28),1,"")</f>
        <v/>
      </c>
      <c r="AW28">
        <f>IF(AND(AW$9+6&gt;=$D28,AW$9&lt;=$E28),1,"")</f>
        <v/>
      </c>
      <c r="AX28">
        <f>IF(AND(AX$9+6&gt;=$D28,AX$9&lt;=$E28),1,"")</f>
        <v/>
      </c>
      <c r="AY28">
        <f>IF(AND(AY$9+6&gt;=$D28,AY$9&lt;=$E28),1,"")</f>
        <v/>
      </c>
      <c r="AZ28">
        <f>IF(AND(AZ$9+6&gt;=$D28,AZ$9&lt;=$E28),1,"")</f>
        <v/>
      </c>
      <c r="BA28">
        <f>IF(AND(BA$9+6&gt;=$D28,BA$9&lt;=$E28),1,"")</f>
        <v/>
      </c>
      <c r="BB28">
        <f>IF(AND(BB$9+6&gt;=$D28,BB$9&lt;=$E28),1,"")</f>
        <v/>
      </c>
      <c r="BC28">
        <f>IF(AND(BC$9+6&gt;=$D28,BC$9&lt;=$E28),1,"")</f>
        <v/>
      </c>
      <c r="BD28">
        <f>IF(AND(BD$9+6&gt;=$D28,BD$9&lt;=$E28),1,"")</f>
        <v/>
      </c>
      <c r="BE28">
        <f>IF(AND(BE$9+6&gt;=$D28,BE$9&lt;=$E28),1,"")</f>
        <v/>
      </c>
      <c r="BF28">
        <f>IF(AND(BF$9+6&gt;=$D28,BF$9&lt;=$E28),1,"")</f>
        <v/>
      </c>
      <c r="BG28">
        <f>IF(AND(BG$9+6&gt;=$D28,BG$9&lt;=$E28),1,"")</f>
        <v/>
      </c>
    </row>
    <row r="29">
      <c r="B29" s="8" t="inlineStr">
        <is>
          <t>Reminders / chasing</t>
        </is>
      </c>
      <c r="C29" s="8" t="inlineStr"/>
      <c r="D29" s="17" t="n">
        <v>46349</v>
      </c>
      <c r="E29" s="17" t="n">
        <v>46409</v>
      </c>
      <c r="F29" s="8" t="inlineStr">
        <is>
          <t>SST</t>
        </is>
      </c>
      <c r="G29" s="8" t="inlineStr"/>
      <c r="H29" s="8" t="inlineStr"/>
      <c r="I29" s="8" t="inlineStr"/>
      <c r="J29" s="8" t="inlineStr">
        <is>
          <t>Medium</t>
        </is>
      </c>
      <c r="K29" s="8" t="inlineStr">
        <is>
          <t>Not yet started</t>
        </is>
      </c>
      <c r="L29">
        <f>IF(AND(L$9+6&gt;=$D29,L$9&lt;=$E29),1,"")</f>
        <v/>
      </c>
      <c r="M29">
        <f>IF(AND(M$9+6&gt;=$D29,M$9&lt;=$E29),1,"")</f>
        <v/>
      </c>
      <c r="N29">
        <f>IF(AND(N$9+6&gt;=$D29,N$9&lt;=$E29),1,"")</f>
        <v/>
      </c>
      <c r="O29">
        <f>IF(AND(O$9+6&gt;=$D29,O$9&lt;=$E29),1,"")</f>
        <v/>
      </c>
      <c r="P29">
        <f>IF(AND(P$9+6&gt;=$D29,P$9&lt;=$E29),1,"")</f>
        <v/>
      </c>
      <c r="Q29">
        <f>IF(AND(Q$9+6&gt;=$D29,Q$9&lt;=$E29),1,"")</f>
        <v/>
      </c>
      <c r="R29">
        <f>IF(AND(R$9+6&gt;=$D29,R$9&lt;=$E29),1,"")</f>
        <v/>
      </c>
      <c r="S29">
        <f>IF(AND(S$9+6&gt;=$D29,S$9&lt;=$E29),1,"")</f>
        <v/>
      </c>
      <c r="T29">
        <f>IF(AND(T$9+6&gt;=$D29,T$9&lt;=$E29),1,"")</f>
        <v/>
      </c>
      <c r="U29">
        <f>IF(AND(U$9+6&gt;=$D29,U$9&lt;=$E29),1,"")</f>
        <v/>
      </c>
      <c r="V29">
        <f>IF(AND(V$9+6&gt;=$D29,V$9&lt;=$E29),1,"")</f>
        <v/>
      </c>
      <c r="W29">
        <f>IF(AND(W$9+6&gt;=$D29,W$9&lt;=$E29),1,"")</f>
        <v/>
      </c>
      <c r="X29">
        <f>IF(AND(X$9+6&gt;=$D29,X$9&lt;=$E29),1,"")</f>
        <v/>
      </c>
      <c r="Y29">
        <f>IF(AND(Y$9+6&gt;=$D29,Y$9&lt;=$E29),1,"")</f>
        <v/>
      </c>
      <c r="Z29">
        <f>IF(AND(Z$9+6&gt;=$D29,Z$9&lt;=$E29),1,"")</f>
        <v/>
      </c>
      <c r="AA29">
        <f>IF(AND(AA$9+6&gt;=$D29,AA$9&lt;=$E29),1,"")</f>
        <v/>
      </c>
      <c r="AB29">
        <f>IF(AND(AB$9+6&gt;=$D29,AB$9&lt;=$E29),1,"")</f>
        <v/>
      </c>
      <c r="AC29">
        <f>IF(AND(AC$9+6&gt;=$D29,AC$9&lt;=$E29),1,"")</f>
        <v/>
      </c>
      <c r="AD29">
        <f>IF(AND(AD$9+6&gt;=$D29,AD$9&lt;=$E29),1,"")</f>
        <v/>
      </c>
      <c r="AE29">
        <f>IF(AND(AE$9+6&gt;=$D29,AE$9&lt;=$E29),1,"")</f>
        <v/>
      </c>
      <c r="AF29">
        <f>IF(AND(AF$9+6&gt;=$D29,AF$9&lt;=$E29),1,"")</f>
        <v/>
      </c>
      <c r="AG29">
        <f>IF(AND(AG$9+6&gt;=$D29,AG$9&lt;=$E29),1,"")</f>
        <v/>
      </c>
      <c r="AH29">
        <f>IF(AND(AH$9+6&gt;=$D29,AH$9&lt;=$E29),1,"")</f>
        <v/>
      </c>
      <c r="AI29">
        <f>IF(AND(AI$9+6&gt;=$D29,AI$9&lt;=$E29),1,"")</f>
        <v/>
      </c>
      <c r="AJ29">
        <f>IF(AND(AJ$9+6&gt;=$D29,AJ$9&lt;=$E29),1,"")</f>
        <v/>
      </c>
      <c r="AK29">
        <f>IF(AND(AK$9+6&gt;=$D29,AK$9&lt;=$E29),1,"")</f>
        <v/>
      </c>
      <c r="AL29">
        <f>IF(AND(AL$9+6&gt;=$D29,AL$9&lt;=$E29),1,"")</f>
        <v/>
      </c>
      <c r="AM29">
        <f>IF(AND(AM$9+6&gt;=$D29,AM$9&lt;=$E29),1,"")</f>
        <v/>
      </c>
      <c r="AN29">
        <f>IF(AND(AN$9+6&gt;=$D29,AN$9&lt;=$E29),1,"")</f>
        <v/>
      </c>
      <c r="AO29">
        <f>IF(AND(AO$9+6&gt;=$D29,AO$9&lt;=$E29),1,"")</f>
        <v/>
      </c>
      <c r="AP29">
        <f>IF(AND(AP$9+6&gt;=$D29,AP$9&lt;=$E29),1,"")</f>
        <v/>
      </c>
      <c r="AQ29">
        <f>IF(AND(AQ$9+6&gt;=$D29,AQ$9&lt;=$E29),1,"")</f>
        <v/>
      </c>
      <c r="AR29">
        <f>IF(AND(AR$9+6&gt;=$D29,AR$9&lt;=$E29),1,"")</f>
        <v/>
      </c>
      <c r="AS29">
        <f>IF(AND(AS$9+6&gt;=$D29,AS$9&lt;=$E29),1,"")</f>
        <v/>
      </c>
      <c r="AT29">
        <f>IF(AND(AT$9+6&gt;=$D29,AT$9&lt;=$E29),1,"")</f>
        <v/>
      </c>
      <c r="AU29">
        <f>IF(AND(AU$9+6&gt;=$D29,AU$9&lt;=$E29),1,"")</f>
        <v/>
      </c>
      <c r="AV29">
        <f>IF(AND(AV$9+6&gt;=$D29,AV$9&lt;=$E29),1,"")</f>
        <v/>
      </c>
      <c r="AW29">
        <f>IF(AND(AW$9+6&gt;=$D29,AW$9&lt;=$E29),1,"")</f>
        <v/>
      </c>
      <c r="AX29">
        <f>IF(AND(AX$9+6&gt;=$D29,AX$9&lt;=$E29),1,"")</f>
        <v/>
      </c>
      <c r="AY29">
        <f>IF(AND(AY$9+6&gt;=$D29,AY$9&lt;=$E29),1,"")</f>
        <v/>
      </c>
      <c r="AZ29">
        <f>IF(AND(AZ$9+6&gt;=$D29,AZ$9&lt;=$E29),1,"")</f>
        <v/>
      </c>
      <c r="BA29">
        <f>IF(AND(BA$9+6&gt;=$D29,BA$9&lt;=$E29),1,"")</f>
        <v/>
      </c>
      <c r="BB29">
        <f>IF(AND(BB$9+6&gt;=$D29,BB$9&lt;=$E29),1,"")</f>
        <v/>
      </c>
      <c r="BC29">
        <f>IF(AND(BC$9+6&gt;=$D29,BC$9&lt;=$E29),1,"")</f>
        <v/>
      </c>
      <c r="BD29">
        <f>IF(AND(BD$9+6&gt;=$D29,BD$9&lt;=$E29),1,"")</f>
        <v/>
      </c>
      <c r="BE29">
        <f>IF(AND(BE$9+6&gt;=$D29,BE$9&lt;=$E29),1,"")</f>
        <v/>
      </c>
      <c r="BF29">
        <f>IF(AND(BF$9+6&gt;=$D29,BF$9&lt;=$E29),1,"")</f>
        <v/>
      </c>
      <c r="BG29">
        <f>IF(AND(BG$9+6&gt;=$D29,BG$9&lt;=$E29),1,"")</f>
        <v/>
      </c>
    </row>
    <row r="30">
      <c r="B30" s="8" t="inlineStr">
        <is>
          <t>Commence drafting</t>
        </is>
      </c>
      <c r="C30" s="8" t="inlineStr"/>
      <c r="D30" s="17" t="n">
        <v>46357</v>
      </c>
      <c r="E30" s="17" t="n">
        <v>46416</v>
      </c>
      <c r="F30" s="8" t="inlineStr">
        <is>
          <t>SST</t>
        </is>
      </c>
      <c r="G30" s="8" t="inlineStr"/>
      <c r="H30" s="8" t="inlineStr"/>
      <c r="I30" s="8" t="inlineStr"/>
      <c r="J30" s="8" t="inlineStr">
        <is>
          <t>Medium</t>
        </is>
      </c>
      <c r="K30" s="8" t="inlineStr">
        <is>
          <t>Not yet started</t>
        </is>
      </c>
      <c r="L30">
        <f>IF(AND(L$9+6&gt;=$D30,L$9&lt;=$E30),1,"")</f>
        <v/>
      </c>
      <c r="M30">
        <f>IF(AND(M$9+6&gt;=$D30,M$9&lt;=$E30),1,"")</f>
        <v/>
      </c>
      <c r="N30">
        <f>IF(AND(N$9+6&gt;=$D30,N$9&lt;=$E30),1,"")</f>
        <v/>
      </c>
      <c r="O30">
        <f>IF(AND(O$9+6&gt;=$D30,O$9&lt;=$E30),1,"")</f>
        <v/>
      </c>
      <c r="P30">
        <f>IF(AND(P$9+6&gt;=$D30,P$9&lt;=$E30),1,"")</f>
        <v/>
      </c>
      <c r="Q30">
        <f>IF(AND(Q$9+6&gt;=$D30,Q$9&lt;=$E30),1,"")</f>
        <v/>
      </c>
      <c r="R30">
        <f>IF(AND(R$9+6&gt;=$D30,R$9&lt;=$E30),1,"")</f>
        <v/>
      </c>
      <c r="S30">
        <f>IF(AND(S$9+6&gt;=$D30,S$9&lt;=$E30),1,"")</f>
        <v/>
      </c>
      <c r="T30">
        <f>IF(AND(T$9+6&gt;=$D30,T$9&lt;=$E30),1,"")</f>
        <v/>
      </c>
      <c r="U30">
        <f>IF(AND(U$9+6&gt;=$D30,U$9&lt;=$E30),1,"")</f>
        <v/>
      </c>
      <c r="V30">
        <f>IF(AND(V$9+6&gt;=$D30,V$9&lt;=$E30),1,"")</f>
        <v/>
      </c>
      <c r="W30">
        <f>IF(AND(W$9+6&gt;=$D30,W$9&lt;=$E30),1,"")</f>
        <v/>
      </c>
      <c r="X30">
        <f>IF(AND(X$9+6&gt;=$D30,X$9&lt;=$E30),1,"")</f>
        <v/>
      </c>
      <c r="Y30">
        <f>IF(AND(Y$9+6&gt;=$D30,Y$9&lt;=$E30),1,"")</f>
        <v/>
      </c>
      <c r="Z30">
        <f>IF(AND(Z$9+6&gt;=$D30,Z$9&lt;=$E30),1,"")</f>
        <v/>
      </c>
      <c r="AA30">
        <f>IF(AND(AA$9+6&gt;=$D30,AA$9&lt;=$E30),1,"")</f>
        <v/>
      </c>
      <c r="AB30">
        <f>IF(AND(AB$9+6&gt;=$D30,AB$9&lt;=$E30),1,"")</f>
        <v/>
      </c>
      <c r="AC30">
        <f>IF(AND(AC$9+6&gt;=$D30,AC$9&lt;=$E30),1,"")</f>
        <v/>
      </c>
      <c r="AD30">
        <f>IF(AND(AD$9+6&gt;=$D30,AD$9&lt;=$E30),1,"")</f>
        <v/>
      </c>
      <c r="AE30">
        <f>IF(AND(AE$9+6&gt;=$D30,AE$9&lt;=$E30),1,"")</f>
        <v/>
      </c>
      <c r="AF30">
        <f>IF(AND(AF$9+6&gt;=$D30,AF$9&lt;=$E30),1,"")</f>
        <v/>
      </c>
      <c r="AG30">
        <f>IF(AND(AG$9+6&gt;=$D30,AG$9&lt;=$E30),1,"")</f>
        <v/>
      </c>
      <c r="AH30">
        <f>IF(AND(AH$9+6&gt;=$D30,AH$9&lt;=$E30),1,"")</f>
        <v/>
      </c>
      <c r="AI30">
        <f>IF(AND(AI$9+6&gt;=$D30,AI$9&lt;=$E30),1,"")</f>
        <v/>
      </c>
      <c r="AJ30">
        <f>IF(AND(AJ$9+6&gt;=$D30,AJ$9&lt;=$E30),1,"")</f>
        <v/>
      </c>
      <c r="AK30">
        <f>IF(AND(AK$9+6&gt;=$D30,AK$9&lt;=$E30),1,"")</f>
        <v/>
      </c>
      <c r="AL30">
        <f>IF(AND(AL$9+6&gt;=$D30,AL$9&lt;=$E30),1,"")</f>
        <v/>
      </c>
      <c r="AM30">
        <f>IF(AND(AM$9+6&gt;=$D30,AM$9&lt;=$E30),1,"")</f>
        <v/>
      </c>
      <c r="AN30">
        <f>IF(AND(AN$9+6&gt;=$D30,AN$9&lt;=$E30),1,"")</f>
        <v/>
      </c>
      <c r="AO30">
        <f>IF(AND(AO$9+6&gt;=$D30,AO$9&lt;=$E30),1,"")</f>
        <v/>
      </c>
      <c r="AP30">
        <f>IF(AND(AP$9+6&gt;=$D30,AP$9&lt;=$E30),1,"")</f>
        <v/>
      </c>
      <c r="AQ30">
        <f>IF(AND(AQ$9+6&gt;=$D30,AQ$9&lt;=$E30),1,"")</f>
        <v/>
      </c>
      <c r="AR30">
        <f>IF(AND(AR$9+6&gt;=$D30,AR$9&lt;=$E30),1,"")</f>
        <v/>
      </c>
      <c r="AS30">
        <f>IF(AND(AS$9+6&gt;=$D30,AS$9&lt;=$E30),1,"")</f>
        <v/>
      </c>
      <c r="AT30">
        <f>IF(AND(AT$9+6&gt;=$D30,AT$9&lt;=$E30),1,"")</f>
        <v/>
      </c>
      <c r="AU30">
        <f>IF(AND(AU$9+6&gt;=$D30,AU$9&lt;=$E30),1,"")</f>
        <v/>
      </c>
      <c r="AV30">
        <f>IF(AND(AV$9+6&gt;=$D30,AV$9&lt;=$E30),1,"")</f>
        <v/>
      </c>
      <c r="AW30">
        <f>IF(AND(AW$9+6&gt;=$D30,AW$9&lt;=$E30),1,"")</f>
        <v/>
      </c>
      <c r="AX30">
        <f>IF(AND(AX$9+6&gt;=$D30,AX$9&lt;=$E30),1,"")</f>
        <v/>
      </c>
      <c r="AY30">
        <f>IF(AND(AY$9+6&gt;=$D30,AY$9&lt;=$E30),1,"")</f>
        <v/>
      </c>
      <c r="AZ30">
        <f>IF(AND(AZ$9+6&gt;=$D30,AZ$9&lt;=$E30),1,"")</f>
        <v/>
      </c>
      <c r="BA30">
        <f>IF(AND(BA$9+6&gt;=$D30,BA$9&lt;=$E30),1,"")</f>
        <v/>
      </c>
      <c r="BB30">
        <f>IF(AND(BB$9+6&gt;=$D30,BB$9&lt;=$E30),1,"")</f>
        <v/>
      </c>
      <c r="BC30">
        <f>IF(AND(BC$9+6&gt;=$D30,BC$9&lt;=$E30),1,"")</f>
        <v/>
      </c>
      <c r="BD30">
        <f>IF(AND(BD$9+6&gt;=$D30,BD$9&lt;=$E30),1,"")</f>
        <v/>
      </c>
      <c r="BE30">
        <f>IF(AND(BE$9+6&gt;=$D30,BE$9&lt;=$E30),1,"")</f>
        <v/>
      </c>
      <c r="BF30">
        <f>IF(AND(BF$9+6&gt;=$D30,BF$9&lt;=$E30),1,"")</f>
        <v/>
      </c>
      <c r="BG30">
        <f>IF(AND(BG$9+6&gt;=$D30,BG$9&lt;=$E30),1,"")</f>
        <v/>
      </c>
    </row>
    <row r="31">
      <c r="B31" s="41" t="inlineStr">
        <is>
          <t>Drafting &amp; data validation (Jan 2027)</t>
        </is>
      </c>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c r="Y31" s="42" t="n"/>
      <c r="Z31" s="42" t="n"/>
      <c r="AA31" s="42" t="n"/>
      <c r="AB31" s="42" t="n"/>
      <c r="AC31" s="42" t="n"/>
      <c r="AD31" s="42" t="n"/>
      <c r="AE31" s="42" t="n"/>
      <c r="AF31" s="42" t="n"/>
      <c r="AG31" s="42" t="n"/>
      <c r="AH31" s="42" t="n"/>
      <c r="AI31" s="42" t="n"/>
      <c r="AJ31" s="42" t="n"/>
      <c r="AK31" s="42" t="n"/>
      <c r="AL31" s="42" t="n"/>
      <c r="AM31" s="42" t="n"/>
      <c r="AN31" s="42" t="n"/>
      <c r="AO31" s="42" t="n"/>
      <c r="AP31" s="42" t="n"/>
      <c r="AQ31" s="42" t="n"/>
      <c r="AR31" s="42" t="n"/>
      <c r="AS31" s="42" t="n"/>
      <c r="AT31" s="42" t="n"/>
      <c r="AU31" s="42" t="n"/>
      <c r="AV31" s="42" t="n"/>
      <c r="AW31" s="42" t="n"/>
      <c r="AX31" s="42" t="n"/>
      <c r="AY31" s="42" t="n"/>
      <c r="AZ31" s="42" t="n"/>
      <c r="BA31" s="42" t="n"/>
      <c r="BB31" s="42" t="n"/>
      <c r="BC31" s="42" t="n"/>
      <c r="BD31" s="42" t="n"/>
      <c r="BE31" s="42" t="n"/>
      <c r="BF31" s="42" t="n"/>
      <c r="BG31" s="42" t="n"/>
    </row>
    <row r="32">
      <c r="B32" s="8" t="inlineStr">
        <is>
          <t>Reporting requests due</t>
        </is>
      </c>
      <c r="C32" s="8" t="inlineStr">
        <is>
          <t>15 Jan (TBC)</t>
        </is>
      </c>
      <c r="D32" s="17" t="n">
        <v>46402</v>
      </c>
      <c r="E32" s="17" t="n">
        <v>46402</v>
      </c>
      <c r="F32" s="8" t="inlineStr"/>
      <c r="G32" s="8" t="inlineStr"/>
      <c r="H32" s="8" t="inlineStr"/>
      <c r="I32" s="8" t="inlineStr"/>
      <c r="J32" s="8" t="inlineStr">
        <is>
          <t>Milestone</t>
        </is>
      </c>
      <c r="K32" s="8" t="inlineStr">
        <is>
          <t>Not yet started</t>
        </is>
      </c>
      <c r="L32">
        <f>IF(AND(L$9+6&gt;=$D32,L$9&lt;=$E32),1,"")</f>
        <v/>
      </c>
      <c r="M32">
        <f>IF(AND(M$9+6&gt;=$D32,M$9&lt;=$E32),1,"")</f>
        <v/>
      </c>
      <c r="N32">
        <f>IF(AND(N$9+6&gt;=$D32,N$9&lt;=$E32),1,"")</f>
        <v/>
      </c>
      <c r="O32">
        <f>IF(AND(O$9+6&gt;=$D32,O$9&lt;=$E32),1,"")</f>
        <v/>
      </c>
      <c r="P32">
        <f>IF(AND(P$9+6&gt;=$D32,P$9&lt;=$E32),1,"")</f>
        <v/>
      </c>
      <c r="Q32">
        <f>IF(AND(Q$9+6&gt;=$D32,Q$9&lt;=$E32),1,"")</f>
        <v/>
      </c>
      <c r="R32">
        <f>IF(AND(R$9+6&gt;=$D32,R$9&lt;=$E32),1,"")</f>
        <v/>
      </c>
      <c r="S32">
        <f>IF(AND(S$9+6&gt;=$D32,S$9&lt;=$E32),1,"")</f>
        <v/>
      </c>
      <c r="T32">
        <f>IF(AND(T$9+6&gt;=$D32,T$9&lt;=$E32),1,"")</f>
        <v/>
      </c>
      <c r="U32">
        <f>IF(AND(U$9+6&gt;=$D32,U$9&lt;=$E32),1,"")</f>
        <v/>
      </c>
      <c r="V32">
        <f>IF(AND(V$9+6&gt;=$D32,V$9&lt;=$E32),1,"")</f>
        <v/>
      </c>
      <c r="W32">
        <f>IF(AND(W$9+6&gt;=$D32,W$9&lt;=$E32),1,"")</f>
        <v/>
      </c>
      <c r="X32">
        <f>IF(AND(X$9+6&gt;=$D32,X$9&lt;=$E32),1,"")</f>
        <v/>
      </c>
      <c r="Y32">
        <f>IF(AND(Y$9+6&gt;=$D32,Y$9&lt;=$E32),1,"")</f>
        <v/>
      </c>
      <c r="Z32">
        <f>IF(AND(Z$9+6&gt;=$D32,Z$9&lt;=$E32),1,"")</f>
        <v/>
      </c>
      <c r="AA32">
        <f>IF(AND(AA$9+6&gt;=$D32,AA$9&lt;=$E32),1,"")</f>
        <v/>
      </c>
      <c r="AB32">
        <f>IF(AND(AB$9+6&gt;=$D32,AB$9&lt;=$E32),1,"")</f>
        <v/>
      </c>
      <c r="AC32">
        <f>IF(AND(AC$9+6&gt;=$D32,AC$9&lt;=$E32),1,"")</f>
        <v/>
      </c>
      <c r="AD32">
        <f>IF(AND(AD$9+6&gt;=$D32,AD$9&lt;=$E32),1,"")</f>
        <v/>
      </c>
      <c r="AE32">
        <f>IF(AND(AE$9+6&gt;=$D32,AE$9&lt;=$E32),1,"")</f>
        <v/>
      </c>
      <c r="AF32">
        <f>IF(AND(AF$9+6&gt;=$D32,AF$9&lt;=$E32),1,"")</f>
        <v/>
      </c>
      <c r="AG32">
        <f>IF(AND(AG$9+6&gt;=$D32,AG$9&lt;=$E32),1,"")</f>
        <v/>
      </c>
      <c r="AH32">
        <f>IF(AND(AH$9+6&gt;=$D32,AH$9&lt;=$E32),1,"")</f>
        <v/>
      </c>
      <c r="AI32">
        <f>IF(AND(AI$9+6&gt;=$D32,AI$9&lt;=$E32),1,"")</f>
        <v/>
      </c>
      <c r="AJ32">
        <f>IF(AND(AJ$9+6&gt;=$D32,AJ$9&lt;=$E32),1,"")</f>
        <v/>
      </c>
      <c r="AK32">
        <f>IF(AND(AK$9+6&gt;=$D32,AK$9&lt;=$E32),1,"")</f>
        <v/>
      </c>
      <c r="AL32">
        <f>IF(AND(AL$9+6&gt;=$D32,AL$9&lt;=$E32),1,"")</f>
        <v/>
      </c>
      <c r="AM32">
        <f>IF(AND(AM$9+6&gt;=$D32,AM$9&lt;=$E32),1,"")</f>
        <v/>
      </c>
      <c r="AN32">
        <f>IF(AND(AN$9+6&gt;=$D32,AN$9&lt;=$E32),1,"")</f>
        <v/>
      </c>
      <c r="AO32">
        <f>IF(AND(AO$9+6&gt;=$D32,AO$9&lt;=$E32),1,"")</f>
        <v/>
      </c>
      <c r="AP32">
        <f>IF(AND(AP$9+6&gt;=$D32,AP$9&lt;=$E32),1,"")</f>
        <v/>
      </c>
      <c r="AQ32">
        <f>IF(AND(AQ$9+6&gt;=$D32,AQ$9&lt;=$E32),1,"")</f>
        <v/>
      </c>
      <c r="AR32">
        <f>IF(AND(AR$9+6&gt;=$D32,AR$9&lt;=$E32),1,"")</f>
        <v/>
      </c>
      <c r="AS32">
        <f>IF(AND(AS$9+6&gt;=$D32,AS$9&lt;=$E32),1,"")</f>
        <v/>
      </c>
      <c r="AT32">
        <f>IF(AND(AT$9+6&gt;=$D32,AT$9&lt;=$E32),1,"")</f>
        <v/>
      </c>
      <c r="AU32">
        <f>IF(AND(AU$9+6&gt;=$D32,AU$9&lt;=$E32),1,"")</f>
        <v/>
      </c>
      <c r="AV32">
        <f>IF(AND(AV$9+6&gt;=$D32,AV$9&lt;=$E32),1,"")</f>
        <v/>
      </c>
      <c r="AW32">
        <f>IF(AND(AW$9+6&gt;=$D32,AW$9&lt;=$E32),1,"")</f>
        <v/>
      </c>
      <c r="AX32">
        <f>IF(AND(AX$9+6&gt;=$D32,AX$9&lt;=$E32),1,"")</f>
        <v/>
      </c>
      <c r="AY32">
        <f>IF(AND(AY$9+6&gt;=$D32,AY$9&lt;=$E32),1,"")</f>
        <v/>
      </c>
      <c r="AZ32">
        <f>IF(AND(AZ$9+6&gt;=$D32,AZ$9&lt;=$E32),1,"")</f>
        <v/>
      </c>
      <c r="BA32">
        <f>IF(AND(BA$9+6&gt;=$D32,BA$9&lt;=$E32),1,"")</f>
        <v/>
      </c>
      <c r="BB32">
        <f>IF(AND(BB$9+6&gt;=$D32,BB$9&lt;=$E32),1,"")</f>
        <v/>
      </c>
      <c r="BC32">
        <f>IF(AND(BC$9+6&gt;=$D32,BC$9&lt;=$E32),1,"")</f>
        <v/>
      </c>
      <c r="BD32">
        <f>IF(AND(BD$9+6&gt;=$D32,BD$9&lt;=$E32),1,"")</f>
        <v/>
      </c>
      <c r="BE32">
        <f>IF(AND(BE$9+6&gt;=$D32,BE$9&lt;=$E32),1,"")</f>
        <v/>
      </c>
      <c r="BF32">
        <f>IF(AND(BF$9+6&gt;=$D32,BF$9&lt;=$E32),1,"")</f>
        <v/>
      </c>
      <c r="BG32">
        <f>IF(AND(BG$9+6&gt;=$D32,BG$9&lt;=$E32),1,"")</f>
        <v/>
      </c>
    </row>
    <row r="33">
      <c r="B33" s="8" t="inlineStr">
        <is>
          <t>Targeted support meetings (new owners, complex indicators, late respondents)</t>
        </is>
      </c>
      <c r="C33" s="8" t="inlineStr"/>
      <c r="D33" s="17" t="n">
        <v>46391</v>
      </c>
      <c r="E33" s="17" t="n">
        <v>46409</v>
      </c>
      <c r="F33" s="8" t="inlineStr">
        <is>
          <t>SST</t>
        </is>
      </c>
      <c r="G33" s="8" t="inlineStr"/>
      <c r="H33" s="8" t="inlineStr"/>
      <c r="I33" s="8" t="inlineStr">
        <is>
          <t>Data owners</t>
        </is>
      </c>
      <c r="J33" s="8" t="inlineStr">
        <is>
          <t>Medium</t>
        </is>
      </c>
      <c r="K33" s="8" t="inlineStr">
        <is>
          <t>Not yet started</t>
        </is>
      </c>
      <c r="L33">
        <f>IF(AND(L$9+6&gt;=$D33,L$9&lt;=$E33),1,"")</f>
        <v/>
      </c>
      <c r="M33">
        <f>IF(AND(M$9+6&gt;=$D33,M$9&lt;=$E33),1,"")</f>
        <v/>
      </c>
      <c r="N33">
        <f>IF(AND(N$9+6&gt;=$D33,N$9&lt;=$E33),1,"")</f>
        <v/>
      </c>
      <c r="O33">
        <f>IF(AND(O$9+6&gt;=$D33,O$9&lt;=$E33),1,"")</f>
        <v/>
      </c>
      <c r="P33">
        <f>IF(AND(P$9+6&gt;=$D33,P$9&lt;=$E33),1,"")</f>
        <v/>
      </c>
      <c r="Q33">
        <f>IF(AND(Q$9+6&gt;=$D33,Q$9&lt;=$E33),1,"")</f>
        <v/>
      </c>
      <c r="R33">
        <f>IF(AND(R$9+6&gt;=$D33,R$9&lt;=$E33),1,"")</f>
        <v/>
      </c>
      <c r="S33">
        <f>IF(AND(S$9+6&gt;=$D33,S$9&lt;=$E33),1,"")</f>
        <v/>
      </c>
      <c r="T33">
        <f>IF(AND(T$9+6&gt;=$D33,T$9&lt;=$E33),1,"")</f>
        <v/>
      </c>
      <c r="U33">
        <f>IF(AND(U$9+6&gt;=$D33,U$9&lt;=$E33),1,"")</f>
        <v/>
      </c>
      <c r="V33">
        <f>IF(AND(V$9+6&gt;=$D33,V$9&lt;=$E33),1,"")</f>
        <v/>
      </c>
      <c r="W33">
        <f>IF(AND(W$9+6&gt;=$D33,W$9&lt;=$E33),1,"")</f>
        <v/>
      </c>
      <c r="X33">
        <f>IF(AND(X$9+6&gt;=$D33,X$9&lt;=$E33),1,"")</f>
        <v/>
      </c>
      <c r="Y33">
        <f>IF(AND(Y$9+6&gt;=$D33,Y$9&lt;=$E33),1,"")</f>
        <v/>
      </c>
      <c r="Z33">
        <f>IF(AND(Z$9+6&gt;=$D33,Z$9&lt;=$E33),1,"")</f>
        <v/>
      </c>
      <c r="AA33">
        <f>IF(AND(AA$9+6&gt;=$D33,AA$9&lt;=$E33),1,"")</f>
        <v/>
      </c>
      <c r="AB33">
        <f>IF(AND(AB$9+6&gt;=$D33,AB$9&lt;=$E33),1,"")</f>
        <v/>
      </c>
      <c r="AC33">
        <f>IF(AND(AC$9+6&gt;=$D33,AC$9&lt;=$E33),1,"")</f>
        <v/>
      </c>
      <c r="AD33">
        <f>IF(AND(AD$9+6&gt;=$D33,AD$9&lt;=$E33),1,"")</f>
        <v/>
      </c>
      <c r="AE33">
        <f>IF(AND(AE$9+6&gt;=$D33,AE$9&lt;=$E33),1,"")</f>
        <v/>
      </c>
      <c r="AF33">
        <f>IF(AND(AF$9+6&gt;=$D33,AF$9&lt;=$E33),1,"")</f>
        <v/>
      </c>
      <c r="AG33">
        <f>IF(AND(AG$9+6&gt;=$D33,AG$9&lt;=$E33),1,"")</f>
        <v/>
      </c>
      <c r="AH33">
        <f>IF(AND(AH$9+6&gt;=$D33,AH$9&lt;=$E33),1,"")</f>
        <v/>
      </c>
      <c r="AI33">
        <f>IF(AND(AI$9+6&gt;=$D33,AI$9&lt;=$E33),1,"")</f>
        <v/>
      </c>
      <c r="AJ33">
        <f>IF(AND(AJ$9+6&gt;=$D33,AJ$9&lt;=$E33),1,"")</f>
        <v/>
      </c>
      <c r="AK33">
        <f>IF(AND(AK$9+6&gt;=$D33,AK$9&lt;=$E33),1,"")</f>
        <v/>
      </c>
      <c r="AL33">
        <f>IF(AND(AL$9+6&gt;=$D33,AL$9&lt;=$E33),1,"")</f>
        <v/>
      </c>
      <c r="AM33">
        <f>IF(AND(AM$9+6&gt;=$D33,AM$9&lt;=$E33),1,"")</f>
        <v/>
      </c>
      <c r="AN33">
        <f>IF(AND(AN$9+6&gt;=$D33,AN$9&lt;=$E33),1,"")</f>
        <v/>
      </c>
      <c r="AO33">
        <f>IF(AND(AO$9+6&gt;=$D33,AO$9&lt;=$E33),1,"")</f>
        <v/>
      </c>
      <c r="AP33">
        <f>IF(AND(AP$9+6&gt;=$D33,AP$9&lt;=$E33),1,"")</f>
        <v/>
      </c>
      <c r="AQ33">
        <f>IF(AND(AQ$9+6&gt;=$D33,AQ$9&lt;=$E33),1,"")</f>
        <v/>
      </c>
      <c r="AR33">
        <f>IF(AND(AR$9+6&gt;=$D33,AR$9&lt;=$E33),1,"")</f>
        <v/>
      </c>
      <c r="AS33">
        <f>IF(AND(AS$9+6&gt;=$D33,AS$9&lt;=$E33),1,"")</f>
        <v/>
      </c>
      <c r="AT33">
        <f>IF(AND(AT$9+6&gt;=$D33,AT$9&lt;=$E33),1,"")</f>
        <v/>
      </c>
      <c r="AU33">
        <f>IF(AND(AU$9+6&gt;=$D33,AU$9&lt;=$E33),1,"")</f>
        <v/>
      </c>
      <c r="AV33">
        <f>IF(AND(AV$9+6&gt;=$D33,AV$9&lt;=$E33),1,"")</f>
        <v/>
      </c>
      <c r="AW33">
        <f>IF(AND(AW$9+6&gt;=$D33,AW$9&lt;=$E33),1,"")</f>
        <v/>
      </c>
      <c r="AX33">
        <f>IF(AND(AX$9+6&gt;=$D33,AX$9&lt;=$E33),1,"")</f>
        <v/>
      </c>
      <c r="AY33">
        <f>IF(AND(AY$9+6&gt;=$D33,AY$9&lt;=$E33),1,"")</f>
        <v/>
      </c>
      <c r="AZ33">
        <f>IF(AND(AZ$9+6&gt;=$D33,AZ$9&lt;=$E33),1,"")</f>
        <v/>
      </c>
      <c r="BA33">
        <f>IF(AND(BA$9+6&gt;=$D33,BA$9&lt;=$E33),1,"")</f>
        <v/>
      </c>
      <c r="BB33">
        <f>IF(AND(BB$9+6&gt;=$D33,BB$9&lt;=$E33),1,"")</f>
        <v/>
      </c>
      <c r="BC33">
        <f>IF(AND(BC$9+6&gt;=$D33,BC$9&lt;=$E33),1,"")</f>
        <v/>
      </c>
      <c r="BD33">
        <f>IF(AND(BD$9+6&gt;=$D33,BD$9&lt;=$E33),1,"")</f>
        <v/>
      </c>
      <c r="BE33">
        <f>IF(AND(BE$9+6&gt;=$D33,BE$9&lt;=$E33),1,"")</f>
        <v/>
      </c>
      <c r="BF33">
        <f>IF(AND(BF$9+6&gt;=$D33,BF$9&lt;=$E33),1,"")</f>
        <v/>
      </c>
      <c r="BG33">
        <f>IF(AND(BG$9+6&gt;=$D33,BG$9&lt;=$E33),1,"")</f>
        <v/>
      </c>
    </row>
    <row r="34">
      <c r="B34" s="8" t="inlineStr">
        <is>
          <t>Confirm provisional quantitative data (Databook)</t>
        </is>
      </c>
      <c r="C34" s="8" t="inlineStr"/>
      <c r="D34" s="17" t="n">
        <v>46391</v>
      </c>
      <c r="E34" s="17" t="n">
        <v>46416</v>
      </c>
      <c r="F34" s="8" t="inlineStr">
        <is>
          <t>SST</t>
        </is>
      </c>
      <c r="G34" s="8" t="inlineStr"/>
      <c r="H34" s="8" t="inlineStr">
        <is>
          <t>Data owners</t>
        </is>
      </c>
      <c r="I34" s="8" t="inlineStr"/>
      <c r="J34" s="8" t="inlineStr">
        <is>
          <t>High</t>
        </is>
      </c>
      <c r="K34" s="8" t="inlineStr">
        <is>
          <t>Not yet started</t>
        </is>
      </c>
      <c r="L34">
        <f>IF(AND(L$9+6&gt;=$D34,L$9&lt;=$E34),1,"")</f>
        <v/>
      </c>
      <c r="M34">
        <f>IF(AND(M$9+6&gt;=$D34,M$9&lt;=$E34),1,"")</f>
        <v/>
      </c>
      <c r="N34">
        <f>IF(AND(N$9+6&gt;=$D34,N$9&lt;=$E34),1,"")</f>
        <v/>
      </c>
      <c r="O34">
        <f>IF(AND(O$9+6&gt;=$D34,O$9&lt;=$E34),1,"")</f>
        <v/>
      </c>
      <c r="P34">
        <f>IF(AND(P$9+6&gt;=$D34,P$9&lt;=$E34),1,"")</f>
        <v/>
      </c>
      <c r="Q34">
        <f>IF(AND(Q$9+6&gt;=$D34,Q$9&lt;=$E34),1,"")</f>
        <v/>
      </c>
      <c r="R34">
        <f>IF(AND(R$9+6&gt;=$D34,R$9&lt;=$E34),1,"")</f>
        <v/>
      </c>
      <c r="S34">
        <f>IF(AND(S$9+6&gt;=$D34,S$9&lt;=$E34),1,"")</f>
        <v/>
      </c>
      <c r="T34">
        <f>IF(AND(T$9+6&gt;=$D34,T$9&lt;=$E34),1,"")</f>
        <v/>
      </c>
      <c r="U34">
        <f>IF(AND(U$9+6&gt;=$D34,U$9&lt;=$E34),1,"")</f>
        <v/>
      </c>
      <c r="V34">
        <f>IF(AND(V$9+6&gt;=$D34,V$9&lt;=$E34),1,"")</f>
        <v/>
      </c>
      <c r="W34">
        <f>IF(AND(W$9+6&gt;=$D34,W$9&lt;=$E34),1,"")</f>
        <v/>
      </c>
      <c r="X34">
        <f>IF(AND(X$9+6&gt;=$D34,X$9&lt;=$E34),1,"")</f>
        <v/>
      </c>
      <c r="Y34">
        <f>IF(AND(Y$9+6&gt;=$D34,Y$9&lt;=$E34),1,"")</f>
        <v/>
      </c>
      <c r="Z34">
        <f>IF(AND(Z$9+6&gt;=$D34,Z$9&lt;=$E34),1,"")</f>
        <v/>
      </c>
      <c r="AA34">
        <f>IF(AND(AA$9+6&gt;=$D34,AA$9&lt;=$E34),1,"")</f>
        <v/>
      </c>
      <c r="AB34">
        <f>IF(AND(AB$9+6&gt;=$D34,AB$9&lt;=$E34),1,"")</f>
        <v/>
      </c>
      <c r="AC34">
        <f>IF(AND(AC$9+6&gt;=$D34,AC$9&lt;=$E34),1,"")</f>
        <v/>
      </c>
      <c r="AD34">
        <f>IF(AND(AD$9+6&gt;=$D34,AD$9&lt;=$E34),1,"")</f>
        <v/>
      </c>
      <c r="AE34">
        <f>IF(AND(AE$9+6&gt;=$D34,AE$9&lt;=$E34),1,"")</f>
        <v/>
      </c>
      <c r="AF34">
        <f>IF(AND(AF$9+6&gt;=$D34,AF$9&lt;=$E34),1,"")</f>
        <v/>
      </c>
      <c r="AG34">
        <f>IF(AND(AG$9+6&gt;=$D34,AG$9&lt;=$E34),1,"")</f>
        <v/>
      </c>
      <c r="AH34">
        <f>IF(AND(AH$9+6&gt;=$D34,AH$9&lt;=$E34),1,"")</f>
        <v/>
      </c>
      <c r="AI34">
        <f>IF(AND(AI$9+6&gt;=$D34,AI$9&lt;=$E34),1,"")</f>
        <v/>
      </c>
      <c r="AJ34">
        <f>IF(AND(AJ$9+6&gt;=$D34,AJ$9&lt;=$E34),1,"")</f>
        <v/>
      </c>
      <c r="AK34">
        <f>IF(AND(AK$9+6&gt;=$D34,AK$9&lt;=$E34),1,"")</f>
        <v/>
      </c>
      <c r="AL34">
        <f>IF(AND(AL$9+6&gt;=$D34,AL$9&lt;=$E34),1,"")</f>
        <v/>
      </c>
      <c r="AM34">
        <f>IF(AND(AM$9+6&gt;=$D34,AM$9&lt;=$E34),1,"")</f>
        <v/>
      </c>
      <c r="AN34">
        <f>IF(AND(AN$9+6&gt;=$D34,AN$9&lt;=$E34),1,"")</f>
        <v/>
      </c>
      <c r="AO34">
        <f>IF(AND(AO$9+6&gt;=$D34,AO$9&lt;=$E34),1,"")</f>
        <v/>
      </c>
      <c r="AP34">
        <f>IF(AND(AP$9+6&gt;=$D34,AP$9&lt;=$E34),1,"")</f>
        <v/>
      </c>
      <c r="AQ34">
        <f>IF(AND(AQ$9+6&gt;=$D34,AQ$9&lt;=$E34),1,"")</f>
        <v/>
      </c>
      <c r="AR34">
        <f>IF(AND(AR$9+6&gt;=$D34,AR$9&lt;=$E34),1,"")</f>
        <v/>
      </c>
      <c r="AS34">
        <f>IF(AND(AS$9+6&gt;=$D34,AS$9&lt;=$E34),1,"")</f>
        <v/>
      </c>
      <c r="AT34">
        <f>IF(AND(AT$9+6&gt;=$D34,AT$9&lt;=$E34),1,"")</f>
        <v/>
      </c>
      <c r="AU34">
        <f>IF(AND(AU$9+6&gt;=$D34,AU$9&lt;=$E34),1,"")</f>
        <v/>
      </c>
      <c r="AV34">
        <f>IF(AND(AV$9+6&gt;=$D34,AV$9&lt;=$E34),1,"")</f>
        <v/>
      </c>
      <c r="AW34">
        <f>IF(AND(AW$9+6&gt;=$D34,AW$9&lt;=$E34),1,"")</f>
        <v/>
      </c>
      <c r="AX34">
        <f>IF(AND(AX$9+6&gt;=$D34,AX$9&lt;=$E34),1,"")</f>
        <v/>
      </c>
      <c r="AY34">
        <f>IF(AND(AY$9+6&gt;=$D34,AY$9&lt;=$E34),1,"")</f>
        <v/>
      </c>
      <c r="AZ34">
        <f>IF(AND(AZ$9+6&gt;=$D34,AZ$9&lt;=$E34),1,"")</f>
        <v/>
      </c>
      <c r="BA34">
        <f>IF(AND(BA$9+6&gt;=$D34,BA$9&lt;=$E34),1,"")</f>
        <v/>
      </c>
      <c r="BB34">
        <f>IF(AND(BB$9+6&gt;=$D34,BB$9&lt;=$E34),1,"")</f>
        <v/>
      </c>
      <c r="BC34">
        <f>IF(AND(BC$9+6&gt;=$D34,BC$9&lt;=$E34),1,"")</f>
        <v/>
      </c>
      <c r="BD34">
        <f>IF(AND(BD$9+6&gt;=$D34,BD$9&lt;=$E34),1,"")</f>
        <v/>
      </c>
      <c r="BE34">
        <f>IF(AND(BE$9+6&gt;=$D34,BE$9&lt;=$E34),1,"")</f>
        <v/>
      </c>
      <c r="BF34">
        <f>IF(AND(BF$9+6&gt;=$D34,BF$9&lt;=$E34),1,"")</f>
        <v/>
      </c>
      <c r="BG34">
        <f>IF(AND(BG$9+6&gt;=$D34,BG$9&lt;=$E34),1,"")</f>
        <v/>
      </c>
    </row>
    <row r="35">
      <c r="B35" s="8" t="inlineStr">
        <is>
          <t>Preliminary target status assessment (internal) – A1/T2 tabs</t>
        </is>
      </c>
      <c r="C35" s="8" t="inlineStr"/>
      <c r="D35" s="17" t="n">
        <v>46405</v>
      </c>
      <c r="E35" s="17" t="n">
        <v>46423</v>
      </c>
      <c r="F35" s="8" t="inlineStr">
        <is>
          <t>Rose (TBC)</t>
        </is>
      </c>
      <c r="G35" s="8" t="inlineStr">
        <is>
          <t>Director, Sustainability</t>
        </is>
      </c>
      <c r="H35" s="8" t="inlineStr">
        <is>
          <t>SST</t>
        </is>
      </c>
      <c r="I35" s="8" t="inlineStr"/>
      <c r="J35" s="8" t="inlineStr">
        <is>
          <t>High</t>
        </is>
      </c>
      <c r="K35" s="8" t="inlineStr">
        <is>
          <t>Not yet started</t>
        </is>
      </c>
      <c r="L35">
        <f>IF(AND(L$9+6&gt;=$D35,L$9&lt;=$E35),1,"")</f>
        <v/>
      </c>
      <c r="M35">
        <f>IF(AND(M$9+6&gt;=$D35,M$9&lt;=$E35),1,"")</f>
        <v/>
      </c>
      <c r="N35">
        <f>IF(AND(N$9+6&gt;=$D35,N$9&lt;=$E35),1,"")</f>
        <v/>
      </c>
      <c r="O35">
        <f>IF(AND(O$9+6&gt;=$D35,O$9&lt;=$E35),1,"")</f>
        <v/>
      </c>
      <c r="P35">
        <f>IF(AND(P$9+6&gt;=$D35,P$9&lt;=$E35),1,"")</f>
        <v/>
      </c>
      <c r="Q35">
        <f>IF(AND(Q$9+6&gt;=$D35,Q$9&lt;=$E35),1,"")</f>
        <v/>
      </c>
      <c r="R35">
        <f>IF(AND(R$9+6&gt;=$D35,R$9&lt;=$E35),1,"")</f>
        <v/>
      </c>
      <c r="S35">
        <f>IF(AND(S$9+6&gt;=$D35,S$9&lt;=$E35),1,"")</f>
        <v/>
      </c>
      <c r="T35">
        <f>IF(AND(T$9+6&gt;=$D35,T$9&lt;=$E35),1,"")</f>
        <v/>
      </c>
      <c r="U35">
        <f>IF(AND(U$9+6&gt;=$D35,U$9&lt;=$E35),1,"")</f>
        <v/>
      </c>
      <c r="V35">
        <f>IF(AND(V$9+6&gt;=$D35,V$9&lt;=$E35),1,"")</f>
        <v/>
      </c>
      <c r="W35">
        <f>IF(AND(W$9+6&gt;=$D35,W$9&lt;=$E35),1,"")</f>
        <v/>
      </c>
      <c r="X35">
        <f>IF(AND(X$9+6&gt;=$D35,X$9&lt;=$E35),1,"")</f>
        <v/>
      </c>
      <c r="Y35">
        <f>IF(AND(Y$9+6&gt;=$D35,Y$9&lt;=$E35),1,"")</f>
        <v/>
      </c>
      <c r="Z35">
        <f>IF(AND(Z$9+6&gt;=$D35,Z$9&lt;=$E35),1,"")</f>
        <v/>
      </c>
      <c r="AA35">
        <f>IF(AND(AA$9+6&gt;=$D35,AA$9&lt;=$E35),1,"")</f>
        <v/>
      </c>
      <c r="AB35">
        <f>IF(AND(AB$9+6&gt;=$D35,AB$9&lt;=$E35),1,"")</f>
        <v/>
      </c>
      <c r="AC35">
        <f>IF(AND(AC$9+6&gt;=$D35,AC$9&lt;=$E35),1,"")</f>
        <v/>
      </c>
      <c r="AD35">
        <f>IF(AND(AD$9+6&gt;=$D35,AD$9&lt;=$E35),1,"")</f>
        <v/>
      </c>
      <c r="AE35">
        <f>IF(AND(AE$9+6&gt;=$D35,AE$9&lt;=$E35),1,"")</f>
        <v/>
      </c>
      <c r="AF35">
        <f>IF(AND(AF$9+6&gt;=$D35,AF$9&lt;=$E35),1,"")</f>
        <v/>
      </c>
      <c r="AG35">
        <f>IF(AND(AG$9+6&gt;=$D35,AG$9&lt;=$E35),1,"")</f>
        <v/>
      </c>
      <c r="AH35">
        <f>IF(AND(AH$9+6&gt;=$D35,AH$9&lt;=$E35),1,"")</f>
        <v/>
      </c>
      <c r="AI35">
        <f>IF(AND(AI$9+6&gt;=$D35,AI$9&lt;=$E35),1,"")</f>
        <v/>
      </c>
      <c r="AJ35">
        <f>IF(AND(AJ$9+6&gt;=$D35,AJ$9&lt;=$E35),1,"")</f>
        <v/>
      </c>
      <c r="AK35">
        <f>IF(AND(AK$9+6&gt;=$D35,AK$9&lt;=$E35),1,"")</f>
        <v/>
      </c>
      <c r="AL35">
        <f>IF(AND(AL$9+6&gt;=$D35,AL$9&lt;=$E35),1,"")</f>
        <v/>
      </c>
      <c r="AM35">
        <f>IF(AND(AM$9+6&gt;=$D35,AM$9&lt;=$E35),1,"")</f>
        <v/>
      </c>
      <c r="AN35">
        <f>IF(AND(AN$9+6&gt;=$D35,AN$9&lt;=$E35),1,"")</f>
        <v/>
      </c>
      <c r="AO35">
        <f>IF(AND(AO$9+6&gt;=$D35,AO$9&lt;=$E35),1,"")</f>
        <v/>
      </c>
      <c r="AP35">
        <f>IF(AND(AP$9+6&gt;=$D35,AP$9&lt;=$E35),1,"")</f>
        <v/>
      </c>
      <c r="AQ35">
        <f>IF(AND(AQ$9+6&gt;=$D35,AQ$9&lt;=$E35),1,"")</f>
        <v/>
      </c>
      <c r="AR35">
        <f>IF(AND(AR$9+6&gt;=$D35,AR$9&lt;=$E35),1,"")</f>
        <v/>
      </c>
      <c r="AS35">
        <f>IF(AND(AS$9+6&gt;=$D35,AS$9&lt;=$E35),1,"")</f>
        <v/>
      </c>
      <c r="AT35">
        <f>IF(AND(AT$9+6&gt;=$D35,AT$9&lt;=$E35),1,"")</f>
        <v/>
      </c>
      <c r="AU35">
        <f>IF(AND(AU$9+6&gt;=$D35,AU$9&lt;=$E35),1,"")</f>
        <v/>
      </c>
      <c r="AV35">
        <f>IF(AND(AV$9+6&gt;=$D35,AV$9&lt;=$E35),1,"")</f>
        <v/>
      </c>
      <c r="AW35">
        <f>IF(AND(AW$9+6&gt;=$D35,AW$9&lt;=$E35),1,"")</f>
        <v/>
      </c>
      <c r="AX35">
        <f>IF(AND(AX$9+6&gt;=$D35,AX$9&lt;=$E35),1,"")</f>
        <v/>
      </c>
      <c r="AY35">
        <f>IF(AND(AY$9+6&gt;=$D35,AY$9&lt;=$E35),1,"")</f>
        <v/>
      </c>
      <c r="AZ35">
        <f>IF(AND(AZ$9+6&gt;=$D35,AZ$9&lt;=$E35),1,"")</f>
        <v/>
      </c>
      <c r="BA35">
        <f>IF(AND(BA$9+6&gt;=$D35,BA$9&lt;=$E35),1,"")</f>
        <v/>
      </c>
      <c r="BB35">
        <f>IF(AND(BB$9+6&gt;=$D35,BB$9&lt;=$E35),1,"")</f>
        <v/>
      </c>
      <c r="BC35">
        <f>IF(AND(BC$9+6&gt;=$D35,BC$9&lt;=$E35),1,"")</f>
        <v/>
      </c>
      <c r="BD35">
        <f>IF(AND(BD$9+6&gt;=$D35,BD$9&lt;=$E35),1,"")</f>
        <v/>
      </c>
      <c r="BE35">
        <f>IF(AND(BE$9+6&gt;=$D35,BE$9&lt;=$E35),1,"")</f>
        <v/>
      </c>
      <c r="BF35">
        <f>IF(AND(BF$9+6&gt;=$D35,BF$9&lt;=$E35),1,"")</f>
        <v/>
      </c>
      <c r="BG35">
        <f>IF(AND(BG$9+6&gt;=$D35,BG$9&lt;=$E35),1,"")</f>
        <v/>
      </c>
    </row>
    <row r="36">
      <c r="B36" s="8" t="inlineStr">
        <is>
          <t>Full draft + issues paper; close evidence gaps</t>
        </is>
      </c>
      <c r="C36" s="8" t="inlineStr"/>
      <c r="D36" s="17" t="n">
        <v>46398</v>
      </c>
      <c r="E36" s="17" t="n">
        <v>46423</v>
      </c>
      <c r="F36" s="8" t="inlineStr">
        <is>
          <t>SST</t>
        </is>
      </c>
      <c r="G36" s="8" t="inlineStr">
        <is>
          <t>Director, Sustainability</t>
        </is>
      </c>
      <c r="H36" s="8" t="inlineStr"/>
      <c r="I36" s="8" t="inlineStr"/>
      <c r="J36" s="8" t="inlineStr">
        <is>
          <t>High</t>
        </is>
      </c>
      <c r="K36" s="8" t="inlineStr">
        <is>
          <t>Not yet started</t>
        </is>
      </c>
      <c r="L36">
        <f>IF(AND(L$9+6&gt;=$D36,L$9&lt;=$E36),1,"")</f>
        <v/>
      </c>
      <c r="M36">
        <f>IF(AND(M$9+6&gt;=$D36,M$9&lt;=$E36),1,"")</f>
        <v/>
      </c>
      <c r="N36">
        <f>IF(AND(N$9+6&gt;=$D36,N$9&lt;=$E36),1,"")</f>
        <v/>
      </c>
      <c r="O36">
        <f>IF(AND(O$9+6&gt;=$D36,O$9&lt;=$E36),1,"")</f>
        <v/>
      </c>
      <c r="P36">
        <f>IF(AND(P$9+6&gt;=$D36,P$9&lt;=$E36),1,"")</f>
        <v/>
      </c>
      <c r="Q36">
        <f>IF(AND(Q$9+6&gt;=$D36,Q$9&lt;=$E36),1,"")</f>
        <v/>
      </c>
      <c r="R36">
        <f>IF(AND(R$9+6&gt;=$D36,R$9&lt;=$E36),1,"")</f>
        <v/>
      </c>
      <c r="S36">
        <f>IF(AND(S$9+6&gt;=$D36,S$9&lt;=$E36),1,"")</f>
        <v/>
      </c>
      <c r="T36">
        <f>IF(AND(T$9+6&gt;=$D36,T$9&lt;=$E36),1,"")</f>
        <v/>
      </c>
      <c r="U36">
        <f>IF(AND(U$9+6&gt;=$D36,U$9&lt;=$E36),1,"")</f>
        <v/>
      </c>
      <c r="V36">
        <f>IF(AND(V$9+6&gt;=$D36,V$9&lt;=$E36),1,"")</f>
        <v/>
      </c>
      <c r="W36">
        <f>IF(AND(W$9+6&gt;=$D36,W$9&lt;=$E36),1,"")</f>
        <v/>
      </c>
      <c r="X36">
        <f>IF(AND(X$9+6&gt;=$D36,X$9&lt;=$E36),1,"")</f>
        <v/>
      </c>
      <c r="Y36">
        <f>IF(AND(Y$9+6&gt;=$D36,Y$9&lt;=$E36),1,"")</f>
        <v/>
      </c>
      <c r="Z36">
        <f>IF(AND(Z$9+6&gt;=$D36,Z$9&lt;=$E36),1,"")</f>
        <v/>
      </c>
      <c r="AA36">
        <f>IF(AND(AA$9+6&gt;=$D36,AA$9&lt;=$E36),1,"")</f>
        <v/>
      </c>
      <c r="AB36">
        <f>IF(AND(AB$9+6&gt;=$D36,AB$9&lt;=$E36),1,"")</f>
        <v/>
      </c>
      <c r="AC36">
        <f>IF(AND(AC$9+6&gt;=$D36,AC$9&lt;=$E36),1,"")</f>
        <v/>
      </c>
      <c r="AD36">
        <f>IF(AND(AD$9+6&gt;=$D36,AD$9&lt;=$E36),1,"")</f>
        <v/>
      </c>
      <c r="AE36">
        <f>IF(AND(AE$9+6&gt;=$D36,AE$9&lt;=$E36),1,"")</f>
        <v/>
      </c>
      <c r="AF36">
        <f>IF(AND(AF$9+6&gt;=$D36,AF$9&lt;=$E36),1,"")</f>
        <v/>
      </c>
      <c r="AG36">
        <f>IF(AND(AG$9+6&gt;=$D36,AG$9&lt;=$E36),1,"")</f>
        <v/>
      </c>
      <c r="AH36">
        <f>IF(AND(AH$9+6&gt;=$D36,AH$9&lt;=$E36),1,"")</f>
        <v/>
      </c>
      <c r="AI36">
        <f>IF(AND(AI$9+6&gt;=$D36,AI$9&lt;=$E36),1,"")</f>
        <v/>
      </c>
      <c r="AJ36">
        <f>IF(AND(AJ$9+6&gt;=$D36,AJ$9&lt;=$E36),1,"")</f>
        <v/>
      </c>
      <c r="AK36">
        <f>IF(AND(AK$9+6&gt;=$D36,AK$9&lt;=$E36),1,"")</f>
        <v/>
      </c>
      <c r="AL36">
        <f>IF(AND(AL$9+6&gt;=$D36,AL$9&lt;=$E36),1,"")</f>
        <v/>
      </c>
      <c r="AM36">
        <f>IF(AND(AM$9+6&gt;=$D36,AM$9&lt;=$E36),1,"")</f>
        <v/>
      </c>
      <c r="AN36">
        <f>IF(AND(AN$9+6&gt;=$D36,AN$9&lt;=$E36),1,"")</f>
        <v/>
      </c>
      <c r="AO36">
        <f>IF(AND(AO$9+6&gt;=$D36,AO$9&lt;=$E36),1,"")</f>
        <v/>
      </c>
      <c r="AP36">
        <f>IF(AND(AP$9+6&gt;=$D36,AP$9&lt;=$E36),1,"")</f>
        <v/>
      </c>
      <c r="AQ36">
        <f>IF(AND(AQ$9+6&gt;=$D36,AQ$9&lt;=$E36),1,"")</f>
        <v/>
      </c>
      <c r="AR36">
        <f>IF(AND(AR$9+6&gt;=$D36,AR$9&lt;=$E36),1,"")</f>
        <v/>
      </c>
      <c r="AS36">
        <f>IF(AND(AS$9+6&gt;=$D36,AS$9&lt;=$E36),1,"")</f>
        <v/>
      </c>
      <c r="AT36">
        <f>IF(AND(AT$9+6&gt;=$D36,AT$9&lt;=$E36),1,"")</f>
        <v/>
      </c>
      <c r="AU36">
        <f>IF(AND(AU$9+6&gt;=$D36,AU$9&lt;=$E36),1,"")</f>
        <v/>
      </c>
      <c r="AV36">
        <f>IF(AND(AV$9+6&gt;=$D36,AV$9&lt;=$E36),1,"")</f>
        <v/>
      </c>
      <c r="AW36">
        <f>IF(AND(AW$9+6&gt;=$D36,AW$9&lt;=$E36),1,"")</f>
        <v/>
      </c>
      <c r="AX36">
        <f>IF(AND(AX$9+6&gt;=$D36,AX$9&lt;=$E36),1,"")</f>
        <v/>
      </c>
      <c r="AY36">
        <f>IF(AND(AY$9+6&gt;=$D36,AY$9&lt;=$E36),1,"")</f>
        <v/>
      </c>
      <c r="AZ36">
        <f>IF(AND(AZ$9+6&gt;=$D36,AZ$9&lt;=$E36),1,"")</f>
        <v/>
      </c>
      <c r="BA36">
        <f>IF(AND(BA$9+6&gt;=$D36,BA$9&lt;=$E36),1,"")</f>
        <v/>
      </c>
      <c r="BB36">
        <f>IF(AND(BB$9+6&gt;=$D36,BB$9&lt;=$E36),1,"")</f>
        <v/>
      </c>
      <c r="BC36">
        <f>IF(AND(BC$9+6&gt;=$D36,BC$9&lt;=$E36),1,"")</f>
        <v/>
      </c>
      <c r="BD36">
        <f>IF(AND(BD$9+6&gt;=$D36,BD$9&lt;=$E36),1,"")</f>
        <v/>
      </c>
      <c r="BE36">
        <f>IF(AND(BE$9+6&gt;=$D36,BE$9&lt;=$E36),1,"")</f>
        <v/>
      </c>
      <c r="BF36">
        <f>IF(AND(BF$9+6&gt;=$D36,BF$9&lt;=$E36),1,"")</f>
        <v/>
      </c>
      <c r="BG36">
        <f>IF(AND(BG$9+6&gt;=$D36,BG$9&lt;=$E36),1,"")</f>
        <v/>
      </c>
    </row>
    <row r="37">
      <c r="B37" s="41" t="inlineStr">
        <is>
          <t>Review &amp; governance (Feb–May 2027)</t>
        </is>
      </c>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c r="Y37" s="42" t="n"/>
      <c r="Z37" s="42" t="n"/>
      <c r="AA37" s="42" t="n"/>
      <c r="AB37" s="42" t="n"/>
      <c r="AC37" s="42" t="n"/>
      <c r="AD37" s="42" t="n"/>
      <c r="AE37" s="42" t="n"/>
      <c r="AF37" s="42" t="n"/>
      <c r="AG37" s="42" t="n"/>
      <c r="AH37" s="42" t="n"/>
      <c r="AI37" s="42" t="n"/>
      <c r="AJ37" s="42" t="n"/>
      <c r="AK37" s="42" t="n"/>
      <c r="AL37" s="42" t="n"/>
      <c r="AM37" s="42" t="n"/>
      <c r="AN37" s="42" t="n"/>
      <c r="AO37" s="42" t="n"/>
      <c r="AP37" s="42" t="n"/>
      <c r="AQ37" s="42" t="n"/>
      <c r="AR37" s="42" t="n"/>
      <c r="AS37" s="42" t="n"/>
      <c r="AT37" s="42" t="n"/>
      <c r="AU37" s="42" t="n"/>
      <c r="AV37" s="42" t="n"/>
      <c r="AW37" s="42" t="n"/>
      <c r="AX37" s="42" t="n"/>
      <c r="AY37" s="42" t="n"/>
      <c r="AZ37" s="42" t="n"/>
      <c r="BA37" s="42" t="n"/>
      <c r="BB37" s="42" t="n"/>
      <c r="BC37" s="42" t="n"/>
      <c r="BD37" s="42" t="n"/>
      <c r="BE37" s="42" t="n"/>
      <c r="BF37" s="42" t="n"/>
      <c r="BG37" s="42" t="n"/>
    </row>
    <row r="38">
      <c r="B38" s="8" t="inlineStr">
        <is>
          <t>VCAG papers due (Review Group findings)</t>
        </is>
      </c>
      <c r="C38" s="8" t="inlineStr">
        <is>
          <t>10 Feb</t>
        </is>
      </c>
      <c r="D38" s="17" t="n">
        <v>46428</v>
      </c>
      <c r="E38" s="17" t="n">
        <v>46428</v>
      </c>
      <c r="F38" s="8" t="inlineStr">
        <is>
          <t>SST</t>
        </is>
      </c>
      <c r="G38" s="8" t="inlineStr">
        <is>
          <t>Director, Sustainability</t>
        </is>
      </c>
      <c r="H38" s="8" t="inlineStr"/>
      <c r="I38" s="8" t="inlineStr"/>
      <c r="J38" s="8" t="inlineStr">
        <is>
          <t>Milestone</t>
        </is>
      </c>
      <c r="K38" s="8" t="inlineStr">
        <is>
          <t>Not yet started</t>
        </is>
      </c>
      <c r="L38">
        <f>IF(AND(L$9+6&gt;=$D38,L$9&lt;=$E38),1,"")</f>
        <v/>
      </c>
      <c r="M38">
        <f>IF(AND(M$9+6&gt;=$D38,M$9&lt;=$E38),1,"")</f>
        <v/>
      </c>
      <c r="N38">
        <f>IF(AND(N$9+6&gt;=$D38,N$9&lt;=$E38),1,"")</f>
        <v/>
      </c>
      <c r="O38">
        <f>IF(AND(O$9+6&gt;=$D38,O$9&lt;=$E38),1,"")</f>
        <v/>
      </c>
      <c r="P38">
        <f>IF(AND(P$9+6&gt;=$D38,P$9&lt;=$E38),1,"")</f>
        <v/>
      </c>
      <c r="Q38">
        <f>IF(AND(Q$9+6&gt;=$D38,Q$9&lt;=$E38),1,"")</f>
        <v/>
      </c>
      <c r="R38">
        <f>IF(AND(R$9+6&gt;=$D38,R$9&lt;=$E38),1,"")</f>
        <v/>
      </c>
      <c r="S38">
        <f>IF(AND(S$9+6&gt;=$D38,S$9&lt;=$E38),1,"")</f>
        <v/>
      </c>
      <c r="T38">
        <f>IF(AND(T$9+6&gt;=$D38,T$9&lt;=$E38),1,"")</f>
        <v/>
      </c>
      <c r="U38">
        <f>IF(AND(U$9+6&gt;=$D38,U$9&lt;=$E38),1,"")</f>
        <v/>
      </c>
      <c r="V38">
        <f>IF(AND(V$9+6&gt;=$D38,V$9&lt;=$E38),1,"")</f>
        <v/>
      </c>
      <c r="W38">
        <f>IF(AND(W$9+6&gt;=$D38,W$9&lt;=$E38),1,"")</f>
        <v/>
      </c>
      <c r="X38">
        <f>IF(AND(X$9+6&gt;=$D38,X$9&lt;=$E38),1,"")</f>
        <v/>
      </c>
      <c r="Y38">
        <f>IF(AND(Y$9+6&gt;=$D38,Y$9&lt;=$E38),1,"")</f>
        <v/>
      </c>
      <c r="Z38">
        <f>IF(AND(Z$9+6&gt;=$D38,Z$9&lt;=$E38),1,"")</f>
        <v/>
      </c>
      <c r="AA38">
        <f>IF(AND(AA$9+6&gt;=$D38,AA$9&lt;=$E38),1,"")</f>
        <v/>
      </c>
      <c r="AB38">
        <f>IF(AND(AB$9+6&gt;=$D38,AB$9&lt;=$E38),1,"")</f>
        <v/>
      </c>
      <c r="AC38">
        <f>IF(AND(AC$9+6&gt;=$D38,AC$9&lt;=$E38),1,"")</f>
        <v/>
      </c>
      <c r="AD38">
        <f>IF(AND(AD$9+6&gt;=$D38,AD$9&lt;=$E38),1,"")</f>
        <v/>
      </c>
      <c r="AE38">
        <f>IF(AND(AE$9+6&gt;=$D38,AE$9&lt;=$E38),1,"")</f>
        <v/>
      </c>
      <c r="AF38">
        <f>IF(AND(AF$9+6&gt;=$D38,AF$9&lt;=$E38),1,"")</f>
        <v/>
      </c>
      <c r="AG38">
        <f>IF(AND(AG$9+6&gt;=$D38,AG$9&lt;=$E38),1,"")</f>
        <v/>
      </c>
      <c r="AH38">
        <f>IF(AND(AH$9+6&gt;=$D38,AH$9&lt;=$E38),1,"")</f>
        <v/>
      </c>
      <c r="AI38">
        <f>IF(AND(AI$9+6&gt;=$D38,AI$9&lt;=$E38),1,"")</f>
        <v/>
      </c>
      <c r="AJ38">
        <f>IF(AND(AJ$9+6&gt;=$D38,AJ$9&lt;=$E38),1,"")</f>
        <v/>
      </c>
      <c r="AK38">
        <f>IF(AND(AK$9+6&gt;=$D38,AK$9&lt;=$E38),1,"")</f>
        <v/>
      </c>
      <c r="AL38">
        <f>IF(AND(AL$9+6&gt;=$D38,AL$9&lt;=$E38),1,"")</f>
        <v/>
      </c>
      <c r="AM38">
        <f>IF(AND(AM$9+6&gt;=$D38,AM$9&lt;=$E38),1,"")</f>
        <v/>
      </c>
      <c r="AN38">
        <f>IF(AND(AN$9+6&gt;=$D38,AN$9&lt;=$E38),1,"")</f>
        <v/>
      </c>
      <c r="AO38">
        <f>IF(AND(AO$9+6&gt;=$D38,AO$9&lt;=$E38),1,"")</f>
        <v/>
      </c>
      <c r="AP38">
        <f>IF(AND(AP$9+6&gt;=$D38,AP$9&lt;=$E38),1,"")</f>
        <v/>
      </c>
      <c r="AQ38">
        <f>IF(AND(AQ$9+6&gt;=$D38,AQ$9&lt;=$E38),1,"")</f>
        <v/>
      </c>
      <c r="AR38">
        <f>IF(AND(AR$9+6&gt;=$D38,AR$9&lt;=$E38),1,"")</f>
        <v/>
      </c>
      <c r="AS38">
        <f>IF(AND(AS$9+6&gt;=$D38,AS$9&lt;=$E38),1,"")</f>
        <v/>
      </c>
      <c r="AT38">
        <f>IF(AND(AT$9+6&gt;=$D38,AT$9&lt;=$E38),1,"")</f>
        <v/>
      </c>
      <c r="AU38">
        <f>IF(AND(AU$9+6&gt;=$D38,AU$9&lt;=$E38),1,"")</f>
        <v/>
      </c>
      <c r="AV38">
        <f>IF(AND(AV$9+6&gt;=$D38,AV$9&lt;=$E38),1,"")</f>
        <v/>
      </c>
      <c r="AW38">
        <f>IF(AND(AW$9+6&gt;=$D38,AW$9&lt;=$E38),1,"")</f>
        <v/>
      </c>
      <c r="AX38">
        <f>IF(AND(AX$9+6&gt;=$D38,AX$9&lt;=$E38),1,"")</f>
        <v/>
      </c>
      <c r="AY38">
        <f>IF(AND(AY$9+6&gt;=$D38,AY$9&lt;=$E38),1,"")</f>
        <v/>
      </c>
      <c r="AZ38">
        <f>IF(AND(AZ$9+6&gt;=$D38,AZ$9&lt;=$E38),1,"")</f>
        <v/>
      </c>
      <c r="BA38">
        <f>IF(AND(BA$9+6&gt;=$D38,BA$9&lt;=$E38),1,"")</f>
        <v/>
      </c>
      <c r="BB38">
        <f>IF(AND(BB$9+6&gt;=$D38,BB$9&lt;=$E38),1,"")</f>
        <v/>
      </c>
      <c r="BC38">
        <f>IF(AND(BC$9+6&gt;=$D38,BC$9&lt;=$E38),1,"")</f>
        <v/>
      </c>
      <c r="BD38">
        <f>IF(AND(BD$9+6&gt;=$D38,BD$9&lt;=$E38),1,"")</f>
        <v/>
      </c>
      <c r="BE38">
        <f>IF(AND(BE$9+6&gt;=$D38,BE$9&lt;=$E38),1,"")</f>
        <v/>
      </c>
      <c r="BF38">
        <f>IF(AND(BF$9+6&gt;=$D38,BF$9&lt;=$E38),1,"")</f>
        <v/>
      </c>
      <c r="BG38">
        <f>IF(AND(BG$9+6&gt;=$D38,BG$9&lt;=$E38),1,"")</f>
        <v/>
      </c>
    </row>
    <row r="39">
      <c r="B39" s="8" t="inlineStr">
        <is>
          <t>Sustainability Reporting Review Group</t>
        </is>
      </c>
      <c r="C39" s="8" t="inlineStr">
        <is>
          <t>~15 Feb (8–10 Feb TBC)</t>
        </is>
      </c>
      <c r="D39" s="17" t="n">
        <v>46426</v>
      </c>
      <c r="E39" s="17" t="n">
        <v>46433</v>
      </c>
      <c r="F39" s="8" t="inlineStr">
        <is>
          <t>Rose (convenor, TBC)</t>
        </is>
      </c>
      <c r="G39" s="8" t="inlineStr"/>
      <c r="H39" s="8" t="inlineStr"/>
      <c r="I39" s="8" t="inlineStr"/>
      <c r="J39" s="8" t="inlineStr">
        <is>
          <t>Milestone</t>
        </is>
      </c>
      <c r="K39" s="8" t="inlineStr">
        <is>
          <t>Not yet started</t>
        </is>
      </c>
      <c r="L39">
        <f>IF(AND(L$9+6&gt;=$D39,L$9&lt;=$E39),1,"")</f>
        <v/>
      </c>
      <c r="M39">
        <f>IF(AND(M$9+6&gt;=$D39,M$9&lt;=$E39),1,"")</f>
        <v/>
      </c>
      <c r="N39">
        <f>IF(AND(N$9+6&gt;=$D39,N$9&lt;=$E39),1,"")</f>
        <v/>
      </c>
      <c r="O39">
        <f>IF(AND(O$9+6&gt;=$D39,O$9&lt;=$E39),1,"")</f>
        <v/>
      </c>
      <c r="P39">
        <f>IF(AND(P$9+6&gt;=$D39,P$9&lt;=$E39),1,"")</f>
        <v/>
      </c>
      <c r="Q39">
        <f>IF(AND(Q$9+6&gt;=$D39,Q$9&lt;=$E39),1,"")</f>
        <v/>
      </c>
      <c r="R39">
        <f>IF(AND(R$9+6&gt;=$D39,R$9&lt;=$E39),1,"")</f>
        <v/>
      </c>
      <c r="S39">
        <f>IF(AND(S$9+6&gt;=$D39,S$9&lt;=$E39),1,"")</f>
        <v/>
      </c>
      <c r="T39">
        <f>IF(AND(T$9+6&gt;=$D39,T$9&lt;=$E39),1,"")</f>
        <v/>
      </c>
      <c r="U39">
        <f>IF(AND(U$9+6&gt;=$D39,U$9&lt;=$E39),1,"")</f>
        <v/>
      </c>
      <c r="V39">
        <f>IF(AND(V$9+6&gt;=$D39,V$9&lt;=$E39),1,"")</f>
        <v/>
      </c>
      <c r="W39">
        <f>IF(AND(W$9+6&gt;=$D39,W$9&lt;=$E39),1,"")</f>
        <v/>
      </c>
      <c r="X39">
        <f>IF(AND(X$9+6&gt;=$D39,X$9&lt;=$E39),1,"")</f>
        <v/>
      </c>
      <c r="Y39">
        <f>IF(AND(Y$9+6&gt;=$D39,Y$9&lt;=$E39),1,"")</f>
        <v/>
      </c>
      <c r="Z39">
        <f>IF(AND(Z$9+6&gt;=$D39,Z$9&lt;=$E39),1,"")</f>
        <v/>
      </c>
      <c r="AA39">
        <f>IF(AND(AA$9+6&gt;=$D39,AA$9&lt;=$E39),1,"")</f>
        <v/>
      </c>
      <c r="AB39">
        <f>IF(AND(AB$9+6&gt;=$D39,AB$9&lt;=$E39),1,"")</f>
        <v/>
      </c>
      <c r="AC39">
        <f>IF(AND(AC$9+6&gt;=$D39,AC$9&lt;=$E39),1,"")</f>
        <v/>
      </c>
      <c r="AD39">
        <f>IF(AND(AD$9+6&gt;=$D39,AD$9&lt;=$E39),1,"")</f>
        <v/>
      </c>
      <c r="AE39">
        <f>IF(AND(AE$9+6&gt;=$D39,AE$9&lt;=$E39),1,"")</f>
        <v/>
      </c>
      <c r="AF39">
        <f>IF(AND(AF$9+6&gt;=$D39,AF$9&lt;=$E39),1,"")</f>
        <v/>
      </c>
      <c r="AG39">
        <f>IF(AND(AG$9+6&gt;=$D39,AG$9&lt;=$E39),1,"")</f>
        <v/>
      </c>
      <c r="AH39">
        <f>IF(AND(AH$9+6&gt;=$D39,AH$9&lt;=$E39),1,"")</f>
        <v/>
      </c>
      <c r="AI39">
        <f>IF(AND(AI$9+6&gt;=$D39,AI$9&lt;=$E39),1,"")</f>
        <v/>
      </c>
      <c r="AJ39">
        <f>IF(AND(AJ$9+6&gt;=$D39,AJ$9&lt;=$E39),1,"")</f>
        <v/>
      </c>
      <c r="AK39">
        <f>IF(AND(AK$9+6&gt;=$D39,AK$9&lt;=$E39),1,"")</f>
        <v/>
      </c>
      <c r="AL39">
        <f>IF(AND(AL$9+6&gt;=$D39,AL$9&lt;=$E39),1,"")</f>
        <v/>
      </c>
      <c r="AM39">
        <f>IF(AND(AM$9+6&gt;=$D39,AM$9&lt;=$E39),1,"")</f>
        <v/>
      </c>
      <c r="AN39">
        <f>IF(AND(AN$9+6&gt;=$D39,AN$9&lt;=$E39),1,"")</f>
        <v/>
      </c>
      <c r="AO39">
        <f>IF(AND(AO$9+6&gt;=$D39,AO$9&lt;=$E39),1,"")</f>
        <v/>
      </c>
      <c r="AP39">
        <f>IF(AND(AP$9+6&gt;=$D39,AP$9&lt;=$E39),1,"")</f>
        <v/>
      </c>
      <c r="AQ39">
        <f>IF(AND(AQ$9+6&gt;=$D39,AQ$9&lt;=$E39),1,"")</f>
        <v/>
      </c>
      <c r="AR39">
        <f>IF(AND(AR$9+6&gt;=$D39,AR$9&lt;=$E39),1,"")</f>
        <v/>
      </c>
      <c r="AS39">
        <f>IF(AND(AS$9+6&gt;=$D39,AS$9&lt;=$E39),1,"")</f>
        <v/>
      </c>
      <c r="AT39">
        <f>IF(AND(AT$9+6&gt;=$D39,AT$9&lt;=$E39),1,"")</f>
        <v/>
      </c>
      <c r="AU39">
        <f>IF(AND(AU$9+6&gt;=$D39,AU$9&lt;=$E39),1,"")</f>
        <v/>
      </c>
      <c r="AV39">
        <f>IF(AND(AV$9+6&gt;=$D39,AV$9&lt;=$E39),1,"")</f>
        <v/>
      </c>
      <c r="AW39">
        <f>IF(AND(AW$9+6&gt;=$D39,AW$9&lt;=$E39),1,"")</f>
        <v/>
      </c>
      <c r="AX39">
        <f>IF(AND(AX$9+6&gt;=$D39,AX$9&lt;=$E39),1,"")</f>
        <v/>
      </c>
      <c r="AY39">
        <f>IF(AND(AY$9+6&gt;=$D39,AY$9&lt;=$E39),1,"")</f>
        <v/>
      </c>
      <c r="AZ39">
        <f>IF(AND(AZ$9+6&gt;=$D39,AZ$9&lt;=$E39),1,"")</f>
        <v/>
      </c>
      <c r="BA39">
        <f>IF(AND(BA$9+6&gt;=$D39,BA$9&lt;=$E39),1,"")</f>
        <v/>
      </c>
      <c r="BB39">
        <f>IF(AND(BB$9+6&gt;=$D39,BB$9&lt;=$E39),1,"")</f>
        <v/>
      </c>
      <c r="BC39">
        <f>IF(AND(BC$9+6&gt;=$D39,BC$9&lt;=$E39),1,"")</f>
        <v/>
      </c>
      <c r="BD39">
        <f>IF(AND(BD$9+6&gt;=$D39,BD$9&lt;=$E39),1,"")</f>
        <v/>
      </c>
      <c r="BE39">
        <f>IF(AND(BE$9+6&gt;=$D39,BE$9&lt;=$E39),1,"")</f>
        <v/>
      </c>
      <c r="BF39">
        <f>IF(AND(BF$9+6&gt;=$D39,BF$9&lt;=$E39),1,"")</f>
        <v/>
      </c>
      <c r="BG39">
        <f>IF(AND(BG$9+6&gt;=$D39,BG$9&lt;=$E39),1,"")</f>
        <v/>
      </c>
    </row>
    <row r="40">
      <c r="B40" s="8" t="inlineStr">
        <is>
          <t>VCAG – notes Review Group findings</t>
        </is>
      </c>
      <c r="C40" s="8" t="inlineStr">
        <is>
          <t>16 Feb</t>
        </is>
      </c>
      <c r="D40" s="17" t="n">
        <v>46434</v>
      </c>
      <c r="E40" s="17" t="n">
        <v>46434</v>
      </c>
      <c r="F40" s="8" t="inlineStr"/>
      <c r="G40" s="8" t="inlineStr"/>
      <c r="H40" s="8" t="inlineStr"/>
      <c r="I40" s="8" t="inlineStr"/>
      <c r="J40" s="8" t="inlineStr">
        <is>
          <t>Milestone</t>
        </is>
      </c>
      <c r="K40" s="8" t="inlineStr">
        <is>
          <t>Not yet started</t>
        </is>
      </c>
      <c r="L40">
        <f>IF(AND(L$9+6&gt;=$D40,L$9&lt;=$E40),1,"")</f>
        <v/>
      </c>
      <c r="M40">
        <f>IF(AND(M$9+6&gt;=$D40,M$9&lt;=$E40),1,"")</f>
        <v/>
      </c>
      <c r="N40">
        <f>IF(AND(N$9+6&gt;=$D40,N$9&lt;=$E40),1,"")</f>
        <v/>
      </c>
      <c r="O40">
        <f>IF(AND(O$9+6&gt;=$D40,O$9&lt;=$E40),1,"")</f>
        <v/>
      </c>
      <c r="P40">
        <f>IF(AND(P$9+6&gt;=$D40,P$9&lt;=$E40),1,"")</f>
        <v/>
      </c>
      <c r="Q40">
        <f>IF(AND(Q$9+6&gt;=$D40,Q$9&lt;=$E40),1,"")</f>
        <v/>
      </c>
      <c r="R40">
        <f>IF(AND(R$9+6&gt;=$D40,R$9&lt;=$E40),1,"")</f>
        <v/>
      </c>
      <c r="S40">
        <f>IF(AND(S$9+6&gt;=$D40,S$9&lt;=$E40),1,"")</f>
        <v/>
      </c>
      <c r="T40">
        <f>IF(AND(T$9+6&gt;=$D40,T$9&lt;=$E40),1,"")</f>
        <v/>
      </c>
      <c r="U40">
        <f>IF(AND(U$9+6&gt;=$D40,U$9&lt;=$E40),1,"")</f>
        <v/>
      </c>
      <c r="V40">
        <f>IF(AND(V$9+6&gt;=$D40,V$9&lt;=$E40),1,"")</f>
        <v/>
      </c>
      <c r="W40">
        <f>IF(AND(W$9+6&gt;=$D40,W$9&lt;=$E40),1,"")</f>
        <v/>
      </c>
      <c r="X40">
        <f>IF(AND(X$9+6&gt;=$D40,X$9&lt;=$E40),1,"")</f>
        <v/>
      </c>
      <c r="Y40">
        <f>IF(AND(Y$9+6&gt;=$D40,Y$9&lt;=$E40),1,"")</f>
        <v/>
      </c>
      <c r="Z40">
        <f>IF(AND(Z$9+6&gt;=$D40,Z$9&lt;=$E40),1,"")</f>
        <v/>
      </c>
      <c r="AA40">
        <f>IF(AND(AA$9+6&gt;=$D40,AA$9&lt;=$E40),1,"")</f>
        <v/>
      </c>
      <c r="AB40">
        <f>IF(AND(AB$9+6&gt;=$D40,AB$9&lt;=$E40),1,"")</f>
        <v/>
      </c>
      <c r="AC40">
        <f>IF(AND(AC$9+6&gt;=$D40,AC$9&lt;=$E40),1,"")</f>
        <v/>
      </c>
      <c r="AD40">
        <f>IF(AND(AD$9+6&gt;=$D40,AD$9&lt;=$E40),1,"")</f>
        <v/>
      </c>
      <c r="AE40">
        <f>IF(AND(AE$9+6&gt;=$D40,AE$9&lt;=$E40),1,"")</f>
        <v/>
      </c>
      <c r="AF40">
        <f>IF(AND(AF$9+6&gt;=$D40,AF$9&lt;=$E40),1,"")</f>
        <v/>
      </c>
      <c r="AG40">
        <f>IF(AND(AG$9+6&gt;=$D40,AG$9&lt;=$E40),1,"")</f>
        <v/>
      </c>
      <c r="AH40">
        <f>IF(AND(AH$9+6&gt;=$D40,AH$9&lt;=$E40),1,"")</f>
        <v/>
      </c>
      <c r="AI40">
        <f>IF(AND(AI$9+6&gt;=$D40,AI$9&lt;=$E40),1,"")</f>
        <v/>
      </c>
      <c r="AJ40">
        <f>IF(AND(AJ$9+6&gt;=$D40,AJ$9&lt;=$E40),1,"")</f>
        <v/>
      </c>
      <c r="AK40">
        <f>IF(AND(AK$9+6&gt;=$D40,AK$9&lt;=$E40),1,"")</f>
        <v/>
      </c>
      <c r="AL40">
        <f>IF(AND(AL$9+6&gt;=$D40,AL$9&lt;=$E40),1,"")</f>
        <v/>
      </c>
      <c r="AM40">
        <f>IF(AND(AM$9+6&gt;=$D40,AM$9&lt;=$E40),1,"")</f>
        <v/>
      </c>
      <c r="AN40">
        <f>IF(AND(AN$9+6&gt;=$D40,AN$9&lt;=$E40),1,"")</f>
        <v/>
      </c>
      <c r="AO40">
        <f>IF(AND(AO$9+6&gt;=$D40,AO$9&lt;=$E40),1,"")</f>
        <v/>
      </c>
      <c r="AP40">
        <f>IF(AND(AP$9+6&gt;=$D40,AP$9&lt;=$E40),1,"")</f>
        <v/>
      </c>
      <c r="AQ40">
        <f>IF(AND(AQ$9+6&gt;=$D40,AQ$9&lt;=$E40),1,"")</f>
        <v/>
      </c>
      <c r="AR40">
        <f>IF(AND(AR$9+6&gt;=$D40,AR$9&lt;=$E40),1,"")</f>
        <v/>
      </c>
      <c r="AS40">
        <f>IF(AND(AS$9+6&gt;=$D40,AS$9&lt;=$E40),1,"")</f>
        <v/>
      </c>
      <c r="AT40">
        <f>IF(AND(AT$9+6&gt;=$D40,AT$9&lt;=$E40),1,"")</f>
        <v/>
      </c>
      <c r="AU40">
        <f>IF(AND(AU$9+6&gt;=$D40,AU$9&lt;=$E40),1,"")</f>
        <v/>
      </c>
      <c r="AV40">
        <f>IF(AND(AV$9+6&gt;=$D40,AV$9&lt;=$E40),1,"")</f>
        <v/>
      </c>
      <c r="AW40">
        <f>IF(AND(AW$9+6&gt;=$D40,AW$9&lt;=$E40),1,"")</f>
        <v/>
      </c>
      <c r="AX40">
        <f>IF(AND(AX$9+6&gt;=$D40,AX$9&lt;=$E40),1,"")</f>
        <v/>
      </c>
      <c r="AY40">
        <f>IF(AND(AY$9+6&gt;=$D40,AY$9&lt;=$E40),1,"")</f>
        <v/>
      </c>
      <c r="AZ40">
        <f>IF(AND(AZ$9+6&gt;=$D40,AZ$9&lt;=$E40),1,"")</f>
        <v/>
      </c>
      <c r="BA40">
        <f>IF(AND(BA$9+6&gt;=$D40,BA$9&lt;=$E40),1,"")</f>
        <v/>
      </c>
      <c r="BB40">
        <f>IF(AND(BB$9+6&gt;=$D40,BB$9&lt;=$E40),1,"")</f>
        <v/>
      </c>
      <c r="BC40">
        <f>IF(AND(BC$9+6&gt;=$D40,BC$9&lt;=$E40),1,"")</f>
        <v/>
      </c>
      <c r="BD40">
        <f>IF(AND(BD$9+6&gt;=$D40,BD$9&lt;=$E40),1,"")</f>
        <v/>
      </c>
      <c r="BE40">
        <f>IF(AND(BE$9+6&gt;=$D40,BE$9&lt;=$E40),1,"")</f>
        <v/>
      </c>
      <c r="BF40">
        <f>IF(AND(BF$9+6&gt;=$D40,BF$9&lt;=$E40),1,"")</f>
        <v/>
      </c>
      <c r="BG40">
        <f>IF(AND(BG$9+6&gt;=$D40,BG$9&lt;=$E40),1,"")</f>
        <v/>
      </c>
    </row>
    <row r="41">
      <c r="B41" s="8" t="inlineStr">
        <is>
          <t>Investment Management Committee – Responsible Investments section</t>
        </is>
      </c>
      <c r="C41" s="8" t="inlineStr">
        <is>
          <t>~25 Feb (papers ~18 Feb)</t>
        </is>
      </c>
      <c r="D41" s="17" t="n">
        <v>46436</v>
      </c>
      <c r="E41" s="17" t="n">
        <v>46443</v>
      </c>
      <c r="F41" s="8" t="inlineStr">
        <is>
          <t>SST</t>
        </is>
      </c>
      <c r="G41" s="8" t="inlineStr"/>
      <c r="H41" s="8" t="inlineStr"/>
      <c r="I41" s="8" t="inlineStr"/>
      <c r="J41" s="8" t="inlineStr">
        <is>
          <t>Milestone</t>
        </is>
      </c>
      <c r="K41" s="8" t="inlineStr">
        <is>
          <t>Not yet started</t>
        </is>
      </c>
      <c r="L41">
        <f>IF(AND(L$9+6&gt;=$D41,L$9&lt;=$E41),1,"")</f>
        <v/>
      </c>
      <c r="M41">
        <f>IF(AND(M$9+6&gt;=$D41,M$9&lt;=$E41),1,"")</f>
        <v/>
      </c>
      <c r="N41">
        <f>IF(AND(N$9+6&gt;=$D41,N$9&lt;=$E41),1,"")</f>
        <v/>
      </c>
      <c r="O41">
        <f>IF(AND(O$9+6&gt;=$D41,O$9&lt;=$E41),1,"")</f>
        <v/>
      </c>
      <c r="P41">
        <f>IF(AND(P$9+6&gt;=$D41,P$9&lt;=$E41),1,"")</f>
        <v/>
      </c>
      <c r="Q41">
        <f>IF(AND(Q$9+6&gt;=$D41,Q$9&lt;=$E41),1,"")</f>
        <v/>
      </c>
      <c r="R41">
        <f>IF(AND(R$9+6&gt;=$D41,R$9&lt;=$E41),1,"")</f>
        <v/>
      </c>
      <c r="S41">
        <f>IF(AND(S$9+6&gt;=$D41,S$9&lt;=$E41),1,"")</f>
        <v/>
      </c>
      <c r="T41">
        <f>IF(AND(T$9+6&gt;=$D41,T$9&lt;=$E41),1,"")</f>
        <v/>
      </c>
      <c r="U41">
        <f>IF(AND(U$9+6&gt;=$D41,U$9&lt;=$E41),1,"")</f>
        <v/>
      </c>
      <c r="V41">
        <f>IF(AND(V$9+6&gt;=$D41,V$9&lt;=$E41),1,"")</f>
        <v/>
      </c>
      <c r="W41">
        <f>IF(AND(W$9+6&gt;=$D41,W$9&lt;=$E41),1,"")</f>
        <v/>
      </c>
      <c r="X41">
        <f>IF(AND(X$9+6&gt;=$D41,X$9&lt;=$E41),1,"")</f>
        <v/>
      </c>
      <c r="Y41">
        <f>IF(AND(Y$9+6&gt;=$D41,Y$9&lt;=$E41),1,"")</f>
        <v/>
      </c>
      <c r="Z41">
        <f>IF(AND(Z$9+6&gt;=$D41,Z$9&lt;=$E41),1,"")</f>
        <v/>
      </c>
      <c r="AA41">
        <f>IF(AND(AA$9+6&gt;=$D41,AA$9&lt;=$E41),1,"")</f>
        <v/>
      </c>
      <c r="AB41">
        <f>IF(AND(AB$9+6&gt;=$D41,AB$9&lt;=$E41),1,"")</f>
        <v/>
      </c>
      <c r="AC41">
        <f>IF(AND(AC$9+6&gt;=$D41,AC$9&lt;=$E41),1,"")</f>
        <v/>
      </c>
      <c r="AD41">
        <f>IF(AND(AD$9+6&gt;=$D41,AD$9&lt;=$E41),1,"")</f>
        <v/>
      </c>
      <c r="AE41">
        <f>IF(AND(AE$9+6&gt;=$D41,AE$9&lt;=$E41),1,"")</f>
        <v/>
      </c>
      <c r="AF41">
        <f>IF(AND(AF$9+6&gt;=$D41,AF$9&lt;=$E41),1,"")</f>
        <v/>
      </c>
      <c r="AG41">
        <f>IF(AND(AG$9+6&gt;=$D41,AG$9&lt;=$E41),1,"")</f>
        <v/>
      </c>
      <c r="AH41">
        <f>IF(AND(AH$9+6&gt;=$D41,AH$9&lt;=$E41),1,"")</f>
        <v/>
      </c>
      <c r="AI41">
        <f>IF(AND(AI$9+6&gt;=$D41,AI$9&lt;=$E41),1,"")</f>
        <v/>
      </c>
      <c r="AJ41">
        <f>IF(AND(AJ$9+6&gt;=$D41,AJ$9&lt;=$E41),1,"")</f>
        <v/>
      </c>
      <c r="AK41">
        <f>IF(AND(AK$9+6&gt;=$D41,AK$9&lt;=$E41),1,"")</f>
        <v/>
      </c>
      <c r="AL41">
        <f>IF(AND(AL$9+6&gt;=$D41,AL$9&lt;=$E41),1,"")</f>
        <v/>
      </c>
      <c r="AM41">
        <f>IF(AND(AM$9+6&gt;=$D41,AM$9&lt;=$E41),1,"")</f>
        <v/>
      </c>
      <c r="AN41">
        <f>IF(AND(AN$9+6&gt;=$D41,AN$9&lt;=$E41),1,"")</f>
        <v/>
      </c>
      <c r="AO41">
        <f>IF(AND(AO$9+6&gt;=$D41,AO$9&lt;=$E41),1,"")</f>
        <v/>
      </c>
      <c r="AP41">
        <f>IF(AND(AP$9+6&gt;=$D41,AP$9&lt;=$E41),1,"")</f>
        <v/>
      </c>
      <c r="AQ41">
        <f>IF(AND(AQ$9+6&gt;=$D41,AQ$9&lt;=$E41),1,"")</f>
        <v/>
      </c>
      <c r="AR41">
        <f>IF(AND(AR$9+6&gt;=$D41,AR$9&lt;=$E41),1,"")</f>
        <v/>
      </c>
      <c r="AS41">
        <f>IF(AND(AS$9+6&gt;=$D41,AS$9&lt;=$E41),1,"")</f>
        <v/>
      </c>
      <c r="AT41">
        <f>IF(AND(AT$9+6&gt;=$D41,AT$9&lt;=$E41),1,"")</f>
        <v/>
      </c>
      <c r="AU41">
        <f>IF(AND(AU$9+6&gt;=$D41,AU$9&lt;=$E41),1,"")</f>
        <v/>
      </c>
      <c r="AV41">
        <f>IF(AND(AV$9+6&gt;=$D41,AV$9&lt;=$E41),1,"")</f>
        <v/>
      </c>
      <c r="AW41">
        <f>IF(AND(AW$9+6&gt;=$D41,AW$9&lt;=$E41),1,"")</f>
        <v/>
      </c>
      <c r="AX41">
        <f>IF(AND(AX$9+6&gt;=$D41,AX$9&lt;=$E41),1,"")</f>
        <v/>
      </c>
      <c r="AY41">
        <f>IF(AND(AY$9+6&gt;=$D41,AY$9&lt;=$E41),1,"")</f>
        <v/>
      </c>
      <c r="AZ41">
        <f>IF(AND(AZ$9+6&gt;=$D41,AZ$9&lt;=$E41),1,"")</f>
        <v/>
      </c>
      <c r="BA41">
        <f>IF(AND(BA$9+6&gt;=$D41,BA$9&lt;=$E41),1,"")</f>
        <v/>
      </c>
      <c r="BB41">
        <f>IF(AND(BB$9+6&gt;=$D41,BB$9&lt;=$E41),1,"")</f>
        <v/>
      </c>
      <c r="BC41">
        <f>IF(AND(BC$9+6&gt;=$D41,BC$9&lt;=$E41),1,"")</f>
        <v/>
      </c>
      <c r="BD41">
        <f>IF(AND(BD$9+6&gt;=$D41,BD$9&lt;=$E41),1,"")</f>
        <v/>
      </c>
      <c r="BE41">
        <f>IF(AND(BE$9+6&gt;=$D41,BE$9&lt;=$E41),1,"")</f>
        <v/>
      </c>
      <c r="BF41">
        <f>IF(AND(BF$9+6&gt;=$D41,BF$9&lt;=$E41),1,"")</f>
        <v/>
      </c>
      <c r="BG41">
        <f>IF(AND(BG$9+6&gt;=$D41,BG$9&lt;=$E41),1,"")</f>
        <v/>
      </c>
    </row>
    <row r="42">
      <c r="B42" s="8" t="inlineStr">
        <is>
          <t>Full-report finalisation; Strategic Comms review; reconcile Annual Report data</t>
        </is>
      </c>
      <c r="C42" s="8" t="inlineStr"/>
      <c r="D42" s="17" t="n">
        <v>46434</v>
      </c>
      <c r="E42" s="17" t="n">
        <v>46444</v>
      </c>
      <c r="F42" s="8" t="inlineStr">
        <is>
          <t>SST</t>
        </is>
      </c>
      <c r="G42" s="8" t="inlineStr"/>
      <c r="H42" s="8" t="inlineStr">
        <is>
          <t>Strategic Comms</t>
        </is>
      </c>
      <c r="I42" s="8" t="inlineStr"/>
      <c r="J42" s="8" t="inlineStr">
        <is>
          <t>High</t>
        </is>
      </c>
      <c r="K42" s="8" t="inlineStr">
        <is>
          <t>Not yet started</t>
        </is>
      </c>
      <c r="L42">
        <f>IF(AND(L$9+6&gt;=$D42,L$9&lt;=$E42),1,"")</f>
        <v/>
      </c>
      <c r="M42">
        <f>IF(AND(M$9+6&gt;=$D42,M$9&lt;=$E42),1,"")</f>
        <v/>
      </c>
      <c r="N42">
        <f>IF(AND(N$9+6&gt;=$D42,N$9&lt;=$E42),1,"")</f>
        <v/>
      </c>
      <c r="O42">
        <f>IF(AND(O$9+6&gt;=$D42,O$9&lt;=$E42),1,"")</f>
        <v/>
      </c>
      <c r="P42">
        <f>IF(AND(P$9+6&gt;=$D42,P$9&lt;=$E42),1,"")</f>
        <v/>
      </c>
      <c r="Q42">
        <f>IF(AND(Q$9+6&gt;=$D42,Q$9&lt;=$E42),1,"")</f>
        <v/>
      </c>
      <c r="R42">
        <f>IF(AND(R$9+6&gt;=$D42,R$9&lt;=$E42),1,"")</f>
        <v/>
      </c>
      <c r="S42">
        <f>IF(AND(S$9+6&gt;=$D42,S$9&lt;=$E42),1,"")</f>
        <v/>
      </c>
      <c r="T42">
        <f>IF(AND(T$9+6&gt;=$D42,T$9&lt;=$E42),1,"")</f>
        <v/>
      </c>
      <c r="U42">
        <f>IF(AND(U$9+6&gt;=$D42,U$9&lt;=$E42),1,"")</f>
        <v/>
      </c>
      <c r="V42">
        <f>IF(AND(V$9+6&gt;=$D42,V$9&lt;=$E42),1,"")</f>
        <v/>
      </c>
      <c r="W42">
        <f>IF(AND(W$9+6&gt;=$D42,W$9&lt;=$E42),1,"")</f>
        <v/>
      </c>
      <c r="X42">
        <f>IF(AND(X$9+6&gt;=$D42,X$9&lt;=$E42),1,"")</f>
        <v/>
      </c>
      <c r="Y42">
        <f>IF(AND(Y$9+6&gt;=$D42,Y$9&lt;=$E42),1,"")</f>
        <v/>
      </c>
      <c r="Z42">
        <f>IF(AND(Z$9+6&gt;=$D42,Z$9&lt;=$E42),1,"")</f>
        <v/>
      </c>
      <c r="AA42">
        <f>IF(AND(AA$9+6&gt;=$D42,AA$9&lt;=$E42),1,"")</f>
        <v/>
      </c>
      <c r="AB42">
        <f>IF(AND(AB$9+6&gt;=$D42,AB$9&lt;=$E42),1,"")</f>
        <v/>
      </c>
      <c r="AC42">
        <f>IF(AND(AC$9+6&gt;=$D42,AC$9&lt;=$E42),1,"")</f>
        <v/>
      </c>
      <c r="AD42">
        <f>IF(AND(AD$9+6&gt;=$D42,AD$9&lt;=$E42),1,"")</f>
        <v/>
      </c>
      <c r="AE42">
        <f>IF(AND(AE$9+6&gt;=$D42,AE$9&lt;=$E42),1,"")</f>
        <v/>
      </c>
      <c r="AF42">
        <f>IF(AND(AF$9+6&gt;=$D42,AF$9&lt;=$E42),1,"")</f>
        <v/>
      </c>
      <c r="AG42">
        <f>IF(AND(AG$9+6&gt;=$D42,AG$9&lt;=$E42),1,"")</f>
        <v/>
      </c>
      <c r="AH42">
        <f>IF(AND(AH$9+6&gt;=$D42,AH$9&lt;=$E42),1,"")</f>
        <v/>
      </c>
      <c r="AI42">
        <f>IF(AND(AI$9+6&gt;=$D42,AI$9&lt;=$E42),1,"")</f>
        <v/>
      </c>
      <c r="AJ42">
        <f>IF(AND(AJ$9+6&gt;=$D42,AJ$9&lt;=$E42),1,"")</f>
        <v/>
      </c>
      <c r="AK42">
        <f>IF(AND(AK$9+6&gt;=$D42,AK$9&lt;=$E42),1,"")</f>
        <v/>
      </c>
      <c r="AL42">
        <f>IF(AND(AL$9+6&gt;=$D42,AL$9&lt;=$E42),1,"")</f>
        <v/>
      </c>
      <c r="AM42">
        <f>IF(AND(AM$9+6&gt;=$D42,AM$9&lt;=$E42),1,"")</f>
        <v/>
      </c>
      <c r="AN42">
        <f>IF(AND(AN$9+6&gt;=$D42,AN$9&lt;=$E42),1,"")</f>
        <v/>
      </c>
      <c r="AO42">
        <f>IF(AND(AO$9+6&gt;=$D42,AO$9&lt;=$E42),1,"")</f>
        <v/>
      </c>
      <c r="AP42">
        <f>IF(AND(AP$9+6&gt;=$D42,AP$9&lt;=$E42),1,"")</f>
        <v/>
      </c>
      <c r="AQ42">
        <f>IF(AND(AQ$9+6&gt;=$D42,AQ$9&lt;=$E42),1,"")</f>
        <v/>
      </c>
      <c r="AR42">
        <f>IF(AND(AR$9+6&gt;=$D42,AR$9&lt;=$E42),1,"")</f>
        <v/>
      </c>
      <c r="AS42">
        <f>IF(AND(AS$9+6&gt;=$D42,AS$9&lt;=$E42),1,"")</f>
        <v/>
      </c>
      <c r="AT42">
        <f>IF(AND(AT$9+6&gt;=$D42,AT$9&lt;=$E42),1,"")</f>
        <v/>
      </c>
      <c r="AU42">
        <f>IF(AND(AU$9+6&gt;=$D42,AU$9&lt;=$E42),1,"")</f>
        <v/>
      </c>
      <c r="AV42">
        <f>IF(AND(AV$9+6&gt;=$D42,AV$9&lt;=$E42),1,"")</f>
        <v/>
      </c>
      <c r="AW42">
        <f>IF(AND(AW$9+6&gt;=$D42,AW$9&lt;=$E42),1,"")</f>
        <v/>
      </c>
      <c r="AX42">
        <f>IF(AND(AX$9+6&gt;=$D42,AX$9&lt;=$E42),1,"")</f>
        <v/>
      </c>
      <c r="AY42">
        <f>IF(AND(AY$9+6&gt;=$D42,AY$9&lt;=$E42),1,"")</f>
        <v/>
      </c>
      <c r="AZ42">
        <f>IF(AND(AZ$9+6&gt;=$D42,AZ$9&lt;=$E42),1,"")</f>
        <v/>
      </c>
      <c r="BA42">
        <f>IF(AND(BA$9+6&gt;=$D42,BA$9&lt;=$E42),1,"")</f>
        <v/>
      </c>
      <c r="BB42">
        <f>IF(AND(BB$9+6&gt;=$D42,BB$9&lt;=$E42),1,"")</f>
        <v/>
      </c>
      <c r="BC42">
        <f>IF(AND(BC$9+6&gt;=$D42,BC$9&lt;=$E42),1,"")</f>
        <v/>
      </c>
      <c r="BD42">
        <f>IF(AND(BD$9+6&gt;=$D42,BD$9&lt;=$E42),1,"")</f>
        <v/>
      </c>
      <c r="BE42">
        <f>IF(AND(BE$9+6&gt;=$D42,BE$9&lt;=$E42),1,"")</f>
        <v/>
      </c>
      <c r="BF42">
        <f>IF(AND(BF$9+6&gt;=$D42,BF$9&lt;=$E42),1,"")</f>
        <v/>
      </c>
      <c r="BG42">
        <f>IF(AND(BG$9+6&gt;=$D42,BG$9&lt;=$E42),1,"")</f>
        <v/>
      </c>
    </row>
    <row r="43">
      <c r="B43" s="8" t="inlineStr">
        <is>
          <t>VCAG – notes full report</t>
        </is>
      </c>
      <c r="C43" s="8" t="inlineStr">
        <is>
          <t>~2 Mar (papers ~25 Feb)</t>
        </is>
      </c>
      <c r="D43" s="17" t="n">
        <v>46448</v>
      </c>
      <c r="E43" s="17" t="n">
        <v>46448</v>
      </c>
      <c r="F43" s="8" t="inlineStr"/>
      <c r="G43" s="8" t="inlineStr"/>
      <c r="H43" s="8" t="inlineStr"/>
      <c r="I43" s="8" t="inlineStr"/>
      <c r="J43" s="8" t="inlineStr">
        <is>
          <t>Milestone</t>
        </is>
      </c>
      <c r="K43" s="8" t="inlineStr">
        <is>
          <t>Not yet started</t>
        </is>
      </c>
      <c r="L43">
        <f>IF(AND(L$9+6&gt;=$D43,L$9&lt;=$E43),1,"")</f>
        <v/>
      </c>
      <c r="M43">
        <f>IF(AND(M$9+6&gt;=$D43,M$9&lt;=$E43),1,"")</f>
        <v/>
      </c>
      <c r="N43">
        <f>IF(AND(N$9+6&gt;=$D43,N$9&lt;=$E43),1,"")</f>
        <v/>
      </c>
      <c r="O43">
        <f>IF(AND(O$9+6&gt;=$D43,O$9&lt;=$E43),1,"")</f>
        <v/>
      </c>
      <c r="P43">
        <f>IF(AND(P$9+6&gt;=$D43,P$9&lt;=$E43),1,"")</f>
        <v/>
      </c>
      <c r="Q43">
        <f>IF(AND(Q$9+6&gt;=$D43,Q$9&lt;=$E43),1,"")</f>
        <v/>
      </c>
      <c r="R43">
        <f>IF(AND(R$9+6&gt;=$D43,R$9&lt;=$E43),1,"")</f>
        <v/>
      </c>
      <c r="S43">
        <f>IF(AND(S$9+6&gt;=$D43,S$9&lt;=$E43),1,"")</f>
        <v/>
      </c>
      <c r="T43">
        <f>IF(AND(T$9+6&gt;=$D43,T$9&lt;=$E43),1,"")</f>
        <v/>
      </c>
      <c r="U43">
        <f>IF(AND(U$9+6&gt;=$D43,U$9&lt;=$E43),1,"")</f>
        <v/>
      </c>
      <c r="V43">
        <f>IF(AND(V$9+6&gt;=$D43,V$9&lt;=$E43),1,"")</f>
        <v/>
      </c>
      <c r="W43">
        <f>IF(AND(W$9+6&gt;=$D43,W$9&lt;=$E43),1,"")</f>
        <v/>
      </c>
      <c r="X43">
        <f>IF(AND(X$9+6&gt;=$D43,X$9&lt;=$E43),1,"")</f>
        <v/>
      </c>
      <c r="Y43">
        <f>IF(AND(Y$9+6&gt;=$D43,Y$9&lt;=$E43),1,"")</f>
        <v/>
      </c>
      <c r="Z43">
        <f>IF(AND(Z$9+6&gt;=$D43,Z$9&lt;=$E43),1,"")</f>
        <v/>
      </c>
      <c r="AA43">
        <f>IF(AND(AA$9+6&gt;=$D43,AA$9&lt;=$E43),1,"")</f>
        <v/>
      </c>
      <c r="AB43">
        <f>IF(AND(AB$9+6&gt;=$D43,AB$9&lt;=$E43),1,"")</f>
        <v/>
      </c>
      <c r="AC43">
        <f>IF(AND(AC$9+6&gt;=$D43,AC$9&lt;=$E43),1,"")</f>
        <v/>
      </c>
      <c r="AD43">
        <f>IF(AND(AD$9+6&gt;=$D43,AD$9&lt;=$E43),1,"")</f>
        <v/>
      </c>
      <c r="AE43">
        <f>IF(AND(AE$9+6&gt;=$D43,AE$9&lt;=$E43),1,"")</f>
        <v/>
      </c>
      <c r="AF43">
        <f>IF(AND(AF$9+6&gt;=$D43,AF$9&lt;=$E43),1,"")</f>
        <v/>
      </c>
      <c r="AG43">
        <f>IF(AND(AG$9+6&gt;=$D43,AG$9&lt;=$E43),1,"")</f>
        <v/>
      </c>
      <c r="AH43">
        <f>IF(AND(AH$9+6&gt;=$D43,AH$9&lt;=$E43),1,"")</f>
        <v/>
      </c>
      <c r="AI43">
        <f>IF(AND(AI$9+6&gt;=$D43,AI$9&lt;=$E43),1,"")</f>
        <v/>
      </c>
      <c r="AJ43">
        <f>IF(AND(AJ$9+6&gt;=$D43,AJ$9&lt;=$E43),1,"")</f>
        <v/>
      </c>
      <c r="AK43">
        <f>IF(AND(AK$9+6&gt;=$D43,AK$9&lt;=$E43),1,"")</f>
        <v/>
      </c>
      <c r="AL43">
        <f>IF(AND(AL$9+6&gt;=$D43,AL$9&lt;=$E43),1,"")</f>
        <v/>
      </c>
      <c r="AM43">
        <f>IF(AND(AM$9+6&gt;=$D43,AM$9&lt;=$E43),1,"")</f>
        <v/>
      </c>
      <c r="AN43">
        <f>IF(AND(AN$9+6&gt;=$D43,AN$9&lt;=$E43),1,"")</f>
        <v/>
      </c>
      <c r="AO43">
        <f>IF(AND(AO$9+6&gt;=$D43,AO$9&lt;=$E43),1,"")</f>
        <v/>
      </c>
      <c r="AP43">
        <f>IF(AND(AP$9+6&gt;=$D43,AP$9&lt;=$E43),1,"")</f>
        <v/>
      </c>
      <c r="AQ43">
        <f>IF(AND(AQ$9+6&gt;=$D43,AQ$9&lt;=$E43),1,"")</f>
        <v/>
      </c>
      <c r="AR43">
        <f>IF(AND(AR$9+6&gt;=$D43,AR$9&lt;=$E43),1,"")</f>
        <v/>
      </c>
      <c r="AS43">
        <f>IF(AND(AS$9+6&gt;=$D43,AS$9&lt;=$E43),1,"")</f>
        <v/>
      </c>
      <c r="AT43">
        <f>IF(AND(AT$9+6&gt;=$D43,AT$9&lt;=$E43),1,"")</f>
        <v/>
      </c>
      <c r="AU43">
        <f>IF(AND(AU$9+6&gt;=$D43,AU$9&lt;=$E43),1,"")</f>
        <v/>
      </c>
      <c r="AV43">
        <f>IF(AND(AV$9+6&gt;=$D43,AV$9&lt;=$E43),1,"")</f>
        <v/>
      </c>
      <c r="AW43">
        <f>IF(AND(AW$9+6&gt;=$D43,AW$9&lt;=$E43),1,"")</f>
        <v/>
      </c>
      <c r="AX43">
        <f>IF(AND(AX$9+6&gt;=$D43,AX$9&lt;=$E43),1,"")</f>
        <v/>
      </c>
      <c r="AY43">
        <f>IF(AND(AY$9+6&gt;=$D43,AY$9&lt;=$E43),1,"")</f>
        <v/>
      </c>
      <c r="AZ43">
        <f>IF(AND(AZ$9+6&gt;=$D43,AZ$9&lt;=$E43),1,"")</f>
        <v/>
      </c>
      <c r="BA43">
        <f>IF(AND(BA$9+6&gt;=$D43,BA$9&lt;=$E43),1,"")</f>
        <v/>
      </c>
      <c r="BB43">
        <f>IF(AND(BB$9+6&gt;=$D43,BB$9&lt;=$E43),1,"")</f>
        <v/>
      </c>
      <c r="BC43">
        <f>IF(AND(BC$9+6&gt;=$D43,BC$9&lt;=$E43),1,"")</f>
        <v/>
      </c>
      <c r="BD43">
        <f>IF(AND(BD$9+6&gt;=$D43,BD$9&lt;=$E43),1,"")</f>
        <v/>
      </c>
      <c r="BE43">
        <f>IF(AND(BE$9+6&gt;=$D43,BE$9&lt;=$E43),1,"")</f>
        <v/>
      </c>
      <c r="BF43">
        <f>IF(AND(BF$9+6&gt;=$D43,BF$9&lt;=$E43),1,"")</f>
        <v/>
      </c>
      <c r="BG43">
        <f>IF(AND(BG$9+6&gt;=$D43,BG$9&lt;=$E43),1,"")</f>
        <v/>
      </c>
    </row>
    <row r="44">
      <c r="B44" s="8" t="inlineStr">
        <is>
          <t>University Executive – notes report</t>
        </is>
      </c>
      <c r="C44" s="8" t="inlineStr">
        <is>
          <t>~25 Mar (papers ~12 Mar)</t>
        </is>
      </c>
      <c r="D44" s="17" t="n">
        <v>46471</v>
      </c>
      <c r="E44" s="17" t="n">
        <v>46471</v>
      </c>
      <c r="F44" s="8" t="inlineStr"/>
      <c r="G44" s="8" t="inlineStr"/>
      <c r="H44" s="8" t="inlineStr"/>
      <c r="I44" s="8" t="inlineStr"/>
      <c r="J44" s="8" t="inlineStr">
        <is>
          <t>Milestone</t>
        </is>
      </c>
      <c r="K44" s="8" t="inlineStr">
        <is>
          <t>Not yet started</t>
        </is>
      </c>
      <c r="L44">
        <f>IF(AND(L$9+6&gt;=$D44,L$9&lt;=$E44),1,"")</f>
        <v/>
      </c>
      <c r="M44">
        <f>IF(AND(M$9+6&gt;=$D44,M$9&lt;=$E44),1,"")</f>
        <v/>
      </c>
      <c r="N44">
        <f>IF(AND(N$9+6&gt;=$D44,N$9&lt;=$E44),1,"")</f>
        <v/>
      </c>
      <c r="O44">
        <f>IF(AND(O$9+6&gt;=$D44,O$9&lt;=$E44),1,"")</f>
        <v/>
      </c>
      <c r="P44">
        <f>IF(AND(P$9+6&gt;=$D44,P$9&lt;=$E44),1,"")</f>
        <v/>
      </c>
      <c r="Q44">
        <f>IF(AND(Q$9+6&gt;=$D44,Q$9&lt;=$E44),1,"")</f>
        <v/>
      </c>
      <c r="R44">
        <f>IF(AND(R$9+6&gt;=$D44,R$9&lt;=$E44),1,"")</f>
        <v/>
      </c>
      <c r="S44">
        <f>IF(AND(S$9+6&gt;=$D44,S$9&lt;=$E44),1,"")</f>
        <v/>
      </c>
      <c r="T44">
        <f>IF(AND(T$9+6&gt;=$D44,T$9&lt;=$E44),1,"")</f>
        <v/>
      </c>
      <c r="U44">
        <f>IF(AND(U$9+6&gt;=$D44,U$9&lt;=$E44),1,"")</f>
        <v/>
      </c>
      <c r="V44">
        <f>IF(AND(V$9+6&gt;=$D44,V$9&lt;=$E44),1,"")</f>
        <v/>
      </c>
      <c r="W44">
        <f>IF(AND(W$9+6&gt;=$D44,W$9&lt;=$E44),1,"")</f>
        <v/>
      </c>
      <c r="X44">
        <f>IF(AND(X$9+6&gt;=$D44,X$9&lt;=$E44),1,"")</f>
        <v/>
      </c>
      <c r="Y44">
        <f>IF(AND(Y$9+6&gt;=$D44,Y$9&lt;=$E44),1,"")</f>
        <v/>
      </c>
      <c r="Z44">
        <f>IF(AND(Z$9+6&gt;=$D44,Z$9&lt;=$E44),1,"")</f>
        <v/>
      </c>
      <c r="AA44">
        <f>IF(AND(AA$9+6&gt;=$D44,AA$9&lt;=$E44),1,"")</f>
        <v/>
      </c>
      <c r="AB44">
        <f>IF(AND(AB$9+6&gt;=$D44,AB$9&lt;=$E44),1,"")</f>
        <v/>
      </c>
      <c r="AC44">
        <f>IF(AND(AC$9+6&gt;=$D44,AC$9&lt;=$E44),1,"")</f>
        <v/>
      </c>
      <c r="AD44">
        <f>IF(AND(AD$9+6&gt;=$D44,AD$9&lt;=$E44),1,"")</f>
        <v/>
      </c>
      <c r="AE44">
        <f>IF(AND(AE$9+6&gt;=$D44,AE$9&lt;=$E44),1,"")</f>
        <v/>
      </c>
      <c r="AF44">
        <f>IF(AND(AF$9+6&gt;=$D44,AF$9&lt;=$E44),1,"")</f>
        <v/>
      </c>
      <c r="AG44">
        <f>IF(AND(AG$9+6&gt;=$D44,AG$9&lt;=$E44),1,"")</f>
        <v/>
      </c>
      <c r="AH44">
        <f>IF(AND(AH$9+6&gt;=$D44,AH$9&lt;=$E44),1,"")</f>
        <v/>
      </c>
      <c r="AI44">
        <f>IF(AND(AI$9+6&gt;=$D44,AI$9&lt;=$E44),1,"")</f>
        <v/>
      </c>
      <c r="AJ44">
        <f>IF(AND(AJ$9+6&gt;=$D44,AJ$9&lt;=$E44),1,"")</f>
        <v/>
      </c>
      <c r="AK44">
        <f>IF(AND(AK$9+6&gt;=$D44,AK$9&lt;=$E44),1,"")</f>
        <v/>
      </c>
      <c r="AL44">
        <f>IF(AND(AL$9+6&gt;=$D44,AL$9&lt;=$E44),1,"")</f>
        <v/>
      </c>
      <c r="AM44">
        <f>IF(AND(AM$9+6&gt;=$D44,AM$9&lt;=$E44),1,"")</f>
        <v/>
      </c>
      <c r="AN44">
        <f>IF(AND(AN$9+6&gt;=$D44,AN$9&lt;=$E44),1,"")</f>
        <v/>
      </c>
      <c r="AO44">
        <f>IF(AND(AO$9+6&gt;=$D44,AO$9&lt;=$E44),1,"")</f>
        <v/>
      </c>
      <c r="AP44">
        <f>IF(AND(AP$9+6&gt;=$D44,AP$9&lt;=$E44),1,"")</f>
        <v/>
      </c>
      <c r="AQ44">
        <f>IF(AND(AQ$9+6&gt;=$D44,AQ$9&lt;=$E44),1,"")</f>
        <v/>
      </c>
      <c r="AR44">
        <f>IF(AND(AR$9+6&gt;=$D44,AR$9&lt;=$E44),1,"")</f>
        <v/>
      </c>
      <c r="AS44">
        <f>IF(AND(AS$9+6&gt;=$D44,AS$9&lt;=$E44),1,"")</f>
        <v/>
      </c>
      <c r="AT44">
        <f>IF(AND(AT$9+6&gt;=$D44,AT$9&lt;=$E44),1,"")</f>
        <v/>
      </c>
      <c r="AU44">
        <f>IF(AND(AU$9+6&gt;=$D44,AU$9&lt;=$E44),1,"")</f>
        <v/>
      </c>
      <c r="AV44">
        <f>IF(AND(AV$9+6&gt;=$D44,AV$9&lt;=$E44),1,"")</f>
        <v/>
      </c>
      <c r="AW44">
        <f>IF(AND(AW$9+6&gt;=$D44,AW$9&lt;=$E44),1,"")</f>
        <v/>
      </c>
      <c r="AX44">
        <f>IF(AND(AX$9+6&gt;=$D44,AX$9&lt;=$E44),1,"")</f>
        <v/>
      </c>
      <c r="AY44">
        <f>IF(AND(AY$9+6&gt;=$D44,AY$9&lt;=$E44),1,"")</f>
        <v/>
      </c>
      <c r="AZ44">
        <f>IF(AND(AZ$9+6&gt;=$D44,AZ$9&lt;=$E44),1,"")</f>
        <v/>
      </c>
      <c r="BA44">
        <f>IF(AND(BA$9+6&gt;=$D44,BA$9&lt;=$E44),1,"")</f>
        <v/>
      </c>
      <c r="BB44">
        <f>IF(AND(BB$9+6&gt;=$D44,BB$9&lt;=$E44),1,"")</f>
        <v/>
      </c>
      <c r="BC44">
        <f>IF(AND(BC$9+6&gt;=$D44,BC$9&lt;=$E44),1,"")</f>
        <v/>
      </c>
      <c r="BD44">
        <f>IF(AND(BD$9+6&gt;=$D44,BD$9&lt;=$E44),1,"")</f>
        <v/>
      </c>
      <c r="BE44">
        <f>IF(AND(BE$9+6&gt;=$D44,BE$9&lt;=$E44),1,"")</f>
        <v/>
      </c>
      <c r="BF44">
        <f>IF(AND(BF$9+6&gt;=$D44,BF$9&lt;=$E44),1,"")</f>
        <v/>
      </c>
      <c r="BG44">
        <f>IF(AND(BG$9+6&gt;=$D44,BG$9&lt;=$E44),1,"")</f>
        <v/>
      </c>
    </row>
    <row r="45">
      <c r="B45" s="8" t="inlineStr">
        <is>
          <t>University Council – approves report</t>
        </is>
      </c>
      <c r="C45" s="8" t="inlineStr">
        <is>
          <t>~6 May (papers ~10 Apr)</t>
        </is>
      </c>
      <c r="D45" s="17" t="n">
        <v>46513</v>
      </c>
      <c r="E45" s="17" t="n">
        <v>46513</v>
      </c>
      <c r="F45" s="8" t="inlineStr"/>
      <c r="G45" s="8" t="inlineStr"/>
      <c r="H45" s="8" t="inlineStr"/>
      <c r="I45" s="8" t="inlineStr"/>
      <c r="J45" s="8" t="inlineStr">
        <is>
          <t>Milestone</t>
        </is>
      </c>
      <c r="K45" s="8" t="inlineStr">
        <is>
          <t>Not yet started</t>
        </is>
      </c>
      <c r="L45">
        <f>IF(AND(L$9+6&gt;=$D45,L$9&lt;=$E45),1,"")</f>
        <v/>
      </c>
      <c r="M45">
        <f>IF(AND(M$9+6&gt;=$D45,M$9&lt;=$E45),1,"")</f>
        <v/>
      </c>
      <c r="N45">
        <f>IF(AND(N$9+6&gt;=$D45,N$9&lt;=$E45),1,"")</f>
        <v/>
      </c>
      <c r="O45">
        <f>IF(AND(O$9+6&gt;=$D45,O$9&lt;=$E45),1,"")</f>
        <v/>
      </c>
      <c r="P45">
        <f>IF(AND(P$9+6&gt;=$D45,P$9&lt;=$E45),1,"")</f>
        <v/>
      </c>
      <c r="Q45">
        <f>IF(AND(Q$9+6&gt;=$D45,Q$9&lt;=$E45),1,"")</f>
        <v/>
      </c>
      <c r="R45">
        <f>IF(AND(R$9+6&gt;=$D45,R$9&lt;=$E45),1,"")</f>
        <v/>
      </c>
      <c r="S45">
        <f>IF(AND(S$9+6&gt;=$D45,S$9&lt;=$E45),1,"")</f>
        <v/>
      </c>
      <c r="T45">
        <f>IF(AND(T$9+6&gt;=$D45,T$9&lt;=$E45),1,"")</f>
        <v/>
      </c>
      <c r="U45">
        <f>IF(AND(U$9+6&gt;=$D45,U$9&lt;=$E45),1,"")</f>
        <v/>
      </c>
      <c r="V45">
        <f>IF(AND(V$9+6&gt;=$D45,V$9&lt;=$E45),1,"")</f>
        <v/>
      </c>
      <c r="W45">
        <f>IF(AND(W$9+6&gt;=$D45,W$9&lt;=$E45),1,"")</f>
        <v/>
      </c>
      <c r="X45">
        <f>IF(AND(X$9+6&gt;=$D45,X$9&lt;=$E45),1,"")</f>
        <v/>
      </c>
      <c r="Y45">
        <f>IF(AND(Y$9+6&gt;=$D45,Y$9&lt;=$E45),1,"")</f>
        <v/>
      </c>
      <c r="Z45">
        <f>IF(AND(Z$9+6&gt;=$D45,Z$9&lt;=$E45),1,"")</f>
        <v/>
      </c>
      <c r="AA45">
        <f>IF(AND(AA$9+6&gt;=$D45,AA$9&lt;=$E45),1,"")</f>
        <v/>
      </c>
      <c r="AB45">
        <f>IF(AND(AB$9+6&gt;=$D45,AB$9&lt;=$E45),1,"")</f>
        <v/>
      </c>
      <c r="AC45">
        <f>IF(AND(AC$9+6&gt;=$D45,AC$9&lt;=$E45),1,"")</f>
        <v/>
      </c>
      <c r="AD45">
        <f>IF(AND(AD$9+6&gt;=$D45,AD$9&lt;=$E45),1,"")</f>
        <v/>
      </c>
      <c r="AE45">
        <f>IF(AND(AE$9+6&gt;=$D45,AE$9&lt;=$E45),1,"")</f>
        <v/>
      </c>
      <c r="AF45">
        <f>IF(AND(AF$9+6&gt;=$D45,AF$9&lt;=$E45),1,"")</f>
        <v/>
      </c>
      <c r="AG45">
        <f>IF(AND(AG$9+6&gt;=$D45,AG$9&lt;=$E45),1,"")</f>
        <v/>
      </c>
      <c r="AH45">
        <f>IF(AND(AH$9+6&gt;=$D45,AH$9&lt;=$E45),1,"")</f>
        <v/>
      </c>
      <c r="AI45">
        <f>IF(AND(AI$9+6&gt;=$D45,AI$9&lt;=$E45),1,"")</f>
        <v/>
      </c>
      <c r="AJ45">
        <f>IF(AND(AJ$9+6&gt;=$D45,AJ$9&lt;=$E45),1,"")</f>
        <v/>
      </c>
      <c r="AK45">
        <f>IF(AND(AK$9+6&gt;=$D45,AK$9&lt;=$E45),1,"")</f>
        <v/>
      </c>
      <c r="AL45">
        <f>IF(AND(AL$9+6&gt;=$D45,AL$9&lt;=$E45),1,"")</f>
        <v/>
      </c>
      <c r="AM45">
        <f>IF(AND(AM$9+6&gt;=$D45,AM$9&lt;=$E45),1,"")</f>
        <v/>
      </c>
      <c r="AN45">
        <f>IF(AND(AN$9+6&gt;=$D45,AN$9&lt;=$E45),1,"")</f>
        <v/>
      </c>
      <c r="AO45">
        <f>IF(AND(AO$9+6&gt;=$D45,AO$9&lt;=$E45),1,"")</f>
        <v/>
      </c>
      <c r="AP45">
        <f>IF(AND(AP$9+6&gt;=$D45,AP$9&lt;=$E45),1,"")</f>
        <v/>
      </c>
      <c r="AQ45">
        <f>IF(AND(AQ$9+6&gt;=$D45,AQ$9&lt;=$E45),1,"")</f>
        <v/>
      </c>
      <c r="AR45">
        <f>IF(AND(AR$9+6&gt;=$D45,AR$9&lt;=$E45),1,"")</f>
        <v/>
      </c>
      <c r="AS45">
        <f>IF(AND(AS$9+6&gt;=$D45,AS$9&lt;=$E45),1,"")</f>
        <v/>
      </c>
      <c r="AT45">
        <f>IF(AND(AT$9+6&gt;=$D45,AT$9&lt;=$E45),1,"")</f>
        <v/>
      </c>
      <c r="AU45">
        <f>IF(AND(AU$9+6&gt;=$D45,AU$9&lt;=$E45),1,"")</f>
        <v/>
      </c>
      <c r="AV45">
        <f>IF(AND(AV$9+6&gt;=$D45,AV$9&lt;=$E45),1,"")</f>
        <v/>
      </c>
      <c r="AW45">
        <f>IF(AND(AW$9+6&gt;=$D45,AW$9&lt;=$E45),1,"")</f>
        <v/>
      </c>
      <c r="AX45">
        <f>IF(AND(AX$9+6&gt;=$D45,AX$9&lt;=$E45),1,"")</f>
        <v/>
      </c>
      <c r="AY45">
        <f>IF(AND(AY$9+6&gt;=$D45,AY$9&lt;=$E45),1,"")</f>
        <v/>
      </c>
      <c r="AZ45">
        <f>IF(AND(AZ$9+6&gt;=$D45,AZ$9&lt;=$E45),1,"")</f>
        <v/>
      </c>
      <c r="BA45">
        <f>IF(AND(BA$9+6&gt;=$D45,BA$9&lt;=$E45),1,"")</f>
        <v/>
      </c>
      <c r="BB45">
        <f>IF(AND(BB$9+6&gt;=$D45,BB$9&lt;=$E45),1,"")</f>
        <v/>
      </c>
      <c r="BC45">
        <f>IF(AND(BC$9+6&gt;=$D45,BC$9&lt;=$E45),1,"")</f>
        <v/>
      </c>
      <c r="BD45">
        <f>IF(AND(BD$9+6&gt;=$D45,BD$9&lt;=$E45),1,"")</f>
        <v/>
      </c>
      <c r="BE45">
        <f>IF(AND(BE$9+6&gt;=$D45,BE$9&lt;=$E45),1,"")</f>
        <v/>
      </c>
      <c r="BF45">
        <f>IF(AND(BF$9+6&gt;=$D45,BF$9&lt;=$E45),1,"")</f>
        <v/>
      </c>
      <c r="BG45">
        <f>IF(AND(BG$9+6&gt;=$D45,BG$9&lt;=$E45),1,"")</f>
        <v/>
      </c>
    </row>
    <row r="46">
      <c r="B46" s="41" t="inlineStr">
        <is>
          <t>Publication &amp; close-out (May–Jun 2027)</t>
        </is>
      </c>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c r="AA46" s="42" t="n"/>
      <c r="AB46" s="42" t="n"/>
      <c r="AC46" s="42" t="n"/>
      <c r="AD46" s="42" t="n"/>
      <c r="AE46" s="42" t="n"/>
      <c r="AF46" s="42" t="n"/>
      <c r="AG46" s="42" t="n"/>
      <c r="AH46" s="42" t="n"/>
      <c r="AI46" s="42" t="n"/>
      <c r="AJ46" s="42" t="n"/>
      <c r="AK46" s="42" t="n"/>
      <c r="AL46" s="42" t="n"/>
      <c r="AM46" s="42" t="n"/>
      <c r="AN46" s="42" t="n"/>
      <c r="AO46" s="42" t="n"/>
      <c r="AP46" s="42" t="n"/>
      <c r="AQ46" s="42" t="n"/>
      <c r="AR46" s="42" t="n"/>
      <c r="AS46" s="42" t="n"/>
      <c r="AT46" s="42" t="n"/>
      <c r="AU46" s="42" t="n"/>
      <c r="AV46" s="42" t="n"/>
      <c r="AW46" s="42" t="n"/>
      <c r="AX46" s="42" t="n"/>
      <c r="AY46" s="42" t="n"/>
      <c r="AZ46" s="42" t="n"/>
      <c r="BA46" s="42" t="n"/>
      <c r="BB46" s="42" t="n"/>
      <c r="BC46" s="42" t="n"/>
      <c r="BD46" s="42" t="n"/>
      <c r="BE46" s="42" t="n"/>
      <c r="BF46" s="42" t="n"/>
      <c r="BG46" s="42" t="n"/>
    </row>
    <row r="47">
      <c r="B47" s="8" t="inlineStr">
        <is>
          <t>Web build; QA, accessibility and web checks; agree analytics measures</t>
        </is>
      </c>
      <c r="C47" s="8" t="inlineStr">
        <is>
          <t>Before launch</t>
        </is>
      </c>
      <c r="D47" s="17" t="n">
        <v>46447</v>
      </c>
      <c r="E47" s="17" t="n">
        <v>46535</v>
      </c>
      <c r="F47" s="8" t="inlineStr">
        <is>
          <t>Comms/digital</t>
        </is>
      </c>
      <c r="G47" s="8" t="inlineStr"/>
      <c r="H47" s="8" t="inlineStr">
        <is>
          <t>SST</t>
        </is>
      </c>
      <c r="I47" s="8" t="inlineStr"/>
      <c r="J47" s="8" t="inlineStr">
        <is>
          <t>High</t>
        </is>
      </c>
      <c r="K47" s="8" t="inlineStr">
        <is>
          <t>Not yet started</t>
        </is>
      </c>
      <c r="L47">
        <f>IF(AND(L$9+6&gt;=$D47,L$9&lt;=$E47),1,"")</f>
        <v/>
      </c>
      <c r="M47">
        <f>IF(AND(M$9+6&gt;=$D47,M$9&lt;=$E47),1,"")</f>
        <v/>
      </c>
      <c r="N47">
        <f>IF(AND(N$9+6&gt;=$D47,N$9&lt;=$E47),1,"")</f>
        <v/>
      </c>
      <c r="O47">
        <f>IF(AND(O$9+6&gt;=$D47,O$9&lt;=$E47),1,"")</f>
        <v/>
      </c>
      <c r="P47">
        <f>IF(AND(P$9+6&gt;=$D47,P$9&lt;=$E47),1,"")</f>
        <v/>
      </c>
      <c r="Q47">
        <f>IF(AND(Q$9+6&gt;=$D47,Q$9&lt;=$E47),1,"")</f>
        <v/>
      </c>
      <c r="R47">
        <f>IF(AND(R$9+6&gt;=$D47,R$9&lt;=$E47),1,"")</f>
        <v/>
      </c>
      <c r="S47">
        <f>IF(AND(S$9+6&gt;=$D47,S$9&lt;=$E47),1,"")</f>
        <v/>
      </c>
      <c r="T47">
        <f>IF(AND(T$9+6&gt;=$D47,T$9&lt;=$E47),1,"")</f>
        <v/>
      </c>
      <c r="U47">
        <f>IF(AND(U$9+6&gt;=$D47,U$9&lt;=$E47),1,"")</f>
        <v/>
      </c>
      <c r="V47">
        <f>IF(AND(V$9+6&gt;=$D47,V$9&lt;=$E47),1,"")</f>
        <v/>
      </c>
      <c r="W47">
        <f>IF(AND(W$9+6&gt;=$D47,W$9&lt;=$E47),1,"")</f>
        <v/>
      </c>
      <c r="X47">
        <f>IF(AND(X$9+6&gt;=$D47,X$9&lt;=$E47),1,"")</f>
        <v/>
      </c>
      <c r="Y47">
        <f>IF(AND(Y$9+6&gt;=$D47,Y$9&lt;=$E47),1,"")</f>
        <v/>
      </c>
      <c r="Z47">
        <f>IF(AND(Z$9+6&gt;=$D47,Z$9&lt;=$E47),1,"")</f>
        <v/>
      </c>
      <c r="AA47">
        <f>IF(AND(AA$9+6&gt;=$D47,AA$9&lt;=$E47),1,"")</f>
        <v/>
      </c>
      <c r="AB47">
        <f>IF(AND(AB$9+6&gt;=$D47,AB$9&lt;=$E47),1,"")</f>
        <v/>
      </c>
      <c r="AC47">
        <f>IF(AND(AC$9+6&gt;=$D47,AC$9&lt;=$E47),1,"")</f>
        <v/>
      </c>
      <c r="AD47">
        <f>IF(AND(AD$9+6&gt;=$D47,AD$9&lt;=$E47),1,"")</f>
        <v/>
      </c>
      <c r="AE47">
        <f>IF(AND(AE$9+6&gt;=$D47,AE$9&lt;=$E47),1,"")</f>
        <v/>
      </c>
      <c r="AF47">
        <f>IF(AND(AF$9+6&gt;=$D47,AF$9&lt;=$E47),1,"")</f>
        <v/>
      </c>
      <c r="AG47">
        <f>IF(AND(AG$9+6&gt;=$D47,AG$9&lt;=$E47),1,"")</f>
        <v/>
      </c>
      <c r="AH47">
        <f>IF(AND(AH$9+6&gt;=$D47,AH$9&lt;=$E47),1,"")</f>
        <v/>
      </c>
      <c r="AI47">
        <f>IF(AND(AI$9+6&gt;=$D47,AI$9&lt;=$E47),1,"")</f>
        <v/>
      </c>
      <c r="AJ47">
        <f>IF(AND(AJ$9+6&gt;=$D47,AJ$9&lt;=$E47),1,"")</f>
        <v/>
      </c>
      <c r="AK47">
        <f>IF(AND(AK$9+6&gt;=$D47,AK$9&lt;=$E47),1,"")</f>
        <v/>
      </c>
      <c r="AL47">
        <f>IF(AND(AL$9+6&gt;=$D47,AL$9&lt;=$E47),1,"")</f>
        <v/>
      </c>
      <c r="AM47">
        <f>IF(AND(AM$9+6&gt;=$D47,AM$9&lt;=$E47),1,"")</f>
        <v/>
      </c>
      <c r="AN47">
        <f>IF(AND(AN$9+6&gt;=$D47,AN$9&lt;=$E47),1,"")</f>
        <v/>
      </c>
      <c r="AO47">
        <f>IF(AND(AO$9+6&gt;=$D47,AO$9&lt;=$E47),1,"")</f>
        <v/>
      </c>
      <c r="AP47">
        <f>IF(AND(AP$9+6&gt;=$D47,AP$9&lt;=$E47),1,"")</f>
        <v/>
      </c>
      <c r="AQ47">
        <f>IF(AND(AQ$9+6&gt;=$D47,AQ$9&lt;=$E47),1,"")</f>
        <v/>
      </c>
      <c r="AR47">
        <f>IF(AND(AR$9+6&gt;=$D47,AR$9&lt;=$E47),1,"")</f>
        <v/>
      </c>
      <c r="AS47">
        <f>IF(AND(AS$9+6&gt;=$D47,AS$9&lt;=$E47),1,"")</f>
        <v/>
      </c>
      <c r="AT47">
        <f>IF(AND(AT$9+6&gt;=$D47,AT$9&lt;=$E47),1,"")</f>
        <v/>
      </c>
      <c r="AU47">
        <f>IF(AND(AU$9+6&gt;=$D47,AU$9&lt;=$E47),1,"")</f>
        <v/>
      </c>
      <c r="AV47">
        <f>IF(AND(AV$9+6&gt;=$D47,AV$9&lt;=$E47),1,"")</f>
        <v/>
      </c>
      <c r="AW47">
        <f>IF(AND(AW$9+6&gt;=$D47,AW$9&lt;=$E47),1,"")</f>
        <v/>
      </c>
      <c r="AX47">
        <f>IF(AND(AX$9+6&gt;=$D47,AX$9&lt;=$E47),1,"")</f>
        <v/>
      </c>
      <c r="AY47">
        <f>IF(AND(AY$9+6&gt;=$D47,AY$9&lt;=$E47),1,"")</f>
        <v/>
      </c>
      <c r="AZ47">
        <f>IF(AND(AZ$9+6&gt;=$D47,AZ$9&lt;=$E47),1,"")</f>
        <v/>
      </c>
      <c r="BA47">
        <f>IF(AND(BA$9+6&gt;=$D47,BA$9&lt;=$E47),1,"")</f>
        <v/>
      </c>
      <c r="BB47">
        <f>IF(AND(BB$9+6&gt;=$D47,BB$9&lt;=$E47),1,"")</f>
        <v/>
      </c>
      <c r="BC47">
        <f>IF(AND(BC$9+6&gt;=$D47,BC$9&lt;=$E47),1,"")</f>
        <v/>
      </c>
      <c r="BD47">
        <f>IF(AND(BD$9+6&gt;=$D47,BD$9&lt;=$E47),1,"")</f>
        <v/>
      </c>
      <c r="BE47">
        <f>IF(AND(BE$9+6&gt;=$D47,BE$9&lt;=$E47),1,"")</f>
        <v/>
      </c>
      <c r="BF47">
        <f>IF(AND(BF$9+6&gt;=$D47,BF$9&lt;=$E47),1,"")</f>
        <v/>
      </c>
      <c r="BG47">
        <f>IF(AND(BG$9+6&gt;=$D47,BG$9&lt;=$E47),1,"")</f>
        <v/>
      </c>
    </row>
    <row r="48">
      <c r="B48" s="8" t="inlineStr">
        <is>
          <t>Publish report (year-specific URL + landing page)</t>
        </is>
      </c>
      <c r="C48" s="8" t="inlineStr">
        <is>
          <t>June</t>
        </is>
      </c>
      <c r="D48" s="17" t="n">
        <v>46539</v>
      </c>
      <c r="E48" s="17" t="n">
        <v>46568</v>
      </c>
      <c r="F48" s="8" t="inlineStr">
        <is>
          <t>Comms/digital</t>
        </is>
      </c>
      <c r="G48" s="8" t="inlineStr">
        <is>
          <t>Director, Sustainability</t>
        </is>
      </c>
      <c r="H48" s="8" t="inlineStr"/>
      <c r="I48" s="8" t="inlineStr"/>
      <c r="J48" s="8" t="inlineStr">
        <is>
          <t>Milestone</t>
        </is>
      </c>
      <c r="K48" s="8" t="inlineStr">
        <is>
          <t>Not yet started</t>
        </is>
      </c>
      <c r="L48">
        <f>IF(AND(L$9+6&gt;=$D48,L$9&lt;=$E48),1,"")</f>
        <v/>
      </c>
      <c r="M48">
        <f>IF(AND(M$9+6&gt;=$D48,M$9&lt;=$E48),1,"")</f>
        <v/>
      </c>
      <c r="N48">
        <f>IF(AND(N$9+6&gt;=$D48,N$9&lt;=$E48),1,"")</f>
        <v/>
      </c>
      <c r="O48">
        <f>IF(AND(O$9+6&gt;=$D48,O$9&lt;=$E48),1,"")</f>
        <v/>
      </c>
      <c r="P48">
        <f>IF(AND(P$9+6&gt;=$D48,P$9&lt;=$E48),1,"")</f>
        <v/>
      </c>
      <c r="Q48">
        <f>IF(AND(Q$9+6&gt;=$D48,Q$9&lt;=$E48),1,"")</f>
        <v/>
      </c>
      <c r="R48">
        <f>IF(AND(R$9+6&gt;=$D48,R$9&lt;=$E48),1,"")</f>
        <v/>
      </c>
      <c r="S48">
        <f>IF(AND(S$9+6&gt;=$D48,S$9&lt;=$E48),1,"")</f>
        <v/>
      </c>
      <c r="T48">
        <f>IF(AND(T$9+6&gt;=$D48,T$9&lt;=$E48),1,"")</f>
        <v/>
      </c>
      <c r="U48">
        <f>IF(AND(U$9+6&gt;=$D48,U$9&lt;=$E48),1,"")</f>
        <v/>
      </c>
      <c r="V48">
        <f>IF(AND(V$9+6&gt;=$D48,V$9&lt;=$E48),1,"")</f>
        <v/>
      </c>
      <c r="W48">
        <f>IF(AND(W$9+6&gt;=$D48,W$9&lt;=$E48),1,"")</f>
        <v/>
      </c>
      <c r="X48">
        <f>IF(AND(X$9+6&gt;=$D48,X$9&lt;=$E48),1,"")</f>
        <v/>
      </c>
      <c r="Y48">
        <f>IF(AND(Y$9+6&gt;=$D48,Y$9&lt;=$E48),1,"")</f>
        <v/>
      </c>
      <c r="Z48">
        <f>IF(AND(Z$9+6&gt;=$D48,Z$9&lt;=$E48),1,"")</f>
        <v/>
      </c>
      <c r="AA48">
        <f>IF(AND(AA$9+6&gt;=$D48,AA$9&lt;=$E48),1,"")</f>
        <v/>
      </c>
      <c r="AB48">
        <f>IF(AND(AB$9+6&gt;=$D48,AB$9&lt;=$E48),1,"")</f>
        <v/>
      </c>
      <c r="AC48">
        <f>IF(AND(AC$9+6&gt;=$D48,AC$9&lt;=$E48),1,"")</f>
        <v/>
      </c>
      <c r="AD48">
        <f>IF(AND(AD$9+6&gt;=$D48,AD$9&lt;=$E48),1,"")</f>
        <v/>
      </c>
      <c r="AE48">
        <f>IF(AND(AE$9+6&gt;=$D48,AE$9&lt;=$E48),1,"")</f>
        <v/>
      </c>
      <c r="AF48">
        <f>IF(AND(AF$9+6&gt;=$D48,AF$9&lt;=$E48),1,"")</f>
        <v/>
      </c>
      <c r="AG48">
        <f>IF(AND(AG$9+6&gt;=$D48,AG$9&lt;=$E48),1,"")</f>
        <v/>
      </c>
      <c r="AH48">
        <f>IF(AND(AH$9+6&gt;=$D48,AH$9&lt;=$E48),1,"")</f>
        <v/>
      </c>
      <c r="AI48">
        <f>IF(AND(AI$9+6&gt;=$D48,AI$9&lt;=$E48),1,"")</f>
        <v/>
      </c>
      <c r="AJ48">
        <f>IF(AND(AJ$9+6&gt;=$D48,AJ$9&lt;=$E48),1,"")</f>
        <v/>
      </c>
      <c r="AK48">
        <f>IF(AND(AK$9+6&gt;=$D48,AK$9&lt;=$E48),1,"")</f>
        <v/>
      </c>
      <c r="AL48">
        <f>IF(AND(AL$9+6&gt;=$D48,AL$9&lt;=$E48),1,"")</f>
        <v/>
      </c>
      <c r="AM48">
        <f>IF(AND(AM$9+6&gt;=$D48,AM$9&lt;=$E48),1,"")</f>
        <v/>
      </c>
      <c r="AN48">
        <f>IF(AND(AN$9+6&gt;=$D48,AN$9&lt;=$E48),1,"")</f>
        <v/>
      </c>
      <c r="AO48">
        <f>IF(AND(AO$9+6&gt;=$D48,AO$9&lt;=$E48),1,"")</f>
        <v/>
      </c>
      <c r="AP48">
        <f>IF(AND(AP$9+6&gt;=$D48,AP$9&lt;=$E48),1,"")</f>
        <v/>
      </c>
      <c r="AQ48">
        <f>IF(AND(AQ$9+6&gt;=$D48,AQ$9&lt;=$E48),1,"")</f>
        <v/>
      </c>
      <c r="AR48">
        <f>IF(AND(AR$9+6&gt;=$D48,AR$9&lt;=$E48),1,"")</f>
        <v/>
      </c>
      <c r="AS48">
        <f>IF(AND(AS$9+6&gt;=$D48,AS$9&lt;=$E48),1,"")</f>
        <v/>
      </c>
      <c r="AT48">
        <f>IF(AND(AT$9+6&gt;=$D48,AT$9&lt;=$E48),1,"")</f>
        <v/>
      </c>
      <c r="AU48">
        <f>IF(AND(AU$9+6&gt;=$D48,AU$9&lt;=$E48),1,"")</f>
        <v/>
      </c>
      <c r="AV48">
        <f>IF(AND(AV$9+6&gt;=$D48,AV$9&lt;=$E48),1,"")</f>
        <v/>
      </c>
      <c r="AW48">
        <f>IF(AND(AW$9+6&gt;=$D48,AW$9&lt;=$E48),1,"")</f>
        <v/>
      </c>
      <c r="AX48">
        <f>IF(AND(AX$9+6&gt;=$D48,AX$9&lt;=$E48),1,"")</f>
        <v/>
      </c>
      <c r="AY48">
        <f>IF(AND(AY$9+6&gt;=$D48,AY$9&lt;=$E48),1,"")</f>
        <v/>
      </c>
      <c r="AZ48">
        <f>IF(AND(AZ$9+6&gt;=$D48,AZ$9&lt;=$E48),1,"")</f>
        <v/>
      </c>
      <c r="BA48">
        <f>IF(AND(BA$9+6&gt;=$D48,BA$9&lt;=$E48),1,"")</f>
        <v/>
      </c>
      <c r="BB48">
        <f>IF(AND(BB$9+6&gt;=$D48,BB$9&lt;=$E48),1,"")</f>
        <v/>
      </c>
      <c r="BC48">
        <f>IF(AND(BC$9+6&gt;=$D48,BC$9&lt;=$E48),1,"")</f>
        <v/>
      </c>
      <c r="BD48">
        <f>IF(AND(BD$9+6&gt;=$D48,BD$9&lt;=$E48),1,"")</f>
        <v/>
      </c>
      <c r="BE48">
        <f>IF(AND(BE$9+6&gt;=$D48,BE$9&lt;=$E48),1,"")</f>
        <v/>
      </c>
      <c r="BF48">
        <f>IF(AND(BF$9+6&gt;=$D48,BF$9&lt;=$E48),1,"")</f>
        <v/>
      </c>
      <c r="BG48">
        <f>IF(AND(BG$9+6&gt;=$D48,BG$9&lt;=$E48),1,"")</f>
        <v/>
      </c>
    </row>
    <row r="49">
      <c r="B49" s="8" t="inlineStr">
        <is>
          <t>Monitor engagement; project retrospective; improvements for 2027 cycle</t>
        </is>
      </c>
      <c r="C49" s="8" t="inlineStr"/>
      <c r="D49" s="17" t="n">
        <v>46539</v>
      </c>
      <c r="E49" s="17" t="n">
        <v>46598</v>
      </c>
      <c r="F49" s="8" t="inlineStr">
        <is>
          <t>SST</t>
        </is>
      </c>
      <c r="G49" s="8" t="inlineStr"/>
      <c r="H49" s="8" t="inlineStr">
        <is>
          <t>Comms, design</t>
        </is>
      </c>
      <c r="I49" s="8" t="inlineStr"/>
      <c r="J49" s="8" t="inlineStr">
        <is>
          <t>Medium</t>
        </is>
      </c>
      <c r="K49" s="8" t="inlineStr">
        <is>
          <t>Not yet started</t>
        </is>
      </c>
      <c r="L49">
        <f>IF(AND(L$9+6&gt;=$D49,L$9&lt;=$E49),1,"")</f>
        <v/>
      </c>
      <c r="M49">
        <f>IF(AND(M$9+6&gt;=$D49,M$9&lt;=$E49),1,"")</f>
        <v/>
      </c>
      <c r="N49">
        <f>IF(AND(N$9+6&gt;=$D49,N$9&lt;=$E49),1,"")</f>
        <v/>
      </c>
      <c r="O49">
        <f>IF(AND(O$9+6&gt;=$D49,O$9&lt;=$E49),1,"")</f>
        <v/>
      </c>
      <c r="P49">
        <f>IF(AND(P$9+6&gt;=$D49,P$9&lt;=$E49),1,"")</f>
        <v/>
      </c>
      <c r="Q49">
        <f>IF(AND(Q$9+6&gt;=$D49,Q$9&lt;=$E49),1,"")</f>
        <v/>
      </c>
      <c r="R49">
        <f>IF(AND(R$9+6&gt;=$D49,R$9&lt;=$E49),1,"")</f>
        <v/>
      </c>
      <c r="S49">
        <f>IF(AND(S$9+6&gt;=$D49,S$9&lt;=$E49),1,"")</f>
        <v/>
      </c>
      <c r="T49">
        <f>IF(AND(T$9+6&gt;=$D49,T$9&lt;=$E49),1,"")</f>
        <v/>
      </c>
      <c r="U49">
        <f>IF(AND(U$9+6&gt;=$D49,U$9&lt;=$E49),1,"")</f>
        <v/>
      </c>
      <c r="V49">
        <f>IF(AND(V$9+6&gt;=$D49,V$9&lt;=$E49),1,"")</f>
        <v/>
      </c>
      <c r="W49">
        <f>IF(AND(W$9+6&gt;=$D49,W$9&lt;=$E49),1,"")</f>
        <v/>
      </c>
      <c r="X49">
        <f>IF(AND(X$9+6&gt;=$D49,X$9&lt;=$E49),1,"")</f>
        <v/>
      </c>
      <c r="Y49">
        <f>IF(AND(Y$9+6&gt;=$D49,Y$9&lt;=$E49),1,"")</f>
        <v/>
      </c>
      <c r="Z49">
        <f>IF(AND(Z$9+6&gt;=$D49,Z$9&lt;=$E49),1,"")</f>
        <v/>
      </c>
      <c r="AA49">
        <f>IF(AND(AA$9+6&gt;=$D49,AA$9&lt;=$E49),1,"")</f>
        <v/>
      </c>
      <c r="AB49">
        <f>IF(AND(AB$9+6&gt;=$D49,AB$9&lt;=$E49),1,"")</f>
        <v/>
      </c>
      <c r="AC49">
        <f>IF(AND(AC$9+6&gt;=$D49,AC$9&lt;=$E49),1,"")</f>
        <v/>
      </c>
      <c r="AD49">
        <f>IF(AND(AD$9+6&gt;=$D49,AD$9&lt;=$E49),1,"")</f>
        <v/>
      </c>
      <c r="AE49">
        <f>IF(AND(AE$9+6&gt;=$D49,AE$9&lt;=$E49),1,"")</f>
        <v/>
      </c>
      <c r="AF49">
        <f>IF(AND(AF$9+6&gt;=$D49,AF$9&lt;=$E49),1,"")</f>
        <v/>
      </c>
      <c r="AG49">
        <f>IF(AND(AG$9+6&gt;=$D49,AG$9&lt;=$E49),1,"")</f>
        <v/>
      </c>
      <c r="AH49">
        <f>IF(AND(AH$9+6&gt;=$D49,AH$9&lt;=$E49),1,"")</f>
        <v/>
      </c>
      <c r="AI49">
        <f>IF(AND(AI$9+6&gt;=$D49,AI$9&lt;=$E49),1,"")</f>
        <v/>
      </c>
      <c r="AJ49">
        <f>IF(AND(AJ$9+6&gt;=$D49,AJ$9&lt;=$E49),1,"")</f>
        <v/>
      </c>
      <c r="AK49">
        <f>IF(AND(AK$9+6&gt;=$D49,AK$9&lt;=$E49),1,"")</f>
        <v/>
      </c>
      <c r="AL49">
        <f>IF(AND(AL$9+6&gt;=$D49,AL$9&lt;=$E49),1,"")</f>
        <v/>
      </c>
      <c r="AM49">
        <f>IF(AND(AM$9+6&gt;=$D49,AM$9&lt;=$E49),1,"")</f>
        <v/>
      </c>
      <c r="AN49">
        <f>IF(AND(AN$9+6&gt;=$D49,AN$9&lt;=$E49),1,"")</f>
        <v/>
      </c>
      <c r="AO49">
        <f>IF(AND(AO$9+6&gt;=$D49,AO$9&lt;=$E49),1,"")</f>
        <v/>
      </c>
      <c r="AP49">
        <f>IF(AND(AP$9+6&gt;=$D49,AP$9&lt;=$E49),1,"")</f>
        <v/>
      </c>
      <c r="AQ49">
        <f>IF(AND(AQ$9+6&gt;=$D49,AQ$9&lt;=$E49),1,"")</f>
        <v/>
      </c>
      <c r="AR49">
        <f>IF(AND(AR$9+6&gt;=$D49,AR$9&lt;=$E49),1,"")</f>
        <v/>
      </c>
      <c r="AS49">
        <f>IF(AND(AS$9+6&gt;=$D49,AS$9&lt;=$E49),1,"")</f>
        <v/>
      </c>
      <c r="AT49">
        <f>IF(AND(AT$9+6&gt;=$D49,AT$9&lt;=$E49),1,"")</f>
        <v/>
      </c>
      <c r="AU49">
        <f>IF(AND(AU$9+6&gt;=$D49,AU$9&lt;=$E49),1,"")</f>
        <v/>
      </c>
      <c r="AV49">
        <f>IF(AND(AV$9+6&gt;=$D49,AV$9&lt;=$E49),1,"")</f>
        <v/>
      </c>
      <c r="AW49">
        <f>IF(AND(AW$9+6&gt;=$D49,AW$9&lt;=$E49),1,"")</f>
        <v/>
      </c>
      <c r="AX49">
        <f>IF(AND(AX$9+6&gt;=$D49,AX$9&lt;=$E49),1,"")</f>
        <v/>
      </c>
      <c r="AY49">
        <f>IF(AND(AY$9+6&gt;=$D49,AY$9&lt;=$E49),1,"")</f>
        <v/>
      </c>
      <c r="AZ49">
        <f>IF(AND(AZ$9+6&gt;=$D49,AZ$9&lt;=$E49),1,"")</f>
        <v/>
      </c>
      <c r="BA49">
        <f>IF(AND(BA$9+6&gt;=$D49,BA$9&lt;=$E49),1,"")</f>
        <v/>
      </c>
      <c r="BB49">
        <f>IF(AND(BB$9+6&gt;=$D49,BB$9&lt;=$E49),1,"")</f>
        <v/>
      </c>
      <c r="BC49">
        <f>IF(AND(BC$9+6&gt;=$D49,BC$9&lt;=$E49),1,"")</f>
        <v/>
      </c>
      <c r="BD49">
        <f>IF(AND(BD$9+6&gt;=$D49,BD$9&lt;=$E49),1,"")</f>
        <v/>
      </c>
      <c r="BE49">
        <f>IF(AND(BE$9+6&gt;=$D49,BE$9&lt;=$E49),1,"")</f>
        <v/>
      </c>
      <c r="BF49">
        <f>IF(AND(BF$9+6&gt;=$D49,BF$9&lt;=$E49),1,"")</f>
        <v/>
      </c>
      <c r="BG49">
        <f>IF(AND(BG$9+6&gt;=$D49,BG$9&lt;=$E49),1,"")</f>
        <v/>
      </c>
    </row>
  </sheetData>
  <conditionalFormatting sqref="L10:BG49">
    <cfRule type="cellIs" priority="1" operator="equal" dxfId="0">
      <formula>1</formula>
    </cfRule>
  </conditionalFormatting>
  <conditionalFormatting sqref="L9:BG9">
    <cfRule type="cellIs" priority="2" operator="between" dxfId="1">
      <formula>TODAY()-6</formula>
      <formula>TODAY()</formula>
    </cfRule>
  </conditionalFormatting>
  <dataValidations count="1">
    <dataValidation sqref="K10:K49" showDropDown="0" showInputMessage="0" showErrorMessage="0" allowBlank="1" errorTitle="Invalid entry" error="Please select from the dropdown" type="list">
      <formula1>"Not yet started,In progress,Complete,On hold,N/A"</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9"/>
  <sheetViews>
    <sheetView showGridLines="0" workbookViewId="0">
      <selection activeCell="A1" sqref="A1"/>
    </sheetView>
  </sheetViews>
  <sheetFormatPr baseColWidth="8" defaultRowHeight="15"/>
  <cols>
    <col width="4" customWidth="1" min="1" max="1"/>
    <col width="26" customWidth="1" min="2" max="2"/>
    <col width="30" customWidth="1" min="3" max="3"/>
    <col width="14" customWidth="1" min="4" max="4"/>
    <col width="12" customWidth="1" min="5" max="5"/>
    <col width="14" customWidth="1" min="6" max="6"/>
    <col width="20" customWidth="1" min="7" max="7"/>
    <col width="50" customWidth="1" min="8" max="8"/>
    <col width="11" customWidth="1" min="9" max="9"/>
    <col width="36" customWidth="1" min="10" max="10"/>
  </cols>
  <sheetData>
    <row r="1">
      <c r="A1" s="1" t="inlineStr">
        <is>
          <t>↑</t>
        </is>
      </c>
      <c r="B1" s="2" t="inlineStr">
        <is>
          <t>2026 Sustainability Report</t>
        </is>
      </c>
    </row>
    <row r="2">
      <c r="B2" s="3" t="inlineStr">
        <is>
          <t>P3. Comms + web build to-do list</t>
        </is>
      </c>
    </row>
    <row r="4">
      <c r="B4" t="inlineStr">
        <is>
          <t>Track comms, web build and design tasks. Priority: Low / Medium / High / Urgent.</t>
        </is>
      </c>
    </row>
    <row r="6">
      <c r="B6" s="6" t="inlineStr">
        <is>
          <t>Report component or page</t>
        </is>
      </c>
      <c r="C6" s="6" t="inlineStr">
        <is>
          <t>Case study/content name</t>
        </is>
      </c>
      <c r="D6" s="6" t="inlineStr">
        <is>
          <t>Lead</t>
        </is>
      </c>
      <c r="E6" s="6" t="inlineStr">
        <is>
          <t>Priority level</t>
        </is>
      </c>
      <c r="F6" s="6" t="inlineStr">
        <is>
          <t>Agreed deadline</t>
        </is>
      </c>
      <c r="G6" s="6" t="inlineStr">
        <is>
          <t>Action needed</t>
        </is>
      </c>
      <c r="H6" s="6" t="inlineStr">
        <is>
          <t>Details</t>
        </is>
      </c>
      <c r="I6" s="6" t="inlineStr">
        <is>
          <t>Complete? (Y/N)</t>
        </is>
      </c>
      <c r="J6" s="6" t="inlineStr">
        <is>
          <t>Updates/blockers/FYI</t>
        </is>
      </c>
    </row>
    <row r="7">
      <c r="B7" s="8" t="inlineStr">
        <is>
          <t>Web – whole report</t>
        </is>
      </c>
      <c r="C7" s="8" t="inlineStr">
        <is>
          <t>Year-specific report URL</t>
        </is>
      </c>
      <c r="D7" s="8" t="inlineStr">
        <is>
          <t>Comms/digital</t>
        </is>
      </c>
      <c r="E7" s="8" t="inlineStr">
        <is>
          <t>High</t>
        </is>
      </c>
      <c r="F7" s="8" t="inlineStr"/>
      <c r="G7" s="8" t="inlineStr">
        <is>
          <t>Set up</t>
        </is>
      </c>
      <c r="H7" s="8" t="inlineStr">
        <is>
          <t>Use a year-specific URL (e.g. /sustainabilityreport/2026) and retain the central reports landing page (SR25 lesson).</t>
        </is>
      </c>
      <c r="I7" s="8" t="inlineStr"/>
      <c r="J7" s="8" t="inlineStr"/>
    </row>
    <row r="8">
      <c r="B8" s="8" t="inlineStr">
        <is>
          <t>Web – whole report</t>
        </is>
      </c>
      <c r="C8" s="8" t="inlineStr">
        <is>
          <t>Analytics measures</t>
        </is>
      </c>
      <c r="D8" s="8" t="inlineStr">
        <is>
          <t>Comms/digital</t>
        </is>
      </c>
      <c r="E8" s="8" t="inlineStr">
        <is>
          <t>High</t>
        </is>
      </c>
      <c r="F8" s="8" t="inlineStr"/>
      <c r="G8" s="8" t="inlineStr">
        <is>
          <t>Agree before launch</t>
        </is>
      </c>
      <c r="H8" s="8" t="inlineStr">
        <is>
          <t>Agree web sessions, users and views measures before launch so project close can report them.</t>
        </is>
      </c>
      <c r="I8" s="8" t="inlineStr"/>
      <c r="J8" s="8" t="inlineStr"/>
    </row>
    <row r="9">
      <c r="B9" s="8" t="inlineStr">
        <is>
          <t>Web – whole report</t>
        </is>
      </c>
      <c r="C9" s="8" t="inlineStr">
        <is>
          <t>Accessibility &amp; reviewer workflow testing</t>
        </is>
      </c>
      <c r="D9" s="8" t="inlineStr">
        <is>
          <t>Comms/digital</t>
        </is>
      </c>
      <c r="E9" s="8" t="inlineStr">
        <is>
          <t>High</t>
        </is>
      </c>
      <c r="F9" s="8" t="inlineStr"/>
      <c r="G9" s="8" t="inlineStr">
        <is>
          <t>Test</t>
        </is>
      </c>
      <c r="H9" s="8" t="inlineStr">
        <is>
          <t>Navigation, links, mobile usability, accessibility, reviewer workflows – before governance approval.</t>
        </is>
      </c>
      <c r="I9" s="8" t="inlineStr"/>
      <c r="J9" s="8" t="inlineStr"/>
    </row>
    <row r="10">
      <c r="B10" s="8" t="inlineStr">
        <is>
          <t>Report introduction</t>
        </is>
      </c>
      <c r="C10" s="8" t="inlineStr">
        <is>
          <t>Transition-year framing</t>
        </is>
      </c>
      <c r="D10" s="8" t="inlineStr">
        <is>
          <t>SST</t>
        </is>
      </c>
      <c r="E10" s="8" t="inlineStr">
        <is>
          <t>High</t>
        </is>
      </c>
      <c r="F10" s="8" t="inlineStr"/>
      <c r="G10" s="8" t="inlineStr">
        <is>
          <t>Draft</t>
        </is>
      </c>
      <c r="H10" s="8" t="inlineStr">
        <is>
          <t>Explain former SP2030 vs Sustainability 2030 (launched ~20 Oct 2026).</t>
        </is>
      </c>
      <c r="I10" s="8" t="inlineStr"/>
      <c r="J10" s="8" t="inlineStr"/>
    </row>
    <row r="11">
      <c r="B11" s="8" t="inlineStr">
        <is>
          <t>Whole report</t>
        </is>
      </c>
      <c r="C11" s="8" t="inlineStr">
        <is>
          <t>Whole-report review</t>
        </is>
      </c>
      <c r="D11" s="8" t="inlineStr">
        <is>
          <t>Strategic Comms</t>
        </is>
      </c>
      <c r="E11" s="8" t="inlineStr">
        <is>
          <t>High</t>
        </is>
      </c>
      <c r="F11" s="8" t="inlineStr"/>
      <c r="G11" s="8" t="inlineStr">
        <is>
          <t>Schedule</t>
        </is>
      </c>
      <c r="H11" s="8" t="inlineStr">
        <is>
          <t>Schedule early enough for material changes.</t>
        </is>
      </c>
      <c r="I11" s="8" t="inlineStr"/>
      <c r="J11" s="8" t="inlineStr"/>
    </row>
    <row r="12">
      <c r="B12" s="8" t="n"/>
      <c r="C12" s="8" t="n"/>
      <c r="D12" s="8" t="n"/>
      <c r="E12" s="8" t="n"/>
      <c r="F12" s="8" t="n"/>
      <c r="G12" s="8" t="n"/>
      <c r="H12" s="8" t="n"/>
      <c r="I12" s="8" t="n"/>
      <c r="J12" s="8" t="n"/>
    </row>
    <row r="13">
      <c r="B13" s="8" t="n"/>
      <c r="C13" s="8" t="n"/>
      <c r="D13" s="8" t="n"/>
      <c r="E13" s="8" t="n"/>
      <c r="F13" s="8" t="n"/>
      <c r="G13" s="8" t="n"/>
      <c r="H13" s="8" t="n"/>
      <c r="I13" s="8" t="n"/>
      <c r="J13" s="8" t="n"/>
    </row>
    <row r="14">
      <c r="B14" s="8" t="n"/>
      <c r="C14" s="8" t="n"/>
      <c r="D14" s="8" t="n"/>
      <c r="E14" s="8" t="n"/>
      <c r="F14" s="8" t="n"/>
      <c r="G14" s="8" t="n"/>
      <c r="H14" s="8" t="n"/>
      <c r="I14" s="8" t="n"/>
      <c r="J14" s="8" t="n"/>
    </row>
    <row r="15">
      <c r="B15" s="8" t="n"/>
      <c r="C15" s="8" t="n"/>
      <c r="D15" s="8" t="n"/>
      <c r="E15" s="8" t="n"/>
      <c r="F15" s="8" t="n"/>
      <c r="G15" s="8" t="n"/>
      <c r="H15" s="8" t="n"/>
      <c r="I15" s="8" t="n"/>
      <c r="J15" s="8" t="n"/>
    </row>
    <row r="16">
      <c r="B16" s="8" t="n"/>
      <c r="C16" s="8" t="n"/>
      <c r="D16" s="8" t="n"/>
      <c r="E16" s="8" t="n"/>
      <c r="F16" s="8" t="n"/>
      <c r="G16" s="8" t="n"/>
      <c r="H16" s="8" t="n"/>
      <c r="I16" s="8" t="n"/>
      <c r="J16" s="8" t="n"/>
    </row>
    <row r="17">
      <c r="B17" s="8" t="n"/>
      <c r="C17" s="8" t="n"/>
      <c r="D17" s="8" t="n"/>
      <c r="E17" s="8" t="n"/>
      <c r="F17" s="8" t="n"/>
      <c r="G17" s="8" t="n"/>
      <c r="H17" s="8" t="n"/>
      <c r="I17" s="8" t="n"/>
      <c r="J17" s="8" t="n"/>
    </row>
    <row r="18">
      <c r="B18" s="8" t="n"/>
      <c r="C18" s="8" t="n"/>
      <c r="D18" s="8" t="n"/>
      <c r="E18" s="8" t="n"/>
      <c r="F18" s="8" t="n"/>
      <c r="G18" s="8" t="n"/>
      <c r="H18" s="8" t="n"/>
      <c r="I18" s="8" t="n"/>
      <c r="J18" s="8" t="n"/>
    </row>
    <row r="19">
      <c r="B19" s="8" t="n"/>
      <c r="C19" s="8" t="n"/>
      <c r="D19" s="8" t="n"/>
      <c r="E19" s="8" t="n"/>
      <c r="F19" s="8" t="n"/>
      <c r="G19" s="8" t="n"/>
      <c r="H19" s="8" t="n"/>
      <c r="I19" s="8" t="n"/>
      <c r="J19" s="8" t="n"/>
    </row>
    <row r="20">
      <c r="B20" s="8" t="n"/>
      <c r="C20" s="8" t="n"/>
      <c r="D20" s="8" t="n"/>
      <c r="E20" s="8" t="n"/>
      <c r="F20" s="8" t="n"/>
      <c r="G20" s="8" t="n"/>
      <c r="H20" s="8" t="n"/>
      <c r="I20" s="8" t="n"/>
      <c r="J20" s="8" t="n"/>
    </row>
    <row r="21">
      <c r="B21" s="8" t="n"/>
      <c r="C21" s="8" t="n"/>
      <c r="D21" s="8" t="n"/>
      <c r="E21" s="8" t="n"/>
      <c r="F21" s="8" t="n"/>
      <c r="G21" s="8" t="n"/>
      <c r="H21" s="8" t="n"/>
      <c r="I21" s="8" t="n"/>
      <c r="J21" s="8" t="n"/>
    </row>
    <row r="22">
      <c r="B22" s="8" t="n"/>
      <c r="C22" s="8" t="n"/>
      <c r="D22" s="8" t="n"/>
      <c r="E22" s="8" t="n"/>
      <c r="F22" s="8" t="n"/>
      <c r="G22" s="8" t="n"/>
      <c r="H22" s="8" t="n"/>
      <c r="I22" s="8" t="n"/>
      <c r="J22" s="8" t="n"/>
    </row>
    <row r="23">
      <c r="B23" s="8" t="n"/>
      <c r="C23" s="8" t="n"/>
      <c r="D23" s="8" t="n"/>
      <c r="E23" s="8" t="n"/>
      <c r="F23" s="8" t="n"/>
      <c r="G23" s="8" t="n"/>
      <c r="H23" s="8" t="n"/>
      <c r="I23" s="8" t="n"/>
      <c r="J23" s="8" t="n"/>
    </row>
    <row r="24">
      <c r="B24" s="8" t="n"/>
      <c r="C24" s="8" t="n"/>
      <c r="D24" s="8" t="n"/>
      <c r="E24" s="8" t="n"/>
      <c r="F24" s="8" t="n"/>
      <c r="G24" s="8" t="n"/>
      <c r="H24" s="8" t="n"/>
      <c r="I24" s="8" t="n"/>
      <c r="J24" s="8" t="n"/>
    </row>
    <row r="25">
      <c r="B25" s="8" t="n"/>
      <c r="C25" s="8" t="n"/>
      <c r="D25" s="8" t="n"/>
      <c r="E25" s="8" t="n"/>
      <c r="F25" s="8" t="n"/>
      <c r="G25" s="8" t="n"/>
      <c r="H25" s="8" t="n"/>
      <c r="I25" s="8" t="n"/>
      <c r="J25" s="8" t="n"/>
    </row>
    <row r="26">
      <c r="B26" s="8" t="n"/>
      <c r="C26" s="8" t="n"/>
      <c r="D26" s="8" t="n"/>
      <c r="E26" s="8" t="n"/>
      <c r="F26" s="8" t="n"/>
      <c r="G26" s="8" t="n"/>
      <c r="H26" s="8" t="n"/>
      <c r="I26" s="8" t="n"/>
      <c r="J26" s="8" t="n"/>
    </row>
    <row r="27">
      <c r="B27" s="8" t="n"/>
      <c r="C27" s="8" t="n"/>
      <c r="D27" s="8" t="n"/>
      <c r="E27" s="8" t="n"/>
      <c r="F27" s="8" t="n"/>
      <c r="G27" s="8" t="n"/>
      <c r="H27" s="8" t="n"/>
      <c r="I27" s="8" t="n"/>
      <c r="J27" s="8" t="n"/>
    </row>
    <row r="28">
      <c r="B28" s="8" t="n"/>
      <c r="C28" s="8" t="n"/>
      <c r="D28" s="8" t="n"/>
      <c r="E28" s="8" t="n"/>
      <c r="F28" s="8" t="n"/>
      <c r="G28" s="8" t="n"/>
      <c r="H28" s="8" t="n"/>
      <c r="I28" s="8" t="n"/>
      <c r="J28" s="8" t="n"/>
    </row>
    <row r="29">
      <c r="B29" s="8" t="n"/>
      <c r="C29" s="8" t="n"/>
      <c r="D29" s="8" t="n"/>
      <c r="E29" s="8" t="n"/>
      <c r="F29" s="8" t="n"/>
      <c r="G29" s="8" t="n"/>
      <c r="H29" s="8" t="n"/>
      <c r="I29" s="8" t="n"/>
      <c r="J29" s="8" t="n"/>
    </row>
    <row r="30">
      <c r="B30" s="8" t="n"/>
      <c r="C30" s="8" t="n"/>
      <c r="D30" s="8" t="n"/>
      <c r="E30" s="8" t="n"/>
      <c r="F30" s="8" t="n"/>
      <c r="G30" s="8" t="n"/>
      <c r="H30" s="8" t="n"/>
      <c r="I30" s="8" t="n"/>
      <c r="J30" s="8" t="n"/>
    </row>
    <row r="31">
      <c r="B31" s="8" t="n"/>
      <c r="C31" s="8" t="n"/>
      <c r="D31" s="8" t="n"/>
      <c r="E31" s="8" t="n"/>
      <c r="F31" s="8" t="n"/>
      <c r="G31" s="8" t="n"/>
      <c r="H31" s="8" t="n"/>
      <c r="I31" s="8" t="n"/>
      <c r="J31" s="8" t="n"/>
    </row>
    <row r="32">
      <c r="B32" s="8" t="n"/>
      <c r="C32" s="8" t="n"/>
      <c r="D32" s="8" t="n"/>
      <c r="E32" s="8" t="n"/>
      <c r="F32" s="8" t="n"/>
      <c r="G32" s="8" t="n"/>
      <c r="H32" s="8" t="n"/>
      <c r="I32" s="8" t="n"/>
      <c r="J32" s="8" t="n"/>
    </row>
    <row r="33">
      <c r="B33" s="8" t="n"/>
      <c r="C33" s="8" t="n"/>
      <c r="D33" s="8" t="n"/>
      <c r="E33" s="8" t="n"/>
      <c r="F33" s="8" t="n"/>
      <c r="G33" s="8" t="n"/>
      <c r="H33" s="8" t="n"/>
      <c r="I33" s="8" t="n"/>
      <c r="J33" s="8" t="n"/>
    </row>
    <row r="34">
      <c r="B34" s="8" t="n"/>
      <c r="C34" s="8" t="n"/>
      <c r="D34" s="8" t="n"/>
      <c r="E34" s="8" t="n"/>
      <c r="F34" s="8" t="n"/>
      <c r="G34" s="8" t="n"/>
      <c r="H34" s="8" t="n"/>
      <c r="I34" s="8" t="n"/>
      <c r="J34" s="8" t="n"/>
    </row>
    <row r="35">
      <c r="B35" s="8" t="n"/>
      <c r="C35" s="8" t="n"/>
      <c r="D35" s="8" t="n"/>
      <c r="E35" s="8" t="n"/>
      <c r="F35" s="8" t="n"/>
      <c r="G35" s="8" t="n"/>
      <c r="H35" s="8" t="n"/>
      <c r="I35" s="8" t="n"/>
      <c r="J35" s="8" t="n"/>
    </row>
    <row r="36">
      <c r="B36" s="8" t="n"/>
      <c r="C36" s="8" t="n"/>
      <c r="D36" s="8" t="n"/>
      <c r="E36" s="8" t="n"/>
      <c r="F36" s="8" t="n"/>
      <c r="G36" s="8" t="n"/>
      <c r="H36" s="8" t="n"/>
      <c r="I36" s="8" t="n"/>
      <c r="J36" s="8" t="n"/>
    </row>
    <row r="37">
      <c r="B37" s="8" t="n"/>
      <c r="C37" s="8" t="n"/>
      <c r="D37" s="8" t="n"/>
      <c r="E37" s="8" t="n"/>
      <c r="F37" s="8" t="n"/>
      <c r="G37" s="8" t="n"/>
      <c r="H37" s="8" t="n"/>
      <c r="I37" s="8" t="n"/>
      <c r="J37" s="8" t="n"/>
    </row>
    <row r="38">
      <c r="B38" s="8" t="n"/>
      <c r="C38" s="8" t="n"/>
      <c r="D38" s="8" t="n"/>
      <c r="E38" s="8" t="n"/>
      <c r="F38" s="8" t="n"/>
      <c r="G38" s="8" t="n"/>
      <c r="H38" s="8" t="n"/>
      <c r="I38" s="8" t="n"/>
      <c r="J38" s="8" t="n"/>
    </row>
    <row r="39">
      <c r="B39" s="8" t="n"/>
      <c r="C39" s="8" t="n"/>
      <c r="D39" s="8" t="n"/>
      <c r="E39" s="8" t="n"/>
      <c r="F39" s="8" t="n"/>
      <c r="G39" s="8" t="n"/>
      <c r="H39" s="8" t="n"/>
      <c r="I39" s="8" t="n"/>
      <c r="J39" s="8" t="n"/>
    </row>
    <row r="40">
      <c r="B40" s="8" t="n"/>
      <c r="C40" s="8" t="n"/>
      <c r="D40" s="8" t="n"/>
      <c r="E40" s="8" t="n"/>
      <c r="F40" s="8" t="n"/>
      <c r="G40" s="8" t="n"/>
      <c r="H40" s="8" t="n"/>
      <c r="I40" s="8" t="n"/>
      <c r="J40" s="8" t="n"/>
    </row>
    <row r="41">
      <c r="B41" s="8" t="n"/>
      <c r="C41" s="8" t="n"/>
      <c r="D41" s="8" t="n"/>
      <c r="E41" s="8" t="n"/>
      <c r="F41" s="8" t="n"/>
      <c r="G41" s="8" t="n"/>
      <c r="H41" s="8" t="n"/>
      <c r="I41" s="8" t="n"/>
      <c r="J41" s="8" t="n"/>
    </row>
    <row r="42">
      <c r="B42" s="8" t="n"/>
      <c r="C42" s="8" t="n"/>
      <c r="D42" s="8" t="n"/>
      <c r="E42" s="8" t="n"/>
      <c r="F42" s="8" t="n"/>
      <c r="G42" s="8" t="n"/>
      <c r="H42" s="8" t="n"/>
      <c r="I42" s="8" t="n"/>
      <c r="J42" s="8" t="n"/>
    </row>
    <row r="43">
      <c r="B43" s="8" t="n"/>
      <c r="C43" s="8" t="n"/>
      <c r="D43" s="8" t="n"/>
      <c r="E43" s="8" t="n"/>
      <c r="F43" s="8" t="n"/>
      <c r="G43" s="8" t="n"/>
      <c r="H43" s="8" t="n"/>
      <c r="I43" s="8" t="n"/>
      <c r="J43" s="8" t="n"/>
    </row>
    <row r="44">
      <c r="B44" s="8" t="n"/>
      <c r="C44" s="8" t="n"/>
      <c r="D44" s="8" t="n"/>
      <c r="E44" s="8" t="n"/>
      <c r="F44" s="8" t="n"/>
      <c r="G44" s="8" t="n"/>
      <c r="H44" s="8" t="n"/>
      <c r="I44" s="8" t="n"/>
      <c r="J44" s="8" t="n"/>
    </row>
    <row r="45">
      <c r="B45" s="8" t="n"/>
      <c r="C45" s="8" t="n"/>
      <c r="D45" s="8" t="n"/>
      <c r="E45" s="8" t="n"/>
      <c r="F45" s="8" t="n"/>
      <c r="G45" s="8" t="n"/>
      <c r="H45" s="8" t="n"/>
      <c r="I45" s="8" t="n"/>
      <c r="J45" s="8" t="n"/>
    </row>
    <row r="46">
      <c r="B46" s="8" t="n"/>
      <c r="C46" s="8" t="n"/>
      <c r="D46" s="8" t="n"/>
      <c r="E46" s="8" t="n"/>
      <c r="F46" s="8" t="n"/>
      <c r="G46" s="8" t="n"/>
      <c r="H46" s="8" t="n"/>
      <c r="I46" s="8" t="n"/>
      <c r="J46" s="8" t="n"/>
    </row>
    <row r="47">
      <c r="B47" s="8" t="n"/>
      <c r="C47" s="8" t="n"/>
      <c r="D47" s="8" t="n"/>
      <c r="E47" s="8" t="n"/>
      <c r="F47" s="8" t="n"/>
      <c r="G47" s="8" t="n"/>
      <c r="H47" s="8" t="n"/>
      <c r="I47" s="8" t="n"/>
      <c r="J47" s="8" t="n"/>
    </row>
    <row r="48">
      <c r="B48" s="8" t="n"/>
      <c r="C48" s="8" t="n"/>
      <c r="D48" s="8" t="n"/>
      <c r="E48" s="8" t="n"/>
      <c r="F48" s="8" t="n"/>
      <c r="G48" s="8" t="n"/>
      <c r="H48" s="8" t="n"/>
      <c r="I48" s="8" t="n"/>
      <c r="J48" s="8" t="n"/>
    </row>
    <row r="49">
      <c r="B49" s="8" t="n"/>
      <c r="C49" s="8" t="n"/>
      <c r="D49" s="8" t="n"/>
      <c r="E49" s="8" t="n"/>
      <c r="F49" s="8" t="n"/>
      <c r="G49" s="8" t="n"/>
      <c r="H49" s="8" t="n"/>
      <c r="I49" s="8" t="n"/>
      <c r="J49" s="8" t="n"/>
    </row>
    <row r="50">
      <c r="B50" s="8" t="n"/>
      <c r="C50" s="8" t="n"/>
      <c r="D50" s="8" t="n"/>
      <c r="E50" s="8" t="n"/>
      <c r="F50" s="8" t="n"/>
      <c r="G50" s="8" t="n"/>
      <c r="H50" s="8" t="n"/>
      <c r="I50" s="8" t="n"/>
      <c r="J50" s="8" t="n"/>
    </row>
    <row r="51">
      <c r="B51" s="8" t="n"/>
      <c r="C51" s="8" t="n"/>
      <c r="D51" s="8" t="n"/>
      <c r="E51" s="8" t="n"/>
      <c r="F51" s="8" t="n"/>
      <c r="G51" s="8" t="n"/>
      <c r="H51" s="8" t="n"/>
      <c r="I51" s="8" t="n"/>
      <c r="J51" s="8" t="n"/>
    </row>
    <row r="52">
      <c r="B52" s="8" t="n"/>
      <c r="C52" s="8" t="n"/>
      <c r="D52" s="8" t="n"/>
      <c r="E52" s="8" t="n"/>
      <c r="F52" s="8" t="n"/>
      <c r="G52" s="8" t="n"/>
      <c r="H52" s="8" t="n"/>
      <c r="I52" s="8" t="n"/>
      <c r="J52" s="8" t="n"/>
    </row>
    <row r="53">
      <c r="B53" s="8" t="n"/>
      <c r="C53" s="8" t="n"/>
      <c r="D53" s="8" t="n"/>
      <c r="E53" s="8" t="n"/>
      <c r="F53" s="8" t="n"/>
      <c r="G53" s="8" t="n"/>
      <c r="H53" s="8" t="n"/>
      <c r="I53" s="8" t="n"/>
      <c r="J53" s="8" t="n"/>
    </row>
    <row r="54">
      <c r="B54" s="8" t="n"/>
      <c r="C54" s="8" t="n"/>
      <c r="D54" s="8" t="n"/>
      <c r="E54" s="8" t="n"/>
      <c r="F54" s="8" t="n"/>
      <c r="G54" s="8" t="n"/>
      <c r="H54" s="8" t="n"/>
      <c r="I54" s="8" t="n"/>
      <c r="J54" s="8" t="n"/>
    </row>
    <row r="55">
      <c r="B55" s="8" t="n"/>
      <c r="C55" s="8" t="n"/>
      <c r="D55" s="8" t="n"/>
      <c r="E55" s="8" t="n"/>
      <c r="F55" s="8" t="n"/>
      <c r="G55" s="8" t="n"/>
      <c r="H55" s="8" t="n"/>
      <c r="I55" s="8" t="n"/>
      <c r="J55" s="8" t="n"/>
    </row>
    <row r="56">
      <c r="B56" s="8" t="n"/>
      <c r="C56" s="8" t="n"/>
      <c r="D56" s="8" t="n"/>
      <c r="E56" s="8" t="n"/>
      <c r="F56" s="8" t="n"/>
      <c r="G56" s="8" t="n"/>
      <c r="H56" s="8" t="n"/>
      <c r="I56" s="8" t="n"/>
      <c r="J56" s="8" t="n"/>
    </row>
    <row r="57">
      <c r="B57" s="8" t="n"/>
      <c r="C57" s="8" t="n"/>
      <c r="D57" s="8" t="n"/>
      <c r="E57" s="8" t="n"/>
      <c r="F57" s="8" t="n"/>
      <c r="G57" s="8" t="n"/>
      <c r="H57" s="8" t="n"/>
      <c r="I57" s="8" t="n"/>
      <c r="J57" s="8" t="n"/>
    </row>
    <row r="58">
      <c r="B58" s="8" t="n"/>
      <c r="C58" s="8" t="n"/>
      <c r="D58" s="8" t="n"/>
      <c r="E58" s="8" t="n"/>
      <c r="F58" s="8" t="n"/>
      <c r="G58" s="8" t="n"/>
      <c r="H58" s="8" t="n"/>
      <c r="I58" s="8" t="n"/>
      <c r="J58" s="8" t="n"/>
    </row>
    <row r="59">
      <c r="B59" s="8" t="n"/>
      <c r="C59" s="8" t="n"/>
      <c r="D59" s="8" t="n"/>
      <c r="E59" s="8" t="n"/>
      <c r="F59" s="8" t="n"/>
      <c r="G59" s="8" t="n"/>
      <c r="H59" s="8" t="n"/>
      <c r="I59" s="8" t="n"/>
      <c r="J59" s="8" t="n"/>
    </row>
  </sheetData>
  <dataValidations count="2">
    <dataValidation sqref="E7:E59" showDropDown="0" showInputMessage="0" showErrorMessage="0" allowBlank="1" errorTitle="Invalid entry" error="Please select from the dropdown" type="list">
      <formula1>"Low,Medium,High,Urgent"</formula1>
    </dataValidation>
    <dataValidation sqref="I7:I59"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U6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4"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t>
        </is>
      </c>
      <c r="B1" s="2" t="inlineStr">
        <is>
          <t>2026 Sustainability Report</t>
        </is>
      </c>
    </row>
    <row r="2">
      <c r="B2" s="3" t="inlineStr">
        <is>
          <t>P4. Content contributor checklist</t>
        </is>
      </c>
    </row>
    <row r="4">
      <c r="B4" t="inlineStr">
        <is>
          <t>Stakeholder management for report content: review by contributors, images, credits and captions, post-launch follow-up.</t>
        </is>
      </c>
    </row>
    <row r="6">
      <c r="B6" s="6" t="inlineStr">
        <is>
          <t>Report section</t>
        </is>
      </c>
      <c r="C6" s="6" t="inlineStr">
        <is>
          <t>Case study</t>
        </is>
      </c>
      <c r="D6" s="6" t="inlineStr">
        <is>
          <t>Activity areas</t>
        </is>
      </c>
      <c r="E6" s="6" t="inlineStr">
        <is>
          <t>Review required? (Y/N)</t>
        </is>
      </c>
      <c r="F6" s="6" t="inlineStr">
        <is>
          <t>Content contributors</t>
        </is>
      </c>
      <c r="G6" s="6" t="inlineStr">
        <is>
          <t>Project team liaison</t>
        </is>
      </c>
      <c r="H6" s="6" t="inlineStr">
        <is>
          <t>Sent for review (date)</t>
        </is>
      </c>
      <c r="I6" s="6" t="inlineStr">
        <is>
          <t>Changes required? (Y/N)</t>
        </is>
      </c>
      <c r="J6" s="6" t="inlineStr">
        <is>
          <t>SR26 draft updated? (Y/N)</t>
        </is>
      </c>
      <c r="K6" s="6" t="inlineStr">
        <is>
          <t>SR26 website updated? (Y/N)</t>
        </is>
      </c>
      <c r="L6" s="6" t="inlineStr">
        <is>
          <t>Images shared? (Y/N)</t>
        </is>
      </c>
      <c r="M6" s="6" t="inlineStr">
        <is>
          <t>Image URL</t>
        </is>
      </c>
      <c r="N6" s="6" t="inlineStr">
        <is>
          <t>Known image gap</t>
        </is>
      </c>
      <c r="O6" s="6" t="inlineStr">
        <is>
          <t>Credit noted?</t>
        </is>
      </c>
      <c r="P6" s="6" t="inlineStr">
        <is>
          <t>Caption text</t>
        </is>
      </c>
      <c r="Q6" s="6" t="inlineStr">
        <is>
          <t>Permission to publish confirmed?</t>
        </is>
      </c>
      <c r="R6" s="6" t="inlineStr">
        <is>
          <t>Post-launch: send to</t>
        </is>
      </c>
      <c r="S6" s="6" t="inlineStr">
        <is>
          <t>CC</t>
        </is>
      </c>
      <c r="T6" s="6" t="inlineStr">
        <is>
          <t>Sent (date)</t>
        </is>
      </c>
      <c r="U6" s="6" t="inlineStr">
        <is>
          <t>Complete? (Y/N)</t>
        </is>
      </c>
    </row>
    <row r="7">
      <c r="B7" s="8" t="n"/>
      <c r="C7" s="8" t="n"/>
      <c r="D7" s="8" t="n"/>
      <c r="E7" s="8" t="n"/>
      <c r="F7" s="8" t="n"/>
      <c r="G7" s="8" t="n"/>
      <c r="H7" s="8" t="n"/>
      <c r="I7" s="8" t="n"/>
      <c r="J7" s="8" t="n"/>
      <c r="K7" s="8" t="n"/>
      <c r="L7" s="8" t="n"/>
      <c r="M7" s="8" t="n"/>
      <c r="N7" s="8" t="n"/>
      <c r="O7" s="8" t="n"/>
      <c r="P7" s="8" t="n"/>
      <c r="Q7" s="8" t="n"/>
      <c r="R7" s="8" t="n"/>
      <c r="S7" s="8" t="n"/>
      <c r="T7" s="8" t="n"/>
      <c r="U7" s="8" t="n"/>
    </row>
    <row r="8">
      <c r="B8" s="8" t="n"/>
      <c r="C8" s="8" t="n"/>
      <c r="D8" s="8" t="n"/>
      <c r="E8" s="8" t="n"/>
      <c r="F8" s="8" t="n"/>
      <c r="G8" s="8" t="n"/>
      <c r="H8" s="8" t="n"/>
      <c r="I8" s="8" t="n"/>
      <c r="J8" s="8" t="n"/>
      <c r="K8" s="8" t="n"/>
      <c r="L8" s="8" t="n"/>
      <c r="M8" s="8" t="n"/>
      <c r="N8" s="8" t="n"/>
      <c r="O8" s="8" t="n"/>
      <c r="P8" s="8" t="n"/>
      <c r="Q8" s="8" t="n"/>
      <c r="R8" s="8" t="n"/>
      <c r="S8" s="8" t="n"/>
      <c r="T8" s="8" t="n"/>
      <c r="U8" s="8" t="n"/>
    </row>
    <row r="9">
      <c r="B9" s="8" t="n"/>
      <c r="C9" s="8" t="n"/>
      <c r="D9" s="8" t="n"/>
      <c r="E9" s="8" t="n"/>
      <c r="F9" s="8" t="n"/>
      <c r="G9" s="8" t="n"/>
      <c r="H9" s="8" t="n"/>
      <c r="I9" s="8" t="n"/>
      <c r="J9" s="8" t="n"/>
      <c r="K9" s="8" t="n"/>
      <c r="L9" s="8" t="n"/>
      <c r="M9" s="8" t="n"/>
      <c r="N9" s="8" t="n"/>
      <c r="O9" s="8" t="n"/>
      <c r="P9" s="8" t="n"/>
      <c r="Q9" s="8" t="n"/>
      <c r="R9" s="8" t="n"/>
      <c r="S9" s="8" t="n"/>
      <c r="T9" s="8" t="n"/>
      <c r="U9" s="8" t="n"/>
    </row>
    <row r="10">
      <c r="B10" s="8" t="n"/>
      <c r="C10" s="8" t="n"/>
      <c r="D10" s="8" t="n"/>
      <c r="E10" s="8" t="n"/>
      <c r="F10" s="8" t="n"/>
      <c r="G10" s="8" t="n"/>
      <c r="H10" s="8" t="n"/>
      <c r="I10" s="8" t="n"/>
      <c r="J10" s="8" t="n"/>
      <c r="K10" s="8" t="n"/>
      <c r="L10" s="8" t="n"/>
      <c r="M10" s="8" t="n"/>
      <c r="N10" s="8" t="n"/>
      <c r="O10" s="8" t="n"/>
      <c r="P10" s="8" t="n"/>
      <c r="Q10" s="8" t="n"/>
      <c r="R10" s="8" t="n"/>
      <c r="S10" s="8" t="n"/>
      <c r="T10" s="8" t="n"/>
      <c r="U10" s="8" t="n"/>
    </row>
    <row r="11">
      <c r="B11" s="8" t="n"/>
      <c r="C11" s="8" t="n"/>
      <c r="D11" s="8" t="n"/>
      <c r="E11" s="8" t="n"/>
      <c r="F11" s="8" t="n"/>
      <c r="G11" s="8" t="n"/>
      <c r="H11" s="8" t="n"/>
      <c r="I11" s="8" t="n"/>
      <c r="J11" s="8" t="n"/>
      <c r="K11" s="8" t="n"/>
      <c r="L11" s="8" t="n"/>
      <c r="M11" s="8" t="n"/>
      <c r="N11" s="8" t="n"/>
      <c r="O11" s="8" t="n"/>
      <c r="P11" s="8" t="n"/>
      <c r="Q11" s="8" t="n"/>
      <c r="R11" s="8" t="n"/>
      <c r="S11" s="8" t="n"/>
      <c r="T11" s="8" t="n"/>
      <c r="U11" s="8" t="n"/>
    </row>
    <row r="12">
      <c r="B12" s="8" t="n"/>
      <c r="C12" s="8" t="n"/>
      <c r="D12" s="8" t="n"/>
      <c r="E12" s="8" t="n"/>
      <c r="F12" s="8" t="n"/>
      <c r="G12" s="8" t="n"/>
      <c r="H12" s="8" t="n"/>
      <c r="I12" s="8" t="n"/>
      <c r="J12" s="8" t="n"/>
      <c r="K12" s="8" t="n"/>
      <c r="L12" s="8" t="n"/>
      <c r="M12" s="8" t="n"/>
      <c r="N12" s="8" t="n"/>
      <c r="O12" s="8" t="n"/>
      <c r="P12" s="8" t="n"/>
      <c r="Q12" s="8" t="n"/>
      <c r="R12" s="8" t="n"/>
      <c r="S12" s="8" t="n"/>
      <c r="T12" s="8" t="n"/>
      <c r="U12" s="8" t="n"/>
    </row>
    <row r="13">
      <c r="B13" s="8" t="n"/>
      <c r="C13" s="8" t="n"/>
      <c r="D13" s="8" t="n"/>
      <c r="E13" s="8" t="n"/>
      <c r="F13" s="8" t="n"/>
      <c r="G13" s="8" t="n"/>
      <c r="H13" s="8" t="n"/>
      <c r="I13" s="8" t="n"/>
      <c r="J13" s="8" t="n"/>
      <c r="K13" s="8" t="n"/>
      <c r="L13" s="8" t="n"/>
      <c r="M13" s="8" t="n"/>
      <c r="N13" s="8" t="n"/>
      <c r="O13" s="8" t="n"/>
      <c r="P13" s="8" t="n"/>
      <c r="Q13" s="8" t="n"/>
      <c r="R13" s="8" t="n"/>
      <c r="S13" s="8" t="n"/>
      <c r="T13" s="8" t="n"/>
      <c r="U13" s="8" t="n"/>
    </row>
    <row r="14">
      <c r="B14" s="8" t="n"/>
      <c r="C14" s="8" t="n"/>
      <c r="D14" s="8" t="n"/>
      <c r="E14" s="8" t="n"/>
      <c r="F14" s="8" t="n"/>
      <c r="G14" s="8" t="n"/>
      <c r="H14" s="8" t="n"/>
      <c r="I14" s="8" t="n"/>
      <c r="J14" s="8" t="n"/>
      <c r="K14" s="8" t="n"/>
      <c r="L14" s="8" t="n"/>
      <c r="M14" s="8" t="n"/>
      <c r="N14" s="8" t="n"/>
      <c r="O14" s="8" t="n"/>
      <c r="P14" s="8" t="n"/>
      <c r="Q14" s="8" t="n"/>
      <c r="R14" s="8" t="n"/>
      <c r="S14" s="8" t="n"/>
      <c r="T14" s="8" t="n"/>
      <c r="U14" s="8" t="n"/>
    </row>
    <row r="15">
      <c r="B15" s="8" t="n"/>
      <c r="C15" s="8" t="n"/>
      <c r="D15" s="8" t="n"/>
      <c r="E15" s="8" t="n"/>
      <c r="F15" s="8" t="n"/>
      <c r="G15" s="8" t="n"/>
      <c r="H15" s="8" t="n"/>
      <c r="I15" s="8" t="n"/>
      <c r="J15" s="8" t="n"/>
      <c r="K15" s="8" t="n"/>
      <c r="L15" s="8" t="n"/>
      <c r="M15" s="8" t="n"/>
      <c r="N15" s="8" t="n"/>
      <c r="O15" s="8" t="n"/>
      <c r="P15" s="8" t="n"/>
      <c r="Q15" s="8" t="n"/>
      <c r="R15" s="8" t="n"/>
      <c r="S15" s="8" t="n"/>
      <c r="T15" s="8" t="n"/>
      <c r="U15" s="8" t="n"/>
    </row>
    <row r="16">
      <c r="B16" s="8" t="n"/>
      <c r="C16" s="8" t="n"/>
      <c r="D16" s="8" t="n"/>
      <c r="E16" s="8" t="n"/>
      <c r="F16" s="8" t="n"/>
      <c r="G16" s="8" t="n"/>
      <c r="H16" s="8" t="n"/>
      <c r="I16" s="8" t="n"/>
      <c r="J16" s="8" t="n"/>
      <c r="K16" s="8" t="n"/>
      <c r="L16" s="8" t="n"/>
      <c r="M16" s="8" t="n"/>
      <c r="N16" s="8" t="n"/>
      <c r="O16" s="8" t="n"/>
      <c r="P16" s="8" t="n"/>
      <c r="Q16" s="8" t="n"/>
      <c r="R16" s="8" t="n"/>
      <c r="S16" s="8" t="n"/>
      <c r="T16" s="8" t="n"/>
      <c r="U16" s="8" t="n"/>
    </row>
    <row r="17">
      <c r="B17" s="8" t="n"/>
      <c r="C17" s="8" t="n"/>
      <c r="D17" s="8" t="n"/>
      <c r="E17" s="8" t="n"/>
      <c r="F17" s="8" t="n"/>
      <c r="G17" s="8" t="n"/>
      <c r="H17" s="8" t="n"/>
      <c r="I17" s="8" t="n"/>
      <c r="J17" s="8" t="n"/>
      <c r="K17" s="8" t="n"/>
      <c r="L17" s="8" t="n"/>
      <c r="M17" s="8" t="n"/>
      <c r="N17" s="8" t="n"/>
      <c r="O17" s="8" t="n"/>
      <c r="P17" s="8" t="n"/>
      <c r="Q17" s="8" t="n"/>
      <c r="R17" s="8" t="n"/>
      <c r="S17" s="8" t="n"/>
      <c r="T17" s="8" t="n"/>
      <c r="U17" s="8" t="n"/>
    </row>
    <row r="18">
      <c r="B18" s="8" t="n"/>
      <c r="C18" s="8" t="n"/>
      <c r="D18" s="8" t="n"/>
      <c r="E18" s="8" t="n"/>
      <c r="F18" s="8" t="n"/>
      <c r="G18" s="8" t="n"/>
      <c r="H18" s="8" t="n"/>
      <c r="I18" s="8" t="n"/>
      <c r="J18" s="8" t="n"/>
      <c r="K18" s="8" t="n"/>
      <c r="L18" s="8" t="n"/>
      <c r="M18" s="8" t="n"/>
      <c r="N18" s="8" t="n"/>
      <c r="O18" s="8" t="n"/>
      <c r="P18" s="8" t="n"/>
      <c r="Q18" s="8" t="n"/>
      <c r="R18" s="8" t="n"/>
      <c r="S18" s="8" t="n"/>
      <c r="T18" s="8" t="n"/>
      <c r="U18" s="8" t="n"/>
    </row>
    <row r="19">
      <c r="B19" s="8" t="n"/>
      <c r="C19" s="8" t="n"/>
      <c r="D19" s="8" t="n"/>
      <c r="E19" s="8" t="n"/>
      <c r="F19" s="8" t="n"/>
      <c r="G19" s="8" t="n"/>
      <c r="H19" s="8" t="n"/>
      <c r="I19" s="8" t="n"/>
      <c r="J19" s="8" t="n"/>
      <c r="K19" s="8" t="n"/>
      <c r="L19" s="8" t="n"/>
      <c r="M19" s="8" t="n"/>
      <c r="N19" s="8" t="n"/>
      <c r="O19" s="8" t="n"/>
      <c r="P19" s="8" t="n"/>
      <c r="Q19" s="8" t="n"/>
      <c r="R19" s="8" t="n"/>
      <c r="S19" s="8" t="n"/>
      <c r="T19" s="8" t="n"/>
      <c r="U19" s="8" t="n"/>
    </row>
    <row r="20">
      <c r="B20" s="8" t="n"/>
      <c r="C20" s="8" t="n"/>
      <c r="D20" s="8" t="n"/>
      <c r="E20" s="8" t="n"/>
      <c r="F20" s="8" t="n"/>
      <c r="G20" s="8" t="n"/>
      <c r="H20" s="8" t="n"/>
      <c r="I20" s="8" t="n"/>
      <c r="J20" s="8" t="n"/>
      <c r="K20" s="8" t="n"/>
      <c r="L20" s="8" t="n"/>
      <c r="M20" s="8" t="n"/>
      <c r="N20" s="8" t="n"/>
      <c r="O20" s="8" t="n"/>
      <c r="P20" s="8" t="n"/>
      <c r="Q20" s="8" t="n"/>
      <c r="R20" s="8" t="n"/>
      <c r="S20" s="8" t="n"/>
      <c r="T20" s="8" t="n"/>
      <c r="U20" s="8" t="n"/>
    </row>
    <row r="21">
      <c r="B21" s="8" t="n"/>
      <c r="C21" s="8" t="n"/>
      <c r="D21" s="8" t="n"/>
      <c r="E21" s="8" t="n"/>
      <c r="F21" s="8" t="n"/>
      <c r="G21" s="8" t="n"/>
      <c r="H21" s="8" t="n"/>
      <c r="I21" s="8" t="n"/>
      <c r="J21" s="8" t="n"/>
      <c r="K21" s="8" t="n"/>
      <c r="L21" s="8" t="n"/>
      <c r="M21" s="8" t="n"/>
      <c r="N21" s="8" t="n"/>
      <c r="O21" s="8" t="n"/>
      <c r="P21" s="8" t="n"/>
      <c r="Q21" s="8" t="n"/>
      <c r="R21" s="8" t="n"/>
      <c r="S21" s="8" t="n"/>
      <c r="T21" s="8" t="n"/>
      <c r="U21" s="8" t="n"/>
    </row>
    <row r="22">
      <c r="B22" s="8" t="n"/>
      <c r="C22" s="8" t="n"/>
      <c r="D22" s="8" t="n"/>
      <c r="E22" s="8" t="n"/>
      <c r="F22" s="8" t="n"/>
      <c r="G22" s="8" t="n"/>
      <c r="H22" s="8" t="n"/>
      <c r="I22" s="8" t="n"/>
      <c r="J22" s="8" t="n"/>
      <c r="K22" s="8" t="n"/>
      <c r="L22" s="8" t="n"/>
      <c r="M22" s="8" t="n"/>
      <c r="N22" s="8" t="n"/>
      <c r="O22" s="8" t="n"/>
      <c r="P22" s="8" t="n"/>
      <c r="Q22" s="8" t="n"/>
      <c r="R22" s="8" t="n"/>
      <c r="S22" s="8" t="n"/>
      <c r="T22" s="8" t="n"/>
      <c r="U22" s="8" t="n"/>
    </row>
    <row r="23">
      <c r="B23" s="8" t="n"/>
      <c r="C23" s="8" t="n"/>
      <c r="D23" s="8" t="n"/>
      <c r="E23" s="8" t="n"/>
      <c r="F23" s="8" t="n"/>
      <c r="G23" s="8" t="n"/>
      <c r="H23" s="8" t="n"/>
      <c r="I23" s="8" t="n"/>
      <c r="J23" s="8" t="n"/>
      <c r="K23" s="8" t="n"/>
      <c r="L23" s="8" t="n"/>
      <c r="M23" s="8" t="n"/>
      <c r="N23" s="8" t="n"/>
      <c r="O23" s="8" t="n"/>
      <c r="P23" s="8" t="n"/>
      <c r="Q23" s="8" t="n"/>
      <c r="R23" s="8" t="n"/>
      <c r="S23" s="8" t="n"/>
      <c r="T23" s="8" t="n"/>
      <c r="U23" s="8" t="n"/>
    </row>
    <row r="24">
      <c r="B24" s="8" t="n"/>
      <c r="C24" s="8" t="n"/>
      <c r="D24" s="8" t="n"/>
      <c r="E24" s="8" t="n"/>
      <c r="F24" s="8" t="n"/>
      <c r="G24" s="8" t="n"/>
      <c r="H24" s="8" t="n"/>
      <c r="I24" s="8" t="n"/>
      <c r="J24" s="8" t="n"/>
      <c r="K24" s="8" t="n"/>
      <c r="L24" s="8" t="n"/>
      <c r="M24" s="8" t="n"/>
      <c r="N24" s="8" t="n"/>
      <c r="O24" s="8" t="n"/>
      <c r="P24" s="8" t="n"/>
      <c r="Q24" s="8" t="n"/>
      <c r="R24" s="8" t="n"/>
      <c r="S24" s="8" t="n"/>
      <c r="T24" s="8" t="n"/>
      <c r="U24" s="8" t="n"/>
    </row>
    <row r="25">
      <c r="B25" s="8" t="n"/>
      <c r="C25" s="8" t="n"/>
      <c r="D25" s="8" t="n"/>
      <c r="E25" s="8" t="n"/>
      <c r="F25" s="8" t="n"/>
      <c r="G25" s="8" t="n"/>
      <c r="H25" s="8" t="n"/>
      <c r="I25" s="8" t="n"/>
      <c r="J25" s="8" t="n"/>
      <c r="K25" s="8" t="n"/>
      <c r="L25" s="8" t="n"/>
      <c r="M25" s="8" t="n"/>
      <c r="N25" s="8" t="n"/>
      <c r="O25" s="8" t="n"/>
      <c r="P25" s="8" t="n"/>
      <c r="Q25" s="8" t="n"/>
      <c r="R25" s="8" t="n"/>
      <c r="S25" s="8" t="n"/>
      <c r="T25" s="8" t="n"/>
      <c r="U25" s="8" t="n"/>
    </row>
    <row r="26">
      <c r="B26" s="8" t="n"/>
      <c r="C26" s="8" t="n"/>
      <c r="D26" s="8" t="n"/>
      <c r="E26" s="8" t="n"/>
      <c r="F26" s="8" t="n"/>
      <c r="G26" s="8" t="n"/>
      <c r="H26" s="8" t="n"/>
      <c r="I26" s="8" t="n"/>
      <c r="J26" s="8" t="n"/>
      <c r="K26" s="8" t="n"/>
      <c r="L26" s="8" t="n"/>
      <c r="M26" s="8" t="n"/>
      <c r="N26" s="8" t="n"/>
      <c r="O26" s="8" t="n"/>
      <c r="P26" s="8" t="n"/>
      <c r="Q26" s="8" t="n"/>
      <c r="R26" s="8" t="n"/>
      <c r="S26" s="8" t="n"/>
      <c r="T26" s="8" t="n"/>
      <c r="U26" s="8" t="n"/>
    </row>
    <row r="27">
      <c r="B27" s="8" t="n"/>
      <c r="C27" s="8" t="n"/>
      <c r="D27" s="8" t="n"/>
      <c r="E27" s="8" t="n"/>
      <c r="F27" s="8" t="n"/>
      <c r="G27" s="8" t="n"/>
      <c r="H27" s="8" t="n"/>
      <c r="I27" s="8" t="n"/>
      <c r="J27" s="8" t="n"/>
      <c r="K27" s="8" t="n"/>
      <c r="L27" s="8" t="n"/>
      <c r="M27" s="8" t="n"/>
      <c r="N27" s="8" t="n"/>
      <c r="O27" s="8" t="n"/>
      <c r="P27" s="8" t="n"/>
      <c r="Q27" s="8" t="n"/>
      <c r="R27" s="8" t="n"/>
      <c r="S27" s="8" t="n"/>
      <c r="T27" s="8" t="n"/>
      <c r="U27" s="8" t="n"/>
    </row>
    <row r="28">
      <c r="B28" s="8" t="n"/>
      <c r="C28" s="8" t="n"/>
      <c r="D28" s="8" t="n"/>
      <c r="E28" s="8" t="n"/>
      <c r="F28" s="8" t="n"/>
      <c r="G28" s="8" t="n"/>
      <c r="H28" s="8" t="n"/>
      <c r="I28" s="8" t="n"/>
      <c r="J28" s="8" t="n"/>
      <c r="K28" s="8" t="n"/>
      <c r="L28" s="8" t="n"/>
      <c r="M28" s="8" t="n"/>
      <c r="N28" s="8" t="n"/>
      <c r="O28" s="8" t="n"/>
      <c r="P28" s="8" t="n"/>
      <c r="Q28" s="8" t="n"/>
      <c r="R28" s="8" t="n"/>
      <c r="S28" s="8" t="n"/>
      <c r="T28" s="8" t="n"/>
      <c r="U28" s="8" t="n"/>
    </row>
    <row r="29">
      <c r="B29" s="8" t="n"/>
      <c r="C29" s="8" t="n"/>
      <c r="D29" s="8" t="n"/>
      <c r="E29" s="8" t="n"/>
      <c r="F29" s="8" t="n"/>
      <c r="G29" s="8" t="n"/>
      <c r="H29" s="8" t="n"/>
      <c r="I29" s="8" t="n"/>
      <c r="J29" s="8" t="n"/>
      <c r="K29" s="8" t="n"/>
      <c r="L29" s="8" t="n"/>
      <c r="M29" s="8" t="n"/>
      <c r="N29" s="8" t="n"/>
      <c r="O29" s="8" t="n"/>
      <c r="P29" s="8" t="n"/>
      <c r="Q29" s="8" t="n"/>
      <c r="R29" s="8" t="n"/>
      <c r="S29" s="8" t="n"/>
      <c r="T29" s="8" t="n"/>
      <c r="U29" s="8" t="n"/>
    </row>
    <row r="30">
      <c r="B30" s="8" t="n"/>
      <c r="C30" s="8" t="n"/>
      <c r="D30" s="8" t="n"/>
      <c r="E30" s="8" t="n"/>
      <c r="F30" s="8" t="n"/>
      <c r="G30" s="8" t="n"/>
      <c r="H30" s="8" t="n"/>
      <c r="I30" s="8" t="n"/>
      <c r="J30" s="8" t="n"/>
      <c r="K30" s="8" t="n"/>
      <c r="L30" s="8" t="n"/>
      <c r="M30" s="8" t="n"/>
      <c r="N30" s="8" t="n"/>
      <c r="O30" s="8" t="n"/>
      <c r="P30" s="8" t="n"/>
      <c r="Q30" s="8" t="n"/>
      <c r="R30" s="8" t="n"/>
      <c r="S30" s="8" t="n"/>
      <c r="T30" s="8" t="n"/>
      <c r="U30" s="8" t="n"/>
    </row>
    <row r="31">
      <c r="B31" s="8" t="n"/>
      <c r="C31" s="8" t="n"/>
      <c r="D31" s="8" t="n"/>
      <c r="E31" s="8" t="n"/>
      <c r="F31" s="8" t="n"/>
      <c r="G31" s="8" t="n"/>
      <c r="H31" s="8" t="n"/>
      <c r="I31" s="8" t="n"/>
      <c r="J31" s="8" t="n"/>
      <c r="K31" s="8" t="n"/>
      <c r="L31" s="8" t="n"/>
      <c r="M31" s="8" t="n"/>
      <c r="N31" s="8" t="n"/>
      <c r="O31" s="8" t="n"/>
      <c r="P31" s="8" t="n"/>
      <c r="Q31" s="8" t="n"/>
      <c r="R31" s="8" t="n"/>
      <c r="S31" s="8" t="n"/>
      <c r="T31" s="8" t="n"/>
      <c r="U31" s="8" t="n"/>
    </row>
    <row r="32">
      <c r="B32" s="8" t="n"/>
      <c r="C32" s="8" t="n"/>
      <c r="D32" s="8" t="n"/>
      <c r="E32" s="8" t="n"/>
      <c r="F32" s="8" t="n"/>
      <c r="G32" s="8" t="n"/>
      <c r="H32" s="8" t="n"/>
      <c r="I32" s="8" t="n"/>
      <c r="J32" s="8" t="n"/>
      <c r="K32" s="8" t="n"/>
      <c r="L32" s="8" t="n"/>
      <c r="M32" s="8" t="n"/>
      <c r="N32" s="8" t="n"/>
      <c r="O32" s="8" t="n"/>
      <c r="P32" s="8" t="n"/>
      <c r="Q32" s="8" t="n"/>
      <c r="R32" s="8" t="n"/>
      <c r="S32" s="8" t="n"/>
      <c r="T32" s="8" t="n"/>
      <c r="U32" s="8" t="n"/>
    </row>
    <row r="33">
      <c r="B33" s="8" t="n"/>
      <c r="C33" s="8" t="n"/>
      <c r="D33" s="8" t="n"/>
      <c r="E33" s="8" t="n"/>
      <c r="F33" s="8" t="n"/>
      <c r="G33" s="8" t="n"/>
      <c r="H33" s="8" t="n"/>
      <c r="I33" s="8" t="n"/>
      <c r="J33" s="8" t="n"/>
      <c r="K33" s="8" t="n"/>
      <c r="L33" s="8" t="n"/>
      <c r="M33" s="8" t="n"/>
      <c r="N33" s="8" t="n"/>
      <c r="O33" s="8" t="n"/>
      <c r="P33" s="8" t="n"/>
      <c r="Q33" s="8" t="n"/>
      <c r="R33" s="8" t="n"/>
      <c r="S33" s="8" t="n"/>
      <c r="T33" s="8" t="n"/>
      <c r="U33" s="8" t="n"/>
    </row>
    <row r="34">
      <c r="B34" s="8" t="n"/>
      <c r="C34" s="8" t="n"/>
      <c r="D34" s="8" t="n"/>
      <c r="E34" s="8" t="n"/>
      <c r="F34" s="8" t="n"/>
      <c r="G34" s="8" t="n"/>
      <c r="H34" s="8" t="n"/>
      <c r="I34" s="8" t="n"/>
      <c r="J34" s="8" t="n"/>
      <c r="K34" s="8" t="n"/>
      <c r="L34" s="8" t="n"/>
      <c r="M34" s="8" t="n"/>
      <c r="N34" s="8" t="n"/>
      <c r="O34" s="8" t="n"/>
      <c r="P34" s="8" t="n"/>
      <c r="Q34" s="8" t="n"/>
      <c r="R34" s="8" t="n"/>
      <c r="S34" s="8" t="n"/>
      <c r="T34" s="8" t="n"/>
      <c r="U34" s="8" t="n"/>
    </row>
    <row r="35">
      <c r="B35" s="8" t="n"/>
      <c r="C35" s="8" t="n"/>
      <c r="D35" s="8" t="n"/>
      <c r="E35" s="8" t="n"/>
      <c r="F35" s="8" t="n"/>
      <c r="G35" s="8" t="n"/>
      <c r="H35" s="8" t="n"/>
      <c r="I35" s="8" t="n"/>
      <c r="J35" s="8" t="n"/>
      <c r="K35" s="8" t="n"/>
      <c r="L35" s="8" t="n"/>
      <c r="M35" s="8" t="n"/>
      <c r="N35" s="8" t="n"/>
      <c r="O35" s="8" t="n"/>
      <c r="P35" s="8" t="n"/>
      <c r="Q35" s="8" t="n"/>
      <c r="R35" s="8" t="n"/>
      <c r="S35" s="8" t="n"/>
      <c r="T35" s="8" t="n"/>
      <c r="U35" s="8" t="n"/>
    </row>
    <row r="36">
      <c r="B36" s="8" t="n"/>
      <c r="C36" s="8" t="n"/>
      <c r="D36" s="8" t="n"/>
      <c r="E36" s="8" t="n"/>
      <c r="F36" s="8" t="n"/>
      <c r="G36" s="8" t="n"/>
      <c r="H36" s="8" t="n"/>
      <c r="I36" s="8" t="n"/>
      <c r="J36" s="8" t="n"/>
      <c r="K36" s="8" t="n"/>
      <c r="L36" s="8" t="n"/>
      <c r="M36" s="8" t="n"/>
      <c r="N36" s="8" t="n"/>
      <c r="O36" s="8" t="n"/>
      <c r="P36" s="8" t="n"/>
      <c r="Q36" s="8" t="n"/>
      <c r="R36" s="8" t="n"/>
      <c r="S36" s="8" t="n"/>
      <c r="T36" s="8" t="n"/>
      <c r="U36" s="8" t="n"/>
    </row>
    <row r="37">
      <c r="B37" s="8" t="n"/>
      <c r="C37" s="8" t="n"/>
      <c r="D37" s="8" t="n"/>
      <c r="E37" s="8" t="n"/>
      <c r="F37" s="8" t="n"/>
      <c r="G37" s="8" t="n"/>
      <c r="H37" s="8" t="n"/>
      <c r="I37" s="8" t="n"/>
      <c r="J37" s="8" t="n"/>
      <c r="K37" s="8" t="n"/>
      <c r="L37" s="8" t="n"/>
      <c r="M37" s="8" t="n"/>
      <c r="N37" s="8" t="n"/>
      <c r="O37" s="8" t="n"/>
      <c r="P37" s="8" t="n"/>
      <c r="Q37" s="8" t="n"/>
      <c r="R37" s="8" t="n"/>
      <c r="S37" s="8" t="n"/>
      <c r="T37" s="8" t="n"/>
      <c r="U37" s="8" t="n"/>
    </row>
    <row r="38">
      <c r="B38" s="8" t="n"/>
      <c r="C38" s="8" t="n"/>
      <c r="D38" s="8" t="n"/>
      <c r="E38" s="8" t="n"/>
      <c r="F38" s="8" t="n"/>
      <c r="G38" s="8" t="n"/>
      <c r="H38" s="8" t="n"/>
      <c r="I38" s="8" t="n"/>
      <c r="J38" s="8" t="n"/>
      <c r="K38" s="8" t="n"/>
      <c r="L38" s="8" t="n"/>
      <c r="M38" s="8" t="n"/>
      <c r="N38" s="8" t="n"/>
      <c r="O38" s="8" t="n"/>
      <c r="P38" s="8" t="n"/>
      <c r="Q38" s="8" t="n"/>
      <c r="R38" s="8" t="n"/>
      <c r="S38" s="8" t="n"/>
      <c r="T38" s="8" t="n"/>
      <c r="U38" s="8" t="n"/>
    </row>
    <row r="39">
      <c r="B39" s="8" t="n"/>
      <c r="C39" s="8" t="n"/>
      <c r="D39" s="8" t="n"/>
      <c r="E39" s="8" t="n"/>
      <c r="F39" s="8" t="n"/>
      <c r="G39" s="8" t="n"/>
      <c r="H39" s="8" t="n"/>
      <c r="I39" s="8" t="n"/>
      <c r="J39" s="8" t="n"/>
      <c r="K39" s="8" t="n"/>
      <c r="L39" s="8" t="n"/>
      <c r="M39" s="8" t="n"/>
      <c r="N39" s="8" t="n"/>
      <c r="O39" s="8" t="n"/>
      <c r="P39" s="8" t="n"/>
      <c r="Q39" s="8" t="n"/>
      <c r="R39" s="8" t="n"/>
      <c r="S39" s="8" t="n"/>
      <c r="T39" s="8" t="n"/>
      <c r="U39" s="8" t="n"/>
    </row>
    <row r="40">
      <c r="B40" s="8" t="n"/>
      <c r="C40" s="8" t="n"/>
      <c r="D40" s="8" t="n"/>
      <c r="E40" s="8" t="n"/>
      <c r="F40" s="8" t="n"/>
      <c r="G40" s="8" t="n"/>
      <c r="H40" s="8" t="n"/>
      <c r="I40" s="8" t="n"/>
      <c r="J40" s="8" t="n"/>
      <c r="K40" s="8" t="n"/>
      <c r="L40" s="8" t="n"/>
      <c r="M40" s="8" t="n"/>
      <c r="N40" s="8" t="n"/>
      <c r="O40" s="8" t="n"/>
      <c r="P40" s="8" t="n"/>
      <c r="Q40" s="8" t="n"/>
      <c r="R40" s="8" t="n"/>
      <c r="S40" s="8" t="n"/>
      <c r="T40" s="8" t="n"/>
      <c r="U40" s="8" t="n"/>
    </row>
    <row r="41">
      <c r="B41" s="8" t="n"/>
      <c r="C41" s="8" t="n"/>
      <c r="D41" s="8" t="n"/>
      <c r="E41" s="8" t="n"/>
      <c r="F41" s="8" t="n"/>
      <c r="G41" s="8" t="n"/>
      <c r="H41" s="8" t="n"/>
      <c r="I41" s="8" t="n"/>
      <c r="J41" s="8" t="n"/>
      <c r="K41" s="8" t="n"/>
      <c r="L41" s="8" t="n"/>
      <c r="M41" s="8" t="n"/>
      <c r="N41" s="8" t="n"/>
      <c r="O41" s="8" t="n"/>
      <c r="P41" s="8" t="n"/>
      <c r="Q41" s="8" t="n"/>
      <c r="R41" s="8" t="n"/>
      <c r="S41" s="8" t="n"/>
      <c r="T41" s="8" t="n"/>
      <c r="U41" s="8" t="n"/>
    </row>
    <row r="42">
      <c r="B42" s="8" t="n"/>
      <c r="C42" s="8" t="n"/>
      <c r="D42" s="8" t="n"/>
      <c r="E42" s="8" t="n"/>
      <c r="F42" s="8" t="n"/>
      <c r="G42" s="8" t="n"/>
      <c r="H42" s="8" t="n"/>
      <c r="I42" s="8" t="n"/>
      <c r="J42" s="8" t="n"/>
      <c r="K42" s="8" t="n"/>
      <c r="L42" s="8" t="n"/>
      <c r="M42" s="8" t="n"/>
      <c r="N42" s="8" t="n"/>
      <c r="O42" s="8" t="n"/>
      <c r="P42" s="8" t="n"/>
      <c r="Q42" s="8" t="n"/>
      <c r="R42" s="8" t="n"/>
      <c r="S42" s="8" t="n"/>
      <c r="T42" s="8" t="n"/>
      <c r="U42" s="8" t="n"/>
    </row>
    <row r="43">
      <c r="B43" s="8" t="n"/>
      <c r="C43" s="8" t="n"/>
      <c r="D43" s="8" t="n"/>
      <c r="E43" s="8" t="n"/>
      <c r="F43" s="8" t="n"/>
      <c r="G43" s="8" t="n"/>
      <c r="H43" s="8" t="n"/>
      <c r="I43" s="8" t="n"/>
      <c r="J43" s="8" t="n"/>
      <c r="K43" s="8" t="n"/>
      <c r="L43" s="8" t="n"/>
      <c r="M43" s="8" t="n"/>
      <c r="N43" s="8" t="n"/>
      <c r="O43" s="8" t="n"/>
      <c r="P43" s="8" t="n"/>
      <c r="Q43" s="8" t="n"/>
      <c r="R43" s="8" t="n"/>
      <c r="S43" s="8" t="n"/>
      <c r="T43" s="8" t="n"/>
      <c r="U43" s="8" t="n"/>
    </row>
    <row r="44">
      <c r="B44" s="8" t="n"/>
      <c r="C44" s="8" t="n"/>
      <c r="D44" s="8" t="n"/>
      <c r="E44" s="8" t="n"/>
      <c r="F44" s="8" t="n"/>
      <c r="G44" s="8" t="n"/>
      <c r="H44" s="8" t="n"/>
      <c r="I44" s="8" t="n"/>
      <c r="J44" s="8" t="n"/>
      <c r="K44" s="8" t="n"/>
      <c r="L44" s="8" t="n"/>
      <c r="M44" s="8" t="n"/>
      <c r="N44" s="8" t="n"/>
      <c r="O44" s="8" t="n"/>
      <c r="P44" s="8" t="n"/>
      <c r="Q44" s="8" t="n"/>
      <c r="R44" s="8" t="n"/>
      <c r="S44" s="8" t="n"/>
      <c r="T44" s="8" t="n"/>
      <c r="U44" s="8" t="n"/>
    </row>
    <row r="45">
      <c r="B45" s="8" t="n"/>
      <c r="C45" s="8" t="n"/>
      <c r="D45" s="8" t="n"/>
      <c r="E45" s="8" t="n"/>
      <c r="F45" s="8" t="n"/>
      <c r="G45" s="8" t="n"/>
      <c r="H45" s="8" t="n"/>
      <c r="I45" s="8" t="n"/>
      <c r="J45" s="8" t="n"/>
      <c r="K45" s="8" t="n"/>
      <c r="L45" s="8" t="n"/>
      <c r="M45" s="8" t="n"/>
      <c r="N45" s="8" t="n"/>
      <c r="O45" s="8" t="n"/>
      <c r="P45" s="8" t="n"/>
      <c r="Q45" s="8" t="n"/>
      <c r="R45" s="8" t="n"/>
      <c r="S45" s="8" t="n"/>
      <c r="T45" s="8" t="n"/>
      <c r="U45" s="8" t="n"/>
    </row>
    <row r="46">
      <c r="B46" s="8" t="n"/>
      <c r="C46" s="8" t="n"/>
      <c r="D46" s="8" t="n"/>
      <c r="E46" s="8" t="n"/>
      <c r="F46" s="8" t="n"/>
      <c r="G46" s="8" t="n"/>
      <c r="H46" s="8" t="n"/>
      <c r="I46" s="8" t="n"/>
      <c r="J46" s="8" t="n"/>
      <c r="K46" s="8" t="n"/>
      <c r="L46" s="8" t="n"/>
      <c r="M46" s="8" t="n"/>
      <c r="N46" s="8" t="n"/>
      <c r="O46" s="8" t="n"/>
      <c r="P46" s="8" t="n"/>
      <c r="Q46" s="8" t="n"/>
      <c r="R46" s="8" t="n"/>
      <c r="S46" s="8" t="n"/>
      <c r="T46" s="8" t="n"/>
      <c r="U46" s="8" t="n"/>
    </row>
    <row r="47">
      <c r="B47" s="8" t="n"/>
      <c r="C47" s="8" t="n"/>
      <c r="D47" s="8" t="n"/>
      <c r="E47" s="8" t="n"/>
      <c r="F47" s="8" t="n"/>
      <c r="G47" s="8" t="n"/>
      <c r="H47" s="8" t="n"/>
      <c r="I47" s="8" t="n"/>
      <c r="J47" s="8" t="n"/>
      <c r="K47" s="8" t="n"/>
      <c r="L47" s="8" t="n"/>
      <c r="M47" s="8" t="n"/>
      <c r="N47" s="8" t="n"/>
      <c r="O47" s="8" t="n"/>
      <c r="P47" s="8" t="n"/>
      <c r="Q47" s="8" t="n"/>
      <c r="R47" s="8" t="n"/>
      <c r="S47" s="8" t="n"/>
      <c r="T47" s="8" t="n"/>
      <c r="U47" s="8" t="n"/>
    </row>
    <row r="48">
      <c r="B48" s="8" t="n"/>
      <c r="C48" s="8" t="n"/>
      <c r="D48" s="8" t="n"/>
      <c r="E48" s="8" t="n"/>
      <c r="F48" s="8" t="n"/>
      <c r="G48" s="8" t="n"/>
      <c r="H48" s="8" t="n"/>
      <c r="I48" s="8" t="n"/>
      <c r="J48" s="8" t="n"/>
      <c r="K48" s="8" t="n"/>
      <c r="L48" s="8" t="n"/>
      <c r="M48" s="8" t="n"/>
      <c r="N48" s="8" t="n"/>
      <c r="O48" s="8" t="n"/>
      <c r="P48" s="8" t="n"/>
      <c r="Q48" s="8" t="n"/>
      <c r="R48" s="8" t="n"/>
      <c r="S48" s="8" t="n"/>
      <c r="T48" s="8" t="n"/>
      <c r="U48" s="8" t="n"/>
    </row>
    <row r="49">
      <c r="B49" s="8" t="n"/>
      <c r="C49" s="8" t="n"/>
      <c r="D49" s="8" t="n"/>
      <c r="E49" s="8" t="n"/>
      <c r="F49" s="8" t="n"/>
      <c r="G49" s="8" t="n"/>
      <c r="H49" s="8" t="n"/>
      <c r="I49" s="8" t="n"/>
      <c r="J49" s="8" t="n"/>
      <c r="K49" s="8" t="n"/>
      <c r="L49" s="8" t="n"/>
      <c r="M49" s="8" t="n"/>
      <c r="N49" s="8" t="n"/>
      <c r="O49" s="8" t="n"/>
      <c r="P49" s="8" t="n"/>
      <c r="Q49" s="8" t="n"/>
      <c r="R49" s="8" t="n"/>
      <c r="S49" s="8" t="n"/>
      <c r="T49" s="8" t="n"/>
      <c r="U49" s="8" t="n"/>
    </row>
    <row r="50">
      <c r="B50" s="8" t="n"/>
      <c r="C50" s="8" t="n"/>
      <c r="D50" s="8" t="n"/>
      <c r="E50" s="8" t="n"/>
      <c r="F50" s="8" t="n"/>
      <c r="G50" s="8" t="n"/>
      <c r="H50" s="8" t="n"/>
      <c r="I50" s="8" t="n"/>
      <c r="J50" s="8" t="n"/>
      <c r="K50" s="8" t="n"/>
      <c r="L50" s="8" t="n"/>
      <c r="M50" s="8" t="n"/>
      <c r="N50" s="8" t="n"/>
      <c r="O50" s="8" t="n"/>
      <c r="P50" s="8" t="n"/>
      <c r="Q50" s="8" t="n"/>
      <c r="R50" s="8" t="n"/>
      <c r="S50" s="8" t="n"/>
      <c r="T50" s="8" t="n"/>
      <c r="U50" s="8" t="n"/>
    </row>
    <row r="51">
      <c r="B51" s="8" t="n"/>
      <c r="C51" s="8" t="n"/>
      <c r="D51" s="8" t="n"/>
      <c r="E51" s="8" t="n"/>
      <c r="F51" s="8" t="n"/>
      <c r="G51" s="8" t="n"/>
      <c r="H51" s="8" t="n"/>
      <c r="I51" s="8" t="n"/>
      <c r="J51" s="8" t="n"/>
      <c r="K51" s="8" t="n"/>
      <c r="L51" s="8" t="n"/>
      <c r="M51" s="8" t="n"/>
      <c r="N51" s="8" t="n"/>
      <c r="O51" s="8" t="n"/>
      <c r="P51" s="8" t="n"/>
      <c r="Q51" s="8" t="n"/>
      <c r="R51" s="8" t="n"/>
      <c r="S51" s="8" t="n"/>
      <c r="T51" s="8" t="n"/>
      <c r="U51" s="8" t="n"/>
    </row>
    <row r="52">
      <c r="B52" s="8" t="n"/>
      <c r="C52" s="8" t="n"/>
      <c r="D52" s="8" t="n"/>
      <c r="E52" s="8" t="n"/>
      <c r="F52" s="8" t="n"/>
      <c r="G52" s="8" t="n"/>
      <c r="H52" s="8" t="n"/>
      <c r="I52" s="8" t="n"/>
      <c r="J52" s="8" t="n"/>
      <c r="K52" s="8" t="n"/>
      <c r="L52" s="8" t="n"/>
      <c r="M52" s="8" t="n"/>
      <c r="N52" s="8" t="n"/>
      <c r="O52" s="8" t="n"/>
      <c r="P52" s="8" t="n"/>
      <c r="Q52" s="8" t="n"/>
      <c r="R52" s="8" t="n"/>
      <c r="S52" s="8" t="n"/>
      <c r="T52" s="8" t="n"/>
      <c r="U52" s="8" t="n"/>
    </row>
    <row r="53">
      <c r="B53" s="8" t="n"/>
      <c r="C53" s="8" t="n"/>
      <c r="D53" s="8" t="n"/>
      <c r="E53" s="8" t="n"/>
      <c r="F53" s="8" t="n"/>
      <c r="G53" s="8" t="n"/>
      <c r="H53" s="8" t="n"/>
      <c r="I53" s="8" t="n"/>
      <c r="J53" s="8" t="n"/>
      <c r="K53" s="8" t="n"/>
      <c r="L53" s="8" t="n"/>
      <c r="M53" s="8" t="n"/>
      <c r="N53" s="8" t="n"/>
      <c r="O53" s="8" t="n"/>
      <c r="P53" s="8" t="n"/>
      <c r="Q53" s="8" t="n"/>
      <c r="R53" s="8" t="n"/>
      <c r="S53" s="8" t="n"/>
      <c r="T53" s="8" t="n"/>
      <c r="U53" s="8" t="n"/>
    </row>
    <row r="54">
      <c r="B54" s="8" t="n"/>
      <c r="C54" s="8" t="n"/>
      <c r="D54" s="8" t="n"/>
      <c r="E54" s="8" t="n"/>
      <c r="F54" s="8" t="n"/>
      <c r="G54" s="8" t="n"/>
      <c r="H54" s="8" t="n"/>
      <c r="I54" s="8" t="n"/>
      <c r="J54" s="8" t="n"/>
      <c r="K54" s="8" t="n"/>
      <c r="L54" s="8" t="n"/>
      <c r="M54" s="8" t="n"/>
      <c r="N54" s="8" t="n"/>
      <c r="O54" s="8" t="n"/>
      <c r="P54" s="8" t="n"/>
      <c r="Q54" s="8" t="n"/>
      <c r="R54" s="8" t="n"/>
      <c r="S54" s="8" t="n"/>
      <c r="T54" s="8" t="n"/>
      <c r="U54" s="8" t="n"/>
    </row>
    <row r="55">
      <c r="B55" s="8" t="n"/>
      <c r="C55" s="8" t="n"/>
      <c r="D55" s="8" t="n"/>
      <c r="E55" s="8" t="n"/>
      <c r="F55" s="8" t="n"/>
      <c r="G55" s="8" t="n"/>
      <c r="H55" s="8" t="n"/>
      <c r="I55" s="8" t="n"/>
      <c r="J55" s="8" t="n"/>
      <c r="K55" s="8" t="n"/>
      <c r="L55" s="8" t="n"/>
      <c r="M55" s="8" t="n"/>
      <c r="N55" s="8" t="n"/>
      <c r="O55" s="8" t="n"/>
      <c r="P55" s="8" t="n"/>
      <c r="Q55" s="8" t="n"/>
      <c r="R55" s="8" t="n"/>
      <c r="S55" s="8" t="n"/>
      <c r="T55" s="8" t="n"/>
      <c r="U55" s="8" t="n"/>
    </row>
    <row r="56">
      <c r="B56" s="8" t="n"/>
      <c r="C56" s="8" t="n"/>
      <c r="D56" s="8" t="n"/>
      <c r="E56" s="8" t="n"/>
      <c r="F56" s="8" t="n"/>
      <c r="G56" s="8" t="n"/>
      <c r="H56" s="8" t="n"/>
      <c r="I56" s="8" t="n"/>
      <c r="J56" s="8" t="n"/>
      <c r="K56" s="8" t="n"/>
      <c r="L56" s="8" t="n"/>
      <c r="M56" s="8" t="n"/>
      <c r="N56" s="8" t="n"/>
      <c r="O56" s="8" t="n"/>
      <c r="P56" s="8" t="n"/>
      <c r="Q56" s="8" t="n"/>
      <c r="R56" s="8" t="n"/>
      <c r="S56" s="8" t="n"/>
      <c r="T56" s="8" t="n"/>
      <c r="U56" s="8" t="n"/>
    </row>
    <row r="57">
      <c r="B57" s="8" t="n"/>
      <c r="C57" s="8" t="n"/>
      <c r="D57" s="8" t="n"/>
      <c r="E57" s="8" t="n"/>
      <c r="F57" s="8" t="n"/>
      <c r="G57" s="8" t="n"/>
      <c r="H57" s="8" t="n"/>
      <c r="I57" s="8" t="n"/>
      <c r="J57" s="8" t="n"/>
      <c r="K57" s="8" t="n"/>
      <c r="L57" s="8" t="n"/>
      <c r="M57" s="8" t="n"/>
      <c r="N57" s="8" t="n"/>
      <c r="O57" s="8" t="n"/>
      <c r="P57" s="8" t="n"/>
      <c r="Q57" s="8" t="n"/>
      <c r="R57" s="8" t="n"/>
      <c r="S57" s="8" t="n"/>
      <c r="T57" s="8" t="n"/>
      <c r="U57" s="8" t="n"/>
    </row>
    <row r="58">
      <c r="B58" s="8" t="n"/>
      <c r="C58" s="8" t="n"/>
      <c r="D58" s="8" t="n"/>
      <c r="E58" s="8" t="n"/>
      <c r="F58" s="8" t="n"/>
      <c r="G58" s="8" t="n"/>
      <c r="H58" s="8" t="n"/>
      <c r="I58" s="8" t="n"/>
      <c r="J58" s="8" t="n"/>
      <c r="K58" s="8" t="n"/>
      <c r="L58" s="8" t="n"/>
      <c r="M58" s="8" t="n"/>
      <c r="N58" s="8" t="n"/>
      <c r="O58" s="8" t="n"/>
      <c r="P58" s="8" t="n"/>
      <c r="Q58" s="8" t="n"/>
      <c r="R58" s="8" t="n"/>
      <c r="S58" s="8" t="n"/>
      <c r="T58" s="8" t="n"/>
      <c r="U58" s="8" t="n"/>
    </row>
    <row r="59">
      <c r="B59" s="8" t="n"/>
      <c r="C59" s="8" t="n"/>
      <c r="D59" s="8" t="n"/>
      <c r="E59" s="8" t="n"/>
      <c r="F59" s="8" t="n"/>
      <c r="G59" s="8" t="n"/>
      <c r="H59" s="8" t="n"/>
      <c r="I59" s="8" t="n"/>
      <c r="J59" s="8" t="n"/>
      <c r="K59" s="8" t="n"/>
      <c r="L59" s="8" t="n"/>
      <c r="M59" s="8" t="n"/>
      <c r="N59" s="8" t="n"/>
      <c r="O59" s="8" t="n"/>
      <c r="P59" s="8" t="n"/>
      <c r="Q59" s="8" t="n"/>
      <c r="R59" s="8" t="n"/>
      <c r="S59" s="8" t="n"/>
      <c r="T59" s="8" t="n"/>
      <c r="U59" s="8" t="n"/>
    </row>
    <row r="60">
      <c r="B60" s="8" t="n"/>
      <c r="C60" s="8" t="n"/>
      <c r="D60" s="8" t="n"/>
      <c r="E60" s="8" t="n"/>
      <c r="F60" s="8" t="n"/>
      <c r="G60" s="8" t="n"/>
      <c r="H60" s="8" t="n"/>
      <c r="I60" s="8" t="n"/>
      <c r="J60" s="8" t="n"/>
      <c r="K60" s="8" t="n"/>
      <c r="L60" s="8" t="n"/>
      <c r="M60" s="8" t="n"/>
      <c r="N60" s="8" t="n"/>
      <c r="O60" s="8" t="n"/>
      <c r="P60" s="8" t="n"/>
      <c r="Q60" s="8" t="n"/>
      <c r="R60" s="8" t="n"/>
      <c r="S60" s="8" t="n"/>
      <c r="T60" s="8" t="n"/>
      <c r="U60" s="8" t="n"/>
    </row>
    <row r="61">
      <c r="B61" s="8" t="n"/>
      <c r="C61" s="8" t="n"/>
      <c r="D61" s="8" t="n"/>
      <c r="E61" s="8" t="n"/>
      <c r="F61" s="8" t="n"/>
      <c r="G61" s="8" t="n"/>
      <c r="H61" s="8" t="n"/>
      <c r="I61" s="8" t="n"/>
      <c r="J61" s="8" t="n"/>
      <c r="K61" s="8" t="n"/>
      <c r="L61" s="8" t="n"/>
      <c r="M61" s="8" t="n"/>
      <c r="N61" s="8" t="n"/>
      <c r="O61" s="8" t="n"/>
      <c r="P61" s="8" t="n"/>
      <c r="Q61" s="8" t="n"/>
      <c r="R61" s="8" t="n"/>
      <c r="S61" s="8" t="n"/>
      <c r="T61" s="8" t="n"/>
      <c r="U61" s="8" t="n"/>
    </row>
    <row r="62">
      <c r="B62" s="8" t="n"/>
      <c r="C62" s="8" t="n"/>
      <c r="D62" s="8" t="n"/>
      <c r="E62" s="8" t="n"/>
      <c r="F62" s="8" t="n"/>
      <c r="G62" s="8" t="n"/>
      <c r="H62" s="8" t="n"/>
      <c r="I62" s="8" t="n"/>
      <c r="J62" s="8" t="n"/>
      <c r="K62" s="8" t="n"/>
      <c r="L62" s="8" t="n"/>
      <c r="M62" s="8" t="n"/>
      <c r="N62" s="8" t="n"/>
      <c r="O62" s="8" t="n"/>
      <c r="P62" s="8" t="n"/>
      <c r="Q62" s="8" t="n"/>
      <c r="R62" s="8" t="n"/>
      <c r="S62" s="8" t="n"/>
      <c r="T62" s="8" t="n"/>
      <c r="U62" s="8" t="n"/>
    </row>
    <row r="63">
      <c r="B63" s="8" t="n"/>
      <c r="C63" s="8" t="n"/>
      <c r="D63" s="8" t="n"/>
      <c r="E63" s="8" t="n"/>
      <c r="F63" s="8" t="n"/>
      <c r="G63" s="8" t="n"/>
      <c r="H63" s="8" t="n"/>
      <c r="I63" s="8" t="n"/>
      <c r="J63" s="8" t="n"/>
      <c r="K63" s="8" t="n"/>
      <c r="L63" s="8" t="n"/>
      <c r="M63" s="8" t="n"/>
      <c r="N63" s="8" t="n"/>
      <c r="O63" s="8" t="n"/>
      <c r="P63" s="8" t="n"/>
      <c r="Q63" s="8" t="n"/>
      <c r="R63" s="8" t="n"/>
      <c r="S63" s="8" t="n"/>
      <c r="T63" s="8" t="n"/>
      <c r="U63" s="8" t="n"/>
    </row>
    <row r="64">
      <c r="B64" s="8" t="n"/>
      <c r="C64" s="8" t="n"/>
      <c r="D64" s="8" t="n"/>
      <c r="E64" s="8" t="n"/>
      <c r="F64" s="8" t="n"/>
      <c r="G64" s="8" t="n"/>
      <c r="H64" s="8" t="n"/>
      <c r="I64" s="8" t="n"/>
      <c r="J64" s="8" t="n"/>
      <c r="K64" s="8" t="n"/>
      <c r="L64" s="8" t="n"/>
      <c r="M64" s="8" t="n"/>
      <c r="N64" s="8" t="n"/>
      <c r="O64" s="8" t="n"/>
      <c r="P64" s="8" t="n"/>
      <c r="Q64" s="8" t="n"/>
      <c r="R64" s="8" t="n"/>
      <c r="S64" s="8" t="n"/>
      <c r="T64" s="8" t="n"/>
      <c r="U64" s="8" t="n"/>
    </row>
    <row r="65">
      <c r="B65" s="8" t="n"/>
      <c r="C65" s="8" t="n"/>
      <c r="D65" s="8" t="n"/>
      <c r="E65" s="8" t="n"/>
      <c r="F65" s="8" t="n"/>
      <c r="G65" s="8" t="n"/>
      <c r="H65" s="8" t="n"/>
      <c r="I65" s="8" t="n"/>
      <c r="J65" s="8" t="n"/>
      <c r="K65" s="8" t="n"/>
      <c r="L65" s="8" t="n"/>
      <c r="M65" s="8" t="n"/>
      <c r="N65" s="8" t="n"/>
      <c r="O65" s="8" t="n"/>
      <c r="P65" s="8" t="n"/>
      <c r="Q65" s="8" t="n"/>
      <c r="R65" s="8" t="n"/>
      <c r="S65" s="8" t="n"/>
      <c r="T65" s="8" t="n"/>
      <c r="U65" s="8" t="n"/>
    </row>
    <row r="66">
      <c r="B66" s="8" t="n"/>
      <c r="C66" s="8" t="n"/>
      <c r="D66" s="8" t="n"/>
      <c r="E66" s="8" t="n"/>
      <c r="F66" s="8" t="n"/>
      <c r="G66" s="8" t="n"/>
      <c r="H66" s="8" t="n"/>
      <c r="I66" s="8" t="n"/>
      <c r="J66" s="8" t="n"/>
      <c r="K66" s="8" t="n"/>
      <c r="L66" s="8" t="n"/>
      <c r="M66" s="8" t="n"/>
      <c r="N66" s="8" t="n"/>
      <c r="O66" s="8" t="n"/>
      <c r="P66" s="8" t="n"/>
      <c r="Q66" s="8" t="n"/>
      <c r="R66" s="8" t="n"/>
      <c r="S66" s="8" t="n"/>
      <c r="T66" s="8" t="n"/>
      <c r="U66" s="8" t="n"/>
    </row>
  </sheetData>
  <dataValidations count="8">
    <dataValidation sqref="B7:B66" showDropDown="0" showInputMessage="0" showErrorMessage="0" allowBlank="1" errorTitle="Invalid entry" error="Please select from the dropdown" type="list">
      <formula1>=Lists!$K$2:$K$14</formula1>
    </dataValidation>
    <dataValidation sqref="E7:E66" showDropDown="0" showInputMessage="0" showErrorMessage="0" allowBlank="1" errorTitle="Invalid entry" error="Please select from the dropdown" type="list">
      <formula1>"Y,N"</formula1>
    </dataValidation>
    <dataValidation sqref="I7:I66" showDropDown="0" showInputMessage="0" showErrorMessage="0" allowBlank="1" errorTitle="Invalid entry" error="Please select from the dropdown" type="list">
      <formula1>"Y,N"</formula1>
    </dataValidation>
    <dataValidation sqref="J7:J66" showDropDown="0" showInputMessage="0" showErrorMessage="0" allowBlank="1" errorTitle="Invalid entry" error="Please select from the dropdown" type="list">
      <formula1>"Y,N"</formula1>
    </dataValidation>
    <dataValidation sqref="K7:K66" showDropDown="0" showInputMessage="0" showErrorMessage="0" allowBlank="1" errorTitle="Invalid entry" error="Please select from the dropdown" type="list">
      <formula1>"Y,N"</formula1>
    </dataValidation>
    <dataValidation sqref="L7:L66" showDropDown="0" showInputMessage="0" showErrorMessage="0" allowBlank="1" errorTitle="Invalid entry" error="Please select from the dropdown" type="list">
      <formula1>"Y,N"</formula1>
    </dataValidation>
    <dataValidation sqref="Q7:Q66" showDropDown="0" showInputMessage="0" showErrorMessage="0" allowBlank="1" errorTitle="Invalid entry" error="Please select from the dropdown" type="list">
      <formula1>"Y,N"</formula1>
    </dataValidation>
    <dataValidation sqref="U7:U66"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4" customWidth="1" min="1" max="1"/>
    <col width="8" customWidth="1" min="2" max="2"/>
    <col width="26" customWidth="1" min="3" max="3"/>
    <col width="30" customWidth="1" min="4" max="4"/>
    <col width="36" customWidth="1" min="5" max="5"/>
    <col width="40" customWidth="1" min="6" max="6"/>
    <col width="50" customWidth="1" min="7" max="7"/>
    <col width="10" customWidth="1" min="8" max="8"/>
    <col width="30" customWidth="1" min="9" max="9"/>
  </cols>
  <sheetData>
    <row r="1">
      <c r="A1" s="1" t="inlineStr">
        <is>
          <t>↑</t>
        </is>
      </c>
      <c r="B1" s="2" t="inlineStr">
        <is>
          <t>2026 Sustainability Report</t>
        </is>
      </c>
    </row>
    <row r="2">
      <c r="B2" s="3" t="inlineStr">
        <is>
          <t>P5. SR26 page index (URLs)</t>
        </is>
      </c>
    </row>
    <row r="5">
      <c r="B5" s="6" t="inlineStr">
        <is>
          <t>Ref</t>
        </is>
      </c>
      <c r="C5" s="6" t="inlineStr">
        <is>
          <t>Sustainability 2030 component</t>
        </is>
      </c>
      <c r="D5" s="6" t="inlineStr">
        <is>
          <t>Page name</t>
        </is>
      </c>
      <c r="E5" s="6" t="inlineStr">
        <is>
          <t>Story / case study</t>
        </is>
      </c>
      <c r="F5" s="6" t="inlineStr">
        <is>
          <t>SR26 link</t>
        </is>
      </c>
      <c r="G5" s="6" t="inlineStr">
        <is>
          <t>Page description</t>
        </is>
      </c>
      <c r="H5" s="6" t="inlineStr">
        <is>
          <t>Character count</t>
        </is>
      </c>
      <c r="I5" s="6" t="inlineStr">
        <is>
          <t>SR25 equivalent page</t>
        </is>
      </c>
    </row>
    <row r="6">
      <c r="B6" s="12" t="inlineStr">
        <is>
          <t>FM01</t>
        </is>
      </c>
      <c r="C6" s="8" t="inlineStr">
        <is>
          <t>N/A</t>
        </is>
      </c>
      <c r="D6" s="8" t="inlineStr">
        <is>
          <t>Landing page</t>
        </is>
      </c>
      <c r="E6" s="8" t="inlineStr"/>
      <c r="F6" s="8" t="inlineStr"/>
      <c r="G6" s="8" t="inlineStr"/>
      <c r="H6" s="8">
        <f>LEN(G6)</f>
        <v/>
      </c>
      <c r="I6" s="8" t="inlineStr"/>
    </row>
    <row r="7">
      <c r="B7" s="12" t="inlineStr">
        <is>
          <t>FM02</t>
        </is>
      </c>
      <c r="C7" s="8" t="inlineStr">
        <is>
          <t>N/A</t>
        </is>
      </c>
      <c r="D7" s="8" t="inlineStr">
        <is>
          <t>Overview (transition year)</t>
        </is>
      </c>
      <c r="E7" s="8" t="inlineStr"/>
      <c r="F7" s="8" t="inlineStr"/>
      <c r="G7" s="8" t="inlineStr"/>
      <c r="H7" s="8">
        <f>LEN(G7)</f>
        <v/>
      </c>
      <c r="I7" s="8" t="inlineStr"/>
    </row>
    <row r="8">
      <c r="B8" s="12" t="inlineStr">
        <is>
          <t>FM03</t>
        </is>
      </c>
      <c r="C8" s="8" t="inlineStr">
        <is>
          <t>N/A</t>
        </is>
      </c>
      <c r="D8" s="8" t="inlineStr">
        <is>
          <t>Our impact</t>
        </is>
      </c>
      <c r="E8" s="8" t="inlineStr"/>
      <c r="F8" s="8" t="inlineStr"/>
      <c r="G8" s="8" t="inlineStr"/>
      <c r="H8" s="8">
        <f>LEN(G8)</f>
        <v/>
      </c>
      <c r="I8" s="8" t="inlineStr"/>
    </row>
    <row r="9">
      <c r="B9" s="12" t="inlineStr">
        <is>
          <t>PA01</t>
        </is>
      </c>
      <c r="C9" s="8" t="inlineStr">
        <is>
          <t>Education and research</t>
        </is>
      </c>
      <c r="D9" s="8" t="inlineStr">
        <is>
          <t>Exceptional education</t>
        </is>
      </c>
      <c r="E9" s="8" t="inlineStr"/>
      <c r="F9" s="8" t="inlineStr"/>
      <c r="G9" s="8" t="inlineStr"/>
      <c r="H9" s="8">
        <f>LEN(G9)</f>
        <v/>
      </c>
      <c r="I9" s="8" t="inlineStr"/>
    </row>
    <row r="10">
      <c r="B10" s="12" t="inlineStr">
        <is>
          <t>PA02</t>
        </is>
      </c>
      <c r="C10" s="8" t="inlineStr">
        <is>
          <t>Education and research</t>
        </is>
      </c>
      <c r="D10" s="8" t="inlineStr">
        <is>
          <t>Transformational research</t>
        </is>
      </c>
      <c r="E10" s="8" t="inlineStr"/>
      <c r="F10" s="8" t="inlineStr"/>
      <c r="G10" s="8" t="inlineStr"/>
      <c r="H10" s="8">
        <f>LEN(G10)</f>
        <v/>
      </c>
      <c r="I10" s="8" t="inlineStr"/>
    </row>
    <row r="11">
      <c r="B11" s="12" t="inlineStr">
        <is>
          <t>PA03</t>
        </is>
      </c>
      <c r="C11" s="8" t="inlineStr">
        <is>
          <t>Sustainability leadership</t>
        </is>
      </c>
      <c r="D11" s="8" t="inlineStr">
        <is>
          <t>Climate leadership</t>
        </is>
      </c>
      <c r="E11" s="8" t="inlineStr"/>
      <c r="F11" s="8" t="inlineStr"/>
      <c r="G11" s="8" t="inlineStr"/>
      <c r="H11" s="8">
        <f>LEN(G11)</f>
        <v/>
      </c>
      <c r="I11" s="8" t="inlineStr"/>
    </row>
    <row r="12">
      <c r="B12" s="12" t="inlineStr">
        <is>
          <t>PA04</t>
        </is>
      </c>
      <c r="C12" s="8" t="inlineStr">
        <is>
          <t>Sustainability leadership</t>
        </is>
      </c>
      <c r="D12" s="8" t="inlineStr">
        <is>
          <t>Nature and biodiversity</t>
        </is>
      </c>
      <c r="E12" s="8" t="inlineStr"/>
      <c r="F12" s="8" t="inlineStr"/>
      <c r="G12" s="8" t="inlineStr"/>
      <c r="H12" s="8">
        <f>LEN(G12)</f>
        <v/>
      </c>
      <c r="I12" s="8" t="inlineStr"/>
    </row>
    <row r="13">
      <c r="B13" s="12" t="inlineStr">
        <is>
          <t>PA05</t>
        </is>
      </c>
      <c r="C13" s="8" t="inlineStr">
        <is>
          <t>Sustainability leadership</t>
        </is>
      </c>
      <c r="D13" s="8" t="inlineStr">
        <is>
          <t>Responsible AI</t>
        </is>
      </c>
      <c r="E13" s="8" t="inlineStr"/>
      <c r="F13" s="8" t="inlineStr"/>
      <c r="G13" s="8" t="inlineStr"/>
      <c r="H13" s="8">
        <f>LEN(G13)</f>
        <v/>
      </c>
      <c r="I13" s="8" t="inlineStr"/>
    </row>
    <row r="14">
      <c r="B14" s="12" t="inlineStr">
        <is>
          <t>PA06</t>
        </is>
      </c>
      <c r="C14" s="8" t="inlineStr">
        <is>
          <t>Resilient University</t>
        </is>
      </c>
      <c r="D14" s="8" t="inlineStr">
        <is>
          <t>Estate and infrastructure</t>
        </is>
      </c>
      <c r="E14" s="8" t="inlineStr"/>
      <c r="F14" s="8" t="inlineStr"/>
      <c r="G14" s="8" t="inlineStr"/>
      <c r="H14" s="8">
        <f>LEN(G14)</f>
        <v/>
      </c>
      <c r="I14" s="8" t="inlineStr"/>
    </row>
    <row r="15">
      <c r="B15" s="12" t="inlineStr">
        <is>
          <t>PA07</t>
        </is>
      </c>
      <c r="C15" s="8" t="inlineStr">
        <is>
          <t>Resilient University</t>
        </is>
      </c>
      <c r="D15" s="8" t="inlineStr">
        <is>
          <t>Circular economy</t>
        </is>
      </c>
      <c r="E15" s="8" t="inlineStr"/>
      <c r="F15" s="8" t="inlineStr"/>
      <c r="G15" s="8" t="inlineStr"/>
      <c r="H15" s="8">
        <f>LEN(G15)</f>
        <v/>
      </c>
      <c r="I15" s="8" t="inlineStr"/>
    </row>
    <row r="16">
      <c r="B16" s="12" t="inlineStr">
        <is>
          <t>PA08</t>
        </is>
      </c>
      <c r="C16" s="8" t="inlineStr">
        <is>
          <t>Resilient University</t>
        </is>
      </c>
      <c r="D16" s="8" t="inlineStr">
        <is>
          <t>Responsible procurement</t>
        </is>
      </c>
      <c r="E16" s="8" t="inlineStr"/>
      <c r="F16" s="8" t="inlineStr"/>
      <c r="G16" s="8" t="inlineStr"/>
      <c r="H16" s="8">
        <f>LEN(G16)</f>
        <v/>
      </c>
      <c r="I16" s="8" t="inlineStr"/>
    </row>
    <row r="17">
      <c r="B17" s="12" t="inlineStr">
        <is>
          <t>PA09</t>
        </is>
      </c>
      <c r="C17" s="8" t="inlineStr">
        <is>
          <t>Resilient University</t>
        </is>
      </c>
      <c r="D17" s="8" t="inlineStr">
        <is>
          <t>Modern slavery and human rights</t>
        </is>
      </c>
      <c r="E17" s="8" t="inlineStr"/>
      <c r="F17" s="8" t="inlineStr"/>
      <c r="G17" s="8" t="inlineStr"/>
      <c r="H17" s="8">
        <f>LEN(G17)</f>
        <v/>
      </c>
      <c r="I17" s="8" t="inlineStr"/>
    </row>
    <row r="18">
      <c r="B18" s="12" t="inlineStr">
        <is>
          <t>PA10</t>
        </is>
      </c>
      <c r="C18" s="8" t="inlineStr">
        <is>
          <t>Resilient University</t>
        </is>
      </c>
      <c r="D18" s="8" t="inlineStr">
        <is>
          <t>Responsible investments</t>
        </is>
      </c>
      <c r="E18" s="8" t="inlineStr"/>
      <c r="F18" s="8" t="inlineStr"/>
      <c r="G18" s="8" t="inlineStr"/>
      <c r="H18" s="8">
        <f>LEN(G18)</f>
        <v/>
      </c>
      <c r="I18" s="8" t="inlineStr"/>
    </row>
    <row r="19">
      <c r="B19" s="12" t="inlineStr">
        <is>
          <t>PA11</t>
        </is>
      </c>
      <c r="C19" s="8" t="inlineStr">
        <is>
          <t>Enablers</t>
        </is>
      </c>
      <c r="D19" s="8" t="inlineStr">
        <is>
          <t>Enablers</t>
        </is>
      </c>
      <c r="E19" s="8" t="inlineStr"/>
      <c r="F19" s="8" t="inlineStr"/>
      <c r="G19" s="8" t="inlineStr"/>
      <c r="H19" s="8">
        <f>LEN(G19)</f>
        <v/>
      </c>
      <c r="I19" s="8"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B1:K14"/>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c r="K1" t="inlineStr">
        <is>
          <t>Report section</t>
        </is>
      </c>
    </row>
    <row r="2">
      <c r="B2" t="inlineStr">
        <is>
          <t>Please select from dropdown</t>
        </is>
      </c>
      <c r="C2" t="inlineStr">
        <is>
          <t>Yes</t>
        </is>
      </c>
      <c r="D2" t="inlineStr">
        <is>
          <t>Not sent</t>
        </is>
      </c>
      <c r="E2" t="inlineStr">
        <is>
          <t>Yes</t>
        </is>
      </c>
      <c r="G2" t="inlineStr">
        <is>
          <t>Met or exceeded</t>
        </is>
      </c>
      <c r="H2" t="n">
        <v>3</v>
      </c>
      <c r="I2" t="n">
        <v>1</v>
      </c>
      <c r="K2" t="inlineStr">
        <is>
          <t>Report introduction</t>
        </is>
      </c>
    </row>
    <row r="3">
      <c r="B3" t="inlineStr">
        <is>
          <t>Met or exceeded</t>
        </is>
      </c>
      <c r="C3" t="inlineStr">
        <is>
          <t>No</t>
        </is>
      </c>
      <c r="D3" t="inlineStr">
        <is>
          <t>Sent</t>
        </is>
      </c>
      <c r="E3" t="inlineStr">
        <is>
          <t>No</t>
        </is>
      </c>
      <c r="G3" t="inlineStr">
        <is>
          <t>Partially met</t>
        </is>
      </c>
      <c r="H3" t="n">
        <v>2</v>
      </c>
      <c r="I3" t="n">
        <v>1</v>
      </c>
      <c r="K3" t="inlineStr">
        <is>
          <t>Our impact</t>
        </is>
      </c>
    </row>
    <row r="4">
      <c r="B4" t="inlineStr">
        <is>
          <t>Partially met</t>
        </is>
      </c>
      <c r="C4" t="inlineStr">
        <is>
          <t>Partially – see comments</t>
        </is>
      </c>
      <c r="D4" t="inlineStr">
        <is>
          <t>Chased</t>
        </is>
      </c>
      <c r="E4" t="inlineStr">
        <is>
          <t>TBC</t>
        </is>
      </c>
      <c r="G4" t="inlineStr">
        <is>
          <t>Not met</t>
        </is>
      </c>
      <c r="H4" t="n">
        <v>1</v>
      </c>
      <c r="I4" t="n">
        <v>1</v>
      </c>
      <c r="K4" t="inlineStr">
        <is>
          <t>Exceptional education</t>
        </is>
      </c>
    </row>
    <row r="5">
      <c r="B5" t="inlineStr">
        <is>
          <t>Not met</t>
        </is>
      </c>
      <c r="D5" t="inlineStr">
        <is>
          <t>Support meeting</t>
        </is>
      </c>
      <c r="G5" t="inlineStr">
        <is>
          <t>Not yet started</t>
        </is>
      </c>
      <c r="H5" t="n">
        <v>0</v>
      </c>
      <c r="I5" t="n">
        <v>1</v>
      </c>
      <c r="K5" t="inlineStr">
        <is>
          <t>Transformational research</t>
        </is>
      </c>
    </row>
    <row r="6">
      <c r="B6" t="inlineStr">
        <is>
          <t>Not yet started</t>
        </is>
      </c>
      <c r="D6" t="inlineStr">
        <is>
          <t>Received</t>
        </is>
      </c>
      <c r="K6" t="inlineStr">
        <is>
          <t>Climate leadership</t>
        </is>
      </c>
    </row>
    <row r="7">
      <c r="B7" t="inlineStr">
        <is>
          <t>Not applicable</t>
        </is>
      </c>
      <c r="D7" t="inlineStr">
        <is>
          <t>Under review</t>
        </is>
      </c>
      <c r="K7" t="inlineStr">
        <is>
          <t>Nature and biodiversity</t>
        </is>
      </c>
    </row>
    <row r="8">
      <c r="D8" t="inlineStr">
        <is>
          <t>Complete</t>
        </is>
      </c>
      <c r="K8" t="inlineStr">
        <is>
          <t>Responsible AI</t>
        </is>
      </c>
    </row>
    <row r="9">
      <c r="D9" t="inlineStr">
        <is>
          <t>Not required</t>
        </is>
      </c>
      <c r="K9" t="inlineStr">
        <is>
          <t>Estate and infrastructure</t>
        </is>
      </c>
    </row>
    <row r="10">
      <c r="K10" t="inlineStr">
        <is>
          <t>Circular economy</t>
        </is>
      </c>
    </row>
    <row r="11">
      <c r="K11" t="inlineStr">
        <is>
          <t>Responsible procurement</t>
        </is>
      </c>
    </row>
    <row r="12">
      <c r="K12" t="inlineStr">
        <is>
          <t>Modern slavery and human rights</t>
        </is>
      </c>
    </row>
    <row r="13">
      <c r="K13" t="inlineStr">
        <is>
          <t>Responsible investments</t>
        </is>
      </c>
    </row>
    <row r="14">
      <c r="K14" t="inlineStr">
        <is>
          <t>Enablers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2026-10-06T00:54:01Z</dcterms:created>
  <dcterms:modified xmlns:dcterms="http://purl.org/dc/terms/" xmlns:xsi="http://www.w3.org/2001/XMLSchema-instance" xsi:type="dcterms:W3CDTF">2026-10-06T00:54:20Z</dcterms:modified>
</cp:coreProperties>
</file>