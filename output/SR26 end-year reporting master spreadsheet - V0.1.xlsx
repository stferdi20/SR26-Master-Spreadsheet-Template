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 Databook mapping" sheetId="3" state="visible" r:id="rId3"/>
    <sheet xmlns:r="http://schemas.openxmlformats.org/officeDocument/2006/relationships" name="3. Stakeholder map &amp; RASCI" sheetId="4" state="visible" r:id="rId4"/>
    <sheet xmlns:r="http://schemas.openxmlformats.org/officeDocument/2006/relationships" name="4. Request tracker" sheetId="5" state="visible" r:id="rId5"/>
    <sheet xmlns:r="http://schemas.openxmlformats.org/officeDocument/2006/relationships" name="Faculties" sheetId="6" state="visible" r:id="rId6"/>
    <sheet xmlns:r="http://schemas.openxmlformats.org/officeDocument/2006/relationships" name="CI&amp;S" sheetId="7" state="visible" r:id="rId7"/>
    <sheet xmlns:r="http://schemas.openxmlformats.org/officeDocument/2006/relationships" name="CFOG" sheetId="8" state="visible" r:id="rId8"/>
    <sheet xmlns:r="http://schemas.openxmlformats.org/officeDocument/2006/relationships" name="ESG" sheetId="9" state="visible" r:id="rId9"/>
    <sheet xmlns:r="http://schemas.openxmlformats.org/officeDocument/2006/relationships" name="CIOG" sheetId="10" state="visible" r:id="rId10"/>
    <sheet xmlns:r="http://schemas.openxmlformats.org/officeDocument/2006/relationships" name="MRE" sheetId="11" state="visible" r:id="rId11"/>
    <sheet xmlns:r="http://schemas.openxmlformats.org/officeDocument/2006/relationships" name="A1. Data scoring" sheetId="12" state="visible" r:id="rId12"/>
    <sheet xmlns:r="http://schemas.openxmlformats.org/officeDocument/2006/relationships" name="0.5 Target Check" sheetId="13" state="visible" r:id="rId13"/>
    <sheet xmlns:r="http://schemas.openxmlformats.org/officeDocument/2006/relationships" name="T2. Single target review" sheetId="14" state="visible" r:id="rId14"/>
    <sheet xmlns:r="http://schemas.openxmlformats.org/officeDocument/2006/relationships" name="Request wording log" sheetId="15" state="visible" r:id="rId15"/>
    <sheet xmlns:r="http://schemas.openxmlformats.org/officeDocument/2006/relationships" name="Highlighted stories" sheetId="16" state="visible" r:id="rId16"/>
    <sheet xmlns:r="http://schemas.openxmlformats.org/officeDocument/2006/relationships" name="Evidence register" sheetId="17" state="visible" r:id="rId17"/>
    <sheet xmlns:r="http://schemas.openxmlformats.org/officeDocument/2006/relationships" name="Issues log" sheetId="18" state="visible" r:id="rId18"/>
    <sheet xmlns:r="http://schemas.openxmlformats.org/officeDocument/2006/relationships" name="Lists" sheetId="19" state="hidden" r:id="rId19"/>
  </sheets>
  <definedNames>
    <definedName name="_xlnm._FilterDatabase" localSheetId="1" hidden="1">'1. Requirements matrix'!$B$5:$P$53</definedName>
    <definedName name="_xlnm._FilterDatabase" localSheetId="11" hidden="1">'A1. Data scoring'!$B$10:$AE$298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0">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14"/>
    </font>
    <font>
      <name val="Aptos"/>
      <b val="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b val="1"/>
      <sz val="14"/>
    </font>
    <font>
      <name val="Aptos"/>
      <b val="1"/>
      <color rgb="00002060"/>
      <sz val="13"/>
    </font>
  </fonts>
  <fills count="9">
    <fill>
      <patternFill/>
    </fill>
    <fill>
      <patternFill patternType="gray125"/>
    </fill>
    <fill>
      <patternFill patternType="solid">
        <fgColor rgb="000B3040"/>
      </patternFill>
    </fill>
    <fill>
      <patternFill patternType="solid">
        <fgColor rgb="00C1E4F5"/>
      </patternFill>
    </fill>
    <fill>
      <patternFill patternType="solid">
        <fgColor rgb="00FFC000"/>
      </patternFill>
    </fill>
    <fill>
      <patternFill patternType="solid">
        <fgColor rgb="00FFF2CC"/>
      </patternFill>
    </fill>
    <fill>
      <patternFill patternType="solid">
        <fgColor rgb="00E2EFDA"/>
      </patternFill>
    </fill>
    <fill>
      <patternFill patternType="solid">
        <fgColor rgb="00F2F2F2"/>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8" fillId="5" borderId="1" applyAlignment="1" pivotButton="0" quotePrefix="0" xfId="0">
      <alignment vertical="top" wrapText="1"/>
    </xf>
    <xf numFmtId="0" fontId="10" fillId="0" borderId="0" pivotButton="0" quotePrefix="0" xfId="0"/>
    <xf numFmtId="0" fontId="8" fillId="3" borderId="1" applyAlignment="1" pivotButton="0" quotePrefix="0" xfId="0">
      <alignment vertical="top" wrapText="1"/>
    </xf>
    <xf numFmtId="0" fontId="8" fillId="6" borderId="1" applyAlignment="1" pivotButton="0" quotePrefix="0" xfId="0">
      <alignment horizontal="center" vertical="center" wrapText="1"/>
    </xf>
    <xf numFmtId="0" fontId="8" fillId="0" borderId="1" applyAlignment="1" pivotButton="0" quotePrefix="0" xfId="0">
      <alignment horizontal="center" vertical="center" wrapText="1"/>
    </xf>
    <xf numFmtId="0" fontId="11" fillId="0" borderId="0" pivotButton="0" quotePrefix="0" xfId="0"/>
    <xf numFmtId="9" fontId="0" fillId="0" borderId="0" pivotButton="0" quotePrefix="0" xfId="0"/>
    <xf numFmtId="165" fontId="8" fillId="0" borderId="1" applyAlignment="1" pivotButton="0" quotePrefix="0" xfId="0">
      <alignment vertical="top" wrapText="1"/>
    </xf>
    <xf numFmtId="0" fontId="12" fillId="7" borderId="0" pivotButton="0" quotePrefix="0" xfId="0"/>
    <xf numFmtId="0" fontId="13" fillId="2" borderId="0" applyAlignment="1" pivotButton="0" quotePrefix="0" xfId="0">
      <alignment horizontal="center" vertical="center" wrapText="1"/>
    </xf>
    <xf numFmtId="0" fontId="14" fillId="4" borderId="0" applyAlignment="1" pivotButton="0" quotePrefix="0" xfId="0">
      <alignment horizontal="center" vertical="center" wrapText="1"/>
    </xf>
    <xf numFmtId="0" fontId="16" fillId="4" borderId="1" applyAlignment="1" pivotButton="0" quotePrefix="0" xfId="0">
      <alignment horizontal="center" vertical="center" wrapText="1"/>
    </xf>
    <xf numFmtId="0" fontId="15" fillId="7" borderId="1" applyAlignment="1" pivotButton="0" quotePrefix="0" xfId="0">
      <alignment horizontal="center" vertical="center" wrapText="1"/>
    </xf>
    <xf numFmtId="0" fontId="0" fillId="0" borderId="0" applyAlignment="1" pivotButton="0" quotePrefix="0" xfId="0">
      <alignment vertical="top" wrapText="1"/>
    </xf>
    <xf numFmtId="0" fontId="17" fillId="0" borderId="0" pivotButton="0" quotePrefix="0" xfId="0"/>
    <xf numFmtId="0" fontId="8" fillId="7" borderId="1" applyAlignment="1" pivotButton="0" quotePrefix="0" xfId="0">
      <alignment vertical="top"/>
    </xf>
    <xf numFmtId="0" fontId="8" fillId="6" borderId="1" applyAlignment="1" pivotButton="0" quotePrefix="0" xfId="0">
      <alignment vertical="top" wrapText="1"/>
    </xf>
    <xf numFmtId="2" fontId="8" fillId="6" borderId="1" applyAlignment="1" pivotButton="0" quotePrefix="0" xfId="0">
      <alignment vertical="top" wrapText="1"/>
    </xf>
    <xf numFmtId="9" fontId="8" fillId="6" borderId="1" applyAlignment="1" pivotButton="0" quotePrefix="0" xfId="0">
      <alignment vertical="top" wrapText="1"/>
    </xf>
    <xf numFmtId="0" fontId="7" fillId="0" borderId="1" applyAlignment="1" pivotButton="0" quotePrefix="0" xfId="0">
      <alignment vertical="top" wrapText="1"/>
    </xf>
    <xf numFmtId="0" fontId="18" fillId="4" borderId="2" pivotButton="0" quotePrefix="0" xfId="0"/>
    <xf numFmtId="0" fontId="4"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19" fillId="0" borderId="0" pivotButton="0" quotePrefix="0" xfId="0"/>
    <xf numFmtId="9" fontId="19" fillId="0" borderId="0" pivotButton="0" quotePrefix="0" xfId="0"/>
    <xf numFmtId="0" fontId="7" fillId="8" borderId="1" applyAlignment="1" pivotButton="0" quotePrefix="0" xfId="0">
      <alignment vertical="top" wrapText="1"/>
    </xf>
    <xf numFmtId="0" fontId="8" fillId="8" borderId="1" applyAlignment="1" pivotButton="0" quotePrefix="0" xfId="0">
      <alignment horizontal="center" vertical="center" wrapText="1"/>
    </xf>
    <xf numFmtId="0" fontId="4" fillId="2" borderId="1" applyAlignment="1" pivotButton="0" quotePrefix="0" xfId="0">
      <alignment horizontal="center" vertical="center" wrapText="1"/>
    </xf>
    <xf numFmtId="0" fontId="8"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 – pilot with 4 faculties (ABP, Arts, FBE, Science) and 5 central units (CI&amp;S, CFOG, ESG, CIOG, MRE).</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315" customHeight="1">
      <c r="B8" s="4" t="inlineStr">
        <is>
          <t>Tabs</t>
        </is>
      </c>
      <c r="C8" s="5" t="inlineStr">
        <is>
          <t>1. Requirements matrix – every S2030 qualitative indicator, owner and request
2. Quant – Databook mapping – quantitative indicators to confirm with the Databook/central data owners
3. Stakeholder map &amp; RASCI – SR25 → SR26 unit mapping and who is asked for what
4. Request tracker – sent/chased/received/confirmed status and response rate
Faculties / CI&amp;S / CFOG / ESG / CIOG / MRE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30" customHeight="1">
      <c r="B11" s="4" t="inlineStr">
        <is>
          <t>Request wording</t>
        </is>
      </c>
      <c r="C11" s="5" t="inlineStr">
        <is>
          <t>Faculty requests are rewritten in the SR25 style and point to each faculty's end-2025 response (see Request wording log). Central-unit requests use the S2030 'Qual' worksheet wording as-is.</t>
        </is>
      </c>
    </row>
    <row r="12" ht="30" customHeight="1">
      <c r="B12" s="4" t="inlineStr">
        <is>
          <t>Formulas</t>
        </is>
      </c>
      <c r="C12"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12" customWidth="1" min="16" max="16"/>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t>
        </is>
      </c>
      <c r="J6" s="8" t="inlineStr"/>
      <c r="K6" s="8" t="inlineStr">
        <is>
          <t>Both</t>
        </is>
      </c>
      <c r="L6" s="8" t="inlineStr">
        <is>
          <t>No</t>
        </is>
      </c>
      <c r="M6" s="8" t="inlineStr"/>
      <c r="N6" s="8" t="inlineStr">
        <is>
          <t>4a(ii)</t>
        </is>
      </c>
      <c r="O6" s="8" t="inlineStr">
        <is>
          <t>Tailored request</t>
        </is>
      </c>
      <c r="P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Faculties (pilot), CI&amp;S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Faculties (pilot), CI&amp;S</t>
        </is>
      </c>
      <c r="J9" s="8" t="inlineStr"/>
      <c r="K9" s="8" t="inlineStr">
        <is>
          <t>Both</t>
        </is>
      </c>
      <c r="L9" s="8" t="inlineStr">
        <is>
          <t>No</t>
        </is>
      </c>
      <c r="M9" s="8" t="inlineStr"/>
      <c r="N9" s="8" t="inlineStr">
        <is>
          <t>4b(i)</t>
        </is>
      </c>
      <c r="O9" s="8" t="inlineStr">
        <is>
          <t>Tailored request</t>
        </is>
      </c>
      <c r="P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Faculties (pilot)</t>
        </is>
      </c>
      <c r="J11" s="8" t="inlineStr">
        <is>
          <t>MRE</t>
        </is>
      </c>
      <c r="K11" s="8" t="inlineStr">
        <is>
          <t>Both</t>
        </is>
      </c>
      <c r="L11" s="8" t="inlineStr">
        <is>
          <t>No</t>
        </is>
      </c>
      <c r="M11" s="8" t="inlineStr"/>
      <c r="N11" s="8" t="inlineStr"/>
      <c r="O11" s="8" t="inlineStr">
        <is>
          <t>Tailored request</t>
        </is>
      </c>
      <c r="P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Faculties (pilot)</t>
        </is>
      </c>
      <c r="J12" s="8" t="inlineStr">
        <is>
          <t>MRE</t>
        </is>
      </c>
      <c r="K12" s="8" t="inlineStr">
        <is>
          <t>Both</t>
        </is>
      </c>
      <c r="L12" s="8" t="inlineStr">
        <is>
          <t>No</t>
        </is>
      </c>
      <c r="M12" s="8" t="inlineStr"/>
      <c r="N12" s="8" t="inlineStr"/>
      <c r="O12" s="8" t="inlineStr">
        <is>
          <t>Tailored request</t>
        </is>
      </c>
      <c r="P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Faculties (pilot)</t>
        </is>
      </c>
      <c r="J13" s="8" t="inlineStr">
        <is>
          <t>MRE</t>
        </is>
      </c>
      <c r="K13" s="8" t="inlineStr">
        <is>
          <t>Both</t>
        </is>
      </c>
      <c r="L13" s="8" t="inlineStr">
        <is>
          <t>No</t>
        </is>
      </c>
      <c r="M13" s="8" t="inlineStr"/>
      <c r="N13" s="8" t="inlineStr"/>
      <c r="O13" s="8" t="inlineStr">
        <is>
          <t>Tailored request</t>
        </is>
      </c>
      <c r="P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row>
    <row r="15" ht="90" customHeight="1">
      <c r="B15" s="7" t="inlineStr">
        <is>
          <t>TR2(b)</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Documented progress of relevant strategic initiatives, including Impact Accelerators</t>
        </is>
      </c>
      <c r="G15" s="8" t="inlineStr">
        <is>
          <t>Please provide case studies demonstrating how University research has contributed to meaningful sustainability outcomes. For each case, briefly describe the research, stakeholders involved, pathway to impact and evidence of the resulting sustainability outcome.</t>
        </is>
      </c>
      <c r="H15" s="8" t="inlineStr"/>
      <c r="I15" s="8" t="inlineStr">
        <is>
          <t>TBC – no owner identified</t>
        </is>
      </c>
      <c r="J15" s="8" t="inlineStr"/>
      <c r="K15" s="8" t="inlineStr">
        <is>
          <t>Both</t>
        </is>
      </c>
      <c r="L15" s="8" t="inlineStr">
        <is>
          <t>No</t>
        </is>
      </c>
      <c r="M15" s="8" t="inlineStr">
        <is>
          <t>documented progress imply that university have good governance over the management of initiatives and therefore could provide percentage of milestone completion</t>
        </is>
      </c>
      <c r="N15" s="8" t="inlineStr"/>
      <c r="O15" s="8" t="inlineStr">
        <is>
          <t>Databook / central data owner</t>
        </is>
      </c>
      <c r="P15" s="8" t="inlineStr"/>
    </row>
    <row r="16" ht="90" customHeight="1">
      <c r="B16" s="7" t="inlineStr">
        <is>
          <t>TR2(c)</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Expert-reviewed summary of sustainability-related research outputs, outcomes and influence using available institutional evidence sources</t>
        </is>
      </c>
      <c r="G16" s="8" t="inlineStr">
        <is>
          <t>currently mapped to the SDGs using SciVal</t>
        </is>
      </c>
      <c r="H16" s="8" t="inlineStr">
        <is>
          <t>MRE</t>
        </is>
      </c>
      <c r="I16" s="8" t="inlineStr">
        <is>
          <t>MRE</t>
        </is>
      </c>
      <c r="J16" s="8" t="inlineStr"/>
      <c r="K16" s="8" t="inlineStr">
        <is>
          <t>Both</t>
        </is>
      </c>
      <c r="L16" s="8" t="inlineStr">
        <is>
          <t>No</t>
        </is>
      </c>
      <c r="M16" s="8" t="inlineStr"/>
      <c r="N16" s="8" t="inlineStr"/>
      <c r="O16" s="8" t="inlineStr">
        <is>
          <t>Tailored request</t>
        </is>
      </c>
      <c r="P16" s="8" t="inlineStr"/>
    </row>
    <row r="17" ht="90" customHeight="1">
      <c r="B17" s="7" t="inlineStr">
        <is>
          <t>TR2(d)</t>
        </is>
      </c>
      <c r="C17" s="8" t="inlineStr">
        <is>
          <t>Education and research</t>
        </is>
      </c>
      <c r="D17" s="8" t="inlineStr">
        <is>
          <t>Transformational research</t>
        </is>
      </c>
      <c r="E17" s="8" t="inlineStr">
        <is>
          <t>Deliver high-quality research and partnerships that contribute to sustainability outcomes and demonstrable societal benefit.</t>
        </is>
      </c>
      <c r="F17" s="8" t="inlineStr">
        <is>
          <t>Case-based evidence demonstrating how research has contributed to meaningful sustainability outcomes.</t>
        </is>
      </c>
      <c r="G17"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7" s="8" t="inlineStr">
        <is>
          <t>Faculties, CI&amp;S</t>
        </is>
      </c>
      <c r="I17" s="8" t="inlineStr">
        <is>
          <t>Faculties (pilot), CI&amp;S</t>
        </is>
      </c>
      <c r="J17"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7" s="8" t="inlineStr">
        <is>
          <t>Both</t>
        </is>
      </c>
      <c r="L17" s="8" t="inlineStr">
        <is>
          <t>No</t>
        </is>
      </c>
      <c r="M17" s="8" t="inlineStr"/>
      <c r="N17" s="8" t="inlineStr">
        <is>
          <t>5b(i)</t>
        </is>
      </c>
      <c r="O17" s="8" t="inlineStr">
        <is>
          <t>Tailored request</t>
        </is>
      </c>
      <c r="P17" s="8" t="inlineStr"/>
    </row>
    <row r="18" ht="90" customHeight="1">
      <c r="B18" s="7" t="inlineStr">
        <is>
          <t>TR3(a)</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Evidence that sustainability considerations are integrated into relevant research systems, planning processes, guidance, training, induction or support services</t>
        </is>
      </c>
      <c r="G18" s="8" t="inlineStr">
        <is>
          <t>Please describe how sustainability considerations are integrated into research systems, planning processes, guidance, training, induction or support services within your Faculty/Portfolio, could include examples of any new or improved processes.</t>
        </is>
      </c>
      <c r="H18" s="8" t="inlineStr">
        <is>
          <t>Faculties, CI&amp;S</t>
        </is>
      </c>
      <c r="I18" s="8" t="inlineStr">
        <is>
          <t>Faculties (pilot), CI&amp;S</t>
        </is>
      </c>
      <c r="J18" s="8" t="inlineStr"/>
      <c r="K18" s="8" t="inlineStr">
        <is>
          <t>Both</t>
        </is>
      </c>
      <c r="L18" s="8" t="inlineStr">
        <is>
          <t>No</t>
        </is>
      </c>
      <c r="M18" s="8" t="inlineStr"/>
      <c r="N18" s="8" t="inlineStr">
        <is>
          <t>5c(ii)</t>
        </is>
      </c>
      <c r="O18" s="8" t="inlineStr">
        <is>
          <t>Tailored request</t>
        </is>
      </c>
      <c r="P18" s="8" t="inlineStr"/>
    </row>
    <row r="19" ht="90" customHeight="1">
      <c r="B19" s="7" t="inlineStr">
        <is>
          <t>TR3(b)</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Demonstrated examples of more sustainable research practices in laboratories, fieldwork, procurement, travel or infrastructure use</t>
        </is>
      </c>
      <c r="G19"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9" s="8" t="inlineStr">
        <is>
          <t>Faculties, CI&amp;S, CFOG</t>
        </is>
      </c>
      <c r="I19" s="8" t="inlineStr">
        <is>
          <t>Faculties (pilot), CI&amp;S, CFOG</t>
        </is>
      </c>
      <c r="J19" s="8" t="inlineStr"/>
      <c r="K19" s="8" t="inlineStr">
        <is>
          <t>Both</t>
        </is>
      </c>
      <c r="L19" s="8" t="inlineStr">
        <is>
          <t>No</t>
        </is>
      </c>
      <c r="M19" s="8" t="inlineStr"/>
      <c r="N19" s="8" t="inlineStr">
        <is>
          <t>5c(ii)</t>
        </is>
      </c>
      <c r="O19" s="8" t="inlineStr">
        <is>
          <t>Tailored request</t>
        </is>
      </c>
      <c r="P19" s="8" t="inlineStr"/>
    </row>
    <row r="20" ht="90" customHeight="1">
      <c r="B20" s="7" t="inlineStr">
        <is>
          <t>TR3(c)</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Evidence of progress in sustainability-related research culture, capability and awareness, informed by periodic staff and graduate researcher surveys</t>
        </is>
      </c>
      <c r="G20"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20" s="8" t="inlineStr">
        <is>
          <t>Faculties</t>
        </is>
      </c>
      <c r="I20" s="8" t="inlineStr">
        <is>
          <t>Faculties (pilot)</t>
        </is>
      </c>
      <c r="J20" s="8" t="inlineStr">
        <is>
          <t>Melbourne Research and Enterprise (Nishi Raja-Stranger; Ivan Marusic) - MRE will be a key reporter for all research targets.</t>
        </is>
      </c>
      <c r="K20" s="8" t="inlineStr">
        <is>
          <t>Both</t>
        </is>
      </c>
      <c r="L20" s="8" t="inlineStr">
        <is>
          <t>No</t>
        </is>
      </c>
      <c r="M20" s="8" t="inlineStr"/>
      <c r="N20" s="8" t="inlineStr"/>
      <c r="O20" s="8" t="inlineStr">
        <is>
          <t>Tailored request</t>
        </is>
      </c>
      <c r="P20" s="8" t="inlineStr"/>
    </row>
    <row r="21" ht="90" customHeight="1">
      <c r="B21" s="7" t="inlineStr">
        <is>
          <t>TR3(d)</t>
        </is>
      </c>
      <c r="C21" s="8" t="inlineStr">
        <is>
          <t>Education and research</t>
        </is>
      </c>
      <c r="D21" s="8" t="inlineStr">
        <is>
          <t>Transformational research</t>
        </is>
      </c>
      <c r="E21" s="8" t="inlineStr">
        <is>
          <t>Embed sustainability within research systems, processes, capability and culture, so research is conducted responsibly, efficiently and with reduced environmental impact.</t>
        </is>
      </c>
      <c r="F21" s="8" t="inlineStr">
        <is>
          <t>Expert assessment of progress in embedding sustainable research practices across the institution.</t>
        </is>
      </c>
      <c r="G21" s="8" t="inlineStr">
        <is>
          <t>Faculty/Portfolio’s assessment of progress in embedding sustainable research practices, highlighting areas of strong progress, remaining gaps and priority actions for further improvement.</t>
        </is>
      </c>
      <c r="H21" s="8" t="inlineStr">
        <is>
          <t>Faculties</t>
        </is>
      </c>
      <c r="I21" s="8" t="inlineStr">
        <is>
          <t>Faculties (pilot)</t>
        </is>
      </c>
      <c r="J21" s="8" t="inlineStr"/>
      <c r="K21" s="8" t="inlineStr">
        <is>
          <t>Both</t>
        </is>
      </c>
      <c r="L21" s="8" t="inlineStr">
        <is>
          <t>No</t>
        </is>
      </c>
      <c r="M21" s="8" t="inlineStr"/>
      <c r="N21" s="8" t="inlineStr"/>
      <c r="O21" s="8" t="inlineStr">
        <is>
          <t>Tailored request</t>
        </is>
      </c>
      <c r="P21" s="8" t="inlineStr"/>
    </row>
    <row r="22" ht="90" customHeight="1">
      <c r="B22" s="7" t="inlineStr">
        <is>
          <t>CL1(a)</t>
        </is>
      </c>
      <c r="C22" s="8" t="inlineStr">
        <is>
          <t>Sustainability leadership</t>
        </is>
      </c>
      <c r="D22" s="8" t="inlineStr">
        <is>
          <t>Climate leadership</t>
        </is>
      </c>
      <c r="E22"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2" s="8" t="inlineStr">
        <is>
          <t>Annual Greenhouse Gas Inventory (including emissions scopes 1, 2 and 3) demonstrates carbon emission reductions, including maintaining procurement of 100% renewable electricity for all scope 2 sources[1]</t>
        </is>
      </c>
      <c r="G22" s="8" t="inlineStr">
        <is>
          <t>Total scope 1,2 and 3 emissions (tCO2-e); emissions by scope; % reduction from previous baseline; % renewable electircity produced</t>
        </is>
      </c>
      <c r="H22" s="8" t="inlineStr"/>
      <c r="I22" s="8" t="inlineStr">
        <is>
          <t>TBC – no owner identified</t>
        </is>
      </c>
      <c r="J22" s="8" t="inlineStr"/>
      <c r="K22" s="8" t="inlineStr">
        <is>
          <t>Both</t>
        </is>
      </c>
      <c r="L22" s="8" t="inlineStr">
        <is>
          <t>No</t>
        </is>
      </c>
      <c r="M22" s="8" t="inlineStr">
        <is>
          <t>Directly measures progress against the stated emission reduction targets and allows annual comparison against the baseline and trajectory</t>
        </is>
      </c>
      <c r="N22" s="8" t="inlineStr"/>
      <c r="O22" s="8" t="inlineStr">
        <is>
          <t>Databook / central data owner</t>
        </is>
      </c>
      <c r="P22" s="8" t="inlineStr"/>
    </row>
    <row r="23" ht="90" customHeight="1">
      <c r="B23" s="7" t="inlineStr">
        <is>
          <t>CL1(b)</t>
        </is>
      </c>
      <c r="C23" s="8" t="inlineStr">
        <is>
          <t>Sustainability leadership</t>
        </is>
      </c>
      <c r="D23" s="8" t="inlineStr">
        <is>
          <t>Climate leadership</t>
        </is>
      </c>
      <c r="E23"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3" s="8" t="inlineStr">
        <is>
          <t>Development of Greenhouse Gas  intensity metrics</t>
        </is>
      </c>
      <c r="G23" s="8" t="inlineStr">
        <is>
          <t>Greenhouse gas emissions by FTE, EFTSL, and Gross floor area (https://www.unimelb.edu.au/sustainabilityreport/2025/data-tables#GHGe-scope)</t>
        </is>
      </c>
      <c r="H23" s="8" t="inlineStr"/>
      <c r="I23" s="8" t="inlineStr">
        <is>
          <t>TBC – no owner identified</t>
        </is>
      </c>
      <c r="J23" s="8" t="inlineStr"/>
      <c r="K23" s="8" t="inlineStr">
        <is>
          <t>Both</t>
        </is>
      </c>
      <c r="L23" s="8" t="inlineStr">
        <is>
          <t>Yes</t>
        </is>
      </c>
      <c r="M23" s="8" t="inlineStr">
        <is>
          <t>Quantiative indicator</t>
        </is>
      </c>
      <c r="N23" s="8" t="inlineStr"/>
      <c r="O23" s="8" t="inlineStr">
        <is>
          <t>Databook / central data owner</t>
        </is>
      </c>
      <c r="P23" s="8" t="inlineStr"/>
    </row>
    <row r="24" ht="90" customHeight="1">
      <c r="B24" s="7" t="inlineStr">
        <is>
          <t>CL1(c)</t>
        </is>
      </c>
      <c r="C24" s="8" t="inlineStr">
        <is>
          <t>Sustainability leadership</t>
        </is>
      </c>
      <c r="D24" s="8" t="inlineStr">
        <is>
          <t>Climate leadership</t>
        </is>
      </c>
      <c r="E24"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4" s="8" t="inlineStr">
        <is>
          <t>Review of Climate Leadership targets by 2030.[2]</t>
        </is>
      </c>
      <c r="G24" s="8" t="inlineStr"/>
      <c r="H24" s="8" t="inlineStr">
        <is>
          <t>CI&amp;S</t>
        </is>
      </c>
      <c r="I24" s="8" t="inlineStr">
        <is>
          <t>CI&amp;S</t>
        </is>
      </c>
      <c r="J24" s="8" t="inlineStr"/>
      <c r="K24" s="8" t="inlineStr">
        <is>
          <t>Both</t>
        </is>
      </c>
      <c r="L24" s="8" t="inlineStr">
        <is>
          <t>Yes</t>
        </is>
      </c>
      <c r="M24" s="8" t="inlineStr">
        <is>
          <t>Need to review again on 2030. The climate target itself is still two months old</t>
        </is>
      </c>
      <c r="N24" s="8" t="inlineStr"/>
      <c r="O24" s="8" t="inlineStr">
        <is>
          <t>Tailored request</t>
        </is>
      </c>
      <c r="P24" s="8" t="inlineStr"/>
    </row>
    <row r="25" ht="90" customHeight="1">
      <c r="B25" s="7" t="inlineStr">
        <is>
          <t>CL2(a)</t>
        </is>
      </c>
      <c r="C25" s="8" t="inlineStr">
        <is>
          <t>Sustainability leadership</t>
        </is>
      </c>
      <c r="D25" s="8" t="inlineStr">
        <is>
          <t>Climate leadership</t>
        </is>
      </c>
      <c r="E25" s="8" t="inlineStr">
        <is>
          <t>Develop understanding of our research and education programs that contribute to accelerating global decarbonisation and our own climate transition.</t>
        </is>
      </c>
      <c r="F25" s="8" t="inlineStr">
        <is>
          <t>By 2028, develop and document institutional mapping of research and education activities that are designed to contribute to global decarbonisation</t>
        </is>
      </c>
      <c r="G25"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5" s="8" t="inlineStr">
        <is>
          <t>Faculties, CI&amp;S</t>
        </is>
      </c>
      <c r="I25" s="8" t="inlineStr">
        <is>
          <t>Faculties (pilot), CI&amp;S</t>
        </is>
      </c>
      <c r="J25" s="8" t="inlineStr"/>
      <c r="K25" s="8" t="inlineStr">
        <is>
          <t>Both</t>
        </is>
      </c>
      <c r="L25" s="8" t="inlineStr">
        <is>
          <t>No</t>
        </is>
      </c>
      <c r="M25" s="8" t="inlineStr"/>
      <c r="N25" s="8" t="inlineStr"/>
      <c r="O25" s="8" t="inlineStr">
        <is>
          <t>Tailored request</t>
        </is>
      </c>
      <c r="P25" s="8" t="inlineStr"/>
    </row>
    <row r="26" ht="90" customHeight="1">
      <c r="B26" s="7" t="inlineStr">
        <is>
          <t>CL2(b)</t>
        </is>
      </c>
      <c r="C26" s="8" t="inlineStr">
        <is>
          <t>Sustainability leadership</t>
        </is>
      </c>
      <c r="D26" s="8" t="inlineStr">
        <is>
          <t>Climate leadership</t>
        </is>
      </c>
      <c r="E26" s="8" t="inlineStr">
        <is>
          <t>Develop understanding of our research and education programs that contribute to accelerating global decarbonisation and our own climate transition.</t>
        </is>
      </c>
      <c r="F26" s="8" t="inlineStr">
        <is>
          <t>Prioritised pipeline of decarbonisation focused research and education opportunities aligned with University emissions reduction priorities from 2028</t>
        </is>
      </c>
      <c r="G26" s="8" t="inlineStr">
        <is>
          <t>Number of pipelined projects or research transitioned from opportunity to active per year</t>
        </is>
      </c>
      <c r="H26" s="8" t="inlineStr"/>
      <c r="I26" s="8" t="inlineStr">
        <is>
          <t>TBC – no owner identified</t>
        </is>
      </c>
      <c r="J26" s="8" t="inlineStr"/>
      <c r="K26" s="8" t="inlineStr">
        <is>
          <t>Both</t>
        </is>
      </c>
      <c r="L26" s="8" t="inlineStr">
        <is>
          <t>No</t>
        </is>
      </c>
      <c r="M26" s="8" t="inlineStr">
        <is>
          <t>Pipeline can be quantitatively tracked through volume and progression, but since the target is prioritised pipeline, showing number of sucessful pipeline transitioned is more desirable</t>
        </is>
      </c>
      <c r="N26" s="8" t="inlineStr"/>
      <c r="O26" s="8" t="inlineStr">
        <is>
          <t>Databook / central data owner</t>
        </is>
      </c>
      <c r="P26" s="8" t="inlineStr"/>
    </row>
    <row r="27" ht="90" customHeight="1">
      <c r="B27" s="7" t="inlineStr">
        <is>
          <t>CL2(c)</t>
        </is>
      </c>
      <c r="C27" s="8" t="inlineStr">
        <is>
          <t>Sustainability leadership</t>
        </is>
      </c>
      <c r="D27" s="8" t="inlineStr">
        <is>
          <t>Climate leadership</t>
        </is>
      </c>
      <c r="E27" s="8" t="inlineStr">
        <is>
          <t>Develop understanding of our research and education programs that contribute to accelerating global decarbonisation and our own climate transition.</t>
        </is>
      </c>
      <c r="F27" s="8" t="inlineStr">
        <is>
          <t>Ongoing communications that evidence the University’s climate action, research and learning to inform policy, sector and community decarbonisation efforts.</t>
        </is>
      </c>
      <c r="G27" s="8" t="inlineStr">
        <is>
          <t>List and describe communications from the faculty in terms of climate action, research and learning to inform policy, sector and community decarbonisation efforts</t>
        </is>
      </c>
      <c r="H27" s="8" t="inlineStr">
        <is>
          <t>Faculties,</t>
        </is>
      </c>
      <c r="I27" s="8" t="inlineStr">
        <is>
          <t>Faculties (pilot)</t>
        </is>
      </c>
      <c r="J27" s="8" t="inlineStr"/>
      <c r="K27" s="8" t="inlineStr">
        <is>
          <t>Both</t>
        </is>
      </c>
      <c r="L27" s="8" t="inlineStr">
        <is>
          <t>No</t>
        </is>
      </c>
      <c r="M27" s="8" t="inlineStr"/>
      <c r="N27" s="8" t="inlineStr"/>
      <c r="O27" s="8" t="inlineStr">
        <is>
          <t>Tailored request</t>
        </is>
      </c>
      <c r="P27" s="8" t="inlineStr"/>
    </row>
    <row r="28" ht="90" customHeight="1">
      <c r="B28" s="7" t="inlineStr">
        <is>
          <t>CL3(a)</t>
        </is>
      </c>
      <c r="C28" s="8" t="inlineStr">
        <is>
          <t>Sustainability leadership</t>
        </is>
      </c>
      <c r="D28" s="8" t="inlineStr">
        <is>
          <t>Climate leadership</t>
        </is>
      </c>
      <c r="E28" s="8" t="inlineStr">
        <is>
          <t>Reach and maintain high levels of climate-change resilience maturity</t>
        </is>
      </c>
      <c r="F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8" s="8" t="inlineStr">
        <is>
          <t>Provide update of University maturity assesment. Include maturity ratings, key gaps and priority improvement actions.when available</t>
        </is>
      </c>
      <c r="H28" s="8" t="inlineStr">
        <is>
          <t>CI&amp;S</t>
        </is>
      </c>
      <c r="I28" s="8" t="inlineStr">
        <is>
          <t>CI&amp;S</t>
        </is>
      </c>
      <c r="J28" s="8" t="inlineStr"/>
      <c r="K28" s="8" t="inlineStr">
        <is>
          <t>Both</t>
        </is>
      </c>
      <c r="L28" s="8" t="inlineStr">
        <is>
          <t>No</t>
        </is>
      </c>
      <c r="M28" s="8" t="inlineStr">
        <is>
          <t>Could check with Gerard. Gerard is the one who manage this indicator</t>
        </is>
      </c>
      <c r="N28" s="8" t="inlineStr"/>
      <c r="O28" s="8" t="inlineStr">
        <is>
          <t>Tailored request</t>
        </is>
      </c>
      <c r="P28" s="8" t="inlineStr"/>
    </row>
    <row r="29" ht="90" customHeight="1">
      <c r="B29" s="7" t="inlineStr">
        <is>
          <t>NB1(a)</t>
        </is>
      </c>
      <c r="C29" s="8" t="inlineStr">
        <is>
          <t>Sustainability leadership</t>
        </is>
      </c>
      <c r="D29" s="8" t="inlineStr">
        <is>
          <t>Nature and biodiversity</t>
        </is>
      </c>
      <c r="E29" s="8" t="inlineStr">
        <is>
          <t>Achieve an increase of biodiversity relative to defined baseline years for each campus.</t>
        </is>
      </c>
      <c r="F29" s="8" t="inlineStr">
        <is>
          <t>Monitoring of biodiversity metrics from the Biodiversity Baseline Data Project</t>
        </is>
      </c>
      <c r="G29" s="8" t="inlineStr">
        <is>
          <t>7 diversity metrics from https://sustainablecampus.unimelb.edu.au/biodiversity/biodiversity-baseline-data-project#main-content</t>
        </is>
      </c>
      <c r="H29" s="8" t="inlineStr"/>
      <c r="I29" s="8" t="inlineStr">
        <is>
          <t>TBC – no owner identified</t>
        </is>
      </c>
      <c r="J29" s="8" t="inlineStr"/>
      <c r="K29" s="8" t="inlineStr">
        <is>
          <t>Both</t>
        </is>
      </c>
      <c r="L29" s="8" t="inlineStr">
        <is>
          <t>No</t>
        </is>
      </c>
      <c r="M29" s="8" t="inlineStr">
        <is>
          <t>Quantitative indicator</t>
        </is>
      </c>
      <c r="N29" s="8" t="inlineStr"/>
      <c r="O29" s="8" t="inlineStr">
        <is>
          <t>Databook / central data owner</t>
        </is>
      </c>
      <c r="P29" s="8" t="inlineStr"/>
    </row>
    <row r="30" ht="90" customHeight="1">
      <c r="B30" s="7" t="inlineStr">
        <is>
          <t>NB1(b)</t>
        </is>
      </c>
      <c r="C30" s="8" t="inlineStr">
        <is>
          <t>Sustainability leadership</t>
        </is>
      </c>
      <c r="D30" s="8" t="inlineStr">
        <is>
          <t>Nature and biodiversity</t>
        </is>
      </c>
      <c r="E30" s="8" t="inlineStr">
        <is>
          <t>Achieve an increase of biodiversity relative to defined baseline years for each campus.</t>
        </is>
      </c>
      <c r="F30" s="8" t="inlineStr">
        <is>
          <t>Size, health and diversity of remnant vegetation at the Dookie and Creswick campuses</t>
        </is>
      </c>
      <c r="G30" s="8" t="inlineStr"/>
      <c r="H30" s="8" t="inlineStr">
        <is>
          <t>Rachel</t>
        </is>
      </c>
      <c r="I30" s="8" t="inlineStr">
        <is>
          <t>ESG</t>
        </is>
      </c>
      <c r="J30" s="8" t="inlineStr"/>
      <c r="K30" s="8" t="inlineStr">
        <is>
          <t>Internal</t>
        </is>
      </c>
      <c r="L30" s="8" t="inlineStr">
        <is>
          <t>No</t>
        </is>
      </c>
      <c r="M30" s="8" t="inlineStr">
        <is>
          <t>Havent been previously disclose publicly</t>
        </is>
      </c>
      <c r="N30" s="8" t="inlineStr"/>
      <c r="O30" s="8" t="inlineStr">
        <is>
          <t>Tailored request</t>
        </is>
      </c>
      <c r="P30" s="8" t="inlineStr"/>
    </row>
    <row r="31" ht="90" customHeight="1">
      <c r="B31" s="7" t="inlineStr">
        <is>
          <t>NB1(c)</t>
        </is>
      </c>
      <c r="C31" s="8" t="inlineStr">
        <is>
          <t>Sustainability leadership</t>
        </is>
      </c>
      <c r="D31" s="8" t="inlineStr">
        <is>
          <t>Nature and biodiversity</t>
        </is>
      </c>
      <c r="E31" s="8" t="inlineStr">
        <is>
          <t>Achieve an increase of biodiversity relative to defined baseline years for each campus.</t>
        </is>
      </c>
      <c r="F31" s="8" t="inlineStr">
        <is>
          <t>Defined quality measurement framework</t>
        </is>
      </c>
      <c r="G31" s="8" t="inlineStr"/>
      <c r="H31" s="8" t="inlineStr">
        <is>
          <t>ESG</t>
        </is>
      </c>
      <c r="I31" s="8" t="inlineStr">
        <is>
          <t>ESG</t>
        </is>
      </c>
      <c r="J31" s="8" t="inlineStr"/>
      <c r="K31" s="8" t="inlineStr">
        <is>
          <t>Both</t>
        </is>
      </c>
      <c r="L31" s="8" t="inlineStr">
        <is>
          <t>No</t>
        </is>
      </c>
      <c r="M31" s="8" t="inlineStr">
        <is>
          <t>Follow up with Rachel</t>
        </is>
      </c>
      <c r="N31" s="8" t="inlineStr"/>
      <c r="O31" s="8" t="inlineStr">
        <is>
          <t>Tailored request</t>
        </is>
      </c>
      <c r="P31" s="8" t="inlineStr"/>
    </row>
    <row r="32" ht="90" customHeight="1">
      <c r="B32" s="7" t="inlineStr">
        <is>
          <t>NB1(d)</t>
        </is>
      </c>
      <c r="C32" s="8" t="inlineStr">
        <is>
          <t>Sustainability leadership</t>
        </is>
      </c>
      <c r="D32" s="8" t="inlineStr">
        <is>
          <t>Nature and biodiversity</t>
        </is>
      </c>
      <c r="E32" s="8" t="inlineStr">
        <is>
          <t>Achieve an increase of biodiversity relative to defined baseline years for each campus.</t>
        </is>
      </c>
      <c r="F32" s="8" t="inlineStr">
        <is>
          <t>Defined and quantified campus connectivity</t>
        </is>
      </c>
      <c r="G32" s="8" t="inlineStr">
        <is>
          <t>Please provide the current definition and quantified assessment of campus ecological connectivity, could include the methodology used, campuses covered, baseline or benchmark values, and any material change over the reporting period.</t>
        </is>
      </c>
      <c r="H32" s="8" t="inlineStr">
        <is>
          <t>ESG</t>
        </is>
      </c>
      <c r="I32" s="8" t="inlineStr">
        <is>
          <t>ESG</t>
        </is>
      </c>
      <c r="J32" s="8" t="inlineStr"/>
      <c r="K32" s="8" t="inlineStr">
        <is>
          <t>Both</t>
        </is>
      </c>
      <c r="L32" s="8" t="inlineStr">
        <is>
          <t>No</t>
        </is>
      </c>
      <c r="M32" s="8" t="inlineStr"/>
      <c r="N32" s="8" t="inlineStr"/>
      <c r="O32" s="8" t="inlineStr">
        <is>
          <t>Tailored request</t>
        </is>
      </c>
      <c r="P32" s="8" t="inlineStr"/>
    </row>
    <row r="33" ht="90" customHeight="1">
      <c r="B33" s="7" t="inlineStr">
        <is>
          <t>NB2(a)</t>
        </is>
      </c>
      <c r="C33" s="8" t="inlineStr">
        <is>
          <t>Sustainability leadership</t>
        </is>
      </c>
      <c r="D33" s="8" t="inlineStr">
        <is>
          <t>Nature and biodiversity</t>
        </is>
      </c>
      <c r="E33" s="8" t="inlineStr">
        <is>
          <t>Improve our understanding of our supply chain impacts on nature.</t>
        </is>
      </c>
      <c r="F33" s="8" t="inlineStr">
        <is>
          <t>Documented baseline nature footprint analysis</t>
        </is>
      </c>
      <c r="G33" s="8" t="inlineStr">
        <is>
          <t>Impact Encore Measurement</t>
        </is>
      </c>
      <c r="H33" s="8" t="inlineStr">
        <is>
          <t>MBI</t>
        </is>
      </c>
      <c r="I33" s="8" t="inlineStr">
        <is>
          <t>MRE</t>
        </is>
      </c>
      <c r="J33" s="8" t="inlineStr"/>
      <c r="K33" s="8" t="inlineStr">
        <is>
          <t>Both</t>
        </is>
      </c>
      <c r="L33" s="8" t="inlineStr">
        <is>
          <t>No</t>
        </is>
      </c>
      <c r="M33" s="8" t="inlineStr"/>
      <c r="N33" s="8" t="inlineStr"/>
      <c r="O33" s="8" t="inlineStr">
        <is>
          <t>Tailored request</t>
        </is>
      </c>
      <c r="P33" s="8" t="inlineStr"/>
    </row>
    <row r="34" ht="90" customHeight="1">
      <c r="B34" s="7" t="inlineStr">
        <is>
          <t>NB2(b)</t>
        </is>
      </c>
      <c r="C34" s="8" t="inlineStr">
        <is>
          <t>Sustainability leadership</t>
        </is>
      </c>
      <c r="D34" s="8" t="inlineStr">
        <is>
          <t>Nature and biodiversity</t>
        </is>
      </c>
      <c r="E34" s="8" t="inlineStr">
        <is>
          <t>Improve our understanding of our supply chain impacts on nature.</t>
        </is>
      </c>
      <c r="F34" s="8" t="inlineStr">
        <is>
          <t>Evidence of established framework to monitor and track supply-chain nature impacts over time</t>
        </is>
      </c>
      <c r="G34" s="8" t="inlineStr">
        <is>
          <t>Please describe the framework established to monitor and track supply-chain impacts on nature over time, could include metrics, data sources, governance/ownership, reporting frequency and current implementation status.</t>
        </is>
      </c>
      <c r="H34" s="8" t="inlineStr">
        <is>
          <t>ESG</t>
        </is>
      </c>
      <c r="I34" s="8" t="inlineStr">
        <is>
          <t>ESG</t>
        </is>
      </c>
      <c r="J34" s="8" t="inlineStr">
        <is>
          <t>Melbourne Biodiversity Institute (MBI) - Brendan Wintle and August Wylynko</t>
        </is>
      </c>
      <c r="K34" s="8" t="inlineStr">
        <is>
          <t>Both</t>
        </is>
      </c>
      <c r="L34" s="8" t="inlineStr">
        <is>
          <t>No</t>
        </is>
      </c>
      <c r="M34" s="8" t="inlineStr"/>
      <c r="N34" s="8" t="inlineStr"/>
      <c r="O34" s="8" t="inlineStr">
        <is>
          <t>Tailored request</t>
        </is>
      </c>
      <c r="P34" s="8" t="inlineStr"/>
    </row>
    <row r="35" ht="90" customHeight="1">
      <c r="B35" s="7" t="inlineStr">
        <is>
          <t>NB2(c)</t>
        </is>
      </c>
      <c r="C35" s="8" t="inlineStr">
        <is>
          <t>Sustainability leadership</t>
        </is>
      </c>
      <c r="D35" s="8" t="inlineStr">
        <is>
          <t>Nature and biodiversity</t>
        </is>
      </c>
      <c r="E35" s="8" t="inlineStr">
        <is>
          <t>Improve our understanding of our supply chain impacts on nature.</t>
        </is>
      </c>
      <c r="F35" s="8" t="inlineStr">
        <is>
          <t>Evidence of prioritised high risk procurement categories or suppliers for nature impact management</t>
        </is>
      </c>
      <c r="G35" s="8" t="inlineStr">
        <is>
          <t>Please provide the prioritised high-risk procurement categories and/or suppliers identified for nature-impact management, could include the basis for prioritisation and any risk-management, engagement or mitigation actions undertaken or planned.</t>
        </is>
      </c>
      <c r="H35" s="8" t="inlineStr">
        <is>
          <t>ESG, CFOG</t>
        </is>
      </c>
      <c r="I35" s="8" t="inlineStr">
        <is>
          <t>CFOG, ESG</t>
        </is>
      </c>
      <c r="J35" s="8" t="inlineStr">
        <is>
          <t>MBI</t>
        </is>
      </c>
      <c r="K35" s="8" t="inlineStr">
        <is>
          <t>Both</t>
        </is>
      </c>
      <c r="L35" s="8" t="inlineStr">
        <is>
          <t>No</t>
        </is>
      </c>
      <c r="M35" s="8" t="inlineStr"/>
      <c r="N35" s="8" t="inlineStr"/>
      <c r="O35" s="8" t="inlineStr">
        <is>
          <t>Tailored request</t>
        </is>
      </c>
      <c r="P35" s="8" t="inlineStr"/>
    </row>
    <row r="36" ht="90" customHeight="1">
      <c r="B36" s="7" t="inlineStr">
        <is>
          <t>AI1(a)</t>
        </is>
      </c>
      <c r="C36" s="8" t="inlineStr">
        <is>
          <t>Sustainability leadership</t>
        </is>
      </c>
      <c r="D36" s="8" t="inlineStr">
        <is>
          <t>Responsible AI</t>
        </is>
      </c>
      <c r="E36" s="8" t="inlineStr">
        <is>
          <t>Improve understanding of our sustainability-related risks and opportunities of AI technologies by 2028.</t>
        </is>
      </c>
      <c r="F36" s="8" t="inlineStr">
        <is>
          <t>Established measurement of estimated operational impacts and opportunities (eg operational impacts could include energy, water, emissions and intensity measures)</t>
        </is>
      </c>
      <c r="G36" s="8" t="inlineStr"/>
      <c r="H36" s="8" t="inlineStr">
        <is>
          <t>CI&amp;S, CIOG</t>
        </is>
      </c>
      <c r="I36" s="8" t="inlineStr">
        <is>
          <t>CI&amp;S, CIOG</t>
        </is>
      </c>
      <c r="J36" s="8" t="inlineStr"/>
      <c r="K36" s="8" t="inlineStr">
        <is>
          <t>Both</t>
        </is>
      </c>
      <c r="L36" s="8" t="inlineStr">
        <is>
          <t>Yes</t>
        </is>
      </c>
      <c r="M36" s="8" t="inlineStr">
        <is>
          <t>Rose &amp; Sally currently actively managing this target and indicator. High level overview on 2026, will work on the detailed measurement next year</t>
        </is>
      </c>
      <c r="N36" s="8" t="inlineStr"/>
      <c r="O36" s="8" t="inlineStr">
        <is>
          <t>Tailored request</t>
        </is>
      </c>
      <c r="P36" s="8" t="inlineStr"/>
    </row>
    <row r="37" ht="90" customHeight="1">
      <c r="B37" s="7" t="inlineStr">
        <is>
          <t>AI1(b)</t>
        </is>
      </c>
      <c r="C37" s="8" t="inlineStr">
        <is>
          <t>Sustainability leadership</t>
        </is>
      </c>
      <c r="D37" s="8" t="inlineStr">
        <is>
          <t>Responsible AI</t>
        </is>
      </c>
      <c r="E37" s="8" t="inlineStr">
        <is>
          <t>Improve understanding of our sustainability-related risks and opportunities of AI technologies by 2028.</t>
        </is>
      </c>
      <c r="F37" s="8" t="inlineStr">
        <is>
          <t>Case studies of sustainability and AI-related education, research and collaboration activities.</t>
        </is>
      </c>
      <c r="G37" s="8" t="inlineStr">
        <is>
          <t>Please provide case studies from your Faculty/Portfolio of sustainability and AI-related education, research or collaboration activities, describing the activity, participants or partners, sustainability issue addressed and key outcomes or lessons.</t>
        </is>
      </c>
      <c r="H37" s="8" t="inlineStr">
        <is>
          <t>CI&amp;S, CIOG</t>
        </is>
      </c>
      <c r="I37" s="8" t="inlineStr">
        <is>
          <t>CI&amp;S, CIOG</t>
        </is>
      </c>
      <c r="J37" s="8" t="inlineStr">
        <is>
          <t>AI Steering Committee - developing AI roadmap, which includes responsible AI as a key pillar.</t>
        </is>
      </c>
      <c r="K37" s="8" t="inlineStr">
        <is>
          <t>Both</t>
        </is>
      </c>
      <c r="L37" s="8" t="inlineStr">
        <is>
          <t>No</t>
        </is>
      </c>
      <c r="M37" s="8" t="inlineStr"/>
      <c r="N37" s="8" t="inlineStr"/>
      <c r="O37" s="8" t="inlineStr">
        <is>
          <t>Tailored request</t>
        </is>
      </c>
      <c r="P37" s="8" t="inlineStr"/>
    </row>
    <row r="38" ht="90" customHeight="1">
      <c r="B38" s="7" t="inlineStr">
        <is>
          <t>EI1(a)</t>
        </is>
      </c>
      <c r="C38" s="8" t="inlineStr">
        <is>
          <t>Resilient University</t>
        </is>
      </c>
      <c r="D38" s="8" t="inlineStr">
        <is>
          <t>Estate and infrastructure</t>
        </is>
      </c>
      <c r="E38" s="8" t="inlineStr">
        <is>
          <t>Integrate environmental sustainability in the way that the University achieves strategic and operational objectives for our estate and infrastructure.</t>
        </is>
      </c>
      <c r="F38" s="8" t="inlineStr">
        <is>
          <t>Evidence of increased maturity of estate and infrastructure planning, development and operations to support the other priority areas in Sustainability 2030</t>
        </is>
      </c>
      <c r="G38"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8" s="8" t="inlineStr">
        <is>
          <t>CI&amp;S</t>
        </is>
      </c>
      <c r="I38" s="8" t="inlineStr">
        <is>
          <t>CI&amp;S</t>
        </is>
      </c>
      <c r="J38" s="8" t="inlineStr">
        <is>
          <t>CI&amp;S - Estate Planning and Development teams</t>
        </is>
      </c>
      <c r="K38" s="8" t="inlineStr">
        <is>
          <t>Both</t>
        </is>
      </c>
      <c r="L38" s="8" t="inlineStr">
        <is>
          <t>No</t>
        </is>
      </c>
      <c r="M38" s="8" t="inlineStr">
        <is>
          <t>Facilitated by Gerard</t>
        </is>
      </c>
      <c r="N38" s="8" t="inlineStr"/>
      <c r="O38" s="8" t="inlineStr">
        <is>
          <t>Tailored request</t>
        </is>
      </c>
      <c r="P38" s="8" t="inlineStr"/>
    </row>
    <row r="39" ht="90" customHeight="1">
      <c r="B39" s="7" t="inlineStr">
        <is>
          <t>EI1(b)</t>
        </is>
      </c>
      <c r="C39" s="8" t="inlineStr">
        <is>
          <t>Resilient University</t>
        </is>
      </c>
      <c r="D39" s="8" t="inlineStr">
        <is>
          <t>Estate and infrastructure</t>
        </is>
      </c>
      <c r="E39" s="8" t="inlineStr">
        <is>
          <t>Integrate environmental sustainability in the way that the University achieves strategic and operational objectives for our estate and infrastructure.</t>
        </is>
      </c>
      <c r="F39" s="8" t="inlineStr">
        <is>
          <t>Estimated sustainability impacts of the University’s estate and infrastructure capital plan to inform progress towards emissions reduction targets and other priority areas (to the extent enabled by available information)</t>
        </is>
      </c>
      <c r="G39"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9" s="8" t="inlineStr">
        <is>
          <t>CI&amp;S</t>
        </is>
      </c>
      <c r="I39" s="8" t="inlineStr">
        <is>
          <t>CI&amp;S</t>
        </is>
      </c>
      <c r="J39" s="8" t="inlineStr">
        <is>
          <t>CI&amp;S - Estate Planning and Development teams</t>
        </is>
      </c>
      <c r="K39" s="8" t="inlineStr">
        <is>
          <t>Both</t>
        </is>
      </c>
      <c r="L39" s="8" t="inlineStr">
        <is>
          <t>No</t>
        </is>
      </c>
      <c r="M39" s="8" t="inlineStr"/>
      <c r="N39" s="8" t="inlineStr"/>
      <c r="O39" s="8" t="inlineStr">
        <is>
          <t>Tailored request</t>
        </is>
      </c>
      <c r="P39" s="8" t="inlineStr"/>
    </row>
    <row r="40" ht="90" customHeight="1">
      <c r="B40" s="7" t="inlineStr">
        <is>
          <t>EI1(c)</t>
        </is>
      </c>
      <c r="C40" s="8" t="inlineStr">
        <is>
          <t>Resilient University</t>
        </is>
      </c>
      <c r="D40" s="8" t="inlineStr">
        <is>
          <t>Estate and infrastructure</t>
        </is>
      </c>
      <c r="E40" s="8" t="inlineStr">
        <is>
          <t>Integrate environmental sustainability in the way that the University achieves strategic and operational objectives for our estate and infrastructure.</t>
        </is>
      </c>
      <c r="F40" s="8" t="inlineStr">
        <is>
          <t>Reporting on relevant activities and impacts for the University’s major estate and infrastructure projects and programs aligned with the other priority areas in Sustainability 2030</t>
        </is>
      </c>
      <c r="G40"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40" s="8" t="inlineStr">
        <is>
          <t>CI&amp;S</t>
        </is>
      </c>
      <c r="I40" s="8" t="inlineStr">
        <is>
          <t>CI&amp;S</t>
        </is>
      </c>
      <c r="J40" s="8" t="inlineStr">
        <is>
          <t>CI&amp;S - Estate Planning and Development teams</t>
        </is>
      </c>
      <c r="K40" s="8" t="inlineStr">
        <is>
          <t>Both</t>
        </is>
      </c>
      <c r="L40" s="8" t="inlineStr">
        <is>
          <t>No</t>
        </is>
      </c>
      <c r="M40" s="8" t="inlineStr"/>
      <c r="N40" s="8" t="inlineStr"/>
      <c r="O40" s="8" t="inlineStr">
        <is>
          <t>Tailored request</t>
        </is>
      </c>
      <c r="P40" s="8" t="inlineStr"/>
    </row>
    <row r="41" ht="90" customHeight="1">
      <c r="B41" s="7" t="inlineStr">
        <is>
          <t>EI1(d)</t>
        </is>
      </c>
      <c r="C41" s="8" t="inlineStr">
        <is>
          <t>Resilient University</t>
        </is>
      </c>
      <c r="D41" s="8" t="inlineStr">
        <is>
          <t>Estate and infrastructure</t>
        </is>
      </c>
      <c r="E41" s="8" t="inlineStr">
        <is>
          <t>Integrate environmental sustainability in the way that the University achieves strategic and operational objectives for our estate and infrastructure.</t>
        </is>
      </c>
      <c r="F41" s="8" t="inlineStr">
        <is>
          <t>Evidence of understanding and integration of Indigenous approaches to sustainability in estate planning and development programs and projects.</t>
        </is>
      </c>
      <c r="G41"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41" s="8" t="inlineStr">
        <is>
          <t>CI&amp;S</t>
        </is>
      </c>
      <c r="I41" s="8" t="inlineStr">
        <is>
          <t>CI&amp;S</t>
        </is>
      </c>
      <c r="J41" s="8" t="inlineStr">
        <is>
          <t>CI&amp;S - Estate Planning and Development teams</t>
        </is>
      </c>
      <c r="K41" s="8" t="inlineStr">
        <is>
          <t>Both</t>
        </is>
      </c>
      <c r="L41" s="8" t="inlineStr">
        <is>
          <t>No</t>
        </is>
      </c>
      <c r="M41" s="8" t="inlineStr"/>
      <c r="N41" s="8" t="inlineStr"/>
      <c r="O41" s="8" t="inlineStr">
        <is>
          <t>Tailored request</t>
        </is>
      </c>
      <c r="P41" s="8" t="inlineStr"/>
    </row>
    <row r="42" ht="90" customHeight="1">
      <c r="B42" s="7" t="inlineStr">
        <is>
          <t>CE1(a)</t>
        </is>
      </c>
      <c r="C42" s="8" t="inlineStr">
        <is>
          <t>Resilient University</t>
        </is>
      </c>
      <c r="D42" s="8" t="inlineStr">
        <is>
          <t>Circular economy</t>
        </is>
      </c>
      <c r="E42" s="8" t="inlineStr">
        <is>
          <t>Reduce waste to landfill by 10% by CY2030 on the CY2025 baseline.</t>
        </is>
      </c>
      <c r="F42" s="8" t="inlineStr">
        <is>
          <t>Comparison of year-to-year tonnes of waste (absolute).</t>
        </is>
      </c>
      <c r="G42" s="8" t="inlineStr">
        <is>
          <t>tonnes of waste; % change against previous baseline</t>
        </is>
      </c>
      <c r="H42" s="8" t="inlineStr"/>
      <c r="I42" s="8" t="inlineStr">
        <is>
          <t>TBC – no owner identified</t>
        </is>
      </c>
      <c r="J42" s="8" t="inlineStr"/>
      <c r="K42" s="8" t="inlineStr">
        <is>
          <t>Both</t>
        </is>
      </c>
      <c r="L42" s="8" t="inlineStr">
        <is>
          <t>No</t>
        </is>
      </c>
      <c r="M42" s="8" t="inlineStr">
        <is>
          <t>Quantitative indicator</t>
        </is>
      </c>
      <c r="N42" s="8" t="inlineStr"/>
      <c r="O42" s="8" t="inlineStr">
        <is>
          <t>Databook / central data owner</t>
        </is>
      </c>
      <c r="P42" s="8" t="inlineStr"/>
    </row>
    <row r="43" ht="90" customHeight="1">
      <c r="B43" s="7" t="inlineStr">
        <is>
          <t>CE2(a)</t>
        </is>
      </c>
      <c r="C43" s="8" t="inlineStr">
        <is>
          <t>Resilient University</t>
        </is>
      </c>
      <c r="D43" s="8" t="inlineStr">
        <is>
          <t>Circular economy</t>
        </is>
      </c>
      <c r="E43" s="8" t="inlineStr">
        <is>
          <t>Increase diversion of recyclable materials from landfill by 10% by CY2030 on the CY2025 baseline.</t>
        </is>
      </c>
      <c r="F43" s="8" t="inlineStr">
        <is>
          <t>Comparison of year-to-year tonnes of recyclables (absolute).</t>
        </is>
      </c>
      <c r="G43" s="8" t="inlineStr">
        <is>
          <t>waste diversion rate; tonnes diverted from landfill; % change against previous baseline</t>
        </is>
      </c>
      <c r="H43" s="8" t="inlineStr"/>
      <c r="I43" s="8" t="inlineStr">
        <is>
          <t>TBC – no owner identified</t>
        </is>
      </c>
      <c r="J43" s="8" t="inlineStr"/>
      <c r="K43" s="8" t="inlineStr">
        <is>
          <t>Both</t>
        </is>
      </c>
      <c r="L43" s="8" t="inlineStr">
        <is>
          <t>No</t>
        </is>
      </c>
      <c r="M43" s="8" t="inlineStr">
        <is>
          <t>Quantitative indicator</t>
        </is>
      </c>
      <c r="N43" s="8" t="inlineStr"/>
      <c r="O43" s="8" t="inlineStr">
        <is>
          <t>Databook / central data owner</t>
        </is>
      </c>
      <c r="P43" s="8" t="inlineStr"/>
    </row>
    <row r="44" ht="90" customHeight="1">
      <c r="B44" s="7" t="inlineStr">
        <is>
          <t>RP1(a)</t>
        </is>
      </c>
      <c r="C44" s="8" t="inlineStr">
        <is>
          <t>Resilient University</t>
        </is>
      </c>
      <c r="D44" s="8" t="inlineStr">
        <is>
          <t>Responsible procurement</t>
        </is>
      </c>
      <c r="E44" s="8" t="inlineStr">
        <is>
          <t>Strengthen our ethical and sustainable procurement approach.</t>
        </is>
      </c>
      <c r="F44" s="8" t="inlineStr">
        <is>
          <t>Case studies of maturity improvement related to responsible procurement process and systems.</t>
        </is>
      </c>
      <c r="G44" s="8" t="inlineStr">
        <is>
          <t>Maturity score if framework established; % procurement staff trained</t>
        </is>
      </c>
      <c r="H44" s="8" t="inlineStr"/>
      <c r="I44" s="8" t="inlineStr">
        <is>
          <t>CFOG</t>
        </is>
      </c>
      <c r="J44" s="8" t="inlineStr"/>
      <c r="K44" s="8" t="inlineStr">
        <is>
          <t>Both</t>
        </is>
      </c>
      <c r="L44" s="8" t="inlineStr">
        <is>
          <t>No</t>
        </is>
      </c>
      <c r="M44" s="8" t="inlineStr">
        <is>
          <t>Quantitative metrics could support qualitative case studies to demonstrate system/process improvements</t>
        </is>
      </c>
      <c r="N44" s="8" t="inlineStr"/>
      <c r="O44" s="8" t="inlineStr">
        <is>
          <t>Tailored request</t>
        </is>
      </c>
      <c r="P44" s="8" t="inlineStr"/>
    </row>
    <row r="45" ht="90" customHeight="1">
      <c r="B45" s="7" t="inlineStr">
        <is>
          <t>RP2(a)</t>
        </is>
      </c>
      <c r="C45" s="8" t="inlineStr">
        <is>
          <t>Resilient University</t>
        </is>
      </c>
      <c r="D45" s="8" t="inlineStr">
        <is>
          <t>Responsible procurement</t>
        </is>
      </c>
      <c r="E45" s="8" t="inlineStr">
        <is>
          <t>Increase our Indigenous and social spend, reaching 3% Indigenous and 1% social spend of addressable procurement by 2030.</t>
        </is>
      </c>
      <c r="F45" s="8" t="inlineStr">
        <is>
          <t>Percentage of Indigenous spend of total addressable procurement spend</t>
        </is>
      </c>
      <c r="G45" s="8" t="inlineStr">
        <is>
          <t>Percentage of Indigenous spend of total addressable procurement spend</t>
        </is>
      </c>
      <c r="H45" s="8" t="inlineStr"/>
      <c r="I45" s="8" t="inlineStr">
        <is>
          <t>TBC – no owner identified</t>
        </is>
      </c>
      <c r="J45" s="8" t="inlineStr"/>
      <c r="K45" s="8" t="inlineStr">
        <is>
          <t>Both</t>
        </is>
      </c>
      <c r="L45" s="8" t="inlineStr">
        <is>
          <t>No</t>
        </is>
      </c>
      <c r="M45" s="8" t="inlineStr">
        <is>
          <t>Quantitative indicator</t>
        </is>
      </c>
      <c r="N45" s="8" t="inlineStr"/>
      <c r="O45" s="8" t="inlineStr">
        <is>
          <t>Databook / central data owner</t>
        </is>
      </c>
      <c r="P45" s="8" t="inlineStr"/>
    </row>
    <row r="46" ht="90" customHeight="1">
      <c r="B46" s="7" t="inlineStr">
        <is>
          <t>RP2(b)</t>
        </is>
      </c>
      <c r="C46" s="8" t="inlineStr">
        <is>
          <t>Resilient University</t>
        </is>
      </c>
      <c r="D46" s="8" t="inlineStr">
        <is>
          <t>Responsible procurement</t>
        </is>
      </c>
      <c r="E46" s="8" t="inlineStr">
        <is>
          <t>Increase our Indigenous and social spend, reaching 3% Indigenous and 1% social spend of addressable procurement by 2030.</t>
        </is>
      </c>
      <c r="F46" s="8" t="inlineStr">
        <is>
          <t>Percentage of social spend of total addressable procurement spend.</t>
        </is>
      </c>
      <c r="G46" s="8" t="inlineStr">
        <is>
          <t>Percentage of social spend of total addressable procurement spend.</t>
        </is>
      </c>
      <c r="H46" s="8" t="inlineStr"/>
      <c r="I46" s="8" t="inlineStr">
        <is>
          <t>TBC – no owner identified</t>
        </is>
      </c>
      <c r="J46" s="8" t="inlineStr"/>
      <c r="K46" s="8" t="inlineStr">
        <is>
          <t>Both</t>
        </is>
      </c>
      <c r="L46" s="8" t="inlineStr">
        <is>
          <t>No</t>
        </is>
      </c>
      <c r="M46" s="8" t="inlineStr">
        <is>
          <t>Quantitative indicator</t>
        </is>
      </c>
      <c r="N46" s="8" t="inlineStr"/>
      <c r="O46" s="8" t="inlineStr">
        <is>
          <t>Databook / central data owner</t>
        </is>
      </c>
      <c r="P46" s="8" t="inlineStr"/>
    </row>
    <row r="47" ht="90" customHeight="1">
      <c r="B47" s="7" t="inlineStr">
        <is>
          <t>MS1(a)</t>
        </is>
      </c>
      <c r="C47" s="8" t="inlineStr">
        <is>
          <t>Resilient University</t>
        </is>
      </c>
      <c r="D47" s="8" t="inlineStr">
        <is>
          <t>Modern slavery and human rights</t>
        </is>
      </c>
      <c r="E47" s="8" t="inlineStr">
        <is>
          <t>Manage our approach to modern slavery and human rights-related risks and opportunities.</t>
        </is>
      </c>
      <c r="F47" s="8" t="inlineStr">
        <is>
          <t>Annual progress reporting via the Modern Slavery Statement</t>
        </is>
      </c>
      <c r="G47" s="8" t="inlineStr">
        <is>
          <t>Annual Modern Slavery Statement, with case studies</t>
        </is>
      </c>
      <c r="H47" s="8" t="inlineStr">
        <is>
          <t>CFOG, CI&amp;S</t>
        </is>
      </c>
      <c r="I47" s="8" t="inlineStr">
        <is>
          <t>CI&amp;S, CFOG</t>
        </is>
      </c>
      <c r="J47" s="8" t="inlineStr">
        <is>
          <t>CFOG - Procurement; Modern Slavery Working Group (existing).</t>
        </is>
      </c>
      <c r="K47" s="8" t="inlineStr">
        <is>
          <t>External</t>
        </is>
      </c>
      <c r="L47" s="8" t="inlineStr">
        <is>
          <t>No</t>
        </is>
      </c>
      <c r="M47" s="8" t="inlineStr"/>
      <c r="N47" s="8" t="inlineStr"/>
      <c r="O47" s="8" t="inlineStr">
        <is>
          <t>Tailored request</t>
        </is>
      </c>
      <c r="P47" s="8" t="inlineStr"/>
    </row>
    <row r="48" ht="90" customHeight="1">
      <c r="B48" s="7" t="inlineStr">
        <is>
          <t>RI1(a)</t>
        </is>
      </c>
      <c r="C48" s="8" t="inlineStr">
        <is>
          <t>Resilient University</t>
        </is>
      </c>
      <c r="D48" s="8" t="inlineStr">
        <is>
          <t>Responsible investments</t>
        </is>
      </c>
      <c r="E48" s="8" t="inlineStr">
        <is>
          <t>Achieve net zero financed emissions for the University’s investment portfolio by 2050.</t>
        </is>
      </c>
      <c r="F48" s="8" t="inlineStr">
        <is>
          <t>Annual monitoring and reporting on the investment portfolio’s net zero transition progress, including tracking the percentage of assets under management (AUM) managed by investment managers aligned with (or committed to) net zero by 2050</t>
        </is>
      </c>
      <c r="G48" s="8" t="inlineStr">
        <is>
          <t>Percentage of AUM managed by investment managers aligned with net zero by 2050</t>
        </is>
      </c>
      <c r="H48" s="8" t="inlineStr"/>
      <c r="I48" s="8" t="inlineStr">
        <is>
          <t>TBC – no owner identified</t>
        </is>
      </c>
      <c r="J48" s="8" t="inlineStr"/>
      <c r="K48" s="8" t="inlineStr">
        <is>
          <t>Both</t>
        </is>
      </c>
      <c r="L48" s="8" t="inlineStr">
        <is>
          <t>No</t>
        </is>
      </c>
      <c r="M48" s="8" t="inlineStr">
        <is>
          <t>Quantitative indicator</t>
        </is>
      </c>
      <c r="N48" s="8" t="inlineStr"/>
      <c r="O48" s="8" t="inlineStr">
        <is>
          <t>Databook / central data owner</t>
        </is>
      </c>
      <c r="P48" s="8" t="inlineStr"/>
    </row>
    <row r="49" ht="90" customHeight="1">
      <c r="B49" s="7" t="inlineStr">
        <is>
          <t>RI1(b)</t>
        </is>
      </c>
      <c r="C49" s="8" t="inlineStr">
        <is>
          <t>Resilient University</t>
        </is>
      </c>
      <c r="D49" s="8" t="inlineStr">
        <is>
          <t>Responsible investments</t>
        </is>
      </c>
      <c r="E49" s="8" t="inlineStr">
        <is>
          <t>Achieve net zero financed emissions for the University’s investment portfolio by 2050.</t>
        </is>
      </c>
      <c r="F49" s="8" t="inlineStr">
        <is>
          <t>Continuous improvement of the reporting of the University’s sustainability-related investment profile metrics, could include investment in climate mitigation and transition solutions, and compliance with related obligations (eg UNPRI).</t>
        </is>
      </c>
      <c r="G49" s="8" t="inlineStr">
        <is>
          <t>Report on relevant sustainability-related investment portfolio metrics and report on how the University has complied with its related obligations</t>
        </is>
      </c>
      <c r="H49" s="8" t="inlineStr">
        <is>
          <t>CFOG, CI&amp;S</t>
        </is>
      </c>
      <c r="I49" s="8" t="inlineStr">
        <is>
          <t>CI&amp;S, CFOG</t>
        </is>
      </c>
      <c r="J49" s="8" t="inlineStr"/>
      <c r="K49" s="8" t="inlineStr">
        <is>
          <t>Both</t>
        </is>
      </c>
      <c r="L49" s="8" t="inlineStr">
        <is>
          <t>No</t>
        </is>
      </c>
      <c r="M49" s="8" t="inlineStr"/>
      <c r="N49" s="8" t="inlineStr"/>
      <c r="O49" s="8" t="inlineStr">
        <is>
          <t>Tailored request</t>
        </is>
      </c>
      <c r="P49" s="8" t="inlineStr"/>
    </row>
    <row r="50" ht="90" customHeight="1">
      <c r="B50" s="7" t="inlineStr">
        <is>
          <t>EN1(a)</t>
        </is>
      </c>
      <c r="C50" s="8" t="inlineStr">
        <is>
          <t>Enablers</t>
        </is>
      </c>
      <c r="D50" s="8" t="inlineStr">
        <is>
          <t>Enablers</t>
        </is>
      </c>
      <c r="E50" s="8" t="inlineStr">
        <is>
          <t>Enablers</t>
        </is>
      </c>
      <c r="F50" s="8" t="inlineStr">
        <is>
          <t>Evidence of sustainability outcomes informed by Indigenous knowledges</t>
        </is>
      </c>
      <c r="G5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50" s="8" t="inlineStr">
        <is>
          <t>Faculties</t>
        </is>
      </c>
      <c r="I50" s="8" t="inlineStr">
        <is>
          <t>Faculties (pilot)</t>
        </is>
      </c>
      <c r="J50" s="8" t="inlineStr">
        <is>
          <t>For discussion - it would be good to chat about the nuances of this one</t>
        </is>
      </c>
      <c r="K50" s="8" t="inlineStr">
        <is>
          <t>Both</t>
        </is>
      </c>
      <c r="L50" s="8" t="inlineStr">
        <is>
          <t>No</t>
        </is>
      </c>
      <c r="M50" s="8" t="inlineStr"/>
      <c r="N50" s="8" t="inlineStr">
        <is>
          <t>6a</t>
        </is>
      </c>
      <c r="O50" s="8" t="inlineStr">
        <is>
          <t>Tailored request</t>
        </is>
      </c>
      <c r="P50" s="8" t="inlineStr"/>
    </row>
    <row r="51" ht="90" customHeight="1">
      <c r="B51" s="7" t="inlineStr">
        <is>
          <t>EN1(b)</t>
        </is>
      </c>
      <c r="C51" s="8" t="inlineStr">
        <is>
          <t>Enablers</t>
        </is>
      </c>
      <c r="D51" s="8" t="inlineStr">
        <is>
          <t>Enablers</t>
        </is>
      </c>
      <c r="E51" s="8" t="inlineStr">
        <is>
          <t>Enablers</t>
        </is>
      </c>
      <c r="F51" s="8" t="inlineStr">
        <is>
          <t>Living laboratories enabling applied learning, research and operational sustainability outcomes</t>
        </is>
      </c>
      <c r="G51" s="8" t="inlineStr">
        <is>
          <t>Comment on living labs in the Faculty - outputs, outcomes, and impact</t>
        </is>
      </c>
      <c r="H51" s="8" t="inlineStr">
        <is>
          <t>Faculties, CI&amp;S</t>
        </is>
      </c>
      <c r="I51" s="8" t="inlineStr">
        <is>
          <t>Faculties (pilot), CI&amp;S</t>
        </is>
      </c>
      <c r="J51" s="8" t="inlineStr">
        <is>
          <t>SST is a key data owner: Can report on projects and outcomes from the Campus Living Lab Accelerator Program. Also will gather case studies from individual projects (4)</t>
        </is>
      </c>
      <c r="K51" s="8" t="inlineStr">
        <is>
          <t>Both</t>
        </is>
      </c>
      <c r="L51" s="8" t="inlineStr">
        <is>
          <t>No</t>
        </is>
      </c>
      <c r="M51" s="8" t="inlineStr"/>
      <c r="N51" s="8" t="inlineStr">
        <is>
          <t>2a</t>
        </is>
      </c>
      <c r="O51" s="8" t="inlineStr">
        <is>
          <t>Tailored request</t>
        </is>
      </c>
      <c r="P51" s="8" t="inlineStr"/>
    </row>
    <row r="52" ht="90" customHeight="1">
      <c r="B52" s="7" t="inlineStr">
        <is>
          <t>EN1(c)</t>
        </is>
      </c>
      <c r="C52" s="8" t="inlineStr">
        <is>
          <t>Enablers</t>
        </is>
      </c>
      <c r="D52" s="8" t="inlineStr">
        <is>
          <t>Enablers</t>
        </is>
      </c>
      <c r="E52" s="8" t="inlineStr">
        <is>
          <t>Enablers</t>
        </is>
      </c>
      <c r="F52" s="8" t="inlineStr">
        <is>
          <t>Coordinated internal engagement and external partnerships contributing to delivery of sustainability outcomes across priority areas.</t>
        </is>
      </c>
      <c r="G5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52" s="8" t="inlineStr">
        <is>
          <t>Faculties, CIOG, CFOG, CI&amp;S, ESG</t>
        </is>
      </c>
      <c r="I52" s="8" t="inlineStr">
        <is>
          <t>Faculties (pilot), CI&amp;S, CFOG, ESG, CIOG</t>
        </is>
      </c>
      <c r="J5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52" s="8" t="inlineStr">
        <is>
          <t>Both</t>
        </is>
      </c>
      <c r="L52" s="8" t="inlineStr">
        <is>
          <t>No</t>
        </is>
      </c>
      <c r="M52" s="8" t="inlineStr"/>
      <c r="N52" s="8" t="inlineStr">
        <is>
          <t>3a(ii)</t>
        </is>
      </c>
      <c r="O52" s="8" t="inlineStr">
        <is>
          <t>Tailored request</t>
        </is>
      </c>
      <c r="P52" s="8" t="inlineStr"/>
    </row>
    <row r="53" ht="90" customHeight="1">
      <c r="B53" s="7" t="inlineStr">
        <is>
          <t>EN1(d)</t>
        </is>
      </c>
      <c r="C53" s="8" t="inlineStr">
        <is>
          <t>Enablers</t>
        </is>
      </c>
      <c r="D53" s="8" t="inlineStr">
        <is>
          <t>Enablers</t>
        </is>
      </c>
      <c r="E53" s="8" t="inlineStr">
        <is>
          <t>Enablers</t>
        </is>
      </c>
      <c r="F53" s="8" t="inlineStr">
        <is>
          <t>Sustainability objectives integrated into governance and decision‑making processes, supported by transparent reporting.</t>
        </is>
      </c>
      <c r="G5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53" s="8" t="inlineStr">
        <is>
          <t>Faculties, CIOG, CFOG, CI&amp;S, ESG</t>
        </is>
      </c>
      <c r="I53" s="8" t="inlineStr">
        <is>
          <t>Faculties (pilot), CI&amp;S, CFOG, ESG, CIOG</t>
        </is>
      </c>
      <c r="J53" s="8" t="inlineStr">
        <is>
          <t>Reporting working group set up - talking about potential alignment with ASRS in future. Collaboration of SST, FBE (Accounting) and the Finance team in CFOG. Sally is the key contact for more info.</t>
        </is>
      </c>
      <c r="K53" s="8" t="inlineStr">
        <is>
          <t>Both</t>
        </is>
      </c>
      <c r="L53" s="8" t="inlineStr">
        <is>
          <t>No</t>
        </is>
      </c>
      <c r="M53" s="8" t="inlineStr"/>
      <c r="N53" s="8" t="inlineStr"/>
      <c r="O53" s="8" t="inlineStr">
        <is>
          <t>Tailored request</t>
        </is>
      </c>
      <c r="P53" s="8" t="inlineStr"/>
    </row>
  </sheetData>
  <autoFilter ref="B5:P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0" customWidth="1" min="4" max="4"/>
    <col width="9" customWidth="1" min="5" max="5"/>
    <col width="40" customWidth="1" min="6" max="6"/>
    <col width="18" customWidth="1" min="7" max="7"/>
    <col width="11" customWidth="1" min="8" max="8"/>
    <col width="36" customWidth="1" min="9" max="9"/>
    <col width="12" customWidth="1" min="10" max="10"/>
    <col width="24" customWidth="1" min="11" max="11"/>
    <col width="18" customWidth="1" min="12" max="12"/>
    <col width="12" customWidth="1" min="13" max="13"/>
    <col width="18" customWidth="1" min="14" max="14"/>
    <col width="14" customWidth="1" min="15" max="15"/>
    <col width="26" customWidth="1" min="16" max="16"/>
    <col width="18" customWidth="1" min="17" max="17"/>
    <col width="12" customWidth="1" min="18" max="18"/>
    <col width="14" customWidth="1" min="19" max="19"/>
  </cols>
  <sheetData>
    <row r="1">
      <c r="A1" s="1" t="inlineStr">
        <is>
          <t>↑</t>
        </is>
      </c>
      <c r="B1" s="2" t="inlineStr">
        <is>
          <t>End-2026 target status assessment and reporting</t>
        </is>
      </c>
    </row>
    <row r="2">
      <c r="B2" s="3" t="inlineStr">
        <is>
          <t>2. Quantitative indicators – Databook mapping</t>
        </is>
      </c>
    </row>
    <row r="3">
      <c r="B3" s="9" t="inlineStr">
        <is>
          <t>Databook is the authoritative quantitative source – confirm coverage first and only request data separately where an indicator is not covered. Per the SR26 approach: map Sep–Oct; confirm provisional data in January; finalise by February.</t>
        </is>
      </c>
    </row>
    <row r="5">
      <c r="B5" s="6" t="inlineStr">
        <is>
          <t>Ref</t>
        </is>
      </c>
      <c r="C5" s="6" t="inlineStr">
        <is>
          <t>Priority area</t>
        </is>
      </c>
      <c r="D5" s="6" t="inlineStr">
        <is>
          <t>Indicator</t>
        </is>
      </c>
      <c r="E5" s="6" t="inlineStr">
        <is>
          <t>Quant? (Y/M)</t>
        </is>
      </c>
      <c r="F5" s="6" t="inlineStr">
        <is>
          <t>Suggested metric</t>
        </is>
      </c>
      <c r="G5" s="6" t="inlineStr">
        <is>
          <t>Key person to follow up</t>
        </is>
      </c>
      <c r="H5" s="6" t="inlineStr">
        <is>
          <t>Internal vs External</t>
        </is>
      </c>
      <c r="I5" s="6" t="inlineStr">
        <is>
          <t>Analysis notes</t>
        </is>
      </c>
      <c r="J5" s="6" t="inlineStr">
        <is>
          <t>Covered by Databook?</t>
        </is>
      </c>
      <c r="K5" s="6" t="inlineStr">
        <is>
          <t>Definition</t>
        </is>
      </c>
      <c r="L5" s="6" t="inlineStr">
        <is>
          <t>Reporting boundary</t>
        </is>
      </c>
      <c r="M5" s="6" t="inlineStr">
        <is>
          <t>Period</t>
        </is>
      </c>
      <c r="N5" s="6" t="inlineStr">
        <is>
          <t>Source system</t>
        </is>
      </c>
      <c r="O5" s="6" t="inlineStr">
        <is>
          <t>End-2026 figure</t>
        </is>
      </c>
      <c r="P5" s="6" t="inlineStr">
        <is>
          <t>Quality note / limitations</t>
        </is>
      </c>
      <c r="Q5" s="6" t="inlineStr">
        <is>
          <t>Data owner</t>
        </is>
      </c>
      <c r="R5" s="6" t="inlineStr">
        <is>
          <t>Owner confirmed?</t>
        </is>
      </c>
      <c r="S5" s="6" t="inlineStr">
        <is>
          <t>Confirmation date</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t>
        </is>
      </c>
      <c r="F6" s="8" t="inlineStr">
        <is>
          <t>Number of experiential learning projects; number of participating students</t>
        </is>
      </c>
      <c r="G6" s="8" t="inlineStr"/>
      <c r="H6" s="8" t="inlineStr">
        <is>
          <t>Both</t>
        </is>
      </c>
      <c r="I6" s="8" t="inlineStr">
        <is>
          <t>Quantitative metrics could help shows the reach of projects, especially the student metrics</t>
        </is>
      </c>
      <c r="J6" s="10" t="inlineStr"/>
      <c r="K6" s="10" t="inlineStr"/>
      <c r="L6" s="10" t="inlineStr"/>
      <c r="M6" s="10" t="inlineStr"/>
      <c r="N6" s="10" t="inlineStr"/>
      <c r="O6" s="10" t="inlineStr"/>
      <c r="P6" s="10" t="inlineStr"/>
      <c r="Q6" s="10" t="inlineStr"/>
      <c r="R6" s="10" t="inlineStr"/>
      <c r="S6" s="10"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t>
        </is>
      </c>
      <c r="F7" s="8" t="inlineStr">
        <is>
          <t>Number of alumni that contribute to sustainability; % profiles demonstrating sustainability contribution; insights form different industries that influenced by alumni</t>
        </is>
      </c>
      <c r="G7" s="8" t="inlineStr"/>
      <c r="H7" s="8" t="inlineStr">
        <is>
          <t>Both</t>
        </is>
      </c>
      <c r="I7" s="8" t="inlineStr">
        <is>
          <t>Number and percentage of profiles could be underwhelming, but it helps to track the trajectory. I supposed qualitative case of selected profiles would still be the primary metrics.</t>
        </is>
      </c>
      <c r="J7" s="10" t="inlineStr"/>
      <c r="K7" s="10" t="inlineStr"/>
      <c r="L7" s="10" t="inlineStr"/>
      <c r="M7" s="10" t="inlineStr"/>
      <c r="N7" s="10" t="inlineStr"/>
      <c r="O7" s="10" t="inlineStr"/>
      <c r="P7" s="10" t="inlineStr"/>
      <c r="Q7" s="10" t="inlineStr"/>
      <c r="R7" s="10" t="inlineStr"/>
      <c r="S7" s="10" t="inlineStr"/>
    </row>
    <row r="8" ht="75" customHeight="1">
      <c r="B8" s="7" t="inlineStr">
        <is>
          <t>TR2(b)</t>
        </is>
      </c>
      <c r="C8" s="8" t="inlineStr">
        <is>
          <t>Transformational research</t>
        </is>
      </c>
      <c r="D8" s="8" t="inlineStr">
        <is>
          <t>Documented progress of relevant strategic initiatives, including Impact Accelerators</t>
        </is>
      </c>
      <c r="E8" s="8" t="inlineStr">
        <is>
          <t>Y</t>
        </is>
      </c>
      <c r="F8" s="8" t="inlineStr">
        <is>
          <t>Percentage of milestone completion rate to the set annual target of strategic initiatives; number of initiatives on track; number of initiatives delivered</t>
        </is>
      </c>
      <c r="G8" s="8" t="inlineStr"/>
      <c r="H8" s="8" t="inlineStr">
        <is>
          <t>Both</t>
        </is>
      </c>
      <c r="I8" s="8" t="inlineStr">
        <is>
          <t>documented progress imply that university have good governance over the management of initiatives and therefore could provide percentage of milestone completion</t>
        </is>
      </c>
      <c r="J8" s="10" t="inlineStr"/>
      <c r="K8" s="10" t="inlineStr"/>
      <c r="L8" s="10" t="inlineStr"/>
      <c r="M8" s="10" t="inlineStr"/>
      <c r="N8" s="10" t="inlineStr"/>
      <c r="O8" s="10" t="inlineStr"/>
      <c r="P8" s="10" t="inlineStr"/>
      <c r="Q8" s="10" t="inlineStr"/>
      <c r="R8" s="10" t="inlineStr"/>
      <c r="S8" s="10"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Y</t>
        </is>
      </c>
      <c r="F9" s="8" t="inlineStr">
        <is>
          <t>currently mapped to the SDGs using SciVal, old metrics explorer (publication mapped to SDG whether they mentioned in mews, media, policy,etc),</t>
        </is>
      </c>
      <c r="G9" s="8" t="inlineStr">
        <is>
          <t>MRE, Gerard</t>
        </is>
      </c>
      <c r="H9" s="8" t="inlineStr">
        <is>
          <t>Both</t>
        </is>
      </c>
      <c r="I9" s="8" t="inlineStr">
        <is>
          <t>To discuss contatct of researchers with Gerad</t>
        </is>
      </c>
      <c r="J9" s="10" t="inlineStr"/>
      <c r="K9" s="10" t="inlineStr"/>
      <c r="L9" s="10" t="inlineStr"/>
      <c r="M9" s="10" t="inlineStr"/>
      <c r="N9" s="10" t="inlineStr"/>
      <c r="O9" s="10" t="inlineStr"/>
      <c r="P9" s="10" t="inlineStr"/>
      <c r="Q9" s="10" t="inlineStr"/>
      <c r="R9" s="10" t="inlineStr"/>
      <c r="S9" s="10"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t>
        </is>
      </c>
      <c r="F10" s="8" t="inlineStr">
        <is>
          <t>Number of laboratories achieving green lab certification; number of new sustainable activity; number of sustainability fieldwork</t>
        </is>
      </c>
      <c r="G10" s="8" t="inlineStr">
        <is>
          <t>MRE, Gerard</t>
        </is>
      </c>
      <c r="H10" s="8" t="inlineStr">
        <is>
          <t>Both</t>
        </is>
      </c>
      <c r="I10" s="8" t="inlineStr">
        <is>
          <t>To discuss contatct of researchers with Gerad</t>
        </is>
      </c>
      <c r="J10" s="10" t="inlineStr"/>
      <c r="K10" s="10" t="inlineStr"/>
      <c r="L10" s="10" t="inlineStr"/>
      <c r="M10" s="10" t="inlineStr"/>
      <c r="N10" s="10" t="inlineStr"/>
      <c r="O10" s="10" t="inlineStr"/>
      <c r="P10" s="10" t="inlineStr"/>
      <c r="Q10" s="10" t="inlineStr"/>
      <c r="R10" s="10" t="inlineStr"/>
      <c r="S10" s="10"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Y</t>
        </is>
      </c>
      <c r="F11" s="8" t="inlineStr">
        <is>
          <t>Total scope 1,2 and 3 emissions (tCO2-e); emissions by scope; % reduction from previous baseline; % renewable electircity produced</t>
        </is>
      </c>
      <c r="G11" s="8" t="inlineStr"/>
      <c r="H11" s="8" t="inlineStr">
        <is>
          <t>Both</t>
        </is>
      </c>
      <c r="I11" s="8" t="inlineStr">
        <is>
          <t>Directly measures progress against the stated emission reduction targets and allows annual comparison against the baseline and trajectory</t>
        </is>
      </c>
      <c r="J11" s="10" t="inlineStr"/>
      <c r="K11" s="10" t="inlineStr"/>
      <c r="L11" s="10" t="inlineStr"/>
      <c r="M11" s="10" t="inlineStr"/>
      <c r="N11" s="10" t="inlineStr"/>
      <c r="O11" s="10" t="inlineStr"/>
      <c r="P11" s="10" t="inlineStr"/>
      <c r="Q11" s="10" t="inlineStr"/>
      <c r="R11" s="10" t="inlineStr"/>
      <c r="S11" s="10" t="inlineStr"/>
    </row>
    <row r="12" ht="75" customHeight="1">
      <c r="B12" s="7" t="inlineStr">
        <is>
          <t>CL1(b)</t>
        </is>
      </c>
      <c r="C12" s="8" t="inlineStr">
        <is>
          <t>Climate leadership</t>
        </is>
      </c>
      <c r="D12" s="8" t="inlineStr">
        <is>
          <t>Development of Greenhouse Gas  intensity metrics</t>
        </is>
      </c>
      <c r="E12" s="8" t="inlineStr">
        <is>
          <t>Y</t>
        </is>
      </c>
      <c r="F12" s="8" t="inlineStr">
        <is>
          <t>Greenhouse gas emissions by FTE, EFTSL, and Gross floor area (https://www.unimelb.edu.au/sustainabilityreport/2025/data-tables#GHGe-scope)</t>
        </is>
      </c>
      <c r="G12" s="8" t="inlineStr"/>
      <c r="H12" s="8" t="inlineStr">
        <is>
          <t>Both</t>
        </is>
      </c>
      <c r="I12" s="8" t="inlineStr">
        <is>
          <t>Quantiative indicator</t>
        </is>
      </c>
      <c r="J12" s="10" t="inlineStr"/>
      <c r="K12" s="10" t="inlineStr"/>
      <c r="L12" s="10" t="inlineStr"/>
      <c r="M12" s="10" t="inlineStr"/>
      <c r="N12" s="10" t="inlineStr"/>
      <c r="O12" s="10" t="inlineStr"/>
      <c r="P12" s="10" t="inlineStr"/>
      <c r="Q12" s="10" t="inlineStr"/>
      <c r="R12" s="10" t="inlineStr"/>
      <c r="S12" s="10" t="inlineStr"/>
    </row>
    <row r="13" ht="75" customHeight="1">
      <c r="B13" s="7" t="inlineStr">
        <is>
          <t>CL1(c)</t>
        </is>
      </c>
      <c r="C13" s="8" t="inlineStr">
        <is>
          <t>Climate leadership</t>
        </is>
      </c>
      <c r="D13" s="8" t="inlineStr">
        <is>
          <t>Review of Climate Leadership targets by 2030.[2]</t>
        </is>
      </c>
      <c r="E13" s="8" t="inlineStr">
        <is>
          <t>M</t>
        </is>
      </c>
      <c r="F13" s="8" t="inlineStr"/>
      <c r="G13" s="8" t="inlineStr"/>
      <c r="H13" s="8" t="inlineStr">
        <is>
          <t>Both</t>
        </is>
      </c>
      <c r="I13" s="8" t="inlineStr">
        <is>
          <t>Will be re-assesed in 2030</t>
        </is>
      </c>
      <c r="J13" s="10" t="inlineStr"/>
      <c r="K13" s="10" t="inlineStr"/>
      <c r="L13" s="10" t="inlineStr"/>
      <c r="M13" s="10" t="inlineStr"/>
      <c r="N13" s="10" t="inlineStr"/>
      <c r="O13" s="10" t="inlineStr"/>
      <c r="P13" s="10" t="inlineStr"/>
      <c r="Q13" s="10" t="inlineStr"/>
      <c r="R13" s="10" t="inlineStr"/>
      <c r="S13" s="10"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t>
        </is>
      </c>
      <c r="F14" s="8" t="inlineStr">
        <is>
          <t>Number of relevant research projects/programs mapped; number of relevant subjects mapped</t>
        </is>
      </c>
      <c r="G14" s="8" t="inlineStr"/>
      <c r="H14" s="8" t="inlineStr">
        <is>
          <t>Both</t>
        </is>
      </c>
      <c r="I14" s="8" t="inlineStr">
        <is>
          <t>Although the core commitment is completion of the mapping (binary), quantitative measures still useful to show its coverage and comprehensiveness</t>
        </is>
      </c>
      <c r="J14" s="10" t="inlineStr"/>
      <c r="K14" s="10" t="inlineStr"/>
      <c r="L14" s="10" t="inlineStr"/>
      <c r="M14" s="10" t="inlineStr"/>
      <c r="N14" s="10" t="inlineStr"/>
      <c r="O14" s="10" t="inlineStr"/>
      <c r="P14" s="10" t="inlineStr"/>
      <c r="Q14" s="10" t="inlineStr"/>
      <c r="R14" s="10" t="inlineStr"/>
      <c r="S14" s="10"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Y</t>
        </is>
      </c>
      <c r="F15" s="8" t="inlineStr">
        <is>
          <t>Number of pipelined projects or research transitioned from opportunity to active per year</t>
        </is>
      </c>
      <c r="G15" s="8" t="inlineStr"/>
      <c r="H15" s="8" t="inlineStr">
        <is>
          <t>Both</t>
        </is>
      </c>
      <c r="I15" s="8" t="inlineStr">
        <is>
          <t>Pipeline can be quantitatively tracked through volume and progression, but since the target is prioritised pipeline, showing number of sucessful pipeline transitioned is more desirable</t>
        </is>
      </c>
      <c r="J15" s="10" t="inlineStr"/>
      <c r="K15" s="10" t="inlineStr"/>
      <c r="L15" s="10" t="inlineStr"/>
      <c r="M15" s="10" t="inlineStr"/>
      <c r="N15" s="10" t="inlineStr"/>
      <c r="O15" s="10" t="inlineStr"/>
      <c r="P15" s="10" t="inlineStr"/>
      <c r="Q15" s="10" t="inlineStr"/>
      <c r="R15" s="10" t="inlineStr"/>
      <c r="S15" s="10"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t>
        </is>
      </c>
      <c r="F16" s="8" t="inlineStr">
        <is>
          <t>Annual count of published documents, policy briefs, or public engagement events; number of policy/sector engagement; # views of communication material</t>
        </is>
      </c>
      <c r="G16" s="8" t="inlineStr">
        <is>
          <t>MCF; MEI</t>
        </is>
      </c>
      <c r="H16" s="8" t="inlineStr">
        <is>
          <t>Both</t>
        </is>
      </c>
      <c r="I16" s="8" t="inlineStr">
        <is>
          <t>Brainstorm with MCF and MEI</t>
        </is>
      </c>
      <c r="J16" s="10" t="inlineStr"/>
      <c r="K16" s="10" t="inlineStr"/>
      <c r="L16" s="10" t="inlineStr"/>
      <c r="M16" s="10" t="inlineStr"/>
      <c r="N16" s="10" t="inlineStr"/>
      <c r="O16" s="10" t="inlineStr"/>
      <c r="P16" s="10" t="inlineStr"/>
      <c r="Q16" s="10" t="inlineStr"/>
      <c r="R16" s="10" t="inlineStr"/>
      <c r="S16" s="10"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t>
        </is>
      </c>
      <c r="F17" s="8" t="inlineStr">
        <is>
          <t>Maturity score by function; overall/average maturity score; % functions raching target maturity level</t>
        </is>
      </c>
      <c r="G17" s="8" t="inlineStr"/>
      <c r="H17" s="8" t="inlineStr">
        <is>
          <t>Both</t>
        </is>
      </c>
      <c r="I17" s="8" t="inlineStr">
        <is>
          <t>If defined maturity is already available, then it is desirable to have quantitative metrics, especially since the target mentioned maturity assesment</t>
        </is>
      </c>
      <c r="J17" s="10" t="inlineStr"/>
      <c r="K17" s="10" t="inlineStr"/>
      <c r="L17" s="10" t="inlineStr"/>
      <c r="M17" s="10" t="inlineStr"/>
      <c r="N17" s="10" t="inlineStr"/>
      <c r="O17" s="10" t="inlineStr"/>
      <c r="P17" s="10" t="inlineStr"/>
      <c r="Q17" s="10" t="inlineStr"/>
      <c r="R17" s="10" t="inlineStr"/>
      <c r="S17" s="10" t="inlineStr"/>
    </row>
    <row r="18" ht="75" customHeight="1">
      <c r="B18" s="7" t="inlineStr">
        <is>
          <t>NB1(a)</t>
        </is>
      </c>
      <c r="C18" s="8" t="inlineStr">
        <is>
          <t>Nature and biodiversity</t>
        </is>
      </c>
      <c r="D18" s="8" t="inlineStr">
        <is>
          <t>Monitoring of biodiversity metrics from the Biodiversity Baseline Data Project</t>
        </is>
      </c>
      <c r="E18" s="8" t="inlineStr">
        <is>
          <t>Y</t>
        </is>
      </c>
      <c r="F18" s="8" t="inlineStr">
        <is>
          <t>7 diversity metrics from https://sustainablecampus.unimelb.edu.au/biodiversity/biodiversity-baseline-data-project#main-content</t>
        </is>
      </c>
      <c r="G18" s="8" t="inlineStr"/>
      <c r="H18" s="8" t="inlineStr">
        <is>
          <t>Both</t>
        </is>
      </c>
      <c r="I18" s="8" t="inlineStr">
        <is>
          <t>Quantitative indicator</t>
        </is>
      </c>
      <c r="J18" s="10" t="inlineStr"/>
      <c r="K18" s="10" t="inlineStr"/>
      <c r="L18" s="10" t="inlineStr"/>
      <c r="M18" s="10" t="inlineStr"/>
      <c r="N18" s="10" t="inlineStr"/>
      <c r="O18" s="10" t="inlineStr"/>
      <c r="P18" s="10" t="inlineStr"/>
      <c r="Q18" s="10" t="inlineStr"/>
      <c r="R18" s="10" t="inlineStr"/>
      <c r="S18" s="10" t="inlineStr"/>
    </row>
    <row r="19" ht="75" customHeight="1">
      <c r="B19" s="7" t="inlineStr">
        <is>
          <t>NB1(b)</t>
        </is>
      </c>
      <c r="C19" s="8" t="inlineStr">
        <is>
          <t>Nature and biodiversity</t>
        </is>
      </c>
      <c r="D19" s="8" t="inlineStr">
        <is>
          <t>Size, health and diversity of remnant vegetation at the Dookie and Creswick campuses</t>
        </is>
      </c>
      <c r="E19" s="8" t="inlineStr">
        <is>
          <t>Y</t>
        </is>
      </c>
      <c r="F19" s="8" t="inlineStr"/>
      <c r="G19" s="8" t="inlineStr">
        <is>
          <t>Rachel</t>
        </is>
      </c>
      <c r="H19" s="8" t="inlineStr">
        <is>
          <t>Both</t>
        </is>
      </c>
      <c r="I19" s="8" t="inlineStr"/>
      <c r="J19" s="10" t="inlineStr"/>
      <c r="K19" s="10" t="inlineStr"/>
      <c r="L19" s="10" t="inlineStr"/>
      <c r="M19" s="10" t="inlineStr"/>
      <c r="N19" s="10" t="inlineStr"/>
      <c r="O19" s="10" t="inlineStr"/>
      <c r="P19" s="10" t="inlineStr"/>
      <c r="Q19" s="10" t="inlineStr"/>
      <c r="R19" s="10" t="inlineStr"/>
      <c r="S19" s="10" t="inlineStr"/>
    </row>
    <row r="20" ht="75" customHeight="1">
      <c r="B20" s="7" t="inlineStr">
        <is>
          <t>NB1(c)</t>
        </is>
      </c>
      <c r="C20" s="8" t="inlineStr">
        <is>
          <t>Nature and biodiversity</t>
        </is>
      </c>
      <c r="D20" s="8" t="inlineStr">
        <is>
          <t>Defined quality measurement framework</t>
        </is>
      </c>
      <c r="E20" s="8" t="inlineStr">
        <is>
          <t>M</t>
        </is>
      </c>
      <c r="F20" s="8" t="inlineStr"/>
      <c r="G20" s="8" t="inlineStr">
        <is>
          <t>Rachel</t>
        </is>
      </c>
      <c r="H20" s="8" t="inlineStr">
        <is>
          <t>Both</t>
        </is>
      </c>
      <c r="I20" s="8" t="inlineStr"/>
      <c r="J20" s="10" t="inlineStr"/>
      <c r="K20" s="10" t="inlineStr"/>
      <c r="L20" s="10" t="inlineStr"/>
      <c r="M20" s="10" t="inlineStr"/>
      <c r="N20" s="10" t="inlineStr"/>
      <c r="O20" s="10" t="inlineStr"/>
      <c r="P20" s="10" t="inlineStr"/>
      <c r="Q20" s="10" t="inlineStr"/>
      <c r="R20" s="10" t="inlineStr"/>
      <c r="S20" s="10" t="inlineStr"/>
    </row>
    <row r="21" ht="75" customHeight="1">
      <c r="B21" s="7" t="inlineStr">
        <is>
          <t>NB1(d)</t>
        </is>
      </c>
      <c r="C21" s="8" t="inlineStr">
        <is>
          <t>Nature and biodiversity</t>
        </is>
      </c>
      <c r="D21" s="8" t="inlineStr">
        <is>
          <t>Defined and quantified campus connectivity</t>
        </is>
      </c>
      <c r="E21" s="8" t="inlineStr">
        <is>
          <t>M</t>
        </is>
      </c>
      <c r="F21" s="8" t="inlineStr"/>
      <c r="G21" s="8" t="inlineStr">
        <is>
          <t>Rachel</t>
        </is>
      </c>
      <c r="H21" s="8" t="inlineStr">
        <is>
          <t>Both</t>
        </is>
      </c>
      <c r="I21" s="8" t="inlineStr"/>
      <c r="J21" s="10" t="inlineStr"/>
      <c r="K21" s="10" t="inlineStr"/>
      <c r="L21" s="10" t="inlineStr"/>
      <c r="M21" s="10" t="inlineStr"/>
      <c r="N21" s="10" t="inlineStr"/>
      <c r="O21" s="10" t="inlineStr"/>
      <c r="P21" s="10" t="inlineStr"/>
      <c r="Q21" s="10" t="inlineStr"/>
      <c r="R21" s="10" t="inlineStr"/>
      <c r="S21" s="10" t="inlineStr"/>
    </row>
    <row r="22" ht="75" customHeight="1">
      <c r="B22" s="7" t="inlineStr">
        <is>
          <t>NB2(a)</t>
        </is>
      </c>
      <c r="C22" s="8" t="inlineStr">
        <is>
          <t>Nature and biodiversity</t>
        </is>
      </c>
      <c r="D22" s="8" t="inlineStr">
        <is>
          <t>Documented baseline nature footprint analysis</t>
        </is>
      </c>
      <c r="E22" s="8" t="inlineStr">
        <is>
          <t>Y</t>
        </is>
      </c>
      <c r="F22" s="8" t="inlineStr">
        <is>
          <t>Impact Encore Measurement</t>
        </is>
      </c>
      <c r="G22" s="8" t="inlineStr">
        <is>
          <t>August, MBI</t>
        </is>
      </c>
      <c r="H22" s="8" t="inlineStr">
        <is>
          <t>Both</t>
        </is>
      </c>
      <c r="I22" s="8" t="inlineStr"/>
      <c r="J22" s="10" t="inlineStr"/>
      <c r="K22" s="10" t="inlineStr"/>
      <c r="L22" s="10" t="inlineStr"/>
      <c r="M22" s="10" t="inlineStr"/>
      <c r="N22" s="10" t="inlineStr"/>
      <c r="O22" s="10" t="inlineStr"/>
      <c r="P22" s="10" t="inlineStr"/>
      <c r="Q22" s="10" t="inlineStr"/>
      <c r="R22" s="10" t="inlineStr"/>
      <c r="S22" s="10" t="inlineStr"/>
    </row>
    <row r="23" ht="75" customHeight="1">
      <c r="B23" s="7" t="inlineStr">
        <is>
          <t>AI1(a)</t>
        </is>
      </c>
      <c r="C23" s="8" t="inlineStr">
        <is>
          <t>Responsible AI</t>
        </is>
      </c>
      <c r="D23" s="8" t="inlineStr">
        <is>
          <t>Established measurement of estimated operational impacts and opportunities (eg operational impacts including energy, water, emissions and intensity measures)</t>
        </is>
      </c>
      <c r="E23" s="8" t="inlineStr">
        <is>
          <t>M</t>
        </is>
      </c>
      <c r="F23" s="8" t="inlineStr">
        <is>
          <t>Pending denominator</t>
        </is>
      </c>
      <c r="G23" s="8" t="inlineStr"/>
      <c r="H23" s="8" t="inlineStr">
        <is>
          <t>Both</t>
        </is>
      </c>
      <c r="I23" s="8" t="inlineStr">
        <is>
          <t>Will start with qual on 2026, then move on to quan</t>
        </is>
      </c>
      <c r="J23" s="10" t="inlineStr"/>
      <c r="K23" s="10" t="inlineStr"/>
      <c r="L23" s="10" t="inlineStr"/>
      <c r="M23" s="10" t="inlineStr"/>
      <c r="N23" s="10" t="inlineStr"/>
      <c r="O23" s="10" t="inlineStr"/>
      <c r="P23" s="10" t="inlineStr"/>
      <c r="Q23" s="10" t="inlineStr"/>
      <c r="R23" s="10" t="inlineStr"/>
      <c r="S23" s="10"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t>
        </is>
      </c>
      <c r="F24" s="8" t="inlineStr">
        <is>
          <t>qual, climate resilience?,</t>
        </is>
      </c>
      <c r="G24" s="8" t="inlineStr">
        <is>
          <t>Gerard</t>
        </is>
      </c>
      <c r="H24" s="8" t="inlineStr">
        <is>
          <t>Both</t>
        </is>
      </c>
      <c r="I24" s="8" t="inlineStr"/>
      <c r="J24" s="10" t="inlineStr"/>
      <c r="K24" s="10" t="inlineStr"/>
      <c r="L24" s="10" t="inlineStr"/>
      <c r="M24" s="10" t="inlineStr"/>
      <c r="N24" s="10" t="inlineStr"/>
      <c r="O24" s="10" t="inlineStr"/>
      <c r="P24" s="10" t="inlineStr"/>
      <c r="Q24" s="10" t="inlineStr"/>
      <c r="R24" s="10" t="inlineStr"/>
      <c r="S24" s="10"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t>
        </is>
      </c>
      <c r="F25" s="8" t="inlineStr">
        <is>
          <t>Forecast operational emission (tCO2-e); expected energy consumptions/savings; expected water impact; expected waste material impact; potential biodiversity impact</t>
        </is>
      </c>
      <c r="G25" s="8" t="inlineStr">
        <is>
          <t>Gerard</t>
        </is>
      </c>
      <c r="H25" s="8" t="inlineStr">
        <is>
          <t>Both</t>
        </is>
      </c>
      <c r="I25" s="8" t="inlineStr">
        <is>
          <t>Quantitative estimates/forecast (impact estimation) allow better planning and management to achieve the overall sustainability plan and targets (follow up with Gerard)</t>
        </is>
      </c>
      <c r="J25" s="10" t="inlineStr"/>
      <c r="K25" s="10" t="inlineStr"/>
      <c r="L25" s="10" t="inlineStr"/>
      <c r="M25" s="10" t="inlineStr"/>
      <c r="N25" s="10" t="inlineStr"/>
      <c r="O25" s="10" t="inlineStr"/>
      <c r="P25" s="10" t="inlineStr"/>
      <c r="Q25" s="10" t="inlineStr"/>
      <c r="R25" s="10" t="inlineStr"/>
      <c r="S25" s="10"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t>
        </is>
      </c>
      <c r="F26" s="8" t="inlineStr">
        <is>
          <t>case by case</t>
        </is>
      </c>
      <c r="G26" s="8" t="inlineStr">
        <is>
          <t>Gerard</t>
        </is>
      </c>
      <c r="H26" s="8" t="inlineStr">
        <is>
          <t>Both</t>
        </is>
      </c>
      <c r="I26" s="8" t="inlineStr"/>
      <c r="J26" s="10" t="inlineStr"/>
      <c r="K26" s="10" t="inlineStr"/>
      <c r="L26" s="10" t="inlineStr"/>
      <c r="M26" s="10" t="inlineStr"/>
      <c r="N26" s="10" t="inlineStr"/>
      <c r="O26" s="10" t="inlineStr"/>
      <c r="P26" s="10" t="inlineStr"/>
      <c r="Q26" s="10" t="inlineStr"/>
      <c r="R26" s="10" t="inlineStr"/>
      <c r="S26" s="10" t="inlineStr"/>
    </row>
    <row r="27" ht="75" customHeight="1">
      <c r="B27" s="7" t="inlineStr">
        <is>
          <t>CE1(a)</t>
        </is>
      </c>
      <c r="C27" s="8" t="inlineStr">
        <is>
          <t>Circular economy</t>
        </is>
      </c>
      <c r="D27" s="8" t="inlineStr">
        <is>
          <t>Comparison of year-to-year tonnes of waste (absolute).</t>
        </is>
      </c>
      <c r="E27" s="8" t="inlineStr">
        <is>
          <t>Y</t>
        </is>
      </c>
      <c r="F27" s="8" t="inlineStr">
        <is>
          <t>tonnes of waste; % change against previous baseline</t>
        </is>
      </c>
      <c r="G27" s="8" t="inlineStr"/>
      <c r="H27" s="8" t="inlineStr">
        <is>
          <t>Both</t>
        </is>
      </c>
      <c r="I27" s="8" t="inlineStr">
        <is>
          <t>Quantitative indicator</t>
        </is>
      </c>
      <c r="J27" s="10" t="inlineStr"/>
      <c r="K27" s="10" t="inlineStr"/>
      <c r="L27" s="10" t="inlineStr"/>
      <c r="M27" s="10" t="inlineStr"/>
      <c r="N27" s="10" t="inlineStr"/>
      <c r="O27" s="10" t="inlineStr"/>
      <c r="P27" s="10" t="inlineStr"/>
      <c r="Q27" s="10" t="inlineStr"/>
      <c r="R27" s="10" t="inlineStr"/>
      <c r="S27" s="10" t="inlineStr"/>
    </row>
    <row r="28" ht="75" customHeight="1">
      <c r="B28" s="7" t="inlineStr">
        <is>
          <t>CE2(a)</t>
        </is>
      </c>
      <c r="C28" s="8" t="inlineStr">
        <is>
          <t>Circular economy</t>
        </is>
      </c>
      <c r="D28" s="8" t="inlineStr">
        <is>
          <t>Comparison of year-to-year tonnes of recyclables (absolute).</t>
        </is>
      </c>
      <c r="E28" s="8" t="inlineStr">
        <is>
          <t>Y</t>
        </is>
      </c>
      <c r="F28" s="8" t="inlineStr">
        <is>
          <t>waste diversion rate; tonnes diverted from landfill; % change against previous baseline</t>
        </is>
      </c>
      <c r="G28" s="8" t="inlineStr"/>
      <c r="H28" s="8" t="inlineStr">
        <is>
          <t>Both</t>
        </is>
      </c>
      <c r="I28" s="8" t="inlineStr">
        <is>
          <t>Quantitative indicator</t>
        </is>
      </c>
      <c r="J28" s="10" t="inlineStr"/>
      <c r="K28" s="10" t="inlineStr"/>
      <c r="L28" s="10" t="inlineStr"/>
      <c r="M28" s="10" t="inlineStr"/>
      <c r="N28" s="10" t="inlineStr"/>
      <c r="O28" s="10" t="inlineStr"/>
      <c r="P28" s="10" t="inlineStr"/>
      <c r="Q28" s="10" t="inlineStr"/>
      <c r="R28" s="10" t="inlineStr"/>
      <c r="S28" s="10"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Y</t>
        </is>
      </c>
      <c r="F29" s="8" t="inlineStr">
        <is>
          <t>Maturity score if framework established; % procurement staff trained</t>
        </is>
      </c>
      <c r="G29" s="8" t="inlineStr"/>
      <c r="H29" s="8" t="inlineStr">
        <is>
          <t>Both</t>
        </is>
      </c>
      <c r="I29" s="8" t="inlineStr">
        <is>
          <t>Quantitative metrics could support qualitative case studies to demonstrate system/process improvements</t>
        </is>
      </c>
      <c r="J29" s="10" t="inlineStr"/>
      <c r="K29" s="10" t="inlineStr"/>
      <c r="L29" s="10" t="inlineStr"/>
      <c r="M29" s="10" t="inlineStr"/>
      <c r="N29" s="10" t="inlineStr"/>
      <c r="O29" s="10" t="inlineStr"/>
      <c r="P29" s="10" t="inlineStr"/>
      <c r="Q29" s="10" t="inlineStr"/>
      <c r="R29" s="10" t="inlineStr"/>
      <c r="S29" s="10" t="inlineStr"/>
    </row>
    <row r="30" ht="75" customHeight="1">
      <c r="B30" s="7" t="inlineStr">
        <is>
          <t>RP2(a)</t>
        </is>
      </c>
      <c r="C30" s="8" t="inlineStr">
        <is>
          <t>Responsible procurement</t>
        </is>
      </c>
      <c r="D30" s="8" t="inlineStr">
        <is>
          <t>Percentage of Indigenous spend of total addressable procurement spend</t>
        </is>
      </c>
      <c r="E30" s="8" t="inlineStr">
        <is>
          <t>Y</t>
        </is>
      </c>
      <c r="F30" s="8" t="inlineStr">
        <is>
          <t>Percentage of Indigenous spend of total addressable procurement spend</t>
        </is>
      </c>
      <c r="G30" s="8" t="inlineStr"/>
      <c r="H30" s="8" t="inlineStr">
        <is>
          <t>Both</t>
        </is>
      </c>
      <c r="I30" s="8" t="inlineStr">
        <is>
          <t>Quantitative indicator</t>
        </is>
      </c>
      <c r="J30" s="10" t="inlineStr"/>
      <c r="K30" s="10" t="inlineStr"/>
      <c r="L30" s="10" t="inlineStr"/>
      <c r="M30" s="10" t="inlineStr"/>
      <c r="N30" s="10" t="inlineStr"/>
      <c r="O30" s="10" t="inlineStr"/>
      <c r="P30" s="10" t="inlineStr"/>
      <c r="Q30" s="10" t="inlineStr"/>
      <c r="R30" s="10" t="inlineStr"/>
      <c r="S30" s="10" t="inlineStr"/>
    </row>
    <row r="31" ht="75" customHeight="1">
      <c r="B31" s="7" t="inlineStr">
        <is>
          <t>RP2(b)</t>
        </is>
      </c>
      <c r="C31" s="8" t="inlineStr">
        <is>
          <t>Responsible procurement</t>
        </is>
      </c>
      <c r="D31" s="8" t="inlineStr">
        <is>
          <t>Percentage of social spend of total addressable procurement spend.</t>
        </is>
      </c>
      <c r="E31" s="8" t="inlineStr">
        <is>
          <t>Y</t>
        </is>
      </c>
      <c r="F31" s="8" t="inlineStr">
        <is>
          <t>Percentage of social spend of total addressable procurement spend.</t>
        </is>
      </c>
      <c r="G31" s="8" t="inlineStr"/>
      <c r="H31" s="8" t="inlineStr">
        <is>
          <t>Both</t>
        </is>
      </c>
      <c r="I31" s="8" t="inlineStr">
        <is>
          <t>Quantitative indicator</t>
        </is>
      </c>
      <c r="J31" s="10" t="inlineStr"/>
      <c r="K31" s="10" t="inlineStr"/>
      <c r="L31" s="10" t="inlineStr"/>
      <c r="M31" s="10" t="inlineStr"/>
      <c r="N31" s="10" t="inlineStr"/>
      <c r="O31" s="10" t="inlineStr"/>
      <c r="P31" s="10" t="inlineStr"/>
      <c r="Q31" s="10" t="inlineStr"/>
      <c r="R31" s="10" t="inlineStr"/>
      <c r="S31" s="10"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Y</t>
        </is>
      </c>
      <c r="F32" s="8" t="inlineStr">
        <is>
          <t>Percentage of AUM managed by investment managers aligned with net zero by 2050</t>
        </is>
      </c>
      <c r="G32" s="8" t="inlineStr"/>
      <c r="H32" s="8" t="inlineStr">
        <is>
          <t>Both</t>
        </is>
      </c>
      <c r="I32" s="8" t="inlineStr">
        <is>
          <t>Quantitative indicator</t>
        </is>
      </c>
      <c r="J32" s="10" t="inlineStr"/>
      <c r="K32" s="10" t="inlineStr"/>
      <c r="L32" s="10" t="inlineStr"/>
      <c r="M32" s="10" t="inlineStr"/>
      <c r="N32" s="10" t="inlineStr"/>
      <c r="O32" s="10" t="inlineStr"/>
      <c r="P32" s="10" t="inlineStr"/>
      <c r="Q32" s="10" t="inlineStr"/>
      <c r="R32" s="10" t="inlineStr"/>
      <c r="S32" s="10" t="inlineStr"/>
    </row>
    <row r="33" ht="75" customHeight="1">
      <c r="B33" s="7" t="inlineStr">
        <is>
          <t>RI1(b)</t>
        </is>
      </c>
      <c r="C33" s="8" t="inlineStr">
        <is>
          <t>Responsible investments</t>
        </is>
      </c>
      <c r="D33" s="8" t="inlineStr">
        <is>
          <t>Continuous improvement of the reporting of the University’s sustainability-related investment profile metrics, including investment in climate mitigation and transition solutions, and compliance with related obligations (eg UNPRI).</t>
        </is>
      </c>
      <c r="E33" s="8" t="inlineStr">
        <is>
          <t>M</t>
        </is>
      </c>
      <c r="F33" s="8" t="inlineStr">
        <is>
          <t>$ and % AUM invested in climate/transition solution</t>
        </is>
      </c>
      <c r="G33" s="8" t="inlineStr"/>
      <c r="H33" s="8" t="inlineStr">
        <is>
          <t>Both</t>
        </is>
      </c>
      <c r="I33" s="8" t="inlineStr">
        <is>
          <t>"Continuous improvement" wording makes it desirable to have a quantitative comparison metrics. However i also acknowledge that this target is mainly a qualitative target</t>
        </is>
      </c>
      <c r="J33" s="10" t="inlineStr"/>
      <c r="K33" s="10" t="inlineStr"/>
      <c r="L33" s="10" t="inlineStr"/>
      <c r="M33" s="10" t="inlineStr"/>
      <c r="N33" s="10" t="inlineStr"/>
      <c r="O33" s="10" t="inlineStr"/>
      <c r="P33" s="10" t="inlineStr"/>
      <c r="Q33" s="10" t="inlineStr"/>
      <c r="R33" s="10" t="inlineStr"/>
      <c r="S33" s="10" t="inlineStr"/>
    </row>
    <row r="34" ht="75" customHeight="1">
      <c r="B34" s="7" t="inlineStr">
        <is>
          <t>EN1(b)</t>
        </is>
      </c>
      <c r="C34" s="8" t="inlineStr">
        <is>
          <t>Enablers</t>
        </is>
      </c>
      <c r="D34" s="8" t="inlineStr">
        <is>
          <t>Living laboratories enabling applied learning, research and operational sustainability outcomes</t>
        </is>
      </c>
      <c r="E34" s="8" t="inlineStr">
        <is>
          <t>M</t>
        </is>
      </c>
      <c r="F34" s="8" t="inlineStr">
        <is>
          <t>Number of projects funded; $ project funding</t>
        </is>
      </c>
      <c r="G34" s="8" t="inlineStr"/>
      <c r="H34" s="8" t="inlineStr">
        <is>
          <t>Both</t>
        </is>
      </c>
      <c r="I34" s="8" t="inlineStr">
        <is>
          <t>Qualitative case evidence is better to articulate the impact of living laboratories in learning, research, and operational sustainability outcomes</t>
        </is>
      </c>
      <c r="J34" s="10" t="inlineStr"/>
      <c r="K34" s="10" t="inlineStr"/>
      <c r="L34" s="10" t="inlineStr"/>
      <c r="M34" s="10" t="inlineStr"/>
      <c r="N34" s="10" t="inlineStr"/>
      <c r="O34" s="10" t="inlineStr"/>
      <c r="P34" s="10" t="inlineStr"/>
      <c r="Q34" s="10" t="inlineStr"/>
      <c r="R34" s="10" t="inlineStr"/>
      <c r="S34" s="10" t="inlineStr"/>
    </row>
  </sheetData>
  <dataValidations count="2">
    <dataValidation sqref="J6:J34" showDropDown="0" showInputMessage="0" showErrorMessage="0" allowBlank="1" errorTitle="Invalid entry" error="Please select from the dropdown" type="list">
      <formula1>=Lists!$E$2:$E$4</formula1>
    </dataValidation>
    <dataValidation sqref="R6:R3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t>
        </is>
      </c>
      <c r="B1" s="2" t="inlineStr">
        <is>
          <t>End-2026 target status assessment and reporting</t>
        </is>
      </c>
    </row>
    <row r="2">
      <c r="B2" s="3" t="inlineStr">
        <is>
          <t>3. Stakeholder map &amp; RASCI</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Chancellery</t>
        </is>
      </c>
      <c r="C16" s="8" t="inlineStr">
        <is>
          <t>Advancement, Communications &amp; Marketing; Global, Culture &amp; Engagement; Education (incl. SASS); Indigenous</t>
        </is>
      </c>
      <c r="D16" s="8" t="inlineStr">
        <is>
          <t>Chancellery tab</t>
        </is>
      </c>
      <c r="E16" s="8" t="inlineStr">
        <is>
          <t>—</t>
        </is>
      </c>
      <c r="F16" s="8" t="inlineStr">
        <is>
          <t>TBC</t>
        </is>
      </c>
      <c r="G16" s="8" t="inlineStr">
        <is>
          <t>No SR26 qualitative indicator currently names these units. SASS (Melbourne Plus) referenced for EE1(c). Confirm whether requests are needed.</t>
        </is>
      </c>
    </row>
    <row r="17">
      <c r="B17" s="8" t="inlineStr">
        <is>
          <t>Legal &amp; Risk</t>
        </is>
      </c>
      <c r="C17" s="8" t="inlineStr">
        <is>
          <t>Legal and Risk</t>
        </is>
      </c>
      <c r="D17" s="8" t="inlineStr">
        <is>
          <t>Legal and Risk tab</t>
        </is>
      </c>
      <c r="E17" s="8" t="inlineStr">
        <is>
          <t>—</t>
        </is>
      </c>
      <c r="F17" s="8" t="inlineStr">
        <is>
          <t>TBC</t>
        </is>
      </c>
      <c r="G17" s="8" t="inlineStr">
        <is>
          <t>No SR26 indicator currently assigned – may be relevant to climate resilience maturity (CL3(a)). TBC.</t>
        </is>
      </c>
    </row>
    <row r="18">
      <c r="B18" s="8" t="inlineStr">
        <is>
          <t>TBC</t>
        </is>
      </c>
      <c r="C18" s="8" t="inlineStr">
        <is>
          <t>CGOP / CDEP / CDSS</t>
        </is>
      </c>
      <c r="D18" s="8" t="inlineStr">
        <is>
          <t>Not in SR25 master</t>
        </is>
      </c>
      <c r="E18" s="8" t="inlineStr">
        <is>
          <t>—</t>
        </is>
      </c>
      <c r="F18" s="8" t="inlineStr">
        <is>
          <t>TBC</t>
        </is>
      </c>
      <c r="G18" s="8" t="inlineStr">
        <is>
          <t>Structure changes TBC – confirm before requests are issued.</t>
        </is>
      </c>
    </row>
    <row r="20">
      <c r="B20" s="11" t="inlineStr">
        <is>
          <t>RASCI – who receives a request for each indicator (R = Responsible to report; TBC = to confirm)</t>
        </is>
      </c>
    </row>
    <row r="21">
      <c r="B21" s="6" t="inlineStr">
        <is>
          <t>Ref</t>
        </is>
      </c>
      <c r="C21" s="6" t="inlineStr">
        <is>
          <t>Priority area</t>
        </is>
      </c>
      <c r="D21" s="6" t="inlineStr">
        <is>
          <t>Indicator</t>
        </is>
      </c>
      <c r="E21" s="6" t="inlineStr">
        <is>
          <t>ABP</t>
        </is>
      </c>
      <c r="F21" s="6" t="inlineStr">
        <is>
          <t>ARTS</t>
        </is>
      </c>
      <c r="G21" s="6" t="inlineStr">
        <is>
          <t>FBE</t>
        </is>
      </c>
      <c r="H21" s="6" t="inlineStr">
        <is>
          <t>SCI</t>
        </is>
      </c>
      <c r="I21" s="6" t="inlineStr">
        <is>
          <t>CI&amp;S</t>
        </is>
      </c>
      <c r="J21" s="6" t="inlineStr">
        <is>
          <t>CFOG</t>
        </is>
      </c>
      <c r="K21" s="6" t="inlineStr">
        <is>
          <t>ESG</t>
        </is>
      </c>
      <c r="L21" s="6" t="inlineStr">
        <is>
          <t>CIOG</t>
        </is>
      </c>
      <c r="M21" s="6" t="inlineStr">
        <is>
          <t>MRE</t>
        </is>
      </c>
    </row>
    <row r="22" ht="45" customHeight="1">
      <c r="B22" s="12" t="inlineStr">
        <is>
          <t>EE1(a)</t>
        </is>
      </c>
      <c r="C22" s="8" t="inlineStr">
        <is>
          <t>Exceptional education</t>
        </is>
      </c>
      <c r="D22" s="8" t="inlineStr">
        <is>
          <t>Evidence of innovative approaches to sustainability teaching and learning</t>
        </is>
      </c>
      <c r="E22" s="13" t="inlineStr">
        <is>
          <t>R</t>
        </is>
      </c>
      <c r="F22" s="13" t="inlineStr">
        <is>
          <t>R</t>
        </is>
      </c>
      <c r="G22" s="13" t="inlineStr">
        <is>
          <t>R</t>
        </is>
      </c>
      <c r="H22" s="13" t="inlineStr">
        <is>
          <t>R</t>
        </is>
      </c>
      <c r="I22" s="13" t="inlineStr">
        <is>
          <t>R</t>
        </is>
      </c>
      <c r="J22" s="14" t="inlineStr"/>
      <c r="K22" s="14" t="inlineStr"/>
      <c r="L22" s="14" t="inlineStr"/>
      <c r="M22" s="14" t="inlineStr"/>
    </row>
    <row r="23" ht="45" customHeight="1">
      <c r="B23" s="12" t="inlineStr">
        <is>
          <t>EE1(b)</t>
        </is>
      </c>
      <c r="C23" s="8" t="inlineStr">
        <is>
          <t>Exceptional education</t>
        </is>
      </c>
      <c r="D23" s="8" t="inlineStr">
        <is>
          <t>Pilots of possible approaches for understanding and developing students’ sustainability self-efficacy</t>
        </is>
      </c>
      <c r="E23" s="13" t="inlineStr">
        <is>
          <t>R</t>
        </is>
      </c>
      <c r="F23" s="13" t="inlineStr">
        <is>
          <t>R</t>
        </is>
      </c>
      <c r="G23" s="13" t="inlineStr">
        <is>
          <t>R</t>
        </is>
      </c>
      <c r="H23" s="13" t="inlineStr">
        <is>
          <t>R</t>
        </is>
      </c>
      <c r="I23" s="13" t="inlineStr">
        <is>
          <t>R</t>
        </is>
      </c>
      <c r="J23" s="14" t="inlineStr"/>
      <c r="K23" s="14" t="inlineStr"/>
      <c r="L23" s="14" t="inlineStr"/>
      <c r="M23" s="14" t="inlineStr"/>
    </row>
    <row r="24" ht="45" customHeight="1">
      <c r="B24" s="12" t="inlineStr">
        <is>
          <t>EE1(c)</t>
        </is>
      </c>
      <c r="C24" s="8" t="inlineStr">
        <is>
          <t>Exceptional education</t>
        </is>
      </c>
      <c r="D24" s="8" t="inlineStr">
        <is>
          <t>Evidence of sustainability focused experiential and co curricular learning (eg Wattle Fellowship; Melbourne Plus)</t>
        </is>
      </c>
      <c r="E24" s="13" t="inlineStr">
        <is>
          <t>R</t>
        </is>
      </c>
      <c r="F24" s="13" t="inlineStr">
        <is>
          <t>R</t>
        </is>
      </c>
      <c r="G24" s="13" t="inlineStr">
        <is>
          <t>R</t>
        </is>
      </c>
      <c r="H24" s="13" t="inlineStr">
        <is>
          <t>R</t>
        </is>
      </c>
      <c r="I24" s="13" t="inlineStr">
        <is>
          <t>R</t>
        </is>
      </c>
      <c r="J24" s="14" t="inlineStr"/>
      <c r="K24" s="14" t="inlineStr"/>
      <c r="L24" s="14" t="inlineStr"/>
      <c r="M24" s="14" t="inlineStr"/>
    </row>
    <row r="25" ht="45" customHeight="1">
      <c r="B25" s="12" t="inlineStr">
        <is>
          <t>EE1(d)</t>
        </is>
      </c>
      <c r="C25" s="8" t="inlineStr">
        <is>
          <t>Exceptional education</t>
        </is>
      </c>
      <c r="D25" s="8" t="inlineStr">
        <is>
          <t>Alumni profiles demonstrating how graduates contribute to sustainability through their careers or communities.</t>
        </is>
      </c>
      <c r="E25" s="13" t="inlineStr">
        <is>
          <t>R</t>
        </is>
      </c>
      <c r="F25" s="13" t="inlineStr">
        <is>
          <t>R</t>
        </is>
      </c>
      <c r="G25" s="13" t="inlineStr">
        <is>
          <t>R</t>
        </is>
      </c>
      <c r="H25" s="13" t="inlineStr">
        <is>
          <t>R</t>
        </is>
      </c>
      <c r="I25" s="13" t="inlineStr">
        <is>
          <t>R</t>
        </is>
      </c>
      <c r="J25" s="14" t="inlineStr"/>
      <c r="K25" s="14" t="inlineStr"/>
      <c r="L25" s="14" t="inlineStr"/>
      <c r="M25" s="14" t="inlineStr"/>
    </row>
    <row r="26" ht="45" customHeight="1">
      <c r="B26" s="12" t="inlineStr">
        <is>
          <t>TR1(a)</t>
        </is>
      </c>
      <c r="C26" s="8" t="inlineStr">
        <is>
          <t>Transformational research</t>
        </is>
      </c>
      <c r="D26" s="8" t="inlineStr">
        <is>
          <t>Expert-reviewed evidence of researchers contributing to operational sustainability priorities through partnerships, advisory input, living labs, applied projects or decision-support</t>
        </is>
      </c>
      <c r="E26" s="13" t="inlineStr">
        <is>
          <t>R</t>
        </is>
      </c>
      <c r="F26" s="13" t="inlineStr">
        <is>
          <t>R</t>
        </is>
      </c>
      <c r="G26" s="13" t="inlineStr">
        <is>
          <t>R</t>
        </is>
      </c>
      <c r="H26" s="13" t="inlineStr">
        <is>
          <t>R</t>
        </is>
      </c>
      <c r="I26" s="13" t="inlineStr">
        <is>
          <t>R</t>
        </is>
      </c>
      <c r="J26" s="14" t="inlineStr"/>
      <c r="K26" s="14" t="inlineStr"/>
      <c r="L26" s="14" t="inlineStr"/>
      <c r="M26" s="14" t="inlineStr"/>
    </row>
    <row r="27" ht="45" customHeight="1">
      <c r="B27" s="12" t="inlineStr">
        <is>
          <t>TR1(b)</t>
        </is>
      </c>
      <c r="C27" s="8" t="inlineStr">
        <is>
          <t>Transformational research</t>
        </is>
      </c>
      <c r="D27" s="8" t="inlineStr">
        <is>
          <t>Evidence of institutional pathways that enable ongoing collaboration between academic and professional staff</t>
        </is>
      </c>
      <c r="E27" s="13" t="inlineStr">
        <is>
          <t>R</t>
        </is>
      </c>
      <c r="F27" s="13" t="inlineStr">
        <is>
          <t>R</t>
        </is>
      </c>
      <c r="G27" s="13" t="inlineStr">
        <is>
          <t>R</t>
        </is>
      </c>
      <c r="H27" s="13" t="inlineStr">
        <is>
          <t>R</t>
        </is>
      </c>
      <c r="I27" s="14" t="inlineStr"/>
      <c r="J27" s="14" t="inlineStr"/>
      <c r="K27" s="14" t="inlineStr"/>
      <c r="L27" s="14" t="inlineStr"/>
      <c r="M27" s="14" t="inlineStr"/>
    </row>
    <row r="28" ht="45" customHeight="1">
      <c r="B28" s="12" t="inlineStr">
        <is>
          <t>TR1(c)</t>
        </is>
      </c>
      <c r="C28" s="8" t="inlineStr">
        <is>
          <t>Transformational research</t>
        </is>
      </c>
      <c r="D28" s="8" t="inlineStr">
        <is>
          <t>Expert assessment of the quality, relevance and continuity of these collaborations</t>
        </is>
      </c>
      <c r="E28" s="13" t="inlineStr">
        <is>
          <t>R</t>
        </is>
      </c>
      <c r="F28" s="13" t="inlineStr">
        <is>
          <t>R</t>
        </is>
      </c>
      <c r="G28" s="13" t="inlineStr">
        <is>
          <t>R</t>
        </is>
      </c>
      <c r="H28" s="13" t="inlineStr">
        <is>
          <t>R</t>
        </is>
      </c>
      <c r="I28" s="14" t="inlineStr"/>
      <c r="J28" s="14" t="inlineStr"/>
      <c r="K28" s="14" t="inlineStr"/>
      <c r="L28" s="14" t="inlineStr"/>
      <c r="M28" s="14" t="inlineStr"/>
    </row>
    <row r="29" ht="45" customHeight="1">
      <c r="B29" s="12" t="inlineStr">
        <is>
          <t>TR1(d)</t>
        </is>
      </c>
      <c r="C29" s="8" t="inlineStr">
        <is>
          <t>Transformational research</t>
        </is>
      </c>
      <c r="D29" s="8" t="inlineStr">
        <is>
          <t>Periodic feedback from participants on the effectiveness and mutual benefit of collaboration mechanisms.</t>
        </is>
      </c>
      <c r="E29" s="13" t="inlineStr">
        <is>
          <t>R</t>
        </is>
      </c>
      <c r="F29" s="13" t="inlineStr">
        <is>
          <t>R</t>
        </is>
      </c>
      <c r="G29" s="13" t="inlineStr">
        <is>
          <t>R</t>
        </is>
      </c>
      <c r="H29" s="13" t="inlineStr">
        <is>
          <t>R</t>
        </is>
      </c>
      <c r="I29" s="14" t="inlineStr"/>
      <c r="J29" s="14" t="inlineStr"/>
      <c r="K29" s="14" t="inlineStr"/>
      <c r="L29" s="14" t="inlineStr"/>
      <c r="M29" s="14" t="inlineStr"/>
    </row>
    <row r="30" ht="45" customHeight="1">
      <c r="B30" s="12" t="inlineStr">
        <is>
          <t>TR2(a)</t>
        </is>
      </c>
      <c r="C30" s="8" t="inlineStr">
        <is>
          <t>Transformational research</t>
        </is>
      </c>
      <c r="D30" s="8" t="inlineStr">
        <is>
          <t>Evidence of sustainability-related research impact across diverse pathways, could include policy, industry, community, practice, cultural and institutional outcomes</t>
        </is>
      </c>
      <c r="E30" s="13" t="inlineStr">
        <is>
          <t>R</t>
        </is>
      </c>
      <c r="F30" s="13" t="inlineStr">
        <is>
          <t>R</t>
        </is>
      </c>
      <c r="G30" s="13" t="inlineStr">
        <is>
          <t>R</t>
        </is>
      </c>
      <c r="H30" s="13" t="inlineStr">
        <is>
          <t>R</t>
        </is>
      </c>
      <c r="I30" s="14" t="inlineStr"/>
      <c r="J30" s="14" t="inlineStr"/>
      <c r="K30" s="14" t="inlineStr"/>
      <c r="L30" s="14" t="inlineStr"/>
      <c r="M30" s="14" t="inlineStr"/>
    </row>
    <row r="31" ht="45" customHeight="1">
      <c r="B31" s="12" t="inlineStr">
        <is>
          <t>TR2(b)</t>
        </is>
      </c>
      <c r="C31" s="8" t="inlineStr">
        <is>
          <t>Transformational research</t>
        </is>
      </c>
      <c r="D31" s="8" t="inlineStr">
        <is>
          <t>Documented progress of relevant strategic initiatives, including Impact Accelerators</t>
        </is>
      </c>
      <c r="E31" s="14" t="inlineStr"/>
      <c r="F31" s="14" t="inlineStr"/>
      <c r="G31" s="14" t="inlineStr"/>
      <c r="H31" s="14" t="inlineStr"/>
      <c r="I31" s="14" t="inlineStr"/>
      <c r="J31" s="14" t="inlineStr"/>
      <c r="K31" s="14" t="inlineStr"/>
      <c r="L31" s="14" t="inlineStr"/>
      <c r="M31" s="14" t="inlineStr"/>
    </row>
    <row r="32" ht="45" customHeight="1">
      <c r="B32" s="12" t="inlineStr">
        <is>
          <t>TR2(c)</t>
        </is>
      </c>
      <c r="C32" s="8" t="inlineStr">
        <is>
          <t>Transformational research</t>
        </is>
      </c>
      <c r="D32" s="8" t="inlineStr">
        <is>
          <t>Expert-reviewed summary of sustainability-related research outputs, outcomes and influence using available institutional evidence sources</t>
        </is>
      </c>
      <c r="E32" s="14" t="inlineStr"/>
      <c r="F32" s="14" t="inlineStr"/>
      <c r="G32" s="14" t="inlineStr"/>
      <c r="H32" s="14" t="inlineStr"/>
      <c r="I32" s="14" t="inlineStr"/>
      <c r="J32" s="14" t="inlineStr"/>
      <c r="K32" s="14" t="inlineStr"/>
      <c r="L32" s="14" t="inlineStr"/>
      <c r="M32" s="13" t="inlineStr">
        <is>
          <t>R</t>
        </is>
      </c>
    </row>
    <row r="33" ht="45" customHeight="1">
      <c r="B33" s="12" t="inlineStr">
        <is>
          <t>TR2(d)</t>
        </is>
      </c>
      <c r="C33" s="8" t="inlineStr">
        <is>
          <t>Transformational research</t>
        </is>
      </c>
      <c r="D33" s="8" t="inlineStr">
        <is>
          <t>Case-based evidence demonstrating how research has contributed to meaningful sustainability outcomes.</t>
        </is>
      </c>
      <c r="E33" s="13" t="inlineStr">
        <is>
          <t>R</t>
        </is>
      </c>
      <c r="F33" s="13" t="inlineStr">
        <is>
          <t>R</t>
        </is>
      </c>
      <c r="G33" s="13" t="inlineStr">
        <is>
          <t>R</t>
        </is>
      </c>
      <c r="H33" s="13" t="inlineStr">
        <is>
          <t>R</t>
        </is>
      </c>
      <c r="I33" s="13" t="inlineStr">
        <is>
          <t>R</t>
        </is>
      </c>
      <c r="J33" s="14" t="inlineStr"/>
      <c r="K33" s="14" t="inlineStr"/>
      <c r="L33" s="14" t="inlineStr"/>
      <c r="M33" s="14" t="inlineStr"/>
    </row>
    <row r="34" ht="45" customHeight="1">
      <c r="B34" s="12" t="inlineStr">
        <is>
          <t>TR3(a)</t>
        </is>
      </c>
      <c r="C34" s="8" t="inlineStr">
        <is>
          <t>Transformational research</t>
        </is>
      </c>
      <c r="D34" s="8" t="inlineStr">
        <is>
          <t>Evidence that sustainability considerations are integrated into relevant research systems, planning processes, guidance, training, induction or support services</t>
        </is>
      </c>
      <c r="E34" s="13" t="inlineStr">
        <is>
          <t>R</t>
        </is>
      </c>
      <c r="F34" s="13" t="inlineStr">
        <is>
          <t>R</t>
        </is>
      </c>
      <c r="G34" s="13" t="inlineStr">
        <is>
          <t>R</t>
        </is>
      </c>
      <c r="H34" s="13" t="inlineStr">
        <is>
          <t>R</t>
        </is>
      </c>
      <c r="I34" s="13" t="inlineStr">
        <is>
          <t>R</t>
        </is>
      </c>
      <c r="J34" s="14" t="inlineStr"/>
      <c r="K34" s="14" t="inlineStr"/>
      <c r="L34" s="14" t="inlineStr"/>
      <c r="M34" s="14" t="inlineStr"/>
    </row>
    <row r="35" ht="45" customHeight="1">
      <c r="B35" s="12" t="inlineStr">
        <is>
          <t>TR3(b)</t>
        </is>
      </c>
      <c r="C35" s="8" t="inlineStr">
        <is>
          <t>Transformational research</t>
        </is>
      </c>
      <c r="D35" s="8" t="inlineStr">
        <is>
          <t>Demonstrated examples of more sustainable research practices in laboratories, fieldwork, procurement, travel or infrastructure use</t>
        </is>
      </c>
      <c r="E35" s="13" t="inlineStr">
        <is>
          <t>R</t>
        </is>
      </c>
      <c r="F35" s="13" t="inlineStr">
        <is>
          <t>R</t>
        </is>
      </c>
      <c r="G35" s="13" t="inlineStr">
        <is>
          <t>R</t>
        </is>
      </c>
      <c r="H35" s="13" t="inlineStr">
        <is>
          <t>R</t>
        </is>
      </c>
      <c r="I35" s="13" t="inlineStr">
        <is>
          <t>R</t>
        </is>
      </c>
      <c r="J35" s="13" t="inlineStr">
        <is>
          <t>R</t>
        </is>
      </c>
      <c r="K35" s="14" t="inlineStr"/>
      <c r="L35" s="14" t="inlineStr"/>
      <c r="M35" s="14" t="inlineStr"/>
    </row>
    <row r="36" ht="45" customHeight="1">
      <c r="B36" s="12" t="inlineStr">
        <is>
          <t>TR3(c)</t>
        </is>
      </c>
      <c r="C36" s="8" t="inlineStr">
        <is>
          <t>Transformational research</t>
        </is>
      </c>
      <c r="D36" s="8" t="inlineStr">
        <is>
          <t>Evidence of progress in sustainability-related research culture, capability and awareness, informed by periodic staff and graduate researcher surveys</t>
        </is>
      </c>
      <c r="E36" s="13" t="inlineStr">
        <is>
          <t>R</t>
        </is>
      </c>
      <c r="F36" s="13" t="inlineStr">
        <is>
          <t>R</t>
        </is>
      </c>
      <c r="G36" s="13" t="inlineStr">
        <is>
          <t>R</t>
        </is>
      </c>
      <c r="H36" s="13" t="inlineStr">
        <is>
          <t>R</t>
        </is>
      </c>
      <c r="I36" s="14" t="inlineStr"/>
      <c r="J36" s="14" t="inlineStr"/>
      <c r="K36" s="14" t="inlineStr"/>
      <c r="L36" s="14" t="inlineStr"/>
      <c r="M36" s="14" t="inlineStr"/>
    </row>
    <row r="37" ht="45" customHeight="1">
      <c r="B37" s="12" t="inlineStr">
        <is>
          <t>TR3(d)</t>
        </is>
      </c>
      <c r="C37" s="8" t="inlineStr">
        <is>
          <t>Transformational research</t>
        </is>
      </c>
      <c r="D37" s="8" t="inlineStr">
        <is>
          <t>Expert assessment of progress in embedding sustainable research practices across the institution.</t>
        </is>
      </c>
      <c r="E37" s="13" t="inlineStr">
        <is>
          <t>R</t>
        </is>
      </c>
      <c r="F37" s="13" t="inlineStr">
        <is>
          <t>R</t>
        </is>
      </c>
      <c r="G37" s="13" t="inlineStr">
        <is>
          <t>R</t>
        </is>
      </c>
      <c r="H37" s="13" t="inlineStr">
        <is>
          <t>R</t>
        </is>
      </c>
      <c r="I37" s="14" t="inlineStr"/>
      <c r="J37" s="14" t="inlineStr"/>
      <c r="K37" s="14" t="inlineStr"/>
      <c r="L37" s="14" t="inlineStr"/>
      <c r="M37" s="14" t="inlineStr"/>
    </row>
    <row r="38" ht="45" customHeight="1">
      <c r="B38" s="12" t="inlineStr">
        <is>
          <t>CL1(a)</t>
        </is>
      </c>
      <c r="C38" s="8" t="inlineStr">
        <is>
          <t>Climate leadership</t>
        </is>
      </c>
      <c r="D38" s="8" t="inlineStr">
        <is>
          <t>Annual Greenhouse Gas Inventory (including emissions scopes 1, 2 and 3) demonstrates carbon emission reductions, including maintaining procurement of 100% renewable electricity for all scope 2 sources[1]</t>
        </is>
      </c>
      <c r="E38" s="14" t="inlineStr"/>
      <c r="F38" s="14" t="inlineStr"/>
      <c r="G38" s="14" t="inlineStr"/>
      <c r="H38" s="14" t="inlineStr"/>
      <c r="I38" s="14" t="inlineStr"/>
      <c r="J38" s="14" t="inlineStr"/>
      <c r="K38" s="14" t="inlineStr"/>
      <c r="L38" s="14" t="inlineStr"/>
      <c r="M38" s="14" t="inlineStr"/>
    </row>
    <row r="39" ht="45" customHeight="1">
      <c r="B39" s="12" t="inlineStr">
        <is>
          <t>CL1(b)</t>
        </is>
      </c>
      <c r="C39" s="8" t="inlineStr">
        <is>
          <t>Climate leadership</t>
        </is>
      </c>
      <c r="D39" s="8" t="inlineStr">
        <is>
          <t>Development of Greenhouse Gas  intensity metrics</t>
        </is>
      </c>
      <c r="E39" s="14" t="inlineStr"/>
      <c r="F39" s="14" t="inlineStr"/>
      <c r="G39" s="14" t="inlineStr"/>
      <c r="H39" s="14" t="inlineStr"/>
      <c r="I39" s="14" t="inlineStr"/>
      <c r="J39" s="14" t="inlineStr"/>
      <c r="K39" s="14" t="inlineStr"/>
      <c r="L39" s="14" t="inlineStr"/>
      <c r="M39" s="14" t="inlineStr"/>
    </row>
    <row r="40" ht="45" customHeight="1">
      <c r="B40" s="12" t="inlineStr">
        <is>
          <t>CL1(c)</t>
        </is>
      </c>
      <c r="C40" s="8" t="inlineStr">
        <is>
          <t>Climate leadership</t>
        </is>
      </c>
      <c r="D40" s="8" t="inlineStr">
        <is>
          <t>Review of Climate Leadership targets by 2030.[2]</t>
        </is>
      </c>
      <c r="E40" s="14" t="inlineStr"/>
      <c r="F40" s="14" t="inlineStr"/>
      <c r="G40" s="14" t="inlineStr"/>
      <c r="H40" s="14" t="inlineStr"/>
      <c r="I40" s="13" t="inlineStr">
        <is>
          <t>R</t>
        </is>
      </c>
      <c r="J40" s="14" t="inlineStr"/>
      <c r="K40" s="14" t="inlineStr"/>
      <c r="L40" s="14" t="inlineStr"/>
      <c r="M40" s="14" t="inlineStr"/>
    </row>
    <row r="41" ht="45" customHeight="1">
      <c r="B41" s="12" t="inlineStr">
        <is>
          <t>CL2(a)</t>
        </is>
      </c>
      <c r="C41" s="8" t="inlineStr">
        <is>
          <t>Climate leadership</t>
        </is>
      </c>
      <c r="D41" s="8" t="inlineStr">
        <is>
          <t>By 2028, develop and document institutional mapping of research and education activities that are designed to contribute to global decarbonisation</t>
        </is>
      </c>
      <c r="E41" s="13" t="inlineStr">
        <is>
          <t>R</t>
        </is>
      </c>
      <c r="F41" s="13" t="inlineStr">
        <is>
          <t>R</t>
        </is>
      </c>
      <c r="G41" s="13" t="inlineStr">
        <is>
          <t>R</t>
        </is>
      </c>
      <c r="H41" s="13" t="inlineStr">
        <is>
          <t>R</t>
        </is>
      </c>
      <c r="I41" s="13" t="inlineStr">
        <is>
          <t>R</t>
        </is>
      </c>
      <c r="J41" s="14" t="inlineStr"/>
      <c r="K41" s="14" t="inlineStr"/>
      <c r="L41" s="14" t="inlineStr"/>
      <c r="M41" s="14" t="inlineStr"/>
    </row>
    <row r="42" ht="45" customHeight="1">
      <c r="B42" s="12" t="inlineStr">
        <is>
          <t>CL2(b)</t>
        </is>
      </c>
      <c r="C42" s="8" t="inlineStr">
        <is>
          <t>Climate leadership</t>
        </is>
      </c>
      <c r="D42" s="8" t="inlineStr">
        <is>
          <t>Prioritised pipeline of decarbonisation focused research and education opportunities aligned with University emissions reduction priorities from 2028</t>
        </is>
      </c>
      <c r="E42" s="14" t="inlineStr"/>
      <c r="F42" s="14" t="inlineStr"/>
      <c r="G42" s="14" t="inlineStr"/>
      <c r="H42" s="14" t="inlineStr"/>
      <c r="I42" s="14" t="inlineStr"/>
      <c r="J42" s="14" t="inlineStr"/>
      <c r="K42" s="14" t="inlineStr"/>
      <c r="L42" s="14" t="inlineStr"/>
      <c r="M42" s="14" t="inlineStr"/>
    </row>
    <row r="43" ht="45" customHeight="1">
      <c r="B43" s="12" t="inlineStr">
        <is>
          <t>CL2(c)</t>
        </is>
      </c>
      <c r="C43" s="8" t="inlineStr">
        <is>
          <t>Climate leadership</t>
        </is>
      </c>
      <c r="D43" s="8" t="inlineStr">
        <is>
          <t>Ongoing communications that evidence the University’s climate action, research and learning to inform policy, sector and community decarbonisation efforts.</t>
        </is>
      </c>
      <c r="E43" s="13" t="inlineStr">
        <is>
          <t>R</t>
        </is>
      </c>
      <c r="F43" s="13" t="inlineStr">
        <is>
          <t>R</t>
        </is>
      </c>
      <c r="G43" s="13" t="inlineStr">
        <is>
          <t>R</t>
        </is>
      </c>
      <c r="H43" s="13" t="inlineStr">
        <is>
          <t>R</t>
        </is>
      </c>
      <c r="I43" s="14" t="inlineStr"/>
      <c r="J43" s="14" t="inlineStr"/>
      <c r="K43" s="14" t="inlineStr"/>
      <c r="L43" s="14" t="inlineStr"/>
      <c r="M43" s="14" t="inlineStr"/>
    </row>
    <row r="44" ht="45" customHeight="1">
      <c r="B44" s="12" t="inlineStr">
        <is>
          <t>CL3(a)</t>
        </is>
      </c>
      <c r="C44" s="8" t="inlineStr">
        <is>
          <t>Climate leadership</t>
        </is>
      </c>
      <c r="D4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44" s="14" t="inlineStr"/>
      <c r="F44" s="14" t="inlineStr"/>
      <c r="G44" s="14" t="inlineStr"/>
      <c r="H44" s="14" t="inlineStr"/>
      <c r="I44" s="13" t="inlineStr">
        <is>
          <t>R</t>
        </is>
      </c>
      <c r="J44" s="14" t="inlineStr"/>
      <c r="K44" s="14" t="inlineStr"/>
      <c r="L44" s="14" t="inlineStr"/>
      <c r="M44" s="14" t="inlineStr"/>
    </row>
    <row r="45" ht="45" customHeight="1">
      <c r="B45" s="12" t="inlineStr">
        <is>
          <t>NB1(a)</t>
        </is>
      </c>
      <c r="C45" s="8" t="inlineStr">
        <is>
          <t>Nature and biodiversity</t>
        </is>
      </c>
      <c r="D45" s="8" t="inlineStr">
        <is>
          <t>Monitoring of biodiversity metrics from the Biodiversity Baseline Data Project</t>
        </is>
      </c>
      <c r="E45" s="14" t="inlineStr"/>
      <c r="F45" s="14" t="inlineStr"/>
      <c r="G45" s="14" t="inlineStr"/>
      <c r="H45" s="14" t="inlineStr"/>
      <c r="I45" s="14" t="inlineStr"/>
      <c r="J45" s="14" t="inlineStr"/>
      <c r="K45" s="14" t="inlineStr"/>
      <c r="L45" s="14" t="inlineStr"/>
      <c r="M45" s="14" t="inlineStr"/>
    </row>
    <row r="46" ht="45" customHeight="1">
      <c r="B46" s="12" t="inlineStr">
        <is>
          <t>NB1(b)</t>
        </is>
      </c>
      <c r="C46" s="8" t="inlineStr">
        <is>
          <t>Nature and biodiversity</t>
        </is>
      </c>
      <c r="D46" s="8" t="inlineStr">
        <is>
          <t>Size, health and diversity of remnant vegetation at the Dookie and Creswick campuses</t>
        </is>
      </c>
      <c r="E46" s="14" t="inlineStr"/>
      <c r="F46" s="14" t="inlineStr"/>
      <c r="G46" s="14" t="inlineStr"/>
      <c r="H46" s="14" t="inlineStr"/>
      <c r="I46" s="14" t="inlineStr"/>
      <c r="J46" s="14" t="inlineStr"/>
      <c r="K46" s="13" t="inlineStr">
        <is>
          <t>R</t>
        </is>
      </c>
      <c r="L46" s="14" t="inlineStr"/>
      <c r="M46" s="14" t="inlineStr"/>
    </row>
    <row r="47" ht="45" customHeight="1">
      <c r="B47" s="12" t="inlineStr">
        <is>
          <t>NB1(c)</t>
        </is>
      </c>
      <c r="C47" s="8" t="inlineStr">
        <is>
          <t>Nature and biodiversity</t>
        </is>
      </c>
      <c r="D47" s="8" t="inlineStr">
        <is>
          <t>Defined quality measurement framework</t>
        </is>
      </c>
      <c r="E47" s="14" t="inlineStr"/>
      <c r="F47" s="14" t="inlineStr"/>
      <c r="G47" s="14" t="inlineStr"/>
      <c r="H47" s="14" t="inlineStr"/>
      <c r="I47" s="14" t="inlineStr"/>
      <c r="J47" s="14" t="inlineStr"/>
      <c r="K47" s="13" t="inlineStr">
        <is>
          <t>R</t>
        </is>
      </c>
      <c r="L47" s="14" t="inlineStr"/>
      <c r="M47" s="14" t="inlineStr"/>
    </row>
    <row r="48" ht="45" customHeight="1">
      <c r="B48" s="12" t="inlineStr">
        <is>
          <t>NB1(d)</t>
        </is>
      </c>
      <c r="C48" s="8" t="inlineStr">
        <is>
          <t>Nature and biodiversity</t>
        </is>
      </c>
      <c r="D48" s="8" t="inlineStr">
        <is>
          <t>Defined and quantified campus connectivity</t>
        </is>
      </c>
      <c r="E48" s="14" t="inlineStr"/>
      <c r="F48" s="14" t="inlineStr"/>
      <c r="G48" s="14" t="inlineStr"/>
      <c r="H48" s="14" t="inlineStr"/>
      <c r="I48" s="14" t="inlineStr"/>
      <c r="J48" s="14" t="inlineStr"/>
      <c r="K48" s="13" t="inlineStr">
        <is>
          <t>R</t>
        </is>
      </c>
      <c r="L48" s="14" t="inlineStr"/>
      <c r="M48" s="14" t="inlineStr"/>
    </row>
    <row r="49" ht="45" customHeight="1">
      <c r="B49" s="12" t="inlineStr">
        <is>
          <t>NB2(a)</t>
        </is>
      </c>
      <c r="C49" s="8" t="inlineStr">
        <is>
          <t>Nature and biodiversity</t>
        </is>
      </c>
      <c r="D49" s="8" t="inlineStr">
        <is>
          <t>Documented baseline nature footprint analysis</t>
        </is>
      </c>
      <c r="E49" s="14" t="inlineStr"/>
      <c r="F49" s="14" t="inlineStr"/>
      <c r="G49" s="14" t="inlineStr"/>
      <c r="H49" s="14" t="inlineStr"/>
      <c r="I49" s="14" t="inlineStr"/>
      <c r="J49" s="14" t="inlineStr"/>
      <c r="K49" s="14" t="inlineStr"/>
      <c r="L49" s="14" t="inlineStr"/>
      <c r="M49" s="13" t="inlineStr">
        <is>
          <t>R</t>
        </is>
      </c>
    </row>
    <row r="50" ht="45" customHeight="1">
      <c r="B50" s="12" t="inlineStr">
        <is>
          <t>NB2(b)</t>
        </is>
      </c>
      <c r="C50" s="8" t="inlineStr">
        <is>
          <t>Nature and biodiversity</t>
        </is>
      </c>
      <c r="D50" s="8" t="inlineStr">
        <is>
          <t>Evidence of established framework to monitor and track supply-chain nature impacts over time</t>
        </is>
      </c>
      <c r="E50" s="14" t="inlineStr"/>
      <c r="F50" s="14" t="inlineStr"/>
      <c r="G50" s="14" t="inlineStr"/>
      <c r="H50" s="14" t="inlineStr"/>
      <c r="I50" s="14" t="inlineStr"/>
      <c r="J50" s="14" t="inlineStr"/>
      <c r="K50" s="13" t="inlineStr">
        <is>
          <t>R</t>
        </is>
      </c>
      <c r="L50" s="14" t="inlineStr"/>
      <c r="M50" s="14" t="inlineStr"/>
    </row>
    <row r="51" ht="45" customHeight="1">
      <c r="B51" s="12" t="inlineStr">
        <is>
          <t>NB2(c)</t>
        </is>
      </c>
      <c r="C51" s="8" t="inlineStr">
        <is>
          <t>Nature and biodiversity</t>
        </is>
      </c>
      <c r="D51" s="8" t="inlineStr">
        <is>
          <t>Evidence of prioritised high risk procurement categories or suppliers for nature impact management</t>
        </is>
      </c>
      <c r="E51" s="14" t="inlineStr"/>
      <c r="F51" s="14" t="inlineStr"/>
      <c r="G51" s="14" t="inlineStr"/>
      <c r="H51" s="14" t="inlineStr"/>
      <c r="I51" s="14" t="inlineStr"/>
      <c r="J51" s="13" t="inlineStr">
        <is>
          <t>R</t>
        </is>
      </c>
      <c r="K51" s="13" t="inlineStr">
        <is>
          <t>R</t>
        </is>
      </c>
      <c r="L51" s="14" t="inlineStr"/>
      <c r="M51" s="14" t="inlineStr"/>
    </row>
    <row r="52" ht="45" customHeight="1">
      <c r="B52" s="12" t="inlineStr">
        <is>
          <t>AI1(a)</t>
        </is>
      </c>
      <c r="C52" s="8" t="inlineStr">
        <is>
          <t>Responsible AI</t>
        </is>
      </c>
      <c r="D52" s="8" t="inlineStr">
        <is>
          <t>Established measurement of estimated operational impacts and opportunities (eg operational impacts could include energy, water, emissions and intensity measures)</t>
        </is>
      </c>
      <c r="E52" s="14" t="inlineStr"/>
      <c r="F52" s="14" t="inlineStr"/>
      <c r="G52" s="14" t="inlineStr"/>
      <c r="H52" s="14" t="inlineStr"/>
      <c r="I52" s="13" t="inlineStr">
        <is>
          <t>R</t>
        </is>
      </c>
      <c r="J52" s="14" t="inlineStr"/>
      <c r="K52" s="14" t="inlineStr"/>
      <c r="L52" s="13" t="inlineStr">
        <is>
          <t>R</t>
        </is>
      </c>
      <c r="M52" s="14" t="inlineStr"/>
    </row>
    <row r="53" ht="45" customHeight="1">
      <c r="B53" s="12" t="inlineStr">
        <is>
          <t>AI1(b)</t>
        </is>
      </c>
      <c r="C53" s="8" t="inlineStr">
        <is>
          <t>Responsible AI</t>
        </is>
      </c>
      <c r="D53" s="8" t="inlineStr">
        <is>
          <t>Case studies of sustainability and AI-related education, research and collaboration activities.</t>
        </is>
      </c>
      <c r="E53" s="14" t="inlineStr"/>
      <c r="F53" s="14" t="inlineStr"/>
      <c r="G53" s="14" t="inlineStr"/>
      <c r="H53" s="14" t="inlineStr"/>
      <c r="I53" s="13" t="inlineStr">
        <is>
          <t>R</t>
        </is>
      </c>
      <c r="J53" s="14" t="inlineStr"/>
      <c r="K53" s="14" t="inlineStr"/>
      <c r="L53" s="13" t="inlineStr">
        <is>
          <t>R</t>
        </is>
      </c>
      <c r="M53" s="14" t="inlineStr"/>
    </row>
    <row r="54" ht="45" customHeight="1">
      <c r="B54" s="12" t="inlineStr">
        <is>
          <t>EI1(a)</t>
        </is>
      </c>
      <c r="C54" s="8" t="inlineStr">
        <is>
          <t>Estate and infrastructure</t>
        </is>
      </c>
      <c r="D54" s="8" t="inlineStr">
        <is>
          <t>Evidence of increased maturity of estate and infrastructure planning, development and operations to support the other priority areas in Sustainability 2030</t>
        </is>
      </c>
      <c r="E54" s="14" t="inlineStr"/>
      <c r="F54" s="14" t="inlineStr"/>
      <c r="G54" s="14" t="inlineStr"/>
      <c r="H54" s="14" t="inlineStr"/>
      <c r="I54" s="13" t="inlineStr">
        <is>
          <t>R</t>
        </is>
      </c>
      <c r="J54" s="14" t="inlineStr"/>
      <c r="K54" s="14" t="inlineStr"/>
      <c r="L54" s="14" t="inlineStr"/>
      <c r="M54" s="14" t="inlineStr"/>
    </row>
    <row r="55" ht="45" customHeight="1">
      <c r="B55" s="12" t="inlineStr">
        <is>
          <t>EI1(b)</t>
        </is>
      </c>
      <c r="C55" s="8" t="inlineStr">
        <is>
          <t>Estate and infrastructure</t>
        </is>
      </c>
      <c r="D55" s="8" t="inlineStr">
        <is>
          <t>Estimated sustainability impacts of the University’s estate and infrastructure capital plan to inform progress towards emissions reduction targets and other priority areas (to the extent enabled by available information)</t>
        </is>
      </c>
      <c r="E55" s="14" t="inlineStr"/>
      <c r="F55" s="14" t="inlineStr"/>
      <c r="G55" s="14" t="inlineStr"/>
      <c r="H55" s="14" t="inlineStr"/>
      <c r="I55" s="13" t="inlineStr">
        <is>
          <t>R</t>
        </is>
      </c>
      <c r="J55" s="14" t="inlineStr"/>
      <c r="K55" s="14" t="inlineStr"/>
      <c r="L55" s="14" t="inlineStr"/>
      <c r="M55" s="14" t="inlineStr"/>
    </row>
    <row r="56" ht="45" customHeight="1">
      <c r="B56" s="12" t="inlineStr">
        <is>
          <t>EI1(c)</t>
        </is>
      </c>
      <c r="C56" s="8" t="inlineStr">
        <is>
          <t>Estate and infrastructure</t>
        </is>
      </c>
      <c r="D56" s="8" t="inlineStr">
        <is>
          <t>Reporting on relevant activities and impacts for the University’s major estate and infrastructure projects and programs aligned with the other priority areas in Sustainability 2030</t>
        </is>
      </c>
      <c r="E56" s="14" t="inlineStr"/>
      <c r="F56" s="14" t="inlineStr"/>
      <c r="G56" s="14" t="inlineStr"/>
      <c r="H56" s="14" t="inlineStr"/>
      <c r="I56" s="13" t="inlineStr">
        <is>
          <t>R</t>
        </is>
      </c>
      <c r="J56" s="14" t="inlineStr"/>
      <c r="K56" s="14" t="inlineStr"/>
      <c r="L56" s="14" t="inlineStr"/>
      <c r="M56" s="14" t="inlineStr"/>
    </row>
    <row r="57" ht="45" customHeight="1">
      <c r="B57" s="12" t="inlineStr">
        <is>
          <t>EI1(d)</t>
        </is>
      </c>
      <c r="C57" s="8" t="inlineStr">
        <is>
          <t>Estate and infrastructure</t>
        </is>
      </c>
      <c r="D57" s="8" t="inlineStr">
        <is>
          <t>Evidence of understanding and integration of Indigenous approaches to sustainability in estate planning and development programs and projects.</t>
        </is>
      </c>
      <c r="E57" s="14" t="inlineStr"/>
      <c r="F57" s="14" t="inlineStr"/>
      <c r="G57" s="14" t="inlineStr"/>
      <c r="H57" s="14" t="inlineStr"/>
      <c r="I57" s="13" t="inlineStr">
        <is>
          <t>R</t>
        </is>
      </c>
      <c r="J57" s="14" t="inlineStr"/>
      <c r="K57" s="14" t="inlineStr"/>
      <c r="L57" s="14" t="inlineStr"/>
      <c r="M57" s="14" t="inlineStr"/>
    </row>
    <row r="58" ht="45" customHeight="1">
      <c r="B58" s="12" t="inlineStr">
        <is>
          <t>CE1(a)</t>
        </is>
      </c>
      <c r="C58" s="8" t="inlineStr">
        <is>
          <t>Circular economy</t>
        </is>
      </c>
      <c r="D58" s="8" t="inlineStr">
        <is>
          <t>Comparison of year-to-year tonnes of waste (absolute).</t>
        </is>
      </c>
      <c r="E58" s="14" t="inlineStr"/>
      <c r="F58" s="14" t="inlineStr"/>
      <c r="G58" s="14" t="inlineStr"/>
      <c r="H58" s="14" t="inlineStr"/>
      <c r="I58" s="14" t="inlineStr"/>
      <c r="J58" s="14" t="inlineStr"/>
      <c r="K58" s="14" t="inlineStr"/>
      <c r="L58" s="14" t="inlineStr"/>
      <c r="M58" s="14" t="inlineStr"/>
    </row>
    <row r="59" ht="45" customHeight="1">
      <c r="B59" s="12" t="inlineStr">
        <is>
          <t>CE2(a)</t>
        </is>
      </c>
      <c r="C59" s="8" t="inlineStr">
        <is>
          <t>Circular economy</t>
        </is>
      </c>
      <c r="D59" s="8" t="inlineStr">
        <is>
          <t>Comparison of year-to-year tonnes of recyclables (absolute).</t>
        </is>
      </c>
      <c r="E59" s="14" t="inlineStr"/>
      <c r="F59" s="14" t="inlineStr"/>
      <c r="G59" s="14" t="inlineStr"/>
      <c r="H59" s="14" t="inlineStr"/>
      <c r="I59" s="14" t="inlineStr"/>
      <c r="J59" s="14" t="inlineStr"/>
      <c r="K59" s="14" t="inlineStr"/>
      <c r="L59" s="14" t="inlineStr"/>
      <c r="M59" s="14" t="inlineStr"/>
    </row>
    <row r="60" ht="45" customHeight="1">
      <c r="B60" s="12" t="inlineStr">
        <is>
          <t>RP1(a)</t>
        </is>
      </c>
      <c r="C60" s="8" t="inlineStr">
        <is>
          <t>Responsible procurement</t>
        </is>
      </c>
      <c r="D60" s="8" t="inlineStr">
        <is>
          <t>Case studies of maturity improvement related to responsible procurement process and systems.</t>
        </is>
      </c>
      <c r="E60" s="14" t="inlineStr"/>
      <c r="F60" s="14" t="inlineStr"/>
      <c r="G60" s="14" t="inlineStr"/>
      <c r="H60" s="14" t="inlineStr"/>
      <c r="I60" s="14" t="inlineStr"/>
      <c r="J60" s="13" t="inlineStr">
        <is>
          <t>R</t>
        </is>
      </c>
      <c r="K60" s="14" t="inlineStr"/>
      <c r="L60" s="14" t="inlineStr"/>
      <c r="M60" s="14" t="inlineStr"/>
    </row>
    <row r="61" ht="45" customHeight="1">
      <c r="B61" s="12" t="inlineStr">
        <is>
          <t>RP2(a)</t>
        </is>
      </c>
      <c r="C61" s="8" t="inlineStr">
        <is>
          <t>Responsible procurement</t>
        </is>
      </c>
      <c r="D61" s="8" t="inlineStr">
        <is>
          <t>Percentage of Indigenous spend of total addressable procurement spend</t>
        </is>
      </c>
      <c r="E61" s="14" t="inlineStr"/>
      <c r="F61" s="14" t="inlineStr"/>
      <c r="G61" s="14" t="inlineStr"/>
      <c r="H61" s="14" t="inlineStr"/>
      <c r="I61" s="14" t="inlineStr"/>
      <c r="J61" s="14" t="inlineStr"/>
      <c r="K61" s="14" t="inlineStr"/>
      <c r="L61" s="14" t="inlineStr"/>
      <c r="M61" s="14" t="inlineStr"/>
    </row>
    <row r="62" ht="45" customHeight="1">
      <c r="B62" s="12" t="inlineStr">
        <is>
          <t>RP2(b)</t>
        </is>
      </c>
      <c r="C62" s="8" t="inlineStr">
        <is>
          <t>Responsible procurement</t>
        </is>
      </c>
      <c r="D62" s="8" t="inlineStr">
        <is>
          <t>Percentage of social spend of total addressable procurement spend.</t>
        </is>
      </c>
      <c r="E62" s="14" t="inlineStr"/>
      <c r="F62" s="14" t="inlineStr"/>
      <c r="G62" s="14" t="inlineStr"/>
      <c r="H62" s="14" t="inlineStr"/>
      <c r="I62" s="14" t="inlineStr"/>
      <c r="J62" s="14" t="inlineStr"/>
      <c r="K62" s="14" t="inlineStr"/>
      <c r="L62" s="14" t="inlineStr"/>
      <c r="M62" s="14" t="inlineStr"/>
    </row>
    <row r="63" ht="45" customHeight="1">
      <c r="B63" s="12" t="inlineStr">
        <is>
          <t>MS1(a)</t>
        </is>
      </c>
      <c r="C63" s="8" t="inlineStr">
        <is>
          <t>Modern slavery and human rights</t>
        </is>
      </c>
      <c r="D63" s="8" t="inlineStr">
        <is>
          <t>Annual progress reporting via the Modern Slavery Statement</t>
        </is>
      </c>
      <c r="E63" s="14" t="inlineStr"/>
      <c r="F63" s="14" t="inlineStr"/>
      <c r="G63" s="14" t="inlineStr"/>
      <c r="H63" s="14" t="inlineStr"/>
      <c r="I63" s="13" t="inlineStr">
        <is>
          <t>R</t>
        </is>
      </c>
      <c r="J63" s="13" t="inlineStr">
        <is>
          <t>R</t>
        </is>
      </c>
      <c r="K63" s="14" t="inlineStr"/>
      <c r="L63" s="14" t="inlineStr"/>
      <c r="M63" s="14" t="inlineStr"/>
    </row>
    <row r="64" ht="45" customHeight="1">
      <c r="B64" s="12" t="inlineStr">
        <is>
          <t>RI1(a)</t>
        </is>
      </c>
      <c r="C64" s="8" t="inlineStr">
        <is>
          <t>Responsible investments</t>
        </is>
      </c>
      <c r="D64" s="8" t="inlineStr">
        <is>
          <t>Annual monitoring and reporting on the investment portfolio’s net zero transition progress, including tracking the percentage of assets under management (AUM) managed by investment managers aligned with (or committed to) net zero by 2050</t>
        </is>
      </c>
      <c r="E64" s="14" t="inlineStr"/>
      <c r="F64" s="14" t="inlineStr"/>
      <c r="G64" s="14" t="inlineStr"/>
      <c r="H64" s="14" t="inlineStr"/>
      <c r="I64" s="14" t="inlineStr"/>
      <c r="J64" s="14" t="inlineStr"/>
      <c r="K64" s="14" t="inlineStr"/>
      <c r="L64" s="14" t="inlineStr"/>
      <c r="M64" s="14" t="inlineStr"/>
    </row>
    <row r="65" ht="45" customHeight="1">
      <c r="B65" s="12" t="inlineStr">
        <is>
          <t>RI1(b)</t>
        </is>
      </c>
      <c r="C65" s="8" t="inlineStr">
        <is>
          <t>Responsible investments</t>
        </is>
      </c>
      <c r="D65" s="8" t="inlineStr">
        <is>
          <t>Continuous improvement of the reporting of the University’s sustainability-related investment profile metrics, could include investment in climate mitigation and transition solutions, and compliance with related obligations (eg UNPRI).</t>
        </is>
      </c>
      <c r="E65" s="14" t="inlineStr"/>
      <c r="F65" s="14" t="inlineStr"/>
      <c r="G65" s="14" t="inlineStr"/>
      <c r="H65" s="14" t="inlineStr"/>
      <c r="I65" s="13" t="inlineStr">
        <is>
          <t>R</t>
        </is>
      </c>
      <c r="J65" s="13" t="inlineStr">
        <is>
          <t>R</t>
        </is>
      </c>
      <c r="K65" s="14" t="inlineStr"/>
      <c r="L65" s="14" t="inlineStr"/>
      <c r="M65" s="14" t="inlineStr"/>
    </row>
    <row r="66" ht="45" customHeight="1">
      <c r="B66" s="12" t="inlineStr">
        <is>
          <t>EN1(a)</t>
        </is>
      </c>
      <c r="C66" s="8" t="inlineStr">
        <is>
          <t>Enablers</t>
        </is>
      </c>
      <c r="D66" s="8" t="inlineStr">
        <is>
          <t>Evidence of sustainability outcomes informed by Indigenous knowledges</t>
        </is>
      </c>
      <c r="E66" s="13" t="inlineStr">
        <is>
          <t>R</t>
        </is>
      </c>
      <c r="F66" s="13" t="inlineStr">
        <is>
          <t>R</t>
        </is>
      </c>
      <c r="G66" s="13" t="inlineStr">
        <is>
          <t>R</t>
        </is>
      </c>
      <c r="H66" s="13" t="inlineStr">
        <is>
          <t>R</t>
        </is>
      </c>
      <c r="I66" s="14" t="inlineStr"/>
      <c r="J66" s="14" t="inlineStr"/>
      <c r="K66" s="14" t="inlineStr"/>
      <c r="L66" s="14" t="inlineStr"/>
      <c r="M66" s="14" t="inlineStr"/>
    </row>
    <row r="67" ht="45" customHeight="1">
      <c r="B67" s="12" t="inlineStr">
        <is>
          <t>EN1(b)</t>
        </is>
      </c>
      <c r="C67" s="8" t="inlineStr">
        <is>
          <t>Enablers</t>
        </is>
      </c>
      <c r="D67" s="8" t="inlineStr">
        <is>
          <t>Living laboratories enabling applied learning, research and operational sustainability outcomes</t>
        </is>
      </c>
      <c r="E67" s="13" t="inlineStr">
        <is>
          <t>R</t>
        </is>
      </c>
      <c r="F67" s="13" t="inlineStr">
        <is>
          <t>R</t>
        </is>
      </c>
      <c r="G67" s="13" t="inlineStr">
        <is>
          <t>R</t>
        </is>
      </c>
      <c r="H67" s="13" t="inlineStr">
        <is>
          <t>R</t>
        </is>
      </c>
      <c r="I67" s="13" t="inlineStr">
        <is>
          <t>R</t>
        </is>
      </c>
      <c r="J67" s="14" t="inlineStr"/>
      <c r="K67" s="14" t="inlineStr"/>
      <c r="L67" s="14" t="inlineStr"/>
      <c r="M67" s="14" t="inlineStr"/>
    </row>
    <row r="68" ht="45" customHeight="1">
      <c r="B68" s="12" t="inlineStr">
        <is>
          <t>EN1(c)</t>
        </is>
      </c>
      <c r="C68" s="8" t="inlineStr">
        <is>
          <t>Enablers</t>
        </is>
      </c>
      <c r="D68" s="8" t="inlineStr">
        <is>
          <t>Coordinated internal engagement and external partnerships contributing to delivery of sustainability outcomes across priority areas.</t>
        </is>
      </c>
      <c r="E68" s="13" t="inlineStr">
        <is>
          <t>R</t>
        </is>
      </c>
      <c r="F68" s="13" t="inlineStr">
        <is>
          <t>R</t>
        </is>
      </c>
      <c r="G68" s="13" t="inlineStr">
        <is>
          <t>R</t>
        </is>
      </c>
      <c r="H68" s="13" t="inlineStr">
        <is>
          <t>R</t>
        </is>
      </c>
      <c r="I68" s="13" t="inlineStr">
        <is>
          <t>R</t>
        </is>
      </c>
      <c r="J68" s="13" t="inlineStr">
        <is>
          <t>R</t>
        </is>
      </c>
      <c r="K68" s="13" t="inlineStr">
        <is>
          <t>R</t>
        </is>
      </c>
      <c r="L68" s="13" t="inlineStr">
        <is>
          <t>R</t>
        </is>
      </c>
      <c r="M68" s="14" t="inlineStr"/>
    </row>
    <row r="69" ht="45" customHeight="1">
      <c r="B69" s="12" t="inlineStr">
        <is>
          <t>EN1(d)</t>
        </is>
      </c>
      <c r="C69" s="8" t="inlineStr">
        <is>
          <t>Enablers</t>
        </is>
      </c>
      <c r="D69" s="8" t="inlineStr">
        <is>
          <t>Sustainability objectives integrated into governance and decision‑making processes, supported by transparent reporting.</t>
        </is>
      </c>
      <c r="E69" s="13" t="inlineStr">
        <is>
          <t>R</t>
        </is>
      </c>
      <c r="F69" s="13" t="inlineStr">
        <is>
          <t>R</t>
        </is>
      </c>
      <c r="G69" s="13" t="inlineStr">
        <is>
          <t>R</t>
        </is>
      </c>
      <c r="H69" s="13" t="inlineStr">
        <is>
          <t>R</t>
        </is>
      </c>
      <c r="I69" s="13" t="inlineStr">
        <is>
          <t>R</t>
        </is>
      </c>
      <c r="J69" s="13" t="inlineStr">
        <is>
          <t>R</t>
        </is>
      </c>
      <c r="K69" s="13" t="inlineStr">
        <is>
          <t>R</t>
        </is>
      </c>
      <c r="L69" s="13" t="inlineStr">
        <is>
          <t>R</t>
        </is>
      </c>
      <c r="M69" s="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11" t="inlineStr">
        <is>
          <t>Summary</t>
        </is>
      </c>
    </row>
    <row r="5">
      <c r="C5" s="15" t="inlineStr">
        <is>
          <t>Not sent</t>
        </is>
      </c>
      <c r="E5" s="15" t="inlineStr">
        <is>
          <t>Sent</t>
        </is>
      </c>
      <c r="G5" s="15" t="inlineStr">
        <is>
          <t>Chased</t>
        </is>
      </c>
      <c r="I5" s="15" t="inlineStr">
        <is>
          <t>Support meeting</t>
        </is>
      </c>
      <c r="L5" s="15" t="inlineStr">
        <is>
          <t>Response rate</t>
        </is>
      </c>
      <c r="N5" s="15" t="inlineStr">
        <is>
          <t>Owner confirmed</t>
        </is>
      </c>
    </row>
    <row r="6">
      <c r="C6">
        <f>COUNTIF($N$10:$N$20,"Not sent")</f>
        <v/>
      </c>
      <c r="E6">
        <f>COUNTIF($N$10:$N$20,"Sent")</f>
        <v/>
      </c>
      <c r="G6">
        <f>COUNTIF($N$10:$N$20,"Chased")</f>
        <v/>
      </c>
      <c r="I6">
        <f>COUNTIF($N$10:$N$20,"Support meeting")</f>
        <v/>
      </c>
      <c r="L6" s="16">
        <f>IFERROR((COUNTIF($N$10:$N$20,"Received")+COUNTIF($N$10:$N$20,"Under review")+COUNTIF($N$10:$N$20,"Complete"))/(COUNTA($N$10:$N$20)-COUNTIF($N$10:$N$20,"Not required")),0)</f>
        <v/>
      </c>
      <c r="N6">
        <f>COUNTIF($M$10:$M$20,"Yes")&amp;" / "&amp;COUNTA($C$10:$C$20)</f>
        <v/>
      </c>
    </row>
    <row r="7">
      <c r="C7" s="15" t="inlineStr">
        <is>
          <t>Received</t>
        </is>
      </c>
      <c r="E7" s="15" t="inlineStr">
        <is>
          <t>Under review</t>
        </is>
      </c>
      <c r="G7" s="15" t="inlineStr">
        <is>
          <t>Complete</t>
        </is>
      </c>
      <c r="I7" s="15" t="inlineStr">
        <is>
          <t>Not required</t>
        </is>
      </c>
    </row>
    <row r="8">
      <c r="C8">
        <f>COUNTIF($N$10:$N$20,"Received")</f>
        <v/>
      </c>
      <c r="E8">
        <f>COUNTIF($N$10:$N$20,"Under review")</f>
        <v/>
      </c>
      <c r="G8">
        <f>COUNTIF($N$10:$N$20,"Complete")</f>
        <v/>
      </c>
      <c r="I8">
        <f>COUNTIF($N$10:$N$20,"Not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20</v>
      </c>
      <c r="G10" s="8" t="inlineStr">
        <is>
          <t>ABP - end-2026 sustainability reporting request.xlsx</t>
        </is>
      </c>
      <c r="H10" s="17" t="n"/>
      <c r="I10" s="17" t="n">
        <v>46402</v>
      </c>
      <c r="J10" s="17">
        <f>IF(I10="","",I10-7)</f>
        <v/>
      </c>
      <c r="K10" s="8" t="inlineStr"/>
      <c r="L10" s="17"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20</v>
      </c>
      <c r="G11" s="8" t="inlineStr">
        <is>
          <t>ARTS - end-2026 sustainability reporting request.xlsx</t>
        </is>
      </c>
      <c r="H11" s="17" t="n"/>
      <c r="I11" s="17" t="n">
        <v>46402</v>
      </c>
      <c r="J11" s="17">
        <f>IF(I11="","",I11-7)</f>
        <v/>
      </c>
      <c r="K11" s="8" t="inlineStr"/>
      <c r="L11" s="17"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20</v>
      </c>
      <c r="G12" s="8" t="inlineStr">
        <is>
          <t>FBE - end-2026 sustainability reporting request.xlsx</t>
        </is>
      </c>
      <c r="H12" s="17" t="n"/>
      <c r="I12" s="17" t="n">
        <v>46402</v>
      </c>
      <c r="J12" s="17">
        <f>IF(I12="","",I12-7)</f>
        <v/>
      </c>
      <c r="K12" s="8" t="inlineStr"/>
      <c r="L12" s="17"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20</v>
      </c>
      <c r="G13" s="8" t="inlineStr">
        <is>
          <t>SCI - end-2026 sustainability reporting request.xlsx</t>
        </is>
      </c>
      <c r="H13" s="17" t="n"/>
      <c r="I13" s="17" t="n">
        <v>46402</v>
      </c>
      <c r="J13" s="17">
        <f>IF(I13="","",I13-7)</f>
        <v/>
      </c>
      <c r="K13" s="8" t="inlineStr"/>
      <c r="L13" s="17"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request.xlsx</t>
        </is>
      </c>
      <c r="H14" s="17" t="n"/>
      <c r="I14" s="17" t="n">
        <v>46402</v>
      </c>
      <c r="J14" s="17">
        <f>IF(I14="","",I14-7)</f>
        <v/>
      </c>
      <c r="K14" s="8" t="inlineStr"/>
      <c r="L14" s="17"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17</v>
      </c>
      <c r="G15" s="8" t="inlineStr">
        <is>
          <t>CIandS - end-2026 sustainability reporting request.xlsx</t>
        </is>
      </c>
      <c r="H15" s="17" t="n"/>
      <c r="I15" s="17" t="n">
        <v>46402</v>
      </c>
      <c r="J15" s="17">
        <f>IF(I15="","",I15-7)</f>
        <v/>
      </c>
      <c r="K15" s="8" t="inlineStr"/>
      <c r="L15" s="17"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request.xlsx</t>
        </is>
      </c>
      <c r="H16" s="17" t="n"/>
      <c r="I16" s="17" t="n">
        <v>46402</v>
      </c>
      <c r="J16" s="17">
        <f>IF(I16="","",I16-7)</f>
        <v/>
      </c>
      <c r="K16" s="8" t="inlineStr"/>
      <c r="L16" s="17"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request.xlsx</t>
        </is>
      </c>
      <c r="H17" s="17" t="n"/>
      <c r="I17" s="17" t="n">
        <v>46402</v>
      </c>
      <c r="J17" s="17">
        <f>IF(I17="","",I17-7)</f>
        <v/>
      </c>
      <c r="K17" s="8" t="inlineStr"/>
      <c r="L17" s="17"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request.xlsx</t>
        </is>
      </c>
      <c r="H18" s="17" t="n"/>
      <c r="I18" s="17" t="n">
        <v>46402</v>
      </c>
      <c r="J18" s="17">
        <f>IF(I18="","",I18-7)</f>
        <v/>
      </c>
      <c r="K18" s="8" t="inlineStr"/>
      <c r="L18" s="17"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request.xlsx</t>
        </is>
      </c>
      <c r="H19" s="17" t="n"/>
      <c r="I19" s="17" t="n">
        <v>46402</v>
      </c>
      <c r="J19" s="17">
        <f>IF(I19="","",I19-7)</f>
        <v/>
      </c>
      <c r="K19" s="8" t="inlineStr"/>
      <c r="L19" s="17"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2</v>
      </c>
      <c r="G20" s="8" t="inlineStr">
        <is>
          <t>MRE - end-2026 sustainability reporting request.xlsx</t>
        </is>
      </c>
      <c r="H20" s="17" t="n"/>
      <c r="I20" s="17" t="n">
        <v>46402</v>
      </c>
      <c r="J20" s="17">
        <f>IF(I20="","",I20-7)</f>
        <v/>
      </c>
      <c r="K20" s="8" t="inlineStr"/>
      <c r="L20" s="17" t="n"/>
      <c r="M20" s="8" t="inlineStr"/>
      <c r="N20" s="8" t="inlineStr">
        <is>
          <t>Not sent</t>
        </is>
      </c>
      <c r="O20" s="8">
        <f>IF(OR(I20="",L20&lt;&gt;""),"",MAX(0,TODAY()-I20))</f>
        <v/>
      </c>
      <c r="P20" s="8" t="inlineStr"/>
    </row>
  </sheetData>
  <dataValidations count="2">
    <dataValidation sqref="N10:N20" showDropDown="0" showInputMessage="0" showErrorMessage="0" allowBlank="1" errorTitle="Invalid entry" error="Please select from the dropdown" type="list">
      <formula1>=Lists!$D$2:$D$9</formula1>
    </dataValidation>
    <dataValidation sqref="M10:M20"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0"/>
    <pageSetUpPr/>
  </sheetPr>
  <dimension ref="A1:R110"/>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9" t="inlineStr">
        <is>
          <t>Consolidated responses – paste from returned request workbooks (identical column layout). Click [+] above Columns H–K for end-2025 responses.</t>
        </is>
      </c>
    </row>
    <row r="5">
      <c r="B5" s="18" t="inlineStr">
        <is>
          <t>1.1  ABP – Faculty of Architecture, Building and Planning</t>
        </is>
      </c>
    </row>
    <row r="7">
      <c r="C7" s="19" t="inlineStr">
        <is>
          <t>Sustainability 2030 target and indicator</t>
        </is>
      </c>
      <c r="H7" s="19" t="inlineStr">
        <is>
          <t>End-2025 reporting (for reference – click [+] above to expand)</t>
        </is>
      </c>
      <c r="L7" s="2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21" t="inlineStr">
        <is>
          <t>Confirm end-2026 target status</t>
        </is>
      </c>
      <c r="M8" s="21" t="inlineStr">
        <is>
          <t>OPTION 1:  Target-level reporting (Column D)</t>
        </is>
      </c>
      <c r="N8" s="21" t="inlineStr">
        <is>
          <t>OPTION 2:  Indicator level reporting (Column E/F)</t>
        </is>
      </c>
      <c r="O8" s="21" t="inlineStr">
        <is>
          <t>Supporting information/comments</t>
        </is>
      </c>
      <c r="P8" s="21" t="inlineStr">
        <is>
          <t>Data source and limitations</t>
        </is>
      </c>
      <c r="Q8" s="21" t="inlineStr">
        <is>
          <t>Data owner confirms information is accurate</t>
        </is>
      </c>
      <c r="R8" s="21" t="inlineStr">
        <is>
          <t>Confirmed by (name, role, date)</t>
        </is>
      </c>
    </row>
    <row r="9">
      <c r="B9" s="22" t="inlineStr"/>
      <c r="C9" s="22" t="inlineStr"/>
      <c r="D9" s="22" t="inlineStr"/>
      <c r="E9" s="22" t="inlineStr"/>
      <c r="F9" s="22" t="inlineStr"/>
      <c r="G9" s="22" t="inlineStr"/>
      <c r="H9" s="22" t="inlineStr"/>
      <c r="I9" s="22" t="inlineStr"/>
      <c r="J9" s="22" t="inlineStr"/>
      <c r="K9" s="22" t="inlineStr"/>
      <c r="L9" s="22" t="inlineStr">
        <is>
          <t>(Met or exceeded; partially met; not met; not yet started)</t>
        </is>
      </c>
      <c r="M9" s="22" t="inlineStr">
        <is>
          <t>Provide further evidence of target status assessment in the form of:
A general update on activities in relation to the overarching target (Column D)</t>
        </is>
      </c>
      <c r="N9" s="22" t="inlineStr">
        <is>
          <t>Provide further evidence of target status assessment in the form of:
Data and commentary in direct response to the reporting request (Column F)</t>
        </is>
      </c>
      <c r="O9" s="22" t="inlineStr">
        <is>
          <t>Provide any additional information to support the target status assessment (e.g. links, images, rationale for selection of target status)</t>
        </is>
      </c>
      <c r="P9" s="22" t="inlineStr">
        <is>
          <t>Where did this information come from (system, report, survey, person)? Note any gaps or limitations.</t>
        </is>
      </c>
      <c r="Q9" s="22" t="inlineStr">
        <is>
          <t>Select 'Yes' to confirm the information provided is accurate and can be used for reporting</t>
        </is>
      </c>
      <c r="R9" s="22" t="inlineStr">
        <is>
          <t>Name, role and date of the person confirming</t>
        </is>
      </c>
    </row>
    <row r="10" ht="150" customHeight="1">
      <c r="B10" s="7" t="inlineStr">
        <is>
          <t>EE1(a)</t>
        </is>
      </c>
      <c r="C10" s="12" t="inlineStr">
        <is>
          <t>Exceptional education</t>
        </is>
      </c>
      <c r="D10" s="12" t="inlineStr">
        <is>
          <t>Provide our students with learning experiences that help them build the knowledge, skills and relationships to lead change for sustainable societies.</t>
        </is>
      </c>
      <c r="E10" s="12" t="inlineStr">
        <is>
          <t>Evidence of innovative approaches to sustainability teaching and learning</t>
        </is>
      </c>
      <c r="F10" s="8" t="inlineStr">
        <is>
          <t>In end-2025 reporting your faculty reported on the related SP2030 target 4a(ii) and rated it 'Partially met' (see Column J – click [+] above Columns H–K).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0" s="8" t="inlineStr">
        <is>
          <t>We will collate examples of innovative sustainability teaching and learning across faculties to inform the Exceptional education section of the 2026 Sustainability Report, and select one or two for short case studies.</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12" t="inlineStr">
        <is>
          <t>Exceptional education</t>
        </is>
      </c>
      <c r="D11" s="12" t="inlineStr">
        <is>
          <t>Provide our students with learning experiences that help them build the knowledge, skills and relationships to lead change for sustainable societies.</t>
        </is>
      </c>
      <c r="E11" s="12"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EE1(c)</t>
        </is>
      </c>
      <c r="C12" s="12" t="inlineStr">
        <is>
          <t>Exceptional education</t>
        </is>
      </c>
      <c r="D12" s="12" t="inlineStr">
        <is>
          <t>Provide our students with learning experiences that help them build the knowledge, skills and relationships to lead change for sustainable societies.</t>
        </is>
      </c>
      <c r="E12" s="12" t="inlineStr">
        <is>
          <t>Evidence of sustainability focused experiential and co curricular learning (eg Wattle Fellowship; Melbourne Plus)</t>
        </is>
      </c>
      <c r="F12"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2" s="8" t="inlineStr">
        <is>
          <t>We will combine faculty examples with central Wattle Fellowship and Melbourne Plus data to report on the range and reach of sustainability-focused experiential and co-curricular learning across the University.</t>
        </is>
      </c>
      <c r="H12" s="8" t="inlineStr">
        <is>
          <t>N/A – new indicator</t>
        </is>
      </c>
      <c r="I12" s="8" t="inlineStr"/>
      <c r="J12" s="8" t="inlineStr"/>
      <c r="K12" s="8" t="inlineStr"/>
      <c r="L12" s="8" t="n"/>
      <c r="M12" s="8" t="n"/>
      <c r="N12" s="8" t="n"/>
      <c r="O12" s="8" t="n"/>
      <c r="P12" s="8" t="n"/>
      <c r="Q12" s="8" t="n"/>
      <c r="R12" s="8" t="n"/>
    </row>
    <row r="13" ht="150" customHeight="1">
      <c r="B13" s="7" t="inlineStr">
        <is>
          <t>EE1(d)</t>
        </is>
      </c>
      <c r="C13" s="12" t="inlineStr">
        <is>
          <t>Exceptional education</t>
        </is>
      </c>
      <c r="D13" s="12" t="inlineStr">
        <is>
          <t>Provide our students with learning experiences that help them build the knowledge, skills and relationships to lead change for sustainable societies.</t>
        </is>
      </c>
      <c r="E13" s="12" t="inlineStr">
        <is>
          <t>Alumni profiles demonstrating how graduates contribute to sustainability through their careers or communities.</t>
        </is>
      </c>
      <c r="F13" s="8" t="inlineStr">
        <is>
          <t>In end-2025 reporting your faculty reported on the related SP2030 target 4b(i) and rated it 'Partially met' (see Column J – click [+] above Columns H–K).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3" s="8" t="inlineStr">
        <is>
          <t>We will use nominated alumni to develop short graduate profiles for the 2026 Sustainability Report (subject to consent), and record any faculty approaches to tracking graduate outcomes to inform how this indicator is measured from 2027.</t>
        </is>
      </c>
      <c r="H13" s="8" t="inlineStr">
        <is>
          <t>4b(i)</t>
        </is>
      </c>
      <c r="I13" s="8" t="inlineStr">
        <is>
          <t>Partially met</t>
        </is>
      </c>
      <c r="J13" s="8"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3" s="8" t="inlineStr"/>
      <c r="L13" s="8" t="n"/>
      <c r="M13" s="8" t="n"/>
      <c r="N13" s="8" t="n"/>
      <c r="O13" s="8" t="n"/>
      <c r="P13" s="8" t="n"/>
      <c r="Q13" s="8" t="n"/>
      <c r="R13" s="8" t="n"/>
    </row>
    <row r="14" ht="150" customHeight="1">
      <c r="B14" s="7" t="inlineStr">
        <is>
          <t>TR1(a)</t>
        </is>
      </c>
      <c r="C14" s="12" t="inlineStr">
        <is>
          <t>Transformational research</t>
        </is>
      </c>
      <c r="D14" s="12" t="inlineStr">
        <is>
          <t>Utilise the expertise of the University’s researchers through mutually beneficial partnerships to help address the University’s operational sustainability challenges.</t>
        </is>
      </c>
      <c r="E14" s="12" t="inlineStr">
        <is>
          <t>Expert-reviewed evidence of researchers contributing to operational sustainability priorities through partnerships, advisory input, living labs, applied projects or decision-support</t>
        </is>
      </c>
      <c r="F14" s="8" t="inlineStr">
        <is>
          <t>In end-2025 reporting your faculty reported on the related SP2030 target 2a and rated it 'Met or exceeded' (see Column J – click [+] above Columns H–K).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14" s="8" t="inlineStr">
        <is>
          <t>We will report on examples of researchers helping solve the University's own operational sustainability challenges, alongside CLLAP projects reported by CI&amp;S, and share them with operational teams to identify further collaboration.</t>
        </is>
      </c>
      <c r="H14" s="8" t="inlineStr">
        <is>
          <t>2a</t>
        </is>
      </c>
      <c r="I14" s="8" t="inlineStr">
        <is>
          <t>Met or exceeded</t>
        </is>
      </c>
      <c r="J14"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4" s="8" t="inlineStr"/>
      <c r="L14" s="8" t="n"/>
      <c r="M14" s="8" t="n"/>
      <c r="N14" s="8" t="n"/>
      <c r="O14" s="8" t="n"/>
      <c r="P14" s="8" t="n"/>
      <c r="Q14" s="8" t="n"/>
      <c r="R14" s="8" t="n"/>
    </row>
    <row r="15" ht="150" customHeight="1">
      <c r="B15" s="7" t="inlineStr">
        <is>
          <t>TR1(b)</t>
        </is>
      </c>
      <c r="C15" s="12" t="inlineStr">
        <is>
          <t>Transformational research</t>
        </is>
      </c>
      <c r="D15" s="12" t="inlineStr">
        <is>
          <t>Utilise the expertise of the University’s researchers through mutually beneficial partnerships to help address the University’s operational sustainability challenges.</t>
        </is>
      </c>
      <c r="E15" s="12" t="inlineStr">
        <is>
          <t>Evidence of institutional pathways that enable ongoing collaboration between academic and professional staff</t>
        </is>
      </c>
      <c r="F15"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5" s="8" t="inlineStr">
        <is>
          <t>We will map existing academic–professional collaboration mechanisms across faculties to establish a baseline for this new indicator and identify models other faculties could adopt.</t>
        </is>
      </c>
      <c r="H15" s="8" t="inlineStr">
        <is>
          <t>N/A – new indicator</t>
        </is>
      </c>
      <c r="I15" s="8" t="inlineStr"/>
      <c r="J15" s="8" t="inlineStr"/>
      <c r="K15" s="8" t="inlineStr"/>
      <c r="L15" s="8" t="n"/>
      <c r="M15" s="8" t="n"/>
      <c r="N15" s="8" t="n"/>
      <c r="O15" s="8" t="n"/>
      <c r="P15" s="8" t="n"/>
      <c r="Q15" s="8" t="n"/>
      <c r="R15" s="8" t="n"/>
    </row>
    <row r="16" ht="150" customHeight="1">
      <c r="B16" s="7" t="inlineStr">
        <is>
          <t>TR1(c)</t>
        </is>
      </c>
      <c r="C16" s="12" t="inlineStr">
        <is>
          <t>Transformational research</t>
        </is>
      </c>
      <c r="D16" s="12" t="inlineStr">
        <is>
          <t>Utilise the expertise of the University’s researchers through mutually beneficial partnerships to help address the University’s operational sustainability challenges.</t>
        </is>
      </c>
      <c r="E16" s="12" t="inlineStr">
        <is>
          <t>Expert assessment of the quality, relevance and continuity of these collaborations</t>
        </is>
      </c>
      <c r="F16" s="8" t="inlineStr">
        <is>
          <t>For the collaborations described in TR1(a)–(b), please give a short assessment (a paragraph is sufficient) of their quality, relevance and continuity: are they ongoing, useful to the University's operational priorities, and producing outcomes?</t>
        </is>
      </c>
      <c r="G16" s="8" t="inlineStr">
        <is>
          <t>We will use your assessment to describe the quality and continuity of research–operations collaboration in the 2026 report, and as baseline evidence for the interim target status assessment from 2027.</t>
        </is>
      </c>
      <c r="H16" s="8" t="inlineStr">
        <is>
          <t>N/A – new indicator</t>
        </is>
      </c>
      <c r="I16" s="8" t="inlineStr"/>
      <c r="J16" s="8" t="inlineStr"/>
      <c r="K16" s="8" t="inlineStr"/>
      <c r="L16" s="8" t="n"/>
      <c r="M16" s="8" t="n"/>
      <c r="N16" s="8" t="n"/>
      <c r="O16" s="8" t="n"/>
      <c r="P16" s="8" t="n"/>
      <c r="Q16" s="8" t="n"/>
      <c r="R16" s="8" t="n"/>
    </row>
    <row r="17" ht="150" customHeight="1">
      <c r="B17" s="7" t="inlineStr">
        <is>
          <t>TR1(d)</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Periodic feedback from participants on the effectiveness and mutual benefit of collaboration mechanisms.</t>
        </is>
      </c>
      <c r="F17"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17" s="8" t="inlineStr">
        <is>
          <t>We will use any feedback to understand whether collaboration mechanisms are working and to inform improvements. Where none has been collected, this helps us plan how to gather feedback from 2027.</t>
        </is>
      </c>
      <c r="H17" s="8" t="inlineStr">
        <is>
          <t>N/A – new indicator</t>
        </is>
      </c>
      <c r="I17" s="8" t="inlineStr"/>
      <c r="J17" s="8" t="inlineStr"/>
      <c r="K17" s="8" t="inlineStr"/>
      <c r="L17" s="8" t="n"/>
      <c r="M17" s="8" t="n"/>
      <c r="N17" s="8" t="n"/>
      <c r="O17" s="8" t="n"/>
      <c r="P17" s="8" t="n"/>
      <c r="Q17" s="8" t="n"/>
      <c r="R17" s="8" t="n"/>
    </row>
    <row r="18" ht="150" customHeight="1">
      <c r="B18" s="7"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8" t="inlineStr">
        <is>
          <t>In end-2025 reporting your faculty reported on the related SP2030 target 5b(i) and rated it 'Met or exceeded' (see Column J – click [+] above Columns H–K).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8" s="8" t="inlineStr">
        <is>
          <t>We will collate research impact examples across faculties to show the breadth of sustainability-related research impact in the Transformational research section of the 2026 Sustainability Report, complementing University-wide metrics from MRE.</t>
        </is>
      </c>
      <c r="H18" s="8" t="inlineStr">
        <is>
          <t>5b(i)</t>
        </is>
      </c>
      <c r="I18" s="8" t="inlineStr">
        <is>
          <t>Met or exceeded</t>
        </is>
      </c>
      <c r="J18"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8" s="8" t="inlineStr">
        <is>
          <t>www.beyondepic.io</t>
        </is>
      </c>
      <c r="L18" s="8" t="n"/>
      <c r="M18" s="8" t="n"/>
      <c r="N18" s="8" t="n"/>
      <c r="O18" s="8" t="n"/>
      <c r="P18" s="8" t="n"/>
      <c r="Q18" s="8" t="n"/>
      <c r="R18" s="8" t="n"/>
    </row>
    <row r="19" ht="150" customHeight="1">
      <c r="B19" s="7"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8" t="inlineStr">
        <is>
          <t>In end-2025 reporting your faculty reported on the related SP2030 target 5b(i) and rated it 'Met or exceeded' (see Column J – click [+] above Columns H–K).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9" s="8" t="inlineStr">
        <is>
          <t>We will select the strongest examples to develop as full research case studies for the 2026 Sustainability Report (we may contact you for more detail and images).</t>
        </is>
      </c>
      <c r="H19" s="8" t="inlineStr">
        <is>
          <t>5b(i)</t>
        </is>
      </c>
      <c r="I19" s="8" t="inlineStr">
        <is>
          <t>Met or exceeded</t>
        </is>
      </c>
      <c r="J19"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8" t="inlineStr">
        <is>
          <t>www.beyondepic.io</t>
        </is>
      </c>
      <c r="L19" s="8" t="n"/>
      <c r="M19" s="8" t="n"/>
      <c r="N19" s="8" t="n"/>
      <c r="O19" s="8" t="n"/>
      <c r="P19" s="8" t="n"/>
      <c r="Q19" s="8" t="n"/>
      <c r="R19" s="8" t="n"/>
    </row>
    <row r="20" ht="150" customHeight="1">
      <c r="B20" s="7" t="inlineStr">
        <is>
          <t>TR3(a)</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Evidence that sustainability considerations are integrated into relevant research systems, planning processes, guidance, training, induction or support services</t>
        </is>
      </c>
      <c r="F20" s="8" t="inlineStr">
        <is>
          <t>In end-2025 reporting your faculty reported on the related SP2030 target 5c(ii) and rated it 'Partially met' (see Column J – click [+] above Columns H–K).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0" s="8" t="inlineStr">
        <is>
          <t>We will report on how sustainability is being built into research systems and support across the University, and use responses to establish a baseline for this new target.</t>
        </is>
      </c>
      <c r="H20" s="8" t="inlineStr">
        <is>
          <t>5c(ii)</t>
        </is>
      </c>
      <c r="I20" s="8" t="inlineStr">
        <is>
          <t>Partially met</t>
        </is>
      </c>
      <c r="J20"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0" s="8" t="inlineStr"/>
      <c r="L20" s="8" t="n"/>
      <c r="M20" s="8" t="n"/>
      <c r="N20" s="8" t="n"/>
      <c r="O20" s="8" t="n"/>
      <c r="P20" s="8" t="n"/>
      <c r="Q20" s="8" t="n"/>
      <c r="R20" s="8" t="n"/>
    </row>
    <row r="21" ht="150" customHeight="1">
      <c r="B21" s="7" t="inlineStr">
        <is>
          <t>TR3(b)</t>
        </is>
      </c>
      <c r="C21" s="12" t="inlineStr">
        <is>
          <t>Transformational research</t>
        </is>
      </c>
      <c r="D21" s="12" t="inlineStr">
        <is>
          <t>Embed sustainability within research systems, processes, capability and culture, so research is conducted responsibly, efficiently and with reduced environmental impact.</t>
        </is>
      </c>
      <c r="E21" s="12" t="inlineStr">
        <is>
          <t>Demonstrated examples of more sustainable research practices in laboratories, fieldwork, procurement, travel or infrastructure use</t>
        </is>
      </c>
      <c r="F21" s="8" t="inlineStr">
        <is>
          <t>In end-2025 reporting your faculty reported on the related SP2030 target 5c(ii) and rated it 'Partially met' (see Column J – click [+] above Columns H–K).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1" s="8" t="inlineStr">
        <is>
          <t>We will report on ways the University is making research practices more sustainable in the 2026 Sustainability Report, and share practical examples (e.g. green labs) across faculties.</t>
        </is>
      </c>
      <c r="H21" s="8" t="inlineStr">
        <is>
          <t>5c(ii)</t>
        </is>
      </c>
      <c r="I21" s="8" t="inlineStr">
        <is>
          <t>Partially met</t>
        </is>
      </c>
      <c r="J21"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8" t="inlineStr"/>
      <c r="L21" s="8" t="n"/>
      <c r="M21" s="8" t="n"/>
      <c r="N21" s="8" t="n"/>
      <c r="O21" s="8" t="n"/>
      <c r="P21" s="8" t="n"/>
      <c r="Q21" s="8" t="n"/>
      <c r="R21" s="8" t="n"/>
    </row>
    <row r="22" ht="150" customHeight="1">
      <c r="B22" s="7" t="inlineStr">
        <is>
          <t>TR3(c)</t>
        </is>
      </c>
      <c r="C22" s="12" t="inlineStr">
        <is>
          <t>Transformational research</t>
        </is>
      </c>
      <c r="D22" s="12" t="inlineStr">
        <is>
          <t>Embed sustainability within research systems, processes, capability and culture, so research is conducted responsibly, efficiently and with reduced environmental impact.</t>
        </is>
      </c>
      <c r="E22" s="12" t="inlineStr">
        <is>
          <t>Evidence of progress in sustainability-related research culture, capability and awareness, informed by periodic staff and graduate researcher surveys</t>
        </is>
      </c>
      <c r="F22"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2" s="8" t="inlineStr">
        <is>
          <t>We will use any survey or capability data to describe changes in sustainability-related research culture. Where no evidence exists, this helps us plan University-wide measurement (e.g. staff and graduate researcher surveys) from 2027.</t>
        </is>
      </c>
      <c r="H22" s="8" t="inlineStr">
        <is>
          <t>N/A – new indicator</t>
        </is>
      </c>
      <c r="I22" s="8" t="inlineStr"/>
      <c r="J22" s="8" t="inlineStr"/>
      <c r="K22" s="8" t="inlineStr"/>
      <c r="L22" s="8" t="n"/>
      <c r="M22" s="8" t="n"/>
      <c r="N22" s="8" t="n"/>
      <c r="O22" s="8" t="n"/>
      <c r="P22" s="8" t="n"/>
      <c r="Q22" s="8" t="n"/>
      <c r="R22" s="8" t="n"/>
    </row>
    <row r="23" ht="150" customHeight="1">
      <c r="B23" s="7" t="inlineStr">
        <is>
          <t>TR3(d)</t>
        </is>
      </c>
      <c r="C23" s="12" t="inlineStr">
        <is>
          <t>Transformational research</t>
        </is>
      </c>
      <c r="D23" s="12" t="inlineStr">
        <is>
          <t>Embed sustainability within research systems, processes, capability and culture, so research is conducted responsibly, efficiently and with reduced environmental impact.</t>
        </is>
      </c>
      <c r="E23" s="12" t="inlineStr">
        <is>
          <t>Expert assessment of progress in embedding sustainable research practices across the institution.</t>
        </is>
      </c>
      <c r="F23" s="8" t="inlineStr">
        <is>
          <t>Drawing on your responses to TR3(a)–(c), please provide a short overall assessment (2–3 sentences) of your faculty's progress in embedding sustainable research practices: where progress is strongest, the main gaps, and priority actions for 2027.</t>
        </is>
      </c>
      <c r="G23" s="8" t="inlineStr">
        <is>
          <t>We will use faculty self-assessments to identify strengths, gaps and priority actions in embedding sustainable research practices, to inform internal management reporting and the Transformational research working group.</t>
        </is>
      </c>
      <c r="H23" s="8" t="inlineStr">
        <is>
          <t>N/A – new indicator</t>
        </is>
      </c>
      <c r="I23" s="8" t="inlineStr"/>
      <c r="J23" s="8" t="inlineStr"/>
      <c r="K23" s="8" t="inlineStr"/>
      <c r="L23" s="8" t="n"/>
      <c r="M23" s="8" t="n"/>
      <c r="N23" s="8" t="n"/>
      <c r="O23" s="8" t="n"/>
      <c r="P23" s="8" t="n"/>
      <c r="Q23" s="8" t="n"/>
      <c r="R23" s="8" t="n"/>
    </row>
    <row r="24" ht="150" customHeight="1">
      <c r="B24" s="7" t="inlineStr">
        <is>
          <t>CL2(a)</t>
        </is>
      </c>
      <c r="C24" s="12" t="inlineStr">
        <is>
          <t>Climate leadership</t>
        </is>
      </c>
      <c r="D24" s="12" t="inlineStr">
        <is>
          <t>Develop understanding of our research and education programs that contribute to accelerating global decarbonisation and our own climate transition.</t>
        </is>
      </c>
      <c r="E24" s="12" t="inlineStr">
        <is>
          <t>By 2028, develop and document institutional mapping of research and education activities that are designed to contribute to global decarbonisation</t>
        </is>
      </c>
      <c r="F24"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24" s="8" t="inlineStr">
        <is>
          <t>We will use these examples to show how the University communicates climate research and learning to external audiences, and as an input to the institutional decarbonisation research and education mapping due by 2028.</t>
        </is>
      </c>
      <c r="H24" s="8" t="inlineStr">
        <is>
          <t>N/A – new indicator</t>
        </is>
      </c>
      <c r="I24" s="8" t="inlineStr"/>
      <c r="J24" s="8" t="inlineStr"/>
      <c r="K24" s="8" t="inlineStr"/>
      <c r="L24" s="8" t="n"/>
      <c r="M24" s="8" t="n"/>
      <c r="N24" s="8" t="n"/>
      <c r="O24" s="8" t="n"/>
      <c r="P24" s="8" t="n"/>
      <c r="Q24" s="8" t="n"/>
      <c r="R24" s="8" t="n"/>
    </row>
    <row r="25" ht="150" customHeight="1">
      <c r="B25" s="7" t="inlineStr">
        <is>
          <t>CL2(c)</t>
        </is>
      </c>
      <c r="C25" s="12" t="inlineStr">
        <is>
          <t>Climate leadership</t>
        </is>
      </c>
      <c r="D25" s="12" t="inlineStr">
        <is>
          <t>Develop understanding of our research and education programs that contribute to accelerating global decarbonisation and our own climate transition.</t>
        </is>
      </c>
      <c r="E25" s="12" t="inlineStr">
        <is>
          <t>Ongoing communications that evidence the University’s climate action, research and learning to inform policy, sector and community decarbonisation efforts.</t>
        </is>
      </c>
      <c r="F25"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25" s="8" t="inlineStr">
        <is>
          <t>We will report on the University's ongoing climate communications in the Climate leadership section of the 2026 Sustainability Report, alongside contributions from Melbourne Climate Futures and the Melbourne Energy Institute.</t>
        </is>
      </c>
      <c r="H25" s="8" t="inlineStr">
        <is>
          <t>N/A – new indicator</t>
        </is>
      </c>
      <c r="I25" s="8" t="inlineStr"/>
      <c r="J25" s="8" t="inlineStr"/>
      <c r="K25" s="8" t="inlineStr"/>
      <c r="L25" s="8" t="n"/>
      <c r="M25" s="8" t="n"/>
      <c r="N25" s="8" t="n"/>
      <c r="O25" s="8" t="n"/>
      <c r="P25" s="8" t="n"/>
      <c r="Q25" s="8" t="n"/>
      <c r="R25" s="8" t="n"/>
    </row>
    <row r="26" ht="150" customHeight="1">
      <c r="B26" s="7" t="inlineStr">
        <is>
          <t>EN1(a)</t>
        </is>
      </c>
      <c r="C26" s="12" t="inlineStr">
        <is>
          <t>Enablers</t>
        </is>
      </c>
      <c r="D26" s="12" t="inlineStr">
        <is>
          <t>Enablers</t>
        </is>
      </c>
      <c r="E26" s="12" t="inlineStr">
        <is>
          <t>Evidence of sustainability outcomes informed by Indigenous knowledges</t>
        </is>
      </c>
      <c r="F26" s="8" t="inlineStr">
        <is>
          <t>In end-2025 reporting your faculty reported on the related SP2030 target 6a and rated it 'Met or exceeded' (see Column J – click [+] above Columns H–K).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6" s="8" t="inlineStr">
        <is>
          <t>We will report on the ways Indigenous knowledges inform sustainability activities across the University, and develop selected examples into case studies with appropriate permissions.</t>
        </is>
      </c>
      <c r="H26" s="8" t="inlineStr">
        <is>
          <t>6a</t>
        </is>
      </c>
      <c r="I26" s="8" t="inlineStr">
        <is>
          <t>Met or exceeded</t>
        </is>
      </c>
      <c r="J2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6" s="8" t="inlineStr"/>
      <c r="L26" s="8" t="n"/>
      <c r="M26" s="8" t="n"/>
      <c r="N26" s="8" t="n"/>
      <c r="O26" s="8" t="n"/>
      <c r="P26" s="8" t="n"/>
      <c r="Q26" s="8" t="n"/>
      <c r="R26" s="8" t="n"/>
    </row>
    <row r="27" ht="150" customHeight="1">
      <c r="B27" s="7" t="inlineStr">
        <is>
          <t>EN1(b)</t>
        </is>
      </c>
      <c r="C27" s="12" t="inlineStr">
        <is>
          <t>Enablers</t>
        </is>
      </c>
      <c r="D27" s="12" t="inlineStr">
        <is>
          <t>Enablers</t>
        </is>
      </c>
      <c r="E27" s="12" t="inlineStr">
        <is>
          <t>Living laboratories enabling applied learning, research and operational sustainability outcomes</t>
        </is>
      </c>
      <c r="F27" s="8" t="inlineStr">
        <is>
          <t>In end-2025 reporting your faculty reported on the related SP2030 target 2a and rated it 'Met or exceeded' (see Column J – click [+] above Columns H–K).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27" s="8" t="inlineStr">
        <is>
          <t>We will share examples of living labs from across the University in the 2026 Sustainability Report, alongside CLLAP projects reported by CI&amp;S.</t>
        </is>
      </c>
      <c r="H27" s="8" t="inlineStr">
        <is>
          <t>2a</t>
        </is>
      </c>
      <c r="I27" s="8" t="inlineStr">
        <is>
          <t>Met or exceeded</t>
        </is>
      </c>
      <c r="J2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7" s="8" t="inlineStr"/>
      <c r="L27" s="8" t="n"/>
      <c r="M27" s="8" t="n"/>
      <c r="N27" s="8" t="n"/>
      <c r="O27" s="8" t="n"/>
      <c r="P27" s="8" t="n"/>
      <c r="Q27" s="8" t="n"/>
      <c r="R27" s="8" t="n"/>
    </row>
    <row r="28" ht="150" customHeight="1">
      <c r="B28" s="7" t="inlineStr">
        <is>
          <t>EN1(c)</t>
        </is>
      </c>
      <c r="C28" s="12" t="inlineStr">
        <is>
          <t>Enablers</t>
        </is>
      </c>
      <c r="D28" s="12" t="inlineStr">
        <is>
          <t>Enablers</t>
        </is>
      </c>
      <c r="E28" s="12" t="inlineStr">
        <is>
          <t>Coordinated internal engagement and external partnerships contributing to delivery of sustainability outcomes across priority areas.</t>
        </is>
      </c>
      <c r="F28" s="8" t="inlineStr">
        <is>
          <t>In end-2025 reporting your faculty reported on the related SP2030 target 3a(ii) and rated it 'Met or exceeded' (see Column J – click [+] above Columns H–K).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28" s="8" t="inlineStr">
        <is>
          <t>We will report on internal engagement and partnerships contributing to Sustainability 2030 outcomes, and update our record of sustainability-focused communities of practice and contacts across the University.</t>
        </is>
      </c>
      <c r="H28" s="8" t="inlineStr">
        <is>
          <t>3a(ii)</t>
        </is>
      </c>
      <c r="I28" s="8" t="inlineStr">
        <is>
          <t>Met or exceeded</t>
        </is>
      </c>
      <c r="J2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8" s="8" t="inlineStr"/>
      <c r="L28" s="8" t="n"/>
      <c r="M28" s="8" t="n"/>
      <c r="N28" s="8" t="n"/>
      <c r="O28" s="8" t="n"/>
      <c r="P28" s="8" t="n"/>
      <c r="Q28" s="8" t="n"/>
      <c r="R28" s="8" t="n"/>
    </row>
    <row r="29" ht="150" customHeight="1">
      <c r="B29" s="7" t="inlineStr">
        <is>
          <t>EN1(d)</t>
        </is>
      </c>
      <c r="C29" s="12" t="inlineStr">
        <is>
          <t>Enablers</t>
        </is>
      </c>
      <c r="D29" s="12" t="inlineStr">
        <is>
          <t>Enablers</t>
        </is>
      </c>
      <c r="E29" s="12" t="inlineStr">
        <is>
          <t>Sustainability objectives integrated into governance and decision‑making processes, supported by transparent reporting.</t>
        </is>
      </c>
      <c r="F29"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9" s="8" t="inlineStr">
        <is>
          <t>We will report on how sustainability is integrated into governance and decision-making across faculties and portfolios, and use responses as a baseline for the governance enabler from 2027.</t>
        </is>
      </c>
      <c r="H29" s="8" t="inlineStr">
        <is>
          <t>N/A – new indicator</t>
        </is>
      </c>
      <c r="I29" s="8" t="inlineStr"/>
      <c r="J29" s="8" t="inlineStr"/>
      <c r="K29" s="8" t="inlineStr"/>
      <c r="L29" s="8" t="n"/>
      <c r="M29" s="8" t="n"/>
      <c r="N29" s="8" t="n"/>
      <c r="O29" s="8" t="n"/>
      <c r="P29" s="8" t="n"/>
      <c r="Q29" s="8" t="n"/>
      <c r="R29" s="8" t="n"/>
    </row>
    <row r="32">
      <c r="B32" s="18" t="inlineStr">
        <is>
          <t>1.2  ARTS – Faculty of Arts</t>
        </is>
      </c>
    </row>
    <row r="34">
      <c r="C34" s="19" t="inlineStr">
        <is>
          <t>Sustainability 2030 target and indicator</t>
        </is>
      </c>
      <c r="H34" s="19" t="inlineStr">
        <is>
          <t>End-2025 reporting (for reference – click [+] above to expand)</t>
        </is>
      </c>
      <c r="L34" s="20" t="inlineStr">
        <is>
          <t>End-2026 reporting (PLEASE COMPLETE THIS SECTION)</t>
        </is>
      </c>
    </row>
    <row r="35">
      <c r="B35" s="6" t="inlineStr">
        <is>
          <t>Ref</t>
        </is>
      </c>
      <c r="C35" s="6" t="inlineStr">
        <is>
          <t>Priority area</t>
        </is>
      </c>
      <c r="D35" s="6" t="inlineStr">
        <is>
          <t>Sustainability 2030 target</t>
        </is>
      </c>
      <c r="E35" s="6" t="inlineStr">
        <is>
          <t>Indicator</t>
        </is>
      </c>
      <c r="F35" s="6" t="inlineStr">
        <is>
          <t>2026 Reporting request</t>
        </is>
      </c>
      <c r="G35" s="6" t="inlineStr">
        <is>
          <t>How SST will use this data</t>
        </is>
      </c>
      <c r="H35" s="6" t="inlineStr">
        <is>
          <t>Related SR25 ref</t>
        </is>
      </c>
      <c r="I35" s="6" t="inlineStr">
        <is>
          <t>End-2025 confirmed status</t>
        </is>
      </c>
      <c r="J35" s="6" t="inlineStr">
        <is>
          <t>End-2025 reporting response</t>
        </is>
      </c>
      <c r="K35" s="6" t="inlineStr">
        <is>
          <t>Links and supporting information</t>
        </is>
      </c>
      <c r="L35" s="21" t="inlineStr">
        <is>
          <t>Confirm end-2026 target status</t>
        </is>
      </c>
      <c r="M35" s="21" t="inlineStr">
        <is>
          <t>OPTION 1:  Target-level reporting (Column D)</t>
        </is>
      </c>
      <c r="N35" s="21" t="inlineStr">
        <is>
          <t>OPTION 2:  Indicator level reporting (Column E/F)</t>
        </is>
      </c>
      <c r="O35" s="21" t="inlineStr">
        <is>
          <t>Supporting information/comments</t>
        </is>
      </c>
      <c r="P35" s="21" t="inlineStr">
        <is>
          <t>Data source and limitations</t>
        </is>
      </c>
      <c r="Q35" s="21" t="inlineStr">
        <is>
          <t>Data owner confirms information is accurate</t>
        </is>
      </c>
      <c r="R35" s="21" t="inlineStr">
        <is>
          <t>Confirmed by (name, role, date)</t>
        </is>
      </c>
    </row>
    <row r="36">
      <c r="B36" s="22" t="inlineStr"/>
      <c r="C36" s="22" t="inlineStr"/>
      <c r="D36" s="22" t="inlineStr"/>
      <c r="E36" s="22" t="inlineStr"/>
      <c r="F36" s="22" t="inlineStr"/>
      <c r="G36" s="22" t="inlineStr"/>
      <c r="H36" s="22" t="inlineStr"/>
      <c r="I36" s="22" t="inlineStr"/>
      <c r="J36" s="22" t="inlineStr"/>
      <c r="K36" s="22" t="inlineStr"/>
      <c r="L36" s="22" t="inlineStr">
        <is>
          <t>(Met or exceeded; partially met; not met; not yet started)</t>
        </is>
      </c>
      <c r="M36" s="22" t="inlineStr">
        <is>
          <t>Provide further evidence of target status assessment in the form of:
A general update on activities in relation to the overarching target (Column D)</t>
        </is>
      </c>
      <c r="N36" s="22" t="inlineStr">
        <is>
          <t>Provide further evidence of target status assessment in the form of:
Data and commentary in direct response to the reporting request (Column F)</t>
        </is>
      </c>
      <c r="O36" s="22" t="inlineStr">
        <is>
          <t>Provide any additional information to support the target status assessment (e.g. links, images, rationale for selection of target status)</t>
        </is>
      </c>
      <c r="P36" s="22" t="inlineStr">
        <is>
          <t>Where did this information come from (system, report, survey, person)? Note any gaps or limitations.</t>
        </is>
      </c>
      <c r="Q36" s="22" t="inlineStr">
        <is>
          <t>Select 'Yes' to confirm the information provided is accurate and can be used for reporting</t>
        </is>
      </c>
      <c r="R36" s="22" t="inlineStr">
        <is>
          <t>Name, role and date of the person confirming</t>
        </is>
      </c>
    </row>
    <row r="37" ht="150" customHeight="1">
      <c r="B37" s="7" t="inlineStr">
        <is>
          <t>EE1(a)</t>
        </is>
      </c>
      <c r="C37" s="12" t="inlineStr">
        <is>
          <t>Exceptional education</t>
        </is>
      </c>
      <c r="D37" s="12" t="inlineStr">
        <is>
          <t>Provide our students with learning experiences that help them build the knowledge, skills and relationships to lead change for sustainable societies.</t>
        </is>
      </c>
      <c r="E37" s="12" t="inlineStr">
        <is>
          <t>Evidence of innovative approaches to sustainability teaching and learning</t>
        </is>
      </c>
      <c r="F37" s="8" t="inlineStr">
        <is>
          <t>In end-2025 reporting your faculty reported on the related SP2030 target 4a(ii) and rated it 'Partially met' (see Column J – click [+] above Columns H–K).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37" s="8" t="inlineStr">
        <is>
          <t>We will collate examples of innovative sustainability teaching and learning across faculties to inform the Exceptional education section of the 2026 Sustainability Report, and select one or two for short case studies.</t>
        </is>
      </c>
      <c r="H37" s="8" t="inlineStr">
        <is>
          <t>4a(ii)</t>
        </is>
      </c>
      <c r="I37" s="8" t="inlineStr">
        <is>
          <t>Partially met</t>
        </is>
      </c>
      <c r="J37"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37" s="8" t="inlineStr"/>
      <c r="L37" s="8" t="n"/>
      <c r="M37" s="8" t="n"/>
      <c r="N37" s="8" t="n"/>
      <c r="O37" s="8" t="n"/>
      <c r="P37" s="8" t="n"/>
      <c r="Q37" s="8" t="n"/>
      <c r="R37" s="8" t="n"/>
    </row>
    <row r="38" ht="150" customHeight="1">
      <c r="B38" s="7" t="inlineStr">
        <is>
          <t>EE1(b)</t>
        </is>
      </c>
      <c r="C38" s="12" t="inlineStr">
        <is>
          <t>Exceptional education</t>
        </is>
      </c>
      <c r="D38" s="12" t="inlineStr">
        <is>
          <t>Provide our students with learning experiences that help them build the knowledge, skills and relationships to lead change for sustainable societies.</t>
        </is>
      </c>
      <c r="E38" s="12" t="inlineStr">
        <is>
          <t>Pilots of possible approaches for understanding and developing students’ sustainability self-efficacy</t>
        </is>
      </c>
      <c r="F38"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38" s="8" t="inlineStr">
        <is>
          <t>This is a new indicator. We will use responses to establish a baseline of how (and whether) faculties are understanding student sustainability self-efficacy, and report on early pilots in the 2026 Sustainability Report. A nil response is useful to us.</t>
        </is>
      </c>
      <c r="H38" s="8" t="inlineStr">
        <is>
          <t>N/A – new indicator</t>
        </is>
      </c>
      <c r="I38" s="8" t="inlineStr"/>
      <c r="J38" s="8" t="inlineStr"/>
      <c r="K38" s="8" t="inlineStr"/>
      <c r="L38" s="8" t="n"/>
      <c r="M38" s="8" t="n"/>
      <c r="N38" s="8" t="n"/>
      <c r="O38" s="8" t="n"/>
      <c r="P38" s="8" t="n"/>
      <c r="Q38" s="8" t="n"/>
      <c r="R38" s="8" t="n"/>
    </row>
    <row r="39" ht="150" customHeight="1">
      <c r="B39" s="7" t="inlineStr">
        <is>
          <t>EE1(c)</t>
        </is>
      </c>
      <c r="C39" s="12" t="inlineStr">
        <is>
          <t>Exceptional education</t>
        </is>
      </c>
      <c r="D39" s="12" t="inlineStr">
        <is>
          <t>Provide our students with learning experiences that help them build the knowledge, skills and relationships to lead change for sustainable societies.</t>
        </is>
      </c>
      <c r="E39" s="12" t="inlineStr">
        <is>
          <t>Evidence of sustainability focused experiential and co curricular learning (eg Wattle Fellowship; Melbourne Plus)</t>
        </is>
      </c>
      <c r="F39"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39" s="8" t="inlineStr">
        <is>
          <t>We will combine faculty examples with central Wattle Fellowship and Melbourne Plus data to report on the range and reach of sustainability-focused experiential and co-curricular learning across the University.</t>
        </is>
      </c>
      <c r="H39" s="8" t="inlineStr">
        <is>
          <t>N/A – new indicator</t>
        </is>
      </c>
      <c r="I39" s="8" t="inlineStr"/>
      <c r="J39" s="8" t="inlineStr"/>
      <c r="K39" s="8" t="inlineStr"/>
      <c r="L39" s="8" t="n"/>
      <c r="M39" s="8" t="n"/>
      <c r="N39" s="8" t="n"/>
      <c r="O39" s="8" t="n"/>
      <c r="P39" s="8" t="n"/>
      <c r="Q39" s="8" t="n"/>
      <c r="R39" s="8" t="n"/>
    </row>
    <row r="40" ht="150" customHeight="1">
      <c r="B40" s="7" t="inlineStr">
        <is>
          <t>EE1(d)</t>
        </is>
      </c>
      <c r="C40" s="12" t="inlineStr">
        <is>
          <t>Exceptional education</t>
        </is>
      </c>
      <c r="D40" s="12" t="inlineStr">
        <is>
          <t>Provide our students with learning experiences that help them build the knowledge, skills and relationships to lead change for sustainable societies.</t>
        </is>
      </c>
      <c r="E40" s="12" t="inlineStr">
        <is>
          <t>Alumni profiles demonstrating how graduates contribute to sustainability through their careers or communities.</t>
        </is>
      </c>
      <c r="F40" s="8" t="inlineStr">
        <is>
          <t>In end-2025 reporting your faculty reported on the related SP2030 target 4b(i) and rated it 'Partially met' (see Column J – click [+] above Columns H–K).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40" s="8" t="inlineStr">
        <is>
          <t>We will use nominated alumni to develop short graduate profiles for the 2026 Sustainability Report (subject to consent), and record any faculty approaches to tracking graduate outcomes to inform how this indicator is measured from 2027.</t>
        </is>
      </c>
      <c r="H40" s="8" t="inlineStr">
        <is>
          <t>4b(i)</t>
        </is>
      </c>
      <c r="I40" s="8" t="inlineStr">
        <is>
          <t>Partially met</t>
        </is>
      </c>
      <c r="J40" s="8" t="inlineStr">
        <is>
          <t>See previous response. (copied below)
While the Faculty is certainly producing such graduates, because we are a very early stage of curriculum mapping, we're unable to provide the relevant empirical data.</t>
        </is>
      </c>
      <c r="K40" s="8" t="inlineStr"/>
      <c r="L40" s="8" t="n"/>
      <c r="M40" s="8" t="n"/>
      <c r="N40" s="8" t="n"/>
      <c r="O40" s="8" t="n"/>
      <c r="P40" s="8" t="n"/>
      <c r="Q40" s="8" t="n"/>
      <c r="R40" s="8" t="n"/>
    </row>
    <row r="41" ht="150" customHeight="1">
      <c r="B41" s="7" t="inlineStr">
        <is>
          <t>TR1(a)</t>
        </is>
      </c>
      <c r="C41" s="12" t="inlineStr">
        <is>
          <t>Transformational research</t>
        </is>
      </c>
      <c r="D41" s="12" t="inlineStr">
        <is>
          <t>Utilise the expertise of the University’s researchers through mutually beneficial partnerships to help address the University’s operational sustainability challenges.</t>
        </is>
      </c>
      <c r="E41" s="12" t="inlineStr">
        <is>
          <t>Expert-reviewed evidence of researchers contributing to operational sustainability priorities through partnerships, advisory input, living labs, applied projects or decision-support</t>
        </is>
      </c>
      <c r="F41" s="8" t="inlineStr">
        <is>
          <t>In end-2025 reporting your faculty reported on the related SP2030 target 2a and rated it 'Met or exceeded' (see Column J – click [+] above Columns H–K).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41" s="8" t="inlineStr">
        <is>
          <t>We will report on examples of researchers helping solve the University's own operational sustainability challenges, alongside CLLAP projects reported by CI&amp;S, and share them with operational teams to identify further collaboration.</t>
        </is>
      </c>
      <c r="H41" s="8" t="inlineStr">
        <is>
          <t>2a</t>
        </is>
      </c>
      <c r="I41" s="8" t="inlineStr">
        <is>
          <t>Met or exceeded</t>
        </is>
      </c>
      <c r="J41" s="8" t="inlineStr">
        <is>
          <t>See attached report. (RH note: Saved in responses folder)</t>
        </is>
      </c>
      <c r="K41" s="8" t="inlineStr">
        <is>
          <t>Draft report on the Living Lab project is here: Report John Medley Living Lab Project FINAL.docx</t>
        </is>
      </c>
      <c r="L41" s="8" t="n"/>
      <c r="M41" s="8" t="n"/>
      <c r="N41" s="8" t="n"/>
      <c r="O41" s="8" t="n"/>
      <c r="P41" s="8" t="n"/>
      <c r="Q41" s="8" t="n"/>
      <c r="R41" s="8" t="n"/>
    </row>
    <row r="42" ht="150" customHeight="1">
      <c r="B42" s="7" t="inlineStr">
        <is>
          <t>TR1(b)</t>
        </is>
      </c>
      <c r="C42" s="12" t="inlineStr">
        <is>
          <t>Transformational research</t>
        </is>
      </c>
      <c r="D42" s="12" t="inlineStr">
        <is>
          <t>Utilise the expertise of the University’s researchers through mutually beneficial partnerships to help address the University’s operational sustainability challenges.</t>
        </is>
      </c>
      <c r="E42" s="12" t="inlineStr">
        <is>
          <t>Evidence of institutional pathways that enable ongoing collaboration between academic and professional staff</t>
        </is>
      </c>
      <c r="F42"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42" s="8" t="inlineStr">
        <is>
          <t>We will map existing academic–professional collaboration mechanisms across faculties to establish a baseline for this new indicator and identify models other faculties could adopt.</t>
        </is>
      </c>
      <c r="H42" s="8" t="inlineStr">
        <is>
          <t>N/A – new indicator</t>
        </is>
      </c>
      <c r="I42" s="8" t="inlineStr"/>
      <c r="J42" s="8" t="inlineStr"/>
      <c r="K42" s="8" t="inlineStr"/>
      <c r="L42" s="8" t="n"/>
      <c r="M42" s="8" t="n"/>
      <c r="N42" s="8" t="n"/>
      <c r="O42" s="8" t="n"/>
      <c r="P42" s="8" t="n"/>
      <c r="Q42" s="8" t="n"/>
      <c r="R42" s="8" t="n"/>
    </row>
    <row r="43" ht="150" customHeight="1">
      <c r="B43" s="7" t="inlineStr">
        <is>
          <t>TR1(c)</t>
        </is>
      </c>
      <c r="C43" s="12" t="inlineStr">
        <is>
          <t>Transformational research</t>
        </is>
      </c>
      <c r="D43" s="12" t="inlineStr">
        <is>
          <t>Utilise the expertise of the University’s researchers through mutually beneficial partnerships to help address the University’s operational sustainability challenges.</t>
        </is>
      </c>
      <c r="E43" s="12" t="inlineStr">
        <is>
          <t>Expert assessment of the quality, relevance and continuity of these collaborations</t>
        </is>
      </c>
      <c r="F43" s="8" t="inlineStr">
        <is>
          <t>For the collaborations described in TR1(a)–(b), please give a short assessment (a paragraph is sufficient) of their quality, relevance and continuity: are they ongoing, useful to the University's operational priorities, and producing outcomes?</t>
        </is>
      </c>
      <c r="G43" s="8" t="inlineStr">
        <is>
          <t>We will use your assessment to describe the quality and continuity of research–operations collaboration in the 2026 report, and as baseline evidence for the interim target status assessment from 2027.</t>
        </is>
      </c>
      <c r="H43" s="8" t="inlineStr">
        <is>
          <t>N/A – new indicator</t>
        </is>
      </c>
      <c r="I43" s="8" t="inlineStr"/>
      <c r="J43" s="8" t="inlineStr"/>
      <c r="K43" s="8" t="inlineStr"/>
      <c r="L43" s="8" t="n"/>
      <c r="M43" s="8" t="n"/>
      <c r="N43" s="8" t="n"/>
      <c r="O43" s="8" t="n"/>
      <c r="P43" s="8" t="n"/>
      <c r="Q43" s="8" t="n"/>
      <c r="R43" s="8" t="n"/>
    </row>
    <row r="44" ht="150" customHeight="1">
      <c r="B44" s="7" t="inlineStr">
        <is>
          <t>TR1(d)</t>
        </is>
      </c>
      <c r="C44" s="12" t="inlineStr">
        <is>
          <t>Transformational research</t>
        </is>
      </c>
      <c r="D44" s="12" t="inlineStr">
        <is>
          <t>Utilise the expertise of the University’s researchers through mutually beneficial partnerships to help address the University’s operational sustainability challenges.</t>
        </is>
      </c>
      <c r="E44" s="12" t="inlineStr">
        <is>
          <t>Periodic feedback from participants on the effectiveness and mutual benefit of collaboration mechanisms.</t>
        </is>
      </c>
      <c r="F44"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44" s="8" t="inlineStr">
        <is>
          <t>We will use any feedback to understand whether collaboration mechanisms are working and to inform improvements. Where none has been collected, this helps us plan how to gather feedback from 2027.</t>
        </is>
      </c>
      <c r="H44" s="8" t="inlineStr">
        <is>
          <t>N/A – new indicator</t>
        </is>
      </c>
      <c r="I44" s="8" t="inlineStr"/>
      <c r="J44" s="8" t="inlineStr"/>
      <c r="K44" s="8" t="inlineStr"/>
      <c r="L44" s="8" t="n"/>
      <c r="M44" s="8" t="n"/>
      <c r="N44" s="8" t="n"/>
      <c r="O44" s="8" t="n"/>
      <c r="P44" s="8" t="n"/>
      <c r="Q44" s="8" t="n"/>
      <c r="R44" s="8" t="n"/>
    </row>
    <row r="45" ht="150" customHeight="1">
      <c r="B45" s="7" t="inlineStr">
        <is>
          <t>TR2(a)</t>
        </is>
      </c>
      <c r="C45" s="12" t="inlineStr">
        <is>
          <t>Transformational research</t>
        </is>
      </c>
      <c r="D45" s="12" t="inlineStr">
        <is>
          <t>Deliver high-quality research and partnerships that contribute to sustainability outcomes and demonstrable societal benefit.</t>
        </is>
      </c>
      <c r="E45" s="12"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'Met or exceeded' (see Column J – click [+] above Columns H–K).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Met or exceeded</t>
        </is>
      </c>
      <c r="J45" s="8" t="inlineStr">
        <is>
          <t>In addition to the matters listed at mid-2025, the Ass Dean joined the Board of MBI and hosted a major showcase of MBI activities to Arts Faculty researchers which boosted involvement in the BDI's researech clusters</t>
        </is>
      </c>
      <c r="K45" s="8" t="inlineStr"/>
      <c r="L45" s="8" t="n"/>
      <c r="M45" s="8" t="n"/>
      <c r="N45" s="8" t="n"/>
      <c r="O45" s="8" t="n"/>
      <c r="P45" s="8" t="n"/>
      <c r="Q45" s="8" t="n"/>
      <c r="R45" s="8" t="n"/>
    </row>
    <row r="46" ht="150" customHeight="1">
      <c r="B46" s="7" t="inlineStr">
        <is>
          <t>TR2(d)</t>
        </is>
      </c>
      <c r="C46" s="12" t="inlineStr">
        <is>
          <t>Transformational research</t>
        </is>
      </c>
      <c r="D46" s="12" t="inlineStr">
        <is>
          <t>Deliver high-quality research and partnerships that contribute to sustainability outcomes and demonstrable societal benefit.</t>
        </is>
      </c>
      <c r="E46" s="12" t="inlineStr">
        <is>
          <t>Case-based evidence demonstrating how research has contributed to meaningful sustainability outcomes.</t>
        </is>
      </c>
      <c r="F46" s="8" t="inlineStr">
        <is>
          <t>In end-2025 reporting your faculty reported on the related SP2030 target 5b(i) and rated it 'Met or exceeded' (see Column J – click [+] above Columns H–K).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Met or exceeded</t>
        </is>
      </c>
      <c r="J46" s="8" t="inlineStr">
        <is>
          <t>In addition to the matters listed at mid-2025, the Ass Dean joined the Board of MBI and hosted a major showcase of MBI activities to Arts Faculty researchers which boosted involvement in the BDI's researech clusters</t>
        </is>
      </c>
      <c r="K46" s="8" t="inlineStr"/>
      <c r="L46" s="8" t="n"/>
      <c r="M46" s="8" t="n"/>
      <c r="N46" s="8" t="n"/>
      <c r="O46" s="8" t="n"/>
      <c r="P46" s="8" t="n"/>
      <c r="Q46" s="8" t="n"/>
      <c r="R46" s="8" t="n"/>
    </row>
    <row r="47" ht="150" customHeight="1">
      <c r="B47" s="7" t="inlineStr">
        <is>
          <t>TR3(a)</t>
        </is>
      </c>
      <c r="C47" s="12" t="inlineStr">
        <is>
          <t>Transformational research</t>
        </is>
      </c>
      <c r="D47" s="12" t="inlineStr">
        <is>
          <t>Embed sustainability within research systems, processes, capability and culture, so research is conducted responsibly, efficiently and with reduced environmental impact.</t>
        </is>
      </c>
      <c r="E47" s="12" t="inlineStr">
        <is>
          <t>Evidence that sustainability considerations are integrated into relevant research systems, planning processes, guidance, training, induction or support services</t>
        </is>
      </c>
      <c r="F47" s="8" t="inlineStr">
        <is>
          <t>In end-2025 reporting your faculty reported on the related SP2030 target 5c(ii) and rated it 'Not met' (see Column J – click [+] above Columns H–K).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47" s="8" t="inlineStr">
        <is>
          <t>We will report on how sustainability is being built into research systems and support across the University, and use responses to establish a baseline for this new target.</t>
        </is>
      </c>
      <c r="H47" s="8" t="inlineStr">
        <is>
          <t>5c(ii)</t>
        </is>
      </c>
      <c r="I47" s="8" t="inlineStr">
        <is>
          <t>Not met</t>
        </is>
      </c>
      <c r="J47" s="8" t="inlineStr">
        <is>
          <t>This needs more specific attention
In general terms, the Faculty has focused on reducing air travel, the major environmental impact of our research activity.</t>
        </is>
      </c>
      <c r="K47" s="8" t="inlineStr"/>
      <c r="L47" s="8" t="n"/>
      <c r="M47" s="8" t="n"/>
      <c r="N47" s="8" t="n"/>
      <c r="O47" s="8" t="n"/>
      <c r="P47" s="8" t="n"/>
      <c r="Q47" s="8" t="n"/>
      <c r="R47" s="8" t="n"/>
    </row>
    <row r="48" ht="150" customHeight="1">
      <c r="B48" s="7" t="inlineStr">
        <is>
          <t>TR3(b)</t>
        </is>
      </c>
      <c r="C48" s="12" t="inlineStr">
        <is>
          <t>Transformational research</t>
        </is>
      </c>
      <c r="D48" s="12" t="inlineStr">
        <is>
          <t>Embed sustainability within research systems, processes, capability and culture, so research is conducted responsibly, efficiently and with reduced environmental impact.</t>
        </is>
      </c>
      <c r="E48" s="12" t="inlineStr">
        <is>
          <t>Demonstrated examples of more sustainable research practices in laboratories, fieldwork, procurement, travel or infrastructure use</t>
        </is>
      </c>
      <c r="F48" s="8" t="inlineStr">
        <is>
          <t>In end-2025 reporting your faculty reported on the related SP2030 target 5c(ii) and rated it 'Not met' (see Column J – click [+] above Columns H–K).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48" s="8" t="inlineStr">
        <is>
          <t>We will report on ways the University is making research practices more sustainable in the 2026 Sustainability Report, and share practical examples (e.g. green labs) across faculties.</t>
        </is>
      </c>
      <c r="H48" s="8" t="inlineStr">
        <is>
          <t>5c(ii)</t>
        </is>
      </c>
      <c r="I48" s="8" t="inlineStr">
        <is>
          <t>Not met</t>
        </is>
      </c>
      <c r="J48" s="8" t="inlineStr">
        <is>
          <t>This needs more specific attention
In general terms, the Faculty has focused on reducing air travel, the major environmental impact of our research activity.</t>
        </is>
      </c>
      <c r="K48" s="8" t="inlineStr"/>
      <c r="L48" s="8" t="n"/>
      <c r="M48" s="8" t="n"/>
      <c r="N48" s="8" t="n"/>
      <c r="O48" s="8" t="n"/>
      <c r="P48" s="8" t="n"/>
      <c r="Q48" s="8" t="n"/>
      <c r="R48" s="8" t="n"/>
    </row>
    <row r="49" ht="150" customHeight="1">
      <c r="B49" s="7" t="inlineStr">
        <is>
          <t>TR3(c)</t>
        </is>
      </c>
      <c r="C49" s="12" t="inlineStr">
        <is>
          <t>Transformational research</t>
        </is>
      </c>
      <c r="D49" s="12" t="inlineStr">
        <is>
          <t>Embed sustainability within research systems, processes, capability and culture, so research is conducted responsibly, efficiently and with reduced environmental impact.</t>
        </is>
      </c>
      <c r="E49" s="12" t="inlineStr">
        <is>
          <t>Evidence of progress in sustainability-related research culture, capability and awareness, informed by periodic staff and graduate researcher surveys</t>
        </is>
      </c>
      <c r="F49"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49" s="8" t="inlineStr">
        <is>
          <t>We will use any survey or capability data to describe changes in sustainability-related research culture. Where no evidence exists, this helps us plan University-wide measurement (e.g. staff and graduate researcher surveys) from 2027.</t>
        </is>
      </c>
      <c r="H49" s="8" t="inlineStr">
        <is>
          <t>N/A – new indicator</t>
        </is>
      </c>
      <c r="I49" s="8" t="inlineStr"/>
      <c r="J49" s="8" t="inlineStr"/>
      <c r="K49" s="8" t="inlineStr"/>
      <c r="L49" s="8" t="n"/>
      <c r="M49" s="8" t="n"/>
      <c r="N49" s="8" t="n"/>
      <c r="O49" s="8" t="n"/>
      <c r="P49" s="8" t="n"/>
      <c r="Q49" s="8" t="n"/>
      <c r="R49" s="8" t="n"/>
    </row>
    <row r="50" ht="150" customHeight="1">
      <c r="B50" s="7" t="inlineStr">
        <is>
          <t>TR3(d)</t>
        </is>
      </c>
      <c r="C50" s="12" t="inlineStr">
        <is>
          <t>Transformational research</t>
        </is>
      </c>
      <c r="D50" s="12" t="inlineStr">
        <is>
          <t>Embed sustainability within research systems, processes, capability and culture, so research is conducted responsibly, efficiently and with reduced environmental impact.</t>
        </is>
      </c>
      <c r="E50" s="12" t="inlineStr">
        <is>
          <t>Expert assessment of progress in embedding sustainable research practices across the institution.</t>
        </is>
      </c>
      <c r="F50" s="8" t="inlineStr">
        <is>
          <t>Drawing on your responses to TR3(a)–(c), please provide a short overall assessment (2–3 sentences) of your faculty's progress in embedding sustainable research practices: where progress is strongest, the main gaps, and priority actions for 2027.</t>
        </is>
      </c>
      <c r="G50" s="8" t="inlineStr">
        <is>
          <t>We will use faculty self-assessments to identify strengths, gaps and priority actions in embedding sustainable research practices, to inform internal management reporting and the Transformational research working group.</t>
        </is>
      </c>
      <c r="H50" s="8" t="inlineStr">
        <is>
          <t>N/A – new indicator</t>
        </is>
      </c>
      <c r="I50" s="8" t="inlineStr"/>
      <c r="J50" s="8" t="inlineStr"/>
      <c r="K50" s="8" t="inlineStr"/>
      <c r="L50" s="8" t="n"/>
      <c r="M50" s="8" t="n"/>
      <c r="N50" s="8" t="n"/>
      <c r="O50" s="8" t="n"/>
      <c r="P50" s="8" t="n"/>
      <c r="Q50" s="8" t="n"/>
      <c r="R50" s="8" t="n"/>
    </row>
    <row r="51" ht="150" customHeight="1">
      <c r="B51" s="7" t="inlineStr">
        <is>
          <t>CL2(a)</t>
        </is>
      </c>
      <c r="C51" s="12" t="inlineStr">
        <is>
          <t>Climate leadership</t>
        </is>
      </c>
      <c r="D51" s="12" t="inlineStr">
        <is>
          <t>Develop understanding of our research and education programs that contribute to accelerating global decarbonisation and our own climate transition.</t>
        </is>
      </c>
      <c r="E51" s="12" t="inlineStr">
        <is>
          <t>By 2028, develop and document institutional mapping of research and education activities that are designed to contribute to global decarbonisation</t>
        </is>
      </c>
      <c r="F51"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51" s="8" t="inlineStr">
        <is>
          <t>We will use these examples to show how the University communicates climate research and learning to external audiences, and as an input to the institutional decarbonisation research and education mapping due by 2028.</t>
        </is>
      </c>
      <c r="H51" s="8" t="inlineStr">
        <is>
          <t>N/A – new indicator</t>
        </is>
      </c>
      <c r="I51" s="8" t="inlineStr"/>
      <c r="J51" s="8" t="inlineStr"/>
      <c r="K51" s="8" t="inlineStr"/>
      <c r="L51" s="8" t="n"/>
      <c r="M51" s="8" t="n"/>
      <c r="N51" s="8" t="n"/>
      <c r="O51" s="8" t="n"/>
      <c r="P51" s="8" t="n"/>
      <c r="Q51" s="8" t="n"/>
      <c r="R51" s="8" t="n"/>
    </row>
    <row r="52" ht="150" customHeight="1">
      <c r="B52" s="7" t="inlineStr">
        <is>
          <t>CL2(c)</t>
        </is>
      </c>
      <c r="C52" s="12" t="inlineStr">
        <is>
          <t>Climate leadership</t>
        </is>
      </c>
      <c r="D52" s="12" t="inlineStr">
        <is>
          <t>Develop understanding of our research and education programs that contribute to accelerating global decarbonisation and our own climate transition.</t>
        </is>
      </c>
      <c r="E52" s="12" t="inlineStr">
        <is>
          <t>Ongoing communications that evidence the University’s climate action, research and learning to inform policy, sector and community decarbonisation efforts.</t>
        </is>
      </c>
      <c r="F52"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52" s="8" t="inlineStr">
        <is>
          <t>We will report on the University's ongoing climate communications in the Climate leadership section of the 2026 Sustainability Report, alongside contributions from Melbourne Climate Futures and the Melbourne Energy Institute.</t>
        </is>
      </c>
      <c r="H52" s="8" t="inlineStr">
        <is>
          <t>N/A – new indicator</t>
        </is>
      </c>
      <c r="I52" s="8" t="inlineStr"/>
      <c r="J52" s="8" t="inlineStr"/>
      <c r="K52" s="8" t="inlineStr"/>
      <c r="L52" s="8" t="n"/>
      <c r="M52" s="8" t="n"/>
      <c r="N52" s="8" t="n"/>
      <c r="O52" s="8" t="n"/>
      <c r="P52" s="8" t="n"/>
      <c r="Q52" s="8" t="n"/>
      <c r="R52" s="8" t="n"/>
    </row>
    <row r="53" ht="150" customHeight="1">
      <c r="B53" s="7" t="inlineStr">
        <is>
          <t>EN1(a)</t>
        </is>
      </c>
      <c r="C53" s="12" t="inlineStr">
        <is>
          <t>Enablers</t>
        </is>
      </c>
      <c r="D53" s="12" t="inlineStr">
        <is>
          <t>Enablers</t>
        </is>
      </c>
      <c r="E53" s="12" t="inlineStr">
        <is>
          <t>Evidence of sustainability outcomes informed by Indigenous knowledges</t>
        </is>
      </c>
      <c r="F53" s="8" t="inlineStr">
        <is>
          <t>In end-2025 reporting your faculty reported on the related SP2030 target 6a and rated it 'Partially met' (see Column J – click [+] above Columns H–K).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53" s="8" t="inlineStr">
        <is>
          <t>We will report on the ways Indigenous knowledges inform sustainability activities across the University, and develop selected examples into case studies with appropriate permissions.</t>
        </is>
      </c>
      <c r="H53" s="8" t="inlineStr">
        <is>
          <t>6a</t>
        </is>
      </c>
      <c r="I53" s="8" t="inlineStr">
        <is>
          <t>Partially met</t>
        </is>
      </c>
      <c r="J53"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53" s="8" t="inlineStr"/>
      <c r="L53" s="8" t="n"/>
      <c r="M53" s="8" t="n"/>
      <c r="N53" s="8" t="n"/>
      <c r="O53" s="8" t="n"/>
      <c r="P53" s="8" t="n"/>
      <c r="Q53" s="8" t="n"/>
      <c r="R53" s="8" t="n"/>
    </row>
    <row r="54" ht="150" customHeight="1">
      <c r="B54" s="7" t="inlineStr">
        <is>
          <t>EN1(b)</t>
        </is>
      </c>
      <c r="C54" s="12" t="inlineStr">
        <is>
          <t>Enablers</t>
        </is>
      </c>
      <c r="D54" s="12" t="inlineStr">
        <is>
          <t>Enablers</t>
        </is>
      </c>
      <c r="E54" s="12" t="inlineStr">
        <is>
          <t>Living laboratories enabling applied learning, research and operational sustainability outcomes</t>
        </is>
      </c>
      <c r="F54" s="8" t="inlineStr">
        <is>
          <t>In end-2025 reporting your faculty reported on the related SP2030 target 2a and rated it 'Met or exceeded' (see Column J – click [+] above Columns H–K).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54" s="8" t="inlineStr">
        <is>
          <t>We will share examples of living labs from across the University in the 2026 Sustainability Report, alongside CLLAP projects reported by CI&amp;S.</t>
        </is>
      </c>
      <c r="H54" s="8" t="inlineStr">
        <is>
          <t>2a</t>
        </is>
      </c>
      <c r="I54" s="8" t="inlineStr">
        <is>
          <t>Met or exceeded</t>
        </is>
      </c>
      <c r="J54" s="8" t="inlineStr">
        <is>
          <t>See attached report. (RH note: Saved in responses folder)</t>
        </is>
      </c>
      <c r="K54" s="8" t="inlineStr">
        <is>
          <t>Draft report on the Living Lab project is here: Report John Medley Living Lab Project FINAL.docx</t>
        </is>
      </c>
      <c r="L54" s="8" t="n"/>
      <c r="M54" s="8" t="n"/>
      <c r="N54" s="8" t="n"/>
      <c r="O54" s="8" t="n"/>
      <c r="P54" s="8" t="n"/>
      <c r="Q54" s="8" t="n"/>
      <c r="R54" s="8" t="n"/>
    </row>
    <row r="55" ht="150" customHeight="1">
      <c r="B55" s="7" t="inlineStr">
        <is>
          <t>EN1(c)</t>
        </is>
      </c>
      <c r="C55" s="12" t="inlineStr">
        <is>
          <t>Enablers</t>
        </is>
      </c>
      <c r="D55" s="12" t="inlineStr">
        <is>
          <t>Enablers</t>
        </is>
      </c>
      <c r="E55" s="12" t="inlineStr">
        <is>
          <t>Coordinated internal engagement and external partnerships contributing to delivery of sustainability outcomes across priority areas.</t>
        </is>
      </c>
      <c r="F55" s="8" t="inlineStr">
        <is>
          <t>In end-2025 reporting your faculty reported on the related SP2030 target 3a(ii) and rated it 'Partially met' (see Column J – click [+] above Columns H–K).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55" s="8" t="inlineStr">
        <is>
          <t>We will report on internal engagement and partnerships contributing to Sustainability 2030 outcomes, and update our record of sustainability-focused communities of practice and contacts across the University.</t>
        </is>
      </c>
      <c r="H55" s="8" t="inlineStr">
        <is>
          <t>3a(ii)</t>
        </is>
      </c>
      <c r="I55" s="8" t="inlineStr">
        <is>
          <t>Partially met</t>
        </is>
      </c>
      <c r="J55"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55" s="8" t="inlineStr"/>
      <c r="L55" s="8" t="n"/>
      <c r="M55" s="8" t="n"/>
      <c r="N55" s="8" t="n"/>
      <c r="O55" s="8" t="n"/>
      <c r="P55" s="8" t="n"/>
      <c r="Q55" s="8" t="n"/>
      <c r="R55" s="8" t="n"/>
    </row>
    <row r="56" ht="150" customHeight="1">
      <c r="B56" s="7" t="inlineStr">
        <is>
          <t>EN1(d)</t>
        </is>
      </c>
      <c r="C56" s="12" t="inlineStr">
        <is>
          <t>Enablers</t>
        </is>
      </c>
      <c r="D56" s="12" t="inlineStr">
        <is>
          <t>Enablers</t>
        </is>
      </c>
      <c r="E56" s="12" t="inlineStr">
        <is>
          <t>Sustainability objectives integrated into governance and decision‑making processes, supported by transparent reporting.</t>
        </is>
      </c>
      <c r="F56"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56" s="8" t="inlineStr">
        <is>
          <t>We will report on how sustainability is integrated into governance and decision-making across faculties and portfolios, and use responses as a baseline for the governance enabler from 2027.</t>
        </is>
      </c>
      <c r="H56" s="8" t="inlineStr">
        <is>
          <t>N/A – new indicator</t>
        </is>
      </c>
      <c r="I56" s="8" t="inlineStr"/>
      <c r="J56" s="8" t="inlineStr"/>
      <c r="K56" s="8" t="inlineStr"/>
      <c r="L56" s="8" t="n"/>
      <c r="M56" s="8" t="n"/>
      <c r="N56" s="8" t="n"/>
      <c r="O56" s="8" t="n"/>
      <c r="P56" s="8" t="n"/>
      <c r="Q56" s="8" t="n"/>
      <c r="R56" s="8" t="n"/>
    </row>
    <row r="59">
      <c r="B59" s="18" t="inlineStr">
        <is>
          <t>1.3  FBE – Faculty of Business and Economics</t>
        </is>
      </c>
    </row>
    <row r="61">
      <c r="C61" s="19" t="inlineStr">
        <is>
          <t>Sustainability 2030 target and indicator</t>
        </is>
      </c>
      <c r="H61" s="19" t="inlineStr">
        <is>
          <t>End-2025 reporting (for reference – click [+] above to expand)</t>
        </is>
      </c>
      <c r="L61" s="20" t="inlineStr">
        <is>
          <t>End-2026 reporting (PLEASE COMPLETE THIS SECTION)</t>
        </is>
      </c>
    </row>
    <row r="62">
      <c r="B62" s="6" t="inlineStr">
        <is>
          <t>Ref</t>
        </is>
      </c>
      <c r="C62" s="6" t="inlineStr">
        <is>
          <t>Priority area</t>
        </is>
      </c>
      <c r="D62" s="6" t="inlineStr">
        <is>
          <t>Sustainability 2030 target</t>
        </is>
      </c>
      <c r="E62" s="6" t="inlineStr">
        <is>
          <t>Indicator</t>
        </is>
      </c>
      <c r="F62" s="6" t="inlineStr">
        <is>
          <t>2026 Reporting request</t>
        </is>
      </c>
      <c r="G62" s="6" t="inlineStr">
        <is>
          <t>How SST will use this data</t>
        </is>
      </c>
      <c r="H62" s="6" t="inlineStr">
        <is>
          <t>Related SR25 ref</t>
        </is>
      </c>
      <c r="I62" s="6" t="inlineStr">
        <is>
          <t>End-2025 confirmed status</t>
        </is>
      </c>
      <c r="J62" s="6" t="inlineStr">
        <is>
          <t>End-2025 reporting response</t>
        </is>
      </c>
      <c r="K62" s="6" t="inlineStr">
        <is>
          <t>Links and supporting information</t>
        </is>
      </c>
      <c r="L62" s="21" t="inlineStr">
        <is>
          <t>Confirm end-2026 target status</t>
        </is>
      </c>
      <c r="M62" s="21" t="inlineStr">
        <is>
          <t>OPTION 1:  Target-level reporting (Column D)</t>
        </is>
      </c>
      <c r="N62" s="21" t="inlineStr">
        <is>
          <t>OPTION 2:  Indicator level reporting (Column E/F)</t>
        </is>
      </c>
      <c r="O62" s="21" t="inlineStr">
        <is>
          <t>Supporting information/comments</t>
        </is>
      </c>
      <c r="P62" s="21" t="inlineStr">
        <is>
          <t>Data source and limitations</t>
        </is>
      </c>
      <c r="Q62" s="21" t="inlineStr">
        <is>
          <t>Data owner confirms information is accurate</t>
        </is>
      </c>
      <c r="R62" s="21" t="inlineStr">
        <is>
          <t>Confirmed by (name, role, date)</t>
        </is>
      </c>
    </row>
    <row r="63">
      <c r="B63" s="22" t="inlineStr"/>
      <c r="C63" s="22" t="inlineStr"/>
      <c r="D63" s="22" t="inlineStr"/>
      <c r="E63" s="22" t="inlineStr"/>
      <c r="F63" s="22" t="inlineStr"/>
      <c r="G63" s="22" t="inlineStr"/>
      <c r="H63" s="22" t="inlineStr"/>
      <c r="I63" s="22" t="inlineStr"/>
      <c r="J63" s="22" t="inlineStr"/>
      <c r="K63" s="22" t="inlineStr"/>
      <c r="L63" s="22" t="inlineStr">
        <is>
          <t>(Met or exceeded; partially met; not met; not yet started)</t>
        </is>
      </c>
      <c r="M63" s="22" t="inlineStr">
        <is>
          <t>Provide further evidence of target status assessment in the form of:
A general update on activities in relation to the overarching target (Column D)</t>
        </is>
      </c>
      <c r="N63" s="22" t="inlineStr">
        <is>
          <t>Provide further evidence of target status assessment in the form of:
Data and commentary in direct response to the reporting request (Column F)</t>
        </is>
      </c>
      <c r="O63" s="22" t="inlineStr">
        <is>
          <t>Provide any additional information to support the target status assessment (e.g. links, images, rationale for selection of target status)</t>
        </is>
      </c>
      <c r="P63" s="22" t="inlineStr">
        <is>
          <t>Where did this information come from (system, report, survey, person)? Note any gaps or limitations.</t>
        </is>
      </c>
      <c r="Q63" s="22" t="inlineStr">
        <is>
          <t>Select 'Yes' to confirm the information provided is accurate and can be used for reporting</t>
        </is>
      </c>
      <c r="R63" s="22" t="inlineStr">
        <is>
          <t>Name, role and date of the person confirming</t>
        </is>
      </c>
    </row>
    <row r="64" ht="150" customHeight="1">
      <c r="B64" s="7" t="inlineStr">
        <is>
          <t>EE1(a)</t>
        </is>
      </c>
      <c r="C64" s="12" t="inlineStr">
        <is>
          <t>Exceptional education</t>
        </is>
      </c>
      <c r="D64" s="12" t="inlineStr">
        <is>
          <t>Provide our students with learning experiences that help them build the knowledge, skills and relationships to lead change for sustainable societies.</t>
        </is>
      </c>
      <c r="E64" s="12" t="inlineStr">
        <is>
          <t>Evidence of innovative approaches to sustainability teaching and learning</t>
        </is>
      </c>
      <c r="F64" s="8" t="inlineStr">
        <is>
          <t>In end-2025 reporting your faculty reported on the related SP2030 target 4a(ii) and rated it 'Partially met' (see Column J – click [+] above Columns H–K).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64" s="8" t="inlineStr">
        <is>
          <t>We will collate examples of innovative sustainability teaching and learning across faculties to inform the Exceptional education section of the 2026 Sustainability Report, and select one or two for short case studies.</t>
        </is>
      </c>
      <c r="H64" s="8" t="inlineStr">
        <is>
          <t>4a(ii)</t>
        </is>
      </c>
      <c r="I64" s="8" t="inlineStr">
        <is>
          <t>Partially met</t>
        </is>
      </c>
      <c r="J64"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64" s="8" t="inlineStr"/>
      <c r="L64" s="8" t="n"/>
      <c r="M64" s="8" t="n"/>
      <c r="N64" s="8" t="n"/>
      <c r="O64" s="8" t="n"/>
      <c r="P64" s="8" t="n"/>
      <c r="Q64" s="8" t="n"/>
      <c r="R64" s="8" t="n"/>
    </row>
    <row r="65" ht="150" customHeight="1">
      <c r="B65" s="7" t="inlineStr">
        <is>
          <t>EE1(b)</t>
        </is>
      </c>
      <c r="C65" s="12" t="inlineStr">
        <is>
          <t>Exceptional education</t>
        </is>
      </c>
      <c r="D65" s="12" t="inlineStr">
        <is>
          <t>Provide our students with learning experiences that help them build the knowledge, skills and relationships to lead change for sustainable societies.</t>
        </is>
      </c>
      <c r="E65" s="12" t="inlineStr">
        <is>
          <t>Pilots of possible approaches for understanding and developing students’ sustainability self-efficacy</t>
        </is>
      </c>
      <c r="F65"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65" s="8" t="inlineStr">
        <is>
          <t>This is a new indicator. We will use responses to establish a baseline of how (and whether) faculties are understanding student sustainability self-efficacy, and report on early pilots in the 2026 Sustainability Report. A nil response is useful to us.</t>
        </is>
      </c>
      <c r="H65" s="8" t="inlineStr">
        <is>
          <t>N/A – new indicator</t>
        </is>
      </c>
      <c r="I65" s="8" t="inlineStr"/>
      <c r="J65" s="8" t="inlineStr"/>
      <c r="K65" s="8" t="inlineStr"/>
      <c r="L65" s="8" t="n"/>
      <c r="M65" s="8" t="n"/>
      <c r="N65" s="8" t="n"/>
      <c r="O65" s="8" t="n"/>
      <c r="P65" s="8" t="n"/>
      <c r="Q65" s="8" t="n"/>
      <c r="R65" s="8" t="n"/>
    </row>
    <row r="66" ht="150" customHeight="1">
      <c r="B66" s="7" t="inlineStr">
        <is>
          <t>EE1(c)</t>
        </is>
      </c>
      <c r="C66" s="12" t="inlineStr">
        <is>
          <t>Exceptional education</t>
        </is>
      </c>
      <c r="D66" s="12" t="inlineStr">
        <is>
          <t>Provide our students with learning experiences that help them build the knowledge, skills and relationships to lead change for sustainable societies.</t>
        </is>
      </c>
      <c r="E66" s="12" t="inlineStr">
        <is>
          <t>Evidence of sustainability focused experiential and co curricular learning (eg Wattle Fellowship; Melbourne Plus)</t>
        </is>
      </c>
      <c r="F66"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66" s="8" t="inlineStr">
        <is>
          <t>We will combine faculty examples with central Wattle Fellowship and Melbourne Plus data to report on the range and reach of sustainability-focused experiential and co-curricular learning across the University.</t>
        </is>
      </c>
      <c r="H66" s="8" t="inlineStr">
        <is>
          <t>N/A – new indicator</t>
        </is>
      </c>
      <c r="I66" s="8" t="inlineStr"/>
      <c r="J66" s="8" t="inlineStr"/>
      <c r="K66" s="8" t="inlineStr"/>
      <c r="L66" s="8" t="n"/>
      <c r="M66" s="8" t="n"/>
      <c r="N66" s="8" t="n"/>
      <c r="O66" s="8" t="n"/>
      <c r="P66" s="8" t="n"/>
      <c r="Q66" s="8" t="n"/>
      <c r="R66" s="8" t="n"/>
    </row>
    <row r="67" ht="150" customHeight="1">
      <c r="B67" s="7" t="inlineStr">
        <is>
          <t>EE1(d)</t>
        </is>
      </c>
      <c r="C67" s="12" t="inlineStr">
        <is>
          <t>Exceptional education</t>
        </is>
      </c>
      <c r="D67" s="12" t="inlineStr">
        <is>
          <t>Provide our students with learning experiences that help them build the knowledge, skills and relationships to lead change for sustainable societies.</t>
        </is>
      </c>
      <c r="E67" s="12" t="inlineStr">
        <is>
          <t>Alumni profiles demonstrating how graduates contribute to sustainability through their careers or communities.</t>
        </is>
      </c>
      <c r="F67" s="8" t="inlineStr">
        <is>
          <t>In end-2025 reporting your faculty reported on the related SP2030 target 4b(i) and rated it 'Met or exceeded' (see Column J – click [+] above Columns H–K).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67" s="8" t="inlineStr">
        <is>
          <t>We will use nominated alumni to develop short graduate profiles for the 2026 Sustainability Report (subject to consent), and record any faculty approaches to tracking graduate outcomes to inform how this indicator is measured from 2027.</t>
        </is>
      </c>
      <c r="H67" s="8" t="inlineStr">
        <is>
          <t>4b(i)</t>
        </is>
      </c>
      <c r="I67" s="8" t="inlineStr">
        <is>
          <t>Met or exceeded</t>
        </is>
      </c>
      <c r="J67" s="8"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67" s="8" t="inlineStr"/>
      <c r="L67" s="8" t="n"/>
      <c r="M67" s="8" t="n"/>
      <c r="N67" s="8" t="n"/>
      <c r="O67" s="8" t="n"/>
      <c r="P67" s="8" t="n"/>
      <c r="Q67" s="8" t="n"/>
      <c r="R67" s="8" t="n"/>
    </row>
    <row r="68" ht="150" customHeight="1">
      <c r="B68" s="7" t="inlineStr">
        <is>
          <t>TR1(a)</t>
        </is>
      </c>
      <c r="C68" s="12" t="inlineStr">
        <is>
          <t>Transformational research</t>
        </is>
      </c>
      <c r="D68" s="12" t="inlineStr">
        <is>
          <t>Utilise the expertise of the University’s researchers through mutually beneficial partnerships to help address the University’s operational sustainability challenges.</t>
        </is>
      </c>
      <c r="E68" s="12" t="inlineStr">
        <is>
          <t>Expert-reviewed evidence of researchers contributing to operational sustainability priorities through partnerships, advisory input, living labs, applied projects or decision-support</t>
        </is>
      </c>
      <c r="F68" s="8" t="inlineStr">
        <is>
          <t>In end-2025 reporting your faculty reported on the related SP2030 target 2a and rated it 'Partially met' (see Column J – click [+] above Columns H–K).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68" s="8" t="inlineStr">
        <is>
          <t>We will report on examples of researchers helping solve the University's own operational sustainability challenges, alongside CLLAP projects reported by CI&amp;S, and share them with operational teams to identify further collaboration.</t>
        </is>
      </c>
      <c r="H68" s="8" t="inlineStr">
        <is>
          <t>2a</t>
        </is>
      </c>
      <c r="I68" s="8" t="inlineStr">
        <is>
          <t>Partially met</t>
        </is>
      </c>
      <c r="J68" s="8" t="inlineStr">
        <is>
          <t>CLLAP report on University Investor Stewardship provided separately</t>
        </is>
      </c>
      <c r="K68" s="8" t="inlineStr"/>
      <c r="L68" s="8" t="n"/>
      <c r="M68" s="8" t="n"/>
      <c r="N68" s="8" t="n"/>
      <c r="O68" s="8" t="n"/>
      <c r="P68" s="8" t="n"/>
      <c r="Q68" s="8" t="n"/>
      <c r="R68" s="8" t="n"/>
    </row>
    <row r="69" ht="150" customHeight="1">
      <c r="B69" s="7" t="inlineStr">
        <is>
          <t>TR1(b)</t>
        </is>
      </c>
      <c r="C69" s="12" t="inlineStr">
        <is>
          <t>Transformational research</t>
        </is>
      </c>
      <c r="D69" s="12" t="inlineStr">
        <is>
          <t>Utilise the expertise of the University’s researchers through mutually beneficial partnerships to help address the University’s operational sustainability challenges.</t>
        </is>
      </c>
      <c r="E69" s="12" t="inlineStr">
        <is>
          <t>Evidence of institutional pathways that enable ongoing collaboration between academic and professional staff</t>
        </is>
      </c>
      <c r="F69"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69" s="8" t="inlineStr">
        <is>
          <t>We will map existing academic–professional collaboration mechanisms across faculties to establish a baseline for this new indicator and identify models other faculties could adopt.</t>
        </is>
      </c>
      <c r="H69" s="8" t="inlineStr">
        <is>
          <t>N/A – new indicator</t>
        </is>
      </c>
      <c r="I69" s="8" t="inlineStr"/>
      <c r="J69" s="8" t="inlineStr"/>
      <c r="K69" s="8" t="inlineStr"/>
      <c r="L69" s="8" t="n"/>
      <c r="M69" s="8" t="n"/>
      <c r="N69" s="8" t="n"/>
      <c r="O69" s="8" t="n"/>
      <c r="P69" s="8" t="n"/>
      <c r="Q69" s="8" t="n"/>
      <c r="R69" s="8" t="n"/>
    </row>
    <row r="70" ht="150" customHeight="1">
      <c r="B70" s="7" t="inlineStr">
        <is>
          <t>TR1(c)</t>
        </is>
      </c>
      <c r="C70" s="12" t="inlineStr">
        <is>
          <t>Transformational research</t>
        </is>
      </c>
      <c r="D70" s="12" t="inlineStr">
        <is>
          <t>Utilise the expertise of the University’s researchers through mutually beneficial partnerships to help address the University’s operational sustainability challenges.</t>
        </is>
      </c>
      <c r="E70" s="12" t="inlineStr">
        <is>
          <t>Expert assessment of the quality, relevance and continuity of these collaborations</t>
        </is>
      </c>
      <c r="F70" s="8" t="inlineStr">
        <is>
          <t>For the collaborations described in TR1(a)–(b), please give a short assessment (a paragraph is sufficient) of their quality, relevance and continuity: are they ongoing, useful to the University's operational priorities, and producing outcomes?</t>
        </is>
      </c>
      <c r="G70" s="8" t="inlineStr">
        <is>
          <t>We will use your assessment to describe the quality and continuity of research–operations collaboration in the 2026 report, and as baseline evidence for the interim target status assessment from 2027.</t>
        </is>
      </c>
      <c r="H70" s="8" t="inlineStr">
        <is>
          <t>N/A – new indicator</t>
        </is>
      </c>
      <c r="I70" s="8" t="inlineStr"/>
      <c r="J70" s="8" t="inlineStr"/>
      <c r="K70" s="8" t="inlineStr"/>
      <c r="L70" s="8" t="n"/>
      <c r="M70" s="8" t="n"/>
      <c r="N70" s="8" t="n"/>
      <c r="O70" s="8" t="n"/>
      <c r="P70" s="8" t="n"/>
      <c r="Q70" s="8" t="n"/>
      <c r="R70" s="8" t="n"/>
    </row>
    <row r="71" ht="150" customHeight="1">
      <c r="B71" s="7" t="inlineStr">
        <is>
          <t>TR1(d)</t>
        </is>
      </c>
      <c r="C71" s="12" t="inlineStr">
        <is>
          <t>Transformational research</t>
        </is>
      </c>
      <c r="D71" s="12" t="inlineStr">
        <is>
          <t>Utilise the expertise of the University’s researchers through mutually beneficial partnerships to help address the University’s operational sustainability challenges.</t>
        </is>
      </c>
      <c r="E71" s="12" t="inlineStr">
        <is>
          <t>Periodic feedback from participants on the effectiveness and mutual benefit of collaboration mechanisms.</t>
        </is>
      </c>
      <c r="F71"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71" s="8" t="inlineStr">
        <is>
          <t>We will use any feedback to understand whether collaboration mechanisms are working and to inform improvements. Where none has been collected, this helps us plan how to gather feedback from 2027.</t>
        </is>
      </c>
      <c r="H71" s="8" t="inlineStr">
        <is>
          <t>N/A – new indicator</t>
        </is>
      </c>
      <c r="I71" s="8" t="inlineStr"/>
      <c r="J71" s="8" t="inlineStr"/>
      <c r="K71" s="8" t="inlineStr"/>
      <c r="L71" s="8" t="n"/>
      <c r="M71" s="8" t="n"/>
      <c r="N71" s="8" t="n"/>
      <c r="O71" s="8" t="n"/>
      <c r="P71" s="8" t="n"/>
      <c r="Q71" s="8" t="n"/>
      <c r="R71" s="8" t="n"/>
    </row>
    <row r="72" ht="150" customHeight="1">
      <c r="B72" s="7" t="inlineStr">
        <is>
          <t>TR2(a)</t>
        </is>
      </c>
      <c r="C72" s="12" t="inlineStr">
        <is>
          <t>Transformational research</t>
        </is>
      </c>
      <c r="D72" s="12" t="inlineStr">
        <is>
          <t>Deliver high-quality research and partnerships that contribute to sustainability outcomes and demonstrable societal benefit.</t>
        </is>
      </c>
      <c r="E72" s="12" t="inlineStr">
        <is>
          <t>Evidence of sustainability-related research impact across diverse pathways, could include policy, industry, community, practice, cultural and institutional outcomes</t>
        </is>
      </c>
      <c r="F72" s="8" t="inlineStr">
        <is>
          <t>In end-2025 reporting your faculty reported on the related SP2030 target 5b(i) and rated it 'Partially met' (see Column J – click [+] above Columns H–K).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2" s="8" t="inlineStr">
        <is>
          <t>We will collate research impact examples across faculties to show the breadth of sustainability-related research impact in the Transformational research section of the 2026 Sustainability Report, complementing University-wide metrics from MRE.</t>
        </is>
      </c>
      <c r="H72" s="8" t="inlineStr">
        <is>
          <t>5b(i)</t>
        </is>
      </c>
      <c r="I72" s="8" t="inlineStr">
        <is>
          <t>Partially met</t>
        </is>
      </c>
      <c r="J72"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2" s="8" t="inlineStr">
        <is>
          <t>https://fbe.unimelb.edu.au/research/our-research-at-a-glance</t>
        </is>
      </c>
      <c r="L72" s="8" t="n"/>
      <c r="M72" s="8" t="n"/>
      <c r="N72" s="8" t="n"/>
      <c r="O72" s="8" t="n"/>
      <c r="P72" s="8" t="n"/>
      <c r="Q72" s="8" t="n"/>
      <c r="R72" s="8" t="n"/>
    </row>
    <row r="73" ht="150" customHeight="1">
      <c r="B73" s="7" t="inlineStr">
        <is>
          <t>TR2(d)</t>
        </is>
      </c>
      <c r="C73" s="12" t="inlineStr">
        <is>
          <t>Transformational research</t>
        </is>
      </c>
      <c r="D73" s="12" t="inlineStr">
        <is>
          <t>Deliver high-quality research and partnerships that contribute to sustainability outcomes and demonstrable societal benefit.</t>
        </is>
      </c>
      <c r="E73" s="12" t="inlineStr">
        <is>
          <t>Case-based evidence demonstrating how research has contributed to meaningful sustainability outcomes.</t>
        </is>
      </c>
      <c r="F73" s="8" t="inlineStr">
        <is>
          <t>In end-2025 reporting your faculty reported on the related SP2030 target 5b(i) and rated it 'Partially met' (see Column J – click [+] above Columns H–K).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73" s="8" t="inlineStr">
        <is>
          <t>We will select the strongest examples to develop as full research case studies for the 2026 Sustainability Report (we may contact you for more detail and images).</t>
        </is>
      </c>
      <c r="H73" s="8" t="inlineStr">
        <is>
          <t>5b(i)</t>
        </is>
      </c>
      <c r="I73" s="8" t="inlineStr">
        <is>
          <t>Partially met</t>
        </is>
      </c>
      <c r="J73"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3" s="8" t="inlineStr">
        <is>
          <t>https://fbe.unimelb.edu.au/research/our-research-at-a-glance</t>
        </is>
      </c>
      <c r="L73" s="8" t="n"/>
      <c r="M73" s="8" t="n"/>
      <c r="N73" s="8" t="n"/>
      <c r="O73" s="8" t="n"/>
      <c r="P73" s="8" t="n"/>
      <c r="Q73" s="8" t="n"/>
      <c r="R73" s="8" t="n"/>
    </row>
    <row r="74" ht="150" customHeight="1">
      <c r="B74" s="7" t="inlineStr">
        <is>
          <t>TR3(a)</t>
        </is>
      </c>
      <c r="C74" s="12" t="inlineStr">
        <is>
          <t>Transformational research</t>
        </is>
      </c>
      <c r="D74" s="12" t="inlineStr">
        <is>
          <t>Embed sustainability within research systems, processes, capability and culture, so research is conducted responsibly, efficiently and with reduced environmental impact.</t>
        </is>
      </c>
      <c r="E74" s="12" t="inlineStr">
        <is>
          <t>Evidence that sustainability considerations are integrated into relevant research systems, planning processes, guidance, training, induction or support services</t>
        </is>
      </c>
      <c r="F74" s="8" t="inlineStr">
        <is>
          <t>In end-2025 reporting your faculty reported on the related SP2030 target 5c(ii) and rated it 'Partially met' (see Column J – click [+] above Columns H–K).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74" s="8" t="inlineStr">
        <is>
          <t>We will report on how sustainability is being built into research systems and support across the University, and use responses to establish a baseline for this new target.</t>
        </is>
      </c>
      <c r="H74" s="8" t="inlineStr">
        <is>
          <t>5c(ii)</t>
        </is>
      </c>
      <c r="I74" s="8" t="inlineStr">
        <is>
          <t>Partially met</t>
        </is>
      </c>
      <c r="J74"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4" s="8" t="inlineStr">
        <is>
          <t>https://fbe.unimelb.edu.au/managementmarketing/research/the-sustainability-hub</t>
        </is>
      </c>
      <c r="L74" s="8" t="n"/>
      <c r="M74" s="8" t="n"/>
      <c r="N74" s="8" t="n"/>
      <c r="O74" s="8" t="n"/>
      <c r="P74" s="8" t="n"/>
      <c r="Q74" s="8" t="n"/>
      <c r="R74" s="8" t="n"/>
    </row>
    <row r="75" ht="150" customHeight="1">
      <c r="B75" s="7" t="inlineStr">
        <is>
          <t>TR3(b)</t>
        </is>
      </c>
      <c r="C75" s="12" t="inlineStr">
        <is>
          <t>Transformational research</t>
        </is>
      </c>
      <c r="D75" s="12" t="inlineStr">
        <is>
          <t>Embed sustainability within research systems, processes, capability and culture, so research is conducted responsibly, efficiently and with reduced environmental impact.</t>
        </is>
      </c>
      <c r="E75" s="12" t="inlineStr">
        <is>
          <t>Demonstrated examples of more sustainable research practices in laboratories, fieldwork, procurement, travel or infrastructure use</t>
        </is>
      </c>
      <c r="F75" s="8" t="inlineStr">
        <is>
          <t>In end-2025 reporting your faculty reported on the related SP2030 target 5c(ii) and rated it 'Partially met' (see Column J – click [+] above Columns H–K).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75" s="8" t="inlineStr">
        <is>
          <t>We will report on ways the University is making research practices more sustainable in the 2026 Sustainability Report, and share practical examples (e.g. green labs) across faculties.</t>
        </is>
      </c>
      <c r="H75" s="8" t="inlineStr">
        <is>
          <t>5c(ii)</t>
        </is>
      </c>
      <c r="I75" s="8" t="inlineStr">
        <is>
          <t>Partially met</t>
        </is>
      </c>
      <c r="J75"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5" s="8" t="inlineStr">
        <is>
          <t>https://fbe.unimelb.edu.au/managementmarketing/research/the-sustainability-hub</t>
        </is>
      </c>
      <c r="L75" s="8" t="n"/>
      <c r="M75" s="8" t="n"/>
      <c r="N75" s="8" t="n"/>
      <c r="O75" s="8" t="n"/>
      <c r="P75" s="8" t="n"/>
      <c r="Q75" s="8" t="n"/>
      <c r="R75" s="8" t="n"/>
    </row>
    <row r="76" ht="150" customHeight="1">
      <c r="B76" s="7" t="inlineStr">
        <is>
          <t>TR3(c)</t>
        </is>
      </c>
      <c r="C76" s="12" t="inlineStr">
        <is>
          <t>Transformational research</t>
        </is>
      </c>
      <c r="D76" s="12" t="inlineStr">
        <is>
          <t>Embed sustainability within research systems, processes, capability and culture, so research is conducted responsibly, efficiently and with reduced environmental impact.</t>
        </is>
      </c>
      <c r="E76" s="12" t="inlineStr">
        <is>
          <t>Evidence of progress in sustainability-related research culture, capability and awareness, informed by periodic staff and graduate researcher surveys</t>
        </is>
      </c>
      <c r="F76"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76" s="8" t="inlineStr">
        <is>
          <t>We will use any survey or capability data to describe changes in sustainability-related research culture. Where no evidence exists, this helps us plan University-wide measurement (e.g. staff and graduate researcher surveys) from 2027.</t>
        </is>
      </c>
      <c r="H76" s="8" t="inlineStr">
        <is>
          <t>N/A – new indicator</t>
        </is>
      </c>
      <c r="I76" s="8" t="inlineStr"/>
      <c r="J76" s="8" t="inlineStr"/>
      <c r="K76" s="8" t="inlineStr"/>
      <c r="L76" s="8" t="n"/>
      <c r="M76" s="8" t="n"/>
      <c r="N76" s="8" t="n"/>
      <c r="O76" s="8" t="n"/>
      <c r="P76" s="8" t="n"/>
      <c r="Q76" s="8" t="n"/>
      <c r="R76" s="8" t="n"/>
    </row>
    <row r="77" ht="150" customHeight="1">
      <c r="B77" s="7" t="inlineStr">
        <is>
          <t>TR3(d)</t>
        </is>
      </c>
      <c r="C77" s="12" t="inlineStr">
        <is>
          <t>Transformational research</t>
        </is>
      </c>
      <c r="D77" s="12" t="inlineStr">
        <is>
          <t>Embed sustainability within research systems, processes, capability and culture, so research is conducted responsibly, efficiently and with reduced environmental impact.</t>
        </is>
      </c>
      <c r="E77" s="12" t="inlineStr">
        <is>
          <t>Expert assessment of progress in embedding sustainable research practices across the institution.</t>
        </is>
      </c>
      <c r="F77" s="8" t="inlineStr">
        <is>
          <t>Drawing on your responses to TR3(a)–(c), please provide a short overall assessment (2–3 sentences) of your faculty's progress in embedding sustainable research practices: where progress is strongest, the main gaps, and priority actions for 2027.</t>
        </is>
      </c>
      <c r="G77" s="8" t="inlineStr">
        <is>
          <t>We will use faculty self-assessments to identify strengths, gaps and priority actions in embedding sustainable research practices, to inform internal management reporting and the Transformational research working group.</t>
        </is>
      </c>
      <c r="H77" s="8" t="inlineStr">
        <is>
          <t>N/A – new indicator</t>
        </is>
      </c>
      <c r="I77" s="8" t="inlineStr"/>
      <c r="J77" s="8" t="inlineStr"/>
      <c r="K77" s="8" t="inlineStr"/>
      <c r="L77" s="8" t="n"/>
      <c r="M77" s="8" t="n"/>
      <c r="N77" s="8" t="n"/>
      <c r="O77" s="8" t="n"/>
      <c r="P77" s="8" t="n"/>
      <c r="Q77" s="8" t="n"/>
      <c r="R77" s="8" t="n"/>
    </row>
    <row r="78" ht="150" customHeight="1">
      <c r="B78" s="7" t="inlineStr">
        <is>
          <t>CL2(a)</t>
        </is>
      </c>
      <c r="C78" s="12" t="inlineStr">
        <is>
          <t>Climate leadership</t>
        </is>
      </c>
      <c r="D78" s="12" t="inlineStr">
        <is>
          <t>Develop understanding of our research and education programs that contribute to accelerating global decarbonisation and our own climate transition.</t>
        </is>
      </c>
      <c r="E78" s="12" t="inlineStr">
        <is>
          <t>By 2028, develop and document institutional mapping of research and education activities that are designed to contribute to global decarbonisation</t>
        </is>
      </c>
      <c r="F78"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78" s="8" t="inlineStr">
        <is>
          <t>We will use these examples to show how the University communicates climate research and learning to external audiences, and as an input to the institutional decarbonisation research and education mapping due by 2028.</t>
        </is>
      </c>
      <c r="H78" s="8" t="inlineStr">
        <is>
          <t>N/A – new indicator</t>
        </is>
      </c>
      <c r="I78" s="8" t="inlineStr"/>
      <c r="J78" s="8" t="inlineStr"/>
      <c r="K78" s="8" t="inlineStr"/>
      <c r="L78" s="8" t="n"/>
      <c r="M78" s="8" t="n"/>
      <c r="N78" s="8" t="n"/>
      <c r="O78" s="8" t="n"/>
      <c r="P78" s="8" t="n"/>
      <c r="Q78" s="8" t="n"/>
      <c r="R78" s="8" t="n"/>
    </row>
    <row r="79" ht="150" customHeight="1">
      <c r="B79" s="7" t="inlineStr">
        <is>
          <t>CL2(c)</t>
        </is>
      </c>
      <c r="C79" s="12" t="inlineStr">
        <is>
          <t>Climate leadership</t>
        </is>
      </c>
      <c r="D79" s="12" t="inlineStr">
        <is>
          <t>Develop understanding of our research and education programs that contribute to accelerating global decarbonisation and our own climate transition.</t>
        </is>
      </c>
      <c r="E79" s="12" t="inlineStr">
        <is>
          <t>Ongoing communications that evidence the University’s climate action, research and learning to inform policy, sector and community decarbonisation efforts.</t>
        </is>
      </c>
      <c r="F79"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79" s="8" t="inlineStr">
        <is>
          <t>We will report on the University's ongoing climate communications in the Climate leadership section of the 2026 Sustainability Report, alongside contributions from Melbourne Climate Futures and the Melbourne Energy Institute.</t>
        </is>
      </c>
      <c r="H79" s="8" t="inlineStr">
        <is>
          <t>N/A – new indicator</t>
        </is>
      </c>
      <c r="I79" s="8" t="inlineStr"/>
      <c r="J79" s="8" t="inlineStr"/>
      <c r="K79" s="8" t="inlineStr"/>
      <c r="L79" s="8" t="n"/>
      <c r="M79" s="8" t="n"/>
      <c r="N79" s="8" t="n"/>
      <c r="O79" s="8" t="n"/>
      <c r="P79" s="8" t="n"/>
      <c r="Q79" s="8" t="n"/>
      <c r="R79" s="8" t="n"/>
    </row>
    <row r="80" ht="150" customHeight="1">
      <c r="B80" s="7" t="inlineStr">
        <is>
          <t>EN1(a)</t>
        </is>
      </c>
      <c r="C80" s="12" t="inlineStr">
        <is>
          <t>Enablers</t>
        </is>
      </c>
      <c r="D80" s="12" t="inlineStr">
        <is>
          <t>Enablers</t>
        </is>
      </c>
      <c r="E80" s="12" t="inlineStr">
        <is>
          <t>Evidence of sustainability outcomes informed by Indigenous knowledges</t>
        </is>
      </c>
      <c r="F80" s="8" t="inlineStr">
        <is>
          <t>In end-2025 reporting your faculty reported on the related SP2030 target 6a and rated it 'Partially met' (see Column J – click [+] above Columns H–K).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8" t="inlineStr">
        <is>
          <t>We will report on the ways Indigenous knowledges inform sustainability activities across the University, and develop selected examples into case studies with appropriate permissions.</t>
        </is>
      </c>
      <c r="H80" s="8" t="inlineStr">
        <is>
          <t>6a</t>
        </is>
      </c>
      <c r="I80" s="8" t="inlineStr">
        <is>
          <t>Partially met</t>
        </is>
      </c>
      <c r="J80"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80" s="8" t="inlineStr">
        <is>
          <t>https://dilinduwa.com.au/
https://mabocentre.com/</t>
        </is>
      </c>
      <c r="L80" s="8" t="n"/>
      <c r="M80" s="8" t="n"/>
      <c r="N80" s="8" t="n"/>
      <c r="O80" s="8" t="n"/>
      <c r="P80" s="8" t="n"/>
      <c r="Q80" s="8" t="n"/>
      <c r="R80" s="8" t="n"/>
    </row>
    <row r="81" ht="150" customHeight="1">
      <c r="B81" s="7" t="inlineStr">
        <is>
          <t>EN1(b)</t>
        </is>
      </c>
      <c r="C81" s="12" t="inlineStr">
        <is>
          <t>Enablers</t>
        </is>
      </c>
      <c r="D81" s="12" t="inlineStr">
        <is>
          <t>Enablers</t>
        </is>
      </c>
      <c r="E81" s="12" t="inlineStr">
        <is>
          <t>Living laboratories enabling applied learning, research and operational sustainability outcomes</t>
        </is>
      </c>
      <c r="F81" s="8" t="inlineStr">
        <is>
          <t>In end-2025 reporting your faculty reported on the related SP2030 target 2a and rated it 'Partially met' (see Column J – click [+] above Columns H–K).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81" s="8" t="inlineStr">
        <is>
          <t>We will share examples of living labs from across the University in the 2026 Sustainability Report, alongside CLLAP projects reported by CI&amp;S.</t>
        </is>
      </c>
      <c r="H81" s="8" t="inlineStr">
        <is>
          <t>2a</t>
        </is>
      </c>
      <c r="I81" s="8" t="inlineStr">
        <is>
          <t>Partially met</t>
        </is>
      </c>
      <c r="J81" s="8" t="inlineStr">
        <is>
          <t>CLLAP report on University Investor Stewardship provided separately</t>
        </is>
      </c>
      <c r="K81" s="8" t="inlineStr"/>
      <c r="L81" s="8" t="n"/>
      <c r="M81" s="8" t="n"/>
      <c r="N81" s="8" t="n"/>
      <c r="O81" s="8" t="n"/>
      <c r="P81" s="8" t="n"/>
      <c r="Q81" s="8" t="n"/>
      <c r="R81" s="8" t="n"/>
    </row>
    <row r="82" ht="150" customHeight="1">
      <c r="B82" s="7" t="inlineStr">
        <is>
          <t>EN1(c)</t>
        </is>
      </c>
      <c r="C82" s="12" t="inlineStr">
        <is>
          <t>Enablers</t>
        </is>
      </c>
      <c r="D82" s="12" t="inlineStr">
        <is>
          <t>Enablers</t>
        </is>
      </c>
      <c r="E82" s="12" t="inlineStr">
        <is>
          <t>Coordinated internal engagement and external partnerships contributing to delivery of sustainability outcomes across priority areas.</t>
        </is>
      </c>
      <c r="F82" s="8" t="inlineStr">
        <is>
          <t>In end-2025 reporting your faculty reported on the related SP2030 target 3a(ii) and rated it 'Partially met' (see Column J – click [+] above Columns H–K).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82" s="8" t="inlineStr">
        <is>
          <t>We will report on internal engagement and partnerships contributing to Sustainability 2030 outcomes, and update our record of sustainability-focused communities of practice and contacts across the University.</t>
        </is>
      </c>
      <c r="H82" s="8" t="inlineStr">
        <is>
          <t>3a(ii)</t>
        </is>
      </c>
      <c r="I82" s="8" t="inlineStr">
        <is>
          <t>Partially met</t>
        </is>
      </c>
      <c r="J82"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82" s="8" t="inlineStr"/>
      <c r="L82" s="8" t="n"/>
      <c r="M82" s="8" t="n"/>
      <c r="N82" s="8" t="n"/>
      <c r="O82" s="8" t="n"/>
      <c r="P82" s="8" t="n"/>
      <c r="Q82" s="8" t="n"/>
      <c r="R82" s="8" t="n"/>
    </row>
    <row r="83" ht="150" customHeight="1">
      <c r="B83" s="7" t="inlineStr">
        <is>
          <t>EN1(d)</t>
        </is>
      </c>
      <c r="C83" s="12" t="inlineStr">
        <is>
          <t>Enablers</t>
        </is>
      </c>
      <c r="D83" s="12" t="inlineStr">
        <is>
          <t>Enablers</t>
        </is>
      </c>
      <c r="E83" s="12" t="inlineStr">
        <is>
          <t>Sustainability objectives integrated into governance and decision‑making processes, supported by transparent reporting.</t>
        </is>
      </c>
      <c r="F83"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83" s="8" t="inlineStr">
        <is>
          <t>We will report on how sustainability is integrated into governance and decision-making across faculties and portfolios, and use responses as a baseline for the governance enabler from 2027.</t>
        </is>
      </c>
      <c r="H83" s="8" t="inlineStr">
        <is>
          <t>N/A – new indicator</t>
        </is>
      </c>
      <c r="I83" s="8" t="inlineStr"/>
      <c r="J83" s="8" t="inlineStr"/>
      <c r="K83" s="8" t="inlineStr"/>
      <c r="L83" s="8" t="n"/>
      <c r="M83" s="8" t="n"/>
      <c r="N83" s="8" t="n"/>
      <c r="O83" s="8" t="n"/>
      <c r="P83" s="8" t="n"/>
      <c r="Q83" s="8" t="n"/>
      <c r="R83" s="8" t="n"/>
    </row>
    <row r="86">
      <c r="B86" s="18" t="inlineStr">
        <is>
          <t>1.4  SCI – Faculty of Science</t>
        </is>
      </c>
    </row>
    <row r="88">
      <c r="C88" s="19" t="inlineStr">
        <is>
          <t>Sustainability 2030 target and indicator</t>
        </is>
      </c>
      <c r="H88" s="19" t="inlineStr">
        <is>
          <t>End-2025 reporting (for reference – click [+] above to expand)</t>
        </is>
      </c>
      <c r="L88" s="20" t="inlineStr">
        <is>
          <t>End-2026 reporting (PLEASE COMPLETE THIS SECTION)</t>
        </is>
      </c>
    </row>
    <row r="89">
      <c r="B89" s="6" t="inlineStr">
        <is>
          <t>Ref</t>
        </is>
      </c>
      <c r="C89" s="6" t="inlineStr">
        <is>
          <t>Priority area</t>
        </is>
      </c>
      <c r="D89" s="6" t="inlineStr">
        <is>
          <t>Sustainability 2030 target</t>
        </is>
      </c>
      <c r="E89" s="6" t="inlineStr">
        <is>
          <t>Indicator</t>
        </is>
      </c>
      <c r="F89" s="6" t="inlineStr">
        <is>
          <t>2026 Reporting request</t>
        </is>
      </c>
      <c r="G89" s="6" t="inlineStr">
        <is>
          <t>How SST will use this data</t>
        </is>
      </c>
      <c r="H89" s="6" t="inlineStr">
        <is>
          <t>Related SR25 ref</t>
        </is>
      </c>
      <c r="I89" s="6" t="inlineStr">
        <is>
          <t>End-2025 confirmed status</t>
        </is>
      </c>
      <c r="J89" s="6" t="inlineStr">
        <is>
          <t>End-2025 reporting response</t>
        </is>
      </c>
      <c r="K89" s="6" t="inlineStr">
        <is>
          <t>Links and supporting information</t>
        </is>
      </c>
      <c r="L89" s="21" t="inlineStr">
        <is>
          <t>Confirm end-2026 target status</t>
        </is>
      </c>
      <c r="M89" s="21" t="inlineStr">
        <is>
          <t>OPTION 1:  Target-level reporting (Column D)</t>
        </is>
      </c>
      <c r="N89" s="21" t="inlineStr">
        <is>
          <t>OPTION 2:  Indicator level reporting (Column E/F)</t>
        </is>
      </c>
      <c r="O89" s="21" t="inlineStr">
        <is>
          <t>Supporting information/comments</t>
        </is>
      </c>
      <c r="P89" s="21" t="inlineStr">
        <is>
          <t>Data source and limitations</t>
        </is>
      </c>
      <c r="Q89" s="21" t="inlineStr">
        <is>
          <t>Data owner confirms information is accurate</t>
        </is>
      </c>
      <c r="R89" s="21" t="inlineStr">
        <is>
          <t>Confirmed by (name, role, date)</t>
        </is>
      </c>
    </row>
    <row r="90">
      <c r="B90" s="22" t="inlineStr"/>
      <c r="C90" s="22" t="inlineStr"/>
      <c r="D90" s="22" t="inlineStr"/>
      <c r="E90" s="22" t="inlineStr"/>
      <c r="F90" s="22" t="inlineStr"/>
      <c r="G90" s="22" t="inlineStr"/>
      <c r="H90" s="22" t="inlineStr"/>
      <c r="I90" s="22" t="inlineStr"/>
      <c r="J90" s="22" t="inlineStr"/>
      <c r="K90" s="22" t="inlineStr"/>
      <c r="L90" s="22" t="inlineStr">
        <is>
          <t>(Met or exceeded; partially met; not met; not yet started)</t>
        </is>
      </c>
      <c r="M90" s="22" t="inlineStr">
        <is>
          <t>Provide further evidence of target status assessment in the form of:
A general update on activities in relation to the overarching target (Column D)</t>
        </is>
      </c>
      <c r="N90" s="22" t="inlineStr">
        <is>
          <t>Provide further evidence of target status assessment in the form of:
Data and commentary in direct response to the reporting request (Column F)</t>
        </is>
      </c>
      <c r="O90" s="22" t="inlineStr">
        <is>
          <t>Provide any additional information to support the target status assessment (e.g. links, images, rationale for selection of target status)</t>
        </is>
      </c>
      <c r="P90" s="22" t="inlineStr">
        <is>
          <t>Where did this information come from (system, report, survey, person)? Note any gaps or limitations.</t>
        </is>
      </c>
      <c r="Q90" s="22" t="inlineStr">
        <is>
          <t>Select 'Yes' to confirm the information provided is accurate and can be used for reporting</t>
        </is>
      </c>
      <c r="R90" s="22" t="inlineStr">
        <is>
          <t>Name, role and date of the person confirming</t>
        </is>
      </c>
    </row>
    <row r="91" ht="150" customHeight="1">
      <c r="B91" s="7" t="inlineStr">
        <is>
          <t>EE1(a)</t>
        </is>
      </c>
      <c r="C91" s="12" t="inlineStr">
        <is>
          <t>Exceptional education</t>
        </is>
      </c>
      <c r="D91" s="12" t="inlineStr">
        <is>
          <t>Provide our students with learning experiences that help them build the knowledge, skills and relationships to lead change for sustainable societies.</t>
        </is>
      </c>
      <c r="E91" s="12" t="inlineStr">
        <is>
          <t>Evidence of innovative approaches to sustainability teaching and learning</t>
        </is>
      </c>
      <c r="F91" s="8" t="inlineStr">
        <is>
          <t>In end-2025 reporting your faculty reported on the related SP2030 target 4a(ii) and rated it 'Met or exceeded' (see Column J – click [+] above Columns H–K).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91" s="8" t="inlineStr">
        <is>
          <t>We will collate examples of innovative sustainability teaching and learning across faculties to inform the Exceptional education section of the 2026 Sustainability Report, and select one or two for short case studies.</t>
        </is>
      </c>
      <c r="H91" s="8" t="inlineStr">
        <is>
          <t>4a(ii)</t>
        </is>
      </c>
      <c r="I91" s="8" t="inlineStr">
        <is>
          <t>Met or exceeded</t>
        </is>
      </c>
      <c r="J91"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91" s="8" t="inlineStr"/>
      <c r="L91" s="8" t="n"/>
      <c r="M91" s="8" t="n"/>
      <c r="N91" s="8" t="n"/>
      <c r="O91" s="8" t="n"/>
      <c r="P91" s="8" t="n"/>
      <c r="Q91" s="8" t="n"/>
      <c r="R91" s="8" t="n"/>
    </row>
    <row r="92" ht="150" customHeight="1">
      <c r="B92" s="7" t="inlineStr">
        <is>
          <t>EE1(b)</t>
        </is>
      </c>
      <c r="C92" s="12" t="inlineStr">
        <is>
          <t>Exceptional education</t>
        </is>
      </c>
      <c r="D92" s="12" t="inlineStr">
        <is>
          <t>Provide our students with learning experiences that help them build the knowledge, skills and relationships to lead change for sustainable societies.</t>
        </is>
      </c>
      <c r="E92" s="12" t="inlineStr">
        <is>
          <t>Pilots of possible approaches for understanding and developing students’ sustainability self-efficacy</t>
        </is>
      </c>
      <c r="F92"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2" s="8" t="inlineStr">
        <is>
          <t>This is a new indicator. We will use responses to establish a baseline of how (and whether) faculties are understanding student sustainability self-efficacy, and report on early pilots in the 2026 Sustainability Report. A nil response is useful to us.</t>
        </is>
      </c>
      <c r="H92" s="8" t="inlineStr">
        <is>
          <t>N/A – new indicator</t>
        </is>
      </c>
      <c r="I92" s="8" t="inlineStr"/>
      <c r="J92" s="8" t="inlineStr"/>
      <c r="K92" s="8" t="inlineStr"/>
      <c r="L92" s="8" t="n"/>
      <c r="M92" s="8" t="n"/>
      <c r="N92" s="8" t="n"/>
      <c r="O92" s="8" t="n"/>
      <c r="P92" s="8" t="n"/>
      <c r="Q92" s="8" t="n"/>
      <c r="R92" s="8" t="n"/>
    </row>
    <row r="93" ht="150" customHeight="1">
      <c r="B93" s="7" t="inlineStr">
        <is>
          <t>EE1(c)</t>
        </is>
      </c>
      <c r="C93" s="12" t="inlineStr">
        <is>
          <t>Exceptional education</t>
        </is>
      </c>
      <c r="D93" s="12" t="inlineStr">
        <is>
          <t>Provide our students with learning experiences that help them build the knowledge, skills and relationships to lead change for sustainable societies.</t>
        </is>
      </c>
      <c r="E93" s="12" t="inlineStr">
        <is>
          <t>Evidence of sustainability focused experiential and co curricular learning (eg Wattle Fellowship; Melbourne Plus)</t>
        </is>
      </c>
      <c r="F93"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93" s="8" t="inlineStr">
        <is>
          <t>We will combine faculty examples with central Wattle Fellowship and Melbourne Plus data to report on the range and reach of sustainability-focused experiential and co-curricular learning across the University.</t>
        </is>
      </c>
      <c r="H93" s="8" t="inlineStr">
        <is>
          <t>N/A – new indicator</t>
        </is>
      </c>
      <c r="I93" s="8" t="inlineStr"/>
      <c r="J93" s="8" t="inlineStr"/>
      <c r="K93" s="8" t="inlineStr"/>
      <c r="L93" s="8" t="n"/>
      <c r="M93" s="8" t="n"/>
      <c r="N93" s="8" t="n"/>
      <c r="O93" s="8" t="n"/>
      <c r="P93" s="8" t="n"/>
      <c r="Q93" s="8" t="n"/>
      <c r="R93" s="8" t="n"/>
    </row>
    <row r="94" ht="150" customHeight="1">
      <c r="B94" s="7" t="inlineStr">
        <is>
          <t>EE1(d)</t>
        </is>
      </c>
      <c r="C94" s="12" t="inlineStr">
        <is>
          <t>Exceptional education</t>
        </is>
      </c>
      <c r="D94" s="12" t="inlineStr">
        <is>
          <t>Provide our students with learning experiences that help them build the knowledge, skills and relationships to lead change for sustainable societies.</t>
        </is>
      </c>
      <c r="E94" s="12" t="inlineStr">
        <is>
          <t>Alumni profiles demonstrating how graduates contribute to sustainability through their careers or communities.</t>
        </is>
      </c>
      <c r="F94" s="8" t="inlineStr">
        <is>
          <t>In end-2025 reporting your faculty reported on the related SP2030 target 4b(i) and rated it 'Met or exceeded' (see Column J – click [+] above Columns H–K).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94" s="8" t="inlineStr">
        <is>
          <t>We will use nominated alumni to develop short graduate profiles for the 2026 Sustainability Report (subject to consent), and record any faculty approaches to tracking graduate outcomes to inform how this indicator is measured from 2027.</t>
        </is>
      </c>
      <c r="H94" s="8" t="inlineStr">
        <is>
          <t>4b(i)</t>
        </is>
      </c>
      <c r="I94" s="8" t="inlineStr">
        <is>
          <t>Met or exceeded</t>
        </is>
      </c>
      <c r="J94" s="8"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94" s="8" t="inlineStr"/>
      <c r="L94" s="8" t="n"/>
      <c r="M94" s="8" t="n"/>
      <c r="N94" s="8" t="n"/>
      <c r="O94" s="8" t="n"/>
      <c r="P94" s="8" t="n"/>
      <c r="Q94" s="8" t="n"/>
      <c r="R94" s="8" t="n"/>
    </row>
    <row r="95" ht="150" customHeight="1">
      <c r="B95" s="7" t="inlineStr">
        <is>
          <t>TR1(a)</t>
        </is>
      </c>
      <c r="C95" s="12" t="inlineStr">
        <is>
          <t>Transformational research</t>
        </is>
      </c>
      <c r="D95" s="12" t="inlineStr">
        <is>
          <t>Utilise the expertise of the University’s researchers through mutually beneficial partnerships to help address the University’s operational sustainability challenges.</t>
        </is>
      </c>
      <c r="E95" s="12" t="inlineStr">
        <is>
          <t>Expert-reviewed evidence of researchers contributing to operational sustainability priorities through partnerships, advisory input, living labs, applied projects or decision-support</t>
        </is>
      </c>
      <c r="F95" s="8" t="inlineStr">
        <is>
          <t>In end-2025 reporting your faculty reported on the related SP2030 target 2a and rated it 'Partially met' (see Column J – click [+] above Columns H–K).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95" s="8" t="inlineStr">
        <is>
          <t>We will report on examples of researchers helping solve the University's own operational sustainability challenges, alongside CLLAP projects reported by CI&amp;S, and share them with operational teams to identify further collaboration.</t>
        </is>
      </c>
      <c r="H95" s="8" t="inlineStr">
        <is>
          <t>2a</t>
        </is>
      </c>
      <c r="I95" s="8" t="inlineStr">
        <is>
          <t>Partially met</t>
        </is>
      </c>
      <c r="J9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95" s="8" t="inlineStr">
        <is>
          <t>https://www.unimelb.edu.au/newsroom/news/2024/october/native-harvest-cookbook-aims-to-put-indigenous-food-in-every-aussie-kitchen
https://theconversation.com/we-planted-two-woody-meadows-a-decade-ago-to-see-what-would-thrive-now-the-concept-is-popular-across-australia-269611</t>
        </is>
      </c>
      <c r="L95" s="8" t="n"/>
      <c r="M95" s="8" t="n"/>
      <c r="N95" s="8" t="n"/>
      <c r="O95" s="8" t="n"/>
      <c r="P95" s="8" t="n"/>
      <c r="Q95" s="8" t="n"/>
      <c r="R95" s="8" t="n"/>
    </row>
    <row r="96" ht="150" customHeight="1">
      <c r="B96" s="7" t="inlineStr">
        <is>
          <t>TR1(b)</t>
        </is>
      </c>
      <c r="C96" s="12" t="inlineStr">
        <is>
          <t>Transformational research</t>
        </is>
      </c>
      <c r="D96" s="12" t="inlineStr">
        <is>
          <t>Utilise the expertise of the University’s researchers through mutually beneficial partnerships to help address the University’s operational sustainability challenges.</t>
        </is>
      </c>
      <c r="E96" s="12" t="inlineStr">
        <is>
          <t>Evidence of institutional pathways that enable ongoing collaboration between academic and professional staff</t>
        </is>
      </c>
      <c r="F96"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96" s="8" t="inlineStr">
        <is>
          <t>We will map existing academic–professional collaboration mechanisms across faculties to establish a baseline for this new indicator and identify models other faculties could adopt.</t>
        </is>
      </c>
      <c r="H96" s="8" t="inlineStr">
        <is>
          <t>N/A – new indicator</t>
        </is>
      </c>
      <c r="I96" s="8" t="inlineStr"/>
      <c r="J96" s="8" t="inlineStr"/>
      <c r="K96" s="8" t="inlineStr"/>
      <c r="L96" s="8" t="n"/>
      <c r="M96" s="8" t="n"/>
      <c r="N96" s="8" t="n"/>
      <c r="O96" s="8" t="n"/>
      <c r="P96" s="8" t="n"/>
      <c r="Q96" s="8" t="n"/>
      <c r="R96" s="8" t="n"/>
    </row>
    <row r="97" ht="150" customHeight="1">
      <c r="B97" s="7" t="inlineStr">
        <is>
          <t>TR1(c)</t>
        </is>
      </c>
      <c r="C97" s="12" t="inlineStr">
        <is>
          <t>Transformational research</t>
        </is>
      </c>
      <c r="D97" s="12" t="inlineStr">
        <is>
          <t>Utilise the expertise of the University’s researchers through mutually beneficial partnerships to help address the University’s operational sustainability challenges.</t>
        </is>
      </c>
      <c r="E97" s="12" t="inlineStr">
        <is>
          <t>Expert assessment of the quality, relevance and continuity of these collaborations</t>
        </is>
      </c>
      <c r="F97" s="8" t="inlineStr">
        <is>
          <t>For the collaborations described in TR1(a)–(b), please give a short assessment (a paragraph is sufficient) of their quality, relevance and continuity: are they ongoing, useful to the University's operational priorities, and producing outcomes?</t>
        </is>
      </c>
      <c r="G97" s="8" t="inlineStr">
        <is>
          <t>We will use your assessment to describe the quality and continuity of research–operations collaboration in the 2026 report, and as baseline evidence for the interim target status assessment from 2027.</t>
        </is>
      </c>
      <c r="H97" s="8" t="inlineStr">
        <is>
          <t>N/A – new indicator</t>
        </is>
      </c>
      <c r="I97" s="8" t="inlineStr"/>
      <c r="J97" s="8" t="inlineStr"/>
      <c r="K97" s="8" t="inlineStr"/>
      <c r="L97" s="8" t="n"/>
      <c r="M97" s="8" t="n"/>
      <c r="N97" s="8" t="n"/>
      <c r="O97" s="8" t="n"/>
      <c r="P97" s="8" t="n"/>
      <c r="Q97" s="8" t="n"/>
      <c r="R97" s="8" t="n"/>
    </row>
    <row r="98" ht="150" customHeight="1">
      <c r="B98" s="7" t="inlineStr">
        <is>
          <t>TR1(d)</t>
        </is>
      </c>
      <c r="C98" s="12" t="inlineStr">
        <is>
          <t>Transformational research</t>
        </is>
      </c>
      <c r="D98" s="12" t="inlineStr">
        <is>
          <t>Utilise the expertise of the University’s researchers through mutually beneficial partnerships to help address the University’s operational sustainability challenges.</t>
        </is>
      </c>
      <c r="E98" s="12" t="inlineStr">
        <is>
          <t>Periodic feedback from participants on the effectiveness and mutual benefit of collaboration mechanisms.</t>
        </is>
      </c>
      <c r="F98"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98" s="8" t="inlineStr">
        <is>
          <t>We will use any feedback to understand whether collaboration mechanisms are working and to inform improvements. Where none has been collected, this helps us plan how to gather feedback from 2027.</t>
        </is>
      </c>
      <c r="H98" s="8" t="inlineStr">
        <is>
          <t>N/A – new indicator</t>
        </is>
      </c>
      <c r="I98" s="8" t="inlineStr"/>
      <c r="J98" s="8" t="inlineStr"/>
      <c r="K98" s="8" t="inlineStr"/>
      <c r="L98" s="8" t="n"/>
      <c r="M98" s="8" t="n"/>
      <c r="N98" s="8" t="n"/>
      <c r="O98" s="8" t="n"/>
      <c r="P98" s="8" t="n"/>
      <c r="Q98" s="8" t="n"/>
      <c r="R98" s="8" t="n"/>
    </row>
    <row r="99" ht="150" customHeight="1">
      <c r="B99" s="7" t="inlineStr">
        <is>
          <t>TR2(a)</t>
        </is>
      </c>
      <c r="C99" s="12" t="inlineStr">
        <is>
          <t>Transformational research</t>
        </is>
      </c>
      <c r="D99" s="12" t="inlineStr">
        <is>
          <t>Deliver high-quality research and partnerships that contribute to sustainability outcomes and demonstrable societal benefit.</t>
        </is>
      </c>
      <c r="E99" s="12" t="inlineStr">
        <is>
          <t>Evidence of sustainability-related research impact across diverse pathways, could include policy, industry, community, practice, cultural and institutional outcomes</t>
        </is>
      </c>
      <c r="F99" s="8" t="inlineStr">
        <is>
          <t>In end-2025 reporting your faculty reported on the related SP2030 target 5b(i) and rated it 'Met or exceeded' (see Column J – click [+] above Columns H–K).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9" s="8" t="inlineStr">
        <is>
          <t>We will collate research impact examples across faculties to show the breadth of sustainability-related research impact in the Transformational research section of the 2026 Sustainability Report, complementing University-wide metrics from MRE.</t>
        </is>
      </c>
      <c r="H99" s="8" t="inlineStr">
        <is>
          <t>5b(i)</t>
        </is>
      </c>
      <c r="I99" s="8" t="inlineStr">
        <is>
          <t>Met or exceeded</t>
        </is>
      </c>
      <c r="J99"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99" s="8" t="inlineStr"/>
      <c r="L99" s="8" t="n"/>
      <c r="M99" s="8" t="n"/>
      <c r="N99" s="8" t="n"/>
      <c r="O99" s="8" t="n"/>
      <c r="P99" s="8" t="n"/>
      <c r="Q99" s="8" t="n"/>
      <c r="R99" s="8" t="n"/>
    </row>
    <row r="100" ht="150" customHeight="1">
      <c r="B100" s="7" t="inlineStr">
        <is>
          <t>TR2(d)</t>
        </is>
      </c>
      <c r="C100" s="12" t="inlineStr">
        <is>
          <t>Transformational research</t>
        </is>
      </c>
      <c r="D100" s="12" t="inlineStr">
        <is>
          <t>Deliver high-quality research and partnerships that contribute to sustainability outcomes and demonstrable societal benefit.</t>
        </is>
      </c>
      <c r="E100" s="12" t="inlineStr">
        <is>
          <t>Case-based evidence demonstrating how research has contributed to meaningful sustainability outcomes.</t>
        </is>
      </c>
      <c r="F100" s="8" t="inlineStr">
        <is>
          <t>In end-2025 reporting your faculty reported on the related SP2030 target 5b(i) and rated it 'Met or exceeded' (see Column J – click [+] above Columns H–K).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00" s="8" t="inlineStr">
        <is>
          <t>We will select the strongest examples to develop as full research case studies for the 2026 Sustainability Report (we may contact you for more detail and images).</t>
        </is>
      </c>
      <c r="H100" s="8" t="inlineStr">
        <is>
          <t>5b(i)</t>
        </is>
      </c>
      <c r="I100" s="8" t="inlineStr">
        <is>
          <t>Met or exceeded</t>
        </is>
      </c>
      <c r="J100"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00" s="8" t="inlineStr"/>
      <c r="L100" s="8" t="n"/>
      <c r="M100" s="8" t="n"/>
      <c r="N100" s="8" t="n"/>
      <c r="O100" s="8" t="n"/>
      <c r="P100" s="8" t="n"/>
      <c r="Q100" s="8" t="n"/>
      <c r="R100" s="8" t="n"/>
    </row>
    <row r="101" ht="150" customHeight="1">
      <c r="B101" s="7" t="inlineStr">
        <is>
          <t>TR3(a)</t>
        </is>
      </c>
      <c r="C101" s="12" t="inlineStr">
        <is>
          <t>Transformational research</t>
        </is>
      </c>
      <c r="D101" s="12" t="inlineStr">
        <is>
          <t>Embed sustainability within research systems, processes, capability and culture, so research is conducted responsibly, efficiently and with reduced environmental impact.</t>
        </is>
      </c>
      <c r="E101" s="12" t="inlineStr">
        <is>
          <t>Evidence that sustainability considerations are integrated into relevant research systems, planning processes, guidance, training, induction or support services</t>
        </is>
      </c>
      <c r="F101" s="8" t="inlineStr">
        <is>
          <t>In end-2025 reporting your faculty reported on the related SP2030 target 5c(ii) and rated it 'Partially met' (see Column J – click [+] above Columns H–K).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101" s="8" t="inlineStr">
        <is>
          <t>We will report on how sustainability is being built into research systems and support across the University, and use responses to establish a baseline for this new target.</t>
        </is>
      </c>
      <c r="H101" s="8" t="inlineStr">
        <is>
          <t>5c(ii)</t>
        </is>
      </c>
      <c r="I101" s="8" t="inlineStr">
        <is>
          <t>Partially met</t>
        </is>
      </c>
      <c r="J101"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1" s="8" t="inlineStr"/>
      <c r="L101" s="8" t="n"/>
      <c r="M101" s="8" t="n"/>
      <c r="N101" s="8" t="n"/>
      <c r="O101" s="8" t="n"/>
      <c r="P101" s="8" t="n"/>
      <c r="Q101" s="8" t="n"/>
      <c r="R101" s="8" t="n"/>
    </row>
    <row r="102" ht="150" customHeight="1">
      <c r="B102" s="7" t="inlineStr">
        <is>
          <t>TR3(b)</t>
        </is>
      </c>
      <c r="C102" s="12" t="inlineStr">
        <is>
          <t>Transformational research</t>
        </is>
      </c>
      <c r="D102" s="12" t="inlineStr">
        <is>
          <t>Embed sustainability within research systems, processes, capability and culture, so research is conducted responsibly, efficiently and with reduced environmental impact.</t>
        </is>
      </c>
      <c r="E102" s="12" t="inlineStr">
        <is>
          <t>Demonstrated examples of more sustainable research practices in laboratories, fieldwork, procurement, travel or infrastructure use</t>
        </is>
      </c>
      <c r="F102" s="8" t="inlineStr">
        <is>
          <t>In end-2025 reporting your faculty reported on the related SP2030 target 5c(ii) and rated it 'Partially met' (see Column J – click [+] above Columns H–K).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102" s="8" t="inlineStr">
        <is>
          <t>We will report on ways the University is making research practices more sustainable in the 2026 Sustainability Report, and share practical examples (e.g. green labs) across faculties.</t>
        </is>
      </c>
      <c r="H102" s="8" t="inlineStr">
        <is>
          <t>5c(ii)</t>
        </is>
      </c>
      <c r="I102" s="8" t="inlineStr">
        <is>
          <t>Partially met</t>
        </is>
      </c>
      <c r="J102"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2" s="8" t="inlineStr"/>
      <c r="L102" s="8" t="n"/>
      <c r="M102" s="8" t="n"/>
      <c r="N102" s="8" t="n"/>
      <c r="O102" s="8" t="n"/>
      <c r="P102" s="8" t="n"/>
      <c r="Q102" s="8" t="n"/>
      <c r="R102" s="8" t="n"/>
    </row>
    <row r="103" ht="150" customHeight="1">
      <c r="B103" s="7" t="inlineStr">
        <is>
          <t>TR3(c)</t>
        </is>
      </c>
      <c r="C103" s="12" t="inlineStr">
        <is>
          <t>Transformational research</t>
        </is>
      </c>
      <c r="D103" s="12" t="inlineStr">
        <is>
          <t>Embed sustainability within research systems, processes, capability and culture, so research is conducted responsibly, efficiently and with reduced environmental impact.</t>
        </is>
      </c>
      <c r="E103" s="12" t="inlineStr">
        <is>
          <t>Evidence of progress in sustainability-related research culture, capability and awareness, informed by periodic staff and graduate researcher surveys</t>
        </is>
      </c>
      <c r="F103"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103" s="8" t="inlineStr">
        <is>
          <t>We will use any survey or capability data to describe changes in sustainability-related research culture. Where no evidence exists, this helps us plan University-wide measurement (e.g. staff and graduate researcher surveys) from 2027.</t>
        </is>
      </c>
      <c r="H103" s="8" t="inlineStr">
        <is>
          <t>N/A – new indicator</t>
        </is>
      </c>
      <c r="I103" s="8" t="inlineStr"/>
      <c r="J103" s="8" t="inlineStr"/>
      <c r="K103" s="8" t="inlineStr"/>
      <c r="L103" s="8" t="n"/>
      <c r="M103" s="8" t="n"/>
      <c r="N103" s="8" t="n"/>
      <c r="O103" s="8" t="n"/>
      <c r="P103" s="8" t="n"/>
      <c r="Q103" s="8" t="n"/>
      <c r="R103" s="8" t="n"/>
    </row>
    <row r="104" ht="150" customHeight="1">
      <c r="B104" s="7" t="inlineStr">
        <is>
          <t>TR3(d)</t>
        </is>
      </c>
      <c r="C104" s="12" t="inlineStr">
        <is>
          <t>Transformational research</t>
        </is>
      </c>
      <c r="D104" s="12" t="inlineStr">
        <is>
          <t>Embed sustainability within research systems, processes, capability and culture, so research is conducted responsibly, efficiently and with reduced environmental impact.</t>
        </is>
      </c>
      <c r="E104" s="12" t="inlineStr">
        <is>
          <t>Expert assessment of progress in embedding sustainable research practices across the institution.</t>
        </is>
      </c>
      <c r="F104" s="8" t="inlineStr">
        <is>
          <t>Drawing on your responses to TR3(a)–(c), please provide a short overall assessment (2–3 sentences) of your faculty's progress in embedding sustainable research practices: where progress is strongest, the main gaps, and priority actions for 2027.</t>
        </is>
      </c>
      <c r="G104" s="8" t="inlineStr">
        <is>
          <t>We will use faculty self-assessments to identify strengths, gaps and priority actions in embedding sustainable research practices, to inform internal management reporting and the Transformational research working group.</t>
        </is>
      </c>
      <c r="H104" s="8" t="inlineStr">
        <is>
          <t>N/A – new indicator</t>
        </is>
      </c>
      <c r="I104" s="8" t="inlineStr"/>
      <c r="J104" s="8" t="inlineStr"/>
      <c r="K104" s="8" t="inlineStr"/>
      <c r="L104" s="8" t="n"/>
      <c r="M104" s="8" t="n"/>
      <c r="N104" s="8" t="n"/>
      <c r="O104" s="8" t="n"/>
      <c r="P104" s="8" t="n"/>
      <c r="Q104" s="8" t="n"/>
      <c r="R104" s="8" t="n"/>
    </row>
    <row r="105" ht="150" customHeight="1">
      <c r="B105" s="7" t="inlineStr">
        <is>
          <t>CL2(a)</t>
        </is>
      </c>
      <c r="C105" s="12" t="inlineStr">
        <is>
          <t>Climate leadership</t>
        </is>
      </c>
      <c r="D105" s="12" t="inlineStr">
        <is>
          <t>Develop understanding of our research and education programs that contribute to accelerating global decarbonisation and our own climate transition.</t>
        </is>
      </c>
      <c r="E105" s="12" t="inlineStr">
        <is>
          <t>By 2028, develop and document institutional mapping of research and education activities that are designed to contribute to global decarbonisation</t>
        </is>
      </c>
      <c r="F105"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105" s="8" t="inlineStr">
        <is>
          <t>We will use these examples to show how the University communicates climate research and learning to external audiences, and as an input to the institutional decarbonisation research and education mapping due by 2028.</t>
        </is>
      </c>
      <c r="H105" s="8" t="inlineStr">
        <is>
          <t>N/A – new indicator</t>
        </is>
      </c>
      <c r="I105" s="8" t="inlineStr"/>
      <c r="J105" s="8" t="inlineStr"/>
      <c r="K105" s="8" t="inlineStr"/>
      <c r="L105" s="8" t="n"/>
      <c r="M105" s="8" t="n"/>
      <c r="N105" s="8" t="n"/>
      <c r="O105" s="8" t="n"/>
      <c r="P105" s="8" t="n"/>
      <c r="Q105" s="8" t="n"/>
      <c r="R105" s="8" t="n"/>
    </row>
    <row r="106" ht="150" customHeight="1">
      <c r="B106" s="7" t="inlineStr">
        <is>
          <t>CL2(c)</t>
        </is>
      </c>
      <c r="C106" s="12" t="inlineStr">
        <is>
          <t>Climate leadership</t>
        </is>
      </c>
      <c r="D106" s="12" t="inlineStr">
        <is>
          <t>Develop understanding of our research and education programs that contribute to accelerating global decarbonisation and our own climate transition.</t>
        </is>
      </c>
      <c r="E106" s="12" t="inlineStr">
        <is>
          <t>Ongoing communications that evidence the University’s climate action, research and learning to inform policy, sector and community decarbonisation efforts.</t>
        </is>
      </c>
      <c r="F106"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106" s="8" t="inlineStr">
        <is>
          <t>We will report on the University's ongoing climate communications in the Climate leadership section of the 2026 Sustainability Report, alongside contributions from Melbourne Climate Futures and the Melbourne Energy Institute.</t>
        </is>
      </c>
      <c r="H106" s="8" t="inlineStr">
        <is>
          <t>N/A – new indicator</t>
        </is>
      </c>
      <c r="I106" s="8" t="inlineStr"/>
      <c r="J106" s="8" t="inlineStr"/>
      <c r="K106" s="8" t="inlineStr"/>
      <c r="L106" s="8" t="n"/>
      <c r="M106" s="8" t="n"/>
      <c r="N106" s="8" t="n"/>
      <c r="O106" s="8" t="n"/>
      <c r="P106" s="8" t="n"/>
      <c r="Q106" s="8" t="n"/>
      <c r="R106" s="8" t="n"/>
    </row>
    <row r="107" ht="150" customHeight="1">
      <c r="B107" s="7" t="inlineStr">
        <is>
          <t>EN1(a)</t>
        </is>
      </c>
      <c r="C107" s="12" t="inlineStr">
        <is>
          <t>Enablers</t>
        </is>
      </c>
      <c r="D107" s="12" t="inlineStr">
        <is>
          <t>Enablers</t>
        </is>
      </c>
      <c r="E107" s="12" t="inlineStr">
        <is>
          <t>Evidence of sustainability outcomes informed by Indigenous knowledges</t>
        </is>
      </c>
      <c r="F107" s="8" t="inlineStr">
        <is>
          <t>In end-2025 reporting your faculty reported on the related SP2030 target 6a and rated it 'Partially met' (see Column J – click [+] above Columns H–K).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07" s="8" t="inlineStr">
        <is>
          <t>We will report on the ways Indigenous knowledges inform sustainability activities across the University, and develop selected examples into case studies with appropriate permissions.</t>
        </is>
      </c>
      <c r="H107" s="8" t="inlineStr">
        <is>
          <t>6a</t>
        </is>
      </c>
      <c r="I107" s="8" t="inlineStr">
        <is>
          <t>Partially met</t>
        </is>
      </c>
      <c r="J107"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107" s="8" t="inlineStr"/>
      <c r="L107" s="8" t="n"/>
      <c r="M107" s="8" t="n"/>
      <c r="N107" s="8" t="n"/>
      <c r="O107" s="8" t="n"/>
      <c r="P107" s="8" t="n"/>
      <c r="Q107" s="8" t="n"/>
      <c r="R107" s="8" t="n"/>
    </row>
    <row r="108" ht="150" customHeight="1">
      <c r="B108" s="7" t="inlineStr">
        <is>
          <t>EN1(b)</t>
        </is>
      </c>
      <c r="C108" s="12" t="inlineStr">
        <is>
          <t>Enablers</t>
        </is>
      </c>
      <c r="D108" s="12" t="inlineStr">
        <is>
          <t>Enablers</t>
        </is>
      </c>
      <c r="E108" s="12" t="inlineStr">
        <is>
          <t>Living laboratories enabling applied learning, research and operational sustainability outcomes</t>
        </is>
      </c>
      <c r="F108" s="8" t="inlineStr">
        <is>
          <t>In end-2025 reporting your faculty reported on the related SP2030 target 2a and rated it 'Partially met' (see Column J – click [+] above Columns H–K).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108" s="8" t="inlineStr">
        <is>
          <t>We will share examples of living labs from across the University in the 2026 Sustainability Report, alongside CLLAP projects reported by CI&amp;S.</t>
        </is>
      </c>
      <c r="H108" s="8" t="inlineStr">
        <is>
          <t>2a</t>
        </is>
      </c>
      <c r="I108" s="8" t="inlineStr">
        <is>
          <t>Partially met</t>
        </is>
      </c>
      <c r="J108"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08" s="8" t="inlineStr">
        <is>
          <t>https://www.unimelb.edu.au/newsroom/news/2024/october/native-harvest-cookbook-aims-to-put-indigenous-food-in-every-aussie-kitchen
https://theconversation.com/we-planted-two-woody-meadows-a-decade-ago-to-see-what-would-thrive-now-the-concept-is-popular-across-australia-269611</t>
        </is>
      </c>
      <c r="L108" s="8" t="n"/>
      <c r="M108" s="8" t="n"/>
      <c r="N108" s="8" t="n"/>
      <c r="O108" s="8" t="n"/>
      <c r="P108" s="8" t="n"/>
      <c r="Q108" s="8" t="n"/>
      <c r="R108" s="8" t="n"/>
    </row>
    <row r="109" ht="150" customHeight="1">
      <c r="B109" s="7" t="inlineStr">
        <is>
          <t>EN1(c)</t>
        </is>
      </c>
      <c r="C109" s="12" t="inlineStr">
        <is>
          <t>Enablers</t>
        </is>
      </c>
      <c r="D109" s="12" t="inlineStr">
        <is>
          <t>Enablers</t>
        </is>
      </c>
      <c r="E109" s="12" t="inlineStr">
        <is>
          <t>Coordinated internal engagement and external partnerships contributing to delivery of sustainability outcomes across priority areas.</t>
        </is>
      </c>
      <c r="F109" s="8" t="inlineStr">
        <is>
          <t>In end-2025 reporting your faculty reported on the related SP2030 target 3a(ii) and rated it 'Met or exceeded' (see Column J – click [+] above Columns H–K).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109" s="8" t="inlineStr">
        <is>
          <t>We will report on internal engagement and partnerships contributing to Sustainability 2030 outcomes, and update our record of sustainability-focused communities of practice and contacts across the University.</t>
        </is>
      </c>
      <c r="H109" s="8" t="inlineStr">
        <is>
          <t>3a(ii)</t>
        </is>
      </c>
      <c r="I109" s="8" t="inlineStr">
        <is>
          <t>Met or exceeded</t>
        </is>
      </c>
      <c r="J109"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109" s="8" t="inlineStr"/>
      <c r="L109" s="8" t="n"/>
      <c r="M109" s="8" t="n"/>
      <c r="N109" s="8" t="n"/>
      <c r="O109" s="8" t="n"/>
      <c r="P109" s="8" t="n"/>
      <c r="Q109" s="8" t="n"/>
      <c r="R109" s="8" t="n"/>
    </row>
    <row r="110" ht="150" customHeight="1">
      <c r="B110" s="7" t="inlineStr">
        <is>
          <t>EN1(d)</t>
        </is>
      </c>
      <c r="C110" s="12" t="inlineStr">
        <is>
          <t>Enablers</t>
        </is>
      </c>
      <c r="D110" s="12" t="inlineStr">
        <is>
          <t>Enablers</t>
        </is>
      </c>
      <c r="E110" s="12" t="inlineStr">
        <is>
          <t>Sustainability objectives integrated into governance and decision‑making processes, supported by transparent reporting.</t>
        </is>
      </c>
      <c r="F110"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110" s="8" t="inlineStr">
        <is>
          <t>We will report on how sustainability is integrated into governance and decision-making across faculties and portfolios, and use responses as a baseline for the governance enabler from 2027.</t>
        </is>
      </c>
      <c r="H110" s="8" t="inlineStr">
        <is>
          <t>N/A – new indicator</t>
        </is>
      </c>
      <c r="I110" s="8" t="inlineStr"/>
      <c r="J110" s="8" t="inlineStr"/>
      <c r="K110" s="8" t="inlineStr"/>
      <c r="L110" s="8" t="n"/>
      <c r="M110" s="8" t="n"/>
      <c r="N110" s="8" t="n"/>
      <c r="O110" s="8" t="n"/>
      <c r="P110" s="8" t="n"/>
      <c r="Q110" s="8" t="n"/>
      <c r="R110" s="8" t="n"/>
    </row>
  </sheetData>
  <mergeCells count="12">
    <mergeCell ref="C7:G7"/>
    <mergeCell ref="C34:G34"/>
    <mergeCell ref="H88:K88"/>
    <mergeCell ref="L61:R61"/>
    <mergeCell ref="H61:K61"/>
    <mergeCell ref="L34:R34"/>
    <mergeCell ref="H34:K34"/>
    <mergeCell ref="L88:R88"/>
    <mergeCell ref="L7:R7"/>
    <mergeCell ref="H7:K7"/>
    <mergeCell ref="C61:G61"/>
    <mergeCell ref="C88:G88"/>
  </mergeCells>
  <dataValidations count="8">
    <dataValidation sqref="L10:L29" showDropDown="0" showInputMessage="0" showErrorMessage="0" allowBlank="1" errorTitle="Invalid entry" error="Please select from the dropdown" type="list">
      <formula1>=Lists!$B$3:$B$7</formula1>
    </dataValidation>
    <dataValidation sqref="Q10:Q29" showDropDown="0" showInputMessage="0" showErrorMessage="0" allowBlank="1" errorTitle="Invalid entry" error="Please select from the dropdown" type="list">
      <formula1>=Lists!$C$2:$C$4</formula1>
    </dataValidation>
    <dataValidation sqref="L37:L56" showDropDown="0" showInputMessage="0" showErrorMessage="0" allowBlank="1" errorTitle="Invalid entry" error="Please select from the dropdown" type="list">
      <formula1>=Lists!$B$3:$B$7</formula1>
    </dataValidation>
    <dataValidation sqref="Q37:Q56" showDropDown="0" showInputMessage="0" showErrorMessage="0" allowBlank="1" errorTitle="Invalid entry" error="Please select from the dropdown" type="list">
      <formula1>=Lists!$C$2:$C$4</formula1>
    </dataValidation>
    <dataValidation sqref="L64:L83" showDropDown="0" showInputMessage="0" showErrorMessage="0" allowBlank="1" errorTitle="Invalid entry" error="Please select from the dropdown" type="list">
      <formula1>=Lists!$B$3:$B$7</formula1>
    </dataValidation>
    <dataValidation sqref="Q64:Q83" showDropDown="0" showInputMessage="0" showErrorMessage="0" allowBlank="1" errorTitle="Invalid entry" error="Please select from the dropdown" type="list">
      <formula1>=Lists!$C$2:$C$4</formula1>
    </dataValidation>
    <dataValidation sqref="L91:L110" showDropDown="0" showInputMessage="0" showErrorMessage="0" allowBlank="1" errorTitle="Invalid entry" error="Please select from the dropdown" type="list">
      <formula1>=Lists!$B$3:$B$7</formula1>
    </dataValidation>
    <dataValidation sqref="Q91:Q1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0"/>
    <pageSetUpPr/>
  </sheetPr>
  <dimension ref="A1:R3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9" t="inlineStr">
        <is>
          <t>Consolidated responses – paste from returned request workbooks (identical column layout). Click [+] above Columns H–K for end-2025 responses.</t>
        </is>
      </c>
    </row>
    <row r="5">
      <c r="B5" s="18" t="inlineStr">
        <is>
          <t>1.1  CI&amp;S – Estate Planning &amp; Development (TBC: confirm with Gerard)</t>
        </is>
      </c>
    </row>
    <row r="7">
      <c r="C7" s="19" t="inlineStr">
        <is>
          <t>Sustainability 2030 target and indicator</t>
        </is>
      </c>
      <c r="H7" s="19" t="inlineStr">
        <is>
          <t>End-2025 reporting (for reference – click [+] above to expand)</t>
        </is>
      </c>
      <c r="L7" s="2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21" t="inlineStr">
        <is>
          <t>Confirm end-2026 target status</t>
        </is>
      </c>
      <c r="M8" s="21" t="inlineStr">
        <is>
          <t>OPTION 1:  Target-level reporting (Column D)</t>
        </is>
      </c>
      <c r="N8" s="21" t="inlineStr">
        <is>
          <t>OPTION 2:  Indicator level reporting (Column E/F)</t>
        </is>
      </c>
      <c r="O8" s="21" t="inlineStr">
        <is>
          <t>Supporting information/comments</t>
        </is>
      </c>
      <c r="P8" s="21" t="inlineStr">
        <is>
          <t>Data source and limitations</t>
        </is>
      </c>
      <c r="Q8" s="21" t="inlineStr">
        <is>
          <t>Data owner confirms information is accurate</t>
        </is>
      </c>
      <c r="R8" s="21" t="inlineStr">
        <is>
          <t>Confirmed by (name, role, date)</t>
        </is>
      </c>
    </row>
    <row r="9">
      <c r="B9" s="22" t="inlineStr"/>
      <c r="C9" s="22" t="inlineStr"/>
      <c r="D9" s="22" t="inlineStr"/>
      <c r="E9" s="22" t="inlineStr"/>
      <c r="F9" s="22" t="inlineStr"/>
      <c r="G9" s="22" t="inlineStr"/>
      <c r="H9" s="22" t="inlineStr"/>
      <c r="I9" s="22" t="inlineStr"/>
      <c r="J9" s="22" t="inlineStr"/>
      <c r="K9" s="22" t="inlineStr"/>
      <c r="L9" s="22" t="inlineStr">
        <is>
          <t>(Met or exceeded; partially met; not met; not yet started)</t>
        </is>
      </c>
      <c r="M9" s="22" t="inlineStr">
        <is>
          <t>Provide further evidence of target status assessment in the form of:
A general update on activities in relation to the overarching target (Column D)</t>
        </is>
      </c>
      <c r="N9" s="22" t="inlineStr">
        <is>
          <t>Provide further evidence of target status assessment in the form of:
Data and commentary in direct response to the reporting request (Column F)</t>
        </is>
      </c>
      <c r="O9" s="22" t="inlineStr">
        <is>
          <t>Provide any additional information to support the target status assessment (e.g. links, images, rationale for selection of target status)</t>
        </is>
      </c>
      <c r="P9" s="22" t="inlineStr">
        <is>
          <t>Where did this information come from (system, report, survey, person)? Note any gaps or limitations.</t>
        </is>
      </c>
      <c r="Q9" s="22" t="inlineStr">
        <is>
          <t>Select 'Yes' to confirm the information provided is accurate and can be used for reporting</t>
        </is>
      </c>
      <c r="R9" s="22" t="inlineStr">
        <is>
          <t>Name, role and date of the person confirming</t>
        </is>
      </c>
    </row>
    <row r="10" ht="150" customHeight="1">
      <c r="B10" s="7" t="inlineStr">
        <is>
          <t>CL3(a)</t>
        </is>
      </c>
      <c r="C10" s="12" t="inlineStr">
        <is>
          <t>Climate leadership</t>
        </is>
      </c>
      <c r="D10" s="12" t="inlineStr">
        <is>
          <t>Reach and maintain high levels of climate-change resilience maturity</t>
        </is>
      </c>
      <c r="E10" s="12"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c r="I10" s="8" t="inlineStr"/>
      <c r="J10" s="8" t="inlineStr"/>
      <c r="K10" s="8" t="inlineStr"/>
      <c r="L10" s="8" t="n"/>
      <c r="M10" s="8" t="n"/>
      <c r="N10" s="8" t="n"/>
      <c r="O10" s="8" t="n"/>
      <c r="P10" s="8" t="n"/>
      <c r="Q10" s="8" t="n"/>
      <c r="R10" s="8" t="n"/>
    </row>
    <row r="11" ht="150" customHeight="1">
      <c r="B11" s="7" t="inlineStr">
        <is>
          <t>EI1(a)</t>
        </is>
      </c>
      <c r="C11" s="12" t="inlineStr">
        <is>
          <t>Estate and infrastructure</t>
        </is>
      </c>
      <c r="D11" s="12" t="inlineStr">
        <is>
          <t>Integrate environmental sustainability in the way that the University achieves strategic and operational objectives for our estate and infrastructure.</t>
        </is>
      </c>
      <c r="E11" s="12" t="inlineStr">
        <is>
          <t>Evidence of increased maturity of estate and infrastructure planning, development and operations to support the other priority areas in Sustainability 2030</t>
        </is>
      </c>
      <c r="F11"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c r="I11" s="8" t="inlineStr"/>
      <c r="J11" s="8" t="inlineStr"/>
      <c r="K11" s="8" t="inlineStr"/>
      <c r="L11" s="8" t="n"/>
      <c r="M11" s="8" t="n"/>
      <c r="N11" s="8" t="n"/>
      <c r="O11" s="8" t="n"/>
      <c r="P11" s="8" t="n"/>
      <c r="Q11" s="8" t="n"/>
      <c r="R11" s="8" t="n"/>
    </row>
    <row r="12" ht="150" customHeight="1">
      <c r="B12" s="7" t="inlineStr">
        <is>
          <t>EI1(b)</t>
        </is>
      </c>
      <c r="C12" s="12" t="inlineStr">
        <is>
          <t>Estate and infrastructure</t>
        </is>
      </c>
      <c r="D12" s="12" t="inlineStr">
        <is>
          <t>Integrate environmental sustainability in the way that the University achieves strategic and operational objectives for our estate and infrastructure.</t>
        </is>
      </c>
      <c r="E12" s="12"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c r="I12" s="8" t="inlineStr"/>
      <c r="J12" s="8" t="inlineStr"/>
      <c r="K12" s="8" t="inlineStr"/>
      <c r="L12" s="8" t="n"/>
      <c r="M12" s="8" t="n"/>
      <c r="N12" s="8" t="n"/>
      <c r="O12" s="8" t="n"/>
      <c r="P12" s="8" t="n"/>
      <c r="Q12" s="8" t="n"/>
      <c r="R12" s="8" t="n"/>
    </row>
    <row r="13" ht="150" customHeight="1">
      <c r="B13" s="7" t="inlineStr">
        <is>
          <t>EI1(c)</t>
        </is>
      </c>
      <c r="C13" s="12" t="inlineStr">
        <is>
          <t>Estate and infrastructure</t>
        </is>
      </c>
      <c r="D13" s="12" t="inlineStr">
        <is>
          <t>Integrate environmental sustainability in the way that the University achieves strategic and operational objectives for our estate and infrastructure.</t>
        </is>
      </c>
      <c r="E13" s="12"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c r="I13" s="8" t="inlineStr"/>
      <c r="J13" s="8" t="inlineStr"/>
      <c r="K13" s="8" t="inlineStr"/>
      <c r="L13" s="8" t="n"/>
      <c r="M13" s="8" t="n"/>
      <c r="N13" s="8" t="n"/>
      <c r="O13" s="8" t="n"/>
      <c r="P13" s="8" t="n"/>
      <c r="Q13" s="8" t="n"/>
      <c r="R13" s="8" t="n"/>
    </row>
    <row r="14" ht="150" customHeight="1">
      <c r="B14" s="7" t="inlineStr">
        <is>
          <t>EI1(d)</t>
        </is>
      </c>
      <c r="C14" s="12" t="inlineStr">
        <is>
          <t>Estate and infrastructure</t>
        </is>
      </c>
      <c r="D14" s="12" t="inlineStr">
        <is>
          <t>Integrate environmental sustainability in the way that the University achieves strategic and operational objectives for our estate and infrastructure.</t>
        </is>
      </c>
      <c r="E14" s="12"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c r="I14" s="8" t="inlineStr"/>
      <c r="J14" s="8" t="inlineStr"/>
      <c r="K14" s="8" t="inlineStr"/>
      <c r="L14" s="8" t="n"/>
      <c r="M14" s="8" t="n"/>
      <c r="N14" s="8" t="n"/>
      <c r="O14" s="8" t="n"/>
      <c r="P14" s="8" t="n"/>
      <c r="Q14" s="8" t="n"/>
      <c r="R14" s="8" t="n"/>
    </row>
    <row r="17">
      <c r="B17" s="18" t="inlineStr">
        <is>
          <t>1.2  CI&amp;S – Sustainability Strategy (incl. CLLAP)</t>
        </is>
      </c>
    </row>
    <row r="19">
      <c r="C19" s="19" t="inlineStr">
        <is>
          <t>Sustainability 2030 target and indicator</t>
        </is>
      </c>
      <c r="H19" s="19" t="inlineStr">
        <is>
          <t>End-2025 reporting (for reference – click [+] above to expand)</t>
        </is>
      </c>
      <c r="L19" s="20"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21" t="inlineStr">
        <is>
          <t>Confirm end-2026 target status</t>
        </is>
      </c>
      <c r="M20" s="21" t="inlineStr">
        <is>
          <t>OPTION 1:  Target-level reporting (Column D)</t>
        </is>
      </c>
      <c r="N20" s="21" t="inlineStr">
        <is>
          <t>OPTION 2:  Indicator level reporting (Column E/F)</t>
        </is>
      </c>
      <c r="O20" s="21" t="inlineStr">
        <is>
          <t>Supporting information/comments</t>
        </is>
      </c>
      <c r="P20" s="21" t="inlineStr">
        <is>
          <t>Data source and limitations</t>
        </is>
      </c>
      <c r="Q20" s="21" t="inlineStr">
        <is>
          <t>Data owner confirms information is accurate</t>
        </is>
      </c>
      <c r="R20" s="21" t="inlineStr">
        <is>
          <t>Confirmed by (name, role, date)</t>
        </is>
      </c>
    </row>
    <row r="21">
      <c r="B21" s="22" t="inlineStr"/>
      <c r="C21" s="22" t="inlineStr"/>
      <c r="D21" s="22" t="inlineStr"/>
      <c r="E21" s="22" t="inlineStr"/>
      <c r="F21" s="22" t="inlineStr"/>
      <c r="G21" s="22" t="inlineStr"/>
      <c r="H21" s="22" t="inlineStr"/>
      <c r="I21" s="22" t="inlineStr"/>
      <c r="J21" s="22" t="inlineStr"/>
      <c r="K21" s="22" t="inlineStr"/>
      <c r="L21" s="22" t="inlineStr">
        <is>
          <t>(Met or exceeded; partially met; not met; not yet started)</t>
        </is>
      </c>
      <c r="M21" s="22" t="inlineStr">
        <is>
          <t>Provide further evidence of target status assessment in the form of:
A general update on activities in relation to the overarching target (Column D)</t>
        </is>
      </c>
      <c r="N21" s="22" t="inlineStr">
        <is>
          <t>Provide further evidence of target status assessment in the form of:
Data and commentary in direct response to the reporting request (Column F)</t>
        </is>
      </c>
      <c r="O21" s="22" t="inlineStr">
        <is>
          <t>Provide any additional information to support the target status assessment (e.g. links, images, rationale for selection of target status)</t>
        </is>
      </c>
      <c r="P21" s="22" t="inlineStr">
        <is>
          <t>Where did this information come from (system, report, survey, person)? Note any gaps or limitations.</t>
        </is>
      </c>
      <c r="Q21" s="22" t="inlineStr">
        <is>
          <t>Select 'Yes' to confirm the information provided is accurate and can be used for reporting</t>
        </is>
      </c>
      <c r="R21" s="22" t="inlineStr">
        <is>
          <t>Name, role and date of the person confirming</t>
        </is>
      </c>
    </row>
    <row r="22" ht="150" customHeight="1">
      <c r="B22" s="7" t="inlineStr">
        <is>
          <t>EE1(a)</t>
        </is>
      </c>
      <c r="C22" s="12" t="inlineStr">
        <is>
          <t>Exceptional education</t>
        </is>
      </c>
      <c r="D22" s="12" t="inlineStr">
        <is>
          <t>Provide our students with learning experiences that help them build the knowledge, skills and relationships to lead change for sustainable societies.</t>
        </is>
      </c>
      <c r="E22" s="12"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innovative sustainability teaching and learning across faculties to inform the Exceptional education section of the 2026 Sustainability Report, and select one or two for short case studies.</t>
        </is>
      </c>
      <c r="H22" s="8" t="inlineStr"/>
      <c r="I22" s="8" t="inlineStr"/>
      <c r="J22" s="8" t="inlineStr"/>
      <c r="K22" s="8" t="inlineStr"/>
      <c r="L22" s="8" t="n"/>
      <c r="M22" s="8" t="n"/>
      <c r="N22" s="8" t="n"/>
      <c r="O22" s="8" t="n"/>
      <c r="P22" s="8" t="n"/>
      <c r="Q22" s="8" t="n"/>
      <c r="R22" s="8" t="n"/>
    </row>
    <row r="23" ht="150" customHeight="1">
      <c r="B23" s="7" t="inlineStr">
        <is>
          <t>EE1(b)</t>
        </is>
      </c>
      <c r="C23" s="12" t="inlineStr">
        <is>
          <t>Exceptional education</t>
        </is>
      </c>
      <c r="D23" s="12" t="inlineStr">
        <is>
          <t>Provide our students with learning experiences that help them build the knowledge, skills and relationships to lead change for sustainable societies.</t>
        </is>
      </c>
      <c r="E23" s="12"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c r="I23" s="8" t="inlineStr"/>
      <c r="J23" s="8" t="inlineStr"/>
      <c r="K23" s="8" t="inlineStr"/>
      <c r="L23" s="8" t="n"/>
      <c r="M23" s="8" t="n"/>
      <c r="N23" s="8" t="n"/>
      <c r="O23" s="8" t="n"/>
      <c r="P23" s="8" t="n"/>
      <c r="Q23" s="8" t="n"/>
      <c r="R23" s="8" t="n"/>
    </row>
    <row r="24" ht="150" customHeight="1">
      <c r="B24" s="7" t="inlineStr">
        <is>
          <t>EE1(c)</t>
        </is>
      </c>
      <c r="C24" s="12" t="inlineStr">
        <is>
          <t>Exceptional education</t>
        </is>
      </c>
      <c r="D24" s="12" t="inlineStr">
        <is>
          <t>Provide our students with learning experiences that help them build the knowledge, skills and relationships to lead change for sustainable societies.</t>
        </is>
      </c>
      <c r="E24" s="12"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c r="I24" s="8" t="inlineStr"/>
      <c r="J24" s="8" t="inlineStr"/>
      <c r="K24" s="8" t="inlineStr"/>
      <c r="L24" s="8" t="n"/>
      <c r="M24" s="8" t="n"/>
      <c r="N24" s="8" t="n"/>
      <c r="O24" s="8" t="n"/>
      <c r="P24" s="8" t="n"/>
      <c r="Q24" s="8" t="n"/>
      <c r="R24" s="8" t="n"/>
    </row>
    <row r="25" ht="150" customHeight="1">
      <c r="B25" s="7" t="inlineStr">
        <is>
          <t>EE1(d)</t>
        </is>
      </c>
      <c r="C25" s="12" t="inlineStr">
        <is>
          <t>Exceptional education</t>
        </is>
      </c>
      <c r="D25" s="12" t="inlineStr">
        <is>
          <t>Provide our students with learning experiences that help them build the knowledge, skills and relationships to lead change for sustainable societies.</t>
        </is>
      </c>
      <c r="E25" s="12" t="inlineStr">
        <is>
          <t>Alumni profiles demonstrating how graduates contribute to sustainability through their careers or communities.</t>
        </is>
      </c>
      <c r="F25"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25" s="8" t="inlineStr">
        <is>
          <t>We will use nominated alumni to develop short graduate profiles for the 2026 Sustainability Report (subject to consent), and record any faculty approaches to tracking graduate outcomes to inform how this indicator is measured from 2027.</t>
        </is>
      </c>
      <c r="H25" s="8" t="inlineStr"/>
      <c r="I25" s="8" t="inlineStr"/>
      <c r="J25" s="8" t="inlineStr"/>
      <c r="K25" s="8" t="inlineStr"/>
      <c r="L25" s="8" t="n"/>
      <c r="M25" s="8" t="n"/>
      <c r="N25" s="8" t="n"/>
      <c r="O25" s="8" t="n"/>
      <c r="P25" s="8" t="n"/>
      <c r="Q25" s="8" t="n"/>
      <c r="R25" s="8" t="n"/>
    </row>
    <row r="26" ht="150" customHeight="1">
      <c r="B26" s="7" t="inlineStr">
        <is>
          <t>TR1(a)</t>
        </is>
      </c>
      <c r="C26" s="12" t="inlineStr">
        <is>
          <t>Transformational research</t>
        </is>
      </c>
      <c r="D26" s="12" t="inlineStr">
        <is>
          <t>Utilise the expertise of the University’s researchers through mutually beneficial partnerships to help address the University’s operational sustainability challenges.</t>
        </is>
      </c>
      <c r="E26" s="12" t="inlineStr">
        <is>
          <t>Expert-reviewed evidence of researchers contributing to operational sustainability priorities through partnerships, advisory input, living labs, applied projects or decision-support</t>
        </is>
      </c>
      <c r="F26"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6" s="8" t="inlineStr">
        <is>
          <t>We will report on examples of researchers helping solve the University's own operational sustainability challenges, alongside CLLAP projects reported by CI&amp;S, and share them with operational teams to identify further collaboration.</t>
        </is>
      </c>
      <c r="H26" s="8" t="inlineStr"/>
      <c r="I26" s="8" t="inlineStr"/>
      <c r="J26" s="8" t="inlineStr"/>
      <c r="K26" s="8" t="inlineStr"/>
      <c r="L26" s="8" t="n"/>
      <c r="M26" s="8" t="n"/>
      <c r="N26" s="8" t="n"/>
      <c r="O26" s="8" t="n"/>
      <c r="P26" s="8" t="n"/>
      <c r="Q26" s="8" t="n"/>
      <c r="R26" s="8" t="n"/>
    </row>
    <row r="27" ht="150" customHeight="1">
      <c r="B27" s="7" t="inlineStr">
        <is>
          <t>TR2(d)</t>
        </is>
      </c>
      <c r="C27" s="12" t="inlineStr">
        <is>
          <t>Transformational research</t>
        </is>
      </c>
      <c r="D27" s="12" t="inlineStr">
        <is>
          <t>Deliver high-quality research and partnerships that contribute to sustainability outcomes and demonstrable societal benefit.</t>
        </is>
      </c>
      <c r="E27" s="12" t="inlineStr">
        <is>
          <t>Case-based evidence demonstrating how research has contributed to meaningful sustainability outcomes.</t>
        </is>
      </c>
      <c r="F27"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7" s="8" t="inlineStr">
        <is>
          <t>We will select the strongest examples to develop as full research case studies for the 2026 Sustainability Report (we may contact you for more detail and images).</t>
        </is>
      </c>
      <c r="H27" s="8" t="inlineStr"/>
      <c r="I27" s="8" t="inlineStr"/>
      <c r="J27" s="8" t="inlineStr"/>
      <c r="K27" s="8" t="inlineStr"/>
      <c r="L27" s="8" t="n"/>
      <c r="M27" s="8" t="n"/>
      <c r="N27" s="8" t="n"/>
      <c r="O27" s="8" t="n"/>
      <c r="P27" s="8" t="n"/>
      <c r="Q27" s="8" t="n"/>
      <c r="R27" s="8" t="n"/>
    </row>
    <row r="28" ht="150" customHeight="1">
      <c r="B28" s="7" t="inlineStr">
        <is>
          <t>TR3(a)</t>
        </is>
      </c>
      <c r="C28" s="12" t="inlineStr">
        <is>
          <t>Transformational research</t>
        </is>
      </c>
      <c r="D28" s="12" t="inlineStr">
        <is>
          <t>Embed sustainability within research systems, processes, capability and culture, so research is conducted responsibly, efficiently and with reduced environmental impact.</t>
        </is>
      </c>
      <c r="E28" s="12" t="inlineStr">
        <is>
          <t>Evidence that sustainability considerations are integrated into relevant research systems, planning processes, guidance, training, induction or support services</t>
        </is>
      </c>
      <c r="F28" s="8" t="inlineStr">
        <is>
          <t>Please describe how sustainability considerations are integrated into research systems, planning processes, guidance, training, induction or support services within your Faculty/Portfolio, could include examples of any new or improved processes.</t>
        </is>
      </c>
      <c r="G28" s="8" t="inlineStr">
        <is>
          <t>We will report on how sustainability is being built into research systems and support across the University, and use responses to establish a baseline for this new target.</t>
        </is>
      </c>
      <c r="H28" s="8" t="inlineStr"/>
      <c r="I28" s="8" t="inlineStr"/>
      <c r="J28" s="8" t="inlineStr"/>
      <c r="K28" s="8" t="inlineStr"/>
      <c r="L28" s="8" t="n"/>
      <c r="M28" s="8" t="n"/>
      <c r="N28" s="8" t="n"/>
      <c r="O28" s="8" t="n"/>
      <c r="P28" s="8" t="n"/>
      <c r="Q28" s="8" t="n"/>
      <c r="R28" s="8" t="n"/>
    </row>
    <row r="29" ht="150" customHeight="1">
      <c r="B29" s="7" t="inlineStr">
        <is>
          <t>TR3(b)</t>
        </is>
      </c>
      <c r="C29" s="12" t="inlineStr">
        <is>
          <t>Transformational research</t>
        </is>
      </c>
      <c r="D29" s="12" t="inlineStr">
        <is>
          <t>Embed sustainability within research systems, processes, capability and culture, so research is conducted responsibly, efficiently and with reduced environmental impact.</t>
        </is>
      </c>
      <c r="E29" s="12" t="inlineStr">
        <is>
          <t>Demonstrated examples of more sustainable research practices in laboratories, fieldwork, procurement, travel or infrastructure use</t>
        </is>
      </c>
      <c r="F29"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9" s="8" t="inlineStr">
        <is>
          <t>We will report on ways the University is making research practices more sustainable in the 2026 Sustainability Report, and share practical examples (e.g. green labs) across faculties.</t>
        </is>
      </c>
      <c r="H29" s="8" t="inlineStr"/>
      <c r="I29" s="8" t="inlineStr"/>
      <c r="J29" s="8" t="inlineStr"/>
      <c r="K29" s="8" t="inlineStr"/>
      <c r="L29" s="8" t="n"/>
      <c r="M29" s="8" t="n"/>
      <c r="N29" s="8" t="n"/>
      <c r="O29" s="8" t="n"/>
      <c r="P29" s="8" t="n"/>
      <c r="Q29" s="8" t="n"/>
      <c r="R29" s="8" t="n"/>
    </row>
    <row r="30" ht="150" customHeight="1">
      <c r="B30" s="7" t="inlineStr">
        <is>
          <t>CL1(c)</t>
        </is>
      </c>
      <c r="C30" s="12" t="inlineStr">
        <is>
          <t>Climate leadership</t>
        </is>
      </c>
      <c r="D30" s="12"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0" s="12" t="inlineStr">
        <is>
          <t>Review of Climate Leadership targets by 2030.[2]</t>
        </is>
      </c>
      <c r="F30" s="8" t="inlineStr">
        <is>
          <t>(Reporting request TBC)</t>
        </is>
      </c>
      <c r="G30" s="8" t="inlineStr">
        <is>
          <t>For internal planning: we will record the status of the planned review of Climate Leadership targets (due by 2030).</t>
        </is>
      </c>
      <c r="H30" s="8" t="inlineStr"/>
      <c r="I30" s="8" t="inlineStr"/>
      <c r="J30" s="8" t="inlineStr"/>
      <c r="K30" s="8" t="inlineStr"/>
      <c r="L30" s="8" t="n"/>
      <c r="M30" s="8" t="n"/>
      <c r="N30" s="8" t="n"/>
      <c r="O30" s="8" t="n"/>
      <c r="P30" s="8" t="n"/>
      <c r="Q30" s="8" t="n"/>
      <c r="R30" s="8" t="n"/>
    </row>
    <row r="31" ht="150" customHeight="1">
      <c r="B31" s="7" t="inlineStr">
        <is>
          <t>CL2(a)</t>
        </is>
      </c>
      <c r="C31" s="12" t="inlineStr">
        <is>
          <t>Climate leadership</t>
        </is>
      </c>
      <c r="D31" s="12" t="inlineStr">
        <is>
          <t>Develop understanding of our research and education programs that contribute to accelerating global decarbonisation and our own climate transition.</t>
        </is>
      </c>
      <c r="E31" s="12" t="inlineStr">
        <is>
          <t>By 2028, develop and document institutional mapping of research and education activities that are designed to contribute to global decarbonisation</t>
        </is>
      </c>
      <c r="F3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1" s="8" t="inlineStr">
        <is>
          <t>We will use these examples to show how the University communicates climate research and learning to external audiences, and as an input to the institutional decarbonisation research and education mapping due by 2028.</t>
        </is>
      </c>
      <c r="H31" s="8" t="inlineStr"/>
      <c r="I31" s="8" t="inlineStr"/>
      <c r="J31" s="8" t="inlineStr"/>
      <c r="K31" s="8" t="inlineStr"/>
      <c r="L31" s="8" t="n"/>
      <c r="M31" s="8" t="n"/>
      <c r="N31" s="8" t="n"/>
      <c r="O31" s="8" t="n"/>
      <c r="P31" s="8" t="n"/>
      <c r="Q31" s="8" t="n"/>
      <c r="R31" s="8" t="n"/>
    </row>
    <row r="32" ht="150" customHeight="1">
      <c r="B32" s="7" t="inlineStr">
        <is>
          <t>AI1(a)</t>
        </is>
      </c>
      <c r="C32" s="12" t="inlineStr">
        <is>
          <t>Responsible AI</t>
        </is>
      </c>
      <c r="D32" s="12" t="inlineStr">
        <is>
          <t>Improve understanding of our sustainability-related risks and opportunities of AI technologies by 2028.</t>
        </is>
      </c>
      <c r="E32" s="12" t="inlineStr">
        <is>
          <t>Established measurement of estimated operational impacts and opportunities (eg operational impacts could include energy, water, emissions and intensity measures)</t>
        </is>
      </c>
      <c r="F32" s="8" t="inlineStr">
        <is>
          <t>(Reporting request TBC)</t>
        </is>
      </c>
      <c r="G32" s="8" t="inlineStr">
        <is>
          <t>We will provide a high-level overview of AI's estimated operational impacts and opportunities in 2026, ahead of more detailed measurement from 2027.</t>
        </is>
      </c>
      <c r="H32" s="8" t="inlineStr"/>
      <c r="I32" s="8" t="inlineStr"/>
      <c r="J32" s="8" t="inlineStr"/>
      <c r="K32" s="8" t="inlineStr"/>
      <c r="L32" s="8" t="n"/>
      <c r="M32" s="8" t="n"/>
      <c r="N32" s="8" t="n"/>
      <c r="O32" s="8" t="n"/>
      <c r="P32" s="8" t="n"/>
      <c r="Q32" s="8" t="n"/>
      <c r="R32" s="8" t="n"/>
    </row>
    <row r="33" ht="150" customHeight="1">
      <c r="B33" s="7" t="inlineStr">
        <is>
          <t>AI1(b)</t>
        </is>
      </c>
      <c r="C33" s="12" t="inlineStr">
        <is>
          <t>Responsible AI</t>
        </is>
      </c>
      <c r="D33" s="12" t="inlineStr">
        <is>
          <t>Improve understanding of our sustainability-related risks and opportunities of AI technologies by 2028.</t>
        </is>
      </c>
      <c r="E33" s="12" t="inlineStr">
        <is>
          <t>Case studies of sustainability and AI-related education, research and collaboration activities.</t>
        </is>
      </c>
      <c r="F33" s="8" t="inlineStr">
        <is>
          <t>Please provide case studies from your Faculty/Portfolio of sustainability and AI-related education, research or collaboration activities, describing the activity, participants or partners, sustainability issue addressed and key outcomes or lessons.</t>
        </is>
      </c>
      <c r="G33" s="8" t="inlineStr">
        <is>
          <t>We will select examples of sustainability and AI-related education, research and collaboration as case studies for the new Responsible AI section of the 2026 Sustainability Report.</t>
        </is>
      </c>
      <c r="H33" s="8" t="inlineStr"/>
      <c r="I33" s="8" t="inlineStr"/>
      <c r="J33" s="8" t="inlineStr"/>
      <c r="K33" s="8" t="inlineStr"/>
      <c r="L33" s="8" t="n"/>
      <c r="M33" s="8" t="n"/>
      <c r="N33" s="8" t="n"/>
      <c r="O33" s="8" t="n"/>
      <c r="P33" s="8" t="n"/>
      <c r="Q33" s="8" t="n"/>
      <c r="R33" s="8" t="n"/>
    </row>
    <row r="34" ht="150" customHeight="1">
      <c r="B34" s="7" t="inlineStr">
        <is>
          <t>MS1(a)</t>
        </is>
      </c>
      <c r="C34" s="12" t="inlineStr">
        <is>
          <t>Modern slavery and human rights</t>
        </is>
      </c>
      <c r="D34" s="12" t="inlineStr">
        <is>
          <t>Manage our approach to modern slavery and human rights-related risks and opportunities.</t>
        </is>
      </c>
      <c r="E34" s="12" t="inlineStr">
        <is>
          <t>Annual progress reporting via the Modern Slavery Statement</t>
        </is>
      </c>
      <c r="F34" s="8" t="inlineStr">
        <is>
          <t>Annual Modern Slavery Statement, with case studies</t>
        </is>
      </c>
      <c r="G34" s="8" t="inlineStr">
        <is>
          <t>We will draw on the annual Modern Slavery Statement and case studies to report on the University's approach to modern slavery and human rights risks (timing to be aligned with the Statement).</t>
        </is>
      </c>
      <c r="H34" s="8" t="inlineStr"/>
      <c r="I34" s="8" t="inlineStr"/>
      <c r="J34" s="8" t="inlineStr"/>
      <c r="K34" s="8" t="inlineStr"/>
      <c r="L34" s="8" t="n"/>
      <c r="M34" s="8" t="n"/>
      <c r="N34" s="8" t="n"/>
      <c r="O34" s="8" t="n"/>
      <c r="P34" s="8" t="n"/>
      <c r="Q34" s="8" t="n"/>
      <c r="R34" s="8" t="n"/>
    </row>
    <row r="35" ht="150" customHeight="1">
      <c r="B35" s="7" t="inlineStr">
        <is>
          <t>RI1(b)</t>
        </is>
      </c>
      <c r="C35" s="12" t="inlineStr">
        <is>
          <t>Responsible investments</t>
        </is>
      </c>
      <c r="D35" s="12" t="inlineStr">
        <is>
          <t>Achieve net zero financed emissions for the University’s investment portfolio by 2050.</t>
        </is>
      </c>
      <c r="E35" s="12" t="inlineStr">
        <is>
          <t>Continuous improvement of the reporting of the University’s sustainability-related investment profile metrics, could include investment in climate mitigation and transition solutions, and compliance with related obligations (eg UNPRI).</t>
        </is>
      </c>
      <c r="F35" s="8" t="inlineStr">
        <is>
          <t>Report on relevant sustainability-related investment portfolio metrics and report on how the University has complied with its related obligations</t>
        </is>
      </c>
      <c r="G35" s="8" t="inlineStr">
        <is>
          <t>We will report on sustainability-related investment portfolio metrics and the University's compliance with related obligations (e.g. UNPRI) in the Responsible investments section of the 2026 Sustainability Report.</t>
        </is>
      </c>
      <c r="H35" s="8" t="inlineStr"/>
      <c r="I35" s="8" t="inlineStr"/>
      <c r="J35" s="8" t="inlineStr"/>
      <c r="K35" s="8" t="inlineStr"/>
      <c r="L35" s="8" t="n"/>
      <c r="M35" s="8" t="n"/>
      <c r="N35" s="8" t="n"/>
      <c r="O35" s="8" t="n"/>
      <c r="P35" s="8" t="n"/>
      <c r="Q35" s="8" t="n"/>
      <c r="R35" s="8" t="n"/>
    </row>
    <row r="36" ht="150" customHeight="1">
      <c r="B36" s="7" t="inlineStr">
        <is>
          <t>EN1(b)</t>
        </is>
      </c>
      <c r="C36" s="12" t="inlineStr">
        <is>
          <t>Enablers</t>
        </is>
      </c>
      <c r="D36" s="12" t="inlineStr">
        <is>
          <t>Enablers</t>
        </is>
      </c>
      <c r="E36" s="12" t="inlineStr">
        <is>
          <t>Living laboratories enabling applied learning, research and operational sustainability outcomes</t>
        </is>
      </c>
      <c r="F36" s="8" t="inlineStr">
        <is>
          <t>Comment on living labs in the Faculty - outputs, outcomes, and impact</t>
        </is>
      </c>
      <c r="G36" s="8" t="inlineStr">
        <is>
          <t>We will share examples of living labs from across the University in the 2026 Sustainability Report, alongside CLLAP projects reported by CI&amp;S.</t>
        </is>
      </c>
      <c r="H36" s="8" t="inlineStr"/>
      <c r="I36" s="8" t="inlineStr"/>
      <c r="J36" s="8" t="inlineStr"/>
      <c r="K36" s="8" t="inlineStr"/>
      <c r="L36" s="8" t="n"/>
      <c r="M36" s="8" t="n"/>
      <c r="N36" s="8" t="n"/>
      <c r="O36" s="8" t="n"/>
      <c r="P36" s="8" t="n"/>
      <c r="Q36" s="8" t="n"/>
      <c r="R36" s="8" t="n"/>
    </row>
    <row r="37" ht="150" customHeight="1">
      <c r="B37" s="7" t="inlineStr">
        <is>
          <t>EN1(c)</t>
        </is>
      </c>
      <c r="C37" s="12" t="inlineStr">
        <is>
          <t>Enablers</t>
        </is>
      </c>
      <c r="D37" s="12" t="inlineStr">
        <is>
          <t>Enablers</t>
        </is>
      </c>
      <c r="E37" s="12" t="inlineStr">
        <is>
          <t>Coordinated internal engagement and external partnerships contributing to delivery of sustainability outcomes across priority areas.</t>
        </is>
      </c>
      <c r="F37"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7" s="8" t="inlineStr">
        <is>
          <t>We will report on internal engagement and partnerships contributing to Sustainability 2030 outcomes, and update our record of sustainability-focused communities of practice and contacts across the University.</t>
        </is>
      </c>
      <c r="H37" s="8" t="inlineStr"/>
      <c r="I37" s="8" t="inlineStr"/>
      <c r="J37" s="8" t="inlineStr"/>
      <c r="K37" s="8" t="inlineStr"/>
      <c r="L37" s="8" t="n"/>
      <c r="M37" s="8" t="n"/>
      <c r="N37" s="8" t="n"/>
      <c r="O37" s="8" t="n"/>
      <c r="P37" s="8" t="n"/>
      <c r="Q37" s="8" t="n"/>
      <c r="R37" s="8" t="n"/>
    </row>
    <row r="38" ht="150" customHeight="1">
      <c r="B38" s="7" t="inlineStr">
        <is>
          <t>EN1(d)</t>
        </is>
      </c>
      <c r="C38" s="12" t="inlineStr">
        <is>
          <t>Enablers</t>
        </is>
      </c>
      <c r="D38" s="12" t="inlineStr">
        <is>
          <t>Enablers</t>
        </is>
      </c>
      <c r="E38" s="12" t="inlineStr">
        <is>
          <t>Sustainability objectives integrated into governance and decision‑making processes, supported by transparent reporting.</t>
        </is>
      </c>
      <c r="F38"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8" s="8" t="inlineStr">
        <is>
          <t>We will report on how sustainability is integrated into governance and decision-making across faculties and portfolios, and use responses as a baseline for the governance enabler from 2027.</t>
        </is>
      </c>
      <c r="H38" s="8" t="inlineStr"/>
      <c r="I38" s="8" t="inlineStr"/>
      <c r="J38" s="8" t="inlineStr"/>
      <c r="K38" s="8" t="inlineStr"/>
      <c r="L38" s="8" t="n"/>
      <c r="M38" s="8" t="n"/>
      <c r="N38" s="8" t="n"/>
      <c r="O38" s="8" t="n"/>
      <c r="P38" s="8" t="n"/>
      <c r="Q38" s="8" t="n"/>
      <c r="R38" s="8" t="n"/>
    </row>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8" showDropDown="0" showInputMessage="0" showErrorMessage="0" allowBlank="1" errorTitle="Invalid entry" error="Please select from the dropdown" type="list">
      <formula1>=Lists!$B$3:$B$7</formula1>
    </dataValidation>
    <dataValidation sqref="Q22:Q38"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R2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9" t="inlineStr">
        <is>
          <t>Consolidated responses – paste from returned request workbooks (identical column layout). Click [+] above Columns H–K for end-2025 responses.</t>
        </is>
      </c>
    </row>
    <row r="5">
      <c r="B5" s="18" t="inlineStr">
        <is>
          <t>1.1  CFOG – Procurement</t>
        </is>
      </c>
    </row>
    <row r="7">
      <c r="C7" s="19" t="inlineStr">
        <is>
          <t>Sustainability 2030 target and indicator</t>
        </is>
      </c>
      <c r="H7" s="19" t="inlineStr">
        <is>
          <t>End-2025 reporting (for reference – click [+] above to expand)</t>
        </is>
      </c>
      <c r="L7" s="2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21" t="inlineStr">
        <is>
          <t>Confirm end-2026 target status</t>
        </is>
      </c>
      <c r="M8" s="21" t="inlineStr">
        <is>
          <t>OPTION 1:  Target-level reporting (Column D)</t>
        </is>
      </c>
      <c r="N8" s="21" t="inlineStr">
        <is>
          <t>OPTION 2:  Indicator level reporting (Column E/F)</t>
        </is>
      </c>
      <c r="O8" s="21" t="inlineStr">
        <is>
          <t>Supporting information/comments</t>
        </is>
      </c>
      <c r="P8" s="21" t="inlineStr">
        <is>
          <t>Data source and limitations</t>
        </is>
      </c>
      <c r="Q8" s="21" t="inlineStr">
        <is>
          <t>Data owner confirms information is accurate</t>
        </is>
      </c>
      <c r="R8" s="21" t="inlineStr">
        <is>
          <t>Confirmed by (name, role, date)</t>
        </is>
      </c>
    </row>
    <row r="9">
      <c r="B9" s="22" t="inlineStr"/>
      <c r="C9" s="22" t="inlineStr"/>
      <c r="D9" s="22" t="inlineStr"/>
      <c r="E9" s="22" t="inlineStr"/>
      <c r="F9" s="22" t="inlineStr"/>
      <c r="G9" s="22" t="inlineStr"/>
      <c r="H9" s="22" t="inlineStr"/>
      <c r="I9" s="22" t="inlineStr"/>
      <c r="J9" s="22" t="inlineStr"/>
      <c r="K9" s="22" t="inlineStr"/>
      <c r="L9" s="22" t="inlineStr">
        <is>
          <t>(Met or exceeded; partially met; not met; not yet started)</t>
        </is>
      </c>
      <c r="M9" s="22" t="inlineStr">
        <is>
          <t>Provide further evidence of target status assessment in the form of:
A general update on activities in relation to the overarching target (Column D)</t>
        </is>
      </c>
      <c r="N9" s="22" t="inlineStr">
        <is>
          <t>Provide further evidence of target status assessment in the form of:
Data and commentary in direct response to the reporting request (Column F)</t>
        </is>
      </c>
      <c r="O9" s="22" t="inlineStr">
        <is>
          <t>Provide any additional information to support the target status assessment (e.g. links, images, rationale for selection of target status)</t>
        </is>
      </c>
      <c r="P9" s="22" t="inlineStr">
        <is>
          <t>Where did this information come from (system, report, survey, person)? Note any gaps or limitations.</t>
        </is>
      </c>
      <c r="Q9" s="22" t="inlineStr">
        <is>
          <t>Select 'Yes' to confirm the information provided is accurate and can be used for reporting</t>
        </is>
      </c>
      <c r="R9" s="22" t="inlineStr">
        <is>
          <t>Name, role and date of the person confirming</t>
        </is>
      </c>
    </row>
    <row r="10" ht="150" customHeight="1">
      <c r="B10" s="7" t="inlineStr">
        <is>
          <t>TR3(b)</t>
        </is>
      </c>
      <c r="C10" s="12" t="inlineStr">
        <is>
          <t>Transformational research</t>
        </is>
      </c>
      <c r="D10" s="12" t="inlineStr">
        <is>
          <t>Embed sustainability within research systems, processes, capability and culture, so research is conducted responsibly, efficiently and with reduced environmental impact.</t>
        </is>
      </c>
      <c r="E10" s="12"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c r="I10" s="8" t="inlineStr"/>
      <c r="J10" s="8" t="inlineStr"/>
      <c r="K10" s="8" t="inlineStr"/>
      <c r="L10" s="8" t="n"/>
      <c r="M10" s="8" t="n"/>
      <c r="N10" s="8" t="n"/>
      <c r="O10" s="8" t="n"/>
      <c r="P10" s="8" t="n"/>
      <c r="Q10" s="8" t="n"/>
      <c r="R10" s="8" t="n"/>
    </row>
    <row r="11" ht="150" customHeight="1">
      <c r="B11" s="7" t="inlineStr">
        <is>
          <t>NB2(c)</t>
        </is>
      </c>
      <c r="C11" s="12" t="inlineStr">
        <is>
          <t>Nature and biodiversity</t>
        </is>
      </c>
      <c r="D11" s="12" t="inlineStr">
        <is>
          <t>Improve our understanding of our supply chain impacts on nature.</t>
        </is>
      </c>
      <c r="E11" s="12"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c r="I11" s="8" t="inlineStr"/>
      <c r="J11" s="8" t="inlineStr"/>
      <c r="K11" s="8" t="inlineStr"/>
      <c r="L11" s="8" t="n"/>
      <c r="M11" s="8" t="n"/>
      <c r="N11" s="8" t="n"/>
      <c r="O11" s="8" t="n"/>
      <c r="P11" s="8" t="n"/>
      <c r="Q11" s="8" t="n"/>
      <c r="R11" s="8" t="n"/>
    </row>
    <row r="12" ht="150" customHeight="1">
      <c r="B12" s="7" t="inlineStr">
        <is>
          <t>RP1(a)</t>
        </is>
      </c>
      <c r="C12" s="12" t="inlineStr">
        <is>
          <t>Responsible procurement</t>
        </is>
      </c>
      <c r="D12" s="12" t="inlineStr">
        <is>
          <t>Strengthen our ethical and sustainable procurement approach.</t>
        </is>
      </c>
      <c r="E12" s="12" t="inlineStr">
        <is>
          <t>Case studies of maturity improvement related to responsible procurement process and systems.</t>
        </is>
      </c>
      <c r="F12" s="8" t="inlineStr">
        <is>
          <t>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c r="I12" s="8" t="inlineStr"/>
      <c r="J12" s="8" t="inlineStr"/>
      <c r="K12" s="8" t="inlineStr"/>
      <c r="L12" s="8" t="n"/>
      <c r="M12" s="8" t="n"/>
      <c r="N12" s="8" t="n"/>
      <c r="O12" s="8" t="n"/>
      <c r="P12" s="8" t="n"/>
      <c r="Q12" s="8" t="n"/>
      <c r="R12" s="8" t="n"/>
    </row>
    <row r="13" ht="150" customHeight="1">
      <c r="B13" s="7" t="inlineStr">
        <is>
          <t>MS1(a)</t>
        </is>
      </c>
      <c r="C13" s="12" t="inlineStr">
        <is>
          <t>Modern slavery and human rights</t>
        </is>
      </c>
      <c r="D13" s="12" t="inlineStr">
        <is>
          <t>Manage our approach to modern slavery and human rights-related risks and opportunities.</t>
        </is>
      </c>
      <c r="E13" s="12" t="inlineStr">
        <is>
          <t>Annual progress reporting via the Modern Slavery Statement</t>
        </is>
      </c>
      <c r="F13" s="8" t="inlineStr">
        <is>
          <t>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c r="I13" s="8" t="inlineStr"/>
      <c r="J13" s="8" t="inlineStr"/>
      <c r="K13" s="8" t="inlineStr"/>
      <c r="L13" s="8" t="n"/>
      <c r="M13" s="8" t="n"/>
      <c r="N13" s="8" t="n"/>
      <c r="O13" s="8" t="n"/>
      <c r="P13" s="8" t="n"/>
      <c r="Q13" s="8" t="n"/>
      <c r="R13" s="8" t="n"/>
    </row>
    <row r="14" ht="150" customHeight="1">
      <c r="B14" s="7" t="inlineStr">
        <is>
          <t>EN1(c)</t>
        </is>
      </c>
      <c r="C14" s="12" t="inlineStr">
        <is>
          <t>Enablers</t>
        </is>
      </c>
      <c r="D14" s="12" t="inlineStr">
        <is>
          <t>Enablers</t>
        </is>
      </c>
      <c r="E14" s="12"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c r="I14" s="8" t="inlineStr"/>
      <c r="J14" s="8" t="inlineStr"/>
      <c r="K14" s="8" t="inlineStr"/>
      <c r="L14" s="8" t="n"/>
      <c r="M14" s="8" t="n"/>
      <c r="N14" s="8" t="n"/>
      <c r="O14" s="8" t="n"/>
      <c r="P14" s="8" t="n"/>
      <c r="Q14" s="8" t="n"/>
      <c r="R14" s="8" t="n"/>
    </row>
    <row r="15" ht="150" customHeight="1">
      <c r="B15" s="7" t="inlineStr">
        <is>
          <t>EN1(d)</t>
        </is>
      </c>
      <c r="C15" s="12" t="inlineStr">
        <is>
          <t>Enablers</t>
        </is>
      </c>
      <c r="D15" s="12" t="inlineStr">
        <is>
          <t>Enablers</t>
        </is>
      </c>
      <c r="E15" s="12"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c r="I15" s="8" t="inlineStr"/>
      <c r="J15" s="8" t="inlineStr"/>
      <c r="K15" s="8" t="inlineStr"/>
      <c r="L15" s="8" t="n"/>
      <c r="M15" s="8" t="n"/>
      <c r="N15" s="8" t="n"/>
      <c r="O15" s="8" t="n"/>
      <c r="P15" s="8" t="n"/>
      <c r="Q15" s="8" t="n"/>
      <c r="R15" s="8" t="n"/>
    </row>
    <row r="18">
      <c r="B18" s="18" t="inlineStr">
        <is>
          <t>1.2  CFOG – Treasury &amp; Investments</t>
        </is>
      </c>
    </row>
    <row r="20">
      <c r="C20" s="19" t="inlineStr">
        <is>
          <t>Sustainability 2030 target and indicator</t>
        </is>
      </c>
      <c r="H20" s="19" t="inlineStr">
        <is>
          <t>End-2025 reporting (for reference – click [+] above to expand)</t>
        </is>
      </c>
      <c r="L20" s="20"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21" t="inlineStr">
        <is>
          <t>Confirm end-2026 target status</t>
        </is>
      </c>
      <c r="M21" s="21" t="inlineStr">
        <is>
          <t>OPTION 1:  Target-level reporting (Column D)</t>
        </is>
      </c>
      <c r="N21" s="21" t="inlineStr">
        <is>
          <t>OPTION 2:  Indicator level reporting (Column E/F)</t>
        </is>
      </c>
      <c r="O21" s="21" t="inlineStr">
        <is>
          <t>Supporting information/comments</t>
        </is>
      </c>
      <c r="P21" s="21" t="inlineStr">
        <is>
          <t>Data source and limitations</t>
        </is>
      </c>
      <c r="Q21" s="21" t="inlineStr">
        <is>
          <t>Data owner confirms information is accurate</t>
        </is>
      </c>
      <c r="R21" s="21" t="inlineStr">
        <is>
          <t>Confirmed by (name, role, date)</t>
        </is>
      </c>
    </row>
    <row r="22">
      <c r="B22" s="22" t="inlineStr"/>
      <c r="C22" s="22" t="inlineStr"/>
      <c r="D22" s="22" t="inlineStr"/>
      <c r="E22" s="22" t="inlineStr"/>
      <c r="F22" s="22" t="inlineStr"/>
      <c r="G22" s="22" t="inlineStr"/>
      <c r="H22" s="22" t="inlineStr"/>
      <c r="I22" s="22" t="inlineStr"/>
      <c r="J22" s="22" t="inlineStr"/>
      <c r="K22" s="22" t="inlineStr"/>
      <c r="L22" s="22" t="inlineStr">
        <is>
          <t>(Met or exceeded; partially met; not met; not yet started)</t>
        </is>
      </c>
      <c r="M22" s="22" t="inlineStr">
        <is>
          <t>Provide further evidence of target status assessment in the form of:
A general update on activities in relation to the overarching target (Column D)</t>
        </is>
      </c>
      <c r="N22" s="22" t="inlineStr">
        <is>
          <t>Provide further evidence of target status assessment in the form of:
Data and commentary in direct response to the reporting request (Column F)</t>
        </is>
      </c>
      <c r="O22" s="22" t="inlineStr">
        <is>
          <t>Provide any additional information to support the target status assessment (e.g. links, images, rationale for selection of target status)</t>
        </is>
      </c>
      <c r="P22" s="22" t="inlineStr">
        <is>
          <t>Where did this information come from (system, report, survey, person)? Note any gaps or limitations.</t>
        </is>
      </c>
      <c r="Q22" s="22" t="inlineStr">
        <is>
          <t>Select 'Yes' to confirm the information provided is accurate and can be used for reporting</t>
        </is>
      </c>
      <c r="R22" s="22" t="inlineStr">
        <is>
          <t>Name, role and date of the person confirming</t>
        </is>
      </c>
    </row>
    <row r="23" ht="150" customHeight="1">
      <c r="B23" s="7" t="inlineStr">
        <is>
          <t>RI1(b)</t>
        </is>
      </c>
      <c r="C23" s="12" t="inlineStr">
        <is>
          <t>Responsible investments</t>
        </is>
      </c>
      <c r="D23" s="12" t="inlineStr">
        <is>
          <t>Achieve net zero financed emissions for the University’s investment portfolio by 2050.</t>
        </is>
      </c>
      <c r="E23" s="12" t="inlineStr">
        <is>
          <t>Continuous improvement of the reporting of the University’s sustainability-related investment profile metrics, could include investment in climate mitigation and transition solutions, and compliance with related obligations (eg UNPRI).</t>
        </is>
      </c>
      <c r="F23" s="8" t="inlineStr">
        <is>
          <t>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c r="I23" s="8" t="inlineStr"/>
      <c r="J23" s="8" t="inlineStr"/>
      <c r="K23" s="8" t="inlineStr"/>
      <c r="L23" s="8" t="n"/>
      <c r="M23" s="8" t="n"/>
      <c r="N23" s="8" t="n"/>
      <c r="O23" s="8" t="n"/>
      <c r="P23" s="8" t="n"/>
      <c r="Q23" s="8" t="n"/>
      <c r="R23" s="8" t="n"/>
    </row>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1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9" t="inlineStr">
        <is>
          <t>Consolidated responses – paste from returned request workbooks (identical column layout). Click [+] above Columns H–K for end-2025 responses.</t>
        </is>
      </c>
    </row>
    <row r="5">
      <c r="B5" s="18" t="inlineStr">
        <is>
          <t>1.1  ESG – Campus Operations &amp; Sustainability Delivery</t>
        </is>
      </c>
    </row>
    <row r="7">
      <c r="C7" s="19" t="inlineStr">
        <is>
          <t>Sustainability 2030 target and indicator</t>
        </is>
      </c>
      <c r="H7" s="19" t="inlineStr">
        <is>
          <t>End-2025 reporting (for reference – click [+] above to expand)</t>
        </is>
      </c>
      <c r="L7" s="2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21" t="inlineStr">
        <is>
          <t>Confirm end-2026 target status</t>
        </is>
      </c>
      <c r="M8" s="21" t="inlineStr">
        <is>
          <t>OPTION 1:  Target-level reporting (Column D)</t>
        </is>
      </c>
      <c r="N8" s="21" t="inlineStr">
        <is>
          <t>OPTION 2:  Indicator level reporting (Column E/F)</t>
        </is>
      </c>
      <c r="O8" s="21" t="inlineStr">
        <is>
          <t>Supporting information/comments</t>
        </is>
      </c>
      <c r="P8" s="21" t="inlineStr">
        <is>
          <t>Data source and limitations</t>
        </is>
      </c>
      <c r="Q8" s="21" t="inlineStr">
        <is>
          <t>Data owner confirms information is accurate</t>
        </is>
      </c>
      <c r="R8" s="21" t="inlineStr">
        <is>
          <t>Confirmed by (name, role, date)</t>
        </is>
      </c>
    </row>
    <row r="9">
      <c r="B9" s="22" t="inlineStr"/>
      <c r="C9" s="22" t="inlineStr"/>
      <c r="D9" s="22" t="inlineStr"/>
      <c r="E9" s="22" t="inlineStr"/>
      <c r="F9" s="22" t="inlineStr"/>
      <c r="G9" s="22" t="inlineStr"/>
      <c r="H9" s="22" t="inlineStr"/>
      <c r="I9" s="22" t="inlineStr"/>
      <c r="J9" s="22" t="inlineStr"/>
      <c r="K9" s="22" t="inlineStr"/>
      <c r="L9" s="22" t="inlineStr">
        <is>
          <t>(Met or exceeded; partially met; not met; not yet started)</t>
        </is>
      </c>
      <c r="M9" s="22" t="inlineStr">
        <is>
          <t>Provide further evidence of target status assessment in the form of:
A general update on activities in relation to the overarching target (Column D)</t>
        </is>
      </c>
      <c r="N9" s="22" t="inlineStr">
        <is>
          <t>Provide further evidence of target status assessment in the form of:
Data and commentary in direct response to the reporting request (Column F)</t>
        </is>
      </c>
      <c r="O9" s="22" t="inlineStr">
        <is>
          <t>Provide any additional information to support the target status assessment (e.g. links, images, rationale for selection of target status)</t>
        </is>
      </c>
      <c r="P9" s="22" t="inlineStr">
        <is>
          <t>Where did this information come from (system, report, survey, person)? Note any gaps or limitations.</t>
        </is>
      </c>
      <c r="Q9" s="22" t="inlineStr">
        <is>
          <t>Select 'Yes' to confirm the information provided is accurate and can be used for reporting</t>
        </is>
      </c>
      <c r="R9" s="22" t="inlineStr">
        <is>
          <t>Name, role and date of the person confirming</t>
        </is>
      </c>
    </row>
    <row r="10" ht="150" customHeight="1">
      <c r="B10" s="7" t="inlineStr">
        <is>
          <t>NB1(b)</t>
        </is>
      </c>
      <c r="C10" s="12" t="inlineStr">
        <is>
          <t>Nature and biodiversity</t>
        </is>
      </c>
      <c r="D10" s="12" t="inlineStr">
        <is>
          <t>Achieve an increase of biodiversity relative to defined baseline years for each campus.</t>
        </is>
      </c>
      <c r="E10" s="12" t="inlineStr">
        <is>
          <t>Size, health and diversity of remnant vegetation at the Dookie and Creswick campuses</t>
        </is>
      </c>
      <c r="F10" s="8" t="inlineStr">
        <is>
          <t>(Reporting request TBC)</t>
        </is>
      </c>
      <c r="G10" s="8" t="inlineStr">
        <is>
          <t>For internal management reporting only: we will track the size, health and diversity of remnant vegetation at Dookie and Creswick. This information will not be published.</t>
        </is>
      </c>
      <c r="H10" s="8" t="inlineStr"/>
      <c r="I10" s="8" t="inlineStr"/>
      <c r="J10" s="8" t="inlineStr"/>
      <c r="K10" s="8" t="inlineStr"/>
      <c r="L10" s="8" t="n"/>
      <c r="M10" s="8" t="n"/>
      <c r="N10" s="8" t="n"/>
      <c r="O10" s="8" t="n"/>
      <c r="P10" s="8" t="n"/>
      <c r="Q10" s="8" t="n"/>
      <c r="R10" s="8" t="n"/>
    </row>
    <row r="11" ht="150" customHeight="1">
      <c r="B11" s="7" t="inlineStr">
        <is>
          <t>NB1(c)</t>
        </is>
      </c>
      <c r="C11" s="12" t="inlineStr">
        <is>
          <t>Nature and biodiversity</t>
        </is>
      </c>
      <c r="D11" s="12" t="inlineStr">
        <is>
          <t>Achieve an increase of biodiversity relative to defined baseline years for each campus.</t>
        </is>
      </c>
      <c r="E11" s="12" t="inlineStr">
        <is>
          <t>Defined quality measurement framework</t>
        </is>
      </c>
      <c r="F11" s="8" t="inlineStr">
        <is>
          <t>(Reporting request TBC)</t>
        </is>
      </c>
      <c r="G11" s="8" t="inlineStr">
        <is>
          <t>We will report progress on developing the biodiversity quality measurement framework, which will underpin how the biodiversity target is assessed from 2027.</t>
        </is>
      </c>
      <c r="H11" s="8" t="inlineStr"/>
      <c r="I11" s="8" t="inlineStr"/>
      <c r="J11" s="8" t="inlineStr"/>
      <c r="K11" s="8" t="inlineStr"/>
      <c r="L11" s="8" t="n"/>
      <c r="M11" s="8" t="n"/>
      <c r="N11" s="8" t="n"/>
      <c r="O11" s="8" t="n"/>
      <c r="P11" s="8" t="n"/>
      <c r="Q11" s="8" t="n"/>
      <c r="R11" s="8" t="n"/>
    </row>
    <row r="12" ht="150" customHeight="1">
      <c r="B12" s="7" t="inlineStr">
        <is>
          <t>NB1(d)</t>
        </is>
      </c>
      <c r="C12" s="12" t="inlineStr">
        <is>
          <t>Nature and biodiversity</t>
        </is>
      </c>
      <c r="D12" s="12" t="inlineStr">
        <is>
          <t>Achieve an increase of biodiversity relative to defined baseline years for each campus.</t>
        </is>
      </c>
      <c r="E12" s="12" t="inlineStr">
        <is>
          <t>Defined and quantified campus connectivity</t>
        </is>
      </c>
      <c r="F12" s="8" t="inlineStr">
        <is>
          <t>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c r="I12" s="8" t="inlineStr"/>
      <c r="J12" s="8" t="inlineStr"/>
      <c r="K12" s="8" t="inlineStr"/>
      <c r="L12" s="8" t="n"/>
      <c r="M12" s="8" t="n"/>
      <c r="N12" s="8" t="n"/>
      <c r="O12" s="8" t="n"/>
      <c r="P12" s="8" t="n"/>
      <c r="Q12" s="8" t="n"/>
      <c r="R12" s="8" t="n"/>
    </row>
    <row r="13" ht="150" customHeight="1">
      <c r="B13" s="7" t="inlineStr">
        <is>
          <t>NB2(b)</t>
        </is>
      </c>
      <c r="C13" s="12" t="inlineStr">
        <is>
          <t>Nature and biodiversity</t>
        </is>
      </c>
      <c r="D13" s="12" t="inlineStr">
        <is>
          <t>Improve our understanding of our supply chain impacts on nature.</t>
        </is>
      </c>
      <c r="E13" s="12"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c r="I13" s="8" t="inlineStr"/>
      <c r="J13" s="8" t="inlineStr"/>
      <c r="K13" s="8" t="inlineStr"/>
      <c r="L13" s="8" t="n"/>
      <c r="M13" s="8" t="n"/>
      <c r="N13" s="8" t="n"/>
      <c r="O13" s="8" t="n"/>
      <c r="P13" s="8" t="n"/>
      <c r="Q13" s="8" t="n"/>
      <c r="R13" s="8" t="n"/>
    </row>
    <row r="14" ht="150" customHeight="1">
      <c r="B14" s="7" t="inlineStr">
        <is>
          <t>NB2(c)</t>
        </is>
      </c>
      <c r="C14" s="12" t="inlineStr">
        <is>
          <t>Nature and biodiversity</t>
        </is>
      </c>
      <c r="D14" s="12" t="inlineStr">
        <is>
          <t>Improve our understanding of our supply chain impacts on nature.</t>
        </is>
      </c>
      <c r="E14" s="12"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c r="I14" s="8" t="inlineStr"/>
      <c r="J14" s="8" t="inlineStr"/>
      <c r="K14" s="8" t="inlineStr"/>
      <c r="L14" s="8" t="n"/>
      <c r="M14" s="8" t="n"/>
      <c r="N14" s="8" t="n"/>
      <c r="O14" s="8" t="n"/>
      <c r="P14" s="8" t="n"/>
      <c r="Q14" s="8" t="n"/>
      <c r="R14" s="8" t="n"/>
    </row>
    <row r="15" ht="150" customHeight="1">
      <c r="B15" s="7" t="inlineStr">
        <is>
          <t>EN1(c)</t>
        </is>
      </c>
      <c r="C15" s="12" t="inlineStr">
        <is>
          <t>Enablers</t>
        </is>
      </c>
      <c r="D15" s="12" t="inlineStr">
        <is>
          <t>Enablers</t>
        </is>
      </c>
      <c r="E15" s="12" t="inlineStr">
        <is>
          <t>Coordinated internal engagement and external partnerships contributing to delivery of sustainability outcomes across priority areas.</t>
        </is>
      </c>
      <c r="F15"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c r="I15" s="8" t="inlineStr"/>
      <c r="J15" s="8" t="inlineStr"/>
      <c r="K15" s="8" t="inlineStr"/>
      <c r="L15" s="8" t="n"/>
      <c r="M15" s="8" t="n"/>
      <c r="N15" s="8" t="n"/>
      <c r="O15" s="8" t="n"/>
      <c r="P15" s="8" t="n"/>
      <c r="Q15" s="8" t="n"/>
      <c r="R15" s="8" t="n"/>
    </row>
    <row r="16" ht="150" customHeight="1">
      <c r="B16" s="7" t="inlineStr">
        <is>
          <t>EN1(d)</t>
        </is>
      </c>
      <c r="C16" s="12" t="inlineStr">
        <is>
          <t>Enablers</t>
        </is>
      </c>
      <c r="D16" s="12" t="inlineStr">
        <is>
          <t>Enablers</t>
        </is>
      </c>
      <c r="E16" s="12"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c r="I16" s="8" t="inlineStr"/>
      <c r="J16" s="8" t="inlineStr"/>
      <c r="K16" s="8" t="inlineStr"/>
      <c r="L16" s="8" t="n"/>
      <c r="M16" s="8" t="n"/>
      <c r="N16" s="8" t="n"/>
      <c r="O16" s="8" t="n"/>
      <c r="P16" s="8" t="n"/>
      <c r="Q16" s="8" t="n"/>
      <c r="R16" s="8" t="n"/>
    </row>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9" t="inlineStr">
        <is>
          <t>Consolidated responses – paste from returned request workbooks (identical column layout). Click [+] above Columns H–K for end-2025 responses.</t>
        </is>
      </c>
    </row>
    <row r="5">
      <c r="B5" s="18" t="inlineStr">
        <is>
          <t>1.1  CIOG – Responsible AI &amp; digital</t>
        </is>
      </c>
    </row>
    <row r="7">
      <c r="C7" s="19" t="inlineStr">
        <is>
          <t>Sustainability 2030 target and indicator</t>
        </is>
      </c>
      <c r="H7" s="19" t="inlineStr">
        <is>
          <t>End-2025 reporting (for reference – click [+] above to expand)</t>
        </is>
      </c>
      <c r="L7" s="2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21" t="inlineStr">
        <is>
          <t>Confirm end-2026 target status</t>
        </is>
      </c>
      <c r="M8" s="21" t="inlineStr">
        <is>
          <t>OPTION 1:  Target-level reporting (Column D)</t>
        </is>
      </c>
      <c r="N8" s="21" t="inlineStr">
        <is>
          <t>OPTION 2:  Indicator level reporting (Column E/F)</t>
        </is>
      </c>
      <c r="O8" s="21" t="inlineStr">
        <is>
          <t>Supporting information/comments</t>
        </is>
      </c>
      <c r="P8" s="21" t="inlineStr">
        <is>
          <t>Data source and limitations</t>
        </is>
      </c>
      <c r="Q8" s="21" t="inlineStr">
        <is>
          <t>Data owner confirms information is accurate</t>
        </is>
      </c>
      <c r="R8" s="21" t="inlineStr">
        <is>
          <t>Confirmed by (name, role, date)</t>
        </is>
      </c>
    </row>
    <row r="9">
      <c r="B9" s="22" t="inlineStr"/>
      <c r="C9" s="22" t="inlineStr"/>
      <c r="D9" s="22" t="inlineStr"/>
      <c r="E9" s="22" t="inlineStr"/>
      <c r="F9" s="22" t="inlineStr"/>
      <c r="G9" s="22" t="inlineStr"/>
      <c r="H9" s="22" t="inlineStr"/>
      <c r="I9" s="22" t="inlineStr"/>
      <c r="J9" s="22" t="inlineStr"/>
      <c r="K9" s="22" t="inlineStr"/>
      <c r="L9" s="22" t="inlineStr">
        <is>
          <t>(Met or exceeded; partially met; not met; not yet started)</t>
        </is>
      </c>
      <c r="M9" s="22" t="inlineStr">
        <is>
          <t>Provide further evidence of target status assessment in the form of:
A general update on activities in relation to the overarching target (Column D)</t>
        </is>
      </c>
      <c r="N9" s="22" t="inlineStr">
        <is>
          <t>Provide further evidence of target status assessment in the form of:
Data and commentary in direct response to the reporting request (Column F)</t>
        </is>
      </c>
      <c r="O9" s="22" t="inlineStr">
        <is>
          <t>Provide any additional information to support the target status assessment (e.g. links, images, rationale for selection of target status)</t>
        </is>
      </c>
      <c r="P9" s="22" t="inlineStr">
        <is>
          <t>Where did this information come from (system, report, survey, person)? Note any gaps or limitations.</t>
        </is>
      </c>
      <c r="Q9" s="22" t="inlineStr">
        <is>
          <t>Select 'Yes' to confirm the information provided is accurate and can be used for reporting</t>
        </is>
      </c>
      <c r="R9" s="22" t="inlineStr">
        <is>
          <t>Name, role and date of the person confirming</t>
        </is>
      </c>
    </row>
    <row r="10" ht="150" customHeight="1">
      <c r="B10" s="7" t="inlineStr">
        <is>
          <t>AI1(a)</t>
        </is>
      </c>
      <c r="C10" s="12" t="inlineStr">
        <is>
          <t>Responsible AI</t>
        </is>
      </c>
      <c r="D10" s="12" t="inlineStr">
        <is>
          <t>Improve understanding of our sustainability-related risks and opportunities of AI technologies by 2028.</t>
        </is>
      </c>
      <c r="E10" s="12"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12" t="inlineStr">
        <is>
          <t>Responsible AI</t>
        </is>
      </c>
      <c r="D11" s="12" t="inlineStr">
        <is>
          <t>Improve understanding of our sustainability-related risks and opportunities of AI technologies by 2028.</t>
        </is>
      </c>
      <c r="E11" s="12"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12" t="inlineStr">
        <is>
          <t>Enablers</t>
        </is>
      </c>
      <c r="D12" s="12" t="inlineStr">
        <is>
          <t>Enablers</t>
        </is>
      </c>
      <c r="E12" s="12"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12" t="inlineStr">
        <is>
          <t>Enablers</t>
        </is>
      </c>
      <c r="D13" s="12" t="inlineStr">
        <is>
          <t>Enablers</t>
        </is>
      </c>
      <c r="E13" s="12"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9" t="inlineStr">
        <is>
          <t>Consolidated responses – paste from returned request workbooks (identical column layout). Click [+] above Columns H–K for end-2025 responses.</t>
        </is>
      </c>
    </row>
    <row r="5">
      <c r="B5" s="18" t="inlineStr">
        <is>
          <t>1.1  MRE – Research (incl. MBI – TBC)</t>
        </is>
      </c>
    </row>
    <row r="7">
      <c r="C7" s="19" t="inlineStr">
        <is>
          <t>Sustainability 2030 target and indicator</t>
        </is>
      </c>
      <c r="H7" s="19" t="inlineStr">
        <is>
          <t>End-2025 reporting (for reference – click [+] above to expand)</t>
        </is>
      </c>
      <c r="L7" s="2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21" t="inlineStr">
        <is>
          <t>Confirm end-2026 target status</t>
        </is>
      </c>
      <c r="M8" s="21" t="inlineStr">
        <is>
          <t>OPTION 1:  Target-level reporting (Column D)</t>
        </is>
      </c>
      <c r="N8" s="21" t="inlineStr">
        <is>
          <t>OPTION 2:  Indicator level reporting (Column E/F)</t>
        </is>
      </c>
      <c r="O8" s="21" t="inlineStr">
        <is>
          <t>Supporting information/comments</t>
        </is>
      </c>
      <c r="P8" s="21" t="inlineStr">
        <is>
          <t>Data source and limitations</t>
        </is>
      </c>
      <c r="Q8" s="21" t="inlineStr">
        <is>
          <t>Data owner confirms information is accurate</t>
        </is>
      </c>
      <c r="R8" s="21" t="inlineStr">
        <is>
          <t>Confirmed by (name, role, date)</t>
        </is>
      </c>
    </row>
    <row r="9">
      <c r="B9" s="22" t="inlineStr"/>
      <c r="C9" s="22" t="inlineStr"/>
      <c r="D9" s="22" t="inlineStr"/>
      <c r="E9" s="22" t="inlineStr"/>
      <c r="F9" s="22" t="inlineStr"/>
      <c r="G9" s="22" t="inlineStr"/>
      <c r="H9" s="22" t="inlineStr"/>
      <c r="I9" s="22" t="inlineStr"/>
      <c r="J9" s="22" t="inlineStr"/>
      <c r="K9" s="22" t="inlineStr"/>
      <c r="L9" s="22" t="inlineStr">
        <is>
          <t>(Met or exceeded; partially met; not met; not yet started)</t>
        </is>
      </c>
      <c r="M9" s="22" t="inlineStr">
        <is>
          <t>Provide further evidence of target status assessment in the form of:
A general update on activities in relation to the overarching target (Column D)</t>
        </is>
      </c>
      <c r="N9" s="22" t="inlineStr">
        <is>
          <t>Provide further evidence of target status assessment in the form of:
Data and commentary in direct response to the reporting request (Column F)</t>
        </is>
      </c>
      <c r="O9" s="22" t="inlineStr">
        <is>
          <t>Provide any additional information to support the target status assessment (e.g. links, images, rationale for selection of target status)</t>
        </is>
      </c>
      <c r="P9" s="22" t="inlineStr">
        <is>
          <t>Where did this information come from (system, report, survey, person)? Note any gaps or limitations.</t>
        </is>
      </c>
      <c r="Q9" s="22" t="inlineStr">
        <is>
          <t>Select 'Yes' to confirm the information provided is accurate and can be used for reporting</t>
        </is>
      </c>
      <c r="R9" s="22" t="inlineStr">
        <is>
          <t>Name, role and date of the person confirming</t>
        </is>
      </c>
    </row>
    <row r="10" ht="150" customHeight="1">
      <c r="B10" s="7" t="inlineStr">
        <is>
          <t>TR2(c)</t>
        </is>
      </c>
      <c r="C10" s="12" t="inlineStr">
        <is>
          <t>Transformational research</t>
        </is>
      </c>
      <c r="D10" s="12" t="inlineStr">
        <is>
          <t>Deliver high-quality research and partnerships that contribute to sustainability outcomes and demonstrable societal benefit.</t>
        </is>
      </c>
      <c r="E10" s="12" t="inlineStr">
        <is>
          <t>Expert-reviewed summary of sustainability-related research outputs, outcomes and influence using available institutional evidence sources</t>
        </is>
      </c>
      <c r="F10" s="8" t="inlineStr">
        <is>
          <t>currently mapped to the SDGs using SciVal</t>
        </is>
      </c>
      <c r="G10" s="8" t="inlineStr">
        <is>
          <t>We will use institutional research output data (e.g. SDG-mapped publications via SciVal) to provide the University-wide quantitative picture of sustainability-related research in the 2026 Sustainability Report.</t>
        </is>
      </c>
      <c r="H10" s="8" t="inlineStr"/>
      <c r="I10" s="8" t="inlineStr"/>
      <c r="J10" s="8" t="inlineStr"/>
      <c r="K10" s="8" t="inlineStr"/>
      <c r="L10" s="8" t="n"/>
      <c r="M10" s="8" t="n"/>
      <c r="N10" s="8" t="n"/>
      <c r="O10" s="8" t="n"/>
      <c r="P10" s="8" t="n"/>
      <c r="Q10" s="8" t="n"/>
      <c r="R10" s="8" t="n"/>
    </row>
    <row r="11" ht="150" customHeight="1">
      <c r="B11" s="7" t="inlineStr">
        <is>
          <t>NB2(a)</t>
        </is>
      </c>
      <c r="C11" s="12" t="inlineStr">
        <is>
          <t>Nature and biodiversity</t>
        </is>
      </c>
      <c r="D11" s="12" t="inlineStr">
        <is>
          <t>Improve our understanding of our supply chain impacts on nature.</t>
        </is>
      </c>
      <c r="E11" s="12" t="inlineStr">
        <is>
          <t>Documented baseline nature footprint analysis</t>
        </is>
      </c>
      <c r="F11" s="8" t="inlineStr">
        <is>
          <t>Impact Encore Measurement</t>
        </is>
      </c>
      <c r="G11" s="8" t="inlineStr">
        <is>
          <t>We will report on the baseline nature footprint of the University's supply chain in the Nature and biodiversity section of the 2026 Sustainability Report.</t>
        </is>
      </c>
      <c r="H11" s="8" t="inlineStr"/>
      <c r="I11" s="8" t="inlineStr"/>
      <c r="J11" s="8" t="inlineStr"/>
      <c r="K11" s="8" t="inlineStr"/>
      <c r="L11" s="8" t="n"/>
      <c r="M11" s="8" t="n"/>
      <c r="N11" s="8" t="n"/>
      <c r="O11" s="8" t="n"/>
      <c r="P11" s="8" t="n"/>
      <c r="Q11" s="8" t="n"/>
      <c r="R11" s="8" t="n"/>
    </row>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29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c r="A1" s="1" t="inlineStr">
        <is>
          <t>↑</t>
        </is>
      </c>
      <c r="B1" s="2" t="inlineStr">
        <is>
          <t>End-2026 target status assessment and reporting</t>
        </is>
      </c>
    </row>
    <row r="2">
      <c r="B2" s="3" t="inlineStr">
        <is>
          <t>A1. Data scoring summary tab</t>
        </is>
      </c>
    </row>
    <row r="4">
      <c r="C4" s="15" t="inlineStr">
        <is>
          <t>Description</t>
        </is>
      </c>
      <c r="D4" s="23"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24" t="inlineStr">
        <is>
          <t>Faculty</t>
        </is>
      </c>
      <c r="I9" s="24" t="inlineStr">
        <is>
          <t>Faculty</t>
        </is>
      </c>
      <c r="J9" s="24" t="inlineStr">
        <is>
          <t>Faculty</t>
        </is>
      </c>
      <c r="K9" s="24" t="inlineStr">
        <is>
          <t>Faculty</t>
        </is>
      </c>
      <c r="L9" s="24" t="inlineStr">
        <is>
          <t>Central</t>
        </is>
      </c>
      <c r="M9" s="24" t="inlineStr">
        <is>
          <t>Central</t>
        </is>
      </c>
      <c r="N9" s="24" t="inlineStr">
        <is>
          <t>Central</t>
        </is>
      </c>
      <c r="O9" s="24" t="inlineStr">
        <is>
          <t>Central</t>
        </is>
      </c>
      <c r="P9" s="24" t="inlineStr">
        <is>
          <t>Central</t>
        </is>
      </c>
      <c r="Q9" s="24" t="inlineStr">
        <is>
          <t>Central</t>
        </is>
      </c>
      <c r="R9" s="24"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n"/>
      <c r="T10" s="6" t="inlineStr">
        <is>
          <t>Requested, no response received</t>
        </is>
      </c>
      <c r="U10" s="6" t="inlineStr">
        <is>
          <t>Not yet started</t>
        </is>
      </c>
      <c r="V10" s="6" t="inlineStr">
        <is>
          <t>Not met</t>
        </is>
      </c>
      <c r="W10" s="6" t="inlineStr">
        <is>
          <t>Partially met</t>
        </is>
      </c>
      <c r="X10" s="6" t="inlineStr">
        <is>
          <t>Met or exceeded</t>
        </is>
      </c>
      <c r="Y10" s="6" t="inlineStr">
        <is>
          <t>Total score</t>
        </is>
      </c>
      <c r="Z10" s="6" t="inlineStr">
        <is>
          <t>Total valid responses</t>
        </is>
      </c>
      <c r="AA10" s="6" t="inlineStr">
        <is>
          <t>Target score (average)</t>
        </is>
      </c>
      <c r="AB10" s="6" t="inlineStr">
        <is>
          <t>Target score (text)</t>
        </is>
      </c>
      <c r="AC10" s="6" t="inlineStr">
        <is>
          <t>% met</t>
        </is>
      </c>
      <c r="AD10" s="6" t="inlineStr">
        <is>
          <t>% met or partially met</t>
        </is>
      </c>
      <c r="AE10" s="6" t="inlineStr">
        <is>
          <t>Threshold status (SR25 rule)</t>
        </is>
      </c>
    </row>
    <row r="11">
      <c r="A11">
        <f>F11&amp;"|"&amp;G11</f>
        <v/>
      </c>
      <c r="B11" s="7" t="inlineStr">
        <is>
          <t>EE1(a)</t>
        </is>
      </c>
      <c r="C11" s="12" t="inlineStr">
        <is>
          <t>Exceptional education</t>
        </is>
      </c>
      <c r="D11" s="12" t="inlineStr">
        <is>
          <t>Evidence of innovative approaches to sustainability teaching and learning</t>
        </is>
      </c>
      <c r="E11" s="12"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12" t="inlineStr">
        <is>
          <t>EE1(a)</t>
        </is>
      </c>
      <c r="G11" s="12" t="inlineStr">
        <is>
          <t>Confirm end-2026 target status</t>
        </is>
      </c>
      <c r="H11" s="25">
        <f>IFERROR(IF(INDEX('Faculties'!$L$10:$L$29,MATCH($F11,'Faculties'!$B$10:$B$29,0))="","Cell will autofill based on response",INDEX('Faculties'!$L$10:$L$29,MATCH($F11,'Faculties'!$B$10:$B$29,0))),"N/A")</f>
        <v/>
      </c>
      <c r="I11" s="25">
        <f>IFERROR(IF(INDEX('Faculties'!$L$37:$L$56,MATCH($F11,'Faculties'!$B$37:$B$56,0))="","Cell will autofill based on response",INDEX('Faculties'!$L$37:$L$56,MATCH($F11,'Faculties'!$B$37:$B$56,0))),"N/A")</f>
        <v/>
      </c>
      <c r="J11" s="25">
        <f>IFERROR(IF(INDEX('Faculties'!$L$64:$L$83,MATCH($F11,'Faculties'!$B$64:$B$83,0))="","Cell will autofill based on response",INDEX('Faculties'!$L$64:$L$83,MATCH($F11,'Faculties'!$B$64:$B$83,0))),"N/A")</f>
        <v/>
      </c>
      <c r="K11" s="25">
        <f>IFERROR(IF(INDEX('Faculties'!$L$91:$L$110,MATCH($F11,'Faculties'!$B$91:$B$110,0))="","Cell will autofill based on response",INDEX('Faculties'!$L$91:$L$110,MATCH($F11,'Faculties'!$B$91:$B$110,0))),"N/A")</f>
        <v/>
      </c>
      <c r="L11" s="25">
        <f>IFERROR(IF(INDEX('CI&amp;S'!$L$10:$L$14,MATCH($F11,'CI&amp;S'!$B$10:$B$14,0))="","Cell will autofill based on response",INDEX('CI&amp;S'!$L$10:$L$14,MATCH($F11,'CI&amp;S'!$B$10:$B$14,0))),"N/A")</f>
        <v/>
      </c>
      <c r="M11" s="25">
        <f>IFERROR(IF(INDEX('CI&amp;S'!$L$22:$L$38,MATCH($F11,'CI&amp;S'!$B$22:$B$38,0))="","Cell will autofill based on response",INDEX('CI&amp;S'!$L$22:$L$38,MATCH($F11,'CI&amp;S'!$B$22:$B$38,0))),"N/A")</f>
        <v/>
      </c>
      <c r="N11" s="25">
        <f>IFERROR(IF(INDEX('CFOG'!$L$10:$L$15,MATCH($F11,'CFOG'!$B$10:$B$15,0))="","Cell will autofill based on response",INDEX('CFOG'!$L$10:$L$15,MATCH($F11,'CFOG'!$B$10:$B$15,0))),"N/A")</f>
        <v/>
      </c>
      <c r="O11" s="25">
        <f>IFERROR(IF(INDEX('CFOG'!$L$23:$L$23,MATCH($F11,'CFOG'!$B$23:$B$23,0))="","Cell will autofill based on response",INDEX('CFOG'!$L$23:$L$23,MATCH($F11,'CFOG'!$B$23:$B$23,0))),"N/A")</f>
        <v/>
      </c>
      <c r="P11" s="25">
        <f>IFERROR(IF(INDEX('ESG'!$L$10:$L$16,MATCH($F11,'ESG'!$B$10:$B$16,0))="","Cell will autofill based on response",INDEX('ESG'!$L$10:$L$16,MATCH($F11,'ESG'!$B$10:$B$16,0))),"N/A")</f>
        <v/>
      </c>
      <c r="Q11" s="25">
        <f>IFERROR(IF(INDEX('CIOG'!$L$10:$L$13,MATCH($F11,'CIOG'!$B$10:$B$13,0))="","Cell will autofill based on response",INDEX('CIOG'!$L$10:$L$13,MATCH($F11,'CIOG'!$B$10:$B$13,0))),"N/A")</f>
        <v/>
      </c>
      <c r="R11" s="25">
        <f>IFERROR(IF(INDEX('MRE'!$L$10:$L$11,MATCH($F11,'MRE'!$B$10:$B$11,0))="","Cell will autofill based on response",INDEX('MRE'!$L$10:$L$11,MATCH($F11,'MRE'!$B$10:$B$11,0))),"N/A")</f>
        <v/>
      </c>
      <c r="T11" s="26">
        <f>COUNTIF($H11:$R11,"Cell will autofill based on response")</f>
        <v/>
      </c>
      <c r="U11" s="26">
        <f>COUNTIF($H11:$R11,"Not yet started")</f>
        <v/>
      </c>
      <c r="V11" s="26">
        <f>COUNTIF($H11:$R11,"Not met")</f>
        <v/>
      </c>
      <c r="W11" s="26">
        <f>COUNTIF($H11:$R11,"Partially met")</f>
        <v/>
      </c>
      <c r="X11" s="26">
        <f>COUNTIF($H11:$R11,"Met or exceeded")</f>
        <v/>
      </c>
      <c r="Y11" s="26">
        <f>3*X11+2*W11+V11</f>
        <v/>
      </c>
      <c r="Z11" s="26">
        <f>X11+W11+V11+U11</f>
        <v/>
      </c>
      <c r="AA11" s="27">
        <f>IF(Z11&gt;0,Y11/Z11,"No valid responses to date")</f>
        <v/>
      </c>
      <c r="AB11" s="26">
        <f>IF(ISNUMBER(AA11),INDEX(Lists!$G$2:$G$5,MATCH(ROUND(AA11,0),Lists!$H$2:$H$5,0)),"")</f>
        <v/>
      </c>
      <c r="AC11" s="28">
        <f>IF(Z11&gt;0,X11/Z11,"")</f>
        <v/>
      </c>
      <c r="AD11" s="28">
        <f>IF(Z11&gt;0,(X11+W11)/Z11,"")</f>
        <v/>
      </c>
      <c r="AE11" s="26">
        <f>IF(Z11=0,"",IF(AC11&gt;0.75,"Met or exceeded",IF(AD11&gt;=0.5,"Partially met","Not met")))</f>
        <v/>
      </c>
    </row>
    <row r="12">
      <c r="A12">
        <f>F12&amp;"|"&amp;G12</f>
        <v/>
      </c>
      <c r="B12" s="29" t="inlineStr"/>
      <c r="C12" s="8" t="inlineStr"/>
      <c r="D12" s="8" t="inlineStr"/>
      <c r="E12" s="8" t="inlineStr"/>
      <c r="F12" s="8" t="inlineStr">
        <is>
          <t>EE1(a)</t>
        </is>
      </c>
      <c r="G12" s="8" t="inlineStr">
        <is>
          <t>OPTION 1:  Target-level reporting</t>
        </is>
      </c>
      <c r="H12" s="25">
        <f>IFERROR(IF(INDEX('Faculties'!$M$10:$M$29,MATCH($F12,'Faculties'!$B$10:$B$29,0))="","Cell will autofill based on response",INDEX('Faculties'!$M$10:$M$29,MATCH($F12,'Faculties'!$B$10:$B$29,0))),"N/A")</f>
        <v/>
      </c>
      <c r="I12" s="25">
        <f>IFERROR(IF(INDEX('Faculties'!$M$37:$M$56,MATCH($F12,'Faculties'!$B$37:$B$56,0))="","Cell will autofill based on response",INDEX('Faculties'!$M$37:$M$56,MATCH($F12,'Faculties'!$B$37:$B$56,0))),"N/A")</f>
        <v/>
      </c>
      <c r="J12" s="25">
        <f>IFERROR(IF(INDEX('Faculties'!$M$64:$M$83,MATCH($F12,'Faculties'!$B$64:$B$83,0))="","Cell will autofill based on response",INDEX('Faculties'!$M$64:$M$83,MATCH($F12,'Faculties'!$B$64:$B$83,0))),"N/A")</f>
        <v/>
      </c>
      <c r="K12" s="25">
        <f>IFERROR(IF(INDEX('Faculties'!$M$91:$M$110,MATCH($F12,'Faculties'!$B$91:$B$110,0))="","Cell will autofill based on response",INDEX('Faculties'!$M$91:$M$110,MATCH($F12,'Faculties'!$B$91:$B$110,0))),"N/A")</f>
        <v/>
      </c>
      <c r="L12" s="25">
        <f>IFERROR(IF(INDEX('CI&amp;S'!$M$10:$M$14,MATCH($F12,'CI&amp;S'!$B$10:$B$14,0))="","Cell will autofill based on response",INDEX('CI&amp;S'!$M$10:$M$14,MATCH($F12,'CI&amp;S'!$B$10:$B$14,0))),"N/A")</f>
        <v/>
      </c>
      <c r="M12" s="25">
        <f>IFERROR(IF(INDEX('CI&amp;S'!$M$22:$M$38,MATCH($F12,'CI&amp;S'!$B$22:$B$38,0))="","Cell will autofill based on response",INDEX('CI&amp;S'!$M$22:$M$38,MATCH($F12,'CI&amp;S'!$B$22:$B$38,0))),"N/A")</f>
        <v/>
      </c>
      <c r="N12" s="25">
        <f>IFERROR(IF(INDEX('CFOG'!$M$10:$M$15,MATCH($F12,'CFOG'!$B$10:$B$15,0))="","Cell will autofill based on response",INDEX('CFOG'!$M$10:$M$15,MATCH($F12,'CFOG'!$B$10:$B$15,0))),"N/A")</f>
        <v/>
      </c>
      <c r="O12" s="25">
        <f>IFERROR(IF(INDEX('CFOG'!$M$23:$M$23,MATCH($F12,'CFOG'!$B$23:$B$23,0))="","Cell will autofill based on response",INDEX('CFOG'!$M$23:$M$23,MATCH($F12,'CFOG'!$B$23:$B$23,0))),"N/A")</f>
        <v/>
      </c>
      <c r="P12" s="25">
        <f>IFERROR(IF(INDEX('ESG'!$M$10:$M$16,MATCH($F12,'ESG'!$B$10:$B$16,0))="","Cell will autofill based on response",INDEX('ESG'!$M$10:$M$16,MATCH($F12,'ESG'!$B$10:$B$16,0))),"N/A")</f>
        <v/>
      </c>
      <c r="Q12" s="25">
        <f>IFERROR(IF(INDEX('CIOG'!$M$10:$M$13,MATCH($F12,'CIOG'!$B$10:$B$13,0))="","Cell will autofill based on response",INDEX('CIOG'!$M$10:$M$13,MATCH($F12,'CIOG'!$B$10:$B$13,0))),"N/A")</f>
        <v/>
      </c>
      <c r="R12" s="25">
        <f>IFERROR(IF(INDEX('MRE'!$M$10:$M$11,MATCH($F12,'MRE'!$B$10:$B$11,0))="","Cell will autofill based on response",INDEX('MRE'!$M$10:$M$11,MATCH($F12,'MRE'!$B$10:$B$11,0))),"N/A")</f>
        <v/>
      </c>
    </row>
    <row r="13">
      <c r="A13">
        <f>F13&amp;"|"&amp;G13</f>
        <v/>
      </c>
      <c r="B13" s="29" t="inlineStr"/>
      <c r="C13" s="8" t="inlineStr"/>
      <c r="D13" s="8" t="inlineStr"/>
      <c r="E13" s="8" t="inlineStr"/>
      <c r="F13" s="8" t="inlineStr">
        <is>
          <t>EE1(a)</t>
        </is>
      </c>
      <c r="G13" s="8" t="inlineStr">
        <is>
          <t>OPTION 2:  Indicator level reporting</t>
        </is>
      </c>
      <c r="H13" s="25">
        <f>IFERROR(IF(INDEX('Faculties'!$N$10:$N$29,MATCH($F13,'Faculties'!$B$10:$B$29,0))="","Cell will autofill based on response",INDEX('Faculties'!$N$10:$N$29,MATCH($F13,'Faculties'!$B$10:$B$29,0))),"N/A")</f>
        <v/>
      </c>
      <c r="I13" s="25">
        <f>IFERROR(IF(INDEX('Faculties'!$N$37:$N$56,MATCH($F13,'Faculties'!$B$37:$B$56,0))="","Cell will autofill based on response",INDEX('Faculties'!$N$37:$N$56,MATCH($F13,'Faculties'!$B$37:$B$56,0))),"N/A")</f>
        <v/>
      </c>
      <c r="J13" s="25">
        <f>IFERROR(IF(INDEX('Faculties'!$N$64:$N$83,MATCH($F13,'Faculties'!$B$64:$B$83,0))="","Cell will autofill based on response",INDEX('Faculties'!$N$64:$N$83,MATCH($F13,'Faculties'!$B$64:$B$83,0))),"N/A")</f>
        <v/>
      </c>
      <c r="K13" s="25">
        <f>IFERROR(IF(INDEX('Faculties'!$N$91:$N$110,MATCH($F13,'Faculties'!$B$91:$B$110,0))="","Cell will autofill based on response",INDEX('Faculties'!$N$91:$N$110,MATCH($F13,'Faculties'!$B$91:$B$110,0))),"N/A")</f>
        <v/>
      </c>
      <c r="L13" s="25">
        <f>IFERROR(IF(INDEX('CI&amp;S'!$N$10:$N$14,MATCH($F13,'CI&amp;S'!$B$10:$B$14,0))="","Cell will autofill based on response",INDEX('CI&amp;S'!$N$10:$N$14,MATCH($F13,'CI&amp;S'!$B$10:$B$14,0))),"N/A")</f>
        <v/>
      </c>
      <c r="M13" s="25">
        <f>IFERROR(IF(INDEX('CI&amp;S'!$N$22:$N$38,MATCH($F13,'CI&amp;S'!$B$22:$B$38,0))="","Cell will autofill based on response",INDEX('CI&amp;S'!$N$22:$N$38,MATCH($F13,'CI&amp;S'!$B$22:$B$38,0))),"N/A")</f>
        <v/>
      </c>
      <c r="N13" s="25">
        <f>IFERROR(IF(INDEX('CFOG'!$N$10:$N$15,MATCH($F13,'CFOG'!$B$10:$B$15,0))="","Cell will autofill based on response",INDEX('CFOG'!$N$10:$N$15,MATCH($F13,'CFOG'!$B$10:$B$15,0))),"N/A")</f>
        <v/>
      </c>
      <c r="O13" s="25">
        <f>IFERROR(IF(INDEX('CFOG'!$N$23:$N$23,MATCH($F13,'CFOG'!$B$23:$B$23,0))="","Cell will autofill based on response",INDEX('CFOG'!$N$23:$N$23,MATCH($F13,'CFOG'!$B$23:$B$23,0))),"N/A")</f>
        <v/>
      </c>
      <c r="P13" s="25">
        <f>IFERROR(IF(INDEX('ESG'!$N$10:$N$16,MATCH($F13,'ESG'!$B$10:$B$16,0))="","Cell will autofill based on response",INDEX('ESG'!$N$10:$N$16,MATCH($F13,'ESG'!$B$10:$B$16,0))),"N/A")</f>
        <v/>
      </c>
      <c r="Q13" s="25">
        <f>IFERROR(IF(INDEX('CIOG'!$N$10:$N$13,MATCH($F13,'CIOG'!$B$10:$B$13,0))="","Cell will autofill based on response",INDEX('CIOG'!$N$10:$N$13,MATCH($F13,'CIOG'!$B$10:$B$13,0))),"N/A")</f>
        <v/>
      </c>
      <c r="R13" s="25">
        <f>IFERROR(IF(INDEX('MRE'!$N$10:$N$11,MATCH($F13,'MRE'!$B$10:$B$11,0))="","Cell will autofill based on response",INDEX('MRE'!$N$10:$N$11,MATCH($F13,'MRE'!$B$10:$B$11,0))),"N/A")</f>
        <v/>
      </c>
    </row>
    <row r="14">
      <c r="A14">
        <f>F14&amp;"|"&amp;G14</f>
        <v/>
      </c>
      <c r="B14" s="29" t="inlineStr"/>
      <c r="C14" s="8" t="inlineStr"/>
      <c r="D14" s="8" t="inlineStr"/>
      <c r="E14" s="8" t="inlineStr"/>
      <c r="F14" s="8" t="inlineStr">
        <is>
          <t>EE1(a)</t>
        </is>
      </c>
      <c r="G14" s="8" t="inlineStr">
        <is>
          <t>Supporting information/comments</t>
        </is>
      </c>
      <c r="H14" s="25">
        <f>IFERROR(IF(INDEX('Faculties'!$O$10:$O$29,MATCH($F14,'Faculties'!$B$10:$B$29,0))="","Cell will autofill based on response",INDEX('Faculties'!$O$10:$O$29,MATCH($F14,'Faculties'!$B$10:$B$29,0))),"N/A")</f>
        <v/>
      </c>
      <c r="I14" s="25">
        <f>IFERROR(IF(INDEX('Faculties'!$O$37:$O$56,MATCH($F14,'Faculties'!$B$37:$B$56,0))="","Cell will autofill based on response",INDEX('Faculties'!$O$37:$O$56,MATCH($F14,'Faculties'!$B$37:$B$56,0))),"N/A")</f>
        <v/>
      </c>
      <c r="J14" s="25">
        <f>IFERROR(IF(INDEX('Faculties'!$O$64:$O$83,MATCH($F14,'Faculties'!$B$64:$B$83,0))="","Cell will autofill based on response",INDEX('Faculties'!$O$64:$O$83,MATCH($F14,'Faculties'!$B$64:$B$83,0))),"N/A")</f>
        <v/>
      </c>
      <c r="K14" s="25">
        <f>IFERROR(IF(INDEX('Faculties'!$O$91:$O$110,MATCH($F14,'Faculties'!$B$91:$B$110,0))="","Cell will autofill based on response",INDEX('Faculties'!$O$91:$O$110,MATCH($F14,'Faculties'!$B$91:$B$110,0))),"N/A")</f>
        <v/>
      </c>
      <c r="L14" s="25">
        <f>IFERROR(IF(INDEX('CI&amp;S'!$O$10:$O$14,MATCH($F14,'CI&amp;S'!$B$10:$B$14,0))="","Cell will autofill based on response",INDEX('CI&amp;S'!$O$10:$O$14,MATCH($F14,'CI&amp;S'!$B$10:$B$14,0))),"N/A")</f>
        <v/>
      </c>
      <c r="M14" s="25">
        <f>IFERROR(IF(INDEX('CI&amp;S'!$O$22:$O$38,MATCH($F14,'CI&amp;S'!$B$22:$B$38,0))="","Cell will autofill based on response",INDEX('CI&amp;S'!$O$22:$O$38,MATCH($F14,'CI&amp;S'!$B$22:$B$38,0))),"N/A")</f>
        <v/>
      </c>
      <c r="N14" s="25">
        <f>IFERROR(IF(INDEX('CFOG'!$O$10:$O$15,MATCH($F14,'CFOG'!$B$10:$B$15,0))="","Cell will autofill based on response",INDEX('CFOG'!$O$10:$O$15,MATCH($F14,'CFOG'!$B$10:$B$15,0))),"N/A")</f>
        <v/>
      </c>
      <c r="O14" s="25">
        <f>IFERROR(IF(INDEX('CFOG'!$O$23:$O$23,MATCH($F14,'CFOG'!$B$23:$B$23,0))="","Cell will autofill based on response",INDEX('CFOG'!$O$23:$O$23,MATCH($F14,'CFOG'!$B$23:$B$23,0))),"N/A")</f>
        <v/>
      </c>
      <c r="P14" s="25">
        <f>IFERROR(IF(INDEX('ESG'!$O$10:$O$16,MATCH($F14,'ESG'!$B$10:$B$16,0))="","Cell will autofill based on response",INDEX('ESG'!$O$10:$O$16,MATCH($F14,'ESG'!$B$10:$B$16,0))),"N/A")</f>
        <v/>
      </c>
      <c r="Q14" s="25">
        <f>IFERROR(IF(INDEX('CIOG'!$O$10:$O$13,MATCH($F14,'CIOG'!$B$10:$B$13,0))="","Cell will autofill based on response",INDEX('CIOG'!$O$10:$O$13,MATCH($F14,'CIOG'!$B$10:$B$13,0))),"N/A")</f>
        <v/>
      </c>
      <c r="R14" s="25">
        <f>IFERROR(IF(INDEX('MRE'!$O$10:$O$11,MATCH($F14,'MRE'!$B$10:$B$11,0))="","Cell will autofill based on response",INDEX('MRE'!$O$10:$O$11,MATCH($F14,'MRE'!$B$10:$B$11,0))),"N/A")</f>
        <v/>
      </c>
    </row>
    <row r="15">
      <c r="A15">
        <f>F15&amp;"|"&amp;G15</f>
        <v/>
      </c>
      <c r="B15" s="29" t="inlineStr"/>
      <c r="C15" s="8" t="inlineStr"/>
      <c r="D15" s="8" t="inlineStr"/>
      <c r="E15" s="8" t="inlineStr"/>
      <c r="F15" s="8" t="inlineStr">
        <is>
          <t>EE1(a)</t>
        </is>
      </c>
      <c r="G15" s="8" t="inlineStr">
        <is>
          <t>Data source and limitations</t>
        </is>
      </c>
      <c r="H15" s="25">
        <f>IFERROR(IF(INDEX('Faculties'!$P$10:$P$29,MATCH($F15,'Faculties'!$B$10:$B$29,0))="","Cell will autofill based on response",INDEX('Faculties'!$P$10:$P$29,MATCH($F15,'Faculties'!$B$10:$B$29,0))),"N/A")</f>
        <v/>
      </c>
      <c r="I15" s="25">
        <f>IFERROR(IF(INDEX('Faculties'!$P$37:$P$56,MATCH($F15,'Faculties'!$B$37:$B$56,0))="","Cell will autofill based on response",INDEX('Faculties'!$P$37:$P$56,MATCH($F15,'Faculties'!$B$37:$B$56,0))),"N/A")</f>
        <v/>
      </c>
      <c r="J15" s="25">
        <f>IFERROR(IF(INDEX('Faculties'!$P$64:$P$83,MATCH($F15,'Faculties'!$B$64:$B$83,0))="","Cell will autofill based on response",INDEX('Faculties'!$P$64:$P$83,MATCH($F15,'Faculties'!$B$64:$B$83,0))),"N/A")</f>
        <v/>
      </c>
      <c r="K15" s="25">
        <f>IFERROR(IF(INDEX('Faculties'!$P$91:$P$110,MATCH($F15,'Faculties'!$B$91:$B$110,0))="","Cell will autofill based on response",INDEX('Faculties'!$P$91:$P$110,MATCH($F15,'Faculties'!$B$91:$B$110,0))),"N/A")</f>
        <v/>
      </c>
      <c r="L15" s="25">
        <f>IFERROR(IF(INDEX('CI&amp;S'!$P$10:$P$14,MATCH($F15,'CI&amp;S'!$B$10:$B$14,0))="","Cell will autofill based on response",INDEX('CI&amp;S'!$P$10:$P$14,MATCH($F15,'CI&amp;S'!$B$10:$B$14,0))),"N/A")</f>
        <v/>
      </c>
      <c r="M15" s="25">
        <f>IFERROR(IF(INDEX('CI&amp;S'!$P$22:$P$38,MATCH($F15,'CI&amp;S'!$B$22:$B$38,0))="","Cell will autofill based on response",INDEX('CI&amp;S'!$P$22:$P$38,MATCH($F15,'CI&amp;S'!$B$22:$B$38,0))),"N/A")</f>
        <v/>
      </c>
      <c r="N15" s="25">
        <f>IFERROR(IF(INDEX('CFOG'!$P$10:$P$15,MATCH($F15,'CFOG'!$B$10:$B$15,0))="","Cell will autofill based on response",INDEX('CFOG'!$P$10:$P$15,MATCH($F15,'CFOG'!$B$10:$B$15,0))),"N/A")</f>
        <v/>
      </c>
      <c r="O15" s="25">
        <f>IFERROR(IF(INDEX('CFOG'!$P$23:$P$23,MATCH($F15,'CFOG'!$B$23:$B$23,0))="","Cell will autofill based on response",INDEX('CFOG'!$P$23:$P$23,MATCH($F15,'CFOG'!$B$23:$B$23,0))),"N/A")</f>
        <v/>
      </c>
      <c r="P15" s="25">
        <f>IFERROR(IF(INDEX('ESG'!$P$10:$P$16,MATCH($F15,'ESG'!$B$10:$B$16,0))="","Cell will autofill based on response",INDEX('ESG'!$P$10:$P$16,MATCH($F15,'ESG'!$B$10:$B$16,0))),"N/A")</f>
        <v/>
      </c>
      <c r="Q15" s="25">
        <f>IFERROR(IF(INDEX('CIOG'!$P$10:$P$13,MATCH($F15,'CIOG'!$B$10:$B$13,0))="","Cell will autofill based on response",INDEX('CIOG'!$P$10:$P$13,MATCH($F15,'CIOG'!$B$10:$B$13,0))),"N/A")</f>
        <v/>
      </c>
      <c r="R15" s="25">
        <f>IFERROR(IF(INDEX('MRE'!$P$10:$P$11,MATCH($F15,'MRE'!$B$10:$B$11,0))="","Cell will autofill based on response",INDEX('MRE'!$P$10:$P$11,MATCH($F15,'MRE'!$B$10:$B$11,0))),"N/A")</f>
        <v/>
      </c>
    </row>
    <row r="16">
      <c r="A16">
        <f>F16&amp;"|"&amp;G16</f>
        <v/>
      </c>
      <c r="B16" s="29" t="inlineStr"/>
      <c r="C16" s="8" t="inlineStr"/>
      <c r="D16" s="8" t="inlineStr"/>
      <c r="E16" s="8" t="inlineStr"/>
      <c r="F16" s="8" t="inlineStr">
        <is>
          <t>EE1(a)</t>
        </is>
      </c>
      <c r="G16" s="8" t="inlineStr">
        <is>
          <t>Data owner confirms</t>
        </is>
      </c>
      <c r="H16" s="25">
        <f>IFERROR(IF(INDEX('Faculties'!$Q$10:$Q$29,MATCH($F16,'Faculties'!$B$10:$B$29,0))="","Cell will autofill based on response",INDEX('Faculties'!$Q$10:$Q$29,MATCH($F16,'Faculties'!$B$10:$B$29,0))),"N/A")</f>
        <v/>
      </c>
      <c r="I16" s="25">
        <f>IFERROR(IF(INDEX('Faculties'!$Q$37:$Q$56,MATCH($F16,'Faculties'!$B$37:$B$56,0))="","Cell will autofill based on response",INDEX('Faculties'!$Q$37:$Q$56,MATCH($F16,'Faculties'!$B$37:$B$56,0))),"N/A")</f>
        <v/>
      </c>
      <c r="J16" s="25">
        <f>IFERROR(IF(INDEX('Faculties'!$Q$64:$Q$83,MATCH($F16,'Faculties'!$B$64:$B$83,0))="","Cell will autofill based on response",INDEX('Faculties'!$Q$64:$Q$83,MATCH($F16,'Faculties'!$B$64:$B$83,0))),"N/A")</f>
        <v/>
      </c>
      <c r="K16" s="25">
        <f>IFERROR(IF(INDEX('Faculties'!$Q$91:$Q$110,MATCH($F16,'Faculties'!$B$91:$B$110,0))="","Cell will autofill based on response",INDEX('Faculties'!$Q$91:$Q$110,MATCH($F16,'Faculties'!$B$91:$B$110,0))),"N/A")</f>
        <v/>
      </c>
      <c r="L16" s="25">
        <f>IFERROR(IF(INDEX('CI&amp;S'!$Q$10:$Q$14,MATCH($F16,'CI&amp;S'!$B$10:$B$14,0))="","Cell will autofill based on response",INDEX('CI&amp;S'!$Q$10:$Q$14,MATCH($F16,'CI&amp;S'!$B$10:$B$14,0))),"N/A")</f>
        <v/>
      </c>
      <c r="M16" s="25">
        <f>IFERROR(IF(INDEX('CI&amp;S'!$Q$22:$Q$38,MATCH($F16,'CI&amp;S'!$B$22:$B$38,0))="","Cell will autofill based on response",INDEX('CI&amp;S'!$Q$22:$Q$38,MATCH($F16,'CI&amp;S'!$B$22:$B$38,0))),"N/A")</f>
        <v/>
      </c>
      <c r="N16" s="25">
        <f>IFERROR(IF(INDEX('CFOG'!$Q$10:$Q$15,MATCH($F16,'CFOG'!$B$10:$B$15,0))="","Cell will autofill based on response",INDEX('CFOG'!$Q$10:$Q$15,MATCH($F16,'CFOG'!$B$10:$B$15,0))),"N/A")</f>
        <v/>
      </c>
      <c r="O16" s="25">
        <f>IFERROR(IF(INDEX('CFOG'!$Q$23:$Q$23,MATCH($F16,'CFOG'!$B$23:$B$23,0))="","Cell will autofill based on response",INDEX('CFOG'!$Q$23:$Q$23,MATCH($F16,'CFOG'!$B$23:$B$23,0))),"N/A")</f>
        <v/>
      </c>
      <c r="P16" s="25">
        <f>IFERROR(IF(INDEX('ESG'!$Q$10:$Q$16,MATCH($F16,'ESG'!$B$10:$B$16,0))="","Cell will autofill based on response",INDEX('ESG'!$Q$10:$Q$16,MATCH($F16,'ESG'!$B$10:$B$16,0))),"N/A")</f>
        <v/>
      </c>
      <c r="Q16" s="25">
        <f>IFERROR(IF(INDEX('CIOG'!$Q$10:$Q$13,MATCH($F16,'CIOG'!$B$10:$B$13,0))="","Cell will autofill based on response",INDEX('CIOG'!$Q$10:$Q$13,MATCH($F16,'CIOG'!$B$10:$B$13,0))),"N/A")</f>
        <v/>
      </c>
      <c r="R16" s="25">
        <f>IFERROR(IF(INDEX('MRE'!$Q$10:$Q$11,MATCH($F16,'MRE'!$B$10:$B$11,0))="","Cell will autofill based on response",INDEX('MRE'!$Q$10:$Q$11,MATCH($F16,'MRE'!$B$10:$B$11,0))),"N/A")</f>
        <v/>
      </c>
    </row>
    <row r="17">
      <c r="A17">
        <f>F17&amp;"|"&amp;G17</f>
        <v/>
      </c>
      <c r="B17" s="7" t="inlineStr">
        <is>
          <t>EE1(b)</t>
        </is>
      </c>
      <c r="C17" s="12" t="inlineStr">
        <is>
          <t>Exceptional education</t>
        </is>
      </c>
      <c r="D17" s="12" t="inlineStr">
        <is>
          <t>Pilots of possible approaches for understanding and developing students’ sustainability self-efficacy</t>
        </is>
      </c>
      <c r="E17" s="12"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12" t="inlineStr">
        <is>
          <t>EE1(b)</t>
        </is>
      </c>
      <c r="G17" s="12" t="inlineStr">
        <is>
          <t>Confirm end-2026 target status</t>
        </is>
      </c>
      <c r="H17" s="25">
        <f>IFERROR(IF(INDEX('Faculties'!$L$10:$L$29,MATCH($F17,'Faculties'!$B$10:$B$29,0))="","Cell will autofill based on response",INDEX('Faculties'!$L$10:$L$29,MATCH($F17,'Faculties'!$B$10:$B$29,0))),"N/A")</f>
        <v/>
      </c>
      <c r="I17" s="25">
        <f>IFERROR(IF(INDEX('Faculties'!$L$37:$L$56,MATCH($F17,'Faculties'!$B$37:$B$56,0))="","Cell will autofill based on response",INDEX('Faculties'!$L$37:$L$56,MATCH($F17,'Faculties'!$B$37:$B$56,0))),"N/A")</f>
        <v/>
      </c>
      <c r="J17" s="25">
        <f>IFERROR(IF(INDEX('Faculties'!$L$64:$L$83,MATCH($F17,'Faculties'!$B$64:$B$83,0))="","Cell will autofill based on response",INDEX('Faculties'!$L$64:$L$83,MATCH($F17,'Faculties'!$B$64:$B$83,0))),"N/A")</f>
        <v/>
      </c>
      <c r="K17" s="25">
        <f>IFERROR(IF(INDEX('Faculties'!$L$91:$L$110,MATCH($F17,'Faculties'!$B$91:$B$110,0))="","Cell will autofill based on response",INDEX('Faculties'!$L$91:$L$110,MATCH($F17,'Faculties'!$B$91:$B$110,0))),"N/A")</f>
        <v/>
      </c>
      <c r="L17" s="25">
        <f>IFERROR(IF(INDEX('CI&amp;S'!$L$10:$L$14,MATCH($F17,'CI&amp;S'!$B$10:$B$14,0))="","Cell will autofill based on response",INDEX('CI&amp;S'!$L$10:$L$14,MATCH($F17,'CI&amp;S'!$B$10:$B$14,0))),"N/A")</f>
        <v/>
      </c>
      <c r="M17" s="25">
        <f>IFERROR(IF(INDEX('CI&amp;S'!$L$22:$L$38,MATCH($F17,'CI&amp;S'!$B$22:$B$38,0))="","Cell will autofill based on response",INDEX('CI&amp;S'!$L$22:$L$38,MATCH($F17,'CI&amp;S'!$B$22:$B$38,0))),"N/A")</f>
        <v/>
      </c>
      <c r="N17" s="25">
        <f>IFERROR(IF(INDEX('CFOG'!$L$10:$L$15,MATCH($F17,'CFOG'!$B$10:$B$15,0))="","Cell will autofill based on response",INDEX('CFOG'!$L$10:$L$15,MATCH($F17,'CFOG'!$B$10:$B$15,0))),"N/A")</f>
        <v/>
      </c>
      <c r="O17" s="25">
        <f>IFERROR(IF(INDEX('CFOG'!$L$23:$L$23,MATCH($F17,'CFOG'!$B$23:$B$23,0))="","Cell will autofill based on response",INDEX('CFOG'!$L$23:$L$23,MATCH($F17,'CFOG'!$B$23:$B$23,0))),"N/A")</f>
        <v/>
      </c>
      <c r="P17" s="25">
        <f>IFERROR(IF(INDEX('ESG'!$L$10:$L$16,MATCH($F17,'ESG'!$B$10:$B$16,0))="","Cell will autofill based on response",INDEX('ESG'!$L$10:$L$16,MATCH($F17,'ESG'!$B$10:$B$16,0))),"N/A")</f>
        <v/>
      </c>
      <c r="Q17" s="25">
        <f>IFERROR(IF(INDEX('CIOG'!$L$10:$L$13,MATCH($F17,'CIOG'!$B$10:$B$13,0))="","Cell will autofill based on response",INDEX('CIOG'!$L$10:$L$13,MATCH($F17,'CIOG'!$B$10:$B$13,0))),"N/A")</f>
        <v/>
      </c>
      <c r="R17" s="25">
        <f>IFERROR(IF(INDEX('MRE'!$L$10:$L$11,MATCH($F17,'MRE'!$B$10:$B$11,0))="","Cell will autofill based on response",INDEX('MRE'!$L$10:$L$11,MATCH($F17,'MRE'!$B$10:$B$11,0))),"N/A")</f>
        <v/>
      </c>
      <c r="T17" s="26">
        <f>COUNTIF($H17:$R17,"Cell will autofill based on response")</f>
        <v/>
      </c>
      <c r="U17" s="26">
        <f>COUNTIF($H17:$R17,"Not yet started")</f>
        <v/>
      </c>
      <c r="V17" s="26">
        <f>COUNTIF($H17:$R17,"Not met")</f>
        <v/>
      </c>
      <c r="W17" s="26">
        <f>COUNTIF($H17:$R17,"Partially met")</f>
        <v/>
      </c>
      <c r="X17" s="26">
        <f>COUNTIF($H17:$R17,"Met or exceeded")</f>
        <v/>
      </c>
      <c r="Y17" s="26">
        <f>3*X17+2*W17+V17</f>
        <v/>
      </c>
      <c r="Z17" s="26">
        <f>X17+W17+V17+U17</f>
        <v/>
      </c>
      <c r="AA17" s="27">
        <f>IF(Z17&gt;0,Y17/Z17,"No valid responses to date")</f>
        <v/>
      </c>
      <c r="AB17" s="26">
        <f>IF(ISNUMBER(AA17),INDEX(Lists!$G$2:$G$5,MATCH(ROUND(AA17,0),Lists!$H$2:$H$5,0)),"")</f>
        <v/>
      </c>
      <c r="AC17" s="28">
        <f>IF(Z17&gt;0,X17/Z17,"")</f>
        <v/>
      </c>
      <c r="AD17" s="28">
        <f>IF(Z17&gt;0,(X17+W17)/Z17,"")</f>
        <v/>
      </c>
      <c r="AE17" s="26">
        <f>IF(Z17=0,"",IF(AC17&gt;0.75,"Met or exceeded",IF(AD17&gt;=0.5,"Partially met","Not met")))</f>
        <v/>
      </c>
    </row>
    <row r="18">
      <c r="A18">
        <f>F18&amp;"|"&amp;G18</f>
        <v/>
      </c>
      <c r="B18" s="29" t="inlineStr"/>
      <c r="C18" s="8" t="inlineStr"/>
      <c r="D18" s="8" t="inlineStr"/>
      <c r="E18" s="8" t="inlineStr"/>
      <c r="F18" s="8" t="inlineStr">
        <is>
          <t>EE1(b)</t>
        </is>
      </c>
      <c r="G18" s="8" t="inlineStr">
        <is>
          <t>OPTION 1:  Target-level reporting</t>
        </is>
      </c>
      <c r="H18" s="25">
        <f>IFERROR(IF(INDEX('Faculties'!$M$10:$M$29,MATCH($F18,'Faculties'!$B$10:$B$29,0))="","Cell will autofill based on response",INDEX('Faculties'!$M$10:$M$29,MATCH($F18,'Faculties'!$B$10:$B$29,0))),"N/A")</f>
        <v/>
      </c>
      <c r="I18" s="25">
        <f>IFERROR(IF(INDEX('Faculties'!$M$37:$M$56,MATCH($F18,'Faculties'!$B$37:$B$56,0))="","Cell will autofill based on response",INDEX('Faculties'!$M$37:$M$56,MATCH($F18,'Faculties'!$B$37:$B$56,0))),"N/A")</f>
        <v/>
      </c>
      <c r="J18" s="25">
        <f>IFERROR(IF(INDEX('Faculties'!$M$64:$M$83,MATCH($F18,'Faculties'!$B$64:$B$83,0))="","Cell will autofill based on response",INDEX('Faculties'!$M$64:$M$83,MATCH($F18,'Faculties'!$B$64:$B$83,0))),"N/A")</f>
        <v/>
      </c>
      <c r="K18" s="25">
        <f>IFERROR(IF(INDEX('Faculties'!$M$91:$M$110,MATCH($F18,'Faculties'!$B$91:$B$110,0))="","Cell will autofill based on response",INDEX('Faculties'!$M$91:$M$110,MATCH($F18,'Faculties'!$B$91:$B$110,0))),"N/A")</f>
        <v/>
      </c>
      <c r="L18" s="25">
        <f>IFERROR(IF(INDEX('CI&amp;S'!$M$10:$M$14,MATCH($F18,'CI&amp;S'!$B$10:$B$14,0))="","Cell will autofill based on response",INDEX('CI&amp;S'!$M$10:$M$14,MATCH($F18,'CI&amp;S'!$B$10:$B$14,0))),"N/A")</f>
        <v/>
      </c>
      <c r="M18" s="25">
        <f>IFERROR(IF(INDEX('CI&amp;S'!$M$22:$M$38,MATCH($F18,'CI&amp;S'!$B$22:$B$38,0))="","Cell will autofill based on response",INDEX('CI&amp;S'!$M$22:$M$38,MATCH($F18,'CI&amp;S'!$B$22:$B$38,0))),"N/A")</f>
        <v/>
      </c>
      <c r="N18" s="25">
        <f>IFERROR(IF(INDEX('CFOG'!$M$10:$M$15,MATCH($F18,'CFOG'!$B$10:$B$15,0))="","Cell will autofill based on response",INDEX('CFOG'!$M$10:$M$15,MATCH($F18,'CFOG'!$B$10:$B$15,0))),"N/A")</f>
        <v/>
      </c>
      <c r="O18" s="25">
        <f>IFERROR(IF(INDEX('CFOG'!$M$23:$M$23,MATCH($F18,'CFOG'!$B$23:$B$23,0))="","Cell will autofill based on response",INDEX('CFOG'!$M$23:$M$23,MATCH($F18,'CFOG'!$B$23:$B$23,0))),"N/A")</f>
        <v/>
      </c>
      <c r="P18" s="25">
        <f>IFERROR(IF(INDEX('ESG'!$M$10:$M$16,MATCH($F18,'ESG'!$B$10:$B$16,0))="","Cell will autofill based on response",INDEX('ESG'!$M$10:$M$16,MATCH($F18,'ESG'!$B$10:$B$16,0))),"N/A")</f>
        <v/>
      </c>
      <c r="Q18" s="25">
        <f>IFERROR(IF(INDEX('CIOG'!$M$10:$M$13,MATCH($F18,'CIOG'!$B$10:$B$13,0))="","Cell will autofill based on response",INDEX('CIOG'!$M$10:$M$13,MATCH($F18,'CIOG'!$B$10:$B$13,0))),"N/A")</f>
        <v/>
      </c>
      <c r="R18" s="25">
        <f>IFERROR(IF(INDEX('MRE'!$M$10:$M$11,MATCH($F18,'MRE'!$B$10:$B$11,0))="","Cell will autofill based on response",INDEX('MRE'!$M$10:$M$11,MATCH($F18,'MRE'!$B$10:$B$11,0))),"N/A")</f>
        <v/>
      </c>
    </row>
    <row r="19">
      <c r="A19">
        <f>F19&amp;"|"&amp;G19</f>
        <v/>
      </c>
      <c r="B19" s="29" t="inlineStr"/>
      <c r="C19" s="8" t="inlineStr"/>
      <c r="D19" s="8" t="inlineStr"/>
      <c r="E19" s="8" t="inlineStr"/>
      <c r="F19" s="8" t="inlineStr">
        <is>
          <t>EE1(b)</t>
        </is>
      </c>
      <c r="G19" s="8" t="inlineStr">
        <is>
          <t>OPTION 2:  Indicator level reporting</t>
        </is>
      </c>
      <c r="H19" s="25">
        <f>IFERROR(IF(INDEX('Faculties'!$N$10:$N$29,MATCH($F19,'Faculties'!$B$10:$B$29,0))="","Cell will autofill based on response",INDEX('Faculties'!$N$10:$N$29,MATCH($F19,'Faculties'!$B$10:$B$29,0))),"N/A")</f>
        <v/>
      </c>
      <c r="I19" s="25">
        <f>IFERROR(IF(INDEX('Faculties'!$N$37:$N$56,MATCH($F19,'Faculties'!$B$37:$B$56,0))="","Cell will autofill based on response",INDEX('Faculties'!$N$37:$N$56,MATCH($F19,'Faculties'!$B$37:$B$56,0))),"N/A")</f>
        <v/>
      </c>
      <c r="J19" s="25">
        <f>IFERROR(IF(INDEX('Faculties'!$N$64:$N$83,MATCH($F19,'Faculties'!$B$64:$B$83,0))="","Cell will autofill based on response",INDEX('Faculties'!$N$64:$N$83,MATCH($F19,'Faculties'!$B$64:$B$83,0))),"N/A")</f>
        <v/>
      </c>
      <c r="K19" s="25">
        <f>IFERROR(IF(INDEX('Faculties'!$N$91:$N$110,MATCH($F19,'Faculties'!$B$91:$B$110,0))="","Cell will autofill based on response",INDEX('Faculties'!$N$91:$N$110,MATCH($F19,'Faculties'!$B$91:$B$110,0))),"N/A")</f>
        <v/>
      </c>
      <c r="L19" s="25">
        <f>IFERROR(IF(INDEX('CI&amp;S'!$N$10:$N$14,MATCH($F19,'CI&amp;S'!$B$10:$B$14,0))="","Cell will autofill based on response",INDEX('CI&amp;S'!$N$10:$N$14,MATCH($F19,'CI&amp;S'!$B$10:$B$14,0))),"N/A")</f>
        <v/>
      </c>
      <c r="M19" s="25">
        <f>IFERROR(IF(INDEX('CI&amp;S'!$N$22:$N$38,MATCH($F19,'CI&amp;S'!$B$22:$B$38,0))="","Cell will autofill based on response",INDEX('CI&amp;S'!$N$22:$N$38,MATCH($F19,'CI&amp;S'!$B$22:$B$38,0))),"N/A")</f>
        <v/>
      </c>
      <c r="N19" s="25">
        <f>IFERROR(IF(INDEX('CFOG'!$N$10:$N$15,MATCH($F19,'CFOG'!$B$10:$B$15,0))="","Cell will autofill based on response",INDEX('CFOG'!$N$10:$N$15,MATCH($F19,'CFOG'!$B$10:$B$15,0))),"N/A")</f>
        <v/>
      </c>
      <c r="O19" s="25">
        <f>IFERROR(IF(INDEX('CFOG'!$N$23:$N$23,MATCH($F19,'CFOG'!$B$23:$B$23,0))="","Cell will autofill based on response",INDEX('CFOG'!$N$23:$N$23,MATCH($F19,'CFOG'!$B$23:$B$23,0))),"N/A")</f>
        <v/>
      </c>
      <c r="P19" s="25">
        <f>IFERROR(IF(INDEX('ESG'!$N$10:$N$16,MATCH($F19,'ESG'!$B$10:$B$16,0))="","Cell will autofill based on response",INDEX('ESG'!$N$10:$N$16,MATCH($F19,'ESG'!$B$10:$B$16,0))),"N/A")</f>
        <v/>
      </c>
      <c r="Q19" s="25">
        <f>IFERROR(IF(INDEX('CIOG'!$N$10:$N$13,MATCH($F19,'CIOG'!$B$10:$B$13,0))="","Cell will autofill based on response",INDEX('CIOG'!$N$10:$N$13,MATCH($F19,'CIOG'!$B$10:$B$13,0))),"N/A")</f>
        <v/>
      </c>
      <c r="R19" s="25">
        <f>IFERROR(IF(INDEX('MRE'!$N$10:$N$11,MATCH($F19,'MRE'!$B$10:$B$11,0))="","Cell will autofill based on response",INDEX('MRE'!$N$10:$N$11,MATCH($F19,'MRE'!$B$10:$B$11,0))),"N/A")</f>
        <v/>
      </c>
    </row>
    <row r="20">
      <c r="A20">
        <f>F20&amp;"|"&amp;G20</f>
        <v/>
      </c>
      <c r="B20" s="29" t="inlineStr"/>
      <c r="C20" s="8" t="inlineStr"/>
      <c r="D20" s="8" t="inlineStr"/>
      <c r="E20" s="8" t="inlineStr"/>
      <c r="F20" s="8" t="inlineStr">
        <is>
          <t>EE1(b)</t>
        </is>
      </c>
      <c r="G20" s="8" t="inlineStr">
        <is>
          <t>Supporting information/comments</t>
        </is>
      </c>
      <c r="H20" s="25">
        <f>IFERROR(IF(INDEX('Faculties'!$O$10:$O$29,MATCH($F20,'Faculties'!$B$10:$B$29,0))="","Cell will autofill based on response",INDEX('Faculties'!$O$10:$O$29,MATCH($F20,'Faculties'!$B$10:$B$29,0))),"N/A")</f>
        <v/>
      </c>
      <c r="I20" s="25">
        <f>IFERROR(IF(INDEX('Faculties'!$O$37:$O$56,MATCH($F20,'Faculties'!$B$37:$B$56,0))="","Cell will autofill based on response",INDEX('Faculties'!$O$37:$O$56,MATCH($F20,'Faculties'!$B$37:$B$56,0))),"N/A")</f>
        <v/>
      </c>
      <c r="J20" s="25">
        <f>IFERROR(IF(INDEX('Faculties'!$O$64:$O$83,MATCH($F20,'Faculties'!$B$64:$B$83,0))="","Cell will autofill based on response",INDEX('Faculties'!$O$64:$O$83,MATCH($F20,'Faculties'!$B$64:$B$83,0))),"N/A")</f>
        <v/>
      </c>
      <c r="K20" s="25">
        <f>IFERROR(IF(INDEX('Faculties'!$O$91:$O$110,MATCH($F20,'Faculties'!$B$91:$B$110,0))="","Cell will autofill based on response",INDEX('Faculties'!$O$91:$O$110,MATCH($F20,'Faculties'!$B$91:$B$110,0))),"N/A")</f>
        <v/>
      </c>
      <c r="L20" s="25">
        <f>IFERROR(IF(INDEX('CI&amp;S'!$O$10:$O$14,MATCH($F20,'CI&amp;S'!$B$10:$B$14,0))="","Cell will autofill based on response",INDEX('CI&amp;S'!$O$10:$O$14,MATCH($F20,'CI&amp;S'!$B$10:$B$14,0))),"N/A")</f>
        <v/>
      </c>
      <c r="M20" s="25">
        <f>IFERROR(IF(INDEX('CI&amp;S'!$O$22:$O$38,MATCH($F20,'CI&amp;S'!$B$22:$B$38,0))="","Cell will autofill based on response",INDEX('CI&amp;S'!$O$22:$O$38,MATCH($F20,'CI&amp;S'!$B$22:$B$38,0))),"N/A")</f>
        <v/>
      </c>
      <c r="N20" s="25">
        <f>IFERROR(IF(INDEX('CFOG'!$O$10:$O$15,MATCH($F20,'CFOG'!$B$10:$B$15,0))="","Cell will autofill based on response",INDEX('CFOG'!$O$10:$O$15,MATCH($F20,'CFOG'!$B$10:$B$15,0))),"N/A")</f>
        <v/>
      </c>
      <c r="O20" s="25">
        <f>IFERROR(IF(INDEX('CFOG'!$O$23:$O$23,MATCH($F20,'CFOG'!$B$23:$B$23,0))="","Cell will autofill based on response",INDEX('CFOG'!$O$23:$O$23,MATCH($F20,'CFOG'!$B$23:$B$23,0))),"N/A")</f>
        <v/>
      </c>
      <c r="P20" s="25">
        <f>IFERROR(IF(INDEX('ESG'!$O$10:$O$16,MATCH($F20,'ESG'!$B$10:$B$16,0))="","Cell will autofill based on response",INDEX('ESG'!$O$10:$O$16,MATCH($F20,'ESG'!$B$10:$B$16,0))),"N/A")</f>
        <v/>
      </c>
      <c r="Q20" s="25">
        <f>IFERROR(IF(INDEX('CIOG'!$O$10:$O$13,MATCH($F20,'CIOG'!$B$10:$B$13,0))="","Cell will autofill based on response",INDEX('CIOG'!$O$10:$O$13,MATCH($F20,'CIOG'!$B$10:$B$13,0))),"N/A")</f>
        <v/>
      </c>
      <c r="R20" s="25">
        <f>IFERROR(IF(INDEX('MRE'!$O$10:$O$11,MATCH($F20,'MRE'!$B$10:$B$11,0))="","Cell will autofill based on response",INDEX('MRE'!$O$10:$O$11,MATCH($F20,'MRE'!$B$10:$B$11,0))),"N/A")</f>
        <v/>
      </c>
    </row>
    <row r="21">
      <c r="A21">
        <f>F21&amp;"|"&amp;G21</f>
        <v/>
      </c>
      <c r="B21" s="29" t="inlineStr"/>
      <c r="C21" s="8" t="inlineStr"/>
      <c r="D21" s="8" t="inlineStr"/>
      <c r="E21" s="8" t="inlineStr"/>
      <c r="F21" s="8" t="inlineStr">
        <is>
          <t>EE1(b)</t>
        </is>
      </c>
      <c r="G21" s="8" t="inlineStr">
        <is>
          <t>Data source and limitations</t>
        </is>
      </c>
      <c r="H21" s="25">
        <f>IFERROR(IF(INDEX('Faculties'!$P$10:$P$29,MATCH($F21,'Faculties'!$B$10:$B$29,0))="","Cell will autofill based on response",INDEX('Faculties'!$P$10:$P$29,MATCH($F21,'Faculties'!$B$10:$B$29,0))),"N/A")</f>
        <v/>
      </c>
      <c r="I21" s="25">
        <f>IFERROR(IF(INDEX('Faculties'!$P$37:$P$56,MATCH($F21,'Faculties'!$B$37:$B$56,0))="","Cell will autofill based on response",INDEX('Faculties'!$P$37:$P$56,MATCH($F21,'Faculties'!$B$37:$B$56,0))),"N/A")</f>
        <v/>
      </c>
      <c r="J21" s="25">
        <f>IFERROR(IF(INDEX('Faculties'!$P$64:$P$83,MATCH($F21,'Faculties'!$B$64:$B$83,0))="","Cell will autofill based on response",INDEX('Faculties'!$P$64:$P$83,MATCH($F21,'Faculties'!$B$64:$B$83,0))),"N/A")</f>
        <v/>
      </c>
      <c r="K21" s="25">
        <f>IFERROR(IF(INDEX('Faculties'!$P$91:$P$110,MATCH($F21,'Faculties'!$B$91:$B$110,0))="","Cell will autofill based on response",INDEX('Faculties'!$P$91:$P$110,MATCH($F21,'Faculties'!$B$91:$B$110,0))),"N/A")</f>
        <v/>
      </c>
      <c r="L21" s="25">
        <f>IFERROR(IF(INDEX('CI&amp;S'!$P$10:$P$14,MATCH($F21,'CI&amp;S'!$B$10:$B$14,0))="","Cell will autofill based on response",INDEX('CI&amp;S'!$P$10:$P$14,MATCH($F21,'CI&amp;S'!$B$10:$B$14,0))),"N/A")</f>
        <v/>
      </c>
      <c r="M21" s="25">
        <f>IFERROR(IF(INDEX('CI&amp;S'!$P$22:$P$38,MATCH($F21,'CI&amp;S'!$B$22:$B$38,0))="","Cell will autofill based on response",INDEX('CI&amp;S'!$P$22:$P$38,MATCH($F21,'CI&amp;S'!$B$22:$B$38,0))),"N/A")</f>
        <v/>
      </c>
      <c r="N21" s="25">
        <f>IFERROR(IF(INDEX('CFOG'!$P$10:$P$15,MATCH($F21,'CFOG'!$B$10:$B$15,0))="","Cell will autofill based on response",INDEX('CFOG'!$P$10:$P$15,MATCH($F21,'CFOG'!$B$10:$B$15,0))),"N/A")</f>
        <v/>
      </c>
      <c r="O21" s="25">
        <f>IFERROR(IF(INDEX('CFOG'!$P$23:$P$23,MATCH($F21,'CFOG'!$B$23:$B$23,0))="","Cell will autofill based on response",INDEX('CFOG'!$P$23:$P$23,MATCH($F21,'CFOG'!$B$23:$B$23,0))),"N/A")</f>
        <v/>
      </c>
      <c r="P21" s="25">
        <f>IFERROR(IF(INDEX('ESG'!$P$10:$P$16,MATCH($F21,'ESG'!$B$10:$B$16,0))="","Cell will autofill based on response",INDEX('ESG'!$P$10:$P$16,MATCH($F21,'ESG'!$B$10:$B$16,0))),"N/A")</f>
        <v/>
      </c>
      <c r="Q21" s="25">
        <f>IFERROR(IF(INDEX('CIOG'!$P$10:$P$13,MATCH($F21,'CIOG'!$B$10:$B$13,0))="","Cell will autofill based on response",INDEX('CIOG'!$P$10:$P$13,MATCH($F21,'CIOG'!$B$10:$B$13,0))),"N/A")</f>
        <v/>
      </c>
      <c r="R21" s="25">
        <f>IFERROR(IF(INDEX('MRE'!$P$10:$P$11,MATCH($F21,'MRE'!$B$10:$B$11,0))="","Cell will autofill based on response",INDEX('MRE'!$P$10:$P$11,MATCH($F21,'MRE'!$B$10:$B$11,0))),"N/A")</f>
        <v/>
      </c>
    </row>
    <row r="22">
      <c r="A22">
        <f>F22&amp;"|"&amp;G22</f>
        <v/>
      </c>
      <c r="B22" s="29" t="inlineStr"/>
      <c r="C22" s="8" t="inlineStr"/>
      <c r="D22" s="8" t="inlineStr"/>
      <c r="E22" s="8" t="inlineStr"/>
      <c r="F22" s="8" t="inlineStr">
        <is>
          <t>EE1(b)</t>
        </is>
      </c>
      <c r="G22" s="8" t="inlineStr">
        <is>
          <t>Data owner confirms</t>
        </is>
      </c>
      <c r="H22" s="25">
        <f>IFERROR(IF(INDEX('Faculties'!$Q$10:$Q$29,MATCH($F22,'Faculties'!$B$10:$B$29,0))="","Cell will autofill based on response",INDEX('Faculties'!$Q$10:$Q$29,MATCH($F22,'Faculties'!$B$10:$B$29,0))),"N/A")</f>
        <v/>
      </c>
      <c r="I22" s="25">
        <f>IFERROR(IF(INDEX('Faculties'!$Q$37:$Q$56,MATCH($F22,'Faculties'!$B$37:$B$56,0))="","Cell will autofill based on response",INDEX('Faculties'!$Q$37:$Q$56,MATCH($F22,'Faculties'!$B$37:$B$56,0))),"N/A")</f>
        <v/>
      </c>
      <c r="J22" s="25">
        <f>IFERROR(IF(INDEX('Faculties'!$Q$64:$Q$83,MATCH($F22,'Faculties'!$B$64:$B$83,0))="","Cell will autofill based on response",INDEX('Faculties'!$Q$64:$Q$83,MATCH($F22,'Faculties'!$B$64:$B$83,0))),"N/A")</f>
        <v/>
      </c>
      <c r="K22" s="25">
        <f>IFERROR(IF(INDEX('Faculties'!$Q$91:$Q$110,MATCH($F22,'Faculties'!$B$91:$B$110,0))="","Cell will autofill based on response",INDEX('Faculties'!$Q$91:$Q$110,MATCH($F22,'Faculties'!$B$91:$B$110,0))),"N/A")</f>
        <v/>
      </c>
      <c r="L22" s="25">
        <f>IFERROR(IF(INDEX('CI&amp;S'!$Q$10:$Q$14,MATCH($F22,'CI&amp;S'!$B$10:$B$14,0))="","Cell will autofill based on response",INDEX('CI&amp;S'!$Q$10:$Q$14,MATCH($F22,'CI&amp;S'!$B$10:$B$14,0))),"N/A")</f>
        <v/>
      </c>
      <c r="M22" s="25">
        <f>IFERROR(IF(INDEX('CI&amp;S'!$Q$22:$Q$38,MATCH($F22,'CI&amp;S'!$B$22:$B$38,0))="","Cell will autofill based on response",INDEX('CI&amp;S'!$Q$22:$Q$38,MATCH($F22,'CI&amp;S'!$B$22:$B$38,0))),"N/A")</f>
        <v/>
      </c>
      <c r="N22" s="25">
        <f>IFERROR(IF(INDEX('CFOG'!$Q$10:$Q$15,MATCH($F22,'CFOG'!$B$10:$B$15,0))="","Cell will autofill based on response",INDEX('CFOG'!$Q$10:$Q$15,MATCH($F22,'CFOG'!$B$10:$B$15,0))),"N/A")</f>
        <v/>
      </c>
      <c r="O22" s="25">
        <f>IFERROR(IF(INDEX('CFOG'!$Q$23:$Q$23,MATCH($F22,'CFOG'!$B$23:$B$23,0))="","Cell will autofill based on response",INDEX('CFOG'!$Q$23:$Q$23,MATCH($F22,'CFOG'!$B$23:$B$23,0))),"N/A")</f>
        <v/>
      </c>
      <c r="P22" s="25">
        <f>IFERROR(IF(INDEX('ESG'!$Q$10:$Q$16,MATCH($F22,'ESG'!$B$10:$B$16,0))="","Cell will autofill based on response",INDEX('ESG'!$Q$10:$Q$16,MATCH($F22,'ESG'!$B$10:$B$16,0))),"N/A")</f>
        <v/>
      </c>
      <c r="Q22" s="25">
        <f>IFERROR(IF(INDEX('CIOG'!$Q$10:$Q$13,MATCH($F22,'CIOG'!$B$10:$B$13,0))="","Cell will autofill based on response",INDEX('CIOG'!$Q$10:$Q$13,MATCH($F22,'CIOG'!$B$10:$B$13,0))),"N/A")</f>
        <v/>
      </c>
      <c r="R22" s="25">
        <f>IFERROR(IF(INDEX('MRE'!$Q$10:$Q$11,MATCH($F22,'MRE'!$B$10:$B$11,0))="","Cell will autofill based on response",INDEX('MRE'!$Q$10:$Q$11,MATCH($F22,'MRE'!$B$10:$B$11,0))),"N/A")</f>
        <v/>
      </c>
    </row>
    <row r="23">
      <c r="A23">
        <f>F23&amp;"|"&amp;G23</f>
        <v/>
      </c>
      <c r="B23" s="7" t="inlineStr">
        <is>
          <t>EE1(c)</t>
        </is>
      </c>
      <c r="C23" s="12" t="inlineStr">
        <is>
          <t>Exceptional education</t>
        </is>
      </c>
      <c r="D23" s="12" t="inlineStr">
        <is>
          <t>Evidence of sustainability focused experiential and co curricular learning (eg Wattle Fellowship; Melbourne Plus)</t>
        </is>
      </c>
      <c r="E23" s="12"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12" t="inlineStr">
        <is>
          <t>EE1(c)</t>
        </is>
      </c>
      <c r="G23" s="12" t="inlineStr">
        <is>
          <t>Confirm end-2026 target status</t>
        </is>
      </c>
      <c r="H23" s="25">
        <f>IFERROR(IF(INDEX('Faculties'!$L$10:$L$29,MATCH($F23,'Faculties'!$B$10:$B$29,0))="","Cell will autofill based on response",INDEX('Faculties'!$L$10:$L$29,MATCH($F23,'Faculties'!$B$10:$B$29,0))),"N/A")</f>
        <v/>
      </c>
      <c r="I23" s="25">
        <f>IFERROR(IF(INDEX('Faculties'!$L$37:$L$56,MATCH($F23,'Faculties'!$B$37:$B$56,0))="","Cell will autofill based on response",INDEX('Faculties'!$L$37:$L$56,MATCH($F23,'Faculties'!$B$37:$B$56,0))),"N/A")</f>
        <v/>
      </c>
      <c r="J23" s="25">
        <f>IFERROR(IF(INDEX('Faculties'!$L$64:$L$83,MATCH($F23,'Faculties'!$B$64:$B$83,0))="","Cell will autofill based on response",INDEX('Faculties'!$L$64:$L$83,MATCH($F23,'Faculties'!$B$64:$B$83,0))),"N/A")</f>
        <v/>
      </c>
      <c r="K23" s="25">
        <f>IFERROR(IF(INDEX('Faculties'!$L$91:$L$110,MATCH($F23,'Faculties'!$B$91:$B$110,0))="","Cell will autofill based on response",INDEX('Faculties'!$L$91:$L$110,MATCH($F23,'Faculties'!$B$91:$B$110,0))),"N/A")</f>
        <v/>
      </c>
      <c r="L23" s="25">
        <f>IFERROR(IF(INDEX('CI&amp;S'!$L$10:$L$14,MATCH($F23,'CI&amp;S'!$B$10:$B$14,0))="","Cell will autofill based on response",INDEX('CI&amp;S'!$L$10:$L$14,MATCH($F23,'CI&amp;S'!$B$10:$B$14,0))),"N/A")</f>
        <v/>
      </c>
      <c r="M23" s="25">
        <f>IFERROR(IF(INDEX('CI&amp;S'!$L$22:$L$38,MATCH($F23,'CI&amp;S'!$B$22:$B$38,0))="","Cell will autofill based on response",INDEX('CI&amp;S'!$L$22:$L$38,MATCH($F23,'CI&amp;S'!$B$22:$B$38,0))),"N/A")</f>
        <v/>
      </c>
      <c r="N23" s="25">
        <f>IFERROR(IF(INDEX('CFOG'!$L$10:$L$15,MATCH($F23,'CFOG'!$B$10:$B$15,0))="","Cell will autofill based on response",INDEX('CFOG'!$L$10:$L$15,MATCH($F23,'CFOG'!$B$10:$B$15,0))),"N/A")</f>
        <v/>
      </c>
      <c r="O23" s="25">
        <f>IFERROR(IF(INDEX('CFOG'!$L$23:$L$23,MATCH($F23,'CFOG'!$B$23:$B$23,0))="","Cell will autofill based on response",INDEX('CFOG'!$L$23:$L$23,MATCH($F23,'CFOG'!$B$23:$B$23,0))),"N/A")</f>
        <v/>
      </c>
      <c r="P23" s="25">
        <f>IFERROR(IF(INDEX('ESG'!$L$10:$L$16,MATCH($F23,'ESG'!$B$10:$B$16,0))="","Cell will autofill based on response",INDEX('ESG'!$L$10:$L$16,MATCH($F23,'ESG'!$B$10:$B$16,0))),"N/A")</f>
        <v/>
      </c>
      <c r="Q23" s="25">
        <f>IFERROR(IF(INDEX('CIOG'!$L$10:$L$13,MATCH($F23,'CIOG'!$B$10:$B$13,0))="","Cell will autofill based on response",INDEX('CIOG'!$L$10:$L$13,MATCH($F23,'CIOG'!$B$10:$B$13,0))),"N/A")</f>
        <v/>
      </c>
      <c r="R23" s="25">
        <f>IFERROR(IF(INDEX('MRE'!$L$10:$L$11,MATCH($F23,'MRE'!$B$10:$B$11,0))="","Cell will autofill based on response",INDEX('MRE'!$L$10:$L$11,MATCH($F23,'MRE'!$B$10:$B$11,0))),"N/A")</f>
        <v/>
      </c>
      <c r="T23" s="26">
        <f>COUNTIF($H23:$R23,"Cell will autofill based on response")</f>
        <v/>
      </c>
      <c r="U23" s="26">
        <f>COUNTIF($H23:$R23,"Not yet started")</f>
        <v/>
      </c>
      <c r="V23" s="26">
        <f>COUNTIF($H23:$R23,"Not met")</f>
        <v/>
      </c>
      <c r="W23" s="26">
        <f>COUNTIF($H23:$R23,"Partially met")</f>
        <v/>
      </c>
      <c r="X23" s="26">
        <f>COUNTIF($H23:$R23,"Met or exceeded")</f>
        <v/>
      </c>
      <c r="Y23" s="26">
        <f>3*X23+2*W23+V23</f>
        <v/>
      </c>
      <c r="Z23" s="26">
        <f>X23+W23+V23+U23</f>
        <v/>
      </c>
      <c r="AA23" s="27">
        <f>IF(Z23&gt;0,Y23/Z23,"No valid responses to date")</f>
        <v/>
      </c>
      <c r="AB23" s="26">
        <f>IF(ISNUMBER(AA23),INDEX(Lists!$G$2:$G$5,MATCH(ROUND(AA23,0),Lists!$H$2:$H$5,0)),"")</f>
        <v/>
      </c>
      <c r="AC23" s="28">
        <f>IF(Z23&gt;0,X23/Z23,"")</f>
        <v/>
      </c>
      <c r="AD23" s="28">
        <f>IF(Z23&gt;0,(X23+W23)/Z23,"")</f>
        <v/>
      </c>
      <c r="AE23" s="26">
        <f>IF(Z23=0,"",IF(AC23&gt;0.75,"Met or exceeded",IF(AD23&gt;=0.5,"Partially met","Not met")))</f>
        <v/>
      </c>
    </row>
    <row r="24">
      <c r="A24">
        <f>F24&amp;"|"&amp;G24</f>
        <v/>
      </c>
      <c r="B24" s="29" t="inlineStr"/>
      <c r="C24" s="8" t="inlineStr"/>
      <c r="D24" s="8" t="inlineStr"/>
      <c r="E24" s="8" t="inlineStr"/>
      <c r="F24" s="8" t="inlineStr">
        <is>
          <t>EE1(c)</t>
        </is>
      </c>
      <c r="G24" s="8" t="inlineStr">
        <is>
          <t>OPTION 1:  Target-level reporting</t>
        </is>
      </c>
      <c r="H24" s="25">
        <f>IFERROR(IF(INDEX('Faculties'!$M$10:$M$29,MATCH($F24,'Faculties'!$B$10:$B$29,0))="","Cell will autofill based on response",INDEX('Faculties'!$M$10:$M$29,MATCH($F24,'Faculties'!$B$10:$B$29,0))),"N/A")</f>
        <v/>
      </c>
      <c r="I24" s="25">
        <f>IFERROR(IF(INDEX('Faculties'!$M$37:$M$56,MATCH($F24,'Faculties'!$B$37:$B$56,0))="","Cell will autofill based on response",INDEX('Faculties'!$M$37:$M$56,MATCH($F24,'Faculties'!$B$37:$B$56,0))),"N/A")</f>
        <v/>
      </c>
      <c r="J24" s="25">
        <f>IFERROR(IF(INDEX('Faculties'!$M$64:$M$83,MATCH($F24,'Faculties'!$B$64:$B$83,0))="","Cell will autofill based on response",INDEX('Faculties'!$M$64:$M$83,MATCH($F24,'Faculties'!$B$64:$B$83,0))),"N/A")</f>
        <v/>
      </c>
      <c r="K24" s="25">
        <f>IFERROR(IF(INDEX('Faculties'!$M$91:$M$110,MATCH($F24,'Faculties'!$B$91:$B$110,0))="","Cell will autofill based on response",INDEX('Faculties'!$M$91:$M$110,MATCH($F24,'Faculties'!$B$91:$B$110,0))),"N/A")</f>
        <v/>
      </c>
      <c r="L24" s="25">
        <f>IFERROR(IF(INDEX('CI&amp;S'!$M$10:$M$14,MATCH($F24,'CI&amp;S'!$B$10:$B$14,0))="","Cell will autofill based on response",INDEX('CI&amp;S'!$M$10:$M$14,MATCH($F24,'CI&amp;S'!$B$10:$B$14,0))),"N/A")</f>
        <v/>
      </c>
      <c r="M24" s="25">
        <f>IFERROR(IF(INDEX('CI&amp;S'!$M$22:$M$38,MATCH($F24,'CI&amp;S'!$B$22:$B$38,0))="","Cell will autofill based on response",INDEX('CI&amp;S'!$M$22:$M$38,MATCH($F24,'CI&amp;S'!$B$22:$B$38,0))),"N/A")</f>
        <v/>
      </c>
      <c r="N24" s="25">
        <f>IFERROR(IF(INDEX('CFOG'!$M$10:$M$15,MATCH($F24,'CFOG'!$B$10:$B$15,0))="","Cell will autofill based on response",INDEX('CFOG'!$M$10:$M$15,MATCH($F24,'CFOG'!$B$10:$B$15,0))),"N/A")</f>
        <v/>
      </c>
      <c r="O24" s="25">
        <f>IFERROR(IF(INDEX('CFOG'!$M$23:$M$23,MATCH($F24,'CFOG'!$B$23:$B$23,0))="","Cell will autofill based on response",INDEX('CFOG'!$M$23:$M$23,MATCH($F24,'CFOG'!$B$23:$B$23,0))),"N/A")</f>
        <v/>
      </c>
      <c r="P24" s="25">
        <f>IFERROR(IF(INDEX('ESG'!$M$10:$M$16,MATCH($F24,'ESG'!$B$10:$B$16,0))="","Cell will autofill based on response",INDEX('ESG'!$M$10:$M$16,MATCH($F24,'ESG'!$B$10:$B$16,0))),"N/A")</f>
        <v/>
      </c>
      <c r="Q24" s="25">
        <f>IFERROR(IF(INDEX('CIOG'!$M$10:$M$13,MATCH($F24,'CIOG'!$B$10:$B$13,0))="","Cell will autofill based on response",INDEX('CIOG'!$M$10:$M$13,MATCH($F24,'CIOG'!$B$10:$B$13,0))),"N/A")</f>
        <v/>
      </c>
      <c r="R24" s="25">
        <f>IFERROR(IF(INDEX('MRE'!$M$10:$M$11,MATCH($F24,'MRE'!$B$10:$B$11,0))="","Cell will autofill based on response",INDEX('MRE'!$M$10:$M$11,MATCH($F24,'MRE'!$B$10:$B$11,0))),"N/A")</f>
        <v/>
      </c>
    </row>
    <row r="25">
      <c r="A25">
        <f>F25&amp;"|"&amp;G25</f>
        <v/>
      </c>
      <c r="B25" s="29" t="inlineStr"/>
      <c r="C25" s="8" t="inlineStr"/>
      <c r="D25" s="8" t="inlineStr"/>
      <c r="E25" s="8" t="inlineStr"/>
      <c r="F25" s="8" t="inlineStr">
        <is>
          <t>EE1(c)</t>
        </is>
      </c>
      <c r="G25" s="8" t="inlineStr">
        <is>
          <t>OPTION 2:  Indicator level reporting</t>
        </is>
      </c>
      <c r="H25" s="25">
        <f>IFERROR(IF(INDEX('Faculties'!$N$10:$N$29,MATCH($F25,'Faculties'!$B$10:$B$29,0))="","Cell will autofill based on response",INDEX('Faculties'!$N$10:$N$29,MATCH($F25,'Faculties'!$B$10:$B$29,0))),"N/A")</f>
        <v/>
      </c>
      <c r="I25" s="25">
        <f>IFERROR(IF(INDEX('Faculties'!$N$37:$N$56,MATCH($F25,'Faculties'!$B$37:$B$56,0))="","Cell will autofill based on response",INDEX('Faculties'!$N$37:$N$56,MATCH($F25,'Faculties'!$B$37:$B$56,0))),"N/A")</f>
        <v/>
      </c>
      <c r="J25" s="25">
        <f>IFERROR(IF(INDEX('Faculties'!$N$64:$N$83,MATCH($F25,'Faculties'!$B$64:$B$83,0))="","Cell will autofill based on response",INDEX('Faculties'!$N$64:$N$83,MATCH($F25,'Faculties'!$B$64:$B$83,0))),"N/A")</f>
        <v/>
      </c>
      <c r="K25" s="25">
        <f>IFERROR(IF(INDEX('Faculties'!$N$91:$N$110,MATCH($F25,'Faculties'!$B$91:$B$110,0))="","Cell will autofill based on response",INDEX('Faculties'!$N$91:$N$110,MATCH($F25,'Faculties'!$B$91:$B$110,0))),"N/A")</f>
        <v/>
      </c>
      <c r="L25" s="25">
        <f>IFERROR(IF(INDEX('CI&amp;S'!$N$10:$N$14,MATCH($F25,'CI&amp;S'!$B$10:$B$14,0))="","Cell will autofill based on response",INDEX('CI&amp;S'!$N$10:$N$14,MATCH($F25,'CI&amp;S'!$B$10:$B$14,0))),"N/A")</f>
        <v/>
      </c>
      <c r="M25" s="25">
        <f>IFERROR(IF(INDEX('CI&amp;S'!$N$22:$N$38,MATCH($F25,'CI&amp;S'!$B$22:$B$38,0))="","Cell will autofill based on response",INDEX('CI&amp;S'!$N$22:$N$38,MATCH($F25,'CI&amp;S'!$B$22:$B$38,0))),"N/A")</f>
        <v/>
      </c>
      <c r="N25" s="25">
        <f>IFERROR(IF(INDEX('CFOG'!$N$10:$N$15,MATCH($F25,'CFOG'!$B$10:$B$15,0))="","Cell will autofill based on response",INDEX('CFOG'!$N$10:$N$15,MATCH($F25,'CFOG'!$B$10:$B$15,0))),"N/A")</f>
        <v/>
      </c>
      <c r="O25" s="25">
        <f>IFERROR(IF(INDEX('CFOG'!$N$23:$N$23,MATCH($F25,'CFOG'!$B$23:$B$23,0))="","Cell will autofill based on response",INDEX('CFOG'!$N$23:$N$23,MATCH($F25,'CFOG'!$B$23:$B$23,0))),"N/A")</f>
        <v/>
      </c>
      <c r="P25" s="25">
        <f>IFERROR(IF(INDEX('ESG'!$N$10:$N$16,MATCH($F25,'ESG'!$B$10:$B$16,0))="","Cell will autofill based on response",INDEX('ESG'!$N$10:$N$16,MATCH($F25,'ESG'!$B$10:$B$16,0))),"N/A")</f>
        <v/>
      </c>
      <c r="Q25" s="25">
        <f>IFERROR(IF(INDEX('CIOG'!$N$10:$N$13,MATCH($F25,'CIOG'!$B$10:$B$13,0))="","Cell will autofill based on response",INDEX('CIOG'!$N$10:$N$13,MATCH($F25,'CIOG'!$B$10:$B$13,0))),"N/A")</f>
        <v/>
      </c>
      <c r="R25" s="25">
        <f>IFERROR(IF(INDEX('MRE'!$N$10:$N$11,MATCH($F25,'MRE'!$B$10:$B$11,0))="","Cell will autofill based on response",INDEX('MRE'!$N$10:$N$11,MATCH($F25,'MRE'!$B$10:$B$11,0))),"N/A")</f>
        <v/>
      </c>
    </row>
    <row r="26">
      <c r="A26">
        <f>F26&amp;"|"&amp;G26</f>
        <v/>
      </c>
      <c r="B26" s="29" t="inlineStr"/>
      <c r="C26" s="8" t="inlineStr"/>
      <c r="D26" s="8" t="inlineStr"/>
      <c r="E26" s="8" t="inlineStr"/>
      <c r="F26" s="8" t="inlineStr">
        <is>
          <t>EE1(c)</t>
        </is>
      </c>
      <c r="G26" s="8" t="inlineStr">
        <is>
          <t>Supporting information/comments</t>
        </is>
      </c>
      <c r="H26" s="25">
        <f>IFERROR(IF(INDEX('Faculties'!$O$10:$O$29,MATCH($F26,'Faculties'!$B$10:$B$29,0))="","Cell will autofill based on response",INDEX('Faculties'!$O$10:$O$29,MATCH($F26,'Faculties'!$B$10:$B$29,0))),"N/A")</f>
        <v/>
      </c>
      <c r="I26" s="25">
        <f>IFERROR(IF(INDEX('Faculties'!$O$37:$O$56,MATCH($F26,'Faculties'!$B$37:$B$56,0))="","Cell will autofill based on response",INDEX('Faculties'!$O$37:$O$56,MATCH($F26,'Faculties'!$B$37:$B$56,0))),"N/A")</f>
        <v/>
      </c>
      <c r="J26" s="25">
        <f>IFERROR(IF(INDEX('Faculties'!$O$64:$O$83,MATCH($F26,'Faculties'!$B$64:$B$83,0))="","Cell will autofill based on response",INDEX('Faculties'!$O$64:$O$83,MATCH($F26,'Faculties'!$B$64:$B$83,0))),"N/A")</f>
        <v/>
      </c>
      <c r="K26" s="25">
        <f>IFERROR(IF(INDEX('Faculties'!$O$91:$O$110,MATCH($F26,'Faculties'!$B$91:$B$110,0))="","Cell will autofill based on response",INDEX('Faculties'!$O$91:$O$110,MATCH($F26,'Faculties'!$B$91:$B$110,0))),"N/A")</f>
        <v/>
      </c>
      <c r="L26" s="25">
        <f>IFERROR(IF(INDEX('CI&amp;S'!$O$10:$O$14,MATCH($F26,'CI&amp;S'!$B$10:$B$14,0))="","Cell will autofill based on response",INDEX('CI&amp;S'!$O$10:$O$14,MATCH($F26,'CI&amp;S'!$B$10:$B$14,0))),"N/A")</f>
        <v/>
      </c>
      <c r="M26" s="25">
        <f>IFERROR(IF(INDEX('CI&amp;S'!$O$22:$O$38,MATCH($F26,'CI&amp;S'!$B$22:$B$38,0))="","Cell will autofill based on response",INDEX('CI&amp;S'!$O$22:$O$38,MATCH($F26,'CI&amp;S'!$B$22:$B$38,0))),"N/A")</f>
        <v/>
      </c>
      <c r="N26" s="25">
        <f>IFERROR(IF(INDEX('CFOG'!$O$10:$O$15,MATCH($F26,'CFOG'!$B$10:$B$15,0))="","Cell will autofill based on response",INDEX('CFOG'!$O$10:$O$15,MATCH($F26,'CFOG'!$B$10:$B$15,0))),"N/A")</f>
        <v/>
      </c>
      <c r="O26" s="25">
        <f>IFERROR(IF(INDEX('CFOG'!$O$23:$O$23,MATCH($F26,'CFOG'!$B$23:$B$23,0))="","Cell will autofill based on response",INDEX('CFOG'!$O$23:$O$23,MATCH($F26,'CFOG'!$B$23:$B$23,0))),"N/A")</f>
        <v/>
      </c>
      <c r="P26" s="25">
        <f>IFERROR(IF(INDEX('ESG'!$O$10:$O$16,MATCH($F26,'ESG'!$B$10:$B$16,0))="","Cell will autofill based on response",INDEX('ESG'!$O$10:$O$16,MATCH($F26,'ESG'!$B$10:$B$16,0))),"N/A")</f>
        <v/>
      </c>
      <c r="Q26" s="25">
        <f>IFERROR(IF(INDEX('CIOG'!$O$10:$O$13,MATCH($F26,'CIOG'!$B$10:$B$13,0))="","Cell will autofill based on response",INDEX('CIOG'!$O$10:$O$13,MATCH($F26,'CIOG'!$B$10:$B$13,0))),"N/A")</f>
        <v/>
      </c>
      <c r="R26" s="25">
        <f>IFERROR(IF(INDEX('MRE'!$O$10:$O$11,MATCH($F26,'MRE'!$B$10:$B$11,0))="","Cell will autofill based on response",INDEX('MRE'!$O$10:$O$11,MATCH($F26,'MRE'!$B$10:$B$11,0))),"N/A")</f>
        <v/>
      </c>
    </row>
    <row r="27">
      <c r="A27">
        <f>F27&amp;"|"&amp;G27</f>
        <v/>
      </c>
      <c r="B27" s="29" t="inlineStr"/>
      <c r="C27" s="8" t="inlineStr"/>
      <c r="D27" s="8" t="inlineStr"/>
      <c r="E27" s="8" t="inlineStr"/>
      <c r="F27" s="8" t="inlineStr">
        <is>
          <t>EE1(c)</t>
        </is>
      </c>
      <c r="G27" s="8" t="inlineStr">
        <is>
          <t>Data source and limitations</t>
        </is>
      </c>
      <c r="H27" s="25">
        <f>IFERROR(IF(INDEX('Faculties'!$P$10:$P$29,MATCH($F27,'Faculties'!$B$10:$B$29,0))="","Cell will autofill based on response",INDEX('Faculties'!$P$10:$P$29,MATCH($F27,'Faculties'!$B$10:$B$29,0))),"N/A")</f>
        <v/>
      </c>
      <c r="I27" s="25">
        <f>IFERROR(IF(INDEX('Faculties'!$P$37:$P$56,MATCH($F27,'Faculties'!$B$37:$B$56,0))="","Cell will autofill based on response",INDEX('Faculties'!$P$37:$P$56,MATCH($F27,'Faculties'!$B$37:$B$56,0))),"N/A")</f>
        <v/>
      </c>
      <c r="J27" s="25">
        <f>IFERROR(IF(INDEX('Faculties'!$P$64:$P$83,MATCH($F27,'Faculties'!$B$64:$B$83,0))="","Cell will autofill based on response",INDEX('Faculties'!$P$64:$P$83,MATCH($F27,'Faculties'!$B$64:$B$83,0))),"N/A")</f>
        <v/>
      </c>
      <c r="K27" s="25">
        <f>IFERROR(IF(INDEX('Faculties'!$P$91:$P$110,MATCH($F27,'Faculties'!$B$91:$B$110,0))="","Cell will autofill based on response",INDEX('Faculties'!$P$91:$P$110,MATCH($F27,'Faculties'!$B$91:$B$110,0))),"N/A")</f>
        <v/>
      </c>
      <c r="L27" s="25">
        <f>IFERROR(IF(INDEX('CI&amp;S'!$P$10:$P$14,MATCH($F27,'CI&amp;S'!$B$10:$B$14,0))="","Cell will autofill based on response",INDEX('CI&amp;S'!$P$10:$P$14,MATCH($F27,'CI&amp;S'!$B$10:$B$14,0))),"N/A")</f>
        <v/>
      </c>
      <c r="M27" s="25">
        <f>IFERROR(IF(INDEX('CI&amp;S'!$P$22:$P$38,MATCH($F27,'CI&amp;S'!$B$22:$B$38,0))="","Cell will autofill based on response",INDEX('CI&amp;S'!$P$22:$P$38,MATCH($F27,'CI&amp;S'!$B$22:$B$38,0))),"N/A")</f>
        <v/>
      </c>
      <c r="N27" s="25">
        <f>IFERROR(IF(INDEX('CFOG'!$P$10:$P$15,MATCH($F27,'CFOG'!$B$10:$B$15,0))="","Cell will autofill based on response",INDEX('CFOG'!$P$10:$P$15,MATCH($F27,'CFOG'!$B$10:$B$15,0))),"N/A")</f>
        <v/>
      </c>
      <c r="O27" s="25">
        <f>IFERROR(IF(INDEX('CFOG'!$P$23:$P$23,MATCH($F27,'CFOG'!$B$23:$B$23,0))="","Cell will autofill based on response",INDEX('CFOG'!$P$23:$P$23,MATCH($F27,'CFOG'!$B$23:$B$23,0))),"N/A")</f>
        <v/>
      </c>
      <c r="P27" s="25">
        <f>IFERROR(IF(INDEX('ESG'!$P$10:$P$16,MATCH($F27,'ESG'!$B$10:$B$16,0))="","Cell will autofill based on response",INDEX('ESG'!$P$10:$P$16,MATCH($F27,'ESG'!$B$10:$B$16,0))),"N/A")</f>
        <v/>
      </c>
      <c r="Q27" s="25">
        <f>IFERROR(IF(INDEX('CIOG'!$P$10:$P$13,MATCH($F27,'CIOG'!$B$10:$B$13,0))="","Cell will autofill based on response",INDEX('CIOG'!$P$10:$P$13,MATCH($F27,'CIOG'!$B$10:$B$13,0))),"N/A")</f>
        <v/>
      </c>
      <c r="R27" s="25">
        <f>IFERROR(IF(INDEX('MRE'!$P$10:$P$11,MATCH($F27,'MRE'!$B$10:$B$11,0))="","Cell will autofill based on response",INDEX('MRE'!$P$10:$P$11,MATCH($F27,'MRE'!$B$10:$B$11,0))),"N/A")</f>
        <v/>
      </c>
    </row>
    <row r="28">
      <c r="A28">
        <f>F28&amp;"|"&amp;G28</f>
        <v/>
      </c>
      <c r="B28" s="29" t="inlineStr"/>
      <c r="C28" s="8" t="inlineStr"/>
      <c r="D28" s="8" t="inlineStr"/>
      <c r="E28" s="8" t="inlineStr"/>
      <c r="F28" s="8" t="inlineStr">
        <is>
          <t>EE1(c)</t>
        </is>
      </c>
      <c r="G28" s="8" t="inlineStr">
        <is>
          <t>Data owner confirms</t>
        </is>
      </c>
      <c r="H28" s="25">
        <f>IFERROR(IF(INDEX('Faculties'!$Q$10:$Q$29,MATCH($F28,'Faculties'!$B$10:$B$29,0))="","Cell will autofill based on response",INDEX('Faculties'!$Q$10:$Q$29,MATCH($F28,'Faculties'!$B$10:$B$29,0))),"N/A")</f>
        <v/>
      </c>
      <c r="I28" s="25">
        <f>IFERROR(IF(INDEX('Faculties'!$Q$37:$Q$56,MATCH($F28,'Faculties'!$B$37:$B$56,0))="","Cell will autofill based on response",INDEX('Faculties'!$Q$37:$Q$56,MATCH($F28,'Faculties'!$B$37:$B$56,0))),"N/A")</f>
        <v/>
      </c>
      <c r="J28" s="25">
        <f>IFERROR(IF(INDEX('Faculties'!$Q$64:$Q$83,MATCH($F28,'Faculties'!$B$64:$B$83,0))="","Cell will autofill based on response",INDEX('Faculties'!$Q$64:$Q$83,MATCH($F28,'Faculties'!$B$64:$B$83,0))),"N/A")</f>
        <v/>
      </c>
      <c r="K28" s="25">
        <f>IFERROR(IF(INDEX('Faculties'!$Q$91:$Q$110,MATCH($F28,'Faculties'!$B$91:$B$110,0))="","Cell will autofill based on response",INDEX('Faculties'!$Q$91:$Q$110,MATCH($F28,'Faculties'!$B$91:$B$110,0))),"N/A")</f>
        <v/>
      </c>
      <c r="L28" s="25">
        <f>IFERROR(IF(INDEX('CI&amp;S'!$Q$10:$Q$14,MATCH($F28,'CI&amp;S'!$B$10:$B$14,0))="","Cell will autofill based on response",INDEX('CI&amp;S'!$Q$10:$Q$14,MATCH($F28,'CI&amp;S'!$B$10:$B$14,0))),"N/A")</f>
        <v/>
      </c>
      <c r="M28" s="25">
        <f>IFERROR(IF(INDEX('CI&amp;S'!$Q$22:$Q$38,MATCH($F28,'CI&amp;S'!$B$22:$B$38,0))="","Cell will autofill based on response",INDEX('CI&amp;S'!$Q$22:$Q$38,MATCH($F28,'CI&amp;S'!$B$22:$B$38,0))),"N/A")</f>
        <v/>
      </c>
      <c r="N28" s="25">
        <f>IFERROR(IF(INDEX('CFOG'!$Q$10:$Q$15,MATCH($F28,'CFOG'!$B$10:$B$15,0))="","Cell will autofill based on response",INDEX('CFOG'!$Q$10:$Q$15,MATCH($F28,'CFOG'!$B$10:$B$15,0))),"N/A")</f>
        <v/>
      </c>
      <c r="O28" s="25">
        <f>IFERROR(IF(INDEX('CFOG'!$Q$23:$Q$23,MATCH($F28,'CFOG'!$B$23:$B$23,0))="","Cell will autofill based on response",INDEX('CFOG'!$Q$23:$Q$23,MATCH($F28,'CFOG'!$B$23:$B$23,0))),"N/A")</f>
        <v/>
      </c>
      <c r="P28" s="25">
        <f>IFERROR(IF(INDEX('ESG'!$Q$10:$Q$16,MATCH($F28,'ESG'!$B$10:$B$16,0))="","Cell will autofill based on response",INDEX('ESG'!$Q$10:$Q$16,MATCH($F28,'ESG'!$B$10:$B$16,0))),"N/A")</f>
        <v/>
      </c>
      <c r="Q28" s="25">
        <f>IFERROR(IF(INDEX('CIOG'!$Q$10:$Q$13,MATCH($F28,'CIOG'!$B$10:$B$13,0))="","Cell will autofill based on response",INDEX('CIOG'!$Q$10:$Q$13,MATCH($F28,'CIOG'!$B$10:$B$13,0))),"N/A")</f>
        <v/>
      </c>
      <c r="R28" s="25">
        <f>IFERROR(IF(INDEX('MRE'!$Q$10:$Q$11,MATCH($F28,'MRE'!$B$10:$B$11,0))="","Cell will autofill based on response",INDEX('MRE'!$Q$10:$Q$11,MATCH($F28,'MRE'!$B$10:$B$11,0))),"N/A")</f>
        <v/>
      </c>
    </row>
    <row r="29">
      <c r="A29">
        <f>F29&amp;"|"&amp;G29</f>
        <v/>
      </c>
      <c r="B29" s="7" t="inlineStr">
        <is>
          <t>EE1(d)</t>
        </is>
      </c>
      <c r="C29" s="12" t="inlineStr">
        <is>
          <t>Exceptional education</t>
        </is>
      </c>
      <c r="D29" s="12" t="inlineStr">
        <is>
          <t>Alumni profiles demonstrating how graduates contribute to sustainability through their careers or communities.</t>
        </is>
      </c>
      <c r="E29" s="12"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12" t="inlineStr">
        <is>
          <t>EE1(d)</t>
        </is>
      </c>
      <c r="G29" s="12" t="inlineStr">
        <is>
          <t>Confirm end-2026 target status</t>
        </is>
      </c>
      <c r="H29" s="25">
        <f>IFERROR(IF(INDEX('Faculties'!$L$10:$L$29,MATCH($F29,'Faculties'!$B$10:$B$29,0))="","Cell will autofill based on response",INDEX('Faculties'!$L$10:$L$29,MATCH($F29,'Faculties'!$B$10:$B$29,0))),"N/A")</f>
        <v/>
      </c>
      <c r="I29" s="25">
        <f>IFERROR(IF(INDEX('Faculties'!$L$37:$L$56,MATCH($F29,'Faculties'!$B$37:$B$56,0))="","Cell will autofill based on response",INDEX('Faculties'!$L$37:$L$56,MATCH($F29,'Faculties'!$B$37:$B$56,0))),"N/A")</f>
        <v/>
      </c>
      <c r="J29" s="25">
        <f>IFERROR(IF(INDEX('Faculties'!$L$64:$L$83,MATCH($F29,'Faculties'!$B$64:$B$83,0))="","Cell will autofill based on response",INDEX('Faculties'!$L$64:$L$83,MATCH($F29,'Faculties'!$B$64:$B$83,0))),"N/A")</f>
        <v/>
      </c>
      <c r="K29" s="25">
        <f>IFERROR(IF(INDEX('Faculties'!$L$91:$L$110,MATCH($F29,'Faculties'!$B$91:$B$110,0))="","Cell will autofill based on response",INDEX('Faculties'!$L$91:$L$110,MATCH($F29,'Faculties'!$B$91:$B$110,0))),"N/A")</f>
        <v/>
      </c>
      <c r="L29" s="25">
        <f>IFERROR(IF(INDEX('CI&amp;S'!$L$10:$L$14,MATCH($F29,'CI&amp;S'!$B$10:$B$14,0))="","Cell will autofill based on response",INDEX('CI&amp;S'!$L$10:$L$14,MATCH($F29,'CI&amp;S'!$B$10:$B$14,0))),"N/A")</f>
        <v/>
      </c>
      <c r="M29" s="25">
        <f>IFERROR(IF(INDEX('CI&amp;S'!$L$22:$L$38,MATCH($F29,'CI&amp;S'!$B$22:$B$38,0))="","Cell will autofill based on response",INDEX('CI&amp;S'!$L$22:$L$38,MATCH($F29,'CI&amp;S'!$B$22:$B$38,0))),"N/A")</f>
        <v/>
      </c>
      <c r="N29" s="25">
        <f>IFERROR(IF(INDEX('CFOG'!$L$10:$L$15,MATCH($F29,'CFOG'!$B$10:$B$15,0))="","Cell will autofill based on response",INDEX('CFOG'!$L$10:$L$15,MATCH($F29,'CFOG'!$B$10:$B$15,0))),"N/A")</f>
        <v/>
      </c>
      <c r="O29" s="25">
        <f>IFERROR(IF(INDEX('CFOG'!$L$23:$L$23,MATCH($F29,'CFOG'!$B$23:$B$23,0))="","Cell will autofill based on response",INDEX('CFOG'!$L$23:$L$23,MATCH($F29,'CFOG'!$B$23:$B$23,0))),"N/A")</f>
        <v/>
      </c>
      <c r="P29" s="25">
        <f>IFERROR(IF(INDEX('ESG'!$L$10:$L$16,MATCH($F29,'ESG'!$B$10:$B$16,0))="","Cell will autofill based on response",INDEX('ESG'!$L$10:$L$16,MATCH($F29,'ESG'!$B$10:$B$16,0))),"N/A")</f>
        <v/>
      </c>
      <c r="Q29" s="25">
        <f>IFERROR(IF(INDEX('CIOG'!$L$10:$L$13,MATCH($F29,'CIOG'!$B$10:$B$13,0))="","Cell will autofill based on response",INDEX('CIOG'!$L$10:$L$13,MATCH($F29,'CIOG'!$B$10:$B$13,0))),"N/A")</f>
        <v/>
      </c>
      <c r="R29" s="25">
        <f>IFERROR(IF(INDEX('MRE'!$L$10:$L$11,MATCH($F29,'MRE'!$B$10:$B$11,0))="","Cell will autofill based on response",INDEX('MRE'!$L$10:$L$11,MATCH($F29,'MRE'!$B$10:$B$11,0))),"N/A")</f>
        <v/>
      </c>
      <c r="T29" s="26">
        <f>COUNTIF($H29:$R29,"Cell will autofill based on response")</f>
        <v/>
      </c>
      <c r="U29" s="26">
        <f>COUNTIF($H29:$R29,"Not yet started")</f>
        <v/>
      </c>
      <c r="V29" s="26">
        <f>COUNTIF($H29:$R29,"Not met")</f>
        <v/>
      </c>
      <c r="W29" s="26">
        <f>COUNTIF($H29:$R29,"Partially met")</f>
        <v/>
      </c>
      <c r="X29" s="26">
        <f>COUNTIF($H29:$R29,"Met or exceeded")</f>
        <v/>
      </c>
      <c r="Y29" s="26">
        <f>3*X29+2*W29+V29</f>
        <v/>
      </c>
      <c r="Z29" s="26">
        <f>X29+W29+V29+U29</f>
        <v/>
      </c>
      <c r="AA29" s="27">
        <f>IF(Z29&gt;0,Y29/Z29,"No valid responses to date")</f>
        <v/>
      </c>
      <c r="AB29" s="26">
        <f>IF(ISNUMBER(AA29),INDEX(Lists!$G$2:$G$5,MATCH(ROUND(AA29,0),Lists!$H$2:$H$5,0)),"")</f>
        <v/>
      </c>
      <c r="AC29" s="28">
        <f>IF(Z29&gt;0,X29/Z29,"")</f>
        <v/>
      </c>
      <c r="AD29" s="28">
        <f>IF(Z29&gt;0,(X29+W29)/Z29,"")</f>
        <v/>
      </c>
      <c r="AE29" s="26">
        <f>IF(Z29=0,"",IF(AC29&gt;0.75,"Met or exceeded",IF(AD29&gt;=0.5,"Partially met","Not met")))</f>
        <v/>
      </c>
    </row>
    <row r="30">
      <c r="A30">
        <f>F30&amp;"|"&amp;G30</f>
        <v/>
      </c>
      <c r="B30" s="29" t="inlineStr"/>
      <c r="C30" s="8" t="inlineStr"/>
      <c r="D30" s="8" t="inlineStr"/>
      <c r="E30" s="8" t="inlineStr"/>
      <c r="F30" s="8" t="inlineStr">
        <is>
          <t>EE1(d)</t>
        </is>
      </c>
      <c r="G30" s="8" t="inlineStr">
        <is>
          <t>OPTION 1:  Target-level reporting</t>
        </is>
      </c>
      <c r="H30" s="25">
        <f>IFERROR(IF(INDEX('Faculties'!$M$10:$M$29,MATCH($F30,'Faculties'!$B$10:$B$29,0))="","Cell will autofill based on response",INDEX('Faculties'!$M$10:$M$29,MATCH($F30,'Faculties'!$B$10:$B$29,0))),"N/A")</f>
        <v/>
      </c>
      <c r="I30" s="25">
        <f>IFERROR(IF(INDEX('Faculties'!$M$37:$M$56,MATCH($F30,'Faculties'!$B$37:$B$56,0))="","Cell will autofill based on response",INDEX('Faculties'!$M$37:$M$56,MATCH($F30,'Faculties'!$B$37:$B$56,0))),"N/A")</f>
        <v/>
      </c>
      <c r="J30" s="25">
        <f>IFERROR(IF(INDEX('Faculties'!$M$64:$M$83,MATCH($F30,'Faculties'!$B$64:$B$83,0))="","Cell will autofill based on response",INDEX('Faculties'!$M$64:$M$83,MATCH($F30,'Faculties'!$B$64:$B$83,0))),"N/A")</f>
        <v/>
      </c>
      <c r="K30" s="25">
        <f>IFERROR(IF(INDEX('Faculties'!$M$91:$M$110,MATCH($F30,'Faculties'!$B$91:$B$110,0))="","Cell will autofill based on response",INDEX('Faculties'!$M$91:$M$110,MATCH($F30,'Faculties'!$B$91:$B$110,0))),"N/A")</f>
        <v/>
      </c>
      <c r="L30" s="25">
        <f>IFERROR(IF(INDEX('CI&amp;S'!$M$10:$M$14,MATCH($F30,'CI&amp;S'!$B$10:$B$14,0))="","Cell will autofill based on response",INDEX('CI&amp;S'!$M$10:$M$14,MATCH($F30,'CI&amp;S'!$B$10:$B$14,0))),"N/A")</f>
        <v/>
      </c>
      <c r="M30" s="25">
        <f>IFERROR(IF(INDEX('CI&amp;S'!$M$22:$M$38,MATCH($F30,'CI&amp;S'!$B$22:$B$38,0))="","Cell will autofill based on response",INDEX('CI&amp;S'!$M$22:$M$38,MATCH($F30,'CI&amp;S'!$B$22:$B$38,0))),"N/A")</f>
        <v/>
      </c>
      <c r="N30" s="25">
        <f>IFERROR(IF(INDEX('CFOG'!$M$10:$M$15,MATCH($F30,'CFOG'!$B$10:$B$15,0))="","Cell will autofill based on response",INDEX('CFOG'!$M$10:$M$15,MATCH($F30,'CFOG'!$B$10:$B$15,0))),"N/A")</f>
        <v/>
      </c>
      <c r="O30" s="25">
        <f>IFERROR(IF(INDEX('CFOG'!$M$23:$M$23,MATCH($F30,'CFOG'!$B$23:$B$23,0))="","Cell will autofill based on response",INDEX('CFOG'!$M$23:$M$23,MATCH($F30,'CFOG'!$B$23:$B$23,0))),"N/A")</f>
        <v/>
      </c>
      <c r="P30" s="25">
        <f>IFERROR(IF(INDEX('ESG'!$M$10:$M$16,MATCH($F30,'ESG'!$B$10:$B$16,0))="","Cell will autofill based on response",INDEX('ESG'!$M$10:$M$16,MATCH($F30,'ESG'!$B$10:$B$16,0))),"N/A")</f>
        <v/>
      </c>
      <c r="Q30" s="25">
        <f>IFERROR(IF(INDEX('CIOG'!$M$10:$M$13,MATCH($F30,'CIOG'!$B$10:$B$13,0))="","Cell will autofill based on response",INDEX('CIOG'!$M$10:$M$13,MATCH($F30,'CIOG'!$B$10:$B$13,0))),"N/A")</f>
        <v/>
      </c>
      <c r="R30" s="25">
        <f>IFERROR(IF(INDEX('MRE'!$M$10:$M$11,MATCH($F30,'MRE'!$B$10:$B$11,0))="","Cell will autofill based on response",INDEX('MRE'!$M$10:$M$11,MATCH($F30,'MRE'!$B$10:$B$11,0))),"N/A")</f>
        <v/>
      </c>
    </row>
    <row r="31">
      <c r="A31">
        <f>F31&amp;"|"&amp;G31</f>
        <v/>
      </c>
      <c r="B31" s="29" t="inlineStr"/>
      <c r="C31" s="8" t="inlineStr"/>
      <c r="D31" s="8" t="inlineStr"/>
      <c r="E31" s="8" t="inlineStr"/>
      <c r="F31" s="8" t="inlineStr">
        <is>
          <t>EE1(d)</t>
        </is>
      </c>
      <c r="G31" s="8" t="inlineStr">
        <is>
          <t>OPTION 2:  Indicator level reporting</t>
        </is>
      </c>
      <c r="H31" s="25">
        <f>IFERROR(IF(INDEX('Faculties'!$N$10:$N$29,MATCH($F31,'Faculties'!$B$10:$B$29,0))="","Cell will autofill based on response",INDEX('Faculties'!$N$10:$N$29,MATCH($F31,'Faculties'!$B$10:$B$29,0))),"N/A")</f>
        <v/>
      </c>
      <c r="I31" s="25">
        <f>IFERROR(IF(INDEX('Faculties'!$N$37:$N$56,MATCH($F31,'Faculties'!$B$37:$B$56,0))="","Cell will autofill based on response",INDEX('Faculties'!$N$37:$N$56,MATCH($F31,'Faculties'!$B$37:$B$56,0))),"N/A")</f>
        <v/>
      </c>
      <c r="J31" s="25">
        <f>IFERROR(IF(INDEX('Faculties'!$N$64:$N$83,MATCH($F31,'Faculties'!$B$64:$B$83,0))="","Cell will autofill based on response",INDEX('Faculties'!$N$64:$N$83,MATCH($F31,'Faculties'!$B$64:$B$83,0))),"N/A")</f>
        <v/>
      </c>
      <c r="K31" s="25">
        <f>IFERROR(IF(INDEX('Faculties'!$N$91:$N$110,MATCH($F31,'Faculties'!$B$91:$B$110,0))="","Cell will autofill based on response",INDEX('Faculties'!$N$91:$N$110,MATCH($F31,'Faculties'!$B$91:$B$110,0))),"N/A")</f>
        <v/>
      </c>
      <c r="L31" s="25">
        <f>IFERROR(IF(INDEX('CI&amp;S'!$N$10:$N$14,MATCH($F31,'CI&amp;S'!$B$10:$B$14,0))="","Cell will autofill based on response",INDEX('CI&amp;S'!$N$10:$N$14,MATCH($F31,'CI&amp;S'!$B$10:$B$14,0))),"N/A")</f>
        <v/>
      </c>
      <c r="M31" s="25">
        <f>IFERROR(IF(INDEX('CI&amp;S'!$N$22:$N$38,MATCH($F31,'CI&amp;S'!$B$22:$B$38,0))="","Cell will autofill based on response",INDEX('CI&amp;S'!$N$22:$N$38,MATCH($F31,'CI&amp;S'!$B$22:$B$38,0))),"N/A")</f>
        <v/>
      </c>
      <c r="N31" s="25">
        <f>IFERROR(IF(INDEX('CFOG'!$N$10:$N$15,MATCH($F31,'CFOG'!$B$10:$B$15,0))="","Cell will autofill based on response",INDEX('CFOG'!$N$10:$N$15,MATCH($F31,'CFOG'!$B$10:$B$15,0))),"N/A")</f>
        <v/>
      </c>
      <c r="O31" s="25">
        <f>IFERROR(IF(INDEX('CFOG'!$N$23:$N$23,MATCH($F31,'CFOG'!$B$23:$B$23,0))="","Cell will autofill based on response",INDEX('CFOG'!$N$23:$N$23,MATCH($F31,'CFOG'!$B$23:$B$23,0))),"N/A")</f>
        <v/>
      </c>
      <c r="P31" s="25">
        <f>IFERROR(IF(INDEX('ESG'!$N$10:$N$16,MATCH($F31,'ESG'!$B$10:$B$16,0))="","Cell will autofill based on response",INDEX('ESG'!$N$10:$N$16,MATCH($F31,'ESG'!$B$10:$B$16,0))),"N/A")</f>
        <v/>
      </c>
      <c r="Q31" s="25">
        <f>IFERROR(IF(INDEX('CIOG'!$N$10:$N$13,MATCH($F31,'CIOG'!$B$10:$B$13,0))="","Cell will autofill based on response",INDEX('CIOG'!$N$10:$N$13,MATCH($F31,'CIOG'!$B$10:$B$13,0))),"N/A")</f>
        <v/>
      </c>
      <c r="R31" s="25">
        <f>IFERROR(IF(INDEX('MRE'!$N$10:$N$11,MATCH($F31,'MRE'!$B$10:$B$11,0))="","Cell will autofill based on response",INDEX('MRE'!$N$10:$N$11,MATCH($F31,'MRE'!$B$10:$B$11,0))),"N/A")</f>
        <v/>
      </c>
    </row>
    <row r="32">
      <c r="A32">
        <f>F32&amp;"|"&amp;G32</f>
        <v/>
      </c>
      <c r="B32" s="29" t="inlineStr"/>
      <c r="C32" s="8" t="inlineStr"/>
      <c r="D32" s="8" t="inlineStr"/>
      <c r="E32" s="8" t="inlineStr"/>
      <c r="F32" s="8" t="inlineStr">
        <is>
          <t>EE1(d)</t>
        </is>
      </c>
      <c r="G32" s="8" t="inlineStr">
        <is>
          <t>Supporting information/comments</t>
        </is>
      </c>
      <c r="H32" s="25">
        <f>IFERROR(IF(INDEX('Faculties'!$O$10:$O$29,MATCH($F32,'Faculties'!$B$10:$B$29,0))="","Cell will autofill based on response",INDEX('Faculties'!$O$10:$O$29,MATCH($F32,'Faculties'!$B$10:$B$29,0))),"N/A")</f>
        <v/>
      </c>
      <c r="I32" s="25">
        <f>IFERROR(IF(INDEX('Faculties'!$O$37:$O$56,MATCH($F32,'Faculties'!$B$37:$B$56,0))="","Cell will autofill based on response",INDEX('Faculties'!$O$37:$O$56,MATCH($F32,'Faculties'!$B$37:$B$56,0))),"N/A")</f>
        <v/>
      </c>
      <c r="J32" s="25">
        <f>IFERROR(IF(INDEX('Faculties'!$O$64:$O$83,MATCH($F32,'Faculties'!$B$64:$B$83,0))="","Cell will autofill based on response",INDEX('Faculties'!$O$64:$O$83,MATCH($F32,'Faculties'!$B$64:$B$83,0))),"N/A")</f>
        <v/>
      </c>
      <c r="K32" s="25">
        <f>IFERROR(IF(INDEX('Faculties'!$O$91:$O$110,MATCH($F32,'Faculties'!$B$91:$B$110,0))="","Cell will autofill based on response",INDEX('Faculties'!$O$91:$O$110,MATCH($F32,'Faculties'!$B$91:$B$110,0))),"N/A")</f>
        <v/>
      </c>
      <c r="L32" s="25">
        <f>IFERROR(IF(INDEX('CI&amp;S'!$O$10:$O$14,MATCH($F32,'CI&amp;S'!$B$10:$B$14,0))="","Cell will autofill based on response",INDEX('CI&amp;S'!$O$10:$O$14,MATCH($F32,'CI&amp;S'!$B$10:$B$14,0))),"N/A")</f>
        <v/>
      </c>
      <c r="M32" s="25">
        <f>IFERROR(IF(INDEX('CI&amp;S'!$O$22:$O$38,MATCH($F32,'CI&amp;S'!$B$22:$B$38,0))="","Cell will autofill based on response",INDEX('CI&amp;S'!$O$22:$O$38,MATCH($F32,'CI&amp;S'!$B$22:$B$38,0))),"N/A")</f>
        <v/>
      </c>
      <c r="N32" s="25">
        <f>IFERROR(IF(INDEX('CFOG'!$O$10:$O$15,MATCH($F32,'CFOG'!$B$10:$B$15,0))="","Cell will autofill based on response",INDEX('CFOG'!$O$10:$O$15,MATCH($F32,'CFOG'!$B$10:$B$15,0))),"N/A")</f>
        <v/>
      </c>
      <c r="O32" s="25">
        <f>IFERROR(IF(INDEX('CFOG'!$O$23:$O$23,MATCH($F32,'CFOG'!$B$23:$B$23,0))="","Cell will autofill based on response",INDEX('CFOG'!$O$23:$O$23,MATCH($F32,'CFOG'!$B$23:$B$23,0))),"N/A")</f>
        <v/>
      </c>
      <c r="P32" s="25">
        <f>IFERROR(IF(INDEX('ESG'!$O$10:$O$16,MATCH($F32,'ESG'!$B$10:$B$16,0))="","Cell will autofill based on response",INDEX('ESG'!$O$10:$O$16,MATCH($F32,'ESG'!$B$10:$B$16,0))),"N/A")</f>
        <v/>
      </c>
      <c r="Q32" s="25">
        <f>IFERROR(IF(INDEX('CIOG'!$O$10:$O$13,MATCH($F32,'CIOG'!$B$10:$B$13,0))="","Cell will autofill based on response",INDEX('CIOG'!$O$10:$O$13,MATCH($F32,'CIOG'!$B$10:$B$13,0))),"N/A")</f>
        <v/>
      </c>
      <c r="R32" s="25">
        <f>IFERROR(IF(INDEX('MRE'!$O$10:$O$11,MATCH($F32,'MRE'!$B$10:$B$11,0))="","Cell will autofill based on response",INDEX('MRE'!$O$10:$O$11,MATCH($F32,'MRE'!$B$10:$B$11,0))),"N/A")</f>
        <v/>
      </c>
    </row>
    <row r="33">
      <c r="A33">
        <f>F33&amp;"|"&amp;G33</f>
        <v/>
      </c>
      <c r="B33" s="29" t="inlineStr"/>
      <c r="C33" s="8" t="inlineStr"/>
      <c r="D33" s="8" t="inlineStr"/>
      <c r="E33" s="8" t="inlineStr"/>
      <c r="F33" s="8" t="inlineStr">
        <is>
          <t>EE1(d)</t>
        </is>
      </c>
      <c r="G33" s="8" t="inlineStr">
        <is>
          <t>Data source and limitations</t>
        </is>
      </c>
      <c r="H33" s="25">
        <f>IFERROR(IF(INDEX('Faculties'!$P$10:$P$29,MATCH($F33,'Faculties'!$B$10:$B$29,0))="","Cell will autofill based on response",INDEX('Faculties'!$P$10:$P$29,MATCH($F33,'Faculties'!$B$10:$B$29,0))),"N/A")</f>
        <v/>
      </c>
      <c r="I33" s="25">
        <f>IFERROR(IF(INDEX('Faculties'!$P$37:$P$56,MATCH($F33,'Faculties'!$B$37:$B$56,0))="","Cell will autofill based on response",INDEX('Faculties'!$P$37:$P$56,MATCH($F33,'Faculties'!$B$37:$B$56,0))),"N/A")</f>
        <v/>
      </c>
      <c r="J33" s="25">
        <f>IFERROR(IF(INDEX('Faculties'!$P$64:$P$83,MATCH($F33,'Faculties'!$B$64:$B$83,0))="","Cell will autofill based on response",INDEX('Faculties'!$P$64:$P$83,MATCH($F33,'Faculties'!$B$64:$B$83,0))),"N/A")</f>
        <v/>
      </c>
      <c r="K33" s="25">
        <f>IFERROR(IF(INDEX('Faculties'!$P$91:$P$110,MATCH($F33,'Faculties'!$B$91:$B$110,0))="","Cell will autofill based on response",INDEX('Faculties'!$P$91:$P$110,MATCH($F33,'Faculties'!$B$91:$B$110,0))),"N/A")</f>
        <v/>
      </c>
      <c r="L33" s="25">
        <f>IFERROR(IF(INDEX('CI&amp;S'!$P$10:$P$14,MATCH($F33,'CI&amp;S'!$B$10:$B$14,0))="","Cell will autofill based on response",INDEX('CI&amp;S'!$P$10:$P$14,MATCH($F33,'CI&amp;S'!$B$10:$B$14,0))),"N/A")</f>
        <v/>
      </c>
      <c r="M33" s="25">
        <f>IFERROR(IF(INDEX('CI&amp;S'!$P$22:$P$38,MATCH($F33,'CI&amp;S'!$B$22:$B$38,0))="","Cell will autofill based on response",INDEX('CI&amp;S'!$P$22:$P$38,MATCH($F33,'CI&amp;S'!$B$22:$B$38,0))),"N/A")</f>
        <v/>
      </c>
      <c r="N33" s="25">
        <f>IFERROR(IF(INDEX('CFOG'!$P$10:$P$15,MATCH($F33,'CFOG'!$B$10:$B$15,0))="","Cell will autofill based on response",INDEX('CFOG'!$P$10:$P$15,MATCH($F33,'CFOG'!$B$10:$B$15,0))),"N/A")</f>
        <v/>
      </c>
      <c r="O33" s="25">
        <f>IFERROR(IF(INDEX('CFOG'!$P$23:$P$23,MATCH($F33,'CFOG'!$B$23:$B$23,0))="","Cell will autofill based on response",INDEX('CFOG'!$P$23:$P$23,MATCH($F33,'CFOG'!$B$23:$B$23,0))),"N/A")</f>
        <v/>
      </c>
      <c r="P33" s="25">
        <f>IFERROR(IF(INDEX('ESG'!$P$10:$P$16,MATCH($F33,'ESG'!$B$10:$B$16,0))="","Cell will autofill based on response",INDEX('ESG'!$P$10:$P$16,MATCH($F33,'ESG'!$B$10:$B$16,0))),"N/A")</f>
        <v/>
      </c>
      <c r="Q33" s="25">
        <f>IFERROR(IF(INDEX('CIOG'!$P$10:$P$13,MATCH($F33,'CIOG'!$B$10:$B$13,0))="","Cell will autofill based on response",INDEX('CIOG'!$P$10:$P$13,MATCH($F33,'CIOG'!$B$10:$B$13,0))),"N/A")</f>
        <v/>
      </c>
      <c r="R33" s="25">
        <f>IFERROR(IF(INDEX('MRE'!$P$10:$P$11,MATCH($F33,'MRE'!$B$10:$B$11,0))="","Cell will autofill based on response",INDEX('MRE'!$P$10:$P$11,MATCH($F33,'MRE'!$B$10:$B$11,0))),"N/A")</f>
        <v/>
      </c>
    </row>
    <row r="34">
      <c r="A34">
        <f>F34&amp;"|"&amp;G34</f>
        <v/>
      </c>
      <c r="B34" s="29" t="inlineStr"/>
      <c r="C34" s="8" t="inlineStr"/>
      <c r="D34" s="8" t="inlineStr"/>
      <c r="E34" s="8" t="inlineStr"/>
      <c r="F34" s="8" t="inlineStr">
        <is>
          <t>EE1(d)</t>
        </is>
      </c>
      <c r="G34" s="8" t="inlineStr">
        <is>
          <t>Data owner confirms</t>
        </is>
      </c>
      <c r="H34" s="25">
        <f>IFERROR(IF(INDEX('Faculties'!$Q$10:$Q$29,MATCH($F34,'Faculties'!$B$10:$B$29,0))="","Cell will autofill based on response",INDEX('Faculties'!$Q$10:$Q$29,MATCH($F34,'Faculties'!$B$10:$B$29,0))),"N/A")</f>
        <v/>
      </c>
      <c r="I34" s="25">
        <f>IFERROR(IF(INDEX('Faculties'!$Q$37:$Q$56,MATCH($F34,'Faculties'!$B$37:$B$56,0))="","Cell will autofill based on response",INDEX('Faculties'!$Q$37:$Q$56,MATCH($F34,'Faculties'!$B$37:$B$56,0))),"N/A")</f>
        <v/>
      </c>
      <c r="J34" s="25">
        <f>IFERROR(IF(INDEX('Faculties'!$Q$64:$Q$83,MATCH($F34,'Faculties'!$B$64:$B$83,0))="","Cell will autofill based on response",INDEX('Faculties'!$Q$64:$Q$83,MATCH($F34,'Faculties'!$B$64:$B$83,0))),"N/A")</f>
        <v/>
      </c>
      <c r="K34" s="25">
        <f>IFERROR(IF(INDEX('Faculties'!$Q$91:$Q$110,MATCH($F34,'Faculties'!$B$91:$B$110,0))="","Cell will autofill based on response",INDEX('Faculties'!$Q$91:$Q$110,MATCH($F34,'Faculties'!$B$91:$B$110,0))),"N/A")</f>
        <v/>
      </c>
      <c r="L34" s="25">
        <f>IFERROR(IF(INDEX('CI&amp;S'!$Q$10:$Q$14,MATCH($F34,'CI&amp;S'!$B$10:$B$14,0))="","Cell will autofill based on response",INDEX('CI&amp;S'!$Q$10:$Q$14,MATCH($F34,'CI&amp;S'!$B$10:$B$14,0))),"N/A")</f>
        <v/>
      </c>
      <c r="M34" s="25">
        <f>IFERROR(IF(INDEX('CI&amp;S'!$Q$22:$Q$38,MATCH($F34,'CI&amp;S'!$B$22:$B$38,0))="","Cell will autofill based on response",INDEX('CI&amp;S'!$Q$22:$Q$38,MATCH($F34,'CI&amp;S'!$B$22:$B$38,0))),"N/A")</f>
        <v/>
      </c>
      <c r="N34" s="25">
        <f>IFERROR(IF(INDEX('CFOG'!$Q$10:$Q$15,MATCH($F34,'CFOG'!$B$10:$B$15,0))="","Cell will autofill based on response",INDEX('CFOG'!$Q$10:$Q$15,MATCH($F34,'CFOG'!$B$10:$B$15,0))),"N/A")</f>
        <v/>
      </c>
      <c r="O34" s="25">
        <f>IFERROR(IF(INDEX('CFOG'!$Q$23:$Q$23,MATCH($F34,'CFOG'!$B$23:$B$23,0))="","Cell will autofill based on response",INDEX('CFOG'!$Q$23:$Q$23,MATCH($F34,'CFOG'!$B$23:$B$23,0))),"N/A")</f>
        <v/>
      </c>
      <c r="P34" s="25">
        <f>IFERROR(IF(INDEX('ESG'!$Q$10:$Q$16,MATCH($F34,'ESG'!$B$10:$B$16,0))="","Cell will autofill based on response",INDEX('ESG'!$Q$10:$Q$16,MATCH($F34,'ESG'!$B$10:$B$16,0))),"N/A")</f>
        <v/>
      </c>
      <c r="Q34" s="25">
        <f>IFERROR(IF(INDEX('CIOG'!$Q$10:$Q$13,MATCH($F34,'CIOG'!$B$10:$B$13,0))="","Cell will autofill based on response",INDEX('CIOG'!$Q$10:$Q$13,MATCH($F34,'CIOG'!$B$10:$B$13,0))),"N/A")</f>
        <v/>
      </c>
      <c r="R34" s="25">
        <f>IFERROR(IF(INDEX('MRE'!$Q$10:$Q$11,MATCH($F34,'MRE'!$B$10:$B$11,0))="","Cell will autofill based on response",INDEX('MRE'!$Q$10:$Q$11,MATCH($F34,'MRE'!$B$10:$B$11,0))),"N/A")</f>
        <v/>
      </c>
    </row>
    <row r="35">
      <c r="A35">
        <f>F35&amp;"|"&amp;G35</f>
        <v/>
      </c>
      <c r="B35" s="7" t="inlineStr">
        <is>
          <t>TR1(a)</t>
        </is>
      </c>
      <c r="C35" s="12" t="inlineStr">
        <is>
          <t>Transformational research</t>
        </is>
      </c>
      <c r="D35" s="12" t="inlineStr">
        <is>
          <t>Expert-reviewed evidence of researchers contributing to operational sustainability priorities through partnerships, advisory input, living labs, applied projects or decision-support</t>
        </is>
      </c>
      <c r="E35" s="12"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12" t="inlineStr">
        <is>
          <t>TR1(a)</t>
        </is>
      </c>
      <c r="G35" s="12" t="inlineStr">
        <is>
          <t>Confirm end-2026 target status</t>
        </is>
      </c>
      <c r="H35" s="25">
        <f>IFERROR(IF(INDEX('Faculties'!$L$10:$L$29,MATCH($F35,'Faculties'!$B$10:$B$29,0))="","Cell will autofill based on response",INDEX('Faculties'!$L$10:$L$29,MATCH($F35,'Faculties'!$B$10:$B$29,0))),"N/A")</f>
        <v/>
      </c>
      <c r="I35" s="25">
        <f>IFERROR(IF(INDEX('Faculties'!$L$37:$L$56,MATCH($F35,'Faculties'!$B$37:$B$56,0))="","Cell will autofill based on response",INDEX('Faculties'!$L$37:$L$56,MATCH($F35,'Faculties'!$B$37:$B$56,0))),"N/A")</f>
        <v/>
      </c>
      <c r="J35" s="25">
        <f>IFERROR(IF(INDEX('Faculties'!$L$64:$L$83,MATCH($F35,'Faculties'!$B$64:$B$83,0))="","Cell will autofill based on response",INDEX('Faculties'!$L$64:$L$83,MATCH($F35,'Faculties'!$B$64:$B$83,0))),"N/A")</f>
        <v/>
      </c>
      <c r="K35" s="25">
        <f>IFERROR(IF(INDEX('Faculties'!$L$91:$L$110,MATCH($F35,'Faculties'!$B$91:$B$110,0))="","Cell will autofill based on response",INDEX('Faculties'!$L$91:$L$110,MATCH($F35,'Faculties'!$B$91:$B$110,0))),"N/A")</f>
        <v/>
      </c>
      <c r="L35" s="25">
        <f>IFERROR(IF(INDEX('CI&amp;S'!$L$10:$L$14,MATCH($F35,'CI&amp;S'!$B$10:$B$14,0))="","Cell will autofill based on response",INDEX('CI&amp;S'!$L$10:$L$14,MATCH($F35,'CI&amp;S'!$B$10:$B$14,0))),"N/A")</f>
        <v/>
      </c>
      <c r="M35" s="25">
        <f>IFERROR(IF(INDEX('CI&amp;S'!$L$22:$L$38,MATCH($F35,'CI&amp;S'!$B$22:$B$38,0))="","Cell will autofill based on response",INDEX('CI&amp;S'!$L$22:$L$38,MATCH($F35,'CI&amp;S'!$B$22:$B$38,0))),"N/A")</f>
        <v/>
      </c>
      <c r="N35" s="25">
        <f>IFERROR(IF(INDEX('CFOG'!$L$10:$L$15,MATCH($F35,'CFOG'!$B$10:$B$15,0))="","Cell will autofill based on response",INDEX('CFOG'!$L$10:$L$15,MATCH($F35,'CFOG'!$B$10:$B$15,0))),"N/A")</f>
        <v/>
      </c>
      <c r="O35" s="25">
        <f>IFERROR(IF(INDEX('CFOG'!$L$23:$L$23,MATCH($F35,'CFOG'!$B$23:$B$23,0))="","Cell will autofill based on response",INDEX('CFOG'!$L$23:$L$23,MATCH($F35,'CFOG'!$B$23:$B$23,0))),"N/A")</f>
        <v/>
      </c>
      <c r="P35" s="25">
        <f>IFERROR(IF(INDEX('ESG'!$L$10:$L$16,MATCH($F35,'ESG'!$B$10:$B$16,0))="","Cell will autofill based on response",INDEX('ESG'!$L$10:$L$16,MATCH($F35,'ESG'!$B$10:$B$16,0))),"N/A")</f>
        <v/>
      </c>
      <c r="Q35" s="25">
        <f>IFERROR(IF(INDEX('CIOG'!$L$10:$L$13,MATCH($F35,'CIOG'!$B$10:$B$13,0))="","Cell will autofill based on response",INDEX('CIOG'!$L$10:$L$13,MATCH($F35,'CIOG'!$B$10:$B$13,0))),"N/A")</f>
        <v/>
      </c>
      <c r="R35" s="25">
        <f>IFERROR(IF(INDEX('MRE'!$L$10:$L$11,MATCH($F35,'MRE'!$B$10:$B$11,0))="","Cell will autofill based on response",INDEX('MRE'!$L$10:$L$11,MATCH($F35,'MRE'!$B$10:$B$11,0))),"N/A")</f>
        <v/>
      </c>
      <c r="T35" s="26">
        <f>COUNTIF($H35:$R35,"Cell will autofill based on response")</f>
        <v/>
      </c>
      <c r="U35" s="26">
        <f>COUNTIF($H35:$R35,"Not yet started")</f>
        <v/>
      </c>
      <c r="V35" s="26">
        <f>COUNTIF($H35:$R35,"Not met")</f>
        <v/>
      </c>
      <c r="W35" s="26">
        <f>COUNTIF($H35:$R35,"Partially met")</f>
        <v/>
      </c>
      <c r="X35" s="26">
        <f>COUNTIF($H35:$R35,"Met or exceeded")</f>
        <v/>
      </c>
      <c r="Y35" s="26">
        <f>3*X35+2*W35+V35</f>
        <v/>
      </c>
      <c r="Z35" s="26">
        <f>X35+W35+V35+U35</f>
        <v/>
      </c>
      <c r="AA35" s="27">
        <f>IF(Z35&gt;0,Y35/Z35,"No valid responses to date")</f>
        <v/>
      </c>
      <c r="AB35" s="26">
        <f>IF(ISNUMBER(AA35),INDEX(Lists!$G$2:$G$5,MATCH(ROUND(AA35,0),Lists!$H$2:$H$5,0)),"")</f>
        <v/>
      </c>
      <c r="AC35" s="28">
        <f>IF(Z35&gt;0,X35/Z35,"")</f>
        <v/>
      </c>
      <c r="AD35" s="28">
        <f>IF(Z35&gt;0,(X35+W35)/Z35,"")</f>
        <v/>
      </c>
      <c r="AE35" s="26">
        <f>IF(Z35=0,"",IF(AC35&gt;0.75,"Met or exceeded",IF(AD35&gt;=0.5,"Partially met","Not met")))</f>
        <v/>
      </c>
    </row>
    <row r="36">
      <c r="A36">
        <f>F36&amp;"|"&amp;G36</f>
        <v/>
      </c>
      <c r="B36" s="29" t="inlineStr"/>
      <c r="C36" s="8" t="inlineStr"/>
      <c r="D36" s="8" t="inlineStr"/>
      <c r="E36" s="8" t="inlineStr"/>
      <c r="F36" s="8" t="inlineStr">
        <is>
          <t>TR1(a)</t>
        </is>
      </c>
      <c r="G36" s="8" t="inlineStr">
        <is>
          <t>OPTION 1:  Target-level reporting</t>
        </is>
      </c>
      <c r="H36" s="25">
        <f>IFERROR(IF(INDEX('Faculties'!$M$10:$M$29,MATCH($F36,'Faculties'!$B$10:$B$29,0))="","Cell will autofill based on response",INDEX('Faculties'!$M$10:$M$29,MATCH($F36,'Faculties'!$B$10:$B$29,0))),"N/A")</f>
        <v/>
      </c>
      <c r="I36" s="25">
        <f>IFERROR(IF(INDEX('Faculties'!$M$37:$M$56,MATCH($F36,'Faculties'!$B$37:$B$56,0))="","Cell will autofill based on response",INDEX('Faculties'!$M$37:$M$56,MATCH($F36,'Faculties'!$B$37:$B$56,0))),"N/A")</f>
        <v/>
      </c>
      <c r="J36" s="25">
        <f>IFERROR(IF(INDEX('Faculties'!$M$64:$M$83,MATCH($F36,'Faculties'!$B$64:$B$83,0))="","Cell will autofill based on response",INDEX('Faculties'!$M$64:$M$83,MATCH($F36,'Faculties'!$B$64:$B$83,0))),"N/A")</f>
        <v/>
      </c>
      <c r="K36" s="25">
        <f>IFERROR(IF(INDEX('Faculties'!$M$91:$M$110,MATCH($F36,'Faculties'!$B$91:$B$110,0))="","Cell will autofill based on response",INDEX('Faculties'!$M$91:$M$110,MATCH($F36,'Faculties'!$B$91:$B$110,0))),"N/A")</f>
        <v/>
      </c>
      <c r="L36" s="25">
        <f>IFERROR(IF(INDEX('CI&amp;S'!$M$10:$M$14,MATCH($F36,'CI&amp;S'!$B$10:$B$14,0))="","Cell will autofill based on response",INDEX('CI&amp;S'!$M$10:$M$14,MATCH($F36,'CI&amp;S'!$B$10:$B$14,0))),"N/A")</f>
        <v/>
      </c>
      <c r="M36" s="25">
        <f>IFERROR(IF(INDEX('CI&amp;S'!$M$22:$M$38,MATCH($F36,'CI&amp;S'!$B$22:$B$38,0))="","Cell will autofill based on response",INDEX('CI&amp;S'!$M$22:$M$38,MATCH($F36,'CI&amp;S'!$B$22:$B$38,0))),"N/A")</f>
        <v/>
      </c>
      <c r="N36" s="25">
        <f>IFERROR(IF(INDEX('CFOG'!$M$10:$M$15,MATCH($F36,'CFOG'!$B$10:$B$15,0))="","Cell will autofill based on response",INDEX('CFOG'!$M$10:$M$15,MATCH($F36,'CFOG'!$B$10:$B$15,0))),"N/A")</f>
        <v/>
      </c>
      <c r="O36" s="25">
        <f>IFERROR(IF(INDEX('CFOG'!$M$23:$M$23,MATCH($F36,'CFOG'!$B$23:$B$23,0))="","Cell will autofill based on response",INDEX('CFOG'!$M$23:$M$23,MATCH($F36,'CFOG'!$B$23:$B$23,0))),"N/A")</f>
        <v/>
      </c>
      <c r="P36" s="25">
        <f>IFERROR(IF(INDEX('ESG'!$M$10:$M$16,MATCH($F36,'ESG'!$B$10:$B$16,0))="","Cell will autofill based on response",INDEX('ESG'!$M$10:$M$16,MATCH($F36,'ESG'!$B$10:$B$16,0))),"N/A")</f>
        <v/>
      </c>
      <c r="Q36" s="25">
        <f>IFERROR(IF(INDEX('CIOG'!$M$10:$M$13,MATCH($F36,'CIOG'!$B$10:$B$13,0))="","Cell will autofill based on response",INDEX('CIOG'!$M$10:$M$13,MATCH($F36,'CIOG'!$B$10:$B$13,0))),"N/A")</f>
        <v/>
      </c>
      <c r="R36" s="25">
        <f>IFERROR(IF(INDEX('MRE'!$M$10:$M$11,MATCH($F36,'MRE'!$B$10:$B$11,0))="","Cell will autofill based on response",INDEX('MRE'!$M$10:$M$11,MATCH($F36,'MRE'!$B$10:$B$11,0))),"N/A")</f>
        <v/>
      </c>
    </row>
    <row r="37">
      <c r="A37">
        <f>F37&amp;"|"&amp;G37</f>
        <v/>
      </c>
      <c r="B37" s="29" t="inlineStr"/>
      <c r="C37" s="8" t="inlineStr"/>
      <c r="D37" s="8" t="inlineStr"/>
      <c r="E37" s="8" t="inlineStr"/>
      <c r="F37" s="8" t="inlineStr">
        <is>
          <t>TR1(a)</t>
        </is>
      </c>
      <c r="G37" s="8" t="inlineStr">
        <is>
          <t>OPTION 2:  Indicator level reporting</t>
        </is>
      </c>
      <c r="H37" s="25">
        <f>IFERROR(IF(INDEX('Faculties'!$N$10:$N$29,MATCH($F37,'Faculties'!$B$10:$B$29,0))="","Cell will autofill based on response",INDEX('Faculties'!$N$10:$N$29,MATCH($F37,'Faculties'!$B$10:$B$29,0))),"N/A")</f>
        <v/>
      </c>
      <c r="I37" s="25">
        <f>IFERROR(IF(INDEX('Faculties'!$N$37:$N$56,MATCH($F37,'Faculties'!$B$37:$B$56,0))="","Cell will autofill based on response",INDEX('Faculties'!$N$37:$N$56,MATCH($F37,'Faculties'!$B$37:$B$56,0))),"N/A")</f>
        <v/>
      </c>
      <c r="J37" s="25">
        <f>IFERROR(IF(INDEX('Faculties'!$N$64:$N$83,MATCH($F37,'Faculties'!$B$64:$B$83,0))="","Cell will autofill based on response",INDEX('Faculties'!$N$64:$N$83,MATCH($F37,'Faculties'!$B$64:$B$83,0))),"N/A")</f>
        <v/>
      </c>
      <c r="K37" s="25">
        <f>IFERROR(IF(INDEX('Faculties'!$N$91:$N$110,MATCH($F37,'Faculties'!$B$91:$B$110,0))="","Cell will autofill based on response",INDEX('Faculties'!$N$91:$N$110,MATCH($F37,'Faculties'!$B$91:$B$110,0))),"N/A")</f>
        <v/>
      </c>
      <c r="L37" s="25">
        <f>IFERROR(IF(INDEX('CI&amp;S'!$N$10:$N$14,MATCH($F37,'CI&amp;S'!$B$10:$B$14,0))="","Cell will autofill based on response",INDEX('CI&amp;S'!$N$10:$N$14,MATCH($F37,'CI&amp;S'!$B$10:$B$14,0))),"N/A")</f>
        <v/>
      </c>
      <c r="M37" s="25">
        <f>IFERROR(IF(INDEX('CI&amp;S'!$N$22:$N$38,MATCH($F37,'CI&amp;S'!$B$22:$B$38,0))="","Cell will autofill based on response",INDEX('CI&amp;S'!$N$22:$N$38,MATCH($F37,'CI&amp;S'!$B$22:$B$38,0))),"N/A")</f>
        <v/>
      </c>
      <c r="N37" s="25">
        <f>IFERROR(IF(INDEX('CFOG'!$N$10:$N$15,MATCH($F37,'CFOG'!$B$10:$B$15,0))="","Cell will autofill based on response",INDEX('CFOG'!$N$10:$N$15,MATCH($F37,'CFOG'!$B$10:$B$15,0))),"N/A")</f>
        <v/>
      </c>
      <c r="O37" s="25">
        <f>IFERROR(IF(INDEX('CFOG'!$N$23:$N$23,MATCH($F37,'CFOG'!$B$23:$B$23,0))="","Cell will autofill based on response",INDEX('CFOG'!$N$23:$N$23,MATCH($F37,'CFOG'!$B$23:$B$23,0))),"N/A")</f>
        <v/>
      </c>
      <c r="P37" s="25">
        <f>IFERROR(IF(INDEX('ESG'!$N$10:$N$16,MATCH($F37,'ESG'!$B$10:$B$16,0))="","Cell will autofill based on response",INDEX('ESG'!$N$10:$N$16,MATCH($F37,'ESG'!$B$10:$B$16,0))),"N/A")</f>
        <v/>
      </c>
      <c r="Q37" s="25">
        <f>IFERROR(IF(INDEX('CIOG'!$N$10:$N$13,MATCH($F37,'CIOG'!$B$10:$B$13,0))="","Cell will autofill based on response",INDEX('CIOG'!$N$10:$N$13,MATCH($F37,'CIOG'!$B$10:$B$13,0))),"N/A")</f>
        <v/>
      </c>
      <c r="R37" s="25">
        <f>IFERROR(IF(INDEX('MRE'!$N$10:$N$11,MATCH($F37,'MRE'!$B$10:$B$11,0))="","Cell will autofill based on response",INDEX('MRE'!$N$10:$N$11,MATCH($F37,'MRE'!$B$10:$B$11,0))),"N/A")</f>
        <v/>
      </c>
    </row>
    <row r="38">
      <c r="A38">
        <f>F38&amp;"|"&amp;G38</f>
        <v/>
      </c>
      <c r="B38" s="29" t="inlineStr"/>
      <c r="C38" s="8" t="inlineStr"/>
      <c r="D38" s="8" t="inlineStr"/>
      <c r="E38" s="8" t="inlineStr"/>
      <c r="F38" s="8" t="inlineStr">
        <is>
          <t>TR1(a)</t>
        </is>
      </c>
      <c r="G38" s="8" t="inlineStr">
        <is>
          <t>Supporting information/comments</t>
        </is>
      </c>
      <c r="H38" s="25">
        <f>IFERROR(IF(INDEX('Faculties'!$O$10:$O$29,MATCH($F38,'Faculties'!$B$10:$B$29,0))="","Cell will autofill based on response",INDEX('Faculties'!$O$10:$O$29,MATCH($F38,'Faculties'!$B$10:$B$29,0))),"N/A")</f>
        <v/>
      </c>
      <c r="I38" s="25">
        <f>IFERROR(IF(INDEX('Faculties'!$O$37:$O$56,MATCH($F38,'Faculties'!$B$37:$B$56,0))="","Cell will autofill based on response",INDEX('Faculties'!$O$37:$O$56,MATCH($F38,'Faculties'!$B$37:$B$56,0))),"N/A")</f>
        <v/>
      </c>
      <c r="J38" s="25">
        <f>IFERROR(IF(INDEX('Faculties'!$O$64:$O$83,MATCH($F38,'Faculties'!$B$64:$B$83,0))="","Cell will autofill based on response",INDEX('Faculties'!$O$64:$O$83,MATCH($F38,'Faculties'!$B$64:$B$83,0))),"N/A")</f>
        <v/>
      </c>
      <c r="K38" s="25">
        <f>IFERROR(IF(INDEX('Faculties'!$O$91:$O$110,MATCH($F38,'Faculties'!$B$91:$B$110,0))="","Cell will autofill based on response",INDEX('Faculties'!$O$91:$O$110,MATCH($F38,'Faculties'!$B$91:$B$110,0))),"N/A")</f>
        <v/>
      </c>
      <c r="L38" s="25">
        <f>IFERROR(IF(INDEX('CI&amp;S'!$O$10:$O$14,MATCH($F38,'CI&amp;S'!$B$10:$B$14,0))="","Cell will autofill based on response",INDEX('CI&amp;S'!$O$10:$O$14,MATCH($F38,'CI&amp;S'!$B$10:$B$14,0))),"N/A")</f>
        <v/>
      </c>
      <c r="M38" s="25">
        <f>IFERROR(IF(INDEX('CI&amp;S'!$O$22:$O$38,MATCH($F38,'CI&amp;S'!$B$22:$B$38,0))="","Cell will autofill based on response",INDEX('CI&amp;S'!$O$22:$O$38,MATCH($F38,'CI&amp;S'!$B$22:$B$38,0))),"N/A")</f>
        <v/>
      </c>
      <c r="N38" s="25">
        <f>IFERROR(IF(INDEX('CFOG'!$O$10:$O$15,MATCH($F38,'CFOG'!$B$10:$B$15,0))="","Cell will autofill based on response",INDEX('CFOG'!$O$10:$O$15,MATCH($F38,'CFOG'!$B$10:$B$15,0))),"N/A")</f>
        <v/>
      </c>
      <c r="O38" s="25">
        <f>IFERROR(IF(INDEX('CFOG'!$O$23:$O$23,MATCH($F38,'CFOG'!$B$23:$B$23,0))="","Cell will autofill based on response",INDEX('CFOG'!$O$23:$O$23,MATCH($F38,'CFOG'!$B$23:$B$23,0))),"N/A")</f>
        <v/>
      </c>
      <c r="P38" s="25">
        <f>IFERROR(IF(INDEX('ESG'!$O$10:$O$16,MATCH($F38,'ESG'!$B$10:$B$16,0))="","Cell will autofill based on response",INDEX('ESG'!$O$10:$O$16,MATCH($F38,'ESG'!$B$10:$B$16,0))),"N/A")</f>
        <v/>
      </c>
      <c r="Q38" s="25">
        <f>IFERROR(IF(INDEX('CIOG'!$O$10:$O$13,MATCH($F38,'CIOG'!$B$10:$B$13,0))="","Cell will autofill based on response",INDEX('CIOG'!$O$10:$O$13,MATCH($F38,'CIOG'!$B$10:$B$13,0))),"N/A")</f>
        <v/>
      </c>
      <c r="R38" s="25">
        <f>IFERROR(IF(INDEX('MRE'!$O$10:$O$11,MATCH($F38,'MRE'!$B$10:$B$11,0))="","Cell will autofill based on response",INDEX('MRE'!$O$10:$O$11,MATCH($F38,'MRE'!$B$10:$B$11,0))),"N/A")</f>
        <v/>
      </c>
    </row>
    <row r="39">
      <c r="A39">
        <f>F39&amp;"|"&amp;G39</f>
        <v/>
      </c>
      <c r="B39" s="29" t="inlineStr"/>
      <c r="C39" s="8" t="inlineStr"/>
      <c r="D39" s="8" t="inlineStr"/>
      <c r="E39" s="8" t="inlineStr"/>
      <c r="F39" s="8" t="inlineStr">
        <is>
          <t>TR1(a)</t>
        </is>
      </c>
      <c r="G39" s="8" t="inlineStr">
        <is>
          <t>Data source and limitations</t>
        </is>
      </c>
      <c r="H39" s="25">
        <f>IFERROR(IF(INDEX('Faculties'!$P$10:$P$29,MATCH($F39,'Faculties'!$B$10:$B$29,0))="","Cell will autofill based on response",INDEX('Faculties'!$P$10:$P$29,MATCH($F39,'Faculties'!$B$10:$B$29,0))),"N/A")</f>
        <v/>
      </c>
      <c r="I39" s="25">
        <f>IFERROR(IF(INDEX('Faculties'!$P$37:$P$56,MATCH($F39,'Faculties'!$B$37:$B$56,0))="","Cell will autofill based on response",INDEX('Faculties'!$P$37:$P$56,MATCH($F39,'Faculties'!$B$37:$B$56,0))),"N/A")</f>
        <v/>
      </c>
      <c r="J39" s="25">
        <f>IFERROR(IF(INDEX('Faculties'!$P$64:$P$83,MATCH($F39,'Faculties'!$B$64:$B$83,0))="","Cell will autofill based on response",INDEX('Faculties'!$P$64:$P$83,MATCH($F39,'Faculties'!$B$64:$B$83,0))),"N/A")</f>
        <v/>
      </c>
      <c r="K39" s="25">
        <f>IFERROR(IF(INDEX('Faculties'!$P$91:$P$110,MATCH($F39,'Faculties'!$B$91:$B$110,0))="","Cell will autofill based on response",INDEX('Faculties'!$P$91:$P$110,MATCH($F39,'Faculties'!$B$91:$B$110,0))),"N/A")</f>
        <v/>
      </c>
      <c r="L39" s="25">
        <f>IFERROR(IF(INDEX('CI&amp;S'!$P$10:$P$14,MATCH($F39,'CI&amp;S'!$B$10:$B$14,0))="","Cell will autofill based on response",INDEX('CI&amp;S'!$P$10:$P$14,MATCH($F39,'CI&amp;S'!$B$10:$B$14,0))),"N/A")</f>
        <v/>
      </c>
      <c r="M39" s="25">
        <f>IFERROR(IF(INDEX('CI&amp;S'!$P$22:$P$38,MATCH($F39,'CI&amp;S'!$B$22:$B$38,0))="","Cell will autofill based on response",INDEX('CI&amp;S'!$P$22:$P$38,MATCH($F39,'CI&amp;S'!$B$22:$B$38,0))),"N/A")</f>
        <v/>
      </c>
      <c r="N39" s="25">
        <f>IFERROR(IF(INDEX('CFOG'!$P$10:$P$15,MATCH($F39,'CFOG'!$B$10:$B$15,0))="","Cell will autofill based on response",INDEX('CFOG'!$P$10:$P$15,MATCH($F39,'CFOG'!$B$10:$B$15,0))),"N/A")</f>
        <v/>
      </c>
      <c r="O39" s="25">
        <f>IFERROR(IF(INDEX('CFOG'!$P$23:$P$23,MATCH($F39,'CFOG'!$B$23:$B$23,0))="","Cell will autofill based on response",INDEX('CFOG'!$P$23:$P$23,MATCH($F39,'CFOG'!$B$23:$B$23,0))),"N/A")</f>
        <v/>
      </c>
      <c r="P39" s="25">
        <f>IFERROR(IF(INDEX('ESG'!$P$10:$P$16,MATCH($F39,'ESG'!$B$10:$B$16,0))="","Cell will autofill based on response",INDEX('ESG'!$P$10:$P$16,MATCH($F39,'ESG'!$B$10:$B$16,0))),"N/A")</f>
        <v/>
      </c>
      <c r="Q39" s="25">
        <f>IFERROR(IF(INDEX('CIOG'!$P$10:$P$13,MATCH($F39,'CIOG'!$B$10:$B$13,0))="","Cell will autofill based on response",INDEX('CIOG'!$P$10:$P$13,MATCH($F39,'CIOG'!$B$10:$B$13,0))),"N/A")</f>
        <v/>
      </c>
      <c r="R39" s="25">
        <f>IFERROR(IF(INDEX('MRE'!$P$10:$P$11,MATCH($F39,'MRE'!$B$10:$B$11,0))="","Cell will autofill based on response",INDEX('MRE'!$P$10:$P$11,MATCH($F39,'MRE'!$B$10:$B$11,0))),"N/A")</f>
        <v/>
      </c>
    </row>
    <row r="40">
      <c r="A40">
        <f>F40&amp;"|"&amp;G40</f>
        <v/>
      </c>
      <c r="B40" s="29" t="inlineStr"/>
      <c r="C40" s="8" t="inlineStr"/>
      <c r="D40" s="8" t="inlineStr"/>
      <c r="E40" s="8" t="inlineStr"/>
      <c r="F40" s="8" t="inlineStr">
        <is>
          <t>TR1(a)</t>
        </is>
      </c>
      <c r="G40" s="8" t="inlineStr">
        <is>
          <t>Data owner confirms</t>
        </is>
      </c>
      <c r="H40" s="25">
        <f>IFERROR(IF(INDEX('Faculties'!$Q$10:$Q$29,MATCH($F40,'Faculties'!$B$10:$B$29,0))="","Cell will autofill based on response",INDEX('Faculties'!$Q$10:$Q$29,MATCH($F40,'Faculties'!$B$10:$B$29,0))),"N/A")</f>
        <v/>
      </c>
      <c r="I40" s="25">
        <f>IFERROR(IF(INDEX('Faculties'!$Q$37:$Q$56,MATCH($F40,'Faculties'!$B$37:$B$56,0))="","Cell will autofill based on response",INDEX('Faculties'!$Q$37:$Q$56,MATCH($F40,'Faculties'!$B$37:$B$56,0))),"N/A")</f>
        <v/>
      </c>
      <c r="J40" s="25">
        <f>IFERROR(IF(INDEX('Faculties'!$Q$64:$Q$83,MATCH($F40,'Faculties'!$B$64:$B$83,0))="","Cell will autofill based on response",INDEX('Faculties'!$Q$64:$Q$83,MATCH($F40,'Faculties'!$B$64:$B$83,0))),"N/A")</f>
        <v/>
      </c>
      <c r="K40" s="25">
        <f>IFERROR(IF(INDEX('Faculties'!$Q$91:$Q$110,MATCH($F40,'Faculties'!$B$91:$B$110,0))="","Cell will autofill based on response",INDEX('Faculties'!$Q$91:$Q$110,MATCH($F40,'Faculties'!$B$91:$B$110,0))),"N/A")</f>
        <v/>
      </c>
      <c r="L40" s="25">
        <f>IFERROR(IF(INDEX('CI&amp;S'!$Q$10:$Q$14,MATCH($F40,'CI&amp;S'!$B$10:$B$14,0))="","Cell will autofill based on response",INDEX('CI&amp;S'!$Q$10:$Q$14,MATCH($F40,'CI&amp;S'!$B$10:$B$14,0))),"N/A")</f>
        <v/>
      </c>
      <c r="M40" s="25">
        <f>IFERROR(IF(INDEX('CI&amp;S'!$Q$22:$Q$38,MATCH($F40,'CI&amp;S'!$B$22:$B$38,0))="","Cell will autofill based on response",INDEX('CI&amp;S'!$Q$22:$Q$38,MATCH($F40,'CI&amp;S'!$B$22:$B$38,0))),"N/A")</f>
        <v/>
      </c>
      <c r="N40" s="25">
        <f>IFERROR(IF(INDEX('CFOG'!$Q$10:$Q$15,MATCH($F40,'CFOG'!$B$10:$B$15,0))="","Cell will autofill based on response",INDEX('CFOG'!$Q$10:$Q$15,MATCH($F40,'CFOG'!$B$10:$B$15,0))),"N/A")</f>
        <v/>
      </c>
      <c r="O40" s="25">
        <f>IFERROR(IF(INDEX('CFOG'!$Q$23:$Q$23,MATCH($F40,'CFOG'!$B$23:$B$23,0))="","Cell will autofill based on response",INDEX('CFOG'!$Q$23:$Q$23,MATCH($F40,'CFOG'!$B$23:$B$23,0))),"N/A")</f>
        <v/>
      </c>
      <c r="P40" s="25">
        <f>IFERROR(IF(INDEX('ESG'!$Q$10:$Q$16,MATCH($F40,'ESG'!$B$10:$B$16,0))="","Cell will autofill based on response",INDEX('ESG'!$Q$10:$Q$16,MATCH($F40,'ESG'!$B$10:$B$16,0))),"N/A")</f>
        <v/>
      </c>
      <c r="Q40" s="25">
        <f>IFERROR(IF(INDEX('CIOG'!$Q$10:$Q$13,MATCH($F40,'CIOG'!$B$10:$B$13,0))="","Cell will autofill based on response",INDEX('CIOG'!$Q$10:$Q$13,MATCH($F40,'CIOG'!$B$10:$B$13,0))),"N/A")</f>
        <v/>
      </c>
      <c r="R40" s="25">
        <f>IFERROR(IF(INDEX('MRE'!$Q$10:$Q$11,MATCH($F40,'MRE'!$B$10:$B$11,0))="","Cell will autofill based on response",INDEX('MRE'!$Q$10:$Q$11,MATCH($F40,'MRE'!$B$10:$B$11,0))),"N/A")</f>
        <v/>
      </c>
    </row>
    <row r="41">
      <c r="A41">
        <f>F41&amp;"|"&amp;G41</f>
        <v/>
      </c>
      <c r="B41" s="7" t="inlineStr">
        <is>
          <t>TR1(b)</t>
        </is>
      </c>
      <c r="C41" s="12" t="inlineStr">
        <is>
          <t>Transformational research</t>
        </is>
      </c>
      <c r="D41" s="12" t="inlineStr">
        <is>
          <t>Evidence of institutional pathways that enable ongoing collaboration between academic and professional staff</t>
        </is>
      </c>
      <c r="E41" s="12"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12" t="inlineStr">
        <is>
          <t>TR1(b)</t>
        </is>
      </c>
      <c r="G41" s="12" t="inlineStr">
        <is>
          <t>Confirm end-2026 target status</t>
        </is>
      </c>
      <c r="H41" s="25">
        <f>IFERROR(IF(INDEX('Faculties'!$L$10:$L$29,MATCH($F41,'Faculties'!$B$10:$B$29,0))="","Cell will autofill based on response",INDEX('Faculties'!$L$10:$L$29,MATCH($F41,'Faculties'!$B$10:$B$29,0))),"N/A")</f>
        <v/>
      </c>
      <c r="I41" s="25">
        <f>IFERROR(IF(INDEX('Faculties'!$L$37:$L$56,MATCH($F41,'Faculties'!$B$37:$B$56,0))="","Cell will autofill based on response",INDEX('Faculties'!$L$37:$L$56,MATCH($F41,'Faculties'!$B$37:$B$56,0))),"N/A")</f>
        <v/>
      </c>
      <c r="J41" s="25">
        <f>IFERROR(IF(INDEX('Faculties'!$L$64:$L$83,MATCH($F41,'Faculties'!$B$64:$B$83,0))="","Cell will autofill based on response",INDEX('Faculties'!$L$64:$L$83,MATCH($F41,'Faculties'!$B$64:$B$83,0))),"N/A")</f>
        <v/>
      </c>
      <c r="K41" s="25">
        <f>IFERROR(IF(INDEX('Faculties'!$L$91:$L$110,MATCH($F41,'Faculties'!$B$91:$B$110,0))="","Cell will autofill based on response",INDEX('Faculties'!$L$91:$L$110,MATCH($F41,'Faculties'!$B$91:$B$110,0))),"N/A")</f>
        <v/>
      </c>
      <c r="L41" s="25">
        <f>IFERROR(IF(INDEX('CI&amp;S'!$L$10:$L$14,MATCH($F41,'CI&amp;S'!$B$10:$B$14,0))="","Cell will autofill based on response",INDEX('CI&amp;S'!$L$10:$L$14,MATCH($F41,'CI&amp;S'!$B$10:$B$14,0))),"N/A")</f>
        <v/>
      </c>
      <c r="M41" s="25">
        <f>IFERROR(IF(INDEX('CI&amp;S'!$L$22:$L$38,MATCH($F41,'CI&amp;S'!$B$22:$B$38,0))="","Cell will autofill based on response",INDEX('CI&amp;S'!$L$22:$L$38,MATCH($F41,'CI&amp;S'!$B$22:$B$38,0))),"N/A")</f>
        <v/>
      </c>
      <c r="N41" s="25">
        <f>IFERROR(IF(INDEX('CFOG'!$L$10:$L$15,MATCH($F41,'CFOG'!$B$10:$B$15,0))="","Cell will autofill based on response",INDEX('CFOG'!$L$10:$L$15,MATCH($F41,'CFOG'!$B$10:$B$15,0))),"N/A")</f>
        <v/>
      </c>
      <c r="O41" s="25">
        <f>IFERROR(IF(INDEX('CFOG'!$L$23:$L$23,MATCH($F41,'CFOG'!$B$23:$B$23,0))="","Cell will autofill based on response",INDEX('CFOG'!$L$23:$L$23,MATCH($F41,'CFOG'!$B$23:$B$23,0))),"N/A")</f>
        <v/>
      </c>
      <c r="P41" s="25">
        <f>IFERROR(IF(INDEX('ESG'!$L$10:$L$16,MATCH($F41,'ESG'!$B$10:$B$16,0))="","Cell will autofill based on response",INDEX('ESG'!$L$10:$L$16,MATCH($F41,'ESG'!$B$10:$B$16,0))),"N/A")</f>
        <v/>
      </c>
      <c r="Q41" s="25">
        <f>IFERROR(IF(INDEX('CIOG'!$L$10:$L$13,MATCH($F41,'CIOG'!$B$10:$B$13,0))="","Cell will autofill based on response",INDEX('CIOG'!$L$10:$L$13,MATCH($F41,'CIOG'!$B$10:$B$13,0))),"N/A")</f>
        <v/>
      </c>
      <c r="R41" s="25">
        <f>IFERROR(IF(INDEX('MRE'!$L$10:$L$11,MATCH($F41,'MRE'!$B$10:$B$11,0))="","Cell will autofill based on response",INDEX('MRE'!$L$10:$L$11,MATCH($F41,'MRE'!$B$10:$B$11,0))),"N/A")</f>
        <v/>
      </c>
      <c r="T41" s="26">
        <f>COUNTIF($H41:$R41,"Cell will autofill based on response")</f>
        <v/>
      </c>
      <c r="U41" s="26">
        <f>COUNTIF($H41:$R41,"Not yet started")</f>
        <v/>
      </c>
      <c r="V41" s="26">
        <f>COUNTIF($H41:$R41,"Not met")</f>
        <v/>
      </c>
      <c r="W41" s="26">
        <f>COUNTIF($H41:$R41,"Partially met")</f>
        <v/>
      </c>
      <c r="X41" s="26">
        <f>COUNTIF($H41:$R41,"Met or exceeded")</f>
        <v/>
      </c>
      <c r="Y41" s="26">
        <f>3*X41+2*W41+V41</f>
        <v/>
      </c>
      <c r="Z41" s="26">
        <f>X41+W41+V41+U41</f>
        <v/>
      </c>
      <c r="AA41" s="27">
        <f>IF(Z41&gt;0,Y41/Z41,"No valid responses to date")</f>
        <v/>
      </c>
      <c r="AB41" s="26">
        <f>IF(ISNUMBER(AA41),INDEX(Lists!$G$2:$G$5,MATCH(ROUND(AA41,0),Lists!$H$2:$H$5,0)),"")</f>
        <v/>
      </c>
      <c r="AC41" s="28">
        <f>IF(Z41&gt;0,X41/Z41,"")</f>
        <v/>
      </c>
      <c r="AD41" s="28">
        <f>IF(Z41&gt;0,(X41+W41)/Z41,"")</f>
        <v/>
      </c>
      <c r="AE41" s="26">
        <f>IF(Z41=0,"",IF(AC41&gt;0.75,"Met or exceeded",IF(AD41&gt;=0.5,"Partially met","Not met")))</f>
        <v/>
      </c>
    </row>
    <row r="42">
      <c r="A42">
        <f>F42&amp;"|"&amp;G42</f>
        <v/>
      </c>
      <c r="B42" s="29" t="inlineStr"/>
      <c r="C42" s="8" t="inlineStr"/>
      <c r="D42" s="8" t="inlineStr"/>
      <c r="E42" s="8" t="inlineStr"/>
      <c r="F42" s="8" t="inlineStr">
        <is>
          <t>TR1(b)</t>
        </is>
      </c>
      <c r="G42" s="8" t="inlineStr">
        <is>
          <t>OPTION 1:  Target-level reporting</t>
        </is>
      </c>
      <c r="H42" s="25">
        <f>IFERROR(IF(INDEX('Faculties'!$M$10:$M$29,MATCH($F42,'Faculties'!$B$10:$B$29,0))="","Cell will autofill based on response",INDEX('Faculties'!$M$10:$M$29,MATCH($F42,'Faculties'!$B$10:$B$29,0))),"N/A")</f>
        <v/>
      </c>
      <c r="I42" s="25">
        <f>IFERROR(IF(INDEX('Faculties'!$M$37:$M$56,MATCH($F42,'Faculties'!$B$37:$B$56,0))="","Cell will autofill based on response",INDEX('Faculties'!$M$37:$M$56,MATCH($F42,'Faculties'!$B$37:$B$56,0))),"N/A")</f>
        <v/>
      </c>
      <c r="J42" s="25">
        <f>IFERROR(IF(INDEX('Faculties'!$M$64:$M$83,MATCH($F42,'Faculties'!$B$64:$B$83,0))="","Cell will autofill based on response",INDEX('Faculties'!$M$64:$M$83,MATCH($F42,'Faculties'!$B$64:$B$83,0))),"N/A")</f>
        <v/>
      </c>
      <c r="K42" s="25">
        <f>IFERROR(IF(INDEX('Faculties'!$M$91:$M$110,MATCH($F42,'Faculties'!$B$91:$B$110,0))="","Cell will autofill based on response",INDEX('Faculties'!$M$91:$M$110,MATCH($F42,'Faculties'!$B$91:$B$110,0))),"N/A")</f>
        <v/>
      </c>
      <c r="L42" s="25">
        <f>IFERROR(IF(INDEX('CI&amp;S'!$M$10:$M$14,MATCH($F42,'CI&amp;S'!$B$10:$B$14,0))="","Cell will autofill based on response",INDEX('CI&amp;S'!$M$10:$M$14,MATCH($F42,'CI&amp;S'!$B$10:$B$14,0))),"N/A")</f>
        <v/>
      </c>
      <c r="M42" s="25">
        <f>IFERROR(IF(INDEX('CI&amp;S'!$M$22:$M$38,MATCH($F42,'CI&amp;S'!$B$22:$B$38,0))="","Cell will autofill based on response",INDEX('CI&amp;S'!$M$22:$M$38,MATCH($F42,'CI&amp;S'!$B$22:$B$38,0))),"N/A")</f>
        <v/>
      </c>
      <c r="N42" s="25">
        <f>IFERROR(IF(INDEX('CFOG'!$M$10:$M$15,MATCH($F42,'CFOG'!$B$10:$B$15,0))="","Cell will autofill based on response",INDEX('CFOG'!$M$10:$M$15,MATCH($F42,'CFOG'!$B$10:$B$15,0))),"N/A")</f>
        <v/>
      </c>
      <c r="O42" s="25">
        <f>IFERROR(IF(INDEX('CFOG'!$M$23:$M$23,MATCH($F42,'CFOG'!$B$23:$B$23,0))="","Cell will autofill based on response",INDEX('CFOG'!$M$23:$M$23,MATCH($F42,'CFOG'!$B$23:$B$23,0))),"N/A")</f>
        <v/>
      </c>
      <c r="P42" s="25">
        <f>IFERROR(IF(INDEX('ESG'!$M$10:$M$16,MATCH($F42,'ESG'!$B$10:$B$16,0))="","Cell will autofill based on response",INDEX('ESG'!$M$10:$M$16,MATCH($F42,'ESG'!$B$10:$B$16,0))),"N/A")</f>
        <v/>
      </c>
      <c r="Q42" s="25">
        <f>IFERROR(IF(INDEX('CIOG'!$M$10:$M$13,MATCH($F42,'CIOG'!$B$10:$B$13,0))="","Cell will autofill based on response",INDEX('CIOG'!$M$10:$M$13,MATCH($F42,'CIOG'!$B$10:$B$13,0))),"N/A")</f>
        <v/>
      </c>
      <c r="R42" s="25">
        <f>IFERROR(IF(INDEX('MRE'!$M$10:$M$11,MATCH($F42,'MRE'!$B$10:$B$11,0))="","Cell will autofill based on response",INDEX('MRE'!$M$10:$M$11,MATCH($F42,'MRE'!$B$10:$B$11,0))),"N/A")</f>
        <v/>
      </c>
    </row>
    <row r="43">
      <c r="A43">
        <f>F43&amp;"|"&amp;G43</f>
        <v/>
      </c>
      <c r="B43" s="29" t="inlineStr"/>
      <c r="C43" s="8" t="inlineStr"/>
      <c r="D43" s="8" t="inlineStr"/>
      <c r="E43" s="8" t="inlineStr"/>
      <c r="F43" s="8" t="inlineStr">
        <is>
          <t>TR1(b)</t>
        </is>
      </c>
      <c r="G43" s="8" t="inlineStr">
        <is>
          <t>OPTION 2:  Indicator level reporting</t>
        </is>
      </c>
      <c r="H43" s="25">
        <f>IFERROR(IF(INDEX('Faculties'!$N$10:$N$29,MATCH($F43,'Faculties'!$B$10:$B$29,0))="","Cell will autofill based on response",INDEX('Faculties'!$N$10:$N$29,MATCH($F43,'Faculties'!$B$10:$B$29,0))),"N/A")</f>
        <v/>
      </c>
      <c r="I43" s="25">
        <f>IFERROR(IF(INDEX('Faculties'!$N$37:$N$56,MATCH($F43,'Faculties'!$B$37:$B$56,0))="","Cell will autofill based on response",INDEX('Faculties'!$N$37:$N$56,MATCH($F43,'Faculties'!$B$37:$B$56,0))),"N/A")</f>
        <v/>
      </c>
      <c r="J43" s="25">
        <f>IFERROR(IF(INDEX('Faculties'!$N$64:$N$83,MATCH($F43,'Faculties'!$B$64:$B$83,0))="","Cell will autofill based on response",INDEX('Faculties'!$N$64:$N$83,MATCH($F43,'Faculties'!$B$64:$B$83,0))),"N/A")</f>
        <v/>
      </c>
      <c r="K43" s="25">
        <f>IFERROR(IF(INDEX('Faculties'!$N$91:$N$110,MATCH($F43,'Faculties'!$B$91:$B$110,0))="","Cell will autofill based on response",INDEX('Faculties'!$N$91:$N$110,MATCH($F43,'Faculties'!$B$91:$B$110,0))),"N/A")</f>
        <v/>
      </c>
      <c r="L43" s="25">
        <f>IFERROR(IF(INDEX('CI&amp;S'!$N$10:$N$14,MATCH($F43,'CI&amp;S'!$B$10:$B$14,0))="","Cell will autofill based on response",INDEX('CI&amp;S'!$N$10:$N$14,MATCH($F43,'CI&amp;S'!$B$10:$B$14,0))),"N/A")</f>
        <v/>
      </c>
      <c r="M43" s="25">
        <f>IFERROR(IF(INDEX('CI&amp;S'!$N$22:$N$38,MATCH($F43,'CI&amp;S'!$B$22:$B$38,0))="","Cell will autofill based on response",INDEX('CI&amp;S'!$N$22:$N$38,MATCH($F43,'CI&amp;S'!$B$22:$B$38,0))),"N/A")</f>
        <v/>
      </c>
      <c r="N43" s="25">
        <f>IFERROR(IF(INDEX('CFOG'!$N$10:$N$15,MATCH($F43,'CFOG'!$B$10:$B$15,0))="","Cell will autofill based on response",INDEX('CFOG'!$N$10:$N$15,MATCH($F43,'CFOG'!$B$10:$B$15,0))),"N/A")</f>
        <v/>
      </c>
      <c r="O43" s="25">
        <f>IFERROR(IF(INDEX('CFOG'!$N$23:$N$23,MATCH($F43,'CFOG'!$B$23:$B$23,0))="","Cell will autofill based on response",INDEX('CFOG'!$N$23:$N$23,MATCH($F43,'CFOG'!$B$23:$B$23,0))),"N/A")</f>
        <v/>
      </c>
      <c r="P43" s="25">
        <f>IFERROR(IF(INDEX('ESG'!$N$10:$N$16,MATCH($F43,'ESG'!$B$10:$B$16,0))="","Cell will autofill based on response",INDEX('ESG'!$N$10:$N$16,MATCH($F43,'ESG'!$B$10:$B$16,0))),"N/A")</f>
        <v/>
      </c>
      <c r="Q43" s="25">
        <f>IFERROR(IF(INDEX('CIOG'!$N$10:$N$13,MATCH($F43,'CIOG'!$B$10:$B$13,0))="","Cell will autofill based on response",INDEX('CIOG'!$N$10:$N$13,MATCH($F43,'CIOG'!$B$10:$B$13,0))),"N/A")</f>
        <v/>
      </c>
      <c r="R43" s="25">
        <f>IFERROR(IF(INDEX('MRE'!$N$10:$N$11,MATCH($F43,'MRE'!$B$10:$B$11,0))="","Cell will autofill based on response",INDEX('MRE'!$N$10:$N$11,MATCH($F43,'MRE'!$B$10:$B$11,0))),"N/A")</f>
        <v/>
      </c>
    </row>
    <row r="44">
      <c r="A44">
        <f>F44&amp;"|"&amp;G44</f>
        <v/>
      </c>
      <c r="B44" s="29" t="inlineStr"/>
      <c r="C44" s="8" t="inlineStr"/>
      <c r="D44" s="8" t="inlineStr"/>
      <c r="E44" s="8" t="inlineStr"/>
      <c r="F44" s="8" t="inlineStr">
        <is>
          <t>TR1(b)</t>
        </is>
      </c>
      <c r="G44" s="8" t="inlineStr">
        <is>
          <t>Supporting information/comments</t>
        </is>
      </c>
      <c r="H44" s="25">
        <f>IFERROR(IF(INDEX('Faculties'!$O$10:$O$29,MATCH($F44,'Faculties'!$B$10:$B$29,0))="","Cell will autofill based on response",INDEX('Faculties'!$O$10:$O$29,MATCH($F44,'Faculties'!$B$10:$B$29,0))),"N/A")</f>
        <v/>
      </c>
      <c r="I44" s="25">
        <f>IFERROR(IF(INDEX('Faculties'!$O$37:$O$56,MATCH($F44,'Faculties'!$B$37:$B$56,0))="","Cell will autofill based on response",INDEX('Faculties'!$O$37:$O$56,MATCH($F44,'Faculties'!$B$37:$B$56,0))),"N/A")</f>
        <v/>
      </c>
      <c r="J44" s="25">
        <f>IFERROR(IF(INDEX('Faculties'!$O$64:$O$83,MATCH($F44,'Faculties'!$B$64:$B$83,0))="","Cell will autofill based on response",INDEX('Faculties'!$O$64:$O$83,MATCH($F44,'Faculties'!$B$64:$B$83,0))),"N/A")</f>
        <v/>
      </c>
      <c r="K44" s="25">
        <f>IFERROR(IF(INDEX('Faculties'!$O$91:$O$110,MATCH($F44,'Faculties'!$B$91:$B$110,0))="","Cell will autofill based on response",INDEX('Faculties'!$O$91:$O$110,MATCH($F44,'Faculties'!$B$91:$B$110,0))),"N/A")</f>
        <v/>
      </c>
      <c r="L44" s="25">
        <f>IFERROR(IF(INDEX('CI&amp;S'!$O$10:$O$14,MATCH($F44,'CI&amp;S'!$B$10:$B$14,0))="","Cell will autofill based on response",INDEX('CI&amp;S'!$O$10:$O$14,MATCH($F44,'CI&amp;S'!$B$10:$B$14,0))),"N/A")</f>
        <v/>
      </c>
      <c r="M44" s="25">
        <f>IFERROR(IF(INDEX('CI&amp;S'!$O$22:$O$38,MATCH($F44,'CI&amp;S'!$B$22:$B$38,0))="","Cell will autofill based on response",INDEX('CI&amp;S'!$O$22:$O$38,MATCH($F44,'CI&amp;S'!$B$22:$B$38,0))),"N/A")</f>
        <v/>
      </c>
      <c r="N44" s="25">
        <f>IFERROR(IF(INDEX('CFOG'!$O$10:$O$15,MATCH($F44,'CFOG'!$B$10:$B$15,0))="","Cell will autofill based on response",INDEX('CFOG'!$O$10:$O$15,MATCH($F44,'CFOG'!$B$10:$B$15,0))),"N/A")</f>
        <v/>
      </c>
      <c r="O44" s="25">
        <f>IFERROR(IF(INDEX('CFOG'!$O$23:$O$23,MATCH($F44,'CFOG'!$B$23:$B$23,0))="","Cell will autofill based on response",INDEX('CFOG'!$O$23:$O$23,MATCH($F44,'CFOG'!$B$23:$B$23,0))),"N/A")</f>
        <v/>
      </c>
      <c r="P44" s="25">
        <f>IFERROR(IF(INDEX('ESG'!$O$10:$O$16,MATCH($F44,'ESG'!$B$10:$B$16,0))="","Cell will autofill based on response",INDEX('ESG'!$O$10:$O$16,MATCH($F44,'ESG'!$B$10:$B$16,0))),"N/A")</f>
        <v/>
      </c>
      <c r="Q44" s="25">
        <f>IFERROR(IF(INDEX('CIOG'!$O$10:$O$13,MATCH($F44,'CIOG'!$B$10:$B$13,0))="","Cell will autofill based on response",INDEX('CIOG'!$O$10:$O$13,MATCH($F44,'CIOG'!$B$10:$B$13,0))),"N/A")</f>
        <v/>
      </c>
      <c r="R44" s="25">
        <f>IFERROR(IF(INDEX('MRE'!$O$10:$O$11,MATCH($F44,'MRE'!$B$10:$B$11,0))="","Cell will autofill based on response",INDEX('MRE'!$O$10:$O$11,MATCH($F44,'MRE'!$B$10:$B$11,0))),"N/A")</f>
        <v/>
      </c>
    </row>
    <row r="45">
      <c r="A45">
        <f>F45&amp;"|"&amp;G45</f>
        <v/>
      </c>
      <c r="B45" s="29" t="inlineStr"/>
      <c r="C45" s="8" t="inlineStr"/>
      <c r="D45" s="8" t="inlineStr"/>
      <c r="E45" s="8" t="inlineStr"/>
      <c r="F45" s="8" t="inlineStr">
        <is>
          <t>TR1(b)</t>
        </is>
      </c>
      <c r="G45" s="8" t="inlineStr">
        <is>
          <t>Data source and limitations</t>
        </is>
      </c>
      <c r="H45" s="25">
        <f>IFERROR(IF(INDEX('Faculties'!$P$10:$P$29,MATCH($F45,'Faculties'!$B$10:$B$29,0))="","Cell will autofill based on response",INDEX('Faculties'!$P$10:$P$29,MATCH($F45,'Faculties'!$B$10:$B$29,0))),"N/A")</f>
        <v/>
      </c>
      <c r="I45" s="25">
        <f>IFERROR(IF(INDEX('Faculties'!$P$37:$P$56,MATCH($F45,'Faculties'!$B$37:$B$56,0))="","Cell will autofill based on response",INDEX('Faculties'!$P$37:$P$56,MATCH($F45,'Faculties'!$B$37:$B$56,0))),"N/A")</f>
        <v/>
      </c>
      <c r="J45" s="25">
        <f>IFERROR(IF(INDEX('Faculties'!$P$64:$P$83,MATCH($F45,'Faculties'!$B$64:$B$83,0))="","Cell will autofill based on response",INDEX('Faculties'!$P$64:$P$83,MATCH($F45,'Faculties'!$B$64:$B$83,0))),"N/A")</f>
        <v/>
      </c>
      <c r="K45" s="25">
        <f>IFERROR(IF(INDEX('Faculties'!$P$91:$P$110,MATCH($F45,'Faculties'!$B$91:$B$110,0))="","Cell will autofill based on response",INDEX('Faculties'!$P$91:$P$110,MATCH($F45,'Faculties'!$B$91:$B$110,0))),"N/A")</f>
        <v/>
      </c>
      <c r="L45" s="25">
        <f>IFERROR(IF(INDEX('CI&amp;S'!$P$10:$P$14,MATCH($F45,'CI&amp;S'!$B$10:$B$14,0))="","Cell will autofill based on response",INDEX('CI&amp;S'!$P$10:$P$14,MATCH($F45,'CI&amp;S'!$B$10:$B$14,0))),"N/A")</f>
        <v/>
      </c>
      <c r="M45" s="25">
        <f>IFERROR(IF(INDEX('CI&amp;S'!$P$22:$P$38,MATCH($F45,'CI&amp;S'!$B$22:$B$38,0))="","Cell will autofill based on response",INDEX('CI&amp;S'!$P$22:$P$38,MATCH($F45,'CI&amp;S'!$B$22:$B$38,0))),"N/A")</f>
        <v/>
      </c>
      <c r="N45" s="25">
        <f>IFERROR(IF(INDEX('CFOG'!$P$10:$P$15,MATCH($F45,'CFOG'!$B$10:$B$15,0))="","Cell will autofill based on response",INDEX('CFOG'!$P$10:$P$15,MATCH($F45,'CFOG'!$B$10:$B$15,0))),"N/A")</f>
        <v/>
      </c>
      <c r="O45" s="25">
        <f>IFERROR(IF(INDEX('CFOG'!$P$23:$P$23,MATCH($F45,'CFOG'!$B$23:$B$23,0))="","Cell will autofill based on response",INDEX('CFOG'!$P$23:$P$23,MATCH($F45,'CFOG'!$B$23:$B$23,0))),"N/A")</f>
        <v/>
      </c>
      <c r="P45" s="25">
        <f>IFERROR(IF(INDEX('ESG'!$P$10:$P$16,MATCH($F45,'ESG'!$B$10:$B$16,0))="","Cell will autofill based on response",INDEX('ESG'!$P$10:$P$16,MATCH($F45,'ESG'!$B$10:$B$16,0))),"N/A")</f>
        <v/>
      </c>
      <c r="Q45" s="25">
        <f>IFERROR(IF(INDEX('CIOG'!$P$10:$P$13,MATCH($F45,'CIOG'!$B$10:$B$13,0))="","Cell will autofill based on response",INDEX('CIOG'!$P$10:$P$13,MATCH($F45,'CIOG'!$B$10:$B$13,0))),"N/A")</f>
        <v/>
      </c>
      <c r="R45" s="25">
        <f>IFERROR(IF(INDEX('MRE'!$P$10:$P$11,MATCH($F45,'MRE'!$B$10:$B$11,0))="","Cell will autofill based on response",INDEX('MRE'!$P$10:$P$11,MATCH($F45,'MRE'!$B$10:$B$11,0))),"N/A")</f>
        <v/>
      </c>
    </row>
    <row r="46">
      <c r="A46">
        <f>F46&amp;"|"&amp;G46</f>
        <v/>
      </c>
      <c r="B46" s="29" t="inlineStr"/>
      <c r="C46" s="8" t="inlineStr"/>
      <c r="D46" s="8" t="inlineStr"/>
      <c r="E46" s="8" t="inlineStr"/>
      <c r="F46" s="8" t="inlineStr">
        <is>
          <t>TR1(b)</t>
        </is>
      </c>
      <c r="G46" s="8" t="inlineStr">
        <is>
          <t>Data owner confirms</t>
        </is>
      </c>
      <c r="H46" s="25">
        <f>IFERROR(IF(INDEX('Faculties'!$Q$10:$Q$29,MATCH($F46,'Faculties'!$B$10:$B$29,0))="","Cell will autofill based on response",INDEX('Faculties'!$Q$10:$Q$29,MATCH($F46,'Faculties'!$B$10:$B$29,0))),"N/A")</f>
        <v/>
      </c>
      <c r="I46" s="25">
        <f>IFERROR(IF(INDEX('Faculties'!$Q$37:$Q$56,MATCH($F46,'Faculties'!$B$37:$B$56,0))="","Cell will autofill based on response",INDEX('Faculties'!$Q$37:$Q$56,MATCH($F46,'Faculties'!$B$37:$B$56,0))),"N/A")</f>
        <v/>
      </c>
      <c r="J46" s="25">
        <f>IFERROR(IF(INDEX('Faculties'!$Q$64:$Q$83,MATCH($F46,'Faculties'!$B$64:$B$83,0))="","Cell will autofill based on response",INDEX('Faculties'!$Q$64:$Q$83,MATCH($F46,'Faculties'!$B$64:$B$83,0))),"N/A")</f>
        <v/>
      </c>
      <c r="K46" s="25">
        <f>IFERROR(IF(INDEX('Faculties'!$Q$91:$Q$110,MATCH($F46,'Faculties'!$B$91:$B$110,0))="","Cell will autofill based on response",INDEX('Faculties'!$Q$91:$Q$110,MATCH($F46,'Faculties'!$B$91:$B$110,0))),"N/A")</f>
        <v/>
      </c>
      <c r="L46" s="25">
        <f>IFERROR(IF(INDEX('CI&amp;S'!$Q$10:$Q$14,MATCH($F46,'CI&amp;S'!$B$10:$B$14,0))="","Cell will autofill based on response",INDEX('CI&amp;S'!$Q$10:$Q$14,MATCH($F46,'CI&amp;S'!$B$10:$B$14,0))),"N/A")</f>
        <v/>
      </c>
      <c r="M46" s="25">
        <f>IFERROR(IF(INDEX('CI&amp;S'!$Q$22:$Q$38,MATCH($F46,'CI&amp;S'!$B$22:$B$38,0))="","Cell will autofill based on response",INDEX('CI&amp;S'!$Q$22:$Q$38,MATCH($F46,'CI&amp;S'!$B$22:$B$38,0))),"N/A")</f>
        <v/>
      </c>
      <c r="N46" s="25">
        <f>IFERROR(IF(INDEX('CFOG'!$Q$10:$Q$15,MATCH($F46,'CFOG'!$B$10:$B$15,0))="","Cell will autofill based on response",INDEX('CFOG'!$Q$10:$Q$15,MATCH($F46,'CFOG'!$B$10:$B$15,0))),"N/A")</f>
        <v/>
      </c>
      <c r="O46" s="25">
        <f>IFERROR(IF(INDEX('CFOG'!$Q$23:$Q$23,MATCH($F46,'CFOG'!$B$23:$B$23,0))="","Cell will autofill based on response",INDEX('CFOG'!$Q$23:$Q$23,MATCH($F46,'CFOG'!$B$23:$B$23,0))),"N/A")</f>
        <v/>
      </c>
      <c r="P46" s="25">
        <f>IFERROR(IF(INDEX('ESG'!$Q$10:$Q$16,MATCH($F46,'ESG'!$B$10:$B$16,0))="","Cell will autofill based on response",INDEX('ESG'!$Q$10:$Q$16,MATCH($F46,'ESG'!$B$10:$B$16,0))),"N/A")</f>
        <v/>
      </c>
      <c r="Q46" s="25">
        <f>IFERROR(IF(INDEX('CIOG'!$Q$10:$Q$13,MATCH($F46,'CIOG'!$B$10:$B$13,0))="","Cell will autofill based on response",INDEX('CIOG'!$Q$10:$Q$13,MATCH($F46,'CIOG'!$B$10:$B$13,0))),"N/A")</f>
        <v/>
      </c>
      <c r="R46" s="25">
        <f>IFERROR(IF(INDEX('MRE'!$Q$10:$Q$11,MATCH($F46,'MRE'!$B$10:$B$11,0))="","Cell will autofill based on response",INDEX('MRE'!$Q$10:$Q$11,MATCH($F46,'MRE'!$B$10:$B$11,0))),"N/A")</f>
        <v/>
      </c>
    </row>
    <row r="47">
      <c r="A47">
        <f>F47&amp;"|"&amp;G47</f>
        <v/>
      </c>
      <c r="B47" s="7" t="inlineStr">
        <is>
          <t>TR1(c)</t>
        </is>
      </c>
      <c r="C47" s="12" t="inlineStr">
        <is>
          <t>Transformational research</t>
        </is>
      </c>
      <c r="D47" s="12" t="inlineStr">
        <is>
          <t>Expert assessment of the quality, relevance and continuity of these collaborations</t>
        </is>
      </c>
      <c r="E47" s="12"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12" t="inlineStr">
        <is>
          <t>TR1(c)</t>
        </is>
      </c>
      <c r="G47" s="12" t="inlineStr">
        <is>
          <t>Confirm end-2026 target status</t>
        </is>
      </c>
      <c r="H47" s="25">
        <f>IFERROR(IF(INDEX('Faculties'!$L$10:$L$29,MATCH($F47,'Faculties'!$B$10:$B$29,0))="","Cell will autofill based on response",INDEX('Faculties'!$L$10:$L$29,MATCH($F47,'Faculties'!$B$10:$B$29,0))),"N/A")</f>
        <v/>
      </c>
      <c r="I47" s="25">
        <f>IFERROR(IF(INDEX('Faculties'!$L$37:$L$56,MATCH($F47,'Faculties'!$B$37:$B$56,0))="","Cell will autofill based on response",INDEX('Faculties'!$L$37:$L$56,MATCH($F47,'Faculties'!$B$37:$B$56,0))),"N/A")</f>
        <v/>
      </c>
      <c r="J47" s="25">
        <f>IFERROR(IF(INDEX('Faculties'!$L$64:$L$83,MATCH($F47,'Faculties'!$B$64:$B$83,0))="","Cell will autofill based on response",INDEX('Faculties'!$L$64:$L$83,MATCH($F47,'Faculties'!$B$64:$B$83,0))),"N/A")</f>
        <v/>
      </c>
      <c r="K47" s="25">
        <f>IFERROR(IF(INDEX('Faculties'!$L$91:$L$110,MATCH($F47,'Faculties'!$B$91:$B$110,0))="","Cell will autofill based on response",INDEX('Faculties'!$L$91:$L$110,MATCH($F47,'Faculties'!$B$91:$B$110,0))),"N/A")</f>
        <v/>
      </c>
      <c r="L47" s="25">
        <f>IFERROR(IF(INDEX('CI&amp;S'!$L$10:$L$14,MATCH($F47,'CI&amp;S'!$B$10:$B$14,0))="","Cell will autofill based on response",INDEX('CI&amp;S'!$L$10:$L$14,MATCH($F47,'CI&amp;S'!$B$10:$B$14,0))),"N/A")</f>
        <v/>
      </c>
      <c r="M47" s="25">
        <f>IFERROR(IF(INDEX('CI&amp;S'!$L$22:$L$38,MATCH($F47,'CI&amp;S'!$B$22:$B$38,0))="","Cell will autofill based on response",INDEX('CI&amp;S'!$L$22:$L$38,MATCH($F47,'CI&amp;S'!$B$22:$B$38,0))),"N/A")</f>
        <v/>
      </c>
      <c r="N47" s="25">
        <f>IFERROR(IF(INDEX('CFOG'!$L$10:$L$15,MATCH($F47,'CFOG'!$B$10:$B$15,0))="","Cell will autofill based on response",INDEX('CFOG'!$L$10:$L$15,MATCH($F47,'CFOG'!$B$10:$B$15,0))),"N/A")</f>
        <v/>
      </c>
      <c r="O47" s="25">
        <f>IFERROR(IF(INDEX('CFOG'!$L$23:$L$23,MATCH($F47,'CFOG'!$B$23:$B$23,0))="","Cell will autofill based on response",INDEX('CFOG'!$L$23:$L$23,MATCH($F47,'CFOG'!$B$23:$B$23,0))),"N/A")</f>
        <v/>
      </c>
      <c r="P47" s="25">
        <f>IFERROR(IF(INDEX('ESG'!$L$10:$L$16,MATCH($F47,'ESG'!$B$10:$B$16,0))="","Cell will autofill based on response",INDEX('ESG'!$L$10:$L$16,MATCH($F47,'ESG'!$B$10:$B$16,0))),"N/A")</f>
        <v/>
      </c>
      <c r="Q47" s="25">
        <f>IFERROR(IF(INDEX('CIOG'!$L$10:$L$13,MATCH($F47,'CIOG'!$B$10:$B$13,0))="","Cell will autofill based on response",INDEX('CIOG'!$L$10:$L$13,MATCH($F47,'CIOG'!$B$10:$B$13,0))),"N/A")</f>
        <v/>
      </c>
      <c r="R47" s="25">
        <f>IFERROR(IF(INDEX('MRE'!$L$10:$L$11,MATCH($F47,'MRE'!$B$10:$B$11,0))="","Cell will autofill based on response",INDEX('MRE'!$L$10:$L$11,MATCH($F47,'MRE'!$B$10:$B$11,0))),"N/A")</f>
        <v/>
      </c>
      <c r="T47" s="26">
        <f>COUNTIF($H47:$R47,"Cell will autofill based on response")</f>
        <v/>
      </c>
      <c r="U47" s="26">
        <f>COUNTIF($H47:$R47,"Not yet started")</f>
        <v/>
      </c>
      <c r="V47" s="26">
        <f>COUNTIF($H47:$R47,"Not met")</f>
        <v/>
      </c>
      <c r="W47" s="26">
        <f>COUNTIF($H47:$R47,"Partially met")</f>
        <v/>
      </c>
      <c r="X47" s="26">
        <f>COUNTIF($H47:$R47,"Met or exceeded")</f>
        <v/>
      </c>
      <c r="Y47" s="26">
        <f>3*X47+2*W47+V47</f>
        <v/>
      </c>
      <c r="Z47" s="26">
        <f>X47+W47+V47+U47</f>
        <v/>
      </c>
      <c r="AA47" s="27">
        <f>IF(Z47&gt;0,Y47/Z47,"No valid responses to date")</f>
        <v/>
      </c>
      <c r="AB47" s="26">
        <f>IF(ISNUMBER(AA47),INDEX(Lists!$G$2:$G$5,MATCH(ROUND(AA47,0),Lists!$H$2:$H$5,0)),"")</f>
        <v/>
      </c>
      <c r="AC47" s="28">
        <f>IF(Z47&gt;0,X47/Z47,"")</f>
        <v/>
      </c>
      <c r="AD47" s="28">
        <f>IF(Z47&gt;0,(X47+W47)/Z47,"")</f>
        <v/>
      </c>
      <c r="AE47" s="26">
        <f>IF(Z47=0,"",IF(AC47&gt;0.75,"Met or exceeded",IF(AD47&gt;=0.5,"Partially met","Not met")))</f>
        <v/>
      </c>
    </row>
    <row r="48">
      <c r="A48">
        <f>F48&amp;"|"&amp;G48</f>
        <v/>
      </c>
      <c r="B48" s="29" t="inlineStr"/>
      <c r="C48" s="8" t="inlineStr"/>
      <c r="D48" s="8" t="inlineStr"/>
      <c r="E48" s="8" t="inlineStr"/>
      <c r="F48" s="8" t="inlineStr">
        <is>
          <t>TR1(c)</t>
        </is>
      </c>
      <c r="G48" s="8" t="inlineStr">
        <is>
          <t>OPTION 1:  Target-level reporting</t>
        </is>
      </c>
      <c r="H48" s="25">
        <f>IFERROR(IF(INDEX('Faculties'!$M$10:$M$29,MATCH($F48,'Faculties'!$B$10:$B$29,0))="","Cell will autofill based on response",INDEX('Faculties'!$M$10:$M$29,MATCH($F48,'Faculties'!$B$10:$B$29,0))),"N/A")</f>
        <v/>
      </c>
      <c r="I48" s="25">
        <f>IFERROR(IF(INDEX('Faculties'!$M$37:$M$56,MATCH($F48,'Faculties'!$B$37:$B$56,0))="","Cell will autofill based on response",INDEX('Faculties'!$M$37:$M$56,MATCH($F48,'Faculties'!$B$37:$B$56,0))),"N/A")</f>
        <v/>
      </c>
      <c r="J48" s="25">
        <f>IFERROR(IF(INDEX('Faculties'!$M$64:$M$83,MATCH($F48,'Faculties'!$B$64:$B$83,0))="","Cell will autofill based on response",INDEX('Faculties'!$M$64:$M$83,MATCH($F48,'Faculties'!$B$64:$B$83,0))),"N/A")</f>
        <v/>
      </c>
      <c r="K48" s="25">
        <f>IFERROR(IF(INDEX('Faculties'!$M$91:$M$110,MATCH($F48,'Faculties'!$B$91:$B$110,0))="","Cell will autofill based on response",INDEX('Faculties'!$M$91:$M$110,MATCH($F48,'Faculties'!$B$91:$B$110,0))),"N/A")</f>
        <v/>
      </c>
      <c r="L48" s="25">
        <f>IFERROR(IF(INDEX('CI&amp;S'!$M$10:$M$14,MATCH($F48,'CI&amp;S'!$B$10:$B$14,0))="","Cell will autofill based on response",INDEX('CI&amp;S'!$M$10:$M$14,MATCH($F48,'CI&amp;S'!$B$10:$B$14,0))),"N/A")</f>
        <v/>
      </c>
      <c r="M48" s="25">
        <f>IFERROR(IF(INDEX('CI&amp;S'!$M$22:$M$38,MATCH($F48,'CI&amp;S'!$B$22:$B$38,0))="","Cell will autofill based on response",INDEX('CI&amp;S'!$M$22:$M$38,MATCH($F48,'CI&amp;S'!$B$22:$B$38,0))),"N/A")</f>
        <v/>
      </c>
      <c r="N48" s="25">
        <f>IFERROR(IF(INDEX('CFOG'!$M$10:$M$15,MATCH($F48,'CFOG'!$B$10:$B$15,0))="","Cell will autofill based on response",INDEX('CFOG'!$M$10:$M$15,MATCH($F48,'CFOG'!$B$10:$B$15,0))),"N/A")</f>
        <v/>
      </c>
      <c r="O48" s="25">
        <f>IFERROR(IF(INDEX('CFOG'!$M$23:$M$23,MATCH($F48,'CFOG'!$B$23:$B$23,0))="","Cell will autofill based on response",INDEX('CFOG'!$M$23:$M$23,MATCH($F48,'CFOG'!$B$23:$B$23,0))),"N/A")</f>
        <v/>
      </c>
      <c r="P48" s="25">
        <f>IFERROR(IF(INDEX('ESG'!$M$10:$M$16,MATCH($F48,'ESG'!$B$10:$B$16,0))="","Cell will autofill based on response",INDEX('ESG'!$M$10:$M$16,MATCH($F48,'ESG'!$B$10:$B$16,0))),"N/A")</f>
        <v/>
      </c>
      <c r="Q48" s="25">
        <f>IFERROR(IF(INDEX('CIOG'!$M$10:$M$13,MATCH($F48,'CIOG'!$B$10:$B$13,0))="","Cell will autofill based on response",INDEX('CIOG'!$M$10:$M$13,MATCH($F48,'CIOG'!$B$10:$B$13,0))),"N/A")</f>
        <v/>
      </c>
      <c r="R48" s="25">
        <f>IFERROR(IF(INDEX('MRE'!$M$10:$M$11,MATCH($F48,'MRE'!$B$10:$B$11,0))="","Cell will autofill based on response",INDEX('MRE'!$M$10:$M$11,MATCH($F48,'MRE'!$B$10:$B$11,0))),"N/A")</f>
        <v/>
      </c>
    </row>
    <row r="49">
      <c r="A49">
        <f>F49&amp;"|"&amp;G49</f>
        <v/>
      </c>
      <c r="B49" s="29" t="inlineStr"/>
      <c r="C49" s="8" t="inlineStr"/>
      <c r="D49" s="8" t="inlineStr"/>
      <c r="E49" s="8" t="inlineStr"/>
      <c r="F49" s="8" t="inlineStr">
        <is>
          <t>TR1(c)</t>
        </is>
      </c>
      <c r="G49" s="8" t="inlineStr">
        <is>
          <t>OPTION 2:  Indicator level reporting</t>
        </is>
      </c>
      <c r="H49" s="25">
        <f>IFERROR(IF(INDEX('Faculties'!$N$10:$N$29,MATCH($F49,'Faculties'!$B$10:$B$29,0))="","Cell will autofill based on response",INDEX('Faculties'!$N$10:$N$29,MATCH($F49,'Faculties'!$B$10:$B$29,0))),"N/A")</f>
        <v/>
      </c>
      <c r="I49" s="25">
        <f>IFERROR(IF(INDEX('Faculties'!$N$37:$N$56,MATCH($F49,'Faculties'!$B$37:$B$56,0))="","Cell will autofill based on response",INDEX('Faculties'!$N$37:$N$56,MATCH($F49,'Faculties'!$B$37:$B$56,0))),"N/A")</f>
        <v/>
      </c>
      <c r="J49" s="25">
        <f>IFERROR(IF(INDEX('Faculties'!$N$64:$N$83,MATCH($F49,'Faculties'!$B$64:$B$83,0))="","Cell will autofill based on response",INDEX('Faculties'!$N$64:$N$83,MATCH($F49,'Faculties'!$B$64:$B$83,0))),"N/A")</f>
        <v/>
      </c>
      <c r="K49" s="25">
        <f>IFERROR(IF(INDEX('Faculties'!$N$91:$N$110,MATCH($F49,'Faculties'!$B$91:$B$110,0))="","Cell will autofill based on response",INDEX('Faculties'!$N$91:$N$110,MATCH($F49,'Faculties'!$B$91:$B$110,0))),"N/A")</f>
        <v/>
      </c>
      <c r="L49" s="25">
        <f>IFERROR(IF(INDEX('CI&amp;S'!$N$10:$N$14,MATCH($F49,'CI&amp;S'!$B$10:$B$14,0))="","Cell will autofill based on response",INDEX('CI&amp;S'!$N$10:$N$14,MATCH($F49,'CI&amp;S'!$B$10:$B$14,0))),"N/A")</f>
        <v/>
      </c>
      <c r="M49" s="25">
        <f>IFERROR(IF(INDEX('CI&amp;S'!$N$22:$N$38,MATCH($F49,'CI&amp;S'!$B$22:$B$38,0))="","Cell will autofill based on response",INDEX('CI&amp;S'!$N$22:$N$38,MATCH($F49,'CI&amp;S'!$B$22:$B$38,0))),"N/A")</f>
        <v/>
      </c>
      <c r="N49" s="25">
        <f>IFERROR(IF(INDEX('CFOG'!$N$10:$N$15,MATCH($F49,'CFOG'!$B$10:$B$15,0))="","Cell will autofill based on response",INDEX('CFOG'!$N$10:$N$15,MATCH($F49,'CFOG'!$B$10:$B$15,0))),"N/A")</f>
        <v/>
      </c>
      <c r="O49" s="25">
        <f>IFERROR(IF(INDEX('CFOG'!$N$23:$N$23,MATCH($F49,'CFOG'!$B$23:$B$23,0))="","Cell will autofill based on response",INDEX('CFOG'!$N$23:$N$23,MATCH($F49,'CFOG'!$B$23:$B$23,0))),"N/A")</f>
        <v/>
      </c>
      <c r="P49" s="25">
        <f>IFERROR(IF(INDEX('ESG'!$N$10:$N$16,MATCH($F49,'ESG'!$B$10:$B$16,0))="","Cell will autofill based on response",INDEX('ESG'!$N$10:$N$16,MATCH($F49,'ESG'!$B$10:$B$16,0))),"N/A")</f>
        <v/>
      </c>
      <c r="Q49" s="25">
        <f>IFERROR(IF(INDEX('CIOG'!$N$10:$N$13,MATCH($F49,'CIOG'!$B$10:$B$13,0))="","Cell will autofill based on response",INDEX('CIOG'!$N$10:$N$13,MATCH($F49,'CIOG'!$B$10:$B$13,0))),"N/A")</f>
        <v/>
      </c>
      <c r="R49" s="25">
        <f>IFERROR(IF(INDEX('MRE'!$N$10:$N$11,MATCH($F49,'MRE'!$B$10:$B$11,0))="","Cell will autofill based on response",INDEX('MRE'!$N$10:$N$11,MATCH($F49,'MRE'!$B$10:$B$11,0))),"N/A")</f>
        <v/>
      </c>
    </row>
    <row r="50">
      <c r="A50">
        <f>F50&amp;"|"&amp;G50</f>
        <v/>
      </c>
      <c r="B50" s="29" t="inlineStr"/>
      <c r="C50" s="8" t="inlineStr"/>
      <c r="D50" s="8" t="inlineStr"/>
      <c r="E50" s="8" t="inlineStr"/>
      <c r="F50" s="8" t="inlineStr">
        <is>
          <t>TR1(c)</t>
        </is>
      </c>
      <c r="G50" s="8" t="inlineStr">
        <is>
          <t>Supporting information/comments</t>
        </is>
      </c>
      <c r="H50" s="25">
        <f>IFERROR(IF(INDEX('Faculties'!$O$10:$O$29,MATCH($F50,'Faculties'!$B$10:$B$29,0))="","Cell will autofill based on response",INDEX('Faculties'!$O$10:$O$29,MATCH($F50,'Faculties'!$B$10:$B$29,0))),"N/A")</f>
        <v/>
      </c>
      <c r="I50" s="25">
        <f>IFERROR(IF(INDEX('Faculties'!$O$37:$O$56,MATCH($F50,'Faculties'!$B$37:$B$56,0))="","Cell will autofill based on response",INDEX('Faculties'!$O$37:$O$56,MATCH($F50,'Faculties'!$B$37:$B$56,0))),"N/A")</f>
        <v/>
      </c>
      <c r="J50" s="25">
        <f>IFERROR(IF(INDEX('Faculties'!$O$64:$O$83,MATCH($F50,'Faculties'!$B$64:$B$83,0))="","Cell will autofill based on response",INDEX('Faculties'!$O$64:$O$83,MATCH($F50,'Faculties'!$B$64:$B$83,0))),"N/A")</f>
        <v/>
      </c>
      <c r="K50" s="25">
        <f>IFERROR(IF(INDEX('Faculties'!$O$91:$O$110,MATCH($F50,'Faculties'!$B$91:$B$110,0))="","Cell will autofill based on response",INDEX('Faculties'!$O$91:$O$110,MATCH($F50,'Faculties'!$B$91:$B$110,0))),"N/A")</f>
        <v/>
      </c>
      <c r="L50" s="25">
        <f>IFERROR(IF(INDEX('CI&amp;S'!$O$10:$O$14,MATCH($F50,'CI&amp;S'!$B$10:$B$14,0))="","Cell will autofill based on response",INDEX('CI&amp;S'!$O$10:$O$14,MATCH($F50,'CI&amp;S'!$B$10:$B$14,0))),"N/A")</f>
        <v/>
      </c>
      <c r="M50" s="25">
        <f>IFERROR(IF(INDEX('CI&amp;S'!$O$22:$O$38,MATCH($F50,'CI&amp;S'!$B$22:$B$38,0))="","Cell will autofill based on response",INDEX('CI&amp;S'!$O$22:$O$38,MATCH($F50,'CI&amp;S'!$B$22:$B$38,0))),"N/A")</f>
        <v/>
      </c>
      <c r="N50" s="25">
        <f>IFERROR(IF(INDEX('CFOG'!$O$10:$O$15,MATCH($F50,'CFOG'!$B$10:$B$15,0))="","Cell will autofill based on response",INDEX('CFOG'!$O$10:$O$15,MATCH($F50,'CFOG'!$B$10:$B$15,0))),"N/A")</f>
        <v/>
      </c>
      <c r="O50" s="25">
        <f>IFERROR(IF(INDEX('CFOG'!$O$23:$O$23,MATCH($F50,'CFOG'!$B$23:$B$23,0))="","Cell will autofill based on response",INDEX('CFOG'!$O$23:$O$23,MATCH($F50,'CFOG'!$B$23:$B$23,0))),"N/A")</f>
        <v/>
      </c>
      <c r="P50" s="25">
        <f>IFERROR(IF(INDEX('ESG'!$O$10:$O$16,MATCH($F50,'ESG'!$B$10:$B$16,0))="","Cell will autofill based on response",INDEX('ESG'!$O$10:$O$16,MATCH($F50,'ESG'!$B$10:$B$16,0))),"N/A")</f>
        <v/>
      </c>
      <c r="Q50" s="25">
        <f>IFERROR(IF(INDEX('CIOG'!$O$10:$O$13,MATCH($F50,'CIOG'!$B$10:$B$13,0))="","Cell will autofill based on response",INDEX('CIOG'!$O$10:$O$13,MATCH($F50,'CIOG'!$B$10:$B$13,0))),"N/A")</f>
        <v/>
      </c>
      <c r="R50" s="25">
        <f>IFERROR(IF(INDEX('MRE'!$O$10:$O$11,MATCH($F50,'MRE'!$B$10:$B$11,0))="","Cell will autofill based on response",INDEX('MRE'!$O$10:$O$11,MATCH($F50,'MRE'!$B$10:$B$11,0))),"N/A")</f>
        <v/>
      </c>
    </row>
    <row r="51">
      <c r="A51">
        <f>F51&amp;"|"&amp;G51</f>
        <v/>
      </c>
      <c r="B51" s="29" t="inlineStr"/>
      <c r="C51" s="8" t="inlineStr"/>
      <c r="D51" s="8" t="inlineStr"/>
      <c r="E51" s="8" t="inlineStr"/>
      <c r="F51" s="8" t="inlineStr">
        <is>
          <t>TR1(c)</t>
        </is>
      </c>
      <c r="G51" s="8" t="inlineStr">
        <is>
          <t>Data source and limitations</t>
        </is>
      </c>
      <c r="H51" s="25">
        <f>IFERROR(IF(INDEX('Faculties'!$P$10:$P$29,MATCH($F51,'Faculties'!$B$10:$B$29,0))="","Cell will autofill based on response",INDEX('Faculties'!$P$10:$P$29,MATCH($F51,'Faculties'!$B$10:$B$29,0))),"N/A")</f>
        <v/>
      </c>
      <c r="I51" s="25">
        <f>IFERROR(IF(INDEX('Faculties'!$P$37:$P$56,MATCH($F51,'Faculties'!$B$37:$B$56,0))="","Cell will autofill based on response",INDEX('Faculties'!$P$37:$P$56,MATCH($F51,'Faculties'!$B$37:$B$56,0))),"N/A")</f>
        <v/>
      </c>
      <c r="J51" s="25">
        <f>IFERROR(IF(INDEX('Faculties'!$P$64:$P$83,MATCH($F51,'Faculties'!$B$64:$B$83,0))="","Cell will autofill based on response",INDEX('Faculties'!$P$64:$P$83,MATCH($F51,'Faculties'!$B$64:$B$83,0))),"N/A")</f>
        <v/>
      </c>
      <c r="K51" s="25">
        <f>IFERROR(IF(INDEX('Faculties'!$P$91:$P$110,MATCH($F51,'Faculties'!$B$91:$B$110,0))="","Cell will autofill based on response",INDEX('Faculties'!$P$91:$P$110,MATCH($F51,'Faculties'!$B$91:$B$110,0))),"N/A")</f>
        <v/>
      </c>
      <c r="L51" s="25">
        <f>IFERROR(IF(INDEX('CI&amp;S'!$P$10:$P$14,MATCH($F51,'CI&amp;S'!$B$10:$B$14,0))="","Cell will autofill based on response",INDEX('CI&amp;S'!$P$10:$P$14,MATCH($F51,'CI&amp;S'!$B$10:$B$14,0))),"N/A")</f>
        <v/>
      </c>
      <c r="M51" s="25">
        <f>IFERROR(IF(INDEX('CI&amp;S'!$P$22:$P$38,MATCH($F51,'CI&amp;S'!$B$22:$B$38,0))="","Cell will autofill based on response",INDEX('CI&amp;S'!$P$22:$P$38,MATCH($F51,'CI&amp;S'!$B$22:$B$38,0))),"N/A")</f>
        <v/>
      </c>
      <c r="N51" s="25">
        <f>IFERROR(IF(INDEX('CFOG'!$P$10:$P$15,MATCH($F51,'CFOG'!$B$10:$B$15,0))="","Cell will autofill based on response",INDEX('CFOG'!$P$10:$P$15,MATCH($F51,'CFOG'!$B$10:$B$15,0))),"N/A")</f>
        <v/>
      </c>
      <c r="O51" s="25">
        <f>IFERROR(IF(INDEX('CFOG'!$P$23:$P$23,MATCH($F51,'CFOG'!$B$23:$B$23,0))="","Cell will autofill based on response",INDEX('CFOG'!$P$23:$P$23,MATCH($F51,'CFOG'!$B$23:$B$23,0))),"N/A")</f>
        <v/>
      </c>
      <c r="P51" s="25">
        <f>IFERROR(IF(INDEX('ESG'!$P$10:$P$16,MATCH($F51,'ESG'!$B$10:$B$16,0))="","Cell will autofill based on response",INDEX('ESG'!$P$10:$P$16,MATCH($F51,'ESG'!$B$10:$B$16,0))),"N/A")</f>
        <v/>
      </c>
      <c r="Q51" s="25">
        <f>IFERROR(IF(INDEX('CIOG'!$P$10:$P$13,MATCH($F51,'CIOG'!$B$10:$B$13,0))="","Cell will autofill based on response",INDEX('CIOG'!$P$10:$P$13,MATCH($F51,'CIOG'!$B$10:$B$13,0))),"N/A")</f>
        <v/>
      </c>
      <c r="R51" s="25">
        <f>IFERROR(IF(INDEX('MRE'!$P$10:$P$11,MATCH($F51,'MRE'!$B$10:$B$11,0))="","Cell will autofill based on response",INDEX('MRE'!$P$10:$P$11,MATCH($F51,'MRE'!$B$10:$B$11,0))),"N/A")</f>
        <v/>
      </c>
    </row>
    <row r="52">
      <c r="A52">
        <f>F52&amp;"|"&amp;G52</f>
        <v/>
      </c>
      <c r="B52" s="29" t="inlineStr"/>
      <c r="C52" s="8" t="inlineStr"/>
      <c r="D52" s="8" t="inlineStr"/>
      <c r="E52" s="8" t="inlineStr"/>
      <c r="F52" s="8" t="inlineStr">
        <is>
          <t>TR1(c)</t>
        </is>
      </c>
      <c r="G52" s="8" t="inlineStr">
        <is>
          <t>Data owner confirms</t>
        </is>
      </c>
      <c r="H52" s="25">
        <f>IFERROR(IF(INDEX('Faculties'!$Q$10:$Q$29,MATCH($F52,'Faculties'!$B$10:$B$29,0))="","Cell will autofill based on response",INDEX('Faculties'!$Q$10:$Q$29,MATCH($F52,'Faculties'!$B$10:$B$29,0))),"N/A")</f>
        <v/>
      </c>
      <c r="I52" s="25">
        <f>IFERROR(IF(INDEX('Faculties'!$Q$37:$Q$56,MATCH($F52,'Faculties'!$B$37:$B$56,0))="","Cell will autofill based on response",INDEX('Faculties'!$Q$37:$Q$56,MATCH($F52,'Faculties'!$B$37:$B$56,0))),"N/A")</f>
        <v/>
      </c>
      <c r="J52" s="25">
        <f>IFERROR(IF(INDEX('Faculties'!$Q$64:$Q$83,MATCH($F52,'Faculties'!$B$64:$B$83,0))="","Cell will autofill based on response",INDEX('Faculties'!$Q$64:$Q$83,MATCH($F52,'Faculties'!$B$64:$B$83,0))),"N/A")</f>
        <v/>
      </c>
      <c r="K52" s="25">
        <f>IFERROR(IF(INDEX('Faculties'!$Q$91:$Q$110,MATCH($F52,'Faculties'!$B$91:$B$110,0))="","Cell will autofill based on response",INDEX('Faculties'!$Q$91:$Q$110,MATCH($F52,'Faculties'!$B$91:$B$110,0))),"N/A")</f>
        <v/>
      </c>
      <c r="L52" s="25">
        <f>IFERROR(IF(INDEX('CI&amp;S'!$Q$10:$Q$14,MATCH($F52,'CI&amp;S'!$B$10:$B$14,0))="","Cell will autofill based on response",INDEX('CI&amp;S'!$Q$10:$Q$14,MATCH($F52,'CI&amp;S'!$B$10:$B$14,0))),"N/A")</f>
        <v/>
      </c>
      <c r="M52" s="25">
        <f>IFERROR(IF(INDEX('CI&amp;S'!$Q$22:$Q$38,MATCH($F52,'CI&amp;S'!$B$22:$B$38,0))="","Cell will autofill based on response",INDEX('CI&amp;S'!$Q$22:$Q$38,MATCH($F52,'CI&amp;S'!$B$22:$B$38,0))),"N/A")</f>
        <v/>
      </c>
      <c r="N52" s="25">
        <f>IFERROR(IF(INDEX('CFOG'!$Q$10:$Q$15,MATCH($F52,'CFOG'!$B$10:$B$15,0))="","Cell will autofill based on response",INDEX('CFOG'!$Q$10:$Q$15,MATCH($F52,'CFOG'!$B$10:$B$15,0))),"N/A")</f>
        <v/>
      </c>
      <c r="O52" s="25">
        <f>IFERROR(IF(INDEX('CFOG'!$Q$23:$Q$23,MATCH($F52,'CFOG'!$B$23:$B$23,0))="","Cell will autofill based on response",INDEX('CFOG'!$Q$23:$Q$23,MATCH($F52,'CFOG'!$B$23:$B$23,0))),"N/A")</f>
        <v/>
      </c>
      <c r="P52" s="25">
        <f>IFERROR(IF(INDEX('ESG'!$Q$10:$Q$16,MATCH($F52,'ESG'!$B$10:$B$16,0))="","Cell will autofill based on response",INDEX('ESG'!$Q$10:$Q$16,MATCH($F52,'ESG'!$B$10:$B$16,0))),"N/A")</f>
        <v/>
      </c>
      <c r="Q52" s="25">
        <f>IFERROR(IF(INDEX('CIOG'!$Q$10:$Q$13,MATCH($F52,'CIOG'!$B$10:$B$13,0))="","Cell will autofill based on response",INDEX('CIOG'!$Q$10:$Q$13,MATCH($F52,'CIOG'!$B$10:$B$13,0))),"N/A")</f>
        <v/>
      </c>
      <c r="R52" s="25">
        <f>IFERROR(IF(INDEX('MRE'!$Q$10:$Q$11,MATCH($F52,'MRE'!$B$10:$B$11,0))="","Cell will autofill based on response",INDEX('MRE'!$Q$10:$Q$11,MATCH($F52,'MRE'!$B$10:$B$11,0))),"N/A")</f>
        <v/>
      </c>
    </row>
    <row r="53">
      <c r="A53">
        <f>F53&amp;"|"&amp;G53</f>
        <v/>
      </c>
      <c r="B53" s="7" t="inlineStr">
        <is>
          <t>TR1(d)</t>
        </is>
      </c>
      <c r="C53" s="12" t="inlineStr">
        <is>
          <t>Transformational research</t>
        </is>
      </c>
      <c r="D53" s="12" t="inlineStr">
        <is>
          <t>Periodic feedback from participants on the effectiveness and mutual benefit of collaboration mechanisms.</t>
        </is>
      </c>
      <c r="E53" s="12"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12" t="inlineStr">
        <is>
          <t>TR1(d)</t>
        </is>
      </c>
      <c r="G53" s="12" t="inlineStr">
        <is>
          <t>Confirm end-2026 target status</t>
        </is>
      </c>
      <c r="H53" s="25">
        <f>IFERROR(IF(INDEX('Faculties'!$L$10:$L$29,MATCH($F53,'Faculties'!$B$10:$B$29,0))="","Cell will autofill based on response",INDEX('Faculties'!$L$10:$L$29,MATCH($F53,'Faculties'!$B$10:$B$29,0))),"N/A")</f>
        <v/>
      </c>
      <c r="I53" s="25">
        <f>IFERROR(IF(INDEX('Faculties'!$L$37:$L$56,MATCH($F53,'Faculties'!$B$37:$B$56,0))="","Cell will autofill based on response",INDEX('Faculties'!$L$37:$L$56,MATCH($F53,'Faculties'!$B$37:$B$56,0))),"N/A")</f>
        <v/>
      </c>
      <c r="J53" s="25">
        <f>IFERROR(IF(INDEX('Faculties'!$L$64:$L$83,MATCH($F53,'Faculties'!$B$64:$B$83,0))="","Cell will autofill based on response",INDEX('Faculties'!$L$64:$L$83,MATCH($F53,'Faculties'!$B$64:$B$83,0))),"N/A")</f>
        <v/>
      </c>
      <c r="K53" s="25">
        <f>IFERROR(IF(INDEX('Faculties'!$L$91:$L$110,MATCH($F53,'Faculties'!$B$91:$B$110,0))="","Cell will autofill based on response",INDEX('Faculties'!$L$91:$L$110,MATCH($F53,'Faculties'!$B$91:$B$110,0))),"N/A")</f>
        <v/>
      </c>
      <c r="L53" s="25">
        <f>IFERROR(IF(INDEX('CI&amp;S'!$L$10:$L$14,MATCH($F53,'CI&amp;S'!$B$10:$B$14,0))="","Cell will autofill based on response",INDEX('CI&amp;S'!$L$10:$L$14,MATCH($F53,'CI&amp;S'!$B$10:$B$14,0))),"N/A")</f>
        <v/>
      </c>
      <c r="M53" s="25">
        <f>IFERROR(IF(INDEX('CI&amp;S'!$L$22:$L$38,MATCH($F53,'CI&amp;S'!$B$22:$B$38,0))="","Cell will autofill based on response",INDEX('CI&amp;S'!$L$22:$L$38,MATCH($F53,'CI&amp;S'!$B$22:$B$38,0))),"N/A")</f>
        <v/>
      </c>
      <c r="N53" s="25">
        <f>IFERROR(IF(INDEX('CFOG'!$L$10:$L$15,MATCH($F53,'CFOG'!$B$10:$B$15,0))="","Cell will autofill based on response",INDEX('CFOG'!$L$10:$L$15,MATCH($F53,'CFOG'!$B$10:$B$15,0))),"N/A")</f>
        <v/>
      </c>
      <c r="O53" s="25">
        <f>IFERROR(IF(INDEX('CFOG'!$L$23:$L$23,MATCH($F53,'CFOG'!$B$23:$B$23,0))="","Cell will autofill based on response",INDEX('CFOG'!$L$23:$L$23,MATCH($F53,'CFOG'!$B$23:$B$23,0))),"N/A")</f>
        <v/>
      </c>
      <c r="P53" s="25">
        <f>IFERROR(IF(INDEX('ESG'!$L$10:$L$16,MATCH($F53,'ESG'!$B$10:$B$16,0))="","Cell will autofill based on response",INDEX('ESG'!$L$10:$L$16,MATCH($F53,'ESG'!$B$10:$B$16,0))),"N/A")</f>
        <v/>
      </c>
      <c r="Q53" s="25">
        <f>IFERROR(IF(INDEX('CIOG'!$L$10:$L$13,MATCH($F53,'CIOG'!$B$10:$B$13,0))="","Cell will autofill based on response",INDEX('CIOG'!$L$10:$L$13,MATCH($F53,'CIOG'!$B$10:$B$13,0))),"N/A")</f>
        <v/>
      </c>
      <c r="R53" s="25">
        <f>IFERROR(IF(INDEX('MRE'!$L$10:$L$11,MATCH($F53,'MRE'!$B$10:$B$11,0))="","Cell will autofill based on response",INDEX('MRE'!$L$10:$L$11,MATCH($F53,'MRE'!$B$10:$B$11,0))),"N/A")</f>
        <v/>
      </c>
      <c r="T53" s="26">
        <f>COUNTIF($H53:$R53,"Cell will autofill based on response")</f>
        <v/>
      </c>
      <c r="U53" s="26">
        <f>COUNTIF($H53:$R53,"Not yet started")</f>
        <v/>
      </c>
      <c r="V53" s="26">
        <f>COUNTIF($H53:$R53,"Not met")</f>
        <v/>
      </c>
      <c r="W53" s="26">
        <f>COUNTIF($H53:$R53,"Partially met")</f>
        <v/>
      </c>
      <c r="X53" s="26">
        <f>COUNTIF($H53:$R53,"Met or exceeded")</f>
        <v/>
      </c>
      <c r="Y53" s="26">
        <f>3*X53+2*W53+V53</f>
        <v/>
      </c>
      <c r="Z53" s="26">
        <f>X53+W53+V53+U53</f>
        <v/>
      </c>
      <c r="AA53" s="27">
        <f>IF(Z53&gt;0,Y53/Z53,"No valid responses to date")</f>
        <v/>
      </c>
      <c r="AB53" s="26">
        <f>IF(ISNUMBER(AA53),INDEX(Lists!$G$2:$G$5,MATCH(ROUND(AA53,0),Lists!$H$2:$H$5,0)),"")</f>
        <v/>
      </c>
      <c r="AC53" s="28">
        <f>IF(Z53&gt;0,X53/Z53,"")</f>
        <v/>
      </c>
      <c r="AD53" s="28">
        <f>IF(Z53&gt;0,(X53+W53)/Z53,"")</f>
        <v/>
      </c>
      <c r="AE53" s="26">
        <f>IF(Z53=0,"",IF(AC53&gt;0.75,"Met or exceeded",IF(AD53&gt;=0.5,"Partially met","Not met")))</f>
        <v/>
      </c>
    </row>
    <row r="54">
      <c r="A54">
        <f>F54&amp;"|"&amp;G54</f>
        <v/>
      </c>
      <c r="B54" s="29" t="inlineStr"/>
      <c r="C54" s="8" t="inlineStr"/>
      <c r="D54" s="8" t="inlineStr"/>
      <c r="E54" s="8" t="inlineStr"/>
      <c r="F54" s="8" t="inlineStr">
        <is>
          <t>TR1(d)</t>
        </is>
      </c>
      <c r="G54" s="8" t="inlineStr">
        <is>
          <t>OPTION 1:  Target-level reporting</t>
        </is>
      </c>
      <c r="H54" s="25">
        <f>IFERROR(IF(INDEX('Faculties'!$M$10:$M$29,MATCH($F54,'Faculties'!$B$10:$B$29,0))="","Cell will autofill based on response",INDEX('Faculties'!$M$10:$M$29,MATCH($F54,'Faculties'!$B$10:$B$29,0))),"N/A")</f>
        <v/>
      </c>
      <c r="I54" s="25">
        <f>IFERROR(IF(INDEX('Faculties'!$M$37:$M$56,MATCH($F54,'Faculties'!$B$37:$B$56,0))="","Cell will autofill based on response",INDEX('Faculties'!$M$37:$M$56,MATCH($F54,'Faculties'!$B$37:$B$56,0))),"N/A")</f>
        <v/>
      </c>
      <c r="J54" s="25">
        <f>IFERROR(IF(INDEX('Faculties'!$M$64:$M$83,MATCH($F54,'Faculties'!$B$64:$B$83,0))="","Cell will autofill based on response",INDEX('Faculties'!$M$64:$M$83,MATCH($F54,'Faculties'!$B$64:$B$83,0))),"N/A")</f>
        <v/>
      </c>
      <c r="K54" s="25">
        <f>IFERROR(IF(INDEX('Faculties'!$M$91:$M$110,MATCH($F54,'Faculties'!$B$91:$B$110,0))="","Cell will autofill based on response",INDEX('Faculties'!$M$91:$M$110,MATCH($F54,'Faculties'!$B$91:$B$110,0))),"N/A")</f>
        <v/>
      </c>
      <c r="L54" s="25">
        <f>IFERROR(IF(INDEX('CI&amp;S'!$M$10:$M$14,MATCH($F54,'CI&amp;S'!$B$10:$B$14,0))="","Cell will autofill based on response",INDEX('CI&amp;S'!$M$10:$M$14,MATCH($F54,'CI&amp;S'!$B$10:$B$14,0))),"N/A")</f>
        <v/>
      </c>
      <c r="M54" s="25">
        <f>IFERROR(IF(INDEX('CI&amp;S'!$M$22:$M$38,MATCH($F54,'CI&amp;S'!$B$22:$B$38,0))="","Cell will autofill based on response",INDEX('CI&amp;S'!$M$22:$M$38,MATCH($F54,'CI&amp;S'!$B$22:$B$38,0))),"N/A")</f>
        <v/>
      </c>
      <c r="N54" s="25">
        <f>IFERROR(IF(INDEX('CFOG'!$M$10:$M$15,MATCH($F54,'CFOG'!$B$10:$B$15,0))="","Cell will autofill based on response",INDEX('CFOG'!$M$10:$M$15,MATCH($F54,'CFOG'!$B$10:$B$15,0))),"N/A")</f>
        <v/>
      </c>
      <c r="O54" s="25">
        <f>IFERROR(IF(INDEX('CFOG'!$M$23:$M$23,MATCH($F54,'CFOG'!$B$23:$B$23,0))="","Cell will autofill based on response",INDEX('CFOG'!$M$23:$M$23,MATCH($F54,'CFOG'!$B$23:$B$23,0))),"N/A")</f>
        <v/>
      </c>
      <c r="P54" s="25">
        <f>IFERROR(IF(INDEX('ESG'!$M$10:$M$16,MATCH($F54,'ESG'!$B$10:$B$16,0))="","Cell will autofill based on response",INDEX('ESG'!$M$10:$M$16,MATCH($F54,'ESG'!$B$10:$B$16,0))),"N/A")</f>
        <v/>
      </c>
      <c r="Q54" s="25">
        <f>IFERROR(IF(INDEX('CIOG'!$M$10:$M$13,MATCH($F54,'CIOG'!$B$10:$B$13,0))="","Cell will autofill based on response",INDEX('CIOG'!$M$10:$M$13,MATCH($F54,'CIOG'!$B$10:$B$13,0))),"N/A")</f>
        <v/>
      </c>
      <c r="R54" s="25">
        <f>IFERROR(IF(INDEX('MRE'!$M$10:$M$11,MATCH($F54,'MRE'!$B$10:$B$11,0))="","Cell will autofill based on response",INDEX('MRE'!$M$10:$M$11,MATCH($F54,'MRE'!$B$10:$B$11,0))),"N/A")</f>
        <v/>
      </c>
    </row>
    <row r="55">
      <c r="A55">
        <f>F55&amp;"|"&amp;G55</f>
        <v/>
      </c>
      <c r="B55" s="29" t="inlineStr"/>
      <c r="C55" s="8" t="inlineStr"/>
      <c r="D55" s="8" t="inlineStr"/>
      <c r="E55" s="8" t="inlineStr"/>
      <c r="F55" s="8" t="inlineStr">
        <is>
          <t>TR1(d)</t>
        </is>
      </c>
      <c r="G55" s="8" t="inlineStr">
        <is>
          <t>OPTION 2:  Indicator level reporting</t>
        </is>
      </c>
      <c r="H55" s="25">
        <f>IFERROR(IF(INDEX('Faculties'!$N$10:$N$29,MATCH($F55,'Faculties'!$B$10:$B$29,0))="","Cell will autofill based on response",INDEX('Faculties'!$N$10:$N$29,MATCH($F55,'Faculties'!$B$10:$B$29,0))),"N/A")</f>
        <v/>
      </c>
      <c r="I55" s="25">
        <f>IFERROR(IF(INDEX('Faculties'!$N$37:$N$56,MATCH($F55,'Faculties'!$B$37:$B$56,0))="","Cell will autofill based on response",INDEX('Faculties'!$N$37:$N$56,MATCH($F55,'Faculties'!$B$37:$B$56,0))),"N/A")</f>
        <v/>
      </c>
      <c r="J55" s="25">
        <f>IFERROR(IF(INDEX('Faculties'!$N$64:$N$83,MATCH($F55,'Faculties'!$B$64:$B$83,0))="","Cell will autofill based on response",INDEX('Faculties'!$N$64:$N$83,MATCH($F55,'Faculties'!$B$64:$B$83,0))),"N/A")</f>
        <v/>
      </c>
      <c r="K55" s="25">
        <f>IFERROR(IF(INDEX('Faculties'!$N$91:$N$110,MATCH($F55,'Faculties'!$B$91:$B$110,0))="","Cell will autofill based on response",INDEX('Faculties'!$N$91:$N$110,MATCH($F55,'Faculties'!$B$91:$B$110,0))),"N/A")</f>
        <v/>
      </c>
      <c r="L55" s="25">
        <f>IFERROR(IF(INDEX('CI&amp;S'!$N$10:$N$14,MATCH($F55,'CI&amp;S'!$B$10:$B$14,0))="","Cell will autofill based on response",INDEX('CI&amp;S'!$N$10:$N$14,MATCH($F55,'CI&amp;S'!$B$10:$B$14,0))),"N/A")</f>
        <v/>
      </c>
      <c r="M55" s="25">
        <f>IFERROR(IF(INDEX('CI&amp;S'!$N$22:$N$38,MATCH($F55,'CI&amp;S'!$B$22:$B$38,0))="","Cell will autofill based on response",INDEX('CI&amp;S'!$N$22:$N$38,MATCH($F55,'CI&amp;S'!$B$22:$B$38,0))),"N/A")</f>
        <v/>
      </c>
      <c r="N55" s="25">
        <f>IFERROR(IF(INDEX('CFOG'!$N$10:$N$15,MATCH($F55,'CFOG'!$B$10:$B$15,0))="","Cell will autofill based on response",INDEX('CFOG'!$N$10:$N$15,MATCH($F55,'CFOG'!$B$10:$B$15,0))),"N/A")</f>
        <v/>
      </c>
      <c r="O55" s="25">
        <f>IFERROR(IF(INDEX('CFOG'!$N$23:$N$23,MATCH($F55,'CFOG'!$B$23:$B$23,0))="","Cell will autofill based on response",INDEX('CFOG'!$N$23:$N$23,MATCH($F55,'CFOG'!$B$23:$B$23,0))),"N/A")</f>
        <v/>
      </c>
      <c r="P55" s="25">
        <f>IFERROR(IF(INDEX('ESG'!$N$10:$N$16,MATCH($F55,'ESG'!$B$10:$B$16,0))="","Cell will autofill based on response",INDEX('ESG'!$N$10:$N$16,MATCH($F55,'ESG'!$B$10:$B$16,0))),"N/A")</f>
        <v/>
      </c>
      <c r="Q55" s="25">
        <f>IFERROR(IF(INDEX('CIOG'!$N$10:$N$13,MATCH($F55,'CIOG'!$B$10:$B$13,0))="","Cell will autofill based on response",INDEX('CIOG'!$N$10:$N$13,MATCH($F55,'CIOG'!$B$10:$B$13,0))),"N/A")</f>
        <v/>
      </c>
      <c r="R55" s="25">
        <f>IFERROR(IF(INDEX('MRE'!$N$10:$N$11,MATCH($F55,'MRE'!$B$10:$B$11,0))="","Cell will autofill based on response",INDEX('MRE'!$N$10:$N$11,MATCH($F55,'MRE'!$B$10:$B$11,0))),"N/A")</f>
        <v/>
      </c>
    </row>
    <row r="56">
      <c r="A56">
        <f>F56&amp;"|"&amp;G56</f>
        <v/>
      </c>
      <c r="B56" s="29" t="inlineStr"/>
      <c r="C56" s="8" t="inlineStr"/>
      <c r="D56" s="8" t="inlineStr"/>
      <c r="E56" s="8" t="inlineStr"/>
      <c r="F56" s="8" t="inlineStr">
        <is>
          <t>TR1(d)</t>
        </is>
      </c>
      <c r="G56" s="8" t="inlineStr">
        <is>
          <t>Supporting information/comments</t>
        </is>
      </c>
      <c r="H56" s="25">
        <f>IFERROR(IF(INDEX('Faculties'!$O$10:$O$29,MATCH($F56,'Faculties'!$B$10:$B$29,0))="","Cell will autofill based on response",INDEX('Faculties'!$O$10:$O$29,MATCH($F56,'Faculties'!$B$10:$B$29,0))),"N/A")</f>
        <v/>
      </c>
      <c r="I56" s="25">
        <f>IFERROR(IF(INDEX('Faculties'!$O$37:$O$56,MATCH($F56,'Faculties'!$B$37:$B$56,0))="","Cell will autofill based on response",INDEX('Faculties'!$O$37:$O$56,MATCH($F56,'Faculties'!$B$37:$B$56,0))),"N/A")</f>
        <v/>
      </c>
      <c r="J56" s="25">
        <f>IFERROR(IF(INDEX('Faculties'!$O$64:$O$83,MATCH($F56,'Faculties'!$B$64:$B$83,0))="","Cell will autofill based on response",INDEX('Faculties'!$O$64:$O$83,MATCH($F56,'Faculties'!$B$64:$B$83,0))),"N/A")</f>
        <v/>
      </c>
      <c r="K56" s="25">
        <f>IFERROR(IF(INDEX('Faculties'!$O$91:$O$110,MATCH($F56,'Faculties'!$B$91:$B$110,0))="","Cell will autofill based on response",INDEX('Faculties'!$O$91:$O$110,MATCH($F56,'Faculties'!$B$91:$B$110,0))),"N/A")</f>
        <v/>
      </c>
      <c r="L56" s="25">
        <f>IFERROR(IF(INDEX('CI&amp;S'!$O$10:$O$14,MATCH($F56,'CI&amp;S'!$B$10:$B$14,0))="","Cell will autofill based on response",INDEX('CI&amp;S'!$O$10:$O$14,MATCH($F56,'CI&amp;S'!$B$10:$B$14,0))),"N/A")</f>
        <v/>
      </c>
      <c r="M56" s="25">
        <f>IFERROR(IF(INDEX('CI&amp;S'!$O$22:$O$38,MATCH($F56,'CI&amp;S'!$B$22:$B$38,0))="","Cell will autofill based on response",INDEX('CI&amp;S'!$O$22:$O$38,MATCH($F56,'CI&amp;S'!$B$22:$B$38,0))),"N/A")</f>
        <v/>
      </c>
      <c r="N56" s="25">
        <f>IFERROR(IF(INDEX('CFOG'!$O$10:$O$15,MATCH($F56,'CFOG'!$B$10:$B$15,0))="","Cell will autofill based on response",INDEX('CFOG'!$O$10:$O$15,MATCH($F56,'CFOG'!$B$10:$B$15,0))),"N/A")</f>
        <v/>
      </c>
      <c r="O56" s="25">
        <f>IFERROR(IF(INDEX('CFOG'!$O$23:$O$23,MATCH($F56,'CFOG'!$B$23:$B$23,0))="","Cell will autofill based on response",INDEX('CFOG'!$O$23:$O$23,MATCH($F56,'CFOG'!$B$23:$B$23,0))),"N/A")</f>
        <v/>
      </c>
      <c r="P56" s="25">
        <f>IFERROR(IF(INDEX('ESG'!$O$10:$O$16,MATCH($F56,'ESG'!$B$10:$B$16,0))="","Cell will autofill based on response",INDEX('ESG'!$O$10:$O$16,MATCH($F56,'ESG'!$B$10:$B$16,0))),"N/A")</f>
        <v/>
      </c>
      <c r="Q56" s="25">
        <f>IFERROR(IF(INDEX('CIOG'!$O$10:$O$13,MATCH($F56,'CIOG'!$B$10:$B$13,0))="","Cell will autofill based on response",INDEX('CIOG'!$O$10:$O$13,MATCH($F56,'CIOG'!$B$10:$B$13,0))),"N/A")</f>
        <v/>
      </c>
      <c r="R56" s="25">
        <f>IFERROR(IF(INDEX('MRE'!$O$10:$O$11,MATCH($F56,'MRE'!$B$10:$B$11,0))="","Cell will autofill based on response",INDEX('MRE'!$O$10:$O$11,MATCH($F56,'MRE'!$B$10:$B$11,0))),"N/A")</f>
        <v/>
      </c>
    </row>
    <row r="57">
      <c r="A57">
        <f>F57&amp;"|"&amp;G57</f>
        <v/>
      </c>
      <c r="B57" s="29" t="inlineStr"/>
      <c r="C57" s="8" t="inlineStr"/>
      <c r="D57" s="8" t="inlineStr"/>
      <c r="E57" s="8" t="inlineStr"/>
      <c r="F57" s="8" t="inlineStr">
        <is>
          <t>TR1(d)</t>
        </is>
      </c>
      <c r="G57" s="8" t="inlineStr">
        <is>
          <t>Data source and limitations</t>
        </is>
      </c>
      <c r="H57" s="25">
        <f>IFERROR(IF(INDEX('Faculties'!$P$10:$P$29,MATCH($F57,'Faculties'!$B$10:$B$29,0))="","Cell will autofill based on response",INDEX('Faculties'!$P$10:$P$29,MATCH($F57,'Faculties'!$B$10:$B$29,0))),"N/A")</f>
        <v/>
      </c>
      <c r="I57" s="25">
        <f>IFERROR(IF(INDEX('Faculties'!$P$37:$P$56,MATCH($F57,'Faculties'!$B$37:$B$56,0))="","Cell will autofill based on response",INDEX('Faculties'!$P$37:$P$56,MATCH($F57,'Faculties'!$B$37:$B$56,0))),"N/A")</f>
        <v/>
      </c>
      <c r="J57" s="25">
        <f>IFERROR(IF(INDEX('Faculties'!$P$64:$P$83,MATCH($F57,'Faculties'!$B$64:$B$83,0))="","Cell will autofill based on response",INDEX('Faculties'!$P$64:$P$83,MATCH($F57,'Faculties'!$B$64:$B$83,0))),"N/A")</f>
        <v/>
      </c>
      <c r="K57" s="25">
        <f>IFERROR(IF(INDEX('Faculties'!$P$91:$P$110,MATCH($F57,'Faculties'!$B$91:$B$110,0))="","Cell will autofill based on response",INDEX('Faculties'!$P$91:$P$110,MATCH($F57,'Faculties'!$B$91:$B$110,0))),"N/A")</f>
        <v/>
      </c>
      <c r="L57" s="25">
        <f>IFERROR(IF(INDEX('CI&amp;S'!$P$10:$P$14,MATCH($F57,'CI&amp;S'!$B$10:$B$14,0))="","Cell will autofill based on response",INDEX('CI&amp;S'!$P$10:$P$14,MATCH($F57,'CI&amp;S'!$B$10:$B$14,0))),"N/A")</f>
        <v/>
      </c>
      <c r="M57" s="25">
        <f>IFERROR(IF(INDEX('CI&amp;S'!$P$22:$P$38,MATCH($F57,'CI&amp;S'!$B$22:$B$38,0))="","Cell will autofill based on response",INDEX('CI&amp;S'!$P$22:$P$38,MATCH($F57,'CI&amp;S'!$B$22:$B$38,0))),"N/A")</f>
        <v/>
      </c>
      <c r="N57" s="25">
        <f>IFERROR(IF(INDEX('CFOG'!$P$10:$P$15,MATCH($F57,'CFOG'!$B$10:$B$15,0))="","Cell will autofill based on response",INDEX('CFOG'!$P$10:$P$15,MATCH($F57,'CFOG'!$B$10:$B$15,0))),"N/A")</f>
        <v/>
      </c>
      <c r="O57" s="25">
        <f>IFERROR(IF(INDEX('CFOG'!$P$23:$P$23,MATCH($F57,'CFOG'!$B$23:$B$23,0))="","Cell will autofill based on response",INDEX('CFOG'!$P$23:$P$23,MATCH($F57,'CFOG'!$B$23:$B$23,0))),"N/A")</f>
        <v/>
      </c>
      <c r="P57" s="25">
        <f>IFERROR(IF(INDEX('ESG'!$P$10:$P$16,MATCH($F57,'ESG'!$B$10:$B$16,0))="","Cell will autofill based on response",INDEX('ESG'!$P$10:$P$16,MATCH($F57,'ESG'!$B$10:$B$16,0))),"N/A")</f>
        <v/>
      </c>
      <c r="Q57" s="25">
        <f>IFERROR(IF(INDEX('CIOG'!$P$10:$P$13,MATCH($F57,'CIOG'!$B$10:$B$13,0))="","Cell will autofill based on response",INDEX('CIOG'!$P$10:$P$13,MATCH($F57,'CIOG'!$B$10:$B$13,0))),"N/A")</f>
        <v/>
      </c>
      <c r="R57" s="25">
        <f>IFERROR(IF(INDEX('MRE'!$P$10:$P$11,MATCH($F57,'MRE'!$B$10:$B$11,0))="","Cell will autofill based on response",INDEX('MRE'!$P$10:$P$11,MATCH($F57,'MRE'!$B$10:$B$11,0))),"N/A")</f>
        <v/>
      </c>
    </row>
    <row r="58">
      <c r="A58">
        <f>F58&amp;"|"&amp;G58</f>
        <v/>
      </c>
      <c r="B58" s="29" t="inlineStr"/>
      <c r="C58" s="8" t="inlineStr"/>
      <c r="D58" s="8" t="inlineStr"/>
      <c r="E58" s="8" t="inlineStr"/>
      <c r="F58" s="8" t="inlineStr">
        <is>
          <t>TR1(d)</t>
        </is>
      </c>
      <c r="G58" s="8" t="inlineStr">
        <is>
          <t>Data owner confirms</t>
        </is>
      </c>
      <c r="H58" s="25">
        <f>IFERROR(IF(INDEX('Faculties'!$Q$10:$Q$29,MATCH($F58,'Faculties'!$B$10:$B$29,0))="","Cell will autofill based on response",INDEX('Faculties'!$Q$10:$Q$29,MATCH($F58,'Faculties'!$B$10:$B$29,0))),"N/A")</f>
        <v/>
      </c>
      <c r="I58" s="25">
        <f>IFERROR(IF(INDEX('Faculties'!$Q$37:$Q$56,MATCH($F58,'Faculties'!$B$37:$B$56,0))="","Cell will autofill based on response",INDEX('Faculties'!$Q$37:$Q$56,MATCH($F58,'Faculties'!$B$37:$B$56,0))),"N/A")</f>
        <v/>
      </c>
      <c r="J58" s="25">
        <f>IFERROR(IF(INDEX('Faculties'!$Q$64:$Q$83,MATCH($F58,'Faculties'!$B$64:$B$83,0))="","Cell will autofill based on response",INDEX('Faculties'!$Q$64:$Q$83,MATCH($F58,'Faculties'!$B$64:$B$83,0))),"N/A")</f>
        <v/>
      </c>
      <c r="K58" s="25">
        <f>IFERROR(IF(INDEX('Faculties'!$Q$91:$Q$110,MATCH($F58,'Faculties'!$B$91:$B$110,0))="","Cell will autofill based on response",INDEX('Faculties'!$Q$91:$Q$110,MATCH($F58,'Faculties'!$B$91:$B$110,0))),"N/A")</f>
        <v/>
      </c>
      <c r="L58" s="25">
        <f>IFERROR(IF(INDEX('CI&amp;S'!$Q$10:$Q$14,MATCH($F58,'CI&amp;S'!$B$10:$B$14,0))="","Cell will autofill based on response",INDEX('CI&amp;S'!$Q$10:$Q$14,MATCH($F58,'CI&amp;S'!$B$10:$B$14,0))),"N/A")</f>
        <v/>
      </c>
      <c r="M58" s="25">
        <f>IFERROR(IF(INDEX('CI&amp;S'!$Q$22:$Q$38,MATCH($F58,'CI&amp;S'!$B$22:$B$38,0))="","Cell will autofill based on response",INDEX('CI&amp;S'!$Q$22:$Q$38,MATCH($F58,'CI&amp;S'!$B$22:$B$38,0))),"N/A")</f>
        <v/>
      </c>
      <c r="N58" s="25">
        <f>IFERROR(IF(INDEX('CFOG'!$Q$10:$Q$15,MATCH($F58,'CFOG'!$B$10:$B$15,0))="","Cell will autofill based on response",INDEX('CFOG'!$Q$10:$Q$15,MATCH($F58,'CFOG'!$B$10:$B$15,0))),"N/A")</f>
        <v/>
      </c>
      <c r="O58" s="25">
        <f>IFERROR(IF(INDEX('CFOG'!$Q$23:$Q$23,MATCH($F58,'CFOG'!$B$23:$B$23,0))="","Cell will autofill based on response",INDEX('CFOG'!$Q$23:$Q$23,MATCH($F58,'CFOG'!$B$23:$B$23,0))),"N/A")</f>
        <v/>
      </c>
      <c r="P58" s="25">
        <f>IFERROR(IF(INDEX('ESG'!$Q$10:$Q$16,MATCH($F58,'ESG'!$B$10:$B$16,0))="","Cell will autofill based on response",INDEX('ESG'!$Q$10:$Q$16,MATCH($F58,'ESG'!$B$10:$B$16,0))),"N/A")</f>
        <v/>
      </c>
      <c r="Q58" s="25">
        <f>IFERROR(IF(INDEX('CIOG'!$Q$10:$Q$13,MATCH($F58,'CIOG'!$B$10:$B$13,0))="","Cell will autofill based on response",INDEX('CIOG'!$Q$10:$Q$13,MATCH($F58,'CIOG'!$B$10:$B$13,0))),"N/A")</f>
        <v/>
      </c>
      <c r="R58" s="25">
        <f>IFERROR(IF(INDEX('MRE'!$Q$10:$Q$11,MATCH($F58,'MRE'!$B$10:$B$11,0))="","Cell will autofill based on response",INDEX('MRE'!$Q$10:$Q$11,MATCH($F58,'MRE'!$B$10:$B$11,0))),"N/A")</f>
        <v/>
      </c>
    </row>
    <row r="59">
      <c r="A59">
        <f>F59&amp;"|"&amp;G59</f>
        <v/>
      </c>
      <c r="B59" s="7" t="inlineStr">
        <is>
          <t>TR2(a)</t>
        </is>
      </c>
      <c r="C59" s="12" t="inlineStr">
        <is>
          <t>Transformational research</t>
        </is>
      </c>
      <c r="D59" s="12" t="inlineStr">
        <is>
          <t>Evidence of sustainability-related research impact across diverse pathways, could include policy, industry, community, practice, cultural and institutional outcomes</t>
        </is>
      </c>
      <c r="E59" s="12"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12" t="inlineStr">
        <is>
          <t>TR2(a)</t>
        </is>
      </c>
      <c r="G59" s="12" t="inlineStr">
        <is>
          <t>Confirm end-2026 target status</t>
        </is>
      </c>
      <c r="H59" s="25">
        <f>IFERROR(IF(INDEX('Faculties'!$L$10:$L$29,MATCH($F59,'Faculties'!$B$10:$B$29,0))="","Cell will autofill based on response",INDEX('Faculties'!$L$10:$L$29,MATCH($F59,'Faculties'!$B$10:$B$29,0))),"N/A")</f>
        <v/>
      </c>
      <c r="I59" s="25">
        <f>IFERROR(IF(INDEX('Faculties'!$L$37:$L$56,MATCH($F59,'Faculties'!$B$37:$B$56,0))="","Cell will autofill based on response",INDEX('Faculties'!$L$37:$L$56,MATCH($F59,'Faculties'!$B$37:$B$56,0))),"N/A")</f>
        <v/>
      </c>
      <c r="J59" s="25">
        <f>IFERROR(IF(INDEX('Faculties'!$L$64:$L$83,MATCH($F59,'Faculties'!$B$64:$B$83,0))="","Cell will autofill based on response",INDEX('Faculties'!$L$64:$L$83,MATCH($F59,'Faculties'!$B$64:$B$83,0))),"N/A")</f>
        <v/>
      </c>
      <c r="K59" s="25">
        <f>IFERROR(IF(INDEX('Faculties'!$L$91:$L$110,MATCH($F59,'Faculties'!$B$91:$B$110,0))="","Cell will autofill based on response",INDEX('Faculties'!$L$91:$L$110,MATCH($F59,'Faculties'!$B$91:$B$110,0))),"N/A")</f>
        <v/>
      </c>
      <c r="L59" s="25">
        <f>IFERROR(IF(INDEX('CI&amp;S'!$L$10:$L$14,MATCH($F59,'CI&amp;S'!$B$10:$B$14,0))="","Cell will autofill based on response",INDEX('CI&amp;S'!$L$10:$L$14,MATCH($F59,'CI&amp;S'!$B$10:$B$14,0))),"N/A")</f>
        <v/>
      </c>
      <c r="M59" s="25">
        <f>IFERROR(IF(INDEX('CI&amp;S'!$L$22:$L$38,MATCH($F59,'CI&amp;S'!$B$22:$B$38,0))="","Cell will autofill based on response",INDEX('CI&amp;S'!$L$22:$L$38,MATCH($F59,'CI&amp;S'!$B$22:$B$38,0))),"N/A")</f>
        <v/>
      </c>
      <c r="N59" s="25">
        <f>IFERROR(IF(INDEX('CFOG'!$L$10:$L$15,MATCH($F59,'CFOG'!$B$10:$B$15,0))="","Cell will autofill based on response",INDEX('CFOG'!$L$10:$L$15,MATCH($F59,'CFOG'!$B$10:$B$15,0))),"N/A")</f>
        <v/>
      </c>
      <c r="O59" s="25">
        <f>IFERROR(IF(INDEX('CFOG'!$L$23:$L$23,MATCH($F59,'CFOG'!$B$23:$B$23,0))="","Cell will autofill based on response",INDEX('CFOG'!$L$23:$L$23,MATCH($F59,'CFOG'!$B$23:$B$23,0))),"N/A")</f>
        <v/>
      </c>
      <c r="P59" s="25">
        <f>IFERROR(IF(INDEX('ESG'!$L$10:$L$16,MATCH($F59,'ESG'!$B$10:$B$16,0))="","Cell will autofill based on response",INDEX('ESG'!$L$10:$L$16,MATCH($F59,'ESG'!$B$10:$B$16,0))),"N/A")</f>
        <v/>
      </c>
      <c r="Q59" s="25">
        <f>IFERROR(IF(INDEX('CIOG'!$L$10:$L$13,MATCH($F59,'CIOG'!$B$10:$B$13,0))="","Cell will autofill based on response",INDEX('CIOG'!$L$10:$L$13,MATCH($F59,'CIOG'!$B$10:$B$13,0))),"N/A")</f>
        <v/>
      </c>
      <c r="R59" s="25">
        <f>IFERROR(IF(INDEX('MRE'!$L$10:$L$11,MATCH($F59,'MRE'!$B$10:$B$11,0))="","Cell will autofill based on response",INDEX('MRE'!$L$10:$L$11,MATCH($F59,'MRE'!$B$10:$B$11,0))),"N/A")</f>
        <v/>
      </c>
      <c r="T59" s="26">
        <f>COUNTIF($H59:$R59,"Cell will autofill based on response")</f>
        <v/>
      </c>
      <c r="U59" s="26">
        <f>COUNTIF($H59:$R59,"Not yet started")</f>
        <v/>
      </c>
      <c r="V59" s="26">
        <f>COUNTIF($H59:$R59,"Not met")</f>
        <v/>
      </c>
      <c r="W59" s="26">
        <f>COUNTIF($H59:$R59,"Partially met")</f>
        <v/>
      </c>
      <c r="X59" s="26">
        <f>COUNTIF($H59:$R59,"Met or exceeded")</f>
        <v/>
      </c>
      <c r="Y59" s="26">
        <f>3*X59+2*W59+V59</f>
        <v/>
      </c>
      <c r="Z59" s="26">
        <f>X59+W59+V59+U59</f>
        <v/>
      </c>
      <c r="AA59" s="27">
        <f>IF(Z59&gt;0,Y59/Z59,"No valid responses to date")</f>
        <v/>
      </c>
      <c r="AB59" s="26">
        <f>IF(ISNUMBER(AA59),INDEX(Lists!$G$2:$G$5,MATCH(ROUND(AA59,0),Lists!$H$2:$H$5,0)),"")</f>
        <v/>
      </c>
      <c r="AC59" s="28">
        <f>IF(Z59&gt;0,X59/Z59,"")</f>
        <v/>
      </c>
      <c r="AD59" s="28">
        <f>IF(Z59&gt;0,(X59+W59)/Z59,"")</f>
        <v/>
      </c>
      <c r="AE59" s="26">
        <f>IF(Z59=0,"",IF(AC59&gt;0.75,"Met or exceeded",IF(AD59&gt;=0.5,"Partially met","Not met")))</f>
        <v/>
      </c>
    </row>
    <row r="60">
      <c r="A60">
        <f>F60&amp;"|"&amp;G60</f>
        <v/>
      </c>
      <c r="B60" s="29" t="inlineStr"/>
      <c r="C60" s="8" t="inlineStr"/>
      <c r="D60" s="8" t="inlineStr"/>
      <c r="E60" s="8" t="inlineStr"/>
      <c r="F60" s="8" t="inlineStr">
        <is>
          <t>TR2(a)</t>
        </is>
      </c>
      <c r="G60" s="8" t="inlineStr">
        <is>
          <t>OPTION 1:  Target-level reporting</t>
        </is>
      </c>
      <c r="H60" s="25">
        <f>IFERROR(IF(INDEX('Faculties'!$M$10:$M$29,MATCH($F60,'Faculties'!$B$10:$B$29,0))="","Cell will autofill based on response",INDEX('Faculties'!$M$10:$M$29,MATCH($F60,'Faculties'!$B$10:$B$29,0))),"N/A")</f>
        <v/>
      </c>
      <c r="I60" s="25">
        <f>IFERROR(IF(INDEX('Faculties'!$M$37:$M$56,MATCH($F60,'Faculties'!$B$37:$B$56,0))="","Cell will autofill based on response",INDEX('Faculties'!$M$37:$M$56,MATCH($F60,'Faculties'!$B$37:$B$56,0))),"N/A")</f>
        <v/>
      </c>
      <c r="J60" s="25">
        <f>IFERROR(IF(INDEX('Faculties'!$M$64:$M$83,MATCH($F60,'Faculties'!$B$64:$B$83,0))="","Cell will autofill based on response",INDEX('Faculties'!$M$64:$M$83,MATCH($F60,'Faculties'!$B$64:$B$83,0))),"N/A")</f>
        <v/>
      </c>
      <c r="K60" s="25">
        <f>IFERROR(IF(INDEX('Faculties'!$M$91:$M$110,MATCH($F60,'Faculties'!$B$91:$B$110,0))="","Cell will autofill based on response",INDEX('Faculties'!$M$91:$M$110,MATCH($F60,'Faculties'!$B$91:$B$110,0))),"N/A")</f>
        <v/>
      </c>
      <c r="L60" s="25">
        <f>IFERROR(IF(INDEX('CI&amp;S'!$M$10:$M$14,MATCH($F60,'CI&amp;S'!$B$10:$B$14,0))="","Cell will autofill based on response",INDEX('CI&amp;S'!$M$10:$M$14,MATCH($F60,'CI&amp;S'!$B$10:$B$14,0))),"N/A")</f>
        <v/>
      </c>
      <c r="M60" s="25">
        <f>IFERROR(IF(INDEX('CI&amp;S'!$M$22:$M$38,MATCH($F60,'CI&amp;S'!$B$22:$B$38,0))="","Cell will autofill based on response",INDEX('CI&amp;S'!$M$22:$M$38,MATCH($F60,'CI&amp;S'!$B$22:$B$38,0))),"N/A")</f>
        <v/>
      </c>
      <c r="N60" s="25">
        <f>IFERROR(IF(INDEX('CFOG'!$M$10:$M$15,MATCH($F60,'CFOG'!$B$10:$B$15,0))="","Cell will autofill based on response",INDEX('CFOG'!$M$10:$M$15,MATCH($F60,'CFOG'!$B$10:$B$15,0))),"N/A")</f>
        <v/>
      </c>
      <c r="O60" s="25">
        <f>IFERROR(IF(INDEX('CFOG'!$M$23:$M$23,MATCH($F60,'CFOG'!$B$23:$B$23,0))="","Cell will autofill based on response",INDEX('CFOG'!$M$23:$M$23,MATCH($F60,'CFOG'!$B$23:$B$23,0))),"N/A")</f>
        <v/>
      </c>
      <c r="P60" s="25">
        <f>IFERROR(IF(INDEX('ESG'!$M$10:$M$16,MATCH($F60,'ESG'!$B$10:$B$16,0))="","Cell will autofill based on response",INDEX('ESG'!$M$10:$M$16,MATCH($F60,'ESG'!$B$10:$B$16,0))),"N/A")</f>
        <v/>
      </c>
      <c r="Q60" s="25">
        <f>IFERROR(IF(INDEX('CIOG'!$M$10:$M$13,MATCH($F60,'CIOG'!$B$10:$B$13,0))="","Cell will autofill based on response",INDEX('CIOG'!$M$10:$M$13,MATCH($F60,'CIOG'!$B$10:$B$13,0))),"N/A")</f>
        <v/>
      </c>
      <c r="R60" s="25">
        <f>IFERROR(IF(INDEX('MRE'!$M$10:$M$11,MATCH($F60,'MRE'!$B$10:$B$11,0))="","Cell will autofill based on response",INDEX('MRE'!$M$10:$M$11,MATCH($F60,'MRE'!$B$10:$B$11,0))),"N/A")</f>
        <v/>
      </c>
    </row>
    <row r="61">
      <c r="A61">
        <f>F61&amp;"|"&amp;G61</f>
        <v/>
      </c>
      <c r="B61" s="29" t="inlineStr"/>
      <c r="C61" s="8" t="inlineStr"/>
      <c r="D61" s="8" t="inlineStr"/>
      <c r="E61" s="8" t="inlineStr"/>
      <c r="F61" s="8" t="inlineStr">
        <is>
          <t>TR2(a)</t>
        </is>
      </c>
      <c r="G61" s="8" t="inlineStr">
        <is>
          <t>OPTION 2:  Indicator level reporting</t>
        </is>
      </c>
      <c r="H61" s="25">
        <f>IFERROR(IF(INDEX('Faculties'!$N$10:$N$29,MATCH($F61,'Faculties'!$B$10:$B$29,0))="","Cell will autofill based on response",INDEX('Faculties'!$N$10:$N$29,MATCH($F61,'Faculties'!$B$10:$B$29,0))),"N/A")</f>
        <v/>
      </c>
      <c r="I61" s="25">
        <f>IFERROR(IF(INDEX('Faculties'!$N$37:$N$56,MATCH($F61,'Faculties'!$B$37:$B$56,0))="","Cell will autofill based on response",INDEX('Faculties'!$N$37:$N$56,MATCH($F61,'Faculties'!$B$37:$B$56,0))),"N/A")</f>
        <v/>
      </c>
      <c r="J61" s="25">
        <f>IFERROR(IF(INDEX('Faculties'!$N$64:$N$83,MATCH($F61,'Faculties'!$B$64:$B$83,0))="","Cell will autofill based on response",INDEX('Faculties'!$N$64:$N$83,MATCH($F61,'Faculties'!$B$64:$B$83,0))),"N/A")</f>
        <v/>
      </c>
      <c r="K61" s="25">
        <f>IFERROR(IF(INDEX('Faculties'!$N$91:$N$110,MATCH($F61,'Faculties'!$B$91:$B$110,0))="","Cell will autofill based on response",INDEX('Faculties'!$N$91:$N$110,MATCH($F61,'Faculties'!$B$91:$B$110,0))),"N/A")</f>
        <v/>
      </c>
      <c r="L61" s="25">
        <f>IFERROR(IF(INDEX('CI&amp;S'!$N$10:$N$14,MATCH($F61,'CI&amp;S'!$B$10:$B$14,0))="","Cell will autofill based on response",INDEX('CI&amp;S'!$N$10:$N$14,MATCH($F61,'CI&amp;S'!$B$10:$B$14,0))),"N/A")</f>
        <v/>
      </c>
      <c r="M61" s="25">
        <f>IFERROR(IF(INDEX('CI&amp;S'!$N$22:$N$38,MATCH($F61,'CI&amp;S'!$B$22:$B$38,0))="","Cell will autofill based on response",INDEX('CI&amp;S'!$N$22:$N$38,MATCH($F61,'CI&amp;S'!$B$22:$B$38,0))),"N/A")</f>
        <v/>
      </c>
      <c r="N61" s="25">
        <f>IFERROR(IF(INDEX('CFOG'!$N$10:$N$15,MATCH($F61,'CFOG'!$B$10:$B$15,0))="","Cell will autofill based on response",INDEX('CFOG'!$N$10:$N$15,MATCH($F61,'CFOG'!$B$10:$B$15,0))),"N/A")</f>
        <v/>
      </c>
      <c r="O61" s="25">
        <f>IFERROR(IF(INDEX('CFOG'!$N$23:$N$23,MATCH($F61,'CFOG'!$B$23:$B$23,0))="","Cell will autofill based on response",INDEX('CFOG'!$N$23:$N$23,MATCH($F61,'CFOG'!$B$23:$B$23,0))),"N/A")</f>
        <v/>
      </c>
      <c r="P61" s="25">
        <f>IFERROR(IF(INDEX('ESG'!$N$10:$N$16,MATCH($F61,'ESG'!$B$10:$B$16,0))="","Cell will autofill based on response",INDEX('ESG'!$N$10:$N$16,MATCH($F61,'ESG'!$B$10:$B$16,0))),"N/A")</f>
        <v/>
      </c>
      <c r="Q61" s="25">
        <f>IFERROR(IF(INDEX('CIOG'!$N$10:$N$13,MATCH($F61,'CIOG'!$B$10:$B$13,0))="","Cell will autofill based on response",INDEX('CIOG'!$N$10:$N$13,MATCH($F61,'CIOG'!$B$10:$B$13,0))),"N/A")</f>
        <v/>
      </c>
      <c r="R61" s="25">
        <f>IFERROR(IF(INDEX('MRE'!$N$10:$N$11,MATCH($F61,'MRE'!$B$10:$B$11,0))="","Cell will autofill based on response",INDEX('MRE'!$N$10:$N$11,MATCH($F61,'MRE'!$B$10:$B$11,0))),"N/A")</f>
        <v/>
      </c>
    </row>
    <row r="62">
      <c r="A62">
        <f>F62&amp;"|"&amp;G62</f>
        <v/>
      </c>
      <c r="B62" s="29" t="inlineStr"/>
      <c r="C62" s="8" t="inlineStr"/>
      <c r="D62" s="8" t="inlineStr"/>
      <c r="E62" s="8" t="inlineStr"/>
      <c r="F62" s="8" t="inlineStr">
        <is>
          <t>TR2(a)</t>
        </is>
      </c>
      <c r="G62" s="8" t="inlineStr">
        <is>
          <t>Supporting information/comments</t>
        </is>
      </c>
      <c r="H62" s="25">
        <f>IFERROR(IF(INDEX('Faculties'!$O$10:$O$29,MATCH($F62,'Faculties'!$B$10:$B$29,0))="","Cell will autofill based on response",INDEX('Faculties'!$O$10:$O$29,MATCH($F62,'Faculties'!$B$10:$B$29,0))),"N/A")</f>
        <v/>
      </c>
      <c r="I62" s="25">
        <f>IFERROR(IF(INDEX('Faculties'!$O$37:$O$56,MATCH($F62,'Faculties'!$B$37:$B$56,0))="","Cell will autofill based on response",INDEX('Faculties'!$O$37:$O$56,MATCH($F62,'Faculties'!$B$37:$B$56,0))),"N/A")</f>
        <v/>
      </c>
      <c r="J62" s="25">
        <f>IFERROR(IF(INDEX('Faculties'!$O$64:$O$83,MATCH($F62,'Faculties'!$B$64:$B$83,0))="","Cell will autofill based on response",INDEX('Faculties'!$O$64:$O$83,MATCH($F62,'Faculties'!$B$64:$B$83,0))),"N/A")</f>
        <v/>
      </c>
      <c r="K62" s="25">
        <f>IFERROR(IF(INDEX('Faculties'!$O$91:$O$110,MATCH($F62,'Faculties'!$B$91:$B$110,0))="","Cell will autofill based on response",INDEX('Faculties'!$O$91:$O$110,MATCH($F62,'Faculties'!$B$91:$B$110,0))),"N/A")</f>
        <v/>
      </c>
      <c r="L62" s="25">
        <f>IFERROR(IF(INDEX('CI&amp;S'!$O$10:$O$14,MATCH($F62,'CI&amp;S'!$B$10:$B$14,0))="","Cell will autofill based on response",INDEX('CI&amp;S'!$O$10:$O$14,MATCH($F62,'CI&amp;S'!$B$10:$B$14,0))),"N/A")</f>
        <v/>
      </c>
      <c r="M62" s="25">
        <f>IFERROR(IF(INDEX('CI&amp;S'!$O$22:$O$38,MATCH($F62,'CI&amp;S'!$B$22:$B$38,0))="","Cell will autofill based on response",INDEX('CI&amp;S'!$O$22:$O$38,MATCH($F62,'CI&amp;S'!$B$22:$B$38,0))),"N/A")</f>
        <v/>
      </c>
      <c r="N62" s="25">
        <f>IFERROR(IF(INDEX('CFOG'!$O$10:$O$15,MATCH($F62,'CFOG'!$B$10:$B$15,0))="","Cell will autofill based on response",INDEX('CFOG'!$O$10:$O$15,MATCH($F62,'CFOG'!$B$10:$B$15,0))),"N/A")</f>
        <v/>
      </c>
      <c r="O62" s="25">
        <f>IFERROR(IF(INDEX('CFOG'!$O$23:$O$23,MATCH($F62,'CFOG'!$B$23:$B$23,0))="","Cell will autofill based on response",INDEX('CFOG'!$O$23:$O$23,MATCH($F62,'CFOG'!$B$23:$B$23,0))),"N/A")</f>
        <v/>
      </c>
      <c r="P62" s="25">
        <f>IFERROR(IF(INDEX('ESG'!$O$10:$O$16,MATCH($F62,'ESG'!$B$10:$B$16,0))="","Cell will autofill based on response",INDEX('ESG'!$O$10:$O$16,MATCH($F62,'ESG'!$B$10:$B$16,0))),"N/A")</f>
        <v/>
      </c>
      <c r="Q62" s="25">
        <f>IFERROR(IF(INDEX('CIOG'!$O$10:$O$13,MATCH($F62,'CIOG'!$B$10:$B$13,0))="","Cell will autofill based on response",INDEX('CIOG'!$O$10:$O$13,MATCH($F62,'CIOG'!$B$10:$B$13,0))),"N/A")</f>
        <v/>
      </c>
      <c r="R62" s="25">
        <f>IFERROR(IF(INDEX('MRE'!$O$10:$O$11,MATCH($F62,'MRE'!$B$10:$B$11,0))="","Cell will autofill based on response",INDEX('MRE'!$O$10:$O$11,MATCH($F62,'MRE'!$B$10:$B$11,0))),"N/A")</f>
        <v/>
      </c>
    </row>
    <row r="63">
      <c r="A63">
        <f>F63&amp;"|"&amp;G63</f>
        <v/>
      </c>
      <c r="B63" s="29" t="inlineStr"/>
      <c r="C63" s="8" t="inlineStr"/>
      <c r="D63" s="8" t="inlineStr"/>
      <c r="E63" s="8" t="inlineStr"/>
      <c r="F63" s="8" t="inlineStr">
        <is>
          <t>TR2(a)</t>
        </is>
      </c>
      <c r="G63" s="8" t="inlineStr">
        <is>
          <t>Data source and limitations</t>
        </is>
      </c>
      <c r="H63" s="25">
        <f>IFERROR(IF(INDEX('Faculties'!$P$10:$P$29,MATCH($F63,'Faculties'!$B$10:$B$29,0))="","Cell will autofill based on response",INDEX('Faculties'!$P$10:$P$29,MATCH($F63,'Faculties'!$B$10:$B$29,0))),"N/A")</f>
        <v/>
      </c>
      <c r="I63" s="25">
        <f>IFERROR(IF(INDEX('Faculties'!$P$37:$P$56,MATCH($F63,'Faculties'!$B$37:$B$56,0))="","Cell will autofill based on response",INDEX('Faculties'!$P$37:$P$56,MATCH($F63,'Faculties'!$B$37:$B$56,0))),"N/A")</f>
        <v/>
      </c>
      <c r="J63" s="25">
        <f>IFERROR(IF(INDEX('Faculties'!$P$64:$P$83,MATCH($F63,'Faculties'!$B$64:$B$83,0))="","Cell will autofill based on response",INDEX('Faculties'!$P$64:$P$83,MATCH($F63,'Faculties'!$B$64:$B$83,0))),"N/A")</f>
        <v/>
      </c>
      <c r="K63" s="25">
        <f>IFERROR(IF(INDEX('Faculties'!$P$91:$P$110,MATCH($F63,'Faculties'!$B$91:$B$110,0))="","Cell will autofill based on response",INDEX('Faculties'!$P$91:$P$110,MATCH($F63,'Faculties'!$B$91:$B$110,0))),"N/A")</f>
        <v/>
      </c>
      <c r="L63" s="25">
        <f>IFERROR(IF(INDEX('CI&amp;S'!$P$10:$P$14,MATCH($F63,'CI&amp;S'!$B$10:$B$14,0))="","Cell will autofill based on response",INDEX('CI&amp;S'!$P$10:$P$14,MATCH($F63,'CI&amp;S'!$B$10:$B$14,0))),"N/A")</f>
        <v/>
      </c>
      <c r="M63" s="25">
        <f>IFERROR(IF(INDEX('CI&amp;S'!$P$22:$P$38,MATCH($F63,'CI&amp;S'!$B$22:$B$38,0))="","Cell will autofill based on response",INDEX('CI&amp;S'!$P$22:$P$38,MATCH($F63,'CI&amp;S'!$B$22:$B$38,0))),"N/A")</f>
        <v/>
      </c>
      <c r="N63" s="25">
        <f>IFERROR(IF(INDEX('CFOG'!$P$10:$P$15,MATCH($F63,'CFOG'!$B$10:$B$15,0))="","Cell will autofill based on response",INDEX('CFOG'!$P$10:$P$15,MATCH($F63,'CFOG'!$B$10:$B$15,0))),"N/A")</f>
        <v/>
      </c>
      <c r="O63" s="25">
        <f>IFERROR(IF(INDEX('CFOG'!$P$23:$P$23,MATCH($F63,'CFOG'!$B$23:$B$23,0))="","Cell will autofill based on response",INDEX('CFOG'!$P$23:$P$23,MATCH($F63,'CFOG'!$B$23:$B$23,0))),"N/A")</f>
        <v/>
      </c>
      <c r="P63" s="25">
        <f>IFERROR(IF(INDEX('ESG'!$P$10:$P$16,MATCH($F63,'ESG'!$B$10:$B$16,0))="","Cell will autofill based on response",INDEX('ESG'!$P$10:$P$16,MATCH($F63,'ESG'!$B$10:$B$16,0))),"N/A")</f>
        <v/>
      </c>
      <c r="Q63" s="25">
        <f>IFERROR(IF(INDEX('CIOG'!$P$10:$P$13,MATCH($F63,'CIOG'!$B$10:$B$13,0))="","Cell will autofill based on response",INDEX('CIOG'!$P$10:$P$13,MATCH($F63,'CIOG'!$B$10:$B$13,0))),"N/A")</f>
        <v/>
      </c>
      <c r="R63" s="25">
        <f>IFERROR(IF(INDEX('MRE'!$P$10:$P$11,MATCH($F63,'MRE'!$B$10:$B$11,0))="","Cell will autofill based on response",INDEX('MRE'!$P$10:$P$11,MATCH($F63,'MRE'!$B$10:$B$11,0))),"N/A")</f>
        <v/>
      </c>
    </row>
    <row r="64">
      <c r="A64">
        <f>F64&amp;"|"&amp;G64</f>
        <v/>
      </c>
      <c r="B64" s="29" t="inlineStr"/>
      <c r="C64" s="8" t="inlineStr"/>
      <c r="D64" s="8" t="inlineStr"/>
      <c r="E64" s="8" t="inlineStr"/>
      <c r="F64" s="8" t="inlineStr">
        <is>
          <t>TR2(a)</t>
        </is>
      </c>
      <c r="G64" s="8" t="inlineStr">
        <is>
          <t>Data owner confirms</t>
        </is>
      </c>
      <c r="H64" s="25">
        <f>IFERROR(IF(INDEX('Faculties'!$Q$10:$Q$29,MATCH($F64,'Faculties'!$B$10:$B$29,0))="","Cell will autofill based on response",INDEX('Faculties'!$Q$10:$Q$29,MATCH($F64,'Faculties'!$B$10:$B$29,0))),"N/A")</f>
        <v/>
      </c>
      <c r="I64" s="25">
        <f>IFERROR(IF(INDEX('Faculties'!$Q$37:$Q$56,MATCH($F64,'Faculties'!$B$37:$B$56,0))="","Cell will autofill based on response",INDEX('Faculties'!$Q$37:$Q$56,MATCH($F64,'Faculties'!$B$37:$B$56,0))),"N/A")</f>
        <v/>
      </c>
      <c r="J64" s="25">
        <f>IFERROR(IF(INDEX('Faculties'!$Q$64:$Q$83,MATCH($F64,'Faculties'!$B$64:$B$83,0))="","Cell will autofill based on response",INDEX('Faculties'!$Q$64:$Q$83,MATCH($F64,'Faculties'!$B$64:$B$83,0))),"N/A")</f>
        <v/>
      </c>
      <c r="K64" s="25">
        <f>IFERROR(IF(INDEX('Faculties'!$Q$91:$Q$110,MATCH($F64,'Faculties'!$B$91:$B$110,0))="","Cell will autofill based on response",INDEX('Faculties'!$Q$91:$Q$110,MATCH($F64,'Faculties'!$B$91:$B$110,0))),"N/A")</f>
        <v/>
      </c>
      <c r="L64" s="25">
        <f>IFERROR(IF(INDEX('CI&amp;S'!$Q$10:$Q$14,MATCH($F64,'CI&amp;S'!$B$10:$B$14,0))="","Cell will autofill based on response",INDEX('CI&amp;S'!$Q$10:$Q$14,MATCH($F64,'CI&amp;S'!$B$10:$B$14,0))),"N/A")</f>
        <v/>
      </c>
      <c r="M64" s="25">
        <f>IFERROR(IF(INDEX('CI&amp;S'!$Q$22:$Q$38,MATCH($F64,'CI&amp;S'!$B$22:$B$38,0))="","Cell will autofill based on response",INDEX('CI&amp;S'!$Q$22:$Q$38,MATCH($F64,'CI&amp;S'!$B$22:$B$38,0))),"N/A")</f>
        <v/>
      </c>
      <c r="N64" s="25">
        <f>IFERROR(IF(INDEX('CFOG'!$Q$10:$Q$15,MATCH($F64,'CFOG'!$B$10:$B$15,0))="","Cell will autofill based on response",INDEX('CFOG'!$Q$10:$Q$15,MATCH($F64,'CFOG'!$B$10:$B$15,0))),"N/A")</f>
        <v/>
      </c>
      <c r="O64" s="25">
        <f>IFERROR(IF(INDEX('CFOG'!$Q$23:$Q$23,MATCH($F64,'CFOG'!$B$23:$B$23,0))="","Cell will autofill based on response",INDEX('CFOG'!$Q$23:$Q$23,MATCH($F64,'CFOG'!$B$23:$B$23,0))),"N/A")</f>
        <v/>
      </c>
      <c r="P64" s="25">
        <f>IFERROR(IF(INDEX('ESG'!$Q$10:$Q$16,MATCH($F64,'ESG'!$B$10:$B$16,0))="","Cell will autofill based on response",INDEX('ESG'!$Q$10:$Q$16,MATCH($F64,'ESG'!$B$10:$B$16,0))),"N/A")</f>
        <v/>
      </c>
      <c r="Q64" s="25">
        <f>IFERROR(IF(INDEX('CIOG'!$Q$10:$Q$13,MATCH($F64,'CIOG'!$B$10:$B$13,0))="","Cell will autofill based on response",INDEX('CIOG'!$Q$10:$Q$13,MATCH($F64,'CIOG'!$B$10:$B$13,0))),"N/A")</f>
        <v/>
      </c>
      <c r="R64" s="25">
        <f>IFERROR(IF(INDEX('MRE'!$Q$10:$Q$11,MATCH($F64,'MRE'!$B$10:$B$11,0))="","Cell will autofill based on response",INDEX('MRE'!$Q$10:$Q$11,MATCH($F64,'MRE'!$B$10:$B$11,0))),"N/A")</f>
        <v/>
      </c>
    </row>
    <row r="65">
      <c r="A65">
        <f>F65&amp;"|"&amp;G65</f>
        <v/>
      </c>
      <c r="B65" s="7" t="inlineStr">
        <is>
          <t>TR2(b)</t>
        </is>
      </c>
      <c r="C65" s="12" t="inlineStr">
        <is>
          <t>Transformational research</t>
        </is>
      </c>
      <c r="D65" s="12" t="inlineStr">
        <is>
          <t>Documented progress of relevant strategic initiatives, including Impact Accelerators</t>
        </is>
      </c>
      <c r="E65" s="12" t="inlineStr">
        <is>
          <t>Please provide case studies demonstrating how University research has contributed to meaningful sustainability outcomes. For each case, briefly describe the research, stakeholders involved, pathway to impact and evidence of the resulting sustainability outcome.</t>
        </is>
      </c>
      <c r="F65" s="12" t="inlineStr">
        <is>
          <t>TR2(b)</t>
        </is>
      </c>
      <c r="G65" s="12" t="inlineStr">
        <is>
          <t>Confirm end-2026 target status</t>
        </is>
      </c>
      <c r="H65" s="25">
        <f>IFERROR(IF(INDEX('Faculties'!$L$10:$L$29,MATCH($F65,'Faculties'!$B$10:$B$29,0))="","Cell will autofill based on response",INDEX('Faculties'!$L$10:$L$29,MATCH($F65,'Faculties'!$B$10:$B$29,0))),"N/A")</f>
        <v/>
      </c>
      <c r="I65" s="25">
        <f>IFERROR(IF(INDEX('Faculties'!$L$37:$L$56,MATCH($F65,'Faculties'!$B$37:$B$56,0))="","Cell will autofill based on response",INDEX('Faculties'!$L$37:$L$56,MATCH($F65,'Faculties'!$B$37:$B$56,0))),"N/A")</f>
        <v/>
      </c>
      <c r="J65" s="25">
        <f>IFERROR(IF(INDEX('Faculties'!$L$64:$L$83,MATCH($F65,'Faculties'!$B$64:$B$83,0))="","Cell will autofill based on response",INDEX('Faculties'!$L$64:$L$83,MATCH($F65,'Faculties'!$B$64:$B$83,0))),"N/A")</f>
        <v/>
      </c>
      <c r="K65" s="25">
        <f>IFERROR(IF(INDEX('Faculties'!$L$91:$L$110,MATCH($F65,'Faculties'!$B$91:$B$110,0))="","Cell will autofill based on response",INDEX('Faculties'!$L$91:$L$110,MATCH($F65,'Faculties'!$B$91:$B$110,0))),"N/A")</f>
        <v/>
      </c>
      <c r="L65" s="25">
        <f>IFERROR(IF(INDEX('CI&amp;S'!$L$10:$L$14,MATCH($F65,'CI&amp;S'!$B$10:$B$14,0))="","Cell will autofill based on response",INDEX('CI&amp;S'!$L$10:$L$14,MATCH($F65,'CI&amp;S'!$B$10:$B$14,0))),"N/A")</f>
        <v/>
      </c>
      <c r="M65" s="25">
        <f>IFERROR(IF(INDEX('CI&amp;S'!$L$22:$L$38,MATCH($F65,'CI&amp;S'!$B$22:$B$38,0))="","Cell will autofill based on response",INDEX('CI&amp;S'!$L$22:$L$38,MATCH($F65,'CI&amp;S'!$B$22:$B$38,0))),"N/A")</f>
        <v/>
      </c>
      <c r="N65" s="25">
        <f>IFERROR(IF(INDEX('CFOG'!$L$10:$L$15,MATCH($F65,'CFOG'!$B$10:$B$15,0))="","Cell will autofill based on response",INDEX('CFOG'!$L$10:$L$15,MATCH($F65,'CFOG'!$B$10:$B$15,0))),"N/A")</f>
        <v/>
      </c>
      <c r="O65" s="25">
        <f>IFERROR(IF(INDEX('CFOG'!$L$23:$L$23,MATCH($F65,'CFOG'!$B$23:$B$23,0))="","Cell will autofill based on response",INDEX('CFOG'!$L$23:$L$23,MATCH($F65,'CFOG'!$B$23:$B$23,0))),"N/A")</f>
        <v/>
      </c>
      <c r="P65" s="25">
        <f>IFERROR(IF(INDEX('ESG'!$L$10:$L$16,MATCH($F65,'ESG'!$B$10:$B$16,0))="","Cell will autofill based on response",INDEX('ESG'!$L$10:$L$16,MATCH($F65,'ESG'!$B$10:$B$16,0))),"N/A")</f>
        <v/>
      </c>
      <c r="Q65" s="25">
        <f>IFERROR(IF(INDEX('CIOG'!$L$10:$L$13,MATCH($F65,'CIOG'!$B$10:$B$13,0))="","Cell will autofill based on response",INDEX('CIOG'!$L$10:$L$13,MATCH($F65,'CIOG'!$B$10:$B$13,0))),"N/A")</f>
        <v/>
      </c>
      <c r="R65" s="25">
        <f>IFERROR(IF(INDEX('MRE'!$L$10:$L$11,MATCH($F65,'MRE'!$B$10:$B$11,0))="","Cell will autofill based on response",INDEX('MRE'!$L$10:$L$11,MATCH($F65,'MRE'!$B$10:$B$11,0))),"N/A")</f>
        <v/>
      </c>
      <c r="T65" s="26">
        <f>COUNTIF($H65:$R65,"Cell will autofill based on response")</f>
        <v/>
      </c>
      <c r="U65" s="26">
        <f>COUNTIF($H65:$R65,"Not yet started")</f>
        <v/>
      </c>
      <c r="V65" s="26">
        <f>COUNTIF($H65:$R65,"Not met")</f>
        <v/>
      </c>
      <c r="W65" s="26">
        <f>COUNTIF($H65:$R65,"Partially met")</f>
        <v/>
      </c>
      <c r="X65" s="26">
        <f>COUNTIF($H65:$R65,"Met or exceeded")</f>
        <v/>
      </c>
      <c r="Y65" s="26">
        <f>3*X65+2*W65+V65</f>
        <v/>
      </c>
      <c r="Z65" s="26">
        <f>X65+W65+V65+U65</f>
        <v/>
      </c>
      <c r="AA65" s="27">
        <f>IF(Z65&gt;0,Y65/Z65,"No valid responses to date")</f>
        <v/>
      </c>
      <c r="AB65" s="26">
        <f>IF(ISNUMBER(AA65),INDEX(Lists!$G$2:$G$5,MATCH(ROUND(AA65,0),Lists!$H$2:$H$5,0)),"")</f>
        <v/>
      </c>
      <c r="AC65" s="28">
        <f>IF(Z65&gt;0,X65/Z65,"")</f>
        <v/>
      </c>
      <c r="AD65" s="28">
        <f>IF(Z65&gt;0,(X65+W65)/Z65,"")</f>
        <v/>
      </c>
      <c r="AE65" s="26">
        <f>IF(Z65=0,"",IF(AC65&gt;0.75,"Met or exceeded",IF(AD65&gt;=0.5,"Partially met","Not met")))</f>
        <v/>
      </c>
    </row>
    <row r="66">
      <c r="A66">
        <f>F66&amp;"|"&amp;G66</f>
        <v/>
      </c>
      <c r="B66" s="29" t="inlineStr"/>
      <c r="C66" s="8" t="inlineStr"/>
      <c r="D66" s="8" t="inlineStr"/>
      <c r="E66" s="8" t="inlineStr"/>
      <c r="F66" s="8" t="inlineStr">
        <is>
          <t>TR2(b)</t>
        </is>
      </c>
      <c r="G66" s="8" t="inlineStr">
        <is>
          <t>OPTION 1:  Target-level reporting</t>
        </is>
      </c>
      <c r="H66" s="25">
        <f>IFERROR(IF(INDEX('Faculties'!$M$10:$M$29,MATCH($F66,'Faculties'!$B$10:$B$29,0))="","Cell will autofill based on response",INDEX('Faculties'!$M$10:$M$29,MATCH($F66,'Faculties'!$B$10:$B$29,0))),"N/A")</f>
        <v/>
      </c>
      <c r="I66" s="25">
        <f>IFERROR(IF(INDEX('Faculties'!$M$37:$M$56,MATCH($F66,'Faculties'!$B$37:$B$56,0))="","Cell will autofill based on response",INDEX('Faculties'!$M$37:$M$56,MATCH($F66,'Faculties'!$B$37:$B$56,0))),"N/A")</f>
        <v/>
      </c>
      <c r="J66" s="25">
        <f>IFERROR(IF(INDEX('Faculties'!$M$64:$M$83,MATCH($F66,'Faculties'!$B$64:$B$83,0))="","Cell will autofill based on response",INDEX('Faculties'!$M$64:$M$83,MATCH($F66,'Faculties'!$B$64:$B$83,0))),"N/A")</f>
        <v/>
      </c>
      <c r="K66" s="25">
        <f>IFERROR(IF(INDEX('Faculties'!$M$91:$M$110,MATCH($F66,'Faculties'!$B$91:$B$110,0))="","Cell will autofill based on response",INDEX('Faculties'!$M$91:$M$110,MATCH($F66,'Faculties'!$B$91:$B$110,0))),"N/A")</f>
        <v/>
      </c>
      <c r="L66" s="25">
        <f>IFERROR(IF(INDEX('CI&amp;S'!$M$10:$M$14,MATCH($F66,'CI&amp;S'!$B$10:$B$14,0))="","Cell will autofill based on response",INDEX('CI&amp;S'!$M$10:$M$14,MATCH($F66,'CI&amp;S'!$B$10:$B$14,0))),"N/A")</f>
        <v/>
      </c>
      <c r="M66" s="25">
        <f>IFERROR(IF(INDEX('CI&amp;S'!$M$22:$M$38,MATCH($F66,'CI&amp;S'!$B$22:$B$38,0))="","Cell will autofill based on response",INDEX('CI&amp;S'!$M$22:$M$38,MATCH($F66,'CI&amp;S'!$B$22:$B$38,0))),"N/A")</f>
        <v/>
      </c>
      <c r="N66" s="25">
        <f>IFERROR(IF(INDEX('CFOG'!$M$10:$M$15,MATCH($F66,'CFOG'!$B$10:$B$15,0))="","Cell will autofill based on response",INDEX('CFOG'!$M$10:$M$15,MATCH($F66,'CFOG'!$B$10:$B$15,0))),"N/A")</f>
        <v/>
      </c>
      <c r="O66" s="25">
        <f>IFERROR(IF(INDEX('CFOG'!$M$23:$M$23,MATCH($F66,'CFOG'!$B$23:$B$23,0))="","Cell will autofill based on response",INDEX('CFOG'!$M$23:$M$23,MATCH($F66,'CFOG'!$B$23:$B$23,0))),"N/A")</f>
        <v/>
      </c>
      <c r="P66" s="25">
        <f>IFERROR(IF(INDEX('ESG'!$M$10:$M$16,MATCH($F66,'ESG'!$B$10:$B$16,0))="","Cell will autofill based on response",INDEX('ESG'!$M$10:$M$16,MATCH($F66,'ESG'!$B$10:$B$16,0))),"N/A")</f>
        <v/>
      </c>
      <c r="Q66" s="25">
        <f>IFERROR(IF(INDEX('CIOG'!$M$10:$M$13,MATCH($F66,'CIOG'!$B$10:$B$13,0))="","Cell will autofill based on response",INDEX('CIOG'!$M$10:$M$13,MATCH($F66,'CIOG'!$B$10:$B$13,0))),"N/A")</f>
        <v/>
      </c>
      <c r="R66" s="25">
        <f>IFERROR(IF(INDEX('MRE'!$M$10:$M$11,MATCH($F66,'MRE'!$B$10:$B$11,0))="","Cell will autofill based on response",INDEX('MRE'!$M$10:$M$11,MATCH($F66,'MRE'!$B$10:$B$11,0))),"N/A")</f>
        <v/>
      </c>
    </row>
    <row r="67">
      <c r="A67">
        <f>F67&amp;"|"&amp;G67</f>
        <v/>
      </c>
      <c r="B67" s="29" t="inlineStr"/>
      <c r="C67" s="8" t="inlineStr"/>
      <c r="D67" s="8" t="inlineStr"/>
      <c r="E67" s="8" t="inlineStr"/>
      <c r="F67" s="8" t="inlineStr">
        <is>
          <t>TR2(b)</t>
        </is>
      </c>
      <c r="G67" s="8" t="inlineStr">
        <is>
          <t>OPTION 2:  Indicator level reporting</t>
        </is>
      </c>
      <c r="H67" s="25">
        <f>IFERROR(IF(INDEX('Faculties'!$N$10:$N$29,MATCH($F67,'Faculties'!$B$10:$B$29,0))="","Cell will autofill based on response",INDEX('Faculties'!$N$10:$N$29,MATCH($F67,'Faculties'!$B$10:$B$29,0))),"N/A")</f>
        <v/>
      </c>
      <c r="I67" s="25">
        <f>IFERROR(IF(INDEX('Faculties'!$N$37:$N$56,MATCH($F67,'Faculties'!$B$37:$B$56,0))="","Cell will autofill based on response",INDEX('Faculties'!$N$37:$N$56,MATCH($F67,'Faculties'!$B$37:$B$56,0))),"N/A")</f>
        <v/>
      </c>
      <c r="J67" s="25">
        <f>IFERROR(IF(INDEX('Faculties'!$N$64:$N$83,MATCH($F67,'Faculties'!$B$64:$B$83,0))="","Cell will autofill based on response",INDEX('Faculties'!$N$64:$N$83,MATCH($F67,'Faculties'!$B$64:$B$83,0))),"N/A")</f>
        <v/>
      </c>
      <c r="K67" s="25">
        <f>IFERROR(IF(INDEX('Faculties'!$N$91:$N$110,MATCH($F67,'Faculties'!$B$91:$B$110,0))="","Cell will autofill based on response",INDEX('Faculties'!$N$91:$N$110,MATCH($F67,'Faculties'!$B$91:$B$110,0))),"N/A")</f>
        <v/>
      </c>
      <c r="L67" s="25">
        <f>IFERROR(IF(INDEX('CI&amp;S'!$N$10:$N$14,MATCH($F67,'CI&amp;S'!$B$10:$B$14,0))="","Cell will autofill based on response",INDEX('CI&amp;S'!$N$10:$N$14,MATCH($F67,'CI&amp;S'!$B$10:$B$14,0))),"N/A")</f>
        <v/>
      </c>
      <c r="M67" s="25">
        <f>IFERROR(IF(INDEX('CI&amp;S'!$N$22:$N$38,MATCH($F67,'CI&amp;S'!$B$22:$B$38,0))="","Cell will autofill based on response",INDEX('CI&amp;S'!$N$22:$N$38,MATCH($F67,'CI&amp;S'!$B$22:$B$38,0))),"N/A")</f>
        <v/>
      </c>
      <c r="N67" s="25">
        <f>IFERROR(IF(INDEX('CFOG'!$N$10:$N$15,MATCH($F67,'CFOG'!$B$10:$B$15,0))="","Cell will autofill based on response",INDEX('CFOG'!$N$10:$N$15,MATCH($F67,'CFOG'!$B$10:$B$15,0))),"N/A")</f>
        <v/>
      </c>
      <c r="O67" s="25">
        <f>IFERROR(IF(INDEX('CFOG'!$N$23:$N$23,MATCH($F67,'CFOG'!$B$23:$B$23,0))="","Cell will autofill based on response",INDEX('CFOG'!$N$23:$N$23,MATCH($F67,'CFOG'!$B$23:$B$23,0))),"N/A")</f>
        <v/>
      </c>
      <c r="P67" s="25">
        <f>IFERROR(IF(INDEX('ESG'!$N$10:$N$16,MATCH($F67,'ESG'!$B$10:$B$16,0))="","Cell will autofill based on response",INDEX('ESG'!$N$10:$N$16,MATCH($F67,'ESG'!$B$10:$B$16,0))),"N/A")</f>
        <v/>
      </c>
      <c r="Q67" s="25">
        <f>IFERROR(IF(INDEX('CIOG'!$N$10:$N$13,MATCH($F67,'CIOG'!$B$10:$B$13,0))="","Cell will autofill based on response",INDEX('CIOG'!$N$10:$N$13,MATCH($F67,'CIOG'!$B$10:$B$13,0))),"N/A")</f>
        <v/>
      </c>
      <c r="R67" s="25">
        <f>IFERROR(IF(INDEX('MRE'!$N$10:$N$11,MATCH($F67,'MRE'!$B$10:$B$11,0))="","Cell will autofill based on response",INDEX('MRE'!$N$10:$N$11,MATCH($F67,'MRE'!$B$10:$B$11,0))),"N/A")</f>
        <v/>
      </c>
    </row>
    <row r="68">
      <c r="A68">
        <f>F68&amp;"|"&amp;G68</f>
        <v/>
      </c>
      <c r="B68" s="29" t="inlineStr"/>
      <c r="C68" s="8" t="inlineStr"/>
      <c r="D68" s="8" t="inlineStr"/>
      <c r="E68" s="8" t="inlineStr"/>
      <c r="F68" s="8" t="inlineStr">
        <is>
          <t>TR2(b)</t>
        </is>
      </c>
      <c r="G68" s="8" t="inlineStr">
        <is>
          <t>Supporting information/comments</t>
        </is>
      </c>
      <c r="H68" s="25">
        <f>IFERROR(IF(INDEX('Faculties'!$O$10:$O$29,MATCH($F68,'Faculties'!$B$10:$B$29,0))="","Cell will autofill based on response",INDEX('Faculties'!$O$10:$O$29,MATCH($F68,'Faculties'!$B$10:$B$29,0))),"N/A")</f>
        <v/>
      </c>
      <c r="I68" s="25">
        <f>IFERROR(IF(INDEX('Faculties'!$O$37:$O$56,MATCH($F68,'Faculties'!$B$37:$B$56,0))="","Cell will autofill based on response",INDEX('Faculties'!$O$37:$O$56,MATCH($F68,'Faculties'!$B$37:$B$56,0))),"N/A")</f>
        <v/>
      </c>
      <c r="J68" s="25">
        <f>IFERROR(IF(INDEX('Faculties'!$O$64:$O$83,MATCH($F68,'Faculties'!$B$64:$B$83,0))="","Cell will autofill based on response",INDEX('Faculties'!$O$64:$O$83,MATCH($F68,'Faculties'!$B$64:$B$83,0))),"N/A")</f>
        <v/>
      </c>
      <c r="K68" s="25">
        <f>IFERROR(IF(INDEX('Faculties'!$O$91:$O$110,MATCH($F68,'Faculties'!$B$91:$B$110,0))="","Cell will autofill based on response",INDEX('Faculties'!$O$91:$O$110,MATCH($F68,'Faculties'!$B$91:$B$110,0))),"N/A")</f>
        <v/>
      </c>
      <c r="L68" s="25">
        <f>IFERROR(IF(INDEX('CI&amp;S'!$O$10:$O$14,MATCH($F68,'CI&amp;S'!$B$10:$B$14,0))="","Cell will autofill based on response",INDEX('CI&amp;S'!$O$10:$O$14,MATCH($F68,'CI&amp;S'!$B$10:$B$14,0))),"N/A")</f>
        <v/>
      </c>
      <c r="M68" s="25">
        <f>IFERROR(IF(INDEX('CI&amp;S'!$O$22:$O$38,MATCH($F68,'CI&amp;S'!$B$22:$B$38,0))="","Cell will autofill based on response",INDEX('CI&amp;S'!$O$22:$O$38,MATCH($F68,'CI&amp;S'!$B$22:$B$38,0))),"N/A")</f>
        <v/>
      </c>
      <c r="N68" s="25">
        <f>IFERROR(IF(INDEX('CFOG'!$O$10:$O$15,MATCH($F68,'CFOG'!$B$10:$B$15,0))="","Cell will autofill based on response",INDEX('CFOG'!$O$10:$O$15,MATCH($F68,'CFOG'!$B$10:$B$15,0))),"N/A")</f>
        <v/>
      </c>
      <c r="O68" s="25">
        <f>IFERROR(IF(INDEX('CFOG'!$O$23:$O$23,MATCH($F68,'CFOG'!$B$23:$B$23,0))="","Cell will autofill based on response",INDEX('CFOG'!$O$23:$O$23,MATCH($F68,'CFOG'!$B$23:$B$23,0))),"N/A")</f>
        <v/>
      </c>
      <c r="P68" s="25">
        <f>IFERROR(IF(INDEX('ESG'!$O$10:$O$16,MATCH($F68,'ESG'!$B$10:$B$16,0))="","Cell will autofill based on response",INDEX('ESG'!$O$10:$O$16,MATCH($F68,'ESG'!$B$10:$B$16,0))),"N/A")</f>
        <v/>
      </c>
      <c r="Q68" s="25">
        <f>IFERROR(IF(INDEX('CIOG'!$O$10:$O$13,MATCH($F68,'CIOG'!$B$10:$B$13,0))="","Cell will autofill based on response",INDEX('CIOG'!$O$10:$O$13,MATCH($F68,'CIOG'!$B$10:$B$13,0))),"N/A")</f>
        <v/>
      </c>
      <c r="R68" s="25">
        <f>IFERROR(IF(INDEX('MRE'!$O$10:$O$11,MATCH($F68,'MRE'!$B$10:$B$11,0))="","Cell will autofill based on response",INDEX('MRE'!$O$10:$O$11,MATCH($F68,'MRE'!$B$10:$B$11,0))),"N/A")</f>
        <v/>
      </c>
    </row>
    <row r="69">
      <c r="A69">
        <f>F69&amp;"|"&amp;G69</f>
        <v/>
      </c>
      <c r="B69" s="29" t="inlineStr"/>
      <c r="C69" s="8" t="inlineStr"/>
      <c r="D69" s="8" t="inlineStr"/>
      <c r="E69" s="8" t="inlineStr"/>
      <c r="F69" s="8" t="inlineStr">
        <is>
          <t>TR2(b)</t>
        </is>
      </c>
      <c r="G69" s="8" t="inlineStr">
        <is>
          <t>Data source and limitations</t>
        </is>
      </c>
      <c r="H69" s="25">
        <f>IFERROR(IF(INDEX('Faculties'!$P$10:$P$29,MATCH($F69,'Faculties'!$B$10:$B$29,0))="","Cell will autofill based on response",INDEX('Faculties'!$P$10:$P$29,MATCH($F69,'Faculties'!$B$10:$B$29,0))),"N/A")</f>
        <v/>
      </c>
      <c r="I69" s="25">
        <f>IFERROR(IF(INDEX('Faculties'!$P$37:$P$56,MATCH($F69,'Faculties'!$B$37:$B$56,0))="","Cell will autofill based on response",INDEX('Faculties'!$P$37:$P$56,MATCH($F69,'Faculties'!$B$37:$B$56,0))),"N/A")</f>
        <v/>
      </c>
      <c r="J69" s="25">
        <f>IFERROR(IF(INDEX('Faculties'!$P$64:$P$83,MATCH($F69,'Faculties'!$B$64:$B$83,0))="","Cell will autofill based on response",INDEX('Faculties'!$P$64:$P$83,MATCH($F69,'Faculties'!$B$64:$B$83,0))),"N/A")</f>
        <v/>
      </c>
      <c r="K69" s="25">
        <f>IFERROR(IF(INDEX('Faculties'!$P$91:$P$110,MATCH($F69,'Faculties'!$B$91:$B$110,0))="","Cell will autofill based on response",INDEX('Faculties'!$P$91:$P$110,MATCH($F69,'Faculties'!$B$91:$B$110,0))),"N/A")</f>
        <v/>
      </c>
      <c r="L69" s="25">
        <f>IFERROR(IF(INDEX('CI&amp;S'!$P$10:$P$14,MATCH($F69,'CI&amp;S'!$B$10:$B$14,0))="","Cell will autofill based on response",INDEX('CI&amp;S'!$P$10:$P$14,MATCH($F69,'CI&amp;S'!$B$10:$B$14,0))),"N/A")</f>
        <v/>
      </c>
      <c r="M69" s="25">
        <f>IFERROR(IF(INDEX('CI&amp;S'!$P$22:$P$38,MATCH($F69,'CI&amp;S'!$B$22:$B$38,0))="","Cell will autofill based on response",INDEX('CI&amp;S'!$P$22:$P$38,MATCH($F69,'CI&amp;S'!$B$22:$B$38,0))),"N/A")</f>
        <v/>
      </c>
      <c r="N69" s="25">
        <f>IFERROR(IF(INDEX('CFOG'!$P$10:$P$15,MATCH($F69,'CFOG'!$B$10:$B$15,0))="","Cell will autofill based on response",INDEX('CFOG'!$P$10:$P$15,MATCH($F69,'CFOG'!$B$10:$B$15,0))),"N/A")</f>
        <v/>
      </c>
      <c r="O69" s="25">
        <f>IFERROR(IF(INDEX('CFOG'!$P$23:$P$23,MATCH($F69,'CFOG'!$B$23:$B$23,0))="","Cell will autofill based on response",INDEX('CFOG'!$P$23:$P$23,MATCH($F69,'CFOG'!$B$23:$B$23,0))),"N/A")</f>
        <v/>
      </c>
      <c r="P69" s="25">
        <f>IFERROR(IF(INDEX('ESG'!$P$10:$P$16,MATCH($F69,'ESG'!$B$10:$B$16,0))="","Cell will autofill based on response",INDEX('ESG'!$P$10:$P$16,MATCH($F69,'ESG'!$B$10:$B$16,0))),"N/A")</f>
        <v/>
      </c>
      <c r="Q69" s="25">
        <f>IFERROR(IF(INDEX('CIOG'!$P$10:$P$13,MATCH($F69,'CIOG'!$B$10:$B$13,0))="","Cell will autofill based on response",INDEX('CIOG'!$P$10:$P$13,MATCH($F69,'CIOG'!$B$10:$B$13,0))),"N/A")</f>
        <v/>
      </c>
      <c r="R69" s="25">
        <f>IFERROR(IF(INDEX('MRE'!$P$10:$P$11,MATCH($F69,'MRE'!$B$10:$B$11,0))="","Cell will autofill based on response",INDEX('MRE'!$P$10:$P$11,MATCH($F69,'MRE'!$B$10:$B$11,0))),"N/A")</f>
        <v/>
      </c>
    </row>
    <row r="70">
      <c r="A70">
        <f>F70&amp;"|"&amp;G70</f>
        <v/>
      </c>
      <c r="B70" s="29" t="inlineStr"/>
      <c r="C70" s="8" t="inlineStr"/>
      <c r="D70" s="8" t="inlineStr"/>
      <c r="E70" s="8" t="inlineStr"/>
      <c r="F70" s="8" t="inlineStr">
        <is>
          <t>TR2(b)</t>
        </is>
      </c>
      <c r="G70" s="8" t="inlineStr">
        <is>
          <t>Data owner confirms</t>
        </is>
      </c>
      <c r="H70" s="25">
        <f>IFERROR(IF(INDEX('Faculties'!$Q$10:$Q$29,MATCH($F70,'Faculties'!$B$10:$B$29,0))="","Cell will autofill based on response",INDEX('Faculties'!$Q$10:$Q$29,MATCH($F70,'Faculties'!$B$10:$B$29,0))),"N/A")</f>
        <v/>
      </c>
      <c r="I70" s="25">
        <f>IFERROR(IF(INDEX('Faculties'!$Q$37:$Q$56,MATCH($F70,'Faculties'!$B$37:$B$56,0))="","Cell will autofill based on response",INDEX('Faculties'!$Q$37:$Q$56,MATCH($F70,'Faculties'!$B$37:$B$56,0))),"N/A")</f>
        <v/>
      </c>
      <c r="J70" s="25">
        <f>IFERROR(IF(INDEX('Faculties'!$Q$64:$Q$83,MATCH($F70,'Faculties'!$B$64:$B$83,0))="","Cell will autofill based on response",INDEX('Faculties'!$Q$64:$Q$83,MATCH($F70,'Faculties'!$B$64:$B$83,0))),"N/A")</f>
        <v/>
      </c>
      <c r="K70" s="25">
        <f>IFERROR(IF(INDEX('Faculties'!$Q$91:$Q$110,MATCH($F70,'Faculties'!$B$91:$B$110,0))="","Cell will autofill based on response",INDEX('Faculties'!$Q$91:$Q$110,MATCH($F70,'Faculties'!$B$91:$B$110,0))),"N/A")</f>
        <v/>
      </c>
      <c r="L70" s="25">
        <f>IFERROR(IF(INDEX('CI&amp;S'!$Q$10:$Q$14,MATCH($F70,'CI&amp;S'!$B$10:$B$14,0))="","Cell will autofill based on response",INDEX('CI&amp;S'!$Q$10:$Q$14,MATCH($F70,'CI&amp;S'!$B$10:$B$14,0))),"N/A")</f>
        <v/>
      </c>
      <c r="M70" s="25">
        <f>IFERROR(IF(INDEX('CI&amp;S'!$Q$22:$Q$38,MATCH($F70,'CI&amp;S'!$B$22:$B$38,0))="","Cell will autofill based on response",INDEX('CI&amp;S'!$Q$22:$Q$38,MATCH($F70,'CI&amp;S'!$B$22:$B$38,0))),"N/A")</f>
        <v/>
      </c>
      <c r="N70" s="25">
        <f>IFERROR(IF(INDEX('CFOG'!$Q$10:$Q$15,MATCH($F70,'CFOG'!$B$10:$B$15,0))="","Cell will autofill based on response",INDEX('CFOG'!$Q$10:$Q$15,MATCH($F70,'CFOG'!$B$10:$B$15,0))),"N/A")</f>
        <v/>
      </c>
      <c r="O70" s="25">
        <f>IFERROR(IF(INDEX('CFOG'!$Q$23:$Q$23,MATCH($F70,'CFOG'!$B$23:$B$23,0))="","Cell will autofill based on response",INDEX('CFOG'!$Q$23:$Q$23,MATCH($F70,'CFOG'!$B$23:$B$23,0))),"N/A")</f>
        <v/>
      </c>
      <c r="P70" s="25">
        <f>IFERROR(IF(INDEX('ESG'!$Q$10:$Q$16,MATCH($F70,'ESG'!$B$10:$B$16,0))="","Cell will autofill based on response",INDEX('ESG'!$Q$10:$Q$16,MATCH($F70,'ESG'!$B$10:$B$16,0))),"N/A")</f>
        <v/>
      </c>
      <c r="Q70" s="25">
        <f>IFERROR(IF(INDEX('CIOG'!$Q$10:$Q$13,MATCH($F70,'CIOG'!$B$10:$B$13,0))="","Cell will autofill based on response",INDEX('CIOG'!$Q$10:$Q$13,MATCH($F70,'CIOG'!$B$10:$B$13,0))),"N/A")</f>
        <v/>
      </c>
      <c r="R70" s="25">
        <f>IFERROR(IF(INDEX('MRE'!$Q$10:$Q$11,MATCH($F70,'MRE'!$B$10:$B$11,0))="","Cell will autofill based on response",INDEX('MRE'!$Q$10:$Q$11,MATCH($F70,'MRE'!$B$10:$B$11,0))),"N/A")</f>
        <v/>
      </c>
    </row>
    <row r="71">
      <c r="A71">
        <f>F71&amp;"|"&amp;G71</f>
        <v/>
      </c>
      <c r="B71" s="7" t="inlineStr">
        <is>
          <t>TR2(c)</t>
        </is>
      </c>
      <c r="C71" s="12" t="inlineStr">
        <is>
          <t>Transformational research</t>
        </is>
      </c>
      <c r="D71" s="12" t="inlineStr">
        <is>
          <t>Expert-reviewed summary of sustainability-related research outputs, outcomes and influence using available institutional evidence sources</t>
        </is>
      </c>
      <c r="E71" s="12" t="inlineStr">
        <is>
          <t>currently mapped to the SDGs using SciVal</t>
        </is>
      </c>
      <c r="F71" s="12" t="inlineStr">
        <is>
          <t>TR2(c)</t>
        </is>
      </c>
      <c r="G71" s="12" t="inlineStr">
        <is>
          <t>Confirm end-2026 target status</t>
        </is>
      </c>
      <c r="H71" s="25">
        <f>IFERROR(IF(INDEX('Faculties'!$L$10:$L$29,MATCH($F71,'Faculties'!$B$10:$B$29,0))="","Cell will autofill based on response",INDEX('Faculties'!$L$10:$L$29,MATCH($F71,'Faculties'!$B$10:$B$29,0))),"N/A")</f>
        <v/>
      </c>
      <c r="I71" s="25">
        <f>IFERROR(IF(INDEX('Faculties'!$L$37:$L$56,MATCH($F71,'Faculties'!$B$37:$B$56,0))="","Cell will autofill based on response",INDEX('Faculties'!$L$37:$L$56,MATCH($F71,'Faculties'!$B$37:$B$56,0))),"N/A")</f>
        <v/>
      </c>
      <c r="J71" s="25">
        <f>IFERROR(IF(INDEX('Faculties'!$L$64:$L$83,MATCH($F71,'Faculties'!$B$64:$B$83,0))="","Cell will autofill based on response",INDEX('Faculties'!$L$64:$L$83,MATCH($F71,'Faculties'!$B$64:$B$83,0))),"N/A")</f>
        <v/>
      </c>
      <c r="K71" s="25">
        <f>IFERROR(IF(INDEX('Faculties'!$L$91:$L$110,MATCH($F71,'Faculties'!$B$91:$B$110,0))="","Cell will autofill based on response",INDEX('Faculties'!$L$91:$L$110,MATCH($F71,'Faculties'!$B$91:$B$110,0))),"N/A")</f>
        <v/>
      </c>
      <c r="L71" s="25">
        <f>IFERROR(IF(INDEX('CI&amp;S'!$L$10:$L$14,MATCH($F71,'CI&amp;S'!$B$10:$B$14,0))="","Cell will autofill based on response",INDEX('CI&amp;S'!$L$10:$L$14,MATCH($F71,'CI&amp;S'!$B$10:$B$14,0))),"N/A")</f>
        <v/>
      </c>
      <c r="M71" s="25">
        <f>IFERROR(IF(INDEX('CI&amp;S'!$L$22:$L$38,MATCH($F71,'CI&amp;S'!$B$22:$B$38,0))="","Cell will autofill based on response",INDEX('CI&amp;S'!$L$22:$L$38,MATCH($F71,'CI&amp;S'!$B$22:$B$38,0))),"N/A")</f>
        <v/>
      </c>
      <c r="N71" s="25">
        <f>IFERROR(IF(INDEX('CFOG'!$L$10:$L$15,MATCH($F71,'CFOG'!$B$10:$B$15,0))="","Cell will autofill based on response",INDEX('CFOG'!$L$10:$L$15,MATCH($F71,'CFOG'!$B$10:$B$15,0))),"N/A")</f>
        <v/>
      </c>
      <c r="O71" s="25">
        <f>IFERROR(IF(INDEX('CFOG'!$L$23:$L$23,MATCH($F71,'CFOG'!$B$23:$B$23,0))="","Cell will autofill based on response",INDEX('CFOG'!$L$23:$L$23,MATCH($F71,'CFOG'!$B$23:$B$23,0))),"N/A")</f>
        <v/>
      </c>
      <c r="P71" s="25">
        <f>IFERROR(IF(INDEX('ESG'!$L$10:$L$16,MATCH($F71,'ESG'!$B$10:$B$16,0))="","Cell will autofill based on response",INDEX('ESG'!$L$10:$L$16,MATCH($F71,'ESG'!$B$10:$B$16,0))),"N/A")</f>
        <v/>
      </c>
      <c r="Q71" s="25">
        <f>IFERROR(IF(INDEX('CIOG'!$L$10:$L$13,MATCH($F71,'CIOG'!$B$10:$B$13,0))="","Cell will autofill based on response",INDEX('CIOG'!$L$10:$L$13,MATCH($F71,'CIOG'!$B$10:$B$13,0))),"N/A")</f>
        <v/>
      </c>
      <c r="R71" s="25">
        <f>IFERROR(IF(INDEX('MRE'!$L$10:$L$11,MATCH($F71,'MRE'!$B$10:$B$11,0))="","Cell will autofill based on response",INDEX('MRE'!$L$10:$L$11,MATCH($F71,'MRE'!$B$10:$B$11,0))),"N/A")</f>
        <v/>
      </c>
      <c r="T71" s="26">
        <f>COUNTIF($H71:$R71,"Cell will autofill based on response")</f>
        <v/>
      </c>
      <c r="U71" s="26">
        <f>COUNTIF($H71:$R71,"Not yet started")</f>
        <v/>
      </c>
      <c r="V71" s="26">
        <f>COUNTIF($H71:$R71,"Not met")</f>
        <v/>
      </c>
      <c r="W71" s="26">
        <f>COUNTIF($H71:$R71,"Partially met")</f>
        <v/>
      </c>
      <c r="X71" s="26">
        <f>COUNTIF($H71:$R71,"Met or exceeded")</f>
        <v/>
      </c>
      <c r="Y71" s="26">
        <f>3*X71+2*W71+V71</f>
        <v/>
      </c>
      <c r="Z71" s="26">
        <f>X71+W71+V71+U71</f>
        <v/>
      </c>
      <c r="AA71" s="27">
        <f>IF(Z71&gt;0,Y71/Z71,"No valid responses to date")</f>
        <v/>
      </c>
      <c r="AB71" s="26">
        <f>IF(ISNUMBER(AA71),INDEX(Lists!$G$2:$G$5,MATCH(ROUND(AA71,0),Lists!$H$2:$H$5,0)),"")</f>
        <v/>
      </c>
      <c r="AC71" s="28">
        <f>IF(Z71&gt;0,X71/Z71,"")</f>
        <v/>
      </c>
      <c r="AD71" s="28">
        <f>IF(Z71&gt;0,(X71+W71)/Z71,"")</f>
        <v/>
      </c>
      <c r="AE71" s="26">
        <f>IF(Z71=0,"",IF(AC71&gt;0.75,"Met or exceeded",IF(AD71&gt;=0.5,"Partially met","Not met")))</f>
        <v/>
      </c>
    </row>
    <row r="72">
      <c r="A72">
        <f>F72&amp;"|"&amp;G72</f>
        <v/>
      </c>
      <c r="B72" s="29" t="inlineStr"/>
      <c r="C72" s="8" t="inlineStr"/>
      <c r="D72" s="8" t="inlineStr"/>
      <c r="E72" s="8" t="inlineStr"/>
      <c r="F72" s="8" t="inlineStr">
        <is>
          <t>TR2(c)</t>
        </is>
      </c>
      <c r="G72" s="8" t="inlineStr">
        <is>
          <t>OPTION 1:  Target-level reporting</t>
        </is>
      </c>
      <c r="H72" s="25">
        <f>IFERROR(IF(INDEX('Faculties'!$M$10:$M$29,MATCH($F72,'Faculties'!$B$10:$B$29,0))="","Cell will autofill based on response",INDEX('Faculties'!$M$10:$M$29,MATCH($F72,'Faculties'!$B$10:$B$29,0))),"N/A")</f>
        <v/>
      </c>
      <c r="I72" s="25">
        <f>IFERROR(IF(INDEX('Faculties'!$M$37:$M$56,MATCH($F72,'Faculties'!$B$37:$B$56,0))="","Cell will autofill based on response",INDEX('Faculties'!$M$37:$M$56,MATCH($F72,'Faculties'!$B$37:$B$56,0))),"N/A")</f>
        <v/>
      </c>
      <c r="J72" s="25">
        <f>IFERROR(IF(INDEX('Faculties'!$M$64:$M$83,MATCH($F72,'Faculties'!$B$64:$B$83,0))="","Cell will autofill based on response",INDEX('Faculties'!$M$64:$M$83,MATCH($F72,'Faculties'!$B$64:$B$83,0))),"N/A")</f>
        <v/>
      </c>
      <c r="K72" s="25">
        <f>IFERROR(IF(INDEX('Faculties'!$M$91:$M$110,MATCH($F72,'Faculties'!$B$91:$B$110,0))="","Cell will autofill based on response",INDEX('Faculties'!$M$91:$M$110,MATCH($F72,'Faculties'!$B$91:$B$110,0))),"N/A")</f>
        <v/>
      </c>
      <c r="L72" s="25">
        <f>IFERROR(IF(INDEX('CI&amp;S'!$M$10:$M$14,MATCH($F72,'CI&amp;S'!$B$10:$B$14,0))="","Cell will autofill based on response",INDEX('CI&amp;S'!$M$10:$M$14,MATCH($F72,'CI&amp;S'!$B$10:$B$14,0))),"N/A")</f>
        <v/>
      </c>
      <c r="M72" s="25">
        <f>IFERROR(IF(INDEX('CI&amp;S'!$M$22:$M$38,MATCH($F72,'CI&amp;S'!$B$22:$B$38,0))="","Cell will autofill based on response",INDEX('CI&amp;S'!$M$22:$M$38,MATCH($F72,'CI&amp;S'!$B$22:$B$38,0))),"N/A")</f>
        <v/>
      </c>
      <c r="N72" s="25">
        <f>IFERROR(IF(INDEX('CFOG'!$M$10:$M$15,MATCH($F72,'CFOG'!$B$10:$B$15,0))="","Cell will autofill based on response",INDEX('CFOG'!$M$10:$M$15,MATCH($F72,'CFOG'!$B$10:$B$15,0))),"N/A")</f>
        <v/>
      </c>
      <c r="O72" s="25">
        <f>IFERROR(IF(INDEX('CFOG'!$M$23:$M$23,MATCH($F72,'CFOG'!$B$23:$B$23,0))="","Cell will autofill based on response",INDEX('CFOG'!$M$23:$M$23,MATCH($F72,'CFOG'!$B$23:$B$23,0))),"N/A")</f>
        <v/>
      </c>
      <c r="P72" s="25">
        <f>IFERROR(IF(INDEX('ESG'!$M$10:$M$16,MATCH($F72,'ESG'!$B$10:$B$16,0))="","Cell will autofill based on response",INDEX('ESG'!$M$10:$M$16,MATCH($F72,'ESG'!$B$10:$B$16,0))),"N/A")</f>
        <v/>
      </c>
      <c r="Q72" s="25">
        <f>IFERROR(IF(INDEX('CIOG'!$M$10:$M$13,MATCH($F72,'CIOG'!$B$10:$B$13,0))="","Cell will autofill based on response",INDEX('CIOG'!$M$10:$M$13,MATCH($F72,'CIOG'!$B$10:$B$13,0))),"N/A")</f>
        <v/>
      </c>
      <c r="R72" s="25">
        <f>IFERROR(IF(INDEX('MRE'!$M$10:$M$11,MATCH($F72,'MRE'!$B$10:$B$11,0))="","Cell will autofill based on response",INDEX('MRE'!$M$10:$M$11,MATCH($F72,'MRE'!$B$10:$B$11,0))),"N/A")</f>
        <v/>
      </c>
    </row>
    <row r="73">
      <c r="A73">
        <f>F73&amp;"|"&amp;G73</f>
        <v/>
      </c>
      <c r="B73" s="29" t="inlineStr"/>
      <c r="C73" s="8" t="inlineStr"/>
      <c r="D73" s="8" t="inlineStr"/>
      <c r="E73" s="8" t="inlineStr"/>
      <c r="F73" s="8" t="inlineStr">
        <is>
          <t>TR2(c)</t>
        </is>
      </c>
      <c r="G73" s="8" t="inlineStr">
        <is>
          <t>OPTION 2:  Indicator level reporting</t>
        </is>
      </c>
      <c r="H73" s="25">
        <f>IFERROR(IF(INDEX('Faculties'!$N$10:$N$29,MATCH($F73,'Faculties'!$B$10:$B$29,0))="","Cell will autofill based on response",INDEX('Faculties'!$N$10:$N$29,MATCH($F73,'Faculties'!$B$10:$B$29,0))),"N/A")</f>
        <v/>
      </c>
      <c r="I73" s="25">
        <f>IFERROR(IF(INDEX('Faculties'!$N$37:$N$56,MATCH($F73,'Faculties'!$B$37:$B$56,0))="","Cell will autofill based on response",INDEX('Faculties'!$N$37:$N$56,MATCH($F73,'Faculties'!$B$37:$B$56,0))),"N/A")</f>
        <v/>
      </c>
      <c r="J73" s="25">
        <f>IFERROR(IF(INDEX('Faculties'!$N$64:$N$83,MATCH($F73,'Faculties'!$B$64:$B$83,0))="","Cell will autofill based on response",INDEX('Faculties'!$N$64:$N$83,MATCH($F73,'Faculties'!$B$64:$B$83,0))),"N/A")</f>
        <v/>
      </c>
      <c r="K73" s="25">
        <f>IFERROR(IF(INDEX('Faculties'!$N$91:$N$110,MATCH($F73,'Faculties'!$B$91:$B$110,0))="","Cell will autofill based on response",INDEX('Faculties'!$N$91:$N$110,MATCH($F73,'Faculties'!$B$91:$B$110,0))),"N/A")</f>
        <v/>
      </c>
      <c r="L73" s="25">
        <f>IFERROR(IF(INDEX('CI&amp;S'!$N$10:$N$14,MATCH($F73,'CI&amp;S'!$B$10:$B$14,0))="","Cell will autofill based on response",INDEX('CI&amp;S'!$N$10:$N$14,MATCH($F73,'CI&amp;S'!$B$10:$B$14,0))),"N/A")</f>
        <v/>
      </c>
      <c r="M73" s="25">
        <f>IFERROR(IF(INDEX('CI&amp;S'!$N$22:$N$38,MATCH($F73,'CI&amp;S'!$B$22:$B$38,0))="","Cell will autofill based on response",INDEX('CI&amp;S'!$N$22:$N$38,MATCH($F73,'CI&amp;S'!$B$22:$B$38,0))),"N/A")</f>
        <v/>
      </c>
      <c r="N73" s="25">
        <f>IFERROR(IF(INDEX('CFOG'!$N$10:$N$15,MATCH($F73,'CFOG'!$B$10:$B$15,0))="","Cell will autofill based on response",INDEX('CFOG'!$N$10:$N$15,MATCH($F73,'CFOG'!$B$10:$B$15,0))),"N/A")</f>
        <v/>
      </c>
      <c r="O73" s="25">
        <f>IFERROR(IF(INDEX('CFOG'!$N$23:$N$23,MATCH($F73,'CFOG'!$B$23:$B$23,0))="","Cell will autofill based on response",INDEX('CFOG'!$N$23:$N$23,MATCH($F73,'CFOG'!$B$23:$B$23,0))),"N/A")</f>
        <v/>
      </c>
      <c r="P73" s="25">
        <f>IFERROR(IF(INDEX('ESG'!$N$10:$N$16,MATCH($F73,'ESG'!$B$10:$B$16,0))="","Cell will autofill based on response",INDEX('ESG'!$N$10:$N$16,MATCH($F73,'ESG'!$B$10:$B$16,0))),"N/A")</f>
        <v/>
      </c>
      <c r="Q73" s="25">
        <f>IFERROR(IF(INDEX('CIOG'!$N$10:$N$13,MATCH($F73,'CIOG'!$B$10:$B$13,0))="","Cell will autofill based on response",INDEX('CIOG'!$N$10:$N$13,MATCH($F73,'CIOG'!$B$10:$B$13,0))),"N/A")</f>
        <v/>
      </c>
      <c r="R73" s="25">
        <f>IFERROR(IF(INDEX('MRE'!$N$10:$N$11,MATCH($F73,'MRE'!$B$10:$B$11,0))="","Cell will autofill based on response",INDEX('MRE'!$N$10:$N$11,MATCH($F73,'MRE'!$B$10:$B$11,0))),"N/A")</f>
        <v/>
      </c>
    </row>
    <row r="74">
      <c r="A74">
        <f>F74&amp;"|"&amp;G74</f>
        <v/>
      </c>
      <c r="B74" s="29" t="inlineStr"/>
      <c r="C74" s="8" t="inlineStr"/>
      <c r="D74" s="8" t="inlineStr"/>
      <c r="E74" s="8" t="inlineStr"/>
      <c r="F74" s="8" t="inlineStr">
        <is>
          <t>TR2(c)</t>
        </is>
      </c>
      <c r="G74" s="8" t="inlineStr">
        <is>
          <t>Supporting information/comments</t>
        </is>
      </c>
      <c r="H74" s="25">
        <f>IFERROR(IF(INDEX('Faculties'!$O$10:$O$29,MATCH($F74,'Faculties'!$B$10:$B$29,0))="","Cell will autofill based on response",INDEX('Faculties'!$O$10:$O$29,MATCH($F74,'Faculties'!$B$10:$B$29,0))),"N/A")</f>
        <v/>
      </c>
      <c r="I74" s="25">
        <f>IFERROR(IF(INDEX('Faculties'!$O$37:$O$56,MATCH($F74,'Faculties'!$B$37:$B$56,0))="","Cell will autofill based on response",INDEX('Faculties'!$O$37:$O$56,MATCH($F74,'Faculties'!$B$37:$B$56,0))),"N/A")</f>
        <v/>
      </c>
      <c r="J74" s="25">
        <f>IFERROR(IF(INDEX('Faculties'!$O$64:$O$83,MATCH($F74,'Faculties'!$B$64:$B$83,0))="","Cell will autofill based on response",INDEX('Faculties'!$O$64:$O$83,MATCH($F74,'Faculties'!$B$64:$B$83,0))),"N/A")</f>
        <v/>
      </c>
      <c r="K74" s="25">
        <f>IFERROR(IF(INDEX('Faculties'!$O$91:$O$110,MATCH($F74,'Faculties'!$B$91:$B$110,0))="","Cell will autofill based on response",INDEX('Faculties'!$O$91:$O$110,MATCH($F74,'Faculties'!$B$91:$B$110,0))),"N/A")</f>
        <v/>
      </c>
      <c r="L74" s="25">
        <f>IFERROR(IF(INDEX('CI&amp;S'!$O$10:$O$14,MATCH($F74,'CI&amp;S'!$B$10:$B$14,0))="","Cell will autofill based on response",INDEX('CI&amp;S'!$O$10:$O$14,MATCH($F74,'CI&amp;S'!$B$10:$B$14,0))),"N/A")</f>
        <v/>
      </c>
      <c r="M74" s="25">
        <f>IFERROR(IF(INDEX('CI&amp;S'!$O$22:$O$38,MATCH($F74,'CI&amp;S'!$B$22:$B$38,0))="","Cell will autofill based on response",INDEX('CI&amp;S'!$O$22:$O$38,MATCH($F74,'CI&amp;S'!$B$22:$B$38,0))),"N/A")</f>
        <v/>
      </c>
      <c r="N74" s="25">
        <f>IFERROR(IF(INDEX('CFOG'!$O$10:$O$15,MATCH($F74,'CFOG'!$B$10:$B$15,0))="","Cell will autofill based on response",INDEX('CFOG'!$O$10:$O$15,MATCH($F74,'CFOG'!$B$10:$B$15,0))),"N/A")</f>
        <v/>
      </c>
      <c r="O74" s="25">
        <f>IFERROR(IF(INDEX('CFOG'!$O$23:$O$23,MATCH($F74,'CFOG'!$B$23:$B$23,0))="","Cell will autofill based on response",INDEX('CFOG'!$O$23:$O$23,MATCH($F74,'CFOG'!$B$23:$B$23,0))),"N/A")</f>
        <v/>
      </c>
      <c r="P74" s="25">
        <f>IFERROR(IF(INDEX('ESG'!$O$10:$O$16,MATCH($F74,'ESG'!$B$10:$B$16,0))="","Cell will autofill based on response",INDEX('ESG'!$O$10:$O$16,MATCH($F74,'ESG'!$B$10:$B$16,0))),"N/A")</f>
        <v/>
      </c>
      <c r="Q74" s="25">
        <f>IFERROR(IF(INDEX('CIOG'!$O$10:$O$13,MATCH($F74,'CIOG'!$B$10:$B$13,0))="","Cell will autofill based on response",INDEX('CIOG'!$O$10:$O$13,MATCH($F74,'CIOG'!$B$10:$B$13,0))),"N/A")</f>
        <v/>
      </c>
      <c r="R74" s="25">
        <f>IFERROR(IF(INDEX('MRE'!$O$10:$O$11,MATCH($F74,'MRE'!$B$10:$B$11,0))="","Cell will autofill based on response",INDEX('MRE'!$O$10:$O$11,MATCH($F74,'MRE'!$B$10:$B$11,0))),"N/A")</f>
        <v/>
      </c>
    </row>
    <row r="75">
      <c r="A75">
        <f>F75&amp;"|"&amp;G75</f>
        <v/>
      </c>
      <c r="B75" s="29" t="inlineStr"/>
      <c r="C75" s="8" t="inlineStr"/>
      <c r="D75" s="8" t="inlineStr"/>
      <c r="E75" s="8" t="inlineStr"/>
      <c r="F75" s="8" t="inlineStr">
        <is>
          <t>TR2(c)</t>
        </is>
      </c>
      <c r="G75" s="8" t="inlineStr">
        <is>
          <t>Data source and limitations</t>
        </is>
      </c>
      <c r="H75" s="25">
        <f>IFERROR(IF(INDEX('Faculties'!$P$10:$P$29,MATCH($F75,'Faculties'!$B$10:$B$29,0))="","Cell will autofill based on response",INDEX('Faculties'!$P$10:$P$29,MATCH($F75,'Faculties'!$B$10:$B$29,0))),"N/A")</f>
        <v/>
      </c>
      <c r="I75" s="25">
        <f>IFERROR(IF(INDEX('Faculties'!$P$37:$P$56,MATCH($F75,'Faculties'!$B$37:$B$56,0))="","Cell will autofill based on response",INDEX('Faculties'!$P$37:$P$56,MATCH($F75,'Faculties'!$B$37:$B$56,0))),"N/A")</f>
        <v/>
      </c>
      <c r="J75" s="25">
        <f>IFERROR(IF(INDEX('Faculties'!$P$64:$P$83,MATCH($F75,'Faculties'!$B$64:$B$83,0))="","Cell will autofill based on response",INDEX('Faculties'!$P$64:$P$83,MATCH($F75,'Faculties'!$B$64:$B$83,0))),"N/A")</f>
        <v/>
      </c>
      <c r="K75" s="25">
        <f>IFERROR(IF(INDEX('Faculties'!$P$91:$P$110,MATCH($F75,'Faculties'!$B$91:$B$110,0))="","Cell will autofill based on response",INDEX('Faculties'!$P$91:$P$110,MATCH($F75,'Faculties'!$B$91:$B$110,0))),"N/A")</f>
        <v/>
      </c>
      <c r="L75" s="25">
        <f>IFERROR(IF(INDEX('CI&amp;S'!$P$10:$P$14,MATCH($F75,'CI&amp;S'!$B$10:$B$14,0))="","Cell will autofill based on response",INDEX('CI&amp;S'!$P$10:$P$14,MATCH($F75,'CI&amp;S'!$B$10:$B$14,0))),"N/A")</f>
        <v/>
      </c>
      <c r="M75" s="25">
        <f>IFERROR(IF(INDEX('CI&amp;S'!$P$22:$P$38,MATCH($F75,'CI&amp;S'!$B$22:$B$38,0))="","Cell will autofill based on response",INDEX('CI&amp;S'!$P$22:$P$38,MATCH($F75,'CI&amp;S'!$B$22:$B$38,0))),"N/A")</f>
        <v/>
      </c>
      <c r="N75" s="25">
        <f>IFERROR(IF(INDEX('CFOG'!$P$10:$P$15,MATCH($F75,'CFOG'!$B$10:$B$15,0))="","Cell will autofill based on response",INDEX('CFOG'!$P$10:$P$15,MATCH($F75,'CFOG'!$B$10:$B$15,0))),"N/A")</f>
        <v/>
      </c>
      <c r="O75" s="25">
        <f>IFERROR(IF(INDEX('CFOG'!$P$23:$P$23,MATCH($F75,'CFOG'!$B$23:$B$23,0))="","Cell will autofill based on response",INDEX('CFOG'!$P$23:$P$23,MATCH($F75,'CFOG'!$B$23:$B$23,0))),"N/A")</f>
        <v/>
      </c>
      <c r="P75" s="25">
        <f>IFERROR(IF(INDEX('ESG'!$P$10:$P$16,MATCH($F75,'ESG'!$B$10:$B$16,0))="","Cell will autofill based on response",INDEX('ESG'!$P$10:$P$16,MATCH($F75,'ESG'!$B$10:$B$16,0))),"N/A")</f>
        <v/>
      </c>
      <c r="Q75" s="25">
        <f>IFERROR(IF(INDEX('CIOG'!$P$10:$P$13,MATCH($F75,'CIOG'!$B$10:$B$13,0))="","Cell will autofill based on response",INDEX('CIOG'!$P$10:$P$13,MATCH($F75,'CIOG'!$B$10:$B$13,0))),"N/A")</f>
        <v/>
      </c>
      <c r="R75" s="25">
        <f>IFERROR(IF(INDEX('MRE'!$P$10:$P$11,MATCH($F75,'MRE'!$B$10:$B$11,0))="","Cell will autofill based on response",INDEX('MRE'!$P$10:$P$11,MATCH($F75,'MRE'!$B$10:$B$11,0))),"N/A")</f>
        <v/>
      </c>
    </row>
    <row r="76">
      <c r="A76">
        <f>F76&amp;"|"&amp;G76</f>
        <v/>
      </c>
      <c r="B76" s="29" t="inlineStr"/>
      <c r="C76" s="8" t="inlineStr"/>
      <c r="D76" s="8" t="inlineStr"/>
      <c r="E76" s="8" t="inlineStr"/>
      <c r="F76" s="8" t="inlineStr">
        <is>
          <t>TR2(c)</t>
        </is>
      </c>
      <c r="G76" s="8" t="inlineStr">
        <is>
          <t>Data owner confirms</t>
        </is>
      </c>
      <c r="H76" s="25">
        <f>IFERROR(IF(INDEX('Faculties'!$Q$10:$Q$29,MATCH($F76,'Faculties'!$B$10:$B$29,0))="","Cell will autofill based on response",INDEX('Faculties'!$Q$10:$Q$29,MATCH($F76,'Faculties'!$B$10:$B$29,0))),"N/A")</f>
        <v/>
      </c>
      <c r="I76" s="25">
        <f>IFERROR(IF(INDEX('Faculties'!$Q$37:$Q$56,MATCH($F76,'Faculties'!$B$37:$B$56,0))="","Cell will autofill based on response",INDEX('Faculties'!$Q$37:$Q$56,MATCH($F76,'Faculties'!$B$37:$B$56,0))),"N/A")</f>
        <v/>
      </c>
      <c r="J76" s="25">
        <f>IFERROR(IF(INDEX('Faculties'!$Q$64:$Q$83,MATCH($F76,'Faculties'!$B$64:$B$83,0))="","Cell will autofill based on response",INDEX('Faculties'!$Q$64:$Q$83,MATCH($F76,'Faculties'!$B$64:$B$83,0))),"N/A")</f>
        <v/>
      </c>
      <c r="K76" s="25">
        <f>IFERROR(IF(INDEX('Faculties'!$Q$91:$Q$110,MATCH($F76,'Faculties'!$B$91:$B$110,0))="","Cell will autofill based on response",INDEX('Faculties'!$Q$91:$Q$110,MATCH($F76,'Faculties'!$B$91:$B$110,0))),"N/A")</f>
        <v/>
      </c>
      <c r="L76" s="25">
        <f>IFERROR(IF(INDEX('CI&amp;S'!$Q$10:$Q$14,MATCH($F76,'CI&amp;S'!$B$10:$B$14,0))="","Cell will autofill based on response",INDEX('CI&amp;S'!$Q$10:$Q$14,MATCH($F76,'CI&amp;S'!$B$10:$B$14,0))),"N/A")</f>
        <v/>
      </c>
      <c r="M76" s="25">
        <f>IFERROR(IF(INDEX('CI&amp;S'!$Q$22:$Q$38,MATCH($F76,'CI&amp;S'!$B$22:$B$38,0))="","Cell will autofill based on response",INDEX('CI&amp;S'!$Q$22:$Q$38,MATCH($F76,'CI&amp;S'!$B$22:$B$38,0))),"N/A")</f>
        <v/>
      </c>
      <c r="N76" s="25">
        <f>IFERROR(IF(INDEX('CFOG'!$Q$10:$Q$15,MATCH($F76,'CFOG'!$B$10:$B$15,0))="","Cell will autofill based on response",INDEX('CFOG'!$Q$10:$Q$15,MATCH($F76,'CFOG'!$B$10:$B$15,0))),"N/A")</f>
        <v/>
      </c>
      <c r="O76" s="25">
        <f>IFERROR(IF(INDEX('CFOG'!$Q$23:$Q$23,MATCH($F76,'CFOG'!$B$23:$B$23,0))="","Cell will autofill based on response",INDEX('CFOG'!$Q$23:$Q$23,MATCH($F76,'CFOG'!$B$23:$B$23,0))),"N/A")</f>
        <v/>
      </c>
      <c r="P76" s="25">
        <f>IFERROR(IF(INDEX('ESG'!$Q$10:$Q$16,MATCH($F76,'ESG'!$B$10:$B$16,0))="","Cell will autofill based on response",INDEX('ESG'!$Q$10:$Q$16,MATCH($F76,'ESG'!$B$10:$B$16,0))),"N/A")</f>
        <v/>
      </c>
      <c r="Q76" s="25">
        <f>IFERROR(IF(INDEX('CIOG'!$Q$10:$Q$13,MATCH($F76,'CIOG'!$B$10:$B$13,0))="","Cell will autofill based on response",INDEX('CIOG'!$Q$10:$Q$13,MATCH($F76,'CIOG'!$B$10:$B$13,0))),"N/A")</f>
        <v/>
      </c>
      <c r="R76" s="25">
        <f>IFERROR(IF(INDEX('MRE'!$Q$10:$Q$11,MATCH($F76,'MRE'!$B$10:$B$11,0))="","Cell will autofill based on response",INDEX('MRE'!$Q$10:$Q$11,MATCH($F76,'MRE'!$B$10:$B$11,0))),"N/A")</f>
        <v/>
      </c>
    </row>
    <row r="77">
      <c r="A77">
        <f>F77&amp;"|"&amp;G77</f>
        <v/>
      </c>
      <c r="B77" s="7" t="inlineStr">
        <is>
          <t>TR2(d)</t>
        </is>
      </c>
      <c r="C77" s="12" t="inlineStr">
        <is>
          <t>Transformational research</t>
        </is>
      </c>
      <c r="D77" s="12" t="inlineStr">
        <is>
          <t>Case-based evidence demonstrating how research has contributed to meaningful sustainability outcomes.</t>
        </is>
      </c>
      <c r="E77" s="12"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7" s="12" t="inlineStr">
        <is>
          <t>TR2(d)</t>
        </is>
      </c>
      <c r="G77" s="12" t="inlineStr">
        <is>
          <t>Confirm end-2026 target status</t>
        </is>
      </c>
      <c r="H77" s="25">
        <f>IFERROR(IF(INDEX('Faculties'!$L$10:$L$29,MATCH($F77,'Faculties'!$B$10:$B$29,0))="","Cell will autofill based on response",INDEX('Faculties'!$L$10:$L$29,MATCH($F77,'Faculties'!$B$10:$B$29,0))),"N/A")</f>
        <v/>
      </c>
      <c r="I77" s="25">
        <f>IFERROR(IF(INDEX('Faculties'!$L$37:$L$56,MATCH($F77,'Faculties'!$B$37:$B$56,0))="","Cell will autofill based on response",INDEX('Faculties'!$L$37:$L$56,MATCH($F77,'Faculties'!$B$37:$B$56,0))),"N/A")</f>
        <v/>
      </c>
      <c r="J77" s="25">
        <f>IFERROR(IF(INDEX('Faculties'!$L$64:$L$83,MATCH($F77,'Faculties'!$B$64:$B$83,0))="","Cell will autofill based on response",INDEX('Faculties'!$L$64:$L$83,MATCH($F77,'Faculties'!$B$64:$B$83,0))),"N/A")</f>
        <v/>
      </c>
      <c r="K77" s="25">
        <f>IFERROR(IF(INDEX('Faculties'!$L$91:$L$110,MATCH($F77,'Faculties'!$B$91:$B$110,0))="","Cell will autofill based on response",INDEX('Faculties'!$L$91:$L$110,MATCH($F77,'Faculties'!$B$91:$B$110,0))),"N/A")</f>
        <v/>
      </c>
      <c r="L77" s="25">
        <f>IFERROR(IF(INDEX('CI&amp;S'!$L$10:$L$14,MATCH($F77,'CI&amp;S'!$B$10:$B$14,0))="","Cell will autofill based on response",INDEX('CI&amp;S'!$L$10:$L$14,MATCH($F77,'CI&amp;S'!$B$10:$B$14,0))),"N/A")</f>
        <v/>
      </c>
      <c r="M77" s="25">
        <f>IFERROR(IF(INDEX('CI&amp;S'!$L$22:$L$38,MATCH($F77,'CI&amp;S'!$B$22:$B$38,0))="","Cell will autofill based on response",INDEX('CI&amp;S'!$L$22:$L$38,MATCH($F77,'CI&amp;S'!$B$22:$B$38,0))),"N/A")</f>
        <v/>
      </c>
      <c r="N77" s="25">
        <f>IFERROR(IF(INDEX('CFOG'!$L$10:$L$15,MATCH($F77,'CFOG'!$B$10:$B$15,0))="","Cell will autofill based on response",INDEX('CFOG'!$L$10:$L$15,MATCH($F77,'CFOG'!$B$10:$B$15,0))),"N/A")</f>
        <v/>
      </c>
      <c r="O77" s="25">
        <f>IFERROR(IF(INDEX('CFOG'!$L$23:$L$23,MATCH($F77,'CFOG'!$B$23:$B$23,0))="","Cell will autofill based on response",INDEX('CFOG'!$L$23:$L$23,MATCH($F77,'CFOG'!$B$23:$B$23,0))),"N/A")</f>
        <v/>
      </c>
      <c r="P77" s="25">
        <f>IFERROR(IF(INDEX('ESG'!$L$10:$L$16,MATCH($F77,'ESG'!$B$10:$B$16,0))="","Cell will autofill based on response",INDEX('ESG'!$L$10:$L$16,MATCH($F77,'ESG'!$B$10:$B$16,0))),"N/A")</f>
        <v/>
      </c>
      <c r="Q77" s="25">
        <f>IFERROR(IF(INDEX('CIOG'!$L$10:$L$13,MATCH($F77,'CIOG'!$B$10:$B$13,0))="","Cell will autofill based on response",INDEX('CIOG'!$L$10:$L$13,MATCH($F77,'CIOG'!$B$10:$B$13,0))),"N/A")</f>
        <v/>
      </c>
      <c r="R77" s="25">
        <f>IFERROR(IF(INDEX('MRE'!$L$10:$L$11,MATCH($F77,'MRE'!$B$10:$B$11,0))="","Cell will autofill based on response",INDEX('MRE'!$L$10:$L$11,MATCH($F77,'MRE'!$B$10:$B$11,0))),"N/A")</f>
        <v/>
      </c>
      <c r="T77" s="26">
        <f>COUNTIF($H77:$R77,"Cell will autofill based on response")</f>
        <v/>
      </c>
      <c r="U77" s="26">
        <f>COUNTIF($H77:$R77,"Not yet started")</f>
        <v/>
      </c>
      <c r="V77" s="26">
        <f>COUNTIF($H77:$R77,"Not met")</f>
        <v/>
      </c>
      <c r="W77" s="26">
        <f>COUNTIF($H77:$R77,"Partially met")</f>
        <v/>
      </c>
      <c r="X77" s="26">
        <f>COUNTIF($H77:$R77,"Met or exceeded")</f>
        <v/>
      </c>
      <c r="Y77" s="26">
        <f>3*X77+2*W77+V77</f>
        <v/>
      </c>
      <c r="Z77" s="26">
        <f>X77+W77+V77+U77</f>
        <v/>
      </c>
      <c r="AA77" s="27">
        <f>IF(Z77&gt;0,Y77/Z77,"No valid responses to date")</f>
        <v/>
      </c>
      <c r="AB77" s="26">
        <f>IF(ISNUMBER(AA77),INDEX(Lists!$G$2:$G$5,MATCH(ROUND(AA77,0),Lists!$H$2:$H$5,0)),"")</f>
        <v/>
      </c>
      <c r="AC77" s="28">
        <f>IF(Z77&gt;0,X77/Z77,"")</f>
        <v/>
      </c>
      <c r="AD77" s="28">
        <f>IF(Z77&gt;0,(X77+W77)/Z77,"")</f>
        <v/>
      </c>
      <c r="AE77" s="26">
        <f>IF(Z77=0,"",IF(AC77&gt;0.75,"Met or exceeded",IF(AD77&gt;=0.5,"Partially met","Not met")))</f>
        <v/>
      </c>
    </row>
    <row r="78">
      <c r="A78">
        <f>F78&amp;"|"&amp;G78</f>
        <v/>
      </c>
      <c r="B78" s="29" t="inlineStr"/>
      <c r="C78" s="8" t="inlineStr"/>
      <c r="D78" s="8" t="inlineStr"/>
      <c r="E78" s="8" t="inlineStr"/>
      <c r="F78" s="8" t="inlineStr">
        <is>
          <t>TR2(d)</t>
        </is>
      </c>
      <c r="G78" s="8" t="inlineStr">
        <is>
          <t>OPTION 1:  Target-level reporting</t>
        </is>
      </c>
      <c r="H78" s="25">
        <f>IFERROR(IF(INDEX('Faculties'!$M$10:$M$29,MATCH($F78,'Faculties'!$B$10:$B$29,0))="","Cell will autofill based on response",INDEX('Faculties'!$M$10:$M$29,MATCH($F78,'Faculties'!$B$10:$B$29,0))),"N/A")</f>
        <v/>
      </c>
      <c r="I78" s="25">
        <f>IFERROR(IF(INDEX('Faculties'!$M$37:$M$56,MATCH($F78,'Faculties'!$B$37:$B$56,0))="","Cell will autofill based on response",INDEX('Faculties'!$M$37:$M$56,MATCH($F78,'Faculties'!$B$37:$B$56,0))),"N/A")</f>
        <v/>
      </c>
      <c r="J78" s="25">
        <f>IFERROR(IF(INDEX('Faculties'!$M$64:$M$83,MATCH($F78,'Faculties'!$B$64:$B$83,0))="","Cell will autofill based on response",INDEX('Faculties'!$M$64:$M$83,MATCH($F78,'Faculties'!$B$64:$B$83,0))),"N/A")</f>
        <v/>
      </c>
      <c r="K78" s="25">
        <f>IFERROR(IF(INDEX('Faculties'!$M$91:$M$110,MATCH($F78,'Faculties'!$B$91:$B$110,0))="","Cell will autofill based on response",INDEX('Faculties'!$M$91:$M$110,MATCH($F78,'Faculties'!$B$91:$B$110,0))),"N/A")</f>
        <v/>
      </c>
      <c r="L78" s="25">
        <f>IFERROR(IF(INDEX('CI&amp;S'!$M$10:$M$14,MATCH($F78,'CI&amp;S'!$B$10:$B$14,0))="","Cell will autofill based on response",INDEX('CI&amp;S'!$M$10:$M$14,MATCH($F78,'CI&amp;S'!$B$10:$B$14,0))),"N/A")</f>
        <v/>
      </c>
      <c r="M78" s="25">
        <f>IFERROR(IF(INDEX('CI&amp;S'!$M$22:$M$38,MATCH($F78,'CI&amp;S'!$B$22:$B$38,0))="","Cell will autofill based on response",INDEX('CI&amp;S'!$M$22:$M$38,MATCH($F78,'CI&amp;S'!$B$22:$B$38,0))),"N/A")</f>
        <v/>
      </c>
      <c r="N78" s="25">
        <f>IFERROR(IF(INDEX('CFOG'!$M$10:$M$15,MATCH($F78,'CFOG'!$B$10:$B$15,0))="","Cell will autofill based on response",INDEX('CFOG'!$M$10:$M$15,MATCH($F78,'CFOG'!$B$10:$B$15,0))),"N/A")</f>
        <v/>
      </c>
      <c r="O78" s="25">
        <f>IFERROR(IF(INDEX('CFOG'!$M$23:$M$23,MATCH($F78,'CFOG'!$B$23:$B$23,0))="","Cell will autofill based on response",INDEX('CFOG'!$M$23:$M$23,MATCH($F78,'CFOG'!$B$23:$B$23,0))),"N/A")</f>
        <v/>
      </c>
      <c r="P78" s="25">
        <f>IFERROR(IF(INDEX('ESG'!$M$10:$M$16,MATCH($F78,'ESG'!$B$10:$B$16,0))="","Cell will autofill based on response",INDEX('ESG'!$M$10:$M$16,MATCH($F78,'ESG'!$B$10:$B$16,0))),"N/A")</f>
        <v/>
      </c>
      <c r="Q78" s="25">
        <f>IFERROR(IF(INDEX('CIOG'!$M$10:$M$13,MATCH($F78,'CIOG'!$B$10:$B$13,0))="","Cell will autofill based on response",INDEX('CIOG'!$M$10:$M$13,MATCH($F78,'CIOG'!$B$10:$B$13,0))),"N/A")</f>
        <v/>
      </c>
      <c r="R78" s="25">
        <f>IFERROR(IF(INDEX('MRE'!$M$10:$M$11,MATCH($F78,'MRE'!$B$10:$B$11,0))="","Cell will autofill based on response",INDEX('MRE'!$M$10:$M$11,MATCH($F78,'MRE'!$B$10:$B$11,0))),"N/A")</f>
        <v/>
      </c>
    </row>
    <row r="79">
      <c r="A79">
        <f>F79&amp;"|"&amp;G79</f>
        <v/>
      </c>
      <c r="B79" s="29" t="inlineStr"/>
      <c r="C79" s="8" t="inlineStr"/>
      <c r="D79" s="8" t="inlineStr"/>
      <c r="E79" s="8" t="inlineStr"/>
      <c r="F79" s="8" t="inlineStr">
        <is>
          <t>TR2(d)</t>
        </is>
      </c>
      <c r="G79" s="8" t="inlineStr">
        <is>
          <t>OPTION 2:  Indicator level reporting</t>
        </is>
      </c>
      <c r="H79" s="25">
        <f>IFERROR(IF(INDEX('Faculties'!$N$10:$N$29,MATCH($F79,'Faculties'!$B$10:$B$29,0))="","Cell will autofill based on response",INDEX('Faculties'!$N$10:$N$29,MATCH($F79,'Faculties'!$B$10:$B$29,0))),"N/A")</f>
        <v/>
      </c>
      <c r="I79" s="25">
        <f>IFERROR(IF(INDEX('Faculties'!$N$37:$N$56,MATCH($F79,'Faculties'!$B$37:$B$56,0))="","Cell will autofill based on response",INDEX('Faculties'!$N$37:$N$56,MATCH($F79,'Faculties'!$B$37:$B$56,0))),"N/A")</f>
        <v/>
      </c>
      <c r="J79" s="25">
        <f>IFERROR(IF(INDEX('Faculties'!$N$64:$N$83,MATCH($F79,'Faculties'!$B$64:$B$83,0))="","Cell will autofill based on response",INDEX('Faculties'!$N$64:$N$83,MATCH($F79,'Faculties'!$B$64:$B$83,0))),"N/A")</f>
        <v/>
      </c>
      <c r="K79" s="25">
        <f>IFERROR(IF(INDEX('Faculties'!$N$91:$N$110,MATCH($F79,'Faculties'!$B$91:$B$110,0))="","Cell will autofill based on response",INDEX('Faculties'!$N$91:$N$110,MATCH($F79,'Faculties'!$B$91:$B$110,0))),"N/A")</f>
        <v/>
      </c>
      <c r="L79" s="25">
        <f>IFERROR(IF(INDEX('CI&amp;S'!$N$10:$N$14,MATCH($F79,'CI&amp;S'!$B$10:$B$14,0))="","Cell will autofill based on response",INDEX('CI&amp;S'!$N$10:$N$14,MATCH($F79,'CI&amp;S'!$B$10:$B$14,0))),"N/A")</f>
        <v/>
      </c>
      <c r="M79" s="25">
        <f>IFERROR(IF(INDEX('CI&amp;S'!$N$22:$N$38,MATCH($F79,'CI&amp;S'!$B$22:$B$38,0))="","Cell will autofill based on response",INDEX('CI&amp;S'!$N$22:$N$38,MATCH($F79,'CI&amp;S'!$B$22:$B$38,0))),"N/A")</f>
        <v/>
      </c>
      <c r="N79" s="25">
        <f>IFERROR(IF(INDEX('CFOG'!$N$10:$N$15,MATCH($F79,'CFOG'!$B$10:$B$15,0))="","Cell will autofill based on response",INDEX('CFOG'!$N$10:$N$15,MATCH($F79,'CFOG'!$B$10:$B$15,0))),"N/A")</f>
        <v/>
      </c>
      <c r="O79" s="25">
        <f>IFERROR(IF(INDEX('CFOG'!$N$23:$N$23,MATCH($F79,'CFOG'!$B$23:$B$23,0))="","Cell will autofill based on response",INDEX('CFOG'!$N$23:$N$23,MATCH($F79,'CFOG'!$B$23:$B$23,0))),"N/A")</f>
        <v/>
      </c>
      <c r="P79" s="25">
        <f>IFERROR(IF(INDEX('ESG'!$N$10:$N$16,MATCH($F79,'ESG'!$B$10:$B$16,0))="","Cell will autofill based on response",INDEX('ESG'!$N$10:$N$16,MATCH($F79,'ESG'!$B$10:$B$16,0))),"N/A")</f>
        <v/>
      </c>
      <c r="Q79" s="25">
        <f>IFERROR(IF(INDEX('CIOG'!$N$10:$N$13,MATCH($F79,'CIOG'!$B$10:$B$13,0))="","Cell will autofill based on response",INDEX('CIOG'!$N$10:$N$13,MATCH($F79,'CIOG'!$B$10:$B$13,0))),"N/A")</f>
        <v/>
      </c>
      <c r="R79" s="25">
        <f>IFERROR(IF(INDEX('MRE'!$N$10:$N$11,MATCH($F79,'MRE'!$B$10:$B$11,0))="","Cell will autofill based on response",INDEX('MRE'!$N$10:$N$11,MATCH($F79,'MRE'!$B$10:$B$11,0))),"N/A")</f>
        <v/>
      </c>
    </row>
    <row r="80">
      <c r="A80">
        <f>F80&amp;"|"&amp;G80</f>
        <v/>
      </c>
      <c r="B80" s="29" t="inlineStr"/>
      <c r="C80" s="8" t="inlineStr"/>
      <c r="D80" s="8" t="inlineStr"/>
      <c r="E80" s="8" t="inlineStr"/>
      <c r="F80" s="8" t="inlineStr">
        <is>
          <t>TR2(d)</t>
        </is>
      </c>
      <c r="G80" s="8" t="inlineStr">
        <is>
          <t>Supporting information/comments</t>
        </is>
      </c>
      <c r="H80" s="25">
        <f>IFERROR(IF(INDEX('Faculties'!$O$10:$O$29,MATCH($F80,'Faculties'!$B$10:$B$29,0))="","Cell will autofill based on response",INDEX('Faculties'!$O$10:$O$29,MATCH($F80,'Faculties'!$B$10:$B$29,0))),"N/A")</f>
        <v/>
      </c>
      <c r="I80" s="25">
        <f>IFERROR(IF(INDEX('Faculties'!$O$37:$O$56,MATCH($F80,'Faculties'!$B$37:$B$56,0))="","Cell will autofill based on response",INDEX('Faculties'!$O$37:$O$56,MATCH($F80,'Faculties'!$B$37:$B$56,0))),"N/A")</f>
        <v/>
      </c>
      <c r="J80" s="25">
        <f>IFERROR(IF(INDEX('Faculties'!$O$64:$O$83,MATCH($F80,'Faculties'!$B$64:$B$83,0))="","Cell will autofill based on response",INDEX('Faculties'!$O$64:$O$83,MATCH($F80,'Faculties'!$B$64:$B$83,0))),"N/A")</f>
        <v/>
      </c>
      <c r="K80" s="25">
        <f>IFERROR(IF(INDEX('Faculties'!$O$91:$O$110,MATCH($F80,'Faculties'!$B$91:$B$110,0))="","Cell will autofill based on response",INDEX('Faculties'!$O$91:$O$110,MATCH($F80,'Faculties'!$B$91:$B$110,0))),"N/A")</f>
        <v/>
      </c>
      <c r="L80" s="25">
        <f>IFERROR(IF(INDEX('CI&amp;S'!$O$10:$O$14,MATCH($F80,'CI&amp;S'!$B$10:$B$14,0))="","Cell will autofill based on response",INDEX('CI&amp;S'!$O$10:$O$14,MATCH($F80,'CI&amp;S'!$B$10:$B$14,0))),"N/A")</f>
        <v/>
      </c>
      <c r="M80" s="25">
        <f>IFERROR(IF(INDEX('CI&amp;S'!$O$22:$O$38,MATCH($F80,'CI&amp;S'!$B$22:$B$38,0))="","Cell will autofill based on response",INDEX('CI&amp;S'!$O$22:$O$38,MATCH($F80,'CI&amp;S'!$B$22:$B$38,0))),"N/A")</f>
        <v/>
      </c>
      <c r="N80" s="25">
        <f>IFERROR(IF(INDEX('CFOG'!$O$10:$O$15,MATCH($F80,'CFOG'!$B$10:$B$15,0))="","Cell will autofill based on response",INDEX('CFOG'!$O$10:$O$15,MATCH($F80,'CFOG'!$B$10:$B$15,0))),"N/A")</f>
        <v/>
      </c>
      <c r="O80" s="25">
        <f>IFERROR(IF(INDEX('CFOG'!$O$23:$O$23,MATCH($F80,'CFOG'!$B$23:$B$23,0))="","Cell will autofill based on response",INDEX('CFOG'!$O$23:$O$23,MATCH($F80,'CFOG'!$B$23:$B$23,0))),"N/A")</f>
        <v/>
      </c>
      <c r="P80" s="25">
        <f>IFERROR(IF(INDEX('ESG'!$O$10:$O$16,MATCH($F80,'ESG'!$B$10:$B$16,0))="","Cell will autofill based on response",INDEX('ESG'!$O$10:$O$16,MATCH($F80,'ESG'!$B$10:$B$16,0))),"N/A")</f>
        <v/>
      </c>
      <c r="Q80" s="25">
        <f>IFERROR(IF(INDEX('CIOG'!$O$10:$O$13,MATCH($F80,'CIOG'!$B$10:$B$13,0))="","Cell will autofill based on response",INDEX('CIOG'!$O$10:$O$13,MATCH($F80,'CIOG'!$B$10:$B$13,0))),"N/A")</f>
        <v/>
      </c>
      <c r="R80" s="25">
        <f>IFERROR(IF(INDEX('MRE'!$O$10:$O$11,MATCH($F80,'MRE'!$B$10:$B$11,0))="","Cell will autofill based on response",INDEX('MRE'!$O$10:$O$11,MATCH($F80,'MRE'!$B$10:$B$11,0))),"N/A")</f>
        <v/>
      </c>
    </row>
    <row r="81">
      <c r="A81">
        <f>F81&amp;"|"&amp;G81</f>
        <v/>
      </c>
      <c r="B81" s="29" t="inlineStr"/>
      <c r="C81" s="8" t="inlineStr"/>
      <c r="D81" s="8" t="inlineStr"/>
      <c r="E81" s="8" t="inlineStr"/>
      <c r="F81" s="8" t="inlineStr">
        <is>
          <t>TR2(d)</t>
        </is>
      </c>
      <c r="G81" s="8" t="inlineStr">
        <is>
          <t>Data source and limitations</t>
        </is>
      </c>
      <c r="H81" s="25">
        <f>IFERROR(IF(INDEX('Faculties'!$P$10:$P$29,MATCH($F81,'Faculties'!$B$10:$B$29,0))="","Cell will autofill based on response",INDEX('Faculties'!$P$10:$P$29,MATCH($F81,'Faculties'!$B$10:$B$29,0))),"N/A")</f>
        <v/>
      </c>
      <c r="I81" s="25">
        <f>IFERROR(IF(INDEX('Faculties'!$P$37:$P$56,MATCH($F81,'Faculties'!$B$37:$B$56,0))="","Cell will autofill based on response",INDEX('Faculties'!$P$37:$P$56,MATCH($F81,'Faculties'!$B$37:$B$56,0))),"N/A")</f>
        <v/>
      </c>
      <c r="J81" s="25">
        <f>IFERROR(IF(INDEX('Faculties'!$P$64:$P$83,MATCH($F81,'Faculties'!$B$64:$B$83,0))="","Cell will autofill based on response",INDEX('Faculties'!$P$64:$P$83,MATCH($F81,'Faculties'!$B$64:$B$83,0))),"N/A")</f>
        <v/>
      </c>
      <c r="K81" s="25">
        <f>IFERROR(IF(INDEX('Faculties'!$P$91:$P$110,MATCH($F81,'Faculties'!$B$91:$B$110,0))="","Cell will autofill based on response",INDEX('Faculties'!$P$91:$P$110,MATCH($F81,'Faculties'!$B$91:$B$110,0))),"N/A")</f>
        <v/>
      </c>
      <c r="L81" s="25">
        <f>IFERROR(IF(INDEX('CI&amp;S'!$P$10:$P$14,MATCH($F81,'CI&amp;S'!$B$10:$B$14,0))="","Cell will autofill based on response",INDEX('CI&amp;S'!$P$10:$P$14,MATCH($F81,'CI&amp;S'!$B$10:$B$14,0))),"N/A")</f>
        <v/>
      </c>
      <c r="M81" s="25">
        <f>IFERROR(IF(INDEX('CI&amp;S'!$P$22:$P$38,MATCH($F81,'CI&amp;S'!$B$22:$B$38,0))="","Cell will autofill based on response",INDEX('CI&amp;S'!$P$22:$P$38,MATCH($F81,'CI&amp;S'!$B$22:$B$38,0))),"N/A")</f>
        <v/>
      </c>
      <c r="N81" s="25">
        <f>IFERROR(IF(INDEX('CFOG'!$P$10:$P$15,MATCH($F81,'CFOG'!$B$10:$B$15,0))="","Cell will autofill based on response",INDEX('CFOG'!$P$10:$P$15,MATCH($F81,'CFOG'!$B$10:$B$15,0))),"N/A")</f>
        <v/>
      </c>
      <c r="O81" s="25">
        <f>IFERROR(IF(INDEX('CFOG'!$P$23:$P$23,MATCH($F81,'CFOG'!$B$23:$B$23,0))="","Cell will autofill based on response",INDEX('CFOG'!$P$23:$P$23,MATCH($F81,'CFOG'!$B$23:$B$23,0))),"N/A")</f>
        <v/>
      </c>
      <c r="P81" s="25">
        <f>IFERROR(IF(INDEX('ESG'!$P$10:$P$16,MATCH($F81,'ESG'!$B$10:$B$16,0))="","Cell will autofill based on response",INDEX('ESG'!$P$10:$P$16,MATCH($F81,'ESG'!$B$10:$B$16,0))),"N/A")</f>
        <v/>
      </c>
      <c r="Q81" s="25">
        <f>IFERROR(IF(INDEX('CIOG'!$P$10:$P$13,MATCH($F81,'CIOG'!$B$10:$B$13,0))="","Cell will autofill based on response",INDEX('CIOG'!$P$10:$P$13,MATCH($F81,'CIOG'!$B$10:$B$13,0))),"N/A")</f>
        <v/>
      </c>
      <c r="R81" s="25">
        <f>IFERROR(IF(INDEX('MRE'!$P$10:$P$11,MATCH($F81,'MRE'!$B$10:$B$11,0))="","Cell will autofill based on response",INDEX('MRE'!$P$10:$P$11,MATCH($F81,'MRE'!$B$10:$B$11,0))),"N/A")</f>
        <v/>
      </c>
    </row>
    <row r="82">
      <c r="A82">
        <f>F82&amp;"|"&amp;G82</f>
        <v/>
      </c>
      <c r="B82" s="29" t="inlineStr"/>
      <c r="C82" s="8" t="inlineStr"/>
      <c r="D82" s="8" t="inlineStr"/>
      <c r="E82" s="8" t="inlineStr"/>
      <c r="F82" s="8" t="inlineStr">
        <is>
          <t>TR2(d)</t>
        </is>
      </c>
      <c r="G82" s="8" t="inlineStr">
        <is>
          <t>Data owner confirms</t>
        </is>
      </c>
      <c r="H82" s="25">
        <f>IFERROR(IF(INDEX('Faculties'!$Q$10:$Q$29,MATCH($F82,'Faculties'!$B$10:$B$29,0))="","Cell will autofill based on response",INDEX('Faculties'!$Q$10:$Q$29,MATCH($F82,'Faculties'!$B$10:$B$29,0))),"N/A")</f>
        <v/>
      </c>
      <c r="I82" s="25">
        <f>IFERROR(IF(INDEX('Faculties'!$Q$37:$Q$56,MATCH($F82,'Faculties'!$B$37:$B$56,0))="","Cell will autofill based on response",INDEX('Faculties'!$Q$37:$Q$56,MATCH($F82,'Faculties'!$B$37:$B$56,0))),"N/A")</f>
        <v/>
      </c>
      <c r="J82" s="25">
        <f>IFERROR(IF(INDEX('Faculties'!$Q$64:$Q$83,MATCH($F82,'Faculties'!$B$64:$B$83,0))="","Cell will autofill based on response",INDEX('Faculties'!$Q$64:$Q$83,MATCH($F82,'Faculties'!$B$64:$B$83,0))),"N/A")</f>
        <v/>
      </c>
      <c r="K82" s="25">
        <f>IFERROR(IF(INDEX('Faculties'!$Q$91:$Q$110,MATCH($F82,'Faculties'!$B$91:$B$110,0))="","Cell will autofill based on response",INDEX('Faculties'!$Q$91:$Q$110,MATCH($F82,'Faculties'!$B$91:$B$110,0))),"N/A")</f>
        <v/>
      </c>
      <c r="L82" s="25">
        <f>IFERROR(IF(INDEX('CI&amp;S'!$Q$10:$Q$14,MATCH($F82,'CI&amp;S'!$B$10:$B$14,0))="","Cell will autofill based on response",INDEX('CI&amp;S'!$Q$10:$Q$14,MATCH($F82,'CI&amp;S'!$B$10:$B$14,0))),"N/A")</f>
        <v/>
      </c>
      <c r="M82" s="25">
        <f>IFERROR(IF(INDEX('CI&amp;S'!$Q$22:$Q$38,MATCH($F82,'CI&amp;S'!$B$22:$B$38,0))="","Cell will autofill based on response",INDEX('CI&amp;S'!$Q$22:$Q$38,MATCH($F82,'CI&amp;S'!$B$22:$B$38,0))),"N/A")</f>
        <v/>
      </c>
      <c r="N82" s="25">
        <f>IFERROR(IF(INDEX('CFOG'!$Q$10:$Q$15,MATCH($F82,'CFOG'!$B$10:$B$15,0))="","Cell will autofill based on response",INDEX('CFOG'!$Q$10:$Q$15,MATCH($F82,'CFOG'!$B$10:$B$15,0))),"N/A")</f>
        <v/>
      </c>
      <c r="O82" s="25">
        <f>IFERROR(IF(INDEX('CFOG'!$Q$23:$Q$23,MATCH($F82,'CFOG'!$B$23:$B$23,0))="","Cell will autofill based on response",INDEX('CFOG'!$Q$23:$Q$23,MATCH($F82,'CFOG'!$B$23:$B$23,0))),"N/A")</f>
        <v/>
      </c>
      <c r="P82" s="25">
        <f>IFERROR(IF(INDEX('ESG'!$Q$10:$Q$16,MATCH($F82,'ESG'!$B$10:$B$16,0))="","Cell will autofill based on response",INDEX('ESG'!$Q$10:$Q$16,MATCH($F82,'ESG'!$B$10:$B$16,0))),"N/A")</f>
        <v/>
      </c>
      <c r="Q82" s="25">
        <f>IFERROR(IF(INDEX('CIOG'!$Q$10:$Q$13,MATCH($F82,'CIOG'!$B$10:$B$13,0))="","Cell will autofill based on response",INDEX('CIOG'!$Q$10:$Q$13,MATCH($F82,'CIOG'!$B$10:$B$13,0))),"N/A")</f>
        <v/>
      </c>
      <c r="R82" s="25">
        <f>IFERROR(IF(INDEX('MRE'!$Q$10:$Q$11,MATCH($F82,'MRE'!$B$10:$B$11,0))="","Cell will autofill based on response",INDEX('MRE'!$Q$10:$Q$11,MATCH($F82,'MRE'!$B$10:$B$11,0))),"N/A")</f>
        <v/>
      </c>
    </row>
    <row r="83">
      <c r="A83">
        <f>F83&amp;"|"&amp;G83</f>
        <v/>
      </c>
      <c r="B83" s="7" t="inlineStr">
        <is>
          <t>TR3(a)</t>
        </is>
      </c>
      <c r="C83" s="12" t="inlineStr">
        <is>
          <t>Transformational research</t>
        </is>
      </c>
      <c r="D83" s="12" t="inlineStr">
        <is>
          <t>Evidence that sustainability considerations are integrated into relevant research systems, planning processes, guidance, training, induction or support services</t>
        </is>
      </c>
      <c r="E83" s="12" t="inlineStr">
        <is>
          <t>Please describe how sustainability considerations are integrated into research systems, planning processes, guidance, training, induction or support services within your Faculty/Portfolio, could include examples of any new or improved processes.</t>
        </is>
      </c>
      <c r="F83" s="12" t="inlineStr">
        <is>
          <t>TR3(a)</t>
        </is>
      </c>
      <c r="G83" s="12" t="inlineStr">
        <is>
          <t>Confirm end-2026 target status</t>
        </is>
      </c>
      <c r="H83" s="25">
        <f>IFERROR(IF(INDEX('Faculties'!$L$10:$L$29,MATCH($F83,'Faculties'!$B$10:$B$29,0))="","Cell will autofill based on response",INDEX('Faculties'!$L$10:$L$29,MATCH($F83,'Faculties'!$B$10:$B$29,0))),"N/A")</f>
        <v/>
      </c>
      <c r="I83" s="25">
        <f>IFERROR(IF(INDEX('Faculties'!$L$37:$L$56,MATCH($F83,'Faculties'!$B$37:$B$56,0))="","Cell will autofill based on response",INDEX('Faculties'!$L$37:$L$56,MATCH($F83,'Faculties'!$B$37:$B$56,0))),"N/A")</f>
        <v/>
      </c>
      <c r="J83" s="25">
        <f>IFERROR(IF(INDEX('Faculties'!$L$64:$L$83,MATCH($F83,'Faculties'!$B$64:$B$83,0))="","Cell will autofill based on response",INDEX('Faculties'!$L$64:$L$83,MATCH($F83,'Faculties'!$B$64:$B$83,0))),"N/A")</f>
        <v/>
      </c>
      <c r="K83" s="25">
        <f>IFERROR(IF(INDEX('Faculties'!$L$91:$L$110,MATCH($F83,'Faculties'!$B$91:$B$110,0))="","Cell will autofill based on response",INDEX('Faculties'!$L$91:$L$110,MATCH($F83,'Faculties'!$B$91:$B$110,0))),"N/A")</f>
        <v/>
      </c>
      <c r="L83" s="25">
        <f>IFERROR(IF(INDEX('CI&amp;S'!$L$10:$L$14,MATCH($F83,'CI&amp;S'!$B$10:$B$14,0))="","Cell will autofill based on response",INDEX('CI&amp;S'!$L$10:$L$14,MATCH($F83,'CI&amp;S'!$B$10:$B$14,0))),"N/A")</f>
        <v/>
      </c>
      <c r="M83" s="25">
        <f>IFERROR(IF(INDEX('CI&amp;S'!$L$22:$L$38,MATCH($F83,'CI&amp;S'!$B$22:$B$38,0))="","Cell will autofill based on response",INDEX('CI&amp;S'!$L$22:$L$38,MATCH($F83,'CI&amp;S'!$B$22:$B$38,0))),"N/A")</f>
        <v/>
      </c>
      <c r="N83" s="25">
        <f>IFERROR(IF(INDEX('CFOG'!$L$10:$L$15,MATCH($F83,'CFOG'!$B$10:$B$15,0))="","Cell will autofill based on response",INDEX('CFOG'!$L$10:$L$15,MATCH($F83,'CFOG'!$B$10:$B$15,0))),"N/A")</f>
        <v/>
      </c>
      <c r="O83" s="25">
        <f>IFERROR(IF(INDEX('CFOG'!$L$23:$L$23,MATCH($F83,'CFOG'!$B$23:$B$23,0))="","Cell will autofill based on response",INDEX('CFOG'!$L$23:$L$23,MATCH($F83,'CFOG'!$B$23:$B$23,0))),"N/A")</f>
        <v/>
      </c>
      <c r="P83" s="25">
        <f>IFERROR(IF(INDEX('ESG'!$L$10:$L$16,MATCH($F83,'ESG'!$B$10:$B$16,0))="","Cell will autofill based on response",INDEX('ESG'!$L$10:$L$16,MATCH($F83,'ESG'!$B$10:$B$16,0))),"N/A")</f>
        <v/>
      </c>
      <c r="Q83" s="25">
        <f>IFERROR(IF(INDEX('CIOG'!$L$10:$L$13,MATCH($F83,'CIOG'!$B$10:$B$13,0))="","Cell will autofill based on response",INDEX('CIOG'!$L$10:$L$13,MATCH($F83,'CIOG'!$B$10:$B$13,0))),"N/A")</f>
        <v/>
      </c>
      <c r="R83" s="25">
        <f>IFERROR(IF(INDEX('MRE'!$L$10:$L$11,MATCH($F83,'MRE'!$B$10:$B$11,0))="","Cell will autofill based on response",INDEX('MRE'!$L$10:$L$11,MATCH($F83,'MRE'!$B$10:$B$11,0))),"N/A")</f>
        <v/>
      </c>
      <c r="T83" s="26">
        <f>COUNTIF($H83:$R83,"Cell will autofill based on response")</f>
        <v/>
      </c>
      <c r="U83" s="26">
        <f>COUNTIF($H83:$R83,"Not yet started")</f>
        <v/>
      </c>
      <c r="V83" s="26">
        <f>COUNTIF($H83:$R83,"Not met")</f>
        <v/>
      </c>
      <c r="W83" s="26">
        <f>COUNTIF($H83:$R83,"Partially met")</f>
        <v/>
      </c>
      <c r="X83" s="26">
        <f>COUNTIF($H83:$R83,"Met or exceeded")</f>
        <v/>
      </c>
      <c r="Y83" s="26">
        <f>3*X83+2*W83+V83</f>
        <v/>
      </c>
      <c r="Z83" s="26">
        <f>X83+W83+V83+U83</f>
        <v/>
      </c>
      <c r="AA83" s="27">
        <f>IF(Z83&gt;0,Y83/Z83,"No valid responses to date")</f>
        <v/>
      </c>
      <c r="AB83" s="26">
        <f>IF(ISNUMBER(AA83),INDEX(Lists!$G$2:$G$5,MATCH(ROUND(AA83,0),Lists!$H$2:$H$5,0)),"")</f>
        <v/>
      </c>
      <c r="AC83" s="28">
        <f>IF(Z83&gt;0,X83/Z83,"")</f>
        <v/>
      </c>
      <c r="AD83" s="28">
        <f>IF(Z83&gt;0,(X83+W83)/Z83,"")</f>
        <v/>
      </c>
      <c r="AE83" s="26">
        <f>IF(Z83=0,"",IF(AC83&gt;0.75,"Met or exceeded",IF(AD83&gt;=0.5,"Partially met","Not met")))</f>
        <v/>
      </c>
    </row>
    <row r="84">
      <c r="A84">
        <f>F84&amp;"|"&amp;G84</f>
        <v/>
      </c>
      <c r="B84" s="29" t="inlineStr"/>
      <c r="C84" s="8" t="inlineStr"/>
      <c r="D84" s="8" t="inlineStr"/>
      <c r="E84" s="8" t="inlineStr"/>
      <c r="F84" s="8" t="inlineStr">
        <is>
          <t>TR3(a)</t>
        </is>
      </c>
      <c r="G84" s="8" t="inlineStr">
        <is>
          <t>OPTION 1:  Target-level reporting</t>
        </is>
      </c>
      <c r="H84" s="25">
        <f>IFERROR(IF(INDEX('Faculties'!$M$10:$M$29,MATCH($F84,'Faculties'!$B$10:$B$29,0))="","Cell will autofill based on response",INDEX('Faculties'!$M$10:$M$29,MATCH($F84,'Faculties'!$B$10:$B$29,0))),"N/A")</f>
        <v/>
      </c>
      <c r="I84" s="25">
        <f>IFERROR(IF(INDEX('Faculties'!$M$37:$M$56,MATCH($F84,'Faculties'!$B$37:$B$56,0))="","Cell will autofill based on response",INDEX('Faculties'!$M$37:$M$56,MATCH($F84,'Faculties'!$B$37:$B$56,0))),"N/A")</f>
        <v/>
      </c>
      <c r="J84" s="25">
        <f>IFERROR(IF(INDEX('Faculties'!$M$64:$M$83,MATCH($F84,'Faculties'!$B$64:$B$83,0))="","Cell will autofill based on response",INDEX('Faculties'!$M$64:$M$83,MATCH($F84,'Faculties'!$B$64:$B$83,0))),"N/A")</f>
        <v/>
      </c>
      <c r="K84" s="25">
        <f>IFERROR(IF(INDEX('Faculties'!$M$91:$M$110,MATCH($F84,'Faculties'!$B$91:$B$110,0))="","Cell will autofill based on response",INDEX('Faculties'!$M$91:$M$110,MATCH($F84,'Faculties'!$B$91:$B$110,0))),"N/A")</f>
        <v/>
      </c>
      <c r="L84" s="25">
        <f>IFERROR(IF(INDEX('CI&amp;S'!$M$10:$M$14,MATCH($F84,'CI&amp;S'!$B$10:$B$14,0))="","Cell will autofill based on response",INDEX('CI&amp;S'!$M$10:$M$14,MATCH($F84,'CI&amp;S'!$B$10:$B$14,0))),"N/A")</f>
        <v/>
      </c>
      <c r="M84" s="25">
        <f>IFERROR(IF(INDEX('CI&amp;S'!$M$22:$M$38,MATCH($F84,'CI&amp;S'!$B$22:$B$38,0))="","Cell will autofill based on response",INDEX('CI&amp;S'!$M$22:$M$38,MATCH($F84,'CI&amp;S'!$B$22:$B$38,0))),"N/A")</f>
        <v/>
      </c>
      <c r="N84" s="25">
        <f>IFERROR(IF(INDEX('CFOG'!$M$10:$M$15,MATCH($F84,'CFOG'!$B$10:$B$15,0))="","Cell will autofill based on response",INDEX('CFOG'!$M$10:$M$15,MATCH($F84,'CFOG'!$B$10:$B$15,0))),"N/A")</f>
        <v/>
      </c>
      <c r="O84" s="25">
        <f>IFERROR(IF(INDEX('CFOG'!$M$23:$M$23,MATCH($F84,'CFOG'!$B$23:$B$23,0))="","Cell will autofill based on response",INDEX('CFOG'!$M$23:$M$23,MATCH($F84,'CFOG'!$B$23:$B$23,0))),"N/A")</f>
        <v/>
      </c>
      <c r="P84" s="25">
        <f>IFERROR(IF(INDEX('ESG'!$M$10:$M$16,MATCH($F84,'ESG'!$B$10:$B$16,0))="","Cell will autofill based on response",INDEX('ESG'!$M$10:$M$16,MATCH($F84,'ESG'!$B$10:$B$16,0))),"N/A")</f>
        <v/>
      </c>
      <c r="Q84" s="25">
        <f>IFERROR(IF(INDEX('CIOG'!$M$10:$M$13,MATCH($F84,'CIOG'!$B$10:$B$13,0))="","Cell will autofill based on response",INDEX('CIOG'!$M$10:$M$13,MATCH($F84,'CIOG'!$B$10:$B$13,0))),"N/A")</f>
        <v/>
      </c>
      <c r="R84" s="25">
        <f>IFERROR(IF(INDEX('MRE'!$M$10:$M$11,MATCH($F84,'MRE'!$B$10:$B$11,0))="","Cell will autofill based on response",INDEX('MRE'!$M$10:$M$11,MATCH($F84,'MRE'!$B$10:$B$11,0))),"N/A")</f>
        <v/>
      </c>
    </row>
    <row r="85">
      <c r="A85">
        <f>F85&amp;"|"&amp;G85</f>
        <v/>
      </c>
      <c r="B85" s="29" t="inlineStr"/>
      <c r="C85" s="8" t="inlineStr"/>
      <c r="D85" s="8" t="inlineStr"/>
      <c r="E85" s="8" t="inlineStr"/>
      <c r="F85" s="8" t="inlineStr">
        <is>
          <t>TR3(a)</t>
        </is>
      </c>
      <c r="G85" s="8" t="inlineStr">
        <is>
          <t>OPTION 2:  Indicator level reporting</t>
        </is>
      </c>
      <c r="H85" s="25">
        <f>IFERROR(IF(INDEX('Faculties'!$N$10:$N$29,MATCH($F85,'Faculties'!$B$10:$B$29,0))="","Cell will autofill based on response",INDEX('Faculties'!$N$10:$N$29,MATCH($F85,'Faculties'!$B$10:$B$29,0))),"N/A")</f>
        <v/>
      </c>
      <c r="I85" s="25">
        <f>IFERROR(IF(INDEX('Faculties'!$N$37:$N$56,MATCH($F85,'Faculties'!$B$37:$B$56,0))="","Cell will autofill based on response",INDEX('Faculties'!$N$37:$N$56,MATCH($F85,'Faculties'!$B$37:$B$56,0))),"N/A")</f>
        <v/>
      </c>
      <c r="J85" s="25">
        <f>IFERROR(IF(INDEX('Faculties'!$N$64:$N$83,MATCH($F85,'Faculties'!$B$64:$B$83,0))="","Cell will autofill based on response",INDEX('Faculties'!$N$64:$N$83,MATCH($F85,'Faculties'!$B$64:$B$83,0))),"N/A")</f>
        <v/>
      </c>
      <c r="K85" s="25">
        <f>IFERROR(IF(INDEX('Faculties'!$N$91:$N$110,MATCH($F85,'Faculties'!$B$91:$B$110,0))="","Cell will autofill based on response",INDEX('Faculties'!$N$91:$N$110,MATCH($F85,'Faculties'!$B$91:$B$110,0))),"N/A")</f>
        <v/>
      </c>
      <c r="L85" s="25">
        <f>IFERROR(IF(INDEX('CI&amp;S'!$N$10:$N$14,MATCH($F85,'CI&amp;S'!$B$10:$B$14,0))="","Cell will autofill based on response",INDEX('CI&amp;S'!$N$10:$N$14,MATCH($F85,'CI&amp;S'!$B$10:$B$14,0))),"N/A")</f>
        <v/>
      </c>
      <c r="M85" s="25">
        <f>IFERROR(IF(INDEX('CI&amp;S'!$N$22:$N$38,MATCH($F85,'CI&amp;S'!$B$22:$B$38,0))="","Cell will autofill based on response",INDEX('CI&amp;S'!$N$22:$N$38,MATCH($F85,'CI&amp;S'!$B$22:$B$38,0))),"N/A")</f>
        <v/>
      </c>
      <c r="N85" s="25">
        <f>IFERROR(IF(INDEX('CFOG'!$N$10:$N$15,MATCH($F85,'CFOG'!$B$10:$B$15,0))="","Cell will autofill based on response",INDEX('CFOG'!$N$10:$N$15,MATCH($F85,'CFOG'!$B$10:$B$15,0))),"N/A")</f>
        <v/>
      </c>
      <c r="O85" s="25">
        <f>IFERROR(IF(INDEX('CFOG'!$N$23:$N$23,MATCH($F85,'CFOG'!$B$23:$B$23,0))="","Cell will autofill based on response",INDEX('CFOG'!$N$23:$N$23,MATCH($F85,'CFOG'!$B$23:$B$23,0))),"N/A")</f>
        <v/>
      </c>
      <c r="P85" s="25">
        <f>IFERROR(IF(INDEX('ESG'!$N$10:$N$16,MATCH($F85,'ESG'!$B$10:$B$16,0))="","Cell will autofill based on response",INDEX('ESG'!$N$10:$N$16,MATCH($F85,'ESG'!$B$10:$B$16,0))),"N/A")</f>
        <v/>
      </c>
      <c r="Q85" s="25">
        <f>IFERROR(IF(INDEX('CIOG'!$N$10:$N$13,MATCH($F85,'CIOG'!$B$10:$B$13,0))="","Cell will autofill based on response",INDEX('CIOG'!$N$10:$N$13,MATCH($F85,'CIOG'!$B$10:$B$13,0))),"N/A")</f>
        <v/>
      </c>
      <c r="R85" s="25">
        <f>IFERROR(IF(INDEX('MRE'!$N$10:$N$11,MATCH($F85,'MRE'!$B$10:$B$11,0))="","Cell will autofill based on response",INDEX('MRE'!$N$10:$N$11,MATCH($F85,'MRE'!$B$10:$B$11,0))),"N/A")</f>
        <v/>
      </c>
    </row>
    <row r="86">
      <c r="A86">
        <f>F86&amp;"|"&amp;G86</f>
        <v/>
      </c>
      <c r="B86" s="29" t="inlineStr"/>
      <c r="C86" s="8" t="inlineStr"/>
      <c r="D86" s="8" t="inlineStr"/>
      <c r="E86" s="8" t="inlineStr"/>
      <c r="F86" s="8" t="inlineStr">
        <is>
          <t>TR3(a)</t>
        </is>
      </c>
      <c r="G86" s="8" t="inlineStr">
        <is>
          <t>Supporting information/comments</t>
        </is>
      </c>
      <c r="H86" s="25">
        <f>IFERROR(IF(INDEX('Faculties'!$O$10:$O$29,MATCH($F86,'Faculties'!$B$10:$B$29,0))="","Cell will autofill based on response",INDEX('Faculties'!$O$10:$O$29,MATCH($F86,'Faculties'!$B$10:$B$29,0))),"N/A")</f>
        <v/>
      </c>
      <c r="I86" s="25">
        <f>IFERROR(IF(INDEX('Faculties'!$O$37:$O$56,MATCH($F86,'Faculties'!$B$37:$B$56,0))="","Cell will autofill based on response",INDEX('Faculties'!$O$37:$O$56,MATCH($F86,'Faculties'!$B$37:$B$56,0))),"N/A")</f>
        <v/>
      </c>
      <c r="J86" s="25">
        <f>IFERROR(IF(INDEX('Faculties'!$O$64:$O$83,MATCH($F86,'Faculties'!$B$64:$B$83,0))="","Cell will autofill based on response",INDEX('Faculties'!$O$64:$O$83,MATCH($F86,'Faculties'!$B$64:$B$83,0))),"N/A")</f>
        <v/>
      </c>
      <c r="K86" s="25">
        <f>IFERROR(IF(INDEX('Faculties'!$O$91:$O$110,MATCH($F86,'Faculties'!$B$91:$B$110,0))="","Cell will autofill based on response",INDEX('Faculties'!$O$91:$O$110,MATCH($F86,'Faculties'!$B$91:$B$110,0))),"N/A")</f>
        <v/>
      </c>
      <c r="L86" s="25">
        <f>IFERROR(IF(INDEX('CI&amp;S'!$O$10:$O$14,MATCH($F86,'CI&amp;S'!$B$10:$B$14,0))="","Cell will autofill based on response",INDEX('CI&amp;S'!$O$10:$O$14,MATCH($F86,'CI&amp;S'!$B$10:$B$14,0))),"N/A")</f>
        <v/>
      </c>
      <c r="M86" s="25">
        <f>IFERROR(IF(INDEX('CI&amp;S'!$O$22:$O$38,MATCH($F86,'CI&amp;S'!$B$22:$B$38,0))="","Cell will autofill based on response",INDEX('CI&amp;S'!$O$22:$O$38,MATCH($F86,'CI&amp;S'!$B$22:$B$38,0))),"N/A")</f>
        <v/>
      </c>
      <c r="N86" s="25">
        <f>IFERROR(IF(INDEX('CFOG'!$O$10:$O$15,MATCH($F86,'CFOG'!$B$10:$B$15,0))="","Cell will autofill based on response",INDEX('CFOG'!$O$10:$O$15,MATCH($F86,'CFOG'!$B$10:$B$15,0))),"N/A")</f>
        <v/>
      </c>
      <c r="O86" s="25">
        <f>IFERROR(IF(INDEX('CFOG'!$O$23:$O$23,MATCH($F86,'CFOG'!$B$23:$B$23,0))="","Cell will autofill based on response",INDEX('CFOG'!$O$23:$O$23,MATCH($F86,'CFOG'!$B$23:$B$23,0))),"N/A")</f>
        <v/>
      </c>
      <c r="P86" s="25">
        <f>IFERROR(IF(INDEX('ESG'!$O$10:$O$16,MATCH($F86,'ESG'!$B$10:$B$16,0))="","Cell will autofill based on response",INDEX('ESG'!$O$10:$O$16,MATCH($F86,'ESG'!$B$10:$B$16,0))),"N/A")</f>
        <v/>
      </c>
      <c r="Q86" s="25">
        <f>IFERROR(IF(INDEX('CIOG'!$O$10:$O$13,MATCH($F86,'CIOG'!$B$10:$B$13,0))="","Cell will autofill based on response",INDEX('CIOG'!$O$10:$O$13,MATCH($F86,'CIOG'!$B$10:$B$13,0))),"N/A")</f>
        <v/>
      </c>
      <c r="R86" s="25">
        <f>IFERROR(IF(INDEX('MRE'!$O$10:$O$11,MATCH($F86,'MRE'!$B$10:$B$11,0))="","Cell will autofill based on response",INDEX('MRE'!$O$10:$O$11,MATCH($F86,'MRE'!$B$10:$B$11,0))),"N/A")</f>
        <v/>
      </c>
    </row>
    <row r="87">
      <c r="A87">
        <f>F87&amp;"|"&amp;G87</f>
        <v/>
      </c>
      <c r="B87" s="29" t="inlineStr"/>
      <c r="C87" s="8" t="inlineStr"/>
      <c r="D87" s="8" t="inlineStr"/>
      <c r="E87" s="8" t="inlineStr"/>
      <c r="F87" s="8" t="inlineStr">
        <is>
          <t>TR3(a)</t>
        </is>
      </c>
      <c r="G87" s="8" t="inlineStr">
        <is>
          <t>Data source and limitations</t>
        </is>
      </c>
      <c r="H87" s="25">
        <f>IFERROR(IF(INDEX('Faculties'!$P$10:$P$29,MATCH($F87,'Faculties'!$B$10:$B$29,0))="","Cell will autofill based on response",INDEX('Faculties'!$P$10:$P$29,MATCH($F87,'Faculties'!$B$10:$B$29,0))),"N/A")</f>
        <v/>
      </c>
      <c r="I87" s="25">
        <f>IFERROR(IF(INDEX('Faculties'!$P$37:$P$56,MATCH($F87,'Faculties'!$B$37:$B$56,0))="","Cell will autofill based on response",INDEX('Faculties'!$P$37:$P$56,MATCH($F87,'Faculties'!$B$37:$B$56,0))),"N/A")</f>
        <v/>
      </c>
      <c r="J87" s="25">
        <f>IFERROR(IF(INDEX('Faculties'!$P$64:$P$83,MATCH($F87,'Faculties'!$B$64:$B$83,0))="","Cell will autofill based on response",INDEX('Faculties'!$P$64:$P$83,MATCH($F87,'Faculties'!$B$64:$B$83,0))),"N/A")</f>
        <v/>
      </c>
      <c r="K87" s="25">
        <f>IFERROR(IF(INDEX('Faculties'!$P$91:$P$110,MATCH($F87,'Faculties'!$B$91:$B$110,0))="","Cell will autofill based on response",INDEX('Faculties'!$P$91:$P$110,MATCH($F87,'Faculties'!$B$91:$B$110,0))),"N/A")</f>
        <v/>
      </c>
      <c r="L87" s="25">
        <f>IFERROR(IF(INDEX('CI&amp;S'!$P$10:$P$14,MATCH($F87,'CI&amp;S'!$B$10:$B$14,0))="","Cell will autofill based on response",INDEX('CI&amp;S'!$P$10:$P$14,MATCH($F87,'CI&amp;S'!$B$10:$B$14,0))),"N/A")</f>
        <v/>
      </c>
      <c r="M87" s="25">
        <f>IFERROR(IF(INDEX('CI&amp;S'!$P$22:$P$38,MATCH($F87,'CI&amp;S'!$B$22:$B$38,0))="","Cell will autofill based on response",INDEX('CI&amp;S'!$P$22:$P$38,MATCH($F87,'CI&amp;S'!$B$22:$B$38,0))),"N/A")</f>
        <v/>
      </c>
      <c r="N87" s="25">
        <f>IFERROR(IF(INDEX('CFOG'!$P$10:$P$15,MATCH($F87,'CFOG'!$B$10:$B$15,0))="","Cell will autofill based on response",INDEX('CFOG'!$P$10:$P$15,MATCH($F87,'CFOG'!$B$10:$B$15,0))),"N/A")</f>
        <v/>
      </c>
      <c r="O87" s="25">
        <f>IFERROR(IF(INDEX('CFOG'!$P$23:$P$23,MATCH($F87,'CFOG'!$B$23:$B$23,0))="","Cell will autofill based on response",INDEX('CFOG'!$P$23:$P$23,MATCH($F87,'CFOG'!$B$23:$B$23,0))),"N/A")</f>
        <v/>
      </c>
      <c r="P87" s="25">
        <f>IFERROR(IF(INDEX('ESG'!$P$10:$P$16,MATCH($F87,'ESG'!$B$10:$B$16,0))="","Cell will autofill based on response",INDEX('ESG'!$P$10:$P$16,MATCH($F87,'ESG'!$B$10:$B$16,0))),"N/A")</f>
        <v/>
      </c>
      <c r="Q87" s="25">
        <f>IFERROR(IF(INDEX('CIOG'!$P$10:$P$13,MATCH($F87,'CIOG'!$B$10:$B$13,0))="","Cell will autofill based on response",INDEX('CIOG'!$P$10:$P$13,MATCH($F87,'CIOG'!$B$10:$B$13,0))),"N/A")</f>
        <v/>
      </c>
      <c r="R87" s="25">
        <f>IFERROR(IF(INDEX('MRE'!$P$10:$P$11,MATCH($F87,'MRE'!$B$10:$B$11,0))="","Cell will autofill based on response",INDEX('MRE'!$P$10:$P$11,MATCH($F87,'MRE'!$B$10:$B$11,0))),"N/A")</f>
        <v/>
      </c>
    </row>
    <row r="88">
      <c r="A88">
        <f>F88&amp;"|"&amp;G88</f>
        <v/>
      </c>
      <c r="B88" s="29" t="inlineStr"/>
      <c r="C88" s="8" t="inlineStr"/>
      <c r="D88" s="8" t="inlineStr"/>
      <c r="E88" s="8" t="inlineStr"/>
      <c r="F88" s="8" t="inlineStr">
        <is>
          <t>TR3(a)</t>
        </is>
      </c>
      <c r="G88" s="8" t="inlineStr">
        <is>
          <t>Data owner confirms</t>
        </is>
      </c>
      <c r="H88" s="25">
        <f>IFERROR(IF(INDEX('Faculties'!$Q$10:$Q$29,MATCH($F88,'Faculties'!$B$10:$B$29,0))="","Cell will autofill based on response",INDEX('Faculties'!$Q$10:$Q$29,MATCH($F88,'Faculties'!$B$10:$B$29,0))),"N/A")</f>
        <v/>
      </c>
      <c r="I88" s="25">
        <f>IFERROR(IF(INDEX('Faculties'!$Q$37:$Q$56,MATCH($F88,'Faculties'!$B$37:$B$56,0))="","Cell will autofill based on response",INDEX('Faculties'!$Q$37:$Q$56,MATCH($F88,'Faculties'!$B$37:$B$56,0))),"N/A")</f>
        <v/>
      </c>
      <c r="J88" s="25">
        <f>IFERROR(IF(INDEX('Faculties'!$Q$64:$Q$83,MATCH($F88,'Faculties'!$B$64:$B$83,0))="","Cell will autofill based on response",INDEX('Faculties'!$Q$64:$Q$83,MATCH($F88,'Faculties'!$B$64:$B$83,0))),"N/A")</f>
        <v/>
      </c>
      <c r="K88" s="25">
        <f>IFERROR(IF(INDEX('Faculties'!$Q$91:$Q$110,MATCH($F88,'Faculties'!$B$91:$B$110,0))="","Cell will autofill based on response",INDEX('Faculties'!$Q$91:$Q$110,MATCH($F88,'Faculties'!$B$91:$B$110,0))),"N/A")</f>
        <v/>
      </c>
      <c r="L88" s="25">
        <f>IFERROR(IF(INDEX('CI&amp;S'!$Q$10:$Q$14,MATCH($F88,'CI&amp;S'!$B$10:$B$14,0))="","Cell will autofill based on response",INDEX('CI&amp;S'!$Q$10:$Q$14,MATCH($F88,'CI&amp;S'!$B$10:$B$14,0))),"N/A")</f>
        <v/>
      </c>
      <c r="M88" s="25">
        <f>IFERROR(IF(INDEX('CI&amp;S'!$Q$22:$Q$38,MATCH($F88,'CI&amp;S'!$B$22:$B$38,0))="","Cell will autofill based on response",INDEX('CI&amp;S'!$Q$22:$Q$38,MATCH($F88,'CI&amp;S'!$B$22:$B$38,0))),"N/A")</f>
        <v/>
      </c>
      <c r="N88" s="25">
        <f>IFERROR(IF(INDEX('CFOG'!$Q$10:$Q$15,MATCH($F88,'CFOG'!$B$10:$B$15,0))="","Cell will autofill based on response",INDEX('CFOG'!$Q$10:$Q$15,MATCH($F88,'CFOG'!$B$10:$B$15,0))),"N/A")</f>
        <v/>
      </c>
      <c r="O88" s="25">
        <f>IFERROR(IF(INDEX('CFOG'!$Q$23:$Q$23,MATCH($F88,'CFOG'!$B$23:$B$23,0))="","Cell will autofill based on response",INDEX('CFOG'!$Q$23:$Q$23,MATCH($F88,'CFOG'!$B$23:$B$23,0))),"N/A")</f>
        <v/>
      </c>
      <c r="P88" s="25">
        <f>IFERROR(IF(INDEX('ESG'!$Q$10:$Q$16,MATCH($F88,'ESG'!$B$10:$B$16,0))="","Cell will autofill based on response",INDEX('ESG'!$Q$10:$Q$16,MATCH($F88,'ESG'!$B$10:$B$16,0))),"N/A")</f>
        <v/>
      </c>
      <c r="Q88" s="25">
        <f>IFERROR(IF(INDEX('CIOG'!$Q$10:$Q$13,MATCH($F88,'CIOG'!$B$10:$B$13,0))="","Cell will autofill based on response",INDEX('CIOG'!$Q$10:$Q$13,MATCH($F88,'CIOG'!$B$10:$B$13,0))),"N/A")</f>
        <v/>
      </c>
      <c r="R88" s="25">
        <f>IFERROR(IF(INDEX('MRE'!$Q$10:$Q$11,MATCH($F88,'MRE'!$B$10:$B$11,0))="","Cell will autofill based on response",INDEX('MRE'!$Q$10:$Q$11,MATCH($F88,'MRE'!$B$10:$B$11,0))),"N/A")</f>
        <v/>
      </c>
    </row>
    <row r="89">
      <c r="A89">
        <f>F89&amp;"|"&amp;G89</f>
        <v/>
      </c>
      <c r="B89" s="7" t="inlineStr">
        <is>
          <t>TR3(b)</t>
        </is>
      </c>
      <c r="C89" s="12" t="inlineStr">
        <is>
          <t>Transformational research</t>
        </is>
      </c>
      <c r="D89" s="12" t="inlineStr">
        <is>
          <t>Demonstrated examples of more sustainable research practices in laboratories, fieldwork, procurement, travel or infrastructure use</t>
        </is>
      </c>
      <c r="E89" s="12"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9" s="12" t="inlineStr">
        <is>
          <t>TR3(b)</t>
        </is>
      </c>
      <c r="G89" s="12" t="inlineStr">
        <is>
          <t>Confirm end-2026 target status</t>
        </is>
      </c>
      <c r="H89" s="25">
        <f>IFERROR(IF(INDEX('Faculties'!$L$10:$L$29,MATCH($F89,'Faculties'!$B$10:$B$29,0))="","Cell will autofill based on response",INDEX('Faculties'!$L$10:$L$29,MATCH($F89,'Faculties'!$B$10:$B$29,0))),"N/A")</f>
        <v/>
      </c>
      <c r="I89" s="25">
        <f>IFERROR(IF(INDEX('Faculties'!$L$37:$L$56,MATCH($F89,'Faculties'!$B$37:$B$56,0))="","Cell will autofill based on response",INDEX('Faculties'!$L$37:$L$56,MATCH($F89,'Faculties'!$B$37:$B$56,0))),"N/A")</f>
        <v/>
      </c>
      <c r="J89" s="25">
        <f>IFERROR(IF(INDEX('Faculties'!$L$64:$L$83,MATCH($F89,'Faculties'!$B$64:$B$83,0))="","Cell will autofill based on response",INDEX('Faculties'!$L$64:$L$83,MATCH($F89,'Faculties'!$B$64:$B$83,0))),"N/A")</f>
        <v/>
      </c>
      <c r="K89" s="25">
        <f>IFERROR(IF(INDEX('Faculties'!$L$91:$L$110,MATCH($F89,'Faculties'!$B$91:$B$110,0))="","Cell will autofill based on response",INDEX('Faculties'!$L$91:$L$110,MATCH($F89,'Faculties'!$B$91:$B$110,0))),"N/A")</f>
        <v/>
      </c>
      <c r="L89" s="25">
        <f>IFERROR(IF(INDEX('CI&amp;S'!$L$10:$L$14,MATCH($F89,'CI&amp;S'!$B$10:$B$14,0))="","Cell will autofill based on response",INDEX('CI&amp;S'!$L$10:$L$14,MATCH($F89,'CI&amp;S'!$B$10:$B$14,0))),"N/A")</f>
        <v/>
      </c>
      <c r="M89" s="25">
        <f>IFERROR(IF(INDEX('CI&amp;S'!$L$22:$L$38,MATCH($F89,'CI&amp;S'!$B$22:$B$38,0))="","Cell will autofill based on response",INDEX('CI&amp;S'!$L$22:$L$38,MATCH($F89,'CI&amp;S'!$B$22:$B$38,0))),"N/A")</f>
        <v/>
      </c>
      <c r="N89" s="25">
        <f>IFERROR(IF(INDEX('CFOG'!$L$10:$L$15,MATCH($F89,'CFOG'!$B$10:$B$15,0))="","Cell will autofill based on response",INDEX('CFOG'!$L$10:$L$15,MATCH($F89,'CFOG'!$B$10:$B$15,0))),"N/A")</f>
        <v/>
      </c>
      <c r="O89" s="25">
        <f>IFERROR(IF(INDEX('CFOG'!$L$23:$L$23,MATCH($F89,'CFOG'!$B$23:$B$23,0))="","Cell will autofill based on response",INDEX('CFOG'!$L$23:$L$23,MATCH($F89,'CFOG'!$B$23:$B$23,0))),"N/A")</f>
        <v/>
      </c>
      <c r="P89" s="25">
        <f>IFERROR(IF(INDEX('ESG'!$L$10:$L$16,MATCH($F89,'ESG'!$B$10:$B$16,0))="","Cell will autofill based on response",INDEX('ESG'!$L$10:$L$16,MATCH($F89,'ESG'!$B$10:$B$16,0))),"N/A")</f>
        <v/>
      </c>
      <c r="Q89" s="25">
        <f>IFERROR(IF(INDEX('CIOG'!$L$10:$L$13,MATCH($F89,'CIOG'!$B$10:$B$13,0))="","Cell will autofill based on response",INDEX('CIOG'!$L$10:$L$13,MATCH($F89,'CIOG'!$B$10:$B$13,0))),"N/A")</f>
        <v/>
      </c>
      <c r="R89" s="25">
        <f>IFERROR(IF(INDEX('MRE'!$L$10:$L$11,MATCH($F89,'MRE'!$B$10:$B$11,0))="","Cell will autofill based on response",INDEX('MRE'!$L$10:$L$11,MATCH($F89,'MRE'!$B$10:$B$11,0))),"N/A")</f>
        <v/>
      </c>
      <c r="T89" s="26">
        <f>COUNTIF($H89:$R89,"Cell will autofill based on response")</f>
        <v/>
      </c>
      <c r="U89" s="26">
        <f>COUNTIF($H89:$R89,"Not yet started")</f>
        <v/>
      </c>
      <c r="V89" s="26">
        <f>COUNTIF($H89:$R89,"Not met")</f>
        <v/>
      </c>
      <c r="W89" s="26">
        <f>COUNTIF($H89:$R89,"Partially met")</f>
        <v/>
      </c>
      <c r="X89" s="26">
        <f>COUNTIF($H89:$R89,"Met or exceeded")</f>
        <v/>
      </c>
      <c r="Y89" s="26">
        <f>3*X89+2*W89+V89</f>
        <v/>
      </c>
      <c r="Z89" s="26">
        <f>X89+W89+V89+U89</f>
        <v/>
      </c>
      <c r="AA89" s="27">
        <f>IF(Z89&gt;0,Y89/Z89,"No valid responses to date")</f>
        <v/>
      </c>
      <c r="AB89" s="26">
        <f>IF(ISNUMBER(AA89),INDEX(Lists!$G$2:$G$5,MATCH(ROUND(AA89,0),Lists!$H$2:$H$5,0)),"")</f>
        <v/>
      </c>
      <c r="AC89" s="28">
        <f>IF(Z89&gt;0,X89/Z89,"")</f>
        <v/>
      </c>
      <c r="AD89" s="28">
        <f>IF(Z89&gt;0,(X89+W89)/Z89,"")</f>
        <v/>
      </c>
      <c r="AE89" s="26">
        <f>IF(Z89=0,"",IF(AC89&gt;0.75,"Met or exceeded",IF(AD89&gt;=0.5,"Partially met","Not met")))</f>
        <v/>
      </c>
    </row>
    <row r="90">
      <c r="A90">
        <f>F90&amp;"|"&amp;G90</f>
        <v/>
      </c>
      <c r="B90" s="29" t="inlineStr"/>
      <c r="C90" s="8" t="inlineStr"/>
      <c r="D90" s="8" t="inlineStr"/>
      <c r="E90" s="8" t="inlineStr"/>
      <c r="F90" s="8" t="inlineStr">
        <is>
          <t>TR3(b)</t>
        </is>
      </c>
      <c r="G90" s="8" t="inlineStr">
        <is>
          <t>OPTION 1:  Target-level reporting</t>
        </is>
      </c>
      <c r="H90" s="25">
        <f>IFERROR(IF(INDEX('Faculties'!$M$10:$M$29,MATCH($F90,'Faculties'!$B$10:$B$29,0))="","Cell will autofill based on response",INDEX('Faculties'!$M$10:$M$29,MATCH($F90,'Faculties'!$B$10:$B$29,0))),"N/A")</f>
        <v/>
      </c>
      <c r="I90" s="25">
        <f>IFERROR(IF(INDEX('Faculties'!$M$37:$M$56,MATCH($F90,'Faculties'!$B$37:$B$56,0))="","Cell will autofill based on response",INDEX('Faculties'!$M$37:$M$56,MATCH($F90,'Faculties'!$B$37:$B$56,0))),"N/A")</f>
        <v/>
      </c>
      <c r="J90" s="25">
        <f>IFERROR(IF(INDEX('Faculties'!$M$64:$M$83,MATCH($F90,'Faculties'!$B$64:$B$83,0))="","Cell will autofill based on response",INDEX('Faculties'!$M$64:$M$83,MATCH($F90,'Faculties'!$B$64:$B$83,0))),"N/A")</f>
        <v/>
      </c>
      <c r="K90" s="25">
        <f>IFERROR(IF(INDEX('Faculties'!$M$91:$M$110,MATCH($F90,'Faculties'!$B$91:$B$110,0))="","Cell will autofill based on response",INDEX('Faculties'!$M$91:$M$110,MATCH($F90,'Faculties'!$B$91:$B$110,0))),"N/A")</f>
        <v/>
      </c>
      <c r="L90" s="25">
        <f>IFERROR(IF(INDEX('CI&amp;S'!$M$10:$M$14,MATCH($F90,'CI&amp;S'!$B$10:$B$14,0))="","Cell will autofill based on response",INDEX('CI&amp;S'!$M$10:$M$14,MATCH($F90,'CI&amp;S'!$B$10:$B$14,0))),"N/A")</f>
        <v/>
      </c>
      <c r="M90" s="25">
        <f>IFERROR(IF(INDEX('CI&amp;S'!$M$22:$M$38,MATCH($F90,'CI&amp;S'!$B$22:$B$38,0))="","Cell will autofill based on response",INDEX('CI&amp;S'!$M$22:$M$38,MATCH($F90,'CI&amp;S'!$B$22:$B$38,0))),"N/A")</f>
        <v/>
      </c>
      <c r="N90" s="25">
        <f>IFERROR(IF(INDEX('CFOG'!$M$10:$M$15,MATCH($F90,'CFOG'!$B$10:$B$15,0))="","Cell will autofill based on response",INDEX('CFOG'!$M$10:$M$15,MATCH($F90,'CFOG'!$B$10:$B$15,0))),"N/A")</f>
        <v/>
      </c>
      <c r="O90" s="25">
        <f>IFERROR(IF(INDEX('CFOG'!$M$23:$M$23,MATCH($F90,'CFOG'!$B$23:$B$23,0))="","Cell will autofill based on response",INDEX('CFOG'!$M$23:$M$23,MATCH($F90,'CFOG'!$B$23:$B$23,0))),"N/A")</f>
        <v/>
      </c>
      <c r="P90" s="25">
        <f>IFERROR(IF(INDEX('ESG'!$M$10:$M$16,MATCH($F90,'ESG'!$B$10:$B$16,0))="","Cell will autofill based on response",INDEX('ESG'!$M$10:$M$16,MATCH($F90,'ESG'!$B$10:$B$16,0))),"N/A")</f>
        <v/>
      </c>
      <c r="Q90" s="25">
        <f>IFERROR(IF(INDEX('CIOG'!$M$10:$M$13,MATCH($F90,'CIOG'!$B$10:$B$13,0))="","Cell will autofill based on response",INDEX('CIOG'!$M$10:$M$13,MATCH($F90,'CIOG'!$B$10:$B$13,0))),"N/A")</f>
        <v/>
      </c>
      <c r="R90" s="25">
        <f>IFERROR(IF(INDEX('MRE'!$M$10:$M$11,MATCH($F90,'MRE'!$B$10:$B$11,0))="","Cell will autofill based on response",INDEX('MRE'!$M$10:$M$11,MATCH($F90,'MRE'!$B$10:$B$11,0))),"N/A")</f>
        <v/>
      </c>
    </row>
    <row r="91">
      <c r="A91">
        <f>F91&amp;"|"&amp;G91</f>
        <v/>
      </c>
      <c r="B91" s="29" t="inlineStr"/>
      <c r="C91" s="8" t="inlineStr"/>
      <c r="D91" s="8" t="inlineStr"/>
      <c r="E91" s="8" t="inlineStr"/>
      <c r="F91" s="8" t="inlineStr">
        <is>
          <t>TR3(b)</t>
        </is>
      </c>
      <c r="G91" s="8" t="inlineStr">
        <is>
          <t>OPTION 2:  Indicator level reporting</t>
        </is>
      </c>
      <c r="H91" s="25">
        <f>IFERROR(IF(INDEX('Faculties'!$N$10:$N$29,MATCH($F91,'Faculties'!$B$10:$B$29,0))="","Cell will autofill based on response",INDEX('Faculties'!$N$10:$N$29,MATCH($F91,'Faculties'!$B$10:$B$29,0))),"N/A")</f>
        <v/>
      </c>
      <c r="I91" s="25">
        <f>IFERROR(IF(INDEX('Faculties'!$N$37:$N$56,MATCH($F91,'Faculties'!$B$37:$B$56,0))="","Cell will autofill based on response",INDEX('Faculties'!$N$37:$N$56,MATCH($F91,'Faculties'!$B$37:$B$56,0))),"N/A")</f>
        <v/>
      </c>
      <c r="J91" s="25">
        <f>IFERROR(IF(INDEX('Faculties'!$N$64:$N$83,MATCH($F91,'Faculties'!$B$64:$B$83,0))="","Cell will autofill based on response",INDEX('Faculties'!$N$64:$N$83,MATCH($F91,'Faculties'!$B$64:$B$83,0))),"N/A")</f>
        <v/>
      </c>
      <c r="K91" s="25">
        <f>IFERROR(IF(INDEX('Faculties'!$N$91:$N$110,MATCH($F91,'Faculties'!$B$91:$B$110,0))="","Cell will autofill based on response",INDEX('Faculties'!$N$91:$N$110,MATCH($F91,'Faculties'!$B$91:$B$110,0))),"N/A")</f>
        <v/>
      </c>
      <c r="L91" s="25">
        <f>IFERROR(IF(INDEX('CI&amp;S'!$N$10:$N$14,MATCH($F91,'CI&amp;S'!$B$10:$B$14,0))="","Cell will autofill based on response",INDEX('CI&amp;S'!$N$10:$N$14,MATCH($F91,'CI&amp;S'!$B$10:$B$14,0))),"N/A")</f>
        <v/>
      </c>
      <c r="M91" s="25">
        <f>IFERROR(IF(INDEX('CI&amp;S'!$N$22:$N$38,MATCH($F91,'CI&amp;S'!$B$22:$B$38,0))="","Cell will autofill based on response",INDEX('CI&amp;S'!$N$22:$N$38,MATCH($F91,'CI&amp;S'!$B$22:$B$38,0))),"N/A")</f>
        <v/>
      </c>
      <c r="N91" s="25">
        <f>IFERROR(IF(INDEX('CFOG'!$N$10:$N$15,MATCH($F91,'CFOG'!$B$10:$B$15,0))="","Cell will autofill based on response",INDEX('CFOG'!$N$10:$N$15,MATCH($F91,'CFOG'!$B$10:$B$15,0))),"N/A")</f>
        <v/>
      </c>
      <c r="O91" s="25">
        <f>IFERROR(IF(INDEX('CFOG'!$N$23:$N$23,MATCH($F91,'CFOG'!$B$23:$B$23,0))="","Cell will autofill based on response",INDEX('CFOG'!$N$23:$N$23,MATCH($F91,'CFOG'!$B$23:$B$23,0))),"N/A")</f>
        <v/>
      </c>
      <c r="P91" s="25">
        <f>IFERROR(IF(INDEX('ESG'!$N$10:$N$16,MATCH($F91,'ESG'!$B$10:$B$16,0))="","Cell will autofill based on response",INDEX('ESG'!$N$10:$N$16,MATCH($F91,'ESG'!$B$10:$B$16,0))),"N/A")</f>
        <v/>
      </c>
      <c r="Q91" s="25">
        <f>IFERROR(IF(INDEX('CIOG'!$N$10:$N$13,MATCH($F91,'CIOG'!$B$10:$B$13,0))="","Cell will autofill based on response",INDEX('CIOG'!$N$10:$N$13,MATCH($F91,'CIOG'!$B$10:$B$13,0))),"N/A")</f>
        <v/>
      </c>
      <c r="R91" s="25">
        <f>IFERROR(IF(INDEX('MRE'!$N$10:$N$11,MATCH($F91,'MRE'!$B$10:$B$11,0))="","Cell will autofill based on response",INDEX('MRE'!$N$10:$N$11,MATCH($F91,'MRE'!$B$10:$B$11,0))),"N/A")</f>
        <v/>
      </c>
    </row>
    <row r="92">
      <c r="A92">
        <f>F92&amp;"|"&amp;G92</f>
        <v/>
      </c>
      <c r="B92" s="29" t="inlineStr"/>
      <c r="C92" s="8" t="inlineStr"/>
      <c r="D92" s="8" t="inlineStr"/>
      <c r="E92" s="8" t="inlineStr"/>
      <c r="F92" s="8" t="inlineStr">
        <is>
          <t>TR3(b)</t>
        </is>
      </c>
      <c r="G92" s="8" t="inlineStr">
        <is>
          <t>Supporting information/comments</t>
        </is>
      </c>
      <c r="H92" s="25">
        <f>IFERROR(IF(INDEX('Faculties'!$O$10:$O$29,MATCH($F92,'Faculties'!$B$10:$B$29,0))="","Cell will autofill based on response",INDEX('Faculties'!$O$10:$O$29,MATCH($F92,'Faculties'!$B$10:$B$29,0))),"N/A")</f>
        <v/>
      </c>
      <c r="I92" s="25">
        <f>IFERROR(IF(INDEX('Faculties'!$O$37:$O$56,MATCH($F92,'Faculties'!$B$37:$B$56,0))="","Cell will autofill based on response",INDEX('Faculties'!$O$37:$O$56,MATCH($F92,'Faculties'!$B$37:$B$56,0))),"N/A")</f>
        <v/>
      </c>
      <c r="J92" s="25">
        <f>IFERROR(IF(INDEX('Faculties'!$O$64:$O$83,MATCH($F92,'Faculties'!$B$64:$B$83,0))="","Cell will autofill based on response",INDEX('Faculties'!$O$64:$O$83,MATCH($F92,'Faculties'!$B$64:$B$83,0))),"N/A")</f>
        <v/>
      </c>
      <c r="K92" s="25">
        <f>IFERROR(IF(INDEX('Faculties'!$O$91:$O$110,MATCH($F92,'Faculties'!$B$91:$B$110,0))="","Cell will autofill based on response",INDEX('Faculties'!$O$91:$O$110,MATCH($F92,'Faculties'!$B$91:$B$110,0))),"N/A")</f>
        <v/>
      </c>
      <c r="L92" s="25">
        <f>IFERROR(IF(INDEX('CI&amp;S'!$O$10:$O$14,MATCH($F92,'CI&amp;S'!$B$10:$B$14,0))="","Cell will autofill based on response",INDEX('CI&amp;S'!$O$10:$O$14,MATCH($F92,'CI&amp;S'!$B$10:$B$14,0))),"N/A")</f>
        <v/>
      </c>
      <c r="M92" s="25">
        <f>IFERROR(IF(INDEX('CI&amp;S'!$O$22:$O$38,MATCH($F92,'CI&amp;S'!$B$22:$B$38,0))="","Cell will autofill based on response",INDEX('CI&amp;S'!$O$22:$O$38,MATCH($F92,'CI&amp;S'!$B$22:$B$38,0))),"N/A")</f>
        <v/>
      </c>
      <c r="N92" s="25">
        <f>IFERROR(IF(INDEX('CFOG'!$O$10:$O$15,MATCH($F92,'CFOG'!$B$10:$B$15,0))="","Cell will autofill based on response",INDEX('CFOG'!$O$10:$O$15,MATCH($F92,'CFOG'!$B$10:$B$15,0))),"N/A")</f>
        <v/>
      </c>
      <c r="O92" s="25">
        <f>IFERROR(IF(INDEX('CFOG'!$O$23:$O$23,MATCH($F92,'CFOG'!$B$23:$B$23,0))="","Cell will autofill based on response",INDEX('CFOG'!$O$23:$O$23,MATCH($F92,'CFOG'!$B$23:$B$23,0))),"N/A")</f>
        <v/>
      </c>
      <c r="P92" s="25">
        <f>IFERROR(IF(INDEX('ESG'!$O$10:$O$16,MATCH($F92,'ESG'!$B$10:$B$16,0))="","Cell will autofill based on response",INDEX('ESG'!$O$10:$O$16,MATCH($F92,'ESG'!$B$10:$B$16,0))),"N/A")</f>
        <v/>
      </c>
      <c r="Q92" s="25">
        <f>IFERROR(IF(INDEX('CIOG'!$O$10:$O$13,MATCH($F92,'CIOG'!$B$10:$B$13,0))="","Cell will autofill based on response",INDEX('CIOG'!$O$10:$O$13,MATCH($F92,'CIOG'!$B$10:$B$13,0))),"N/A")</f>
        <v/>
      </c>
      <c r="R92" s="25">
        <f>IFERROR(IF(INDEX('MRE'!$O$10:$O$11,MATCH($F92,'MRE'!$B$10:$B$11,0))="","Cell will autofill based on response",INDEX('MRE'!$O$10:$O$11,MATCH($F92,'MRE'!$B$10:$B$11,0))),"N/A")</f>
        <v/>
      </c>
    </row>
    <row r="93">
      <c r="A93">
        <f>F93&amp;"|"&amp;G93</f>
        <v/>
      </c>
      <c r="B93" s="29" t="inlineStr"/>
      <c r="C93" s="8" t="inlineStr"/>
      <c r="D93" s="8" t="inlineStr"/>
      <c r="E93" s="8" t="inlineStr"/>
      <c r="F93" s="8" t="inlineStr">
        <is>
          <t>TR3(b)</t>
        </is>
      </c>
      <c r="G93" s="8" t="inlineStr">
        <is>
          <t>Data source and limitations</t>
        </is>
      </c>
      <c r="H93" s="25">
        <f>IFERROR(IF(INDEX('Faculties'!$P$10:$P$29,MATCH($F93,'Faculties'!$B$10:$B$29,0))="","Cell will autofill based on response",INDEX('Faculties'!$P$10:$P$29,MATCH($F93,'Faculties'!$B$10:$B$29,0))),"N/A")</f>
        <v/>
      </c>
      <c r="I93" s="25">
        <f>IFERROR(IF(INDEX('Faculties'!$P$37:$P$56,MATCH($F93,'Faculties'!$B$37:$B$56,0))="","Cell will autofill based on response",INDEX('Faculties'!$P$37:$P$56,MATCH($F93,'Faculties'!$B$37:$B$56,0))),"N/A")</f>
        <v/>
      </c>
      <c r="J93" s="25">
        <f>IFERROR(IF(INDEX('Faculties'!$P$64:$P$83,MATCH($F93,'Faculties'!$B$64:$B$83,0))="","Cell will autofill based on response",INDEX('Faculties'!$P$64:$P$83,MATCH($F93,'Faculties'!$B$64:$B$83,0))),"N/A")</f>
        <v/>
      </c>
      <c r="K93" s="25">
        <f>IFERROR(IF(INDEX('Faculties'!$P$91:$P$110,MATCH($F93,'Faculties'!$B$91:$B$110,0))="","Cell will autofill based on response",INDEX('Faculties'!$P$91:$P$110,MATCH($F93,'Faculties'!$B$91:$B$110,0))),"N/A")</f>
        <v/>
      </c>
      <c r="L93" s="25">
        <f>IFERROR(IF(INDEX('CI&amp;S'!$P$10:$P$14,MATCH($F93,'CI&amp;S'!$B$10:$B$14,0))="","Cell will autofill based on response",INDEX('CI&amp;S'!$P$10:$P$14,MATCH($F93,'CI&amp;S'!$B$10:$B$14,0))),"N/A")</f>
        <v/>
      </c>
      <c r="M93" s="25">
        <f>IFERROR(IF(INDEX('CI&amp;S'!$P$22:$P$38,MATCH($F93,'CI&amp;S'!$B$22:$B$38,0))="","Cell will autofill based on response",INDEX('CI&amp;S'!$P$22:$P$38,MATCH($F93,'CI&amp;S'!$B$22:$B$38,0))),"N/A")</f>
        <v/>
      </c>
      <c r="N93" s="25">
        <f>IFERROR(IF(INDEX('CFOG'!$P$10:$P$15,MATCH($F93,'CFOG'!$B$10:$B$15,0))="","Cell will autofill based on response",INDEX('CFOG'!$P$10:$P$15,MATCH($F93,'CFOG'!$B$10:$B$15,0))),"N/A")</f>
        <v/>
      </c>
      <c r="O93" s="25">
        <f>IFERROR(IF(INDEX('CFOG'!$P$23:$P$23,MATCH($F93,'CFOG'!$B$23:$B$23,0))="","Cell will autofill based on response",INDEX('CFOG'!$P$23:$P$23,MATCH($F93,'CFOG'!$B$23:$B$23,0))),"N/A")</f>
        <v/>
      </c>
      <c r="P93" s="25">
        <f>IFERROR(IF(INDEX('ESG'!$P$10:$P$16,MATCH($F93,'ESG'!$B$10:$B$16,0))="","Cell will autofill based on response",INDEX('ESG'!$P$10:$P$16,MATCH($F93,'ESG'!$B$10:$B$16,0))),"N/A")</f>
        <v/>
      </c>
      <c r="Q93" s="25">
        <f>IFERROR(IF(INDEX('CIOG'!$P$10:$P$13,MATCH($F93,'CIOG'!$B$10:$B$13,0))="","Cell will autofill based on response",INDEX('CIOG'!$P$10:$P$13,MATCH($F93,'CIOG'!$B$10:$B$13,0))),"N/A")</f>
        <v/>
      </c>
      <c r="R93" s="25">
        <f>IFERROR(IF(INDEX('MRE'!$P$10:$P$11,MATCH($F93,'MRE'!$B$10:$B$11,0))="","Cell will autofill based on response",INDEX('MRE'!$P$10:$P$11,MATCH($F93,'MRE'!$B$10:$B$11,0))),"N/A")</f>
        <v/>
      </c>
    </row>
    <row r="94">
      <c r="A94">
        <f>F94&amp;"|"&amp;G94</f>
        <v/>
      </c>
      <c r="B94" s="29" t="inlineStr"/>
      <c r="C94" s="8" t="inlineStr"/>
      <c r="D94" s="8" t="inlineStr"/>
      <c r="E94" s="8" t="inlineStr"/>
      <c r="F94" s="8" t="inlineStr">
        <is>
          <t>TR3(b)</t>
        </is>
      </c>
      <c r="G94" s="8" t="inlineStr">
        <is>
          <t>Data owner confirms</t>
        </is>
      </c>
      <c r="H94" s="25">
        <f>IFERROR(IF(INDEX('Faculties'!$Q$10:$Q$29,MATCH($F94,'Faculties'!$B$10:$B$29,0))="","Cell will autofill based on response",INDEX('Faculties'!$Q$10:$Q$29,MATCH($F94,'Faculties'!$B$10:$B$29,0))),"N/A")</f>
        <v/>
      </c>
      <c r="I94" s="25">
        <f>IFERROR(IF(INDEX('Faculties'!$Q$37:$Q$56,MATCH($F94,'Faculties'!$B$37:$B$56,0))="","Cell will autofill based on response",INDEX('Faculties'!$Q$37:$Q$56,MATCH($F94,'Faculties'!$B$37:$B$56,0))),"N/A")</f>
        <v/>
      </c>
      <c r="J94" s="25">
        <f>IFERROR(IF(INDEX('Faculties'!$Q$64:$Q$83,MATCH($F94,'Faculties'!$B$64:$B$83,0))="","Cell will autofill based on response",INDEX('Faculties'!$Q$64:$Q$83,MATCH($F94,'Faculties'!$B$64:$B$83,0))),"N/A")</f>
        <v/>
      </c>
      <c r="K94" s="25">
        <f>IFERROR(IF(INDEX('Faculties'!$Q$91:$Q$110,MATCH($F94,'Faculties'!$B$91:$B$110,0))="","Cell will autofill based on response",INDEX('Faculties'!$Q$91:$Q$110,MATCH($F94,'Faculties'!$B$91:$B$110,0))),"N/A")</f>
        <v/>
      </c>
      <c r="L94" s="25">
        <f>IFERROR(IF(INDEX('CI&amp;S'!$Q$10:$Q$14,MATCH($F94,'CI&amp;S'!$B$10:$B$14,0))="","Cell will autofill based on response",INDEX('CI&amp;S'!$Q$10:$Q$14,MATCH($F94,'CI&amp;S'!$B$10:$B$14,0))),"N/A")</f>
        <v/>
      </c>
      <c r="M94" s="25">
        <f>IFERROR(IF(INDEX('CI&amp;S'!$Q$22:$Q$38,MATCH($F94,'CI&amp;S'!$B$22:$B$38,0))="","Cell will autofill based on response",INDEX('CI&amp;S'!$Q$22:$Q$38,MATCH($F94,'CI&amp;S'!$B$22:$B$38,0))),"N/A")</f>
        <v/>
      </c>
      <c r="N94" s="25">
        <f>IFERROR(IF(INDEX('CFOG'!$Q$10:$Q$15,MATCH($F94,'CFOG'!$B$10:$B$15,0))="","Cell will autofill based on response",INDEX('CFOG'!$Q$10:$Q$15,MATCH($F94,'CFOG'!$B$10:$B$15,0))),"N/A")</f>
        <v/>
      </c>
      <c r="O94" s="25">
        <f>IFERROR(IF(INDEX('CFOG'!$Q$23:$Q$23,MATCH($F94,'CFOG'!$B$23:$B$23,0))="","Cell will autofill based on response",INDEX('CFOG'!$Q$23:$Q$23,MATCH($F94,'CFOG'!$B$23:$B$23,0))),"N/A")</f>
        <v/>
      </c>
      <c r="P94" s="25">
        <f>IFERROR(IF(INDEX('ESG'!$Q$10:$Q$16,MATCH($F94,'ESG'!$B$10:$B$16,0))="","Cell will autofill based on response",INDEX('ESG'!$Q$10:$Q$16,MATCH($F94,'ESG'!$B$10:$B$16,0))),"N/A")</f>
        <v/>
      </c>
      <c r="Q94" s="25">
        <f>IFERROR(IF(INDEX('CIOG'!$Q$10:$Q$13,MATCH($F94,'CIOG'!$B$10:$B$13,0))="","Cell will autofill based on response",INDEX('CIOG'!$Q$10:$Q$13,MATCH($F94,'CIOG'!$B$10:$B$13,0))),"N/A")</f>
        <v/>
      </c>
      <c r="R94" s="25">
        <f>IFERROR(IF(INDEX('MRE'!$Q$10:$Q$11,MATCH($F94,'MRE'!$B$10:$B$11,0))="","Cell will autofill based on response",INDEX('MRE'!$Q$10:$Q$11,MATCH($F94,'MRE'!$B$10:$B$11,0))),"N/A")</f>
        <v/>
      </c>
    </row>
    <row r="95">
      <c r="A95">
        <f>F95&amp;"|"&amp;G95</f>
        <v/>
      </c>
      <c r="B95" s="7" t="inlineStr">
        <is>
          <t>TR3(c)</t>
        </is>
      </c>
      <c r="C95" s="12" t="inlineStr">
        <is>
          <t>Transformational research</t>
        </is>
      </c>
      <c r="D95" s="12" t="inlineStr">
        <is>
          <t>Evidence of progress in sustainability-related research culture, capability and awareness, informed by periodic staff and graduate researcher surveys</t>
        </is>
      </c>
      <c r="E95" s="12"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95" s="12" t="inlineStr">
        <is>
          <t>TR3(c)</t>
        </is>
      </c>
      <c r="G95" s="12" t="inlineStr">
        <is>
          <t>Confirm end-2026 target status</t>
        </is>
      </c>
      <c r="H95" s="25">
        <f>IFERROR(IF(INDEX('Faculties'!$L$10:$L$29,MATCH($F95,'Faculties'!$B$10:$B$29,0))="","Cell will autofill based on response",INDEX('Faculties'!$L$10:$L$29,MATCH($F95,'Faculties'!$B$10:$B$29,0))),"N/A")</f>
        <v/>
      </c>
      <c r="I95" s="25">
        <f>IFERROR(IF(INDEX('Faculties'!$L$37:$L$56,MATCH($F95,'Faculties'!$B$37:$B$56,0))="","Cell will autofill based on response",INDEX('Faculties'!$L$37:$L$56,MATCH($F95,'Faculties'!$B$37:$B$56,0))),"N/A")</f>
        <v/>
      </c>
      <c r="J95" s="25">
        <f>IFERROR(IF(INDEX('Faculties'!$L$64:$L$83,MATCH($F95,'Faculties'!$B$64:$B$83,0))="","Cell will autofill based on response",INDEX('Faculties'!$L$64:$L$83,MATCH($F95,'Faculties'!$B$64:$B$83,0))),"N/A")</f>
        <v/>
      </c>
      <c r="K95" s="25">
        <f>IFERROR(IF(INDEX('Faculties'!$L$91:$L$110,MATCH($F95,'Faculties'!$B$91:$B$110,0))="","Cell will autofill based on response",INDEX('Faculties'!$L$91:$L$110,MATCH($F95,'Faculties'!$B$91:$B$110,0))),"N/A")</f>
        <v/>
      </c>
      <c r="L95" s="25">
        <f>IFERROR(IF(INDEX('CI&amp;S'!$L$10:$L$14,MATCH($F95,'CI&amp;S'!$B$10:$B$14,0))="","Cell will autofill based on response",INDEX('CI&amp;S'!$L$10:$L$14,MATCH($F95,'CI&amp;S'!$B$10:$B$14,0))),"N/A")</f>
        <v/>
      </c>
      <c r="M95" s="25">
        <f>IFERROR(IF(INDEX('CI&amp;S'!$L$22:$L$38,MATCH($F95,'CI&amp;S'!$B$22:$B$38,0))="","Cell will autofill based on response",INDEX('CI&amp;S'!$L$22:$L$38,MATCH($F95,'CI&amp;S'!$B$22:$B$38,0))),"N/A")</f>
        <v/>
      </c>
      <c r="N95" s="25">
        <f>IFERROR(IF(INDEX('CFOG'!$L$10:$L$15,MATCH($F95,'CFOG'!$B$10:$B$15,0))="","Cell will autofill based on response",INDEX('CFOG'!$L$10:$L$15,MATCH($F95,'CFOG'!$B$10:$B$15,0))),"N/A")</f>
        <v/>
      </c>
      <c r="O95" s="25">
        <f>IFERROR(IF(INDEX('CFOG'!$L$23:$L$23,MATCH($F95,'CFOG'!$B$23:$B$23,0))="","Cell will autofill based on response",INDEX('CFOG'!$L$23:$L$23,MATCH($F95,'CFOG'!$B$23:$B$23,0))),"N/A")</f>
        <v/>
      </c>
      <c r="P95" s="25">
        <f>IFERROR(IF(INDEX('ESG'!$L$10:$L$16,MATCH($F95,'ESG'!$B$10:$B$16,0))="","Cell will autofill based on response",INDEX('ESG'!$L$10:$L$16,MATCH($F95,'ESG'!$B$10:$B$16,0))),"N/A")</f>
        <v/>
      </c>
      <c r="Q95" s="25">
        <f>IFERROR(IF(INDEX('CIOG'!$L$10:$L$13,MATCH($F95,'CIOG'!$B$10:$B$13,0))="","Cell will autofill based on response",INDEX('CIOG'!$L$10:$L$13,MATCH($F95,'CIOG'!$B$10:$B$13,0))),"N/A")</f>
        <v/>
      </c>
      <c r="R95" s="25">
        <f>IFERROR(IF(INDEX('MRE'!$L$10:$L$11,MATCH($F95,'MRE'!$B$10:$B$11,0))="","Cell will autofill based on response",INDEX('MRE'!$L$10:$L$11,MATCH($F95,'MRE'!$B$10:$B$11,0))),"N/A")</f>
        <v/>
      </c>
      <c r="T95" s="26">
        <f>COUNTIF($H95:$R95,"Cell will autofill based on response")</f>
        <v/>
      </c>
      <c r="U95" s="26">
        <f>COUNTIF($H95:$R95,"Not yet started")</f>
        <v/>
      </c>
      <c r="V95" s="26">
        <f>COUNTIF($H95:$R95,"Not met")</f>
        <v/>
      </c>
      <c r="W95" s="26">
        <f>COUNTIF($H95:$R95,"Partially met")</f>
        <v/>
      </c>
      <c r="X95" s="26">
        <f>COUNTIF($H95:$R95,"Met or exceeded")</f>
        <v/>
      </c>
      <c r="Y95" s="26">
        <f>3*X95+2*W95+V95</f>
        <v/>
      </c>
      <c r="Z95" s="26">
        <f>X95+W95+V95+U95</f>
        <v/>
      </c>
      <c r="AA95" s="27">
        <f>IF(Z95&gt;0,Y95/Z95,"No valid responses to date")</f>
        <v/>
      </c>
      <c r="AB95" s="26">
        <f>IF(ISNUMBER(AA95),INDEX(Lists!$G$2:$G$5,MATCH(ROUND(AA95,0),Lists!$H$2:$H$5,0)),"")</f>
        <v/>
      </c>
      <c r="AC95" s="28">
        <f>IF(Z95&gt;0,X95/Z95,"")</f>
        <v/>
      </c>
      <c r="AD95" s="28">
        <f>IF(Z95&gt;0,(X95+W95)/Z95,"")</f>
        <v/>
      </c>
      <c r="AE95" s="26">
        <f>IF(Z95=0,"",IF(AC95&gt;0.75,"Met or exceeded",IF(AD95&gt;=0.5,"Partially met","Not met")))</f>
        <v/>
      </c>
    </row>
    <row r="96">
      <c r="A96">
        <f>F96&amp;"|"&amp;G96</f>
        <v/>
      </c>
      <c r="B96" s="29" t="inlineStr"/>
      <c r="C96" s="8" t="inlineStr"/>
      <c r="D96" s="8" t="inlineStr"/>
      <c r="E96" s="8" t="inlineStr"/>
      <c r="F96" s="8" t="inlineStr">
        <is>
          <t>TR3(c)</t>
        </is>
      </c>
      <c r="G96" s="8" t="inlineStr">
        <is>
          <t>OPTION 1:  Target-level reporting</t>
        </is>
      </c>
      <c r="H96" s="25">
        <f>IFERROR(IF(INDEX('Faculties'!$M$10:$M$29,MATCH($F96,'Faculties'!$B$10:$B$29,0))="","Cell will autofill based on response",INDEX('Faculties'!$M$10:$M$29,MATCH($F96,'Faculties'!$B$10:$B$29,0))),"N/A")</f>
        <v/>
      </c>
      <c r="I96" s="25">
        <f>IFERROR(IF(INDEX('Faculties'!$M$37:$M$56,MATCH($F96,'Faculties'!$B$37:$B$56,0))="","Cell will autofill based on response",INDEX('Faculties'!$M$37:$M$56,MATCH($F96,'Faculties'!$B$37:$B$56,0))),"N/A")</f>
        <v/>
      </c>
      <c r="J96" s="25">
        <f>IFERROR(IF(INDEX('Faculties'!$M$64:$M$83,MATCH($F96,'Faculties'!$B$64:$B$83,0))="","Cell will autofill based on response",INDEX('Faculties'!$M$64:$M$83,MATCH($F96,'Faculties'!$B$64:$B$83,0))),"N/A")</f>
        <v/>
      </c>
      <c r="K96" s="25">
        <f>IFERROR(IF(INDEX('Faculties'!$M$91:$M$110,MATCH($F96,'Faculties'!$B$91:$B$110,0))="","Cell will autofill based on response",INDEX('Faculties'!$M$91:$M$110,MATCH($F96,'Faculties'!$B$91:$B$110,0))),"N/A")</f>
        <v/>
      </c>
      <c r="L96" s="25">
        <f>IFERROR(IF(INDEX('CI&amp;S'!$M$10:$M$14,MATCH($F96,'CI&amp;S'!$B$10:$B$14,0))="","Cell will autofill based on response",INDEX('CI&amp;S'!$M$10:$M$14,MATCH($F96,'CI&amp;S'!$B$10:$B$14,0))),"N/A")</f>
        <v/>
      </c>
      <c r="M96" s="25">
        <f>IFERROR(IF(INDEX('CI&amp;S'!$M$22:$M$38,MATCH($F96,'CI&amp;S'!$B$22:$B$38,0))="","Cell will autofill based on response",INDEX('CI&amp;S'!$M$22:$M$38,MATCH($F96,'CI&amp;S'!$B$22:$B$38,0))),"N/A")</f>
        <v/>
      </c>
      <c r="N96" s="25">
        <f>IFERROR(IF(INDEX('CFOG'!$M$10:$M$15,MATCH($F96,'CFOG'!$B$10:$B$15,0))="","Cell will autofill based on response",INDEX('CFOG'!$M$10:$M$15,MATCH($F96,'CFOG'!$B$10:$B$15,0))),"N/A")</f>
        <v/>
      </c>
      <c r="O96" s="25">
        <f>IFERROR(IF(INDEX('CFOG'!$M$23:$M$23,MATCH($F96,'CFOG'!$B$23:$B$23,0))="","Cell will autofill based on response",INDEX('CFOG'!$M$23:$M$23,MATCH($F96,'CFOG'!$B$23:$B$23,0))),"N/A")</f>
        <v/>
      </c>
      <c r="P96" s="25">
        <f>IFERROR(IF(INDEX('ESG'!$M$10:$M$16,MATCH($F96,'ESG'!$B$10:$B$16,0))="","Cell will autofill based on response",INDEX('ESG'!$M$10:$M$16,MATCH($F96,'ESG'!$B$10:$B$16,0))),"N/A")</f>
        <v/>
      </c>
      <c r="Q96" s="25">
        <f>IFERROR(IF(INDEX('CIOG'!$M$10:$M$13,MATCH($F96,'CIOG'!$B$10:$B$13,0))="","Cell will autofill based on response",INDEX('CIOG'!$M$10:$M$13,MATCH($F96,'CIOG'!$B$10:$B$13,0))),"N/A")</f>
        <v/>
      </c>
      <c r="R96" s="25">
        <f>IFERROR(IF(INDEX('MRE'!$M$10:$M$11,MATCH($F96,'MRE'!$B$10:$B$11,0))="","Cell will autofill based on response",INDEX('MRE'!$M$10:$M$11,MATCH($F96,'MRE'!$B$10:$B$11,0))),"N/A")</f>
        <v/>
      </c>
    </row>
    <row r="97">
      <c r="A97">
        <f>F97&amp;"|"&amp;G97</f>
        <v/>
      </c>
      <c r="B97" s="29" t="inlineStr"/>
      <c r="C97" s="8" t="inlineStr"/>
      <c r="D97" s="8" t="inlineStr"/>
      <c r="E97" s="8" t="inlineStr"/>
      <c r="F97" s="8" t="inlineStr">
        <is>
          <t>TR3(c)</t>
        </is>
      </c>
      <c r="G97" s="8" t="inlineStr">
        <is>
          <t>OPTION 2:  Indicator level reporting</t>
        </is>
      </c>
      <c r="H97" s="25">
        <f>IFERROR(IF(INDEX('Faculties'!$N$10:$N$29,MATCH($F97,'Faculties'!$B$10:$B$29,0))="","Cell will autofill based on response",INDEX('Faculties'!$N$10:$N$29,MATCH($F97,'Faculties'!$B$10:$B$29,0))),"N/A")</f>
        <v/>
      </c>
      <c r="I97" s="25">
        <f>IFERROR(IF(INDEX('Faculties'!$N$37:$N$56,MATCH($F97,'Faculties'!$B$37:$B$56,0))="","Cell will autofill based on response",INDEX('Faculties'!$N$37:$N$56,MATCH($F97,'Faculties'!$B$37:$B$56,0))),"N/A")</f>
        <v/>
      </c>
      <c r="J97" s="25">
        <f>IFERROR(IF(INDEX('Faculties'!$N$64:$N$83,MATCH($F97,'Faculties'!$B$64:$B$83,0))="","Cell will autofill based on response",INDEX('Faculties'!$N$64:$N$83,MATCH($F97,'Faculties'!$B$64:$B$83,0))),"N/A")</f>
        <v/>
      </c>
      <c r="K97" s="25">
        <f>IFERROR(IF(INDEX('Faculties'!$N$91:$N$110,MATCH($F97,'Faculties'!$B$91:$B$110,0))="","Cell will autofill based on response",INDEX('Faculties'!$N$91:$N$110,MATCH($F97,'Faculties'!$B$91:$B$110,0))),"N/A")</f>
        <v/>
      </c>
      <c r="L97" s="25">
        <f>IFERROR(IF(INDEX('CI&amp;S'!$N$10:$N$14,MATCH($F97,'CI&amp;S'!$B$10:$B$14,0))="","Cell will autofill based on response",INDEX('CI&amp;S'!$N$10:$N$14,MATCH($F97,'CI&amp;S'!$B$10:$B$14,0))),"N/A")</f>
        <v/>
      </c>
      <c r="M97" s="25">
        <f>IFERROR(IF(INDEX('CI&amp;S'!$N$22:$N$38,MATCH($F97,'CI&amp;S'!$B$22:$B$38,0))="","Cell will autofill based on response",INDEX('CI&amp;S'!$N$22:$N$38,MATCH($F97,'CI&amp;S'!$B$22:$B$38,0))),"N/A")</f>
        <v/>
      </c>
      <c r="N97" s="25">
        <f>IFERROR(IF(INDEX('CFOG'!$N$10:$N$15,MATCH($F97,'CFOG'!$B$10:$B$15,0))="","Cell will autofill based on response",INDEX('CFOG'!$N$10:$N$15,MATCH($F97,'CFOG'!$B$10:$B$15,0))),"N/A")</f>
        <v/>
      </c>
      <c r="O97" s="25">
        <f>IFERROR(IF(INDEX('CFOG'!$N$23:$N$23,MATCH($F97,'CFOG'!$B$23:$B$23,0))="","Cell will autofill based on response",INDEX('CFOG'!$N$23:$N$23,MATCH($F97,'CFOG'!$B$23:$B$23,0))),"N/A")</f>
        <v/>
      </c>
      <c r="P97" s="25">
        <f>IFERROR(IF(INDEX('ESG'!$N$10:$N$16,MATCH($F97,'ESG'!$B$10:$B$16,0))="","Cell will autofill based on response",INDEX('ESG'!$N$10:$N$16,MATCH($F97,'ESG'!$B$10:$B$16,0))),"N/A")</f>
        <v/>
      </c>
      <c r="Q97" s="25">
        <f>IFERROR(IF(INDEX('CIOG'!$N$10:$N$13,MATCH($F97,'CIOG'!$B$10:$B$13,0))="","Cell will autofill based on response",INDEX('CIOG'!$N$10:$N$13,MATCH($F97,'CIOG'!$B$10:$B$13,0))),"N/A")</f>
        <v/>
      </c>
      <c r="R97" s="25">
        <f>IFERROR(IF(INDEX('MRE'!$N$10:$N$11,MATCH($F97,'MRE'!$B$10:$B$11,0))="","Cell will autofill based on response",INDEX('MRE'!$N$10:$N$11,MATCH($F97,'MRE'!$B$10:$B$11,0))),"N/A")</f>
        <v/>
      </c>
    </row>
    <row r="98">
      <c r="A98">
        <f>F98&amp;"|"&amp;G98</f>
        <v/>
      </c>
      <c r="B98" s="29" t="inlineStr"/>
      <c r="C98" s="8" t="inlineStr"/>
      <c r="D98" s="8" t="inlineStr"/>
      <c r="E98" s="8" t="inlineStr"/>
      <c r="F98" s="8" t="inlineStr">
        <is>
          <t>TR3(c)</t>
        </is>
      </c>
      <c r="G98" s="8" t="inlineStr">
        <is>
          <t>Supporting information/comments</t>
        </is>
      </c>
      <c r="H98" s="25">
        <f>IFERROR(IF(INDEX('Faculties'!$O$10:$O$29,MATCH($F98,'Faculties'!$B$10:$B$29,0))="","Cell will autofill based on response",INDEX('Faculties'!$O$10:$O$29,MATCH($F98,'Faculties'!$B$10:$B$29,0))),"N/A")</f>
        <v/>
      </c>
      <c r="I98" s="25">
        <f>IFERROR(IF(INDEX('Faculties'!$O$37:$O$56,MATCH($F98,'Faculties'!$B$37:$B$56,0))="","Cell will autofill based on response",INDEX('Faculties'!$O$37:$O$56,MATCH($F98,'Faculties'!$B$37:$B$56,0))),"N/A")</f>
        <v/>
      </c>
      <c r="J98" s="25">
        <f>IFERROR(IF(INDEX('Faculties'!$O$64:$O$83,MATCH($F98,'Faculties'!$B$64:$B$83,0))="","Cell will autofill based on response",INDEX('Faculties'!$O$64:$O$83,MATCH($F98,'Faculties'!$B$64:$B$83,0))),"N/A")</f>
        <v/>
      </c>
      <c r="K98" s="25">
        <f>IFERROR(IF(INDEX('Faculties'!$O$91:$O$110,MATCH($F98,'Faculties'!$B$91:$B$110,0))="","Cell will autofill based on response",INDEX('Faculties'!$O$91:$O$110,MATCH($F98,'Faculties'!$B$91:$B$110,0))),"N/A")</f>
        <v/>
      </c>
      <c r="L98" s="25">
        <f>IFERROR(IF(INDEX('CI&amp;S'!$O$10:$O$14,MATCH($F98,'CI&amp;S'!$B$10:$B$14,0))="","Cell will autofill based on response",INDEX('CI&amp;S'!$O$10:$O$14,MATCH($F98,'CI&amp;S'!$B$10:$B$14,0))),"N/A")</f>
        <v/>
      </c>
      <c r="M98" s="25">
        <f>IFERROR(IF(INDEX('CI&amp;S'!$O$22:$O$38,MATCH($F98,'CI&amp;S'!$B$22:$B$38,0))="","Cell will autofill based on response",INDEX('CI&amp;S'!$O$22:$O$38,MATCH($F98,'CI&amp;S'!$B$22:$B$38,0))),"N/A")</f>
        <v/>
      </c>
      <c r="N98" s="25">
        <f>IFERROR(IF(INDEX('CFOG'!$O$10:$O$15,MATCH($F98,'CFOG'!$B$10:$B$15,0))="","Cell will autofill based on response",INDEX('CFOG'!$O$10:$O$15,MATCH($F98,'CFOG'!$B$10:$B$15,0))),"N/A")</f>
        <v/>
      </c>
      <c r="O98" s="25">
        <f>IFERROR(IF(INDEX('CFOG'!$O$23:$O$23,MATCH($F98,'CFOG'!$B$23:$B$23,0))="","Cell will autofill based on response",INDEX('CFOG'!$O$23:$O$23,MATCH($F98,'CFOG'!$B$23:$B$23,0))),"N/A")</f>
        <v/>
      </c>
      <c r="P98" s="25">
        <f>IFERROR(IF(INDEX('ESG'!$O$10:$O$16,MATCH($F98,'ESG'!$B$10:$B$16,0))="","Cell will autofill based on response",INDEX('ESG'!$O$10:$O$16,MATCH($F98,'ESG'!$B$10:$B$16,0))),"N/A")</f>
        <v/>
      </c>
      <c r="Q98" s="25">
        <f>IFERROR(IF(INDEX('CIOG'!$O$10:$O$13,MATCH($F98,'CIOG'!$B$10:$B$13,0))="","Cell will autofill based on response",INDEX('CIOG'!$O$10:$O$13,MATCH($F98,'CIOG'!$B$10:$B$13,0))),"N/A")</f>
        <v/>
      </c>
      <c r="R98" s="25">
        <f>IFERROR(IF(INDEX('MRE'!$O$10:$O$11,MATCH($F98,'MRE'!$B$10:$B$11,0))="","Cell will autofill based on response",INDEX('MRE'!$O$10:$O$11,MATCH($F98,'MRE'!$B$10:$B$11,0))),"N/A")</f>
        <v/>
      </c>
    </row>
    <row r="99">
      <c r="A99">
        <f>F99&amp;"|"&amp;G99</f>
        <v/>
      </c>
      <c r="B99" s="29" t="inlineStr"/>
      <c r="C99" s="8" t="inlineStr"/>
      <c r="D99" s="8" t="inlineStr"/>
      <c r="E99" s="8" t="inlineStr"/>
      <c r="F99" s="8" t="inlineStr">
        <is>
          <t>TR3(c)</t>
        </is>
      </c>
      <c r="G99" s="8" t="inlineStr">
        <is>
          <t>Data source and limitations</t>
        </is>
      </c>
      <c r="H99" s="25">
        <f>IFERROR(IF(INDEX('Faculties'!$P$10:$P$29,MATCH($F99,'Faculties'!$B$10:$B$29,0))="","Cell will autofill based on response",INDEX('Faculties'!$P$10:$P$29,MATCH($F99,'Faculties'!$B$10:$B$29,0))),"N/A")</f>
        <v/>
      </c>
      <c r="I99" s="25">
        <f>IFERROR(IF(INDEX('Faculties'!$P$37:$P$56,MATCH($F99,'Faculties'!$B$37:$B$56,0))="","Cell will autofill based on response",INDEX('Faculties'!$P$37:$P$56,MATCH($F99,'Faculties'!$B$37:$B$56,0))),"N/A")</f>
        <v/>
      </c>
      <c r="J99" s="25">
        <f>IFERROR(IF(INDEX('Faculties'!$P$64:$P$83,MATCH($F99,'Faculties'!$B$64:$B$83,0))="","Cell will autofill based on response",INDEX('Faculties'!$P$64:$P$83,MATCH($F99,'Faculties'!$B$64:$B$83,0))),"N/A")</f>
        <v/>
      </c>
      <c r="K99" s="25">
        <f>IFERROR(IF(INDEX('Faculties'!$P$91:$P$110,MATCH($F99,'Faculties'!$B$91:$B$110,0))="","Cell will autofill based on response",INDEX('Faculties'!$P$91:$P$110,MATCH($F99,'Faculties'!$B$91:$B$110,0))),"N/A")</f>
        <v/>
      </c>
      <c r="L99" s="25">
        <f>IFERROR(IF(INDEX('CI&amp;S'!$P$10:$P$14,MATCH($F99,'CI&amp;S'!$B$10:$B$14,0))="","Cell will autofill based on response",INDEX('CI&amp;S'!$P$10:$P$14,MATCH($F99,'CI&amp;S'!$B$10:$B$14,0))),"N/A")</f>
        <v/>
      </c>
      <c r="M99" s="25">
        <f>IFERROR(IF(INDEX('CI&amp;S'!$P$22:$P$38,MATCH($F99,'CI&amp;S'!$B$22:$B$38,0))="","Cell will autofill based on response",INDEX('CI&amp;S'!$P$22:$P$38,MATCH($F99,'CI&amp;S'!$B$22:$B$38,0))),"N/A")</f>
        <v/>
      </c>
      <c r="N99" s="25">
        <f>IFERROR(IF(INDEX('CFOG'!$P$10:$P$15,MATCH($F99,'CFOG'!$B$10:$B$15,0))="","Cell will autofill based on response",INDEX('CFOG'!$P$10:$P$15,MATCH($F99,'CFOG'!$B$10:$B$15,0))),"N/A")</f>
        <v/>
      </c>
      <c r="O99" s="25">
        <f>IFERROR(IF(INDEX('CFOG'!$P$23:$P$23,MATCH($F99,'CFOG'!$B$23:$B$23,0))="","Cell will autofill based on response",INDEX('CFOG'!$P$23:$P$23,MATCH($F99,'CFOG'!$B$23:$B$23,0))),"N/A")</f>
        <v/>
      </c>
      <c r="P99" s="25">
        <f>IFERROR(IF(INDEX('ESG'!$P$10:$P$16,MATCH($F99,'ESG'!$B$10:$B$16,0))="","Cell will autofill based on response",INDEX('ESG'!$P$10:$P$16,MATCH($F99,'ESG'!$B$10:$B$16,0))),"N/A")</f>
        <v/>
      </c>
      <c r="Q99" s="25">
        <f>IFERROR(IF(INDEX('CIOG'!$P$10:$P$13,MATCH($F99,'CIOG'!$B$10:$B$13,0))="","Cell will autofill based on response",INDEX('CIOG'!$P$10:$P$13,MATCH($F99,'CIOG'!$B$10:$B$13,0))),"N/A")</f>
        <v/>
      </c>
      <c r="R99" s="25">
        <f>IFERROR(IF(INDEX('MRE'!$P$10:$P$11,MATCH($F99,'MRE'!$B$10:$B$11,0))="","Cell will autofill based on response",INDEX('MRE'!$P$10:$P$11,MATCH($F99,'MRE'!$B$10:$B$11,0))),"N/A")</f>
        <v/>
      </c>
    </row>
    <row r="100">
      <c r="A100">
        <f>F100&amp;"|"&amp;G100</f>
        <v/>
      </c>
      <c r="B100" s="29" t="inlineStr"/>
      <c r="C100" s="8" t="inlineStr"/>
      <c r="D100" s="8" t="inlineStr"/>
      <c r="E100" s="8" t="inlineStr"/>
      <c r="F100" s="8" t="inlineStr">
        <is>
          <t>TR3(c)</t>
        </is>
      </c>
      <c r="G100" s="8" t="inlineStr">
        <is>
          <t>Data owner confirms</t>
        </is>
      </c>
      <c r="H100" s="25">
        <f>IFERROR(IF(INDEX('Faculties'!$Q$10:$Q$29,MATCH($F100,'Faculties'!$B$10:$B$29,0))="","Cell will autofill based on response",INDEX('Faculties'!$Q$10:$Q$29,MATCH($F100,'Faculties'!$B$10:$B$29,0))),"N/A")</f>
        <v/>
      </c>
      <c r="I100" s="25">
        <f>IFERROR(IF(INDEX('Faculties'!$Q$37:$Q$56,MATCH($F100,'Faculties'!$B$37:$B$56,0))="","Cell will autofill based on response",INDEX('Faculties'!$Q$37:$Q$56,MATCH($F100,'Faculties'!$B$37:$B$56,0))),"N/A")</f>
        <v/>
      </c>
      <c r="J100" s="25">
        <f>IFERROR(IF(INDEX('Faculties'!$Q$64:$Q$83,MATCH($F100,'Faculties'!$B$64:$B$83,0))="","Cell will autofill based on response",INDEX('Faculties'!$Q$64:$Q$83,MATCH($F100,'Faculties'!$B$64:$B$83,0))),"N/A")</f>
        <v/>
      </c>
      <c r="K100" s="25">
        <f>IFERROR(IF(INDEX('Faculties'!$Q$91:$Q$110,MATCH($F100,'Faculties'!$B$91:$B$110,0))="","Cell will autofill based on response",INDEX('Faculties'!$Q$91:$Q$110,MATCH($F100,'Faculties'!$B$91:$B$110,0))),"N/A")</f>
        <v/>
      </c>
      <c r="L100" s="25">
        <f>IFERROR(IF(INDEX('CI&amp;S'!$Q$10:$Q$14,MATCH($F100,'CI&amp;S'!$B$10:$B$14,0))="","Cell will autofill based on response",INDEX('CI&amp;S'!$Q$10:$Q$14,MATCH($F100,'CI&amp;S'!$B$10:$B$14,0))),"N/A")</f>
        <v/>
      </c>
      <c r="M100" s="25">
        <f>IFERROR(IF(INDEX('CI&amp;S'!$Q$22:$Q$38,MATCH($F100,'CI&amp;S'!$B$22:$B$38,0))="","Cell will autofill based on response",INDEX('CI&amp;S'!$Q$22:$Q$38,MATCH($F100,'CI&amp;S'!$B$22:$B$38,0))),"N/A")</f>
        <v/>
      </c>
      <c r="N100" s="25">
        <f>IFERROR(IF(INDEX('CFOG'!$Q$10:$Q$15,MATCH($F100,'CFOG'!$B$10:$B$15,0))="","Cell will autofill based on response",INDEX('CFOG'!$Q$10:$Q$15,MATCH($F100,'CFOG'!$B$10:$B$15,0))),"N/A")</f>
        <v/>
      </c>
      <c r="O100" s="25">
        <f>IFERROR(IF(INDEX('CFOG'!$Q$23:$Q$23,MATCH($F100,'CFOG'!$B$23:$B$23,0))="","Cell will autofill based on response",INDEX('CFOG'!$Q$23:$Q$23,MATCH($F100,'CFOG'!$B$23:$B$23,0))),"N/A")</f>
        <v/>
      </c>
      <c r="P100" s="25">
        <f>IFERROR(IF(INDEX('ESG'!$Q$10:$Q$16,MATCH($F100,'ESG'!$B$10:$B$16,0))="","Cell will autofill based on response",INDEX('ESG'!$Q$10:$Q$16,MATCH($F100,'ESG'!$B$10:$B$16,0))),"N/A")</f>
        <v/>
      </c>
      <c r="Q100" s="25">
        <f>IFERROR(IF(INDEX('CIOG'!$Q$10:$Q$13,MATCH($F100,'CIOG'!$B$10:$B$13,0))="","Cell will autofill based on response",INDEX('CIOG'!$Q$10:$Q$13,MATCH($F100,'CIOG'!$B$10:$B$13,0))),"N/A")</f>
        <v/>
      </c>
      <c r="R100" s="25">
        <f>IFERROR(IF(INDEX('MRE'!$Q$10:$Q$11,MATCH($F100,'MRE'!$B$10:$B$11,0))="","Cell will autofill based on response",INDEX('MRE'!$Q$10:$Q$11,MATCH($F100,'MRE'!$B$10:$B$11,0))),"N/A")</f>
        <v/>
      </c>
    </row>
    <row r="101">
      <c r="A101">
        <f>F101&amp;"|"&amp;G101</f>
        <v/>
      </c>
      <c r="B101" s="7" t="inlineStr">
        <is>
          <t>TR3(d)</t>
        </is>
      </c>
      <c r="C101" s="12" t="inlineStr">
        <is>
          <t>Transformational research</t>
        </is>
      </c>
      <c r="D101" s="12" t="inlineStr">
        <is>
          <t>Expert assessment of progress in embedding sustainable research practices across the institution.</t>
        </is>
      </c>
      <c r="E101" s="12" t="inlineStr">
        <is>
          <t>Faculty/Portfolio’s assessment of progress in embedding sustainable research practices, highlighting areas of strong progress, remaining gaps and priority actions for further improvement.</t>
        </is>
      </c>
      <c r="F101" s="12" t="inlineStr">
        <is>
          <t>TR3(d)</t>
        </is>
      </c>
      <c r="G101" s="12" t="inlineStr">
        <is>
          <t>Confirm end-2026 target status</t>
        </is>
      </c>
      <c r="H101" s="25">
        <f>IFERROR(IF(INDEX('Faculties'!$L$10:$L$29,MATCH($F101,'Faculties'!$B$10:$B$29,0))="","Cell will autofill based on response",INDEX('Faculties'!$L$10:$L$29,MATCH($F101,'Faculties'!$B$10:$B$29,0))),"N/A")</f>
        <v/>
      </c>
      <c r="I101" s="25">
        <f>IFERROR(IF(INDEX('Faculties'!$L$37:$L$56,MATCH($F101,'Faculties'!$B$37:$B$56,0))="","Cell will autofill based on response",INDEX('Faculties'!$L$37:$L$56,MATCH($F101,'Faculties'!$B$37:$B$56,0))),"N/A")</f>
        <v/>
      </c>
      <c r="J101" s="25">
        <f>IFERROR(IF(INDEX('Faculties'!$L$64:$L$83,MATCH($F101,'Faculties'!$B$64:$B$83,0))="","Cell will autofill based on response",INDEX('Faculties'!$L$64:$L$83,MATCH($F101,'Faculties'!$B$64:$B$83,0))),"N/A")</f>
        <v/>
      </c>
      <c r="K101" s="25">
        <f>IFERROR(IF(INDEX('Faculties'!$L$91:$L$110,MATCH($F101,'Faculties'!$B$91:$B$110,0))="","Cell will autofill based on response",INDEX('Faculties'!$L$91:$L$110,MATCH($F101,'Faculties'!$B$91:$B$110,0))),"N/A")</f>
        <v/>
      </c>
      <c r="L101" s="25">
        <f>IFERROR(IF(INDEX('CI&amp;S'!$L$10:$L$14,MATCH($F101,'CI&amp;S'!$B$10:$B$14,0))="","Cell will autofill based on response",INDEX('CI&amp;S'!$L$10:$L$14,MATCH($F101,'CI&amp;S'!$B$10:$B$14,0))),"N/A")</f>
        <v/>
      </c>
      <c r="M101" s="25">
        <f>IFERROR(IF(INDEX('CI&amp;S'!$L$22:$L$38,MATCH($F101,'CI&amp;S'!$B$22:$B$38,0))="","Cell will autofill based on response",INDEX('CI&amp;S'!$L$22:$L$38,MATCH($F101,'CI&amp;S'!$B$22:$B$38,0))),"N/A")</f>
        <v/>
      </c>
      <c r="N101" s="25">
        <f>IFERROR(IF(INDEX('CFOG'!$L$10:$L$15,MATCH($F101,'CFOG'!$B$10:$B$15,0))="","Cell will autofill based on response",INDEX('CFOG'!$L$10:$L$15,MATCH($F101,'CFOG'!$B$10:$B$15,0))),"N/A")</f>
        <v/>
      </c>
      <c r="O101" s="25">
        <f>IFERROR(IF(INDEX('CFOG'!$L$23:$L$23,MATCH($F101,'CFOG'!$B$23:$B$23,0))="","Cell will autofill based on response",INDEX('CFOG'!$L$23:$L$23,MATCH($F101,'CFOG'!$B$23:$B$23,0))),"N/A")</f>
        <v/>
      </c>
      <c r="P101" s="25">
        <f>IFERROR(IF(INDEX('ESG'!$L$10:$L$16,MATCH($F101,'ESG'!$B$10:$B$16,0))="","Cell will autofill based on response",INDEX('ESG'!$L$10:$L$16,MATCH($F101,'ESG'!$B$10:$B$16,0))),"N/A")</f>
        <v/>
      </c>
      <c r="Q101" s="25">
        <f>IFERROR(IF(INDEX('CIOG'!$L$10:$L$13,MATCH($F101,'CIOG'!$B$10:$B$13,0))="","Cell will autofill based on response",INDEX('CIOG'!$L$10:$L$13,MATCH($F101,'CIOG'!$B$10:$B$13,0))),"N/A")</f>
        <v/>
      </c>
      <c r="R101" s="25">
        <f>IFERROR(IF(INDEX('MRE'!$L$10:$L$11,MATCH($F101,'MRE'!$B$10:$B$11,0))="","Cell will autofill based on response",INDEX('MRE'!$L$10:$L$11,MATCH($F101,'MRE'!$B$10:$B$11,0))),"N/A")</f>
        <v/>
      </c>
      <c r="T101" s="26">
        <f>COUNTIF($H101:$R101,"Cell will autofill based on response")</f>
        <v/>
      </c>
      <c r="U101" s="26">
        <f>COUNTIF($H101:$R101,"Not yet started")</f>
        <v/>
      </c>
      <c r="V101" s="26">
        <f>COUNTIF($H101:$R101,"Not met")</f>
        <v/>
      </c>
      <c r="W101" s="26">
        <f>COUNTIF($H101:$R101,"Partially met")</f>
        <v/>
      </c>
      <c r="X101" s="26">
        <f>COUNTIF($H101:$R101,"Met or exceeded")</f>
        <v/>
      </c>
      <c r="Y101" s="26">
        <f>3*X101+2*W101+V101</f>
        <v/>
      </c>
      <c r="Z101" s="26">
        <f>X101+W101+V101+U101</f>
        <v/>
      </c>
      <c r="AA101" s="27">
        <f>IF(Z101&gt;0,Y101/Z101,"No valid responses to date")</f>
        <v/>
      </c>
      <c r="AB101" s="26">
        <f>IF(ISNUMBER(AA101),INDEX(Lists!$G$2:$G$5,MATCH(ROUND(AA101,0),Lists!$H$2:$H$5,0)),"")</f>
        <v/>
      </c>
      <c r="AC101" s="28">
        <f>IF(Z101&gt;0,X101/Z101,"")</f>
        <v/>
      </c>
      <c r="AD101" s="28">
        <f>IF(Z101&gt;0,(X101+W101)/Z101,"")</f>
        <v/>
      </c>
      <c r="AE101" s="26">
        <f>IF(Z101=0,"",IF(AC101&gt;0.75,"Met or exceeded",IF(AD101&gt;=0.5,"Partially met","Not met")))</f>
        <v/>
      </c>
    </row>
    <row r="102">
      <c r="A102">
        <f>F102&amp;"|"&amp;G102</f>
        <v/>
      </c>
      <c r="B102" s="29" t="inlineStr"/>
      <c r="C102" s="8" t="inlineStr"/>
      <c r="D102" s="8" t="inlineStr"/>
      <c r="E102" s="8" t="inlineStr"/>
      <c r="F102" s="8" t="inlineStr">
        <is>
          <t>TR3(d)</t>
        </is>
      </c>
      <c r="G102" s="8" t="inlineStr">
        <is>
          <t>OPTION 1:  Target-level reporting</t>
        </is>
      </c>
      <c r="H102" s="25">
        <f>IFERROR(IF(INDEX('Faculties'!$M$10:$M$29,MATCH($F102,'Faculties'!$B$10:$B$29,0))="","Cell will autofill based on response",INDEX('Faculties'!$M$10:$M$29,MATCH($F102,'Faculties'!$B$10:$B$29,0))),"N/A")</f>
        <v/>
      </c>
      <c r="I102" s="25">
        <f>IFERROR(IF(INDEX('Faculties'!$M$37:$M$56,MATCH($F102,'Faculties'!$B$37:$B$56,0))="","Cell will autofill based on response",INDEX('Faculties'!$M$37:$M$56,MATCH($F102,'Faculties'!$B$37:$B$56,0))),"N/A")</f>
        <v/>
      </c>
      <c r="J102" s="25">
        <f>IFERROR(IF(INDEX('Faculties'!$M$64:$M$83,MATCH($F102,'Faculties'!$B$64:$B$83,0))="","Cell will autofill based on response",INDEX('Faculties'!$M$64:$M$83,MATCH($F102,'Faculties'!$B$64:$B$83,0))),"N/A")</f>
        <v/>
      </c>
      <c r="K102" s="25">
        <f>IFERROR(IF(INDEX('Faculties'!$M$91:$M$110,MATCH($F102,'Faculties'!$B$91:$B$110,0))="","Cell will autofill based on response",INDEX('Faculties'!$M$91:$M$110,MATCH($F102,'Faculties'!$B$91:$B$110,0))),"N/A")</f>
        <v/>
      </c>
      <c r="L102" s="25">
        <f>IFERROR(IF(INDEX('CI&amp;S'!$M$10:$M$14,MATCH($F102,'CI&amp;S'!$B$10:$B$14,0))="","Cell will autofill based on response",INDEX('CI&amp;S'!$M$10:$M$14,MATCH($F102,'CI&amp;S'!$B$10:$B$14,0))),"N/A")</f>
        <v/>
      </c>
      <c r="M102" s="25">
        <f>IFERROR(IF(INDEX('CI&amp;S'!$M$22:$M$38,MATCH($F102,'CI&amp;S'!$B$22:$B$38,0))="","Cell will autofill based on response",INDEX('CI&amp;S'!$M$22:$M$38,MATCH($F102,'CI&amp;S'!$B$22:$B$38,0))),"N/A")</f>
        <v/>
      </c>
      <c r="N102" s="25">
        <f>IFERROR(IF(INDEX('CFOG'!$M$10:$M$15,MATCH($F102,'CFOG'!$B$10:$B$15,0))="","Cell will autofill based on response",INDEX('CFOG'!$M$10:$M$15,MATCH($F102,'CFOG'!$B$10:$B$15,0))),"N/A")</f>
        <v/>
      </c>
      <c r="O102" s="25">
        <f>IFERROR(IF(INDEX('CFOG'!$M$23:$M$23,MATCH($F102,'CFOG'!$B$23:$B$23,0))="","Cell will autofill based on response",INDEX('CFOG'!$M$23:$M$23,MATCH($F102,'CFOG'!$B$23:$B$23,0))),"N/A")</f>
        <v/>
      </c>
      <c r="P102" s="25">
        <f>IFERROR(IF(INDEX('ESG'!$M$10:$M$16,MATCH($F102,'ESG'!$B$10:$B$16,0))="","Cell will autofill based on response",INDEX('ESG'!$M$10:$M$16,MATCH($F102,'ESG'!$B$10:$B$16,0))),"N/A")</f>
        <v/>
      </c>
      <c r="Q102" s="25">
        <f>IFERROR(IF(INDEX('CIOG'!$M$10:$M$13,MATCH($F102,'CIOG'!$B$10:$B$13,0))="","Cell will autofill based on response",INDEX('CIOG'!$M$10:$M$13,MATCH($F102,'CIOG'!$B$10:$B$13,0))),"N/A")</f>
        <v/>
      </c>
      <c r="R102" s="25">
        <f>IFERROR(IF(INDEX('MRE'!$M$10:$M$11,MATCH($F102,'MRE'!$B$10:$B$11,0))="","Cell will autofill based on response",INDEX('MRE'!$M$10:$M$11,MATCH($F102,'MRE'!$B$10:$B$11,0))),"N/A")</f>
        <v/>
      </c>
    </row>
    <row r="103">
      <c r="A103">
        <f>F103&amp;"|"&amp;G103</f>
        <v/>
      </c>
      <c r="B103" s="29" t="inlineStr"/>
      <c r="C103" s="8" t="inlineStr"/>
      <c r="D103" s="8" t="inlineStr"/>
      <c r="E103" s="8" t="inlineStr"/>
      <c r="F103" s="8" t="inlineStr">
        <is>
          <t>TR3(d)</t>
        </is>
      </c>
      <c r="G103" s="8" t="inlineStr">
        <is>
          <t>OPTION 2:  Indicator level reporting</t>
        </is>
      </c>
      <c r="H103" s="25">
        <f>IFERROR(IF(INDEX('Faculties'!$N$10:$N$29,MATCH($F103,'Faculties'!$B$10:$B$29,0))="","Cell will autofill based on response",INDEX('Faculties'!$N$10:$N$29,MATCH($F103,'Faculties'!$B$10:$B$29,0))),"N/A")</f>
        <v/>
      </c>
      <c r="I103" s="25">
        <f>IFERROR(IF(INDEX('Faculties'!$N$37:$N$56,MATCH($F103,'Faculties'!$B$37:$B$56,0))="","Cell will autofill based on response",INDEX('Faculties'!$N$37:$N$56,MATCH($F103,'Faculties'!$B$37:$B$56,0))),"N/A")</f>
        <v/>
      </c>
      <c r="J103" s="25">
        <f>IFERROR(IF(INDEX('Faculties'!$N$64:$N$83,MATCH($F103,'Faculties'!$B$64:$B$83,0))="","Cell will autofill based on response",INDEX('Faculties'!$N$64:$N$83,MATCH($F103,'Faculties'!$B$64:$B$83,0))),"N/A")</f>
        <v/>
      </c>
      <c r="K103" s="25">
        <f>IFERROR(IF(INDEX('Faculties'!$N$91:$N$110,MATCH($F103,'Faculties'!$B$91:$B$110,0))="","Cell will autofill based on response",INDEX('Faculties'!$N$91:$N$110,MATCH($F103,'Faculties'!$B$91:$B$110,0))),"N/A")</f>
        <v/>
      </c>
      <c r="L103" s="25">
        <f>IFERROR(IF(INDEX('CI&amp;S'!$N$10:$N$14,MATCH($F103,'CI&amp;S'!$B$10:$B$14,0))="","Cell will autofill based on response",INDEX('CI&amp;S'!$N$10:$N$14,MATCH($F103,'CI&amp;S'!$B$10:$B$14,0))),"N/A")</f>
        <v/>
      </c>
      <c r="M103" s="25">
        <f>IFERROR(IF(INDEX('CI&amp;S'!$N$22:$N$38,MATCH($F103,'CI&amp;S'!$B$22:$B$38,0))="","Cell will autofill based on response",INDEX('CI&amp;S'!$N$22:$N$38,MATCH($F103,'CI&amp;S'!$B$22:$B$38,0))),"N/A")</f>
        <v/>
      </c>
      <c r="N103" s="25">
        <f>IFERROR(IF(INDEX('CFOG'!$N$10:$N$15,MATCH($F103,'CFOG'!$B$10:$B$15,0))="","Cell will autofill based on response",INDEX('CFOG'!$N$10:$N$15,MATCH($F103,'CFOG'!$B$10:$B$15,0))),"N/A")</f>
        <v/>
      </c>
      <c r="O103" s="25">
        <f>IFERROR(IF(INDEX('CFOG'!$N$23:$N$23,MATCH($F103,'CFOG'!$B$23:$B$23,0))="","Cell will autofill based on response",INDEX('CFOG'!$N$23:$N$23,MATCH($F103,'CFOG'!$B$23:$B$23,0))),"N/A")</f>
        <v/>
      </c>
      <c r="P103" s="25">
        <f>IFERROR(IF(INDEX('ESG'!$N$10:$N$16,MATCH($F103,'ESG'!$B$10:$B$16,0))="","Cell will autofill based on response",INDEX('ESG'!$N$10:$N$16,MATCH($F103,'ESG'!$B$10:$B$16,0))),"N/A")</f>
        <v/>
      </c>
      <c r="Q103" s="25">
        <f>IFERROR(IF(INDEX('CIOG'!$N$10:$N$13,MATCH($F103,'CIOG'!$B$10:$B$13,0))="","Cell will autofill based on response",INDEX('CIOG'!$N$10:$N$13,MATCH($F103,'CIOG'!$B$10:$B$13,0))),"N/A")</f>
        <v/>
      </c>
      <c r="R103" s="25">
        <f>IFERROR(IF(INDEX('MRE'!$N$10:$N$11,MATCH($F103,'MRE'!$B$10:$B$11,0))="","Cell will autofill based on response",INDEX('MRE'!$N$10:$N$11,MATCH($F103,'MRE'!$B$10:$B$11,0))),"N/A")</f>
        <v/>
      </c>
    </row>
    <row r="104">
      <c r="A104">
        <f>F104&amp;"|"&amp;G104</f>
        <v/>
      </c>
      <c r="B104" s="29" t="inlineStr"/>
      <c r="C104" s="8" t="inlineStr"/>
      <c r="D104" s="8" t="inlineStr"/>
      <c r="E104" s="8" t="inlineStr"/>
      <c r="F104" s="8" t="inlineStr">
        <is>
          <t>TR3(d)</t>
        </is>
      </c>
      <c r="G104" s="8" t="inlineStr">
        <is>
          <t>Supporting information/comments</t>
        </is>
      </c>
      <c r="H104" s="25">
        <f>IFERROR(IF(INDEX('Faculties'!$O$10:$O$29,MATCH($F104,'Faculties'!$B$10:$B$29,0))="","Cell will autofill based on response",INDEX('Faculties'!$O$10:$O$29,MATCH($F104,'Faculties'!$B$10:$B$29,0))),"N/A")</f>
        <v/>
      </c>
      <c r="I104" s="25">
        <f>IFERROR(IF(INDEX('Faculties'!$O$37:$O$56,MATCH($F104,'Faculties'!$B$37:$B$56,0))="","Cell will autofill based on response",INDEX('Faculties'!$O$37:$O$56,MATCH($F104,'Faculties'!$B$37:$B$56,0))),"N/A")</f>
        <v/>
      </c>
      <c r="J104" s="25">
        <f>IFERROR(IF(INDEX('Faculties'!$O$64:$O$83,MATCH($F104,'Faculties'!$B$64:$B$83,0))="","Cell will autofill based on response",INDEX('Faculties'!$O$64:$O$83,MATCH($F104,'Faculties'!$B$64:$B$83,0))),"N/A")</f>
        <v/>
      </c>
      <c r="K104" s="25">
        <f>IFERROR(IF(INDEX('Faculties'!$O$91:$O$110,MATCH($F104,'Faculties'!$B$91:$B$110,0))="","Cell will autofill based on response",INDEX('Faculties'!$O$91:$O$110,MATCH($F104,'Faculties'!$B$91:$B$110,0))),"N/A")</f>
        <v/>
      </c>
      <c r="L104" s="25">
        <f>IFERROR(IF(INDEX('CI&amp;S'!$O$10:$O$14,MATCH($F104,'CI&amp;S'!$B$10:$B$14,0))="","Cell will autofill based on response",INDEX('CI&amp;S'!$O$10:$O$14,MATCH($F104,'CI&amp;S'!$B$10:$B$14,0))),"N/A")</f>
        <v/>
      </c>
      <c r="M104" s="25">
        <f>IFERROR(IF(INDEX('CI&amp;S'!$O$22:$O$38,MATCH($F104,'CI&amp;S'!$B$22:$B$38,0))="","Cell will autofill based on response",INDEX('CI&amp;S'!$O$22:$O$38,MATCH($F104,'CI&amp;S'!$B$22:$B$38,0))),"N/A")</f>
        <v/>
      </c>
      <c r="N104" s="25">
        <f>IFERROR(IF(INDEX('CFOG'!$O$10:$O$15,MATCH($F104,'CFOG'!$B$10:$B$15,0))="","Cell will autofill based on response",INDEX('CFOG'!$O$10:$O$15,MATCH($F104,'CFOG'!$B$10:$B$15,0))),"N/A")</f>
        <v/>
      </c>
      <c r="O104" s="25">
        <f>IFERROR(IF(INDEX('CFOG'!$O$23:$O$23,MATCH($F104,'CFOG'!$B$23:$B$23,0))="","Cell will autofill based on response",INDEX('CFOG'!$O$23:$O$23,MATCH($F104,'CFOG'!$B$23:$B$23,0))),"N/A")</f>
        <v/>
      </c>
      <c r="P104" s="25">
        <f>IFERROR(IF(INDEX('ESG'!$O$10:$O$16,MATCH($F104,'ESG'!$B$10:$B$16,0))="","Cell will autofill based on response",INDEX('ESG'!$O$10:$O$16,MATCH($F104,'ESG'!$B$10:$B$16,0))),"N/A")</f>
        <v/>
      </c>
      <c r="Q104" s="25">
        <f>IFERROR(IF(INDEX('CIOG'!$O$10:$O$13,MATCH($F104,'CIOG'!$B$10:$B$13,0))="","Cell will autofill based on response",INDEX('CIOG'!$O$10:$O$13,MATCH($F104,'CIOG'!$B$10:$B$13,0))),"N/A")</f>
        <v/>
      </c>
      <c r="R104" s="25">
        <f>IFERROR(IF(INDEX('MRE'!$O$10:$O$11,MATCH($F104,'MRE'!$B$10:$B$11,0))="","Cell will autofill based on response",INDEX('MRE'!$O$10:$O$11,MATCH($F104,'MRE'!$B$10:$B$11,0))),"N/A")</f>
        <v/>
      </c>
    </row>
    <row r="105">
      <c r="A105">
        <f>F105&amp;"|"&amp;G105</f>
        <v/>
      </c>
      <c r="B105" s="29" t="inlineStr"/>
      <c r="C105" s="8" t="inlineStr"/>
      <c r="D105" s="8" t="inlineStr"/>
      <c r="E105" s="8" t="inlineStr"/>
      <c r="F105" s="8" t="inlineStr">
        <is>
          <t>TR3(d)</t>
        </is>
      </c>
      <c r="G105" s="8" t="inlineStr">
        <is>
          <t>Data source and limitations</t>
        </is>
      </c>
      <c r="H105" s="25">
        <f>IFERROR(IF(INDEX('Faculties'!$P$10:$P$29,MATCH($F105,'Faculties'!$B$10:$B$29,0))="","Cell will autofill based on response",INDEX('Faculties'!$P$10:$P$29,MATCH($F105,'Faculties'!$B$10:$B$29,0))),"N/A")</f>
        <v/>
      </c>
      <c r="I105" s="25">
        <f>IFERROR(IF(INDEX('Faculties'!$P$37:$P$56,MATCH($F105,'Faculties'!$B$37:$B$56,0))="","Cell will autofill based on response",INDEX('Faculties'!$P$37:$P$56,MATCH($F105,'Faculties'!$B$37:$B$56,0))),"N/A")</f>
        <v/>
      </c>
      <c r="J105" s="25">
        <f>IFERROR(IF(INDEX('Faculties'!$P$64:$P$83,MATCH($F105,'Faculties'!$B$64:$B$83,0))="","Cell will autofill based on response",INDEX('Faculties'!$P$64:$P$83,MATCH($F105,'Faculties'!$B$64:$B$83,0))),"N/A")</f>
        <v/>
      </c>
      <c r="K105" s="25">
        <f>IFERROR(IF(INDEX('Faculties'!$P$91:$P$110,MATCH($F105,'Faculties'!$B$91:$B$110,0))="","Cell will autofill based on response",INDEX('Faculties'!$P$91:$P$110,MATCH($F105,'Faculties'!$B$91:$B$110,0))),"N/A")</f>
        <v/>
      </c>
      <c r="L105" s="25">
        <f>IFERROR(IF(INDEX('CI&amp;S'!$P$10:$P$14,MATCH($F105,'CI&amp;S'!$B$10:$B$14,0))="","Cell will autofill based on response",INDEX('CI&amp;S'!$P$10:$P$14,MATCH($F105,'CI&amp;S'!$B$10:$B$14,0))),"N/A")</f>
        <v/>
      </c>
      <c r="M105" s="25">
        <f>IFERROR(IF(INDEX('CI&amp;S'!$P$22:$P$38,MATCH($F105,'CI&amp;S'!$B$22:$B$38,0))="","Cell will autofill based on response",INDEX('CI&amp;S'!$P$22:$P$38,MATCH($F105,'CI&amp;S'!$B$22:$B$38,0))),"N/A")</f>
        <v/>
      </c>
      <c r="N105" s="25">
        <f>IFERROR(IF(INDEX('CFOG'!$P$10:$P$15,MATCH($F105,'CFOG'!$B$10:$B$15,0))="","Cell will autofill based on response",INDEX('CFOG'!$P$10:$P$15,MATCH($F105,'CFOG'!$B$10:$B$15,0))),"N/A")</f>
        <v/>
      </c>
      <c r="O105" s="25">
        <f>IFERROR(IF(INDEX('CFOG'!$P$23:$P$23,MATCH($F105,'CFOG'!$B$23:$B$23,0))="","Cell will autofill based on response",INDEX('CFOG'!$P$23:$P$23,MATCH($F105,'CFOG'!$B$23:$B$23,0))),"N/A")</f>
        <v/>
      </c>
      <c r="P105" s="25">
        <f>IFERROR(IF(INDEX('ESG'!$P$10:$P$16,MATCH($F105,'ESG'!$B$10:$B$16,0))="","Cell will autofill based on response",INDEX('ESG'!$P$10:$P$16,MATCH($F105,'ESG'!$B$10:$B$16,0))),"N/A")</f>
        <v/>
      </c>
      <c r="Q105" s="25">
        <f>IFERROR(IF(INDEX('CIOG'!$P$10:$P$13,MATCH($F105,'CIOG'!$B$10:$B$13,0))="","Cell will autofill based on response",INDEX('CIOG'!$P$10:$P$13,MATCH($F105,'CIOG'!$B$10:$B$13,0))),"N/A")</f>
        <v/>
      </c>
      <c r="R105" s="25">
        <f>IFERROR(IF(INDEX('MRE'!$P$10:$P$11,MATCH($F105,'MRE'!$B$10:$B$11,0))="","Cell will autofill based on response",INDEX('MRE'!$P$10:$P$11,MATCH($F105,'MRE'!$B$10:$B$11,0))),"N/A")</f>
        <v/>
      </c>
    </row>
    <row r="106">
      <c r="A106">
        <f>F106&amp;"|"&amp;G106</f>
        <v/>
      </c>
      <c r="B106" s="29" t="inlineStr"/>
      <c r="C106" s="8" t="inlineStr"/>
      <c r="D106" s="8" t="inlineStr"/>
      <c r="E106" s="8" t="inlineStr"/>
      <c r="F106" s="8" t="inlineStr">
        <is>
          <t>TR3(d)</t>
        </is>
      </c>
      <c r="G106" s="8" t="inlineStr">
        <is>
          <t>Data owner confirms</t>
        </is>
      </c>
      <c r="H106" s="25">
        <f>IFERROR(IF(INDEX('Faculties'!$Q$10:$Q$29,MATCH($F106,'Faculties'!$B$10:$B$29,0))="","Cell will autofill based on response",INDEX('Faculties'!$Q$10:$Q$29,MATCH($F106,'Faculties'!$B$10:$B$29,0))),"N/A")</f>
        <v/>
      </c>
      <c r="I106" s="25">
        <f>IFERROR(IF(INDEX('Faculties'!$Q$37:$Q$56,MATCH($F106,'Faculties'!$B$37:$B$56,0))="","Cell will autofill based on response",INDEX('Faculties'!$Q$37:$Q$56,MATCH($F106,'Faculties'!$B$37:$B$56,0))),"N/A")</f>
        <v/>
      </c>
      <c r="J106" s="25">
        <f>IFERROR(IF(INDEX('Faculties'!$Q$64:$Q$83,MATCH($F106,'Faculties'!$B$64:$B$83,0))="","Cell will autofill based on response",INDEX('Faculties'!$Q$64:$Q$83,MATCH($F106,'Faculties'!$B$64:$B$83,0))),"N/A")</f>
        <v/>
      </c>
      <c r="K106" s="25">
        <f>IFERROR(IF(INDEX('Faculties'!$Q$91:$Q$110,MATCH($F106,'Faculties'!$B$91:$B$110,0))="","Cell will autofill based on response",INDEX('Faculties'!$Q$91:$Q$110,MATCH($F106,'Faculties'!$B$91:$B$110,0))),"N/A")</f>
        <v/>
      </c>
      <c r="L106" s="25">
        <f>IFERROR(IF(INDEX('CI&amp;S'!$Q$10:$Q$14,MATCH($F106,'CI&amp;S'!$B$10:$B$14,0))="","Cell will autofill based on response",INDEX('CI&amp;S'!$Q$10:$Q$14,MATCH($F106,'CI&amp;S'!$B$10:$B$14,0))),"N/A")</f>
        <v/>
      </c>
      <c r="M106" s="25">
        <f>IFERROR(IF(INDEX('CI&amp;S'!$Q$22:$Q$38,MATCH($F106,'CI&amp;S'!$B$22:$B$38,0))="","Cell will autofill based on response",INDEX('CI&amp;S'!$Q$22:$Q$38,MATCH($F106,'CI&amp;S'!$B$22:$B$38,0))),"N/A")</f>
        <v/>
      </c>
      <c r="N106" s="25">
        <f>IFERROR(IF(INDEX('CFOG'!$Q$10:$Q$15,MATCH($F106,'CFOG'!$B$10:$B$15,0))="","Cell will autofill based on response",INDEX('CFOG'!$Q$10:$Q$15,MATCH($F106,'CFOG'!$B$10:$B$15,0))),"N/A")</f>
        <v/>
      </c>
      <c r="O106" s="25">
        <f>IFERROR(IF(INDEX('CFOG'!$Q$23:$Q$23,MATCH($F106,'CFOG'!$B$23:$B$23,0))="","Cell will autofill based on response",INDEX('CFOG'!$Q$23:$Q$23,MATCH($F106,'CFOG'!$B$23:$B$23,0))),"N/A")</f>
        <v/>
      </c>
      <c r="P106" s="25">
        <f>IFERROR(IF(INDEX('ESG'!$Q$10:$Q$16,MATCH($F106,'ESG'!$B$10:$B$16,0))="","Cell will autofill based on response",INDEX('ESG'!$Q$10:$Q$16,MATCH($F106,'ESG'!$B$10:$B$16,0))),"N/A")</f>
        <v/>
      </c>
      <c r="Q106" s="25">
        <f>IFERROR(IF(INDEX('CIOG'!$Q$10:$Q$13,MATCH($F106,'CIOG'!$B$10:$B$13,0))="","Cell will autofill based on response",INDEX('CIOG'!$Q$10:$Q$13,MATCH($F106,'CIOG'!$B$10:$B$13,0))),"N/A")</f>
        <v/>
      </c>
      <c r="R106" s="25">
        <f>IFERROR(IF(INDEX('MRE'!$Q$10:$Q$11,MATCH($F106,'MRE'!$B$10:$B$11,0))="","Cell will autofill based on response",INDEX('MRE'!$Q$10:$Q$11,MATCH($F106,'MRE'!$B$10:$B$11,0))),"N/A")</f>
        <v/>
      </c>
    </row>
    <row r="107">
      <c r="A107">
        <f>F107&amp;"|"&amp;G107</f>
        <v/>
      </c>
      <c r="B107" s="7" t="inlineStr">
        <is>
          <t>CL1(a)</t>
        </is>
      </c>
      <c r="C107" s="12" t="inlineStr">
        <is>
          <t>Climate leadership</t>
        </is>
      </c>
      <c r="D107" s="12" t="inlineStr">
        <is>
          <t>Annual Greenhouse Gas Inventory (including emissions scopes 1, 2 and 3) demonstrates carbon emission reductions, including maintaining procurement of 100% renewable electricity for all scope 2 sources[1]</t>
        </is>
      </c>
      <c r="E107" s="12" t="inlineStr">
        <is>
          <t>Total scope 1,2 and 3 emissions (tCO2-e); emissions by scope; % reduction from previous baseline; % renewable electircity produced</t>
        </is>
      </c>
      <c r="F107" s="12" t="inlineStr">
        <is>
          <t>CL1(a)</t>
        </is>
      </c>
      <c r="G107" s="12" t="inlineStr">
        <is>
          <t>Confirm end-2026 target status</t>
        </is>
      </c>
      <c r="H107" s="25">
        <f>IFERROR(IF(INDEX('Faculties'!$L$10:$L$29,MATCH($F107,'Faculties'!$B$10:$B$29,0))="","Cell will autofill based on response",INDEX('Faculties'!$L$10:$L$29,MATCH($F107,'Faculties'!$B$10:$B$29,0))),"N/A")</f>
        <v/>
      </c>
      <c r="I107" s="25">
        <f>IFERROR(IF(INDEX('Faculties'!$L$37:$L$56,MATCH($F107,'Faculties'!$B$37:$B$56,0))="","Cell will autofill based on response",INDEX('Faculties'!$L$37:$L$56,MATCH($F107,'Faculties'!$B$37:$B$56,0))),"N/A")</f>
        <v/>
      </c>
      <c r="J107" s="25">
        <f>IFERROR(IF(INDEX('Faculties'!$L$64:$L$83,MATCH($F107,'Faculties'!$B$64:$B$83,0))="","Cell will autofill based on response",INDEX('Faculties'!$L$64:$L$83,MATCH($F107,'Faculties'!$B$64:$B$83,0))),"N/A")</f>
        <v/>
      </c>
      <c r="K107" s="25">
        <f>IFERROR(IF(INDEX('Faculties'!$L$91:$L$110,MATCH($F107,'Faculties'!$B$91:$B$110,0))="","Cell will autofill based on response",INDEX('Faculties'!$L$91:$L$110,MATCH($F107,'Faculties'!$B$91:$B$110,0))),"N/A")</f>
        <v/>
      </c>
      <c r="L107" s="25">
        <f>IFERROR(IF(INDEX('CI&amp;S'!$L$10:$L$14,MATCH($F107,'CI&amp;S'!$B$10:$B$14,0))="","Cell will autofill based on response",INDEX('CI&amp;S'!$L$10:$L$14,MATCH($F107,'CI&amp;S'!$B$10:$B$14,0))),"N/A")</f>
        <v/>
      </c>
      <c r="M107" s="25">
        <f>IFERROR(IF(INDEX('CI&amp;S'!$L$22:$L$38,MATCH($F107,'CI&amp;S'!$B$22:$B$38,0))="","Cell will autofill based on response",INDEX('CI&amp;S'!$L$22:$L$38,MATCH($F107,'CI&amp;S'!$B$22:$B$38,0))),"N/A")</f>
        <v/>
      </c>
      <c r="N107" s="25">
        <f>IFERROR(IF(INDEX('CFOG'!$L$10:$L$15,MATCH($F107,'CFOG'!$B$10:$B$15,0))="","Cell will autofill based on response",INDEX('CFOG'!$L$10:$L$15,MATCH($F107,'CFOG'!$B$10:$B$15,0))),"N/A")</f>
        <v/>
      </c>
      <c r="O107" s="25">
        <f>IFERROR(IF(INDEX('CFOG'!$L$23:$L$23,MATCH($F107,'CFOG'!$B$23:$B$23,0))="","Cell will autofill based on response",INDEX('CFOG'!$L$23:$L$23,MATCH($F107,'CFOG'!$B$23:$B$23,0))),"N/A")</f>
        <v/>
      </c>
      <c r="P107" s="25">
        <f>IFERROR(IF(INDEX('ESG'!$L$10:$L$16,MATCH($F107,'ESG'!$B$10:$B$16,0))="","Cell will autofill based on response",INDEX('ESG'!$L$10:$L$16,MATCH($F107,'ESG'!$B$10:$B$16,0))),"N/A")</f>
        <v/>
      </c>
      <c r="Q107" s="25">
        <f>IFERROR(IF(INDEX('CIOG'!$L$10:$L$13,MATCH($F107,'CIOG'!$B$10:$B$13,0))="","Cell will autofill based on response",INDEX('CIOG'!$L$10:$L$13,MATCH($F107,'CIOG'!$B$10:$B$13,0))),"N/A")</f>
        <v/>
      </c>
      <c r="R107" s="25">
        <f>IFERROR(IF(INDEX('MRE'!$L$10:$L$11,MATCH($F107,'MRE'!$B$10:$B$11,0))="","Cell will autofill based on response",INDEX('MRE'!$L$10:$L$11,MATCH($F107,'MRE'!$B$10:$B$11,0))),"N/A")</f>
        <v/>
      </c>
      <c r="T107" s="26">
        <f>COUNTIF($H107:$R107,"Cell will autofill based on response")</f>
        <v/>
      </c>
      <c r="U107" s="26">
        <f>COUNTIF($H107:$R107,"Not yet started")</f>
        <v/>
      </c>
      <c r="V107" s="26">
        <f>COUNTIF($H107:$R107,"Not met")</f>
        <v/>
      </c>
      <c r="W107" s="26">
        <f>COUNTIF($H107:$R107,"Partially met")</f>
        <v/>
      </c>
      <c r="X107" s="26">
        <f>COUNTIF($H107:$R107,"Met or exceeded")</f>
        <v/>
      </c>
      <c r="Y107" s="26">
        <f>3*X107+2*W107+V107</f>
        <v/>
      </c>
      <c r="Z107" s="26">
        <f>X107+W107+V107+U107</f>
        <v/>
      </c>
      <c r="AA107" s="27">
        <f>IF(Z107&gt;0,Y107/Z107,"No valid responses to date")</f>
        <v/>
      </c>
      <c r="AB107" s="26">
        <f>IF(ISNUMBER(AA107),INDEX(Lists!$G$2:$G$5,MATCH(ROUND(AA107,0),Lists!$H$2:$H$5,0)),"")</f>
        <v/>
      </c>
      <c r="AC107" s="28">
        <f>IF(Z107&gt;0,X107/Z107,"")</f>
        <v/>
      </c>
      <c r="AD107" s="28">
        <f>IF(Z107&gt;0,(X107+W107)/Z107,"")</f>
        <v/>
      </c>
      <c r="AE107" s="26">
        <f>IF(Z107=0,"",IF(AC107&gt;0.75,"Met or exceeded",IF(AD107&gt;=0.5,"Partially met","Not met")))</f>
        <v/>
      </c>
    </row>
    <row r="108">
      <c r="A108">
        <f>F108&amp;"|"&amp;G108</f>
        <v/>
      </c>
      <c r="B108" s="29" t="inlineStr"/>
      <c r="C108" s="8" t="inlineStr"/>
      <c r="D108" s="8" t="inlineStr"/>
      <c r="E108" s="8" t="inlineStr"/>
      <c r="F108" s="8" t="inlineStr">
        <is>
          <t>CL1(a)</t>
        </is>
      </c>
      <c r="G108" s="8" t="inlineStr">
        <is>
          <t>OPTION 1:  Target-level reporting</t>
        </is>
      </c>
      <c r="H108" s="25">
        <f>IFERROR(IF(INDEX('Faculties'!$M$10:$M$29,MATCH($F108,'Faculties'!$B$10:$B$29,0))="","Cell will autofill based on response",INDEX('Faculties'!$M$10:$M$29,MATCH($F108,'Faculties'!$B$10:$B$29,0))),"N/A")</f>
        <v/>
      </c>
      <c r="I108" s="25">
        <f>IFERROR(IF(INDEX('Faculties'!$M$37:$M$56,MATCH($F108,'Faculties'!$B$37:$B$56,0))="","Cell will autofill based on response",INDEX('Faculties'!$M$37:$M$56,MATCH($F108,'Faculties'!$B$37:$B$56,0))),"N/A")</f>
        <v/>
      </c>
      <c r="J108" s="25">
        <f>IFERROR(IF(INDEX('Faculties'!$M$64:$M$83,MATCH($F108,'Faculties'!$B$64:$B$83,0))="","Cell will autofill based on response",INDEX('Faculties'!$M$64:$M$83,MATCH($F108,'Faculties'!$B$64:$B$83,0))),"N/A")</f>
        <v/>
      </c>
      <c r="K108" s="25">
        <f>IFERROR(IF(INDEX('Faculties'!$M$91:$M$110,MATCH($F108,'Faculties'!$B$91:$B$110,0))="","Cell will autofill based on response",INDEX('Faculties'!$M$91:$M$110,MATCH($F108,'Faculties'!$B$91:$B$110,0))),"N/A")</f>
        <v/>
      </c>
      <c r="L108" s="25">
        <f>IFERROR(IF(INDEX('CI&amp;S'!$M$10:$M$14,MATCH($F108,'CI&amp;S'!$B$10:$B$14,0))="","Cell will autofill based on response",INDEX('CI&amp;S'!$M$10:$M$14,MATCH($F108,'CI&amp;S'!$B$10:$B$14,0))),"N/A")</f>
        <v/>
      </c>
      <c r="M108" s="25">
        <f>IFERROR(IF(INDEX('CI&amp;S'!$M$22:$M$38,MATCH($F108,'CI&amp;S'!$B$22:$B$38,0))="","Cell will autofill based on response",INDEX('CI&amp;S'!$M$22:$M$38,MATCH($F108,'CI&amp;S'!$B$22:$B$38,0))),"N/A")</f>
        <v/>
      </c>
      <c r="N108" s="25">
        <f>IFERROR(IF(INDEX('CFOG'!$M$10:$M$15,MATCH($F108,'CFOG'!$B$10:$B$15,0))="","Cell will autofill based on response",INDEX('CFOG'!$M$10:$M$15,MATCH($F108,'CFOG'!$B$10:$B$15,0))),"N/A")</f>
        <v/>
      </c>
      <c r="O108" s="25">
        <f>IFERROR(IF(INDEX('CFOG'!$M$23:$M$23,MATCH($F108,'CFOG'!$B$23:$B$23,0))="","Cell will autofill based on response",INDEX('CFOG'!$M$23:$M$23,MATCH($F108,'CFOG'!$B$23:$B$23,0))),"N/A")</f>
        <v/>
      </c>
      <c r="P108" s="25">
        <f>IFERROR(IF(INDEX('ESG'!$M$10:$M$16,MATCH($F108,'ESG'!$B$10:$B$16,0))="","Cell will autofill based on response",INDEX('ESG'!$M$10:$M$16,MATCH($F108,'ESG'!$B$10:$B$16,0))),"N/A")</f>
        <v/>
      </c>
      <c r="Q108" s="25">
        <f>IFERROR(IF(INDEX('CIOG'!$M$10:$M$13,MATCH($F108,'CIOG'!$B$10:$B$13,0))="","Cell will autofill based on response",INDEX('CIOG'!$M$10:$M$13,MATCH($F108,'CIOG'!$B$10:$B$13,0))),"N/A")</f>
        <v/>
      </c>
      <c r="R108" s="25">
        <f>IFERROR(IF(INDEX('MRE'!$M$10:$M$11,MATCH($F108,'MRE'!$B$10:$B$11,0))="","Cell will autofill based on response",INDEX('MRE'!$M$10:$M$11,MATCH($F108,'MRE'!$B$10:$B$11,0))),"N/A")</f>
        <v/>
      </c>
    </row>
    <row r="109">
      <c r="A109">
        <f>F109&amp;"|"&amp;G109</f>
        <v/>
      </c>
      <c r="B109" s="29" t="inlineStr"/>
      <c r="C109" s="8" t="inlineStr"/>
      <c r="D109" s="8" t="inlineStr"/>
      <c r="E109" s="8" t="inlineStr"/>
      <c r="F109" s="8" t="inlineStr">
        <is>
          <t>CL1(a)</t>
        </is>
      </c>
      <c r="G109" s="8" t="inlineStr">
        <is>
          <t>OPTION 2:  Indicator level reporting</t>
        </is>
      </c>
      <c r="H109" s="25">
        <f>IFERROR(IF(INDEX('Faculties'!$N$10:$N$29,MATCH($F109,'Faculties'!$B$10:$B$29,0))="","Cell will autofill based on response",INDEX('Faculties'!$N$10:$N$29,MATCH($F109,'Faculties'!$B$10:$B$29,0))),"N/A")</f>
        <v/>
      </c>
      <c r="I109" s="25">
        <f>IFERROR(IF(INDEX('Faculties'!$N$37:$N$56,MATCH($F109,'Faculties'!$B$37:$B$56,0))="","Cell will autofill based on response",INDEX('Faculties'!$N$37:$N$56,MATCH($F109,'Faculties'!$B$37:$B$56,0))),"N/A")</f>
        <v/>
      </c>
      <c r="J109" s="25">
        <f>IFERROR(IF(INDEX('Faculties'!$N$64:$N$83,MATCH($F109,'Faculties'!$B$64:$B$83,0))="","Cell will autofill based on response",INDEX('Faculties'!$N$64:$N$83,MATCH($F109,'Faculties'!$B$64:$B$83,0))),"N/A")</f>
        <v/>
      </c>
      <c r="K109" s="25">
        <f>IFERROR(IF(INDEX('Faculties'!$N$91:$N$110,MATCH($F109,'Faculties'!$B$91:$B$110,0))="","Cell will autofill based on response",INDEX('Faculties'!$N$91:$N$110,MATCH($F109,'Faculties'!$B$91:$B$110,0))),"N/A")</f>
        <v/>
      </c>
      <c r="L109" s="25">
        <f>IFERROR(IF(INDEX('CI&amp;S'!$N$10:$N$14,MATCH($F109,'CI&amp;S'!$B$10:$B$14,0))="","Cell will autofill based on response",INDEX('CI&amp;S'!$N$10:$N$14,MATCH($F109,'CI&amp;S'!$B$10:$B$14,0))),"N/A")</f>
        <v/>
      </c>
      <c r="M109" s="25">
        <f>IFERROR(IF(INDEX('CI&amp;S'!$N$22:$N$38,MATCH($F109,'CI&amp;S'!$B$22:$B$38,0))="","Cell will autofill based on response",INDEX('CI&amp;S'!$N$22:$N$38,MATCH($F109,'CI&amp;S'!$B$22:$B$38,0))),"N/A")</f>
        <v/>
      </c>
      <c r="N109" s="25">
        <f>IFERROR(IF(INDEX('CFOG'!$N$10:$N$15,MATCH($F109,'CFOG'!$B$10:$B$15,0))="","Cell will autofill based on response",INDEX('CFOG'!$N$10:$N$15,MATCH($F109,'CFOG'!$B$10:$B$15,0))),"N/A")</f>
        <v/>
      </c>
      <c r="O109" s="25">
        <f>IFERROR(IF(INDEX('CFOG'!$N$23:$N$23,MATCH($F109,'CFOG'!$B$23:$B$23,0))="","Cell will autofill based on response",INDEX('CFOG'!$N$23:$N$23,MATCH($F109,'CFOG'!$B$23:$B$23,0))),"N/A")</f>
        <v/>
      </c>
      <c r="P109" s="25">
        <f>IFERROR(IF(INDEX('ESG'!$N$10:$N$16,MATCH($F109,'ESG'!$B$10:$B$16,0))="","Cell will autofill based on response",INDEX('ESG'!$N$10:$N$16,MATCH($F109,'ESG'!$B$10:$B$16,0))),"N/A")</f>
        <v/>
      </c>
      <c r="Q109" s="25">
        <f>IFERROR(IF(INDEX('CIOG'!$N$10:$N$13,MATCH($F109,'CIOG'!$B$10:$B$13,0))="","Cell will autofill based on response",INDEX('CIOG'!$N$10:$N$13,MATCH($F109,'CIOG'!$B$10:$B$13,0))),"N/A")</f>
        <v/>
      </c>
      <c r="R109" s="25">
        <f>IFERROR(IF(INDEX('MRE'!$N$10:$N$11,MATCH($F109,'MRE'!$B$10:$B$11,0))="","Cell will autofill based on response",INDEX('MRE'!$N$10:$N$11,MATCH($F109,'MRE'!$B$10:$B$11,0))),"N/A")</f>
        <v/>
      </c>
    </row>
    <row r="110">
      <c r="A110">
        <f>F110&amp;"|"&amp;G110</f>
        <v/>
      </c>
      <c r="B110" s="29" t="inlineStr"/>
      <c r="C110" s="8" t="inlineStr"/>
      <c r="D110" s="8" t="inlineStr"/>
      <c r="E110" s="8" t="inlineStr"/>
      <c r="F110" s="8" t="inlineStr">
        <is>
          <t>CL1(a)</t>
        </is>
      </c>
      <c r="G110" s="8" t="inlineStr">
        <is>
          <t>Supporting information/comments</t>
        </is>
      </c>
      <c r="H110" s="25">
        <f>IFERROR(IF(INDEX('Faculties'!$O$10:$O$29,MATCH($F110,'Faculties'!$B$10:$B$29,0))="","Cell will autofill based on response",INDEX('Faculties'!$O$10:$O$29,MATCH($F110,'Faculties'!$B$10:$B$29,0))),"N/A")</f>
        <v/>
      </c>
      <c r="I110" s="25">
        <f>IFERROR(IF(INDEX('Faculties'!$O$37:$O$56,MATCH($F110,'Faculties'!$B$37:$B$56,0))="","Cell will autofill based on response",INDEX('Faculties'!$O$37:$O$56,MATCH($F110,'Faculties'!$B$37:$B$56,0))),"N/A")</f>
        <v/>
      </c>
      <c r="J110" s="25">
        <f>IFERROR(IF(INDEX('Faculties'!$O$64:$O$83,MATCH($F110,'Faculties'!$B$64:$B$83,0))="","Cell will autofill based on response",INDEX('Faculties'!$O$64:$O$83,MATCH($F110,'Faculties'!$B$64:$B$83,0))),"N/A")</f>
        <v/>
      </c>
      <c r="K110" s="25">
        <f>IFERROR(IF(INDEX('Faculties'!$O$91:$O$110,MATCH($F110,'Faculties'!$B$91:$B$110,0))="","Cell will autofill based on response",INDEX('Faculties'!$O$91:$O$110,MATCH($F110,'Faculties'!$B$91:$B$110,0))),"N/A")</f>
        <v/>
      </c>
      <c r="L110" s="25">
        <f>IFERROR(IF(INDEX('CI&amp;S'!$O$10:$O$14,MATCH($F110,'CI&amp;S'!$B$10:$B$14,0))="","Cell will autofill based on response",INDEX('CI&amp;S'!$O$10:$O$14,MATCH($F110,'CI&amp;S'!$B$10:$B$14,0))),"N/A")</f>
        <v/>
      </c>
      <c r="M110" s="25">
        <f>IFERROR(IF(INDEX('CI&amp;S'!$O$22:$O$38,MATCH($F110,'CI&amp;S'!$B$22:$B$38,0))="","Cell will autofill based on response",INDEX('CI&amp;S'!$O$22:$O$38,MATCH($F110,'CI&amp;S'!$B$22:$B$38,0))),"N/A")</f>
        <v/>
      </c>
      <c r="N110" s="25">
        <f>IFERROR(IF(INDEX('CFOG'!$O$10:$O$15,MATCH($F110,'CFOG'!$B$10:$B$15,0))="","Cell will autofill based on response",INDEX('CFOG'!$O$10:$O$15,MATCH($F110,'CFOG'!$B$10:$B$15,0))),"N/A")</f>
        <v/>
      </c>
      <c r="O110" s="25">
        <f>IFERROR(IF(INDEX('CFOG'!$O$23:$O$23,MATCH($F110,'CFOG'!$B$23:$B$23,0))="","Cell will autofill based on response",INDEX('CFOG'!$O$23:$O$23,MATCH($F110,'CFOG'!$B$23:$B$23,0))),"N/A")</f>
        <v/>
      </c>
      <c r="P110" s="25">
        <f>IFERROR(IF(INDEX('ESG'!$O$10:$O$16,MATCH($F110,'ESG'!$B$10:$B$16,0))="","Cell will autofill based on response",INDEX('ESG'!$O$10:$O$16,MATCH($F110,'ESG'!$B$10:$B$16,0))),"N/A")</f>
        <v/>
      </c>
      <c r="Q110" s="25">
        <f>IFERROR(IF(INDEX('CIOG'!$O$10:$O$13,MATCH($F110,'CIOG'!$B$10:$B$13,0))="","Cell will autofill based on response",INDEX('CIOG'!$O$10:$O$13,MATCH($F110,'CIOG'!$B$10:$B$13,0))),"N/A")</f>
        <v/>
      </c>
      <c r="R110" s="25">
        <f>IFERROR(IF(INDEX('MRE'!$O$10:$O$11,MATCH($F110,'MRE'!$B$10:$B$11,0))="","Cell will autofill based on response",INDEX('MRE'!$O$10:$O$11,MATCH($F110,'MRE'!$B$10:$B$11,0))),"N/A")</f>
        <v/>
      </c>
    </row>
    <row r="111">
      <c r="A111">
        <f>F111&amp;"|"&amp;G111</f>
        <v/>
      </c>
      <c r="B111" s="29" t="inlineStr"/>
      <c r="C111" s="8" t="inlineStr"/>
      <c r="D111" s="8" t="inlineStr"/>
      <c r="E111" s="8" t="inlineStr"/>
      <c r="F111" s="8" t="inlineStr">
        <is>
          <t>CL1(a)</t>
        </is>
      </c>
      <c r="G111" s="8" t="inlineStr">
        <is>
          <t>Data source and limitations</t>
        </is>
      </c>
      <c r="H111" s="25">
        <f>IFERROR(IF(INDEX('Faculties'!$P$10:$P$29,MATCH($F111,'Faculties'!$B$10:$B$29,0))="","Cell will autofill based on response",INDEX('Faculties'!$P$10:$P$29,MATCH($F111,'Faculties'!$B$10:$B$29,0))),"N/A")</f>
        <v/>
      </c>
      <c r="I111" s="25">
        <f>IFERROR(IF(INDEX('Faculties'!$P$37:$P$56,MATCH($F111,'Faculties'!$B$37:$B$56,0))="","Cell will autofill based on response",INDEX('Faculties'!$P$37:$P$56,MATCH($F111,'Faculties'!$B$37:$B$56,0))),"N/A")</f>
        <v/>
      </c>
      <c r="J111" s="25">
        <f>IFERROR(IF(INDEX('Faculties'!$P$64:$P$83,MATCH($F111,'Faculties'!$B$64:$B$83,0))="","Cell will autofill based on response",INDEX('Faculties'!$P$64:$P$83,MATCH($F111,'Faculties'!$B$64:$B$83,0))),"N/A")</f>
        <v/>
      </c>
      <c r="K111" s="25">
        <f>IFERROR(IF(INDEX('Faculties'!$P$91:$P$110,MATCH($F111,'Faculties'!$B$91:$B$110,0))="","Cell will autofill based on response",INDEX('Faculties'!$P$91:$P$110,MATCH($F111,'Faculties'!$B$91:$B$110,0))),"N/A")</f>
        <v/>
      </c>
      <c r="L111" s="25">
        <f>IFERROR(IF(INDEX('CI&amp;S'!$P$10:$P$14,MATCH($F111,'CI&amp;S'!$B$10:$B$14,0))="","Cell will autofill based on response",INDEX('CI&amp;S'!$P$10:$P$14,MATCH($F111,'CI&amp;S'!$B$10:$B$14,0))),"N/A")</f>
        <v/>
      </c>
      <c r="M111" s="25">
        <f>IFERROR(IF(INDEX('CI&amp;S'!$P$22:$P$38,MATCH($F111,'CI&amp;S'!$B$22:$B$38,0))="","Cell will autofill based on response",INDEX('CI&amp;S'!$P$22:$P$38,MATCH($F111,'CI&amp;S'!$B$22:$B$38,0))),"N/A")</f>
        <v/>
      </c>
      <c r="N111" s="25">
        <f>IFERROR(IF(INDEX('CFOG'!$P$10:$P$15,MATCH($F111,'CFOG'!$B$10:$B$15,0))="","Cell will autofill based on response",INDEX('CFOG'!$P$10:$P$15,MATCH($F111,'CFOG'!$B$10:$B$15,0))),"N/A")</f>
        <v/>
      </c>
      <c r="O111" s="25">
        <f>IFERROR(IF(INDEX('CFOG'!$P$23:$P$23,MATCH($F111,'CFOG'!$B$23:$B$23,0))="","Cell will autofill based on response",INDEX('CFOG'!$P$23:$P$23,MATCH($F111,'CFOG'!$B$23:$B$23,0))),"N/A")</f>
        <v/>
      </c>
      <c r="P111" s="25">
        <f>IFERROR(IF(INDEX('ESG'!$P$10:$P$16,MATCH($F111,'ESG'!$B$10:$B$16,0))="","Cell will autofill based on response",INDEX('ESG'!$P$10:$P$16,MATCH($F111,'ESG'!$B$10:$B$16,0))),"N/A")</f>
        <v/>
      </c>
      <c r="Q111" s="25">
        <f>IFERROR(IF(INDEX('CIOG'!$P$10:$P$13,MATCH($F111,'CIOG'!$B$10:$B$13,0))="","Cell will autofill based on response",INDEX('CIOG'!$P$10:$P$13,MATCH($F111,'CIOG'!$B$10:$B$13,0))),"N/A")</f>
        <v/>
      </c>
      <c r="R111" s="25">
        <f>IFERROR(IF(INDEX('MRE'!$P$10:$P$11,MATCH($F111,'MRE'!$B$10:$B$11,0))="","Cell will autofill based on response",INDEX('MRE'!$P$10:$P$11,MATCH($F111,'MRE'!$B$10:$B$11,0))),"N/A")</f>
        <v/>
      </c>
    </row>
    <row r="112">
      <c r="A112">
        <f>F112&amp;"|"&amp;G112</f>
        <v/>
      </c>
      <c r="B112" s="29" t="inlineStr"/>
      <c r="C112" s="8" t="inlineStr"/>
      <c r="D112" s="8" t="inlineStr"/>
      <c r="E112" s="8" t="inlineStr"/>
      <c r="F112" s="8" t="inlineStr">
        <is>
          <t>CL1(a)</t>
        </is>
      </c>
      <c r="G112" s="8" t="inlineStr">
        <is>
          <t>Data owner confirms</t>
        </is>
      </c>
      <c r="H112" s="25">
        <f>IFERROR(IF(INDEX('Faculties'!$Q$10:$Q$29,MATCH($F112,'Faculties'!$B$10:$B$29,0))="","Cell will autofill based on response",INDEX('Faculties'!$Q$10:$Q$29,MATCH($F112,'Faculties'!$B$10:$B$29,0))),"N/A")</f>
        <v/>
      </c>
      <c r="I112" s="25">
        <f>IFERROR(IF(INDEX('Faculties'!$Q$37:$Q$56,MATCH($F112,'Faculties'!$B$37:$B$56,0))="","Cell will autofill based on response",INDEX('Faculties'!$Q$37:$Q$56,MATCH($F112,'Faculties'!$B$37:$B$56,0))),"N/A")</f>
        <v/>
      </c>
      <c r="J112" s="25">
        <f>IFERROR(IF(INDEX('Faculties'!$Q$64:$Q$83,MATCH($F112,'Faculties'!$B$64:$B$83,0))="","Cell will autofill based on response",INDEX('Faculties'!$Q$64:$Q$83,MATCH($F112,'Faculties'!$B$64:$B$83,0))),"N/A")</f>
        <v/>
      </c>
      <c r="K112" s="25">
        <f>IFERROR(IF(INDEX('Faculties'!$Q$91:$Q$110,MATCH($F112,'Faculties'!$B$91:$B$110,0))="","Cell will autofill based on response",INDEX('Faculties'!$Q$91:$Q$110,MATCH($F112,'Faculties'!$B$91:$B$110,0))),"N/A")</f>
        <v/>
      </c>
      <c r="L112" s="25">
        <f>IFERROR(IF(INDEX('CI&amp;S'!$Q$10:$Q$14,MATCH($F112,'CI&amp;S'!$B$10:$B$14,0))="","Cell will autofill based on response",INDEX('CI&amp;S'!$Q$10:$Q$14,MATCH($F112,'CI&amp;S'!$B$10:$B$14,0))),"N/A")</f>
        <v/>
      </c>
      <c r="M112" s="25">
        <f>IFERROR(IF(INDEX('CI&amp;S'!$Q$22:$Q$38,MATCH($F112,'CI&amp;S'!$B$22:$B$38,0))="","Cell will autofill based on response",INDEX('CI&amp;S'!$Q$22:$Q$38,MATCH($F112,'CI&amp;S'!$B$22:$B$38,0))),"N/A")</f>
        <v/>
      </c>
      <c r="N112" s="25">
        <f>IFERROR(IF(INDEX('CFOG'!$Q$10:$Q$15,MATCH($F112,'CFOG'!$B$10:$B$15,0))="","Cell will autofill based on response",INDEX('CFOG'!$Q$10:$Q$15,MATCH($F112,'CFOG'!$B$10:$B$15,0))),"N/A")</f>
        <v/>
      </c>
      <c r="O112" s="25">
        <f>IFERROR(IF(INDEX('CFOG'!$Q$23:$Q$23,MATCH($F112,'CFOG'!$B$23:$B$23,0))="","Cell will autofill based on response",INDEX('CFOG'!$Q$23:$Q$23,MATCH($F112,'CFOG'!$B$23:$B$23,0))),"N/A")</f>
        <v/>
      </c>
      <c r="P112" s="25">
        <f>IFERROR(IF(INDEX('ESG'!$Q$10:$Q$16,MATCH($F112,'ESG'!$B$10:$B$16,0))="","Cell will autofill based on response",INDEX('ESG'!$Q$10:$Q$16,MATCH($F112,'ESG'!$B$10:$B$16,0))),"N/A")</f>
        <v/>
      </c>
      <c r="Q112" s="25">
        <f>IFERROR(IF(INDEX('CIOG'!$Q$10:$Q$13,MATCH($F112,'CIOG'!$B$10:$B$13,0))="","Cell will autofill based on response",INDEX('CIOG'!$Q$10:$Q$13,MATCH($F112,'CIOG'!$B$10:$B$13,0))),"N/A")</f>
        <v/>
      </c>
      <c r="R112" s="25">
        <f>IFERROR(IF(INDEX('MRE'!$Q$10:$Q$11,MATCH($F112,'MRE'!$B$10:$B$11,0))="","Cell will autofill based on response",INDEX('MRE'!$Q$10:$Q$11,MATCH($F112,'MRE'!$B$10:$B$11,0))),"N/A")</f>
        <v/>
      </c>
    </row>
    <row r="113">
      <c r="A113">
        <f>F113&amp;"|"&amp;G113</f>
        <v/>
      </c>
      <c r="B113" s="7" t="inlineStr">
        <is>
          <t>CL1(b)</t>
        </is>
      </c>
      <c r="C113" s="12" t="inlineStr">
        <is>
          <t>Climate leadership</t>
        </is>
      </c>
      <c r="D113" s="12" t="inlineStr">
        <is>
          <t>Development of Greenhouse Gas  intensity metrics</t>
        </is>
      </c>
      <c r="E113" s="12" t="inlineStr">
        <is>
          <t>Greenhouse gas emissions by FTE, EFTSL, and Gross floor area (https://www.unimelb.edu.au/sustainabilityreport/2025/data-tables#GHGe-scope)</t>
        </is>
      </c>
      <c r="F113" s="12" t="inlineStr">
        <is>
          <t>CL1(b)</t>
        </is>
      </c>
      <c r="G113" s="12" t="inlineStr">
        <is>
          <t>Confirm end-2026 target status</t>
        </is>
      </c>
      <c r="H113" s="25">
        <f>IFERROR(IF(INDEX('Faculties'!$L$10:$L$29,MATCH($F113,'Faculties'!$B$10:$B$29,0))="","Cell will autofill based on response",INDEX('Faculties'!$L$10:$L$29,MATCH($F113,'Faculties'!$B$10:$B$29,0))),"N/A")</f>
        <v/>
      </c>
      <c r="I113" s="25">
        <f>IFERROR(IF(INDEX('Faculties'!$L$37:$L$56,MATCH($F113,'Faculties'!$B$37:$B$56,0))="","Cell will autofill based on response",INDEX('Faculties'!$L$37:$L$56,MATCH($F113,'Faculties'!$B$37:$B$56,0))),"N/A")</f>
        <v/>
      </c>
      <c r="J113" s="25">
        <f>IFERROR(IF(INDEX('Faculties'!$L$64:$L$83,MATCH($F113,'Faculties'!$B$64:$B$83,0))="","Cell will autofill based on response",INDEX('Faculties'!$L$64:$L$83,MATCH($F113,'Faculties'!$B$64:$B$83,0))),"N/A")</f>
        <v/>
      </c>
      <c r="K113" s="25">
        <f>IFERROR(IF(INDEX('Faculties'!$L$91:$L$110,MATCH($F113,'Faculties'!$B$91:$B$110,0))="","Cell will autofill based on response",INDEX('Faculties'!$L$91:$L$110,MATCH($F113,'Faculties'!$B$91:$B$110,0))),"N/A")</f>
        <v/>
      </c>
      <c r="L113" s="25">
        <f>IFERROR(IF(INDEX('CI&amp;S'!$L$10:$L$14,MATCH($F113,'CI&amp;S'!$B$10:$B$14,0))="","Cell will autofill based on response",INDEX('CI&amp;S'!$L$10:$L$14,MATCH($F113,'CI&amp;S'!$B$10:$B$14,0))),"N/A")</f>
        <v/>
      </c>
      <c r="M113" s="25">
        <f>IFERROR(IF(INDEX('CI&amp;S'!$L$22:$L$38,MATCH($F113,'CI&amp;S'!$B$22:$B$38,0))="","Cell will autofill based on response",INDEX('CI&amp;S'!$L$22:$L$38,MATCH($F113,'CI&amp;S'!$B$22:$B$38,0))),"N/A")</f>
        <v/>
      </c>
      <c r="N113" s="25">
        <f>IFERROR(IF(INDEX('CFOG'!$L$10:$L$15,MATCH($F113,'CFOG'!$B$10:$B$15,0))="","Cell will autofill based on response",INDEX('CFOG'!$L$10:$L$15,MATCH($F113,'CFOG'!$B$10:$B$15,0))),"N/A")</f>
        <v/>
      </c>
      <c r="O113" s="25">
        <f>IFERROR(IF(INDEX('CFOG'!$L$23:$L$23,MATCH($F113,'CFOG'!$B$23:$B$23,0))="","Cell will autofill based on response",INDEX('CFOG'!$L$23:$L$23,MATCH($F113,'CFOG'!$B$23:$B$23,0))),"N/A")</f>
        <v/>
      </c>
      <c r="P113" s="25">
        <f>IFERROR(IF(INDEX('ESG'!$L$10:$L$16,MATCH($F113,'ESG'!$B$10:$B$16,0))="","Cell will autofill based on response",INDEX('ESG'!$L$10:$L$16,MATCH($F113,'ESG'!$B$10:$B$16,0))),"N/A")</f>
        <v/>
      </c>
      <c r="Q113" s="25">
        <f>IFERROR(IF(INDEX('CIOG'!$L$10:$L$13,MATCH($F113,'CIOG'!$B$10:$B$13,0))="","Cell will autofill based on response",INDEX('CIOG'!$L$10:$L$13,MATCH($F113,'CIOG'!$B$10:$B$13,0))),"N/A")</f>
        <v/>
      </c>
      <c r="R113" s="25">
        <f>IFERROR(IF(INDEX('MRE'!$L$10:$L$11,MATCH($F113,'MRE'!$B$10:$B$11,0))="","Cell will autofill based on response",INDEX('MRE'!$L$10:$L$11,MATCH($F113,'MRE'!$B$10:$B$11,0))),"N/A")</f>
        <v/>
      </c>
      <c r="T113" s="26">
        <f>COUNTIF($H113:$R113,"Cell will autofill based on response")</f>
        <v/>
      </c>
      <c r="U113" s="26">
        <f>COUNTIF($H113:$R113,"Not yet started")</f>
        <v/>
      </c>
      <c r="V113" s="26">
        <f>COUNTIF($H113:$R113,"Not met")</f>
        <v/>
      </c>
      <c r="W113" s="26">
        <f>COUNTIF($H113:$R113,"Partially met")</f>
        <v/>
      </c>
      <c r="X113" s="26">
        <f>COUNTIF($H113:$R113,"Met or exceeded")</f>
        <v/>
      </c>
      <c r="Y113" s="26">
        <f>3*X113+2*W113+V113</f>
        <v/>
      </c>
      <c r="Z113" s="26">
        <f>X113+W113+V113+U113</f>
        <v/>
      </c>
      <c r="AA113" s="27">
        <f>IF(Z113&gt;0,Y113/Z113,"No valid responses to date")</f>
        <v/>
      </c>
      <c r="AB113" s="26">
        <f>IF(ISNUMBER(AA113),INDEX(Lists!$G$2:$G$5,MATCH(ROUND(AA113,0),Lists!$H$2:$H$5,0)),"")</f>
        <v/>
      </c>
      <c r="AC113" s="28">
        <f>IF(Z113&gt;0,X113/Z113,"")</f>
        <v/>
      </c>
      <c r="AD113" s="28">
        <f>IF(Z113&gt;0,(X113+W113)/Z113,"")</f>
        <v/>
      </c>
      <c r="AE113" s="26">
        <f>IF(Z113=0,"",IF(AC113&gt;0.75,"Met or exceeded",IF(AD113&gt;=0.5,"Partially met","Not met")))</f>
        <v/>
      </c>
    </row>
    <row r="114">
      <c r="A114">
        <f>F114&amp;"|"&amp;G114</f>
        <v/>
      </c>
      <c r="B114" s="29" t="inlineStr"/>
      <c r="C114" s="8" t="inlineStr"/>
      <c r="D114" s="8" t="inlineStr"/>
      <c r="E114" s="8" t="inlineStr"/>
      <c r="F114" s="8" t="inlineStr">
        <is>
          <t>CL1(b)</t>
        </is>
      </c>
      <c r="G114" s="8" t="inlineStr">
        <is>
          <t>OPTION 1:  Target-level reporting</t>
        </is>
      </c>
      <c r="H114" s="25">
        <f>IFERROR(IF(INDEX('Faculties'!$M$10:$M$29,MATCH($F114,'Faculties'!$B$10:$B$29,0))="","Cell will autofill based on response",INDEX('Faculties'!$M$10:$M$29,MATCH($F114,'Faculties'!$B$10:$B$29,0))),"N/A")</f>
        <v/>
      </c>
      <c r="I114" s="25">
        <f>IFERROR(IF(INDEX('Faculties'!$M$37:$M$56,MATCH($F114,'Faculties'!$B$37:$B$56,0))="","Cell will autofill based on response",INDEX('Faculties'!$M$37:$M$56,MATCH($F114,'Faculties'!$B$37:$B$56,0))),"N/A")</f>
        <v/>
      </c>
      <c r="J114" s="25">
        <f>IFERROR(IF(INDEX('Faculties'!$M$64:$M$83,MATCH($F114,'Faculties'!$B$64:$B$83,0))="","Cell will autofill based on response",INDEX('Faculties'!$M$64:$M$83,MATCH($F114,'Faculties'!$B$64:$B$83,0))),"N/A")</f>
        <v/>
      </c>
      <c r="K114" s="25">
        <f>IFERROR(IF(INDEX('Faculties'!$M$91:$M$110,MATCH($F114,'Faculties'!$B$91:$B$110,0))="","Cell will autofill based on response",INDEX('Faculties'!$M$91:$M$110,MATCH($F114,'Faculties'!$B$91:$B$110,0))),"N/A")</f>
        <v/>
      </c>
      <c r="L114" s="25">
        <f>IFERROR(IF(INDEX('CI&amp;S'!$M$10:$M$14,MATCH($F114,'CI&amp;S'!$B$10:$B$14,0))="","Cell will autofill based on response",INDEX('CI&amp;S'!$M$10:$M$14,MATCH($F114,'CI&amp;S'!$B$10:$B$14,0))),"N/A")</f>
        <v/>
      </c>
      <c r="M114" s="25">
        <f>IFERROR(IF(INDEX('CI&amp;S'!$M$22:$M$38,MATCH($F114,'CI&amp;S'!$B$22:$B$38,0))="","Cell will autofill based on response",INDEX('CI&amp;S'!$M$22:$M$38,MATCH($F114,'CI&amp;S'!$B$22:$B$38,0))),"N/A")</f>
        <v/>
      </c>
      <c r="N114" s="25">
        <f>IFERROR(IF(INDEX('CFOG'!$M$10:$M$15,MATCH($F114,'CFOG'!$B$10:$B$15,0))="","Cell will autofill based on response",INDEX('CFOG'!$M$10:$M$15,MATCH($F114,'CFOG'!$B$10:$B$15,0))),"N/A")</f>
        <v/>
      </c>
      <c r="O114" s="25">
        <f>IFERROR(IF(INDEX('CFOG'!$M$23:$M$23,MATCH($F114,'CFOG'!$B$23:$B$23,0))="","Cell will autofill based on response",INDEX('CFOG'!$M$23:$M$23,MATCH($F114,'CFOG'!$B$23:$B$23,0))),"N/A")</f>
        <v/>
      </c>
      <c r="P114" s="25">
        <f>IFERROR(IF(INDEX('ESG'!$M$10:$M$16,MATCH($F114,'ESG'!$B$10:$B$16,0))="","Cell will autofill based on response",INDEX('ESG'!$M$10:$M$16,MATCH($F114,'ESG'!$B$10:$B$16,0))),"N/A")</f>
        <v/>
      </c>
      <c r="Q114" s="25">
        <f>IFERROR(IF(INDEX('CIOG'!$M$10:$M$13,MATCH($F114,'CIOG'!$B$10:$B$13,0))="","Cell will autofill based on response",INDEX('CIOG'!$M$10:$M$13,MATCH($F114,'CIOG'!$B$10:$B$13,0))),"N/A")</f>
        <v/>
      </c>
      <c r="R114" s="25">
        <f>IFERROR(IF(INDEX('MRE'!$M$10:$M$11,MATCH($F114,'MRE'!$B$10:$B$11,0))="","Cell will autofill based on response",INDEX('MRE'!$M$10:$M$11,MATCH($F114,'MRE'!$B$10:$B$11,0))),"N/A")</f>
        <v/>
      </c>
    </row>
    <row r="115">
      <c r="A115">
        <f>F115&amp;"|"&amp;G115</f>
        <v/>
      </c>
      <c r="B115" s="29" t="inlineStr"/>
      <c r="C115" s="8" t="inlineStr"/>
      <c r="D115" s="8" t="inlineStr"/>
      <c r="E115" s="8" t="inlineStr"/>
      <c r="F115" s="8" t="inlineStr">
        <is>
          <t>CL1(b)</t>
        </is>
      </c>
      <c r="G115" s="8" t="inlineStr">
        <is>
          <t>OPTION 2:  Indicator level reporting</t>
        </is>
      </c>
      <c r="H115" s="25">
        <f>IFERROR(IF(INDEX('Faculties'!$N$10:$N$29,MATCH($F115,'Faculties'!$B$10:$B$29,0))="","Cell will autofill based on response",INDEX('Faculties'!$N$10:$N$29,MATCH($F115,'Faculties'!$B$10:$B$29,0))),"N/A")</f>
        <v/>
      </c>
      <c r="I115" s="25">
        <f>IFERROR(IF(INDEX('Faculties'!$N$37:$N$56,MATCH($F115,'Faculties'!$B$37:$B$56,0))="","Cell will autofill based on response",INDEX('Faculties'!$N$37:$N$56,MATCH($F115,'Faculties'!$B$37:$B$56,0))),"N/A")</f>
        <v/>
      </c>
      <c r="J115" s="25">
        <f>IFERROR(IF(INDEX('Faculties'!$N$64:$N$83,MATCH($F115,'Faculties'!$B$64:$B$83,0))="","Cell will autofill based on response",INDEX('Faculties'!$N$64:$N$83,MATCH($F115,'Faculties'!$B$64:$B$83,0))),"N/A")</f>
        <v/>
      </c>
      <c r="K115" s="25">
        <f>IFERROR(IF(INDEX('Faculties'!$N$91:$N$110,MATCH($F115,'Faculties'!$B$91:$B$110,0))="","Cell will autofill based on response",INDEX('Faculties'!$N$91:$N$110,MATCH($F115,'Faculties'!$B$91:$B$110,0))),"N/A")</f>
        <v/>
      </c>
      <c r="L115" s="25">
        <f>IFERROR(IF(INDEX('CI&amp;S'!$N$10:$N$14,MATCH($F115,'CI&amp;S'!$B$10:$B$14,0))="","Cell will autofill based on response",INDEX('CI&amp;S'!$N$10:$N$14,MATCH($F115,'CI&amp;S'!$B$10:$B$14,0))),"N/A")</f>
        <v/>
      </c>
      <c r="M115" s="25">
        <f>IFERROR(IF(INDEX('CI&amp;S'!$N$22:$N$38,MATCH($F115,'CI&amp;S'!$B$22:$B$38,0))="","Cell will autofill based on response",INDEX('CI&amp;S'!$N$22:$N$38,MATCH($F115,'CI&amp;S'!$B$22:$B$38,0))),"N/A")</f>
        <v/>
      </c>
      <c r="N115" s="25">
        <f>IFERROR(IF(INDEX('CFOG'!$N$10:$N$15,MATCH($F115,'CFOG'!$B$10:$B$15,0))="","Cell will autofill based on response",INDEX('CFOG'!$N$10:$N$15,MATCH($F115,'CFOG'!$B$10:$B$15,0))),"N/A")</f>
        <v/>
      </c>
      <c r="O115" s="25">
        <f>IFERROR(IF(INDEX('CFOG'!$N$23:$N$23,MATCH($F115,'CFOG'!$B$23:$B$23,0))="","Cell will autofill based on response",INDEX('CFOG'!$N$23:$N$23,MATCH($F115,'CFOG'!$B$23:$B$23,0))),"N/A")</f>
        <v/>
      </c>
      <c r="P115" s="25">
        <f>IFERROR(IF(INDEX('ESG'!$N$10:$N$16,MATCH($F115,'ESG'!$B$10:$B$16,0))="","Cell will autofill based on response",INDEX('ESG'!$N$10:$N$16,MATCH($F115,'ESG'!$B$10:$B$16,0))),"N/A")</f>
        <v/>
      </c>
      <c r="Q115" s="25">
        <f>IFERROR(IF(INDEX('CIOG'!$N$10:$N$13,MATCH($F115,'CIOG'!$B$10:$B$13,0))="","Cell will autofill based on response",INDEX('CIOG'!$N$10:$N$13,MATCH($F115,'CIOG'!$B$10:$B$13,0))),"N/A")</f>
        <v/>
      </c>
      <c r="R115" s="25">
        <f>IFERROR(IF(INDEX('MRE'!$N$10:$N$11,MATCH($F115,'MRE'!$B$10:$B$11,0))="","Cell will autofill based on response",INDEX('MRE'!$N$10:$N$11,MATCH($F115,'MRE'!$B$10:$B$11,0))),"N/A")</f>
        <v/>
      </c>
    </row>
    <row r="116">
      <c r="A116">
        <f>F116&amp;"|"&amp;G116</f>
        <v/>
      </c>
      <c r="B116" s="29" t="inlineStr"/>
      <c r="C116" s="8" t="inlineStr"/>
      <c r="D116" s="8" t="inlineStr"/>
      <c r="E116" s="8" t="inlineStr"/>
      <c r="F116" s="8" t="inlineStr">
        <is>
          <t>CL1(b)</t>
        </is>
      </c>
      <c r="G116" s="8" t="inlineStr">
        <is>
          <t>Supporting information/comments</t>
        </is>
      </c>
      <c r="H116" s="25">
        <f>IFERROR(IF(INDEX('Faculties'!$O$10:$O$29,MATCH($F116,'Faculties'!$B$10:$B$29,0))="","Cell will autofill based on response",INDEX('Faculties'!$O$10:$O$29,MATCH($F116,'Faculties'!$B$10:$B$29,0))),"N/A")</f>
        <v/>
      </c>
      <c r="I116" s="25">
        <f>IFERROR(IF(INDEX('Faculties'!$O$37:$O$56,MATCH($F116,'Faculties'!$B$37:$B$56,0))="","Cell will autofill based on response",INDEX('Faculties'!$O$37:$O$56,MATCH($F116,'Faculties'!$B$37:$B$56,0))),"N/A")</f>
        <v/>
      </c>
      <c r="J116" s="25">
        <f>IFERROR(IF(INDEX('Faculties'!$O$64:$O$83,MATCH($F116,'Faculties'!$B$64:$B$83,0))="","Cell will autofill based on response",INDEX('Faculties'!$O$64:$O$83,MATCH($F116,'Faculties'!$B$64:$B$83,0))),"N/A")</f>
        <v/>
      </c>
      <c r="K116" s="25">
        <f>IFERROR(IF(INDEX('Faculties'!$O$91:$O$110,MATCH($F116,'Faculties'!$B$91:$B$110,0))="","Cell will autofill based on response",INDEX('Faculties'!$O$91:$O$110,MATCH($F116,'Faculties'!$B$91:$B$110,0))),"N/A")</f>
        <v/>
      </c>
      <c r="L116" s="25">
        <f>IFERROR(IF(INDEX('CI&amp;S'!$O$10:$O$14,MATCH($F116,'CI&amp;S'!$B$10:$B$14,0))="","Cell will autofill based on response",INDEX('CI&amp;S'!$O$10:$O$14,MATCH($F116,'CI&amp;S'!$B$10:$B$14,0))),"N/A")</f>
        <v/>
      </c>
      <c r="M116" s="25">
        <f>IFERROR(IF(INDEX('CI&amp;S'!$O$22:$O$38,MATCH($F116,'CI&amp;S'!$B$22:$B$38,0))="","Cell will autofill based on response",INDEX('CI&amp;S'!$O$22:$O$38,MATCH($F116,'CI&amp;S'!$B$22:$B$38,0))),"N/A")</f>
        <v/>
      </c>
      <c r="N116" s="25">
        <f>IFERROR(IF(INDEX('CFOG'!$O$10:$O$15,MATCH($F116,'CFOG'!$B$10:$B$15,0))="","Cell will autofill based on response",INDEX('CFOG'!$O$10:$O$15,MATCH($F116,'CFOG'!$B$10:$B$15,0))),"N/A")</f>
        <v/>
      </c>
      <c r="O116" s="25">
        <f>IFERROR(IF(INDEX('CFOG'!$O$23:$O$23,MATCH($F116,'CFOG'!$B$23:$B$23,0))="","Cell will autofill based on response",INDEX('CFOG'!$O$23:$O$23,MATCH($F116,'CFOG'!$B$23:$B$23,0))),"N/A")</f>
        <v/>
      </c>
      <c r="P116" s="25">
        <f>IFERROR(IF(INDEX('ESG'!$O$10:$O$16,MATCH($F116,'ESG'!$B$10:$B$16,0))="","Cell will autofill based on response",INDEX('ESG'!$O$10:$O$16,MATCH($F116,'ESG'!$B$10:$B$16,0))),"N/A")</f>
        <v/>
      </c>
      <c r="Q116" s="25">
        <f>IFERROR(IF(INDEX('CIOG'!$O$10:$O$13,MATCH($F116,'CIOG'!$B$10:$B$13,0))="","Cell will autofill based on response",INDEX('CIOG'!$O$10:$O$13,MATCH($F116,'CIOG'!$B$10:$B$13,0))),"N/A")</f>
        <v/>
      </c>
      <c r="R116" s="25">
        <f>IFERROR(IF(INDEX('MRE'!$O$10:$O$11,MATCH($F116,'MRE'!$B$10:$B$11,0))="","Cell will autofill based on response",INDEX('MRE'!$O$10:$O$11,MATCH($F116,'MRE'!$B$10:$B$11,0))),"N/A")</f>
        <v/>
      </c>
    </row>
    <row r="117">
      <c r="A117">
        <f>F117&amp;"|"&amp;G117</f>
        <v/>
      </c>
      <c r="B117" s="29" t="inlineStr"/>
      <c r="C117" s="8" t="inlineStr"/>
      <c r="D117" s="8" t="inlineStr"/>
      <c r="E117" s="8" t="inlineStr"/>
      <c r="F117" s="8" t="inlineStr">
        <is>
          <t>CL1(b)</t>
        </is>
      </c>
      <c r="G117" s="8" t="inlineStr">
        <is>
          <t>Data source and limitations</t>
        </is>
      </c>
      <c r="H117" s="25">
        <f>IFERROR(IF(INDEX('Faculties'!$P$10:$P$29,MATCH($F117,'Faculties'!$B$10:$B$29,0))="","Cell will autofill based on response",INDEX('Faculties'!$P$10:$P$29,MATCH($F117,'Faculties'!$B$10:$B$29,0))),"N/A")</f>
        <v/>
      </c>
      <c r="I117" s="25">
        <f>IFERROR(IF(INDEX('Faculties'!$P$37:$P$56,MATCH($F117,'Faculties'!$B$37:$B$56,0))="","Cell will autofill based on response",INDEX('Faculties'!$P$37:$P$56,MATCH($F117,'Faculties'!$B$37:$B$56,0))),"N/A")</f>
        <v/>
      </c>
      <c r="J117" s="25">
        <f>IFERROR(IF(INDEX('Faculties'!$P$64:$P$83,MATCH($F117,'Faculties'!$B$64:$B$83,0))="","Cell will autofill based on response",INDEX('Faculties'!$P$64:$P$83,MATCH($F117,'Faculties'!$B$64:$B$83,0))),"N/A")</f>
        <v/>
      </c>
      <c r="K117" s="25">
        <f>IFERROR(IF(INDEX('Faculties'!$P$91:$P$110,MATCH($F117,'Faculties'!$B$91:$B$110,0))="","Cell will autofill based on response",INDEX('Faculties'!$P$91:$P$110,MATCH($F117,'Faculties'!$B$91:$B$110,0))),"N/A")</f>
        <v/>
      </c>
      <c r="L117" s="25">
        <f>IFERROR(IF(INDEX('CI&amp;S'!$P$10:$P$14,MATCH($F117,'CI&amp;S'!$B$10:$B$14,0))="","Cell will autofill based on response",INDEX('CI&amp;S'!$P$10:$P$14,MATCH($F117,'CI&amp;S'!$B$10:$B$14,0))),"N/A")</f>
        <v/>
      </c>
      <c r="M117" s="25">
        <f>IFERROR(IF(INDEX('CI&amp;S'!$P$22:$P$38,MATCH($F117,'CI&amp;S'!$B$22:$B$38,0))="","Cell will autofill based on response",INDEX('CI&amp;S'!$P$22:$P$38,MATCH($F117,'CI&amp;S'!$B$22:$B$38,0))),"N/A")</f>
        <v/>
      </c>
      <c r="N117" s="25">
        <f>IFERROR(IF(INDEX('CFOG'!$P$10:$P$15,MATCH($F117,'CFOG'!$B$10:$B$15,0))="","Cell will autofill based on response",INDEX('CFOG'!$P$10:$P$15,MATCH($F117,'CFOG'!$B$10:$B$15,0))),"N/A")</f>
        <v/>
      </c>
      <c r="O117" s="25">
        <f>IFERROR(IF(INDEX('CFOG'!$P$23:$P$23,MATCH($F117,'CFOG'!$B$23:$B$23,0))="","Cell will autofill based on response",INDEX('CFOG'!$P$23:$P$23,MATCH($F117,'CFOG'!$B$23:$B$23,0))),"N/A")</f>
        <v/>
      </c>
      <c r="P117" s="25">
        <f>IFERROR(IF(INDEX('ESG'!$P$10:$P$16,MATCH($F117,'ESG'!$B$10:$B$16,0))="","Cell will autofill based on response",INDEX('ESG'!$P$10:$P$16,MATCH($F117,'ESG'!$B$10:$B$16,0))),"N/A")</f>
        <v/>
      </c>
      <c r="Q117" s="25">
        <f>IFERROR(IF(INDEX('CIOG'!$P$10:$P$13,MATCH($F117,'CIOG'!$B$10:$B$13,0))="","Cell will autofill based on response",INDEX('CIOG'!$P$10:$P$13,MATCH($F117,'CIOG'!$B$10:$B$13,0))),"N/A")</f>
        <v/>
      </c>
      <c r="R117" s="25">
        <f>IFERROR(IF(INDEX('MRE'!$P$10:$P$11,MATCH($F117,'MRE'!$B$10:$B$11,0))="","Cell will autofill based on response",INDEX('MRE'!$P$10:$P$11,MATCH($F117,'MRE'!$B$10:$B$11,0))),"N/A")</f>
        <v/>
      </c>
    </row>
    <row r="118">
      <c r="A118">
        <f>F118&amp;"|"&amp;G118</f>
        <v/>
      </c>
      <c r="B118" s="29" t="inlineStr"/>
      <c r="C118" s="8" t="inlineStr"/>
      <c r="D118" s="8" t="inlineStr"/>
      <c r="E118" s="8" t="inlineStr"/>
      <c r="F118" s="8" t="inlineStr">
        <is>
          <t>CL1(b)</t>
        </is>
      </c>
      <c r="G118" s="8" t="inlineStr">
        <is>
          <t>Data owner confirms</t>
        </is>
      </c>
      <c r="H118" s="25">
        <f>IFERROR(IF(INDEX('Faculties'!$Q$10:$Q$29,MATCH($F118,'Faculties'!$B$10:$B$29,0))="","Cell will autofill based on response",INDEX('Faculties'!$Q$10:$Q$29,MATCH($F118,'Faculties'!$B$10:$B$29,0))),"N/A")</f>
        <v/>
      </c>
      <c r="I118" s="25">
        <f>IFERROR(IF(INDEX('Faculties'!$Q$37:$Q$56,MATCH($F118,'Faculties'!$B$37:$B$56,0))="","Cell will autofill based on response",INDEX('Faculties'!$Q$37:$Q$56,MATCH($F118,'Faculties'!$B$37:$B$56,0))),"N/A")</f>
        <v/>
      </c>
      <c r="J118" s="25">
        <f>IFERROR(IF(INDEX('Faculties'!$Q$64:$Q$83,MATCH($F118,'Faculties'!$B$64:$B$83,0))="","Cell will autofill based on response",INDEX('Faculties'!$Q$64:$Q$83,MATCH($F118,'Faculties'!$B$64:$B$83,0))),"N/A")</f>
        <v/>
      </c>
      <c r="K118" s="25">
        <f>IFERROR(IF(INDEX('Faculties'!$Q$91:$Q$110,MATCH($F118,'Faculties'!$B$91:$B$110,0))="","Cell will autofill based on response",INDEX('Faculties'!$Q$91:$Q$110,MATCH($F118,'Faculties'!$B$91:$B$110,0))),"N/A")</f>
        <v/>
      </c>
      <c r="L118" s="25">
        <f>IFERROR(IF(INDEX('CI&amp;S'!$Q$10:$Q$14,MATCH($F118,'CI&amp;S'!$B$10:$B$14,0))="","Cell will autofill based on response",INDEX('CI&amp;S'!$Q$10:$Q$14,MATCH($F118,'CI&amp;S'!$B$10:$B$14,0))),"N/A")</f>
        <v/>
      </c>
      <c r="M118" s="25">
        <f>IFERROR(IF(INDEX('CI&amp;S'!$Q$22:$Q$38,MATCH($F118,'CI&amp;S'!$B$22:$B$38,0))="","Cell will autofill based on response",INDEX('CI&amp;S'!$Q$22:$Q$38,MATCH($F118,'CI&amp;S'!$B$22:$B$38,0))),"N/A")</f>
        <v/>
      </c>
      <c r="N118" s="25">
        <f>IFERROR(IF(INDEX('CFOG'!$Q$10:$Q$15,MATCH($F118,'CFOG'!$B$10:$B$15,0))="","Cell will autofill based on response",INDEX('CFOG'!$Q$10:$Q$15,MATCH($F118,'CFOG'!$B$10:$B$15,0))),"N/A")</f>
        <v/>
      </c>
      <c r="O118" s="25">
        <f>IFERROR(IF(INDEX('CFOG'!$Q$23:$Q$23,MATCH($F118,'CFOG'!$B$23:$B$23,0))="","Cell will autofill based on response",INDEX('CFOG'!$Q$23:$Q$23,MATCH($F118,'CFOG'!$B$23:$B$23,0))),"N/A")</f>
        <v/>
      </c>
      <c r="P118" s="25">
        <f>IFERROR(IF(INDEX('ESG'!$Q$10:$Q$16,MATCH($F118,'ESG'!$B$10:$B$16,0))="","Cell will autofill based on response",INDEX('ESG'!$Q$10:$Q$16,MATCH($F118,'ESG'!$B$10:$B$16,0))),"N/A")</f>
        <v/>
      </c>
      <c r="Q118" s="25">
        <f>IFERROR(IF(INDEX('CIOG'!$Q$10:$Q$13,MATCH($F118,'CIOG'!$B$10:$B$13,0))="","Cell will autofill based on response",INDEX('CIOG'!$Q$10:$Q$13,MATCH($F118,'CIOG'!$B$10:$B$13,0))),"N/A")</f>
        <v/>
      </c>
      <c r="R118" s="25">
        <f>IFERROR(IF(INDEX('MRE'!$Q$10:$Q$11,MATCH($F118,'MRE'!$B$10:$B$11,0))="","Cell will autofill based on response",INDEX('MRE'!$Q$10:$Q$11,MATCH($F118,'MRE'!$B$10:$B$11,0))),"N/A")</f>
        <v/>
      </c>
    </row>
    <row r="119">
      <c r="A119">
        <f>F119&amp;"|"&amp;G119</f>
        <v/>
      </c>
      <c r="B119" s="7" t="inlineStr">
        <is>
          <t>CL1(c)</t>
        </is>
      </c>
      <c r="C119" s="12" t="inlineStr">
        <is>
          <t>Climate leadership</t>
        </is>
      </c>
      <c r="D119" s="12" t="inlineStr">
        <is>
          <t>Review of Climate Leadership targets by 2030.[2]</t>
        </is>
      </c>
      <c r="E119" s="12" t="inlineStr"/>
      <c r="F119" s="12" t="inlineStr">
        <is>
          <t>CL1(c)</t>
        </is>
      </c>
      <c r="G119" s="12" t="inlineStr">
        <is>
          <t>Confirm end-2026 target status</t>
        </is>
      </c>
      <c r="H119" s="25">
        <f>IFERROR(IF(INDEX('Faculties'!$L$10:$L$29,MATCH($F119,'Faculties'!$B$10:$B$29,0))="","Cell will autofill based on response",INDEX('Faculties'!$L$10:$L$29,MATCH($F119,'Faculties'!$B$10:$B$29,0))),"N/A")</f>
        <v/>
      </c>
      <c r="I119" s="25">
        <f>IFERROR(IF(INDEX('Faculties'!$L$37:$L$56,MATCH($F119,'Faculties'!$B$37:$B$56,0))="","Cell will autofill based on response",INDEX('Faculties'!$L$37:$L$56,MATCH($F119,'Faculties'!$B$37:$B$56,0))),"N/A")</f>
        <v/>
      </c>
      <c r="J119" s="25">
        <f>IFERROR(IF(INDEX('Faculties'!$L$64:$L$83,MATCH($F119,'Faculties'!$B$64:$B$83,0))="","Cell will autofill based on response",INDEX('Faculties'!$L$64:$L$83,MATCH($F119,'Faculties'!$B$64:$B$83,0))),"N/A")</f>
        <v/>
      </c>
      <c r="K119" s="25">
        <f>IFERROR(IF(INDEX('Faculties'!$L$91:$L$110,MATCH($F119,'Faculties'!$B$91:$B$110,0))="","Cell will autofill based on response",INDEX('Faculties'!$L$91:$L$110,MATCH($F119,'Faculties'!$B$91:$B$110,0))),"N/A")</f>
        <v/>
      </c>
      <c r="L119" s="25">
        <f>IFERROR(IF(INDEX('CI&amp;S'!$L$10:$L$14,MATCH($F119,'CI&amp;S'!$B$10:$B$14,0))="","Cell will autofill based on response",INDEX('CI&amp;S'!$L$10:$L$14,MATCH($F119,'CI&amp;S'!$B$10:$B$14,0))),"N/A")</f>
        <v/>
      </c>
      <c r="M119" s="25">
        <f>IFERROR(IF(INDEX('CI&amp;S'!$L$22:$L$38,MATCH($F119,'CI&amp;S'!$B$22:$B$38,0))="","Cell will autofill based on response",INDEX('CI&amp;S'!$L$22:$L$38,MATCH($F119,'CI&amp;S'!$B$22:$B$38,0))),"N/A")</f>
        <v/>
      </c>
      <c r="N119" s="25">
        <f>IFERROR(IF(INDEX('CFOG'!$L$10:$L$15,MATCH($F119,'CFOG'!$B$10:$B$15,0))="","Cell will autofill based on response",INDEX('CFOG'!$L$10:$L$15,MATCH($F119,'CFOG'!$B$10:$B$15,0))),"N/A")</f>
        <v/>
      </c>
      <c r="O119" s="25">
        <f>IFERROR(IF(INDEX('CFOG'!$L$23:$L$23,MATCH($F119,'CFOG'!$B$23:$B$23,0))="","Cell will autofill based on response",INDEX('CFOG'!$L$23:$L$23,MATCH($F119,'CFOG'!$B$23:$B$23,0))),"N/A")</f>
        <v/>
      </c>
      <c r="P119" s="25">
        <f>IFERROR(IF(INDEX('ESG'!$L$10:$L$16,MATCH($F119,'ESG'!$B$10:$B$16,0))="","Cell will autofill based on response",INDEX('ESG'!$L$10:$L$16,MATCH($F119,'ESG'!$B$10:$B$16,0))),"N/A")</f>
        <v/>
      </c>
      <c r="Q119" s="25">
        <f>IFERROR(IF(INDEX('CIOG'!$L$10:$L$13,MATCH($F119,'CIOG'!$B$10:$B$13,0))="","Cell will autofill based on response",INDEX('CIOG'!$L$10:$L$13,MATCH($F119,'CIOG'!$B$10:$B$13,0))),"N/A")</f>
        <v/>
      </c>
      <c r="R119" s="25">
        <f>IFERROR(IF(INDEX('MRE'!$L$10:$L$11,MATCH($F119,'MRE'!$B$10:$B$11,0))="","Cell will autofill based on response",INDEX('MRE'!$L$10:$L$11,MATCH($F119,'MRE'!$B$10:$B$11,0))),"N/A")</f>
        <v/>
      </c>
      <c r="T119" s="26">
        <f>COUNTIF($H119:$R119,"Cell will autofill based on response")</f>
        <v/>
      </c>
      <c r="U119" s="26">
        <f>COUNTIF($H119:$R119,"Not yet started")</f>
        <v/>
      </c>
      <c r="V119" s="26">
        <f>COUNTIF($H119:$R119,"Not met")</f>
        <v/>
      </c>
      <c r="W119" s="26">
        <f>COUNTIF($H119:$R119,"Partially met")</f>
        <v/>
      </c>
      <c r="X119" s="26">
        <f>COUNTIF($H119:$R119,"Met or exceeded")</f>
        <v/>
      </c>
      <c r="Y119" s="26">
        <f>3*X119+2*W119+V119</f>
        <v/>
      </c>
      <c r="Z119" s="26">
        <f>X119+W119+V119+U119</f>
        <v/>
      </c>
      <c r="AA119" s="27">
        <f>IF(Z119&gt;0,Y119/Z119,"No valid responses to date")</f>
        <v/>
      </c>
      <c r="AB119" s="26">
        <f>IF(ISNUMBER(AA119),INDEX(Lists!$G$2:$G$5,MATCH(ROUND(AA119,0),Lists!$H$2:$H$5,0)),"")</f>
        <v/>
      </c>
      <c r="AC119" s="28">
        <f>IF(Z119&gt;0,X119/Z119,"")</f>
        <v/>
      </c>
      <c r="AD119" s="28">
        <f>IF(Z119&gt;0,(X119+W119)/Z119,"")</f>
        <v/>
      </c>
      <c r="AE119" s="26">
        <f>IF(Z119=0,"",IF(AC119&gt;0.75,"Met or exceeded",IF(AD119&gt;=0.5,"Partially met","Not met")))</f>
        <v/>
      </c>
    </row>
    <row r="120">
      <c r="A120">
        <f>F120&amp;"|"&amp;G120</f>
        <v/>
      </c>
      <c r="B120" s="29" t="inlineStr"/>
      <c r="C120" s="8" t="inlineStr"/>
      <c r="D120" s="8" t="inlineStr"/>
      <c r="E120" s="8" t="inlineStr"/>
      <c r="F120" s="8" t="inlineStr">
        <is>
          <t>CL1(c)</t>
        </is>
      </c>
      <c r="G120" s="8" t="inlineStr">
        <is>
          <t>OPTION 1:  Target-level reporting</t>
        </is>
      </c>
      <c r="H120" s="25">
        <f>IFERROR(IF(INDEX('Faculties'!$M$10:$M$29,MATCH($F120,'Faculties'!$B$10:$B$29,0))="","Cell will autofill based on response",INDEX('Faculties'!$M$10:$M$29,MATCH($F120,'Faculties'!$B$10:$B$29,0))),"N/A")</f>
        <v/>
      </c>
      <c r="I120" s="25">
        <f>IFERROR(IF(INDEX('Faculties'!$M$37:$M$56,MATCH($F120,'Faculties'!$B$37:$B$56,0))="","Cell will autofill based on response",INDEX('Faculties'!$M$37:$M$56,MATCH($F120,'Faculties'!$B$37:$B$56,0))),"N/A")</f>
        <v/>
      </c>
      <c r="J120" s="25">
        <f>IFERROR(IF(INDEX('Faculties'!$M$64:$M$83,MATCH($F120,'Faculties'!$B$64:$B$83,0))="","Cell will autofill based on response",INDEX('Faculties'!$M$64:$M$83,MATCH($F120,'Faculties'!$B$64:$B$83,0))),"N/A")</f>
        <v/>
      </c>
      <c r="K120" s="25">
        <f>IFERROR(IF(INDEX('Faculties'!$M$91:$M$110,MATCH($F120,'Faculties'!$B$91:$B$110,0))="","Cell will autofill based on response",INDEX('Faculties'!$M$91:$M$110,MATCH($F120,'Faculties'!$B$91:$B$110,0))),"N/A")</f>
        <v/>
      </c>
      <c r="L120" s="25">
        <f>IFERROR(IF(INDEX('CI&amp;S'!$M$10:$M$14,MATCH($F120,'CI&amp;S'!$B$10:$B$14,0))="","Cell will autofill based on response",INDEX('CI&amp;S'!$M$10:$M$14,MATCH($F120,'CI&amp;S'!$B$10:$B$14,0))),"N/A")</f>
        <v/>
      </c>
      <c r="M120" s="25">
        <f>IFERROR(IF(INDEX('CI&amp;S'!$M$22:$M$38,MATCH($F120,'CI&amp;S'!$B$22:$B$38,0))="","Cell will autofill based on response",INDEX('CI&amp;S'!$M$22:$M$38,MATCH($F120,'CI&amp;S'!$B$22:$B$38,0))),"N/A")</f>
        <v/>
      </c>
      <c r="N120" s="25">
        <f>IFERROR(IF(INDEX('CFOG'!$M$10:$M$15,MATCH($F120,'CFOG'!$B$10:$B$15,0))="","Cell will autofill based on response",INDEX('CFOG'!$M$10:$M$15,MATCH($F120,'CFOG'!$B$10:$B$15,0))),"N/A")</f>
        <v/>
      </c>
      <c r="O120" s="25">
        <f>IFERROR(IF(INDEX('CFOG'!$M$23:$M$23,MATCH($F120,'CFOG'!$B$23:$B$23,0))="","Cell will autofill based on response",INDEX('CFOG'!$M$23:$M$23,MATCH($F120,'CFOG'!$B$23:$B$23,0))),"N/A")</f>
        <v/>
      </c>
      <c r="P120" s="25">
        <f>IFERROR(IF(INDEX('ESG'!$M$10:$M$16,MATCH($F120,'ESG'!$B$10:$B$16,0))="","Cell will autofill based on response",INDEX('ESG'!$M$10:$M$16,MATCH($F120,'ESG'!$B$10:$B$16,0))),"N/A")</f>
        <v/>
      </c>
      <c r="Q120" s="25">
        <f>IFERROR(IF(INDEX('CIOG'!$M$10:$M$13,MATCH($F120,'CIOG'!$B$10:$B$13,0))="","Cell will autofill based on response",INDEX('CIOG'!$M$10:$M$13,MATCH($F120,'CIOG'!$B$10:$B$13,0))),"N/A")</f>
        <v/>
      </c>
      <c r="R120" s="25">
        <f>IFERROR(IF(INDEX('MRE'!$M$10:$M$11,MATCH($F120,'MRE'!$B$10:$B$11,0))="","Cell will autofill based on response",INDEX('MRE'!$M$10:$M$11,MATCH($F120,'MRE'!$B$10:$B$11,0))),"N/A")</f>
        <v/>
      </c>
    </row>
    <row r="121">
      <c r="A121">
        <f>F121&amp;"|"&amp;G121</f>
        <v/>
      </c>
      <c r="B121" s="29" t="inlineStr"/>
      <c r="C121" s="8" t="inlineStr"/>
      <c r="D121" s="8" t="inlineStr"/>
      <c r="E121" s="8" t="inlineStr"/>
      <c r="F121" s="8" t="inlineStr">
        <is>
          <t>CL1(c)</t>
        </is>
      </c>
      <c r="G121" s="8" t="inlineStr">
        <is>
          <t>OPTION 2:  Indicator level reporting</t>
        </is>
      </c>
      <c r="H121" s="25">
        <f>IFERROR(IF(INDEX('Faculties'!$N$10:$N$29,MATCH($F121,'Faculties'!$B$10:$B$29,0))="","Cell will autofill based on response",INDEX('Faculties'!$N$10:$N$29,MATCH($F121,'Faculties'!$B$10:$B$29,0))),"N/A")</f>
        <v/>
      </c>
      <c r="I121" s="25">
        <f>IFERROR(IF(INDEX('Faculties'!$N$37:$N$56,MATCH($F121,'Faculties'!$B$37:$B$56,0))="","Cell will autofill based on response",INDEX('Faculties'!$N$37:$N$56,MATCH($F121,'Faculties'!$B$37:$B$56,0))),"N/A")</f>
        <v/>
      </c>
      <c r="J121" s="25">
        <f>IFERROR(IF(INDEX('Faculties'!$N$64:$N$83,MATCH($F121,'Faculties'!$B$64:$B$83,0))="","Cell will autofill based on response",INDEX('Faculties'!$N$64:$N$83,MATCH($F121,'Faculties'!$B$64:$B$83,0))),"N/A")</f>
        <v/>
      </c>
      <c r="K121" s="25">
        <f>IFERROR(IF(INDEX('Faculties'!$N$91:$N$110,MATCH($F121,'Faculties'!$B$91:$B$110,0))="","Cell will autofill based on response",INDEX('Faculties'!$N$91:$N$110,MATCH($F121,'Faculties'!$B$91:$B$110,0))),"N/A")</f>
        <v/>
      </c>
      <c r="L121" s="25">
        <f>IFERROR(IF(INDEX('CI&amp;S'!$N$10:$N$14,MATCH($F121,'CI&amp;S'!$B$10:$B$14,0))="","Cell will autofill based on response",INDEX('CI&amp;S'!$N$10:$N$14,MATCH($F121,'CI&amp;S'!$B$10:$B$14,0))),"N/A")</f>
        <v/>
      </c>
      <c r="M121" s="25">
        <f>IFERROR(IF(INDEX('CI&amp;S'!$N$22:$N$38,MATCH($F121,'CI&amp;S'!$B$22:$B$38,0))="","Cell will autofill based on response",INDEX('CI&amp;S'!$N$22:$N$38,MATCH($F121,'CI&amp;S'!$B$22:$B$38,0))),"N/A")</f>
        <v/>
      </c>
      <c r="N121" s="25">
        <f>IFERROR(IF(INDEX('CFOG'!$N$10:$N$15,MATCH($F121,'CFOG'!$B$10:$B$15,0))="","Cell will autofill based on response",INDEX('CFOG'!$N$10:$N$15,MATCH($F121,'CFOG'!$B$10:$B$15,0))),"N/A")</f>
        <v/>
      </c>
      <c r="O121" s="25">
        <f>IFERROR(IF(INDEX('CFOG'!$N$23:$N$23,MATCH($F121,'CFOG'!$B$23:$B$23,0))="","Cell will autofill based on response",INDEX('CFOG'!$N$23:$N$23,MATCH($F121,'CFOG'!$B$23:$B$23,0))),"N/A")</f>
        <v/>
      </c>
      <c r="P121" s="25">
        <f>IFERROR(IF(INDEX('ESG'!$N$10:$N$16,MATCH($F121,'ESG'!$B$10:$B$16,0))="","Cell will autofill based on response",INDEX('ESG'!$N$10:$N$16,MATCH($F121,'ESG'!$B$10:$B$16,0))),"N/A")</f>
        <v/>
      </c>
      <c r="Q121" s="25">
        <f>IFERROR(IF(INDEX('CIOG'!$N$10:$N$13,MATCH($F121,'CIOG'!$B$10:$B$13,0))="","Cell will autofill based on response",INDEX('CIOG'!$N$10:$N$13,MATCH($F121,'CIOG'!$B$10:$B$13,0))),"N/A")</f>
        <v/>
      </c>
      <c r="R121" s="25">
        <f>IFERROR(IF(INDEX('MRE'!$N$10:$N$11,MATCH($F121,'MRE'!$B$10:$B$11,0))="","Cell will autofill based on response",INDEX('MRE'!$N$10:$N$11,MATCH($F121,'MRE'!$B$10:$B$11,0))),"N/A")</f>
        <v/>
      </c>
    </row>
    <row r="122">
      <c r="A122">
        <f>F122&amp;"|"&amp;G122</f>
        <v/>
      </c>
      <c r="B122" s="29" t="inlineStr"/>
      <c r="C122" s="8" t="inlineStr"/>
      <c r="D122" s="8" t="inlineStr"/>
      <c r="E122" s="8" t="inlineStr"/>
      <c r="F122" s="8" t="inlineStr">
        <is>
          <t>CL1(c)</t>
        </is>
      </c>
      <c r="G122" s="8" t="inlineStr">
        <is>
          <t>Supporting information/comments</t>
        </is>
      </c>
      <c r="H122" s="25">
        <f>IFERROR(IF(INDEX('Faculties'!$O$10:$O$29,MATCH($F122,'Faculties'!$B$10:$B$29,0))="","Cell will autofill based on response",INDEX('Faculties'!$O$10:$O$29,MATCH($F122,'Faculties'!$B$10:$B$29,0))),"N/A")</f>
        <v/>
      </c>
      <c r="I122" s="25">
        <f>IFERROR(IF(INDEX('Faculties'!$O$37:$O$56,MATCH($F122,'Faculties'!$B$37:$B$56,0))="","Cell will autofill based on response",INDEX('Faculties'!$O$37:$O$56,MATCH($F122,'Faculties'!$B$37:$B$56,0))),"N/A")</f>
        <v/>
      </c>
      <c r="J122" s="25">
        <f>IFERROR(IF(INDEX('Faculties'!$O$64:$O$83,MATCH($F122,'Faculties'!$B$64:$B$83,0))="","Cell will autofill based on response",INDEX('Faculties'!$O$64:$O$83,MATCH($F122,'Faculties'!$B$64:$B$83,0))),"N/A")</f>
        <v/>
      </c>
      <c r="K122" s="25">
        <f>IFERROR(IF(INDEX('Faculties'!$O$91:$O$110,MATCH($F122,'Faculties'!$B$91:$B$110,0))="","Cell will autofill based on response",INDEX('Faculties'!$O$91:$O$110,MATCH($F122,'Faculties'!$B$91:$B$110,0))),"N/A")</f>
        <v/>
      </c>
      <c r="L122" s="25">
        <f>IFERROR(IF(INDEX('CI&amp;S'!$O$10:$O$14,MATCH($F122,'CI&amp;S'!$B$10:$B$14,0))="","Cell will autofill based on response",INDEX('CI&amp;S'!$O$10:$O$14,MATCH($F122,'CI&amp;S'!$B$10:$B$14,0))),"N/A")</f>
        <v/>
      </c>
      <c r="M122" s="25">
        <f>IFERROR(IF(INDEX('CI&amp;S'!$O$22:$O$38,MATCH($F122,'CI&amp;S'!$B$22:$B$38,0))="","Cell will autofill based on response",INDEX('CI&amp;S'!$O$22:$O$38,MATCH($F122,'CI&amp;S'!$B$22:$B$38,0))),"N/A")</f>
        <v/>
      </c>
      <c r="N122" s="25">
        <f>IFERROR(IF(INDEX('CFOG'!$O$10:$O$15,MATCH($F122,'CFOG'!$B$10:$B$15,0))="","Cell will autofill based on response",INDEX('CFOG'!$O$10:$O$15,MATCH($F122,'CFOG'!$B$10:$B$15,0))),"N/A")</f>
        <v/>
      </c>
      <c r="O122" s="25">
        <f>IFERROR(IF(INDEX('CFOG'!$O$23:$O$23,MATCH($F122,'CFOG'!$B$23:$B$23,0))="","Cell will autofill based on response",INDEX('CFOG'!$O$23:$O$23,MATCH($F122,'CFOG'!$B$23:$B$23,0))),"N/A")</f>
        <v/>
      </c>
      <c r="P122" s="25">
        <f>IFERROR(IF(INDEX('ESG'!$O$10:$O$16,MATCH($F122,'ESG'!$B$10:$B$16,0))="","Cell will autofill based on response",INDEX('ESG'!$O$10:$O$16,MATCH($F122,'ESG'!$B$10:$B$16,0))),"N/A")</f>
        <v/>
      </c>
      <c r="Q122" s="25">
        <f>IFERROR(IF(INDEX('CIOG'!$O$10:$O$13,MATCH($F122,'CIOG'!$B$10:$B$13,0))="","Cell will autofill based on response",INDEX('CIOG'!$O$10:$O$13,MATCH($F122,'CIOG'!$B$10:$B$13,0))),"N/A")</f>
        <v/>
      </c>
      <c r="R122" s="25">
        <f>IFERROR(IF(INDEX('MRE'!$O$10:$O$11,MATCH($F122,'MRE'!$B$10:$B$11,0))="","Cell will autofill based on response",INDEX('MRE'!$O$10:$O$11,MATCH($F122,'MRE'!$B$10:$B$11,0))),"N/A")</f>
        <v/>
      </c>
    </row>
    <row r="123">
      <c r="A123">
        <f>F123&amp;"|"&amp;G123</f>
        <v/>
      </c>
      <c r="B123" s="29" t="inlineStr"/>
      <c r="C123" s="8" t="inlineStr"/>
      <c r="D123" s="8" t="inlineStr"/>
      <c r="E123" s="8" t="inlineStr"/>
      <c r="F123" s="8" t="inlineStr">
        <is>
          <t>CL1(c)</t>
        </is>
      </c>
      <c r="G123" s="8" t="inlineStr">
        <is>
          <t>Data source and limitations</t>
        </is>
      </c>
      <c r="H123" s="25">
        <f>IFERROR(IF(INDEX('Faculties'!$P$10:$P$29,MATCH($F123,'Faculties'!$B$10:$B$29,0))="","Cell will autofill based on response",INDEX('Faculties'!$P$10:$P$29,MATCH($F123,'Faculties'!$B$10:$B$29,0))),"N/A")</f>
        <v/>
      </c>
      <c r="I123" s="25">
        <f>IFERROR(IF(INDEX('Faculties'!$P$37:$P$56,MATCH($F123,'Faculties'!$B$37:$B$56,0))="","Cell will autofill based on response",INDEX('Faculties'!$P$37:$P$56,MATCH($F123,'Faculties'!$B$37:$B$56,0))),"N/A")</f>
        <v/>
      </c>
      <c r="J123" s="25">
        <f>IFERROR(IF(INDEX('Faculties'!$P$64:$P$83,MATCH($F123,'Faculties'!$B$64:$B$83,0))="","Cell will autofill based on response",INDEX('Faculties'!$P$64:$P$83,MATCH($F123,'Faculties'!$B$64:$B$83,0))),"N/A")</f>
        <v/>
      </c>
      <c r="K123" s="25">
        <f>IFERROR(IF(INDEX('Faculties'!$P$91:$P$110,MATCH($F123,'Faculties'!$B$91:$B$110,0))="","Cell will autofill based on response",INDEX('Faculties'!$P$91:$P$110,MATCH($F123,'Faculties'!$B$91:$B$110,0))),"N/A")</f>
        <v/>
      </c>
      <c r="L123" s="25">
        <f>IFERROR(IF(INDEX('CI&amp;S'!$P$10:$P$14,MATCH($F123,'CI&amp;S'!$B$10:$B$14,0))="","Cell will autofill based on response",INDEX('CI&amp;S'!$P$10:$P$14,MATCH($F123,'CI&amp;S'!$B$10:$B$14,0))),"N/A")</f>
        <v/>
      </c>
      <c r="M123" s="25">
        <f>IFERROR(IF(INDEX('CI&amp;S'!$P$22:$P$38,MATCH($F123,'CI&amp;S'!$B$22:$B$38,0))="","Cell will autofill based on response",INDEX('CI&amp;S'!$P$22:$P$38,MATCH($F123,'CI&amp;S'!$B$22:$B$38,0))),"N/A")</f>
        <v/>
      </c>
      <c r="N123" s="25">
        <f>IFERROR(IF(INDEX('CFOG'!$P$10:$P$15,MATCH($F123,'CFOG'!$B$10:$B$15,0))="","Cell will autofill based on response",INDEX('CFOG'!$P$10:$P$15,MATCH($F123,'CFOG'!$B$10:$B$15,0))),"N/A")</f>
        <v/>
      </c>
      <c r="O123" s="25">
        <f>IFERROR(IF(INDEX('CFOG'!$P$23:$P$23,MATCH($F123,'CFOG'!$B$23:$B$23,0))="","Cell will autofill based on response",INDEX('CFOG'!$P$23:$P$23,MATCH($F123,'CFOG'!$B$23:$B$23,0))),"N/A")</f>
        <v/>
      </c>
      <c r="P123" s="25">
        <f>IFERROR(IF(INDEX('ESG'!$P$10:$P$16,MATCH($F123,'ESG'!$B$10:$B$16,0))="","Cell will autofill based on response",INDEX('ESG'!$P$10:$P$16,MATCH($F123,'ESG'!$B$10:$B$16,0))),"N/A")</f>
        <v/>
      </c>
      <c r="Q123" s="25">
        <f>IFERROR(IF(INDEX('CIOG'!$P$10:$P$13,MATCH($F123,'CIOG'!$B$10:$B$13,0))="","Cell will autofill based on response",INDEX('CIOG'!$P$10:$P$13,MATCH($F123,'CIOG'!$B$10:$B$13,0))),"N/A")</f>
        <v/>
      </c>
      <c r="R123" s="25">
        <f>IFERROR(IF(INDEX('MRE'!$P$10:$P$11,MATCH($F123,'MRE'!$B$10:$B$11,0))="","Cell will autofill based on response",INDEX('MRE'!$P$10:$P$11,MATCH($F123,'MRE'!$B$10:$B$11,0))),"N/A")</f>
        <v/>
      </c>
    </row>
    <row r="124">
      <c r="A124">
        <f>F124&amp;"|"&amp;G124</f>
        <v/>
      </c>
      <c r="B124" s="29" t="inlineStr"/>
      <c r="C124" s="8" t="inlineStr"/>
      <c r="D124" s="8" t="inlineStr"/>
      <c r="E124" s="8" t="inlineStr"/>
      <c r="F124" s="8" t="inlineStr">
        <is>
          <t>CL1(c)</t>
        </is>
      </c>
      <c r="G124" s="8" t="inlineStr">
        <is>
          <t>Data owner confirms</t>
        </is>
      </c>
      <c r="H124" s="25">
        <f>IFERROR(IF(INDEX('Faculties'!$Q$10:$Q$29,MATCH($F124,'Faculties'!$B$10:$B$29,0))="","Cell will autofill based on response",INDEX('Faculties'!$Q$10:$Q$29,MATCH($F124,'Faculties'!$B$10:$B$29,0))),"N/A")</f>
        <v/>
      </c>
      <c r="I124" s="25">
        <f>IFERROR(IF(INDEX('Faculties'!$Q$37:$Q$56,MATCH($F124,'Faculties'!$B$37:$B$56,0))="","Cell will autofill based on response",INDEX('Faculties'!$Q$37:$Q$56,MATCH($F124,'Faculties'!$B$37:$B$56,0))),"N/A")</f>
        <v/>
      </c>
      <c r="J124" s="25">
        <f>IFERROR(IF(INDEX('Faculties'!$Q$64:$Q$83,MATCH($F124,'Faculties'!$B$64:$B$83,0))="","Cell will autofill based on response",INDEX('Faculties'!$Q$64:$Q$83,MATCH($F124,'Faculties'!$B$64:$B$83,0))),"N/A")</f>
        <v/>
      </c>
      <c r="K124" s="25">
        <f>IFERROR(IF(INDEX('Faculties'!$Q$91:$Q$110,MATCH($F124,'Faculties'!$B$91:$B$110,0))="","Cell will autofill based on response",INDEX('Faculties'!$Q$91:$Q$110,MATCH($F124,'Faculties'!$B$91:$B$110,0))),"N/A")</f>
        <v/>
      </c>
      <c r="L124" s="25">
        <f>IFERROR(IF(INDEX('CI&amp;S'!$Q$10:$Q$14,MATCH($F124,'CI&amp;S'!$B$10:$B$14,0))="","Cell will autofill based on response",INDEX('CI&amp;S'!$Q$10:$Q$14,MATCH($F124,'CI&amp;S'!$B$10:$B$14,0))),"N/A")</f>
        <v/>
      </c>
      <c r="M124" s="25">
        <f>IFERROR(IF(INDEX('CI&amp;S'!$Q$22:$Q$38,MATCH($F124,'CI&amp;S'!$B$22:$B$38,0))="","Cell will autofill based on response",INDEX('CI&amp;S'!$Q$22:$Q$38,MATCH($F124,'CI&amp;S'!$B$22:$B$38,0))),"N/A")</f>
        <v/>
      </c>
      <c r="N124" s="25">
        <f>IFERROR(IF(INDEX('CFOG'!$Q$10:$Q$15,MATCH($F124,'CFOG'!$B$10:$B$15,0))="","Cell will autofill based on response",INDEX('CFOG'!$Q$10:$Q$15,MATCH($F124,'CFOG'!$B$10:$B$15,0))),"N/A")</f>
        <v/>
      </c>
      <c r="O124" s="25">
        <f>IFERROR(IF(INDEX('CFOG'!$Q$23:$Q$23,MATCH($F124,'CFOG'!$B$23:$B$23,0))="","Cell will autofill based on response",INDEX('CFOG'!$Q$23:$Q$23,MATCH($F124,'CFOG'!$B$23:$B$23,0))),"N/A")</f>
        <v/>
      </c>
      <c r="P124" s="25">
        <f>IFERROR(IF(INDEX('ESG'!$Q$10:$Q$16,MATCH($F124,'ESG'!$B$10:$B$16,0))="","Cell will autofill based on response",INDEX('ESG'!$Q$10:$Q$16,MATCH($F124,'ESG'!$B$10:$B$16,0))),"N/A")</f>
        <v/>
      </c>
      <c r="Q124" s="25">
        <f>IFERROR(IF(INDEX('CIOG'!$Q$10:$Q$13,MATCH($F124,'CIOG'!$B$10:$B$13,0))="","Cell will autofill based on response",INDEX('CIOG'!$Q$10:$Q$13,MATCH($F124,'CIOG'!$B$10:$B$13,0))),"N/A")</f>
        <v/>
      </c>
      <c r="R124" s="25">
        <f>IFERROR(IF(INDEX('MRE'!$Q$10:$Q$11,MATCH($F124,'MRE'!$B$10:$B$11,0))="","Cell will autofill based on response",INDEX('MRE'!$Q$10:$Q$11,MATCH($F124,'MRE'!$B$10:$B$11,0))),"N/A")</f>
        <v/>
      </c>
    </row>
    <row r="125">
      <c r="A125">
        <f>F125&amp;"|"&amp;G125</f>
        <v/>
      </c>
      <c r="B125" s="7" t="inlineStr">
        <is>
          <t>CL2(a)</t>
        </is>
      </c>
      <c r="C125" s="12" t="inlineStr">
        <is>
          <t>Climate leadership</t>
        </is>
      </c>
      <c r="D125" s="12" t="inlineStr">
        <is>
          <t>By 2028, develop and document institutional mapping of research and education activities that are designed to contribute to global decarbonisation</t>
        </is>
      </c>
      <c r="E125" s="12"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25" s="12" t="inlineStr">
        <is>
          <t>CL2(a)</t>
        </is>
      </c>
      <c r="G125" s="12" t="inlineStr">
        <is>
          <t>Confirm end-2026 target status</t>
        </is>
      </c>
      <c r="H125" s="25">
        <f>IFERROR(IF(INDEX('Faculties'!$L$10:$L$29,MATCH($F125,'Faculties'!$B$10:$B$29,0))="","Cell will autofill based on response",INDEX('Faculties'!$L$10:$L$29,MATCH($F125,'Faculties'!$B$10:$B$29,0))),"N/A")</f>
        <v/>
      </c>
      <c r="I125" s="25">
        <f>IFERROR(IF(INDEX('Faculties'!$L$37:$L$56,MATCH($F125,'Faculties'!$B$37:$B$56,0))="","Cell will autofill based on response",INDEX('Faculties'!$L$37:$L$56,MATCH($F125,'Faculties'!$B$37:$B$56,0))),"N/A")</f>
        <v/>
      </c>
      <c r="J125" s="25">
        <f>IFERROR(IF(INDEX('Faculties'!$L$64:$L$83,MATCH($F125,'Faculties'!$B$64:$B$83,0))="","Cell will autofill based on response",INDEX('Faculties'!$L$64:$L$83,MATCH($F125,'Faculties'!$B$64:$B$83,0))),"N/A")</f>
        <v/>
      </c>
      <c r="K125" s="25">
        <f>IFERROR(IF(INDEX('Faculties'!$L$91:$L$110,MATCH($F125,'Faculties'!$B$91:$B$110,0))="","Cell will autofill based on response",INDEX('Faculties'!$L$91:$L$110,MATCH($F125,'Faculties'!$B$91:$B$110,0))),"N/A")</f>
        <v/>
      </c>
      <c r="L125" s="25">
        <f>IFERROR(IF(INDEX('CI&amp;S'!$L$10:$L$14,MATCH($F125,'CI&amp;S'!$B$10:$B$14,0))="","Cell will autofill based on response",INDEX('CI&amp;S'!$L$10:$L$14,MATCH($F125,'CI&amp;S'!$B$10:$B$14,0))),"N/A")</f>
        <v/>
      </c>
      <c r="M125" s="25">
        <f>IFERROR(IF(INDEX('CI&amp;S'!$L$22:$L$38,MATCH($F125,'CI&amp;S'!$B$22:$B$38,0))="","Cell will autofill based on response",INDEX('CI&amp;S'!$L$22:$L$38,MATCH($F125,'CI&amp;S'!$B$22:$B$38,0))),"N/A")</f>
        <v/>
      </c>
      <c r="N125" s="25">
        <f>IFERROR(IF(INDEX('CFOG'!$L$10:$L$15,MATCH($F125,'CFOG'!$B$10:$B$15,0))="","Cell will autofill based on response",INDEX('CFOG'!$L$10:$L$15,MATCH($F125,'CFOG'!$B$10:$B$15,0))),"N/A")</f>
        <v/>
      </c>
      <c r="O125" s="25">
        <f>IFERROR(IF(INDEX('CFOG'!$L$23:$L$23,MATCH($F125,'CFOG'!$B$23:$B$23,0))="","Cell will autofill based on response",INDEX('CFOG'!$L$23:$L$23,MATCH($F125,'CFOG'!$B$23:$B$23,0))),"N/A")</f>
        <v/>
      </c>
      <c r="P125" s="25">
        <f>IFERROR(IF(INDEX('ESG'!$L$10:$L$16,MATCH($F125,'ESG'!$B$10:$B$16,0))="","Cell will autofill based on response",INDEX('ESG'!$L$10:$L$16,MATCH($F125,'ESG'!$B$10:$B$16,0))),"N/A")</f>
        <v/>
      </c>
      <c r="Q125" s="25">
        <f>IFERROR(IF(INDEX('CIOG'!$L$10:$L$13,MATCH($F125,'CIOG'!$B$10:$B$13,0))="","Cell will autofill based on response",INDEX('CIOG'!$L$10:$L$13,MATCH($F125,'CIOG'!$B$10:$B$13,0))),"N/A")</f>
        <v/>
      </c>
      <c r="R125" s="25">
        <f>IFERROR(IF(INDEX('MRE'!$L$10:$L$11,MATCH($F125,'MRE'!$B$10:$B$11,0))="","Cell will autofill based on response",INDEX('MRE'!$L$10:$L$11,MATCH($F125,'MRE'!$B$10:$B$11,0))),"N/A")</f>
        <v/>
      </c>
      <c r="T125" s="26">
        <f>COUNTIF($H125:$R125,"Cell will autofill based on response")</f>
        <v/>
      </c>
      <c r="U125" s="26">
        <f>COUNTIF($H125:$R125,"Not yet started")</f>
        <v/>
      </c>
      <c r="V125" s="26">
        <f>COUNTIF($H125:$R125,"Not met")</f>
        <v/>
      </c>
      <c r="W125" s="26">
        <f>COUNTIF($H125:$R125,"Partially met")</f>
        <v/>
      </c>
      <c r="X125" s="26">
        <f>COUNTIF($H125:$R125,"Met or exceeded")</f>
        <v/>
      </c>
      <c r="Y125" s="26">
        <f>3*X125+2*W125+V125</f>
        <v/>
      </c>
      <c r="Z125" s="26">
        <f>X125+W125+V125+U125</f>
        <v/>
      </c>
      <c r="AA125" s="27">
        <f>IF(Z125&gt;0,Y125/Z125,"No valid responses to date")</f>
        <v/>
      </c>
      <c r="AB125" s="26">
        <f>IF(ISNUMBER(AA125),INDEX(Lists!$G$2:$G$5,MATCH(ROUND(AA125,0),Lists!$H$2:$H$5,0)),"")</f>
        <v/>
      </c>
      <c r="AC125" s="28">
        <f>IF(Z125&gt;0,X125/Z125,"")</f>
        <v/>
      </c>
      <c r="AD125" s="28">
        <f>IF(Z125&gt;0,(X125+W125)/Z125,"")</f>
        <v/>
      </c>
      <c r="AE125" s="26">
        <f>IF(Z125=0,"",IF(AC125&gt;0.75,"Met or exceeded",IF(AD125&gt;=0.5,"Partially met","Not met")))</f>
        <v/>
      </c>
    </row>
    <row r="126">
      <c r="A126">
        <f>F126&amp;"|"&amp;G126</f>
        <v/>
      </c>
      <c r="B126" s="29" t="inlineStr"/>
      <c r="C126" s="8" t="inlineStr"/>
      <c r="D126" s="8" t="inlineStr"/>
      <c r="E126" s="8" t="inlineStr"/>
      <c r="F126" s="8" t="inlineStr">
        <is>
          <t>CL2(a)</t>
        </is>
      </c>
      <c r="G126" s="8" t="inlineStr">
        <is>
          <t>OPTION 1:  Target-level reporting</t>
        </is>
      </c>
      <c r="H126" s="25">
        <f>IFERROR(IF(INDEX('Faculties'!$M$10:$M$29,MATCH($F126,'Faculties'!$B$10:$B$29,0))="","Cell will autofill based on response",INDEX('Faculties'!$M$10:$M$29,MATCH($F126,'Faculties'!$B$10:$B$29,0))),"N/A")</f>
        <v/>
      </c>
      <c r="I126" s="25">
        <f>IFERROR(IF(INDEX('Faculties'!$M$37:$M$56,MATCH($F126,'Faculties'!$B$37:$B$56,0))="","Cell will autofill based on response",INDEX('Faculties'!$M$37:$M$56,MATCH($F126,'Faculties'!$B$37:$B$56,0))),"N/A")</f>
        <v/>
      </c>
      <c r="J126" s="25">
        <f>IFERROR(IF(INDEX('Faculties'!$M$64:$M$83,MATCH($F126,'Faculties'!$B$64:$B$83,0))="","Cell will autofill based on response",INDEX('Faculties'!$M$64:$M$83,MATCH($F126,'Faculties'!$B$64:$B$83,0))),"N/A")</f>
        <v/>
      </c>
      <c r="K126" s="25">
        <f>IFERROR(IF(INDEX('Faculties'!$M$91:$M$110,MATCH($F126,'Faculties'!$B$91:$B$110,0))="","Cell will autofill based on response",INDEX('Faculties'!$M$91:$M$110,MATCH($F126,'Faculties'!$B$91:$B$110,0))),"N/A")</f>
        <v/>
      </c>
      <c r="L126" s="25">
        <f>IFERROR(IF(INDEX('CI&amp;S'!$M$10:$M$14,MATCH($F126,'CI&amp;S'!$B$10:$B$14,0))="","Cell will autofill based on response",INDEX('CI&amp;S'!$M$10:$M$14,MATCH($F126,'CI&amp;S'!$B$10:$B$14,0))),"N/A")</f>
        <v/>
      </c>
      <c r="M126" s="25">
        <f>IFERROR(IF(INDEX('CI&amp;S'!$M$22:$M$38,MATCH($F126,'CI&amp;S'!$B$22:$B$38,0))="","Cell will autofill based on response",INDEX('CI&amp;S'!$M$22:$M$38,MATCH($F126,'CI&amp;S'!$B$22:$B$38,0))),"N/A")</f>
        <v/>
      </c>
      <c r="N126" s="25">
        <f>IFERROR(IF(INDEX('CFOG'!$M$10:$M$15,MATCH($F126,'CFOG'!$B$10:$B$15,0))="","Cell will autofill based on response",INDEX('CFOG'!$M$10:$M$15,MATCH($F126,'CFOG'!$B$10:$B$15,0))),"N/A")</f>
        <v/>
      </c>
      <c r="O126" s="25">
        <f>IFERROR(IF(INDEX('CFOG'!$M$23:$M$23,MATCH($F126,'CFOG'!$B$23:$B$23,0))="","Cell will autofill based on response",INDEX('CFOG'!$M$23:$M$23,MATCH($F126,'CFOG'!$B$23:$B$23,0))),"N/A")</f>
        <v/>
      </c>
      <c r="P126" s="25">
        <f>IFERROR(IF(INDEX('ESG'!$M$10:$M$16,MATCH($F126,'ESG'!$B$10:$B$16,0))="","Cell will autofill based on response",INDEX('ESG'!$M$10:$M$16,MATCH($F126,'ESG'!$B$10:$B$16,0))),"N/A")</f>
        <v/>
      </c>
      <c r="Q126" s="25">
        <f>IFERROR(IF(INDEX('CIOG'!$M$10:$M$13,MATCH($F126,'CIOG'!$B$10:$B$13,0))="","Cell will autofill based on response",INDEX('CIOG'!$M$10:$M$13,MATCH($F126,'CIOG'!$B$10:$B$13,0))),"N/A")</f>
        <v/>
      </c>
      <c r="R126" s="25">
        <f>IFERROR(IF(INDEX('MRE'!$M$10:$M$11,MATCH($F126,'MRE'!$B$10:$B$11,0))="","Cell will autofill based on response",INDEX('MRE'!$M$10:$M$11,MATCH($F126,'MRE'!$B$10:$B$11,0))),"N/A")</f>
        <v/>
      </c>
    </row>
    <row r="127">
      <c r="A127">
        <f>F127&amp;"|"&amp;G127</f>
        <v/>
      </c>
      <c r="B127" s="29" t="inlineStr"/>
      <c r="C127" s="8" t="inlineStr"/>
      <c r="D127" s="8" t="inlineStr"/>
      <c r="E127" s="8" t="inlineStr"/>
      <c r="F127" s="8" t="inlineStr">
        <is>
          <t>CL2(a)</t>
        </is>
      </c>
      <c r="G127" s="8" t="inlineStr">
        <is>
          <t>OPTION 2:  Indicator level reporting</t>
        </is>
      </c>
      <c r="H127" s="25">
        <f>IFERROR(IF(INDEX('Faculties'!$N$10:$N$29,MATCH($F127,'Faculties'!$B$10:$B$29,0))="","Cell will autofill based on response",INDEX('Faculties'!$N$10:$N$29,MATCH($F127,'Faculties'!$B$10:$B$29,0))),"N/A")</f>
        <v/>
      </c>
      <c r="I127" s="25">
        <f>IFERROR(IF(INDEX('Faculties'!$N$37:$N$56,MATCH($F127,'Faculties'!$B$37:$B$56,0))="","Cell will autofill based on response",INDEX('Faculties'!$N$37:$N$56,MATCH($F127,'Faculties'!$B$37:$B$56,0))),"N/A")</f>
        <v/>
      </c>
      <c r="J127" s="25">
        <f>IFERROR(IF(INDEX('Faculties'!$N$64:$N$83,MATCH($F127,'Faculties'!$B$64:$B$83,0))="","Cell will autofill based on response",INDEX('Faculties'!$N$64:$N$83,MATCH($F127,'Faculties'!$B$64:$B$83,0))),"N/A")</f>
        <v/>
      </c>
      <c r="K127" s="25">
        <f>IFERROR(IF(INDEX('Faculties'!$N$91:$N$110,MATCH($F127,'Faculties'!$B$91:$B$110,0))="","Cell will autofill based on response",INDEX('Faculties'!$N$91:$N$110,MATCH($F127,'Faculties'!$B$91:$B$110,0))),"N/A")</f>
        <v/>
      </c>
      <c r="L127" s="25">
        <f>IFERROR(IF(INDEX('CI&amp;S'!$N$10:$N$14,MATCH($F127,'CI&amp;S'!$B$10:$B$14,0))="","Cell will autofill based on response",INDEX('CI&amp;S'!$N$10:$N$14,MATCH($F127,'CI&amp;S'!$B$10:$B$14,0))),"N/A")</f>
        <v/>
      </c>
      <c r="M127" s="25">
        <f>IFERROR(IF(INDEX('CI&amp;S'!$N$22:$N$38,MATCH($F127,'CI&amp;S'!$B$22:$B$38,0))="","Cell will autofill based on response",INDEX('CI&amp;S'!$N$22:$N$38,MATCH($F127,'CI&amp;S'!$B$22:$B$38,0))),"N/A")</f>
        <v/>
      </c>
      <c r="N127" s="25">
        <f>IFERROR(IF(INDEX('CFOG'!$N$10:$N$15,MATCH($F127,'CFOG'!$B$10:$B$15,0))="","Cell will autofill based on response",INDEX('CFOG'!$N$10:$N$15,MATCH($F127,'CFOG'!$B$10:$B$15,0))),"N/A")</f>
        <v/>
      </c>
      <c r="O127" s="25">
        <f>IFERROR(IF(INDEX('CFOG'!$N$23:$N$23,MATCH($F127,'CFOG'!$B$23:$B$23,0))="","Cell will autofill based on response",INDEX('CFOG'!$N$23:$N$23,MATCH($F127,'CFOG'!$B$23:$B$23,0))),"N/A")</f>
        <v/>
      </c>
      <c r="P127" s="25">
        <f>IFERROR(IF(INDEX('ESG'!$N$10:$N$16,MATCH($F127,'ESG'!$B$10:$B$16,0))="","Cell will autofill based on response",INDEX('ESG'!$N$10:$N$16,MATCH($F127,'ESG'!$B$10:$B$16,0))),"N/A")</f>
        <v/>
      </c>
      <c r="Q127" s="25">
        <f>IFERROR(IF(INDEX('CIOG'!$N$10:$N$13,MATCH($F127,'CIOG'!$B$10:$B$13,0))="","Cell will autofill based on response",INDEX('CIOG'!$N$10:$N$13,MATCH($F127,'CIOG'!$B$10:$B$13,0))),"N/A")</f>
        <v/>
      </c>
      <c r="R127" s="25">
        <f>IFERROR(IF(INDEX('MRE'!$N$10:$N$11,MATCH($F127,'MRE'!$B$10:$B$11,0))="","Cell will autofill based on response",INDEX('MRE'!$N$10:$N$11,MATCH($F127,'MRE'!$B$10:$B$11,0))),"N/A")</f>
        <v/>
      </c>
    </row>
    <row r="128">
      <c r="A128">
        <f>F128&amp;"|"&amp;G128</f>
        <v/>
      </c>
      <c r="B128" s="29" t="inlineStr"/>
      <c r="C128" s="8" t="inlineStr"/>
      <c r="D128" s="8" t="inlineStr"/>
      <c r="E128" s="8" t="inlineStr"/>
      <c r="F128" s="8" t="inlineStr">
        <is>
          <t>CL2(a)</t>
        </is>
      </c>
      <c r="G128" s="8" t="inlineStr">
        <is>
          <t>Supporting information/comments</t>
        </is>
      </c>
      <c r="H128" s="25">
        <f>IFERROR(IF(INDEX('Faculties'!$O$10:$O$29,MATCH($F128,'Faculties'!$B$10:$B$29,0))="","Cell will autofill based on response",INDEX('Faculties'!$O$10:$O$29,MATCH($F128,'Faculties'!$B$10:$B$29,0))),"N/A")</f>
        <v/>
      </c>
      <c r="I128" s="25">
        <f>IFERROR(IF(INDEX('Faculties'!$O$37:$O$56,MATCH($F128,'Faculties'!$B$37:$B$56,0))="","Cell will autofill based on response",INDEX('Faculties'!$O$37:$O$56,MATCH($F128,'Faculties'!$B$37:$B$56,0))),"N/A")</f>
        <v/>
      </c>
      <c r="J128" s="25">
        <f>IFERROR(IF(INDEX('Faculties'!$O$64:$O$83,MATCH($F128,'Faculties'!$B$64:$B$83,0))="","Cell will autofill based on response",INDEX('Faculties'!$O$64:$O$83,MATCH($F128,'Faculties'!$B$64:$B$83,0))),"N/A")</f>
        <v/>
      </c>
      <c r="K128" s="25">
        <f>IFERROR(IF(INDEX('Faculties'!$O$91:$O$110,MATCH($F128,'Faculties'!$B$91:$B$110,0))="","Cell will autofill based on response",INDEX('Faculties'!$O$91:$O$110,MATCH($F128,'Faculties'!$B$91:$B$110,0))),"N/A")</f>
        <v/>
      </c>
      <c r="L128" s="25">
        <f>IFERROR(IF(INDEX('CI&amp;S'!$O$10:$O$14,MATCH($F128,'CI&amp;S'!$B$10:$B$14,0))="","Cell will autofill based on response",INDEX('CI&amp;S'!$O$10:$O$14,MATCH($F128,'CI&amp;S'!$B$10:$B$14,0))),"N/A")</f>
        <v/>
      </c>
      <c r="M128" s="25">
        <f>IFERROR(IF(INDEX('CI&amp;S'!$O$22:$O$38,MATCH($F128,'CI&amp;S'!$B$22:$B$38,0))="","Cell will autofill based on response",INDEX('CI&amp;S'!$O$22:$O$38,MATCH($F128,'CI&amp;S'!$B$22:$B$38,0))),"N/A")</f>
        <v/>
      </c>
      <c r="N128" s="25">
        <f>IFERROR(IF(INDEX('CFOG'!$O$10:$O$15,MATCH($F128,'CFOG'!$B$10:$B$15,0))="","Cell will autofill based on response",INDEX('CFOG'!$O$10:$O$15,MATCH($F128,'CFOG'!$B$10:$B$15,0))),"N/A")</f>
        <v/>
      </c>
      <c r="O128" s="25">
        <f>IFERROR(IF(INDEX('CFOG'!$O$23:$O$23,MATCH($F128,'CFOG'!$B$23:$B$23,0))="","Cell will autofill based on response",INDEX('CFOG'!$O$23:$O$23,MATCH($F128,'CFOG'!$B$23:$B$23,0))),"N/A")</f>
        <v/>
      </c>
      <c r="P128" s="25">
        <f>IFERROR(IF(INDEX('ESG'!$O$10:$O$16,MATCH($F128,'ESG'!$B$10:$B$16,0))="","Cell will autofill based on response",INDEX('ESG'!$O$10:$O$16,MATCH($F128,'ESG'!$B$10:$B$16,0))),"N/A")</f>
        <v/>
      </c>
      <c r="Q128" s="25">
        <f>IFERROR(IF(INDEX('CIOG'!$O$10:$O$13,MATCH($F128,'CIOG'!$B$10:$B$13,0))="","Cell will autofill based on response",INDEX('CIOG'!$O$10:$O$13,MATCH($F128,'CIOG'!$B$10:$B$13,0))),"N/A")</f>
        <v/>
      </c>
      <c r="R128" s="25">
        <f>IFERROR(IF(INDEX('MRE'!$O$10:$O$11,MATCH($F128,'MRE'!$B$10:$B$11,0))="","Cell will autofill based on response",INDEX('MRE'!$O$10:$O$11,MATCH($F128,'MRE'!$B$10:$B$11,0))),"N/A")</f>
        <v/>
      </c>
    </row>
    <row r="129">
      <c r="A129">
        <f>F129&amp;"|"&amp;G129</f>
        <v/>
      </c>
      <c r="B129" s="29" t="inlineStr"/>
      <c r="C129" s="8" t="inlineStr"/>
      <c r="D129" s="8" t="inlineStr"/>
      <c r="E129" s="8" t="inlineStr"/>
      <c r="F129" s="8" t="inlineStr">
        <is>
          <t>CL2(a)</t>
        </is>
      </c>
      <c r="G129" s="8" t="inlineStr">
        <is>
          <t>Data source and limitations</t>
        </is>
      </c>
      <c r="H129" s="25">
        <f>IFERROR(IF(INDEX('Faculties'!$P$10:$P$29,MATCH($F129,'Faculties'!$B$10:$B$29,0))="","Cell will autofill based on response",INDEX('Faculties'!$P$10:$P$29,MATCH($F129,'Faculties'!$B$10:$B$29,0))),"N/A")</f>
        <v/>
      </c>
      <c r="I129" s="25">
        <f>IFERROR(IF(INDEX('Faculties'!$P$37:$P$56,MATCH($F129,'Faculties'!$B$37:$B$56,0))="","Cell will autofill based on response",INDEX('Faculties'!$P$37:$P$56,MATCH($F129,'Faculties'!$B$37:$B$56,0))),"N/A")</f>
        <v/>
      </c>
      <c r="J129" s="25">
        <f>IFERROR(IF(INDEX('Faculties'!$P$64:$P$83,MATCH($F129,'Faculties'!$B$64:$B$83,0))="","Cell will autofill based on response",INDEX('Faculties'!$P$64:$P$83,MATCH($F129,'Faculties'!$B$64:$B$83,0))),"N/A")</f>
        <v/>
      </c>
      <c r="K129" s="25">
        <f>IFERROR(IF(INDEX('Faculties'!$P$91:$P$110,MATCH($F129,'Faculties'!$B$91:$B$110,0))="","Cell will autofill based on response",INDEX('Faculties'!$P$91:$P$110,MATCH($F129,'Faculties'!$B$91:$B$110,0))),"N/A")</f>
        <v/>
      </c>
      <c r="L129" s="25">
        <f>IFERROR(IF(INDEX('CI&amp;S'!$P$10:$P$14,MATCH($F129,'CI&amp;S'!$B$10:$B$14,0))="","Cell will autofill based on response",INDEX('CI&amp;S'!$P$10:$P$14,MATCH($F129,'CI&amp;S'!$B$10:$B$14,0))),"N/A")</f>
        <v/>
      </c>
      <c r="M129" s="25">
        <f>IFERROR(IF(INDEX('CI&amp;S'!$P$22:$P$38,MATCH($F129,'CI&amp;S'!$B$22:$B$38,0))="","Cell will autofill based on response",INDEX('CI&amp;S'!$P$22:$P$38,MATCH($F129,'CI&amp;S'!$B$22:$B$38,0))),"N/A")</f>
        <v/>
      </c>
      <c r="N129" s="25">
        <f>IFERROR(IF(INDEX('CFOG'!$P$10:$P$15,MATCH($F129,'CFOG'!$B$10:$B$15,0))="","Cell will autofill based on response",INDEX('CFOG'!$P$10:$P$15,MATCH($F129,'CFOG'!$B$10:$B$15,0))),"N/A")</f>
        <v/>
      </c>
      <c r="O129" s="25">
        <f>IFERROR(IF(INDEX('CFOG'!$P$23:$P$23,MATCH($F129,'CFOG'!$B$23:$B$23,0))="","Cell will autofill based on response",INDEX('CFOG'!$P$23:$P$23,MATCH($F129,'CFOG'!$B$23:$B$23,0))),"N/A")</f>
        <v/>
      </c>
      <c r="P129" s="25">
        <f>IFERROR(IF(INDEX('ESG'!$P$10:$P$16,MATCH($F129,'ESG'!$B$10:$B$16,0))="","Cell will autofill based on response",INDEX('ESG'!$P$10:$P$16,MATCH($F129,'ESG'!$B$10:$B$16,0))),"N/A")</f>
        <v/>
      </c>
      <c r="Q129" s="25">
        <f>IFERROR(IF(INDEX('CIOG'!$P$10:$P$13,MATCH($F129,'CIOG'!$B$10:$B$13,0))="","Cell will autofill based on response",INDEX('CIOG'!$P$10:$P$13,MATCH($F129,'CIOG'!$B$10:$B$13,0))),"N/A")</f>
        <v/>
      </c>
      <c r="R129" s="25">
        <f>IFERROR(IF(INDEX('MRE'!$P$10:$P$11,MATCH($F129,'MRE'!$B$10:$B$11,0))="","Cell will autofill based on response",INDEX('MRE'!$P$10:$P$11,MATCH($F129,'MRE'!$B$10:$B$11,0))),"N/A")</f>
        <v/>
      </c>
    </row>
    <row r="130">
      <c r="A130">
        <f>F130&amp;"|"&amp;G130</f>
        <v/>
      </c>
      <c r="B130" s="29" t="inlineStr"/>
      <c r="C130" s="8" t="inlineStr"/>
      <c r="D130" s="8" t="inlineStr"/>
      <c r="E130" s="8" t="inlineStr"/>
      <c r="F130" s="8" t="inlineStr">
        <is>
          <t>CL2(a)</t>
        </is>
      </c>
      <c r="G130" s="8" t="inlineStr">
        <is>
          <t>Data owner confirms</t>
        </is>
      </c>
      <c r="H130" s="25">
        <f>IFERROR(IF(INDEX('Faculties'!$Q$10:$Q$29,MATCH($F130,'Faculties'!$B$10:$B$29,0))="","Cell will autofill based on response",INDEX('Faculties'!$Q$10:$Q$29,MATCH($F130,'Faculties'!$B$10:$B$29,0))),"N/A")</f>
        <v/>
      </c>
      <c r="I130" s="25">
        <f>IFERROR(IF(INDEX('Faculties'!$Q$37:$Q$56,MATCH($F130,'Faculties'!$B$37:$B$56,0))="","Cell will autofill based on response",INDEX('Faculties'!$Q$37:$Q$56,MATCH($F130,'Faculties'!$B$37:$B$56,0))),"N/A")</f>
        <v/>
      </c>
      <c r="J130" s="25">
        <f>IFERROR(IF(INDEX('Faculties'!$Q$64:$Q$83,MATCH($F130,'Faculties'!$B$64:$B$83,0))="","Cell will autofill based on response",INDEX('Faculties'!$Q$64:$Q$83,MATCH($F130,'Faculties'!$B$64:$B$83,0))),"N/A")</f>
        <v/>
      </c>
      <c r="K130" s="25">
        <f>IFERROR(IF(INDEX('Faculties'!$Q$91:$Q$110,MATCH($F130,'Faculties'!$B$91:$B$110,0))="","Cell will autofill based on response",INDEX('Faculties'!$Q$91:$Q$110,MATCH($F130,'Faculties'!$B$91:$B$110,0))),"N/A")</f>
        <v/>
      </c>
      <c r="L130" s="25">
        <f>IFERROR(IF(INDEX('CI&amp;S'!$Q$10:$Q$14,MATCH($F130,'CI&amp;S'!$B$10:$B$14,0))="","Cell will autofill based on response",INDEX('CI&amp;S'!$Q$10:$Q$14,MATCH($F130,'CI&amp;S'!$B$10:$B$14,0))),"N/A")</f>
        <v/>
      </c>
      <c r="M130" s="25">
        <f>IFERROR(IF(INDEX('CI&amp;S'!$Q$22:$Q$38,MATCH($F130,'CI&amp;S'!$B$22:$B$38,0))="","Cell will autofill based on response",INDEX('CI&amp;S'!$Q$22:$Q$38,MATCH($F130,'CI&amp;S'!$B$22:$B$38,0))),"N/A")</f>
        <v/>
      </c>
      <c r="N130" s="25">
        <f>IFERROR(IF(INDEX('CFOG'!$Q$10:$Q$15,MATCH($F130,'CFOG'!$B$10:$B$15,0))="","Cell will autofill based on response",INDEX('CFOG'!$Q$10:$Q$15,MATCH($F130,'CFOG'!$B$10:$B$15,0))),"N/A")</f>
        <v/>
      </c>
      <c r="O130" s="25">
        <f>IFERROR(IF(INDEX('CFOG'!$Q$23:$Q$23,MATCH($F130,'CFOG'!$B$23:$B$23,0))="","Cell will autofill based on response",INDEX('CFOG'!$Q$23:$Q$23,MATCH($F130,'CFOG'!$B$23:$B$23,0))),"N/A")</f>
        <v/>
      </c>
      <c r="P130" s="25">
        <f>IFERROR(IF(INDEX('ESG'!$Q$10:$Q$16,MATCH($F130,'ESG'!$B$10:$B$16,0))="","Cell will autofill based on response",INDEX('ESG'!$Q$10:$Q$16,MATCH($F130,'ESG'!$B$10:$B$16,0))),"N/A")</f>
        <v/>
      </c>
      <c r="Q130" s="25">
        <f>IFERROR(IF(INDEX('CIOG'!$Q$10:$Q$13,MATCH($F130,'CIOG'!$B$10:$B$13,0))="","Cell will autofill based on response",INDEX('CIOG'!$Q$10:$Q$13,MATCH($F130,'CIOG'!$B$10:$B$13,0))),"N/A")</f>
        <v/>
      </c>
      <c r="R130" s="25">
        <f>IFERROR(IF(INDEX('MRE'!$Q$10:$Q$11,MATCH($F130,'MRE'!$B$10:$B$11,0))="","Cell will autofill based on response",INDEX('MRE'!$Q$10:$Q$11,MATCH($F130,'MRE'!$B$10:$B$11,0))),"N/A")</f>
        <v/>
      </c>
    </row>
    <row r="131">
      <c r="A131">
        <f>F131&amp;"|"&amp;G131</f>
        <v/>
      </c>
      <c r="B131" s="7" t="inlineStr">
        <is>
          <t>CL2(b)</t>
        </is>
      </c>
      <c r="C131" s="12" t="inlineStr">
        <is>
          <t>Climate leadership</t>
        </is>
      </c>
      <c r="D131" s="12" t="inlineStr">
        <is>
          <t>Prioritised pipeline of decarbonisation focused research and education opportunities aligned with University emissions reduction priorities from 2028</t>
        </is>
      </c>
      <c r="E131" s="12" t="inlineStr">
        <is>
          <t>Number of pipelined projects or research transitioned from opportunity to active per year</t>
        </is>
      </c>
      <c r="F131" s="12" t="inlineStr">
        <is>
          <t>CL2(b)</t>
        </is>
      </c>
      <c r="G131" s="12" t="inlineStr">
        <is>
          <t>Confirm end-2026 target status</t>
        </is>
      </c>
      <c r="H131" s="25">
        <f>IFERROR(IF(INDEX('Faculties'!$L$10:$L$29,MATCH($F131,'Faculties'!$B$10:$B$29,0))="","Cell will autofill based on response",INDEX('Faculties'!$L$10:$L$29,MATCH($F131,'Faculties'!$B$10:$B$29,0))),"N/A")</f>
        <v/>
      </c>
      <c r="I131" s="25">
        <f>IFERROR(IF(INDEX('Faculties'!$L$37:$L$56,MATCH($F131,'Faculties'!$B$37:$B$56,0))="","Cell will autofill based on response",INDEX('Faculties'!$L$37:$L$56,MATCH($F131,'Faculties'!$B$37:$B$56,0))),"N/A")</f>
        <v/>
      </c>
      <c r="J131" s="25">
        <f>IFERROR(IF(INDEX('Faculties'!$L$64:$L$83,MATCH($F131,'Faculties'!$B$64:$B$83,0))="","Cell will autofill based on response",INDEX('Faculties'!$L$64:$L$83,MATCH($F131,'Faculties'!$B$64:$B$83,0))),"N/A")</f>
        <v/>
      </c>
      <c r="K131" s="25">
        <f>IFERROR(IF(INDEX('Faculties'!$L$91:$L$110,MATCH($F131,'Faculties'!$B$91:$B$110,0))="","Cell will autofill based on response",INDEX('Faculties'!$L$91:$L$110,MATCH($F131,'Faculties'!$B$91:$B$110,0))),"N/A")</f>
        <v/>
      </c>
      <c r="L131" s="25">
        <f>IFERROR(IF(INDEX('CI&amp;S'!$L$10:$L$14,MATCH($F131,'CI&amp;S'!$B$10:$B$14,0))="","Cell will autofill based on response",INDEX('CI&amp;S'!$L$10:$L$14,MATCH($F131,'CI&amp;S'!$B$10:$B$14,0))),"N/A")</f>
        <v/>
      </c>
      <c r="M131" s="25">
        <f>IFERROR(IF(INDEX('CI&amp;S'!$L$22:$L$38,MATCH($F131,'CI&amp;S'!$B$22:$B$38,0))="","Cell will autofill based on response",INDEX('CI&amp;S'!$L$22:$L$38,MATCH($F131,'CI&amp;S'!$B$22:$B$38,0))),"N/A")</f>
        <v/>
      </c>
      <c r="N131" s="25">
        <f>IFERROR(IF(INDEX('CFOG'!$L$10:$L$15,MATCH($F131,'CFOG'!$B$10:$B$15,0))="","Cell will autofill based on response",INDEX('CFOG'!$L$10:$L$15,MATCH($F131,'CFOG'!$B$10:$B$15,0))),"N/A")</f>
        <v/>
      </c>
      <c r="O131" s="25">
        <f>IFERROR(IF(INDEX('CFOG'!$L$23:$L$23,MATCH($F131,'CFOG'!$B$23:$B$23,0))="","Cell will autofill based on response",INDEX('CFOG'!$L$23:$L$23,MATCH($F131,'CFOG'!$B$23:$B$23,0))),"N/A")</f>
        <v/>
      </c>
      <c r="P131" s="25">
        <f>IFERROR(IF(INDEX('ESG'!$L$10:$L$16,MATCH($F131,'ESG'!$B$10:$B$16,0))="","Cell will autofill based on response",INDEX('ESG'!$L$10:$L$16,MATCH($F131,'ESG'!$B$10:$B$16,0))),"N/A")</f>
        <v/>
      </c>
      <c r="Q131" s="25">
        <f>IFERROR(IF(INDEX('CIOG'!$L$10:$L$13,MATCH($F131,'CIOG'!$B$10:$B$13,0))="","Cell will autofill based on response",INDEX('CIOG'!$L$10:$L$13,MATCH($F131,'CIOG'!$B$10:$B$13,0))),"N/A")</f>
        <v/>
      </c>
      <c r="R131" s="25">
        <f>IFERROR(IF(INDEX('MRE'!$L$10:$L$11,MATCH($F131,'MRE'!$B$10:$B$11,0))="","Cell will autofill based on response",INDEX('MRE'!$L$10:$L$11,MATCH($F131,'MRE'!$B$10:$B$11,0))),"N/A")</f>
        <v/>
      </c>
      <c r="T131" s="26">
        <f>COUNTIF($H131:$R131,"Cell will autofill based on response")</f>
        <v/>
      </c>
      <c r="U131" s="26">
        <f>COUNTIF($H131:$R131,"Not yet started")</f>
        <v/>
      </c>
      <c r="V131" s="26">
        <f>COUNTIF($H131:$R131,"Not met")</f>
        <v/>
      </c>
      <c r="W131" s="26">
        <f>COUNTIF($H131:$R131,"Partially met")</f>
        <v/>
      </c>
      <c r="X131" s="26">
        <f>COUNTIF($H131:$R131,"Met or exceeded")</f>
        <v/>
      </c>
      <c r="Y131" s="26">
        <f>3*X131+2*W131+V131</f>
        <v/>
      </c>
      <c r="Z131" s="26">
        <f>X131+W131+V131+U131</f>
        <v/>
      </c>
      <c r="AA131" s="27">
        <f>IF(Z131&gt;0,Y131/Z131,"No valid responses to date")</f>
        <v/>
      </c>
      <c r="AB131" s="26">
        <f>IF(ISNUMBER(AA131),INDEX(Lists!$G$2:$G$5,MATCH(ROUND(AA131,0),Lists!$H$2:$H$5,0)),"")</f>
        <v/>
      </c>
      <c r="AC131" s="28">
        <f>IF(Z131&gt;0,X131/Z131,"")</f>
        <v/>
      </c>
      <c r="AD131" s="28">
        <f>IF(Z131&gt;0,(X131+W131)/Z131,"")</f>
        <v/>
      </c>
      <c r="AE131" s="26">
        <f>IF(Z131=0,"",IF(AC131&gt;0.75,"Met or exceeded",IF(AD131&gt;=0.5,"Partially met","Not met")))</f>
        <v/>
      </c>
    </row>
    <row r="132">
      <c r="A132">
        <f>F132&amp;"|"&amp;G132</f>
        <v/>
      </c>
      <c r="B132" s="29" t="inlineStr"/>
      <c r="C132" s="8" t="inlineStr"/>
      <c r="D132" s="8" t="inlineStr"/>
      <c r="E132" s="8" t="inlineStr"/>
      <c r="F132" s="8" t="inlineStr">
        <is>
          <t>CL2(b)</t>
        </is>
      </c>
      <c r="G132" s="8" t="inlineStr">
        <is>
          <t>OPTION 1:  Target-level reporting</t>
        </is>
      </c>
      <c r="H132" s="25">
        <f>IFERROR(IF(INDEX('Faculties'!$M$10:$M$29,MATCH($F132,'Faculties'!$B$10:$B$29,0))="","Cell will autofill based on response",INDEX('Faculties'!$M$10:$M$29,MATCH($F132,'Faculties'!$B$10:$B$29,0))),"N/A")</f>
        <v/>
      </c>
      <c r="I132" s="25">
        <f>IFERROR(IF(INDEX('Faculties'!$M$37:$M$56,MATCH($F132,'Faculties'!$B$37:$B$56,0))="","Cell will autofill based on response",INDEX('Faculties'!$M$37:$M$56,MATCH($F132,'Faculties'!$B$37:$B$56,0))),"N/A")</f>
        <v/>
      </c>
      <c r="J132" s="25">
        <f>IFERROR(IF(INDEX('Faculties'!$M$64:$M$83,MATCH($F132,'Faculties'!$B$64:$B$83,0))="","Cell will autofill based on response",INDEX('Faculties'!$M$64:$M$83,MATCH($F132,'Faculties'!$B$64:$B$83,0))),"N/A")</f>
        <v/>
      </c>
      <c r="K132" s="25">
        <f>IFERROR(IF(INDEX('Faculties'!$M$91:$M$110,MATCH($F132,'Faculties'!$B$91:$B$110,0))="","Cell will autofill based on response",INDEX('Faculties'!$M$91:$M$110,MATCH($F132,'Faculties'!$B$91:$B$110,0))),"N/A")</f>
        <v/>
      </c>
      <c r="L132" s="25">
        <f>IFERROR(IF(INDEX('CI&amp;S'!$M$10:$M$14,MATCH($F132,'CI&amp;S'!$B$10:$B$14,0))="","Cell will autofill based on response",INDEX('CI&amp;S'!$M$10:$M$14,MATCH($F132,'CI&amp;S'!$B$10:$B$14,0))),"N/A")</f>
        <v/>
      </c>
      <c r="M132" s="25">
        <f>IFERROR(IF(INDEX('CI&amp;S'!$M$22:$M$38,MATCH($F132,'CI&amp;S'!$B$22:$B$38,0))="","Cell will autofill based on response",INDEX('CI&amp;S'!$M$22:$M$38,MATCH($F132,'CI&amp;S'!$B$22:$B$38,0))),"N/A")</f>
        <v/>
      </c>
      <c r="N132" s="25">
        <f>IFERROR(IF(INDEX('CFOG'!$M$10:$M$15,MATCH($F132,'CFOG'!$B$10:$B$15,0))="","Cell will autofill based on response",INDEX('CFOG'!$M$10:$M$15,MATCH($F132,'CFOG'!$B$10:$B$15,0))),"N/A")</f>
        <v/>
      </c>
      <c r="O132" s="25">
        <f>IFERROR(IF(INDEX('CFOG'!$M$23:$M$23,MATCH($F132,'CFOG'!$B$23:$B$23,0))="","Cell will autofill based on response",INDEX('CFOG'!$M$23:$M$23,MATCH($F132,'CFOG'!$B$23:$B$23,0))),"N/A")</f>
        <v/>
      </c>
      <c r="P132" s="25">
        <f>IFERROR(IF(INDEX('ESG'!$M$10:$M$16,MATCH($F132,'ESG'!$B$10:$B$16,0))="","Cell will autofill based on response",INDEX('ESG'!$M$10:$M$16,MATCH($F132,'ESG'!$B$10:$B$16,0))),"N/A")</f>
        <v/>
      </c>
      <c r="Q132" s="25">
        <f>IFERROR(IF(INDEX('CIOG'!$M$10:$M$13,MATCH($F132,'CIOG'!$B$10:$B$13,0))="","Cell will autofill based on response",INDEX('CIOG'!$M$10:$M$13,MATCH($F132,'CIOG'!$B$10:$B$13,0))),"N/A")</f>
        <v/>
      </c>
      <c r="R132" s="25">
        <f>IFERROR(IF(INDEX('MRE'!$M$10:$M$11,MATCH($F132,'MRE'!$B$10:$B$11,0))="","Cell will autofill based on response",INDEX('MRE'!$M$10:$M$11,MATCH($F132,'MRE'!$B$10:$B$11,0))),"N/A")</f>
        <v/>
      </c>
    </row>
    <row r="133">
      <c r="A133">
        <f>F133&amp;"|"&amp;G133</f>
        <v/>
      </c>
      <c r="B133" s="29" t="inlineStr"/>
      <c r="C133" s="8" t="inlineStr"/>
      <c r="D133" s="8" t="inlineStr"/>
      <c r="E133" s="8" t="inlineStr"/>
      <c r="F133" s="8" t="inlineStr">
        <is>
          <t>CL2(b)</t>
        </is>
      </c>
      <c r="G133" s="8" t="inlineStr">
        <is>
          <t>OPTION 2:  Indicator level reporting</t>
        </is>
      </c>
      <c r="H133" s="25">
        <f>IFERROR(IF(INDEX('Faculties'!$N$10:$N$29,MATCH($F133,'Faculties'!$B$10:$B$29,0))="","Cell will autofill based on response",INDEX('Faculties'!$N$10:$N$29,MATCH($F133,'Faculties'!$B$10:$B$29,0))),"N/A")</f>
        <v/>
      </c>
      <c r="I133" s="25">
        <f>IFERROR(IF(INDEX('Faculties'!$N$37:$N$56,MATCH($F133,'Faculties'!$B$37:$B$56,0))="","Cell will autofill based on response",INDEX('Faculties'!$N$37:$N$56,MATCH($F133,'Faculties'!$B$37:$B$56,0))),"N/A")</f>
        <v/>
      </c>
      <c r="J133" s="25">
        <f>IFERROR(IF(INDEX('Faculties'!$N$64:$N$83,MATCH($F133,'Faculties'!$B$64:$B$83,0))="","Cell will autofill based on response",INDEX('Faculties'!$N$64:$N$83,MATCH($F133,'Faculties'!$B$64:$B$83,0))),"N/A")</f>
        <v/>
      </c>
      <c r="K133" s="25">
        <f>IFERROR(IF(INDEX('Faculties'!$N$91:$N$110,MATCH($F133,'Faculties'!$B$91:$B$110,0))="","Cell will autofill based on response",INDEX('Faculties'!$N$91:$N$110,MATCH($F133,'Faculties'!$B$91:$B$110,0))),"N/A")</f>
        <v/>
      </c>
      <c r="L133" s="25">
        <f>IFERROR(IF(INDEX('CI&amp;S'!$N$10:$N$14,MATCH($F133,'CI&amp;S'!$B$10:$B$14,0))="","Cell will autofill based on response",INDEX('CI&amp;S'!$N$10:$N$14,MATCH($F133,'CI&amp;S'!$B$10:$B$14,0))),"N/A")</f>
        <v/>
      </c>
      <c r="M133" s="25">
        <f>IFERROR(IF(INDEX('CI&amp;S'!$N$22:$N$38,MATCH($F133,'CI&amp;S'!$B$22:$B$38,0))="","Cell will autofill based on response",INDEX('CI&amp;S'!$N$22:$N$38,MATCH($F133,'CI&amp;S'!$B$22:$B$38,0))),"N/A")</f>
        <v/>
      </c>
      <c r="N133" s="25">
        <f>IFERROR(IF(INDEX('CFOG'!$N$10:$N$15,MATCH($F133,'CFOG'!$B$10:$B$15,0))="","Cell will autofill based on response",INDEX('CFOG'!$N$10:$N$15,MATCH($F133,'CFOG'!$B$10:$B$15,0))),"N/A")</f>
        <v/>
      </c>
      <c r="O133" s="25">
        <f>IFERROR(IF(INDEX('CFOG'!$N$23:$N$23,MATCH($F133,'CFOG'!$B$23:$B$23,0))="","Cell will autofill based on response",INDEX('CFOG'!$N$23:$N$23,MATCH($F133,'CFOG'!$B$23:$B$23,0))),"N/A")</f>
        <v/>
      </c>
      <c r="P133" s="25">
        <f>IFERROR(IF(INDEX('ESG'!$N$10:$N$16,MATCH($F133,'ESG'!$B$10:$B$16,0))="","Cell will autofill based on response",INDEX('ESG'!$N$10:$N$16,MATCH($F133,'ESG'!$B$10:$B$16,0))),"N/A")</f>
        <v/>
      </c>
      <c r="Q133" s="25">
        <f>IFERROR(IF(INDEX('CIOG'!$N$10:$N$13,MATCH($F133,'CIOG'!$B$10:$B$13,0))="","Cell will autofill based on response",INDEX('CIOG'!$N$10:$N$13,MATCH($F133,'CIOG'!$B$10:$B$13,0))),"N/A")</f>
        <v/>
      </c>
      <c r="R133" s="25">
        <f>IFERROR(IF(INDEX('MRE'!$N$10:$N$11,MATCH($F133,'MRE'!$B$10:$B$11,0))="","Cell will autofill based on response",INDEX('MRE'!$N$10:$N$11,MATCH($F133,'MRE'!$B$10:$B$11,0))),"N/A")</f>
        <v/>
      </c>
    </row>
    <row r="134">
      <c r="A134">
        <f>F134&amp;"|"&amp;G134</f>
        <v/>
      </c>
      <c r="B134" s="29" t="inlineStr"/>
      <c r="C134" s="8" t="inlineStr"/>
      <c r="D134" s="8" t="inlineStr"/>
      <c r="E134" s="8" t="inlineStr"/>
      <c r="F134" s="8" t="inlineStr">
        <is>
          <t>CL2(b)</t>
        </is>
      </c>
      <c r="G134" s="8" t="inlineStr">
        <is>
          <t>Supporting information/comments</t>
        </is>
      </c>
      <c r="H134" s="25">
        <f>IFERROR(IF(INDEX('Faculties'!$O$10:$O$29,MATCH($F134,'Faculties'!$B$10:$B$29,0))="","Cell will autofill based on response",INDEX('Faculties'!$O$10:$O$29,MATCH($F134,'Faculties'!$B$10:$B$29,0))),"N/A")</f>
        <v/>
      </c>
      <c r="I134" s="25">
        <f>IFERROR(IF(INDEX('Faculties'!$O$37:$O$56,MATCH($F134,'Faculties'!$B$37:$B$56,0))="","Cell will autofill based on response",INDEX('Faculties'!$O$37:$O$56,MATCH($F134,'Faculties'!$B$37:$B$56,0))),"N/A")</f>
        <v/>
      </c>
      <c r="J134" s="25">
        <f>IFERROR(IF(INDEX('Faculties'!$O$64:$O$83,MATCH($F134,'Faculties'!$B$64:$B$83,0))="","Cell will autofill based on response",INDEX('Faculties'!$O$64:$O$83,MATCH($F134,'Faculties'!$B$64:$B$83,0))),"N/A")</f>
        <v/>
      </c>
      <c r="K134" s="25">
        <f>IFERROR(IF(INDEX('Faculties'!$O$91:$O$110,MATCH($F134,'Faculties'!$B$91:$B$110,0))="","Cell will autofill based on response",INDEX('Faculties'!$O$91:$O$110,MATCH($F134,'Faculties'!$B$91:$B$110,0))),"N/A")</f>
        <v/>
      </c>
      <c r="L134" s="25">
        <f>IFERROR(IF(INDEX('CI&amp;S'!$O$10:$O$14,MATCH($F134,'CI&amp;S'!$B$10:$B$14,0))="","Cell will autofill based on response",INDEX('CI&amp;S'!$O$10:$O$14,MATCH($F134,'CI&amp;S'!$B$10:$B$14,0))),"N/A")</f>
        <v/>
      </c>
      <c r="M134" s="25">
        <f>IFERROR(IF(INDEX('CI&amp;S'!$O$22:$O$38,MATCH($F134,'CI&amp;S'!$B$22:$B$38,0))="","Cell will autofill based on response",INDEX('CI&amp;S'!$O$22:$O$38,MATCH($F134,'CI&amp;S'!$B$22:$B$38,0))),"N/A")</f>
        <v/>
      </c>
      <c r="N134" s="25">
        <f>IFERROR(IF(INDEX('CFOG'!$O$10:$O$15,MATCH($F134,'CFOG'!$B$10:$B$15,0))="","Cell will autofill based on response",INDEX('CFOG'!$O$10:$O$15,MATCH($F134,'CFOG'!$B$10:$B$15,0))),"N/A")</f>
        <v/>
      </c>
      <c r="O134" s="25">
        <f>IFERROR(IF(INDEX('CFOG'!$O$23:$O$23,MATCH($F134,'CFOG'!$B$23:$B$23,0))="","Cell will autofill based on response",INDEX('CFOG'!$O$23:$O$23,MATCH($F134,'CFOG'!$B$23:$B$23,0))),"N/A")</f>
        <v/>
      </c>
      <c r="P134" s="25">
        <f>IFERROR(IF(INDEX('ESG'!$O$10:$O$16,MATCH($F134,'ESG'!$B$10:$B$16,0))="","Cell will autofill based on response",INDEX('ESG'!$O$10:$O$16,MATCH($F134,'ESG'!$B$10:$B$16,0))),"N/A")</f>
        <v/>
      </c>
      <c r="Q134" s="25">
        <f>IFERROR(IF(INDEX('CIOG'!$O$10:$O$13,MATCH($F134,'CIOG'!$B$10:$B$13,0))="","Cell will autofill based on response",INDEX('CIOG'!$O$10:$O$13,MATCH($F134,'CIOG'!$B$10:$B$13,0))),"N/A")</f>
        <v/>
      </c>
      <c r="R134" s="25">
        <f>IFERROR(IF(INDEX('MRE'!$O$10:$O$11,MATCH($F134,'MRE'!$B$10:$B$11,0))="","Cell will autofill based on response",INDEX('MRE'!$O$10:$O$11,MATCH($F134,'MRE'!$B$10:$B$11,0))),"N/A")</f>
        <v/>
      </c>
    </row>
    <row r="135">
      <c r="A135">
        <f>F135&amp;"|"&amp;G135</f>
        <v/>
      </c>
      <c r="B135" s="29" t="inlineStr"/>
      <c r="C135" s="8" t="inlineStr"/>
      <c r="D135" s="8" t="inlineStr"/>
      <c r="E135" s="8" t="inlineStr"/>
      <c r="F135" s="8" t="inlineStr">
        <is>
          <t>CL2(b)</t>
        </is>
      </c>
      <c r="G135" s="8" t="inlineStr">
        <is>
          <t>Data source and limitations</t>
        </is>
      </c>
      <c r="H135" s="25">
        <f>IFERROR(IF(INDEX('Faculties'!$P$10:$P$29,MATCH($F135,'Faculties'!$B$10:$B$29,0))="","Cell will autofill based on response",INDEX('Faculties'!$P$10:$P$29,MATCH($F135,'Faculties'!$B$10:$B$29,0))),"N/A")</f>
        <v/>
      </c>
      <c r="I135" s="25">
        <f>IFERROR(IF(INDEX('Faculties'!$P$37:$P$56,MATCH($F135,'Faculties'!$B$37:$B$56,0))="","Cell will autofill based on response",INDEX('Faculties'!$P$37:$P$56,MATCH($F135,'Faculties'!$B$37:$B$56,0))),"N/A")</f>
        <v/>
      </c>
      <c r="J135" s="25">
        <f>IFERROR(IF(INDEX('Faculties'!$P$64:$P$83,MATCH($F135,'Faculties'!$B$64:$B$83,0))="","Cell will autofill based on response",INDEX('Faculties'!$P$64:$P$83,MATCH($F135,'Faculties'!$B$64:$B$83,0))),"N/A")</f>
        <v/>
      </c>
      <c r="K135" s="25">
        <f>IFERROR(IF(INDEX('Faculties'!$P$91:$P$110,MATCH($F135,'Faculties'!$B$91:$B$110,0))="","Cell will autofill based on response",INDEX('Faculties'!$P$91:$P$110,MATCH($F135,'Faculties'!$B$91:$B$110,0))),"N/A")</f>
        <v/>
      </c>
      <c r="L135" s="25">
        <f>IFERROR(IF(INDEX('CI&amp;S'!$P$10:$P$14,MATCH($F135,'CI&amp;S'!$B$10:$B$14,0))="","Cell will autofill based on response",INDEX('CI&amp;S'!$P$10:$P$14,MATCH($F135,'CI&amp;S'!$B$10:$B$14,0))),"N/A")</f>
        <v/>
      </c>
      <c r="M135" s="25">
        <f>IFERROR(IF(INDEX('CI&amp;S'!$P$22:$P$38,MATCH($F135,'CI&amp;S'!$B$22:$B$38,0))="","Cell will autofill based on response",INDEX('CI&amp;S'!$P$22:$P$38,MATCH($F135,'CI&amp;S'!$B$22:$B$38,0))),"N/A")</f>
        <v/>
      </c>
      <c r="N135" s="25">
        <f>IFERROR(IF(INDEX('CFOG'!$P$10:$P$15,MATCH($F135,'CFOG'!$B$10:$B$15,0))="","Cell will autofill based on response",INDEX('CFOG'!$P$10:$P$15,MATCH($F135,'CFOG'!$B$10:$B$15,0))),"N/A")</f>
        <v/>
      </c>
      <c r="O135" s="25">
        <f>IFERROR(IF(INDEX('CFOG'!$P$23:$P$23,MATCH($F135,'CFOG'!$B$23:$B$23,0))="","Cell will autofill based on response",INDEX('CFOG'!$P$23:$P$23,MATCH($F135,'CFOG'!$B$23:$B$23,0))),"N/A")</f>
        <v/>
      </c>
      <c r="P135" s="25">
        <f>IFERROR(IF(INDEX('ESG'!$P$10:$P$16,MATCH($F135,'ESG'!$B$10:$B$16,0))="","Cell will autofill based on response",INDEX('ESG'!$P$10:$P$16,MATCH($F135,'ESG'!$B$10:$B$16,0))),"N/A")</f>
        <v/>
      </c>
      <c r="Q135" s="25">
        <f>IFERROR(IF(INDEX('CIOG'!$P$10:$P$13,MATCH($F135,'CIOG'!$B$10:$B$13,0))="","Cell will autofill based on response",INDEX('CIOG'!$P$10:$P$13,MATCH($F135,'CIOG'!$B$10:$B$13,0))),"N/A")</f>
        <v/>
      </c>
      <c r="R135" s="25">
        <f>IFERROR(IF(INDEX('MRE'!$P$10:$P$11,MATCH($F135,'MRE'!$B$10:$B$11,0))="","Cell will autofill based on response",INDEX('MRE'!$P$10:$P$11,MATCH($F135,'MRE'!$B$10:$B$11,0))),"N/A")</f>
        <v/>
      </c>
    </row>
    <row r="136">
      <c r="A136">
        <f>F136&amp;"|"&amp;G136</f>
        <v/>
      </c>
      <c r="B136" s="29" t="inlineStr"/>
      <c r="C136" s="8" t="inlineStr"/>
      <c r="D136" s="8" t="inlineStr"/>
      <c r="E136" s="8" t="inlineStr"/>
      <c r="F136" s="8" t="inlineStr">
        <is>
          <t>CL2(b)</t>
        </is>
      </c>
      <c r="G136" s="8" t="inlineStr">
        <is>
          <t>Data owner confirms</t>
        </is>
      </c>
      <c r="H136" s="25">
        <f>IFERROR(IF(INDEX('Faculties'!$Q$10:$Q$29,MATCH($F136,'Faculties'!$B$10:$B$29,0))="","Cell will autofill based on response",INDEX('Faculties'!$Q$10:$Q$29,MATCH($F136,'Faculties'!$B$10:$B$29,0))),"N/A")</f>
        <v/>
      </c>
      <c r="I136" s="25">
        <f>IFERROR(IF(INDEX('Faculties'!$Q$37:$Q$56,MATCH($F136,'Faculties'!$B$37:$B$56,0))="","Cell will autofill based on response",INDEX('Faculties'!$Q$37:$Q$56,MATCH($F136,'Faculties'!$B$37:$B$56,0))),"N/A")</f>
        <v/>
      </c>
      <c r="J136" s="25">
        <f>IFERROR(IF(INDEX('Faculties'!$Q$64:$Q$83,MATCH($F136,'Faculties'!$B$64:$B$83,0))="","Cell will autofill based on response",INDEX('Faculties'!$Q$64:$Q$83,MATCH($F136,'Faculties'!$B$64:$B$83,0))),"N/A")</f>
        <v/>
      </c>
      <c r="K136" s="25">
        <f>IFERROR(IF(INDEX('Faculties'!$Q$91:$Q$110,MATCH($F136,'Faculties'!$B$91:$B$110,0))="","Cell will autofill based on response",INDEX('Faculties'!$Q$91:$Q$110,MATCH($F136,'Faculties'!$B$91:$B$110,0))),"N/A")</f>
        <v/>
      </c>
      <c r="L136" s="25">
        <f>IFERROR(IF(INDEX('CI&amp;S'!$Q$10:$Q$14,MATCH($F136,'CI&amp;S'!$B$10:$B$14,0))="","Cell will autofill based on response",INDEX('CI&amp;S'!$Q$10:$Q$14,MATCH($F136,'CI&amp;S'!$B$10:$B$14,0))),"N/A")</f>
        <v/>
      </c>
      <c r="M136" s="25">
        <f>IFERROR(IF(INDEX('CI&amp;S'!$Q$22:$Q$38,MATCH($F136,'CI&amp;S'!$B$22:$B$38,0))="","Cell will autofill based on response",INDEX('CI&amp;S'!$Q$22:$Q$38,MATCH($F136,'CI&amp;S'!$B$22:$B$38,0))),"N/A")</f>
        <v/>
      </c>
      <c r="N136" s="25">
        <f>IFERROR(IF(INDEX('CFOG'!$Q$10:$Q$15,MATCH($F136,'CFOG'!$B$10:$B$15,0))="","Cell will autofill based on response",INDEX('CFOG'!$Q$10:$Q$15,MATCH($F136,'CFOG'!$B$10:$B$15,0))),"N/A")</f>
        <v/>
      </c>
      <c r="O136" s="25">
        <f>IFERROR(IF(INDEX('CFOG'!$Q$23:$Q$23,MATCH($F136,'CFOG'!$B$23:$B$23,0))="","Cell will autofill based on response",INDEX('CFOG'!$Q$23:$Q$23,MATCH($F136,'CFOG'!$B$23:$B$23,0))),"N/A")</f>
        <v/>
      </c>
      <c r="P136" s="25">
        <f>IFERROR(IF(INDEX('ESG'!$Q$10:$Q$16,MATCH($F136,'ESG'!$B$10:$B$16,0))="","Cell will autofill based on response",INDEX('ESG'!$Q$10:$Q$16,MATCH($F136,'ESG'!$B$10:$B$16,0))),"N/A")</f>
        <v/>
      </c>
      <c r="Q136" s="25">
        <f>IFERROR(IF(INDEX('CIOG'!$Q$10:$Q$13,MATCH($F136,'CIOG'!$B$10:$B$13,0))="","Cell will autofill based on response",INDEX('CIOG'!$Q$10:$Q$13,MATCH($F136,'CIOG'!$B$10:$B$13,0))),"N/A")</f>
        <v/>
      </c>
      <c r="R136" s="25">
        <f>IFERROR(IF(INDEX('MRE'!$Q$10:$Q$11,MATCH($F136,'MRE'!$B$10:$B$11,0))="","Cell will autofill based on response",INDEX('MRE'!$Q$10:$Q$11,MATCH($F136,'MRE'!$B$10:$B$11,0))),"N/A")</f>
        <v/>
      </c>
    </row>
    <row r="137">
      <c r="A137">
        <f>F137&amp;"|"&amp;G137</f>
        <v/>
      </c>
      <c r="B137" s="7" t="inlineStr">
        <is>
          <t>CL2(c)</t>
        </is>
      </c>
      <c r="C137" s="12" t="inlineStr">
        <is>
          <t>Climate leadership</t>
        </is>
      </c>
      <c r="D137" s="12" t="inlineStr">
        <is>
          <t>Ongoing communications that evidence the University’s climate action, research and learning to inform policy, sector and community decarbonisation efforts.</t>
        </is>
      </c>
      <c r="E137" s="12" t="inlineStr">
        <is>
          <t>List and describe communications from the faculty in terms of climate action, research and learning to inform policy, sector and community decarbonisation efforts</t>
        </is>
      </c>
      <c r="F137" s="12" t="inlineStr">
        <is>
          <t>CL2(c)</t>
        </is>
      </c>
      <c r="G137" s="12" t="inlineStr">
        <is>
          <t>Confirm end-2026 target status</t>
        </is>
      </c>
      <c r="H137" s="25">
        <f>IFERROR(IF(INDEX('Faculties'!$L$10:$L$29,MATCH($F137,'Faculties'!$B$10:$B$29,0))="","Cell will autofill based on response",INDEX('Faculties'!$L$10:$L$29,MATCH($F137,'Faculties'!$B$10:$B$29,0))),"N/A")</f>
        <v/>
      </c>
      <c r="I137" s="25">
        <f>IFERROR(IF(INDEX('Faculties'!$L$37:$L$56,MATCH($F137,'Faculties'!$B$37:$B$56,0))="","Cell will autofill based on response",INDEX('Faculties'!$L$37:$L$56,MATCH($F137,'Faculties'!$B$37:$B$56,0))),"N/A")</f>
        <v/>
      </c>
      <c r="J137" s="25">
        <f>IFERROR(IF(INDEX('Faculties'!$L$64:$L$83,MATCH($F137,'Faculties'!$B$64:$B$83,0))="","Cell will autofill based on response",INDEX('Faculties'!$L$64:$L$83,MATCH($F137,'Faculties'!$B$64:$B$83,0))),"N/A")</f>
        <v/>
      </c>
      <c r="K137" s="25">
        <f>IFERROR(IF(INDEX('Faculties'!$L$91:$L$110,MATCH($F137,'Faculties'!$B$91:$B$110,0))="","Cell will autofill based on response",INDEX('Faculties'!$L$91:$L$110,MATCH($F137,'Faculties'!$B$91:$B$110,0))),"N/A")</f>
        <v/>
      </c>
      <c r="L137" s="25">
        <f>IFERROR(IF(INDEX('CI&amp;S'!$L$10:$L$14,MATCH($F137,'CI&amp;S'!$B$10:$B$14,0))="","Cell will autofill based on response",INDEX('CI&amp;S'!$L$10:$L$14,MATCH($F137,'CI&amp;S'!$B$10:$B$14,0))),"N/A")</f>
        <v/>
      </c>
      <c r="M137" s="25">
        <f>IFERROR(IF(INDEX('CI&amp;S'!$L$22:$L$38,MATCH($F137,'CI&amp;S'!$B$22:$B$38,0))="","Cell will autofill based on response",INDEX('CI&amp;S'!$L$22:$L$38,MATCH($F137,'CI&amp;S'!$B$22:$B$38,0))),"N/A")</f>
        <v/>
      </c>
      <c r="N137" s="25">
        <f>IFERROR(IF(INDEX('CFOG'!$L$10:$L$15,MATCH($F137,'CFOG'!$B$10:$B$15,0))="","Cell will autofill based on response",INDEX('CFOG'!$L$10:$L$15,MATCH($F137,'CFOG'!$B$10:$B$15,0))),"N/A")</f>
        <v/>
      </c>
      <c r="O137" s="25">
        <f>IFERROR(IF(INDEX('CFOG'!$L$23:$L$23,MATCH($F137,'CFOG'!$B$23:$B$23,0))="","Cell will autofill based on response",INDEX('CFOG'!$L$23:$L$23,MATCH($F137,'CFOG'!$B$23:$B$23,0))),"N/A")</f>
        <v/>
      </c>
      <c r="P137" s="25">
        <f>IFERROR(IF(INDEX('ESG'!$L$10:$L$16,MATCH($F137,'ESG'!$B$10:$B$16,0))="","Cell will autofill based on response",INDEX('ESG'!$L$10:$L$16,MATCH($F137,'ESG'!$B$10:$B$16,0))),"N/A")</f>
        <v/>
      </c>
      <c r="Q137" s="25">
        <f>IFERROR(IF(INDEX('CIOG'!$L$10:$L$13,MATCH($F137,'CIOG'!$B$10:$B$13,0))="","Cell will autofill based on response",INDEX('CIOG'!$L$10:$L$13,MATCH($F137,'CIOG'!$B$10:$B$13,0))),"N/A")</f>
        <v/>
      </c>
      <c r="R137" s="25">
        <f>IFERROR(IF(INDEX('MRE'!$L$10:$L$11,MATCH($F137,'MRE'!$B$10:$B$11,0))="","Cell will autofill based on response",INDEX('MRE'!$L$10:$L$11,MATCH($F137,'MRE'!$B$10:$B$11,0))),"N/A")</f>
        <v/>
      </c>
      <c r="T137" s="26">
        <f>COUNTIF($H137:$R137,"Cell will autofill based on response")</f>
        <v/>
      </c>
      <c r="U137" s="26">
        <f>COUNTIF($H137:$R137,"Not yet started")</f>
        <v/>
      </c>
      <c r="V137" s="26">
        <f>COUNTIF($H137:$R137,"Not met")</f>
        <v/>
      </c>
      <c r="W137" s="26">
        <f>COUNTIF($H137:$R137,"Partially met")</f>
        <v/>
      </c>
      <c r="X137" s="26">
        <f>COUNTIF($H137:$R137,"Met or exceeded")</f>
        <v/>
      </c>
      <c r="Y137" s="26">
        <f>3*X137+2*W137+V137</f>
        <v/>
      </c>
      <c r="Z137" s="26">
        <f>X137+W137+V137+U137</f>
        <v/>
      </c>
      <c r="AA137" s="27">
        <f>IF(Z137&gt;0,Y137/Z137,"No valid responses to date")</f>
        <v/>
      </c>
      <c r="AB137" s="26">
        <f>IF(ISNUMBER(AA137),INDEX(Lists!$G$2:$G$5,MATCH(ROUND(AA137,0),Lists!$H$2:$H$5,0)),"")</f>
        <v/>
      </c>
      <c r="AC137" s="28">
        <f>IF(Z137&gt;0,X137/Z137,"")</f>
        <v/>
      </c>
      <c r="AD137" s="28">
        <f>IF(Z137&gt;0,(X137+W137)/Z137,"")</f>
        <v/>
      </c>
      <c r="AE137" s="26">
        <f>IF(Z137=0,"",IF(AC137&gt;0.75,"Met or exceeded",IF(AD137&gt;=0.5,"Partially met","Not met")))</f>
        <v/>
      </c>
    </row>
    <row r="138">
      <c r="A138">
        <f>F138&amp;"|"&amp;G138</f>
        <v/>
      </c>
      <c r="B138" s="29" t="inlineStr"/>
      <c r="C138" s="8" t="inlineStr"/>
      <c r="D138" s="8" t="inlineStr"/>
      <c r="E138" s="8" t="inlineStr"/>
      <c r="F138" s="8" t="inlineStr">
        <is>
          <t>CL2(c)</t>
        </is>
      </c>
      <c r="G138" s="8" t="inlineStr">
        <is>
          <t>OPTION 1:  Target-level reporting</t>
        </is>
      </c>
      <c r="H138" s="25">
        <f>IFERROR(IF(INDEX('Faculties'!$M$10:$M$29,MATCH($F138,'Faculties'!$B$10:$B$29,0))="","Cell will autofill based on response",INDEX('Faculties'!$M$10:$M$29,MATCH($F138,'Faculties'!$B$10:$B$29,0))),"N/A")</f>
        <v/>
      </c>
      <c r="I138" s="25">
        <f>IFERROR(IF(INDEX('Faculties'!$M$37:$M$56,MATCH($F138,'Faculties'!$B$37:$B$56,0))="","Cell will autofill based on response",INDEX('Faculties'!$M$37:$M$56,MATCH($F138,'Faculties'!$B$37:$B$56,0))),"N/A")</f>
        <v/>
      </c>
      <c r="J138" s="25">
        <f>IFERROR(IF(INDEX('Faculties'!$M$64:$M$83,MATCH($F138,'Faculties'!$B$64:$B$83,0))="","Cell will autofill based on response",INDEX('Faculties'!$M$64:$M$83,MATCH($F138,'Faculties'!$B$64:$B$83,0))),"N/A")</f>
        <v/>
      </c>
      <c r="K138" s="25">
        <f>IFERROR(IF(INDEX('Faculties'!$M$91:$M$110,MATCH($F138,'Faculties'!$B$91:$B$110,0))="","Cell will autofill based on response",INDEX('Faculties'!$M$91:$M$110,MATCH($F138,'Faculties'!$B$91:$B$110,0))),"N/A")</f>
        <v/>
      </c>
      <c r="L138" s="25">
        <f>IFERROR(IF(INDEX('CI&amp;S'!$M$10:$M$14,MATCH($F138,'CI&amp;S'!$B$10:$B$14,0))="","Cell will autofill based on response",INDEX('CI&amp;S'!$M$10:$M$14,MATCH($F138,'CI&amp;S'!$B$10:$B$14,0))),"N/A")</f>
        <v/>
      </c>
      <c r="M138" s="25">
        <f>IFERROR(IF(INDEX('CI&amp;S'!$M$22:$M$38,MATCH($F138,'CI&amp;S'!$B$22:$B$38,0))="","Cell will autofill based on response",INDEX('CI&amp;S'!$M$22:$M$38,MATCH($F138,'CI&amp;S'!$B$22:$B$38,0))),"N/A")</f>
        <v/>
      </c>
      <c r="N138" s="25">
        <f>IFERROR(IF(INDEX('CFOG'!$M$10:$M$15,MATCH($F138,'CFOG'!$B$10:$B$15,0))="","Cell will autofill based on response",INDEX('CFOG'!$M$10:$M$15,MATCH($F138,'CFOG'!$B$10:$B$15,0))),"N/A")</f>
        <v/>
      </c>
      <c r="O138" s="25">
        <f>IFERROR(IF(INDEX('CFOG'!$M$23:$M$23,MATCH($F138,'CFOG'!$B$23:$B$23,0))="","Cell will autofill based on response",INDEX('CFOG'!$M$23:$M$23,MATCH($F138,'CFOG'!$B$23:$B$23,0))),"N/A")</f>
        <v/>
      </c>
      <c r="P138" s="25">
        <f>IFERROR(IF(INDEX('ESG'!$M$10:$M$16,MATCH($F138,'ESG'!$B$10:$B$16,0))="","Cell will autofill based on response",INDEX('ESG'!$M$10:$M$16,MATCH($F138,'ESG'!$B$10:$B$16,0))),"N/A")</f>
        <v/>
      </c>
      <c r="Q138" s="25">
        <f>IFERROR(IF(INDEX('CIOG'!$M$10:$M$13,MATCH($F138,'CIOG'!$B$10:$B$13,0))="","Cell will autofill based on response",INDEX('CIOG'!$M$10:$M$13,MATCH($F138,'CIOG'!$B$10:$B$13,0))),"N/A")</f>
        <v/>
      </c>
      <c r="R138" s="25">
        <f>IFERROR(IF(INDEX('MRE'!$M$10:$M$11,MATCH($F138,'MRE'!$B$10:$B$11,0))="","Cell will autofill based on response",INDEX('MRE'!$M$10:$M$11,MATCH($F138,'MRE'!$B$10:$B$11,0))),"N/A")</f>
        <v/>
      </c>
    </row>
    <row r="139">
      <c r="A139">
        <f>F139&amp;"|"&amp;G139</f>
        <v/>
      </c>
      <c r="B139" s="29" t="inlineStr"/>
      <c r="C139" s="8" t="inlineStr"/>
      <c r="D139" s="8" t="inlineStr"/>
      <c r="E139" s="8" t="inlineStr"/>
      <c r="F139" s="8" t="inlineStr">
        <is>
          <t>CL2(c)</t>
        </is>
      </c>
      <c r="G139" s="8" t="inlineStr">
        <is>
          <t>OPTION 2:  Indicator level reporting</t>
        </is>
      </c>
      <c r="H139" s="25">
        <f>IFERROR(IF(INDEX('Faculties'!$N$10:$N$29,MATCH($F139,'Faculties'!$B$10:$B$29,0))="","Cell will autofill based on response",INDEX('Faculties'!$N$10:$N$29,MATCH($F139,'Faculties'!$B$10:$B$29,0))),"N/A")</f>
        <v/>
      </c>
      <c r="I139" s="25">
        <f>IFERROR(IF(INDEX('Faculties'!$N$37:$N$56,MATCH($F139,'Faculties'!$B$37:$B$56,0))="","Cell will autofill based on response",INDEX('Faculties'!$N$37:$N$56,MATCH($F139,'Faculties'!$B$37:$B$56,0))),"N/A")</f>
        <v/>
      </c>
      <c r="J139" s="25">
        <f>IFERROR(IF(INDEX('Faculties'!$N$64:$N$83,MATCH($F139,'Faculties'!$B$64:$B$83,0))="","Cell will autofill based on response",INDEX('Faculties'!$N$64:$N$83,MATCH($F139,'Faculties'!$B$64:$B$83,0))),"N/A")</f>
        <v/>
      </c>
      <c r="K139" s="25">
        <f>IFERROR(IF(INDEX('Faculties'!$N$91:$N$110,MATCH($F139,'Faculties'!$B$91:$B$110,0))="","Cell will autofill based on response",INDEX('Faculties'!$N$91:$N$110,MATCH($F139,'Faculties'!$B$91:$B$110,0))),"N/A")</f>
        <v/>
      </c>
      <c r="L139" s="25">
        <f>IFERROR(IF(INDEX('CI&amp;S'!$N$10:$N$14,MATCH($F139,'CI&amp;S'!$B$10:$B$14,0))="","Cell will autofill based on response",INDEX('CI&amp;S'!$N$10:$N$14,MATCH($F139,'CI&amp;S'!$B$10:$B$14,0))),"N/A")</f>
        <v/>
      </c>
      <c r="M139" s="25">
        <f>IFERROR(IF(INDEX('CI&amp;S'!$N$22:$N$38,MATCH($F139,'CI&amp;S'!$B$22:$B$38,0))="","Cell will autofill based on response",INDEX('CI&amp;S'!$N$22:$N$38,MATCH($F139,'CI&amp;S'!$B$22:$B$38,0))),"N/A")</f>
        <v/>
      </c>
      <c r="N139" s="25">
        <f>IFERROR(IF(INDEX('CFOG'!$N$10:$N$15,MATCH($F139,'CFOG'!$B$10:$B$15,0))="","Cell will autofill based on response",INDEX('CFOG'!$N$10:$N$15,MATCH($F139,'CFOG'!$B$10:$B$15,0))),"N/A")</f>
        <v/>
      </c>
      <c r="O139" s="25">
        <f>IFERROR(IF(INDEX('CFOG'!$N$23:$N$23,MATCH($F139,'CFOG'!$B$23:$B$23,0))="","Cell will autofill based on response",INDEX('CFOG'!$N$23:$N$23,MATCH($F139,'CFOG'!$B$23:$B$23,0))),"N/A")</f>
        <v/>
      </c>
      <c r="P139" s="25">
        <f>IFERROR(IF(INDEX('ESG'!$N$10:$N$16,MATCH($F139,'ESG'!$B$10:$B$16,0))="","Cell will autofill based on response",INDEX('ESG'!$N$10:$N$16,MATCH($F139,'ESG'!$B$10:$B$16,0))),"N/A")</f>
        <v/>
      </c>
      <c r="Q139" s="25">
        <f>IFERROR(IF(INDEX('CIOG'!$N$10:$N$13,MATCH($F139,'CIOG'!$B$10:$B$13,0))="","Cell will autofill based on response",INDEX('CIOG'!$N$10:$N$13,MATCH($F139,'CIOG'!$B$10:$B$13,0))),"N/A")</f>
        <v/>
      </c>
      <c r="R139" s="25">
        <f>IFERROR(IF(INDEX('MRE'!$N$10:$N$11,MATCH($F139,'MRE'!$B$10:$B$11,0))="","Cell will autofill based on response",INDEX('MRE'!$N$10:$N$11,MATCH($F139,'MRE'!$B$10:$B$11,0))),"N/A")</f>
        <v/>
      </c>
    </row>
    <row r="140">
      <c r="A140">
        <f>F140&amp;"|"&amp;G140</f>
        <v/>
      </c>
      <c r="B140" s="29" t="inlineStr"/>
      <c r="C140" s="8" t="inlineStr"/>
      <c r="D140" s="8" t="inlineStr"/>
      <c r="E140" s="8" t="inlineStr"/>
      <c r="F140" s="8" t="inlineStr">
        <is>
          <t>CL2(c)</t>
        </is>
      </c>
      <c r="G140" s="8" t="inlineStr">
        <is>
          <t>Supporting information/comments</t>
        </is>
      </c>
      <c r="H140" s="25">
        <f>IFERROR(IF(INDEX('Faculties'!$O$10:$O$29,MATCH($F140,'Faculties'!$B$10:$B$29,0))="","Cell will autofill based on response",INDEX('Faculties'!$O$10:$O$29,MATCH($F140,'Faculties'!$B$10:$B$29,0))),"N/A")</f>
        <v/>
      </c>
      <c r="I140" s="25">
        <f>IFERROR(IF(INDEX('Faculties'!$O$37:$O$56,MATCH($F140,'Faculties'!$B$37:$B$56,0))="","Cell will autofill based on response",INDEX('Faculties'!$O$37:$O$56,MATCH($F140,'Faculties'!$B$37:$B$56,0))),"N/A")</f>
        <v/>
      </c>
      <c r="J140" s="25">
        <f>IFERROR(IF(INDEX('Faculties'!$O$64:$O$83,MATCH($F140,'Faculties'!$B$64:$B$83,0))="","Cell will autofill based on response",INDEX('Faculties'!$O$64:$O$83,MATCH($F140,'Faculties'!$B$64:$B$83,0))),"N/A")</f>
        <v/>
      </c>
      <c r="K140" s="25">
        <f>IFERROR(IF(INDEX('Faculties'!$O$91:$O$110,MATCH($F140,'Faculties'!$B$91:$B$110,0))="","Cell will autofill based on response",INDEX('Faculties'!$O$91:$O$110,MATCH($F140,'Faculties'!$B$91:$B$110,0))),"N/A")</f>
        <v/>
      </c>
      <c r="L140" s="25">
        <f>IFERROR(IF(INDEX('CI&amp;S'!$O$10:$O$14,MATCH($F140,'CI&amp;S'!$B$10:$B$14,0))="","Cell will autofill based on response",INDEX('CI&amp;S'!$O$10:$O$14,MATCH($F140,'CI&amp;S'!$B$10:$B$14,0))),"N/A")</f>
        <v/>
      </c>
      <c r="M140" s="25">
        <f>IFERROR(IF(INDEX('CI&amp;S'!$O$22:$O$38,MATCH($F140,'CI&amp;S'!$B$22:$B$38,0))="","Cell will autofill based on response",INDEX('CI&amp;S'!$O$22:$O$38,MATCH($F140,'CI&amp;S'!$B$22:$B$38,0))),"N/A")</f>
        <v/>
      </c>
      <c r="N140" s="25">
        <f>IFERROR(IF(INDEX('CFOG'!$O$10:$O$15,MATCH($F140,'CFOG'!$B$10:$B$15,0))="","Cell will autofill based on response",INDEX('CFOG'!$O$10:$O$15,MATCH($F140,'CFOG'!$B$10:$B$15,0))),"N/A")</f>
        <v/>
      </c>
      <c r="O140" s="25">
        <f>IFERROR(IF(INDEX('CFOG'!$O$23:$O$23,MATCH($F140,'CFOG'!$B$23:$B$23,0))="","Cell will autofill based on response",INDEX('CFOG'!$O$23:$O$23,MATCH($F140,'CFOG'!$B$23:$B$23,0))),"N/A")</f>
        <v/>
      </c>
      <c r="P140" s="25">
        <f>IFERROR(IF(INDEX('ESG'!$O$10:$O$16,MATCH($F140,'ESG'!$B$10:$B$16,0))="","Cell will autofill based on response",INDEX('ESG'!$O$10:$O$16,MATCH($F140,'ESG'!$B$10:$B$16,0))),"N/A")</f>
        <v/>
      </c>
      <c r="Q140" s="25">
        <f>IFERROR(IF(INDEX('CIOG'!$O$10:$O$13,MATCH($F140,'CIOG'!$B$10:$B$13,0))="","Cell will autofill based on response",INDEX('CIOG'!$O$10:$O$13,MATCH($F140,'CIOG'!$B$10:$B$13,0))),"N/A")</f>
        <v/>
      </c>
      <c r="R140" s="25">
        <f>IFERROR(IF(INDEX('MRE'!$O$10:$O$11,MATCH($F140,'MRE'!$B$10:$B$11,0))="","Cell will autofill based on response",INDEX('MRE'!$O$10:$O$11,MATCH($F140,'MRE'!$B$10:$B$11,0))),"N/A")</f>
        <v/>
      </c>
    </row>
    <row r="141">
      <c r="A141">
        <f>F141&amp;"|"&amp;G141</f>
        <v/>
      </c>
      <c r="B141" s="29" t="inlineStr"/>
      <c r="C141" s="8" t="inlineStr"/>
      <c r="D141" s="8" t="inlineStr"/>
      <c r="E141" s="8" t="inlineStr"/>
      <c r="F141" s="8" t="inlineStr">
        <is>
          <t>CL2(c)</t>
        </is>
      </c>
      <c r="G141" s="8" t="inlineStr">
        <is>
          <t>Data source and limitations</t>
        </is>
      </c>
      <c r="H141" s="25">
        <f>IFERROR(IF(INDEX('Faculties'!$P$10:$P$29,MATCH($F141,'Faculties'!$B$10:$B$29,0))="","Cell will autofill based on response",INDEX('Faculties'!$P$10:$P$29,MATCH($F141,'Faculties'!$B$10:$B$29,0))),"N/A")</f>
        <v/>
      </c>
      <c r="I141" s="25">
        <f>IFERROR(IF(INDEX('Faculties'!$P$37:$P$56,MATCH($F141,'Faculties'!$B$37:$B$56,0))="","Cell will autofill based on response",INDEX('Faculties'!$P$37:$P$56,MATCH($F141,'Faculties'!$B$37:$B$56,0))),"N/A")</f>
        <v/>
      </c>
      <c r="J141" s="25">
        <f>IFERROR(IF(INDEX('Faculties'!$P$64:$P$83,MATCH($F141,'Faculties'!$B$64:$B$83,0))="","Cell will autofill based on response",INDEX('Faculties'!$P$64:$P$83,MATCH($F141,'Faculties'!$B$64:$B$83,0))),"N/A")</f>
        <v/>
      </c>
      <c r="K141" s="25">
        <f>IFERROR(IF(INDEX('Faculties'!$P$91:$P$110,MATCH($F141,'Faculties'!$B$91:$B$110,0))="","Cell will autofill based on response",INDEX('Faculties'!$P$91:$P$110,MATCH($F141,'Faculties'!$B$91:$B$110,0))),"N/A")</f>
        <v/>
      </c>
      <c r="L141" s="25">
        <f>IFERROR(IF(INDEX('CI&amp;S'!$P$10:$P$14,MATCH($F141,'CI&amp;S'!$B$10:$B$14,0))="","Cell will autofill based on response",INDEX('CI&amp;S'!$P$10:$P$14,MATCH($F141,'CI&amp;S'!$B$10:$B$14,0))),"N/A")</f>
        <v/>
      </c>
      <c r="M141" s="25">
        <f>IFERROR(IF(INDEX('CI&amp;S'!$P$22:$P$38,MATCH($F141,'CI&amp;S'!$B$22:$B$38,0))="","Cell will autofill based on response",INDEX('CI&amp;S'!$P$22:$P$38,MATCH($F141,'CI&amp;S'!$B$22:$B$38,0))),"N/A")</f>
        <v/>
      </c>
      <c r="N141" s="25">
        <f>IFERROR(IF(INDEX('CFOG'!$P$10:$P$15,MATCH($F141,'CFOG'!$B$10:$B$15,0))="","Cell will autofill based on response",INDEX('CFOG'!$P$10:$P$15,MATCH($F141,'CFOG'!$B$10:$B$15,0))),"N/A")</f>
        <v/>
      </c>
      <c r="O141" s="25">
        <f>IFERROR(IF(INDEX('CFOG'!$P$23:$P$23,MATCH($F141,'CFOG'!$B$23:$B$23,0))="","Cell will autofill based on response",INDEX('CFOG'!$P$23:$P$23,MATCH($F141,'CFOG'!$B$23:$B$23,0))),"N/A")</f>
        <v/>
      </c>
      <c r="P141" s="25">
        <f>IFERROR(IF(INDEX('ESG'!$P$10:$P$16,MATCH($F141,'ESG'!$B$10:$B$16,0))="","Cell will autofill based on response",INDEX('ESG'!$P$10:$P$16,MATCH($F141,'ESG'!$B$10:$B$16,0))),"N/A")</f>
        <v/>
      </c>
      <c r="Q141" s="25">
        <f>IFERROR(IF(INDEX('CIOG'!$P$10:$P$13,MATCH($F141,'CIOG'!$B$10:$B$13,0))="","Cell will autofill based on response",INDEX('CIOG'!$P$10:$P$13,MATCH($F141,'CIOG'!$B$10:$B$13,0))),"N/A")</f>
        <v/>
      </c>
      <c r="R141" s="25">
        <f>IFERROR(IF(INDEX('MRE'!$P$10:$P$11,MATCH($F141,'MRE'!$B$10:$B$11,0))="","Cell will autofill based on response",INDEX('MRE'!$P$10:$P$11,MATCH($F141,'MRE'!$B$10:$B$11,0))),"N/A")</f>
        <v/>
      </c>
    </row>
    <row r="142">
      <c r="A142">
        <f>F142&amp;"|"&amp;G142</f>
        <v/>
      </c>
      <c r="B142" s="29" t="inlineStr"/>
      <c r="C142" s="8" t="inlineStr"/>
      <c r="D142" s="8" t="inlineStr"/>
      <c r="E142" s="8" t="inlineStr"/>
      <c r="F142" s="8" t="inlineStr">
        <is>
          <t>CL2(c)</t>
        </is>
      </c>
      <c r="G142" s="8" t="inlineStr">
        <is>
          <t>Data owner confirms</t>
        </is>
      </c>
      <c r="H142" s="25">
        <f>IFERROR(IF(INDEX('Faculties'!$Q$10:$Q$29,MATCH($F142,'Faculties'!$B$10:$B$29,0))="","Cell will autofill based on response",INDEX('Faculties'!$Q$10:$Q$29,MATCH($F142,'Faculties'!$B$10:$B$29,0))),"N/A")</f>
        <v/>
      </c>
      <c r="I142" s="25">
        <f>IFERROR(IF(INDEX('Faculties'!$Q$37:$Q$56,MATCH($F142,'Faculties'!$B$37:$B$56,0))="","Cell will autofill based on response",INDEX('Faculties'!$Q$37:$Q$56,MATCH($F142,'Faculties'!$B$37:$B$56,0))),"N/A")</f>
        <v/>
      </c>
      <c r="J142" s="25">
        <f>IFERROR(IF(INDEX('Faculties'!$Q$64:$Q$83,MATCH($F142,'Faculties'!$B$64:$B$83,0))="","Cell will autofill based on response",INDEX('Faculties'!$Q$64:$Q$83,MATCH($F142,'Faculties'!$B$64:$B$83,0))),"N/A")</f>
        <v/>
      </c>
      <c r="K142" s="25">
        <f>IFERROR(IF(INDEX('Faculties'!$Q$91:$Q$110,MATCH($F142,'Faculties'!$B$91:$B$110,0))="","Cell will autofill based on response",INDEX('Faculties'!$Q$91:$Q$110,MATCH($F142,'Faculties'!$B$91:$B$110,0))),"N/A")</f>
        <v/>
      </c>
      <c r="L142" s="25">
        <f>IFERROR(IF(INDEX('CI&amp;S'!$Q$10:$Q$14,MATCH($F142,'CI&amp;S'!$B$10:$B$14,0))="","Cell will autofill based on response",INDEX('CI&amp;S'!$Q$10:$Q$14,MATCH($F142,'CI&amp;S'!$B$10:$B$14,0))),"N/A")</f>
        <v/>
      </c>
      <c r="M142" s="25">
        <f>IFERROR(IF(INDEX('CI&amp;S'!$Q$22:$Q$38,MATCH($F142,'CI&amp;S'!$B$22:$B$38,0))="","Cell will autofill based on response",INDEX('CI&amp;S'!$Q$22:$Q$38,MATCH($F142,'CI&amp;S'!$B$22:$B$38,0))),"N/A")</f>
        <v/>
      </c>
      <c r="N142" s="25">
        <f>IFERROR(IF(INDEX('CFOG'!$Q$10:$Q$15,MATCH($F142,'CFOG'!$B$10:$B$15,0))="","Cell will autofill based on response",INDEX('CFOG'!$Q$10:$Q$15,MATCH($F142,'CFOG'!$B$10:$B$15,0))),"N/A")</f>
        <v/>
      </c>
      <c r="O142" s="25">
        <f>IFERROR(IF(INDEX('CFOG'!$Q$23:$Q$23,MATCH($F142,'CFOG'!$B$23:$B$23,0))="","Cell will autofill based on response",INDEX('CFOG'!$Q$23:$Q$23,MATCH($F142,'CFOG'!$B$23:$B$23,0))),"N/A")</f>
        <v/>
      </c>
      <c r="P142" s="25">
        <f>IFERROR(IF(INDEX('ESG'!$Q$10:$Q$16,MATCH($F142,'ESG'!$B$10:$B$16,0))="","Cell will autofill based on response",INDEX('ESG'!$Q$10:$Q$16,MATCH($F142,'ESG'!$B$10:$B$16,0))),"N/A")</f>
        <v/>
      </c>
      <c r="Q142" s="25">
        <f>IFERROR(IF(INDEX('CIOG'!$Q$10:$Q$13,MATCH($F142,'CIOG'!$B$10:$B$13,0))="","Cell will autofill based on response",INDEX('CIOG'!$Q$10:$Q$13,MATCH($F142,'CIOG'!$B$10:$B$13,0))),"N/A")</f>
        <v/>
      </c>
      <c r="R142" s="25">
        <f>IFERROR(IF(INDEX('MRE'!$Q$10:$Q$11,MATCH($F142,'MRE'!$B$10:$B$11,0))="","Cell will autofill based on response",INDEX('MRE'!$Q$10:$Q$11,MATCH($F142,'MRE'!$B$10:$B$11,0))),"N/A")</f>
        <v/>
      </c>
    </row>
    <row r="143">
      <c r="A143">
        <f>F143&amp;"|"&amp;G143</f>
        <v/>
      </c>
      <c r="B143" s="7" t="inlineStr">
        <is>
          <t>CL3(a)</t>
        </is>
      </c>
      <c r="C143" s="12" t="inlineStr">
        <is>
          <t>Climate leadership</t>
        </is>
      </c>
      <c r="D143" s="12"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43" s="12" t="inlineStr">
        <is>
          <t>Provide update of University maturity assesment. Include maturity ratings, key gaps and priority improvement actions.when available</t>
        </is>
      </c>
      <c r="F143" s="12" t="inlineStr">
        <is>
          <t>CL3(a)</t>
        </is>
      </c>
      <c r="G143" s="12" t="inlineStr">
        <is>
          <t>Confirm end-2026 target status</t>
        </is>
      </c>
      <c r="H143" s="25">
        <f>IFERROR(IF(INDEX('Faculties'!$L$10:$L$29,MATCH($F143,'Faculties'!$B$10:$B$29,0))="","Cell will autofill based on response",INDEX('Faculties'!$L$10:$L$29,MATCH($F143,'Faculties'!$B$10:$B$29,0))),"N/A")</f>
        <v/>
      </c>
      <c r="I143" s="25">
        <f>IFERROR(IF(INDEX('Faculties'!$L$37:$L$56,MATCH($F143,'Faculties'!$B$37:$B$56,0))="","Cell will autofill based on response",INDEX('Faculties'!$L$37:$L$56,MATCH($F143,'Faculties'!$B$37:$B$56,0))),"N/A")</f>
        <v/>
      </c>
      <c r="J143" s="25">
        <f>IFERROR(IF(INDEX('Faculties'!$L$64:$L$83,MATCH($F143,'Faculties'!$B$64:$B$83,0))="","Cell will autofill based on response",INDEX('Faculties'!$L$64:$L$83,MATCH($F143,'Faculties'!$B$64:$B$83,0))),"N/A")</f>
        <v/>
      </c>
      <c r="K143" s="25">
        <f>IFERROR(IF(INDEX('Faculties'!$L$91:$L$110,MATCH($F143,'Faculties'!$B$91:$B$110,0))="","Cell will autofill based on response",INDEX('Faculties'!$L$91:$L$110,MATCH($F143,'Faculties'!$B$91:$B$110,0))),"N/A")</f>
        <v/>
      </c>
      <c r="L143" s="25">
        <f>IFERROR(IF(INDEX('CI&amp;S'!$L$10:$L$14,MATCH($F143,'CI&amp;S'!$B$10:$B$14,0))="","Cell will autofill based on response",INDEX('CI&amp;S'!$L$10:$L$14,MATCH($F143,'CI&amp;S'!$B$10:$B$14,0))),"N/A")</f>
        <v/>
      </c>
      <c r="M143" s="25">
        <f>IFERROR(IF(INDEX('CI&amp;S'!$L$22:$L$38,MATCH($F143,'CI&amp;S'!$B$22:$B$38,0))="","Cell will autofill based on response",INDEX('CI&amp;S'!$L$22:$L$38,MATCH($F143,'CI&amp;S'!$B$22:$B$38,0))),"N/A")</f>
        <v/>
      </c>
      <c r="N143" s="25">
        <f>IFERROR(IF(INDEX('CFOG'!$L$10:$L$15,MATCH($F143,'CFOG'!$B$10:$B$15,0))="","Cell will autofill based on response",INDEX('CFOG'!$L$10:$L$15,MATCH($F143,'CFOG'!$B$10:$B$15,0))),"N/A")</f>
        <v/>
      </c>
      <c r="O143" s="25">
        <f>IFERROR(IF(INDEX('CFOG'!$L$23:$L$23,MATCH($F143,'CFOG'!$B$23:$B$23,0))="","Cell will autofill based on response",INDEX('CFOG'!$L$23:$L$23,MATCH($F143,'CFOG'!$B$23:$B$23,0))),"N/A")</f>
        <v/>
      </c>
      <c r="P143" s="25">
        <f>IFERROR(IF(INDEX('ESG'!$L$10:$L$16,MATCH($F143,'ESG'!$B$10:$B$16,0))="","Cell will autofill based on response",INDEX('ESG'!$L$10:$L$16,MATCH($F143,'ESG'!$B$10:$B$16,0))),"N/A")</f>
        <v/>
      </c>
      <c r="Q143" s="25">
        <f>IFERROR(IF(INDEX('CIOG'!$L$10:$L$13,MATCH($F143,'CIOG'!$B$10:$B$13,0))="","Cell will autofill based on response",INDEX('CIOG'!$L$10:$L$13,MATCH($F143,'CIOG'!$B$10:$B$13,0))),"N/A")</f>
        <v/>
      </c>
      <c r="R143" s="25">
        <f>IFERROR(IF(INDEX('MRE'!$L$10:$L$11,MATCH($F143,'MRE'!$B$10:$B$11,0))="","Cell will autofill based on response",INDEX('MRE'!$L$10:$L$11,MATCH($F143,'MRE'!$B$10:$B$11,0))),"N/A")</f>
        <v/>
      </c>
      <c r="T143" s="26">
        <f>COUNTIF($H143:$R143,"Cell will autofill based on response")</f>
        <v/>
      </c>
      <c r="U143" s="26">
        <f>COUNTIF($H143:$R143,"Not yet started")</f>
        <v/>
      </c>
      <c r="V143" s="26">
        <f>COUNTIF($H143:$R143,"Not met")</f>
        <v/>
      </c>
      <c r="W143" s="26">
        <f>COUNTIF($H143:$R143,"Partially met")</f>
        <v/>
      </c>
      <c r="X143" s="26">
        <f>COUNTIF($H143:$R143,"Met or exceeded")</f>
        <v/>
      </c>
      <c r="Y143" s="26">
        <f>3*X143+2*W143+V143</f>
        <v/>
      </c>
      <c r="Z143" s="26">
        <f>X143+W143+V143+U143</f>
        <v/>
      </c>
      <c r="AA143" s="27">
        <f>IF(Z143&gt;0,Y143/Z143,"No valid responses to date")</f>
        <v/>
      </c>
      <c r="AB143" s="26">
        <f>IF(ISNUMBER(AA143),INDEX(Lists!$G$2:$G$5,MATCH(ROUND(AA143,0),Lists!$H$2:$H$5,0)),"")</f>
        <v/>
      </c>
      <c r="AC143" s="28">
        <f>IF(Z143&gt;0,X143/Z143,"")</f>
        <v/>
      </c>
      <c r="AD143" s="28">
        <f>IF(Z143&gt;0,(X143+W143)/Z143,"")</f>
        <v/>
      </c>
      <c r="AE143" s="26">
        <f>IF(Z143=0,"",IF(AC143&gt;0.75,"Met or exceeded",IF(AD143&gt;=0.5,"Partially met","Not met")))</f>
        <v/>
      </c>
    </row>
    <row r="144">
      <c r="A144">
        <f>F144&amp;"|"&amp;G144</f>
        <v/>
      </c>
      <c r="B144" s="29" t="inlineStr"/>
      <c r="C144" s="8" t="inlineStr"/>
      <c r="D144" s="8" t="inlineStr"/>
      <c r="E144" s="8" t="inlineStr"/>
      <c r="F144" s="8" t="inlineStr">
        <is>
          <t>CL3(a)</t>
        </is>
      </c>
      <c r="G144" s="8" t="inlineStr">
        <is>
          <t>OPTION 1:  Target-level reporting</t>
        </is>
      </c>
      <c r="H144" s="25">
        <f>IFERROR(IF(INDEX('Faculties'!$M$10:$M$29,MATCH($F144,'Faculties'!$B$10:$B$29,0))="","Cell will autofill based on response",INDEX('Faculties'!$M$10:$M$29,MATCH($F144,'Faculties'!$B$10:$B$29,0))),"N/A")</f>
        <v/>
      </c>
      <c r="I144" s="25">
        <f>IFERROR(IF(INDEX('Faculties'!$M$37:$M$56,MATCH($F144,'Faculties'!$B$37:$B$56,0))="","Cell will autofill based on response",INDEX('Faculties'!$M$37:$M$56,MATCH($F144,'Faculties'!$B$37:$B$56,0))),"N/A")</f>
        <v/>
      </c>
      <c r="J144" s="25">
        <f>IFERROR(IF(INDEX('Faculties'!$M$64:$M$83,MATCH($F144,'Faculties'!$B$64:$B$83,0))="","Cell will autofill based on response",INDEX('Faculties'!$M$64:$M$83,MATCH($F144,'Faculties'!$B$64:$B$83,0))),"N/A")</f>
        <v/>
      </c>
      <c r="K144" s="25">
        <f>IFERROR(IF(INDEX('Faculties'!$M$91:$M$110,MATCH($F144,'Faculties'!$B$91:$B$110,0))="","Cell will autofill based on response",INDEX('Faculties'!$M$91:$M$110,MATCH($F144,'Faculties'!$B$91:$B$110,0))),"N/A")</f>
        <v/>
      </c>
      <c r="L144" s="25">
        <f>IFERROR(IF(INDEX('CI&amp;S'!$M$10:$M$14,MATCH($F144,'CI&amp;S'!$B$10:$B$14,0))="","Cell will autofill based on response",INDEX('CI&amp;S'!$M$10:$M$14,MATCH($F144,'CI&amp;S'!$B$10:$B$14,0))),"N/A")</f>
        <v/>
      </c>
      <c r="M144" s="25">
        <f>IFERROR(IF(INDEX('CI&amp;S'!$M$22:$M$38,MATCH($F144,'CI&amp;S'!$B$22:$B$38,0))="","Cell will autofill based on response",INDEX('CI&amp;S'!$M$22:$M$38,MATCH($F144,'CI&amp;S'!$B$22:$B$38,0))),"N/A")</f>
        <v/>
      </c>
      <c r="N144" s="25">
        <f>IFERROR(IF(INDEX('CFOG'!$M$10:$M$15,MATCH($F144,'CFOG'!$B$10:$B$15,0))="","Cell will autofill based on response",INDEX('CFOG'!$M$10:$M$15,MATCH($F144,'CFOG'!$B$10:$B$15,0))),"N/A")</f>
        <v/>
      </c>
      <c r="O144" s="25">
        <f>IFERROR(IF(INDEX('CFOG'!$M$23:$M$23,MATCH($F144,'CFOG'!$B$23:$B$23,0))="","Cell will autofill based on response",INDEX('CFOG'!$M$23:$M$23,MATCH($F144,'CFOG'!$B$23:$B$23,0))),"N/A")</f>
        <v/>
      </c>
      <c r="P144" s="25">
        <f>IFERROR(IF(INDEX('ESG'!$M$10:$M$16,MATCH($F144,'ESG'!$B$10:$B$16,0))="","Cell will autofill based on response",INDEX('ESG'!$M$10:$M$16,MATCH($F144,'ESG'!$B$10:$B$16,0))),"N/A")</f>
        <v/>
      </c>
      <c r="Q144" s="25">
        <f>IFERROR(IF(INDEX('CIOG'!$M$10:$M$13,MATCH($F144,'CIOG'!$B$10:$B$13,0))="","Cell will autofill based on response",INDEX('CIOG'!$M$10:$M$13,MATCH($F144,'CIOG'!$B$10:$B$13,0))),"N/A")</f>
        <v/>
      </c>
      <c r="R144" s="25">
        <f>IFERROR(IF(INDEX('MRE'!$M$10:$M$11,MATCH($F144,'MRE'!$B$10:$B$11,0))="","Cell will autofill based on response",INDEX('MRE'!$M$10:$M$11,MATCH($F144,'MRE'!$B$10:$B$11,0))),"N/A")</f>
        <v/>
      </c>
    </row>
    <row r="145">
      <c r="A145">
        <f>F145&amp;"|"&amp;G145</f>
        <v/>
      </c>
      <c r="B145" s="29" t="inlineStr"/>
      <c r="C145" s="8" t="inlineStr"/>
      <c r="D145" s="8" t="inlineStr"/>
      <c r="E145" s="8" t="inlineStr"/>
      <c r="F145" s="8" t="inlineStr">
        <is>
          <t>CL3(a)</t>
        </is>
      </c>
      <c r="G145" s="8" t="inlineStr">
        <is>
          <t>OPTION 2:  Indicator level reporting</t>
        </is>
      </c>
      <c r="H145" s="25">
        <f>IFERROR(IF(INDEX('Faculties'!$N$10:$N$29,MATCH($F145,'Faculties'!$B$10:$B$29,0))="","Cell will autofill based on response",INDEX('Faculties'!$N$10:$N$29,MATCH($F145,'Faculties'!$B$10:$B$29,0))),"N/A")</f>
        <v/>
      </c>
      <c r="I145" s="25">
        <f>IFERROR(IF(INDEX('Faculties'!$N$37:$N$56,MATCH($F145,'Faculties'!$B$37:$B$56,0))="","Cell will autofill based on response",INDEX('Faculties'!$N$37:$N$56,MATCH($F145,'Faculties'!$B$37:$B$56,0))),"N/A")</f>
        <v/>
      </c>
      <c r="J145" s="25">
        <f>IFERROR(IF(INDEX('Faculties'!$N$64:$N$83,MATCH($F145,'Faculties'!$B$64:$B$83,0))="","Cell will autofill based on response",INDEX('Faculties'!$N$64:$N$83,MATCH($F145,'Faculties'!$B$64:$B$83,0))),"N/A")</f>
        <v/>
      </c>
      <c r="K145" s="25">
        <f>IFERROR(IF(INDEX('Faculties'!$N$91:$N$110,MATCH($F145,'Faculties'!$B$91:$B$110,0))="","Cell will autofill based on response",INDEX('Faculties'!$N$91:$N$110,MATCH($F145,'Faculties'!$B$91:$B$110,0))),"N/A")</f>
        <v/>
      </c>
      <c r="L145" s="25">
        <f>IFERROR(IF(INDEX('CI&amp;S'!$N$10:$N$14,MATCH($F145,'CI&amp;S'!$B$10:$B$14,0))="","Cell will autofill based on response",INDEX('CI&amp;S'!$N$10:$N$14,MATCH($F145,'CI&amp;S'!$B$10:$B$14,0))),"N/A")</f>
        <v/>
      </c>
      <c r="M145" s="25">
        <f>IFERROR(IF(INDEX('CI&amp;S'!$N$22:$N$38,MATCH($F145,'CI&amp;S'!$B$22:$B$38,0))="","Cell will autofill based on response",INDEX('CI&amp;S'!$N$22:$N$38,MATCH($F145,'CI&amp;S'!$B$22:$B$38,0))),"N/A")</f>
        <v/>
      </c>
      <c r="N145" s="25">
        <f>IFERROR(IF(INDEX('CFOG'!$N$10:$N$15,MATCH($F145,'CFOG'!$B$10:$B$15,0))="","Cell will autofill based on response",INDEX('CFOG'!$N$10:$N$15,MATCH($F145,'CFOG'!$B$10:$B$15,0))),"N/A")</f>
        <v/>
      </c>
      <c r="O145" s="25">
        <f>IFERROR(IF(INDEX('CFOG'!$N$23:$N$23,MATCH($F145,'CFOG'!$B$23:$B$23,0))="","Cell will autofill based on response",INDEX('CFOG'!$N$23:$N$23,MATCH($F145,'CFOG'!$B$23:$B$23,0))),"N/A")</f>
        <v/>
      </c>
      <c r="P145" s="25">
        <f>IFERROR(IF(INDEX('ESG'!$N$10:$N$16,MATCH($F145,'ESG'!$B$10:$B$16,0))="","Cell will autofill based on response",INDEX('ESG'!$N$10:$N$16,MATCH($F145,'ESG'!$B$10:$B$16,0))),"N/A")</f>
        <v/>
      </c>
      <c r="Q145" s="25">
        <f>IFERROR(IF(INDEX('CIOG'!$N$10:$N$13,MATCH($F145,'CIOG'!$B$10:$B$13,0))="","Cell will autofill based on response",INDEX('CIOG'!$N$10:$N$13,MATCH($F145,'CIOG'!$B$10:$B$13,0))),"N/A")</f>
        <v/>
      </c>
      <c r="R145" s="25">
        <f>IFERROR(IF(INDEX('MRE'!$N$10:$N$11,MATCH($F145,'MRE'!$B$10:$B$11,0))="","Cell will autofill based on response",INDEX('MRE'!$N$10:$N$11,MATCH($F145,'MRE'!$B$10:$B$11,0))),"N/A")</f>
        <v/>
      </c>
    </row>
    <row r="146">
      <c r="A146">
        <f>F146&amp;"|"&amp;G146</f>
        <v/>
      </c>
      <c r="B146" s="29" t="inlineStr"/>
      <c r="C146" s="8" t="inlineStr"/>
      <c r="D146" s="8" t="inlineStr"/>
      <c r="E146" s="8" t="inlineStr"/>
      <c r="F146" s="8" t="inlineStr">
        <is>
          <t>CL3(a)</t>
        </is>
      </c>
      <c r="G146" s="8" t="inlineStr">
        <is>
          <t>Supporting information/comments</t>
        </is>
      </c>
      <c r="H146" s="25">
        <f>IFERROR(IF(INDEX('Faculties'!$O$10:$O$29,MATCH($F146,'Faculties'!$B$10:$B$29,0))="","Cell will autofill based on response",INDEX('Faculties'!$O$10:$O$29,MATCH($F146,'Faculties'!$B$10:$B$29,0))),"N/A")</f>
        <v/>
      </c>
      <c r="I146" s="25">
        <f>IFERROR(IF(INDEX('Faculties'!$O$37:$O$56,MATCH($F146,'Faculties'!$B$37:$B$56,0))="","Cell will autofill based on response",INDEX('Faculties'!$O$37:$O$56,MATCH($F146,'Faculties'!$B$37:$B$56,0))),"N/A")</f>
        <v/>
      </c>
      <c r="J146" s="25">
        <f>IFERROR(IF(INDEX('Faculties'!$O$64:$O$83,MATCH($F146,'Faculties'!$B$64:$B$83,0))="","Cell will autofill based on response",INDEX('Faculties'!$O$64:$O$83,MATCH($F146,'Faculties'!$B$64:$B$83,0))),"N/A")</f>
        <v/>
      </c>
      <c r="K146" s="25">
        <f>IFERROR(IF(INDEX('Faculties'!$O$91:$O$110,MATCH($F146,'Faculties'!$B$91:$B$110,0))="","Cell will autofill based on response",INDEX('Faculties'!$O$91:$O$110,MATCH($F146,'Faculties'!$B$91:$B$110,0))),"N/A")</f>
        <v/>
      </c>
      <c r="L146" s="25">
        <f>IFERROR(IF(INDEX('CI&amp;S'!$O$10:$O$14,MATCH($F146,'CI&amp;S'!$B$10:$B$14,0))="","Cell will autofill based on response",INDEX('CI&amp;S'!$O$10:$O$14,MATCH($F146,'CI&amp;S'!$B$10:$B$14,0))),"N/A")</f>
        <v/>
      </c>
      <c r="M146" s="25">
        <f>IFERROR(IF(INDEX('CI&amp;S'!$O$22:$O$38,MATCH($F146,'CI&amp;S'!$B$22:$B$38,0))="","Cell will autofill based on response",INDEX('CI&amp;S'!$O$22:$O$38,MATCH($F146,'CI&amp;S'!$B$22:$B$38,0))),"N/A")</f>
        <v/>
      </c>
      <c r="N146" s="25">
        <f>IFERROR(IF(INDEX('CFOG'!$O$10:$O$15,MATCH($F146,'CFOG'!$B$10:$B$15,0))="","Cell will autofill based on response",INDEX('CFOG'!$O$10:$O$15,MATCH($F146,'CFOG'!$B$10:$B$15,0))),"N/A")</f>
        <v/>
      </c>
      <c r="O146" s="25">
        <f>IFERROR(IF(INDEX('CFOG'!$O$23:$O$23,MATCH($F146,'CFOG'!$B$23:$B$23,0))="","Cell will autofill based on response",INDEX('CFOG'!$O$23:$O$23,MATCH($F146,'CFOG'!$B$23:$B$23,0))),"N/A")</f>
        <v/>
      </c>
      <c r="P146" s="25">
        <f>IFERROR(IF(INDEX('ESG'!$O$10:$O$16,MATCH($F146,'ESG'!$B$10:$B$16,0))="","Cell will autofill based on response",INDEX('ESG'!$O$10:$O$16,MATCH($F146,'ESG'!$B$10:$B$16,0))),"N/A")</f>
        <v/>
      </c>
      <c r="Q146" s="25">
        <f>IFERROR(IF(INDEX('CIOG'!$O$10:$O$13,MATCH($F146,'CIOG'!$B$10:$B$13,0))="","Cell will autofill based on response",INDEX('CIOG'!$O$10:$O$13,MATCH($F146,'CIOG'!$B$10:$B$13,0))),"N/A")</f>
        <v/>
      </c>
      <c r="R146" s="25">
        <f>IFERROR(IF(INDEX('MRE'!$O$10:$O$11,MATCH($F146,'MRE'!$B$10:$B$11,0))="","Cell will autofill based on response",INDEX('MRE'!$O$10:$O$11,MATCH($F146,'MRE'!$B$10:$B$11,0))),"N/A")</f>
        <v/>
      </c>
    </row>
    <row r="147">
      <c r="A147">
        <f>F147&amp;"|"&amp;G147</f>
        <v/>
      </c>
      <c r="B147" s="29" t="inlineStr"/>
      <c r="C147" s="8" t="inlineStr"/>
      <c r="D147" s="8" t="inlineStr"/>
      <c r="E147" s="8" t="inlineStr"/>
      <c r="F147" s="8" t="inlineStr">
        <is>
          <t>CL3(a)</t>
        </is>
      </c>
      <c r="G147" s="8" t="inlineStr">
        <is>
          <t>Data source and limitations</t>
        </is>
      </c>
      <c r="H147" s="25">
        <f>IFERROR(IF(INDEX('Faculties'!$P$10:$P$29,MATCH($F147,'Faculties'!$B$10:$B$29,0))="","Cell will autofill based on response",INDEX('Faculties'!$P$10:$P$29,MATCH($F147,'Faculties'!$B$10:$B$29,0))),"N/A")</f>
        <v/>
      </c>
      <c r="I147" s="25">
        <f>IFERROR(IF(INDEX('Faculties'!$P$37:$P$56,MATCH($F147,'Faculties'!$B$37:$B$56,0))="","Cell will autofill based on response",INDEX('Faculties'!$P$37:$P$56,MATCH($F147,'Faculties'!$B$37:$B$56,0))),"N/A")</f>
        <v/>
      </c>
      <c r="J147" s="25">
        <f>IFERROR(IF(INDEX('Faculties'!$P$64:$P$83,MATCH($F147,'Faculties'!$B$64:$B$83,0))="","Cell will autofill based on response",INDEX('Faculties'!$P$64:$P$83,MATCH($F147,'Faculties'!$B$64:$B$83,0))),"N/A")</f>
        <v/>
      </c>
      <c r="K147" s="25">
        <f>IFERROR(IF(INDEX('Faculties'!$P$91:$P$110,MATCH($F147,'Faculties'!$B$91:$B$110,0))="","Cell will autofill based on response",INDEX('Faculties'!$P$91:$P$110,MATCH($F147,'Faculties'!$B$91:$B$110,0))),"N/A")</f>
        <v/>
      </c>
      <c r="L147" s="25">
        <f>IFERROR(IF(INDEX('CI&amp;S'!$P$10:$P$14,MATCH($F147,'CI&amp;S'!$B$10:$B$14,0))="","Cell will autofill based on response",INDEX('CI&amp;S'!$P$10:$P$14,MATCH($F147,'CI&amp;S'!$B$10:$B$14,0))),"N/A")</f>
        <v/>
      </c>
      <c r="M147" s="25">
        <f>IFERROR(IF(INDEX('CI&amp;S'!$P$22:$P$38,MATCH($F147,'CI&amp;S'!$B$22:$B$38,0))="","Cell will autofill based on response",INDEX('CI&amp;S'!$P$22:$P$38,MATCH($F147,'CI&amp;S'!$B$22:$B$38,0))),"N/A")</f>
        <v/>
      </c>
      <c r="N147" s="25">
        <f>IFERROR(IF(INDEX('CFOG'!$P$10:$P$15,MATCH($F147,'CFOG'!$B$10:$B$15,0))="","Cell will autofill based on response",INDEX('CFOG'!$P$10:$P$15,MATCH($F147,'CFOG'!$B$10:$B$15,0))),"N/A")</f>
        <v/>
      </c>
      <c r="O147" s="25">
        <f>IFERROR(IF(INDEX('CFOG'!$P$23:$P$23,MATCH($F147,'CFOG'!$B$23:$B$23,0))="","Cell will autofill based on response",INDEX('CFOG'!$P$23:$P$23,MATCH($F147,'CFOG'!$B$23:$B$23,0))),"N/A")</f>
        <v/>
      </c>
      <c r="P147" s="25">
        <f>IFERROR(IF(INDEX('ESG'!$P$10:$P$16,MATCH($F147,'ESG'!$B$10:$B$16,0))="","Cell will autofill based on response",INDEX('ESG'!$P$10:$P$16,MATCH($F147,'ESG'!$B$10:$B$16,0))),"N/A")</f>
        <v/>
      </c>
      <c r="Q147" s="25">
        <f>IFERROR(IF(INDEX('CIOG'!$P$10:$P$13,MATCH($F147,'CIOG'!$B$10:$B$13,0))="","Cell will autofill based on response",INDEX('CIOG'!$P$10:$P$13,MATCH($F147,'CIOG'!$B$10:$B$13,0))),"N/A")</f>
        <v/>
      </c>
      <c r="R147" s="25">
        <f>IFERROR(IF(INDEX('MRE'!$P$10:$P$11,MATCH($F147,'MRE'!$B$10:$B$11,0))="","Cell will autofill based on response",INDEX('MRE'!$P$10:$P$11,MATCH($F147,'MRE'!$B$10:$B$11,0))),"N/A")</f>
        <v/>
      </c>
    </row>
    <row r="148">
      <c r="A148">
        <f>F148&amp;"|"&amp;G148</f>
        <v/>
      </c>
      <c r="B148" s="29" t="inlineStr"/>
      <c r="C148" s="8" t="inlineStr"/>
      <c r="D148" s="8" t="inlineStr"/>
      <c r="E148" s="8" t="inlineStr"/>
      <c r="F148" s="8" t="inlineStr">
        <is>
          <t>CL3(a)</t>
        </is>
      </c>
      <c r="G148" s="8" t="inlineStr">
        <is>
          <t>Data owner confirms</t>
        </is>
      </c>
      <c r="H148" s="25">
        <f>IFERROR(IF(INDEX('Faculties'!$Q$10:$Q$29,MATCH($F148,'Faculties'!$B$10:$B$29,0))="","Cell will autofill based on response",INDEX('Faculties'!$Q$10:$Q$29,MATCH($F148,'Faculties'!$B$10:$B$29,0))),"N/A")</f>
        <v/>
      </c>
      <c r="I148" s="25">
        <f>IFERROR(IF(INDEX('Faculties'!$Q$37:$Q$56,MATCH($F148,'Faculties'!$B$37:$B$56,0))="","Cell will autofill based on response",INDEX('Faculties'!$Q$37:$Q$56,MATCH($F148,'Faculties'!$B$37:$B$56,0))),"N/A")</f>
        <v/>
      </c>
      <c r="J148" s="25">
        <f>IFERROR(IF(INDEX('Faculties'!$Q$64:$Q$83,MATCH($F148,'Faculties'!$B$64:$B$83,0))="","Cell will autofill based on response",INDEX('Faculties'!$Q$64:$Q$83,MATCH($F148,'Faculties'!$B$64:$B$83,0))),"N/A")</f>
        <v/>
      </c>
      <c r="K148" s="25">
        <f>IFERROR(IF(INDEX('Faculties'!$Q$91:$Q$110,MATCH($F148,'Faculties'!$B$91:$B$110,0))="","Cell will autofill based on response",INDEX('Faculties'!$Q$91:$Q$110,MATCH($F148,'Faculties'!$B$91:$B$110,0))),"N/A")</f>
        <v/>
      </c>
      <c r="L148" s="25">
        <f>IFERROR(IF(INDEX('CI&amp;S'!$Q$10:$Q$14,MATCH($F148,'CI&amp;S'!$B$10:$B$14,0))="","Cell will autofill based on response",INDEX('CI&amp;S'!$Q$10:$Q$14,MATCH($F148,'CI&amp;S'!$B$10:$B$14,0))),"N/A")</f>
        <v/>
      </c>
      <c r="M148" s="25">
        <f>IFERROR(IF(INDEX('CI&amp;S'!$Q$22:$Q$38,MATCH($F148,'CI&amp;S'!$B$22:$B$38,0))="","Cell will autofill based on response",INDEX('CI&amp;S'!$Q$22:$Q$38,MATCH($F148,'CI&amp;S'!$B$22:$B$38,0))),"N/A")</f>
        <v/>
      </c>
      <c r="N148" s="25">
        <f>IFERROR(IF(INDEX('CFOG'!$Q$10:$Q$15,MATCH($F148,'CFOG'!$B$10:$B$15,0))="","Cell will autofill based on response",INDEX('CFOG'!$Q$10:$Q$15,MATCH($F148,'CFOG'!$B$10:$B$15,0))),"N/A")</f>
        <v/>
      </c>
      <c r="O148" s="25">
        <f>IFERROR(IF(INDEX('CFOG'!$Q$23:$Q$23,MATCH($F148,'CFOG'!$B$23:$B$23,0))="","Cell will autofill based on response",INDEX('CFOG'!$Q$23:$Q$23,MATCH($F148,'CFOG'!$B$23:$B$23,0))),"N/A")</f>
        <v/>
      </c>
      <c r="P148" s="25">
        <f>IFERROR(IF(INDEX('ESG'!$Q$10:$Q$16,MATCH($F148,'ESG'!$B$10:$B$16,0))="","Cell will autofill based on response",INDEX('ESG'!$Q$10:$Q$16,MATCH($F148,'ESG'!$B$10:$B$16,0))),"N/A")</f>
        <v/>
      </c>
      <c r="Q148" s="25">
        <f>IFERROR(IF(INDEX('CIOG'!$Q$10:$Q$13,MATCH($F148,'CIOG'!$B$10:$B$13,0))="","Cell will autofill based on response",INDEX('CIOG'!$Q$10:$Q$13,MATCH($F148,'CIOG'!$B$10:$B$13,0))),"N/A")</f>
        <v/>
      </c>
      <c r="R148" s="25">
        <f>IFERROR(IF(INDEX('MRE'!$Q$10:$Q$11,MATCH($F148,'MRE'!$B$10:$B$11,0))="","Cell will autofill based on response",INDEX('MRE'!$Q$10:$Q$11,MATCH($F148,'MRE'!$B$10:$B$11,0))),"N/A")</f>
        <v/>
      </c>
    </row>
    <row r="149">
      <c r="A149">
        <f>F149&amp;"|"&amp;G149</f>
        <v/>
      </c>
      <c r="B149" s="7" t="inlineStr">
        <is>
          <t>NB1(a)</t>
        </is>
      </c>
      <c r="C149" s="12" t="inlineStr">
        <is>
          <t>Nature and biodiversity</t>
        </is>
      </c>
      <c r="D149" s="12" t="inlineStr">
        <is>
          <t>Monitoring of biodiversity metrics from the Biodiversity Baseline Data Project</t>
        </is>
      </c>
      <c r="E149" s="12" t="inlineStr">
        <is>
          <t>7 diversity metrics from https://sustainablecampus.unimelb.edu.au/biodiversity/biodiversity-baseline-data-project#main-content</t>
        </is>
      </c>
      <c r="F149" s="12" t="inlineStr">
        <is>
          <t>NB1(a)</t>
        </is>
      </c>
      <c r="G149" s="12" t="inlineStr">
        <is>
          <t>Confirm end-2026 target status</t>
        </is>
      </c>
      <c r="H149" s="25">
        <f>IFERROR(IF(INDEX('Faculties'!$L$10:$L$29,MATCH($F149,'Faculties'!$B$10:$B$29,0))="","Cell will autofill based on response",INDEX('Faculties'!$L$10:$L$29,MATCH($F149,'Faculties'!$B$10:$B$29,0))),"N/A")</f>
        <v/>
      </c>
      <c r="I149" s="25">
        <f>IFERROR(IF(INDEX('Faculties'!$L$37:$L$56,MATCH($F149,'Faculties'!$B$37:$B$56,0))="","Cell will autofill based on response",INDEX('Faculties'!$L$37:$L$56,MATCH($F149,'Faculties'!$B$37:$B$56,0))),"N/A")</f>
        <v/>
      </c>
      <c r="J149" s="25">
        <f>IFERROR(IF(INDEX('Faculties'!$L$64:$L$83,MATCH($F149,'Faculties'!$B$64:$B$83,0))="","Cell will autofill based on response",INDEX('Faculties'!$L$64:$L$83,MATCH($F149,'Faculties'!$B$64:$B$83,0))),"N/A")</f>
        <v/>
      </c>
      <c r="K149" s="25">
        <f>IFERROR(IF(INDEX('Faculties'!$L$91:$L$110,MATCH($F149,'Faculties'!$B$91:$B$110,0))="","Cell will autofill based on response",INDEX('Faculties'!$L$91:$L$110,MATCH($F149,'Faculties'!$B$91:$B$110,0))),"N/A")</f>
        <v/>
      </c>
      <c r="L149" s="25">
        <f>IFERROR(IF(INDEX('CI&amp;S'!$L$10:$L$14,MATCH($F149,'CI&amp;S'!$B$10:$B$14,0))="","Cell will autofill based on response",INDEX('CI&amp;S'!$L$10:$L$14,MATCH($F149,'CI&amp;S'!$B$10:$B$14,0))),"N/A")</f>
        <v/>
      </c>
      <c r="M149" s="25">
        <f>IFERROR(IF(INDEX('CI&amp;S'!$L$22:$L$38,MATCH($F149,'CI&amp;S'!$B$22:$B$38,0))="","Cell will autofill based on response",INDEX('CI&amp;S'!$L$22:$L$38,MATCH($F149,'CI&amp;S'!$B$22:$B$38,0))),"N/A")</f>
        <v/>
      </c>
      <c r="N149" s="25">
        <f>IFERROR(IF(INDEX('CFOG'!$L$10:$L$15,MATCH($F149,'CFOG'!$B$10:$B$15,0))="","Cell will autofill based on response",INDEX('CFOG'!$L$10:$L$15,MATCH($F149,'CFOG'!$B$10:$B$15,0))),"N/A")</f>
        <v/>
      </c>
      <c r="O149" s="25">
        <f>IFERROR(IF(INDEX('CFOG'!$L$23:$L$23,MATCH($F149,'CFOG'!$B$23:$B$23,0))="","Cell will autofill based on response",INDEX('CFOG'!$L$23:$L$23,MATCH($F149,'CFOG'!$B$23:$B$23,0))),"N/A")</f>
        <v/>
      </c>
      <c r="P149" s="25">
        <f>IFERROR(IF(INDEX('ESG'!$L$10:$L$16,MATCH($F149,'ESG'!$B$10:$B$16,0))="","Cell will autofill based on response",INDEX('ESG'!$L$10:$L$16,MATCH($F149,'ESG'!$B$10:$B$16,0))),"N/A")</f>
        <v/>
      </c>
      <c r="Q149" s="25">
        <f>IFERROR(IF(INDEX('CIOG'!$L$10:$L$13,MATCH($F149,'CIOG'!$B$10:$B$13,0))="","Cell will autofill based on response",INDEX('CIOG'!$L$10:$L$13,MATCH($F149,'CIOG'!$B$10:$B$13,0))),"N/A")</f>
        <v/>
      </c>
      <c r="R149" s="25">
        <f>IFERROR(IF(INDEX('MRE'!$L$10:$L$11,MATCH($F149,'MRE'!$B$10:$B$11,0))="","Cell will autofill based on response",INDEX('MRE'!$L$10:$L$11,MATCH($F149,'MRE'!$B$10:$B$11,0))),"N/A")</f>
        <v/>
      </c>
      <c r="T149" s="26">
        <f>COUNTIF($H149:$R149,"Cell will autofill based on response")</f>
        <v/>
      </c>
      <c r="U149" s="26">
        <f>COUNTIF($H149:$R149,"Not yet started")</f>
        <v/>
      </c>
      <c r="V149" s="26">
        <f>COUNTIF($H149:$R149,"Not met")</f>
        <v/>
      </c>
      <c r="W149" s="26">
        <f>COUNTIF($H149:$R149,"Partially met")</f>
        <v/>
      </c>
      <c r="X149" s="26">
        <f>COUNTIF($H149:$R149,"Met or exceeded")</f>
        <v/>
      </c>
      <c r="Y149" s="26">
        <f>3*X149+2*W149+V149</f>
        <v/>
      </c>
      <c r="Z149" s="26">
        <f>X149+W149+V149+U149</f>
        <v/>
      </c>
      <c r="AA149" s="27">
        <f>IF(Z149&gt;0,Y149/Z149,"No valid responses to date")</f>
        <v/>
      </c>
      <c r="AB149" s="26">
        <f>IF(ISNUMBER(AA149),INDEX(Lists!$G$2:$G$5,MATCH(ROUND(AA149,0),Lists!$H$2:$H$5,0)),"")</f>
        <v/>
      </c>
      <c r="AC149" s="28">
        <f>IF(Z149&gt;0,X149/Z149,"")</f>
        <v/>
      </c>
      <c r="AD149" s="28">
        <f>IF(Z149&gt;0,(X149+W149)/Z149,"")</f>
        <v/>
      </c>
      <c r="AE149" s="26">
        <f>IF(Z149=0,"",IF(AC149&gt;0.75,"Met or exceeded",IF(AD149&gt;=0.5,"Partially met","Not met")))</f>
        <v/>
      </c>
    </row>
    <row r="150">
      <c r="A150">
        <f>F150&amp;"|"&amp;G150</f>
        <v/>
      </c>
      <c r="B150" s="29" t="inlineStr"/>
      <c r="C150" s="8" t="inlineStr"/>
      <c r="D150" s="8" t="inlineStr"/>
      <c r="E150" s="8" t="inlineStr"/>
      <c r="F150" s="8" t="inlineStr">
        <is>
          <t>NB1(a)</t>
        </is>
      </c>
      <c r="G150" s="8" t="inlineStr">
        <is>
          <t>OPTION 1:  Target-level reporting</t>
        </is>
      </c>
      <c r="H150" s="25">
        <f>IFERROR(IF(INDEX('Faculties'!$M$10:$M$29,MATCH($F150,'Faculties'!$B$10:$B$29,0))="","Cell will autofill based on response",INDEX('Faculties'!$M$10:$M$29,MATCH($F150,'Faculties'!$B$10:$B$29,0))),"N/A")</f>
        <v/>
      </c>
      <c r="I150" s="25">
        <f>IFERROR(IF(INDEX('Faculties'!$M$37:$M$56,MATCH($F150,'Faculties'!$B$37:$B$56,0))="","Cell will autofill based on response",INDEX('Faculties'!$M$37:$M$56,MATCH($F150,'Faculties'!$B$37:$B$56,0))),"N/A")</f>
        <v/>
      </c>
      <c r="J150" s="25">
        <f>IFERROR(IF(INDEX('Faculties'!$M$64:$M$83,MATCH($F150,'Faculties'!$B$64:$B$83,0))="","Cell will autofill based on response",INDEX('Faculties'!$M$64:$M$83,MATCH($F150,'Faculties'!$B$64:$B$83,0))),"N/A")</f>
        <v/>
      </c>
      <c r="K150" s="25">
        <f>IFERROR(IF(INDEX('Faculties'!$M$91:$M$110,MATCH($F150,'Faculties'!$B$91:$B$110,0))="","Cell will autofill based on response",INDEX('Faculties'!$M$91:$M$110,MATCH($F150,'Faculties'!$B$91:$B$110,0))),"N/A")</f>
        <v/>
      </c>
      <c r="L150" s="25">
        <f>IFERROR(IF(INDEX('CI&amp;S'!$M$10:$M$14,MATCH($F150,'CI&amp;S'!$B$10:$B$14,0))="","Cell will autofill based on response",INDEX('CI&amp;S'!$M$10:$M$14,MATCH($F150,'CI&amp;S'!$B$10:$B$14,0))),"N/A")</f>
        <v/>
      </c>
      <c r="M150" s="25">
        <f>IFERROR(IF(INDEX('CI&amp;S'!$M$22:$M$38,MATCH($F150,'CI&amp;S'!$B$22:$B$38,0))="","Cell will autofill based on response",INDEX('CI&amp;S'!$M$22:$M$38,MATCH($F150,'CI&amp;S'!$B$22:$B$38,0))),"N/A")</f>
        <v/>
      </c>
      <c r="N150" s="25">
        <f>IFERROR(IF(INDEX('CFOG'!$M$10:$M$15,MATCH($F150,'CFOG'!$B$10:$B$15,0))="","Cell will autofill based on response",INDEX('CFOG'!$M$10:$M$15,MATCH($F150,'CFOG'!$B$10:$B$15,0))),"N/A")</f>
        <v/>
      </c>
      <c r="O150" s="25">
        <f>IFERROR(IF(INDEX('CFOG'!$M$23:$M$23,MATCH($F150,'CFOG'!$B$23:$B$23,0))="","Cell will autofill based on response",INDEX('CFOG'!$M$23:$M$23,MATCH($F150,'CFOG'!$B$23:$B$23,0))),"N/A")</f>
        <v/>
      </c>
      <c r="P150" s="25">
        <f>IFERROR(IF(INDEX('ESG'!$M$10:$M$16,MATCH($F150,'ESG'!$B$10:$B$16,0))="","Cell will autofill based on response",INDEX('ESG'!$M$10:$M$16,MATCH($F150,'ESG'!$B$10:$B$16,0))),"N/A")</f>
        <v/>
      </c>
      <c r="Q150" s="25">
        <f>IFERROR(IF(INDEX('CIOG'!$M$10:$M$13,MATCH($F150,'CIOG'!$B$10:$B$13,0))="","Cell will autofill based on response",INDEX('CIOG'!$M$10:$M$13,MATCH($F150,'CIOG'!$B$10:$B$13,0))),"N/A")</f>
        <v/>
      </c>
      <c r="R150" s="25">
        <f>IFERROR(IF(INDEX('MRE'!$M$10:$M$11,MATCH($F150,'MRE'!$B$10:$B$11,0))="","Cell will autofill based on response",INDEX('MRE'!$M$10:$M$11,MATCH($F150,'MRE'!$B$10:$B$11,0))),"N/A")</f>
        <v/>
      </c>
    </row>
    <row r="151">
      <c r="A151">
        <f>F151&amp;"|"&amp;G151</f>
        <v/>
      </c>
      <c r="B151" s="29" t="inlineStr"/>
      <c r="C151" s="8" t="inlineStr"/>
      <c r="D151" s="8" t="inlineStr"/>
      <c r="E151" s="8" t="inlineStr"/>
      <c r="F151" s="8" t="inlineStr">
        <is>
          <t>NB1(a)</t>
        </is>
      </c>
      <c r="G151" s="8" t="inlineStr">
        <is>
          <t>OPTION 2:  Indicator level reporting</t>
        </is>
      </c>
      <c r="H151" s="25">
        <f>IFERROR(IF(INDEX('Faculties'!$N$10:$N$29,MATCH($F151,'Faculties'!$B$10:$B$29,0))="","Cell will autofill based on response",INDEX('Faculties'!$N$10:$N$29,MATCH($F151,'Faculties'!$B$10:$B$29,0))),"N/A")</f>
        <v/>
      </c>
      <c r="I151" s="25">
        <f>IFERROR(IF(INDEX('Faculties'!$N$37:$N$56,MATCH($F151,'Faculties'!$B$37:$B$56,0))="","Cell will autofill based on response",INDEX('Faculties'!$N$37:$N$56,MATCH($F151,'Faculties'!$B$37:$B$56,0))),"N/A")</f>
        <v/>
      </c>
      <c r="J151" s="25">
        <f>IFERROR(IF(INDEX('Faculties'!$N$64:$N$83,MATCH($F151,'Faculties'!$B$64:$B$83,0))="","Cell will autofill based on response",INDEX('Faculties'!$N$64:$N$83,MATCH($F151,'Faculties'!$B$64:$B$83,0))),"N/A")</f>
        <v/>
      </c>
      <c r="K151" s="25">
        <f>IFERROR(IF(INDEX('Faculties'!$N$91:$N$110,MATCH($F151,'Faculties'!$B$91:$B$110,0))="","Cell will autofill based on response",INDEX('Faculties'!$N$91:$N$110,MATCH($F151,'Faculties'!$B$91:$B$110,0))),"N/A")</f>
        <v/>
      </c>
      <c r="L151" s="25">
        <f>IFERROR(IF(INDEX('CI&amp;S'!$N$10:$N$14,MATCH($F151,'CI&amp;S'!$B$10:$B$14,0))="","Cell will autofill based on response",INDEX('CI&amp;S'!$N$10:$N$14,MATCH($F151,'CI&amp;S'!$B$10:$B$14,0))),"N/A")</f>
        <v/>
      </c>
      <c r="M151" s="25">
        <f>IFERROR(IF(INDEX('CI&amp;S'!$N$22:$N$38,MATCH($F151,'CI&amp;S'!$B$22:$B$38,0))="","Cell will autofill based on response",INDEX('CI&amp;S'!$N$22:$N$38,MATCH($F151,'CI&amp;S'!$B$22:$B$38,0))),"N/A")</f>
        <v/>
      </c>
      <c r="N151" s="25">
        <f>IFERROR(IF(INDEX('CFOG'!$N$10:$N$15,MATCH($F151,'CFOG'!$B$10:$B$15,0))="","Cell will autofill based on response",INDEX('CFOG'!$N$10:$N$15,MATCH($F151,'CFOG'!$B$10:$B$15,0))),"N/A")</f>
        <v/>
      </c>
      <c r="O151" s="25">
        <f>IFERROR(IF(INDEX('CFOG'!$N$23:$N$23,MATCH($F151,'CFOG'!$B$23:$B$23,0))="","Cell will autofill based on response",INDEX('CFOG'!$N$23:$N$23,MATCH($F151,'CFOG'!$B$23:$B$23,0))),"N/A")</f>
        <v/>
      </c>
      <c r="P151" s="25">
        <f>IFERROR(IF(INDEX('ESG'!$N$10:$N$16,MATCH($F151,'ESG'!$B$10:$B$16,0))="","Cell will autofill based on response",INDEX('ESG'!$N$10:$N$16,MATCH($F151,'ESG'!$B$10:$B$16,0))),"N/A")</f>
        <v/>
      </c>
      <c r="Q151" s="25">
        <f>IFERROR(IF(INDEX('CIOG'!$N$10:$N$13,MATCH($F151,'CIOG'!$B$10:$B$13,0))="","Cell will autofill based on response",INDEX('CIOG'!$N$10:$N$13,MATCH($F151,'CIOG'!$B$10:$B$13,0))),"N/A")</f>
        <v/>
      </c>
      <c r="R151" s="25">
        <f>IFERROR(IF(INDEX('MRE'!$N$10:$N$11,MATCH($F151,'MRE'!$B$10:$B$11,0))="","Cell will autofill based on response",INDEX('MRE'!$N$10:$N$11,MATCH($F151,'MRE'!$B$10:$B$11,0))),"N/A")</f>
        <v/>
      </c>
    </row>
    <row r="152">
      <c r="A152">
        <f>F152&amp;"|"&amp;G152</f>
        <v/>
      </c>
      <c r="B152" s="29" t="inlineStr"/>
      <c r="C152" s="8" t="inlineStr"/>
      <c r="D152" s="8" t="inlineStr"/>
      <c r="E152" s="8" t="inlineStr"/>
      <c r="F152" s="8" t="inlineStr">
        <is>
          <t>NB1(a)</t>
        </is>
      </c>
      <c r="G152" s="8" t="inlineStr">
        <is>
          <t>Supporting information/comments</t>
        </is>
      </c>
      <c r="H152" s="25">
        <f>IFERROR(IF(INDEX('Faculties'!$O$10:$O$29,MATCH($F152,'Faculties'!$B$10:$B$29,0))="","Cell will autofill based on response",INDEX('Faculties'!$O$10:$O$29,MATCH($F152,'Faculties'!$B$10:$B$29,0))),"N/A")</f>
        <v/>
      </c>
      <c r="I152" s="25">
        <f>IFERROR(IF(INDEX('Faculties'!$O$37:$O$56,MATCH($F152,'Faculties'!$B$37:$B$56,0))="","Cell will autofill based on response",INDEX('Faculties'!$O$37:$O$56,MATCH($F152,'Faculties'!$B$37:$B$56,0))),"N/A")</f>
        <v/>
      </c>
      <c r="J152" s="25">
        <f>IFERROR(IF(INDEX('Faculties'!$O$64:$O$83,MATCH($F152,'Faculties'!$B$64:$B$83,0))="","Cell will autofill based on response",INDEX('Faculties'!$O$64:$O$83,MATCH($F152,'Faculties'!$B$64:$B$83,0))),"N/A")</f>
        <v/>
      </c>
      <c r="K152" s="25">
        <f>IFERROR(IF(INDEX('Faculties'!$O$91:$O$110,MATCH($F152,'Faculties'!$B$91:$B$110,0))="","Cell will autofill based on response",INDEX('Faculties'!$O$91:$O$110,MATCH($F152,'Faculties'!$B$91:$B$110,0))),"N/A")</f>
        <v/>
      </c>
      <c r="L152" s="25">
        <f>IFERROR(IF(INDEX('CI&amp;S'!$O$10:$O$14,MATCH($F152,'CI&amp;S'!$B$10:$B$14,0))="","Cell will autofill based on response",INDEX('CI&amp;S'!$O$10:$O$14,MATCH($F152,'CI&amp;S'!$B$10:$B$14,0))),"N/A")</f>
        <v/>
      </c>
      <c r="M152" s="25">
        <f>IFERROR(IF(INDEX('CI&amp;S'!$O$22:$O$38,MATCH($F152,'CI&amp;S'!$B$22:$B$38,0))="","Cell will autofill based on response",INDEX('CI&amp;S'!$O$22:$O$38,MATCH($F152,'CI&amp;S'!$B$22:$B$38,0))),"N/A")</f>
        <v/>
      </c>
      <c r="N152" s="25">
        <f>IFERROR(IF(INDEX('CFOG'!$O$10:$O$15,MATCH($F152,'CFOG'!$B$10:$B$15,0))="","Cell will autofill based on response",INDEX('CFOG'!$O$10:$O$15,MATCH($F152,'CFOG'!$B$10:$B$15,0))),"N/A")</f>
        <v/>
      </c>
      <c r="O152" s="25">
        <f>IFERROR(IF(INDEX('CFOG'!$O$23:$O$23,MATCH($F152,'CFOG'!$B$23:$B$23,0))="","Cell will autofill based on response",INDEX('CFOG'!$O$23:$O$23,MATCH($F152,'CFOG'!$B$23:$B$23,0))),"N/A")</f>
        <v/>
      </c>
      <c r="P152" s="25">
        <f>IFERROR(IF(INDEX('ESG'!$O$10:$O$16,MATCH($F152,'ESG'!$B$10:$B$16,0))="","Cell will autofill based on response",INDEX('ESG'!$O$10:$O$16,MATCH($F152,'ESG'!$B$10:$B$16,0))),"N/A")</f>
        <v/>
      </c>
      <c r="Q152" s="25">
        <f>IFERROR(IF(INDEX('CIOG'!$O$10:$O$13,MATCH($F152,'CIOG'!$B$10:$B$13,0))="","Cell will autofill based on response",INDEX('CIOG'!$O$10:$O$13,MATCH($F152,'CIOG'!$B$10:$B$13,0))),"N/A")</f>
        <v/>
      </c>
      <c r="R152" s="25">
        <f>IFERROR(IF(INDEX('MRE'!$O$10:$O$11,MATCH($F152,'MRE'!$B$10:$B$11,0))="","Cell will autofill based on response",INDEX('MRE'!$O$10:$O$11,MATCH($F152,'MRE'!$B$10:$B$11,0))),"N/A")</f>
        <v/>
      </c>
    </row>
    <row r="153">
      <c r="A153">
        <f>F153&amp;"|"&amp;G153</f>
        <v/>
      </c>
      <c r="B153" s="29" t="inlineStr"/>
      <c r="C153" s="8" t="inlineStr"/>
      <c r="D153" s="8" t="inlineStr"/>
      <c r="E153" s="8" t="inlineStr"/>
      <c r="F153" s="8" t="inlineStr">
        <is>
          <t>NB1(a)</t>
        </is>
      </c>
      <c r="G153" s="8" t="inlineStr">
        <is>
          <t>Data source and limitations</t>
        </is>
      </c>
      <c r="H153" s="25">
        <f>IFERROR(IF(INDEX('Faculties'!$P$10:$P$29,MATCH($F153,'Faculties'!$B$10:$B$29,0))="","Cell will autofill based on response",INDEX('Faculties'!$P$10:$P$29,MATCH($F153,'Faculties'!$B$10:$B$29,0))),"N/A")</f>
        <v/>
      </c>
      <c r="I153" s="25">
        <f>IFERROR(IF(INDEX('Faculties'!$P$37:$P$56,MATCH($F153,'Faculties'!$B$37:$B$56,0))="","Cell will autofill based on response",INDEX('Faculties'!$P$37:$P$56,MATCH($F153,'Faculties'!$B$37:$B$56,0))),"N/A")</f>
        <v/>
      </c>
      <c r="J153" s="25">
        <f>IFERROR(IF(INDEX('Faculties'!$P$64:$P$83,MATCH($F153,'Faculties'!$B$64:$B$83,0))="","Cell will autofill based on response",INDEX('Faculties'!$P$64:$P$83,MATCH($F153,'Faculties'!$B$64:$B$83,0))),"N/A")</f>
        <v/>
      </c>
      <c r="K153" s="25">
        <f>IFERROR(IF(INDEX('Faculties'!$P$91:$P$110,MATCH($F153,'Faculties'!$B$91:$B$110,0))="","Cell will autofill based on response",INDEX('Faculties'!$P$91:$P$110,MATCH($F153,'Faculties'!$B$91:$B$110,0))),"N/A")</f>
        <v/>
      </c>
      <c r="L153" s="25">
        <f>IFERROR(IF(INDEX('CI&amp;S'!$P$10:$P$14,MATCH($F153,'CI&amp;S'!$B$10:$B$14,0))="","Cell will autofill based on response",INDEX('CI&amp;S'!$P$10:$P$14,MATCH($F153,'CI&amp;S'!$B$10:$B$14,0))),"N/A")</f>
        <v/>
      </c>
      <c r="M153" s="25">
        <f>IFERROR(IF(INDEX('CI&amp;S'!$P$22:$P$38,MATCH($F153,'CI&amp;S'!$B$22:$B$38,0))="","Cell will autofill based on response",INDEX('CI&amp;S'!$P$22:$P$38,MATCH($F153,'CI&amp;S'!$B$22:$B$38,0))),"N/A")</f>
        <v/>
      </c>
      <c r="N153" s="25">
        <f>IFERROR(IF(INDEX('CFOG'!$P$10:$P$15,MATCH($F153,'CFOG'!$B$10:$B$15,0))="","Cell will autofill based on response",INDEX('CFOG'!$P$10:$P$15,MATCH($F153,'CFOG'!$B$10:$B$15,0))),"N/A")</f>
        <v/>
      </c>
      <c r="O153" s="25">
        <f>IFERROR(IF(INDEX('CFOG'!$P$23:$P$23,MATCH($F153,'CFOG'!$B$23:$B$23,0))="","Cell will autofill based on response",INDEX('CFOG'!$P$23:$P$23,MATCH($F153,'CFOG'!$B$23:$B$23,0))),"N/A")</f>
        <v/>
      </c>
      <c r="P153" s="25">
        <f>IFERROR(IF(INDEX('ESG'!$P$10:$P$16,MATCH($F153,'ESG'!$B$10:$B$16,0))="","Cell will autofill based on response",INDEX('ESG'!$P$10:$P$16,MATCH($F153,'ESG'!$B$10:$B$16,0))),"N/A")</f>
        <v/>
      </c>
      <c r="Q153" s="25">
        <f>IFERROR(IF(INDEX('CIOG'!$P$10:$P$13,MATCH($F153,'CIOG'!$B$10:$B$13,0))="","Cell will autofill based on response",INDEX('CIOG'!$P$10:$P$13,MATCH($F153,'CIOG'!$B$10:$B$13,0))),"N/A")</f>
        <v/>
      </c>
      <c r="R153" s="25">
        <f>IFERROR(IF(INDEX('MRE'!$P$10:$P$11,MATCH($F153,'MRE'!$B$10:$B$11,0))="","Cell will autofill based on response",INDEX('MRE'!$P$10:$P$11,MATCH($F153,'MRE'!$B$10:$B$11,0))),"N/A")</f>
        <v/>
      </c>
    </row>
    <row r="154">
      <c r="A154">
        <f>F154&amp;"|"&amp;G154</f>
        <v/>
      </c>
      <c r="B154" s="29" t="inlineStr"/>
      <c r="C154" s="8" t="inlineStr"/>
      <c r="D154" s="8" t="inlineStr"/>
      <c r="E154" s="8" t="inlineStr"/>
      <c r="F154" s="8" t="inlineStr">
        <is>
          <t>NB1(a)</t>
        </is>
      </c>
      <c r="G154" s="8" t="inlineStr">
        <is>
          <t>Data owner confirms</t>
        </is>
      </c>
      <c r="H154" s="25">
        <f>IFERROR(IF(INDEX('Faculties'!$Q$10:$Q$29,MATCH($F154,'Faculties'!$B$10:$B$29,0))="","Cell will autofill based on response",INDEX('Faculties'!$Q$10:$Q$29,MATCH($F154,'Faculties'!$B$10:$B$29,0))),"N/A")</f>
        <v/>
      </c>
      <c r="I154" s="25">
        <f>IFERROR(IF(INDEX('Faculties'!$Q$37:$Q$56,MATCH($F154,'Faculties'!$B$37:$B$56,0))="","Cell will autofill based on response",INDEX('Faculties'!$Q$37:$Q$56,MATCH($F154,'Faculties'!$B$37:$B$56,0))),"N/A")</f>
        <v/>
      </c>
      <c r="J154" s="25">
        <f>IFERROR(IF(INDEX('Faculties'!$Q$64:$Q$83,MATCH($F154,'Faculties'!$B$64:$B$83,0))="","Cell will autofill based on response",INDEX('Faculties'!$Q$64:$Q$83,MATCH($F154,'Faculties'!$B$64:$B$83,0))),"N/A")</f>
        <v/>
      </c>
      <c r="K154" s="25">
        <f>IFERROR(IF(INDEX('Faculties'!$Q$91:$Q$110,MATCH($F154,'Faculties'!$B$91:$B$110,0))="","Cell will autofill based on response",INDEX('Faculties'!$Q$91:$Q$110,MATCH($F154,'Faculties'!$B$91:$B$110,0))),"N/A")</f>
        <v/>
      </c>
      <c r="L154" s="25">
        <f>IFERROR(IF(INDEX('CI&amp;S'!$Q$10:$Q$14,MATCH($F154,'CI&amp;S'!$B$10:$B$14,0))="","Cell will autofill based on response",INDEX('CI&amp;S'!$Q$10:$Q$14,MATCH($F154,'CI&amp;S'!$B$10:$B$14,0))),"N/A")</f>
        <v/>
      </c>
      <c r="M154" s="25">
        <f>IFERROR(IF(INDEX('CI&amp;S'!$Q$22:$Q$38,MATCH($F154,'CI&amp;S'!$B$22:$B$38,0))="","Cell will autofill based on response",INDEX('CI&amp;S'!$Q$22:$Q$38,MATCH($F154,'CI&amp;S'!$B$22:$B$38,0))),"N/A")</f>
        <v/>
      </c>
      <c r="N154" s="25">
        <f>IFERROR(IF(INDEX('CFOG'!$Q$10:$Q$15,MATCH($F154,'CFOG'!$B$10:$B$15,0))="","Cell will autofill based on response",INDEX('CFOG'!$Q$10:$Q$15,MATCH($F154,'CFOG'!$B$10:$B$15,0))),"N/A")</f>
        <v/>
      </c>
      <c r="O154" s="25">
        <f>IFERROR(IF(INDEX('CFOG'!$Q$23:$Q$23,MATCH($F154,'CFOG'!$B$23:$B$23,0))="","Cell will autofill based on response",INDEX('CFOG'!$Q$23:$Q$23,MATCH($F154,'CFOG'!$B$23:$B$23,0))),"N/A")</f>
        <v/>
      </c>
      <c r="P154" s="25">
        <f>IFERROR(IF(INDEX('ESG'!$Q$10:$Q$16,MATCH($F154,'ESG'!$B$10:$B$16,0))="","Cell will autofill based on response",INDEX('ESG'!$Q$10:$Q$16,MATCH($F154,'ESG'!$B$10:$B$16,0))),"N/A")</f>
        <v/>
      </c>
      <c r="Q154" s="25">
        <f>IFERROR(IF(INDEX('CIOG'!$Q$10:$Q$13,MATCH($F154,'CIOG'!$B$10:$B$13,0))="","Cell will autofill based on response",INDEX('CIOG'!$Q$10:$Q$13,MATCH($F154,'CIOG'!$B$10:$B$13,0))),"N/A")</f>
        <v/>
      </c>
      <c r="R154" s="25">
        <f>IFERROR(IF(INDEX('MRE'!$Q$10:$Q$11,MATCH($F154,'MRE'!$B$10:$B$11,0))="","Cell will autofill based on response",INDEX('MRE'!$Q$10:$Q$11,MATCH($F154,'MRE'!$B$10:$B$11,0))),"N/A")</f>
        <v/>
      </c>
    </row>
    <row r="155">
      <c r="A155">
        <f>F155&amp;"|"&amp;G155</f>
        <v/>
      </c>
      <c r="B155" s="7" t="inlineStr">
        <is>
          <t>NB1(b)</t>
        </is>
      </c>
      <c r="C155" s="12" t="inlineStr">
        <is>
          <t>Nature and biodiversity</t>
        </is>
      </c>
      <c r="D155" s="12" t="inlineStr">
        <is>
          <t>Size, health and diversity of remnant vegetation at the Dookie and Creswick campuses</t>
        </is>
      </c>
      <c r="E155" s="12" t="inlineStr"/>
      <c r="F155" s="12" t="inlineStr">
        <is>
          <t>NB1(b)</t>
        </is>
      </c>
      <c r="G155" s="12" t="inlineStr">
        <is>
          <t>Confirm end-2026 target status</t>
        </is>
      </c>
      <c r="H155" s="25">
        <f>IFERROR(IF(INDEX('Faculties'!$L$10:$L$29,MATCH($F155,'Faculties'!$B$10:$B$29,0))="","Cell will autofill based on response",INDEX('Faculties'!$L$10:$L$29,MATCH($F155,'Faculties'!$B$10:$B$29,0))),"N/A")</f>
        <v/>
      </c>
      <c r="I155" s="25">
        <f>IFERROR(IF(INDEX('Faculties'!$L$37:$L$56,MATCH($F155,'Faculties'!$B$37:$B$56,0))="","Cell will autofill based on response",INDEX('Faculties'!$L$37:$L$56,MATCH($F155,'Faculties'!$B$37:$B$56,0))),"N/A")</f>
        <v/>
      </c>
      <c r="J155" s="25">
        <f>IFERROR(IF(INDEX('Faculties'!$L$64:$L$83,MATCH($F155,'Faculties'!$B$64:$B$83,0))="","Cell will autofill based on response",INDEX('Faculties'!$L$64:$L$83,MATCH($F155,'Faculties'!$B$64:$B$83,0))),"N/A")</f>
        <v/>
      </c>
      <c r="K155" s="25">
        <f>IFERROR(IF(INDEX('Faculties'!$L$91:$L$110,MATCH($F155,'Faculties'!$B$91:$B$110,0))="","Cell will autofill based on response",INDEX('Faculties'!$L$91:$L$110,MATCH($F155,'Faculties'!$B$91:$B$110,0))),"N/A")</f>
        <v/>
      </c>
      <c r="L155" s="25">
        <f>IFERROR(IF(INDEX('CI&amp;S'!$L$10:$L$14,MATCH($F155,'CI&amp;S'!$B$10:$B$14,0))="","Cell will autofill based on response",INDEX('CI&amp;S'!$L$10:$L$14,MATCH($F155,'CI&amp;S'!$B$10:$B$14,0))),"N/A")</f>
        <v/>
      </c>
      <c r="M155" s="25">
        <f>IFERROR(IF(INDEX('CI&amp;S'!$L$22:$L$38,MATCH($F155,'CI&amp;S'!$B$22:$B$38,0))="","Cell will autofill based on response",INDEX('CI&amp;S'!$L$22:$L$38,MATCH($F155,'CI&amp;S'!$B$22:$B$38,0))),"N/A")</f>
        <v/>
      </c>
      <c r="N155" s="25">
        <f>IFERROR(IF(INDEX('CFOG'!$L$10:$L$15,MATCH($F155,'CFOG'!$B$10:$B$15,0))="","Cell will autofill based on response",INDEX('CFOG'!$L$10:$L$15,MATCH($F155,'CFOG'!$B$10:$B$15,0))),"N/A")</f>
        <v/>
      </c>
      <c r="O155" s="25">
        <f>IFERROR(IF(INDEX('CFOG'!$L$23:$L$23,MATCH($F155,'CFOG'!$B$23:$B$23,0))="","Cell will autofill based on response",INDEX('CFOG'!$L$23:$L$23,MATCH($F155,'CFOG'!$B$23:$B$23,0))),"N/A")</f>
        <v/>
      </c>
      <c r="P155" s="25">
        <f>IFERROR(IF(INDEX('ESG'!$L$10:$L$16,MATCH($F155,'ESG'!$B$10:$B$16,0))="","Cell will autofill based on response",INDEX('ESG'!$L$10:$L$16,MATCH($F155,'ESG'!$B$10:$B$16,0))),"N/A")</f>
        <v/>
      </c>
      <c r="Q155" s="25">
        <f>IFERROR(IF(INDEX('CIOG'!$L$10:$L$13,MATCH($F155,'CIOG'!$B$10:$B$13,0))="","Cell will autofill based on response",INDEX('CIOG'!$L$10:$L$13,MATCH($F155,'CIOG'!$B$10:$B$13,0))),"N/A")</f>
        <v/>
      </c>
      <c r="R155" s="25">
        <f>IFERROR(IF(INDEX('MRE'!$L$10:$L$11,MATCH($F155,'MRE'!$B$10:$B$11,0))="","Cell will autofill based on response",INDEX('MRE'!$L$10:$L$11,MATCH($F155,'MRE'!$B$10:$B$11,0))),"N/A")</f>
        <v/>
      </c>
      <c r="T155" s="26">
        <f>COUNTIF($H155:$R155,"Cell will autofill based on response")</f>
        <v/>
      </c>
      <c r="U155" s="26">
        <f>COUNTIF($H155:$R155,"Not yet started")</f>
        <v/>
      </c>
      <c r="V155" s="26">
        <f>COUNTIF($H155:$R155,"Not met")</f>
        <v/>
      </c>
      <c r="W155" s="26">
        <f>COUNTIF($H155:$R155,"Partially met")</f>
        <v/>
      </c>
      <c r="X155" s="26">
        <f>COUNTIF($H155:$R155,"Met or exceeded")</f>
        <v/>
      </c>
      <c r="Y155" s="26">
        <f>3*X155+2*W155+V155</f>
        <v/>
      </c>
      <c r="Z155" s="26">
        <f>X155+W155+V155+U155</f>
        <v/>
      </c>
      <c r="AA155" s="27">
        <f>IF(Z155&gt;0,Y155/Z155,"No valid responses to date")</f>
        <v/>
      </c>
      <c r="AB155" s="26">
        <f>IF(ISNUMBER(AA155),INDEX(Lists!$G$2:$G$5,MATCH(ROUND(AA155,0),Lists!$H$2:$H$5,0)),"")</f>
        <v/>
      </c>
      <c r="AC155" s="28">
        <f>IF(Z155&gt;0,X155/Z155,"")</f>
        <v/>
      </c>
      <c r="AD155" s="28">
        <f>IF(Z155&gt;0,(X155+W155)/Z155,"")</f>
        <v/>
      </c>
      <c r="AE155" s="26">
        <f>IF(Z155=0,"",IF(AC155&gt;0.75,"Met or exceeded",IF(AD155&gt;=0.5,"Partially met","Not met")))</f>
        <v/>
      </c>
    </row>
    <row r="156">
      <c r="A156">
        <f>F156&amp;"|"&amp;G156</f>
        <v/>
      </c>
      <c r="B156" s="29" t="inlineStr"/>
      <c r="C156" s="8" t="inlineStr"/>
      <c r="D156" s="8" t="inlineStr"/>
      <c r="E156" s="8" t="inlineStr"/>
      <c r="F156" s="8" t="inlineStr">
        <is>
          <t>NB1(b)</t>
        </is>
      </c>
      <c r="G156" s="8" t="inlineStr">
        <is>
          <t>OPTION 1:  Target-level reporting</t>
        </is>
      </c>
      <c r="H156" s="25">
        <f>IFERROR(IF(INDEX('Faculties'!$M$10:$M$29,MATCH($F156,'Faculties'!$B$10:$B$29,0))="","Cell will autofill based on response",INDEX('Faculties'!$M$10:$M$29,MATCH($F156,'Faculties'!$B$10:$B$29,0))),"N/A")</f>
        <v/>
      </c>
      <c r="I156" s="25">
        <f>IFERROR(IF(INDEX('Faculties'!$M$37:$M$56,MATCH($F156,'Faculties'!$B$37:$B$56,0))="","Cell will autofill based on response",INDEX('Faculties'!$M$37:$M$56,MATCH($F156,'Faculties'!$B$37:$B$56,0))),"N/A")</f>
        <v/>
      </c>
      <c r="J156" s="25">
        <f>IFERROR(IF(INDEX('Faculties'!$M$64:$M$83,MATCH($F156,'Faculties'!$B$64:$B$83,0))="","Cell will autofill based on response",INDEX('Faculties'!$M$64:$M$83,MATCH($F156,'Faculties'!$B$64:$B$83,0))),"N/A")</f>
        <v/>
      </c>
      <c r="K156" s="25">
        <f>IFERROR(IF(INDEX('Faculties'!$M$91:$M$110,MATCH($F156,'Faculties'!$B$91:$B$110,0))="","Cell will autofill based on response",INDEX('Faculties'!$M$91:$M$110,MATCH($F156,'Faculties'!$B$91:$B$110,0))),"N/A")</f>
        <v/>
      </c>
      <c r="L156" s="25">
        <f>IFERROR(IF(INDEX('CI&amp;S'!$M$10:$M$14,MATCH($F156,'CI&amp;S'!$B$10:$B$14,0))="","Cell will autofill based on response",INDEX('CI&amp;S'!$M$10:$M$14,MATCH($F156,'CI&amp;S'!$B$10:$B$14,0))),"N/A")</f>
        <v/>
      </c>
      <c r="M156" s="25">
        <f>IFERROR(IF(INDEX('CI&amp;S'!$M$22:$M$38,MATCH($F156,'CI&amp;S'!$B$22:$B$38,0))="","Cell will autofill based on response",INDEX('CI&amp;S'!$M$22:$M$38,MATCH($F156,'CI&amp;S'!$B$22:$B$38,0))),"N/A")</f>
        <v/>
      </c>
      <c r="N156" s="25">
        <f>IFERROR(IF(INDEX('CFOG'!$M$10:$M$15,MATCH($F156,'CFOG'!$B$10:$B$15,0))="","Cell will autofill based on response",INDEX('CFOG'!$M$10:$M$15,MATCH($F156,'CFOG'!$B$10:$B$15,0))),"N/A")</f>
        <v/>
      </c>
      <c r="O156" s="25">
        <f>IFERROR(IF(INDEX('CFOG'!$M$23:$M$23,MATCH($F156,'CFOG'!$B$23:$B$23,0))="","Cell will autofill based on response",INDEX('CFOG'!$M$23:$M$23,MATCH($F156,'CFOG'!$B$23:$B$23,0))),"N/A")</f>
        <v/>
      </c>
      <c r="P156" s="25">
        <f>IFERROR(IF(INDEX('ESG'!$M$10:$M$16,MATCH($F156,'ESG'!$B$10:$B$16,0))="","Cell will autofill based on response",INDEX('ESG'!$M$10:$M$16,MATCH($F156,'ESG'!$B$10:$B$16,0))),"N/A")</f>
        <v/>
      </c>
      <c r="Q156" s="25">
        <f>IFERROR(IF(INDEX('CIOG'!$M$10:$M$13,MATCH($F156,'CIOG'!$B$10:$B$13,0))="","Cell will autofill based on response",INDEX('CIOG'!$M$10:$M$13,MATCH($F156,'CIOG'!$B$10:$B$13,0))),"N/A")</f>
        <v/>
      </c>
      <c r="R156" s="25">
        <f>IFERROR(IF(INDEX('MRE'!$M$10:$M$11,MATCH($F156,'MRE'!$B$10:$B$11,0))="","Cell will autofill based on response",INDEX('MRE'!$M$10:$M$11,MATCH($F156,'MRE'!$B$10:$B$11,0))),"N/A")</f>
        <v/>
      </c>
    </row>
    <row r="157">
      <c r="A157">
        <f>F157&amp;"|"&amp;G157</f>
        <v/>
      </c>
      <c r="B157" s="29" t="inlineStr"/>
      <c r="C157" s="8" t="inlineStr"/>
      <c r="D157" s="8" t="inlineStr"/>
      <c r="E157" s="8" t="inlineStr"/>
      <c r="F157" s="8" t="inlineStr">
        <is>
          <t>NB1(b)</t>
        </is>
      </c>
      <c r="G157" s="8" t="inlineStr">
        <is>
          <t>OPTION 2:  Indicator level reporting</t>
        </is>
      </c>
      <c r="H157" s="25">
        <f>IFERROR(IF(INDEX('Faculties'!$N$10:$N$29,MATCH($F157,'Faculties'!$B$10:$B$29,0))="","Cell will autofill based on response",INDEX('Faculties'!$N$10:$N$29,MATCH($F157,'Faculties'!$B$10:$B$29,0))),"N/A")</f>
        <v/>
      </c>
      <c r="I157" s="25">
        <f>IFERROR(IF(INDEX('Faculties'!$N$37:$N$56,MATCH($F157,'Faculties'!$B$37:$B$56,0))="","Cell will autofill based on response",INDEX('Faculties'!$N$37:$N$56,MATCH($F157,'Faculties'!$B$37:$B$56,0))),"N/A")</f>
        <v/>
      </c>
      <c r="J157" s="25">
        <f>IFERROR(IF(INDEX('Faculties'!$N$64:$N$83,MATCH($F157,'Faculties'!$B$64:$B$83,0))="","Cell will autofill based on response",INDEX('Faculties'!$N$64:$N$83,MATCH($F157,'Faculties'!$B$64:$B$83,0))),"N/A")</f>
        <v/>
      </c>
      <c r="K157" s="25">
        <f>IFERROR(IF(INDEX('Faculties'!$N$91:$N$110,MATCH($F157,'Faculties'!$B$91:$B$110,0))="","Cell will autofill based on response",INDEX('Faculties'!$N$91:$N$110,MATCH($F157,'Faculties'!$B$91:$B$110,0))),"N/A")</f>
        <v/>
      </c>
      <c r="L157" s="25">
        <f>IFERROR(IF(INDEX('CI&amp;S'!$N$10:$N$14,MATCH($F157,'CI&amp;S'!$B$10:$B$14,0))="","Cell will autofill based on response",INDEX('CI&amp;S'!$N$10:$N$14,MATCH($F157,'CI&amp;S'!$B$10:$B$14,0))),"N/A")</f>
        <v/>
      </c>
      <c r="M157" s="25">
        <f>IFERROR(IF(INDEX('CI&amp;S'!$N$22:$N$38,MATCH($F157,'CI&amp;S'!$B$22:$B$38,0))="","Cell will autofill based on response",INDEX('CI&amp;S'!$N$22:$N$38,MATCH($F157,'CI&amp;S'!$B$22:$B$38,0))),"N/A")</f>
        <v/>
      </c>
      <c r="N157" s="25">
        <f>IFERROR(IF(INDEX('CFOG'!$N$10:$N$15,MATCH($F157,'CFOG'!$B$10:$B$15,0))="","Cell will autofill based on response",INDEX('CFOG'!$N$10:$N$15,MATCH($F157,'CFOG'!$B$10:$B$15,0))),"N/A")</f>
        <v/>
      </c>
      <c r="O157" s="25">
        <f>IFERROR(IF(INDEX('CFOG'!$N$23:$N$23,MATCH($F157,'CFOG'!$B$23:$B$23,0))="","Cell will autofill based on response",INDEX('CFOG'!$N$23:$N$23,MATCH($F157,'CFOG'!$B$23:$B$23,0))),"N/A")</f>
        <v/>
      </c>
      <c r="P157" s="25">
        <f>IFERROR(IF(INDEX('ESG'!$N$10:$N$16,MATCH($F157,'ESG'!$B$10:$B$16,0))="","Cell will autofill based on response",INDEX('ESG'!$N$10:$N$16,MATCH($F157,'ESG'!$B$10:$B$16,0))),"N/A")</f>
        <v/>
      </c>
      <c r="Q157" s="25">
        <f>IFERROR(IF(INDEX('CIOG'!$N$10:$N$13,MATCH($F157,'CIOG'!$B$10:$B$13,0))="","Cell will autofill based on response",INDEX('CIOG'!$N$10:$N$13,MATCH($F157,'CIOG'!$B$10:$B$13,0))),"N/A")</f>
        <v/>
      </c>
      <c r="R157" s="25">
        <f>IFERROR(IF(INDEX('MRE'!$N$10:$N$11,MATCH($F157,'MRE'!$B$10:$B$11,0))="","Cell will autofill based on response",INDEX('MRE'!$N$10:$N$11,MATCH($F157,'MRE'!$B$10:$B$11,0))),"N/A")</f>
        <v/>
      </c>
    </row>
    <row r="158">
      <c r="A158">
        <f>F158&amp;"|"&amp;G158</f>
        <v/>
      </c>
      <c r="B158" s="29" t="inlineStr"/>
      <c r="C158" s="8" t="inlineStr"/>
      <c r="D158" s="8" t="inlineStr"/>
      <c r="E158" s="8" t="inlineStr"/>
      <c r="F158" s="8" t="inlineStr">
        <is>
          <t>NB1(b)</t>
        </is>
      </c>
      <c r="G158" s="8" t="inlineStr">
        <is>
          <t>Supporting information/comments</t>
        </is>
      </c>
      <c r="H158" s="25">
        <f>IFERROR(IF(INDEX('Faculties'!$O$10:$O$29,MATCH($F158,'Faculties'!$B$10:$B$29,0))="","Cell will autofill based on response",INDEX('Faculties'!$O$10:$O$29,MATCH($F158,'Faculties'!$B$10:$B$29,0))),"N/A")</f>
        <v/>
      </c>
      <c r="I158" s="25">
        <f>IFERROR(IF(INDEX('Faculties'!$O$37:$O$56,MATCH($F158,'Faculties'!$B$37:$B$56,0))="","Cell will autofill based on response",INDEX('Faculties'!$O$37:$O$56,MATCH($F158,'Faculties'!$B$37:$B$56,0))),"N/A")</f>
        <v/>
      </c>
      <c r="J158" s="25">
        <f>IFERROR(IF(INDEX('Faculties'!$O$64:$O$83,MATCH($F158,'Faculties'!$B$64:$B$83,0))="","Cell will autofill based on response",INDEX('Faculties'!$O$64:$O$83,MATCH($F158,'Faculties'!$B$64:$B$83,0))),"N/A")</f>
        <v/>
      </c>
      <c r="K158" s="25">
        <f>IFERROR(IF(INDEX('Faculties'!$O$91:$O$110,MATCH($F158,'Faculties'!$B$91:$B$110,0))="","Cell will autofill based on response",INDEX('Faculties'!$O$91:$O$110,MATCH($F158,'Faculties'!$B$91:$B$110,0))),"N/A")</f>
        <v/>
      </c>
      <c r="L158" s="25">
        <f>IFERROR(IF(INDEX('CI&amp;S'!$O$10:$O$14,MATCH($F158,'CI&amp;S'!$B$10:$B$14,0))="","Cell will autofill based on response",INDEX('CI&amp;S'!$O$10:$O$14,MATCH($F158,'CI&amp;S'!$B$10:$B$14,0))),"N/A")</f>
        <v/>
      </c>
      <c r="M158" s="25">
        <f>IFERROR(IF(INDEX('CI&amp;S'!$O$22:$O$38,MATCH($F158,'CI&amp;S'!$B$22:$B$38,0))="","Cell will autofill based on response",INDEX('CI&amp;S'!$O$22:$O$38,MATCH($F158,'CI&amp;S'!$B$22:$B$38,0))),"N/A")</f>
        <v/>
      </c>
      <c r="N158" s="25">
        <f>IFERROR(IF(INDEX('CFOG'!$O$10:$O$15,MATCH($F158,'CFOG'!$B$10:$B$15,0))="","Cell will autofill based on response",INDEX('CFOG'!$O$10:$O$15,MATCH($F158,'CFOG'!$B$10:$B$15,0))),"N/A")</f>
        <v/>
      </c>
      <c r="O158" s="25">
        <f>IFERROR(IF(INDEX('CFOG'!$O$23:$O$23,MATCH($F158,'CFOG'!$B$23:$B$23,0))="","Cell will autofill based on response",INDEX('CFOG'!$O$23:$O$23,MATCH($F158,'CFOG'!$B$23:$B$23,0))),"N/A")</f>
        <v/>
      </c>
      <c r="P158" s="25">
        <f>IFERROR(IF(INDEX('ESG'!$O$10:$O$16,MATCH($F158,'ESG'!$B$10:$B$16,0))="","Cell will autofill based on response",INDEX('ESG'!$O$10:$O$16,MATCH($F158,'ESG'!$B$10:$B$16,0))),"N/A")</f>
        <v/>
      </c>
      <c r="Q158" s="25">
        <f>IFERROR(IF(INDEX('CIOG'!$O$10:$O$13,MATCH($F158,'CIOG'!$B$10:$B$13,0))="","Cell will autofill based on response",INDEX('CIOG'!$O$10:$O$13,MATCH($F158,'CIOG'!$B$10:$B$13,0))),"N/A")</f>
        <v/>
      </c>
      <c r="R158" s="25">
        <f>IFERROR(IF(INDEX('MRE'!$O$10:$O$11,MATCH($F158,'MRE'!$B$10:$B$11,0))="","Cell will autofill based on response",INDEX('MRE'!$O$10:$O$11,MATCH($F158,'MRE'!$B$10:$B$11,0))),"N/A")</f>
        <v/>
      </c>
    </row>
    <row r="159">
      <c r="A159">
        <f>F159&amp;"|"&amp;G159</f>
        <v/>
      </c>
      <c r="B159" s="29" t="inlineStr"/>
      <c r="C159" s="8" t="inlineStr"/>
      <c r="D159" s="8" t="inlineStr"/>
      <c r="E159" s="8" t="inlineStr"/>
      <c r="F159" s="8" t="inlineStr">
        <is>
          <t>NB1(b)</t>
        </is>
      </c>
      <c r="G159" s="8" t="inlineStr">
        <is>
          <t>Data source and limitations</t>
        </is>
      </c>
      <c r="H159" s="25">
        <f>IFERROR(IF(INDEX('Faculties'!$P$10:$P$29,MATCH($F159,'Faculties'!$B$10:$B$29,0))="","Cell will autofill based on response",INDEX('Faculties'!$P$10:$P$29,MATCH($F159,'Faculties'!$B$10:$B$29,0))),"N/A")</f>
        <v/>
      </c>
      <c r="I159" s="25">
        <f>IFERROR(IF(INDEX('Faculties'!$P$37:$P$56,MATCH($F159,'Faculties'!$B$37:$B$56,0))="","Cell will autofill based on response",INDEX('Faculties'!$P$37:$P$56,MATCH($F159,'Faculties'!$B$37:$B$56,0))),"N/A")</f>
        <v/>
      </c>
      <c r="J159" s="25">
        <f>IFERROR(IF(INDEX('Faculties'!$P$64:$P$83,MATCH($F159,'Faculties'!$B$64:$B$83,0))="","Cell will autofill based on response",INDEX('Faculties'!$P$64:$P$83,MATCH($F159,'Faculties'!$B$64:$B$83,0))),"N/A")</f>
        <v/>
      </c>
      <c r="K159" s="25">
        <f>IFERROR(IF(INDEX('Faculties'!$P$91:$P$110,MATCH($F159,'Faculties'!$B$91:$B$110,0))="","Cell will autofill based on response",INDEX('Faculties'!$P$91:$P$110,MATCH($F159,'Faculties'!$B$91:$B$110,0))),"N/A")</f>
        <v/>
      </c>
      <c r="L159" s="25">
        <f>IFERROR(IF(INDEX('CI&amp;S'!$P$10:$P$14,MATCH($F159,'CI&amp;S'!$B$10:$B$14,0))="","Cell will autofill based on response",INDEX('CI&amp;S'!$P$10:$P$14,MATCH($F159,'CI&amp;S'!$B$10:$B$14,0))),"N/A")</f>
        <v/>
      </c>
      <c r="M159" s="25">
        <f>IFERROR(IF(INDEX('CI&amp;S'!$P$22:$P$38,MATCH($F159,'CI&amp;S'!$B$22:$B$38,0))="","Cell will autofill based on response",INDEX('CI&amp;S'!$P$22:$P$38,MATCH($F159,'CI&amp;S'!$B$22:$B$38,0))),"N/A")</f>
        <v/>
      </c>
      <c r="N159" s="25">
        <f>IFERROR(IF(INDEX('CFOG'!$P$10:$P$15,MATCH($F159,'CFOG'!$B$10:$B$15,0))="","Cell will autofill based on response",INDEX('CFOG'!$P$10:$P$15,MATCH($F159,'CFOG'!$B$10:$B$15,0))),"N/A")</f>
        <v/>
      </c>
      <c r="O159" s="25">
        <f>IFERROR(IF(INDEX('CFOG'!$P$23:$P$23,MATCH($F159,'CFOG'!$B$23:$B$23,0))="","Cell will autofill based on response",INDEX('CFOG'!$P$23:$P$23,MATCH($F159,'CFOG'!$B$23:$B$23,0))),"N/A")</f>
        <v/>
      </c>
      <c r="P159" s="25">
        <f>IFERROR(IF(INDEX('ESG'!$P$10:$P$16,MATCH($F159,'ESG'!$B$10:$B$16,0))="","Cell will autofill based on response",INDEX('ESG'!$P$10:$P$16,MATCH($F159,'ESG'!$B$10:$B$16,0))),"N/A")</f>
        <v/>
      </c>
      <c r="Q159" s="25">
        <f>IFERROR(IF(INDEX('CIOG'!$P$10:$P$13,MATCH($F159,'CIOG'!$B$10:$B$13,0))="","Cell will autofill based on response",INDEX('CIOG'!$P$10:$P$13,MATCH($F159,'CIOG'!$B$10:$B$13,0))),"N/A")</f>
        <v/>
      </c>
      <c r="R159" s="25">
        <f>IFERROR(IF(INDEX('MRE'!$P$10:$P$11,MATCH($F159,'MRE'!$B$10:$B$11,0))="","Cell will autofill based on response",INDEX('MRE'!$P$10:$P$11,MATCH($F159,'MRE'!$B$10:$B$11,0))),"N/A")</f>
        <v/>
      </c>
    </row>
    <row r="160">
      <c r="A160">
        <f>F160&amp;"|"&amp;G160</f>
        <v/>
      </c>
      <c r="B160" s="29" t="inlineStr"/>
      <c r="C160" s="8" t="inlineStr"/>
      <c r="D160" s="8" t="inlineStr"/>
      <c r="E160" s="8" t="inlineStr"/>
      <c r="F160" s="8" t="inlineStr">
        <is>
          <t>NB1(b)</t>
        </is>
      </c>
      <c r="G160" s="8" t="inlineStr">
        <is>
          <t>Data owner confirms</t>
        </is>
      </c>
      <c r="H160" s="25">
        <f>IFERROR(IF(INDEX('Faculties'!$Q$10:$Q$29,MATCH($F160,'Faculties'!$B$10:$B$29,0))="","Cell will autofill based on response",INDEX('Faculties'!$Q$10:$Q$29,MATCH($F160,'Faculties'!$B$10:$B$29,0))),"N/A")</f>
        <v/>
      </c>
      <c r="I160" s="25">
        <f>IFERROR(IF(INDEX('Faculties'!$Q$37:$Q$56,MATCH($F160,'Faculties'!$B$37:$B$56,0))="","Cell will autofill based on response",INDEX('Faculties'!$Q$37:$Q$56,MATCH($F160,'Faculties'!$B$37:$B$56,0))),"N/A")</f>
        <v/>
      </c>
      <c r="J160" s="25">
        <f>IFERROR(IF(INDEX('Faculties'!$Q$64:$Q$83,MATCH($F160,'Faculties'!$B$64:$B$83,0))="","Cell will autofill based on response",INDEX('Faculties'!$Q$64:$Q$83,MATCH($F160,'Faculties'!$B$64:$B$83,0))),"N/A")</f>
        <v/>
      </c>
      <c r="K160" s="25">
        <f>IFERROR(IF(INDEX('Faculties'!$Q$91:$Q$110,MATCH($F160,'Faculties'!$B$91:$B$110,0))="","Cell will autofill based on response",INDEX('Faculties'!$Q$91:$Q$110,MATCH($F160,'Faculties'!$B$91:$B$110,0))),"N/A")</f>
        <v/>
      </c>
      <c r="L160" s="25">
        <f>IFERROR(IF(INDEX('CI&amp;S'!$Q$10:$Q$14,MATCH($F160,'CI&amp;S'!$B$10:$B$14,0))="","Cell will autofill based on response",INDEX('CI&amp;S'!$Q$10:$Q$14,MATCH($F160,'CI&amp;S'!$B$10:$B$14,0))),"N/A")</f>
        <v/>
      </c>
      <c r="M160" s="25">
        <f>IFERROR(IF(INDEX('CI&amp;S'!$Q$22:$Q$38,MATCH($F160,'CI&amp;S'!$B$22:$B$38,0))="","Cell will autofill based on response",INDEX('CI&amp;S'!$Q$22:$Q$38,MATCH($F160,'CI&amp;S'!$B$22:$B$38,0))),"N/A")</f>
        <v/>
      </c>
      <c r="N160" s="25">
        <f>IFERROR(IF(INDEX('CFOG'!$Q$10:$Q$15,MATCH($F160,'CFOG'!$B$10:$B$15,0))="","Cell will autofill based on response",INDEX('CFOG'!$Q$10:$Q$15,MATCH($F160,'CFOG'!$B$10:$B$15,0))),"N/A")</f>
        <v/>
      </c>
      <c r="O160" s="25">
        <f>IFERROR(IF(INDEX('CFOG'!$Q$23:$Q$23,MATCH($F160,'CFOG'!$B$23:$B$23,0))="","Cell will autofill based on response",INDEX('CFOG'!$Q$23:$Q$23,MATCH($F160,'CFOG'!$B$23:$B$23,0))),"N/A")</f>
        <v/>
      </c>
      <c r="P160" s="25">
        <f>IFERROR(IF(INDEX('ESG'!$Q$10:$Q$16,MATCH($F160,'ESG'!$B$10:$B$16,0))="","Cell will autofill based on response",INDEX('ESG'!$Q$10:$Q$16,MATCH($F160,'ESG'!$B$10:$B$16,0))),"N/A")</f>
        <v/>
      </c>
      <c r="Q160" s="25">
        <f>IFERROR(IF(INDEX('CIOG'!$Q$10:$Q$13,MATCH($F160,'CIOG'!$B$10:$B$13,0))="","Cell will autofill based on response",INDEX('CIOG'!$Q$10:$Q$13,MATCH($F160,'CIOG'!$B$10:$B$13,0))),"N/A")</f>
        <v/>
      </c>
      <c r="R160" s="25">
        <f>IFERROR(IF(INDEX('MRE'!$Q$10:$Q$11,MATCH($F160,'MRE'!$B$10:$B$11,0))="","Cell will autofill based on response",INDEX('MRE'!$Q$10:$Q$11,MATCH($F160,'MRE'!$B$10:$B$11,0))),"N/A")</f>
        <v/>
      </c>
    </row>
    <row r="161">
      <c r="A161">
        <f>F161&amp;"|"&amp;G161</f>
        <v/>
      </c>
      <c r="B161" s="7" t="inlineStr">
        <is>
          <t>NB1(c)</t>
        </is>
      </c>
      <c r="C161" s="12" t="inlineStr">
        <is>
          <t>Nature and biodiversity</t>
        </is>
      </c>
      <c r="D161" s="12" t="inlineStr">
        <is>
          <t>Defined quality measurement framework</t>
        </is>
      </c>
      <c r="E161" s="12" t="inlineStr"/>
      <c r="F161" s="12" t="inlineStr">
        <is>
          <t>NB1(c)</t>
        </is>
      </c>
      <c r="G161" s="12" t="inlineStr">
        <is>
          <t>Confirm end-2026 target status</t>
        </is>
      </c>
      <c r="H161" s="25">
        <f>IFERROR(IF(INDEX('Faculties'!$L$10:$L$29,MATCH($F161,'Faculties'!$B$10:$B$29,0))="","Cell will autofill based on response",INDEX('Faculties'!$L$10:$L$29,MATCH($F161,'Faculties'!$B$10:$B$29,0))),"N/A")</f>
        <v/>
      </c>
      <c r="I161" s="25">
        <f>IFERROR(IF(INDEX('Faculties'!$L$37:$L$56,MATCH($F161,'Faculties'!$B$37:$B$56,0))="","Cell will autofill based on response",INDEX('Faculties'!$L$37:$L$56,MATCH($F161,'Faculties'!$B$37:$B$56,0))),"N/A")</f>
        <v/>
      </c>
      <c r="J161" s="25">
        <f>IFERROR(IF(INDEX('Faculties'!$L$64:$L$83,MATCH($F161,'Faculties'!$B$64:$B$83,0))="","Cell will autofill based on response",INDEX('Faculties'!$L$64:$L$83,MATCH($F161,'Faculties'!$B$64:$B$83,0))),"N/A")</f>
        <v/>
      </c>
      <c r="K161" s="25">
        <f>IFERROR(IF(INDEX('Faculties'!$L$91:$L$110,MATCH($F161,'Faculties'!$B$91:$B$110,0))="","Cell will autofill based on response",INDEX('Faculties'!$L$91:$L$110,MATCH($F161,'Faculties'!$B$91:$B$110,0))),"N/A")</f>
        <v/>
      </c>
      <c r="L161" s="25">
        <f>IFERROR(IF(INDEX('CI&amp;S'!$L$10:$L$14,MATCH($F161,'CI&amp;S'!$B$10:$B$14,0))="","Cell will autofill based on response",INDEX('CI&amp;S'!$L$10:$L$14,MATCH($F161,'CI&amp;S'!$B$10:$B$14,0))),"N/A")</f>
        <v/>
      </c>
      <c r="M161" s="25">
        <f>IFERROR(IF(INDEX('CI&amp;S'!$L$22:$L$38,MATCH($F161,'CI&amp;S'!$B$22:$B$38,0))="","Cell will autofill based on response",INDEX('CI&amp;S'!$L$22:$L$38,MATCH($F161,'CI&amp;S'!$B$22:$B$38,0))),"N/A")</f>
        <v/>
      </c>
      <c r="N161" s="25">
        <f>IFERROR(IF(INDEX('CFOG'!$L$10:$L$15,MATCH($F161,'CFOG'!$B$10:$B$15,0))="","Cell will autofill based on response",INDEX('CFOG'!$L$10:$L$15,MATCH($F161,'CFOG'!$B$10:$B$15,0))),"N/A")</f>
        <v/>
      </c>
      <c r="O161" s="25">
        <f>IFERROR(IF(INDEX('CFOG'!$L$23:$L$23,MATCH($F161,'CFOG'!$B$23:$B$23,0))="","Cell will autofill based on response",INDEX('CFOG'!$L$23:$L$23,MATCH($F161,'CFOG'!$B$23:$B$23,0))),"N/A")</f>
        <v/>
      </c>
      <c r="P161" s="25">
        <f>IFERROR(IF(INDEX('ESG'!$L$10:$L$16,MATCH($F161,'ESG'!$B$10:$B$16,0))="","Cell will autofill based on response",INDEX('ESG'!$L$10:$L$16,MATCH($F161,'ESG'!$B$10:$B$16,0))),"N/A")</f>
        <v/>
      </c>
      <c r="Q161" s="25">
        <f>IFERROR(IF(INDEX('CIOG'!$L$10:$L$13,MATCH($F161,'CIOG'!$B$10:$B$13,0))="","Cell will autofill based on response",INDEX('CIOG'!$L$10:$L$13,MATCH($F161,'CIOG'!$B$10:$B$13,0))),"N/A")</f>
        <v/>
      </c>
      <c r="R161" s="25">
        <f>IFERROR(IF(INDEX('MRE'!$L$10:$L$11,MATCH($F161,'MRE'!$B$10:$B$11,0))="","Cell will autofill based on response",INDEX('MRE'!$L$10:$L$11,MATCH($F161,'MRE'!$B$10:$B$11,0))),"N/A")</f>
        <v/>
      </c>
      <c r="T161" s="26">
        <f>COUNTIF($H161:$R161,"Cell will autofill based on response")</f>
        <v/>
      </c>
      <c r="U161" s="26">
        <f>COUNTIF($H161:$R161,"Not yet started")</f>
        <v/>
      </c>
      <c r="V161" s="26">
        <f>COUNTIF($H161:$R161,"Not met")</f>
        <v/>
      </c>
      <c r="W161" s="26">
        <f>COUNTIF($H161:$R161,"Partially met")</f>
        <v/>
      </c>
      <c r="X161" s="26">
        <f>COUNTIF($H161:$R161,"Met or exceeded")</f>
        <v/>
      </c>
      <c r="Y161" s="26">
        <f>3*X161+2*W161+V161</f>
        <v/>
      </c>
      <c r="Z161" s="26">
        <f>X161+W161+V161+U161</f>
        <v/>
      </c>
      <c r="AA161" s="27">
        <f>IF(Z161&gt;0,Y161/Z161,"No valid responses to date")</f>
        <v/>
      </c>
      <c r="AB161" s="26">
        <f>IF(ISNUMBER(AA161),INDEX(Lists!$G$2:$G$5,MATCH(ROUND(AA161,0),Lists!$H$2:$H$5,0)),"")</f>
        <v/>
      </c>
      <c r="AC161" s="28">
        <f>IF(Z161&gt;0,X161/Z161,"")</f>
        <v/>
      </c>
      <c r="AD161" s="28">
        <f>IF(Z161&gt;0,(X161+W161)/Z161,"")</f>
        <v/>
      </c>
      <c r="AE161" s="26">
        <f>IF(Z161=0,"",IF(AC161&gt;0.75,"Met or exceeded",IF(AD161&gt;=0.5,"Partially met","Not met")))</f>
        <v/>
      </c>
    </row>
    <row r="162">
      <c r="A162">
        <f>F162&amp;"|"&amp;G162</f>
        <v/>
      </c>
      <c r="B162" s="29" t="inlineStr"/>
      <c r="C162" s="8" t="inlineStr"/>
      <c r="D162" s="8" t="inlineStr"/>
      <c r="E162" s="8" t="inlineStr"/>
      <c r="F162" s="8" t="inlineStr">
        <is>
          <t>NB1(c)</t>
        </is>
      </c>
      <c r="G162" s="8" t="inlineStr">
        <is>
          <t>OPTION 1:  Target-level reporting</t>
        </is>
      </c>
      <c r="H162" s="25">
        <f>IFERROR(IF(INDEX('Faculties'!$M$10:$M$29,MATCH($F162,'Faculties'!$B$10:$B$29,0))="","Cell will autofill based on response",INDEX('Faculties'!$M$10:$M$29,MATCH($F162,'Faculties'!$B$10:$B$29,0))),"N/A")</f>
        <v/>
      </c>
      <c r="I162" s="25">
        <f>IFERROR(IF(INDEX('Faculties'!$M$37:$M$56,MATCH($F162,'Faculties'!$B$37:$B$56,0))="","Cell will autofill based on response",INDEX('Faculties'!$M$37:$M$56,MATCH($F162,'Faculties'!$B$37:$B$56,0))),"N/A")</f>
        <v/>
      </c>
      <c r="J162" s="25">
        <f>IFERROR(IF(INDEX('Faculties'!$M$64:$M$83,MATCH($F162,'Faculties'!$B$64:$B$83,0))="","Cell will autofill based on response",INDEX('Faculties'!$M$64:$M$83,MATCH($F162,'Faculties'!$B$64:$B$83,0))),"N/A")</f>
        <v/>
      </c>
      <c r="K162" s="25">
        <f>IFERROR(IF(INDEX('Faculties'!$M$91:$M$110,MATCH($F162,'Faculties'!$B$91:$B$110,0))="","Cell will autofill based on response",INDEX('Faculties'!$M$91:$M$110,MATCH($F162,'Faculties'!$B$91:$B$110,0))),"N/A")</f>
        <v/>
      </c>
      <c r="L162" s="25">
        <f>IFERROR(IF(INDEX('CI&amp;S'!$M$10:$M$14,MATCH($F162,'CI&amp;S'!$B$10:$B$14,0))="","Cell will autofill based on response",INDEX('CI&amp;S'!$M$10:$M$14,MATCH($F162,'CI&amp;S'!$B$10:$B$14,0))),"N/A")</f>
        <v/>
      </c>
      <c r="M162" s="25">
        <f>IFERROR(IF(INDEX('CI&amp;S'!$M$22:$M$38,MATCH($F162,'CI&amp;S'!$B$22:$B$38,0))="","Cell will autofill based on response",INDEX('CI&amp;S'!$M$22:$M$38,MATCH($F162,'CI&amp;S'!$B$22:$B$38,0))),"N/A")</f>
        <v/>
      </c>
      <c r="N162" s="25">
        <f>IFERROR(IF(INDEX('CFOG'!$M$10:$M$15,MATCH($F162,'CFOG'!$B$10:$B$15,0))="","Cell will autofill based on response",INDEX('CFOG'!$M$10:$M$15,MATCH($F162,'CFOG'!$B$10:$B$15,0))),"N/A")</f>
        <v/>
      </c>
      <c r="O162" s="25">
        <f>IFERROR(IF(INDEX('CFOG'!$M$23:$M$23,MATCH($F162,'CFOG'!$B$23:$B$23,0))="","Cell will autofill based on response",INDEX('CFOG'!$M$23:$M$23,MATCH($F162,'CFOG'!$B$23:$B$23,0))),"N/A")</f>
        <v/>
      </c>
      <c r="P162" s="25">
        <f>IFERROR(IF(INDEX('ESG'!$M$10:$M$16,MATCH($F162,'ESG'!$B$10:$B$16,0))="","Cell will autofill based on response",INDEX('ESG'!$M$10:$M$16,MATCH($F162,'ESG'!$B$10:$B$16,0))),"N/A")</f>
        <v/>
      </c>
      <c r="Q162" s="25">
        <f>IFERROR(IF(INDEX('CIOG'!$M$10:$M$13,MATCH($F162,'CIOG'!$B$10:$B$13,0))="","Cell will autofill based on response",INDEX('CIOG'!$M$10:$M$13,MATCH($F162,'CIOG'!$B$10:$B$13,0))),"N/A")</f>
        <v/>
      </c>
      <c r="R162" s="25">
        <f>IFERROR(IF(INDEX('MRE'!$M$10:$M$11,MATCH($F162,'MRE'!$B$10:$B$11,0))="","Cell will autofill based on response",INDEX('MRE'!$M$10:$M$11,MATCH($F162,'MRE'!$B$10:$B$11,0))),"N/A")</f>
        <v/>
      </c>
    </row>
    <row r="163">
      <c r="A163">
        <f>F163&amp;"|"&amp;G163</f>
        <v/>
      </c>
      <c r="B163" s="29" t="inlineStr"/>
      <c r="C163" s="8" t="inlineStr"/>
      <c r="D163" s="8" t="inlineStr"/>
      <c r="E163" s="8" t="inlineStr"/>
      <c r="F163" s="8" t="inlineStr">
        <is>
          <t>NB1(c)</t>
        </is>
      </c>
      <c r="G163" s="8" t="inlineStr">
        <is>
          <t>OPTION 2:  Indicator level reporting</t>
        </is>
      </c>
      <c r="H163" s="25">
        <f>IFERROR(IF(INDEX('Faculties'!$N$10:$N$29,MATCH($F163,'Faculties'!$B$10:$B$29,0))="","Cell will autofill based on response",INDEX('Faculties'!$N$10:$N$29,MATCH($F163,'Faculties'!$B$10:$B$29,0))),"N/A")</f>
        <v/>
      </c>
      <c r="I163" s="25">
        <f>IFERROR(IF(INDEX('Faculties'!$N$37:$N$56,MATCH($F163,'Faculties'!$B$37:$B$56,0))="","Cell will autofill based on response",INDEX('Faculties'!$N$37:$N$56,MATCH($F163,'Faculties'!$B$37:$B$56,0))),"N/A")</f>
        <v/>
      </c>
      <c r="J163" s="25">
        <f>IFERROR(IF(INDEX('Faculties'!$N$64:$N$83,MATCH($F163,'Faculties'!$B$64:$B$83,0))="","Cell will autofill based on response",INDEX('Faculties'!$N$64:$N$83,MATCH($F163,'Faculties'!$B$64:$B$83,0))),"N/A")</f>
        <v/>
      </c>
      <c r="K163" s="25">
        <f>IFERROR(IF(INDEX('Faculties'!$N$91:$N$110,MATCH($F163,'Faculties'!$B$91:$B$110,0))="","Cell will autofill based on response",INDEX('Faculties'!$N$91:$N$110,MATCH($F163,'Faculties'!$B$91:$B$110,0))),"N/A")</f>
        <v/>
      </c>
      <c r="L163" s="25">
        <f>IFERROR(IF(INDEX('CI&amp;S'!$N$10:$N$14,MATCH($F163,'CI&amp;S'!$B$10:$B$14,0))="","Cell will autofill based on response",INDEX('CI&amp;S'!$N$10:$N$14,MATCH($F163,'CI&amp;S'!$B$10:$B$14,0))),"N/A")</f>
        <v/>
      </c>
      <c r="M163" s="25">
        <f>IFERROR(IF(INDEX('CI&amp;S'!$N$22:$N$38,MATCH($F163,'CI&amp;S'!$B$22:$B$38,0))="","Cell will autofill based on response",INDEX('CI&amp;S'!$N$22:$N$38,MATCH($F163,'CI&amp;S'!$B$22:$B$38,0))),"N/A")</f>
        <v/>
      </c>
      <c r="N163" s="25">
        <f>IFERROR(IF(INDEX('CFOG'!$N$10:$N$15,MATCH($F163,'CFOG'!$B$10:$B$15,0))="","Cell will autofill based on response",INDEX('CFOG'!$N$10:$N$15,MATCH($F163,'CFOG'!$B$10:$B$15,0))),"N/A")</f>
        <v/>
      </c>
      <c r="O163" s="25">
        <f>IFERROR(IF(INDEX('CFOG'!$N$23:$N$23,MATCH($F163,'CFOG'!$B$23:$B$23,0))="","Cell will autofill based on response",INDEX('CFOG'!$N$23:$N$23,MATCH($F163,'CFOG'!$B$23:$B$23,0))),"N/A")</f>
        <v/>
      </c>
      <c r="P163" s="25">
        <f>IFERROR(IF(INDEX('ESG'!$N$10:$N$16,MATCH($F163,'ESG'!$B$10:$B$16,0))="","Cell will autofill based on response",INDEX('ESG'!$N$10:$N$16,MATCH($F163,'ESG'!$B$10:$B$16,0))),"N/A")</f>
        <v/>
      </c>
      <c r="Q163" s="25">
        <f>IFERROR(IF(INDEX('CIOG'!$N$10:$N$13,MATCH($F163,'CIOG'!$B$10:$B$13,0))="","Cell will autofill based on response",INDEX('CIOG'!$N$10:$N$13,MATCH($F163,'CIOG'!$B$10:$B$13,0))),"N/A")</f>
        <v/>
      </c>
      <c r="R163" s="25">
        <f>IFERROR(IF(INDEX('MRE'!$N$10:$N$11,MATCH($F163,'MRE'!$B$10:$B$11,0))="","Cell will autofill based on response",INDEX('MRE'!$N$10:$N$11,MATCH($F163,'MRE'!$B$10:$B$11,0))),"N/A")</f>
        <v/>
      </c>
    </row>
    <row r="164">
      <c r="A164">
        <f>F164&amp;"|"&amp;G164</f>
        <v/>
      </c>
      <c r="B164" s="29" t="inlineStr"/>
      <c r="C164" s="8" t="inlineStr"/>
      <c r="D164" s="8" t="inlineStr"/>
      <c r="E164" s="8" t="inlineStr"/>
      <c r="F164" s="8" t="inlineStr">
        <is>
          <t>NB1(c)</t>
        </is>
      </c>
      <c r="G164" s="8" t="inlineStr">
        <is>
          <t>Supporting information/comments</t>
        </is>
      </c>
      <c r="H164" s="25">
        <f>IFERROR(IF(INDEX('Faculties'!$O$10:$O$29,MATCH($F164,'Faculties'!$B$10:$B$29,0))="","Cell will autofill based on response",INDEX('Faculties'!$O$10:$O$29,MATCH($F164,'Faculties'!$B$10:$B$29,0))),"N/A")</f>
        <v/>
      </c>
      <c r="I164" s="25">
        <f>IFERROR(IF(INDEX('Faculties'!$O$37:$O$56,MATCH($F164,'Faculties'!$B$37:$B$56,0))="","Cell will autofill based on response",INDEX('Faculties'!$O$37:$O$56,MATCH($F164,'Faculties'!$B$37:$B$56,0))),"N/A")</f>
        <v/>
      </c>
      <c r="J164" s="25">
        <f>IFERROR(IF(INDEX('Faculties'!$O$64:$O$83,MATCH($F164,'Faculties'!$B$64:$B$83,0))="","Cell will autofill based on response",INDEX('Faculties'!$O$64:$O$83,MATCH($F164,'Faculties'!$B$64:$B$83,0))),"N/A")</f>
        <v/>
      </c>
      <c r="K164" s="25">
        <f>IFERROR(IF(INDEX('Faculties'!$O$91:$O$110,MATCH($F164,'Faculties'!$B$91:$B$110,0))="","Cell will autofill based on response",INDEX('Faculties'!$O$91:$O$110,MATCH($F164,'Faculties'!$B$91:$B$110,0))),"N/A")</f>
        <v/>
      </c>
      <c r="L164" s="25">
        <f>IFERROR(IF(INDEX('CI&amp;S'!$O$10:$O$14,MATCH($F164,'CI&amp;S'!$B$10:$B$14,0))="","Cell will autofill based on response",INDEX('CI&amp;S'!$O$10:$O$14,MATCH($F164,'CI&amp;S'!$B$10:$B$14,0))),"N/A")</f>
        <v/>
      </c>
      <c r="M164" s="25">
        <f>IFERROR(IF(INDEX('CI&amp;S'!$O$22:$O$38,MATCH($F164,'CI&amp;S'!$B$22:$B$38,0))="","Cell will autofill based on response",INDEX('CI&amp;S'!$O$22:$O$38,MATCH($F164,'CI&amp;S'!$B$22:$B$38,0))),"N/A")</f>
        <v/>
      </c>
      <c r="N164" s="25">
        <f>IFERROR(IF(INDEX('CFOG'!$O$10:$O$15,MATCH($F164,'CFOG'!$B$10:$B$15,0))="","Cell will autofill based on response",INDEX('CFOG'!$O$10:$O$15,MATCH($F164,'CFOG'!$B$10:$B$15,0))),"N/A")</f>
        <v/>
      </c>
      <c r="O164" s="25">
        <f>IFERROR(IF(INDEX('CFOG'!$O$23:$O$23,MATCH($F164,'CFOG'!$B$23:$B$23,0))="","Cell will autofill based on response",INDEX('CFOG'!$O$23:$O$23,MATCH($F164,'CFOG'!$B$23:$B$23,0))),"N/A")</f>
        <v/>
      </c>
      <c r="P164" s="25">
        <f>IFERROR(IF(INDEX('ESG'!$O$10:$O$16,MATCH($F164,'ESG'!$B$10:$B$16,0))="","Cell will autofill based on response",INDEX('ESG'!$O$10:$O$16,MATCH($F164,'ESG'!$B$10:$B$16,0))),"N/A")</f>
        <v/>
      </c>
      <c r="Q164" s="25">
        <f>IFERROR(IF(INDEX('CIOG'!$O$10:$O$13,MATCH($F164,'CIOG'!$B$10:$B$13,0))="","Cell will autofill based on response",INDEX('CIOG'!$O$10:$O$13,MATCH($F164,'CIOG'!$B$10:$B$13,0))),"N/A")</f>
        <v/>
      </c>
      <c r="R164" s="25">
        <f>IFERROR(IF(INDEX('MRE'!$O$10:$O$11,MATCH($F164,'MRE'!$B$10:$B$11,0))="","Cell will autofill based on response",INDEX('MRE'!$O$10:$O$11,MATCH($F164,'MRE'!$B$10:$B$11,0))),"N/A")</f>
        <v/>
      </c>
    </row>
    <row r="165">
      <c r="A165">
        <f>F165&amp;"|"&amp;G165</f>
        <v/>
      </c>
      <c r="B165" s="29" t="inlineStr"/>
      <c r="C165" s="8" t="inlineStr"/>
      <c r="D165" s="8" t="inlineStr"/>
      <c r="E165" s="8" t="inlineStr"/>
      <c r="F165" s="8" t="inlineStr">
        <is>
          <t>NB1(c)</t>
        </is>
      </c>
      <c r="G165" s="8" t="inlineStr">
        <is>
          <t>Data source and limitations</t>
        </is>
      </c>
      <c r="H165" s="25">
        <f>IFERROR(IF(INDEX('Faculties'!$P$10:$P$29,MATCH($F165,'Faculties'!$B$10:$B$29,0))="","Cell will autofill based on response",INDEX('Faculties'!$P$10:$P$29,MATCH($F165,'Faculties'!$B$10:$B$29,0))),"N/A")</f>
        <v/>
      </c>
      <c r="I165" s="25">
        <f>IFERROR(IF(INDEX('Faculties'!$P$37:$P$56,MATCH($F165,'Faculties'!$B$37:$B$56,0))="","Cell will autofill based on response",INDEX('Faculties'!$P$37:$P$56,MATCH($F165,'Faculties'!$B$37:$B$56,0))),"N/A")</f>
        <v/>
      </c>
      <c r="J165" s="25">
        <f>IFERROR(IF(INDEX('Faculties'!$P$64:$P$83,MATCH($F165,'Faculties'!$B$64:$B$83,0))="","Cell will autofill based on response",INDEX('Faculties'!$P$64:$P$83,MATCH($F165,'Faculties'!$B$64:$B$83,0))),"N/A")</f>
        <v/>
      </c>
      <c r="K165" s="25">
        <f>IFERROR(IF(INDEX('Faculties'!$P$91:$P$110,MATCH($F165,'Faculties'!$B$91:$B$110,0))="","Cell will autofill based on response",INDEX('Faculties'!$P$91:$P$110,MATCH($F165,'Faculties'!$B$91:$B$110,0))),"N/A")</f>
        <v/>
      </c>
      <c r="L165" s="25">
        <f>IFERROR(IF(INDEX('CI&amp;S'!$P$10:$P$14,MATCH($F165,'CI&amp;S'!$B$10:$B$14,0))="","Cell will autofill based on response",INDEX('CI&amp;S'!$P$10:$P$14,MATCH($F165,'CI&amp;S'!$B$10:$B$14,0))),"N/A")</f>
        <v/>
      </c>
      <c r="M165" s="25">
        <f>IFERROR(IF(INDEX('CI&amp;S'!$P$22:$P$38,MATCH($F165,'CI&amp;S'!$B$22:$B$38,0))="","Cell will autofill based on response",INDEX('CI&amp;S'!$P$22:$P$38,MATCH($F165,'CI&amp;S'!$B$22:$B$38,0))),"N/A")</f>
        <v/>
      </c>
      <c r="N165" s="25">
        <f>IFERROR(IF(INDEX('CFOG'!$P$10:$P$15,MATCH($F165,'CFOG'!$B$10:$B$15,0))="","Cell will autofill based on response",INDEX('CFOG'!$P$10:$P$15,MATCH($F165,'CFOG'!$B$10:$B$15,0))),"N/A")</f>
        <v/>
      </c>
      <c r="O165" s="25">
        <f>IFERROR(IF(INDEX('CFOG'!$P$23:$P$23,MATCH($F165,'CFOG'!$B$23:$B$23,0))="","Cell will autofill based on response",INDEX('CFOG'!$P$23:$P$23,MATCH($F165,'CFOG'!$B$23:$B$23,0))),"N/A")</f>
        <v/>
      </c>
      <c r="P165" s="25">
        <f>IFERROR(IF(INDEX('ESG'!$P$10:$P$16,MATCH($F165,'ESG'!$B$10:$B$16,0))="","Cell will autofill based on response",INDEX('ESG'!$P$10:$P$16,MATCH($F165,'ESG'!$B$10:$B$16,0))),"N/A")</f>
        <v/>
      </c>
      <c r="Q165" s="25">
        <f>IFERROR(IF(INDEX('CIOG'!$P$10:$P$13,MATCH($F165,'CIOG'!$B$10:$B$13,0))="","Cell will autofill based on response",INDEX('CIOG'!$P$10:$P$13,MATCH($F165,'CIOG'!$B$10:$B$13,0))),"N/A")</f>
        <v/>
      </c>
      <c r="R165" s="25">
        <f>IFERROR(IF(INDEX('MRE'!$P$10:$P$11,MATCH($F165,'MRE'!$B$10:$B$11,0))="","Cell will autofill based on response",INDEX('MRE'!$P$10:$P$11,MATCH($F165,'MRE'!$B$10:$B$11,0))),"N/A")</f>
        <v/>
      </c>
    </row>
    <row r="166">
      <c r="A166">
        <f>F166&amp;"|"&amp;G166</f>
        <v/>
      </c>
      <c r="B166" s="29" t="inlineStr"/>
      <c r="C166" s="8" t="inlineStr"/>
      <c r="D166" s="8" t="inlineStr"/>
      <c r="E166" s="8" t="inlineStr"/>
      <c r="F166" s="8" t="inlineStr">
        <is>
          <t>NB1(c)</t>
        </is>
      </c>
      <c r="G166" s="8" t="inlineStr">
        <is>
          <t>Data owner confirms</t>
        </is>
      </c>
      <c r="H166" s="25">
        <f>IFERROR(IF(INDEX('Faculties'!$Q$10:$Q$29,MATCH($F166,'Faculties'!$B$10:$B$29,0))="","Cell will autofill based on response",INDEX('Faculties'!$Q$10:$Q$29,MATCH($F166,'Faculties'!$B$10:$B$29,0))),"N/A")</f>
        <v/>
      </c>
      <c r="I166" s="25">
        <f>IFERROR(IF(INDEX('Faculties'!$Q$37:$Q$56,MATCH($F166,'Faculties'!$B$37:$B$56,0))="","Cell will autofill based on response",INDEX('Faculties'!$Q$37:$Q$56,MATCH($F166,'Faculties'!$B$37:$B$56,0))),"N/A")</f>
        <v/>
      </c>
      <c r="J166" s="25">
        <f>IFERROR(IF(INDEX('Faculties'!$Q$64:$Q$83,MATCH($F166,'Faculties'!$B$64:$B$83,0))="","Cell will autofill based on response",INDEX('Faculties'!$Q$64:$Q$83,MATCH($F166,'Faculties'!$B$64:$B$83,0))),"N/A")</f>
        <v/>
      </c>
      <c r="K166" s="25">
        <f>IFERROR(IF(INDEX('Faculties'!$Q$91:$Q$110,MATCH($F166,'Faculties'!$B$91:$B$110,0))="","Cell will autofill based on response",INDEX('Faculties'!$Q$91:$Q$110,MATCH($F166,'Faculties'!$B$91:$B$110,0))),"N/A")</f>
        <v/>
      </c>
      <c r="L166" s="25">
        <f>IFERROR(IF(INDEX('CI&amp;S'!$Q$10:$Q$14,MATCH($F166,'CI&amp;S'!$B$10:$B$14,0))="","Cell will autofill based on response",INDEX('CI&amp;S'!$Q$10:$Q$14,MATCH($F166,'CI&amp;S'!$B$10:$B$14,0))),"N/A")</f>
        <v/>
      </c>
      <c r="M166" s="25">
        <f>IFERROR(IF(INDEX('CI&amp;S'!$Q$22:$Q$38,MATCH($F166,'CI&amp;S'!$B$22:$B$38,0))="","Cell will autofill based on response",INDEX('CI&amp;S'!$Q$22:$Q$38,MATCH($F166,'CI&amp;S'!$B$22:$B$38,0))),"N/A")</f>
        <v/>
      </c>
      <c r="N166" s="25">
        <f>IFERROR(IF(INDEX('CFOG'!$Q$10:$Q$15,MATCH($F166,'CFOG'!$B$10:$B$15,0))="","Cell will autofill based on response",INDEX('CFOG'!$Q$10:$Q$15,MATCH($F166,'CFOG'!$B$10:$B$15,0))),"N/A")</f>
        <v/>
      </c>
      <c r="O166" s="25">
        <f>IFERROR(IF(INDEX('CFOG'!$Q$23:$Q$23,MATCH($F166,'CFOG'!$B$23:$B$23,0))="","Cell will autofill based on response",INDEX('CFOG'!$Q$23:$Q$23,MATCH($F166,'CFOG'!$B$23:$B$23,0))),"N/A")</f>
        <v/>
      </c>
      <c r="P166" s="25">
        <f>IFERROR(IF(INDEX('ESG'!$Q$10:$Q$16,MATCH($F166,'ESG'!$B$10:$B$16,0))="","Cell will autofill based on response",INDEX('ESG'!$Q$10:$Q$16,MATCH($F166,'ESG'!$B$10:$B$16,0))),"N/A")</f>
        <v/>
      </c>
      <c r="Q166" s="25">
        <f>IFERROR(IF(INDEX('CIOG'!$Q$10:$Q$13,MATCH($F166,'CIOG'!$B$10:$B$13,0))="","Cell will autofill based on response",INDEX('CIOG'!$Q$10:$Q$13,MATCH($F166,'CIOG'!$B$10:$B$13,0))),"N/A")</f>
        <v/>
      </c>
      <c r="R166" s="25">
        <f>IFERROR(IF(INDEX('MRE'!$Q$10:$Q$11,MATCH($F166,'MRE'!$B$10:$B$11,0))="","Cell will autofill based on response",INDEX('MRE'!$Q$10:$Q$11,MATCH($F166,'MRE'!$B$10:$B$11,0))),"N/A")</f>
        <v/>
      </c>
    </row>
    <row r="167">
      <c r="A167">
        <f>F167&amp;"|"&amp;G167</f>
        <v/>
      </c>
      <c r="B167" s="7" t="inlineStr">
        <is>
          <t>NB1(d)</t>
        </is>
      </c>
      <c r="C167" s="12" t="inlineStr">
        <is>
          <t>Nature and biodiversity</t>
        </is>
      </c>
      <c r="D167" s="12" t="inlineStr">
        <is>
          <t>Defined and quantified campus connectivity</t>
        </is>
      </c>
      <c r="E167" s="12" t="inlineStr">
        <is>
          <t>Please provide the current definition and quantified assessment of campus ecological connectivity, could include the methodology used, campuses covered, baseline or benchmark values, and any material change over the reporting period.</t>
        </is>
      </c>
      <c r="F167" s="12" t="inlineStr">
        <is>
          <t>NB1(d)</t>
        </is>
      </c>
      <c r="G167" s="12" t="inlineStr">
        <is>
          <t>Confirm end-2026 target status</t>
        </is>
      </c>
      <c r="H167" s="25">
        <f>IFERROR(IF(INDEX('Faculties'!$L$10:$L$29,MATCH($F167,'Faculties'!$B$10:$B$29,0))="","Cell will autofill based on response",INDEX('Faculties'!$L$10:$L$29,MATCH($F167,'Faculties'!$B$10:$B$29,0))),"N/A")</f>
        <v/>
      </c>
      <c r="I167" s="25">
        <f>IFERROR(IF(INDEX('Faculties'!$L$37:$L$56,MATCH($F167,'Faculties'!$B$37:$B$56,0))="","Cell will autofill based on response",INDEX('Faculties'!$L$37:$L$56,MATCH($F167,'Faculties'!$B$37:$B$56,0))),"N/A")</f>
        <v/>
      </c>
      <c r="J167" s="25">
        <f>IFERROR(IF(INDEX('Faculties'!$L$64:$L$83,MATCH($F167,'Faculties'!$B$64:$B$83,0))="","Cell will autofill based on response",INDEX('Faculties'!$L$64:$L$83,MATCH($F167,'Faculties'!$B$64:$B$83,0))),"N/A")</f>
        <v/>
      </c>
      <c r="K167" s="25">
        <f>IFERROR(IF(INDEX('Faculties'!$L$91:$L$110,MATCH($F167,'Faculties'!$B$91:$B$110,0))="","Cell will autofill based on response",INDEX('Faculties'!$L$91:$L$110,MATCH($F167,'Faculties'!$B$91:$B$110,0))),"N/A")</f>
        <v/>
      </c>
      <c r="L167" s="25">
        <f>IFERROR(IF(INDEX('CI&amp;S'!$L$10:$L$14,MATCH($F167,'CI&amp;S'!$B$10:$B$14,0))="","Cell will autofill based on response",INDEX('CI&amp;S'!$L$10:$L$14,MATCH($F167,'CI&amp;S'!$B$10:$B$14,0))),"N/A")</f>
        <v/>
      </c>
      <c r="M167" s="25">
        <f>IFERROR(IF(INDEX('CI&amp;S'!$L$22:$L$38,MATCH($F167,'CI&amp;S'!$B$22:$B$38,0))="","Cell will autofill based on response",INDEX('CI&amp;S'!$L$22:$L$38,MATCH($F167,'CI&amp;S'!$B$22:$B$38,0))),"N/A")</f>
        <v/>
      </c>
      <c r="N167" s="25">
        <f>IFERROR(IF(INDEX('CFOG'!$L$10:$L$15,MATCH($F167,'CFOG'!$B$10:$B$15,0))="","Cell will autofill based on response",INDEX('CFOG'!$L$10:$L$15,MATCH($F167,'CFOG'!$B$10:$B$15,0))),"N/A")</f>
        <v/>
      </c>
      <c r="O167" s="25">
        <f>IFERROR(IF(INDEX('CFOG'!$L$23:$L$23,MATCH($F167,'CFOG'!$B$23:$B$23,0))="","Cell will autofill based on response",INDEX('CFOG'!$L$23:$L$23,MATCH($F167,'CFOG'!$B$23:$B$23,0))),"N/A")</f>
        <v/>
      </c>
      <c r="P167" s="25">
        <f>IFERROR(IF(INDEX('ESG'!$L$10:$L$16,MATCH($F167,'ESG'!$B$10:$B$16,0))="","Cell will autofill based on response",INDEX('ESG'!$L$10:$L$16,MATCH($F167,'ESG'!$B$10:$B$16,0))),"N/A")</f>
        <v/>
      </c>
      <c r="Q167" s="25">
        <f>IFERROR(IF(INDEX('CIOG'!$L$10:$L$13,MATCH($F167,'CIOG'!$B$10:$B$13,0))="","Cell will autofill based on response",INDEX('CIOG'!$L$10:$L$13,MATCH($F167,'CIOG'!$B$10:$B$13,0))),"N/A")</f>
        <v/>
      </c>
      <c r="R167" s="25">
        <f>IFERROR(IF(INDEX('MRE'!$L$10:$L$11,MATCH($F167,'MRE'!$B$10:$B$11,0))="","Cell will autofill based on response",INDEX('MRE'!$L$10:$L$11,MATCH($F167,'MRE'!$B$10:$B$11,0))),"N/A")</f>
        <v/>
      </c>
      <c r="T167" s="26">
        <f>COUNTIF($H167:$R167,"Cell will autofill based on response")</f>
        <v/>
      </c>
      <c r="U167" s="26">
        <f>COUNTIF($H167:$R167,"Not yet started")</f>
        <v/>
      </c>
      <c r="V167" s="26">
        <f>COUNTIF($H167:$R167,"Not met")</f>
        <v/>
      </c>
      <c r="W167" s="26">
        <f>COUNTIF($H167:$R167,"Partially met")</f>
        <v/>
      </c>
      <c r="X167" s="26">
        <f>COUNTIF($H167:$R167,"Met or exceeded")</f>
        <v/>
      </c>
      <c r="Y167" s="26">
        <f>3*X167+2*W167+V167</f>
        <v/>
      </c>
      <c r="Z167" s="26">
        <f>X167+W167+V167+U167</f>
        <v/>
      </c>
      <c r="AA167" s="27">
        <f>IF(Z167&gt;0,Y167/Z167,"No valid responses to date")</f>
        <v/>
      </c>
      <c r="AB167" s="26">
        <f>IF(ISNUMBER(AA167),INDEX(Lists!$G$2:$G$5,MATCH(ROUND(AA167,0),Lists!$H$2:$H$5,0)),"")</f>
        <v/>
      </c>
      <c r="AC167" s="28">
        <f>IF(Z167&gt;0,X167/Z167,"")</f>
        <v/>
      </c>
      <c r="AD167" s="28">
        <f>IF(Z167&gt;0,(X167+W167)/Z167,"")</f>
        <v/>
      </c>
      <c r="AE167" s="26">
        <f>IF(Z167=0,"",IF(AC167&gt;0.75,"Met or exceeded",IF(AD167&gt;=0.5,"Partially met","Not met")))</f>
        <v/>
      </c>
    </row>
    <row r="168">
      <c r="A168">
        <f>F168&amp;"|"&amp;G168</f>
        <v/>
      </c>
      <c r="B168" s="29" t="inlineStr"/>
      <c r="C168" s="8" t="inlineStr"/>
      <c r="D168" s="8" t="inlineStr"/>
      <c r="E168" s="8" t="inlineStr"/>
      <c r="F168" s="8" t="inlineStr">
        <is>
          <t>NB1(d)</t>
        </is>
      </c>
      <c r="G168" s="8" t="inlineStr">
        <is>
          <t>OPTION 1:  Target-level reporting</t>
        </is>
      </c>
      <c r="H168" s="25">
        <f>IFERROR(IF(INDEX('Faculties'!$M$10:$M$29,MATCH($F168,'Faculties'!$B$10:$B$29,0))="","Cell will autofill based on response",INDEX('Faculties'!$M$10:$M$29,MATCH($F168,'Faculties'!$B$10:$B$29,0))),"N/A")</f>
        <v/>
      </c>
      <c r="I168" s="25">
        <f>IFERROR(IF(INDEX('Faculties'!$M$37:$M$56,MATCH($F168,'Faculties'!$B$37:$B$56,0))="","Cell will autofill based on response",INDEX('Faculties'!$M$37:$M$56,MATCH($F168,'Faculties'!$B$37:$B$56,0))),"N/A")</f>
        <v/>
      </c>
      <c r="J168" s="25">
        <f>IFERROR(IF(INDEX('Faculties'!$M$64:$M$83,MATCH($F168,'Faculties'!$B$64:$B$83,0))="","Cell will autofill based on response",INDEX('Faculties'!$M$64:$M$83,MATCH($F168,'Faculties'!$B$64:$B$83,0))),"N/A")</f>
        <v/>
      </c>
      <c r="K168" s="25">
        <f>IFERROR(IF(INDEX('Faculties'!$M$91:$M$110,MATCH($F168,'Faculties'!$B$91:$B$110,0))="","Cell will autofill based on response",INDEX('Faculties'!$M$91:$M$110,MATCH($F168,'Faculties'!$B$91:$B$110,0))),"N/A")</f>
        <v/>
      </c>
      <c r="L168" s="25">
        <f>IFERROR(IF(INDEX('CI&amp;S'!$M$10:$M$14,MATCH($F168,'CI&amp;S'!$B$10:$B$14,0))="","Cell will autofill based on response",INDEX('CI&amp;S'!$M$10:$M$14,MATCH($F168,'CI&amp;S'!$B$10:$B$14,0))),"N/A")</f>
        <v/>
      </c>
      <c r="M168" s="25">
        <f>IFERROR(IF(INDEX('CI&amp;S'!$M$22:$M$38,MATCH($F168,'CI&amp;S'!$B$22:$B$38,0))="","Cell will autofill based on response",INDEX('CI&amp;S'!$M$22:$M$38,MATCH($F168,'CI&amp;S'!$B$22:$B$38,0))),"N/A")</f>
        <v/>
      </c>
      <c r="N168" s="25">
        <f>IFERROR(IF(INDEX('CFOG'!$M$10:$M$15,MATCH($F168,'CFOG'!$B$10:$B$15,0))="","Cell will autofill based on response",INDEX('CFOG'!$M$10:$M$15,MATCH($F168,'CFOG'!$B$10:$B$15,0))),"N/A")</f>
        <v/>
      </c>
      <c r="O168" s="25">
        <f>IFERROR(IF(INDEX('CFOG'!$M$23:$M$23,MATCH($F168,'CFOG'!$B$23:$B$23,0))="","Cell will autofill based on response",INDEX('CFOG'!$M$23:$M$23,MATCH($F168,'CFOG'!$B$23:$B$23,0))),"N/A")</f>
        <v/>
      </c>
      <c r="P168" s="25">
        <f>IFERROR(IF(INDEX('ESG'!$M$10:$M$16,MATCH($F168,'ESG'!$B$10:$B$16,0))="","Cell will autofill based on response",INDEX('ESG'!$M$10:$M$16,MATCH($F168,'ESG'!$B$10:$B$16,0))),"N/A")</f>
        <v/>
      </c>
      <c r="Q168" s="25">
        <f>IFERROR(IF(INDEX('CIOG'!$M$10:$M$13,MATCH($F168,'CIOG'!$B$10:$B$13,0))="","Cell will autofill based on response",INDEX('CIOG'!$M$10:$M$13,MATCH($F168,'CIOG'!$B$10:$B$13,0))),"N/A")</f>
        <v/>
      </c>
      <c r="R168" s="25">
        <f>IFERROR(IF(INDEX('MRE'!$M$10:$M$11,MATCH($F168,'MRE'!$B$10:$B$11,0))="","Cell will autofill based on response",INDEX('MRE'!$M$10:$M$11,MATCH($F168,'MRE'!$B$10:$B$11,0))),"N/A")</f>
        <v/>
      </c>
    </row>
    <row r="169">
      <c r="A169">
        <f>F169&amp;"|"&amp;G169</f>
        <v/>
      </c>
      <c r="B169" s="29" t="inlineStr"/>
      <c r="C169" s="8" t="inlineStr"/>
      <c r="D169" s="8" t="inlineStr"/>
      <c r="E169" s="8" t="inlineStr"/>
      <c r="F169" s="8" t="inlineStr">
        <is>
          <t>NB1(d)</t>
        </is>
      </c>
      <c r="G169" s="8" t="inlineStr">
        <is>
          <t>OPTION 2:  Indicator level reporting</t>
        </is>
      </c>
      <c r="H169" s="25">
        <f>IFERROR(IF(INDEX('Faculties'!$N$10:$N$29,MATCH($F169,'Faculties'!$B$10:$B$29,0))="","Cell will autofill based on response",INDEX('Faculties'!$N$10:$N$29,MATCH($F169,'Faculties'!$B$10:$B$29,0))),"N/A")</f>
        <v/>
      </c>
      <c r="I169" s="25">
        <f>IFERROR(IF(INDEX('Faculties'!$N$37:$N$56,MATCH($F169,'Faculties'!$B$37:$B$56,0))="","Cell will autofill based on response",INDEX('Faculties'!$N$37:$N$56,MATCH($F169,'Faculties'!$B$37:$B$56,0))),"N/A")</f>
        <v/>
      </c>
      <c r="J169" s="25">
        <f>IFERROR(IF(INDEX('Faculties'!$N$64:$N$83,MATCH($F169,'Faculties'!$B$64:$B$83,0))="","Cell will autofill based on response",INDEX('Faculties'!$N$64:$N$83,MATCH($F169,'Faculties'!$B$64:$B$83,0))),"N/A")</f>
        <v/>
      </c>
      <c r="K169" s="25">
        <f>IFERROR(IF(INDEX('Faculties'!$N$91:$N$110,MATCH($F169,'Faculties'!$B$91:$B$110,0))="","Cell will autofill based on response",INDEX('Faculties'!$N$91:$N$110,MATCH($F169,'Faculties'!$B$91:$B$110,0))),"N/A")</f>
        <v/>
      </c>
      <c r="L169" s="25">
        <f>IFERROR(IF(INDEX('CI&amp;S'!$N$10:$N$14,MATCH($F169,'CI&amp;S'!$B$10:$B$14,0))="","Cell will autofill based on response",INDEX('CI&amp;S'!$N$10:$N$14,MATCH($F169,'CI&amp;S'!$B$10:$B$14,0))),"N/A")</f>
        <v/>
      </c>
      <c r="M169" s="25">
        <f>IFERROR(IF(INDEX('CI&amp;S'!$N$22:$N$38,MATCH($F169,'CI&amp;S'!$B$22:$B$38,0))="","Cell will autofill based on response",INDEX('CI&amp;S'!$N$22:$N$38,MATCH($F169,'CI&amp;S'!$B$22:$B$38,0))),"N/A")</f>
        <v/>
      </c>
      <c r="N169" s="25">
        <f>IFERROR(IF(INDEX('CFOG'!$N$10:$N$15,MATCH($F169,'CFOG'!$B$10:$B$15,0))="","Cell will autofill based on response",INDEX('CFOG'!$N$10:$N$15,MATCH($F169,'CFOG'!$B$10:$B$15,0))),"N/A")</f>
        <v/>
      </c>
      <c r="O169" s="25">
        <f>IFERROR(IF(INDEX('CFOG'!$N$23:$N$23,MATCH($F169,'CFOG'!$B$23:$B$23,0))="","Cell will autofill based on response",INDEX('CFOG'!$N$23:$N$23,MATCH($F169,'CFOG'!$B$23:$B$23,0))),"N/A")</f>
        <v/>
      </c>
      <c r="P169" s="25">
        <f>IFERROR(IF(INDEX('ESG'!$N$10:$N$16,MATCH($F169,'ESG'!$B$10:$B$16,0))="","Cell will autofill based on response",INDEX('ESG'!$N$10:$N$16,MATCH($F169,'ESG'!$B$10:$B$16,0))),"N/A")</f>
        <v/>
      </c>
      <c r="Q169" s="25">
        <f>IFERROR(IF(INDEX('CIOG'!$N$10:$N$13,MATCH($F169,'CIOG'!$B$10:$B$13,0))="","Cell will autofill based on response",INDEX('CIOG'!$N$10:$N$13,MATCH($F169,'CIOG'!$B$10:$B$13,0))),"N/A")</f>
        <v/>
      </c>
      <c r="R169" s="25">
        <f>IFERROR(IF(INDEX('MRE'!$N$10:$N$11,MATCH($F169,'MRE'!$B$10:$B$11,0))="","Cell will autofill based on response",INDEX('MRE'!$N$10:$N$11,MATCH($F169,'MRE'!$B$10:$B$11,0))),"N/A")</f>
        <v/>
      </c>
    </row>
    <row r="170">
      <c r="A170">
        <f>F170&amp;"|"&amp;G170</f>
        <v/>
      </c>
      <c r="B170" s="29" t="inlineStr"/>
      <c r="C170" s="8" t="inlineStr"/>
      <c r="D170" s="8" t="inlineStr"/>
      <c r="E170" s="8" t="inlineStr"/>
      <c r="F170" s="8" t="inlineStr">
        <is>
          <t>NB1(d)</t>
        </is>
      </c>
      <c r="G170" s="8" t="inlineStr">
        <is>
          <t>Supporting information/comments</t>
        </is>
      </c>
      <c r="H170" s="25">
        <f>IFERROR(IF(INDEX('Faculties'!$O$10:$O$29,MATCH($F170,'Faculties'!$B$10:$B$29,0))="","Cell will autofill based on response",INDEX('Faculties'!$O$10:$O$29,MATCH($F170,'Faculties'!$B$10:$B$29,0))),"N/A")</f>
        <v/>
      </c>
      <c r="I170" s="25">
        <f>IFERROR(IF(INDEX('Faculties'!$O$37:$O$56,MATCH($F170,'Faculties'!$B$37:$B$56,0))="","Cell will autofill based on response",INDEX('Faculties'!$O$37:$O$56,MATCH($F170,'Faculties'!$B$37:$B$56,0))),"N/A")</f>
        <v/>
      </c>
      <c r="J170" s="25">
        <f>IFERROR(IF(INDEX('Faculties'!$O$64:$O$83,MATCH($F170,'Faculties'!$B$64:$B$83,0))="","Cell will autofill based on response",INDEX('Faculties'!$O$64:$O$83,MATCH($F170,'Faculties'!$B$64:$B$83,0))),"N/A")</f>
        <v/>
      </c>
      <c r="K170" s="25">
        <f>IFERROR(IF(INDEX('Faculties'!$O$91:$O$110,MATCH($F170,'Faculties'!$B$91:$B$110,0))="","Cell will autofill based on response",INDEX('Faculties'!$O$91:$O$110,MATCH($F170,'Faculties'!$B$91:$B$110,0))),"N/A")</f>
        <v/>
      </c>
      <c r="L170" s="25">
        <f>IFERROR(IF(INDEX('CI&amp;S'!$O$10:$O$14,MATCH($F170,'CI&amp;S'!$B$10:$B$14,0))="","Cell will autofill based on response",INDEX('CI&amp;S'!$O$10:$O$14,MATCH($F170,'CI&amp;S'!$B$10:$B$14,0))),"N/A")</f>
        <v/>
      </c>
      <c r="M170" s="25">
        <f>IFERROR(IF(INDEX('CI&amp;S'!$O$22:$O$38,MATCH($F170,'CI&amp;S'!$B$22:$B$38,0))="","Cell will autofill based on response",INDEX('CI&amp;S'!$O$22:$O$38,MATCH($F170,'CI&amp;S'!$B$22:$B$38,0))),"N/A")</f>
        <v/>
      </c>
      <c r="N170" s="25">
        <f>IFERROR(IF(INDEX('CFOG'!$O$10:$O$15,MATCH($F170,'CFOG'!$B$10:$B$15,0))="","Cell will autofill based on response",INDEX('CFOG'!$O$10:$O$15,MATCH($F170,'CFOG'!$B$10:$B$15,0))),"N/A")</f>
        <v/>
      </c>
      <c r="O170" s="25">
        <f>IFERROR(IF(INDEX('CFOG'!$O$23:$O$23,MATCH($F170,'CFOG'!$B$23:$B$23,0))="","Cell will autofill based on response",INDEX('CFOG'!$O$23:$O$23,MATCH($F170,'CFOG'!$B$23:$B$23,0))),"N/A")</f>
        <v/>
      </c>
      <c r="P170" s="25">
        <f>IFERROR(IF(INDEX('ESG'!$O$10:$O$16,MATCH($F170,'ESG'!$B$10:$B$16,0))="","Cell will autofill based on response",INDEX('ESG'!$O$10:$O$16,MATCH($F170,'ESG'!$B$10:$B$16,0))),"N/A")</f>
        <v/>
      </c>
      <c r="Q170" s="25">
        <f>IFERROR(IF(INDEX('CIOG'!$O$10:$O$13,MATCH($F170,'CIOG'!$B$10:$B$13,0))="","Cell will autofill based on response",INDEX('CIOG'!$O$10:$O$13,MATCH($F170,'CIOG'!$B$10:$B$13,0))),"N/A")</f>
        <v/>
      </c>
      <c r="R170" s="25">
        <f>IFERROR(IF(INDEX('MRE'!$O$10:$O$11,MATCH($F170,'MRE'!$B$10:$B$11,0))="","Cell will autofill based on response",INDEX('MRE'!$O$10:$O$11,MATCH($F170,'MRE'!$B$10:$B$11,0))),"N/A")</f>
        <v/>
      </c>
    </row>
    <row r="171">
      <c r="A171">
        <f>F171&amp;"|"&amp;G171</f>
        <v/>
      </c>
      <c r="B171" s="29" t="inlineStr"/>
      <c r="C171" s="8" t="inlineStr"/>
      <c r="D171" s="8" t="inlineStr"/>
      <c r="E171" s="8" t="inlineStr"/>
      <c r="F171" s="8" t="inlineStr">
        <is>
          <t>NB1(d)</t>
        </is>
      </c>
      <c r="G171" s="8" t="inlineStr">
        <is>
          <t>Data source and limitations</t>
        </is>
      </c>
      <c r="H171" s="25">
        <f>IFERROR(IF(INDEX('Faculties'!$P$10:$P$29,MATCH($F171,'Faculties'!$B$10:$B$29,0))="","Cell will autofill based on response",INDEX('Faculties'!$P$10:$P$29,MATCH($F171,'Faculties'!$B$10:$B$29,0))),"N/A")</f>
        <v/>
      </c>
      <c r="I171" s="25">
        <f>IFERROR(IF(INDEX('Faculties'!$P$37:$P$56,MATCH($F171,'Faculties'!$B$37:$B$56,0))="","Cell will autofill based on response",INDEX('Faculties'!$P$37:$P$56,MATCH($F171,'Faculties'!$B$37:$B$56,0))),"N/A")</f>
        <v/>
      </c>
      <c r="J171" s="25">
        <f>IFERROR(IF(INDEX('Faculties'!$P$64:$P$83,MATCH($F171,'Faculties'!$B$64:$B$83,0))="","Cell will autofill based on response",INDEX('Faculties'!$P$64:$P$83,MATCH($F171,'Faculties'!$B$64:$B$83,0))),"N/A")</f>
        <v/>
      </c>
      <c r="K171" s="25">
        <f>IFERROR(IF(INDEX('Faculties'!$P$91:$P$110,MATCH($F171,'Faculties'!$B$91:$B$110,0))="","Cell will autofill based on response",INDEX('Faculties'!$P$91:$P$110,MATCH($F171,'Faculties'!$B$91:$B$110,0))),"N/A")</f>
        <v/>
      </c>
      <c r="L171" s="25">
        <f>IFERROR(IF(INDEX('CI&amp;S'!$P$10:$P$14,MATCH($F171,'CI&amp;S'!$B$10:$B$14,0))="","Cell will autofill based on response",INDEX('CI&amp;S'!$P$10:$P$14,MATCH($F171,'CI&amp;S'!$B$10:$B$14,0))),"N/A")</f>
        <v/>
      </c>
      <c r="M171" s="25">
        <f>IFERROR(IF(INDEX('CI&amp;S'!$P$22:$P$38,MATCH($F171,'CI&amp;S'!$B$22:$B$38,0))="","Cell will autofill based on response",INDEX('CI&amp;S'!$P$22:$P$38,MATCH($F171,'CI&amp;S'!$B$22:$B$38,0))),"N/A")</f>
        <v/>
      </c>
      <c r="N171" s="25">
        <f>IFERROR(IF(INDEX('CFOG'!$P$10:$P$15,MATCH($F171,'CFOG'!$B$10:$B$15,0))="","Cell will autofill based on response",INDEX('CFOG'!$P$10:$P$15,MATCH($F171,'CFOG'!$B$10:$B$15,0))),"N/A")</f>
        <v/>
      </c>
      <c r="O171" s="25">
        <f>IFERROR(IF(INDEX('CFOG'!$P$23:$P$23,MATCH($F171,'CFOG'!$B$23:$B$23,0))="","Cell will autofill based on response",INDEX('CFOG'!$P$23:$P$23,MATCH($F171,'CFOG'!$B$23:$B$23,0))),"N/A")</f>
        <v/>
      </c>
      <c r="P171" s="25">
        <f>IFERROR(IF(INDEX('ESG'!$P$10:$P$16,MATCH($F171,'ESG'!$B$10:$B$16,0))="","Cell will autofill based on response",INDEX('ESG'!$P$10:$P$16,MATCH($F171,'ESG'!$B$10:$B$16,0))),"N/A")</f>
        <v/>
      </c>
      <c r="Q171" s="25">
        <f>IFERROR(IF(INDEX('CIOG'!$P$10:$P$13,MATCH($F171,'CIOG'!$B$10:$B$13,0))="","Cell will autofill based on response",INDEX('CIOG'!$P$10:$P$13,MATCH($F171,'CIOG'!$B$10:$B$13,0))),"N/A")</f>
        <v/>
      </c>
      <c r="R171" s="25">
        <f>IFERROR(IF(INDEX('MRE'!$P$10:$P$11,MATCH($F171,'MRE'!$B$10:$B$11,0))="","Cell will autofill based on response",INDEX('MRE'!$P$10:$P$11,MATCH($F171,'MRE'!$B$10:$B$11,0))),"N/A")</f>
        <v/>
      </c>
    </row>
    <row r="172">
      <c r="A172">
        <f>F172&amp;"|"&amp;G172</f>
        <v/>
      </c>
      <c r="B172" s="29" t="inlineStr"/>
      <c r="C172" s="8" t="inlineStr"/>
      <c r="D172" s="8" t="inlineStr"/>
      <c r="E172" s="8" t="inlineStr"/>
      <c r="F172" s="8" t="inlineStr">
        <is>
          <t>NB1(d)</t>
        </is>
      </c>
      <c r="G172" s="8" t="inlineStr">
        <is>
          <t>Data owner confirms</t>
        </is>
      </c>
      <c r="H172" s="25">
        <f>IFERROR(IF(INDEX('Faculties'!$Q$10:$Q$29,MATCH($F172,'Faculties'!$B$10:$B$29,0))="","Cell will autofill based on response",INDEX('Faculties'!$Q$10:$Q$29,MATCH($F172,'Faculties'!$B$10:$B$29,0))),"N/A")</f>
        <v/>
      </c>
      <c r="I172" s="25">
        <f>IFERROR(IF(INDEX('Faculties'!$Q$37:$Q$56,MATCH($F172,'Faculties'!$B$37:$B$56,0))="","Cell will autofill based on response",INDEX('Faculties'!$Q$37:$Q$56,MATCH($F172,'Faculties'!$B$37:$B$56,0))),"N/A")</f>
        <v/>
      </c>
      <c r="J172" s="25">
        <f>IFERROR(IF(INDEX('Faculties'!$Q$64:$Q$83,MATCH($F172,'Faculties'!$B$64:$B$83,0))="","Cell will autofill based on response",INDEX('Faculties'!$Q$64:$Q$83,MATCH($F172,'Faculties'!$B$64:$B$83,0))),"N/A")</f>
        <v/>
      </c>
      <c r="K172" s="25">
        <f>IFERROR(IF(INDEX('Faculties'!$Q$91:$Q$110,MATCH($F172,'Faculties'!$B$91:$B$110,0))="","Cell will autofill based on response",INDEX('Faculties'!$Q$91:$Q$110,MATCH($F172,'Faculties'!$B$91:$B$110,0))),"N/A")</f>
        <v/>
      </c>
      <c r="L172" s="25">
        <f>IFERROR(IF(INDEX('CI&amp;S'!$Q$10:$Q$14,MATCH($F172,'CI&amp;S'!$B$10:$B$14,0))="","Cell will autofill based on response",INDEX('CI&amp;S'!$Q$10:$Q$14,MATCH($F172,'CI&amp;S'!$B$10:$B$14,0))),"N/A")</f>
        <v/>
      </c>
      <c r="M172" s="25">
        <f>IFERROR(IF(INDEX('CI&amp;S'!$Q$22:$Q$38,MATCH($F172,'CI&amp;S'!$B$22:$B$38,0))="","Cell will autofill based on response",INDEX('CI&amp;S'!$Q$22:$Q$38,MATCH($F172,'CI&amp;S'!$B$22:$B$38,0))),"N/A")</f>
        <v/>
      </c>
      <c r="N172" s="25">
        <f>IFERROR(IF(INDEX('CFOG'!$Q$10:$Q$15,MATCH($F172,'CFOG'!$B$10:$B$15,0))="","Cell will autofill based on response",INDEX('CFOG'!$Q$10:$Q$15,MATCH($F172,'CFOG'!$B$10:$B$15,0))),"N/A")</f>
        <v/>
      </c>
      <c r="O172" s="25">
        <f>IFERROR(IF(INDEX('CFOG'!$Q$23:$Q$23,MATCH($F172,'CFOG'!$B$23:$B$23,0))="","Cell will autofill based on response",INDEX('CFOG'!$Q$23:$Q$23,MATCH($F172,'CFOG'!$B$23:$B$23,0))),"N/A")</f>
        <v/>
      </c>
      <c r="P172" s="25">
        <f>IFERROR(IF(INDEX('ESG'!$Q$10:$Q$16,MATCH($F172,'ESG'!$B$10:$B$16,0))="","Cell will autofill based on response",INDEX('ESG'!$Q$10:$Q$16,MATCH($F172,'ESG'!$B$10:$B$16,0))),"N/A")</f>
        <v/>
      </c>
      <c r="Q172" s="25">
        <f>IFERROR(IF(INDEX('CIOG'!$Q$10:$Q$13,MATCH($F172,'CIOG'!$B$10:$B$13,0))="","Cell will autofill based on response",INDEX('CIOG'!$Q$10:$Q$13,MATCH($F172,'CIOG'!$B$10:$B$13,0))),"N/A")</f>
        <v/>
      </c>
      <c r="R172" s="25">
        <f>IFERROR(IF(INDEX('MRE'!$Q$10:$Q$11,MATCH($F172,'MRE'!$B$10:$B$11,0))="","Cell will autofill based on response",INDEX('MRE'!$Q$10:$Q$11,MATCH($F172,'MRE'!$B$10:$B$11,0))),"N/A")</f>
        <v/>
      </c>
    </row>
    <row r="173">
      <c r="A173">
        <f>F173&amp;"|"&amp;G173</f>
        <v/>
      </c>
      <c r="B173" s="7" t="inlineStr">
        <is>
          <t>NB2(a)</t>
        </is>
      </c>
      <c r="C173" s="12" t="inlineStr">
        <is>
          <t>Nature and biodiversity</t>
        </is>
      </c>
      <c r="D173" s="12" t="inlineStr">
        <is>
          <t>Documented baseline nature footprint analysis</t>
        </is>
      </c>
      <c r="E173" s="12" t="inlineStr">
        <is>
          <t>Impact Encore Measurement</t>
        </is>
      </c>
      <c r="F173" s="12" t="inlineStr">
        <is>
          <t>NB2(a)</t>
        </is>
      </c>
      <c r="G173" s="12" t="inlineStr">
        <is>
          <t>Confirm end-2026 target status</t>
        </is>
      </c>
      <c r="H173" s="25">
        <f>IFERROR(IF(INDEX('Faculties'!$L$10:$L$29,MATCH($F173,'Faculties'!$B$10:$B$29,0))="","Cell will autofill based on response",INDEX('Faculties'!$L$10:$L$29,MATCH($F173,'Faculties'!$B$10:$B$29,0))),"N/A")</f>
        <v/>
      </c>
      <c r="I173" s="25">
        <f>IFERROR(IF(INDEX('Faculties'!$L$37:$L$56,MATCH($F173,'Faculties'!$B$37:$B$56,0))="","Cell will autofill based on response",INDEX('Faculties'!$L$37:$L$56,MATCH($F173,'Faculties'!$B$37:$B$56,0))),"N/A")</f>
        <v/>
      </c>
      <c r="J173" s="25">
        <f>IFERROR(IF(INDEX('Faculties'!$L$64:$L$83,MATCH($F173,'Faculties'!$B$64:$B$83,0))="","Cell will autofill based on response",INDEX('Faculties'!$L$64:$L$83,MATCH($F173,'Faculties'!$B$64:$B$83,0))),"N/A")</f>
        <v/>
      </c>
      <c r="K173" s="25">
        <f>IFERROR(IF(INDEX('Faculties'!$L$91:$L$110,MATCH($F173,'Faculties'!$B$91:$B$110,0))="","Cell will autofill based on response",INDEX('Faculties'!$L$91:$L$110,MATCH($F173,'Faculties'!$B$91:$B$110,0))),"N/A")</f>
        <v/>
      </c>
      <c r="L173" s="25">
        <f>IFERROR(IF(INDEX('CI&amp;S'!$L$10:$L$14,MATCH($F173,'CI&amp;S'!$B$10:$B$14,0))="","Cell will autofill based on response",INDEX('CI&amp;S'!$L$10:$L$14,MATCH($F173,'CI&amp;S'!$B$10:$B$14,0))),"N/A")</f>
        <v/>
      </c>
      <c r="M173" s="25">
        <f>IFERROR(IF(INDEX('CI&amp;S'!$L$22:$L$38,MATCH($F173,'CI&amp;S'!$B$22:$B$38,0))="","Cell will autofill based on response",INDEX('CI&amp;S'!$L$22:$L$38,MATCH($F173,'CI&amp;S'!$B$22:$B$38,0))),"N/A")</f>
        <v/>
      </c>
      <c r="N173" s="25">
        <f>IFERROR(IF(INDEX('CFOG'!$L$10:$L$15,MATCH($F173,'CFOG'!$B$10:$B$15,0))="","Cell will autofill based on response",INDEX('CFOG'!$L$10:$L$15,MATCH($F173,'CFOG'!$B$10:$B$15,0))),"N/A")</f>
        <v/>
      </c>
      <c r="O173" s="25">
        <f>IFERROR(IF(INDEX('CFOG'!$L$23:$L$23,MATCH($F173,'CFOG'!$B$23:$B$23,0))="","Cell will autofill based on response",INDEX('CFOG'!$L$23:$L$23,MATCH($F173,'CFOG'!$B$23:$B$23,0))),"N/A")</f>
        <v/>
      </c>
      <c r="P173" s="25">
        <f>IFERROR(IF(INDEX('ESG'!$L$10:$L$16,MATCH($F173,'ESG'!$B$10:$B$16,0))="","Cell will autofill based on response",INDEX('ESG'!$L$10:$L$16,MATCH($F173,'ESG'!$B$10:$B$16,0))),"N/A")</f>
        <v/>
      </c>
      <c r="Q173" s="25">
        <f>IFERROR(IF(INDEX('CIOG'!$L$10:$L$13,MATCH($F173,'CIOG'!$B$10:$B$13,0))="","Cell will autofill based on response",INDEX('CIOG'!$L$10:$L$13,MATCH($F173,'CIOG'!$B$10:$B$13,0))),"N/A")</f>
        <v/>
      </c>
      <c r="R173" s="25">
        <f>IFERROR(IF(INDEX('MRE'!$L$10:$L$11,MATCH($F173,'MRE'!$B$10:$B$11,0))="","Cell will autofill based on response",INDEX('MRE'!$L$10:$L$11,MATCH($F173,'MRE'!$B$10:$B$11,0))),"N/A")</f>
        <v/>
      </c>
      <c r="T173" s="26">
        <f>COUNTIF($H173:$R173,"Cell will autofill based on response")</f>
        <v/>
      </c>
      <c r="U173" s="26">
        <f>COUNTIF($H173:$R173,"Not yet started")</f>
        <v/>
      </c>
      <c r="V173" s="26">
        <f>COUNTIF($H173:$R173,"Not met")</f>
        <v/>
      </c>
      <c r="W173" s="26">
        <f>COUNTIF($H173:$R173,"Partially met")</f>
        <v/>
      </c>
      <c r="X173" s="26">
        <f>COUNTIF($H173:$R173,"Met or exceeded")</f>
        <v/>
      </c>
      <c r="Y173" s="26">
        <f>3*X173+2*W173+V173</f>
        <v/>
      </c>
      <c r="Z173" s="26">
        <f>X173+W173+V173+U173</f>
        <v/>
      </c>
      <c r="AA173" s="27">
        <f>IF(Z173&gt;0,Y173/Z173,"No valid responses to date")</f>
        <v/>
      </c>
      <c r="AB173" s="26">
        <f>IF(ISNUMBER(AA173),INDEX(Lists!$G$2:$G$5,MATCH(ROUND(AA173,0),Lists!$H$2:$H$5,0)),"")</f>
        <v/>
      </c>
      <c r="AC173" s="28">
        <f>IF(Z173&gt;0,X173/Z173,"")</f>
        <v/>
      </c>
      <c r="AD173" s="28">
        <f>IF(Z173&gt;0,(X173+W173)/Z173,"")</f>
        <v/>
      </c>
      <c r="AE173" s="26">
        <f>IF(Z173=0,"",IF(AC173&gt;0.75,"Met or exceeded",IF(AD173&gt;=0.5,"Partially met","Not met")))</f>
        <v/>
      </c>
    </row>
    <row r="174">
      <c r="A174">
        <f>F174&amp;"|"&amp;G174</f>
        <v/>
      </c>
      <c r="B174" s="29" t="inlineStr"/>
      <c r="C174" s="8" t="inlineStr"/>
      <c r="D174" s="8" t="inlineStr"/>
      <c r="E174" s="8" t="inlineStr"/>
      <c r="F174" s="8" t="inlineStr">
        <is>
          <t>NB2(a)</t>
        </is>
      </c>
      <c r="G174" s="8" t="inlineStr">
        <is>
          <t>OPTION 1:  Target-level reporting</t>
        </is>
      </c>
      <c r="H174" s="25">
        <f>IFERROR(IF(INDEX('Faculties'!$M$10:$M$29,MATCH($F174,'Faculties'!$B$10:$B$29,0))="","Cell will autofill based on response",INDEX('Faculties'!$M$10:$M$29,MATCH($F174,'Faculties'!$B$10:$B$29,0))),"N/A")</f>
        <v/>
      </c>
      <c r="I174" s="25">
        <f>IFERROR(IF(INDEX('Faculties'!$M$37:$M$56,MATCH($F174,'Faculties'!$B$37:$B$56,0))="","Cell will autofill based on response",INDEX('Faculties'!$M$37:$M$56,MATCH($F174,'Faculties'!$B$37:$B$56,0))),"N/A")</f>
        <v/>
      </c>
      <c r="J174" s="25">
        <f>IFERROR(IF(INDEX('Faculties'!$M$64:$M$83,MATCH($F174,'Faculties'!$B$64:$B$83,0))="","Cell will autofill based on response",INDEX('Faculties'!$M$64:$M$83,MATCH($F174,'Faculties'!$B$64:$B$83,0))),"N/A")</f>
        <v/>
      </c>
      <c r="K174" s="25">
        <f>IFERROR(IF(INDEX('Faculties'!$M$91:$M$110,MATCH($F174,'Faculties'!$B$91:$B$110,0))="","Cell will autofill based on response",INDEX('Faculties'!$M$91:$M$110,MATCH($F174,'Faculties'!$B$91:$B$110,0))),"N/A")</f>
        <v/>
      </c>
      <c r="L174" s="25">
        <f>IFERROR(IF(INDEX('CI&amp;S'!$M$10:$M$14,MATCH($F174,'CI&amp;S'!$B$10:$B$14,0))="","Cell will autofill based on response",INDEX('CI&amp;S'!$M$10:$M$14,MATCH($F174,'CI&amp;S'!$B$10:$B$14,0))),"N/A")</f>
        <v/>
      </c>
      <c r="M174" s="25">
        <f>IFERROR(IF(INDEX('CI&amp;S'!$M$22:$M$38,MATCH($F174,'CI&amp;S'!$B$22:$B$38,0))="","Cell will autofill based on response",INDEX('CI&amp;S'!$M$22:$M$38,MATCH($F174,'CI&amp;S'!$B$22:$B$38,0))),"N/A")</f>
        <v/>
      </c>
      <c r="N174" s="25">
        <f>IFERROR(IF(INDEX('CFOG'!$M$10:$M$15,MATCH($F174,'CFOG'!$B$10:$B$15,0))="","Cell will autofill based on response",INDEX('CFOG'!$M$10:$M$15,MATCH($F174,'CFOG'!$B$10:$B$15,0))),"N/A")</f>
        <v/>
      </c>
      <c r="O174" s="25">
        <f>IFERROR(IF(INDEX('CFOG'!$M$23:$M$23,MATCH($F174,'CFOG'!$B$23:$B$23,0))="","Cell will autofill based on response",INDEX('CFOG'!$M$23:$M$23,MATCH($F174,'CFOG'!$B$23:$B$23,0))),"N/A")</f>
        <v/>
      </c>
      <c r="P174" s="25">
        <f>IFERROR(IF(INDEX('ESG'!$M$10:$M$16,MATCH($F174,'ESG'!$B$10:$B$16,0))="","Cell will autofill based on response",INDEX('ESG'!$M$10:$M$16,MATCH($F174,'ESG'!$B$10:$B$16,0))),"N/A")</f>
        <v/>
      </c>
      <c r="Q174" s="25">
        <f>IFERROR(IF(INDEX('CIOG'!$M$10:$M$13,MATCH($F174,'CIOG'!$B$10:$B$13,0))="","Cell will autofill based on response",INDEX('CIOG'!$M$10:$M$13,MATCH($F174,'CIOG'!$B$10:$B$13,0))),"N/A")</f>
        <v/>
      </c>
      <c r="R174" s="25">
        <f>IFERROR(IF(INDEX('MRE'!$M$10:$M$11,MATCH($F174,'MRE'!$B$10:$B$11,0))="","Cell will autofill based on response",INDEX('MRE'!$M$10:$M$11,MATCH($F174,'MRE'!$B$10:$B$11,0))),"N/A")</f>
        <v/>
      </c>
    </row>
    <row r="175">
      <c r="A175">
        <f>F175&amp;"|"&amp;G175</f>
        <v/>
      </c>
      <c r="B175" s="29" t="inlineStr"/>
      <c r="C175" s="8" t="inlineStr"/>
      <c r="D175" s="8" t="inlineStr"/>
      <c r="E175" s="8" t="inlineStr"/>
      <c r="F175" s="8" t="inlineStr">
        <is>
          <t>NB2(a)</t>
        </is>
      </c>
      <c r="G175" s="8" t="inlineStr">
        <is>
          <t>OPTION 2:  Indicator level reporting</t>
        </is>
      </c>
      <c r="H175" s="25">
        <f>IFERROR(IF(INDEX('Faculties'!$N$10:$N$29,MATCH($F175,'Faculties'!$B$10:$B$29,0))="","Cell will autofill based on response",INDEX('Faculties'!$N$10:$N$29,MATCH($F175,'Faculties'!$B$10:$B$29,0))),"N/A")</f>
        <v/>
      </c>
      <c r="I175" s="25">
        <f>IFERROR(IF(INDEX('Faculties'!$N$37:$N$56,MATCH($F175,'Faculties'!$B$37:$B$56,0))="","Cell will autofill based on response",INDEX('Faculties'!$N$37:$N$56,MATCH($F175,'Faculties'!$B$37:$B$56,0))),"N/A")</f>
        <v/>
      </c>
      <c r="J175" s="25">
        <f>IFERROR(IF(INDEX('Faculties'!$N$64:$N$83,MATCH($F175,'Faculties'!$B$64:$B$83,0))="","Cell will autofill based on response",INDEX('Faculties'!$N$64:$N$83,MATCH($F175,'Faculties'!$B$64:$B$83,0))),"N/A")</f>
        <v/>
      </c>
      <c r="K175" s="25">
        <f>IFERROR(IF(INDEX('Faculties'!$N$91:$N$110,MATCH($F175,'Faculties'!$B$91:$B$110,0))="","Cell will autofill based on response",INDEX('Faculties'!$N$91:$N$110,MATCH($F175,'Faculties'!$B$91:$B$110,0))),"N/A")</f>
        <v/>
      </c>
      <c r="L175" s="25">
        <f>IFERROR(IF(INDEX('CI&amp;S'!$N$10:$N$14,MATCH($F175,'CI&amp;S'!$B$10:$B$14,0))="","Cell will autofill based on response",INDEX('CI&amp;S'!$N$10:$N$14,MATCH($F175,'CI&amp;S'!$B$10:$B$14,0))),"N/A")</f>
        <v/>
      </c>
      <c r="M175" s="25">
        <f>IFERROR(IF(INDEX('CI&amp;S'!$N$22:$N$38,MATCH($F175,'CI&amp;S'!$B$22:$B$38,0))="","Cell will autofill based on response",INDEX('CI&amp;S'!$N$22:$N$38,MATCH($F175,'CI&amp;S'!$B$22:$B$38,0))),"N/A")</f>
        <v/>
      </c>
      <c r="N175" s="25">
        <f>IFERROR(IF(INDEX('CFOG'!$N$10:$N$15,MATCH($F175,'CFOG'!$B$10:$B$15,0))="","Cell will autofill based on response",INDEX('CFOG'!$N$10:$N$15,MATCH($F175,'CFOG'!$B$10:$B$15,0))),"N/A")</f>
        <v/>
      </c>
      <c r="O175" s="25">
        <f>IFERROR(IF(INDEX('CFOG'!$N$23:$N$23,MATCH($F175,'CFOG'!$B$23:$B$23,0))="","Cell will autofill based on response",INDEX('CFOG'!$N$23:$N$23,MATCH($F175,'CFOG'!$B$23:$B$23,0))),"N/A")</f>
        <v/>
      </c>
      <c r="P175" s="25">
        <f>IFERROR(IF(INDEX('ESG'!$N$10:$N$16,MATCH($F175,'ESG'!$B$10:$B$16,0))="","Cell will autofill based on response",INDEX('ESG'!$N$10:$N$16,MATCH($F175,'ESG'!$B$10:$B$16,0))),"N/A")</f>
        <v/>
      </c>
      <c r="Q175" s="25">
        <f>IFERROR(IF(INDEX('CIOG'!$N$10:$N$13,MATCH($F175,'CIOG'!$B$10:$B$13,0))="","Cell will autofill based on response",INDEX('CIOG'!$N$10:$N$13,MATCH($F175,'CIOG'!$B$10:$B$13,0))),"N/A")</f>
        <v/>
      </c>
      <c r="R175" s="25">
        <f>IFERROR(IF(INDEX('MRE'!$N$10:$N$11,MATCH($F175,'MRE'!$B$10:$B$11,0))="","Cell will autofill based on response",INDEX('MRE'!$N$10:$N$11,MATCH($F175,'MRE'!$B$10:$B$11,0))),"N/A")</f>
        <v/>
      </c>
    </row>
    <row r="176">
      <c r="A176">
        <f>F176&amp;"|"&amp;G176</f>
        <v/>
      </c>
      <c r="B176" s="29" t="inlineStr"/>
      <c r="C176" s="8" t="inlineStr"/>
      <c r="D176" s="8" t="inlineStr"/>
      <c r="E176" s="8" t="inlineStr"/>
      <c r="F176" s="8" t="inlineStr">
        <is>
          <t>NB2(a)</t>
        </is>
      </c>
      <c r="G176" s="8" t="inlineStr">
        <is>
          <t>Supporting information/comments</t>
        </is>
      </c>
      <c r="H176" s="25">
        <f>IFERROR(IF(INDEX('Faculties'!$O$10:$O$29,MATCH($F176,'Faculties'!$B$10:$B$29,0))="","Cell will autofill based on response",INDEX('Faculties'!$O$10:$O$29,MATCH($F176,'Faculties'!$B$10:$B$29,0))),"N/A")</f>
        <v/>
      </c>
      <c r="I176" s="25">
        <f>IFERROR(IF(INDEX('Faculties'!$O$37:$O$56,MATCH($F176,'Faculties'!$B$37:$B$56,0))="","Cell will autofill based on response",INDEX('Faculties'!$O$37:$O$56,MATCH($F176,'Faculties'!$B$37:$B$56,0))),"N/A")</f>
        <v/>
      </c>
      <c r="J176" s="25">
        <f>IFERROR(IF(INDEX('Faculties'!$O$64:$O$83,MATCH($F176,'Faculties'!$B$64:$B$83,0))="","Cell will autofill based on response",INDEX('Faculties'!$O$64:$O$83,MATCH($F176,'Faculties'!$B$64:$B$83,0))),"N/A")</f>
        <v/>
      </c>
      <c r="K176" s="25">
        <f>IFERROR(IF(INDEX('Faculties'!$O$91:$O$110,MATCH($F176,'Faculties'!$B$91:$B$110,0))="","Cell will autofill based on response",INDEX('Faculties'!$O$91:$O$110,MATCH($F176,'Faculties'!$B$91:$B$110,0))),"N/A")</f>
        <v/>
      </c>
      <c r="L176" s="25">
        <f>IFERROR(IF(INDEX('CI&amp;S'!$O$10:$O$14,MATCH($F176,'CI&amp;S'!$B$10:$B$14,0))="","Cell will autofill based on response",INDEX('CI&amp;S'!$O$10:$O$14,MATCH($F176,'CI&amp;S'!$B$10:$B$14,0))),"N/A")</f>
        <v/>
      </c>
      <c r="M176" s="25">
        <f>IFERROR(IF(INDEX('CI&amp;S'!$O$22:$O$38,MATCH($F176,'CI&amp;S'!$B$22:$B$38,0))="","Cell will autofill based on response",INDEX('CI&amp;S'!$O$22:$O$38,MATCH($F176,'CI&amp;S'!$B$22:$B$38,0))),"N/A")</f>
        <v/>
      </c>
      <c r="N176" s="25">
        <f>IFERROR(IF(INDEX('CFOG'!$O$10:$O$15,MATCH($F176,'CFOG'!$B$10:$B$15,0))="","Cell will autofill based on response",INDEX('CFOG'!$O$10:$O$15,MATCH($F176,'CFOG'!$B$10:$B$15,0))),"N/A")</f>
        <v/>
      </c>
      <c r="O176" s="25">
        <f>IFERROR(IF(INDEX('CFOG'!$O$23:$O$23,MATCH($F176,'CFOG'!$B$23:$B$23,0))="","Cell will autofill based on response",INDEX('CFOG'!$O$23:$O$23,MATCH($F176,'CFOG'!$B$23:$B$23,0))),"N/A")</f>
        <v/>
      </c>
      <c r="P176" s="25">
        <f>IFERROR(IF(INDEX('ESG'!$O$10:$O$16,MATCH($F176,'ESG'!$B$10:$B$16,0))="","Cell will autofill based on response",INDEX('ESG'!$O$10:$O$16,MATCH($F176,'ESG'!$B$10:$B$16,0))),"N/A")</f>
        <v/>
      </c>
      <c r="Q176" s="25">
        <f>IFERROR(IF(INDEX('CIOG'!$O$10:$O$13,MATCH($F176,'CIOG'!$B$10:$B$13,0))="","Cell will autofill based on response",INDEX('CIOG'!$O$10:$O$13,MATCH($F176,'CIOG'!$B$10:$B$13,0))),"N/A")</f>
        <v/>
      </c>
      <c r="R176" s="25">
        <f>IFERROR(IF(INDEX('MRE'!$O$10:$O$11,MATCH($F176,'MRE'!$B$10:$B$11,0))="","Cell will autofill based on response",INDEX('MRE'!$O$10:$O$11,MATCH($F176,'MRE'!$B$10:$B$11,0))),"N/A")</f>
        <v/>
      </c>
    </row>
    <row r="177">
      <c r="A177">
        <f>F177&amp;"|"&amp;G177</f>
        <v/>
      </c>
      <c r="B177" s="29" t="inlineStr"/>
      <c r="C177" s="8" t="inlineStr"/>
      <c r="D177" s="8" t="inlineStr"/>
      <c r="E177" s="8" t="inlineStr"/>
      <c r="F177" s="8" t="inlineStr">
        <is>
          <t>NB2(a)</t>
        </is>
      </c>
      <c r="G177" s="8" t="inlineStr">
        <is>
          <t>Data source and limitations</t>
        </is>
      </c>
      <c r="H177" s="25">
        <f>IFERROR(IF(INDEX('Faculties'!$P$10:$P$29,MATCH($F177,'Faculties'!$B$10:$B$29,0))="","Cell will autofill based on response",INDEX('Faculties'!$P$10:$P$29,MATCH($F177,'Faculties'!$B$10:$B$29,0))),"N/A")</f>
        <v/>
      </c>
      <c r="I177" s="25">
        <f>IFERROR(IF(INDEX('Faculties'!$P$37:$P$56,MATCH($F177,'Faculties'!$B$37:$B$56,0))="","Cell will autofill based on response",INDEX('Faculties'!$P$37:$P$56,MATCH($F177,'Faculties'!$B$37:$B$56,0))),"N/A")</f>
        <v/>
      </c>
      <c r="J177" s="25">
        <f>IFERROR(IF(INDEX('Faculties'!$P$64:$P$83,MATCH($F177,'Faculties'!$B$64:$B$83,0))="","Cell will autofill based on response",INDEX('Faculties'!$P$64:$P$83,MATCH($F177,'Faculties'!$B$64:$B$83,0))),"N/A")</f>
        <v/>
      </c>
      <c r="K177" s="25">
        <f>IFERROR(IF(INDEX('Faculties'!$P$91:$P$110,MATCH($F177,'Faculties'!$B$91:$B$110,0))="","Cell will autofill based on response",INDEX('Faculties'!$P$91:$P$110,MATCH($F177,'Faculties'!$B$91:$B$110,0))),"N/A")</f>
        <v/>
      </c>
      <c r="L177" s="25">
        <f>IFERROR(IF(INDEX('CI&amp;S'!$P$10:$P$14,MATCH($F177,'CI&amp;S'!$B$10:$B$14,0))="","Cell will autofill based on response",INDEX('CI&amp;S'!$P$10:$P$14,MATCH($F177,'CI&amp;S'!$B$10:$B$14,0))),"N/A")</f>
        <v/>
      </c>
      <c r="M177" s="25">
        <f>IFERROR(IF(INDEX('CI&amp;S'!$P$22:$P$38,MATCH($F177,'CI&amp;S'!$B$22:$B$38,0))="","Cell will autofill based on response",INDEX('CI&amp;S'!$P$22:$P$38,MATCH($F177,'CI&amp;S'!$B$22:$B$38,0))),"N/A")</f>
        <v/>
      </c>
      <c r="N177" s="25">
        <f>IFERROR(IF(INDEX('CFOG'!$P$10:$P$15,MATCH($F177,'CFOG'!$B$10:$B$15,0))="","Cell will autofill based on response",INDEX('CFOG'!$P$10:$P$15,MATCH($F177,'CFOG'!$B$10:$B$15,0))),"N/A")</f>
        <v/>
      </c>
      <c r="O177" s="25">
        <f>IFERROR(IF(INDEX('CFOG'!$P$23:$P$23,MATCH($F177,'CFOG'!$B$23:$B$23,0))="","Cell will autofill based on response",INDEX('CFOG'!$P$23:$P$23,MATCH($F177,'CFOG'!$B$23:$B$23,0))),"N/A")</f>
        <v/>
      </c>
      <c r="P177" s="25">
        <f>IFERROR(IF(INDEX('ESG'!$P$10:$P$16,MATCH($F177,'ESG'!$B$10:$B$16,0))="","Cell will autofill based on response",INDEX('ESG'!$P$10:$P$16,MATCH($F177,'ESG'!$B$10:$B$16,0))),"N/A")</f>
        <v/>
      </c>
      <c r="Q177" s="25">
        <f>IFERROR(IF(INDEX('CIOG'!$P$10:$P$13,MATCH($F177,'CIOG'!$B$10:$B$13,0))="","Cell will autofill based on response",INDEX('CIOG'!$P$10:$P$13,MATCH($F177,'CIOG'!$B$10:$B$13,0))),"N/A")</f>
        <v/>
      </c>
      <c r="R177" s="25">
        <f>IFERROR(IF(INDEX('MRE'!$P$10:$P$11,MATCH($F177,'MRE'!$B$10:$B$11,0))="","Cell will autofill based on response",INDEX('MRE'!$P$10:$P$11,MATCH($F177,'MRE'!$B$10:$B$11,0))),"N/A")</f>
        <v/>
      </c>
    </row>
    <row r="178">
      <c r="A178">
        <f>F178&amp;"|"&amp;G178</f>
        <v/>
      </c>
      <c r="B178" s="29" t="inlineStr"/>
      <c r="C178" s="8" t="inlineStr"/>
      <c r="D178" s="8" t="inlineStr"/>
      <c r="E178" s="8" t="inlineStr"/>
      <c r="F178" s="8" t="inlineStr">
        <is>
          <t>NB2(a)</t>
        </is>
      </c>
      <c r="G178" s="8" t="inlineStr">
        <is>
          <t>Data owner confirms</t>
        </is>
      </c>
      <c r="H178" s="25">
        <f>IFERROR(IF(INDEX('Faculties'!$Q$10:$Q$29,MATCH($F178,'Faculties'!$B$10:$B$29,0))="","Cell will autofill based on response",INDEX('Faculties'!$Q$10:$Q$29,MATCH($F178,'Faculties'!$B$10:$B$29,0))),"N/A")</f>
        <v/>
      </c>
      <c r="I178" s="25">
        <f>IFERROR(IF(INDEX('Faculties'!$Q$37:$Q$56,MATCH($F178,'Faculties'!$B$37:$B$56,0))="","Cell will autofill based on response",INDEX('Faculties'!$Q$37:$Q$56,MATCH($F178,'Faculties'!$B$37:$B$56,0))),"N/A")</f>
        <v/>
      </c>
      <c r="J178" s="25">
        <f>IFERROR(IF(INDEX('Faculties'!$Q$64:$Q$83,MATCH($F178,'Faculties'!$B$64:$B$83,0))="","Cell will autofill based on response",INDEX('Faculties'!$Q$64:$Q$83,MATCH($F178,'Faculties'!$B$64:$B$83,0))),"N/A")</f>
        <v/>
      </c>
      <c r="K178" s="25">
        <f>IFERROR(IF(INDEX('Faculties'!$Q$91:$Q$110,MATCH($F178,'Faculties'!$B$91:$B$110,0))="","Cell will autofill based on response",INDEX('Faculties'!$Q$91:$Q$110,MATCH($F178,'Faculties'!$B$91:$B$110,0))),"N/A")</f>
        <v/>
      </c>
      <c r="L178" s="25">
        <f>IFERROR(IF(INDEX('CI&amp;S'!$Q$10:$Q$14,MATCH($F178,'CI&amp;S'!$B$10:$B$14,0))="","Cell will autofill based on response",INDEX('CI&amp;S'!$Q$10:$Q$14,MATCH($F178,'CI&amp;S'!$B$10:$B$14,0))),"N/A")</f>
        <v/>
      </c>
      <c r="M178" s="25">
        <f>IFERROR(IF(INDEX('CI&amp;S'!$Q$22:$Q$38,MATCH($F178,'CI&amp;S'!$B$22:$B$38,0))="","Cell will autofill based on response",INDEX('CI&amp;S'!$Q$22:$Q$38,MATCH($F178,'CI&amp;S'!$B$22:$B$38,0))),"N/A")</f>
        <v/>
      </c>
      <c r="N178" s="25">
        <f>IFERROR(IF(INDEX('CFOG'!$Q$10:$Q$15,MATCH($F178,'CFOG'!$B$10:$B$15,0))="","Cell will autofill based on response",INDEX('CFOG'!$Q$10:$Q$15,MATCH($F178,'CFOG'!$B$10:$B$15,0))),"N/A")</f>
        <v/>
      </c>
      <c r="O178" s="25">
        <f>IFERROR(IF(INDEX('CFOG'!$Q$23:$Q$23,MATCH($F178,'CFOG'!$B$23:$B$23,0))="","Cell will autofill based on response",INDEX('CFOG'!$Q$23:$Q$23,MATCH($F178,'CFOG'!$B$23:$B$23,0))),"N/A")</f>
        <v/>
      </c>
      <c r="P178" s="25">
        <f>IFERROR(IF(INDEX('ESG'!$Q$10:$Q$16,MATCH($F178,'ESG'!$B$10:$B$16,0))="","Cell will autofill based on response",INDEX('ESG'!$Q$10:$Q$16,MATCH($F178,'ESG'!$B$10:$B$16,0))),"N/A")</f>
        <v/>
      </c>
      <c r="Q178" s="25">
        <f>IFERROR(IF(INDEX('CIOG'!$Q$10:$Q$13,MATCH($F178,'CIOG'!$B$10:$B$13,0))="","Cell will autofill based on response",INDEX('CIOG'!$Q$10:$Q$13,MATCH($F178,'CIOG'!$B$10:$B$13,0))),"N/A")</f>
        <v/>
      </c>
      <c r="R178" s="25">
        <f>IFERROR(IF(INDEX('MRE'!$Q$10:$Q$11,MATCH($F178,'MRE'!$B$10:$B$11,0))="","Cell will autofill based on response",INDEX('MRE'!$Q$10:$Q$11,MATCH($F178,'MRE'!$B$10:$B$11,0))),"N/A")</f>
        <v/>
      </c>
    </row>
    <row r="179">
      <c r="A179">
        <f>F179&amp;"|"&amp;G179</f>
        <v/>
      </c>
      <c r="B179" s="7" t="inlineStr">
        <is>
          <t>NB2(b)</t>
        </is>
      </c>
      <c r="C179" s="12" t="inlineStr">
        <is>
          <t>Nature and biodiversity</t>
        </is>
      </c>
      <c r="D179" s="12" t="inlineStr">
        <is>
          <t>Evidence of established framework to monitor and track supply-chain nature impacts over time</t>
        </is>
      </c>
      <c r="E179" s="12" t="inlineStr">
        <is>
          <t>Please describe the framework established to monitor and track supply-chain impacts on nature over time, could include metrics, data sources, governance/ownership, reporting frequency and current implementation status.</t>
        </is>
      </c>
      <c r="F179" s="12" t="inlineStr">
        <is>
          <t>NB2(b)</t>
        </is>
      </c>
      <c r="G179" s="12" t="inlineStr">
        <is>
          <t>Confirm end-2026 target status</t>
        </is>
      </c>
      <c r="H179" s="25">
        <f>IFERROR(IF(INDEX('Faculties'!$L$10:$L$29,MATCH($F179,'Faculties'!$B$10:$B$29,0))="","Cell will autofill based on response",INDEX('Faculties'!$L$10:$L$29,MATCH($F179,'Faculties'!$B$10:$B$29,0))),"N/A")</f>
        <v/>
      </c>
      <c r="I179" s="25">
        <f>IFERROR(IF(INDEX('Faculties'!$L$37:$L$56,MATCH($F179,'Faculties'!$B$37:$B$56,0))="","Cell will autofill based on response",INDEX('Faculties'!$L$37:$L$56,MATCH($F179,'Faculties'!$B$37:$B$56,0))),"N/A")</f>
        <v/>
      </c>
      <c r="J179" s="25">
        <f>IFERROR(IF(INDEX('Faculties'!$L$64:$L$83,MATCH($F179,'Faculties'!$B$64:$B$83,0))="","Cell will autofill based on response",INDEX('Faculties'!$L$64:$L$83,MATCH($F179,'Faculties'!$B$64:$B$83,0))),"N/A")</f>
        <v/>
      </c>
      <c r="K179" s="25">
        <f>IFERROR(IF(INDEX('Faculties'!$L$91:$L$110,MATCH($F179,'Faculties'!$B$91:$B$110,0))="","Cell will autofill based on response",INDEX('Faculties'!$L$91:$L$110,MATCH($F179,'Faculties'!$B$91:$B$110,0))),"N/A")</f>
        <v/>
      </c>
      <c r="L179" s="25">
        <f>IFERROR(IF(INDEX('CI&amp;S'!$L$10:$L$14,MATCH($F179,'CI&amp;S'!$B$10:$B$14,0))="","Cell will autofill based on response",INDEX('CI&amp;S'!$L$10:$L$14,MATCH($F179,'CI&amp;S'!$B$10:$B$14,0))),"N/A")</f>
        <v/>
      </c>
      <c r="M179" s="25">
        <f>IFERROR(IF(INDEX('CI&amp;S'!$L$22:$L$38,MATCH($F179,'CI&amp;S'!$B$22:$B$38,0))="","Cell will autofill based on response",INDEX('CI&amp;S'!$L$22:$L$38,MATCH($F179,'CI&amp;S'!$B$22:$B$38,0))),"N/A")</f>
        <v/>
      </c>
      <c r="N179" s="25">
        <f>IFERROR(IF(INDEX('CFOG'!$L$10:$L$15,MATCH($F179,'CFOG'!$B$10:$B$15,0))="","Cell will autofill based on response",INDEX('CFOG'!$L$10:$L$15,MATCH($F179,'CFOG'!$B$10:$B$15,0))),"N/A")</f>
        <v/>
      </c>
      <c r="O179" s="25">
        <f>IFERROR(IF(INDEX('CFOG'!$L$23:$L$23,MATCH($F179,'CFOG'!$B$23:$B$23,0))="","Cell will autofill based on response",INDEX('CFOG'!$L$23:$L$23,MATCH($F179,'CFOG'!$B$23:$B$23,0))),"N/A")</f>
        <v/>
      </c>
      <c r="P179" s="25">
        <f>IFERROR(IF(INDEX('ESG'!$L$10:$L$16,MATCH($F179,'ESG'!$B$10:$B$16,0))="","Cell will autofill based on response",INDEX('ESG'!$L$10:$L$16,MATCH($F179,'ESG'!$B$10:$B$16,0))),"N/A")</f>
        <v/>
      </c>
      <c r="Q179" s="25">
        <f>IFERROR(IF(INDEX('CIOG'!$L$10:$L$13,MATCH($F179,'CIOG'!$B$10:$B$13,0))="","Cell will autofill based on response",INDEX('CIOG'!$L$10:$L$13,MATCH($F179,'CIOG'!$B$10:$B$13,0))),"N/A")</f>
        <v/>
      </c>
      <c r="R179" s="25">
        <f>IFERROR(IF(INDEX('MRE'!$L$10:$L$11,MATCH($F179,'MRE'!$B$10:$B$11,0))="","Cell will autofill based on response",INDEX('MRE'!$L$10:$L$11,MATCH($F179,'MRE'!$B$10:$B$11,0))),"N/A")</f>
        <v/>
      </c>
      <c r="T179" s="26">
        <f>COUNTIF($H179:$R179,"Cell will autofill based on response")</f>
        <v/>
      </c>
      <c r="U179" s="26">
        <f>COUNTIF($H179:$R179,"Not yet started")</f>
        <v/>
      </c>
      <c r="V179" s="26">
        <f>COUNTIF($H179:$R179,"Not met")</f>
        <v/>
      </c>
      <c r="W179" s="26">
        <f>COUNTIF($H179:$R179,"Partially met")</f>
        <v/>
      </c>
      <c r="X179" s="26">
        <f>COUNTIF($H179:$R179,"Met or exceeded")</f>
        <v/>
      </c>
      <c r="Y179" s="26">
        <f>3*X179+2*W179+V179</f>
        <v/>
      </c>
      <c r="Z179" s="26">
        <f>X179+W179+V179+U179</f>
        <v/>
      </c>
      <c r="AA179" s="27">
        <f>IF(Z179&gt;0,Y179/Z179,"No valid responses to date")</f>
        <v/>
      </c>
      <c r="AB179" s="26">
        <f>IF(ISNUMBER(AA179),INDEX(Lists!$G$2:$G$5,MATCH(ROUND(AA179,0),Lists!$H$2:$H$5,0)),"")</f>
        <v/>
      </c>
      <c r="AC179" s="28">
        <f>IF(Z179&gt;0,X179/Z179,"")</f>
        <v/>
      </c>
      <c r="AD179" s="28">
        <f>IF(Z179&gt;0,(X179+W179)/Z179,"")</f>
        <v/>
      </c>
      <c r="AE179" s="26">
        <f>IF(Z179=0,"",IF(AC179&gt;0.75,"Met or exceeded",IF(AD179&gt;=0.5,"Partially met","Not met")))</f>
        <v/>
      </c>
    </row>
    <row r="180">
      <c r="A180">
        <f>F180&amp;"|"&amp;G180</f>
        <v/>
      </c>
      <c r="B180" s="29" t="inlineStr"/>
      <c r="C180" s="8" t="inlineStr"/>
      <c r="D180" s="8" t="inlineStr"/>
      <c r="E180" s="8" t="inlineStr"/>
      <c r="F180" s="8" t="inlineStr">
        <is>
          <t>NB2(b)</t>
        </is>
      </c>
      <c r="G180" s="8" t="inlineStr">
        <is>
          <t>OPTION 1:  Target-level reporting</t>
        </is>
      </c>
      <c r="H180" s="25">
        <f>IFERROR(IF(INDEX('Faculties'!$M$10:$M$29,MATCH($F180,'Faculties'!$B$10:$B$29,0))="","Cell will autofill based on response",INDEX('Faculties'!$M$10:$M$29,MATCH($F180,'Faculties'!$B$10:$B$29,0))),"N/A")</f>
        <v/>
      </c>
      <c r="I180" s="25">
        <f>IFERROR(IF(INDEX('Faculties'!$M$37:$M$56,MATCH($F180,'Faculties'!$B$37:$B$56,0))="","Cell will autofill based on response",INDEX('Faculties'!$M$37:$M$56,MATCH($F180,'Faculties'!$B$37:$B$56,0))),"N/A")</f>
        <v/>
      </c>
      <c r="J180" s="25">
        <f>IFERROR(IF(INDEX('Faculties'!$M$64:$M$83,MATCH($F180,'Faculties'!$B$64:$B$83,0))="","Cell will autofill based on response",INDEX('Faculties'!$M$64:$M$83,MATCH($F180,'Faculties'!$B$64:$B$83,0))),"N/A")</f>
        <v/>
      </c>
      <c r="K180" s="25">
        <f>IFERROR(IF(INDEX('Faculties'!$M$91:$M$110,MATCH($F180,'Faculties'!$B$91:$B$110,0))="","Cell will autofill based on response",INDEX('Faculties'!$M$91:$M$110,MATCH($F180,'Faculties'!$B$91:$B$110,0))),"N/A")</f>
        <v/>
      </c>
      <c r="L180" s="25">
        <f>IFERROR(IF(INDEX('CI&amp;S'!$M$10:$M$14,MATCH($F180,'CI&amp;S'!$B$10:$B$14,0))="","Cell will autofill based on response",INDEX('CI&amp;S'!$M$10:$M$14,MATCH($F180,'CI&amp;S'!$B$10:$B$14,0))),"N/A")</f>
        <v/>
      </c>
      <c r="M180" s="25">
        <f>IFERROR(IF(INDEX('CI&amp;S'!$M$22:$M$38,MATCH($F180,'CI&amp;S'!$B$22:$B$38,0))="","Cell will autofill based on response",INDEX('CI&amp;S'!$M$22:$M$38,MATCH($F180,'CI&amp;S'!$B$22:$B$38,0))),"N/A")</f>
        <v/>
      </c>
      <c r="N180" s="25">
        <f>IFERROR(IF(INDEX('CFOG'!$M$10:$M$15,MATCH($F180,'CFOG'!$B$10:$B$15,0))="","Cell will autofill based on response",INDEX('CFOG'!$M$10:$M$15,MATCH($F180,'CFOG'!$B$10:$B$15,0))),"N/A")</f>
        <v/>
      </c>
      <c r="O180" s="25">
        <f>IFERROR(IF(INDEX('CFOG'!$M$23:$M$23,MATCH($F180,'CFOG'!$B$23:$B$23,0))="","Cell will autofill based on response",INDEX('CFOG'!$M$23:$M$23,MATCH($F180,'CFOG'!$B$23:$B$23,0))),"N/A")</f>
        <v/>
      </c>
      <c r="P180" s="25">
        <f>IFERROR(IF(INDEX('ESG'!$M$10:$M$16,MATCH($F180,'ESG'!$B$10:$B$16,0))="","Cell will autofill based on response",INDEX('ESG'!$M$10:$M$16,MATCH($F180,'ESG'!$B$10:$B$16,0))),"N/A")</f>
        <v/>
      </c>
      <c r="Q180" s="25">
        <f>IFERROR(IF(INDEX('CIOG'!$M$10:$M$13,MATCH($F180,'CIOG'!$B$10:$B$13,0))="","Cell will autofill based on response",INDEX('CIOG'!$M$10:$M$13,MATCH($F180,'CIOG'!$B$10:$B$13,0))),"N/A")</f>
        <v/>
      </c>
      <c r="R180" s="25">
        <f>IFERROR(IF(INDEX('MRE'!$M$10:$M$11,MATCH($F180,'MRE'!$B$10:$B$11,0))="","Cell will autofill based on response",INDEX('MRE'!$M$10:$M$11,MATCH($F180,'MRE'!$B$10:$B$11,0))),"N/A")</f>
        <v/>
      </c>
    </row>
    <row r="181">
      <c r="A181">
        <f>F181&amp;"|"&amp;G181</f>
        <v/>
      </c>
      <c r="B181" s="29" t="inlineStr"/>
      <c r="C181" s="8" t="inlineStr"/>
      <c r="D181" s="8" t="inlineStr"/>
      <c r="E181" s="8" t="inlineStr"/>
      <c r="F181" s="8" t="inlineStr">
        <is>
          <t>NB2(b)</t>
        </is>
      </c>
      <c r="G181" s="8" t="inlineStr">
        <is>
          <t>OPTION 2:  Indicator level reporting</t>
        </is>
      </c>
      <c r="H181" s="25">
        <f>IFERROR(IF(INDEX('Faculties'!$N$10:$N$29,MATCH($F181,'Faculties'!$B$10:$B$29,0))="","Cell will autofill based on response",INDEX('Faculties'!$N$10:$N$29,MATCH($F181,'Faculties'!$B$10:$B$29,0))),"N/A")</f>
        <v/>
      </c>
      <c r="I181" s="25">
        <f>IFERROR(IF(INDEX('Faculties'!$N$37:$N$56,MATCH($F181,'Faculties'!$B$37:$B$56,0))="","Cell will autofill based on response",INDEX('Faculties'!$N$37:$N$56,MATCH($F181,'Faculties'!$B$37:$B$56,0))),"N/A")</f>
        <v/>
      </c>
      <c r="J181" s="25">
        <f>IFERROR(IF(INDEX('Faculties'!$N$64:$N$83,MATCH($F181,'Faculties'!$B$64:$B$83,0))="","Cell will autofill based on response",INDEX('Faculties'!$N$64:$N$83,MATCH($F181,'Faculties'!$B$64:$B$83,0))),"N/A")</f>
        <v/>
      </c>
      <c r="K181" s="25">
        <f>IFERROR(IF(INDEX('Faculties'!$N$91:$N$110,MATCH($F181,'Faculties'!$B$91:$B$110,0))="","Cell will autofill based on response",INDEX('Faculties'!$N$91:$N$110,MATCH($F181,'Faculties'!$B$91:$B$110,0))),"N/A")</f>
        <v/>
      </c>
      <c r="L181" s="25">
        <f>IFERROR(IF(INDEX('CI&amp;S'!$N$10:$N$14,MATCH($F181,'CI&amp;S'!$B$10:$B$14,0))="","Cell will autofill based on response",INDEX('CI&amp;S'!$N$10:$N$14,MATCH($F181,'CI&amp;S'!$B$10:$B$14,0))),"N/A")</f>
        <v/>
      </c>
      <c r="M181" s="25">
        <f>IFERROR(IF(INDEX('CI&amp;S'!$N$22:$N$38,MATCH($F181,'CI&amp;S'!$B$22:$B$38,0))="","Cell will autofill based on response",INDEX('CI&amp;S'!$N$22:$N$38,MATCH($F181,'CI&amp;S'!$B$22:$B$38,0))),"N/A")</f>
        <v/>
      </c>
      <c r="N181" s="25">
        <f>IFERROR(IF(INDEX('CFOG'!$N$10:$N$15,MATCH($F181,'CFOG'!$B$10:$B$15,0))="","Cell will autofill based on response",INDEX('CFOG'!$N$10:$N$15,MATCH($F181,'CFOG'!$B$10:$B$15,0))),"N/A")</f>
        <v/>
      </c>
      <c r="O181" s="25">
        <f>IFERROR(IF(INDEX('CFOG'!$N$23:$N$23,MATCH($F181,'CFOG'!$B$23:$B$23,0))="","Cell will autofill based on response",INDEX('CFOG'!$N$23:$N$23,MATCH($F181,'CFOG'!$B$23:$B$23,0))),"N/A")</f>
        <v/>
      </c>
      <c r="P181" s="25">
        <f>IFERROR(IF(INDEX('ESG'!$N$10:$N$16,MATCH($F181,'ESG'!$B$10:$B$16,0))="","Cell will autofill based on response",INDEX('ESG'!$N$10:$N$16,MATCH($F181,'ESG'!$B$10:$B$16,0))),"N/A")</f>
        <v/>
      </c>
      <c r="Q181" s="25">
        <f>IFERROR(IF(INDEX('CIOG'!$N$10:$N$13,MATCH($F181,'CIOG'!$B$10:$B$13,0))="","Cell will autofill based on response",INDEX('CIOG'!$N$10:$N$13,MATCH($F181,'CIOG'!$B$10:$B$13,0))),"N/A")</f>
        <v/>
      </c>
      <c r="R181" s="25">
        <f>IFERROR(IF(INDEX('MRE'!$N$10:$N$11,MATCH($F181,'MRE'!$B$10:$B$11,0))="","Cell will autofill based on response",INDEX('MRE'!$N$10:$N$11,MATCH($F181,'MRE'!$B$10:$B$11,0))),"N/A")</f>
        <v/>
      </c>
    </row>
    <row r="182">
      <c r="A182">
        <f>F182&amp;"|"&amp;G182</f>
        <v/>
      </c>
      <c r="B182" s="29" t="inlineStr"/>
      <c r="C182" s="8" t="inlineStr"/>
      <c r="D182" s="8" t="inlineStr"/>
      <c r="E182" s="8" t="inlineStr"/>
      <c r="F182" s="8" t="inlineStr">
        <is>
          <t>NB2(b)</t>
        </is>
      </c>
      <c r="G182" s="8" t="inlineStr">
        <is>
          <t>Supporting information/comments</t>
        </is>
      </c>
      <c r="H182" s="25">
        <f>IFERROR(IF(INDEX('Faculties'!$O$10:$O$29,MATCH($F182,'Faculties'!$B$10:$B$29,0))="","Cell will autofill based on response",INDEX('Faculties'!$O$10:$O$29,MATCH($F182,'Faculties'!$B$10:$B$29,0))),"N/A")</f>
        <v/>
      </c>
      <c r="I182" s="25">
        <f>IFERROR(IF(INDEX('Faculties'!$O$37:$O$56,MATCH($F182,'Faculties'!$B$37:$B$56,0))="","Cell will autofill based on response",INDEX('Faculties'!$O$37:$O$56,MATCH($F182,'Faculties'!$B$37:$B$56,0))),"N/A")</f>
        <v/>
      </c>
      <c r="J182" s="25">
        <f>IFERROR(IF(INDEX('Faculties'!$O$64:$O$83,MATCH($F182,'Faculties'!$B$64:$B$83,0))="","Cell will autofill based on response",INDEX('Faculties'!$O$64:$O$83,MATCH($F182,'Faculties'!$B$64:$B$83,0))),"N/A")</f>
        <v/>
      </c>
      <c r="K182" s="25">
        <f>IFERROR(IF(INDEX('Faculties'!$O$91:$O$110,MATCH($F182,'Faculties'!$B$91:$B$110,0))="","Cell will autofill based on response",INDEX('Faculties'!$O$91:$O$110,MATCH($F182,'Faculties'!$B$91:$B$110,0))),"N/A")</f>
        <v/>
      </c>
      <c r="L182" s="25">
        <f>IFERROR(IF(INDEX('CI&amp;S'!$O$10:$O$14,MATCH($F182,'CI&amp;S'!$B$10:$B$14,0))="","Cell will autofill based on response",INDEX('CI&amp;S'!$O$10:$O$14,MATCH($F182,'CI&amp;S'!$B$10:$B$14,0))),"N/A")</f>
        <v/>
      </c>
      <c r="M182" s="25">
        <f>IFERROR(IF(INDEX('CI&amp;S'!$O$22:$O$38,MATCH($F182,'CI&amp;S'!$B$22:$B$38,0))="","Cell will autofill based on response",INDEX('CI&amp;S'!$O$22:$O$38,MATCH($F182,'CI&amp;S'!$B$22:$B$38,0))),"N/A")</f>
        <v/>
      </c>
      <c r="N182" s="25">
        <f>IFERROR(IF(INDEX('CFOG'!$O$10:$O$15,MATCH($F182,'CFOG'!$B$10:$B$15,0))="","Cell will autofill based on response",INDEX('CFOG'!$O$10:$O$15,MATCH($F182,'CFOG'!$B$10:$B$15,0))),"N/A")</f>
        <v/>
      </c>
      <c r="O182" s="25">
        <f>IFERROR(IF(INDEX('CFOG'!$O$23:$O$23,MATCH($F182,'CFOG'!$B$23:$B$23,0))="","Cell will autofill based on response",INDEX('CFOG'!$O$23:$O$23,MATCH($F182,'CFOG'!$B$23:$B$23,0))),"N/A")</f>
        <v/>
      </c>
      <c r="P182" s="25">
        <f>IFERROR(IF(INDEX('ESG'!$O$10:$O$16,MATCH($F182,'ESG'!$B$10:$B$16,0))="","Cell will autofill based on response",INDEX('ESG'!$O$10:$O$16,MATCH($F182,'ESG'!$B$10:$B$16,0))),"N/A")</f>
        <v/>
      </c>
      <c r="Q182" s="25">
        <f>IFERROR(IF(INDEX('CIOG'!$O$10:$O$13,MATCH($F182,'CIOG'!$B$10:$B$13,0))="","Cell will autofill based on response",INDEX('CIOG'!$O$10:$O$13,MATCH($F182,'CIOG'!$B$10:$B$13,0))),"N/A")</f>
        <v/>
      </c>
      <c r="R182" s="25">
        <f>IFERROR(IF(INDEX('MRE'!$O$10:$O$11,MATCH($F182,'MRE'!$B$10:$B$11,0))="","Cell will autofill based on response",INDEX('MRE'!$O$10:$O$11,MATCH($F182,'MRE'!$B$10:$B$11,0))),"N/A")</f>
        <v/>
      </c>
    </row>
    <row r="183">
      <c r="A183">
        <f>F183&amp;"|"&amp;G183</f>
        <v/>
      </c>
      <c r="B183" s="29" t="inlineStr"/>
      <c r="C183" s="8" t="inlineStr"/>
      <c r="D183" s="8" t="inlineStr"/>
      <c r="E183" s="8" t="inlineStr"/>
      <c r="F183" s="8" t="inlineStr">
        <is>
          <t>NB2(b)</t>
        </is>
      </c>
      <c r="G183" s="8" t="inlineStr">
        <is>
          <t>Data source and limitations</t>
        </is>
      </c>
      <c r="H183" s="25">
        <f>IFERROR(IF(INDEX('Faculties'!$P$10:$P$29,MATCH($F183,'Faculties'!$B$10:$B$29,0))="","Cell will autofill based on response",INDEX('Faculties'!$P$10:$P$29,MATCH($F183,'Faculties'!$B$10:$B$29,0))),"N/A")</f>
        <v/>
      </c>
      <c r="I183" s="25">
        <f>IFERROR(IF(INDEX('Faculties'!$P$37:$P$56,MATCH($F183,'Faculties'!$B$37:$B$56,0))="","Cell will autofill based on response",INDEX('Faculties'!$P$37:$P$56,MATCH($F183,'Faculties'!$B$37:$B$56,0))),"N/A")</f>
        <v/>
      </c>
      <c r="J183" s="25">
        <f>IFERROR(IF(INDEX('Faculties'!$P$64:$P$83,MATCH($F183,'Faculties'!$B$64:$B$83,0))="","Cell will autofill based on response",INDEX('Faculties'!$P$64:$P$83,MATCH($F183,'Faculties'!$B$64:$B$83,0))),"N/A")</f>
        <v/>
      </c>
      <c r="K183" s="25">
        <f>IFERROR(IF(INDEX('Faculties'!$P$91:$P$110,MATCH($F183,'Faculties'!$B$91:$B$110,0))="","Cell will autofill based on response",INDEX('Faculties'!$P$91:$P$110,MATCH($F183,'Faculties'!$B$91:$B$110,0))),"N/A")</f>
        <v/>
      </c>
      <c r="L183" s="25">
        <f>IFERROR(IF(INDEX('CI&amp;S'!$P$10:$P$14,MATCH($F183,'CI&amp;S'!$B$10:$B$14,0))="","Cell will autofill based on response",INDEX('CI&amp;S'!$P$10:$P$14,MATCH($F183,'CI&amp;S'!$B$10:$B$14,0))),"N/A")</f>
        <v/>
      </c>
      <c r="M183" s="25">
        <f>IFERROR(IF(INDEX('CI&amp;S'!$P$22:$P$38,MATCH($F183,'CI&amp;S'!$B$22:$B$38,0))="","Cell will autofill based on response",INDEX('CI&amp;S'!$P$22:$P$38,MATCH($F183,'CI&amp;S'!$B$22:$B$38,0))),"N/A")</f>
        <v/>
      </c>
      <c r="N183" s="25">
        <f>IFERROR(IF(INDEX('CFOG'!$P$10:$P$15,MATCH($F183,'CFOG'!$B$10:$B$15,0))="","Cell will autofill based on response",INDEX('CFOG'!$P$10:$P$15,MATCH($F183,'CFOG'!$B$10:$B$15,0))),"N/A")</f>
        <v/>
      </c>
      <c r="O183" s="25">
        <f>IFERROR(IF(INDEX('CFOG'!$P$23:$P$23,MATCH($F183,'CFOG'!$B$23:$B$23,0))="","Cell will autofill based on response",INDEX('CFOG'!$P$23:$P$23,MATCH($F183,'CFOG'!$B$23:$B$23,0))),"N/A")</f>
        <v/>
      </c>
      <c r="P183" s="25">
        <f>IFERROR(IF(INDEX('ESG'!$P$10:$P$16,MATCH($F183,'ESG'!$B$10:$B$16,0))="","Cell will autofill based on response",INDEX('ESG'!$P$10:$P$16,MATCH($F183,'ESG'!$B$10:$B$16,0))),"N/A")</f>
        <v/>
      </c>
      <c r="Q183" s="25">
        <f>IFERROR(IF(INDEX('CIOG'!$P$10:$P$13,MATCH($F183,'CIOG'!$B$10:$B$13,0))="","Cell will autofill based on response",INDEX('CIOG'!$P$10:$P$13,MATCH($F183,'CIOG'!$B$10:$B$13,0))),"N/A")</f>
        <v/>
      </c>
      <c r="R183" s="25">
        <f>IFERROR(IF(INDEX('MRE'!$P$10:$P$11,MATCH($F183,'MRE'!$B$10:$B$11,0))="","Cell will autofill based on response",INDEX('MRE'!$P$10:$P$11,MATCH($F183,'MRE'!$B$10:$B$11,0))),"N/A")</f>
        <v/>
      </c>
    </row>
    <row r="184">
      <c r="A184">
        <f>F184&amp;"|"&amp;G184</f>
        <v/>
      </c>
      <c r="B184" s="29" t="inlineStr"/>
      <c r="C184" s="8" t="inlineStr"/>
      <c r="D184" s="8" t="inlineStr"/>
      <c r="E184" s="8" t="inlineStr"/>
      <c r="F184" s="8" t="inlineStr">
        <is>
          <t>NB2(b)</t>
        </is>
      </c>
      <c r="G184" s="8" t="inlineStr">
        <is>
          <t>Data owner confirms</t>
        </is>
      </c>
      <c r="H184" s="25">
        <f>IFERROR(IF(INDEX('Faculties'!$Q$10:$Q$29,MATCH($F184,'Faculties'!$B$10:$B$29,0))="","Cell will autofill based on response",INDEX('Faculties'!$Q$10:$Q$29,MATCH($F184,'Faculties'!$B$10:$B$29,0))),"N/A")</f>
        <v/>
      </c>
      <c r="I184" s="25">
        <f>IFERROR(IF(INDEX('Faculties'!$Q$37:$Q$56,MATCH($F184,'Faculties'!$B$37:$B$56,0))="","Cell will autofill based on response",INDEX('Faculties'!$Q$37:$Q$56,MATCH($F184,'Faculties'!$B$37:$B$56,0))),"N/A")</f>
        <v/>
      </c>
      <c r="J184" s="25">
        <f>IFERROR(IF(INDEX('Faculties'!$Q$64:$Q$83,MATCH($F184,'Faculties'!$B$64:$B$83,0))="","Cell will autofill based on response",INDEX('Faculties'!$Q$64:$Q$83,MATCH($F184,'Faculties'!$B$64:$B$83,0))),"N/A")</f>
        <v/>
      </c>
      <c r="K184" s="25">
        <f>IFERROR(IF(INDEX('Faculties'!$Q$91:$Q$110,MATCH($F184,'Faculties'!$B$91:$B$110,0))="","Cell will autofill based on response",INDEX('Faculties'!$Q$91:$Q$110,MATCH($F184,'Faculties'!$B$91:$B$110,0))),"N/A")</f>
        <v/>
      </c>
      <c r="L184" s="25">
        <f>IFERROR(IF(INDEX('CI&amp;S'!$Q$10:$Q$14,MATCH($F184,'CI&amp;S'!$B$10:$B$14,0))="","Cell will autofill based on response",INDEX('CI&amp;S'!$Q$10:$Q$14,MATCH($F184,'CI&amp;S'!$B$10:$B$14,0))),"N/A")</f>
        <v/>
      </c>
      <c r="M184" s="25">
        <f>IFERROR(IF(INDEX('CI&amp;S'!$Q$22:$Q$38,MATCH($F184,'CI&amp;S'!$B$22:$B$38,0))="","Cell will autofill based on response",INDEX('CI&amp;S'!$Q$22:$Q$38,MATCH($F184,'CI&amp;S'!$B$22:$B$38,0))),"N/A")</f>
        <v/>
      </c>
      <c r="N184" s="25">
        <f>IFERROR(IF(INDEX('CFOG'!$Q$10:$Q$15,MATCH($F184,'CFOG'!$B$10:$B$15,0))="","Cell will autofill based on response",INDEX('CFOG'!$Q$10:$Q$15,MATCH($F184,'CFOG'!$B$10:$B$15,0))),"N/A")</f>
        <v/>
      </c>
      <c r="O184" s="25">
        <f>IFERROR(IF(INDEX('CFOG'!$Q$23:$Q$23,MATCH($F184,'CFOG'!$B$23:$B$23,0))="","Cell will autofill based on response",INDEX('CFOG'!$Q$23:$Q$23,MATCH($F184,'CFOG'!$B$23:$B$23,0))),"N/A")</f>
        <v/>
      </c>
      <c r="P184" s="25">
        <f>IFERROR(IF(INDEX('ESG'!$Q$10:$Q$16,MATCH($F184,'ESG'!$B$10:$B$16,0))="","Cell will autofill based on response",INDEX('ESG'!$Q$10:$Q$16,MATCH($F184,'ESG'!$B$10:$B$16,0))),"N/A")</f>
        <v/>
      </c>
      <c r="Q184" s="25">
        <f>IFERROR(IF(INDEX('CIOG'!$Q$10:$Q$13,MATCH($F184,'CIOG'!$B$10:$B$13,0))="","Cell will autofill based on response",INDEX('CIOG'!$Q$10:$Q$13,MATCH($F184,'CIOG'!$B$10:$B$13,0))),"N/A")</f>
        <v/>
      </c>
      <c r="R184" s="25">
        <f>IFERROR(IF(INDEX('MRE'!$Q$10:$Q$11,MATCH($F184,'MRE'!$B$10:$B$11,0))="","Cell will autofill based on response",INDEX('MRE'!$Q$10:$Q$11,MATCH($F184,'MRE'!$B$10:$B$11,0))),"N/A")</f>
        <v/>
      </c>
    </row>
    <row r="185">
      <c r="A185">
        <f>F185&amp;"|"&amp;G185</f>
        <v/>
      </c>
      <c r="B185" s="7" t="inlineStr">
        <is>
          <t>NB2(c)</t>
        </is>
      </c>
      <c r="C185" s="12" t="inlineStr">
        <is>
          <t>Nature and biodiversity</t>
        </is>
      </c>
      <c r="D185" s="12" t="inlineStr">
        <is>
          <t>Evidence of prioritised high risk procurement categories or suppliers for nature impact management</t>
        </is>
      </c>
      <c r="E185" s="12" t="inlineStr">
        <is>
          <t>Please provide the prioritised high-risk procurement categories and/or suppliers identified for nature-impact management, could include the basis for prioritisation and any risk-management, engagement or mitigation actions undertaken or planned.</t>
        </is>
      </c>
      <c r="F185" s="12" t="inlineStr">
        <is>
          <t>NB2(c)</t>
        </is>
      </c>
      <c r="G185" s="12" t="inlineStr">
        <is>
          <t>Confirm end-2026 target status</t>
        </is>
      </c>
      <c r="H185" s="25">
        <f>IFERROR(IF(INDEX('Faculties'!$L$10:$L$29,MATCH($F185,'Faculties'!$B$10:$B$29,0))="","Cell will autofill based on response",INDEX('Faculties'!$L$10:$L$29,MATCH($F185,'Faculties'!$B$10:$B$29,0))),"N/A")</f>
        <v/>
      </c>
      <c r="I185" s="25">
        <f>IFERROR(IF(INDEX('Faculties'!$L$37:$L$56,MATCH($F185,'Faculties'!$B$37:$B$56,0))="","Cell will autofill based on response",INDEX('Faculties'!$L$37:$L$56,MATCH($F185,'Faculties'!$B$37:$B$56,0))),"N/A")</f>
        <v/>
      </c>
      <c r="J185" s="25">
        <f>IFERROR(IF(INDEX('Faculties'!$L$64:$L$83,MATCH($F185,'Faculties'!$B$64:$B$83,0))="","Cell will autofill based on response",INDEX('Faculties'!$L$64:$L$83,MATCH($F185,'Faculties'!$B$64:$B$83,0))),"N/A")</f>
        <v/>
      </c>
      <c r="K185" s="25">
        <f>IFERROR(IF(INDEX('Faculties'!$L$91:$L$110,MATCH($F185,'Faculties'!$B$91:$B$110,0))="","Cell will autofill based on response",INDEX('Faculties'!$L$91:$L$110,MATCH($F185,'Faculties'!$B$91:$B$110,0))),"N/A")</f>
        <v/>
      </c>
      <c r="L185" s="25">
        <f>IFERROR(IF(INDEX('CI&amp;S'!$L$10:$L$14,MATCH($F185,'CI&amp;S'!$B$10:$B$14,0))="","Cell will autofill based on response",INDEX('CI&amp;S'!$L$10:$L$14,MATCH($F185,'CI&amp;S'!$B$10:$B$14,0))),"N/A")</f>
        <v/>
      </c>
      <c r="M185" s="25">
        <f>IFERROR(IF(INDEX('CI&amp;S'!$L$22:$L$38,MATCH($F185,'CI&amp;S'!$B$22:$B$38,0))="","Cell will autofill based on response",INDEX('CI&amp;S'!$L$22:$L$38,MATCH($F185,'CI&amp;S'!$B$22:$B$38,0))),"N/A")</f>
        <v/>
      </c>
      <c r="N185" s="25">
        <f>IFERROR(IF(INDEX('CFOG'!$L$10:$L$15,MATCH($F185,'CFOG'!$B$10:$B$15,0))="","Cell will autofill based on response",INDEX('CFOG'!$L$10:$L$15,MATCH($F185,'CFOG'!$B$10:$B$15,0))),"N/A")</f>
        <v/>
      </c>
      <c r="O185" s="25">
        <f>IFERROR(IF(INDEX('CFOG'!$L$23:$L$23,MATCH($F185,'CFOG'!$B$23:$B$23,0))="","Cell will autofill based on response",INDEX('CFOG'!$L$23:$L$23,MATCH($F185,'CFOG'!$B$23:$B$23,0))),"N/A")</f>
        <v/>
      </c>
      <c r="P185" s="25">
        <f>IFERROR(IF(INDEX('ESG'!$L$10:$L$16,MATCH($F185,'ESG'!$B$10:$B$16,0))="","Cell will autofill based on response",INDEX('ESG'!$L$10:$L$16,MATCH($F185,'ESG'!$B$10:$B$16,0))),"N/A")</f>
        <v/>
      </c>
      <c r="Q185" s="25">
        <f>IFERROR(IF(INDEX('CIOG'!$L$10:$L$13,MATCH($F185,'CIOG'!$B$10:$B$13,0))="","Cell will autofill based on response",INDEX('CIOG'!$L$10:$L$13,MATCH($F185,'CIOG'!$B$10:$B$13,0))),"N/A")</f>
        <v/>
      </c>
      <c r="R185" s="25">
        <f>IFERROR(IF(INDEX('MRE'!$L$10:$L$11,MATCH($F185,'MRE'!$B$10:$B$11,0))="","Cell will autofill based on response",INDEX('MRE'!$L$10:$L$11,MATCH($F185,'MRE'!$B$10:$B$11,0))),"N/A")</f>
        <v/>
      </c>
      <c r="T185" s="26">
        <f>COUNTIF($H185:$R185,"Cell will autofill based on response")</f>
        <v/>
      </c>
      <c r="U185" s="26">
        <f>COUNTIF($H185:$R185,"Not yet started")</f>
        <v/>
      </c>
      <c r="V185" s="26">
        <f>COUNTIF($H185:$R185,"Not met")</f>
        <v/>
      </c>
      <c r="W185" s="26">
        <f>COUNTIF($H185:$R185,"Partially met")</f>
        <v/>
      </c>
      <c r="X185" s="26">
        <f>COUNTIF($H185:$R185,"Met or exceeded")</f>
        <v/>
      </c>
      <c r="Y185" s="26">
        <f>3*X185+2*W185+V185</f>
        <v/>
      </c>
      <c r="Z185" s="26">
        <f>X185+W185+V185+U185</f>
        <v/>
      </c>
      <c r="AA185" s="27">
        <f>IF(Z185&gt;0,Y185/Z185,"No valid responses to date")</f>
        <v/>
      </c>
      <c r="AB185" s="26">
        <f>IF(ISNUMBER(AA185),INDEX(Lists!$G$2:$G$5,MATCH(ROUND(AA185,0),Lists!$H$2:$H$5,0)),"")</f>
        <v/>
      </c>
      <c r="AC185" s="28">
        <f>IF(Z185&gt;0,X185/Z185,"")</f>
        <v/>
      </c>
      <c r="AD185" s="28">
        <f>IF(Z185&gt;0,(X185+W185)/Z185,"")</f>
        <v/>
      </c>
      <c r="AE185" s="26">
        <f>IF(Z185=0,"",IF(AC185&gt;0.75,"Met or exceeded",IF(AD185&gt;=0.5,"Partially met","Not met")))</f>
        <v/>
      </c>
    </row>
    <row r="186">
      <c r="A186">
        <f>F186&amp;"|"&amp;G186</f>
        <v/>
      </c>
      <c r="B186" s="29" t="inlineStr"/>
      <c r="C186" s="8" t="inlineStr"/>
      <c r="D186" s="8" t="inlineStr"/>
      <c r="E186" s="8" t="inlineStr"/>
      <c r="F186" s="8" t="inlineStr">
        <is>
          <t>NB2(c)</t>
        </is>
      </c>
      <c r="G186" s="8" t="inlineStr">
        <is>
          <t>OPTION 1:  Target-level reporting</t>
        </is>
      </c>
      <c r="H186" s="25">
        <f>IFERROR(IF(INDEX('Faculties'!$M$10:$M$29,MATCH($F186,'Faculties'!$B$10:$B$29,0))="","Cell will autofill based on response",INDEX('Faculties'!$M$10:$M$29,MATCH($F186,'Faculties'!$B$10:$B$29,0))),"N/A")</f>
        <v/>
      </c>
      <c r="I186" s="25">
        <f>IFERROR(IF(INDEX('Faculties'!$M$37:$M$56,MATCH($F186,'Faculties'!$B$37:$B$56,0))="","Cell will autofill based on response",INDEX('Faculties'!$M$37:$M$56,MATCH($F186,'Faculties'!$B$37:$B$56,0))),"N/A")</f>
        <v/>
      </c>
      <c r="J186" s="25">
        <f>IFERROR(IF(INDEX('Faculties'!$M$64:$M$83,MATCH($F186,'Faculties'!$B$64:$B$83,0))="","Cell will autofill based on response",INDEX('Faculties'!$M$64:$M$83,MATCH($F186,'Faculties'!$B$64:$B$83,0))),"N/A")</f>
        <v/>
      </c>
      <c r="K186" s="25">
        <f>IFERROR(IF(INDEX('Faculties'!$M$91:$M$110,MATCH($F186,'Faculties'!$B$91:$B$110,0))="","Cell will autofill based on response",INDEX('Faculties'!$M$91:$M$110,MATCH($F186,'Faculties'!$B$91:$B$110,0))),"N/A")</f>
        <v/>
      </c>
      <c r="L186" s="25">
        <f>IFERROR(IF(INDEX('CI&amp;S'!$M$10:$M$14,MATCH($F186,'CI&amp;S'!$B$10:$B$14,0))="","Cell will autofill based on response",INDEX('CI&amp;S'!$M$10:$M$14,MATCH($F186,'CI&amp;S'!$B$10:$B$14,0))),"N/A")</f>
        <v/>
      </c>
      <c r="M186" s="25">
        <f>IFERROR(IF(INDEX('CI&amp;S'!$M$22:$M$38,MATCH($F186,'CI&amp;S'!$B$22:$B$38,0))="","Cell will autofill based on response",INDEX('CI&amp;S'!$M$22:$M$38,MATCH($F186,'CI&amp;S'!$B$22:$B$38,0))),"N/A")</f>
        <v/>
      </c>
      <c r="N186" s="25">
        <f>IFERROR(IF(INDEX('CFOG'!$M$10:$M$15,MATCH($F186,'CFOG'!$B$10:$B$15,0))="","Cell will autofill based on response",INDEX('CFOG'!$M$10:$M$15,MATCH($F186,'CFOG'!$B$10:$B$15,0))),"N/A")</f>
        <v/>
      </c>
      <c r="O186" s="25">
        <f>IFERROR(IF(INDEX('CFOG'!$M$23:$M$23,MATCH($F186,'CFOG'!$B$23:$B$23,0))="","Cell will autofill based on response",INDEX('CFOG'!$M$23:$M$23,MATCH($F186,'CFOG'!$B$23:$B$23,0))),"N/A")</f>
        <v/>
      </c>
      <c r="P186" s="25">
        <f>IFERROR(IF(INDEX('ESG'!$M$10:$M$16,MATCH($F186,'ESG'!$B$10:$B$16,0))="","Cell will autofill based on response",INDEX('ESG'!$M$10:$M$16,MATCH($F186,'ESG'!$B$10:$B$16,0))),"N/A")</f>
        <v/>
      </c>
      <c r="Q186" s="25">
        <f>IFERROR(IF(INDEX('CIOG'!$M$10:$M$13,MATCH($F186,'CIOG'!$B$10:$B$13,0))="","Cell will autofill based on response",INDEX('CIOG'!$M$10:$M$13,MATCH($F186,'CIOG'!$B$10:$B$13,0))),"N/A")</f>
        <v/>
      </c>
      <c r="R186" s="25">
        <f>IFERROR(IF(INDEX('MRE'!$M$10:$M$11,MATCH($F186,'MRE'!$B$10:$B$11,0))="","Cell will autofill based on response",INDEX('MRE'!$M$10:$M$11,MATCH($F186,'MRE'!$B$10:$B$11,0))),"N/A")</f>
        <v/>
      </c>
    </row>
    <row r="187">
      <c r="A187">
        <f>F187&amp;"|"&amp;G187</f>
        <v/>
      </c>
      <c r="B187" s="29" t="inlineStr"/>
      <c r="C187" s="8" t="inlineStr"/>
      <c r="D187" s="8" t="inlineStr"/>
      <c r="E187" s="8" t="inlineStr"/>
      <c r="F187" s="8" t="inlineStr">
        <is>
          <t>NB2(c)</t>
        </is>
      </c>
      <c r="G187" s="8" t="inlineStr">
        <is>
          <t>OPTION 2:  Indicator level reporting</t>
        </is>
      </c>
      <c r="H187" s="25">
        <f>IFERROR(IF(INDEX('Faculties'!$N$10:$N$29,MATCH($F187,'Faculties'!$B$10:$B$29,0))="","Cell will autofill based on response",INDEX('Faculties'!$N$10:$N$29,MATCH($F187,'Faculties'!$B$10:$B$29,0))),"N/A")</f>
        <v/>
      </c>
      <c r="I187" s="25">
        <f>IFERROR(IF(INDEX('Faculties'!$N$37:$N$56,MATCH($F187,'Faculties'!$B$37:$B$56,0))="","Cell will autofill based on response",INDEX('Faculties'!$N$37:$N$56,MATCH($F187,'Faculties'!$B$37:$B$56,0))),"N/A")</f>
        <v/>
      </c>
      <c r="J187" s="25">
        <f>IFERROR(IF(INDEX('Faculties'!$N$64:$N$83,MATCH($F187,'Faculties'!$B$64:$B$83,0))="","Cell will autofill based on response",INDEX('Faculties'!$N$64:$N$83,MATCH($F187,'Faculties'!$B$64:$B$83,0))),"N/A")</f>
        <v/>
      </c>
      <c r="K187" s="25">
        <f>IFERROR(IF(INDEX('Faculties'!$N$91:$N$110,MATCH($F187,'Faculties'!$B$91:$B$110,0))="","Cell will autofill based on response",INDEX('Faculties'!$N$91:$N$110,MATCH($F187,'Faculties'!$B$91:$B$110,0))),"N/A")</f>
        <v/>
      </c>
      <c r="L187" s="25">
        <f>IFERROR(IF(INDEX('CI&amp;S'!$N$10:$N$14,MATCH($F187,'CI&amp;S'!$B$10:$B$14,0))="","Cell will autofill based on response",INDEX('CI&amp;S'!$N$10:$N$14,MATCH($F187,'CI&amp;S'!$B$10:$B$14,0))),"N/A")</f>
        <v/>
      </c>
      <c r="M187" s="25">
        <f>IFERROR(IF(INDEX('CI&amp;S'!$N$22:$N$38,MATCH($F187,'CI&amp;S'!$B$22:$B$38,0))="","Cell will autofill based on response",INDEX('CI&amp;S'!$N$22:$N$38,MATCH($F187,'CI&amp;S'!$B$22:$B$38,0))),"N/A")</f>
        <v/>
      </c>
      <c r="N187" s="25">
        <f>IFERROR(IF(INDEX('CFOG'!$N$10:$N$15,MATCH($F187,'CFOG'!$B$10:$B$15,0))="","Cell will autofill based on response",INDEX('CFOG'!$N$10:$N$15,MATCH($F187,'CFOG'!$B$10:$B$15,0))),"N/A")</f>
        <v/>
      </c>
      <c r="O187" s="25">
        <f>IFERROR(IF(INDEX('CFOG'!$N$23:$N$23,MATCH($F187,'CFOG'!$B$23:$B$23,0))="","Cell will autofill based on response",INDEX('CFOG'!$N$23:$N$23,MATCH($F187,'CFOG'!$B$23:$B$23,0))),"N/A")</f>
        <v/>
      </c>
      <c r="P187" s="25">
        <f>IFERROR(IF(INDEX('ESG'!$N$10:$N$16,MATCH($F187,'ESG'!$B$10:$B$16,0))="","Cell will autofill based on response",INDEX('ESG'!$N$10:$N$16,MATCH($F187,'ESG'!$B$10:$B$16,0))),"N/A")</f>
        <v/>
      </c>
      <c r="Q187" s="25">
        <f>IFERROR(IF(INDEX('CIOG'!$N$10:$N$13,MATCH($F187,'CIOG'!$B$10:$B$13,0))="","Cell will autofill based on response",INDEX('CIOG'!$N$10:$N$13,MATCH($F187,'CIOG'!$B$10:$B$13,0))),"N/A")</f>
        <v/>
      </c>
      <c r="R187" s="25">
        <f>IFERROR(IF(INDEX('MRE'!$N$10:$N$11,MATCH($F187,'MRE'!$B$10:$B$11,0))="","Cell will autofill based on response",INDEX('MRE'!$N$10:$N$11,MATCH($F187,'MRE'!$B$10:$B$11,0))),"N/A")</f>
        <v/>
      </c>
    </row>
    <row r="188">
      <c r="A188">
        <f>F188&amp;"|"&amp;G188</f>
        <v/>
      </c>
      <c r="B188" s="29" t="inlineStr"/>
      <c r="C188" s="8" t="inlineStr"/>
      <c r="D188" s="8" t="inlineStr"/>
      <c r="E188" s="8" t="inlineStr"/>
      <c r="F188" s="8" t="inlineStr">
        <is>
          <t>NB2(c)</t>
        </is>
      </c>
      <c r="G188" s="8" t="inlineStr">
        <is>
          <t>Supporting information/comments</t>
        </is>
      </c>
      <c r="H188" s="25">
        <f>IFERROR(IF(INDEX('Faculties'!$O$10:$O$29,MATCH($F188,'Faculties'!$B$10:$B$29,0))="","Cell will autofill based on response",INDEX('Faculties'!$O$10:$O$29,MATCH($F188,'Faculties'!$B$10:$B$29,0))),"N/A")</f>
        <v/>
      </c>
      <c r="I188" s="25">
        <f>IFERROR(IF(INDEX('Faculties'!$O$37:$O$56,MATCH($F188,'Faculties'!$B$37:$B$56,0))="","Cell will autofill based on response",INDEX('Faculties'!$O$37:$O$56,MATCH($F188,'Faculties'!$B$37:$B$56,0))),"N/A")</f>
        <v/>
      </c>
      <c r="J188" s="25">
        <f>IFERROR(IF(INDEX('Faculties'!$O$64:$O$83,MATCH($F188,'Faculties'!$B$64:$B$83,0))="","Cell will autofill based on response",INDEX('Faculties'!$O$64:$O$83,MATCH($F188,'Faculties'!$B$64:$B$83,0))),"N/A")</f>
        <v/>
      </c>
      <c r="K188" s="25">
        <f>IFERROR(IF(INDEX('Faculties'!$O$91:$O$110,MATCH($F188,'Faculties'!$B$91:$B$110,0))="","Cell will autofill based on response",INDEX('Faculties'!$O$91:$O$110,MATCH($F188,'Faculties'!$B$91:$B$110,0))),"N/A")</f>
        <v/>
      </c>
      <c r="L188" s="25">
        <f>IFERROR(IF(INDEX('CI&amp;S'!$O$10:$O$14,MATCH($F188,'CI&amp;S'!$B$10:$B$14,0))="","Cell will autofill based on response",INDEX('CI&amp;S'!$O$10:$O$14,MATCH($F188,'CI&amp;S'!$B$10:$B$14,0))),"N/A")</f>
        <v/>
      </c>
      <c r="M188" s="25">
        <f>IFERROR(IF(INDEX('CI&amp;S'!$O$22:$O$38,MATCH($F188,'CI&amp;S'!$B$22:$B$38,0))="","Cell will autofill based on response",INDEX('CI&amp;S'!$O$22:$O$38,MATCH($F188,'CI&amp;S'!$B$22:$B$38,0))),"N/A")</f>
        <v/>
      </c>
      <c r="N188" s="25">
        <f>IFERROR(IF(INDEX('CFOG'!$O$10:$O$15,MATCH($F188,'CFOG'!$B$10:$B$15,0))="","Cell will autofill based on response",INDEX('CFOG'!$O$10:$O$15,MATCH($F188,'CFOG'!$B$10:$B$15,0))),"N/A")</f>
        <v/>
      </c>
      <c r="O188" s="25">
        <f>IFERROR(IF(INDEX('CFOG'!$O$23:$O$23,MATCH($F188,'CFOG'!$B$23:$B$23,0))="","Cell will autofill based on response",INDEX('CFOG'!$O$23:$O$23,MATCH($F188,'CFOG'!$B$23:$B$23,0))),"N/A")</f>
        <v/>
      </c>
      <c r="P188" s="25">
        <f>IFERROR(IF(INDEX('ESG'!$O$10:$O$16,MATCH($F188,'ESG'!$B$10:$B$16,0))="","Cell will autofill based on response",INDEX('ESG'!$O$10:$O$16,MATCH($F188,'ESG'!$B$10:$B$16,0))),"N/A")</f>
        <v/>
      </c>
      <c r="Q188" s="25">
        <f>IFERROR(IF(INDEX('CIOG'!$O$10:$O$13,MATCH($F188,'CIOG'!$B$10:$B$13,0))="","Cell will autofill based on response",INDEX('CIOG'!$O$10:$O$13,MATCH($F188,'CIOG'!$B$10:$B$13,0))),"N/A")</f>
        <v/>
      </c>
      <c r="R188" s="25">
        <f>IFERROR(IF(INDEX('MRE'!$O$10:$O$11,MATCH($F188,'MRE'!$B$10:$B$11,0))="","Cell will autofill based on response",INDEX('MRE'!$O$10:$O$11,MATCH($F188,'MRE'!$B$10:$B$11,0))),"N/A")</f>
        <v/>
      </c>
    </row>
    <row r="189">
      <c r="A189">
        <f>F189&amp;"|"&amp;G189</f>
        <v/>
      </c>
      <c r="B189" s="29" t="inlineStr"/>
      <c r="C189" s="8" t="inlineStr"/>
      <c r="D189" s="8" t="inlineStr"/>
      <c r="E189" s="8" t="inlineStr"/>
      <c r="F189" s="8" t="inlineStr">
        <is>
          <t>NB2(c)</t>
        </is>
      </c>
      <c r="G189" s="8" t="inlineStr">
        <is>
          <t>Data source and limitations</t>
        </is>
      </c>
      <c r="H189" s="25">
        <f>IFERROR(IF(INDEX('Faculties'!$P$10:$P$29,MATCH($F189,'Faculties'!$B$10:$B$29,0))="","Cell will autofill based on response",INDEX('Faculties'!$P$10:$P$29,MATCH($F189,'Faculties'!$B$10:$B$29,0))),"N/A")</f>
        <v/>
      </c>
      <c r="I189" s="25">
        <f>IFERROR(IF(INDEX('Faculties'!$P$37:$P$56,MATCH($F189,'Faculties'!$B$37:$B$56,0))="","Cell will autofill based on response",INDEX('Faculties'!$P$37:$P$56,MATCH($F189,'Faculties'!$B$37:$B$56,0))),"N/A")</f>
        <v/>
      </c>
      <c r="J189" s="25">
        <f>IFERROR(IF(INDEX('Faculties'!$P$64:$P$83,MATCH($F189,'Faculties'!$B$64:$B$83,0))="","Cell will autofill based on response",INDEX('Faculties'!$P$64:$P$83,MATCH($F189,'Faculties'!$B$64:$B$83,0))),"N/A")</f>
        <v/>
      </c>
      <c r="K189" s="25">
        <f>IFERROR(IF(INDEX('Faculties'!$P$91:$P$110,MATCH($F189,'Faculties'!$B$91:$B$110,0))="","Cell will autofill based on response",INDEX('Faculties'!$P$91:$P$110,MATCH($F189,'Faculties'!$B$91:$B$110,0))),"N/A")</f>
        <v/>
      </c>
      <c r="L189" s="25">
        <f>IFERROR(IF(INDEX('CI&amp;S'!$P$10:$P$14,MATCH($F189,'CI&amp;S'!$B$10:$B$14,0))="","Cell will autofill based on response",INDEX('CI&amp;S'!$P$10:$P$14,MATCH($F189,'CI&amp;S'!$B$10:$B$14,0))),"N/A")</f>
        <v/>
      </c>
      <c r="M189" s="25">
        <f>IFERROR(IF(INDEX('CI&amp;S'!$P$22:$P$38,MATCH($F189,'CI&amp;S'!$B$22:$B$38,0))="","Cell will autofill based on response",INDEX('CI&amp;S'!$P$22:$P$38,MATCH($F189,'CI&amp;S'!$B$22:$B$38,0))),"N/A")</f>
        <v/>
      </c>
      <c r="N189" s="25">
        <f>IFERROR(IF(INDEX('CFOG'!$P$10:$P$15,MATCH($F189,'CFOG'!$B$10:$B$15,0))="","Cell will autofill based on response",INDEX('CFOG'!$P$10:$P$15,MATCH($F189,'CFOG'!$B$10:$B$15,0))),"N/A")</f>
        <v/>
      </c>
      <c r="O189" s="25">
        <f>IFERROR(IF(INDEX('CFOG'!$P$23:$P$23,MATCH($F189,'CFOG'!$B$23:$B$23,0))="","Cell will autofill based on response",INDEX('CFOG'!$P$23:$P$23,MATCH($F189,'CFOG'!$B$23:$B$23,0))),"N/A")</f>
        <v/>
      </c>
      <c r="P189" s="25">
        <f>IFERROR(IF(INDEX('ESG'!$P$10:$P$16,MATCH($F189,'ESG'!$B$10:$B$16,0))="","Cell will autofill based on response",INDEX('ESG'!$P$10:$P$16,MATCH($F189,'ESG'!$B$10:$B$16,0))),"N/A")</f>
        <v/>
      </c>
      <c r="Q189" s="25">
        <f>IFERROR(IF(INDEX('CIOG'!$P$10:$P$13,MATCH($F189,'CIOG'!$B$10:$B$13,0))="","Cell will autofill based on response",INDEX('CIOG'!$P$10:$P$13,MATCH($F189,'CIOG'!$B$10:$B$13,0))),"N/A")</f>
        <v/>
      </c>
      <c r="R189" s="25">
        <f>IFERROR(IF(INDEX('MRE'!$P$10:$P$11,MATCH($F189,'MRE'!$B$10:$B$11,0))="","Cell will autofill based on response",INDEX('MRE'!$P$10:$P$11,MATCH($F189,'MRE'!$B$10:$B$11,0))),"N/A")</f>
        <v/>
      </c>
    </row>
    <row r="190">
      <c r="A190">
        <f>F190&amp;"|"&amp;G190</f>
        <v/>
      </c>
      <c r="B190" s="29" t="inlineStr"/>
      <c r="C190" s="8" t="inlineStr"/>
      <c r="D190" s="8" t="inlineStr"/>
      <c r="E190" s="8" t="inlineStr"/>
      <c r="F190" s="8" t="inlineStr">
        <is>
          <t>NB2(c)</t>
        </is>
      </c>
      <c r="G190" s="8" t="inlineStr">
        <is>
          <t>Data owner confirms</t>
        </is>
      </c>
      <c r="H190" s="25">
        <f>IFERROR(IF(INDEX('Faculties'!$Q$10:$Q$29,MATCH($F190,'Faculties'!$B$10:$B$29,0))="","Cell will autofill based on response",INDEX('Faculties'!$Q$10:$Q$29,MATCH($F190,'Faculties'!$B$10:$B$29,0))),"N/A")</f>
        <v/>
      </c>
      <c r="I190" s="25">
        <f>IFERROR(IF(INDEX('Faculties'!$Q$37:$Q$56,MATCH($F190,'Faculties'!$B$37:$B$56,0))="","Cell will autofill based on response",INDEX('Faculties'!$Q$37:$Q$56,MATCH($F190,'Faculties'!$B$37:$B$56,0))),"N/A")</f>
        <v/>
      </c>
      <c r="J190" s="25">
        <f>IFERROR(IF(INDEX('Faculties'!$Q$64:$Q$83,MATCH($F190,'Faculties'!$B$64:$B$83,0))="","Cell will autofill based on response",INDEX('Faculties'!$Q$64:$Q$83,MATCH($F190,'Faculties'!$B$64:$B$83,0))),"N/A")</f>
        <v/>
      </c>
      <c r="K190" s="25">
        <f>IFERROR(IF(INDEX('Faculties'!$Q$91:$Q$110,MATCH($F190,'Faculties'!$B$91:$B$110,0))="","Cell will autofill based on response",INDEX('Faculties'!$Q$91:$Q$110,MATCH($F190,'Faculties'!$B$91:$B$110,0))),"N/A")</f>
        <v/>
      </c>
      <c r="L190" s="25">
        <f>IFERROR(IF(INDEX('CI&amp;S'!$Q$10:$Q$14,MATCH($F190,'CI&amp;S'!$B$10:$B$14,0))="","Cell will autofill based on response",INDEX('CI&amp;S'!$Q$10:$Q$14,MATCH($F190,'CI&amp;S'!$B$10:$B$14,0))),"N/A")</f>
        <v/>
      </c>
      <c r="M190" s="25">
        <f>IFERROR(IF(INDEX('CI&amp;S'!$Q$22:$Q$38,MATCH($F190,'CI&amp;S'!$B$22:$B$38,0))="","Cell will autofill based on response",INDEX('CI&amp;S'!$Q$22:$Q$38,MATCH($F190,'CI&amp;S'!$B$22:$B$38,0))),"N/A")</f>
        <v/>
      </c>
      <c r="N190" s="25">
        <f>IFERROR(IF(INDEX('CFOG'!$Q$10:$Q$15,MATCH($F190,'CFOG'!$B$10:$B$15,0))="","Cell will autofill based on response",INDEX('CFOG'!$Q$10:$Q$15,MATCH($F190,'CFOG'!$B$10:$B$15,0))),"N/A")</f>
        <v/>
      </c>
      <c r="O190" s="25">
        <f>IFERROR(IF(INDEX('CFOG'!$Q$23:$Q$23,MATCH($F190,'CFOG'!$B$23:$B$23,0))="","Cell will autofill based on response",INDEX('CFOG'!$Q$23:$Q$23,MATCH($F190,'CFOG'!$B$23:$B$23,0))),"N/A")</f>
        <v/>
      </c>
      <c r="P190" s="25">
        <f>IFERROR(IF(INDEX('ESG'!$Q$10:$Q$16,MATCH($F190,'ESG'!$B$10:$B$16,0))="","Cell will autofill based on response",INDEX('ESG'!$Q$10:$Q$16,MATCH($F190,'ESG'!$B$10:$B$16,0))),"N/A")</f>
        <v/>
      </c>
      <c r="Q190" s="25">
        <f>IFERROR(IF(INDEX('CIOG'!$Q$10:$Q$13,MATCH($F190,'CIOG'!$B$10:$B$13,0))="","Cell will autofill based on response",INDEX('CIOG'!$Q$10:$Q$13,MATCH($F190,'CIOG'!$B$10:$B$13,0))),"N/A")</f>
        <v/>
      </c>
      <c r="R190" s="25">
        <f>IFERROR(IF(INDEX('MRE'!$Q$10:$Q$11,MATCH($F190,'MRE'!$B$10:$B$11,0))="","Cell will autofill based on response",INDEX('MRE'!$Q$10:$Q$11,MATCH($F190,'MRE'!$B$10:$B$11,0))),"N/A")</f>
        <v/>
      </c>
    </row>
    <row r="191">
      <c r="A191">
        <f>F191&amp;"|"&amp;G191</f>
        <v/>
      </c>
      <c r="B191" s="7" t="inlineStr">
        <is>
          <t>AI1(a)</t>
        </is>
      </c>
      <c r="C191" s="12" t="inlineStr">
        <is>
          <t>Responsible AI</t>
        </is>
      </c>
      <c r="D191" s="12" t="inlineStr">
        <is>
          <t>Established measurement of estimated operational impacts and opportunities (eg operational impacts could include energy, water, emissions and intensity measures)</t>
        </is>
      </c>
      <c r="E191" s="12" t="inlineStr"/>
      <c r="F191" s="12" t="inlineStr">
        <is>
          <t>AI1(a)</t>
        </is>
      </c>
      <c r="G191" s="12" t="inlineStr">
        <is>
          <t>Confirm end-2026 target status</t>
        </is>
      </c>
      <c r="H191" s="25">
        <f>IFERROR(IF(INDEX('Faculties'!$L$10:$L$29,MATCH($F191,'Faculties'!$B$10:$B$29,0))="","Cell will autofill based on response",INDEX('Faculties'!$L$10:$L$29,MATCH($F191,'Faculties'!$B$10:$B$29,0))),"N/A")</f>
        <v/>
      </c>
      <c r="I191" s="25">
        <f>IFERROR(IF(INDEX('Faculties'!$L$37:$L$56,MATCH($F191,'Faculties'!$B$37:$B$56,0))="","Cell will autofill based on response",INDEX('Faculties'!$L$37:$L$56,MATCH($F191,'Faculties'!$B$37:$B$56,0))),"N/A")</f>
        <v/>
      </c>
      <c r="J191" s="25">
        <f>IFERROR(IF(INDEX('Faculties'!$L$64:$L$83,MATCH($F191,'Faculties'!$B$64:$B$83,0))="","Cell will autofill based on response",INDEX('Faculties'!$L$64:$L$83,MATCH($F191,'Faculties'!$B$64:$B$83,0))),"N/A")</f>
        <v/>
      </c>
      <c r="K191" s="25">
        <f>IFERROR(IF(INDEX('Faculties'!$L$91:$L$110,MATCH($F191,'Faculties'!$B$91:$B$110,0))="","Cell will autofill based on response",INDEX('Faculties'!$L$91:$L$110,MATCH($F191,'Faculties'!$B$91:$B$110,0))),"N/A")</f>
        <v/>
      </c>
      <c r="L191" s="25">
        <f>IFERROR(IF(INDEX('CI&amp;S'!$L$10:$L$14,MATCH($F191,'CI&amp;S'!$B$10:$B$14,0))="","Cell will autofill based on response",INDEX('CI&amp;S'!$L$10:$L$14,MATCH($F191,'CI&amp;S'!$B$10:$B$14,0))),"N/A")</f>
        <v/>
      </c>
      <c r="M191" s="25">
        <f>IFERROR(IF(INDEX('CI&amp;S'!$L$22:$L$38,MATCH($F191,'CI&amp;S'!$B$22:$B$38,0))="","Cell will autofill based on response",INDEX('CI&amp;S'!$L$22:$L$38,MATCH($F191,'CI&amp;S'!$B$22:$B$38,0))),"N/A")</f>
        <v/>
      </c>
      <c r="N191" s="25">
        <f>IFERROR(IF(INDEX('CFOG'!$L$10:$L$15,MATCH($F191,'CFOG'!$B$10:$B$15,0))="","Cell will autofill based on response",INDEX('CFOG'!$L$10:$L$15,MATCH($F191,'CFOG'!$B$10:$B$15,0))),"N/A")</f>
        <v/>
      </c>
      <c r="O191" s="25">
        <f>IFERROR(IF(INDEX('CFOG'!$L$23:$L$23,MATCH($F191,'CFOG'!$B$23:$B$23,0))="","Cell will autofill based on response",INDEX('CFOG'!$L$23:$L$23,MATCH($F191,'CFOG'!$B$23:$B$23,0))),"N/A")</f>
        <v/>
      </c>
      <c r="P191" s="25">
        <f>IFERROR(IF(INDEX('ESG'!$L$10:$L$16,MATCH($F191,'ESG'!$B$10:$B$16,0))="","Cell will autofill based on response",INDEX('ESG'!$L$10:$L$16,MATCH($F191,'ESG'!$B$10:$B$16,0))),"N/A")</f>
        <v/>
      </c>
      <c r="Q191" s="25">
        <f>IFERROR(IF(INDEX('CIOG'!$L$10:$L$13,MATCH($F191,'CIOG'!$B$10:$B$13,0))="","Cell will autofill based on response",INDEX('CIOG'!$L$10:$L$13,MATCH($F191,'CIOG'!$B$10:$B$13,0))),"N/A")</f>
        <v/>
      </c>
      <c r="R191" s="25">
        <f>IFERROR(IF(INDEX('MRE'!$L$10:$L$11,MATCH($F191,'MRE'!$B$10:$B$11,0))="","Cell will autofill based on response",INDEX('MRE'!$L$10:$L$11,MATCH($F191,'MRE'!$B$10:$B$11,0))),"N/A")</f>
        <v/>
      </c>
      <c r="T191" s="26">
        <f>COUNTIF($H191:$R191,"Cell will autofill based on response")</f>
        <v/>
      </c>
      <c r="U191" s="26">
        <f>COUNTIF($H191:$R191,"Not yet started")</f>
        <v/>
      </c>
      <c r="V191" s="26">
        <f>COUNTIF($H191:$R191,"Not met")</f>
        <v/>
      </c>
      <c r="W191" s="26">
        <f>COUNTIF($H191:$R191,"Partially met")</f>
        <v/>
      </c>
      <c r="X191" s="26">
        <f>COUNTIF($H191:$R191,"Met or exceeded")</f>
        <v/>
      </c>
      <c r="Y191" s="26">
        <f>3*X191+2*W191+V191</f>
        <v/>
      </c>
      <c r="Z191" s="26">
        <f>X191+W191+V191+U191</f>
        <v/>
      </c>
      <c r="AA191" s="27">
        <f>IF(Z191&gt;0,Y191/Z191,"No valid responses to date")</f>
        <v/>
      </c>
      <c r="AB191" s="26">
        <f>IF(ISNUMBER(AA191),INDEX(Lists!$G$2:$G$5,MATCH(ROUND(AA191,0),Lists!$H$2:$H$5,0)),"")</f>
        <v/>
      </c>
      <c r="AC191" s="28">
        <f>IF(Z191&gt;0,X191/Z191,"")</f>
        <v/>
      </c>
      <c r="AD191" s="28">
        <f>IF(Z191&gt;0,(X191+W191)/Z191,"")</f>
        <v/>
      </c>
      <c r="AE191" s="26">
        <f>IF(Z191=0,"",IF(AC191&gt;0.75,"Met or exceeded",IF(AD191&gt;=0.5,"Partially met","Not met")))</f>
        <v/>
      </c>
    </row>
    <row r="192">
      <c r="A192">
        <f>F192&amp;"|"&amp;G192</f>
        <v/>
      </c>
      <c r="B192" s="29" t="inlineStr"/>
      <c r="C192" s="8" t="inlineStr"/>
      <c r="D192" s="8" t="inlineStr"/>
      <c r="E192" s="8" t="inlineStr"/>
      <c r="F192" s="8" t="inlineStr">
        <is>
          <t>AI1(a)</t>
        </is>
      </c>
      <c r="G192" s="8" t="inlineStr">
        <is>
          <t>OPTION 1:  Target-level reporting</t>
        </is>
      </c>
      <c r="H192" s="25">
        <f>IFERROR(IF(INDEX('Faculties'!$M$10:$M$29,MATCH($F192,'Faculties'!$B$10:$B$29,0))="","Cell will autofill based on response",INDEX('Faculties'!$M$10:$M$29,MATCH($F192,'Faculties'!$B$10:$B$29,0))),"N/A")</f>
        <v/>
      </c>
      <c r="I192" s="25">
        <f>IFERROR(IF(INDEX('Faculties'!$M$37:$M$56,MATCH($F192,'Faculties'!$B$37:$B$56,0))="","Cell will autofill based on response",INDEX('Faculties'!$M$37:$M$56,MATCH($F192,'Faculties'!$B$37:$B$56,0))),"N/A")</f>
        <v/>
      </c>
      <c r="J192" s="25">
        <f>IFERROR(IF(INDEX('Faculties'!$M$64:$M$83,MATCH($F192,'Faculties'!$B$64:$B$83,0))="","Cell will autofill based on response",INDEX('Faculties'!$M$64:$M$83,MATCH($F192,'Faculties'!$B$64:$B$83,0))),"N/A")</f>
        <v/>
      </c>
      <c r="K192" s="25">
        <f>IFERROR(IF(INDEX('Faculties'!$M$91:$M$110,MATCH($F192,'Faculties'!$B$91:$B$110,0))="","Cell will autofill based on response",INDEX('Faculties'!$M$91:$M$110,MATCH($F192,'Faculties'!$B$91:$B$110,0))),"N/A")</f>
        <v/>
      </c>
      <c r="L192" s="25">
        <f>IFERROR(IF(INDEX('CI&amp;S'!$M$10:$M$14,MATCH($F192,'CI&amp;S'!$B$10:$B$14,0))="","Cell will autofill based on response",INDEX('CI&amp;S'!$M$10:$M$14,MATCH($F192,'CI&amp;S'!$B$10:$B$14,0))),"N/A")</f>
        <v/>
      </c>
      <c r="M192" s="25">
        <f>IFERROR(IF(INDEX('CI&amp;S'!$M$22:$M$38,MATCH($F192,'CI&amp;S'!$B$22:$B$38,0))="","Cell will autofill based on response",INDEX('CI&amp;S'!$M$22:$M$38,MATCH($F192,'CI&amp;S'!$B$22:$B$38,0))),"N/A")</f>
        <v/>
      </c>
      <c r="N192" s="25">
        <f>IFERROR(IF(INDEX('CFOG'!$M$10:$M$15,MATCH($F192,'CFOG'!$B$10:$B$15,0))="","Cell will autofill based on response",INDEX('CFOG'!$M$10:$M$15,MATCH($F192,'CFOG'!$B$10:$B$15,0))),"N/A")</f>
        <v/>
      </c>
      <c r="O192" s="25">
        <f>IFERROR(IF(INDEX('CFOG'!$M$23:$M$23,MATCH($F192,'CFOG'!$B$23:$B$23,0))="","Cell will autofill based on response",INDEX('CFOG'!$M$23:$M$23,MATCH($F192,'CFOG'!$B$23:$B$23,0))),"N/A")</f>
        <v/>
      </c>
      <c r="P192" s="25">
        <f>IFERROR(IF(INDEX('ESG'!$M$10:$M$16,MATCH($F192,'ESG'!$B$10:$B$16,0))="","Cell will autofill based on response",INDEX('ESG'!$M$10:$M$16,MATCH($F192,'ESG'!$B$10:$B$16,0))),"N/A")</f>
        <v/>
      </c>
      <c r="Q192" s="25">
        <f>IFERROR(IF(INDEX('CIOG'!$M$10:$M$13,MATCH($F192,'CIOG'!$B$10:$B$13,0))="","Cell will autofill based on response",INDEX('CIOG'!$M$10:$M$13,MATCH($F192,'CIOG'!$B$10:$B$13,0))),"N/A")</f>
        <v/>
      </c>
      <c r="R192" s="25">
        <f>IFERROR(IF(INDEX('MRE'!$M$10:$M$11,MATCH($F192,'MRE'!$B$10:$B$11,0))="","Cell will autofill based on response",INDEX('MRE'!$M$10:$M$11,MATCH($F192,'MRE'!$B$10:$B$11,0))),"N/A")</f>
        <v/>
      </c>
    </row>
    <row r="193">
      <c r="A193">
        <f>F193&amp;"|"&amp;G193</f>
        <v/>
      </c>
      <c r="B193" s="29" t="inlineStr"/>
      <c r="C193" s="8" t="inlineStr"/>
      <c r="D193" s="8" t="inlineStr"/>
      <c r="E193" s="8" t="inlineStr"/>
      <c r="F193" s="8" t="inlineStr">
        <is>
          <t>AI1(a)</t>
        </is>
      </c>
      <c r="G193" s="8" t="inlineStr">
        <is>
          <t>OPTION 2:  Indicator level reporting</t>
        </is>
      </c>
      <c r="H193" s="25">
        <f>IFERROR(IF(INDEX('Faculties'!$N$10:$N$29,MATCH($F193,'Faculties'!$B$10:$B$29,0))="","Cell will autofill based on response",INDEX('Faculties'!$N$10:$N$29,MATCH($F193,'Faculties'!$B$10:$B$29,0))),"N/A")</f>
        <v/>
      </c>
      <c r="I193" s="25">
        <f>IFERROR(IF(INDEX('Faculties'!$N$37:$N$56,MATCH($F193,'Faculties'!$B$37:$B$56,0))="","Cell will autofill based on response",INDEX('Faculties'!$N$37:$N$56,MATCH($F193,'Faculties'!$B$37:$B$56,0))),"N/A")</f>
        <v/>
      </c>
      <c r="J193" s="25">
        <f>IFERROR(IF(INDEX('Faculties'!$N$64:$N$83,MATCH($F193,'Faculties'!$B$64:$B$83,0))="","Cell will autofill based on response",INDEX('Faculties'!$N$64:$N$83,MATCH($F193,'Faculties'!$B$64:$B$83,0))),"N/A")</f>
        <v/>
      </c>
      <c r="K193" s="25">
        <f>IFERROR(IF(INDEX('Faculties'!$N$91:$N$110,MATCH($F193,'Faculties'!$B$91:$B$110,0))="","Cell will autofill based on response",INDEX('Faculties'!$N$91:$N$110,MATCH($F193,'Faculties'!$B$91:$B$110,0))),"N/A")</f>
        <v/>
      </c>
      <c r="L193" s="25">
        <f>IFERROR(IF(INDEX('CI&amp;S'!$N$10:$N$14,MATCH($F193,'CI&amp;S'!$B$10:$B$14,0))="","Cell will autofill based on response",INDEX('CI&amp;S'!$N$10:$N$14,MATCH($F193,'CI&amp;S'!$B$10:$B$14,0))),"N/A")</f>
        <v/>
      </c>
      <c r="M193" s="25">
        <f>IFERROR(IF(INDEX('CI&amp;S'!$N$22:$N$38,MATCH($F193,'CI&amp;S'!$B$22:$B$38,0))="","Cell will autofill based on response",INDEX('CI&amp;S'!$N$22:$N$38,MATCH($F193,'CI&amp;S'!$B$22:$B$38,0))),"N/A")</f>
        <v/>
      </c>
      <c r="N193" s="25">
        <f>IFERROR(IF(INDEX('CFOG'!$N$10:$N$15,MATCH($F193,'CFOG'!$B$10:$B$15,0))="","Cell will autofill based on response",INDEX('CFOG'!$N$10:$N$15,MATCH($F193,'CFOG'!$B$10:$B$15,0))),"N/A")</f>
        <v/>
      </c>
      <c r="O193" s="25">
        <f>IFERROR(IF(INDEX('CFOG'!$N$23:$N$23,MATCH($F193,'CFOG'!$B$23:$B$23,0))="","Cell will autofill based on response",INDEX('CFOG'!$N$23:$N$23,MATCH($F193,'CFOG'!$B$23:$B$23,0))),"N/A")</f>
        <v/>
      </c>
      <c r="P193" s="25">
        <f>IFERROR(IF(INDEX('ESG'!$N$10:$N$16,MATCH($F193,'ESG'!$B$10:$B$16,0))="","Cell will autofill based on response",INDEX('ESG'!$N$10:$N$16,MATCH($F193,'ESG'!$B$10:$B$16,0))),"N/A")</f>
        <v/>
      </c>
      <c r="Q193" s="25">
        <f>IFERROR(IF(INDEX('CIOG'!$N$10:$N$13,MATCH($F193,'CIOG'!$B$10:$B$13,0))="","Cell will autofill based on response",INDEX('CIOG'!$N$10:$N$13,MATCH($F193,'CIOG'!$B$10:$B$13,0))),"N/A")</f>
        <v/>
      </c>
      <c r="R193" s="25">
        <f>IFERROR(IF(INDEX('MRE'!$N$10:$N$11,MATCH($F193,'MRE'!$B$10:$B$11,0))="","Cell will autofill based on response",INDEX('MRE'!$N$10:$N$11,MATCH($F193,'MRE'!$B$10:$B$11,0))),"N/A")</f>
        <v/>
      </c>
    </row>
    <row r="194">
      <c r="A194">
        <f>F194&amp;"|"&amp;G194</f>
        <v/>
      </c>
      <c r="B194" s="29" t="inlineStr"/>
      <c r="C194" s="8" t="inlineStr"/>
      <c r="D194" s="8" t="inlineStr"/>
      <c r="E194" s="8" t="inlineStr"/>
      <c r="F194" s="8" t="inlineStr">
        <is>
          <t>AI1(a)</t>
        </is>
      </c>
      <c r="G194" s="8" t="inlineStr">
        <is>
          <t>Supporting information/comments</t>
        </is>
      </c>
      <c r="H194" s="25">
        <f>IFERROR(IF(INDEX('Faculties'!$O$10:$O$29,MATCH($F194,'Faculties'!$B$10:$B$29,0))="","Cell will autofill based on response",INDEX('Faculties'!$O$10:$O$29,MATCH($F194,'Faculties'!$B$10:$B$29,0))),"N/A")</f>
        <v/>
      </c>
      <c r="I194" s="25">
        <f>IFERROR(IF(INDEX('Faculties'!$O$37:$O$56,MATCH($F194,'Faculties'!$B$37:$B$56,0))="","Cell will autofill based on response",INDEX('Faculties'!$O$37:$O$56,MATCH($F194,'Faculties'!$B$37:$B$56,0))),"N/A")</f>
        <v/>
      </c>
      <c r="J194" s="25">
        <f>IFERROR(IF(INDEX('Faculties'!$O$64:$O$83,MATCH($F194,'Faculties'!$B$64:$B$83,0))="","Cell will autofill based on response",INDEX('Faculties'!$O$64:$O$83,MATCH($F194,'Faculties'!$B$64:$B$83,0))),"N/A")</f>
        <v/>
      </c>
      <c r="K194" s="25">
        <f>IFERROR(IF(INDEX('Faculties'!$O$91:$O$110,MATCH($F194,'Faculties'!$B$91:$B$110,0))="","Cell will autofill based on response",INDEX('Faculties'!$O$91:$O$110,MATCH($F194,'Faculties'!$B$91:$B$110,0))),"N/A")</f>
        <v/>
      </c>
      <c r="L194" s="25">
        <f>IFERROR(IF(INDEX('CI&amp;S'!$O$10:$O$14,MATCH($F194,'CI&amp;S'!$B$10:$B$14,0))="","Cell will autofill based on response",INDEX('CI&amp;S'!$O$10:$O$14,MATCH($F194,'CI&amp;S'!$B$10:$B$14,0))),"N/A")</f>
        <v/>
      </c>
      <c r="M194" s="25">
        <f>IFERROR(IF(INDEX('CI&amp;S'!$O$22:$O$38,MATCH($F194,'CI&amp;S'!$B$22:$B$38,0))="","Cell will autofill based on response",INDEX('CI&amp;S'!$O$22:$O$38,MATCH($F194,'CI&amp;S'!$B$22:$B$38,0))),"N/A")</f>
        <v/>
      </c>
      <c r="N194" s="25">
        <f>IFERROR(IF(INDEX('CFOG'!$O$10:$O$15,MATCH($F194,'CFOG'!$B$10:$B$15,0))="","Cell will autofill based on response",INDEX('CFOG'!$O$10:$O$15,MATCH($F194,'CFOG'!$B$10:$B$15,0))),"N/A")</f>
        <v/>
      </c>
      <c r="O194" s="25">
        <f>IFERROR(IF(INDEX('CFOG'!$O$23:$O$23,MATCH($F194,'CFOG'!$B$23:$B$23,0))="","Cell will autofill based on response",INDEX('CFOG'!$O$23:$O$23,MATCH($F194,'CFOG'!$B$23:$B$23,0))),"N/A")</f>
        <v/>
      </c>
      <c r="P194" s="25">
        <f>IFERROR(IF(INDEX('ESG'!$O$10:$O$16,MATCH($F194,'ESG'!$B$10:$B$16,0))="","Cell will autofill based on response",INDEX('ESG'!$O$10:$O$16,MATCH($F194,'ESG'!$B$10:$B$16,0))),"N/A")</f>
        <v/>
      </c>
      <c r="Q194" s="25">
        <f>IFERROR(IF(INDEX('CIOG'!$O$10:$O$13,MATCH($F194,'CIOG'!$B$10:$B$13,0))="","Cell will autofill based on response",INDEX('CIOG'!$O$10:$O$13,MATCH($F194,'CIOG'!$B$10:$B$13,0))),"N/A")</f>
        <v/>
      </c>
      <c r="R194" s="25">
        <f>IFERROR(IF(INDEX('MRE'!$O$10:$O$11,MATCH($F194,'MRE'!$B$10:$B$11,0))="","Cell will autofill based on response",INDEX('MRE'!$O$10:$O$11,MATCH($F194,'MRE'!$B$10:$B$11,0))),"N/A")</f>
        <v/>
      </c>
    </row>
    <row r="195">
      <c r="A195">
        <f>F195&amp;"|"&amp;G195</f>
        <v/>
      </c>
      <c r="B195" s="29" t="inlineStr"/>
      <c r="C195" s="8" t="inlineStr"/>
      <c r="D195" s="8" t="inlineStr"/>
      <c r="E195" s="8" t="inlineStr"/>
      <c r="F195" s="8" t="inlineStr">
        <is>
          <t>AI1(a)</t>
        </is>
      </c>
      <c r="G195" s="8" t="inlineStr">
        <is>
          <t>Data source and limitations</t>
        </is>
      </c>
      <c r="H195" s="25">
        <f>IFERROR(IF(INDEX('Faculties'!$P$10:$P$29,MATCH($F195,'Faculties'!$B$10:$B$29,0))="","Cell will autofill based on response",INDEX('Faculties'!$P$10:$P$29,MATCH($F195,'Faculties'!$B$10:$B$29,0))),"N/A")</f>
        <v/>
      </c>
      <c r="I195" s="25">
        <f>IFERROR(IF(INDEX('Faculties'!$P$37:$P$56,MATCH($F195,'Faculties'!$B$37:$B$56,0))="","Cell will autofill based on response",INDEX('Faculties'!$P$37:$P$56,MATCH($F195,'Faculties'!$B$37:$B$56,0))),"N/A")</f>
        <v/>
      </c>
      <c r="J195" s="25">
        <f>IFERROR(IF(INDEX('Faculties'!$P$64:$P$83,MATCH($F195,'Faculties'!$B$64:$B$83,0))="","Cell will autofill based on response",INDEX('Faculties'!$P$64:$P$83,MATCH($F195,'Faculties'!$B$64:$B$83,0))),"N/A")</f>
        <v/>
      </c>
      <c r="K195" s="25">
        <f>IFERROR(IF(INDEX('Faculties'!$P$91:$P$110,MATCH($F195,'Faculties'!$B$91:$B$110,0))="","Cell will autofill based on response",INDEX('Faculties'!$P$91:$P$110,MATCH($F195,'Faculties'!$B$91:$B$110,0))),"N/A")</f>
        <v/>
      </c>
      <c r="L195" s="25">
        <f>IFERROR(IF(INDEX('CI&amp;S'!$P$10:$P$14,MATCH($F195,'CI&amp;S'!$B$10:$B$14,0))="","Cell will autofill based on response",INDEX('CI&amp;S'!$P$10:$P$14,MATCH($F195,'CI&amp;S'!$B$10:$B$14,0))),"N/A")</f>
        <v/>
      </c>
      <c r="M195" s="25">
        <f>IFERROR(IF(INDEX('CI&amp;S'!$P$22:$P$38,MATCH($F195,'CI&amp;S'!$B$22:$B$38,0))="","Cell will autofill based on response",INDEX('CI&amp;S'!$P$22:$P$38,MATCH($F195,'CI&amp;S'!$B$22:$B$38,0))),"N/A")</f>
        <v/>
      </c>
      <c r="N195" s="25">
        <f>IFERROR(IF(INDEX('CFOG'!$P$10:$P$15,MATCH($F195,'CFOG'!$B$10:$B$15,0))="","Cell will autofill based on response",INDEX('CFOG'!$P$10:$P$15,MATCH($F195,'CFOG'!$B$10:$B$15,0))),"N/A")</f>
        <v/>
      </c>
      <c r="O195" s="25">
        <f>IFERROR(IF(INDEX('CFOG'!$P$23:$P$23,MATCH($F195,'CFOG'!$B$23:$B$23,0))="","Cell will autofill based on response",INDEX('CFOG'!$P$23:$P$23,MATCH($F195,'CFOG'!$B$23:$B$23,0))),"N/A")</f>
        <v/>
      </c>
      <c r="P195" s="25">
        <f>IFERROR(IF(INDEX('ESG'!$P$10:$P$16,MATCH($F195,'ESG'!$B$10:$B$16,0))="","Cell will autofill based on response",INDEX('ESG'!$P$10:$P$16,MATCH($F195,'ESG'!$B$10:$B$16,0))),"N/A")</f>
        <v/>
      </c>
      <c r="Q195" s="25">
        <f>IFERROR(IF(INDEX('CIOG'!$P$10:$P$13,MATCH($F195,'CIOG'!$B$10:$B$13,0))="","Cell will autofill based on response",INDEX('CIOG'!$P$10:$P$13,MATCH($F195,'CIOG'!$B$10:$B$13,0))),"N/A")</f>
        <v/>
      </c>
      <c r="R195" s="25">
        <f>IFERROR(IF(INDEX('MRE'!$P$10:$P$11,MATCH($F195,'MRE'!$B$10:$B$11,0))="","Cell will autofill based on response",INDEX('MRE'!$P$10:$P$11,MATCH($F195,'MRE'!$B$10:$B$11,0))),"N/A")</f>
        <v/>
      </c>
    </row>
    <row r="196">
      <c r="A196">
        <f>F196&amp;"|"&amp;G196</f>
        <v/>
      </c>
      <c r="B196" s="29" t="inlineStr"/>
      <c r="C196" s="8" t="inlineStr"/>
      <c r="D196" s="8" t="inlineStr"/>
      <c r="E196" s="8" t="inlineStr"/>
      <c r="F196" s="8" t="inlineStr">
        <is>
          <t>AI1(a)</t>
        </is>
      </c>
      <c r="G196" s="8" t="inlineStr">
        <is>
          <t>Data owner confirms</t>
        </is>
      </c>
      <c r="H196" s="25">
        <f>IFERROR(IF(INDEX('Faculties'!$Q$10:$Q$29,MATCH($F196,'Faculties'!$B$10:$B$29,0))="","Cell will autofill based on response",INDEX('Faculties'!$Q$10:$Q$29,MATCH($F196,'Faculties'!$B$10:$B$29,0))),"N/A")</f>
        <v/>
      </c>
      <c r="I196" s="25">
        <f>IFERROR(IF(INDEX('Faculties'!$Q$37:$Q$56,MATCH($F196,'Faculties'!$B$37:$B$56,0))="","Cell will autofill based on response",INDEX('Faculties'!$Q$37:$Q$56,MATCH($F196,'Faculties'!$B$37:$B$56,0))),"N/A")</f>
        <v/>
      </c>
      <c r="J196" s="25">
        <f>IFERROR(IF(INDEX('Faculties'!$Q$64:$Q$83,MATCH($F196,'Faculties'!$B$64:$B$83,0))="","Cell will autofill based on response",INDEX('Faculties'!$Q$64:$Q$83,MATCH($F196,'Faculties'!$B$64:$B$83,0))),"N/A")</f>
        <v/>
      </c>
      <c r="K196" s="25">
        <f>IFERROR(IF(INDEX('Faculties'!$Q$91:$Q$110,MATCH($F196,'Faculties'!$B$91:$B$110,0))="","Cell will autofill based on response",INDEX('Faculties'!$Q$91:$Q$110,MATCH($F196,'Faculties'!$B$91:$B$110,0))),"N/A")</f>
        <v/>
      </c>
      <c r="L196" s="25">
        <f>IFERROR(IF(INDEX('CI&amp;S'!$Q$10:$Q$14,MATCH($F196,'CI&amp;S'!$B$10:$B$14,0))="","Cell will autofill based on response",INDEX('CI&amp;S'!$Q$10:$Q$14,MATCH($F196,'CI&amp;S'!$B$10:$B$14,0))),"N/A")</f>
        <v/>
      </c>
      <c r="M196" s="25">
        <f>IFERROR(IF(INDEX('CI&amp;S'!$Q$22:$Q$38,MATCH($F196,'CI&amp;S'!$B$22:$B$38,0))="","Cell will autofill based on response",INDEX('CI&amp;S'!$Q$22:$Q$38,MATCH($F196,'CI&amp;S'!$B$22:$B$38,0))),"N/A")</f>
        <v/>
      </c>
      <c r="N196" s="25">
        <f>IFERROR(IF(INDEX('CFOG'!$Q$10:$Q$15,MATCH($F196,'CFOG'!$B$10:$B$15,0))="","Cell will autofill based on response",INDEX('CFOG'!$Q$10:$Q$15,MATCH($F196,'CFOG'!$B$10:$B$15,0))),"N/A")</f>
        <v/>
      </c>
      <c r="O196" s="25">
        <f>IFERROR(IF(INDEX('CFOG'!$Q$23:$Q$23,MATCH($F196,'CFOG'!$B$23:$B$23,0))="","Cell will autofill based on response",INDEX('CFOG'!$Q$23:$Q$23,MATCH($F196,'CFOG'!$B$23:$B$23,0))),"N/A")</f>
        <v/>
      </c>
      <c r="P196" s="25">
        <f>IFERROR(IF(INDEX('ESG'!$Q$10:$Q$16,MATCH($F196,'ESG'!$B$10:$B$16,0))="","Cell will autofill based on response",INDEX('ESG'!$Q$10:$Q$16,MATCH($F196,'ESG'!$B$10:$B$16,0))),"N/A")</f>
        <v/>
      </c>
      <c r="Q196" s="25">
        <f>IFERROR(IF(INDEX('CIOG'!$Q$10:$Q$13,MATCH($F196,'CIOG'!$B$10:$B$13,0))="","Cell will autofill based on response",INDEX('CIOG'!$Q$10:$Q$13,MATCH($F196,'CIOG'!$B$10:$B$13,0))),"N/A")</f>
        <v/>
      </c>
      <c r="R196" s="25">
        <f>IFERROR(IF(INDEX('MRE'!$Q$10:$Q$11,MATCH($F196,'MRE'!$B$10:$B$11,0))="","Cell will autofill based on response",INDEX('MRE'!$Q$10:$Q$11,MATCH($F196,'MRE'!$B$10:$B$11,0))),"N/A")</f>
        <v/>
      </c>
    </row>
    <row r="197">
      <c r="A197">
        <f>F197&amp;"|"&amp;G197</f>
        <v/>
      </c>
      <c r="B197" s="7" t="inlineStr">
        <is>
          <t>AI1(b)</t>
        </is>
      </c>
      <c r="C197" s="12" t="inlineStr">
        <is>
          <t>Responsible AI</t>
        </is>
      </c>
      <c r="D197" s="12" t="inlineStr">
        <is>
          <t>Case studies of sustainability and AI-related education, research and collaboration activities.</t>
        </is>
      </c>
      <c r="E197" s="12" t="inlineStr">
        <is>
          <t>Please provide case studies from your Faculty/Portfolio of sustainability and AI-related education, research or collaboration activities, describing the activity, participants or partners, sustainability issue addressed and key outcomes or lessons.</t>
        </is>
      </c>
      <c r="F197" s="12" t="inlineStr">
        <is>
          <t>AI1(b)</t>
        </is>
      </c>
      <c r="G197" s="12" t="inlineStr">
        <is>
          <t>Confirm end-2026 target status</t>
        </is>
      </c>
      <c r="H197" s="25">
        <f>IFERROR(IF(INDEX('Faculties'!$L$10:$L$29,MATCH($F197,'Faculties'!$B$10:$B$29,0))="","Cell will autofill based on response",INDEX('Faculties'!$L$10:$L$29,MATCH($F197,'Faculties'!$B$10:$B$29,0))),"N/A")</f>
        <v/>
      </c>
      <c r="I197" s="25">
        <f>IFERROR(IF(INDEX('Faculties'!$L$37:$L$56,MATCH($F197,'Faculties'!$B$37:$B$56,0))="","Cell will autofill based on response",INDEX('Faculties'!$L$37:$L$56,MATCH($F197,'Faculties'!$B$37:$B$56,0))),"N/A")</f>
        <v/>
      </c>
      <c r="J197" s="25">
        <f>IFERROR(IF(INDEX('Faculties'!$L$64:$L$83,MATCH($F197,'Faculties'!$B$64:$B$83,0))="","Cell will autofill based on response",INDEX('Faculties'!$L$64:$L$83,MATCH($F197,'Faculties'!$B$64:$B$83,0))),"N/A")</f>
        <v/>
      </c>
      <c r="K197" s="25">
        <f>IFERROR(IF(INDEX('Faculties'!$L$91:$L$110,MATCH($F197,'Faculties'!$B$91:$B$110,0))="","Cell will autofill based on response",INDEX('Faculties'!$L$91:$L$110,MATCH($F197,'Faculties'!$B$91:$B$110,0))),"N/A")</f>
        <v/>
      </c>
      <c r="L197" s="25">
        <f>IFERROR(IF(INDEX('CI&amp;S'!$L$10:$L$14,MATCH($F197,'CI&amp;S'!$B$10:$B$14,0))="","Cell will autofill based on response",INDEX('CI&amp;S'!$L$10:$L$14,MATCH($F197,'CI&amp;S'!$B$10:$B$14,0))),"N/A")</f>
        <v/>
      </c>
      <c r="M197" s="25">
        <f>IFERROR(IF(INDEX('CI&amp;S'!$L$22:$L$38,MATCH($F197,'CI&amp;S'!$B$22:$B$38,0))="","Cell will autofill based on response",INDEX('CI&amp;S'!$L$22:$L$38,MATCH($F197,'CI&amp;S'!$B$22:$B$38,0))),"N/A")</f>
        <v/>
      </c>
      <c r="N197" s="25">
        <f>IFERROR(IF(INDEX('CFOG'!$L$10:$L$15,MATCH($F197,'CFOG'!$B$10:$B$15,0))="","Cell will autofill based on response",INDEX('CFOG'!$L$10:$L$15,MATCH($F197,'CFOG'!$B$10:$B$15,0))),"N/A")</f>
        <v/>
      </c>
      <c r="O197" s="25">
        <f>IFERROR(IF(INDEX('CFOG'!$L$23:$L$23,MATCH($F197,'CFOG'!$B$23:$B$23,0))="","Cell will autofill based on response",INDEX('CFOG'!$L$23:$L$23,MATCH($F197,'CFOG'!$B$23:$B$23,0))),"N/A")</f>
        <v/>
      </c>
      <c r="P197" s="25">
        <f>IFERROR(IF(INDEX('ESG'!$L$10:$L$16,MATCH($F197,'ESG'!$B$10:$B$16,0))="","Cell will autofill based on response",INDEX('ESG'!$L$10:$L$16,MATCH($F197,'ESG'!$B$10:$B$16,0))),"N/A")</f>
        <v/>
      </c>
      <c r="Q197" s="25">
        <f>IFERROR(IF(INDEX('CIOG'!$L$10:$L$13,MATCH($F197,'CIOG'!$B$10:$B$13,0))="","Cell will autofill based on response",INDEX('CIOG'!$L$10:$L$13,MATCH($F197,'CIOG'!$B$10:$B$13,0))),"N/A")</f>
        <v/>
      </c>
      <c r="R197" s="25">
        <f>IFERROR(IF(INDEX('MRE'!$L$10:$L$11,MATCH($F197,'MRE'!$B$10:$B$11,0))="","Cell will autofill based on response",INDEX('MRE'!$L$10:$L$11,MATCH($F197,'MRE'!$B$10:$B$11,0))),"N/A")</f>
        <v/>
      </c>
      <c r="T197" s="26">
        <f>COUNTIF($H197:$R197,"Cell will autofill based on response")</f>
        <v/>
      </c>
      <c r="U197" s="26">
        <f>COUNTIF($H197:$R197,"Not yet started")</f>
        <v/>
      </c>
      <c r="V197" s="26">
        <f>COUNTIF($H197:$R197,"Not met")</f>
        <v/>
      </c>
      <c r="W197" s="26">
        <f>COUNTIF($H197:$R197,"Partially met")</f>
        <v/>
      </c>
      <c r="X197" s="26">
        <f>COUNTIF($H197:$R197,"Met or exceeded")</f>
        <v/>
      </c>
      <c r="Y197" s="26">
        <f>3*X197+2*W197+V197</f>
        <v/>
      </c>
      <c r="Z197" s="26">
        <f>X197+W197+V197+U197</f>
        <v/>
      </c>
      <c r="AA197" s="27">
        <f>IF(Z197&gt;0,Y197/Z197,"No valid responses to date")</f>
        <v/>
      </c>
      <c r="AB197" s="26">
        <f>IF(ISNUMBER(AA197),INDEX(Lists!$G$2:$G$5,MATCH(ROUND(AA197,0),Lists!$H$2:$H$5,0)),"")</f>
        <v/>
      </c>
      <c r="AC197" s="28">
        <f>IF(Z197&gt;0,X197/Z197,"")</f>
        <v/>
      </c>
      <c r="AD197" s="28">
        <f>IF(Z197&gt;0,(X197+W197)/Z197,"")</f>
        <v/>
      </c>
      <c r="AE197" s="26">
        <f>IF(Z197=0,"",IF(AC197&gt;0.75,"Met or exceeded",IF(AD197&gt;=0.5,"Partially met","Not met")))</f>
        <v/>
      </c>
    </row>
    <row r="198">
      <c r="A198">
        <f>F198&amp;"|"&amp;G198</f>
        <v/>
      </c>
      <c r="B198" s="29" t="inlineStr"/>
      <c r="C198" s="8" t="inlineStr"/>
      <c r="D198" s="8" t="inlineStr"/>
      <c r="E198" s="8" t="inlineStr"/>
      <c r="F198" s="8" t="inlineStr">
        <is>
          <t>AI1(b)</t>
        </is>
      </c>
      <c r="G198" s="8" t="inlineStr">
        <is>
          <t>OPTION 1:  Target-level reporting</t>
        </is>
      </c>
      <c r="H198" s="25">
        <f>IFERROR(IF(INDEX('Faculties'!$M$10:$M$29,MATCH($F198,'Faculties'!$B$10:$B$29,0))="","Cell will autofill based on response",INDEX('Faculties'!$M$10:$M$29,MATCH($F198,'Faculties'!$B$10:$B$29,0))),"N/A")</f>
        <v/>
      </c>
      <c r="I198" s="25">
        <f>IFERROR(IF(INDEX('Faculties'!$M$37:$M$56,MATCH($F198,'Faculties'!$B$37:$B$56,0))="","Cell will autofill based on response",INDEX('Faculties'!$M$37:$M$56,MATCH($F198,'Faculties'!$B$37:$B$56,0))),"N/A")</f>
        <v/>
      </c>
      <c r="J198" s="25">
        <f>IFERROR(IF(INDEX('Faculties'!$M$64:$M$83,MATCH($F198,'Faculties'!$B$64:$B$83,0))="","Cell will autofill based on response",INDEX('Faculties'!$M$64:$M$83,MATCH($F198,'Faculties'!$B$64:$B$83,0))),"N/A")</f>
        <v/>
      </c>
      <c r="K198" s="25">
        <f>IFERROR(IF(INDEX('Faculties'!$M$91:$M$110,MATCH($F198,'Faculties'!$B$91:$B$110,0))="","Cell will autofill based on response",INDEX('Faculties'!$M$91:$M$110,MATCH($F198,'Faculties'!$B$91:$B$110,0))),"N/A")</f>
        <v/>
      </c>
      <c r="L198" s="25">
        <f>IFERROR(IF(INDEX('CI&amp;S'!$M$10:$M$14,MATCH($F198,'CI&amp;S'!$B$10:$B$14,0))="","Cell will autofill based on response",INDEX('CI&amp;S'!$M$10:$M$14,MATCH($F198,'CI&amp;S'!$B$10:$B$14,0))),"N/A")</f>
        <v/>
      </c>
      <c r="M198" s="25">
        <f>IFERROR(IF(INDEX('CI&amp;S'!$M$22:$M$38,MATCH($F198,'CI&amp;S'!$B$22:$B$38,0))="","Cell will autofill based on response",INDEX('CI&amp;S'!$M$22:$M$38,MATCH($F198,'CI&amp;S'!$B$22:$B$38,0))),"N/A")</f>
        <v/>
      </c>
      <c r="N198" s="25">
        <f>IFERROR(IF(INDEX('CFOG'!$M$10:$M$15,MATCH($F198,'CFOG'!$B$10:$B$15,0))="","Cell will autofill based on response",INDEX('CFOG'!$M$10:$M$15,MATCH($F198,'CFOG'!$B$10:$B$15,0))),"N/A")</f>
        <v/>
      </c>
      <c r="O198" s="25">
        <f>IFERROR(IF(INDEX('CFOG'!$M$23:$M$23,MATCH($F198,'CFOG'!$B$23:$B$23,0))="","Cell will autofill based on response",INDEX('CFOG'!$M$23:$M$23,MATCH($F198,'CFOG'!$B$23:$B$23,0))),"N/A")</f>
        <v/>
      </c>
      <c r="P198" s="25">
        <f>IFERROR(IF(INDEX('ESG'!$M$10:$M$16,MATCH($F198,'ESG'!$B$10:$B$16,0))="","Cell will autofill based on response",INDEX('ESG'!$M$10:$M$16,MATCH($F198,'ESG'!$B$10:$B$16,0))),"N/A")</f>
        <v/>
      </c>
      <c r="Q198" s="25">
        <f>IFERROR(IF(INDEX('CIOG'!$M$10:$M$13,MATCH($F198,'CIOG'!$B$10:$B$13,0))="","Cell will autofill based on response",INDEX('CIOG'!$M$10:$M$13,MATCH($F198,'CIOG'!$B$10:$B$13,0))),"N/A")</f>
        <v/>
      </c>
      <c r="R198" s="25">
        <f>IFERROR(IF(INDEX('MRE'!$M$10:$M$11,MATCH($F198,'MRE'!$B$10:$B$11,0))="","Cell will autofill based on response",INDEX('MRE'!$M$10:$M$11,MATCH($F198,'MRE'!$B$10:$B$11,0))),"N/A")</f>
        <v/>
      </c>
    </row>
    <row r="199">
      <c r="A199">
        <f>F199&amp;"|"&amp;G199</f>
        <v/>
      </c>
      <c r="B199" s="29" t="inlineStr"/>
      <c r="C199" s="8" t="inlineStr"/>
      <c r="D199" s="8" t="inlineStr"/>
      <c r="E199" s="8" t="inlineStr"/>
      <c r="F199" s="8" t="inlineStr">
        <is>
          <t>AI1(b)</t>
        </is>
      </c>
      <c r="G199" s="8" t="inlineStr">
        <is>
          <t>OPTION 2:  Indicator level reporting</t>
        </is>
      </c>
      <c r="H199" s="25">
        <f>IFERROR(IF(INDEX('Faculties'!$N$10:$N$29,MATCH($F199,'Faculties'!$B$10:$B$29,0))="","Cell will autofill based on response",INDEX('Faculties'!$N$10:$N$29,MATCH($F199,'Faculties'!$B$10:$B$29,0))),"N/A")</f>
        <v/>
      </c>
      <c r="I199" s="25">
        <f>IFERROR(IF(INDEX('Faculties'!$N$37:$N$56,MATCH($F199,'Faculties'!$B$37:$B$56,0))="","Cell will autofill based on response",INDEX('Faculties'!$N$37:$N$56,MATCH($F199,'Faculties'!$B$37:$B$56,0))),"N/A")</f>
        <v/>
      </c>
      <c r="J199" s="25">
        <f>IFERROR(IF(INDEX('Faculties'!$N$64:$N$83,MATCH($F199,'Faculties'!$B$64:$B$83,0))="","Cell will autofill based on response",INDEX('Faculties'!$N$64:$N$83,MATCH($F199,'Faculties'!$B$64:$B$83,0))),"N/A")</f>
        <v/>
      </c>
      <c r="K199" s="25">
        <f>IFERROR(IF(INDEX('Faculties'!$N$91:$N$110,MATCH($F199,'Faculties'!$B$91:$B$110,0))="","Cell will autofill based on response",INDEX('Faculties'!$N$91:$N$110,MATCH($F199,'Faculties'!$B$91:$B$110,0))),"N/A")</f>
        <v/>
      </c>
      <c r="L199" s="25">
        <f>IFERROR(IF(INDEX('CI&amp;S'!$N$10:$N$14,MATCH($F199,'CI&amp;S'!$B$10:$B$14,0))="","Cell will autofill based on response",INDEX('CI&amp;S'!$N$10:$N$14,MATCH($F199,'CI&amp;S'!$B$10:$B$14,0))),"N/A")</f>
        <v/>
      </c>
      <c r="M199" s="25">
        <f>IFERROR(IF(INDEX('CI&amp;S'!$N$22:$N$38,MATCH($F199,'CI&amp;S'!$B$22:$B$38,0))="","Cell will autofill based on response",INDEX('CI&amp;S'!$N$22:$N$38,MATCH($F199,'CI&amp;S'!$B$22:$B$38,0))),"N/A")</f>
        <v/>
      </c>
      <c r="N199" s="25">
        <f>IFERROR(IF(INDEX('CFOG'!$N$10:$N$15,MATCH($F199,'CFOG'!$B$10:$B$15,0))="","Cell will autofill based on response",INDEX('CFOG'!$N$10:$N$15,MATCH($F199,'CFOG'!$B$10:$B$15,0))),"N/A")</f>
        <v/>
      </c>
      <c r="O199" s="25">
        <f>IFERROR(IF(INDEX('CFOG'!$N$23:$N$23,MATCH($F199,'CFOG'!$B$23:$B$23,0))="","Cell will autofill based on response",INDEX('CFOG'!$N$23:$N$23,MATCH($F199,'CFOG'!$B$23:$B$23,0))),"N/A")</f>
        <v/>
      </c>
      <c r="P199" s="25">
        <f>IFERROR(IF(INDEX('ESG'!$N$10:$N$16,MATCH($F199,'ESG'!$B$10:$B$16,0))="","Cell will autofill based on response",INDEX('ESG'!$N$10:$N$16,MATCH($F199,'ESG'!$B$10:$B$16,0))),"N/A")</f>
        <v/>
      </c>
      <c r="Q199" s="25">
        <f>IFERROR(IF(INDEX('CIOG'!$N$10:$N$13,MATCH($F199,'CIOG'!$B$10:$B$13,0))="","Cell will autofill based on response",INDEX('CIOG'!$N$10:$N$13,MATCH($F199,'CIOG'!$B$10:$B$13,0))),"N/A")</f>
        <v/>
      </c>
      <c r="R199" s="25">
        <f>IFERROR(IF(INDEX('MRE'!$N$10:$N$11,MATCH($F199,'MRE'!$B$10:$B$11,0))="","Cell will autofill based on response",INDEX('MRE'!$N$10:$N$11,MATCH($F199,'MRE'!$B$10:$B$11,0))),"N/A")</f>
        <v/>
      </c>
    </row>
    <row r="200">
      <c r="A200">
        <f>F200&amp;"|"&amp;G200</f>
        <v/>
      </c>
      <c r="B200" s="29" t="inlineStr"/>
      <c r="C200" s="8" t="inlineStr"/>
      <c r="D200" s="8" t="inlineStr"/>
      <c r="E200" s="8" t="inlineStr"/>
      <c r="F200" s="8" t="inlineStr">
        <is>
          <t>AI1(b)</t>
        </is>
      </c>
      <c r="G200" s="8" t="inlineStr">
        <is>
          <t>Supporting information/comments</t>
        </is>
      </c>
      <c r="H200" s="25">
        <f>IFERROR(IF(INDEX('Faculties'!$O$10:$O$29,MATCH($F200,'Faculties'!$B$10:$B$29,0))="","Cell will autofill based on response",INDEX('Faculties'!$O$10:$O$29,MATCH($F200,'Faculties'!$B$10:$B$29,0))),"N/A")</f>
        <v/>
      </c>
      <c r="I200" s="25">
        <f>IFERROR(IF(INDEX('Faculties'!$O$37:$O$56,MATCH($F200,'Faculties'!$B$37:$B$56,0))="","Cell will autofill based on response",INDEX('Faculties'!$O$37:$O$56,MATCH($F200,'Faculties'!$B$37:$B$56,0))),"N/A")</f>
        <v/>
      </c>
      <c r="J200" s="25">
        <f>IFERROR(IF(INDEX('Faculties'!$O$64:$O$83,MATCH($F200,'Faculties'!$B$64:$B$83,0))="","Cell will autofill based on response",INDEX('Faculties'!$O$64:$O$83,MATCH($F200,'Faculties'!$B$64:$B$83,0))),"N/A")</f>
        <v/>
      </c>
      <c r="K200" s="25">
        <f>IFERROR(IF(INDEX('Faculties'!$O$91:$O$110,MATCH($F200,'Faculties'!$B$91:$B$110,0))="","Cell will autofill based on response",INDEX('Faculties'!$O$91:$O$110,MATCH($F200,'Faculties'!$B$91:$B$110,0))),"N/A")</f>
        <v/>
      </c>
      <c r="L200" s="25">
        <f>IFERROR(IF(INDEX('CI&amp;S'!$O$10:$O$14,MATCH($F200,'CI&amp;S'!$B$10:$B$14,0))="","Cell will autofill based on response",INDEX('CI&amp;S'!$O$10:$O$14,MATCH($F200,'CI&amp;S'!$B$10:$B$14,0))),"N/A")</f>
        <v/>
      </c>
      <c r="M200" s="25">
        <f>IFERROR(IF(INDEX('CI&amp;S'!$O$22:$O$38,MATCH($F200,'CI&amp;S'!$B$22:$B$38,0))="","Cell will autofill based on response",INDEX('CI&amp;S'!$O$22:$O$38,MATCH($F200,'CI&amp;S'!$B$22:$B$38,0))),"N/A")</f>
        <v/>
      </c>
      <c r="N200" s="25">
        <f>IFERROR(IF(INDEX('CFOG'!$O$10:$O$15,MATCH($F200,'CFOG'!$B$10:$B$15,0))="","Cell will autofill based on response",INDEX('CFOG'!$O$10:$O$15,MATCH($F200,'CFOG'!$B$10:$B$15,0))),"N/A")</f>
        <v/>
      </c>
      <c r="O200" s="25">
        <f>IFERROR(IF(INDEX('CFOG'!$O$23:$O$23,MATCH($F200,'CFOG'!$B$23:$B$23,0))="","Cell will autofill based on response",INDEX('CFOG'!$O$23:$O$23,MATCH($F200,'CFOG'!$B$23:$B$23,0))),"N/A")</f>
        <v/>
      </c>
      <c r="P200" s="25">
        <f>IFERROR(IF(INDEX('ESG'!$O$10:$O$16,MATCH($F200,'ESG'!$B$10:$B$16,0))="","Cell will autofill based on response",INDEX('ESG'!$O$10:$O$16,MATCH($F200,'ESG'!$B$10:$B$16,0))),"N/A")</f>
        <v/>
      </c>
      <c r="Q200" s="25">
        <f>IFERROR(IF(INDEX('CIOG'!$O$10:$O$13,MATCH($F200,'CIOG'!$B$10:$B$13,0))="","Cell will autofill based on response",INDEX('CIOG'!$O$10:$O$13,MATCH($F200,'CIOG'!$B$10:$B$13,0))),"N/A")</f>
        <v/>
      </c>
      <c r="R200" s="25">
        <f>IFERROR(IF(INDEX('MRE'!$O$10:$O$11,MATCH($F200,'MRE'!$B$10:$B$11,0))="","Cell will autofill based on response",INDEX('MRE'!$O$10:$O$11,MATCH($F200,'MRE'!$B$10:$B$11,0))),"N/A")</f>
        <v/>
      </c>
    </row>
    <row r="201">
      <c r="A201">
        <f>F201&amp;"|"&amp;G201</f>
        <v/>
      </c>
      <c r="B201" s="29" t="inlineStr"/>
      <c r="C201" s="8" t="inlineStr"/>
      <c r="D201" s="8" t="inlineStr"/>
      <c r="E201" s="8" t="inlineStr"/>
      <c r="F201" s="8" t="inlineStr">
        <is>
          <t>AI1(b)</t>
        </is>
      </c>
      <c r="G201" s="8" t="inlineStr">
        <is>
          <t>Data source and limitations</t>
        </is>
      </c>
      <c r="H201" s="25">
        <f>IFERROR(IF(INDEX('Faculties'!$P$10:$P$29,MATCH($F201,'Faculties'!$B$10:$B$29,0))="","Cell will autofill based on response",INDEX('Faculties'!$P$10:$P$29,MATCH($F201,'Faculties'!$B$10:$B$29,0))),"N/A")</f>
        <v/>
      </c>
      <c r="I201" s="25">
        <f>IFERROR(IF(INDEX('Faculties'!$P$37:$P$56,MATCH($F201,'Faculties'!$B$37:$B$56,0))="","Cell will autofill based on response",INDEX('Faculties'!$P$37:$P$56,MATCH($F201,'Faculties'!$B$37:$B$56,0))),"N/A")</f>
        <v/>
      </c>
      <c r="J201" s="25">
        <f>IFERROR(IF(INDEX('Faculties'!$P$64:$P$83,MATCH($F201,'Faculties'!$B$64:$B$83,0))="","Cell will autofill based on response",INDEX('Faculties'!$P$64:$P$83,MATCH($F201,'Faculties'!$B$64:$B$83,0))),"N/A")</f>
        <v/>
      </c>
      <c r="K201" s="25">
        <f>IFERROR(IF(INDEX('Faculties'!$P$91:$P$110,MATCH($F201,'Faculties'!$B$91:$B$110,0))="","Cell will autofill based on response",INDEX('Faculties'!$P$91:$P$110,MATCH($F201,'Faculties'!$B$91:$B$110,0))),"N/A")</f>
        <v/>
      </c>
      <c r="L201" s="25">
        <f>IFERROR(IF(INDEX('CI&amp;S'!$P$10:$P$14,MATCH($F201,'CI&amp;S'!$B$10:$B$14,0))="","Cell will autofill based on response",INDEX('CI&amp;S'!$P$10:$P$14,MATCH($F201,'CI&amp;S'!$B$10:$B$14,0))),"N/A")</f>
        <v/>
      </c>
      <c r="M201" s="25">
        <f>IFERROR(IF(INDEX('CI&amp;S'!$P$22:$P$38,MATCH($F201,'CI&amp;S'!$B$22:$B$38,0))="","Cell will autofill based on response",INDEX('CI&amp;S'!$P$22:$P$38,MATCH($F201,'CI&amp;S'!$B$22:$B$38,0))),"N/A")</f>
        <v/>
      </c>
      <c r="N201" s="25">
        <f>IFERROR(IF(INDEX('CFOG'!$P$10:$P$15,MATCH($F201,'CFOG'!$B$10:$B$15,0))="","Cell will autofill based on response",INDEX('CFOG'!$P$10:$P$15,MATCH($F201,'CFOG'!$B$10:$B$15,0))),"N/A")</f>
        <v/>
      </c>
      <c r="O201" s="25">
        <f>IFERROR(IF(INDEX('CFOG'!$P$23:$P$23,MATCH($F201,'CFOG'!$B$23:$B$23,0))="","Cell will autofill based on response",INDEX('CFOG'!$P$23:$P$23,MATCH($F201,'CFOG'!$B$23:$B$23,0))),"N/A")</f>
        <v/>
      </c>
      <c r="P201" s="25">
        <f>IFERROR(IF(INDEX('ESG'!$P$10:$P$16,MATCH($F201,'ESG'!$B$10:$B$16,0))="","Cell will autofill based on response",INDEX('ESG'!$P$10:$P$16,MATCH($F201,'ESG'!$B$10:$B$16,0))),"N/A")</f>
        <v/>
      </c>
      <c r="Q201" s="25">
        <f>IFERROR(IF(INDEX('CIOG'!$P$10:$P$13,MATCH($F201,'CIOG'!$B$10:$B$13,0))="","Cell will autofill based on response",INDEX('CIOG'!$P$10:$P$13,MATCH($F201,'CIOG'!$B$10:$B$13,0))),"N/A")</f>
        <v/>
      </c>
      <c r="R201" s="25">
        <f>IFERROR(IF(INDEX('MRE'!$P$10:$P$11,MATCH($F201,'MRE'!$B$10:$B$11,0))="","Cell will autofill based on response",INDEX('MRE'!$P$10:$P$11,MATCH($F201,'MRE'!$B$10:$B$11,0))),"N/A")</f>
        <v/>
      </c>
    </row>
    <row r="202">
      <c r="A202">
        <f>F202&amp;"|"&amp;G202</f>
        <v/>
      </c>
      <c r="B202" s="29" t="inlineStr"/>
      <c r="C202" s="8" t="inlineStr"/>
      <c r="D202" s="8" t="inlineStr"/>
      <c r="E202" s="8" t="inlineStr"/>
      <c r="F202" s="8" t="inlineStr">
        <is>
          <t>AI1(b)</t>
        </is>
      </c>
      <c r="G202" s="8" t="inlineStr">
        <is>
          <t>Data owner confirms</t>
        </is>
      </c>
      <c r="H202" s="25">
        <f>IFERROR(IF(INDEX('Faculties'!$Q$10:$Q$29,MATCH($F202,'Faculties'!$B$10:$B$29,0))="","Cell will autofill based on response",INDEX('Faculties'!$Q$10:$Q$29,MATCH($F202,'Faculties'!$B$10:$B$29,0))),"N/A")</f>
        <v/>
      </c>
      <c r="I202" s="25">
        <f>IFERROR(IF(INDEX('Faculties'!$Q$37:$Q$56,MATCH($F202,'Faculties'!$B$37:$B$56,0))="","Cell will autofill based on response",INDEX('Faculties'!$Q$37:$Q$56,MATCH($F202,'Faculties'!$B$37:$B$56,0))),"N/A")</f>
        <v/>
      </c>
      <c r="J202" s="25">
        <f>IFERROR(IF(INDEX('Faculties'!$Q$64:$Q$83,MATCH($F202,'Faculties'!$B$64:$B$83,0))="","Cell will autofill based on response",INDEX('Faculties'!$Q$64:$Q$83,MATCH($F202,'Faculties'!$B$64:$B$83,0))),"N/A")</f>
        <v/>
      </c>
      <c r="K202" s="25">
        <f>IFERROR(IF(INDEX('Faculties'!$Q$91:$Q$110,MATCH($F202,'Faculties'!$B$91:$B$110,0))="","Cell will autofill based on response",INDEX('Faculties'!$Q$91:$Q$110,MATCH($F202,'Faculties'!$B$91:$B$110,0))),"N/A")</f>
        <v/>
      </c>
      <c r="L202" s="25">
        <f>IFERROR(IF(INDEX('CI&amp;S'!$Q$10:$Q$14,MATCH($F202,'CI&amp;S'!$B$10:$B$14,0))="","Cell will autofill based on response",INDEX('CI&amp;S'!$Q$10:$Q$14,MATCH($F202,'CI&amp;S'!$B$10:$B$14,0))),"N/A")</f>
        <v/>
      </c>
      <c r="M202" s="25">
        <f>IFERROR(IF(INDEX('CI&amp;S'!$Q$22:$Q$38,MATCH($F202,'CI&amp;S'!$B$22:$B$38,0))="","Cell will autofill based on response",INDEX('CI&amp;S'!$Q$22:$Q$38,MATCH($F202,'CI&amp;S'!$B$22:$B$38,0))),"N/A")</f>
        <v/>
      </c>
      <c r="N202" s="25">
        <f>IFERROR(IF(INDEX('CFOG'!$Q$10:$Q$15,MATCH($F202,'CFOG'!$B$10:$B$15,0))="","Cell will autofill based on response",INDEX('CFOG'!$Q$10:$Q$15,MATCH($F202,'CFOG'!$B$10:$B$15,0))),"N/A")</f>
        <v/>
      </c>
      <c r="O202" s="25">
        <f>IFERROR(IF(INDEX('CFOG'!$Q$23:$Q$23,MATCH($F202,'CFOG'!$B$23:$B$23,0))="","Cell will autofill based on response",INDEX('CFOG'!$Q$23:$Q$23,MATCH($F202,'CFOG'!$B$23:$B$23,0))),"N/A")</f>
        <v/>
      </c>
      <c r="P202" s="25">
        <f>IFERROR(IF(INDEX('ESG'!$Q$10:$Q$16,MATCH($F202,'ESG'!$B$10:$B$16,0))="","Cell will autofill based on response",INDEX('ESG'!$Q$10:$Q$16,MATCH($F202,'ESG'!$B$10:$B$16,0))),"N/A")</f>
        <v/>
      </c>
      <c r="Q202" s="25">
        <f>IFERROR(IF(INDEX('CIOG'!$Q$10:$Q$13,MATCH($F202,'CIOG'!$B$10:$B$13,0))="","Cell will autofill based on response",INDEX('CIOG'!$Q$10:$Q$13,MATCH($F202,'CIOG'!$B$10:$B$13,0))),"N/A")</f>
        <v/>
      </c>
      <c r="R202" s="25">
        <f>IFERROR(IF(INDEX('MRE'!$Q$10:$Q$11,MATCH($F202,'MRE'!$B$10:$B$11,0))="","Cell will autofill based on response",INDEX('MRE'!$Q$10:$Q$11,MATCH($F202,'MRE'!$B$10:$B$11,0))),"N/A")</f>
        <v/>
      </c>
    </row>
    <row r="203">
      <c r="A203">
        <f>F203&amp;"|"&amp;G203</f>
        <v/>
      </c>
      <c r="B203" s="7" t="inlineStr">
        <is>
          <t>EI1(a)</t>
        </is>
      </c>
      <c r="C203" s="12" t="inlineStr">
        <is>
          <t>Estate and infrastructure</t>
        </is>
      </c>
      <c r="D203" s="12" t="inlineStr">
        <is>
          <t>Evidence of increased maturity of estate and infrastructure planning, development and operations to support the other priority areas in Sustainability 2030</t>
        </is>
      </c>
      <c r="E203" s="12"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203" s="12" t="inlineStr">
        <is>
          <t>EI1(a)</t>
        </is>
      </c>
      <c r="G203" s="12" t="inlineStr">
        <is>
          <t>Confirm end-2026 target status</t>
        </is>
      </c>
      <c r="H203" s="25">
        <f>IFERROR(IF(INDEX('Faculties'!$L$10:$L$29,MATCH($F203,'Faculties'!$B$10:$B$29,0))="","Cell will autofill based on response",INDEX('Faculties'!$L$10:$L$29,MATCH($F203,'Faculties'!$B$10:$B$29,0))),"N/A")</f>
        <v/>
      </c>
      <c r="I203" s="25">
        <f>IFERROR(IF(INDEX('Faculties'!$L$37:$L$56,MATCH($F203,'Faculties'!$B$37:$B$56,0))="","Cell will autofill based on response",INDEX('Faculties'!$L$37:$L$56,MATCH($F203,'Faculties'!$B$37:$B$56,0))),"N/A")</f>
        <v/>
      </c>
      <c r="J203" s="25">
        <f>IFERROR(IF(INDEX('Faculties'!$L$64:$L$83,MATCH($F203,'Faculties'!$B$64:$B$83,0))="","Cell will autofill based on response",INDEX('Faculties'!$L$64:$L$83,MATCH($F203,'Faculties'!$B$64:$B$83,0))),"N/A")</f>
        <v/>
      </c>
      <c r="K203" s="25">
        <f>IFERROR(IF(INDEX('Faculties'!$L$91:$L$110,MATCH($F203,'Faculties'!$B$91:$B$110,0))="","Cell will autofill based on response",INDEX('Faculties'!$L$91:$L$110,MATCH($F203,'Faculties'!$B$91:$B$110,0))),"N/A")</f>
        <v/>
      </c>
      <c r="L203" s="25">
        <f>IFERROR(IF(INDEX('CI&amp;S'!$L$10:$L$14,MATCH($F203,'CI&amp;S'!$B$10:$B$14,0))="","Cell will autofill based on response",INDEX('CI&amp;S'!$L$10:$L$14,MATCH($F203,'CI&amp;S'!$B$10:$B$14,0))),"N/A")</f>
        <v/>
      </c>
      <c r="M203" s="25">
        <f>IFERROR(IF(INDEX('CI&amp;S'!$L$22:$L$38,MATCH($F203,'CI&amp;S'!$B$22:$B$38,0))="","Cell will autofill based on response",INDEX('CI&amp;S'!$L$22:$L$38,MATCH($F203,'CI&amp;S'!$B$22:$B$38,0))),"N/A")</f>
        <v/>
      </c>
      <c r="N203" s="25">
        <f>IFERROR(IF(INDEX('CFOG'!$L$10:$L$15,MATCH($F203,'CFOG'!$B$10:$B$15,0))="","Cell will autofill based on response",INDEX('CFOG'!$L$10:$L$15,MATCH($F203,'CFOG'!$B$10:$B$15,0))),"N/A")</f>
        <v/>
      </c>
      <c r="O203" s="25">
        <f>IFERROR(IF(INDEX('CFOG'!$L$23:$L$23,MATCH($F203,'CFOG'!$B$23:$B$23,0))="","Cell will autofill based on response",INDEX('CFOG'!$L$23:$L$23,MATCH($F203,'CFOG'!$B$23:$B$23,0))),"N/A")</f>
        <v/>
      </c>
      <c r="P203" s="25">
        <f>IFERROR(IF(INDEX('ESG'!$L$10:$L$16,MATCH($F203,'ESG'!$B$10:$B$16,0))="","Cell will autofill based on response",INDEX('ESG'!$L$10:$L$16,MATCH($F203,'ESG'!$B$10:$B$16,0))),"N/A")</f>
        <v/>
      </c>
      <c r="Q203" s="25">
        <f>IFERROR(IF(INDEX('CIOG'!$L$10:$L$13,MATCH($F203,'CIOG'!$B$10:$B$13,0))="","Cell will autofill based on response",INDEX('CIOG'!$L$10:$L$13,MATCH($F203,'CIOG'!$B$10:$B$13,0))),"N/A")</f>
        <v/>
      </c>
      <c r="R203" s="25">
        <f>IFERROR(IF(INDEX('MRE'!$L$10:$L$11,MATCH($F203,'MRE'!$B$10:$B$11,0))="","Cell will autofill based on response",INDEX('MRE'!$L$10:$L$11,MATCH($F203,'MRE'!$B$10:$B$11,0))),"N/A")</f>
        <v/>
      </c>
      <c r="T203" s="26">
        <f>COUNTIF($H203:$R203,"Cell will autofill based on response")</f>
        <v/>
      </c>
      <c r="U203" s="26">
        <f>COUNTIF($H203:$R203,"Not yet started")</f>
        <v/>
      </c>
      <c r="V203" s="26">
        <f>COUNTIF($H203:$R203,"Not met")</f>
        <v/>
      </c>
      <c r="W203" s="26">
        <f>COUNTIF($H203:$R203,"Partially met")</f>
        <v/>
      </c>
      <c r="X203" s="26">
        <f>COUNTIF($H203:$R203,"Met or exceeded")</f>
        <v/>
      </c>
      <c r="Y203" s="26">
        <f>3*X203+2*W203+V203</f>
        <v/>
      </c>
      <c r="Z203" s="26">
        <f>X203+W203+V203+U203</f>
        <v/>
      </c>
      <c r="AA203" s="27">
        <f>IF(Z203&gt;0,Y203/Z203,"No valid responses to date")</f>
        <v/>
      </c>
      <c r="AB203" s="26">
        <f>IF(ISNUMBER(AA203),INDEX(Lists!$G$2:$G$5,MATCH(ROUND(AA203,0),Lists!$H$2:$H$5,0)),"")</f>
        <v/>
      </c>
      <c r="AC203" s="28">
        <f>IF(Z203&gt;0,X203/Z203,"")</f>
        <v/>
      </c>
      <c r="AD203" s="28">
        <f>IF(Z203&gt;0,(X203+W203)/Z203,"")</f>
        <v/>
      </c>
      <c r="AE203" s="26">
        <f>IF(Z203=0,"",IF(AC203&gt;0.75,"Met or exceeded",IF(AD203&gt;=0.5,"Partially met","Not met")))</f>
        <v/>
      </c>
    </row>
    <row r="204">
      <c r="A204">
        <f>F204&amp;"|"&amp;G204</f>
        <v/>
      </c>
      <c r="B204" s="29" t="inlineStr"/>
      <c r="C204" s="8" t="inlineStr"/>
      <c r="D204" s="8" t="inlineStr"/>
      <c r="E204" s="8" t="inlineStr"/>
      <c r="F204" s="8" t="inlineStr">
        <is>
          <t>EI1(a)</t>
        </is>
      </c>
      <c r="G204" s="8" t="inlineStr">
        <is>
          <t>OPTION 1:  Target-level reporting</t>
        </is>
      </c>
      <c r="H204" s="25">
        <f>IFERROR(IF(INDEX('Faculties'!$M$10:$M$29,MATCH($F204,'Faculties'!$B$10:$B$29,0))="","Cell will autofill based on response",INDEX('Faculties'!$M$10:$M$29,MATCH($F204,'Faculties'!$B$10:$B$29,0))),"N/A")</f>
        <v/>
      </c>
      <c r="I204" s="25">
        <f>IFERROR(IF(INDEX('Faculties'!$M$37:$M$56,MATCH($F204,'Faculties'!$B$37:$B$56,0))="","Cell will autofill based on response",INDEX('Faculties'!$M$37:$M$56,MATCH($F204,'Faculties'!$B$37:$B$56,0))),"N/A")</f>
        <v/>
      </c>
      <c r="J204" s="25">
        <f>IFERROR(IF(INDEX('Faculties'!$M$64:$M$83,MATCH($F204,'Faculties'!$B$64:$B$83,0))="","Cell will autofill based on response",INDEX('Faculties'!$M$64:$M$83,MATCH($F204,'Faculties'!$B$64:$B$83,0))),"N/A")</f>
        <v/>
      </c>
      <c r="K204" s="25">
        <f>IFERROR(IF(INDEX('Faculties'!$M$91:$M$110,MATCH($F204,'Faculties'!$B$91:$B$110,0))="","Cell will autofill based on response",INDEX('Faculties'!$M$91:$M$110,MATCH($F204,'Faculties'!$B$91:$B$110,0))),"N/A")</f>
        <v/>
      </c>
      <c r="L204" s="25">
        <f>IFERROR(IF(INDEX('CI&amp;S'!$M$10:$M$14,MATCH($F204,'CI&amp;S'!$B$10:$B$14,0))="","Cell will autofill based on response",INDEX('CI&amp;S'!$M$10:$M$14,MATCH($F204,'CI&amp;S'!$B$10:$B$14,0))),"N/A")</f>
        <v/>
      </c>
      <c r="M204" s="25">
        <f>IFERROR(IF(INDEX('CI&amp;S'!$M$22:$M$38,MATCH($F204,'CI&amp;S'!$B$22:$B$38,0))="","Cell will autofill based on response",INDEX('CI&amp;S'!$M$22:$M$38,MATCH($F204,'CI&amp;S'!$B$22:$B$38,0))),"N/A")</f>
        <v/>
      </c>
      <c r="N204" s="25">
        <f>IFERROR(IF(INDEX('CFOG'!$M$10:$M$15,MATCH($F204,'CFOG'!$B$10:$B$15,0))="","Cell will autofill based on response",INDEX('CFOG'!$M$10:$M$15,MATCH($F204,'CFOG'!$B$10:$B$15,0))),"N/A")</f>
        <v/>
      </c>
      <c r="O204" s="25">
        <f>IFERROR(IF(INDEX('CFOG'!$M$23:$M$23,MATCH($F204,'CFOG'!$B$23:$B$23,0))="","Cell will autofill based on response",INDEX('CFOG'!$M$23:$M$23,MATCH($F204,'CFOG'!$B$23:$B$23,0))),"N/A")</f>
        <v/>
      </c>
      <c r="P204" s="25">
        <f>IFERROR(IF(INDEX('ESG'!$M$10:$M$16,MATCH($F204,'ESG'!$B$10:$B$16,0))="","Cell will autofill based on response",INDEX('ESG'!$M$10:$M$16,MATCH($F204,'ESG'!$B$10:$B$16,0))),"N/A")</f>
        <v/>
      </c>
      <c r="Q204" s="25">
        <f>IFERROR(IF(INDEX('CIOG'!$M$10:$M$13,MATCH($F204,'CIOG'!$B$10:$B$13,0))="","Cell will autofill based on response",INDEX('CIOG'!$M$10:$M$13,MATCH($F204,'CIOG'!$B$10:$B$13,0))),"N/A")</f>
        <v/>
      </c>
      <c r="R204" s="25">
        <f>IFERROR(IF(INDEX('MRE'!$M$10:$M$11,MATCH($F204,'MRE'!$B$10:$B$11,0))="","Cell will autofill based on response",INDEX('MRE'!$M$10:$M$11,MATCH($F204,'MRE'!$B$10:$B$11,0))),"N/A")</f>
        <v/>
      </c>
    </row>
    <row r="205">
      <c r="A205">
        <f>F205&amp;"|"&amp;G205</f>
        <v/>
      </c>
      <c r="B205" s="29" t="inlineStr"/>
      <c r="C205" s="8" t="inlineStr"/>
      <c r="D205" s="8" t="inlineStr"/>
      <c r="E205" s="8" t="inlineStr"/>
      <c r="F205" s="8" t="inlineStr">
        <is>
          <t>EI1(a)</t>
        </is>
      </c>
      <c r="G205" s="8" t="inlineStr">
        <is>
          <t>OPTION 2:  Indicator level reporting</t>
        </is>
      </c>
      <c r="H205" s="25">
        <f>IFERROR(IF(INDEX('Faculties'!$N$10:$N$29,MATCH($F205,'Faculties'!$B$10:$B$29,0))="","Cell will autofill based on response",INDEX('Faculties'!$N$10:$N$29,MATCH($F205,'Faculties'!$B$10:$B$29,0))),"N/A")</f>
        <v/>
      </c>
      <c r="I205" s="25">
        <f>IFERROR(IF(INDEX('Faculties'!$N$37:$N$56,MATCH($F205,'Faculties'!$B$37:$B$56,0))="","Cell will autofill based on response",INDEX('Faculties'!$N$37:$N$56,MATCH($F205,'Faculties'!$B$37:$B$56,0))),"N/A")</f>
        <v/>
      </c>
      <c r="J205" s="25">
        <f>IFERROR(IF(INDEX('Faculties'!$N$64:$N$83,MATCH($F205,'Faculties'!$B$64:$B$83,0))="","Cell will autofill based on response",INDEX('Faculties'!$N$64:$N$83,MATCH($F205,'Faculties'!$B$64:$B$83,0))),"N/A")</f>
        <v/>
      </c>
      <c r="K205" s="25">
        <f>IFERROR(IF(INDEX('Faculties'!$N$91:$N$110,MATCH($F205,'Faculties'!$B$91:$B$110,0))="","Cell will autofill based on response",INDEX('Faculties'!$N$91:$N$110,MATCH($F205,'Faculties'!$B$91:$B$110,0))),"N/A")</f>
        <v/>
      </c>
      <c r="L205" s="25">
        <f>IFERROR(IF(INDEX('CI&amp;S'!$N$10:$N$14,MATCH($F205,'CI&amp;S'!$B$10:$B$14,0))="","Cell will autofill based on response",INDEX('CI&amp;S'!$N$10:$N$14,MATCH($F205,'CI&amp;S'!$B$10:$B$14,0))),"N/A")</f>
        <v/>
      </c>
      <c r="M205" s="25">
        <f>IFERROR(IF(INDEX('CI&amp;S'!$N$22:$N$38,MATCH($F205,'CI&amp;S'!$B$22:$B$38,0))="","Cell will autofill based on response",INDEX('CI&amp;S'!$N$22:$N$38,MATCH($F205,'CI&amp;S'!$B$22:$B$38,0))),"N/A")</f>
        <v/>
      </c>
      <c r="N205" s="25">
        <f>IFERROR(IF(INDEX('CFOG'!$N$10:$N$15,MATCH($F205,'CFOG'!$B$10:$B$15,0))="","Cell will autofill based on response",INDEX('CFOG'!$N$10:$N$15,MATCH($F205,'CFOG'!$B$10:$B$15,0))),"N/A")</f>
        <v/>
      </c>
      <c r="O205" s="25">
        <f>IFERROR(IF(INDEX('CFOG'!$N$23:$N$23,MATCH($F205,'CFOG'!$B$23:$B$23,0))="","Cell will autofill based on response",INDEX('CFOG'!$N$23:$N$23,MATCH($F205,'CFOG'!$B$23:$B$23,0))),"N/A")</f>
        <v/>
      </c>
      <c r="P205" s="25">
        <f>IFERROR(IF(INDEX('ESG'!$N$10:$N$16,MATCH($F205,'ESG'!$B$10:$B$16,0))="","Cell will autofill based on response",INDEX('ESG'!$N$10:$N$16,MATCH($F205,'ESG'!$B$10:$B$16,0))),"N/A")</f>
        <v/>
      </c>
      <c r="Q205" s="25">
        <f>IFERROR(IF(INDEX('CIOG'!$N$10:$N$13,MATCH($F205,'CIOG'!$B$10:$B$13,0))="","Cell will autofill based on response",INDEX('CIOG'!$N$10:$N$13,MATCH($F205,'CIOG'!$B$10:$B$13,0))),"N/A")</f>
        <v/>
      </c>
      <c r="R205" s="25">
        <f>IFERROR(IF(INDEX('MRE'!$N$10:$N$11,MATCH($F205,'MRE'!$B$10:$B$11,0))="","Cell will autofill based on response",INDEX('MRE'!$N$10:$N$11,MATCH($F205,'MRE'!$B$10:$B$11,0))),"N/A")</f>
        <v/>
      </c>
    </row>
    <row r="206">
      <c r="A206">
        <f>F206&amp;"|"&amp;G206</f>
        <v/>
      </c>
      <c r="B206" s="29" t="inlineStr"/>
      <c r="C206" s="8" t="inlineStr"/>
      <c r="D206" s="8" t="inlineStr"/>
      <c r="E206" s="8" t="inlineStr"/>
      <c r="F206" s="8" t="inlineStr">
        <is>
          <t>EI1(a)</t>
        </is>
      </c>
      <c r="G206" s="8" t="inlineStr">
        <is>
          <t>Supporting information/comments</t>
        </is>
      </c>
      <c r="H206" s="25">
        <f>IFERROR(IF(INDEX('Faculties'!$O$10:$O$29,MATCH($F206,'Faculties'!$B$10:$B$29,0))="","Cell will autofill based on response",INDEX('Faculties'!$O$10:$O$29,MATCH($F206,'Faculties'!$B$10:$B$29,0))),"N/A")</f>
        <v/>
      </c>
      <c r="I206" s="25">
        <f>IFERROR(IF(INDEX('Faculties'!$O$37:$O$56,MATCH($F206,'Faculties'!$B$37:$B$56,0))="","Cell will autofill based on response",INDEX('Faculties'!$O$37:$O$56,MATCH($F206,'Faculties'!$B$37:$B$56,0))),"N/A")</f>
        <v/>
      </c>
      <c r="J206" s="25">
        <f>IFERROR(IF(INDEX('Faculties'!$O$64:$O$83,MATCH($F206,'Faculties'!$B$64:$B$83,0))="","Cell will autofill based on response",INDEX('Faculties'!$O$64:$O$83,MATCH($F206,'Faculties'!$B$64:$B$83,0))),"N/A")</f>
        <v/>
      </c>
      <c r="K206" s="25">
        <f>IFERROR(IF(INDEX('Faculties'!$O$91:$O$110,MATCH($F206,'Faculties'!$B$91:$B$110,0))="","Cell will autofill based on response",INDEX('Faculties'!$O$91:$O$110,MATCH($F206,'Faculties'!$B$91:$B$110,0))),"N/A")</f>
        <v/>
      </c>
      <c r="L206" s="25">
        <f>IFERROR(IF(INDEX('CI&amp;S'!$O$10:$O$14,MATCH($F206,'CI&amp;S'!$B$10:$B$14,0))="","Cell will autofill based on response",INDEX('CI&amp;S'!$O$10:$O$14,MATCH($F206,'CI&amp;S'!$B$10:$B$14,0))),"N/A")</f>
        <v/>
      </c>
      <c r="M206" s="25">
        <f>IFERROR(IF(INDEX('CI&amp;S'!$O$22:$O$38,MATCH($F206,'CI&amp;S'!$B$22:$B$38,0))="","Cell will autofill based on response",INDEX('CI&amp;S'!$O$22:$O$38,MATCH($F206,'CI&amp;S'!$B$22:$B$38,0))),"N/A")</f>
        <v/>
      </c>
      <c r="N206" s="25">
        <f>IFERROR(IF(INDEX('CFOG'!$O$10:$O$15,MATCH($F206,'CFOG'!$B$10:$B$15,0))="","Cell will autofill based on response",INDEX('CFOG'!$O$10:$O$15,MATCH($F206,'CFOG'!$B$10:$B$15,0))),"N/A")</f>
        <v/>
      </c>
      <c r="O206" s="25">
        <f>IFERROR(IF(INDEX('CFOG'!$O$23:$O$23,MATCH($F206,'CFOG'!$B$23:$B$23,0))="","Cell will autofill based on response",INDEX('CFOG'!$O$23:$O$23,MATCH($F206,'CFOG'!$B$23:$B$23,0))),"N/A")</f>
        <v/>
      </c>
      <c r="P206" s="25">
        <f>IFERROR(IF(INDEX('ESG'!$O$10:$O$16,MATCH($F206,'ESG'!$B$10:$B$16,0))="","Cell will autofill based on response",INDEX('ESG'!$O$10:$O$16,MATCH($F206,'ESG'!$B$10:$B$16,0))),"N/A")</f>
        <v/>
      </c>
      <c r="Q206" s="25">
        <f>IFERROR(IF(INDEX('CIOG'!$O$10:$O$13,MATCH($F206,'CIOG'!$B$10:$B$13,0))="","Cell will autofill based on response",INDEX('CIOG'!$O$10:$O$13,MATCH($F206,'CIOG'!$B$10:$B$13,0))),"N/A")</f>
        <v/>
      </c>
      <c r="R206" s="25">
        <f>IFERROR(IF(INDEX('MRE'!$O$10:$O$11,MATCH($F206,'MRE'!$B$10:$B$11,0))="","Cell will autofill based on response",INDEX('MRE'!$O$10:$O$11,MATCH($F206,'MRE'!$B$10:$B$11,0))),"N/A")</f>
        <v/>
      </c>
    </row>
    <row r="207">
      <c r="A207">
        <f>F207&amp;"|"&amp;G207</f>
        <v/>
      </c>
      <c r="B207" s="29" t="inlineStr"/>
      <c r="C207" s="8" t="inlineStr"/>
      <c r="D207" s="8" t="inlineStr"/>
      <c r="E207" s="8" t="inlineStr"/>
      <c r="F207" s="8" t="inlineStr">
        <is>
          <t>EI1(a)</t>
        </is>
      </c>
      <c r="G207" s="8" t="inlineStr">
        <is>
          <t>Data source and limitations</t>
        </is>
      </c>
      <c r="H207" s="25">
        <f>IFERROR(IF(INDEX('Faculties'!$P$10:$P$29,MATCH($F207,'Faculties'!$B$10:$B$29,0))="","Cell will autofill based on response",INDEX('Faculties'!$P$10:$P$29,MATCH($F207,'Faculties'!$B$10:$B$29,0))),"N/A")</f>
        <v/>
      </c>
      <c r="I207" s="25">
        <f>IFERROR(IF(INDEX('Faculties'!$P$37:$P$56,MATCH($F207,'Faculties'!$B$37:$B$56,0))="","Cell will autofill based on response",INDEX('Faculties'!$P$37:$P$56,MATCH($F207,'Faculties'!$B$37:$B$56,0))),"N/A")</f>
        <v/>
      </c>
      <c r="J207" s="25">
        <f>IFERROR(IF(INDEX('Faculties'!$P$64:$P$83,MATCH($F207,'Faculties'!$B$64:$B$83,0))="","Cell will autofill based on response",INDEX('Faculties'!$P$64:$P$83,MATCH($F207,'Faculties'!$B$64:$B$83,0))),"N/A")</f>
        <v/>
      </c>
      <c r="K207" s="25">
        <f>IFERROR(IF(INDEX('Faculties'!$P$91:$P$110,MATCH($F207,'Faculties'!$B$91:$B$110,0))="","Cell will autofill based on response",INDEX('Faculties'!$P$91:$P$110,MATCH($F207,'Faculties'!$B$91:$B$110,0))),"N/A")</f>
        <v/>
      </c>
      <c r="L207" s="25">
        <f>IFERROR(IF(INDEX('CI&amp;S'!$P$10:$P$14,MATCH($F207,'CI&amp;S'!$B$10:$B$14,0))="","Cell will autofill based on response",INDEX('CI&amp;S'!$P$10:$P$14,MATCH($F207,'CI&amp;S'!$B$10:$B$14,0))),"N/A")</f>
        <v/>
      </c>
      <c r="M207" s="25">
        <f>IFERROR(IF(INDEX('CI&amp;S'!$P$22:$P$38,MATCH($F207,'CI&amp;S'!$B$22:$B$38,0))="","Cell will autofill based on response",INDEX('CI&amp;S'!$P$22:$P$38,MATCH($F207,'CI&amp;S'!$B$22:$B$38,0))),"N/A")</f>
        <v/>
      </c>
      <c r="N207" s="25">
        <f>IFERROR(IF(INDEX('CFOG'!$P$10:$P$15,MATCH($F207,'CFOG'!$B$10:$B$15,0))="","Cell will autofill based on response",INDEX('CFOG'!$P$10:$P$15,MATCH($F207,'CFOG'!$B$10:$B$15,0))),"N/A")</f>
        <v/>
      </c>
      <c r="O207" s="25">
        <f>IFERROR(IF(INDEX('CFOG'!$P$23:$P$23,MATCH($F207,'CFOG'!$B$23:$B$23,0))="","Cell will autofill based on response",INDEX('CFOG'!$P$23:$P$23,MATCH($F207,'CFOG'!$B$23:$B$23,0))),"N/A")</f>
        <v/>
      </c>
      <c r="P207" s="25">
        <f>IFERROR(IF(INDEX('ESG'!$P$10:$P$16,MATCH($F207,'ESG'!$B$10:$B$16,0))="","Cell will autofill based on response",INDEX('ESG'!$P$10:$P$16,MATCH($F207,'ESG'!$B$10:$B$16,0))),"N/A")</f>
        <v/>
      </c>
      <c r="Q207" s="25">
        <f>IFERROR(IF(INDEX('CIOG'!$P$10:$P$13,MATCH($F207,'CIOG'!$B$10:$B$13,0))="","Cell will autofill based on response",INDEX('CIOG'!$P$10:$P$13,MATCH($F207,'CIOG'!$B$10:$B$13,0))),"N/A")</f>
        <v/>
      </c>
      <c r="R207" s="25">
        <f>IFERROR(IF(INDEX('MRE'!$P$10:$P$11,MATCH($F207,'MRE'!$B$10:$B$11,0))="","Cell will autofill based on response",INDEX('MRE'!$P$10:$P$11,MATCH($F207,'MRE'!$B$10:$B$11,0))),"N/A")</f>
        <v/>
      </c>
    </row>
    <row r="208">
      <c r="A208">
        <f>F208&amp;"|"&amp;G208</f>
        <v/>
      </c>
      <c r="B208" s="29" t="inlineStr"/>
      <c r="C208" s="8" t="inlineStr"/>
      <c r="D208" s="8" t="inlineStr"/>
      <c r="E208" s="8" t="inlineStr"/>
      <c r="F208" s="8" t="inlineStr">
        <is>
          <t>EI1(a)</t>
        </is>
      </c>
      <c r="G208" s="8" t="inlineStr">
        <is>
          <t>Data owner confirms</t>
        </is>
      </c>
      <c r="H208" s="25">
        <f>IFERROR(IF(INDEX('Faculties'!$Q$10:$Q$29,MATCH($F208,'Faculties'!$B$10:$B$29,0))="","Cell will autofill based on response",INDEX('Faculties'!$Q$10:$Q$29,MATCH($F208,'Faculties'!$B$10:$B$29,0))),"N/A")</f>
        <v/>
      </c>
      <c r="I208" s="25">
        <f>IFERROR(IF(INDEX('Faculties'!$Q$37:$Q$56,MATCH($F208,'Faculties'!$B$37:$B$56,0))="","Cell will autofill based on response",INDEX('Faculties'!$Q$37:$Q$56,MATCH($F208,'Faculties'!$B$37:$B$56,0))),"N/A")</f>
        <v/>
      </c>
      <c r="J208" s="25">
        <f>IFERROR(IF(INDEX('Faculties'!$Q$64:$Q$83,MATCH($F208,'Faculties'!$B$64:$B$83,0))="","Cell will autofill based on response",INDEX('Faculties'!$Q$64:$Q$83,MATCH($F208,'Faculties'!$B$64:$B$83,0))),"N/A")</f>
        <v/>
      </c>
      <c r="K208" s="25">
        <f>IFERROR(IF(INDEX('Faculties'!$Q$91:$Q$110,MATCH($F208,'Faculties'!$B$91:$B$110,0))="","Cell will autofill based on response",INDEX('Faculties'!$Q$91:$Q$110,MATCH($F208,'Faculties'!$B$91:$B$110,0))),"N/A")</f>
        <v/>
      </c>
      <c r="L208" s="25">
        <f>IFERROR(IF(INDEX('CI&amp;S'!$Q$10:$Q$14,MATCH($F208,'CI&amp;S'!$B$10:$B$14,0))="","Cell will autofill based on response",INDEX('CI&amp;S'!$Q$10:$Q$14,MATCH($F208,'CI&amp;S'!$B$10:$B$14,0))),"N/A")</f>
        <v/>
      </c>
      <c r="M208" s="25">
        <f>IFERROR(IF(INDEX('CI&amp;S'!$Q$22:$Q$38,MATCH($F208,'CI&amp;S'!$B$22:$B$38,0))="","Cell will autofill based on response",INDEX('CI&amp;S'!$Q$22:$Q$38,MATCH($F208,'CI&amp;S'!$B$22:$B$38,0))),"N/A")</f>
        <v/>
      </c>
      <c r="N208" s="25">
        <f>IFERROR(IF(INDEX('CFOG'!$Q$10:$Q$15,MATCH($F208,'CFOG'!$B$10:$B$15,0))="","Cell will autofill based on response",INDEX('CFOG'!$Q$10:$Q$15,MATCH($F208,'CFOG'!$B$10:$B$15,0))),"N/A")</f>
        <v/>
      </c>
      <c r="O208" s="25">
        <f>IFERROR(IF(INDEX('CFOG'!$Q$23:$Q$23,MATCH($F208,'CFOG'!$B$23:$B$23,0))="","Cell will autofill based on response",INDEX('CFOG'!$Q$23:$Q$23,MATCH($F208,'CFOG'!$B$23:$B$23,0))),"N/A")</f>
        <v/>
      </c>
      <c r="P208" s="25">
        <f>IFERROR(IF(INDEX('ESG'!$Q$10:$Q$16,MATCH($F208,'ESG'!$B$10:$B$16,0))="","Cell will autofill based on response",INDEX('ESG'!$Q$10:$Q$16,MATCH($F208,'ESG'!$B$10:$B$16,0))),"N/A")</f>
        <v/>
      </c>
      <c r="Q208" s="25">
        <f>IFERROR(IF(INDEX('CIOG'!$Q$10:$Q$13,MATCH($F208,'CIOG'!$B$10:$B$13,0))="","Cell will autofill based on response",INDEX('CIOG'!$Q$10:$Q$13,MATCH($F208,'CIOG'!$B$10:$B$13,0))),"N/A")</f>
        <v/>
      </c>
      <c r="R208" s="25">
        <f>IFERROR(IF(INDEX('MRE'!$Q$10:$Q$11,MATCH($F208,'MRE'!$B$10:$B$11,0))="","Cell will autofill based on response",INDEX('MRE'!$Q$10:$Q$11,MATCH($F208,'MRE'!$B$10:$B$11,0))),"N/A")</f>
        <v/>
      </c>
    </row>
    <row r="209">
      <c r="A209">
        <f>F209&amp;"|"&amp;G209</f>
        <v/>
      </c>
      <c r="B209" s="7" t="inlineStr">
        <is>
          <t>EI1(b)</t>
        </is>
      </c>
      <c r="C209" s="12" t="inlineStr">
        <is>
          <t>Estate and infrastructure</t>
        </is>
      </c>
      <c r="D209" s="12" t="inlineStr">
        <is>
          <t>Estimated sustainability impacts of the University’s estate and infrastructure capital plan to inform progress towards emissions reduction targets and other priority areas (to the extent enabled by available information)</t>
        </is>
      </c>
      <c r="E209" s="12"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209" s="12" t="inlineStr">
        <is>
          <t>EI1(b)</t>
        </is>
      </c>
      <c r="G209" s="12" t="inlineStr">
        <is>
          <t>Confirm end-2026 target status</t>
        </is>
      </c>
      <c r="H209" s="25">
        <f>IFERROR(IF(INDEX('Faculties'!$L$10:$L$29,MATCH($F209,'Faculties'!$B$10:$B$29,0))="","Cell will autofill based on response",INDEX('Faculties'!$L$10:$L$29,MATCH($F209,'Faculties'!$B$10:$B$29,0))),"N/A")</f>
        <v/>
      </c>
      <c r="I209" s="25">
        <f>IFERROR(IF(INDEX('Faculties'!$L$37:$L$56,MATCH($F209,'Faculties'!$B$37:$B$56,0))="","Cell will autofill based on response",INDEX('Faculties'!$L$37:$L$56,MATCH($F209,'Faculties'!$B$37:$B$56,0))),"N/A")</f>
        <v/>
      </c>
      <c r="J209" s="25">
        <f>IFERROR(IF(INDEX('Faculties'!$L$64:$L$83,MATCH($F209,'Faculties'!$B$64:$B$83,0))="","Cell will autofill based on response",INDEX('Faculties'!$L$64:$L$83,MATCH($F209,'Faculties'!$B$64:$B$83,0))),"N/A")</f>
        <v/>
      </c>
      <c r="K209" s="25">
        <f>IFERROR(IF(INDEX('Faculties'!$L$91:$L$110,MATCH($F209,'Faculties'!$B$91:$B$110,0))="","Cell will autofill based on response",INDEX('Faculties'!$L$91:$L$110,MATCH($F209,'Faculties'!$B$91:$B$110,0))),"N/A")</f>
        <v/>
      </c>
      <c r="L209" s="25">
        <f>IFERROR(IF(INDEX('CI&amp;S'!$L$10:$L$14,MATCH($F209,'CI&amp;S'!$B$10:$B$14,0))="","Cell will autofill based on response",INDEX('CI&amp;S'!$L$10:$L$14,MATCH($F209,'CI&amp;S'!$B$10:$B$14,0))),"N/A")</f>
        <v/>
      </c>
      <c r="M209" s="25">
        <f>IFERROR(IF(INDEX('CI&amp;S'!$L$22:$L$38,MATCH($F209,'CI&amp;S'!$B$22:$B$38,0))="","Cell will autofill based on response",INDEX('CI&amp;S'!$L$22:$L$38,MATCH($F209,'CI&amp;S'!$B$22:$B$38,0))),"N/A")</f>
        <v/>
      </c>
      <c r="N209" s="25">
        <f>IFERROR(IF(INDEX('CFOG'!$L$10:$L$15,MATCH($F209,'CFOG'!$B$10:$B$15,0))="","Cell will autofill based on response",INDEX('CFOG'!$L$10:$L$15,MATCH($F209,'CFOG'!$B$10:$B$15,0))),"N/A")</f>
        <v/>
      </c>
      <c r="O209" s="25">
        <f>IFERROR(IF(INDEX('CFOG'!$L$23:$L$23,MATCH($F209,'CFOG'!$B$23:$B$23,0))="","Cell will autofill based on response",INDEX('CFOG'!$L$23:$L$23,MATCH($F209,'CFOG'!$B$23:$B$23,0))),"N/A")</f>
        <v/>
      </c>
      <c r="P209" s="25">
        <f>IFERROR(IF(INDEX('ESG'!$L$10:$L$16,MATCH($F209,'ESG'!$B$10:$B$16,0))="","Cell will autofill based on response",INDEX('ESG'!$L$10:$L$16,MATCH($F209,'ESG'!$B$10:$B$16,0))),"N/A")</f>
        <v/>
      </c>
      <c r="Q209" s="25">
        <f>IFERROR(IF(INDEX('CIOG'!$L$10:$L$13,MATCH($F209,'CIOG'!$B$10:$B$13,0))="","Cell will autofill based on response",INDEX('CIOG'!$L$10:$L$13,MATCH($F209,'CIOG'!$B$10:$B$13,0))),"N/A")</f>
        <v/>
      </c>
      <c r="R209" s="25">
        <f>IFERROR(IF(INDEX('MRE'!$L$10:$L$11,MATCH($F209,'MRE'!$B$10:$B$11,0))="","Cell will autofill based on response",INDEX('MRE'!$L$10:$L$11,MATCH($F209,'MRE'!$B$10:$B$11,0))),"N/A")</f>
        <v/>
      </c>
      <c r="T209" s="26">
        <f>COUNTIF($H209:$R209,"Cell will autofill based on response")</f>
        <v/>
      </c>
      <c r="U209" s="26">
        <f>COUNTIF($H209:$R209,"Not yet started")</f>
        <v/>
      </c>
      <c r="V209" s="26">
        <f>COUNTIF($H209:$R209,"Not met")</f>
        <v/>
      </c>
      <c r="W209" s="26">
        <f>COUNTIF($H209:$R209,"Partially met")</f>
        <v/>
      </c>
      <c r="X209" s="26">
        <f>COUNTIF($H209:$R209,"Met or exceeded")</f>
        <v/>
      </c>
      <c r="Y209" s="26">
        <f>3*X209+2*W209+V209</f>
        <v/>
      </c>
      <c r="Z209" s="26">
        <f>X209+W209+V209+U209</f>
        <v/>
      </c>
      <c r="AA209" s="27">
        <f>IF(Z209&gt;0,Y209/Z209,"No valid responses to date")</f>
        <v/>
      </c>
      <c r="AB209" s="26">
        <f>IF(ISNUMBER(AA209),INDEX(Lists!$G$2:$G$5,MATCH(ROUND(AA209,0),Lists!$H$2:$H$5,0)),"")</f>
        <v/>
      </c>
      <c r="AC209" s="28">
        <f>IF(Z209&gt;0,X209/Z209,"")</f>
        <v/>
      </c>
      <c r="AD209" s="28">
        <f>IF(Z209&gt;0,(X209+W209)/Z209,"")</f>
        <v/>
      </c>
      <c r="AE209" s="26">
        <f>IF(Z209=0,"",IF(AC209&gt;0.75,"Met or exceeded",IF(AD209&gt;=0.5,"Partially met","Not met")))</f>
        <v/>
      </c>
    </row>
    <row r="210">
      <c r="A210">
        <f>F210&amp;"|"&amp;G210</f>
        <v/>
      </c>
      <c r="B210" s="29" t="inlineStr"/>
      <c r="C210" s="8" t="inlineStr"/>
      <c r="D210" s="8" t="inlineStr"/>
      <c r="E210" s="8" t="inlineStr"/>
      <c r="F210" s="8" t="inlineStr">
        <is>
          <t>EI1(b)</t>
        </is>
      </c>
      <c r="G210" s="8" t="inlineStr">
        <is>
          <t>OPTION 1:  Target-level reporting</t>
        </is>
      </c>
      <c r="H210" s="25">
        <f>IFERROR(IF(INDEX('Faculties'!$M$10:$M$29,MATCH($F210,'Faculties'!$B$10:$B$29,0))="","Cell will autofill based on response",INDEX('Faculties'!$M$10:$M$29,MATCH($F210,'Faculties'!$B$10:$B$29,0))),"N/A")</f>
        <v/>
      </c>
      <c r="I210" s="25">
        <f>IFERROR(IF(INDEX('Faculties'!$M$37:$M$56,MATCH($F210,'Faculties'!$B$37:$B$56,0))="","Cell will autofill based on response",INDEX('Faculties'!$M$37:$M$56,MATCH($F210,'Faculties'!$B$37:$B$56,0))),"N/A")</f>
        <v/>
      </c>
      <c r="J210" s="25">
        <f>IFERROR(IF(INDEX('Faculties'!$M$64:$M$83,MATCH($F210,'Faculties'!$B$64:$B$83,0))="","Cell will autofill based on response",INDEX('Faculties'!$M$64:$M$83,MATCH($F210,'Faculties'!$B$64:$B$83,0))),"N/A")</f>
        <v/>
      </c>
      <c r="K210" s="25">
        <f>IFERROR(IF(INDEX('Faculties'!$M$91:$M$110,MATCH($F210,'Faculties'!$B$91:$B$110,0))="","Cell will autofill based on response",INDEX('Faculties'!$M$91:$M$110,MATCH($F210,'Faculties'!$B$91:$B$110,0))),"N/A")</f>
        <v/>
      </c>
      <c r="L210" s="25">
        <f>IFERROR(IF(INDEX('CI&amp;S'!$M$10:$M$14,MATCH($F210,'CI&amp;S'!$B$10:$B$14,0))="","Cell will autofill based on response",INDEX('CI&amp;S'!$M$10:$M$14,MATCH($F210,'CI&amp;S'!$B$10:$B$14,0))),"N/A")</f>
        <v/>
      </c>
      <c r="M210" s="25">
        <f>IFERROR(IF(INDEX('CI&amp;S'!$M$22:$M$38,MATCH($F210,'CI&amp;S'!$B$22:$B$38,0))="","Cell will autofill based on response",INDEX('CI&amp;S'!$M$22:$M$38,MATCH($F210,'CI&amp;S'!$B$22:$B$38,0))),"N/A")</f>
        <v/>
      </c>
      <c r="N210" s="25">
        <f>IFERROR(IF(INDEX('CFOG'!$M$10:$M$15,MATCH($F210,'CFOG'!$B$10:$B$15,0))="","Cell will autofill based on response",INDEX('CFOG'!$M$10:$M$15,MATCH($F210,'CFOG'!$B$10:$B$15,0))),"N/A")</f>
        <v/>
      </c>
      <c r="O210" s="25">
        <f>IFERROR(IF(INDEX('CFOG'!$M$23:$M$23,MATCH($F210,'CFOG'!$B$23:$B$23,0))="","Cell will autofill based on response",INDEX('CFOG'!$M$23:$M$23,MATCH($F210,'CFOG'!$B$23:$B$23,0))),"N/A")</f>
        <v/>
      </c>
      <c r="P210" s="25">
        <f>IFERROR(IF(INDEX('ESG'!$M$10:$M$16,MATCH($F210,'ESG'!$B$10:$B$16,0))="","Cell will autofill based on response",INDEX('ESG'!$M$10:$M$16,MATCH($F210,'ESG'!$B$10:$B$16,0))),"N/A")</f>
        <v/>
      </c>
      <c r="Q210" s="25">
        <f>IFERROR(IF(INDEX('CIOG'!$M$10:$M$13,MATCH($F210,'CIOG'!$B$10:$B$13,0))="","Cell will autofill based on response",INDEX('CIOG'!$M$10:$M$13,MATCH($F210,'CIOG'!$B$10:$B$13,0))),"N/A")</f>
        <v/>
      </c>
      <c r="R210" s="25">
        <f>IFERROR(IF(INDEX('MRE'!$M$10:$M$11,MATCH($F210,'MRE'!$B$10:$B$11,0))="","Cell will autofill based on response",INDEX('MRE'!$M$10:$M$11,MATCH($F210,'MRE'!$B$10:$B$11,0))),"N/A")</f>
        <v/>
      </c>
    </row>
    <row r="211">
      <c r="A211">
        <f>F211&amp;"|"&amp;G211</f>
        <v/>
      </c>
      <c r="B211" s="29" t="inlineStr"/>
      <c r="C211" s="8" t="inlineStr"/>
      <c r="D211" s="8" t="inlineStr"/>
      <c r="E211" s="8" t="inlineStr"/>
      <c r="F211" s="8" t="inlineStr">
        <is>
          <t>EI1(b)</t>
        </is>
      </c>
      <c r="G211" s="8" t="inlineStr">
        <is>
          <t>OPTION 2:  Indicator level reporting</t>
        </is>
      </c>
      <c r="H211" s="25">
        <f>IFERROR(IF(INDEX('Faculties'!$N$10:$N$29,MATCH($F211,'Faculties'!$B$10:$B$29,0))="","Cell will autofill based on response",INDEX('Faculties'!$N$10:$N$29,MATCH($F211,'Faculties'!$B$10:$B$29,0))),"N/A")</f>
        <v/>
      </c>
      <c r="I211" s="25">
        <f>IFERROR(IF(INDEX('Faculties'!$N$37:$N$56,MATCH($F211,'Faculties'!$B$37:$B$56,0))="","Cell will autofill based on response",INDEX('Faculties'!$N$37:$N$56,MATCH($F211,'Faculties'!$B$37:$B$56,0))),"N/A")</f>
        <v/>
      </c>
      <c r="J211" s="25">
        <f>IFERROR(IF(INDEX('Faculties'!$N$64:$N$83,MATCH($F211,'Faculties'!$B$64:$B$83,0))="","Cell will autofill based on response",INDEX('Faculties'!$N$64:$N$83,MATCH($F211,'Faculties'!$B$64:$B$83,0))),"N/A")</f>
        <v/>
      </c>
      <c r="K211" s="25">
        <f>IFERROR(IF(INDEX('Faculties'!$N$91:$N$110,MATCH($F211,'Faculties'!$B$91:$B$110,0))="","Cell will autofill based on response",INDEX('Faculties'!$N$91:$N$110,MATCH($F211,'Faculties'!$B$91:$B$110,0))),"N/A")</f>
        <v/>
      </c>
      <c r="L211" s="25">
        <f>IFERROR(IF(INDEX('CI&amp;S'!$N$10:$N$14,MATCH($F211,'CI&amp;S'!$B$10:$B$14,0))="","Cell will autofill based on response",INDEX('CI&amp;S'!$N$10:$N$14,MATCH($F211,'CI&amp;S'!$B$10:$B$14,0))),"N/A")</f>
        <v/>
      </c>
      <c r="M211" s="25">
        <f>IFERROR(IF(INDEX('CI&amp;S'!$N$22:$N$38,MATCH($F211,'CI&amp;S'!$B$22:$B$38,0))="","Cell will autofill based on response",INDEX('CI&amp;S'!$N$22:$N$38,MATCH($F211,'CI&amp;S'!$B$22:$B$38,0))),"N/A")</f>
        <v/>
      </c>
      <c r="N211" s="25">
        <f>IFERROR(IF(INDEX('CFOG'!$N$10:$N$15,MATCH($F211,'CFOG'!$B$10:$B$15,0))="","Cell will autofill based on response",INDEX('CFOG'!$N$10:$N$15,MATCH($F211,'CFOG'!$B$10:$B$15,0))),"N/A")</f>
        <v/>
      </c>
      <c r="O211" s="25">
        <f>IFERROR(IF(INDEX('CFOG'!$N$23:$N$23,MATCH($F211,'CFOG'!$B$23:$B$23,0))="","Cell will autofill based on response",INDEX('CFOG'!$N$23:$N$23,MATCH($F211,'CFOG'!$B$23:$B$23,0))),"N/A")</f>
        <v/>
      </c>
      <c r="P211" s="25">
        <f>IFERROR(IF(INDEX('ESG'!$N$10:$N$16,MATCH($F211,'ESG'!$B$10:$B$16,0))="","Cell will autofill based on response",INDEX('ESG'!$N$10:$N$16,MATCH($F211,'ESG'!$B$10:$B$16,0))),"N/A")</f>
        <v/>
      </c>
      <c r="Q211" s="25">
        <f>IFERROR(IF(INDEX('CIOG'!$N$10:$N$13,MATCH($F211,'CIOG'!$B$10:$B$13,0))="","Cell will autofill based on response",INDEX('CIOG'!$N$10:$N$13,MATCH($F211,'CIOG'!$B$10:$B$13,0))),"N/A")</f>
        <v/>
      </c>
      <c r="R211" s="25">
        <f>IFERROR(IF(INDEX('MRE'!$N$10:$N$11,MATCH($F211,'MRE'!$B$10:$B$11,0))="","Cell will autofill based on response",INDEX('MRE'!$N$10:$N$11,MATCH($F211,'MRE'!$B$10:$B$11,0))),"N/A")</f>
        <v/>
      </c>
    </row>
    <row r="212">
      <c r="A212">
        <f>F212&amp;"|"&amp;G212</f>
        <v/>
      </c>
      <c r="B212" s="29" t="inlineStr"/>
      <c r="C212" s="8" t="inlineStr"/>
      <c r="D212" s="8" t="inlineStr"/>
      <c r="E212" s="8" t="inlineStr"/>
      <c r="F212" s="8" t="inlineStr">
        <is>
          <t>EI1(b)</t>
        </is>
      </c>
      <c r="G212" s="8" t="inlineStr">
        <is>
          <t>Supporting information/comments</t>
        </is>
      </c>
      <c r="H212" s="25">
        <f>IFERROR(IF(INDEX('Faculties'!$O$10:$O$29,MATCH($F212,'Faculties'!$B$10:$B$29,0))="","Cell will autofill based on response",INDEX('Faculties'!$O$10:$O$29,MATCH($F212,'Faculties'!$B$10:$B$29,0))),"N/A")</f>
        <v/>
      </c>
      <c r="I212" s="25">
        <f>IFERROR(IF(INDEX('Faculties'!$O$37:$O$56,MATCH($F212,'Faculties'!$B$37:$B$56,0))="","Cell will autofill based on response",INDEX('Faculties'!$O$37:$O$56,MATCH($F212,'Faculties'!$B$37:$B$56,0))),"N/A")</f>
        <v/>
      </c>
      <c r="J212" s="25">
        <f>IFERROR(IF(INDEX('Faculties'!$O$64:$O$83,MATCH($F212,'Faculties'!$B$64:$B$83,0))="","Cell will autofill based on response",INDEX('Faculties'!$O$64:$O$83,MATCH($F212,'Faculties'!$B$64:$B$83,0))),"N/A")</f>
        <v/>
      </c>
      <c r="K212" s="25">
        <f>IFERROR(IF(INDEX('Faculties'!$O$91:$O$110,MATCH($F212,'Faculties'!$B$91:$B$110,0))="","Cell will autofill based on response",INDEX('Faculties'!$O$91:$O$110,MATCH($F212,'Faculties'!$B$91:$B$110,0))),"N/A")</f>
        <v/>
      </c>
      <c r="L212" s="25">
        <f>IFERROR(IF(INDEX('CI&amp;S'!$O$10:$O$14,MATCH($F212,'CI&amp;S'!$B$10:$B$14,0))="","Cell will autofill based on response",INDEX('CI&amp;S'!$O$10:$O$14,MATCH($F212,'CI&amp;S'!$B$10:$B$14,0))),"N/A")</f>
        <v/>
      </c>
      <c r="M212" s="25">
        <f>IFERROR(IF(INDEX('CI&amp;S'!$O$22:$O$38,MATCH($F212,'CI&amp;S'!$B$22:$B$38,0))="","Cell will autofill based on response",INDEX('CI&amp;S'!$O$22:$O$38,MATCH($F212,'CI&amp;S'!$B$22:$B$38,0))),"N/A")</f>
        <v/>
      </c>
      <c r="N212" s="25">
        <f>IFERROR(IF(INDEX('CFOG'!$O$10:$O$15,MATCH($F212,'CFOG'!$B$10:$B$15,0))="","Cell will autofill based on response",INDEX('CFOG'!$O$10:$O$15,MATCH($F212,'CFOG'!$B$10:$B$15,0))),"N/A")</f>
        <v/>
      </c>
      <c r="O212" s="25">
        <f>IFERROR(IF(INDEX('CFOG'!$O$23:$O$23,MATCH($F212,'CFOG'!$B$23:$B$23,0))="","Cell will autofill based on response",INDEX('CFOG'!$O$23:$O$23,MATCH($F212,'CFOG'!$B$23:$B$23,0))),"N/A")</f>
        <v/>
      </c>
      <c r="P212" s="25">
        <f>IFERROR(IF(INDEX('ESG'!$O$10:$O$16,MATCH($F212,'ESG'!$B$10:$B$16,0))="","Cell will autofill based on response",INDEX('ESG'!$O$10:$O$16,MATCH($F212,'ESG'!$B$10:$B$16,0))),"N/A")</f>
        <v/>
      </c>
      <c r="Q212" s="25">
        <f>IFERROR(IF(INDEX('CIOG'!$O$10:$O$13,MATCH($F212,'CIOG'!$B$10:$B$13,0))="","Cell will autofill based on response",INDEX('CIOG'!$O$10:$O$13,MATCH($F212,'CIOG'!$B$10:$B$13,0))),"N/A")</f>
        <v/>
      </c>
      <c r="R212" s="25">
        <f>IFERROR(IF(INDEX('MRE'!$O$10:$O$11,MATCH($F212,'MRE'!$B$10:$B$11,0))="","Cell will autofill based on response",INDEX('MRE'!$O$10:$O$11,MATCH($F212,'MRE'!$B$10:$B$11,0))),"N/A")</f>
        <v/>
      </c>
    </row>
    <row r="213">
      <c r="A213">
        <f>F213&amp;"|"&amp;G213</f>
        <v/>
      </c>
      <c r="B213" s="29" t="inlineStr"/>
      <c r="C213" s="8" t="inlineStr"/>
      <c r="D213" s="8" t="inlineStr"/>
      <c r="E213" s="8" t="inlineStr"/>
      <c r="F213" s="8" t="inlineStr">
        <is>
          <t>EI1(b)</t>
        </is>
      </c>
      <c r="G213" s="8" t="inlineStr">
        <is>
          <t>Data source and limitations</t>
        </is>
      </c>
      <c r="H213" s="25">
        <f>IFERROR(IF(INDEX('Faculties'!$P$10:$P$29,MATCH($F213,'Faculties'!$B$10:$B$29,0))="","Cell will autofill based on response",INDEX('Faculties'!$P$10:$P$29,MATCH($F213,'Faculties'!$B$10:$B$29,0))),"N/A")</f>
        <v/>
      </c>
      <c r="I213" s="25">
        <f>IFERROR(IF(INDEX('Faculties'!$P$37:$P$56,MATCH($F213,'Faculties'!$B$37:$B$56,0))="","Cell will autofill based on response",INDEX('Faculties'!$P$37:$P$56,MATCH($F213,'Faculties'!$B$37:$B$56,0))),"N/A")</f>
        <v/>
      </c>
      <c r="J213" s="25">
        <f>IFERROR(IF(INDEX('Faculties'!$P$64:$P$83,MATCH($F213,'Faculties'!$B$64:$B$83,0))="","Cell will autofill based on response",INDEX('Faculties'!$P$64:$P$83,MATCH($F213,'Faculties'!$B$64:$B$83,0))),"N/A")</f>
        <v/>
      </c>
      <c r="K213" s="25">
        <f>IFERROR(IF(INDEX('Faculties'!$P$91:$P$110,MATCH($F213,'Faculties'!$B$91:$B$110,0))="","Cell will autofill based on response",INDEX('Faculties'!$P$91:$P$110,MATCH($F213,'Faculties'!$B$91:$B$110,0))),"N/A")</f>
        <v/>
      </c>
      <c r="L213" s="25">
        <f>IFERROR(IF(INDEX('CI&amp;S'!$P$10:$P$14,MATCH($F213,'CI&amp;S'!$B$10:$B$14,0))="","Cell will autofill based on response",INDEX('CI&amp;S'!$P$10:$P$14,MATCH($F213,'CI&amp;S'!$B$10:$B$14,0))),"N/A")</f>
        <v/>
      </c>
      <c r="M213" s="25">
        <f>IFERROR(IF(INDEX('CI&amp;S'!$P$22:$P$38,MATCH($F213,'CI&amp;S'!$B$22:$B$38,0))="","Cell will autofill based on response",INDEX('CI&amp;S'!$P$22:$P$38,MATCH($F213,'CI&amp;S'!$B$22:$B$38,0))),"N/A")</f>
        <v/>
      </c>
      <c r="N213" s="25">
        <f>IFERROR(IF(INDEX('CFOG'!$P$10:$P$15,MATCH($F213,'CFOG'!$B$10:$B$15,0))="","Cell will autofill based on response",INDEX('CFOG'!$P$10:$P$15,MATCH($F213,'CFOG'!$B$10:$B$15,0))),"N/A")</f>
        <v/>
      </c>
      <c r="O213" s="25">
        <f>IFERROR(IF(INDEX('CFOG'!$P$23:$P$23,MATCH($F213,'CFOG'!$B$23:$B$23,0))="","Cell will autofill based on response",INDEX('CFOG'!$P$23:$P$23,MATCH($F213,'CFOG'!$B$23:$B$23,0))),"N/A")</f>
        <v/>
      </c>
      <c r="P213" s="25">
        <f>IFERROR(IF(INDEX('ESG'!$P$10:$P$16,MATCH($F213,'ESG'!$B$10:$B$16,0))="","Cell will autofill based on response",INDEX('ESG'!$P$10:$P$16,MATCH($F213,'ESG'!$B$10:$B$16,0))),"N/A")</f>
        <v/>
      </c>
      <c r="Q213" s="25">
        <f>IFERROR(IF(INDEX('CIOG'!$P$10:$P$13,MATCH($F213,'CIOG'!$B$10:$B$13,0))="","Cell will autofill based on response",INDEX('CIOG'!$P$10:$P$13,MATCH($F213,'CIOG'!$B$10:$B$13,0))),"N/A")</f>
        <v/>
      </c>
      <c r="R213" s="25">
        <f>IFERROR(IF(INDEX('MRE'!$P$10:$P$11,MATCH($F213,'MRE'!$B$10:$B$11,0))="","Cell will autofill based on response",INDEX('MRE'!$P$10:$P$11,MATCH($F213,'MRE'!$B$10:$B$11,0))),"N/A")</f>
        <v/>
      </c>
    </row>
    <row r="214">
      <c r="A214">
        <f>F214&amp;"|"&amp;G214</f>
        <v/>
      </c>
      <c r="B214" s="29" t="inlineStr"/>
      <c r="C214" s="8" t="inlineStr"/>
      <c r="D214" s="8" t="inlineStr"/>
      <c r="E214" s="8" t="inlineStr"/>
      <c r="F214" s="8" t="inlineStr">
        <is>
          <t>EI1(b)</t>
        </is>
      </c>
      <c r="G214" s="8" t="inlineStr">
        <is>
          <t>Data owner confirms</t>
        </is>
      </c>
      <c r="H214" s="25">
        <f>IFERROR(IF(INDEX('Faculties'!$Q$10:$Q$29,MATCH($F214,'Faculties'!$B$10:$B$29,0))="","Cell will autofill based on response",INDEX('Faculties'!$Q$10:$Q$29,MATCH($F214,'Faculties'!$B$10:$B$29,0))),"N/A")</f>
        <v/>
      </c>
      <c r="I214" s="25">
        <f>IFERROR(IF(INDEX('Faculties'!$Q$37:$Q$56,MATCH($F214,'Faculties'!$B$37:$B$56,0))="","Cell will autofill based on response",INDEX('Faculties'!$Q$37:$Q$56,MATCH($F214,'Faculties'!$B$37:$B$56,0))),"N/A")</f>
        <v/>
      </c>
      <c r="J214" s="25">
        <f>IFERROR(IF(INDEX('Faculties'!$Q$64:$Q$83,MATCH($F214,'Faculties'!$B$64:$B$83,0))="","Cell will autofill based on response",INDEX('Faculties'!$Q$64:$Q$83,MATCH($F214,'Faculties'!$B$64:$B$83,0))),"N/A")</f>
        <v/>
      </c>
      <c r="K214" s="25">
        <f>IFERROR(IF(INDEX('Faculties'!$Q$91:$Q$110,MATCH($F214,'Faculties'!$B$91:$B$110,0))="","Cell will autofill based on response",INDEX('Faculties'!$Q$91:$Q$110,MATCH($F214,'Faculties'!$B$91:$B$110,0))),"N/A")</f>
        <v/>
      </c>
      <c r="L214" s="25">
        <f>IFERROR(IF(INDEX('CI&amp;S'!$Q$10:$Q$14,MATCH($F214,'CI&amp;S'!$B$10:$B$14,0))="","Cell will autofill based on response",INDEX('CI&amp;S'!$Q$10:$Q$14,MATCH($F214,'CI&amp;S'!$B$10:$B$14,0))),"N/A")</f>
        <v/>
      </c>
      <c r="M214" s="25">
        <f>IFERROR(IF(INDEX('CI&amp;S'!$Q$22:$Q$38,MATCH($F214,'CI&amp;S'!$B$22:$B$38,0))="","Cell will autofill based on response",INDEX('CI&amp;S'!$Q$22:$Q$38,MATCH($F214,'CI&amp;S'!$B$22:$B$38,0))),"N/A")</f>
        <v/>
      </c>
      <c r="N214" s="25">
        <f>IFERROR(IF(INDEX('CFOG'!$Q$10:$Q$15,MATCH($F214,'CFOG'!$B$10:$B$15,0))="","Cell will autofill based on response",INDEX('CFOG'!$Q$10:$Q$15,MATCH($F214,'CFOG'!$B$10:$B$15,0))),"N/A")</f>
        <v/>
      </c>
      <c r="O214" s="25">
        <f>IFERROR(IF(INDEX('CFOG'!$Q$23:$Q$23,MATCH($F214,'CFOG'!$B$23:$B$23,0))="","Cell will autofill based on response",INDEX('CFOG'!$Q$23:$Q$23,MATCH($F214,'CFOG'!$B$23:$B$23,0))),"N/A")</f>
        <v/>
      </c>
      <c r="P214" s="25">
        <f>IFERROR(IF(INDEX('ESG'!$Q$10:$Q$16,MATCH($F214,'ESG'!$B$10:$B$16,0))="","Cell will autofill based on response",INDEX('ESG'!$Q$10:$Q$16,MATCH($F214,'ESG'!$B$10:$B$16,0))),"N/A")</f>
        <v/>
      </c>
      <c r="Q214" s="25">
        <f>IFERROR(IF(INDEX('CIOG'!$Q$10:$Q$13,MATCH($F214,'CIOG'!$B$10:$B$13,0))="","Cell will autofill based on response",INDEX('CIOG'!$Q$10:$Q$13,MATCH($F214,'CIOG'!$B$10:$B$13,0))),"N/A")</f>
        <v/>
      </c>
      <c r="R214" s="25">
        <f>IFERROR(IF(INDEX('MRE'!$Q$10:$Q$11,MATCH($F214,'MRE'!$B$10:$B$11,0))="","Cell will autofill based on response",INDEX('MRE'!$Q$10:$Q$11,MATCH($F214,'MRE'!$B$10:$B$11,0))),"N/A")</f>
        <v/>
      </c>
    </row>
    <row r="215">
      <c r="A215">
        <f>F215&amp;"|"&amp;G215</f>
        <v/>
      </c>
      <c r="B215" s="7" t="inlineStr">
        <is>
          <t>EI1(c)</t>
        </is>
      </c>
      <c r="C215" s="12" t="inlineStr">
        <is>
          <t>Estate and infrastructure</t>
        </is>
      </c>
      <c r="D215" s="12" t="inlineStr">
        <is>
          <t>Reporting on relevant activities and impacts for the University’s major estate and infrastructure projects and programs aligned with the other priority areas in Sustainability 2030</t>
        </is>
      </c>
      <c r="E215" s="12"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215" s="12" t="inlineStr">
        <is>
          <t>EI1(c)</t>
        </is>
      </c>
      <c r="G215" s="12" t="inlineStr">
        <is>
          <t>Confirm end-2026 target status</t>
        </is>
      </c>
      <c r="H215" s="25">
        <f>IFERROR(IF(INDEX('Faculties'!$L$10:$L$29,MATCH($F215,'Faculties'!$B$10:$B$29,0))="","Cell will autofill based on response",INDEX('Faculties'!$L$10:$L$29,MATCH($F215,'Faculties'!$B$10:$B$29,0))),"N/A")</f>
        <v/>
      </c>
      <c r="I215" s="25">
        <f>IFERROR(IF(INDEX('Faculties'!$L$37:$L$56,MATCH($F215,'Faculties'!$B$37:$B$56,0))="","Cell will autofill based on response",INDEX('Faculties'!$L$37:$L$56,MATCH($F215,'Faculties'!$B$37:$B$56,0))),"N/A")</f>
        <v/>
      </c>
      <c r="J215" s="25">
        <f>IFERROR(IF(INDEX('Faculties'!$L$64:$L$83,MATCH($F215,'Faculties'!$B$64:$B$83,0))="","Cell will autofill based on response",INDEX('Faculties'!$L$64:$L$83,MATCH($F215,'Faculties'!$B$64:$B$83,0))),"N/A")</f>
        <v/>
      </c>
      <c r="K215" s="25">
        <f>IFERROR(IF(INDEX('Faculties'!$L$91:$L$110,MATCH($F215,'Faculties'!$B$91:$B$110,0))="","Cell will autofill based on response",INDEX('Faculties'!$L$91:$L$110,MATCH($F215,'Faculties'!$B$91:$B$110,0))),"N/A")</f>
        <v/>
      </c>
      <c r="L215" s="25">
        <f>IFERROR(IF(INDEX('CI&amp;S'!$L$10:$L$14,MATCH($F215,'CI&amp;S'!$B$10:$B$14,0))="","Cell will autofill based on response",INDEX('CI&amp;S'!$L$10:$L$14,MATCH($F215,'CI&amp;S'!$B$10:$B$14,0))),"N/A")</f>
        <v/>
      </c>
      <c r="M215" s="25">
        <f>IFERROR(IF(INDEX('CI&amp;S'!$L$22:$L$38,MATCH($F215,'CI&amp;S'!$B$22:$B$38,0))="","Cell will autofill based on response",INDEX('CI&amp;S'!$L$22:$L$38,MATCH($F215,'CI&amp;S'!$B$22:$B$38,0))),"N/A")</f>
        <v/>
      </c>
      <c r="N215" s="25">
        <f>IFERROR(IF(INDEX('CFOG'!$L$10:$L$15,MATCH($F215,'CFOG'!$B$10:$B$15,0))="","Cell will autofill based on response",INDEX('CFOG'!$L$10:$L$15,MATCH($F215,'CFOG'!$B$10:$B$15,0))),"N/A")</f>
        <v/>
      </c>
      <c r="O215" s="25">
        <f>IFERROR(IF(INDEX('CFOG'!$L$23:$L$23,MATCH($F215,'CFOG'!$B$23:$B$23,0))="","Cell will autofill based on response",INDEX('CFOG'!$L$23:$L$23,MATCH($F215,'CFOG'!$B$23:$B$23,0))),"N/A")</f>
        <v/>
      </c>
      <c r="P215" s="25">
        <f>IFERROR(IF(INDEX('ESG'!$L$10:$L$16,MATCH($F215,'ESG'!$B$10:$B$16,0))="","Cell will autofill based on response",INDEX('ESG'!$L$10:$L$16,MATCH($F215,'ESG'!$B$10:$B$16,0))),"N/A")</f>
        <v/>
      </c>
      <c r="Q215" s="25">
        <f>IFERROR(IF(INDEX('CIOG'!$L$10:$L$13,MATCH($F215,'CIOG'!$B$10:$B$13,0))="","Cell will autofill based on response",INDEX('CIOG'!$L$10:$L$13,MATCH($F215,'CIOG'!$B$10:$B$13,0))),"N/A")</f>
        <v/>
      </c>
      <c r="R215" s="25">
        <f>IFERROR(IF(INDEX('MRE'!$L$10:$L$11,MATCH($F215,'MRE'!$B$10:$B$11,0))="","Cell will autofill based on response",INDEX('MRE'!$L$10:$L$11,MATCH($F215,'MRE'!$B$10:$B$11,0))),"N/A")</f>
        <v/>
      </c>
      <c r="T215" s="26">
        <f>COUNTIF($H215:$R215,"Cell will autofill based on response")</f>
        <v/>
      </c>
      <c r="U215" s="26">
        <f>COUNTIF($H215:$R215,"Not yet started")</f>
        <v/>
      </c>
      <c r="V215" s="26">
        <f>COUNTIF($H215:$R215,"Not met")</f>
        <v/>
      </c>
      <c r="W215" s="26">
        <f>COUNTIF($H215:$R215,"Partially met")</f>
        <v/>
      </c>
      <c r="X215" s="26">
        <f>COUNTIF($H215:$R215,"Met or exceeded")</f>
        <v/>
      </c>
      <c r="Y215" s="26">
        <f>3*X215+2*W215+V215</f>
        <v/>
      </c>
      <c r="Z215" s="26">
        <f>X215+W215+V215+U215</f>
        <v/>
      </c>
      <c r="AA215" s="27">
        <f>IF(Z215&gt;0,Y215/Z215,"No valid responses to date")</f>
        <v/>
      </c>
      <c r="AB215" s="26">
        <f>IF(ISNUMBER(AA215),INDEX(Lists!$G$2:$G$5,MATCH(ROUND(AA215,0),Lists!$H$2:$H$5,0)),"")</f>
        <v/>
      </c>
      <c r="AC215" s="28">
        <f>IF(Z215&gt;0,X215/Z215,"")</f>
        <v/>
      </c>
      <c r="AD215" s="28">
        <f>IF(Z215&gt;0,(X215+W215)/Z215,"")</f>
        <v/>
      </c>
      <c r="AE215" s="26">
        <f>IF(Z215=0,"",IF(AC215&gt;0.75,"Met or exceeded",IF(AD215&gt;=0.5,"Partially met","Not met")))</f>
        <v/>
      </c>
    </row>
    <row r="216">
      <c r="A216">
        <f>F216&amp;"|"&amp;G216</f>
        <v/>
      </c>
      <c r="B216" s="29" t="inlineStr"/>
      <c r="C216" s="8" t="inlineStr"/>
      <c r="D216" s="8" t="inlineStr"/>
      <c r="E216" s="8" t="inlineStr"/>
      <c r="F216" s="8" t="inlineStr">
        <is>
          <t>EI1(c)</t>
        </is>
      </c>
      <c r="G216" s="8" t="inlineStr">
        <is>
          <t>OPTION 1:  Target-level reporting</t>
        </is>
      </c>
      <c r="H216" s="25">
        <f>IFERROR(IF(INDEX('Faculties'!$M$10:$M$29,MATCH($F216,'Faculties'!$B$10:$B$29,0))="","Cell will autofill based on response",INDEX('Faculties'!$M$10:$M$29,MATCH($F216,'Faculties'!$B$10:$B$29,0))),"N/A")</f>
        <v/>
      </c>
      <c r="I216" s="25">
        <f>IFERROR(IF(INDEX('Faculties'!$M$37:$M$56,MATCH($F216,'Faculties'!$B$37:$B$56,0))="","Cell will autofill based on response",INDEX('Faculties'!$M$37:$M$56,MATCH($F216,'Faculties'!$B$37:$B$56,0))),"N/A")</f>
        <v/>
      </c>
      <c r="J216" s="25">
        <f>IFERROR(IF(INDEX('Faculties'!$M$64:$M$83,MATCH($F216,'Faculties'!$B$64:$B$83,0))="","Cell will autofill based on response",INDEX('Faculties'!$M$64:$M$83,MATCH($F216,'Faculties'!$B$64:$B$83,0))),"N/A")</f>
        <v/>
      </c>
      <c r="K216" s="25">
        <f>IFERROR(IF(INDEX('Faculties'!$M$91:$M$110,MATCH($F216,'Faculties'!$B$91:$B$110,0))="","Cell will autofill based on response",INDEX('Faculties'!$M$91:$M$110,MATCH($F216,'Faculties'!$B$91:$B$110,0))),"N/A")</f>
        <v/>
      </c>
      <c r="L216" s="25">
        <f>IFERROR(IF(INDEX('CI&amp;S'!$M$10:$M$14,MATCH($F216,'CI&amp;S'!$B$10:$B$14,0))="","Cell will autofill based on response",INDEX('CI&amp;S'!$M$10:$M$14,MATCH($F216,'CI&amp;S'!$B$10:$B$14,0))),"N/A")</f>
        <v/>
      </c>
      <c r="M216" s="25">
        <f>IFERROR(IF(INDEX('CI&amp;S'!$M$22:$M$38,MATCH($F216,'CI&amp;S'!$B$22:$B$38,0))="","Cell will autofill based on response",INDEX('CI&amp;S'!$M$22:$M$38,MATCH($F216,'CI&amp;S'!$B$22:$B$38,0))),"N/A")</f>
        <v/>
      </c>
      <c r="N216" s="25">
        <f>IFERROR(IF(INDEX('CFOG'!$M$10:$M$15,MATCH($F216,'CFOG'!$B$10:$B$15,0))="","Cell will autofill based on response",INDEX('CFOG'!$M$10:$M$15,MATCH($F216,'CFOG'!$B$10:$B$15,0))),"N/A")</f>
        <v/>
      </c>
      <c r="O216" s="25">
        <f>IFERROR(IF(INDEX('CFOG'!$M$23:$M$23,MATCH($F216,'CFOG'!$B$23:$B$23,0))="","Cell will autofill based on response",INDEX('CFOG'!$M$23:$M$23,MATCH($F216,'CFOG'!$B$23:$B$23,0))),"N/A")</f>
        <v/>
      </c>
      <c r="P216" s="25">
        <f>IFERROR(IF(INDEX('ESG'!$M$10:$M$16,MATCH($F216,'ESG'!$B$10:$B$16,0))="","Cell will autofill based on response",INDEX('ESG'!$M$10:$M$16,MATCH($F216,'ESG'!$B$10:$B$16,0))),"N/A")</f>
        <v/>
      </c>
      <c r="Q216" s="25">
        <f>IFERROR(IF(INDEX('CIOG'!$M$10:$M$13,MATCH($F216,'CIOG'!$B$10:$B$13,0))="","Cell will autofill based on response",INDEX('CIOG'!$M$10:$M$13,MATCH($F216,'CIOG'!$B$10:$B$13,0))),"N/A")</f>
        <v/>
      </c>
      <c r="R216" s="25">
        <f>IFERROR(IF(INDEX('MRE'!$M$10:$M$11,MATCH($F216,'MRE'!$B$10:$B$11,0))="","Cell will autofill based on response",INDEX('MRE'!$M$10:$M$11,MATCH($F216,'MRE'!$B$10:$B$11,0))),"N/A")</f>
        <v/>
      </c>
    </row>
    <row r="217">
      <c r="A217">
        <f>F217&amp;"|"&amp;G217</f>
        <v/>
      </c>
      <c r="B217" s="29" t="inlineStr"/>
      <c r="C217" s="8" t="inlineStr"/>
      <c r="D217" s="8" t="inlineStr"/>
      <c r="E217" s="8" t="inlineStr"/>
      <c r="F217" s="8" t="inlineStr">
        <is>
          <t>EI1(c)</t>
        </is>
      </c>
      <c r="G217" s="8" t="inlineStr">
        <is>
          <t>OPTION 2:  Indicator level reporting</t>
        </is>
      </c>
      <c r="H217" s="25">
        <f>IFERROR(IF(INDEX('Faculties'!$N$10:$N$29,MATCH($F217,'Faculties'!$B$10:$B$29,0))="","Cell will autofill based on response",INDEX('Faculties'!$N$10:$N$29,MATCH($F217,'Faculties'!$B$10:$B$29,0))),"N/A")</f>
        <v/>
      </c>
      <c r="I217" s="25">
        <f>IFERROR(IF(INDEX('Faculties'!$N$37:$N$56,MATCH($F217,'Faculties'!$B$37:$B$56,0))="","Cell will autofill based on response",INDEX('Faculties'!$N$37:$N$56,MATCH($F217,'Faculties'!$B$37:$B$56,0))),"N/A")</f>
        <v/>
      </c>
      <c r="J217" s="25">
        <f>IFERROR(IF(INDEX('Faculties'!$N$64:$N$83,MATCH($F217,'Faculties'!$B$64:$B$83,0))="","Cell will autofill based on response",INDEX('Faculties'!$N$64:$N$83,MATCH($F217,'Faculties'!$B$64:$B$83,0))),"N/A")</f>
        <v/>
      </c>
      <c r="K217" s="25">
        <f>IFERROR(IF(INDEX('Faculties'!$N$91:$N$110,MATCH($F217,'Faculties'!$B$91:$B$110,0))="","Cell will autofill based on response",INDEX('Faculties'!$N$91:$N$110,MATCH($F217,'Faculties'!$B$91:$B$110,0))),"N/A")</f>
        <v/>
      </c>
      <c r="L217" s="25">
        <f>IFERROR(IF(INDEX('CI&amp;S'!$N$10:$N$14,MATCH($F217,'CI&amp;S'!$B$10:$B$14,0))="","Cell will autofill based on response",INDEX('CI&amp;S'!$N$10:$N$14,MATCH($F217,'CI&amp;S'!$B$10:$B$14,0))),"N/A")</f>
        <v/>
      </c>
      <c r="M217" s="25">
        <f>IFERROR(IF(INDEX('CI&amp;S'!$N$22:$N$38,MATCH($F217,'CI&amp;S'!$B$22:$B$38,0))="","Cell will autofill based on response",INDEX('CI&amp;S'!$N$22:$N$38,MATCH($F217,'CI&amp;S'!$B$22:$B$38,0))),"N/A")</f>
        <v/>
      </c>
      <c r="N217" s="25">
        <f>IFERROR(IF(INDEX('CFOG'!$N$10:$N$15,MATCH($F217,'CFOG'!$B$10:$B$15,0))="","Cell will autofill based on response",INDEX('CFOG'!$N$10:$N$15,MATCH($F217,'CFOG'!$B$10:$B$15,0))),"N/A")</f>
        <v/>
      </c>
      <c r="O217" s="25">
        <f>IFERROR(IF(INDEX('CFOG'!$N$23:$N$23,MATCH($F217,'CFOG'!$B$23:$B$23,0))="","Cell will autofill based on response",INDEX('CFOG'!$N$23:$N$23,MATCH($F217,'CFOG'!$B$23:$B$23,0))),"N/A")</f>
        <v/>
      </c>
      <c r="P217" s="25">
        <f>IFERROR(IF(INDEX('ESG'!$N$10:$N$16,MATCH($F217,'ESG'!$B$10:$B$16,0))="","Cell will autofill based on response",INDEX('ESG'!$N$10:$N$16,MATCH($F217,'ESG'!$B$10:$B$16,0))),"N/A")</f>
        <v/>
      </c>
      <c r="Q217" s="25">
        <f>IFERROR(IF(INDEX('CIOG'!$N$10:$N$13,MATCH($F217,'CIOG'!$B$10:$B$13,0))="","Cell will autofill based on response",INDEX('CIOG'!$N$10:$N$13,MATCH($F217,'CIOG'!$B$10:$B$13,0))),"N/A")</f>
        <v/>
      </c>
      <c r="R217" s="25">
        <f>IFERROR(IF(INDEX('MRE'!$N$10:$N$11,MATCH($F217,'MRE'!$B$10:$B$11,0))="","Cell will autofill based on response",INDEX('MRE'!$N$10:$N$11,MATCH($F217,'MRE'!$B$10:$B$11,0))),"N/A")</f>
        <v/>
      </c>
    </row>
    <row r="218">
      <c r="A218">
        <f>F218&amp;"|"&amp;G218</f>
        <v/>
      </c>
      <c r="B218" s="29" t="inlineStr"/>
      <c r="C218" s="8" t="inlineStr"/>
      <c r="D218" s="8" t="inlineStr"/>
      <c r="E218" s="8" t="inlineStr"/>
      <c r="F218" s="8" t="inlineStr">
        <is>
          <t>EI1(c)</t>
        </is>
      </c>
      <c r="G218" s="8" t="inlineStr">
        <is>
          <t>Supporting information/comments</t>
        </is>
      </c>
      <c r="H218" s="25">
        <f>IFERROR(IF(INDEX('Faculties'!$O$10:$O$29,MATCH($F218,'Faculties'!$B$10:$B$29,0))="","Cell will autofill based on response",INDEX('Faculties'!$O$10:$O$29,MATCH($F218,'Faculties'!$B$10:$B$29,0))),"N/A")</f>
        <v/>
      </c>
      <c r="I218" s="25">
        <f>IFERROR(IF(INDEX('Faculties'!$O$37:$O$56,MATCH($F218,'Faculties'!$B$37:$B$56,0))="","Cell will autofill based on response",INDEX('Faculties'!$O$37:$O$56,MATCH($F218,'Faculties'!$B$37:$B$56,0))),"N/A")</f>
        <v/>
      </c>
      <c r="J218" s="25">
        <f>IFERROR(IF(INDEX('Faculties'!$O$64:$O$83,MATCH($F218,'Faculties'!$B$64:$B$83,0))="","Cell will autofill based on response",INDEX('Faculties'!$O$64:$O$83,MATCH($F218,'Faculties'!$B$64:$B$83,0))),"N/A")</f>
        <v/>
      </c>
      <c r="K218" s="25">
        <f>IFERROR(IF(INDEX('Faculties'!$O$91:$O$110,MATCH($F218,'Faculties'!$B$91:$B$110,0))="","Cell will autofill based on response",INDEX('Faculties'!$O$91:$O$110,MATCH($F218,'Faculties'!$B$91:$B$110,0))),"N/A")</f>
        <v/>
      </c>
      <c r="L218" s="25">
        <f>IFERROR(IF(INDEX('CI&amp;S'!$O$10:$O$14,MATCH($F218,'CI&amp;S'!$B$10:$B$14,0))="","Cell will autofill based on response",INDEX('CI&amp;S'!$O$10:$O$14,MATCH($F218,'CI&amp;S'!$B$10:$B$14,0))),"N/A")</f>
        <v/>
      </c>
      <c r="M218" s="25">
        <f>IFERROR(IF(INDEX('CI&amp;S'!$O$22:$O$38,MATCH($F218,'CI&amp;S'!$B$22:$B$38,0))="","Cell will autofill based on response",INDEX('CI&amp;S'!$O$22:$O$38,MATCH($F218,'CI&amp;S'!$B$22:$B$38,0))),"N/A")</f>
        <v/>
      </c>
      <c r="N218" s="25">
        <f>IFERROR(IF(INDEX('CFOG'!$O$10:$O$15,MATCH($F218,'CFOG'!$B$10:$B$15,0))="","Cell will autofill based on response",INDEX('CFOG'!$O$10:$O$15,MATCH($F218,'CFOG'!$B$10:$B$15,0))),"N/A")</f>
        <v/>
      </c>
      <c r="O218" s="25">
        <f>IFERROR(IF(INDEX('CFOG'!$O$23:$O$23,MATCH($F218,'CFOG'!$B$23:$B$23,0))="","Cell will autofill based on response",INDEX('CFOG'!$O$23:$O$23,MATCH($F218,'CFOG'!$B$23:$B$23,0))),"N/A")</f>
        <v/>
      </c>
      <c r="P218" s="25">
        <f>IFERROR(IF(INDEX('ESG'!$O$10:$O$16,MATCH($F218,'ESG'!$B$10:$B$16,0))="","Cell will autofill based on response",INDEX('ESG'!$O$10:$O$16,MATCH($F218,'ESG'!$B$10:$B$16,0))),"N/A")</f>
        <v/>
      </c>
      <c r="Q218" s="25">
        <f>IFERROR(IF(INDEX('CIOG'!$O$10:$O$13,MATCH($F218,'CIOG'!$B$10:$B$13,0))="","Cell will autofill based on response",INDEX('CIOG'!$O$10:$O$13,MATCH($F218,'CIOG'!$B$10:$B$13,0))),"N/A")</f>
        <v/>
      </c>
      <c r="R218" s="25">
        <f>IFERROR(IF(INDEX('MRE'!$O$10:$O$11,MATCH($F218,'MRE'!$B$10:$B$11,0))="","Cell will autofill based on response",INDEX('MRE'!$O$10:$O$11,MATCH($F218,'MRE'!$B$10:$B$11,0))),"N/A")</f>
        <v/>
      </c>
    </row>
    <row r="219">
      <c r="A219">
        <f>F219&amp;"|"&amp;G219</f>
        <v/>
      </c>
      <c r="B219" s="29" t="inlineStr"/>
      <c r="C219" s="8" t="inlineStr"/>
      <c r="D219" s="8" t="inlineStr"/>
      <c r="E219" s="8" t="inlineStr"/>
      <c r="F219" s="8" t="inlineStr">
        <is>
          <t>EI1(c)</t>
        </is>
      </c>
      <c r="G219" s="8" t="inlineStr">
        <is>
          <t>Data source and limitations</t>
        </is>
      </c>
      <c r="H219" s="25">
        <f>IFERROR(IF(INDEX('Faculties'!$P$10:$P$29,MATCH($F219,'Faculties'!$B$10:$B$29,0))="","Cell will autofill based on response",INDEX('Faculties'!$P$10:$P$29,MATCH($F219,'Faculties'!$B$10:$B$29,0))),"N/A")</f>
        <v/>
      </c>
      <c r="I219" s="25">
        <f>IFERROR(IF(INDEX('Faculties'!$P$37:$P$56,MATCH($F219,'Faculties'!$B$37:$B$56,0))="","Cell will autofill based on response",INDEX('Faculties'!$P$37:$P$56,MATCH($F219,'Faculties'!$B$37:$B$56,0))),"N/A")</f>
        <v/>
      </c>
      <c r="J219" s="25">
        <f>IFERROR(IF(INDEX('Faculties'!$P$64:$P$83,MATCH($F219,'Faculties'!$B$64:$B$83,0))="","Cell will autofill based on response",INDEX('Faculties'!$P$64:$P$83,MATCH($F219,'Faculties'!$B$64:$B$83,0))),"N/A")</f>
        <v/>
      </c>
      <c r="K219" s="25">
        <f>IFERROR(IF(INDEX('Faculties'!$P$91:$P$110,MATCH($F219,'Faculties'!$B$91:$B$110,0))="","Cell will autofill based on response",INDEX('Faculties'!$P$91:$P$110,MATCH($F219,'Faculties'!$B$91:$B$110,0))),"N/A")</f>
        <v/>
      </c>
      <c r="L219" s="25">
        <f>IFERROR(IF(INDEX('CI&amp;S'!$P$10:$P$14,MATCH($F219,'CI&amp;S'!$B$10:$B$14,0))="","Cell will autofill based on response",INDEX('CI&amp;S'!$P$10:$P$14,MATCH($F219,'CI&amp;S'!$B$10:$B$14,0))),"N/A")</f>
        <v/>
      </c>
      <c r="M219" s="25">
        <f>IFERROR(IF(INDEX('CI&amp;S'!$P$22:$P$38,MATCH($F219,'CI&amp;S'!$B$22:$B$38,0))="","Cell will autofill based on response",INDEX('CI&amp;S'!$P$22:$P$38,MATCH($F219,'CI&amp;S'!$B$22:$B$38,0))),"N/A")</f>
        <v/>
      </c>
      <c r="N219" s="25">
        <f>IFERROR(IF(INDEX('CFOG'!$P$10:$P$15,MATCH($F219,'CFOG'!$B$10:$B$15,0))="","Cell will autofill based on response",INDEX('CFOG'!$P$10:$P$15,MATCH($F219,'CFOG'!$B$10:$B$15,0))),"N/A")</f>
        <v/>
      </c>
      <c r="O219" s="25">
        <f>IFERROR(IF(INDEX('CFOG'!$P$23:$P$23,MATCH($F219,'CFOG'!$B$23:$B$23,0))="","Cell will autofill based on response",INDEX('CFOG'!$P$23:$P$23,MATCH($F219,'CFOG'!$B$23:$B$23,0))),"N/A")</f>
        <v/>
      </c>
      <c r="P219" s="25">
        <f>IFERROR(IF(INDEX('ESG'!$P$10:$P$16,MATCH($F219,'ESG'!$B$10:$B$16,0))="","Cell will autofill based on response",INDEX('ESG'!$P$10:$P$16,MATCH($F219,'ESG'!$B$10:$B$16,0))),"N/A")</f>
        <v/>
      </c>
      <c r="Q219" s="25">
        <f>IFERROR(IF(INDEX('CIOG'!$P$10:$P$13,MATCH($F219,'CIOG'!$B$10:$B$13,0))="","Cell will autofill based on response",INDEX('CIOG'!$P$10:$P$13,MATCH($F219,'CIOG'!$B$10:$B$13,0))),"N/A")</f>
        <v/>
      </c>
      <c r="R219" s="25">
        <f>IFERROR(IF(INDEX('MRE'!$P$10:$P$11,MATCH($F219,'MRE'!$B$10:$B$11,0))="","Cell will autofill based on response",INDEX('MRE'!$P$10:$P$11,MATCH($F219,'MRE'!$B$10:$B$11,0))),"N/A")</f>
        <v/>
      </c>
    </row>
    <row r="220">
      <c r="A220">
        <f>F220&amp;"|"&amp;G220</f>
        <v/>
      </c>
      <c r="B220" s="29" t="inlineStr"/>
      <c r="C220" s="8" t="inlineStr"/>
      <c r="D220" s="8" t="inlineStr"/>
      <c r="E220" s="8" t="inlineStr"/>
      <c r="F220" s="8" t="inlineStr">
        <is>
          <t>EI1(c)</t>
        </is>
      </c>
      <c r="G220" s="8" t="inlineStr">
        <is>
          <t>Data owner confirms</t>
        </is>
      </c>
      <c r="H220" s="25">
        <f>IFERROR(IF(INDEX('Faculties'!$Q$10:$Q$29,MATCH($F220,'Faculties'!$B$10:$B$29,0))="","Cell will autofill based on response",INDEX('Faculties'!$Q$10:$Q$29,MATCH($F220,'Faculties'!$B$10:$B$29,0))),"N/A")</f>
        <v/>
      </c>
      <c r="I220" s="25">
        <f>IFERROR(IF(INDEX('Faculties'!$Q$37:$Q$56,MATCH($F220,'Faculties'!$B$37:$B$56,0))="","Cell will autofill based on response",INDEX('Faculties'!$Q$37:$Q$56,MATCH($F220,'Faculties'!$B$37:$B$56,0))),"N/A")</f>
        <v/>
      </c>
      <c r="J220" s="25">
        <f>IFERROR(IF(INDEX('Faculties'!$Q$64:$Q$83,MATCH($F220,'Faculties'!$B$64:$B$83,0))="","Cell will autofill based on response",INDEX('Faculties'!$Q$64:$Q$83,MATCH($F220,'Faculties'!$B$64:$B$83,0))),"N/A")</f>
        <v/>
      </c>
      <c r="K220" s="25">
        <f>IFERROR(IF(INDEX('Faculties'!$Q$91:$Q$110,MATCH($F220,'Faculties'!$B$91:$B$110,0))="","Cell will autofill based on response",INDEX('Faculties'!$Q$91:$Q$110,MATCH($F220,'Faculties'!$B$91:$B$110,0))),"N/A")</f>
        <v/>
      </c>
      <c r="L220" s="25">
        <f>IFERROR(IF(INDEX('CI&amp;S'!$Q$10:$Q$14,MATCH($F220,'CI&amp;S'!$B$10:$B$14,0))="","Cell will autofill based on response",INDEX('CI&amp;S'!$Q$10:$Q$14,MATCH($F220,'CI&amp;S'!$B$10:$B$14,0))),"N/A")</f>
        <v/>
      </c>
      <c r="M220" s="25">
        <f>IFERROR(IF(INDEX('CI&amp;S'!$Q$22:$Q$38,MATCH($F220,'CI&amp;S'!$B$22:$B$38,0))="","Cell will autofill based on response",INDEX('CI&amp;S'!$Q$22:$Q$38,MATCH($F220,'CI&amp;S'!$B$22:$B$38,0))),"N/A")</f>
        <v/>
      </c>
      <c r="N220" s="25">
        <f>IFERROR(IF(INDEX('CFOG'!$Q$10:$Q$15,MATCH($F220,'CFOG'!$B$10:$B$15,0))="","Cell will autofill based on response",INDEX('CFOG'!$Q$10:$Q$15,MATCH($F220,'CFOG'!$B$10:$B$15,0))),"N/A")</f>
        <v/>
      </c>
      <c r="O220" s="25">
        <f>IFERROR(IF(INDEX('CFOG'!$Q$23:$Q$23,MATCH($F220,'CFOG'!$B$23:$B$23,0))="","Cell will autofill based on response",INDEX('CFOG'!$Q$23:$Q$23,MATCH($F220,'CFOG'!$B$23:$B$23,0))),"N/A")</f>
        <v/>
      </c>
      <c r="P220" s="25">
        <f>IFERROR(IF(INDEX('ESG'!$Q$10:$Q$16,MATCH($F220,'ESG'!$B$10:$B$16,0))="","Cell will autofill based on response",INDEX('ESG'!$Q$10:$Q$16,MATCH($F220,'ESG'!$B$10:$B$16,0))),"N/A")</f>
        <v/>
      </c>
      <c r="Q220" s="25">
        <f>IFERROR(IF(INDEX('CIOG'!$Q$10:$Q$13,MATCH($F220,'CIOG'!$B$10:$B$13,0))="","Cell will autofill based on response",INDEX('CIOG'!$Q$10:$Q$13,MATCH($F220,'CIOG'!$B$10:$B$13,0))),"N/A")</f>
        <v/>
      </c>
      <c r="R220" s="25">
        <f>IFERROR(IF(INDEX('MRE'!$Q$10:$Q$11,MATCH($F220,'MRE'!$B$10:$B$11,0))="","Cell will autofill based on response",INDEX('MRE'!$Q$10:$Q$11,MATCH($F220,'MRE'!$B$10:$B$11,0))),"N/A")</f>
        <v/>
      </c>
    </row>
    <row r="221">
      <c r="A221">
        <f>F221&amp;"|"&amp;G221</f>
        <v/>
      </c>
      <c r="B221" s="7" t="inlineStr">
        <is>
          <t>EI1(d)</t>
        </is>
      </c>
      <c r="C221" s="12" t="inlineStr">
        <is>
          <t>Estate and infrastructure</t>
        </is>
      </c>
      <c r="D221" s="12" t="inlineStr">
        <is>
          <t>Evidence of understanding and integration of Indigenous approaches to sustainability in estate planning and development programs and projects.</t>
        </is>
      </c>
      <c r="E221" s="12"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221" s="12" t="inlineStr">
        <is>
          <t>EI1(d)</t>
        </is>
      </c>
      <c r="G221" s="12" t="inlineStr">
        <is>
          <t>Confirm end-2026 target status</t>
        </is>
      </c>
      <c r="H221" s="25">
        <f>IFERROR(IF(INDEX('Faculties'!$L$10:$L$29,MATCH($F221,'Faculties'!$B$10:$B$29,0))="","Cell will autofill based on response",INDEX('Faculties'!$L$10:$L$29,MATCH($F221,'Faculties'!$B$10:$B$29,0))),"N/A")</f>
        <v/>
      </c>
      <c r="I221" s="25">
        <f>IFERROR(IF(INDEX('Faculties'!$L$37:$L$56,MATCH($F221,'Faculties'!$B$37:$B$56,0))="","Cell will autofill based on response",INDEX('Faculties'!$L$37:$L$56,MATCH($F221,'Faculties'!$B$37:$B$56,0))),"N/A")</f>
        <v/>
      </c>
      <c r="J221" s="25">
        <f>IFERROR(IF(INDEX('Faculties'!$L$64:$L$83,MATCH($F221,'Faculties'!$B$64:$B$83,0))="","Cell will autofill based on response",INDEX('Faculties'!$L$64:$L$83,MATCH($F221,'Faculties'!$B$64:$B$83,0))),"N/A")</f>
        <v/>
      </c>
      <c r="K221" s="25">
        <f>IFERROR(IF(INDEX('Faculties'!$L$91:$L$110,MATCH($F221,'Faculties'!$B$91:$B$110,0))="","Cell will autofill based on response",INDEX('Faculties'!$L$91:$L$110,MATCH($F221,'Faculties'!$B$91:$B$110,0))),"N/A")</f>
        <v/>
      </c>
      <c r="L221" s="25">
        <f>IFERROR(IF(INDEX('CI&amp;S'!$L$10:$L$14,MATCH($F221,'CI&amp;S'!$B$10:$B$14,0))="","Cell will autofill based on response",INDEX('CI&amp;S'!$L$10:$L$14,MATCH($F221,'CI&amp;S'!$B$10:$B$14,0))),"N/A")</f>
        <v/>
      </c>
      <c r="M221" s="25">
        <f>IFERROR(IF(INDEX('CI&amp;S'!$L$22:$L$38,MATCH($F221,'CI&amp;S'!$B$22:$B$38,0))="","Cell will autofill based on response",INDEX('CI&amp;S'!$L$22:$L$38,MATCH($F221,'CI&amp;S'!$B$22:$B$38,0))),"N/A")</f>
        <v/>
      </c>
      <c r="N221" s="25">
        <f>IFERROR(IF(INDEX('CFOG'!$L$10:$L$15,MATCH($F221,'CFOG'!$B$10:$B$15,0))="","Cell will autofill based on response",INDEX('CFOG'!$L$10:$L$15,MATCH($F221,'CFOG'!$B$10:$B$15,0))),"N/A")</f>
        <v/>
      </c>
      <c r="O221" s="25">
        <f>IFERROR(IF(INDEX('CFOG'!$L$23:$L$23,MATCH($F221,'CFOG'!$B$23:$B$23,0))="","Cell will autofill based on response",INDEX('CFOG'!$L$23:$L$23,MATCH($F221,'CFOG'!$B$23:$B$23,0))),"N/A")</f>
        <v/>
      </c>
      <c r="P221" s="25">
        <f>IFERROR(IF(INDEX('ESG'!$L$10:$L$16,MATCH($F221,'ESG'!$B$10:$B$16,0))="","Cell will autofill based on response",INDEX('ESG'!$L$10:$L$16,MATCH($F221,'ESG'!$B$10:$B$16,0))),"N/A")</f>
        <v/>
      </c>
      <c r="Q221" s="25">
        <f>IFERROR(IF(INDEX('CIOG'!$L$10:$L$13,MATCH($F221,'CIOG'!$B$10:$B$13,0))="","Cell will autofill based on response",INDEX('CIOG'!$L$10:$L$13,MATCH($F221,'CIOG'!$B$10:$B$13,0))),"N/A")</f>
        <v/>
      </c>
      <c r="R221" s="25">
        <f>IFERROR(IF(INDEX('MRE'!$L$10:$L$11,MATCH($F221,'MRE'!$B$10:$B$11,0))="","Cell will autofill based on response",INDEX('MRE'!$L$10:$L$11,MATCH($F221,'MRE'!$B$10:$B$11,0))),"N/A")</f>
        <v/>
      </c>
      <c r="T221" s="26">
        <f>COUNTIF($H221:$R221,"Cell will autofill based on response")</f>
        <v/>
      </c>
      <c r="U221" s="26">
        <f>COUNTIF($H221:$R221,"Not yet started")</f>
        <v/>
      </c>
      <c r="V221" s="26">
        <f>COUNTIF($H221:$R221,"Not met")</f>
        <v/>
      </c>
      <c r="W221" s="26">
        <f>COUNTIF($H221:$R221,"Partially met")</f>
        <v/>
      </c>
      <c r="X221" s="26">
        <f>COUNTIF($H221:$R221,"Met or exceeded")</f>
        <v/>
      </c>
      <c r="Y221" s="26">
        <f>3*X221+2*W221+V221</f>
        <v/>
      </c>
      <c r="Z221" s="26">
        <f>X221+W221+V221+U221</f>
        <v/>
      </c>
      <c r="AA221" s="27">
        <f>IF(Z221&gt;0,Y221/Z221,"No valid responses to date")</f>
        <v/>
      </c>
      <c r="AB221" s="26">
        <f>IF(ISNUMBER(AA221),INDEX(Lists!$G$2:$G$5,MATCH(ROUND(AA221,0),Lists!$H$2:$H$5,0)),"")</f>
        <v/>
      </c>
      <c r="AC221" s="28">
        <f>IF(Z221&gt;0,X221/Z221,"")</f>
        <v/>
      </c>
      <c r="AD221" s="28">
        <f>IF(Z221&gt;0,(X221+W221)/Z221,"")</f>
        <v/>
      </c>
      <c r="AE221" s="26">
        <f>IF(Z221=0,"",IF(AC221&gt;0.75,"Met or exceeded",IF(AD221&gt;=0.5,"Partially met","Not met")))</f>
        <v/>
      </c>
    </row>
    <row r="222">
      <c r="A222">
        <f>F222&amp;"|"&amp;G222</f>
        <v/>
      </c>
      <c r="B222" s="29" t="inlineStr"/>
      <c r="C222" s="8" t="inlineStr"/>
      <c r="D222" s="8" t="inlineStr"/>
      <c r="E222" s="8" t="inlineStr"/>
      <c r="F222" s="8" t="inlineStr">
        <is>
          <t>EI1(d)</t>
        </is>
      </c>
      <c r="G222" s="8" t="inlineStr">
        <is>
          <t>OPTION 1:  Target-level reporting</t>
        </is>
      </c>
      <c r="H222" s="25">
        <f>IFERROR(IF(INDEX('Faculties'!$M$10:$M$29,MATCH($F222,'Faculties'!$B$10:$B$29,0))="","Cell will autofill based on response",INDEX('Faculties'!$M$10:$M$29,MATCH($F222,'Faculties'!$B$10:$B$29,0))),"N/A")</f>
        <v/>
      </c>
      <c r="I222" s="25">
        <f>IFERROR(IF(INDEX('Faculties'!$M$37:$M$56,MATCH($F222,'Faculties'!$B$37:$B$56,0))="","Cell will autofill based on response",INDEX('Faculties'!$M$37:$M$56,MATCH($F222,'Faculties'!$B$37:$B$56,0))),"N/A")</f>
        <v/>
      </c>
      <c r="J222" s="25">
        <f>IFERROR(IF(INDEX('Faculties'!$M$64:$M$83,MATCH($F222,'Faculties'!$B$64:$B$83,0))="","Cell will autofill based on response",INDEX('Faculties'!$M$64:$M$83,MATCH($F222,'Faculties'!$B$64:$B$83,0))),"N/A")</f>
        <v/>
      </c>
      <c r="K222" s="25">
        <f>IFERROR(IF(INDEX('Faculties'!$M$91:$M$110,MATCH($F222,'Faculties'!$B$91:$B$110,0))="","Cell will autofill based on response",INDEX('Faculties'!$M$91:$M$110,MATCH($F222,'Faculties'!$B$91:$B$110,0))),"N/A")</f>
        <v/>
      </c>
      <c r="L222" s="25">
        <f>IFERROR(IF(INDEX('CI&amp;S'!$M$10:$M$14,MATCH($F222,'CI&amp;S'!$B$10:$B$14,0))="","Cell will autofill based on response",INDEX('CI&amp;S'!$M$10:$M$14,MATCH($F222,'CI&amp;S'!$B$10:$B$14,0))),"N/A")</f>
        <v/>
      </c>
      <c r="M222" s="25">
        <f>IFERROR(IF(INDEX('CI&amp;S'!$M$22:$M$38,MATCH($F222,'CI&amp;S'!$B$22:$B$38,0))="","Cell will autofill based on response",INDEX('CI&amp;S'!$M$22:$M$38,MATCH($F222,'CI&amp;S'!$B$22:$B$38,0))),"N/A")</f>
        <v/>
      </c>
      <c r="N222" s="25">
        <f>IFERROR(IF(INDEX('CFOG'!$M$10:$M$15,MATCH($F222,'CFOG'!$B$10:$B$15,0))="","Cell will autofill based on response",INDEX('CFOG'!$M$10:$M$15,MATCH($F222,'CFOG'!$B$10:$B$15,0))),"N/A")</f>
        <v/>
      </c>
      <c r="O222" s="25">
        <f>IFERROR(IF(INDEX('CFOG'!$M$23:$M$23,MATCH($F222,'CFOG'!$B$23:$B$23,0))="","Cell will autofill based on response",INDEX('CFOG'!$M$23:$M$23,MATCH($F222,'CFOG'!$B$23:$B$23,0))),"N/A")</f>
        <v/>
      </c>
      <c r="P222" s="25">
        <f>IFERROR(IF(INDEX('ESG'!$M$10:$M$16,MATCH($F222,'ESG'!$B$10:$B$16,0))="","Cell will autofill based on response",INDEX('ESG'!$M$10:$M$16,MATCH($F222,'ESG'!$B$10:$B$16,0))),"N/A")</f>
        <v/>
      </c>
      <c r="Q222" s="25">
        <f>IFERROR(IF(INDEX('CIOG'!$M$10:$M$13,MATCH($F222,'CIOG'!$B$10:$B$13,0))="","Cell will autofill based on response",INDEX('CIOG'!$M$10:$M$13,MATCH($F222,'CIOG'!$B$10:$B$13,0))),"N/A")</f>
        <v/>
      </c>
      <c r="R222" s="25">
        <f>IFERROR(IF(INDEX('MRE'!$M$10:$M$11,MATCH($F222,'MRE'!$B$10:$B$11,0))="","Cell will autofill based on response",INDEX('MRE'!$M$10:$M$11,MATCH($F222,'MRE'!$B$10:$B$11,0))),"N/A")</f>
        <v/>
      </c>
    </row>
    <row r="223">
      <c r="A223">
        <f>F223&amp;"|"&amp;G223</f>
        <v/>
      </c>
      <c r="B223" s="29" t="inlineStr"/>
      <c r="C223" s="8" t="inlineStr"/>
      <c r="D223" s="8" t="inlineStr"/>
      <c r="E223" s="8" t="inlineStr"/>
      <c r="F223" s="8" t="inlineStr">
        <is>
          <t>EI1(d)</t>
        </is>
      </c>
      <c r="G223" s="8" t="inlineStr">
        <is>
          <t>OPTION 2:  Indicator level reporting</t>
        </is>
      </c>
      <c r="H223" s="25">
        <f>IFERROR(IF(INDEX('Faculties'!$N$10:$N$29,MATCH($F223,'Faculties'!$B$10:$B$29,0))="","Cell will autofill based on response",INDEX('Faculties'!$N$10:$N$29,MATCH($F223,'Faculties'!$B$10:$B$29,0))),"N/A")</f>
        <v/>
      </c>
      <c r="I223" s="25">
        <f>IFERROR(IF(INDEX('Faculties'!$N$37:$N$56,MATCH($F223,'Faculties'!$B$37:$B$56,0))="","Cell will autofill based on response",INDEX('Faculties'!$N$37:$N$56,MATCH($F223,'Faculties'!$B$37:$B$56,0))),"N/A")</f>
        <v/>
      </c>
      <c r="J223" s="25">
        <f>IFERROR(IF(INDEX('Faculties'!$N$64:$N$83,MATCH($F223,'Faculties'!$B$64:$B$83,0))="","Cell will autofill based on response",INDEX('Faculties'!$N$64:$N$83,MATCH($F223,'Faculties'!$B$64:$B$83,0))),"N/A")</f>
        <v/>
      </c>
      <c r="K223" s="25">
        <f>IFERROR(IF(INDEX('Faculties'!$N$91:$N$110,MATCH($F223,'Faculties'!$B$91:$B$110,0))="","Cell will autofill based on response",INDEX('Faculties'!$N$91:$N$110,MATCH($F223,'Faculties'!$B$91:$B$110,0))),"N/A")</f>
        <v/>
      </c>
      <c r="L223" s="25">
        <f>IFERROR(IF(INDEX('CI&amp;S'!$N$10:$N$14,MATCH($F223,'CI&amp;S'!$B$10:$B$14,0))="","Cell will autofill based on response",INDEX('CI&amp;S'!$N$10:$N$14,MATCH($F223,'CI&amp;S'!$B$10:$B$14,0))),"N/A")</f>
        <v/>
      </c>
      <c r="M223" s="25">
        <f>IFERROR(IF(INDEX('CI&amp;S'!$N$22:$N$38,MATCH($F223,'CI&amp;S'!$B$22:$B$38,0))="","Cell will autofill based on response",INDEX('CI&amp;S'!$N$22:$N$38,MATCH($F223,'CI&amp;S'!$B$22:$B$38,0))),"N/A")</f>
        <v/>
      </c>
      <c r="N223" s="25">
        <f>IFERROR(IF(INDEX('CFOG'!$N$10:$N$15,MATCH($F223,'CFOG'!$B$10:$B$15,0))="","Cell will autofill based on response",INDEX('CFOG'!$N$10:$N$15,MATCH($F223,'CFOG'!$B$10:$B$15,0))),"N/A")</f>
        <v/>
      </c>
      <c r="O223" s="25">
        <f>IFERROR(IF(INDEX('CFOG'!$N$23:$N$23,MATCH($F223,'CFOG'!$B$23:$B$23,0))="","Cell will autofill based on response",INDEX('CFOG'!$N$23:$N$23,MATCH($F223,'CFOG'!$B$23:$B$23,0))),"N/A")</f>
        <v/>
      </c>
      <c r="P223" s="25">
        <f>IFERROR(IF(INDEX('ESG'!$N$10:$N$16,MATCH($F223,'ESG'!$B$10:$B$16,0))="","Cell will autofill based on response",INDEX('ESG'!$N$10:$N$16,MATCH($F223,'ESG'!$B$10:$B$16,0))),"N/A")</f>
        <v/>
      </c>
      <c r="Q223" s="25">
        <f>IFERROR(IF(INDEX('CIOG'!$N$10:$N$13,MATCH($F223,'CIOG'!$B$10:$B$13,0))="","Cell will autofill based on response",INDEX('CIOG'!$N$10:$N$13,MATCH($F223,'CIOG'!$B$10:$B$13,0))),"N/A")</f>
        <v/>
      </c>
      <c r="R223" s="25">
        <f>IFERROR(IF(INDEX('MRE'!$N$10:$N$11,MATCH($F223,'MRE'!$B$10:$B$11,0))="","Cell will autofill based on response",INDEX('MRE'!$N$10:$N$11,MATCH($F223,'MRE'!$B$10:$B$11,0))),"N/A")</f>
        <v/>
      </c>
    </row>
    <row r="224">
      <c r="A224">
        <f>F224&amp;"|"&amp;G224</f>
        <v/>
      </c>
      <c r="B224" s="29" t="inlineStr"/>
      <c r="C224" s="8" t="inlineStr"/>
      <c r="D224" s="8" t="inlineStr"/>
      <c r="E224" s="8" t="inlineStr"/>
      <c r="F224" s="8" t="inlineStr">
        <is>
          <t>EI1(d)</t>
        </is>
      </c>
      <c r="G224" s="8" t="inlineStr">
        <is>
          <t>Supporting information/comments</t>
        </is>
      </c>
      <c r="H224" s="25">
        <f>IFERROR(IF(INDEX('Faculties'!$O$10:$O$29,MATCH($F224,'Faculties'!$B$10:$B$29,0))="","Cell will autofill based on response",INDEX('Faculties'!$O$10:$O$29,MATCH($F224,'Faculties'!$B$10:$B$29,0))),"N/A")</f>
        <v/>
      </c>
      <c r="I224" s="25">
        <f>IFERROR(IF(INDEX('Faculties'!$O$37:$O$56,MATCH($F224,'Faculties'!$B$37:$B$56,0))="","Cell will autofill based on response",INDEX('Faculties'!$O$37:$O$56,MATCH($F224,'Faculties'!$B$37:$B$56,0))),"N/A")</f>
        <v/>
      </c>
      <c r="J224" s="25">
        <f>IFERROR(IF(INDEX('Faculties'!$O$64:$O$83,MATCH($F224,'Faculties'!$B$64:$B$83,0))="","Cell will autofill based on response",INDEX('Faculties'!$O$64:$O$83,MATCH($F224,'Faculties'!$B$64:$B$83,0))),"N/A")</f>
        <v/>
      </c>
      <c r="K224" s="25">
        <f>IFERROR(IF(INDEX('Faculties'!$O$91:$O$110,MATCH($F224,'Faculties'!$B$91:$B$110,0))="","Cell will autofill based on response",INDEX('Faculties'!$O$91:$O$110,MATCH($F224,'Faculties'!$B$91:$B$110,0))),"N/A")</f>
        <v/>
      </c>
      <c r="L224" s="25">
        <f>IFERROR(IF(INDEX('CI&amp;S'!$O$10:$O$14,MATCH($F224,'CI&amp;S'!$B$10:$B$14,0))="","Cell will autofill based on response",INDEX('CI&amp;S'!$O$10:$O$14,MATCH($F224,'CI&amp;S'!$B$10:$B$14,0))),"N/A")</f>
        <v/>
      </c>
      <c r="M224" s="25">
        <f>IFERROR(IF(INDEX('CI&amp;S'!$O$22:$O$38,MATCH($F224,'CI&amp;S'!$B$22:$B$38,0))="","Cell will autofill based on response",INDEX('CI&amp;S'!$O$22:$O$38,MATCH($F224,'CI&amp;S'!$B$22:$B$38,0))),"N/A")</f>
        <v/>
      </c>
      <c r="N224" s="25">
        <f>IFERROR(IF(INDEX('CFOG'!$O$10:$O$15,MATCH($F224,'CFOG'!$B$10:$B$15,0))="","Cell will autofill based on response",INDEX('CFOG'!$O$10:$O$15,MATCH($F224,'CFOG'!$B$10:$B$15,0))),"N/A")</f>
        <v/>
      </c>
      <c r="O224" s="25">
        <f>IFERROR(IF(INDEX('CFOG'!$O$23:$O$23,MATCH($F224,'CFOG'!$B$23:$B$23,0))="","Cell will autofill based on response",INDEX('CFOG'!$O$23:$O$23,MATCH($F224,'CFOG'!$B$23:$B$23,0))),"N/A")</f>
        <v/>
      </c>
      <c r="P224" s="25">
        <f>IFERROR(IF(INDEX('ESG'!$O$10:$O$16,MATCH($F224,'ESG'!$B$10:$B$16,0))="","Cell will autofill based on response",INDEX('ESG'!$O$10:$O$16,MATCH($F224,'ESG'!$B$10:$B$16,0))),"N/A")</f>
        <v/>
      </c>
      <c r="Q224" s="25">
        <f>IFERROR(IF(INDEX('CIOG'!$O$10:$O$13,MATCH($F224,'CIOG'!$B$10:$B$13,0))="","Cell will autofill based on response",INDEX('CIOG'!$O$10:$O$13,MATCH($F224,'CIOG'!$B$10:$B$13,0))),"N/A")</f>
        <v/>
      </c>
      <c r="R224" s="25">
        <f>IFERROR(IF(INDEX('MRE'!$O$10:$O$11,MATCH($F224,'MRE'!$B$10:$B$11,0))="","Cell will autofill based on response",INDEX('MRE'!$O$10:$O$11,MATCH($F224,'MRE'!$B$10:$B$11,0))),"N/A")</f>
        <v/>
      </c>
    </row>
    <row r="225">
      <c r="A225">
        <f>F225&amp;"|"&amp;G225</f>
        <v/>
      </c>
      <c r="B225" s="29" t="inlineStr"/>
      <c r="C225" s="8" t="inlineStr"/>
      <c r="D225" s="8" t="inlineStr"/>
      <c r="E225" s="8" t="inlineStr"/>
      <c r="F225" s="8" t="inlineStr">
        <is>
          <t>EI1(d)</t>
        </is>
      </c>
      <c r="G225" s="8" t="inlineStr">
        <is>
          <t>Data source and limitations</t>
        </is>
      </c>
      <c r="H225" s="25">
        <f>IFERROR(IF(INDEX('Faculties'!$P$10:$P$29,MATCH($F225,'Faculties'!$B$10:$B$29,0))="","Cell will autofill based on response",INDEX('Faculties'!$P$10:$P$29,MATCH($F225,'Faculties'!$B$10:$B$29,0))),"N/A")</f>
        <v/>
      </c>
      <c r="I225" s="25">
        <f>IFERROR(IF(INDEX('Faculties'!$P$37:$P$56,MATCH($F225,'Faculties'!$B$37:$B$56,0))="","Cell will autofill based on response",INDEX('Faculties'!$P$37:$P$56,MATCH($F225,'Faculties'!$B$37:$B$56,0))),"N/A")</f>
        <v/>
      </c>
      <c r="J225" s="25">
        <f>IFERROR(IF(INDEX('Faculties'!$P$64:$P$83,MATCH($F225,'Faculties'!$B$64:$B$83,0))="","Cell will autofill based on response",INDEX('Faculties'!$P$64:$P$83,MATCH($F225,'Faculties'!$B$64:$B$83,0))),"N/A")</f>
        <v/>
      </c>
      <c r="K225" s="25">
        <f>IFERROR(IF(INDEX('Faculties'!$P$91:$P$110,MATCH($F225,'Faculties'!$B$91:$B$110,0))="","Cell will autofill based on response",INDEX('Faculties'!$P$91:$P$110,MATCH($F225,'Faculties'!$B$91:$B$110,0))),"N/A")</f>
        <v/>
      </c>
      <c r="L225" s="25">
        <f>IFERROR(IF(INDEX('CI&amp;S'!$P$10:$P$14,MATCH($F225,'CI&amp;S'!$B$10:$B$14,0))="","Cell will autofill based on response",INDEX('CI&amp;S'!$P$10:$P$14,MATCH($F225,'CI&amp;S'!$B$10:$B$14,0))),"N/A")</f>
        <v/>
      </c>
      <c r="M225" s="25">
        <f>IFERROR(IF(INDEX('CI&amp;S'!$P$22:$P$38,MATCH($F225,'CI&amp;S'!$B$22:$B$38,0))="","Cell will autofill based on response",INDEX('CI&amp;S'!$P$22:$P$38,MATCH($F225,'CI&amp;S'!$B$22:$B$38,0))),"N/A")</f>
        <v/>
      </c>
      <c r="N225" s="25">
        <f>IFERROR(IF(INDEX('CFOG'!$P$10:$P$15,MATCH($F225,'CFOG'!$B$10:$B$15,0))="","Cell will autofill based on response",INDEX('CFOG'!$P$10:$P$15,MATCH($F225,'CFOG'!$B$10:$B$15,0))),"N/A")</f>
        <v/>
      </c>
      <c r="O225" s="25">
        <f>IFERROR(IF(INDEX('CFOG'!$P$23:$P$23,MATCH($F225,'CFOG'!$B$23:$B$23,0))="","Cell will autofill based on response",INDEX('CFOG'!$P$23:$P$23,MATCH($F225,'CFOG'!$B$23:$B$23,0))),"N/A")</f>
        <v/>
      </c>
      <c r="P225" s="25">
        <f>IFERROR(IF(INDEX('ESG'!$P$10:$P$16,MATCH($F225,'ESG'!$B$10:$B$16,0))="","Cell will autofill based on response",INDEX('ESG'!$P$10:$P$16,MATCH($F225,'ESG'!$B$10:$B$16,0))),"N/A")</f>
        <v/>
      </c>
      <c r="Q225" s="25">
        <f>IFERROR(IF(INDEX('CIOG'!$P$10:$P$13,MATCH($F225,'CIOG'!$B$10:$B$13,0))="","Cell will autofill based on response",INDEX('CIOG'!$P$10:$P$13,MATCH($F225,'CIOG'!$B$10:$B$13,0))),"N/A")</f>
        <v/>
      </c>
      <c r="R225" s="25">
        <f>IFERROR(IF(INDEX('MRE'!$P$10:$P$11,MATCH($F225,'MRE'!$B$10:$B$11,0))="","Cell will autofill based on response",INDEX('MRE'!$P$10:$P$11,MATCH($F225,'MRE'!$B$10:$B$11,0))),"N/A")</f>
        <v/>
      </c>
    </row>
    <row r="226">
      <c r="A226">
        <f>F226&amp;"|"&amp;G226</f>
        <v/>
      </c>
      <c r="B226" s="29" t="inlineStr"/>
      <c r="C226" s="8" t="inlineStr"/>
      <c r="D226" s="8" t="inlineStr"/>
      <c r="E226" s="8" t="inlineStr"/>
      <c r="F226" s="8" t="inlineStr">
        <is>
          <t>EI1(d)</t>
        </is>
      </c>
      <c r="G226" s="8" t="inlineStr">
        <is>
          <t>Data owner confirms</t>
        </is>
      </c>
      <c r="H226" s="25">
        <f>IFERROR(IF(INDEX('Faculties'!$Q$10:$Q$29,MATCH($F226,'Faculties'!$B$10:$B$29,0))="","Cell will autofill based on response",INDEX('Faculties'!$Q$10:$Q$29,MATCH($F226,'Faculties'!$B$10:$B$29,0))),"N/A")</f>
        <v/>
      </c>
      <c r="I226" s="25">
        <f>IFERROR(IF(INDEX('Faculties'!$Q$37:$Q$56,MATCH($F226,'Faculties'!$B$37:$B$56,0))="","Cell will autofill based on response",INDEX('Faculties'!$Q$37:$Q$56,MATCH($F226,'Faculties'!$B$37:$B$56,0))),"N/A")</f>
        <v/>
      </c>
      <c r="J226" s="25">
        <f>IFERROR(IF(INDEX('Faculties'!$Q$64:$Q$83,MATCH($F226,'Faculties'!$B$64:$B$83,0))="","Cell will autofill based on response",INDEX('Faculties'!$Q$64:$Q$83,MATCH($F226,'Faculties'!$B$64:$B$83,0))),"N/A")</f>
        <v/>
      </c>
      <c r="K226" s="25">
        <f>IFERROR(IF(INDEX('Faculties'!$Q$91:$Q$110,MATCH($F226,'Faculties'!$B$91:$B$110,0))="","Cell will autofill based on response",INDEX('Faculties'!$Q$91:$Q$110,MATCH($F226,'Faculties'!$B$91:$B$110,0))),"N/A")</f>
        <v/>
      </c>
      <c r="L226" s="25">
        <f>IFERROR(IF(INDEX('CI&amp;S'!$Q$10:$Q$14,MATCH($F226,'CI&amp;S'!$B$10:$B$14,0))="","Cell will autofill based on response",INDEX('CI&amp;S'!$Q$10:$Q$14,MATCH($F226,'CI&amp;S'!$B$10:$B$14,0))),"N/A")</f>
        <v/>
      </c>
      <c r="M226" s="25">
        <f>IFERROR(IF(INDEX('CI&amp;S'!$Q$22:$Q$38,MATCH($F226,'CI&amp;S'!$B$22:$B$38,0))="","Cell will autofill based on response",INDEX('CI&amp;S'!$Q$22:$Q$38,MATCH($F226,'CI&amp;S'!$B$22:$B$38,0))),"N/A")</f>
        <v/>
      </c>
      <c r="N226" s="25">
        <f>IFERROR(IF(INDEX('CFOG'!$Q$10:$Q$15,MATCH($F226,'CFOG'!$B$10:$B$15,0))="","Cell will autofill based on response",INDEX('CFOG'!$Q$10:$Q$15,MATCH($F226,'CFOG'!$B$10:$B$15,0))),"N/A")</f>
        <v/>
      </c>
      <c r="O226" s="25">
        <f>IFERROR(IF(INDEX('CFOG'!$Q$23:$Q$23,MATCH($F226,'CFOG'!$B$23:$B$23,0))="","Cell will autofill based on response",INDEX('CFOG'!$Q$23:$Q$23,MATCH($F226,'CFOG'!$B$23:$B$23,0))),"N/A")</f>
        <v/>
      </c>
      <c r="P226" s="25">
        <f>IFERROR(IF(INDEX('ESG'!$Q$10:$Q$16,MATCH($F226,'ESG'!$B$10:$B$16,0))="","Cell will autofill based on response",INDEX('ESG'!$Q$10:$Q$16,MATCH($F226,'ESG'!$B$10:$B$16,0))),"N/A")</f>
        <v/>
      </c>
      <c r="Q226" s="25">
        <f>IFERROR(IF(INDEX('CIOG'!$Q$10:$Q$13,MATCH($F226,'CIOG'!$B$10:$B$13,0))="","Cell will autofill based on response",INDEX('CIOG'!$Q$10:$Q$13,MATCH($F226,'CIOG'!$B$10:$B$13,0))),"N/A")</f>
        <v/>
      </c>
      <c r="R226" s="25">
        <f>IFERROR(IF(INDEX('MRE'!$Q$10:$Q$11,MATCH($F226,'MRE'!$B$10:$B$11,0))="","Cell will autofill based on response",INDEX('MRE'!$Q$10:$Q$11,MATCH($F226,'MRE'!$B$10:$B$11,0))),"N/A")</f>
        <v/>
      </c>
    </row>
    <row r="227">
      <c r="A227">
        <f>F227&amp;"|"&amp;G227</f>
        <v/>
      </c>
      <c r="B227" s="7" t="inlineStr">
        <is>
          <t>CE1(a)</t>
        </is>
      </c>
      <c r="C227" s="12" t="inlineStr">
        <is>
          <t>Circular economy</t>
        </is>
      </c>
      <c r="D227" s="12" t="inlineStr">
        <is>
          <t>Comparison of year-to-year tonnes of waste (absolute).</t>
        </is>
      </c>
      <c r="E227" s="12" t="inlineStr">
        <is>
          <t>tonnes of waste; % change against previous baseline</t>
        </is>
      </c>
      <c r="F227" s="12" t="inlineStr">
        <is>
          <t>CE1(a)</t>
        </is>
      </c>
      <c r="G227" s="12" t="inlineStr">
        <is>
          <t>Confirm end-2026 target status</t>
        </is>
      </c>
      <c r="H227" s="25">
        <f>IFERROR(IF(INDEX('Faculties'!$L$10:$L$29,MATCH($F227,'Faculties'!$B$10:$B$29,0))="","Cell will autofill based on response",INDEX('Faculties'!$L$10:$L$29,MATCH($F227,'Faculties'!$B$10:$B$29,0))),"N/A")</f>
        <v/>
      </c>
      <c r="I227" s="25">
        <f>IFERROR(IF(INDEX('Faculties'!$L$37:$L$56,MATCH($F227,'Faculties'!$B$37:$B$56,0))="","Cell will autofill based on response",INDEX('Faculties'!$L$37:$L$56,MATCH($F227,'Faculties'!$B$37:$B$56,0))),"N/A")</f>
        <v/>
      </c>
      <c r="J227" s="25">
        <f>IFERROR(IF(INDEX('Faculties'!$L$64:$L$83,MATCH($F227,'Faculties'!$B$64:$B$83,0))="","Cell will autofill based on response",INDEX('Faculties'!$L$64:$L$83,MATCH($F227,'Faculties'!$B$64:$B$83,0))),"N/A")</f>
        <v/>
      </c>
      <c r="K227" s="25">
        <f>IFERROR(IF(INDEX('Faculties'!$L$91:$L$110,MATCH($F227,'Faculties'!$B$91:$B$110,0))="","Cell will autofill based on response",INDEX('Faculties'!$L$91:$L$110,MATCH($F227,'Faculties'!$B$91:$B$110,0))),"N/A")</f>
        <v/>
      </c>
      <c r="L227" s="25">
        <f>IFERROR(IF(INDEX('CI&amp;S'!$L$10:$L$14,MATCH($F227,'CI&amp;S'!$B$10:$B$14,0))="","Cell will autofill based on response",INDEX('CI&amp;S'!$L$10:$L$14,MATCH($F227,'CI&amp;S'!$B$10:$B$14,0))),"N/A")</f>
        <v/>
      </c>
      <c r="M227" s="25">
        <f>IFERROR(IF(INDEX('CI&amp;S'!$L$22:$L$38,MATCH($F227,'CI&amp;S'!$B$22:$B$38,0))="","Cell will autofill based on response",INDEX('CI&amp;S'!$L$22:$L$38,MATCH($F227,'CI&amp;S'!$B$22:$B$38,0))),"N/A")</f>
        <v/>
      </c>
      <c r="N227" s="25">
        <f>IFERROR(IF(INDEX('CFOG'!$L$10:$L$15,MATCH($F227,'CFOG'!$B$10:$B$15,0))="","Cell will autofill based on response",INDEX('CFOG'!$L$10:$L$15,MATCH($F227,'CFOG'!$B$10:$B$15,0))),"N/A")</f>
        <v/>
      </c>
      <c r="O227" s="25">
        <f>IFERROR(IF(INDEX('CFOG'!$L$23:$L$23,MATCH($F227,'CFOG'!$B$23:$B$23,0))="","Cell will autofill based on response",INDEX('CFOG'!$L$23:$L$23,MATCH($F227,'CFOG'!$B$23:$B$23,0))),"N/A")</f>
        <v/>
      </c>
      <c r="P227" s="25">
        <f>IFERROR(IF(INDEX('ESG'!$L$10:$L$16,MATCH($F227,'ESG'!$B$10:$B$16,0))="","Cell will autofill based on response",INDEX('ESG'!$L$10:$L$16,MATCH($F227,'ESG'!$B$10:$B$16,0))),"N/A")</f>
        <v/>
      </c>
      <c r="Q227" s="25">
        <f>IFERROR(IF(INDEX('CIOG'!$L$10:$L$13,MATCH($F227,'CIOG'!$B$10:$B$13,0))="","Cell will autofill based on response",INDEX('CIOG'!$L$10:$L$13,MATCH($F227,'CIOG'!$B$10:$B$13,0))),"N/A")</f>
        <v/>
      </c>
      <c r="R227" s="25">
        <f>IFERROR(IF(INDEX('MRE'!$L$10:$L$11,MATCH($F227,'MRE'!$B$10:$B$11,0))="","Cell will autofill based on response",INDEX('MRE'!$L$10:$L$11,MATCH($F227,'MRE'!$B$10:$B$11,0))),"N/A")</f>
        <v/>
      </c>
      <c r="T227" s="26">
        <f>COUNTIF($H227:$R227,"Cell will autofill based on response")</f>
        <v/>
      </c>
      <c r="U227" s="26">
        <f>COUNTIF($H227:$R227,"Not yet started")</f>
        <v/>
      </c>
      <c r="V227" s="26">
        <f>COUNTIF($H227:$R227,"Not met")</f>
        <v/>
      </c>
      <c r="W227" s="26">
        <f>COUNTIF($H227:$R227,"Partially met")</f>
        <v/>
      </c>
      <c r="X227" s="26">
        <f>COUNTIF($H227:$R227,"Met or exceeded")</f>
        <v/>
      </c>
      <c r="Y227" s="26">
        <f>3*X227+2*W227+V227</f>
        <v/>
      </c>
      <c r="Z227" s="26">
        <f>X227+W227+V227+U227</f>
        <v/>
      </c>
      <c r="AA227" s="27">
        <f>IF(Z227&gt;0,Y227/Z227,"No valid responses to date")</f>
        <v/>
      </c>
      <c r="AB227" s="26">
        <f>IF(ISNUMBER(AA227),INDEX(Lists!$G$2:$G$5,MATCH(ROUND(AA227,0),Lists!$H$2:$H$5,0)),"")</f>
        <v/>
      </c>
      <c r="AC227" s="28">
        <f>IF(Z227&gt;0,X227/Z227,"")</f>
        <v/>
      </c>
      <c r="AD227" s="28">
        <f>IF(Z227&gt;0,(X227+W227)/Z227,"")</f>
        <v/>
      </c>
      <c r="AE227" s="26">
        <f>IF(Z227=0,"",IF(AC227&gt;0.75,"Met or exceeded",IF(AD227&gt;=0.5,"Partially met","Not met")))</f>
        <v/>
      </c>
    </row>
    <row r="228">
      <c r="A228">
        <f>F228&amp;"|"&amp;G228</f>
        <v/>
      </c>
      <c r="B228" s="29" t="inlineStr"/>
      <c r="C228" s="8" t="inlineStr"/>
      <c r="D228" s="8" t="inlineStr"/>
      <c r="E228" s="8" t="inlineStr"/>
      <c r="F228" s="8" t="inlineStr">
        <is>
          <t>CE1(a)</t>
        </is>
      </c>
      <c r="G228" s="8" t="inlineStr">
        <is>
          <t>OPTION 1:  Target-level reporting</t>
        </is>
      </c>
      <c r="H228" s="25">
        <f>IFERROR(IF(INDEX('Faculties'!$M$10:$M$29,MATCH($F228,'Faculties'!$B$10:$B$29,0))="","Cell will autofill based on response",INDEX('Faculties'!$M$10:$M$29,MATCH($F228,'Faculties'!$B$10:$B$29,0))),"N/A")</f>
        <v/>
      </c>
      <c r="I228" s="25">
        <f>IFERROR(IF(INDEX('Faculties'!$M$37:$M$56,MATCH($F228,'Faculties'!$B$37:$B$56,0))="","Cell will autofill based on response",INDEX('Faculties'!$M$37:$M$56,MATCH($F228,'Faculties'!$B$37:$B$56,0))),"N/A")</f>
        <v/>
      </c>
      <c r="J228" s="25">
        <f>IFERROR(IF(INDEX('Faculties'!$M$64:$M$83,MATCH($F228,'Faculties'!$B$64:$B$83,0))="","Cell will autofill based on response",INDEX('Faculties'!$M$64:$M$83,MATCH($F228,'Faculties'!$B$64:$B$83,0))),"N/A")</f>
        <v/>
      </c>
      <c r="K228" s="25">
        <f>IFERROR(IF(INDEX('Faculties'!$M$91:$M$110,MATCH($F228,'Faculties'!$B$91:$B$110,0))="","Cell will autofill based on response",INDEX('Faculties'!$M$91:$M$110,MATCH($F228,'Faculties'!$B$91:$B$110,0))),"N/A")</f>
        <v/>
      </c>
      <c r="L228" s="25">
        <f>IFERROR(IF(INDEX('CI&amp;S'!$M$10:$M$14,MATCH($F228,'CI&amp;S'!$B$10:$B$14,0))="","Cell will autofill based on response",INDEX('CI&amp;S'!$M$10:$M$14,MATCH($F228,'CI&amp;S'!$B$10:$B$14,0))),"N/A")</f>
        <v/>
      </c>
      <c r="M228" s="25">
        <f>IFERROR(IF(INDEX('CI&amp;S'!$M$22:$M$38,MATCH($F228,'CI&amp;S'!$B$22:$B$38,0))="","Cell will autofill based on response",INDEX('CI&amp;S'!$M$22:$M$38,MATCH($F228,'CI&amp;S'!$B$22:$B$38,0))),"N/A")</f>
        <v/>
      </c>
      <c r="N228" s="25">
        <f>IFERROR(IF(INDEX('CFOG'!$M$10:$M$15,MATCH($F228,'CFOG'!$B$10:$B$15,0))="","Cell will autofill based on response",INDEX('CFOG'!$M$10:$M$15,MATCH($F228,'CFOG'!$B$10:$B$15,0))),"N/A")</f>
        <v/>
      </c>
      <c r="O228" s="25">
        <f>IFERROR(IF(INDEX('CFOG'!$M$23:$M$23,MATCH($F228,'CFOG'!$B$23:$B$23,0))="","Cell will autofill based on response",INDEX('CFOG'!$M$23:$M$23,MATCH($F228,'CFOG'!$B$23:$B$23,0))),"N/A")</f>
        <v/>
      </c>
      <c r="P228" s="25">
        <f>IFERROR(IF(INDEX('ESG'!$M$10:$M$16,MATCH($F228,'ESG'!$B$10:$B$16,0))="","Cell will autofill based on response",INDEX('ESG'!$M$10:$M$16,MATCH($F228,'ESG'!$B$10:$B$16,0))),"N/A")</f>
        <v/>
      </c>
      <c r="Q228" s="25">
        <f>IFERROR(IF(INDEX('CIOG'!$M$10:$M$13,MATCH($F228,'CIOG'!$B$10:$B$13,0))="","Cell will autofill based on response",INDEX('CIOG'!$M$10:$M$13,MATCH($F228,'CIOG'!$B$10:$B$13,0))),"N/A")</f>
        <v/>
      </c>
      <c r="R228" s="25">
        <f>IFERROR(IF(INDEX('MRE'!$M$10:$M$11,MATCH($F228,'MRE'!$B$10:$B$11,0))="","Cell will autofill based on response",INDEX('MRE'!$M$10:$M$11,MATCH($F228,'MRE'!$B$10:$B$11,0))),"N/A")</f>
        <v/>
      </c>
    </row>
    <row r="229">
      <c r="A229">
        <f>F229&amp;"|"&amp;G229</f>
        <v/>
      </c>
      <c r="B229" s="29" t="inlineStr"/>
      <c r="C229" s="8" t="inlineStr"/>
      <c r="D229" s="8" t="inlineStr"/>
      <c r="E229" s="8" t="inlineStr"/>
      <c r="F229" s="8" t="inlineStr">
        <is>
          <t>CE1(a)</t>
        </is>
      </c>
      <c r="G229" s="8" t="inlineStr">
        <is>
          <t>OPTION 2:  Indicator level reporting</t>
        </is>
      </c>
      <c r="H229" s="25">
        <f>IFERROR(IF(INDEX('Faculties'!$N$10:$N$29,MATCH($F229,'Faculties'!$B$10:$B$29,0))="","Cell will autofill based on response",INDEX('Faculties'!$N$10:$N$29,MATCH($F229,'Faculties'!$B$10:$B$29,0))),"N/A")</f>
        <v/>
      </c>
      <c r="I229" s="25">
        <f>IFERROR(IF(INDEX('Faculties'!$N$37:$N$56,MATCH($F229,'Faculties'!$B$37:$B$56,0))="","Cell will autofill based on response",INDEX('Faculties'!$N$37:$N$56,MATCH($F229,'Faculties'!$B$37:$B$56,0))),"N/A")</f>
        <v/>
      </c>
      <c r="J229" s="25">
        <f>IFERROR(IF(INDEX('Faculties'!$N$64:$N$83,MATCH($F229,'Faculties'!$B$64:$B$83,0))="","Cell will autofill based on response",INDEX('Faculties'!$N$64:$N$83,MATCH($F229,'Faculties'!$B$64:$B$83,0))),"N/A")</f>
        <v/>
      </c>
      <c r="K229" s="25">
        <f>IFERROR(IF(INDEX('Faculties'!$N$91:$N$110,MATCH($F229,'Faculties'!$B$91:$B$110,0))="","Cell will autofill based on response",INDEX('Faculties'!$N$91:$N$110,MATCH($F229,'Faculties'!$B$91:$B$110,0))),"N/A")</f>
        <v/>
      </c>
      <c r="L229" s="25">
        <f>IFERROR(IF(INDEX('CI&amp;S'!$N$10:$N$14,MATCH($F229,'CI&amp;S'!$B$10:$B$14,0))="","Cell will autofill based on response",INDEX('CI&amp;S'!$N$10:$N$14,MATCH($F229,'CI&amp;S'!$B$10:$B$14,0))),"N/A")</f>
        <v/>
      </c>
      <c r="M229" s="25">
        <f>IFERROR(IF(INDEX('CI&amp;S'!$N$22:$N$38,MATCH($F229,'CI&amp;S'!$B$22:$B$38,0))="","Cell will autofill based on response",INDEX('CI&amp;S'!$N$22:$N$38,MATCH($F229,'CI&amp;S'!$B$22:$B$38,0))),"N/A")</f>
        <v/>
      </c>
      <c r="N229" s="25">
        <f>IFERROR(IF(INDEX('CFOG'!$N$10:$N$15,MATCH($F229,'CFOG'!$B$10:$B$15,0))="","Cell will autofill based on response",INDEX('CFOG'!$N$10:$N$15,MATCH($F229,'CFOG'!$B$10:$B$15,0))),"N/A")</f>
        <v/>
      </c>
      <c r="O229" s="25">
        <f>IFERROR(IF(INDEX('CFOG'!$N$23:$N$23,MATCH($F229,'CFOG'!$B$23:$B$23,0))="","Cell will autofill based on response",INDEX('CFOG'!$N$23:$N$23,MATCH($F229,'CFOG'!$B$23:$B$23,0))),"N/A")</f>
        <v/>
      </c>
      <c r="P229" s="25">
        <f>IFERROR(IF(INDEX('ESG'!$N$10:$N$16,MATCH($F229,'ESG'!$B$10:$B$16,0))="","Cell will autofill based on response",INDEX('ESG'!$N$10:$N$16,MATCH($F229,'ESG'!$B$10:$B$16,0))),"N/A")</f>
        <v/>
      </c>
      <c r="Q229" s="25">
        <f>IFERROR(IF(INDEX('CIOG'!$N$10:$N$13,MATCH($F229,'CIOG'!$B$10:$B$13,0))="","Cell will autofill based on response",INDEX('CIOG'!$N$10:$N$13,MATCH($F229,'CIOG'!$B$10:$B$13,0))),"N/A")</f>
        <v/>
      </c>
      <c r="R229" s="25">
        <f>IFERROR(IF(INDEX('MRE'!$N$10:$N$11,MATCH($F229,'MRE'!$B$10:$B$11,0))="","Cell will autofill based on response",INDEX('MRE'!$N$10:$N$11,MATCH($F229,'MRE'!$B$10:$B$11,0))),"N/A")</f>
        <v/>
      </c>
    </row>
    <row r="230">
      <c r="A230">
        <f>F230&amp;"|"&amp;G230</f>
        <v/>
      </c>
      <c r="B230" s="29" t="inlineStr"/>
      <c r="C230" s="8" t="inlineStr"/>
      <c r="D230" s="8" t="inlineStr"/>
      <c r="E230" s="8" t="inlineStr"/>
      <c r="F230" s="8" t="inlineStr">
        <is>
          <t>CE1(a)</t>
        </is>
      </c>
      <c r="G230" s="8" t="inlineStr">
        <is>
          <t>Supporting information/comments</t>
        </is>
      </c>
      <c r="H230" s="25">
        <f>IFERROR(IF(INDEX('Faculties'!$O$10:$O$29,MATCH($F230,'Faculties'!$B$10:$B$29,0))="","Cell will autofill based on response",INDEX('Faculties'!$O$10:$O$29,MATCH($F230,'Faculties'!$B$10:$B$29,0))),"N/A")</f>
        <v/>
      </c>
      <c r="I230" s="25">
        <f>IFERROR(IF(INDEX('Faculties'!$O$37:$O$56,MATCH($F230,'Faculties'!$B$37:$B$56,0))="","Cell will autofill based on response",INDEX('Faculties'!$O$37:$O$56,MATCH($F230,'Faculties'!$B$37:$B$56,0))),"N/A")</f>
        <v/>
      </c>
      <c r="J230" s="25">
        <f>IFERROR(IF(INDEX('Faculties'!$O$64:$O$83,MATCH($F230,'Faculties'!$B$64:$B$83,0))="","Cell will autofill based on response",INDEX('Faculties'!$O$64:$O$83,MATCH($F230,'Faculties'!$B$64:$B$83,0))),"N/A")</f>
        <v/>
      </c>
      <c r="K230" s="25">
        <f>IFERROR(IF(INDEX('Faculties'!$O$91:$O$110,MATCH($F230,'Faculties'!$B$91:$B$110,0))="","Cell will autofill based on response",INDEX('Faculties'!$O$91:$O$110,MATCH($F230,'Faculties'!$B$91:$B$110,0))),"N/A")</f>
        <v/>
      </c>
      <c r="L230" s="25">
        <f>IFERROR(IF(INDEX('CI&amp;S'!$O$10:$O$14,MATCH($F230,'CI&amp;S'!$B$10:$B$14,0))="","Cell will autofill based on response",INDEX('CI&amp;S'!$O$10:$O$14,MATCH($F230,'CI&amp;S'!$B$10:$B$14,0))),"N/A")</f>
        <v/>
      </c>
      <c r="M230" s="25">
        <f>IFERROR(IF(INDEX('CI&amp;S'!$O$22:$O$38,MATCH($F230,'CI&amp;S'!$B$22:$B$38,0))="","Cell will autofill based on response",INDEX('CI&amp;S'!$O$22:$O$38,MATCH($F230,'CI&amp;S'!$B$22:$B$38,0))),"N/A")</f>
        <v/>
      </c>
      <c r="N230" s="25">
        <f>IFERROR(IF(INDEX('CFOG'!$O$10:$O$15,MATCH($F230,'CFOG'!$B$10:$B$15,0))="","Cell will autofill based on response",INDEX('CFOG'!$O$10:$O$15,MATCH($F230,'CFOG'!$B$10:$B$15,0))),"N/A")</f>
        <v/>
      </c>
      <c r="O230" s="25">
        <f>IFERROR(IF(INDEX('CFOG'!$O$23:$O$23,MATCH($F230,'CFOG'!$B$23:$B$23,0))="","Cell will autofill based on response",INDEX('CFOG'!$O$23:$O$23,MATCH($F230,'CFOG'!$B$23:$B$23,0))),"N/A")</f>
        <v/>
      </c>
      <c r="P230" s="25">
        <f>IFERROR(IF(INDEX('ESG'!$O$10:$O$16,MATCH($F230,'ESG'!$B$10:$B$16,0))="","Cell will autofill based on response",INDEX('ESG'!$O$10:$O$16,MATCH($F230,'ESG'!$B$10:$B$16,0))),"N/A")</f>
        <v/>
      </c>
      <c r="Q230" s="25">
        <f>IFERROR(IF(INDEX('CIOG'!$O$10:$O$13,MATCH($F230,'CIOG'!$B$10:$B$13,0))="","Cell will autofill based on response",INDEX('CIOG'!$O$10:$O$13,MATCH($F230,'CIOG'!$B$10:$B$13,0))),"N/A")</f>
        <v/>
      </c>
      <c r="R230" s="25">
        <f>IFERROR(IF(INDEX('MRE'!$O$10:$O$11,MATCH($F230,'MRE'!$B$10:$B$11,0))="","Cell will autofill based on response",INDEX('MRE'!$O$10:$O$11,MATCH($F230,'MRE'!$B$10:$B$11,0))),"N/A")</f>
        <v/>
      </c>
    </row>
    <row r="231">
      <c r="A231">
        <f>F231&amp;"|"&amp;G231</f>
        <v/>
      </c>
      <c r="B231" s="29" t="inlineStr"/>
      <c r="C231" s="8" t="inlineStr"/>
      <c r="D231" s="8" t="inlineStr"/>
      <c r="E231" s="8" t="inlineStr"/>
      <c r="F231" s="8" t="inlineStr">
        <is>
          <t>CE1(a)</t>
        </is>
      </c>
      <c r="G231" s="8" t="inlineStr">
        <is>
          <t>Data source and limitations</t>
        </is>
      </c>
      <c r="H231" s="25">
        <f>IFERROR(IF(INDEX('Faculties'!$P$10:$P$29,MATCH($F231,'Faculties'!$B$10:$B$29,0))="","Cell will autofill based on response",INDEX('Faculties'!$P$10:$P$29,MATCH($F231,'Faculties'!$B$10:$B$29,0))),"N/A")</f>
        <v/>
      </c>
      <c r="I231" s="25">
        <f>IFERROR(IF(INDEX('Faculties'!$P$37:$P$56,MATCH($F231,'Faculties'!$B$37:$B$56,0))="","Cell will autofill based on response",INDEX('Faculties'!$P$37:$P$56,MATCH($F231,'Faculties'!$B$37:$B$56,0))),"N/A")</f>
        <v/>
      </c>
      <c r="J231" s="25">
        <f>IFERROR(IF(INDEX('Faculties'!$P$64:$P$83,MATCH($F231,'Faculties'!$B$64:$B$83,0))="","Cell will autofill based on response",INDEX('Faculties'!$P$64:$P$83,MATCH($F231,'Faculties'!$B$64:$B$83,0))),"N/A")</f>
        <v/>
      </c>
      <c r="K231" s="25">
        <f>IFERROR(IF(INDEX('Faculties'!$P$91:$P$110,MATCH($F231,'Faculties'!$B$91:$B$110,0))="","Cell will autofill based on response",INDEX('Faculties'!$P$91:$P$110,MATCH($F231,'Faculties'!$B$91:$B$110,0))),"N/A")</f>
        <v/>
      </c>
      <c r="L231" s="25">
        <f>IFERROR(IF(INDEX('CI&amp;S'!$P$10:$P$14,MATCH($F231,'CI&amp;S'!$B$10:$B$14,0))="","Cell will autofill based on response",INDEX('CI&amp;S'!$P$10:$P$14,MATCH($F231,'CI&amp;S'!$B$10:$B$14,0))),"N/A")</f>
        <v/>
      </c>
      <c r="M231" s="25">
        <f>IFERROR(IF(INDEX('CI&amp;S'!$P$22:$P$38,MATCH($F231,'CI&amp;S'!$B$22:$B$38,0))="","Cell will autofill based on response",INDEX('CI&amp;S'!$P$22:$P$38,MATCH($F231,'CI&amp;S'!$B$22:$B$38,0))),"N/A")</f>
        <v/>
      </c>
      <c r="N231" s="25">
        <f>IFERROR(IF(INDEX('CFOG'!$P$10:$P$15,MATCH($F231,'CFOG'!$B$10:$B$15,0))="","Cell will autofill based on response",INDEX('CFOG'!$P$10:$P$15,MATCH($F231,'CFOG'!$B$10:$B$15,0))),"N/A")</f>
        <v/>
      </c>
      <c r="O231" s="25">
        <f>IFERROR(IF(INDEX('CFOG'!$P$23:$P$23,MATCH($F231,'CFOG'!$B$23:$B$23,0))="","Cell will autofill based on response",INDEX('CFOG'!$P$23:$P$23,MATCH($F231,'CFOG'!$B$23:$B$23,0))),"N/A")</f>
        <v/>
      </c>
      <c r="P231" s="25">
        <f>IFERROR(IF(INDEX('ESG'!$P$10:$P$16,MATCH($F231,'ESG'!$B$10:$B$16,0))="","Cell will autofill based on response",INDEX('ESG'!$P$10:$P$16,MATCH($F231,'ESG'!$B$10:$B$16,0))),"N/A")</f>
        <v/>
      </c>
      <c r="Q231" s="25">
        <f>IFERROR(IF(INDEX('CIOG'!$P$10:$P$13,MATCH($F231,'CIOG'!$B$10:$B$13,0))="","Cell will autofill based on response",INDEX('CIOG'!$P$10:$P$13,MATCH($F231,'CIOG'!$B$10:$B$13,0))),"N/A")</f>
        <v/>
      </c>
      <c r="R231" s="25">
        <f>IFERROR(IF(INDEX('MRE'!$P$10:$P$11,MATCH($F231,'MRE'!$B$10:$B$11,0))="","Cell will autofill based on response",INDEX('MRE'!$P$10:$P$11,MATCH($F231,'MRE'!$B$10:$B$11,0))),"N/A")</f>
        <v/>
      </c>
    </row>
    <row r="232">
      <c r="A232">
        <f>F232&amp;"|"&amp;G232</f>
        <v/>
      </c>
      <c r="B232" s="29" t="inlineStr"/>
      <c r="C232" s="8" t="inlineStr"/>
      <c r="D232" s="8" t="inlineStr"/>
      <c r="E232" s="8" t="inlineStr"/>
      <c r="F232" s="8" t="inlineStr">
        <is>
          <t>CE1(a)</t>
        </is>
      </c>
      <c r="G232" s="8" t="inlineStr">
        <is>
          <t>Data owner confirms</t>
        </is>
      </c>
      <c r="H232" s="25">
        <f>IFERROR(IF(INDEX('Faculties'!$Q$10:$Q$29,MATCH($F232,'Faculties'!$B$10:$B$29,0))="","Cell will autofill based on response",INDEX('Faculties'!$Q$10:$Q$29,MATCH($F232,'Faculties'!$B$10:$B$29,0))),"N/A")</f>
        <v/>
      </c>
      <c r="I232" s="25">
        <f>IFERROR(IF(INDEX('Faculties'!$Q$37:$Q$56,MATCH($F232,'Faculties'!$B$37:$B$56,0))="","Cell will autofill based on response",INDEX('Faculties'!$Q$37:$Q$56,MATCH($F232,'Faculties'!$B$37:$B$56,0))),"N/A")</f>
        <v/>
      </c>
      <c r="J232" s="25">
        <f>IFERROR(IF(INDEX('Faculties'!$Q$64:$Q$83,MATCH($F232,'Faculties'!$B$64:$B$83,0))="","Cell will autofill based on response",INDEX('Faculties'!$Q$64:$Q$83,MATCH($F232,'Faculties'!$B$64:$B$83,0))),"N/A")</f>
        <v/>
      </c>
      <c r="K232" s="25">
        <f>IFERROR(IF(INDEX('Faculties'!$Q$91:$Q$110,MATCH($F232,'Faculties'!$B$91:$B$110,0))="","Cell will autofill based on response",INDEX('Faculties'!$Q$91:$Q$110,MATCH($F232,'Faculties'!$B$91:$B$110,0))),"N/A")</f>
        <v/>
      </c>
      <c r="L232" s="25">
        <f>IFERROR(IF(INDEX('CI&amp;S'!$Q$10:$Q$14,MATCH($F232,'CI&amp;S'!$B$10:$B$14,0))="","Cell will autofill based on response",INDEX('CI&amp;S'!$Q$10:$Q$14,MATCH($F232,'CI&amp;S'!$B$10:$B$14,0))),"N/A")</f>
        <v/>
      </c>
      <c r="M232" s="25">
        <f>IFERROR(IF(INDEX('CI&amp;S'!$Q$22:$Q$38,MATCH($F232,'CI&amp;S'!$B$22:$B$38,0))="","Cell will autofill based on response",INDEX('CI&amp;S'!$Q$22:$Q$38,MATCH($F232,'CI&amp;S'!$B$22:$B$38,0))),"N/A")</f>
        <v/>
      </c>
      <c r="N232" s="25">
        <f>IFERROR(IF(INDEX('CFOG'!$Q$10:$Q$15,MATCH($F232,'CFOG'!$B$10:$B$15,0))="","Cell will autofill based on response",INDEX('CFOG'!$Q$10:$Q$15,MATCH($F232,'CFOG'!$B$10:$B$15,0))),"N/A")</f>
        <v/>
      </c>
      <c r="O232" s="25">
        <f>IFERROR(IF(INDEX('CFOG'!$Q$23:$Q$23,MATCH($F232,'CFOG'!$B$23:$B$23,0))="","Cell will autofill based on response",INDEX('CFOG'!$Q$23:$Q$23,MATCH($F232,'CFOG'!$B$23:$B$23,0))),"N/A")</f>
        <v/>
      </c>
      <c r="P232" s="25">
        <f>IFERROR(IF(INDEX('ESG'!$Q$10:$Q$16,MATCH($F232,'ESG'!$B$10:$B$16,0))="","Cell will autofill based on response",INDEX('ESG'!$Q$10:$Q$16,MATCH($F232,'ESG'!$B$10:$B$16,0))),"N/A")</f>
        <v/>
      </c>
      <c r="Q232" s="25">
        <f>IFERROR(IF(INDEX('CIOG'!$Q$10:$Q$13,MATCH($F232,'CIOG'!$B$10:$B$13,0))="","Cell will autofill based on response",INDEX('CIOG'!$Q$10:$Q$13,MATCH($F232,'CIOG'!$B$10:$B$13,0))),"N/A")</f>
        <v/>
      </c>
      <c r="R232" s="25">
        <f>IFERROR(IF(INDEX('MRE'!$Q$10:$Q$11,MATCH($F232,'MRE'!$B$10:$B$11,0))="","Cell will autofill based on response",INDEX('MRE'!$Q$10:$Q$11,MATCH($F232,'MRE'!$B$10:$B$11,0))),"N/A")</f>
        <v/>
      </c>
    </row>
    <row r="233">
      <c r="A233">
        <f>F233&amp;"|"&amp;G233</f>
        <v/>
      </c>
      <c r="B233" s="7" t="inlineStr">
        <is>
          <t>CE2(a)</t>
        </is>
      </c>
      <c r="C233" s="12" t="inlineStr">
        <is>
          <t>Circular economy</t>
        </is>
      </c>
      <c r="D233" s="12" t="inlineStr">
        <is>
          <t>Comparison of year-to-year tonnes of recyclables (absolute).</t>
        </is>
      </c>
      <c r="E233" s="12" t="inlineStr">
        <is>
          <t>waste diversion rate; tonnes diverted from landfill; % change against previous baseline</t>
        </is>
      </c>
      <c r="F233" s="12" t="inlineStr">
        <is>
          <t>CE2(a)</t>
        </is>
      </c>
      <c r="G233" s="12" t="inlineStr">
        <is>
          <t>Confirm end-2026 target status</t>
        </is>
      </c>
      <c r="H233" s="25">
        <f>IFERROR(IF(INDEX('Faculties'!$L$10:$L$29,MATCH($F233,'Faculties'!$B$10:$B$29,0))="","Cell will autofill based on response",INDEX('Faculties'!$L$10:$L$29,MATCH($F233,'Faculties'!$B$10:$B$29,0))),"N/A")</f>
        <v/>
      </c>
      <c r="I233" s="25">
        <f>IFERROR(IF(INDEX('Faculties'!$L$37:$L$56,MATCH($F233,'Faculties'!$B$37:$B$56,0))="","Cell will autofill based on response",INDEX('Faculties'!$L$37:$L$56,MATCH($F233,'Faculties'!$B$37:$B$56,0))),"N/A")</f>
        <v/>
      </c>
      <c r="J233" s="25">
        <f>IFERROR(IF(INDEX('Faculties'!$L$64:$L$83,MATCH($F233,'Faculties'!$B$64:$B$83,0))="","Cell will autofill based on response",INDEX('Faculties'!$L$64:$L$83,MATCH($F233,'Faculties'!$B$64:$B$83,0))),"N/A")</f>
        <v/>
      </c>
      <c r="K233" s="25">
        <f>IFERROR(IF(INDEX('Faculties'!$L$91:$L$110,MATCH($F233,'Faculties'!$B$91:$B$110,0))="","Cell will autofill based on response",INDEX('Faculties'!$L$91:$L$110,MATCH($F233,'Faculties'!$B$91:$B$110,0))),"N/A")</f>
        <v/>
      </c>
      <c r="L233" s="25">
        <f>IFERROR(IF(INDEX('CI&amp;S'!$L$10:$L$14,MATCH($F233,'CI&amp;S'!$B$10:$B$14,0))="","Cell will autofill based on response",INDEX('CI&amp;S'!$L$10:$L$14,MATCH($F233,'CI&amp;S'!$B$10:$B$14,0))),"N/A")</f>
        <v/>
      </c>
      <c r="M233" s="25">
        <f>IFERROR(IF(INDEX('CI&amp;S'!$L$22:$L$38,MATCH($F233,'CI&amp;S'!$B$22:$B$38,0))="","Cell will autofill based on response",INDEX('CI&amp;S'!$L$22:$L$38,MATCH($F233,'CI&amp;S'!$B$22:$B$38,0))),"N/A")</f>
        <v/>
      </c>
      <c r="N233" s="25">
        <f>IFERROR(IF(INDEX('CFOG'!$L$10:$L$15,MATCH($F233,'CFOG'!$B$10:$B$15,0))="","Cell will autofill based on response",INDEX('CFOG'!$L$10:$L$15,MATCH($F233,'CFOG'!$B$10:$B$15,0))),"N/A")</f>
        <v/>
      </c>
      <c r="O233" s="25">
        <f>IFERROR(IF(INDEX('CFOG'!$L$23:$L$23,MATCH($F233,'CFOG'!$B$23:$B$23,0))="","Cell will autofill based on response",INDEX('CFOG'!$L$23:$L$23,MATCH($F233,'CFOG'!$B$23:$B$23,0))),"N/A")</f>
        <v/>
      </c>
      <c r="P233" s="25">
        <f>IFERROR(IF(INDEX('ESG'!$L$10:$L$16,MATCH($F233,'ESG'!$B$10:$B$16,0))="","Cell will autofill based on response",INDEX('ESG'!$L$10:$L$16,MATCH($F233,'ESG'!$B$10:$B$16,0))),"N/A")</f>
        <v/>
      </c>
      <c r="Q233" s="25">
        <f>IFERROR(IF(INDEX('CIOG'!$L$10:$L$13,MATCH($F233,'CIOG'!$B$10:$B$13,0))="","Cell will autofill based on response",INDEX('CIOG'!$L$10:$L$13,MATCH($F233,'CIOG'!$B$10:$B$13,0))),"N/A")</f>
        <v/>
      </c>
      <c r="R233" s="25">
        <f>IFERROR(IF(INDEX('MRE'!$L$10:$L$11,MATCH($F233,'MRE'!$B$10:$B$11,0))="","Cell will autofill based on response",INDEX('MRE'!$L$10:$L$11,MATCH($F233,'MRE'!$B$10:$B$11,0))),"N/A")</f>
        <v/>
      </c>
      <c r="T233" s="26">
        <f>COUNTIF($H233:$R233,"Cell will autofill based on response")</f>
        <v/>
      </c>
      <c r="U233" s="26">
        <f>COUNTIF($H233:$R233,"Not yet started")</f>
        <v/>
      </c>
      <c r="V233" s="26">
        <f>COUNTIF($H233:$R233,"Not met")</f>
        <v/>
      </c>
      <c r="W233" s="26">
        <f>COUNTIF($H233:$R233,"Partially met")</f>
        <v/>
      </c>
      <c r="X233" s="26">
        <f>COUNTIF($H233:$R233,"Met or exceeded")</f>
        <v/>
      </c>
      <c r="Y233" s="26">
        <f>3*X233+2*W233+V233</f>
        <v/>
      </c>
      <c r="Z233" s="26">
        <f>X233+W233+V233+U233</f>
        <v/>
      </c>
      <c r="AA233" s="27">
        <f>IF(Z233&gt;0,Y233/Z233,"No valid responses to date")</f>
        <v/>
      </c>
      <c r="AB233" s="26">
        <f>IF(ISNUMBER(AA233),INDEX(Lists!$G$2:$G$5,MATCH(ROUND(AA233,0),Lists!$H$2:$H$5,0)),"")</f>
        <v/>
      </c>
      <c r="AC233" s="28">
        <f>IF(Z233&gt;0,X233/Z233,"")</f>
        <v/>
      </c>
      <c r="AD233" s="28">
        <f>IF(Z233&gt;0,(X233+W233)/Z233,"")</f>
        <v/>
      </c>
      <c r="AE233" s="26">
        <f>IF(Z233=0,"",IF(AC233&gt;0.75,"Met or exceeded",IF(AD233&gt;=0.5,"Partially met","Not met")))</f>
        <v/>
      </c>
    </row>
    <row r="234">
      <c r="A234">
        <f>F234&amp;"|"&amp;G234</f>
        <v/>
      </c>
      <c r="B234" s="29" t="inlineStr"/>
      <c r="C234" s="8" t="inlineStr"/>
      <c r="D234" s="8" t="inlineStr"/>
      <c r="E234" s="8" t="inlineStr"/>
      <c r="F234" s="8" t="inlineStr">
        <is>
          <t>CE2(a)</t>
        </is>
      </c>
      <c r="G234" s="8" t="inlineStr">
        <is>
          <t>OPTION 1:  Target-level reporting</t>
        </is>
      </c>
      <c r="H234" s="25">
        <f>IFERROR(IF(INDEX('Faculties'!$M$10:$M$29,MATCH($F234,'Faculties'!$B$10:$B$29,0))="","Cell will autofill based on response",INDEX('Faculties'!$M$10:$M$29,MATCH($F234,'Faculties'!$B$10:$B$29,0))),"N/A")</f>
        <v/>
      </c>
      <c r="I234" s="25">
        <f>IFERROR(IF(INDEX('Faculties'!$M$37:$M$56,MATCH($F234,'Faculties'!$B$37:$B$56,0))="","Cell will autofill based on response",INDEX('Faculties'!$M$37:$M$56,MATCH($F234,'Faculties'!$B$37:$B$56,0))),"N/A")</f>
        <v/>
      </c>
      <c r="J234" s="25">
        <f>IFERROR(IF(INDEX('Faculties'!$M$64:$M$83,MATCH($F234,'Faculties'!$B$64:$B$83,0))="","Cell will autofill based on response",INDEX('Faculties'!$M$64:$M$83,MATCH($F234,'Faculties'!$B$64:$B$83,0))),"N/A")</f>
        <v/>
      </c>
      <c r="K234" s="25">
        <f>IFERROR(IF(INDEX('Faculties'!$M$91:$M$110,MATCH($F234,'Faculties'!$B$91:$B$110,0))="","Cell will autofill based on response",INDEX('Faculties'!$M$91:$M$110,MATCH($F234,'Faculties'!$B$91:$B$110,0))),"N/A")</f>
        <v/>
      </c>
      <c r="L234" s="25">
        <f>IFERROR(IF(INDEX('CI&amp;S'!$M$10:$M$14,MATCH($F234,'CI&amp;S'!$B$10:$B$14,0))="","Cell will autofill based on response",INDEX('CI&amp;S'!$M$10:$M$14,MATCH($F234,'CI&amp;S'!$B$10:$B$14,0))),"N/A")</f>
        <v/>
      </c>
      <c r="M234" s="25">
        <f>IFERROR(IF(INDEX('CI&amp;S'!$M$22:$M$38,MATCH($F234,'CI&amp;S'!$B$22:$B$38,0))="","Cell will autofill based on response",INDEX('CI&amp;S'!$M$22:$M$38,MATCH($F234,'CI&amp;S'!$B$22:$B$38,0))),"N/A")</f>
        <v/>
      </c>
      <c r="N234" s="25">
        <f>IFERROR(IF(INDEX('CFOG'!$M$10:$M$15,MATCH($F234,'CFOG'!$B$10:$B$15,0))="","Cell will autofill based on response",INDEX('CFOG'!$M$10:$M$15,MATCH($F234,'CFOG'!$B$10:$B$15,0))),"N/A")</f>
        <v/>
      </c>
      <c r="O234" s="25">
        <f>IFERROR(IF(INDEX('CFOG'!$M$23:$M$23,MATCH($F234,'CFOG'!$B$23:$B$23,0))="","Cell will autofill based on response",INDEX('CFOG'!$M$23:$M$23,MATCH($F234,'CFOG'!$B$23:$B$23,0))),"N/A")</f>
        <v/>
      </c>
      <c r="P234" s="25">
        <f>IFERROR(IF(INDEX('ESG'!$M$10:$M$16,MATCH($F234,'ESG'!$B$10:$B$16,0))="","Cell will autofill based on response",INDEX('ESG'!$M$10:$M$16,MATCH($F234,'ESG'!$B$10:$B$16,0))),"N/A")</f>
        <v/>
      </c>
      <c r="Q234" s="25">
        <f>IFERROR(IF(INDEX('CIOG'!$M$10:$M$13,MATCH($F234,'CIOG'!$B$10:$B$13,0))="","Cell will autofill based on response",INDEX('CIOG'!$M$10:$M$13,MATCH($F234,'CIOG'!$B$10:$B$13,0))),"N/A")</f>
        <v/>
      </c>
      <c r="R234" s="25">
        <f>IFERROR(IF(INDEX('MRE'!$M$10:$M$11,MATCH($F234,'MRE'!$B$10:$B$11,0))="","Cell will autofill based on response",INDEX('MRE'!$M$10:$M$11,MATCH($F234,'MRE'!$B$10:$B$11,0))),"N/A")</f>
        <v/>
      </c>
    </row>
    <row r="235">
      <c r="A235">
        <f>F235&amp;"|"&amp;G235</f>
        <v/>
      </c>
      <c r="B235" s="29" t="inlineStr"/>
      <c r="C235" s="8" t="inlineStr"/>
      <c r="D235" s="8" t="inlineStr"/>
      <c r="E235" s="8" t="inlineStr"/>
      <c r="F235" s="8" t="inlineStr">
        <is>
          <t>CE2(a)</t>
        </is>
      </c>
      <c r="G235" s="8" t="inlineStr">
        <is>
          <t>OPTION 2:  Indicator level reporting</t>
        </is>
      </c>
      <c r="H235" s="25">
        <f>IFERROR(IF(INDEX('Faculties'!$N$10:$N$29,MATCH($F235,'Faculties'!$B$10:$B$29,0))="","Cell will autofill based on response",INDEX('Faculties'!$N$10:$N$29,MATCH($F235,'Faculties'!$B$10:$B$29,0))),"N/A")</f>
        <v/>
      </c>
      <c r="I235" s="25">
        <f>IFERROR(IF(INDEX('Faculties'!$N$37:$N$56,MATCH($F235,'Faculties'!$B$37:$B$56,0))="","Cell will autofill based on response",INDEX('Faculties'!$N$37:$N$56,MATCH($F235,'Faculties'!$B$37:$B$56,0))),"N/A")</f>
        <v/>
      </c>
      <c r="J235" s="25">
        <f>IFERROR(IF(INDEX('Faculties'!$N$64:$N$83,MATCH($F235,'Faculties'!$B$64:$B$83,0))="","Cell will autofill based on response",INDEX('Faculties'!$N$64:$N$83,MATCH($F235,'Faculties'!$B$64:$B$83,0))),"N/A")</f>
        <v/>
      </c>
      <c r="K235" s="25">
        <f>IFERROR(IF(INDEX('Faculties'!$N$91:$N$110,MATCH($F235,'Faculties'!$B$91:$B$110,0))="","Cell will autofill based on response",INDEX('Faculties'!$N$91:$N$110,MATCH($F235,'Faculties'!$B$91:$B$110,0))),"N/A")</f>
        <v/>
      </c>
      <c r="L235" s="25">
        <f>IFERROR(IF(INDEX('CI&amp;S'!$N$10:$N$14,MATCH($F235,'CI&amp;S'!$B$10:$B$14,0))="","Cell will autofill based on response",INDEX('CI&amp;S'!$N$10:$N$14,MATCH($F235,'CI&amp;S'!$B$10:$B$14,0))),"N/A")</f>
        <v/>
      </c>
      <c r="M235" s="25">
        <f>IFERROR(IF(INDEX('CI&amp;S'!$N$22:$N$38,MATCH($F235,'CI&amp;S'!$B$22:$B$38,0))="","Cell will autofill based on response",INDEX('CI&amp;S'!$N$22:$N$38,MATCH($F235,'CI&amp;S'!$B$22:$B$38,0))),"N/A")</f>
        <v/>
      </c>
      <c r="N235" s="25">
        <f>IFERROR(IF(INDEX('CFOG'!$N$10:$N$15,MATCH($F235,'CFOG'!$B$10:$B$15,0))="","Cell will autofill based on response",INDEX('CFOG'!$N$10:$N$15,MATCH($F235,'CFOG'!$B$10:$B$15,0))),"N/A")</f>
        <v/>
      </c>
      <c r="O235" s="25">
        <f>IFERROR(IF(INDEX('CFOG'!$N$23:$N$23,MATCH($F235,'CFOG'!$B$23:$B$23,0))="","Cell will autofill based on response",INDEX('CFOG'!$N$23:$N$23,MATCH($F235,'CFOG'!$B$23:$B$23,0))),"N/A")</f>
        <v/>
      </c>
      <c r="P235" s="25">
        <f>IFERROR(IF(INDEX('ESG'!$N$10:$N$16,MATCH($F235,'ESG'!$B$10:$B$16,0))="","Cell will autofill based on response",INDEX('ESG'!$N$10:$N$16,MATCH($F235,'ESG'!$B$10:$B$16,0))),"N/A")</f>
        <v/>
      </c>
      <c r="Q235" s="25">
        <f>IFERROR(IF(INDEX('CIOG'!$N$10:$N$13,MATCH($F235,'CIOG'!$B$10:$B$13,0))="","Cell will autofill based on response",INDEX('CIOG'!$N$10:$N$13,MATCH($F235,'CIOG'!$B$10:$B$13,0))),"N/A")</f>
        <v/>
      </c>
      <c r="R235" s="25">
        <f>IFERROR(IF(INDEX('MRE'!$N$10:$N$11,MATCH($F235,'MRE'!$B$10:$B$11,0))="","Cell will autofill based on response",INDEX('MRE'!$N$10:$N$11,MATCH($F235,'MRE'!$B$10:$B$11,0))),"N/A")</f>
        <v/>
      </c>
    </row>
    <row r="236">
      <c r="A236">
        <f>F236&amp;"|"&amp;G236</f>
        <v/>
      </c>
      <c r="B236" s="29" t="inlineStr"/>
      <c r="C236" s="8" t="inlineStr"/>
      <c r="D236" s="8" t="inlineStr"/>
      <c r="E236" s="8" t="inlineStr"/>
      <c r="F236" s="8" t="inlineStr">
        <is>
          <t>CE2(a)</t>
        </is>
      </c>
      <c r="G236" s="8" t="inlineStr">
        <is>
          <t>Supporting information/comments</t>
        </is>
      </c>
      <c r="H236" s="25">
        <f>IFERROR(IF(INDEX('Faculties'!$O$10:$O$29,MATCH($F236,'Faculties'!$B$10:$B$29,0))="","Cell will autofill based on response",INDEX('Faculties'!$O$10:$O$29,MATCH($F236,'Faculties'!$B$10:$B$29,0))),"N/A")</f>
        <v/>
      </c>
      <c r="I236" s="25">
        <f>IFERROR(IF(INDEX('Faculties'!$O$37:$O$56,MATCH($F236,'Faculties'!$B$37:$B$56,0))="","Cell will autofill based on response",INDEX('Faculties'!$O$37:$O$56,MATCH($F236,'Faculties'!$B$37:$B$56,0))),"N/A")</f>
        <v/>
      </c>
      <c r="J236" s="25">
        <f>IFERROR(IF(INDEX('Faculties'!$O$64:$O$83,MATCH($F236,'Faculties'!$B$64:$B$83,0))="","Cell will autofill based on response",INDEX('Faculties'!$O$64:$O$83,MATCH($F236,'Faculties'!$B$64:$B$83,0))),"N/A")</f>
        <v/>
      </c>
      <c r="K236" s="25">
        <f>IFERROR(IF(INDEX('Faculties'!$O$91:$O$110,MATCH($F236,'Faculties'!$B$91:$B$110,0))="","Cell will autofill based on response",INDEX('Faculties'!$O$91:$O$110,MATCH($F236,'Faculties'!$B$91:$B$110,0))),"N/A")</f>
        <v/>
      </c>
      <c r="L236" s="25">
        <f>IFERROR(IF(INDEX('CI&amp;S'!$O$10:$O$14,MATCH($F236,'CI&amp;S'!$B$10:$B$14,0))="","Cell will autofill based on response",INDEX('CI&amp;S'!$O$10:$O$14,MATCH($F236,'CI&amp;S'!$B$10:$B$14,0))),"N/A")</f>
        <v/>
      </c>
      <c r="M236" s="25">
        <f>IFERROR(IF(INDEX('CI&amp;S'!$O$22:$O$38,MATCH($F236,'CI&amp;S'!$B$22:$B$38,0))="","Cell will autofill based on response",INDEX('CI&amp;S'!$O$22:$O$38,MATCH($F236,'CI&amp;S'!$B$22:$B$38,0))),"N/A")</f>
        <v/>
      </c>
      <c r="N236" s="25">
        <f>IFERROR(IF(INDEX('CFOG'!$O$10:$O$15,MATCH($F236,'CFOG'!$B$10:$B$15,0))="","Cell will autofill based on response",INDEX('CFOG'!$O$10:$O$15,MATCH($F236,'CFOG'!$B$10:$B$15,0))),"N/A")</f>
        <v/>
      </c>
      <c r="O236" s="25">
        <f>IFERROR(IF(INDEX('CFOG'!$O$23:$O$23,MATCH($F236,'CFOG'!$B$23:$B$23,0))="","Cell will autofill based on response",INDEX('CFOG'!$O$23:$O$23,MATCH($F236,'CFOG'!$B$23:$B$23,0))),"N/A")</f>
        <v/>
      </c>
      <c r="P236" s="25">
        <f>IFERROR(IF(INDEX('ESG'!$O$10:$O$16,MATCH($F236,'ESG'!$B$10:$B$16,0))="","Cell will autofill based on response",INDEX('ESG'!$O$10:$O$16,MATCH($F236,'ESG'!$B$10:$B$16,0))),"N/A")</f>
        <v/>
      </c>
      <c r="Q236" s="25">
        <f>IFERROR(IF(INDEX('CIOG'!$O$10:$O$13,MATCH($F236,'CIOG'!$B$10:$B$13,0))="","Cell will autofill based on response",INDEX('CIOG'!$O$10:$O$13,MATCH($F236,'CIOG'!$B$10:$B$13,0))),"N/A")</f>
        <v/>
      </c>
      <c r="R236" s="25">
        <f>IFERROR(IF(INDEX('MRE'!$O$10:$O$11,MATCH($F236,'MRE'!$B$10:$B$11,0))="","Cell will autofill based on response",INDEX('MRE'!$O$10:$O$11,MATCH($F236,'MRE'!$B$10:$B$11,0))),"N/A")</f>
        <v/>
      </c>
    </row>
    <row r="237">
      <c r="A237">
        <f>F237&amp;"|"&amp;G237</f>
        <v/>
      </c>
      <c r="B237" s="29" t="inlineStr"/>
      <c r="C237" s="8" t="inlineStr"/>
      <c r="D237" s="8" t="inlineStr"/>
      <c r="E237" s="8" t="inlineStr"/>
      <c r="F237" s="8" t="inlineStr">
        <is>
          <t>CE2(a)</t>
        </is>
      </c>
      <c r="G237" s="8" t="inlineStr">
        <is>
          <t>Data source and limitations</t>
        </is>
      </c>
      <c r="H237" s="25">
        <f>IFERROR(IF(INDEX('Faculties'!$P$10:$P$29,MATCH($F237,'Faculties'!$B$10:$B$29,0))="","Cell will autofill based on response",INDEX('Faculties'!$P$10:$P$29,MATCH($F237,'Faculties'!$B$10:$B$29,0))),"N/A")</f>
        <v/>
      </c>
      <c r="I237" s="25">
        <f>IFERROR(IF(INDEX('Faculties'!$P$37:$P$56,MATCH($F237,'Faculties'!$B$37:$B$56,0))="","Cell will autofill based on response",INDEX('Faculties'!$P$37:$P$56,MATCH($F237,'Faculties'!$B$37:$B$56,0))),"N/A")</f>
        <v/>
      </c>
      <c r="J237" s="25">
        <f>IFERROR(IF(INDEX('Faculties'!$P$64:$P$83,MATCH($F237,'Faculties'!$B$64:$B$83,0))="","Cell will autofill based on response",INDEX('Faculties'!$P$64:$P$83,MATCH($F237,'Faculties'!$B$64:$B$83,0))),"N/A")</f>
        <v/>
      </c>
      <c r="K237" s="25">
        <f>IFERROR(IF(INDEX('Faculties'!$P$91:$P$110,MATCH($F237,'Faculties'!$B$91:$B$110,0))="","Cell will autofill based on response",INDEX('Faculties'!$P$91:$P$110,MATCH($F237,'Faculties'!$B$91:$B$110,0))),"N/A")</f>
        <v/>
      </c>
      <c r="L237" s="25">
        <f>IFERROR(IF(INDEX('CI&amp;S'!$P$10:$P$14,MATCH($F237,'CI&amp;S'!$B$10:$B$14,0))="","Cell will autofill based on response",INDEX('CI&amp;S'!$P$10:$P$14,MATCH($F237,'CI&amp;S'!$B$10:$B$14,0))),"N/A")</f>
        <v/>
      </c>
      <c r="M237" s="25">
        <f>IFERROR(IF(INDEX('CI&amp;S'!$P$22:$P$38,MATCH($F237,'CI&amp;S'!$B$22:$B$38,0))="","Cell will autofill based on response",INDEX('CI&amp;S'!$P$22:$P$38,MATCH($F237,'CI&amp;S'!$B$22:$B$38,0))),"N/A")</f>
        <v/>
      </c>
      <c r="N237" s="25">
        <f>IFERROR(IF(INDEX('CFOG'!$P$10:$P$15,MATCH($F237,'CFOG'!$B$10:$B$15,0))="","Cell will autofill based on response",INDEX('CFOG'!$P$10:$P$15,MATCH($F237,'CFOG'!$B$10:$B$15,0))),"N/A")</f>
        <v/>
      </c>
      <c r="O237" s="25">
        <f>IFERROR(IF(INDEX('CFOG'!$P$23:$P$23,MATCH($F237,'CFOG'!$B$23:$B$23,0))="","Cell will autofill based on response",INDEX('CFOG'!$P$23:$P$23,MATCH($F237,'CFOG'!$B$23:$B$23,0))),"N/A")</f>
        <v/>
      </c>
      <c r="P237" s="25">
        <f>IFERROR(IF(INDEX('ESG'!$P$10:$P$16,MATCH($F237,'ESG'!$B$10:$B$16,0))="","Cell will autofill based on response",INDEX('ESG'!$P$10:$P$16,MATCH($F237,'ESG'!$B$10:$B$16,0))),"N/A")</f>
        <v/>
      </c>
      <c r="Q237" s="25">
        <f>IFERROR(IF(INDEX('CIOG'!$P$10:$P$13,MATCH($F237,'CIOG'!$B$10:$B$13,0))="","Cell will autofill based on response",INDEX('CIOG'!$P$10:$P$13,MATCH($F237,'CIOG'!$B$10:$B$13,0))),"N/A")</f>
        <v/>
      </c>
      <c r="R237" s="25">
        <f>IFERROR(IF(INDEX('MRE'!$P$10:$P$11,MATCH($F237,'MRE'!$B$10:$B$11,0))="","Cell will autofill based on response",INDEX('MRE'!$P$10:$P$11,MATCH($F237,'MRE'!$B$10:$B$11,0))),"N/A")</f>
        <v/>
      </c>
    </row>
    <row r="238">
      <c r="A238">
        <f>F238&amp;"|"&amp;G238</f>
        <v/>
      </c>
      <c r="B238" s="29" t="inlineStr"/>
      <c r="C238" s="8" t="inlineStr"/>
      <c r="D238" s="8" t="inlineStr"/>
      <c r="E238" s="8" t="inlineStr"/>
      <c r="F238" s="8" t="inlineStr">
        <is>
          <t>CE2(a)</t>
        </is>
      </c>
      <c r="G238" s="8" t="inlineStr">
        <is>
          <t>Data owner confirms</t>
        </is>
      </c>
      <c r="H238" s="25">
        <f>IFERROR(IF(INDEX('Faculties'!$Q$10:$Q$29,MATCH($F238,'Faculties'!$B$10:$B$29,0))="","Cell will autofill based on response",INDEX('Faculties'!$Q$10:$Q$29,MATCH($F238,'Faculties'!$B$10:$B$29,0))),"N/A")</f>
        <v/>
      </c>
      <c r="I238" s="25">
        <f>IFERROR(IF(INDEX('Faculties'!$Q$37:$Q$56,MATCH($F238,'Faculties'!$B$37:$B$56,0))="","Cell will autofill based on response",INDEX('Faculties'!$Q$37:$Q$56,MATCH($F238,'Faculties'!$B$37:$B$56,0))),"N/A")</f>
        <v/>
      </c>
      <c r="J238" s="25">
        <f>IFERROR(IF(INDEX('Faculties'!$Q$64:$Q$83,MATCH($F238,'Faculties'!$B$64:$B$83,0))="","Cell will autofill based on response",INDEX('Faculties'!$Q$64:$Q$83,MATCH($F238,'Faculties'!$B$64:$B$83,0))),"N/A")</f>
        <v/>
      </c>
      <c r="K238" s="25">
        <f>IFERROR(IF(INDEX('Faculties'!$Q$91:$Q$110,MATCH($F238,'Faculties'!$B$91:$B$110,0))="","Cell will autofill based on response",INDEX('Faculties'!$Q$91:$Q$110,MATCH($F238,'Faculties'!$B$91:$B$110,0))),"N/A")</f>
        <v/>
      </c>
      <c r="L238" s="25">
        <f>IFERROR(IF(INDEX('CI&amp;S'!$Q$10:$Q$14,MATCH($F238,'CI&amp;S'!$B$10:$B$14,0))="","Cell will autofill based on response",INDEX('CI&amp;S'!$Q$10:$Q$14,MATCH($F238,'CI&amp;S'!$B$10:$B$14,0))),"N/A")</f>
        <v/>
      </c>
      <c r="M238" s="25">
        <f>IFERROR(IF(INDEX('CI&amp;S'!$Q$22:$Q$38,MATCH($F238,'CI&amp;S'!$B$22:$B$38,0))="","Cell will autofill based on response",INDEX('CI&amp;S'!$Q$22:$Q$38,MATCH($F238,'CI&amp;S'!$B$22:$B$38,0))),"N/A")</f>
        <v/>
      </c>
      <c r="N238" s="25">
        <f>IFERROR(IF(INDEX('CFOG'!$Q$10:$Q$15,MATCH($F238,'CFOG'!$B$10:$B$15,0))="","Cell will autofill based on response",INDEX('CFOG'!$Q$10:$Q$15,MATCH($F238,'CFOG'!$B$10:$B$15,0))),"N/A")</f>
        <v/>
      </c>
      <c r="O238" s="25">
        <f>IFERROR(IF(INDEX('CFOG'!$Q$23:$Q$23,MATCH($F238,'CFOG'!$B$23:$B$23,0))="","Cell will autofill based on response",INDEX('CFOG'!$Q$23:$Q$23,MATCH($F238,'CFOG'!$B$23:$B$23,0))),"N/A")</f>
        <v/>
      </c>
      <c r="P238" s="25">
        <f>IFERROR(IF(INDEX('ESG'!$Q$10:$Q$16,MATCH($F238,'ESG'!$B$10:$B$16,0))="","Cell will autofill based on response",INDEX('ESG'!$Q$10:$Q$16,MATCH($F238,'ESG'!$B$10:$B$16,0))),"N/A")</f>
        <v/>
      </c>
      <c r="Q238" s="25">
        <f>IFERROR(IF(INDEX('CIOG'!$Q$10:$Q$13,MATCH($F238,'CIOG'!$B$10:$B$13,0))="","Cell will autofill based on response",INDEX('CIOG'!$Q$10:$Q$13,MATCH($F238,'CIOG'!$B$10:$B$13,0))),"N/A")</f>
        <v/>
      </c>
      <c r="R238" s="25">
        <f>IFERROR(IF(INDEX('MRE'!$Q$10:$Q$11,MATCH($F238,'MRE'!$B$10:$B$11,0))="","Cell will autofill based on response",INDEX('MRE'!$Q$10:$Q$11,MATCH($F238,'MRE'!$B$10:$B$11,0))),"N/A")</f>
        <v/>
      </c>
    </row>
    <row r="239">
      <c r="A239">
        <f>F239&amp;"|"&amp;G239</f>
        <v/>
      </c>
      <c r="B239" s="7" t="inlineStr">
        <is>
          <t>RP1(a)</t>
        </is>
      </c>
      <c r="C239" s="12" t="inlineStr">
        <is>
          <t>Responsible procurement</t>
        </is>
      </c>
      <c r="D239" s="12" t="inlineStr">
        <is>
          <t>Case studies of maturity improvement related to responsible procurement process and systems.</t>
        </is>
      </c>
      <c r="E239" s="12" t="inlineStr">
        <is>
          <t>Maturity score if framework established; % procurement staff trained</t>
        </is>
      </c>
      <c r="F239" s="12" t="inlineStr">
        <is>
          <t>RP1(a)</t>
        </is>
      </c>
      <c r="G239" s="12" t="inlineStr">
        <is>
          <t>Confirm end-2026 target status</t>
        </is>
      </c>
      <c r="H239" s="25">
        <f>IFERROR(IF(INDEX('Faculties'!$L$10:$L$29,MATCH($F239,'Faculties'!$B$10:$B$29,0))="","Cell will autofill based on response",INDEX('Faculties'!$L$10:$L$29,MATCH($F239,'Faculties'!$B$10:$B$29,0))),"N/A")</f>
        <v/>
      </c>
      <c r="I239" s="25">
        <f>IFERROR(IF(INDEX('Faculties'!$L$37:$L$56,MATCH($F239,'Faculties'!$B$37:$B$56,0))="","Cell will autofill based on response",INDEX('Faculties'!$L$37:$L$56,MATCH($F239,'Faculties'!$B$37:$B$56,0))),"N/A")</f>
        <v/>
      </c>
      <c r="J239" s="25">
        <f>IFERROR(IF(INDEX('Faculties'!$L$64:$L$83,MATCH($F239,'Faculties'!$B$64:$B$83,0))="","Cell will autofill based on response",INDEX('Faculties'!$L$64:$L$83,MATCH($F239,'Faculties'!$B$64:$B$83,0))),"N/A")</f>
        <v/>
      </c>
      <c r="K239" s="25">
        <f>IFERROR(IF(INDEX('Faculties'!$L$91:$L$110,MATCH($F239,'Faculties'!$B$91:$B$110,0))="","Cell will autofill based on response",INDEX('Faculties'!$L$91:$L$110,MATCH($F239,'Faculties'!$B$91:$B$110,0))),"N/A")</f>
        <v/>
      </c>
      <c r="L239" s="25">
        <f>IFERROR(IF(INDEX('CI&amp;S'!$L$10:$L$14,MATCH($F239,'CI&amp;S'!$B$10:$B$14,0))="","Cell will autofill based on response",INDEX('CI&amp;S'!$L$10:$L$14,MATCH($F239,'CI&amp;S'!$B$10:$B$14,0))),"N/A")</f>
        <v/>
      </c>
      <c r="M239" s="25">
        <f>IFERROR(IF(INDEX('CI&amp;S'!$L$22:$L$38,MATCH($F239,'CI&amp;S'!$B$22:$B$38,0))="","Cell will autofill based on response",INDEX('CI&amp;S'!$L$22:$L$38,MATCH($F239,'CI&amp;S'!$B$22:$B$38,0))),"N/A")</f>
        <v/>
      </c>
      <c r="N239" s="25">
        <f>IFERROR(IF(INDEX('CFOG'!$L$10:$L$15,MATCH($F239,'CFOG'!$B$10:$B$15,0))="","Cell will autofill based on response",INDEX('CFOG'!$L$10:$L$15,MATCH($F239,'CFOG'!$B$10:$B$15,0))),"N/A")</f>
        <v/>
      </c>
      <c r="O239" s="25">
        <f>IFERROR(IF(INDEX('CFOG'!$L$23:$L$23,MATCH($F239,'CFOG'!$B$23:$B$23,0))="","Cell will autofill based on response",INDEX('CFOG'!$L$23:$L$23,MATCH($F239,'CFOG'!$B$23:$B$23,0))),"N/A")</f>
        <v/>
      </c>
      <c r="P239" s="25">
        <f>IFERROR(IF(INDEX('ESG'!$L$10:$L$16,MATCH($F239,'ESG'!$B$10:$B$16,0))="","Cell will autofill based on response",INDEX('ESG'!$L$10:$L$16,MATCH($F239,'ESG'!$B$10:$B$16,0))),"N/A")</f>
        <v/>
      </c>
      <c r="Q239" s="25">
        <f>IFERROR(IF(INDEX('CIOG'!$L$10:$L$13,MATCH($F239,'CIOG'!$B$10:$B$13,0))="","Cell will autofill based on response",INDEX('CIOG'!$L$10:$L$13,MATCH($F239,'CIOG'!$B$10:$B$13,0))),"N/A")</f>
        <v/>
      </c>
      <c r="R239" s="25">
        <f>IFERROR(IF(INDEX('MRE'!$L$10:$L$11,MATCH($F239,'MRE'!$B$10:$B$11,0))="","Cell will autofill based on response",INDEX('MRE'!$L$10:$L$11,MATCH($F239,'MRE'!$B$10:$B$11,0))),"N/A")</f>
        <v/>
      </c>
      <c r="T239" s="26">
        <f>COUNTIF($H239:$R239,"Cell will autofill based on response")</f>
        <v/>
      </c>
      <c r="U239" s="26">
        <f>COUNTIF($H239:$R239,"Not yet started")</f>
        <v/>
      </c>
      <c r="V239" s="26">
        <f>COUNTIF($H239:$R239,"Not met")</f>
        <v/>
      </c>
      <c r="W239" s="26">
        <f>COUNTIF($H239:$R239,"Partially met")</f>
        <v/>
      </c>
      <c r="X239" s="26">
        <f>COUNTIF($H239:$R239,"Met or exceeded")</f>
        <v/>
      </c>
      <c r="Y239" s="26">
        <f>3*X239+2*W239+V239</f>
        <v/>
      </c>
      <c r="Z239" s="26">
        <f>X239+W239+V239+U239</f>
        <v/>
      </c>
      <c r="AA239" s="27">
        <f>IF(Z239&gt;0,Y239/Z239,"No valid responses to date")</f>
        <v/>
      </c>
      <c r="AB239" s="26">
        <f>IF(ISNUMBER(AA239),INDEX(Lists!$G$2:$G$5,MATCH(ROUND(AA239,0),Lists!$H$2:$H$5,0)),"")</f>
        <v/>
      </c>
      <c r="AC239" s="28">
        <f>IF(Z239&gt;0,X239/Z239,"")</f>
        <v/>
      </c>
      <c r="AD239" s="28">
        <f>IF(Z239&gt;0,(X239+W239)/Z239,"")</f>
        <v/>
      </c>
      <c r="AE239" s="26">
        <f>IF(Z239=0,"",IF(AC239&gt;0.75,"Met or exceeded",IF(AD239&gt;=0.5,"Partially met","Not met")))</f>
        <v/>
      </c>
    </row>
    <row r="240">
      <c r="A240">
        <f>F240&amp;"|"&amp;G240</f>
        <v/>
      </c>
      <c r="B240" s="29" t="inlineStr"/>
      <c r="C240" s="8" t="inlineStr"/>
      <c r="D240" s="8" t="inlineStr"/>
      <c r="E240" s="8" t="inlineStr"/>
      <c r="F240" s="8" t="inlineStr">
        <is>
          <t>RP1(a)</t>
        </is>
      </c>
      <c r="G240" s="8" t="inlineStr">
        <is>
          <t>OPTION 1:  Target-level reporting</t>
        </is>
      </c>
      <c r="H240" s="25">
        <f>IFERROR(IF(INDEX('Faculties'!$M$10:$M$29,MATCH($F240,'Faculties'!$B$10:$B$29,0))="","Cell will autofill based on response",INDEX('Faculties'!$M$10:$M$29,MATCH($F240,'Faculties'!$B$10:$B$29,0))),"N/A")</f>
        <v/>
      </c>
      <c r="I240" s="25">
        <f>IFERROR(IF(INDEX('Faculties'!$M$37:$M$56,MATCH($F240,'Faculties'!$B$37:$B$56,0))="","Cell will autofill based on response",INDEX('Faculties'!$M$37:$M$56,MATCH($F240,'Faculties'!$B$37:$B$56,0))),"N/A")</f>
        <v/>
      </c>
      <c r="J240" s="25">
        <f>IFERROR(IF(INDEX('Faculties'!$M$64:$M$83,MATCH($F240,'Faculties'!$B$64:$B$83,0))="","Cell will autofill based on response",INDEX('Faculties'!$M$64:$M$83,MATCH($F240,'Faculties'!$B$64:$B$83,0))),"N/A")</f>
        <v/>
      </c>
      <c r="K240" s="25">
        <f>IFERROR(IF(INDEX('Faculties'!$M$91:$M$110,MATCH($F240,'Faculties'!$B$91:$B$110,0))="","Cell will autofill based on response",INDEX('Faculties'!$M$91:$M$110,MATCH($F240,'Faculties'!$B$91:$B$110,0))),"N/A")</f>
        <v/>
      </c>
      <c r="L240" s="25">
        <f>IFERROR(IF(INDEX('CI&amp;S'!$M$10:$M$14,MATCH($F240,'CI&amp;S'!$B$10:$B$14,0))="","Cell will autofill based on response",INDEX('CI&amp;S'!$M$10:$M$14,MATCH($F240,'CI&amp;S'!$B$10:$B$14,0))),"N/A")</f>
        <v/>
      </c>
      <c r="M240" s="25">
        <f>IFERROR(IF(INDEX('CI&amp;S'!$M$22:$M$38,MATCH($F240,'CI&amp;S'!$B$22:$B$38,0))="","Cell will autofill based on response",INDEX('CI&amp;S'!$M$22:$M$38,MATCH($F240,'CI&amp;S'!$B$22:$B$38,0))),"N/A")</f>
        <v/>
      </c>
      <c r="N240" s="25">
        <f>IFERROR(IF(INDEX('CFOG'!$M$10:$M$15,MATCH($F240,'CFOG'!$B$10:$B$15,0))="","Cell will autofill based on response",INDEX('CFOG'!$M$10:$M$15,MATCH($F240,'CFOG'!$B$10:$B$15,0))),"N/A")</f>
        <v/>
      </c>
      <c r="O240" s="25">
        <f>IFERROR(IF(INDEX('CFOG'!$M$23:$M$23,MATCH($F240,'CFOG'!$B$23:$B$23,0))="","Cell will autofill based on response",INDEX('CFOG'!$M$23:$M$23,MATCH($F240,'CFOG'!$B$23:$B$23,0))),"N/A")</f>
        <v/>
      </c>
      <c r="P240" s="25">
        <f>IFERROR(IF(INDEX('ESG'!$M$10:$M$16,MATCH($F240,'ESG'!$B$10:$B$16,0))="","Cell will autofill based on response",INDEX('ESG'!$M$10:$M$16,MATCH($F240,'ESG'!$B$10:$B$16,0))),"N/A")</f>
        <v/>
      </c>
      <c r="Q240" s="25">
        <f>IFERROR(IF(INDEX('CIOG'!$M$10:$M$13,MATCH($F240,'CIOG'!$B$10:$B$13,0))="","Cell will autofill based on response",INDEX('CIOG'!$M$10:$M$13,MATCH($F240,'CIOG'!$B$10:$B$13,0))),"N/A")</f>
        <v/>
      </c>
      <c r="R240" s="25">
        <f>IFERROR(IF(INDEX('MRE'!$M$10:$M$11,MATCH($F240,'MRE'!$B$10:$B$11,0))="","Cell will autofill based on response",INDEX('MRE'!$M$10:$M$11,MATCH($F240,'MRE'!$B$10:$B$11,0))),"N/A")</f>
        <v/>
      </c>
    </row>
    <row r="241">
      <c r="A241">
        <f>F241&amp;"|"&amp;G241</f>
        <v/>
      </c>
      <c r="B241" s="29" t="inlineStr"/>
      <c r="C241" s="8" t="inlineStr"/>
      <c r="D241" s="8" t="inlineStr"/>
      <c r="E241" s="8" t="inlineStr"/>
      <c r="F241" s="8" t="inlineStr">
        <is>
          <t>RP1(a)</t>
        </is>
      </c>
      <c r="G241" s="8" t="inlineStr">
        <is>
          <t>OPTION 2:  Indicator level reporting</t>
        </is>
      </c>
      <c r="H241" s="25">
        <f>IFERROR(IF(INDEX('Faculties'!$N$10:$N$29,MATCH($F241,'Faculties'!$B$10:$B$29,0))="","Cell will autofill based on response",INDEX('Faculties'!$N$10:$N$29,MATCH($F241,'Faculties'!$B$10:$B$29,0))),"N/A")</f>
        <v/>
      </c>
      <c r="I241" s="25">
        <f>IFERROR(IF(INDEX('Faculties'!$N$37:$N$56,MATCH($F241,'Faculties'!$B$37:$B$56,0))="","Cell will autofill based on response",INDEX('Faculties'!$N$37:$N$56,MATCH($F241,'Faculties'!$B$37:$B$56,0))),"N/A")</f>
        <v/>
      </c>
      <c r="J241" s="25">
        <f>IFERROR(IF(INDEX('Faculties'!$N$64:$N$83,MATCH($F241,'Faculties'!$B$64:$B$83,0))="","Cell will autofill based on response",INDEX('Faculties'!$N$64:$N$83,MATCH($F241,'Faculties'!$B$64:$B$83,0))),"N/A")</f>
        <v/>
      </c>
      <c r="K241" s="25">
        <f>IFERROR(IF(INDEX('Faculties'!$N$91:$N$110,MATCH($F241,'Faculties'!$B$91:$B$110,0))="","Cell will autofill based on response",INDEX('Faculties'!$N$91:$N$110,MATCH($F241,'Faculties'!$B$91:$B$110,0))),"N/A")</f>
        <v/>
      </c>
      <c r="L241" s="25">
        <f>IFERROR(IF(INDEX('CI&amp;S'!$N$10:$N$14,MATCH($F241,'CI&amp;S'!$B$10:$B$14,0))="","Cell will autofill based on response",INDEX('CI&amp;S'!$N$10:$N$14,MATCH($F241,'CI&amp;S'!$B$10:$B$14,0))),"N/A")</f>
        <v/>
      </c>
      <c r="M241" s="25">
        <f>IFERROR(IF(INDEX('CI&amp;S'!$N$22:$N$38,MATCH($F241,'CI&amp;S'!$B$22:$B$38,0))="","Cell will autofill based on response",INDEX('CI&amp;S'!$N$22:$N$38,MATCH($F241,'CI&amp;S'!$B$22:$B$38,0))),"N/A")</f>
        <v/>
      </c>
      <c r="N241" s="25">
        <f>IFERROR(IF(INDEX('CFOG'!$N$10:$N$15,MATCH($F241,'CFOG'!$B$10:$B$15,0))="","Cell will autofill based on response",INDEX('CFOG'!$N$10:$N$15,MATCH($F241,'CFOG'!$B$10:$B$15,0))),"N/A")</f>
        <v/>
      </c>
      <c r="O241" s="25">
        <f>IFERROR(IF(INDEX('CFOG'!$N$23:$N$23,MATCH($F241,'CFOG'!$B$23:$B$23,0))="","Cell will autofill based on response",INDEX('CFOG'!$N$23:$N$23,MATCH($F241,'CFOG'!$B$23:$B$23,0))),"N/A")</f>
        <v/>
      </c>
      <c r="P241" s="25">
        <f>IFERROR(IF(INDEX('ESG'!$N$10:$N$16,MATCH($F241,'ESG'!$B$10:$B$16,0))="","Cell will autofill based on response",INDEX('ESG'!$N$10:$N$16,MATCH($F241,'ESG'!$B$10:$B$16,0))),"N/A")</f>
        <v/>
      </c>
      <c r="Q241" s="25">
        <f>IFERROR(IF(INDEX('CIOG'!$N$10:$N$13,MATCH($F241,'CIOG'!$B$10:$B$13,0))="","Cell will autofill based on response",INDEX('CIOG'!$N$10:$N$13,MATCH($F241,'CIOG'!$B$10:$B$13,0))),"N/A")</f>
        <v/>
      </c>
      <c r="R241" s="25">
        <f>IFERROR(IF(INDEX('MRE'!$N$10:$N$11,MATCH($F241,'MRE'!$B$10:$B$11,0))="","Cell will autofill based on response",INDEX('MRE'!$N$10:$N$11,MATCH($F241,'MRE'!$B$10:$B$11,0))),"N/A")</f>
        <v/>
      </c>
    </row>
    <row r="242">
      <c r="A242">
        <f>F242&amp;"|"&amp;G242</f>
        <v/>
      </c>
      <c r="B242" s="29" t="inlineStr"/>
      <c r="C242" s="8" t="inlineStr"/>
      <c r="D242" s="8" t="inlineStr"/>
      <c r="E242" s="8" t="inlineStr"/>
      <c r="F242" s="8" t="inlineStr">
        <is>
          <t>RP1(a)</t>
        </is>
      </c>
      <c r="G242" s="8" t="inlineStr">
        <is>
          <t>Supporting information/comments</t>
        </is>
      </c>
      <c r="H242" s="25">
        <f>IFERROR(IF(INDEX('Faculties'!$O$10:$O$29,MATCH($F242,'Faculties'!$B$10:$B$29,0))="","Cell will autofill based on response",INDEX('Faculties'!$O$10:$O$29,MATCH($F242,'Faculties'!$B$10:$B$29,0))),"N/A")</f>
        <v/>
      </c>
      <c r="I242" s="25">
        <f>IFERROR(IF(INDEX('Faculties'!$O$37:$O$56,MATCH($F242,'Faculties'!$B$37:$B$56,0))="","Cell will autofill based on response",INDEX('Faculties'!$O$37:$O$56,MATCH($F242,'Faculties'!$B$37:$B$56,0))),"N/A")</f>
        <v/>
      </c>
      <c r="J242" s="25">
        <f>IFERROR(IF(INDEX('Faculties'!$O$64:$O$83,MATCH($F242,'Faculties'!$B$64:$B$83,0))="","Cell will autofill based on response",INDEX('Faculties'!$O$64:$O$83,MATCH($F242,'Faculties'!$B$64:$B$83,0))),"N/A")</f>
        <v/>
      </c>
      <c r="K242" s="25">
        <f>IFERROR(IF(INDEX('Faculties'!$O$91:$O$110,MATCH($F242,'Faculties'!$B$91:$B$110,0))="","Cell will autofill based on response",INDEX('Faculties'!$O$91:$O$110,MATCH($F242,'Faculties'!$B$91:$B$110,0))),"N/A")</f>
        <v/>
      </c>
      <c r="L242" s="25">
        <f>IFERROR(IF(INDEX('CI&amp;S'!$O$10:$O$14,MATCH($F242,'CI&amp;S'!$B$10:$B$14,0))="","Cell will autofill based on response",INDEX('CI&amp;S'!$O$10:$O$14,MATCH($F242,'CI&amp;S'!$B$10:$B$14,0))),"N/A")</f>
        <v/>
      </c>
      <c r="M242" s="25">
        <f>IFERROR(IF(INDEX('CI&amp;S'!$O$22:$O$38,MATCH($F242,'CI&amp;S'!$B$22:$B$38,0))="","Cell will autofill based on response",INDEX('CI&amp;S'!$O$22:$O$38,MATCH($F242,'CI&amp;S'!$B$22:$B$38,0))),"N/A")</f>
        <v/>
      </c>
      <c r="N242" s="25">
        <f>IFERROR(IF(INDEX('CFOG'!$O$10:$O$15,MATCH($F242,'CFOG'!$B$10:$B$15,0))="","Cell will autofill based on response",INDEX('CFOG'!$O$10:$O$15,MATCH($F242,'CFOG'!$B$10:$B$15,0))),"N/A")</f>
        <v/>
      </c>
      <c r="O242" s="25">
        <f>IFERROR(IF(INDEX('CFOG'!$O$23:$O$23,MATCH($F242,'CFOG'!$B$23:$B$23,0))="","Cell will autofill based on response",INDEX('CFOG'!$O$23:$O$23,MATCH($F242,'CFOG'!$B$23:$B$23,0))),"N/A")</f>
        <v/>
      </c>
      <c r="P242" s="25">
        <f>IFERROR(IF(INDEX('ESG'!$O$10:$O$16,MATCH($F242,'ESG'!$B$10:$B$16,0))="","Cell will autofill based on response",INDEX('ESG'!$O$10:$O$16,MATCH($F242,'ESG'!$B$10:$B$16,0))),"N/A")</f>
        <v/>
      </c>
      <c r="Q242" s="25">
        <f>IFERROR(IF(INDEX('CIOG'!$O$10:$O$13,MATCH($F242,'CIOG'!$B$10:$B$13,0))="","Cell will autofill based on response",INDEX('CIOG'!$O$10:$O$13,MATCH($F242,'CIOG'!$B$10:$B$13,0))),"N/A")</f>
        <v/>
      </c>
      <c r="R242" s="25">
        <f>IFERROR(IF(INDEX('MRE'!$O$10:$O$11,MATCH($F242,'MRE'!$B$10:$B$11,0))="","Cell will autofill based on response",INDEX('MRE'!$O$10:$O$11,MATCH($F242,'MRE'!$B$10:$B$11,0))),"N/A")</f>
        <v/>
      </c>
    </row>
    <row r="243">
      <c r="A243">
        <f>F243&amp;"|"&amp;G243</f>
        <v/>
      </c>
      <c r="B243" s="29" t="inlineStr"/>
      <c r="C243" s="8" t="inlineStr"/>
      <c r="D243" s="8" t="inlineStr"/>
      <c r="E243" s="8" t="inlineStr"/>
      <c r="F243" s="8" t="inlineStr">
        <is>
          <t>RP1(a)</t>
        </is>
      </c>
      <c r="G243" s="8" t="inlineStr">
        <is>
          <t>Data source and limitations</t>
        </is>
      </c>
      <c r="H243" s="25">
        <f>IFERROR(IF(INDEX('Faculties'!$P$10:$P$29,MATCH($F243,'Faculties'!$B$10:$B$29,0))="","Cell will autofill based on response",INDEX('Faculties'!$P$10:$P$29,MATCH($F243,'Faculties'!$B$10:$B$29,0))),"N/A")</f>
        <v/>
      </c>
      <c r="I243" s="25">
        <f>IFERROR(IF(INDEX('Faculties'!$P$37:$P$56,MATCH($F243,'Faculties'!$B$37:$B$56,0))="","Cell will autofill based on response",INDEX('Faculties'!$P$37:$P$56,MATCH($F243,'Faculties'!$B$37:$B$56,0))),"N/A")</f>
        <v/>
      </c>
      <c r="J243" s="25">
        <f>IFERROR(IF(INDEX('Faculties'!$P$64:$P$83,MATCH($F243,'Faculties'!$B$64:$B$83,0))="","Cell will autofill based on response",INDEX('Faculties'!$P$64:$P$83,MATCH($F243,'Faculties'!$B$64:$B$83,0))),"N/A")</f>
        <v/>
      </c>
      <c r="K243" s="25">
        <f>IFERROR(IF(INDEX('Faculties'!$P$91:$P$110,MATCH($F243,'Faculties'!$B$91:$B$110,0))="","Cell will autofill based on response",INDEX('Faculties'!$P$91:$P$110,MATCH($F243,'Faculties'!$B$91:$B$110,0))),"N/A")</f>
        <v/>
      </c>
      <c r="L243" s="25">
        <f>IFERROR(IF(INDEX('CI&amp;S'!$P$10:$P$14,MATCH($F243,'CI&amp;S'!$B$10:$B$14,0))="","Cell will autofill based on response",INDEX('CI&amp;S'!$P$10:$P$14,MATCH($F243,'CI&amp;S'!$B$10:$B$14,0))),"N/A")</f>
        <v/>
      </c>
      <c r="M243" s="25">
        <f>IFERROR(IF(INDEX('CI&amp;S'!$P$22:$P$38,MATCH($F243,'CI&amp;S'!$B$22:$B$38,0))="","Cell will autofill based on response",INDEX('CI&amp;S'!$P$22:$P$38,MATCH($F243,'CI&amp;S'!$B$22:$B$38,0))),"N/A")</f>
        <v/>
      </c>
      <c r="N243" s="25">
        <f>IFERROR(IF(INDEX('CFOG'!$P$10:$P$15,MATCH($F243,'CFOG'!$B$10:$B$15,0))="","Cell will autofill based on response",INDEX('CFOG'!$P$10:$P$15,MATCH($F243,'CFOG'!$B$10:$B$15,0))),"N/A")</f>
        <v/>
      </c>
      <c r="O243" s="25">
        <f>IFERROR(IF(INDEX('CFOG'!$P$23:$P$23,MATCH($F243,'CFOG'!$B$23:$B$23,0))="","Cell will autofill based on response",INDEX('CFOG'!$P$23:$P$23,MATCH($F243,'CFOG'!$B$23:$B$23,0))),"N/A")</f>
        <v/>
      </c>
      <c r="P243" s="25">
        <f>IFERROR(IF(INDEX('ESG'!$P$10:$P$16,MATCH($F243,'ESG'!$B$10:$B$16,0))="","Cell will autofill based on response",INDEX('ESG'!$P$10:$P$16,MATCH($F243,'ESG'!$B$10:$B$16,0))),"N/A")</f>
        <v/>
      </c>
      <c r="Q243" s="25">
        <f>IFERROR(IF(INDEX('CIOG'!$P$10:$P$13,MATCH($F243,'CIOG'!$B$10:$B$13,0))="","Cell will autofill based on response",INDEX('CIOG'!$P$10:$P$13,MATCH($F243,'CIOG'!$B$10:$B$13,0))),"N/A")</f>
        <v/>
      </c>
      <c r="R243" s="25">
        <f>IFERROR(IF(INDEX('MRE'!$P$10:$P$11,MATCH($F243,'MRE'!$B$10:$B$11,0))="","Cell will autofill based on response",INDEX('MRE'!$P$10:$P$11,MATCH($F243,'MRE'!$B$10:$B$11,0))),"N/A")</f>
        <v/>
      </c>
    </row>
    <row r="244">
      <c r="A244">
        <f>F244&amp;"|"&amp;G244</f>
        <v/>
      </c>
      <c r="B244" s="29" t="inlineStr"/>
      <c r="C244" s="8" t="inlineStr"/>
      <c r="D244" s="8" t="inlineStr"/>
      <c r="E244" s="8" t="inlineStr"/>
      <c r="F244" s="8" t="inlineStr">
        <is>
          <t>RP1(a)</t>
        </is>
      </c>
      <c r="G244" s="8" t="inlineStr">
        <is>
          <t>Data owner confirms</t>
        </is>
      </c>
      <c r="H244" s="25">
        <f>IFERROR(IF(INDEX('Faculties'!$Q$10:$Q$29,MATCH($F244,'Faculties'!$B$10:$B$29,0))="","Cell will autofill based on response",INDEX('Faculties'!$Q$10:$Q$29,MATCH($F244,'Faculties'!$B$10:$B$29,0))),"N/A")</f>
        <v/>
      </c>
      <c r="I244" s="25">
        <f>IFERROR(IF(INDEX('Faculties'!$Q$37:$Q$56,MATCH($F244,'Faculties'!$B$37:$B$56,0))="","Cell will autofill based on response",INDEX('Faculties'!$Q$37:$Q$56,MATCH($F244,'Faculties'!$B$37:$B$56,0))),"N/A")</f>
        <v/>
      </c>
      <c r="J244" s="25">
        <f>IFERROR(IF(INDEX('Faculties'!$Q$64:$Q$83,MATCH($F244,'Faculties'!$B$64:$B$83,0))="","Cell will autofill based on response",INDEX('Faculties'!$Q$64:$Q$83,MATCH($F244,'Faculties'!$B$64:$B$83,0))),"N/A")</f>
        <v/>
      </c>
      <c r="K244" s="25">
        <f>IFERROR(IF(INDEX('Faculties'!$Q$91:$Q$110,MATCH($F244,'Faculties'!$B$91:$B$110,0))="","Cell will autofill based on response",INDEX('Faculties'!$Q$91:$Q$110,MATCH($F244,'Faculties'!$B$91:$B$110,0))),"N/A")</f>
        <v/>
      </c>
      <c r="L244" s="25">
        <f>IFERROR(IF(INDEX('CI&amp;S'!$Q$10:$Q$14,MATCH($F244,'CI&amp;S'!$B$10:$B$14,0))="","Cell will autofill based on response",INDEX('CI&amp;S'!$Q$10:$Q$14,MATCH($F244,'CI&amp;S'!$B$10:$B$14,0))),"N/A")</f>
        <v/>
      </c>
      <c r="M244" s="25">
        <f>IFERROR(IF(INDEX('CI&amp;S'!$Q$22:$Q$38,MATCH($F244,'CI&amp;S'!$B$22:$B$38,0))="","Cell will autofill based on response",INDEX('CI&amp;S'!$Q$22:$Q$38,MATCH($F244,'CI&amp;S'!$B$22:$B$38,0))),"N/A")</f>
        <v/>
      </c>
      <c r="N244" s="25">
        <f>IFERROR(IF(INDEX('CFOG'!$Q$10:$Q$15,MATCH($F244,'CFOG'!$B$10:$B$15,0))="","Cell will autofill based on response",INDEX('CFOG'!$Q$10:$Q$15,MATCH($F244,'CFOG'!$B$10:$B$15,0))),"N/A")</f>
        <v/>
      </c>
      <c r="O244" s="25">
        <f>IFERROR(IF(INDEX('CFOG'!$Q$23:$Q$23,MATCH($F244,'CFOG'!$B$23:$B$23,0))="","Cell will autofill based on response",INDEX('CFOG'!$Q$23:$Q$23,MATCH($F244,'CFOG'!$B$23:$B$23,0))),"N/A")</f>
        <v/>
      </c>
      <c r="P244" s="25">
        <f>IFERROR(IF(INDEX('ESG'!$Q$10:$Q$16,MATCH($F244,'ESG'!$B$10:$B$16,0))="","Cell will autofill based on response",INDEX('ESG'!$Q$10:$Q$16,MATCH($F244,'ESG'!$B$10:$B$16,0))),"N/A")</f>
        <v/>
      </c>
      <c r="Q244" s="25">
        <f>IFERROR(IF(INDEX('CIOG'!$Q$10:$Q$13,MATCH($F244,'CIOG'!$B$10:$B$13,0))="","Cell will autofill based on response",INDEX('CIOG'!$Q$10:$Q$13,MATCH($F244,'CIOG'!$B$10:$B$13,0))),"N/A")</f>
        <v/>
      </c>
      <c r="R244" s="25">
        <f>IFERROR(IF(INDEX('MRE'!$Q$10:$Q$11,MATCH($F244,'MRE'!$B$10:$B$11,0))="","Cell will autofill based on response",INDEX('MRE'!$Q$10:$Q$11,MATCH($F244,'MRE'!$B$10:$B$11,0))),"N/A")</f>
        <v/>
      </c>
    </row>
    <row r="245">
      <c r="A245">
        <f>F245&amp;"|"&amp;G245</f>
        <v/>
      </c>
      <c r="B245" s="7" t="inlineStr">
        <is>
          <t>RP2(a)</t>
        </is>
      </c>
      <c r="C245" s="12" t="inlineStr">
        <is>
          <t>Responsible procurement</t>
        </is>
      </c>
      <c r="D245" s="12" t="inlineStr">
        <is>
          <t>Percentage of Indigenous spend of total addressable procurement spend</t>
        </is>
      </c>
      <c r="E245" s="12" t="inlineStr">
        <is>
          <t>Percentage of Indigenous spend of total addressable procurement spend</t>
        </is>
      </c>
      <c r="F245" s="12" t="inlineStr">
        <is>
          <t>RP2(a)</t>
        </is>
      </c>
      <c r="G245" s="12" t="inlineStr">
        <is>
          <t>Confirm end-2026 target status</t>
        </is>
      </c>
      <c r="H245" s="25">
        <f>IFERROR(IF(INDEX('Faculties'!$L$10:$L$29,MATCH($F245,'Faculties'!$B$10:$B$29,0))="","Cell will autofill based on response",INDEX('Faculties'!$L$10:$L$29,MATCH($F245,'Faculties'!$B$10:$B$29,0))),"N/A")</f>
        <v/>
      </c>
      <c r="I245" s="25">
        <f>IFERROR(IF(INDEX('Faculties'!$L$37:$L$56,MATCH($F245,'Faculties'!$B$37:$B$56,0))="","Cell will autofill based on response",INDEX('Faculties'!$L$37:$L$56,MATCH($F245,'Faculties'!$B$37:$B$56,0))),"N/A")</f>
        <v/>
      </c>
      <c r="J245" s="25">
        <f>IFERROR(IF(INDEX('Faculties'!$L$64:$L$83,MATCH($F245,'Faculties'!$B$64:$B$83,0))="","Cell will autofill based on response",INDEX('Faculties'!$L$64:$L$83,MATCH($F245,'Faculties'!$B$64:$B$83,0))),"N/A")</f>
        <v/>
      </c>
      <c r="K245" s="25">
        <f>IFERROR(IF(INDEX('Faculties'!$L$91:$L$110,MATCH($F245,'Faculties'!$B$91:$B$110,0))="","Cell will autofill based on response",INDEX('Faculties'!$L$91:$L$110,MATCH($F245,'Faculties'!$B$91:$B$110,0))),"N/A")</f>
        <v/>
      </c>
      <c r="L245" s="25">
        <f>IFERROR(IF(INDEX('CI&amp;S'!$L$10:$L$14,MATCH($F245,'CI&amp;S'!$B$10:$B$14,0))="","Cell will autofill based on response",INDEX('CI&amp;S'!$L$10:$L$14,MATCH($F245,'CI&amp;S'!$B$10:$B$14,0))),"N/A")</f>
        <v/>
      </c>
      <c r="M245" s="25">
        <f>IFERROR(IF(INDEX('CI&amp;S'!$L$22:$L$38,MATCH($F245,'CI&amp;S'!$B$22:$B$38,0))="","Cell will autofill based on response",INDEX('CI&amp;S'!$L$22:$L$38,MATCH($F245,'CI&amp;S'!$B$22:$B$38,0))),"N/A")</f>
        <v/>
      </c>
      <c r="N245" s="25">
        <f>IFERROR(IF(INDEX('CFOG'!$L$10:$L$15,MATCH($F245,'CFOG'!$B$10:$B$15,0))="","Cell will autofill based on response",INDEX('CFOG'!$L$10:$L$15,MATCH($F245,'CFOG'!$B$10:$B$15,0))),"N/A")</f>
        <v/>
      </c>
      <c r="O245" s="25">
        <f>IFERROR(IF(INDEX('CFOG'!$L$23:$L$23,MATCH($F245,'CFOG'!$B$23:$B$23,0))="","Cell will autofill based on response",INDEX('CFOG'!$L$23:$L$23,MATCH($F245,'CFOG'!$B$23:$B$23,0))),"N/A")</f>
        <v/>
      </c>
      <c r="P245" s="25">
        <f>IFERROR(IF(INDEX('ESG'!$L$10:$L$16,MATCH($F245,'ESG'!$B$10:$B$16,0))="","Cell will autofill based on response",INDEX('ESG'!$L$10:$L$16,MATCH($F245,'ESG'!$B$10:$B$16,0))),"N/A")</f>
        <v/>
      </c>
      <c r="Q245" s="25">
        <f>IFERROR(IF(INDEX('CIOG'!$L$10:$L$13,MATCH($F245,'CIOG'!$B$10:$B$13,0))="","Cell will autofill based on response",INDEX('CIOG'!$L$10:$L$13,MATCH($F245,'CIOG'!$B$10:$B$13,0))),"N/A")</f>
        <v/>
      </c>
      <c r="R245" s="25">
        <f>IFERROR(IF(INDEX('MRE'!$L$10:$L$11,MATCH($F245,'MRE'!$B$10:$B$11,0))="","Cell will autofill based on response",INDEX('MRE'!$L$10:$L$11,MATCH($F245,'MRE'!$B$10:$B$11,0))),"N/A")</f>
        <v/>
      </c>
      <c r="T245" s="26">
        <f>COUNTIF($H245:$R245,"Cell will autofill based on response")</f>
        <v/>
      </c>
      <c r="U245" s="26">
        <f>COUNTIF($H245:$R245,"Not yet started")</f>
        <v/>
      </c>
      <c r="V245" s="26">
        <f>COUNTIF($H245:$R245,"Not met")</f>
        <v/>
      </c>
      <c r="W245" s="26">
        <f>COUNTIF($H245:$R245,"Partially met")</f>
        <v/>
      </c>
      <c r="X245" s="26">
        <f>COUNTIF($H245:$R245,"Met or exceeded")</f>
        <v/>
      </c>
      <c r="Y245" s="26">
        <f>3*X245+2*W245+V245</f>
        <v/>
      </c>
      <c r="Z245" s="26">
        <f>X245+W245+V245+U245</f>
        <v/>
      </c>
      <c r="AA245" s="27">
        <f>IF(Z245&gt;0,Y245/Z245,"No valid responses to date")</f>
        <v/>
      </c>
      <c r="AB245" s="26">
        <f>IF(ISNUMBER(AA245),INDEX(Lists!$G$2:$G$5,MATCH(ROUND(AA245,0),Lists!$H$2:$H$5,0)),"")</f>
        <v/>
      </c>
      <c r="AC245" s="28">
        <f>IF(Z245&gt;0,X245/Z245,"")</f>
        <v/>
      </c>
      <c r="AD245" s="28">
        <f>IF(Z245&gt;0,(X245+W245)/Z245,"")</f>
        <v/>
      </c>
      <c r="AE245" s="26">
        <f>IF(Z245=0,"",IF(AC245&gt;0.75,"Met or exceeded",IF(AD245&gt;=0.5,"Partially met","Not met")))</f>
        <v/>
      </c>
    </row>
    <row r="246">
      <c r="A246">
        <f>F246&amp;"|"&amp;G246</f>
        <v/>
      </c>
      <c r="B246" s="29" t="inlineStr"/>
      <c r="C246" s="8" t="inlineStr"/>
      <c r="D246" s="8" t="inlineStr"/>
      <c r="E246" s="8" t="inlineStr"/>
      <c r="F246" s="8" t="inlineStr">
        <is>
          <t>RP2(a)</t>
        </is>
      </c>
      <c r="G246" s="8" t="inlineStr">
        <is>
          <t>OPTION 1:  Target-level reporting</t>
        </is>
      </c>
      <c r="H246" s="25">
        <f>IFERROR(IF(INDEX('Faculties'!$M$10:$M$29,MATCH($F246,'Faculties'!$B$10:$B$29,0))="","Cell will autofill based on response",INDEX('Faculties'!$M$10:$M$29,MATCH($F246,'Faculties'!$B$10:$B$29,0))),"N/A")</f>
        <v/>
      </c>
      <c r="I246" s="25">
        <f>IFERROR(IF(INDEX('Faculties'!$M$37:$M$56,MATCH($F246,'Faculties'!$B$37:$B$56,0))="","Cell will autofill based on response",INDEX('Faculties'!$M$37:$M$56,MATCH($F246,'Faculties'!$B$37:$B$56,0))),"N/A")</f>
        <v/>
      </c>
      <c r="J246" s="25">
        <f>IFERROR(IF(INDEX('Faculties'!$M$64:$M$83,MATCH($F246,'Faculties'!$B$64:$B$83,0))="","Cell will autofill based on response",INDEX('Faculties'!$M$64:$M$83,MATCH($F246,'Faculties'!$B$64:$B$83,0))),"N/A")</f>
        <v/>
      </c>
      <c r="K246" s="25">
        <f>IFERROR(IF(INDEX('Faculties'!$M$91:$M$110,MATCH($F246,'Faculties'!$B$91:$B$110,0))="","Cell will autofill based on response",INDEX('Faculties'!$M$91:$M$110,MATCH($F246,'Faculties'!$B$91:$B$110,0))),"N/A")</f>
        <v/>
      </c>
      <c r="L246" s="25">
        <f>IFERROR(IF(INDEX('CI&amp;S'!$M$10:$M$14,MATCH($F246,'CI&amp;S'!$B$10:$B$14,0))="","Cell will autofill based on response",INDEX('CI&amp;S'!$M$10:$M$14,MATCH($F246,'CI&amp;S'!$B$10:$B$14,0))),"N/A")</f>
        <v/>
      </c>
      <c r="M246" s="25">
        <f>IFERROR(IF(INDEX('CI&amp;S'!$M$22:$M$38,MATCH($F246,'CI&amp;S'!$B$22:$B$38,0))="","Cell will autofill based on response",INDEX('CI&amp;S'!$M$22:$M$38,MATCH($F246,'CI&amp;S'!$B$22:$B$38,0))),"N/A")</f>
        <v/>
      </c>
      <c r="N246" s="25">
        <f>IFERROR(IF(INDEX('CFOG'!$M$10:$M$15,MATCH($F246,'CFOG'!$B$10:$B$15,0))="","Cell will autofill based on response",INDEX('CFOG'!$M$10:$M$15,MATCH($F246,'CFOG'!$B$10:$B$15,0))),"N/A")</f>
        <v/>
      </c>
      <c r="O246" s="25">
        <f>IFERROR(IF(INDEX('CFOG'!$M$23:$M$23,MATCH($F246,'CFOG'!$B$23:$B$23,0))="","Cell will autofill based on response",INDEX('CFOG'!$M$23:$M$23,MATCH($F246,'CFOG'!$B$23:$B$23,0))),"N/A")</f>
        <v/>
      </c>
      <c r="P246" s="25">
        <f>IFERROR(IF(INDEX('ESG'!$M$10:$M$16,MATCH($F246,'ESG'!$B$10:$B$16,0))="","Cell will autofill based on response",INDEX('ESG'!$M$10:$M$16,MATCH($F246,'ESG'!$B$10:$B$16,0))),"N/A")</f>
        <v/>
      </c>
      <c r="Q246" s="25">
        <f>IFERROR(IF(INDEX('CIOG'!$M$10:$M$13,MATCH($F246,'CIOG'!$B$10:$B$13,0))="","Cell will autofill based on response",INDEX('CIOG'!$M$10:$M$13,MATCH($F246,'CIOG'!$B$10:$B$13,0))),"N/A")</f>
        <v/>
      </c>
      <c r="R246" s="25">
        <f>IFERROR(IF(INDEX('MRE'!$M$10:$M$11,MATCH($F246,'MRE'!$B$10:$B$11,0))="","Cell will autofill based on response",INDEX('MRE'!$M$10:$M$11,MATCH($F246,'MRE'!$B$10:$B$11,0))),"N/A")</f>
        <v/>
      </c>
    </row>
    <row r="247">
      <c r="A247">
        <f>F247&amp;"|"&amp;G247</f>
        <v/>
      </c>
      <c r="B247" s="29" t="inlineStr"/>
      <c r="C247" s="8" t="inlineStr"/>
      <c r="D247" s="8" t="inlineStr"/>
      <c r="E247" s="8" t="inlineStr"/>
      <c r="F247" s="8" t="inlineStr">
        <is>
          <t>RP2(a)</t>
        </is>
      </c>
      <c r="G247" s="8" t="inlineStr">
        <is>
          <t>OPTION 2:  Indicator level reporting</t>
        </is>
      </c>
      <c r="H247" s="25">
        <f>IFERROR(IF(INDEX('Faculties'!$N$10:$N$29,MATCH($F247,'Faculties'!$B$10:$B$29,0))="","Cell will autofill based on response",INDEX('Faculties'!$N$10:$N$29,MATCH($F247,'Faculties'!$B$10:$B$29,0))),"N/A")</f>
        <v/>
      </c>
      <c r="I247" s="25">
        <f>IFERROR(IF(INDEX('Faculties'!$N$37:$N$56,MATCH($F247,'Faculties'!$B$37:$B$56,0))="","Cell will autofill based on response",INDEX('Faculties'!$N$37:$N$56,MATCH($F247,'Faculties'!$B$37:$B$56,0))),"N/A")</f>
        <v/>
      </c>
      <c r="J247" s="25">
        <f>IFERROR(IF(INDEX('Faculties'!$N$64:$N$83,MATCH($F247,'Faculties'!$B$64:$B$83,0))="","Cell will autofill based on response",INDEX('Faculties'!$N$64:$N$83,MATCH($F247,'Faculties'!$B$64:$B$83,0))),"N/A")</f>
        <v/>
      </c>
      <c r="K247" s="25">
        <f>IFERROR(IF(INDEX('Faculties'!$N$91:$N$110,MATCH($F247,'Faculties'!$B$91:$B$110,0))="","Cell will autofill based on response",INDEX('Faculties'!$N$91:$N$110,MATCH($F247,'Faculties'!$B$91:$B$110,0))),"N/A")</f>
        <v/>
      </c>
      <c r="L247" s="25">
        <f>IFERROR(IF(INDEX('CI&amp;S'!$N$10:$N$14,MATCH($F247,'CI&amp;S'!$B$10:$B$14,0))="","Cell will autofill based on response",INDEX('CI&amp;S'!$N$10:$N$14,MATCH($F247,'CI&amp;S'!$B$10:$B$14,0))),"N/A")</f>
        <v/>
      </c>
      <c r="M247" s="25">
        <f>IFERROR(IF(INDEX('CI&amp;S'!$N$22:$N$38,MATCH($F247,'CI&amp;S'!$B$22:$B$38,0))="","Cell will autofill based on response",INDEX('CI&amp;S'!$N$22:$N$38,MATCH($F247,'CI&amp;S'!$B$22:$B$38,0))),"N/A")</f>
        <v/>
      </c>
      <c r="N247" s="25">
        <f>IFERROR(IF(INDEX('CFOG'!$N$10:$N$15,MATCH($F247,'CFOG'!$B$10:$B$15,0))="","Cell will autofill based on response",INDEX('CFOG'!$N$10:$N$15,MATCH($F247,'CFOG'!$B$10:$B$15,0))),"N/A")</f>
        <v/>
      </c>
      <c r="O247" s="25">
        <f>IFERROR(IF(INDEX('CFOG'!$N$23:$N$23,MATCH($F247,'CFOG'!$B$23:$B$23,0))="","Cell will autofill based on response",INDEX('CFOG'!$N$23:$N$23,MATCH($F247,'CFOG'!$B$23:$B$23,0))),"N/A")</f>
        <v/>
      </c>
      <c r="P247" s="25">
        <f>IFERROR(IF(INDEX('ESG'!$N$10:$N$16,MATCH($F247,'ESG'!$B$10:$B$16,0))="","Cell will autofill based on response",INDEX('ESG'!$N$10:$N$16,MATCH($F247,'ESG'!$B$10:$B$16,0))),"N/A")</f>
        <v/>
      </c>
      <c r="Q247" s="25">
        <f>IFERROR(IF(INDEX('CIOG'!$N$10:$N$13,MATCH($F247,'CIOG'!$B$10:$B$13,0))="","Cell will autofill based on response",INDEX('CIOG'!$N$10:$N$13,MATCH($F247,'CIOG'!$B$10:$B$13,0))),"N/A")</f>
        <v/>
      </c>
      <c r="R247" s="25">
        <f>IFERROR(IF(INDEX('MRE'!$N$10:$N$11,MATCH($F247,'MRE'!$B$10:$B$11,0))="","Cell will autofill based on response",INDEX('MRE'!$N$10:$N$11,MATCH($F247,'MRE'!$B$10:$B$11,0))),"N/A")</f>
        <v/>
      </c>
    </row>
    <row r="248">
      <c r="A248">
        <f>F248&amp;"|"&amp;G248</f>
        <v/>
      </c>
      <c r="B248" s="29" t="inlineStr"/>
      <c r="C248" s="8" t="inlineStr"/>
      <c r="D248" s="8" t="inlineStr"/>
      <c r="E248" s="8" t="inlineStr"/>
      <c r="F248" s="8" t="inlineStr">
        <is>
          <t>RP2(a)</t>
        </is>
      </c>
      <c r="G248" s="8" t="inlineStr">
        <is>
          <t>Supporting information/comments</t>
        </is>
      </c>
      <c r="H248" s="25">
        <f>IFERROR(IF(INDEX('Faculties'!$O$10:$O$29,MATCH($F248,'Faculties'!$B$10:$B$29,0))="","Cell will autofill based on response",INDEX('Faculties'!$O$10:$O$29,MATCH($F248,'Faculties'!$B$10:$B$29,0))),"N/A")</f>
        <v/>
      </c>
      <c r="I248" s="25">
        <f>IFERROR(IF(INDEX('Faculties'!$O$37:$O$56,MATCH($F248,'Faculties'!$B$37:$B$56,0))="","Cell will autofill based on response",INDEX('Faculties'!$O$37:$O$56,MATCH($F248,'Faculties'!$B$37:$B$56,0))),"N/A")</f>
        <v/>
      </c>
      <c r="J248" s="25">
        <f>IFERROR(IF(INDEX('Faculties'!$O$64:$O$83,MATCH($F248,'Faculties'!$B$64:$B$83,0))="","Cell will autofill based on response",INDEX('Faculties'!$O$64:$O$83,MATCH($F248,'Faculties'!$B$64:$B$83,0))),"N/A")</f>
        <v/>
      </c>
      <c r="K248" s="25">
        <f>IFERROR(IF(INDEX('Faculties'!$O$91:$O$110,MATCH($F248,'Faculties'!$B$91:$B$110,0))="","Cell will autofill based on response",INDEX('Faculties'!$O$91:$O$110,MATCH($F248,'Faculties'!$B$91:$B$110,0))),"N/A")</f>
        <v/>
      </c>
      <c r="L248" s="25">
        <f>IFERROR(IF(INDEX('CI&amp;S'!$O$10:$O$14,MATCH($F248,'CI&amp;S'!$B$10:$B$14,0))="","Cell will autofill based on response",INDEX('CI&amp;S'!$O$10:$O$14,MATCH($F248,'CI&amp;S'!$B$10:$B$14,0))),"N/A")</f>
        <v/>
      </c>
      <c r="M248" s="25">
        <f>IFERROR(IF(INDEX('CI&amp;S'!$O$22:$O$38,MATCH($F248,'CI&amp;S'!$B$22:$B$38,0))="","Cell will autofill based on response",INDEX('CI&amp;S'!$O$22:$O$38,MATCH($F248,'CI&amp;S'!$B$22:$B$38,0))),"N/A")</f>
        <v/>
      </c>
      <c r="N248" s="25">
        <f>IFERROR(IF(INDEX('CFOG'!$O$10:$O$15,MATCH($F248,'CFOG'!$B$10:$B$15,0))="","Cell will autofill based on response",INDEX('CFOG'!$O$10:$O$15,MATCH($F248,'CFOG'!$B$10:$B$15,0))),"N/A")</f>
        <v/>
      </c>
      <c r="O248" s="25">
        <f>IFERROR(IF(INDEX('CFOG'!$O$23:$O$23,MATCH($F248,'CFOG'!$B$23:$B$23,0))="","Cell will autofill based on response",INDEX('CFOG'!$O$23:$O$23,MATCH($F248,'CFOG'!$B$23:$B$23,0))),"N/A")</f>
        <v/>
      </c>
      <c r="P248" s="25">
        <f>IFERROR(IF(INDEX('ESG'!$O$10:$O$16,MATCH($F248,'ESG'!$B$10:$B$16,0))="","Cell will autofill based on response",INDEX('ESG'!$O$10:$O$16,MATCH($F248,'ESG'!$B$10:$B$16,0))),"N/A")</f>
        <v/>
      </c>
      <c r="Q248" s="25">
        <f>IFERROR(IF(INDEX('CIOG'!$O$10:$O$13,MATCH($F248,'CIOG'!$B$10:$B$13,0))="","Cell will autofill based on response",INDEX('CIOG'!$O$10:$O$13,MATCH($F248,'CIOG'!$B$10:$B$13,0))),"N/A")</f>
        <v/>
      </c>
      <c r="R248" s="25">
        <f>IFERROR(IF(INDEX('MRE'!$O$10:$O$11,MATCH($F248,'MRE'!$B$10:$B$11,0))="","Cell will autofill based on response",INDEX('MRE'!$O$10:$O$11,MATCH($F248,'MRE'!$B$10:$B$11,0))),"N/A")</f>
        <v/>
      </c>
    </row>
    <row r="249">
      <c r="A249">
        <f>F249&amp;"|"&amp;G249</f>
        <v/>
      </c>
      <c r="B249" s="29" t="inlineStr"/>
      <c r="C249" s="8" t="inlineStr"/>
      <c r="D249" s="8" t="inlineStr"/>
      <c r="E249" s="8" t="inlineStr"/>
      <c r="F249" s="8" t="inlineStr">
        <is>
          <t>RP2(a)</t>
        </is>
      </c>
      <c r="G249" s="8" t="inlineStr">
        <is>
          <t>Data source and limitations</t>
        </is>
      </c>
      <c r="H249" s="25">
        <f>IFERROR(IF(INDEX('Faculties'!$P$10:$P$29,MATCH($F249,'Faculties'!$B$10:$B$29,0))="","Cell will autofill based on response",INDEX('Faculties'!$P$10:$P$29,MATCH($F249,'Faculties'!$B$10:$B$29,0))),"N/A")</f>
        <v/>
      </c>
      <c r="I249" s="25">
        <f>IFERROR(IF(INDEX('Faculties'!$P$37:$P$56,MATCH($F249,'Faculties'!$B$37:$B$56,0))="","Cell will autofill based on response",INDEX('Faculties'!$P$37:$P$56,MATCH($F249,'Faculties'!$B$37:$B$56,0))),"N/A")</f>
        <v/>
      </c>
      <c r="J249" s="25">
        <f>IFERROR(IF(INDEX('Faculties'!$P$64:$P$83,MATCH($F249,'Faculties'!$B$64:$B$83,0))="","Cell will autofill based on response",INDEX('Faculties'!$P$64:$P$83,MATCH($F249,'Faculties'!$B$64:$B$83,0))),"N/A")</f>
        <v/>
      </c>
      <c r="K249" s="25">
        <f>IFERROR(IF(INDEX('Faculties'!$P$91:$P$110,MATCH($F249,'Faculties'!$B$91:$B$110,0))="","Cell will autofill based on response",INDEX('Faculties'!$P$91:$P$110,MATCH($F249,'Faculties'!$B$91:$B$110,0))),"N/A")</f>
        <v/>
      </c>
      <c r="L249" s="25">
        <f>IFERROR(IF(INDEX('CI&amp;S'!$P$10:$P$14,MATCH($F249,'CI&amp;S'!$B$10:$B$14,0))="","Cell will autofill based on response",INDEX('CI&amp;S'!$P$10:$P$14,MATCH($F249,'CI&amp;S'!$B$10:$B$14,0))),"N/A")</f>
        <v/>
      </c>
      <c r="M249" s="25">
        <f>IFERROR(IF(INDEX('CI&amp;S'!$P$22:$P$38,MATCH($F249,'CI&amp;S'!$B$22:$B$38,0))="","Cell will autofill based on response",INDEX('CI&amp;S'!$P$22:$P$38,MATCH($F249,'CI&amp;S'!$B$22:$B$38,0))),"N/A")</f>
        <v/>
      </c>
      <c r="N249" s="25">
        <f>IFERROR(IF(INDEX('CFOG'!$P$10:$P$15,MATCH($F249,'CFOG'!$B$10:$B$15,0))="","Cell will autofill based on response",INDEX('CFOG'!$P$10:$P$15,MATCH($F249,'CFOG'!$B$10:$B$15,0))),"N/A")</f>
        <v/>
      </c>
      <c r="O249" s="25">
        <f>IFERROR(IF(INDEX('CFOG'!$P$23:$P$23,MATCH($F249,'CFOG'!$B$23:$B$23,0))="","Cell will autofill based on response",INDEX('CFOG'!$P$23:$P$23,MATCH($F249,'CFOG'!$B$23:$B$23,0))),"N/A")</f>
        <v/>
      </c>
      <c r="P249" s="25">
        <f>IFERROR(IF(INDEX('ESG'!$P$10:$P$16,MATCH($F249,'ESG'!$B$10:$B$16,0))="","Cell will autofill based on response",INDEX('ESG'!$P$10:$P$16,MATCH($F249,'ESG'!$B$10:$B$16,0))),"N/A")</f>
        <v/>
      </c>
      <c r="Q249" s="25">
        <f>IFERROR(IF(INDEX('CIOG'!$P$10:$P$13,MATCH($F249,'CIOG'!$B$10:$B$13,0))="","Cell will autofill based on response",INDEX('CIOG'!$P$10:$P$13,MATCH($F249,'CIOG'!$B$10:$B$13,0))),"N/A")</f>
        <v/>
      </c>
      <c r="R249" s="25">
        <f>IFERROR(IF(INDEX('MRE'!$P$10:$P$11,MATCH($F249,'MRE'!$B$10:$B$11,0))="","Cell will autofill based on response",INDEX('MRE'!$P$10:$P$11,MATCH($F249,'MRE'!$B$10:$B$11,0))),"N/A")</f>
        <v/>
      </c>
    </row>
    <row r="250">
      <c r="A250">
        <f>F250&amp;"|"&amp;G250</f>
        <v/>
      </c>
      <c r="B250" s="29" t="inlineStr"/>
      <c r="C250" s="8" t="inlineStr"/>
      <c r="D250" s="8" t="inlineStr"/>
      <c r="E250" s="8" t="inlineStr"/>
      <c r="F250" s="8" t="inlineStr">
        <is>
          <t>RP2(a)</t>
        </is>
      </c>
      <c r="G250" s="8" t="inlineStr">
        <is>
          <t>Data owner confirms</t>
        </is>
      </c>
      <c r="H250" s="25">
        <f>IFERROR(IF(INDEX('Faculties'!$Q$10:$Q$29,MATCH($F250,'Faculties'!$B$10:$B$29,0))="","Cell will autofill based on response",INDEX('Faculties'!$Q$10:$Q$29,MATCH($F250,'Faculties'!$B$10:$B$29,0))),"N/A")</f>
        <v/>
      </c>
      <c r="I250" s="25">
        <f>IFERROR(IF(INDEX('Faculties'!$Q$37:$Q$56,MATCH($F250,'Faculties'!$B$37:$B$56,0))="","Cell will autofill based on response",INDEX('Faculties'!$Q$37:$Q$56,MATCH($F250,'Faculties'!$B$37:$B$56,0))),"N/A")</f>
        <v/>
      </c>
      <c r="J250" s="25">
        <f>IFERROR(IF(INDEX('Faculties'!$Q$64:$Q$83,MATCH($F250,'Faculties'!$B$64:$B$83,0))="","Cell will autofill based on response",INDEX('Faculties'!$Q$64:$Q$83,MATCH($F250,'Faculties'!$B$64:$B$83,0))),"N/A")</f>
        <v/>
      </c>
      <c r="K250" s="25">
        <f>IFERROR(IF(INDEX('Faculties'!$Q$91:$Q$110,MATCH($F250,'Faculties'!$B$91:$B$110,0))="","Cell will autofill based on response",INDEX('Faculties'!$Q$91:$Q$110,MATCH($F250,'Faculties'!$B$91:$B$110,0))),"N/A")</f>
        <v/>
      </c>
      <c r="L250" s="25">
        <f>IFERROR(IF(INDEX('CI&amp;S'!$Q$10:$Q$14,MATCH($F250,'CI&amp;S'!$B$10:$B$14,0))="","Cell will autofill based on response",INDEX('CI&amp;S'!$Q$10:$Q$14,MATCH($F250,'CI&amp;S'!$B$10:$B$14,0))),"N/A")</f>
        <v/>
      </c>
      <c r="M250" s="25">
        <f>IFERROR(IF(INDEX('CI&amp;S'!$Q$22:$Q$38,MATCH($F250,'CI&amp;S'!$B$22:$B$38,0))="","Cell will autofill based on response",INDEX('CI&amp;S'!$Q$22:$Q$38,MATCH($F250,'CI&amp;S'!$B$22:$B$38,0))),"N/A")</f>
        <v/>
      </c>
      <c r="N250" s="25">
        <f>IFERROR(IF(INDEX('CFOG'!$Q$10:$Q$15,MATCH($F250,'CFOG'!$B$10:$B$15,0))="","Cell will autofill based on response",INDEX('CFOG'!$Q$10:$Q$15,MATCH($F250,'CFOG'!$B$10:$B$15,0))),"N/A")</f>
        <v/>
      </c>
      <c r="O250" s="25">
        <f>IFERROR(IF(INDEX('CFOG'!$Q$23:$Q$23,MATCH($F250,'CFOG'!$B$23:$B$23,0))="","Cell will autofill based on response",INDEX('CFOG'!$Q$23:$Q$23,MATCH($F250,'CFOG'!$B$23:$B$23,0))),"N/A")</f>
        <v/>
      </c>
      <c r="P250" s="25">
        <f>IFERROR(IF(INDEX('ESG'!$Q$10:$Q$16,MATCH($F250,'ESG'!$B$10:$B$16,0))="","Cell will autofill based on response",INDEX('ESG'!$Q$10:$Q$16,MATCH($F250,'ESG'!$B$10:$B$16,0))),"N/A")</f>
        <v/>
      </c>
      <c r="Q250" s="25">
        <f>IFERROR(IF(INDEX('CIOG'!$Q$10:$Q$13,MATCH($F250,'CIOG'!$B$10:$B$13,0))="","Cell will autofill based on response",INDEX('CIOG'!$Q$10:$Q$13,MATCH($F250,'CIOG'!$B$10:$B$13,0))),"N/A")</f>
        <v/>
      </c>
      <c r="R250" s="25">
        <f>IFERROR(IF(INDEX('MRE'!$Q$10:$Q$11,MATCH($F250,'MRE'!$B$10:$B$11,0))="","Cell will autofill based on response",INDEX('MRE'!$Q$10:$Q$11,MATCH($F250,'MRE'!$B$10:$B$11,0))),"N/A")</f>
        <v/>
      </c>
    </row>
    <row r="251">
      <c r="A251">
        <f>F251&amp;"|"&amp;G251</f>
        <v/>
      </c>
      <c r="B251" s="7" t="inlineStr">
        <is>
          <t>RP2(b)</t>
        </is>
      </c>
      <c r="C251" s="12" t="inlineStr">
        <is>
          <t>Responsible procurement</t>
        </is>
      </c>
      <c r="D251" s="12" t="inlineStr">
        <is>
          <t>Percentage of social spend of total addressable procurement spend.</t>
        </is>
      </c>
      <c r="E251" s="12" t="inlineStr">
        <is>
          <t>Percentage of social spend of total addressable procurement spend.</t>
        </is>
      </c>
      <c r="F251" s="12" t="inlineStr">
        <is>
          <t>RP2(b)</t>
        </is>
      </c>
      <c r="G251" s="12" t="inlineStr">
        <is>
          <t>Confirm end-2026 target status</t>
        </is>
      </c>
      <c r="H251" s="25">
        <f>IFERROR(IF(INDEX('Faculties'!$L$10:$L$29,MATCH($F251,'Faculties'!$B$10:$B$29,0))="","Cell will autofill based on response",INDEX('Faculties'!$L$10:$L$29,MATCH($F251,'Faculties'!$B$10:$B$29,0))),"N/A")</f>
        <v/>
      </c>
      <c r="I251" s="25">
        <f>IFERROR(IF(INDEX('Faculties'!$L$37:$L$56,MATCH($F251,'Faculties'!$B$37:$B$56,0))="","Cell will autofill based on response",INDEX('Faculties'!$L$37:$L$56,MATCH($F251,'Faculties'!$B$37:$B$56,0))),"N/A")</f>
        <v/>
      </c>
      <c r="J251" s="25">
        <f>IFERROR(IF(INDEX('Faculties'!$L$64:$L$83,MATCH($F251,'Faculties'!$B$64:$B$83,0))="","Cell will autofill based on response",INDEX('Faculties'!$L$64:$L$83,MATCH($F251,'Faculties'!$B$64:$B$83,0))),"N/A")</f>
        <v/>
      </c>
      <c r="K251" s="25">
        <f>IFERROR(IF(INDEX('Faculties'!$L$91:$L$110,MATCH($F251,'Faculties'!$B$91:$B$110,0))="","Cell will autofill based on response",INDEX('Faculties'!$L$91:$L$110,MATCH($F251,'Faculties'!$B$91:$B$110,0))),"N/A")</f>
        <v/>
      </c>
      <c r="L251" s="25">
        <f>IFERROR(IF(INDEX('CI&amp;S'!$L$10:$L$14,MATCH($F251,'CI&amp;S'!$B$10:$B$14,0))="","Cell will autofill based on response",INDEX('CI&amp;S'!$L$10:$L$14,MATCH($F251,'CI&amp;S'!$B$10:$B$14,0))),"N/A")</f>
        <v/>
      </c>
      <c r="M251" s="25">
        <f>IFERROR(IF(INDEX('CI&amp;S'!$L$22:$L$38,MATCH($F251,'CI&amp;S'!$B$22:$B$38,0))="","Cell will autofill based on response",INDEX('CI&amp;S'!$L$22:$L$38,MATCH($F251,'CI&amp;S'!$B$22:$B$38,0))),"N/A")</f>
        <v/>
      </c>
      <c r="N251" s="25">
        <f>IFERROR(IF(INDEX('CFOG'!$L$10:$L$15,MATCH($F251,'CFOG'!$B$10:$B$15,0))="","Cell will autofill based on response",INDEX('CFOG'!$L$10:$L$15,MATCH($F251,'CFOG'!$B$10:$B$15,0))),"N/A")</f>
        <v/>
      </c>
      <c r="O251" s="25">
        <f>IFERROR(IF(INDEX('CFOG'!$L$23:$L$23,MATCH($F251,'CFOG'!$B$23:$B$23,0))="","Cell will autofill based on response",INDEX('CFOG'!$L$23:$L$23,MATCH($F251,'CFOG'!$B$23:$B$23,0))),"N/A")</f>
        <v/>
      </c>
      <c r="P251" s="25">
        <f>IFERROR(IF(INDEX('ESG'!$L$10:$L$16,MATCH($F251,'ESG'!$B$10:$B$16,0))="","Cell will autofill based on response",INDEX('ESG'!$L$10:$L$16,MATCH($F251,'ESG'!$B$10:$B$16,0))),"N/A")</f>
        <v/>
      </c>
      <c r="Q251" s="25">
        <f>IFERROR(IF(INDEX('CIOG'!$L$10:$L$13,MATCH($F251,'CIOG'!$B$10:$B$13,0))="","Cell will autofill based on response",INDEX('CIOG'!$L$10:$L$13,MATCH($F251,'CIOG'!$B$10:$B$13,0))),"N/A")</f>
        <v/>
      </c>
      <c r="R251" s="25">
        <f>IFERROR(IF(INDEX('MRE'!$L$10:$L$11,MATCH($F251,'MRE'!$B$10:$B$11,0))="","Cell will autofill based on response",INDEX('MRE'!$L$10:$L$11,MATCH($F251,'MRE'!$B$10:$B$11,0))),"N/A")</f>
        <v/>
      </c>
      <c r="T251" s="26">
        <f>COUNTIF($H251:$R251,"Cell will autofill based on response")</f>
        <v/>
      </c>
      <c r="U251" s="26">
        <f>COUNTIF($H251:$R251,"Not yet started")</f>
        <v/>
      </c>
      <c r="V251" s="26">
        <f>COUNTIF($H251:$R251,"Not met")</f>
        <v/>
      </c>
      <c r="W251" s="26">
        <f>COUNTIF($H251:$R251,"Partially met")</f>
        <v/>
      </c>
      <c r="X251" s="26">
        <f>COUNTIF($H251:$R251,"Met or exceeded")</f>
        <v/>
      </c>
      <c r="Y251" s="26">
        <f>3*X251+2*W251+V251</f>
        <v/>
      </c>
      <c r="Z251" s="26">
        <f>X251+W251+V251+U251</f>
        <v/>
      </c>
      <c r="AA251" s="27">
        <f>IF(Z251&gt;0,Y251/Z251,"No valid responses to date")</f>
        <v/>
      </c>
      <c r="AB251" s="26">
        <f>IF(ISNUMBER(AA251),INDEX(Lists!$G$2:$G$5,MATCH(ROUND(AA251,0),Lists!$H$2:$H$5,0)),"")</f>
        <v/>
      </c>
      <c r="AC251" s="28">
        <f>IF(Z251&gt;0,X251/Z251,"")</f>
        <v/>
      </c>
      <c r="AD251" s="28">
        <f>IF(Z251&gt;0,(X251+W251)/Z251,"")</f>
        <v/>
      </c>
      <c r="AE251" s="26">
        <f>IF(Z251=0,"",IF(AC251&gt;0.75,"Met or exceeded",IF(AD251&gt;=0.5,"Partially met","Not met")))</f>
        <v/>
      </c>
    </row>
    <row r="252">
      <c r="A252">
        <f>F252&amp;"|"&amp;G252</f>
        <v/>
      </c>
      <c r="B252" s="29" t="inlineStr"/>
      <c r="C252" s="8" t="inlineStr"/>
      <c r="D252" s="8" t="inlineStr"/>
      <c r="E252" s="8" t="inlineStr"/>
      <c r="F252" s="8" t="inlineStr">
        <is>
          <t>RP2(b)</t>
        </is>
      </c>
      <c r="G252" s="8" t="inlineStr">
        <is>
          <t>OPTION 1:  Target-level reporting</t>
        </is>
      </c>
      <c r="H252" s="25">
        <f>IFERROR(IF(INDEX('Faculties'!$M$10:$M$29,MATCH($F252,'Faculties'!$B$10:$B$29,0))="","Cell will autofill based on response",INDEX('Faculties'!$M$10:$M$29,MATCH($F252,'Faculties'!$B$10:$B$29,0))),"N/A")</f>
        <v/>
      </c>
      <c r="I252" s="25">
        <f>IFERROR(IF(INDEX('Faculties'!$M$37:$M$56,MATCH($F252,'Faculties'!$B$37:$B$56,0))="","Cell will autofill based on response",INDEX('Faculties'!$M$37:$M$56,MATCH($F252,'Faculties'!$B$37:$B$56,0))),"N/A")</f>
        <v/>
      </c>
      <c r="J252" s="25">
        <f>IFERROR(IF(INDEX('Faculties'!$M$64:$M$83,MATCH($F252,'Faculties'!$B$64:$B$83,0))="","Cell will autofill based on response",INDEX('Faculties'!$M$64:$M$83,MATCH($F252,'Faculties'!$B$64:$B$83,0))),"N/A")</f>
        <v/>
      </c>
      <c r="K252" s="25">
        <f>IFERROR(IF(INDEX('Faculties'!$M$91:$M$110,MATCH($F252,'Faculties'!$B$91:$B$110,0))="","Cell will autofill based on response",INDEX('Faculties'!$M$91:$M$110,MATCH($F252,'Faculties'!$B$91:$B$110,0))),"N/A")</f>
        <v/>
      </c>
      <c r="L252" s="25">
        <f>IFERROR(IF(INDEX('CI&amp;S'!$M$10:$M$14,MATCH($F252,'CI&amp;S'!$B$10:$B$14,0))="","Cell will autofill based on response",INDEX('CI&amp;S'!$M$10:$M$14,MATCH($F252,'CI&amp;S'!$B$10:$B$14,0))),"N/A")</f>
        <v/>
      </c>
      <c r="M252" s="25">
        <f>IFERROR(IF(INDEX('CI&amp;S'!$M$22:$M$38,MATCH($F252,'CI&amp;S'!$B$22:$B$38,0))="","Cell will autofill based on response",INDEX('CI&amp;S'!$M$22:$M$38,MATCH($F252,'CI&amp;S'!$B$22:$B$38,0))),"N/A")</f>
        <v/>
      </c>
      <c r="N252" s="25">
        <f>IFERROR(IF(INDEX('CFOG'!$M$10:$M$15,MATCH($F252,'CFOG'!$B$10:$B$15,0))="","Cell will autofill based on response",INDEX('CFOG'!$M$10:$M$15,MATCH($F252,'CFOG'!$B$10:$B$15,0))),"N/A")</f>
        <v/>
      </c>
      <c r="O252" s="25">
        <f>IFERROR(IF(INDEX('CFOG'!$M$23:$M$23,MATCH($F252,'CFOG'!$B$23:$B$23,0))="","Cell will autofill based on response",INDEX('CFOG'!$M$23:$M$23,MATCH($F252,'CFOG'!$B$23:$B$23,0))),"N/A")</f>
        <v/>
      </c>
      <c r="P252" s="25">
        <f>IFERROR(IF(INDEX('ESG'!$M$10:$M$16,MATCH($F252,'ESG'!$B$10:$B$16,0))="","Cell will autofill based on response",INDEX('ESG'!$M$10:$M$16,MATCH($F252,'ESG'!$B$10:$B$16,0))),"N/A")</f>
        <v/>
      </c>
      <c r="Q252" s="25">
        <f>IFERROR(IF(INDEX('CIOG'!$M$10:$M$13,MATCH($F252,'CIOG'!$B$10:$B$13,0))="","Cell will autofill based on response",INDEX('CIOG'!$M$10:$M$13,MATCH($F252,'CIOG'!$B$10:$B$13,0))),"N/A")</f>
        <v/>
      </c>
      <c r="R252" s="25">
        <f>IFERROR(IF(INDEX('MRE'!$M$10:$M$11,MATCH($F252,'MRE'!$B$10:$B$11,0))="","Cell will autofill based on response",INDEX('MRE'!$M$10:$M$11,MATCH($F252,'MRE'!$B$10:$B$11,0))),"N/A")</f>
        <v/>
      </c>
    </row>
    <row r="253">
      <c r="A253">
        <f>F253&amp;"|"&amp;G253</f>
        <v/>
      </c>
      <c r="B253" s="29" t="inlineStr"/>
      <c r="C253" s="8" t="inlineStr"/>
      <c r="D253" s="8" t="inlineStr"/>
      <c r="E253" s="8" t="inlineStr"/>
      <c r="F253" s="8" t="inlineStr">
        <is>
          <t>RP2(b)</t>
        </is>
      </c>
      <c r="G253" s="8" t="inlineStr">
        <is>
          <t>OPTION 2:  Indicator level reporting</t>
        </is>
      </c>
      <c r="H253" s="25">
        <f>IFERROR(IF(INDEX('Faculties'!$N$10:$N$29,MATCH($F253,'Faculties'!$B$10:$B$29,0))="","Cell will autofill based on response",INDEX('Faculties'!$N$10:$N$29,MATCH($F253,'Faculties'!$B$10:$B$29,0))),"N/A")</f>
        <v/>
      </c>
      <c r="I253" s="25">
        <f>IFERROR(IF(INDEX('Faculties'!$N$37:$N$56,MATCH($F253,'Faculties'!$B$37:$B$56,0))="","Cell will autofill based on response",INDEX('Faculties'!$N$37:$N$56,MATCH($F253,'Faculties'!$B$37:$B$56,0))),"N/A")</f>
        <v/>
      </c>
      <c r="J253" s="25">
        <f>IFERROR(IF(INDEX('Faculties'!$N$64:$N$83,MATCH($F253,'Faculties'!$B$64:$B$83,0))="","Cell will autofill based on response",INDEX('Faculties'!$N$64:$N$83,MATCH($F253,'Faculties'!$B$64:$B$83,0))),"N/A")</f>
        <v/>
      </c>
      <c r="K253" s="25">
        <f>IFERROR(IF(INDEX('Faculties'!$N$91:$N$110,MATCH($F253,'Faculties'!$B$91:$B$110,0))="","Cell will autofill based on response",INDEX('Faculties'!$N$91:$N$110,MATCH($F253,'Faculties'!$B$91:$B$110,0))),"N/A")</f>
        <v/>
      </c>
      <c r="L253" s="25">
        <f>IFERROR(IF(INDEX('CI&amp;S'!$N$10:$N$14,MATCH($F253,'CI&amp;S'!$B$10:$B$14,0))="","Cell will autofill based on response",INDEX('CI&amp;S'!$N$10:$N$14,MATCH($F253,'CI&amp;S'!$B$10:$B$14,0))),"N/A")</f>
        <v/>
      </c>
      <c r="M253" s="25">
        <f>IFERROR(IF(INDEX('CI&amp;S'!$N$22:$N$38,MATCH($F253,'CI&amp;S'!$B$22:$B$38,0))="","Cell will autofill based on response",INDEX('CI&amp;S'!$N$22:$N$38,MATCH($F253,'CI&amp;S'!$B$22:$B$38,0))),"N/A")</f>
        <v/>
      </c>
      <c r="N253" s="25">
        <f>IFERROR(IF(INDEX('CFOG'!$N$10:$N$15,MATCH($F253,'CFOG'!$B$10:$B$15,0))="","Cell will autofill based on response",INDEX('CFOG'!$N$10:$N$15,MATCH($F253,'CFOG'!$B$10:$B$15,0))),"N/A")</f>
        <v/>
      </c>
      <c r="O253" s="25">
        <f>IFERROR(IF(INDEX('CFOG'!$N$23:$N$23,MATCH($F253,'CFOG'!$B$23:$B$23,0))="","Cell will autofill based on response",INDEX('CFOG'!$N$23:$N$23,MATCH($F253,'CFOG'!$B$23:$B$23,0))),"N/A")</f>
        <v/>
      </c>
      <c r="P253" s="25">
        <f>IFERROR(IF(INDEX('ESG'!$N$10:$N$16,MATCH($F253,'ESG'!$B$10:$B$16,0))="","Cell will autofill based on response",INDEX('ESG'!$N$10:$N$16,MATCH($F253,'ESG'!$B$10:$B$16,0))),"N/A")</f>
        <v/>
      </c>
      <c r="Q253" s="25">
        <f>IFERROR(IF(INDEX('CIOG'!$N$10:$N$13,MATCH($F253,'CIOG'!$B$10:$B$13,0))="","Cell will autofill based on response",INDEX('CIOG'!$N$10:$N$13,MATCH($F253,'CIOG'!$B$10:$B$13,0))),"N/A")</f>
        <v/>
      </c>
      <c r="R253" s="25">
        <f>IFERROR(IF(INDEX('MRE'!$N$10:$N$11,MATCH($F253,'MRE'!$B$10:$B$11,0))="","Cell will autofill based on response",INDEX('MRE'!$N$10:$N$11,MATCH($F253,'MRE'!$B$10:$B$11,0))),"N/A")</f>
        <v/>
      </c>
    </row>
    <row r="254">
      <c r="A254">
        <f>F254&amp;"|"&amp;G254</f>
        <v/>
      </c>
      <c r="B254" s="29" t="inlineStr"/>
      <c r="C254" s="8" t="inlineStr"/>
      <c r="D254" s="8" t="inlineStr"/>
      <c r="E254" s="8" t="inlineStr"/>
      <c r="F254" s="8" t="inlineStr">
        <is>
          <t>RP2(b)</t>
        </is>
      </c>
      <c r="G254" s="8" t="inlineStr">
        <is>
          <t>Supporting information/comments</t>
        </is>
      </c>
      <c r="H254" s="25">
        <f>IFERROR(IF(INDEX('Faculties'!$O$10:$O$29,MATCH($F254,'Faculties'!$B$10:$B$29,0))="","Cell will autofill based on response",INDEX('Faculties'!$O$10:$O$29,MATCH($F254,'Faculties'!$B$10:$B$29,0))),"N/A")</f>
        <v/>
      </c>
      <c r="I254" s="25">
        <f>IFERROR(IF(INDEX('Faculties'!$O$37:$O$56,MATCH($F254,'Faculties'!$B$37:$B$56,0))="","Cell will autofill based on response",INDEX('Faculties'!$O$37:$O$56,MATCH($F254,'Faculties'!$B$37:$B$56,0))),"N/A")</f>
        <v/>
      </c>
      <c r="J254" s="25">
        <f>IFERROR(IF(INDEX('Faculties'!$O$64:$O$83,MATCH($F254,'Faculties'!$B$64:$B$83,0))="","Cell will autofill based on response",INDEX('Faculties'!$O$64:$O$83,MATCH($F254,'Faculties'!$B$64:$B$83,0))),"N/A")</f>
        <v/>
      </c>
      <c r="K254" s="25">
        <f>IFERROR(IF(INDEX('Faculties'!$O$91:$O$110,MATCH($F254,'Faculties'!$B$91:$B$110,0))="","Cell will autofill based on response",INDEX('Faculties'!$O$91:$O$110,MATCH($F254,'Faculties'!$B$91:$B$110,0))),"N/A")</f>
        <v/>
      </c>
      <c r="L254" s="25">
        <f>IFERROR(IF(INDEX('CI&amp;S'!$O$10:$O$14,MATCH($F254,'CI&amp;S'!$B$10:$B$14,0))="","Cell will autofill based on response",INDEX('CI&amp;S'!$O$10:$O$14,MATCH($F254,'CI&amp;S'!$B$10:$B$14,0))),"N/A")</f>
        <v/>
      </c>
      <c r="M254" s="25">
        <f>IFERROR(IF(INDEX('CI&amp;S'!$O$22:$O$38,MATCH($F254,'CI&amp;S'!$B$22:$B$38,0))="","Cell will autofill based on response",INDEX('CI&amp;S'!$O$22:$O$38,MATCH($F254,'CI&amp;S'!$B$22:$B$38,0))),"N/A")</f>
        <v/>
      </c>
      <c r="N254" s="25">
        <f>IFERROR(IF(INDEX('CFOG'!$O$10:$O$15,MATCH($F254,'CFOG'!$B$10:$B$15,0))="","Cell will autofill based on response",INDEX('CFOG'!$O$10:$O$15,MATCH($F254,'CFOG'!$B$10:$B$15,0))),"N/A")</f>
        <v/>
      </c>
      <c r="O254" s="25">
        <f>IFERROR(IF(INDEX('CFOG'!$O$23:$O$23,MATCH($F254,'CFOG'!$B$23:$B$23,0))="","Cell will autofill based on response",INDEX('CFOG'!$O$23:$O$23,MATCH($F254,'CFOG'!$B$23:$B$23,0))),"N/A")</f>
        <v/>
      </c>
      <c r="P254" s="25">
        <f>IFERROR(IF(INDEX('ESG'!$O$10:$O$16,MATCH($F254,'ESG'!$B$10:$B$16,0))="","Cell will autofill based on response",INDEX('ESG'!$O$10:$O$16,MATCH($F254,'ESG'!$B$10:$B$16,0))),"N/A")</f>
        <v/>
      </c>
      <c r="Q254" s="25">
        <f>IFERROR(IF(INDEX('CIOG'!$O$10:$O$13,MATCH($F254,'CIOG'!$B$10:$B$13,0))="","Cell will autofill based on response",INDEX('CIOG'!$O$10:$O$13,MATCH($F254,'CIOG'!$B$10:$B$13,0))),"N/A")</f>
        <v/>
      </c>
      <c r="R254" s="25">
        <f>IFERROR(IF(INDEX('MRE'!$O$10:$O$11,MATCH($F254,'MRE'!$B$10:$B$11,0))="","Cell will autofill based on response",INDEX('MRE'!$O$10:$O$11,MATCH($F254,'MRE'!$B$10:$B$11,0))),"N/A")</f>
        <v/>
      </c>
    </row>
    <row r="255">
      <c r="A255">
        <f>F255&amp;"|"&amp;G255</f>
        <v/>
      </c>
      <c r="B255" s="29" t="inlineStr"/>
      <c r="C255" s="8" t="inlineStr"/>
      <c r="D255" s="8" t="inlineStr"/>
      <c r="E255" s="8" t="inlineStr"/>
      <c r="F255" s="8" t="inlineStr">
        <is>
          <t>RP2(b)</t>
        </is>
      </c>
      <c r="G255" s="8" t="inlineStr">
        <is>
          <t>Data source and limitations</t>
        </is>
      </c>
      <c r="H255" s="25">
        <f>IFERROR(IF(INDEX('Faculties'!$P$10:$P$29,MATCH($F255,'Faculties'!$B$10:$B$29,0))="","Cell will autofill based on response",INDEX('Faculties'!$P$10:$P$29,MATCH($F255,'Faculties'!$B$10:$B$29,0))),"N/A")</f>
        <v/>
      </c>
      <c r="I255" s="25">
        <f>IFERROR(IF(INDEX('Faculties'!$P$37:$P$56,MATCH($F255,'Faculties'!$B$37:$B$56,0))="","Cell will autofill based on response",INDEX('Faculties'!$P$37:$P$56,MATCH($F255,'Faculties'!$B$37:$B$56,0))),"N/A")</f>
        <v/>
      </c>
      <c r="J255" s="25">
        <f>IFERROR(IF(INDEX('Faculties'!$P$64:$P$83,MATCH($F255,'Faculties'!$B$64:$B$83,0))="","Cell will autofill based on response",INDEX('Faculties'!$P$64:$P$83,MATCH($F255,'Faculties'!$B$64:$B$83,0))),"N/A")</f>
        <v/>
      </c>
      <c r="K255" s="25">
        <f>IFERROR(IF(INDEX('Faculties'!$P$91:$P$110,MATCH($F255,'Faculties'!$B$91:$B$110,0))="","Cell will autofill based on response",INDEX('Faculties'!$P$91:$P$110,MATCH($F255,'Faculties'!$B$91:$B$110,0))),"N/A")</f>
        <v/>
      </c>
      <c r="L255" s="25">
        <f>IFERROR(IF(INDEX('CI&amp;S'!$P$10:$P$14,MATCH($F255,'CI&amp;S'!$B$10:$B$14,0))="","Cell will autofill based on response",INDEX('CI&amp;S'!$P$10:$P$14,MATCH($F255,'CI&amp;S'!$B$10:$B$14,0))),"N/A")</f>
        <v/>
      </c>
      <c r="M255" s="25">
        <f>IFERROR(IF(INDEX('CI&amp;S'!$P$22:$P$38,MATCH($F255,'CI&amp;S'!$B$22:$B$38,0))="","Cell will autofill based on response",INDEX('CI&amp;S'!$P$22:$P$38,MATCH($F255,'CI&amp;S'!$B$22:$B$38,0))),"N/A")</f>
        <v/>
      </c>
      <c r="N255" s="25">
        <f>IFERROR(IF(INDEX('CFOG'!$P$10:$P$15,MATCH($F255,'CFOG'!$B$10:$B$15,0))="","Cell will autofill based on response",INDEX('CFOG'!$P$10:$P$15,MATCH($F255,'CFOG'!$B$10:$B$15,0))),"N/A")</f>
        <v/>
      </c>
      <c r="O255" s="25">
        <f>IFERROR(IF(INDEX('CFOG'!$P$23:$P$23,MATCH($F255,'CFOG'!$B$23:$B$23,0))="","Cell will autofill based on response",INDEX('CFOG'!$P$23:$P$23,MATCH($F255,'CFOG'!$B$23:$B$23,0))),"N/A")</f>
        <v/>
      </c>
      <c r="P255" s="25">
        <f>IFERROR(IF(INDEX('ESG'!$P$10:$P$16,MATCH($F255,'ESG'!$B$10:$B$16,0))="","Cell will autofill based on response",INDEX('ESG'!$P$10:$P$16,MATCH($F255,'ESG'!$B$10:$B$16,0))),"N/A")</f>
        <v/>
      </c>
      <c r="Q255" s="25">
        <f>IFERROR(IF(INDEX('CIOG'!$P$10:$P$13,MATCH($F255,'CIOG'!$B$10:$B$13,0))="","Cell will autofill based on response",INDEX('CIOG'!$P$10:$P$13,MATCH($F255,'CIOG'!$B$10:$B$13,0))),"N/A")</f>
        <v/>
      </c>
      <c r="R255" s="25">
        <f>IFERROR(IF(INDEX('MRE'!$P$10:$P$11,MATCH($F255,'MRE'!$B$10:$B$11,0))="","Cell will autofill based on response",INDEX('MRE'!$P$10:$P$11,MATCH($F255,'MRE'!$B$10:$B$11,0))),"N/A")</f>
        <v/>
      </c>
    </row>
    <row r="256">
      <c r="A256">
        <f>F256&amp;"|"&amp;G256</f>
        <v/>
      </c>
      <c r="B256" s="29" t="inlineStr"/>
      <c r="C256" s="8" t="inlineStr"/>
      <c r="D256" s="8" t="inlineStr"/>
      <c r="E256" s="8" t="inlineStr"/>
      <c r="F256" s="8" t="inlineStr">
        <is>
          <t>RP2(b)</t>
        </is>
      </c>
      <c r="G256" s="8" t="inlineStr">
        <is>
          <t>Data owner confirms</t>
        </is>
      </c>
      <c r="H256" s="25">
        <f>IFERROR(IF(INDEX('Faculties'!$Q$10:$Q$29,MATCH($F256,'Faculties'!$B$10:$B$29,0))="","Cell will autofill based on response",INDEX('Faculties'!$Q$10:$Q$29,MATCH($F256,'Faculties'!$B$10:$B$29,0))),"N/A")</f>
        <v/>
      </c>
      <c r="I256" s="25">
        <f>IFERROR(IF(INDEX('Faculties'!$Q$37:$Q$56,MATCH($F256,'Faculties'!$B$37:$B$56,0))="","Cell will autofill based on response",INDEX('Faculties'!$Q$37:$Q$56,MATCH($F256,'Faculties'!$B$37:$B$56,0))),"N/A")</f>
        <v/>
      </c>
      <c r="J256" s="25">
        <f>IFERROR(IF(INDEX('Faculties'!$Q$64:$Q$83,MATCH($F256,'Faculties'!$B$64:$B$83,0))="","Cell will autofill based on response",INDEX('Faculties'!$Q$64:$Q$83,MATCH($F256,'Faculties'!$B$64:$B$83,0))),"N/A")</f>
        <v/>
      </c>
      <c r="K256" s="25">
        <f>IFERROR(IF(INDEX('Faculties'!$Q$91:$Q$110,MATCH($F256,'Faculties'!$B$91:$B$110,0))="","Cell will autofill based on response",INDEX('Faculties'!$Q$91:$Q$110,MATCH($F256,'Faculties'!$B$91:$B$110,0))),"N/A")</f>
        <v/>
      </c>
      <c r="L256" s="25">
        <f>IFERROR(IF(INDEX('CI&amp;S'!$Q$10:$Q$14,MATCH($F256,'CI&amp;S'!$B$10:$B$14,0))="","Cell will autofill based on response",INDEX('CI&amp;S'!$Q$10:$Q$14,MATCH($F256,'CI&amp;S'!$B$10:$B$14,0))),"N/A")</f>
        <v/>
      </c>
      <c r="M256" s="25">
        <f>IFERROR(IF(INDEX('CI&amp;S'!$Q$22:$Q$38,MATCH($F256,'CI&amp;S'!$B$22:$B$38,0))="","Cell will autofill based on response",INDEX('CI&amp;S'!$Q$22:$Q$38,MATCH($F256,'CI&amp;S'!$B$22:$B$38,0))),"N/A")</f>
        <v/>
      </c>
      <c r="N256" s="25">
        <f>IFERROR(IF(INDEX('CFOG'!$Q$10:$Q$15,MATCH($F256,'CFOG'!$B$10:$B$15,0))="","Cell will autofill based on response",INDEX('CFOG'!$Q$10:$Q$15,MATCH($F256,'CFOG'!$B$10:$B$15,0))),"N/A")</f>
        <v/>
      </c>
      <c r="O256" s="25">
        <f>IFERROR(IF(INDEX('CFOG'!$Q$23:$Q$23,MATCH($F256,'CFOG'!$B$23:$B$23,0))="","Cell will autofill based on response",INDEX('CFOG'!$Q$23:$Q$23,MATCH($F256,'CFOG'!$B$23:$B$23,0))),"N/A")</f>
        <v/>
      </c>
      <c r="P256" s="25">
        <f>IFERROR(IF(INDEX('ESG'!$Q$10:$Q$16,MATCH($F256,'ESG'!$B$10:$B$16,0))="","Cell will autofill based on response",INDEX('ESG'!$Q$10:$Q$16,MATCH($F256,'ESG'!$B$10:$B$16,0))),"N/A")</f>
        <v/>
      </c>
      <c r="Q256" s="25">
        <f>IFERROR(IF(INDEX('CIOG'!$Q$10:$Q$13,MATCH($F256,'CIOG'!$B$10:$B$13,0))="","Cell will autofill based on response",INDEX('CIOG'!$Q$10:$Q$13,MATCH($F256,'CIOG'!$B$10:$B$13,0))),"N/A")</f>
        <v/>
      </c>
      <c r="R256" s="25">
        <f>IFERROR(IF(INDEX('MRE'!$Q$10:$Q$11,MATCH($F256,'MRE'!$B$10:$B$11,0))="","Cell will autofill based on response",INDEX('MRE'!$Q$10:$Q$11,MATCH($F256,'MRE'!$B$10:$B$11,0))),"N/A")</f>
        <v/>
      </c>
    </row>
    <row r="257">
      <c r="A257">
        <f>F257&amp;"|"&amp;G257</f>
        <v/>
      </c>
      <c r="B257" s="7" t="inlineStr">
        <is>
          <t>MS1(a)</t>
        </is>
      </c>
      <c r="C257" s="12" t="inlineStr">
        <is>
          <t>Modern slavery and human rights</t>
        </is>
      </c>
      <c r="D257" s="12" t="inlineStr">
        <is>
          <t>Annual progress reporting via the Modern Slavery Statement</t>
        </is>
      </c>
      <c r="E257" s="12" t="inlineStr">
        <is>
          <t>Annual Modern Slavery Statement, with case studies</t>
        </is>
      </c>
      <c r="F257" s="12" t="inlineStr">
        <is>
          <t>MS1(a)</t>
        </is>
      </c>
      <c r="G257" s="12" t="inlineStr">
        <is>
          <t>Confirm end-2026 target status</t>
        </is>
      </c>
      <c r="H257" s="25">
        <f>IFERROR(IF(INDEX('Faculties'!$L$10:$L$29,MATCH($F257,'Faculties'!$B$10:$B$29,0))="","Cell will autofill based on response",INDEX('Faculties'!$L$10:$L$29,MATCH($F257,'Faculties'!$B$10:$B$29,0))),"N/A")</f>
        <v/>
      </c>
      <c r="I257" s="25">
        <f>IFERROR(IF(INDEX('Faculties'!$L$37:$L$56,MATCH($F257,'Faculties'!$B$37:$B$56,0))="","Cell will autofill based on response",INDEX('Faculties'!$L$37:$L$56,MATCH($F257,'Faculties'!$B$37:$B$56,0))),"N/A")</f>
        <v/>
      </c>
      <c r="J257" s="25">
        <f>IFERROR(IF(INDEX('Faculties'!$L$64:$L$83,MATCH($F257,'Faculties'!$B$64:$B$83,0))="","Cell will autofill based on response",INDEX('Faculties'!$L$64:$L$83,MATCH($F257,'Faculties'!$B$64:$B$83,0))),"N/A")</f>
        <v/>
      </c>
      <c r="K257" s="25">
        <f>IFERROR(IF(INDEX('Faculties'!$L$91:$L$110,MATCH($F257,'Faculties'!$B$91:$B$110,0))="","Cell will autofill based on response",INDEX('Faculties'!$L$91:$L$110,MATCH($F257,'Faculties'!$B$91:$B$110,0))),"N/A")</f>
        <v/>
      </c>
      <c r="L257" s="25">
        <f>IFERROR(IF(INDEX('CI&amp;S'!$L$10:$L$14,MATCH($F257,'CI&amp;S'!$B$10:$B$14,0))="","Cell will autofill based on response",INDEX('CI&amp;S'!$L$10:$L$14,MATCH($F257,'CI&amp;S'!$B$10:$B$14,0))),"N/A")</f>
        <v/>
      </c>
      <c r="M257" s="25">
        <f>IFERROR(IF(INDEX('CI&amp;S'!$L$22:$L$38,MATCH($F257,'CI&amp;S'!$B$22:$B$38,0))="","Cell will autofill based on response",INDEX('CI&amp;S'!$L$22:$L$38,MATCH($F257,'CI&amp;S'!$B$22:$B$38,0))),"N/A")</f>
        <v/>
      </c>
      <c r="N257" s="25">
        <f>IFERROR(IF(INDEX('CFOG'!$L$10:$L$15,MATCH($F257,'CFOG'!$B$10:$B$15,0))="","Cell will autofill based on response",INDEX('CFOG'!$L$10:$L$15,MATCH($F257,'CFOG'!$B$10:$B$15,0))),"N/A")</f>
        <v/>
      </c>
      <c r="O257" s="25">
        <f>IFERROR(IF(INDEX('CFOG'!$L$23:$L$23,MATCH($F257,'CFOG'!$B$23:$B$23,0))="","Cell will autofill based on response",INDEX('CFOG'!$L$23:$L$23,MATCH($F257,'CFOG'!$B$23:$B$23,0))),"N/A")</f>
        <v/>
      </c>
      <c r="P257" s="25">
        <f>IFERROR(IF(INDEX('ESG'!$L$10:$L$16,MATCH($F257,'ESG'!$B$10:$B$16,0))="","Cell will autofill based on response",INDEX('ESG'!$L$10:$L$16,MATCH($F257,'ESG'!$B$10:$B$16,0))),"N/A")</f>
        <v/>
      </c>
      <c r="Q257" s="25">
        <f>IFERROR(IF(INDEX('CIOG'!$L$10:$L$13,MATCH($F257,'CIOG'!$B$10:$B$13,0))="","Cell will autofill based on response",INDEX('CIOG'!$L$10:$L$13,MATCH($F257,'CIOG'!$B$10:$B$13,0))),"N/A")</f>
        <v/>
      </c>
      <c r="R257" s="25">
        <f>IFERROR(IF(INDEX('MRE'!$L$10:$L$11,MATCH($F257,'MRE'!$B$10:$B$11,0))="","Cell will autofill based on response",INDEX('MRE'!$L$10:$L$11,MATCH($F257,'MRE'!$B$10:$B$11,0))),"N/A")</f>
        <v/>
      </c>
      <c r="T257" s="26">
        <f>COUNTIF($H257:$R257,"Cell will autofill based on response")</f>
        <v/>
      </c>
      <c r="U257" s="26">
        <f>COUNTIF($H257:$R257,"Not yet started")</f>
        <v/>
      </c>
      <c r="V257" s="26">
        <f>COUNTIF($H257:$R257,"Not met")</f>
        <v/>
      </c>
      <c r="W257" s="26">
        <f>COUNTIF($H257:$R257,"Partially met")</f>
        <v/>
      </c>
      <c r="X257" s="26">
        <f>COUNTIF($H257:$R257,"Met or exceeded")</f>
        <v/>
      </c>
      <c r="Y257" s="26">
        <f>3*X257+2*W257+V257</f>
        <v/>
      </c>
      <c r="Z257" s="26">
        <f>X257+W257+V257+U257</f>
        <v/>
      </c>
      <c r="AA257" s="27">
        <f>IF(Z257&gt;0,Y257/Z257,"No valid responses to date")</f>
        <v/>
      </c>
      <c r="AB257" s="26">
        <f>IF(ISNUMBER(AA257),INDEX(Lists!$G$2:$G$5,MATCH(ROUND(AA257,0),Lists!$H$2:$H$5,0)),"")</f>
        <v/>
      </c>
      <c r="AC257" s="28">
        <f>IF(Z257&gt;0,X257/Z257,"")</f>
        <v/>
      </c>
      <c r="AD257" s="28">
        <f>IF(Z257&gt;0,(X257+W257)/Z257,"")</f>
        <v/>
      </c>
      <c r="AE257" s="26">
        <f>IF(Z257=0,"",IF(AC257&gt;0.75,"Met or exceeded",IF(AD257&gt;=0.5,"Partially met","Not met")))</f>
        <v/>
      </c>
    </row>
    <row r="258">
      <c r="A258">
        <f>F258&amp;"|"&amp;G258</f>
        <v/>
      </c>
      <c r="B258" s="29" t="inlineStr"/>
      <c r="C258" s="8" t="inlineStr"/>
      <c r="D258" s="8" t="inlineStr"/>
      <c r="E258" s="8" t="inlineStr"/>
      <c r="F258" s="8" t="inlineStr">
        <is>
          <t>MS1(a)</t>
        </is>
      </c>
      <c r="G258" s="8" t="inlineStr">
        <is>
          <t>OPTION 1:  Target-level reporting</t>
        </is>
      </c>
      <c r="H258" s="25">
        <f>IFERROR(IF(INDEX('Faculties'!$M$10:$M$29,MATCH($F258,'Faculties'!$B$10:$B$29,0))="","Cell will autofill based on response",INDEX('Faculties'!$M$10:$M$29,MATCH($F258,'Faculties'!$B$10:$B$29,0))),"N/A")</f>
        <v/>
      </c>
      <c r="I258" s="25">
        <f>IFERROR(IF(INDEX('Faculties'!$M$37:$M$56,MATCH($F258,'Faculties'!$B$37:$B$56,0))="","Cell will autofill based on response",INDEX('Faculties'!$M$37:$M$56,MATCH($F258,'Faculties'!$B$37:$B$56,0))),"N/A")</f>
        <v/>
      </c>
      <c r="J258" s="25">
        <f>IFERROR(IF(INDEX('Faculties'!$M$64:$M$83,MATCH($F258,'Faculties'!$B$64:$B$83,0))="","Cell will autofill based on response",INDEX('Faculties'!$M$64:$M$83,MATCH($F258,'Faculties'!$B$64:$B$83,0))),"N/A")</f>
        <v/>
      </c>
      <c r="K258" s="25">
        <f>IFERROR(IF(INDEX('Faculties'!$M$91:$M$110,MATCH($F258,'Faculties'!$B$91:$B$110,0))="","Cell will autofill based on response",INDEX('Faculties'!$M$91:$M$110,MATCH($F258,'Faculties'!$B$91:$B$110,0))),"N/A")</f>
        <v/>
      </c>
      <c r="L258" s="25">
        <f>IFERROR(IF(INDEX('CI&amp;S'!$M$10:$M$14,MATCH($F258,'CI&amp;S'!$B$10:$B$14,0))="","Cell will autofill based on response",INDEX('CI&amp;S'!$M$10:$M$14,MATCH($F258,'CI&amp;S'!$B$10:$B$14,0))),"N/A")</f>
        <v/>
      </c>
      <c r="M258" s="25">
        <f>IFERROR(IF(INDEX('CI&amp;S'!$M$22:$M$38,MATCH($F258,'CI&amp;S'!$B$22:$B$38,0))="","Cell will autofill based on response",INDEX('CI&amp;S'!$M$22:$M$38,MATCH($F258,'CI&amp;S'!$B$22:$B$38,0))),"N/A")</f>
        <v/>
      </c>
      <c r="N258" s="25">
        <f>IFERROR(IF(INDEX('CFOG'!$M$10:$M$15,MATCH($F258,'CFOG'!$B$10:$B$15,0))="","Cell will autofill based on response",INDEX('CFOG'!$M$10:$M$15,MATCH($F258,'CFOG'!$B$10:$B$15,0))),"N/A")</f>
        <v/>
      </c>
      <c r="O258" s="25">
        <f>IFERROR(IF(INDEX('CFOG'!$M$23:$M$23,MATCH($F258,'CFOG'!$B$23:$B$23,0))="","Cell will autofill based on response",INDEX('CFOG'!$M$23:$M$23,MATCH($F258,'CFOG'!$B$23:$B$23,0))),"N/A")</f>
        <v/>
      </c>
      <c r="P258" s="25">
        <f>IFERROR(IF(INDEX('ESG'!$M$10:$M$16,MATCH($F258,'ESG'!$B$10:$B$16,0))="","Cell will autofill based on response",INDEX('ESG'!$M$10:$M$16,MATCH($F258,'ESG'!$B$10:$B$16,0))),"N/A")</f>
        <v/>
      </c>
      <c r="Q258" s="25">
        <f>IFERROR(IF(INDEX('CIOG'!$M$10:$M$13,MATCH($F258,'CIOG'!$B$10:$B$13,0))="","Cell will autofill based on response",INDEX('CIOG'!$M$10:$M$13,MATCH($F258,'CIOG'!$B$10:$B$13,0))),"N/A")</f>
        <v/>
      </c>
      <c r="R258" s="25">
        <f>IFERROR(IF(INDEX('MRE'!$M$10:$M$11,MATCH($F258,'MRE'!$B$10:$B$11,0))="","Cell will autofill based on response",INDEX('MRE'!$M$10:$M$11,MATCH($F258,'MRE'!$B$10:$B$11,0))),"N/A")</f>
        <v/>
      </c>
    </row>
    <row r="259">
      <c r="A259">
        <f>F259&amp;"|"&amp;G259</f>
        <v/>
      </c>
      <c r="B259" s="29" t="inlineStr"/>
      <c r="C259" s="8" t="inlineStr"/>
      <c r="D259" s="8" t="inlineStr"/>
      <c r="E259" s="8" t="inlineStr"/>
      <c r="F259" s="8" t="inlineStr">
        <is>
          <t>MS1(a)</t>
        </is>
      </c>
      <c r="G259" s="8" t="inlineStr">
        <is>
          <t>OPTION 2:  Indicator level reporting</t>
        </is>
      </c>
      <c r="H259" s="25">
        <f>IFERROR(IF(INDEX('Faculties'!$N$10:$N$29,MATCH($F259,'Faculties'!$B$10:$B$29,0))="","Cell will autofill based on response",INDEX('Faculties'!$N$10:$N$29,MATCH($F259,'Faculties'!$B$10:$B$29,0))),"N/A")</f>
        <v/>
      </c>
      <c r="I259" s="25">
        <f>IFERROR(IF(INDEX('Faculties'!$N$37:$N$56,MATCH($F259,'Faculties'!$B$37:$B$56,0))="","Cell will autofill based on response",INDEX('Faculties'!$N$37:$N$56,MATCH($F259,'Faculties'!$B$37:$B$56,0))),"N/A")</f>
        <v/>
      </c>
      <c r="J259" s="25">
        <f>IFERROR(IF(INDEX('Faculties'!$N$64:$N$83,MATCH($F259,'Faculties'!$B$64:$B$83,0))="","Cell will autofill based on response",INDEX('Faculties'!$N$64:$N$83,MATCH($F259,'Faculties'!$B$64:$B$83,0))),"N/A")</f>
        <v/>
      </c>
      <c r="K259" s="25">
        <f>IFERROR(IF(INDEX('Faculties'!$N$91:$N$110,MATCH($F259,'Faculties'!$B$91:$B$110,0))="","Cell will autofill based on response",INDEX('Faculties'!$N$91:$N$110,MATCH($F259,'Faculties'!$B$91:$B$110,0))),"N/A")</f>
        <v/>
      </c>
      <c r="L259" s="25">
        <f>IFERROR(IF(INDEX('CI&amp;S'!$N$10:$N$14,MATCH($F259,'CI&amp;S'!$B$10:$B$14,0))="","Cell will autofill based on response",INDEX('CI&amp;S'!$N$10:$N$14,MATCH($F259,'CI&amp;S'!$B$10:$B$14,0))),"N/A")</f>
        <v/>
      </c>
      <c r="M259" s="25">
        <f>IFERROR(IF(INDEX('CI&amp;S'!$N$22:$N$38,MATCH($F259,'CI&amp;S'!$B$22:$B$38,0))="","Cell will autofill based on response",INDEX('CI&amp;S'!$N$22:$N$38,MATCH($F259,'CI&amp;S'!$B$22:$B$38,0))),"N/A")</f>
        <v/>
      </c>
      <c r="N259" s="25">
        <f>IFERROR(IF(INDEX('CFOG'!$N$10:$N$15,MATCH($F259,'CFOG'!$B$10:$B$15,0))="","Cell will autofill based on response",INDEX('CFOG'!$N$10:$N$15,MATCH($F259,'CFOG'!$B$10:$B$15,0))),"N/A")</f>
        <v/>
      </c>
      <c r="O259" s="25">
        <f>IFERROR(IF(INDEX('CFOG'!$N$23:$N$23,MATCH($F259,'CFOG'!$B$23:$B$23,0))="","Cell will autofill based on response",INDEX('CFOG'!$N$23:$N$23,MATCH($F259,'CFOG'!$B$23:$B$23,0))),"N/A")</f>
        <v/>
      </c>
      <c r="P259" s="25">
        <f>IFERROR(IF(INDEX('ESG'!$N$10:$N$16,MATCH($F259,'ESG'!$B$10:$B$16,0))="","Cell will autofill based on response",INDEX('ESG'!$N$10:$N$16,MATCH($F259,'ESG'!$B$10:$B$16,0))),"N/A")</f>
        <v/>
      </c>
      <c r="Q259" s="25">
        <f>IFERROR(IF(INDEX('CIOG'!$N$10:$N$13,MATCH($F259,'CIOG'!$B$10:$B$13,0))="","Cell will autofill based on response",INDEX('CIOG'!$N$10:$N$13,MATCH($F259,'CIOG'!$B$10:$B$13,0))),"N/A")</f>
        <v/>
      </c>
      <c r="R259" s="25">
        <f>IFERROR(IF(INDEX('MRE'!$N$10:$N$11,MATCH($F259,'MRE'!$B$10:$B$11,0))="","Cell will autofill based on response",INDEX('MRE'!$N$10:$N$11,MATCH($F259,'MRE'!$B$10:$B$11,0))),"N/A")</f>
        <v/>
      </c>
    </row>
    <row r="260">
      <c r="A260">
        <f>F260&amp;"|"&amp;G260</f>
        <v/>
      </c>
      <c r="B260" s="29" t="inlineStr"/>
      <c r="C260" s="8" t="inlineStr"/>
      <c r="D260" s="8" t="inlineStr"/>
      <c r="E260" s="8" t="inlineStr"/>
      <c r="F260" s="8" t="inlineStr">
        <is>
          <t>MS1(a)</t>
        </is>
      </c>
      <c r="G260" s="8" t="inlineStr">
        <is>
          <t>Supporting information/comments</t>
        </is>
      </c>
      <c r="H260" s="25">
        <f>IFERROR(IF(INDEX('Faculties'!$O$10:$O$29,MATCH($F260,'Faculties'!$B$10:$B$29,0))="","Cell will autofill based on response",INDEX('Faculties'!$O$10:$O$29,MATCH($F260,'Faculties'!$B$10:$B$29,0))),"N/A")</f>
        <v/>
      </c>
      <c r="I260" s="25">
        <f>IFERROR(IF(INDEX('Faculties'!$O$37:$O$56,MATCH($F260,'Faculties'!$B$37:$B$56,0))="","Cell will autofill based on response",INDEX('Faculties'!$O$37:$O$56,MATCH($F260,'Faculties'!$B$37:$B$56,0))),"N/A")</f>
        <v/>
      </c>
      <c r="J260" s="25">
        <f>IFERROR(IF(INDEX('Faculties'!$O$64:$O$83,MATCH($F260,'Faculties'!$B$64:$B$83,0))="","Cell will autofill based on response",INDEX('Faculties'!$O$64:$O$83,MATCH($F260,'Faculties'!$B$64:$B$83,0))),"N/A")</f>
        <v/>
      </c>
      <c r="K260" s="25">
        <f>IFERROR(IF(INDEX('Faculties'!$O$91:$O$110,MATCH($F260,'Faculties'!$B$91:$B$110,0))="","Cell will autofill based on response",INDEX('Faculties'!$O$91:$O$110,MATCH($F260,'Faculties'!$B$91:$B$110,0))),"N/A")</f>
        <v/>
      </c>
      <c r="L260" s="25">
        <f>IFERROR(IF(INDEX('CI&amp;S'!$O$10:$O$14,MATCH($F260,'CI&amp;S'!$B$10:$B$14,0))="","Cell will autofill based on response",INDEX('CI&amp;S'!$O$10:$O$14,MATCH($F260,'CI&amp;S'!$B$10:$B$14,0))),"N/A")</f>
        <v/>
      </c>
      <c r="M260" s="25">
        <f>IFERROR(IF(INDEX('CI&amp;S'!$O$22:$O$38,MATCH($F260,'CI&amp;S'!$B$22:$B$38,0))="","Cell will autofill based on response",INDEX('CI&amp;S'!$O$22:$O$38,MATCH($F260,'CI&amp;S'!$B$22:$B$38,0))),"N/A")</f>
        <v/>
      </c>
      <c r="N260" s="25">
        <f>IFERROR(IF(INDEX('CFOG'!$O$10:$O$15,MATCH($F260,'CFOG'!$B$10:$B$15,0))="","Cell will autofill based on response",INDEX('CFOG'!$O$10:$O$15,MATCH($F260,'CFOG'!$B$10:$B$15,0))),"N/A")</f>
        <v/>
      </c>
      <c r="O260" s="25">
        <f>IFERROR(IF(INDEX('CFOG'!$O$23:$O$23,MATCH($F260,'CFOG'!$B$23:$B$23,0))="","Cell will autofill based on response",INDEX('CFOG'!$O$23:$O$23,MATCH($F260,'CFOG'!$B$23:$B$23,0))),"N/A")</f>
        <v/>
      </c>
      <c r="P260" s="25">
        <f>IFERROR(IF(INDEX('ESG'!$O$10:$O$16,MATCH($F260,'ESG'!$B$10:$B$16,0))="","Cell will autofill based on response",INDEX('ESG'!$O$10:$O$16,MATCH($F260,'ESG'!$B$10:$B$16,0))),"N/A")</f>
        <v/>
      </c>
      <c r="Q260" s="25">
        <f>IFERROR(IF(INDEX('CIOG'!$O$10:$O$13,MATCH($F260,'CIOG'!$B$10:$B$13,0))="","Cell will autofill based on response",INDEX('CIOG'!$O$10:$O$13,MATCH($F260,'CIOG'!$B$10:$B$13,0))),"N/A")</f>
        <v/>
      </c>
      <c r="R260" s="25">
        <f>IFERROR(IF(INDEX('MRE'!$O$10:$O$11,MATCH($F260,'MRE'!$B$10:$B$11,0))="","Cell will autofill based on response",INDEX('MRE'!$O$10:$O$11,MATCH($F260,'MRE'!$B$10:$B$11,0))),"N/A")</f>
        <v/>
      </c>
    </row>
    <row r="261">
      <c r="A261">
        <f>F261&amp;"|"&amp;G261</f>
        <v/>
      </c>
      <c r="B261" s="29" t="inlineStr"/>
      <c r="C261" s="8" t="inlineStr"/>
      <c r="D261" s="8" t="inlineStr"/>
      <c r="E261" s="8" t="inlineStr"/>
      <c r="F261" s="8" t="inlineStr">
        <is>
          <t>MS1(a)</t>
        </is>
      </c>
      <c r="G261" s="8" t="inlineStr">
        <is>
          <t>Data source and limitations</t>
        </is>
      </c>
      <c r="H261" s="25">
        <f>IFERROR(IF(INDEX('Faculties'!$P$10:$P$29,MATCH($F261,'Faculties'!$B$10:$B$29,0))="","Cell will autofill based on response",INDEX('Faculties'!$P$10:$P$29,MATCH($F261,'Faculties'!$B$10:$B$29,0))),"N/A")</f>
        <v/>
      </c>
      <c r="I261" s="25">
        <f>IFERROR(IF(INDEX('Faculties'!$P$37:$P$56,MATCH($F261,'Faculties'!$B$37:$B$56,0))="","Cell will autofill based on response",INDEX('Faculties'!$P$37:$P$56,MATCH($F261,'Faculties'!$B$37:$B$56,0))),"N/A")</f>
        <v/>
      </c>
      <c r="J261" s="25">
        <f>IFERROR(IF(INDEX('Faculties'!$P$64:$P$83,MATCH($F261,'Faculties'!$B$64:$B$83,0))="","Cell will autofill based on response",INDEX('Faculties'!$P$64:$P$83,MATCH($F261,'Faculties'!$B$64:$B$83,0))),"N/A")</f>
        <v/>
      </c>
      <c r="K261" s="25">
        <f>IFERROR(IF(INDEX('Faculties'!$P$91:$P$110,MATCH($F261,'Faculties'!$B$91:$B$110,0))="","Cell will autofill based on response",INDEX('Faculties'!$P$91:$P$110,MATCH($F261,'Faculties'!$B$91:$B$110,0))),"N/A")</f>
        <v/>
      </c>
      <c r="L261" s="25">
        <f>IFERROR(IF(INDEX('CI&amp;S'!$P$10:$P$14,MATCH($F261,'CI&amp;S'!$B$10:$B$14,0))="","Cell will autofill based on response",INDEX('CI&amp;S'!$P$10:$P$14,MATCH($F261,'CI&amp;S'!$B$10:$B$14,0))),"N/A")</f>
        <v/>
      </c>
      <c r="M261" s="25">
        <f>IFERROR(IF(INDEX('CI&amp;S'!$P$22:$P$38,MATCH($F261,'CI&amp;S'!$B$22:$B$38,0))="","Cell will autofill based on response",INDEX('CI&amp;S'!$P$22:$P$38,MATCH($F261,'CI&amp;S'!$B$22:$B$38,0))),"N/A")</f>
        <v/>
      </c>
      <c r="N261" s="25">
        <f>IFERROR(IF(INDEX('CFOG'!$P$10:$P$15,MATCH($F261,'CFOG'!$B$10:$B$15,0))="","Cell will autofill based on response",INDEX('CFOG'!$P$10:$P$15,MATCH($F261,'CFOG'!$B$10:$B$15,0))),"N/A")</f>
        <v/>
      </c>
      <c r="O261" s="25">
        <f>IFERROR(IF(INDEX('CFOG'!$P$23:$P$23,MATCH($F261,'CFOG'!$B$23:$B$23,0))="","Cell will autofill based on response",INDEX('CFOG'!$P$23:$P$23,MATCH($F261,'CFOG'!$B$23:$B$23,0))),"N/A")</f>
        <v/>
      </c>
      <c r="P261" s="25">
        <f>IFERROR(IF(INDEX('ESG'!$P$10:$P$16,MATCH($F261,'ESG'!$B$10:$B$16,0))="","Cell will autofill based on response",INDEX('ESG'!$P$10:$P$16,MATCH($F261,'ESG'!$B$10:$B$16,0))),"N/A")</f>
        <v/>
      </c>
      <c r="Q261" s="25">
        <f>IFERROR(IF(INDEX('CIOG'!$P$10:$P$13,MATCH($F261,'CIOG'!$B$10:$B$13,0))="","Cell will autofill based on response",INDEX('CIOG'!$P$10:$P$13,MATCH($F261,'CIOG'!$B$10:$B$13,0))),"N/A")</f>
        <v/>
      </c>
      <c r="R261" s="25">
        <f>IFERROR(IF(INDEX('MRE'!$P$10:$P$11,MATCH($F261,'MRE'!$B$10:$B$11,0))="","Cell will autofill based on response",INDEX('MRE'!$P$10:$P$11,MATCH($F261,'MRE'!$B$10:$B$11,0))),"N/A")</f>
        <v/>
      </c>
    </row>
    <row r="262">
      <c r="A262">
        <f>F262&amp;"|"&amp;G262</f>
        <v/>
      </c>
      <c r="B262" s="29" t="inlineStr"/>
      <c r="C262" s="8" t="inlineStr"/>
      <c r="D262" s="8" t="inlineStr"/>
      <c r="E262" s="8" t="inlineStr"/>
      <c r="F262" s="8" t="inlineStr">
        <is>
          <t>MS1(a)</t>
        </is>
      </c>
      <c r="G262" s="8" t="inlineStr">
        <is>
          <t>Data owner confirms</t>
        </is>
      </c>
      <c r="H262" s="25">
        <f>IFERROR(IF(INDEX('Faculties'!$Q$10:$Q$29,MATCH($F262,'Faculties'!$B$10:$B$29,0))="","Cell will autofill based on response",INDEX('Faculties'!$Q$10:$Q$29,MATCH($F262,'Faculties'!$B$10:$B$29,0))),"N/A")</f>
        <v/>
      </c>
      <c r="I262" s="25">
        <f>IFERROR(IF(INDEX('Faculties'!$Q$37:$Q$56,MATCH($F262,'Faculties'!$B$37:$B$56,0))="","Cell will autofill based on response",INDEX('Faculties'!$Q$37:$Q$56,MATCH($F262,'Faculties'!$B$37:$B$56,0))),"N/A")</f>
        <v/>
      </c>
      <c r="J262" s="25">
        <f>IFERROR(IF(INDEX('Faculties'!$Q$64:$Q$83,MATCH($F262,'Faculties'!$B$64:$B$83,0))="","Cell will autofill based on response",INDEX('Faculties'!$Q$64:$Q$83,MATCH($F262,'Faculties'!$B$64:$B$83,0))),"N/A")</f>
        <v/>
      </c>
      <c r="K262" s="25">
        <f>IFERROR(IF(INDEX('Faculties'!$Q$91:$Q$110,MATCH($F262,'Faculties'!$B$91:$B$110,0))="","Cell will autofill based on response",INDEX('Faculties'!$Q$91:$Q$110,MATCH($F262,'Faculties'!$B$91:$B$110,0))),"N/A")</f>
        <v/>
      </c>
      <c r="L262" s="25">
        <f>IFERROR(IF(INDEX('CI&amp;S'!$Q$10:$Q$14,MATCH($F262,'CI&amp;S'!$B$10:$B$14,0))="","Cell will autofill based on response",INDEX('CI&amp;S'!$Q$10:$Q$14,MATCH($F262,'CI&amp;S'!$B$10:$B$14,0))),"N/A")</f>
        <v/>
      </c>
      <c r="M262" s="25">
        <f>IFERROR(IF(INDEX('CI&amp;S'!$Q$22:$Q$38,MATCH($F262,'CI&amp;S'!$B$22:$B$38,0))="","Cell will autofill based on response",INDEX('CI&amp;S'!$Q$22:$Q$38,MATCH($F262,'CI&amp;S'!$B$22:$B$38,0))),"N/A")</f>
        <v/>
      </c>
      <c r="N262" s="25">
        <f>IFERROR(IF(INDEX('CFOG'!$Q$10:$Q$15,MATCH($F262,'CFOG'!$B$10:$B$15,0))="","Cell will autofill based on response",INDEX('CFOG'!$Q$10:$Q$15,MATCH($F262,'CFOG'!$B$10:$B$15,0))),"N/A")</f>
        <v/>
      </c>
      <c r="O262" s="25">
        <f>IFERROR(IF(INDEX('CFOG'!$Q$23:$Q$23,MATCH($F262,'CFOG'!$B$23:$B$23,0))="","Cell will autofill based on response",INDEX('CFOG'!$Q$23:$Q$23,MATCH($F262,'CFOG'!$B$23:$B$23,0))),"N/A")</f>
        <v/>
      </c>
      <c r="P262" s="25">
        <f>IFERROR(IF(INDEX('ESG'!$Q$10:$Q$16,MATCH($F262,'ESG'!$B$10:$B$16,0))="","Cell will autofill based on response",INDEX('ESG'!$Q$10:$Q$16,MATCH($F262,'ESG'!$B$10:$B$16,0))),"N/A")</f>
        <v/>
      </c>
      <c r="Q262" s="25">
        <f>IFERROR(IF(INDEX('CIOG'!$Q$10:$Q$13,MATCH($F262,'CIOG'!$B$10:$B$13,0))="","Cell will autofill based on response",INDEX('CIOG'!$Q$10:$Q$13,MATCH($F262,'CIOG'!$B$10:$B$13,0))),"N/A")</f>
        <v/>
      </c>
      <c r="R262" s="25">
        <f>IFERROR(IF(INDEX('MRE'!$Q$10:$Q$11,MATCH($F262,'MRE'!$B$10:$B$11,0))="","Cell will autofill based on response",INDEX('MRE'!$Q$10:$Q$11,MATCH($F262,'MRE'!$B$10:$B$11,0))),"N/A")</f>
        <v/>
      </c>
    </row>
    <row r="263">
      <c r="A263">
        <f>F263&amp;"|"&amp;G263</f>
        <v/>
      </c>
      <c r="B263" s="7" t="inlineStr">
        <is>
          <t>RI1(a)</t>
        </is>
      </c>
      <c r="C263" s="12" t="inlineStr">
        <is>
          <t>Responsible investments</t>
        </is>
      </c>
      <c r="D263" s="12" t="inlineStr">
        <is>
          <t>Annual monitoring and reporting on the investment portfolio’s net zero transition progress, including tracking the percentage of assets under management (AUM) managed by investment managers aligned with (or committed to) net zero by 2050</t>
        </is>
      </c>
      <c r="E263" s="12" t="inlineStr">
        <is>
          <t>Percentage of AUM managed by investment managers aligned with net zero by 2050</t>
        </is>
      </c>
      <c r="F263" s="12" t="inlineStr">
        <is>
          <t>RI1(a)</t>
        </is>
      </c>
      <c r="G263" s="12" t="inlineStr">
        <is>
          <t>Confirm end-2026 target status</t>
        </is>
      </c>
      <c r="H263" s="25">
        <f>IFERROR(IF(INDEX('Faculties'!$L$10:$L$29,MATCH($F263,'Faculties'!$B$10:$B$29,0))="","Cell will autofill based on response",INDEX('Faculties'!$L$10:$L$29,MATCH($F263,'Faculties'!$B$10:$B$29,0))),"N/A")</f>
        <v/>
      </c>
      <c r="I263" s="25">
        <f>IFERROR(IF(INDEX('Faculties'!$L$37:$L$56,MATCH($F263,'Faculties'!$B$37:$B$56,0))="","Cell will autofill based on response",INDEX('Faculties'!$L$37:$L$56,MATCH($F263,'Faculties'!$B$37:$B$56,0))),"N/A")</f>
        <v/>
      </c>
      <c r="J263" s="25">
        <f>IFERROR(IF(INDEX('Faculties'!$L$64:$L$83,MATCH($F263,'Faculties'!$B$64:$B$83,0))="","Cell will autofill based on response",INDEX('Faculties'!$L$64:$L$83,MATCH($F263,'Faculties'!$B$64:$B$83,0))),"N/A")</f>
        <v/>
      </c>
      <c r="K263" s="25">
        <f>IFERROR(IF(INDEX('Faculties'!$L$91:$L$110,MATCH($F263,'Faculties'!$B$91:$B$110,0))="","Cell will autofill based on response",INDEX('Faculties'!$L$91:$L$110,MATCH($F263,'Faculties'!$B$91:$B$110,0))),"N/A")</f>
        <v/>
      </c>
      <c r="L263" s="25">
        <f>IFERROR(IF(INDEX('CI&amp;S'!$L$10:$L$14,MATCH($F263,'CI&amp;S'!$B$10:$B$14,0))="","Cell will autofill based on response",INDEX('CI&amp;S'!$L$10:$L$14,MATCH($F263,'CI&amp;S'!$B$10:$B$14,0))),"N/A")</f>
        <v/>
      </c>
      <c r="M263" s="25">
        <f>IFERROR(IF(INDEX('CI&amp;S'!$L$22:$L$38,MATCH($F263,'CI&amp;S'!$B$22:$B$38,0))="","Cell will autofill based on response",INDEX('CI&amp;S'!$L$22:$L$38,MATCH($F263,'CI&amp;S'!$B$22:$B$38,0))),"N/A")</f>
        <v/>
      </c>
      <c r="N263" s="25">
        <f>IFERROR(IF(INDEX('CFOG'!$L$10:$L$15,MATCH($F263,'CFOG'!$B$10:$B$15,0))="","Cell will autofill based on response",INDEX('CFOG'!$L$10:$L$15,MATCH($F263,'CFOG'!$B$10:$B$15,0))),"N/A")</f>
        <v/>
      </c>
      <c r="O263" s="25">
        <f>IFERROR(IF(INDEX('CFOG'!$L$23:$L$23,MATCH($F263,'CFOG'!$B$23:$B$23,0))="","Cell will autofill based on response",INDEX('CFOG'!$L$23:$L$23,MATCH($F263,'CFOG'!$B$23:$B$23,0))),"N/A")</f>
        <v/>
      </c>
      <c r="P263" s="25">
        <f>IFERROR(IF(INDEX('ESG'!$L$10:$L$16,MATCH($F263,'ESG'!$B$10:$B$16,0))="","Cell will autofill based on response",INDEX('ESG'!$L$10:$L$16,MATCH($F263,'ESG'!$B$10:$B$16,0))),"N/A")</f>
        <v/>
      </c>
      <c r="Q263" s="25">
        <f>IFERROR(IF(INDEX('CIOG'!$L$10:$L$13,MATCH($F263,'CIOG'!$B$10:$B$13,0))="","Cell will autofill based on response",INDEX('CIOG'!$L$10:$L$13,MATCH($F263,'CIOG'!$B$10:$B$13,0))),"N/A")</f>
        <v/>
      </c>
      <c r="R263" s="25">
        <f>IFERROR(IF(INDEX('MRE'!$L$10:$L$11,MATCH($F263,'MRE'!$B$10:$B$11,0))="","Cell will autofill based on response",INDEX('MRE'!$L$10:$L$11,MATCH($F263,'MRE'!$B$10:$B$11,0))),"N/A")</f>
        <v/>
      </c>
      <c r="T263" s="26">
        <f>COUNTIF($H263:$R263,"Cell will autofill based on response")</f>
        <v/>
      </c>
      <c r="U263" s="26">
        <f>COUNTIF($H263:$R263,"Not yet started")</f>
        <v/>
      </c>
      <c r="V263" s="26">
        <f>COUNTIF($H263:$R263,"Not met")</f>
        <v/>
      </c>
      <c r="W263" s="26">
        <f>COUNTIF($H263:$R263,"Partially met")</f>
        <v/>
      </c>
      <c r="X263" s="26">
        <f>COUNTIF($H263:$R263,"Met or exceeded")</f>
        <v/>
      </c>
      <c r="Y263" s="26">
        <f>3*X263+2*W263+V263</f>
        <v/>
      </c>
      <c r="Z263" s="26">
        <f>X263+W263+V263+U263</f>
        <v/>
      </c>
      <c r="AA263" s="27">
        <f>IF(Z263&gt;0,Y263/Z263,"No valid responses to date")</f>
        <v/>
      </c>
      <c r="AB263" s="26">
        <f>IF(ISNUMBER(AA263),INDEX(Lists!$G$2:$G$5,MATCH(ROUND(AA263,0),Lists!$H$2:$H$5,0)),"")</f>
        <v/>
      </c>
      <c r="AC263" s="28">
        <f>IF(Z263&gt;0,X263/Z263,"")</f>
        <v/>
      </c>
      <c r="AD263" s="28">
        <f>IF(Z263&gt;0,(X263+W263)/Z263,"")</f>
        <v/>
      </c>
      <c r="AE263" s="26">
        <f>IF(Z263=0,"",IF(AC263&gt;0.75,"Met or exceeded",IF(AD263&gt;=0.5,"Partially met","Not met")))</f>
        <v/>
      </c>
    </row>
    <row r="264">
      <c r="A264">
        <f>F264&amp;"|"&amp;G264</f>
        <v/>
      </c>
      <c r="B264" s="29" t="inlineStr"/>
      <c r="C264" s="8" t="inlineStr"/>
      <c r="D264" s="8" t="inlineStr"/>
      <c r="E264" s="8" t="inlineStr"/>
      <c r="F264" s="8" t="inlineStr">
        <is>
          <t>RI1(a)</t>
        </is>
      </c>
      <c r="G264" s="8" t="inlineStr">
        <is>
          <t>OPTION 1:  Target-level reporting</t>
        </is>
      </c>
      <c r="H264" s="25">
        <f>IFERROR(IF(INDEX('Faculties'!$M$10:$M$29,MATCH($F264,'Faculties'!$B$10:$B$29,0))="","Cell will autofill based on response",INDEX('Faculties'!$M$10:$M$29,MATCH($F264,'Faculties'!$B$10:$B$29,0))),"N/A")</f>
        <v/>
      </c>
      <c r="I264" s="25">
        <f>IFERROR(IF(INDEX('Faculties'!$M$37:$M$56,MATCH($F264,'Faculties'!$B$37:$B$56,0))="","Cell will autofill based on response",INDEX('Faculties'!$M$37:$M$56,MATCH($F264,'Faculties'!$B$37:$B$56,0))),"N/A")</f>
        <v/>
      </c>
      <c r="J264" s="25">
        <f>IFERROR(IF(INDEX('Faculties'!$M$64:$M$83,MATCH($F264,'Faculties'!$B$64:$B$83,0))="","Cell will autofill based on response",INDEX('Faculties'!$M$64:$M$83,MATCH($F264,'Faculties'!$B$64:$B$83,0))),"N/A")</f>
        <v/>
      </c>
      <c r="K264" s="25">
        <f>IFERROR(IF(INDEX('Faculties'!$M$91:$M$110,MATCH($F264,'Faculties'!$B$91:$B$110,0))="","Cell will autofill based on response",INDEX('Faculties'!$M$91:$M$110,MATCH($F264,'Faculties'!$B$91:$B$110,0))),"N/A")</f>
        <v/>
      </c>
      <c r="L264" s="25">
        <f>IFERROR(IF(INDEX('CI&amp;S'!$M$10:$M$14,MATCH($F264,'CI&amp;S'!$B$10:$B$14,0))="","Cell will autofill based on response",INDEX('CI&amp;S'!$M$10:$M$14,MATCH($F264,'CI&amp;S'!$B$10:$B$14,0))),"N/A")</f>
        <v/>
      </c>
      <c r="M264" s="25">
        <f>IFERROR(IF(INDEX('CI&amp;S'!$M$22:$M$38,MATCH($F264,'CI&amp;S'!$B$22:$B$38,0))="","Cell will autofill based on response",INDEX('CI&amp;S'!$M$22:$M$38,MATCH($F264,'CI&amp;S'!$B$22:$B$38,0))),"N/A")</f>
        <v/>
      </c>
      <c r="N264" s="25">
        <f>IFERROR(IF(INDEX('CFOG'!$M$10:$M$15,MATCH($F264,'CFOG'!$B$10:$B$15,0))="","Cell will autofill based on response",INDEX('CFOG'!$M$10:$M$15,MATCH($F264,'CFOG'!$B$10:$B$15,0))),"N/A")</f>
        <v/>
      </c>
      <c r="O264" s="25">
        <f>IFERROR(IF(INDEX('CFOG'!$M$23:$M$23,MATCH($F264,'CFOG'!$B$23:$B$23,0))="","Cell will autofill based on response",INDEX('CFOG'!$M$23:$M$23,MATCH($F264,'CFOG'!$B$23:$B$23,0))),"N/A")</f>
        <v/>
      </c>
      <c r="P264" s="25">
        <f>IFERROR(IF(INDEX('ESG'!$M$10:$M$16,MATCH($F264,'ESG'!$B$10:$B$16,0))="","Cell will autofill based on response",INDEX('ESG'!$M$10:$M$16,MATCH($F264,'ESG'!$B$10:$B$16,0))),"N/A")</f>
        <v/>
      </c>
      <c r="Q264" s="25">
        <f>IFERROR(IF(INDEX('CIOG'!$M$10:$M$13,MATCH($F264,'CIOG'!$B$10:$B$13,0))="","Cell will autofill based on response",INDEX('CIOG'!$M$10:$M$13,MATCH($F264,'CIOG'!$B$10:$B$13,0))),"N/A")</f>
        <v/>
      </c>
      <c r="R264" s="25">
        <f>IFERROR(IF(INDEX('MRE'!$M$10:$M$11,MATCH($F264,'MRE'!$B$10:$B$11,0))="","Cell will autofill based on response",INDEX('MRE'!$M$10:$M$11,MATCH($F264,'MRE'!$B$10:$B$11,0))),"N/A")</f>
        <v/>
      </c>
    </row>
    <row r="265">
      <c r="A265">
        <f>F265&amp;"|"&amp;G265</f>
        <v/>
      </c>
      <c r="B265" s="29" t="inlineStr"/>
      <c r="C265" s="8" t="inlineStr"/>
      <c r="D265" s="8" t="inlineStr"/>
      <c r="E265" s="8" t="inlineStr"/>
      <c r="F265" s="8" t="inlineStr">
        <is>
          <t>RI1(a)</t>
        </is>
      </c>
      <c r="G265" s="8" t="inlineStr">
        <is>
          <t>OPTION 2:  Indicator level reporting</t>
        </is>
      </c>
      <c r="H265" s="25">
        <f>IFERROR(IF(INDEX('Faculties'!$N$10:$N$29,MATCH($F265,'Faculties'!$B$10:$B$29,0))="","Cell will autofill based on response",INDEX('Faculties'!$N$10:$N$29,MATCH($F265,'Faculties'!$B$10:$B$29,0))),"N/A")</f>
        <v/>
      </c>
      <c r="I265" s="25">
        <f>IFERROR(IF(INDEX('Faculties'!$N$37:$N$56,MATCH($F265,'Faculties'!$B$37:$B$56,0))="","Cell will autofill based on response",INDEX('Faculties'!$N$37:$N$56,MATCH($F265,'Faculties'!$B$37:$B$56,0))),"N/A")</f>
        <v/>
      </c>
      <c r="J265" s="25">
        <f>IFERROR(IF(INDEX('Faculties'!$N$64:$N$83,MATCH($F265,'Faculties'!$B$64:$B$83,0))="","Cell will autofill based on response",INDEX('Faculties'!$N$64:$N$83,MATCH($F265,'Faculties'!$B$64:$B$83,0))),"N/A")</f>
        <v/>
      </c>
      <c r="K265" s="25">
        <f>IFERROR(IF(INDEX('Faculties'!$N$91:$N$110,MATCH($F265,'Faculties'!$B$91:$B$110,0))="","Cell will autofill based on response",INDEX('Faculties'!$N$91:$N$110,MATCH($F265,'Faculties'!$B$91:$B$110,0))),"N/A")</f>
        <v/>
      </c>
      <c r="L265" s="25">
        <f>IFERROR(IF(INDEX('CI&amp;S'!$N$10:$N$14,MATCH($F265,'CI&amp;S'!$B$10:$B$14,0))="","Cell will autofill based on response",INDEX('CI&amp;S'!$N$10:$N$14,MATCH($F265,'CI&amp;S'!$B$10:$B$14,0))),"N/A")</f>
        <v/>
      </c>
      <c r="M265" s="25">
        <f>IFERROR(IF(INDEX('CI&amp;S'!$N$22:$N$38,MATCH($F265,'CI&amp;S'!$B$22:$B$38,0))="","Cell will autofill based on response",INDEX('CI&amp;S'!$N$22:$N$38,MATCH($F265,'CI&amp;S'!$B$22:$B$38,0))),"N/A")</f>
        <v/>
      </c>
      <c r="N265" s="25">
        <f>IFERROR(IF(INDEX('CFOG'!$N$10:$N$15,MATCH($F265,'CFOG'!$B$10:$B$15,0))="","Cell will autofill based on response",INDEX('CFOG'!$N$10:$N$15,MATCH($F265,'CFOG'!$B$10:$B$15,0))),"N/A")</f>
        <v/>
      </c>
      <c r="O265" s="25">
        <f>IFERROR(IF(INDEX('CFOG'!$N$23:$N$23,MATCH($F265,'CFOG'!$B$23:$B$23,0))="","Cell will autofill based on response",INDEX('CFOG'!$N$23:$N$23,MATCH($F265,'CFOG'!$B$23:$B$23,0))),"N/A")</f>
        <v/>
      </c>
      <c r="P265" s="25">
        <f>IFERROR(IF(INDEX('ESG'!$N$10:$N$16,MATCH($F265,'ESG'!$B$10:$B$16,0))="","Cell will autofill based on response",INDEX('ESG'!$N$10:$N$16,MATCH($F265,'ESG'!$B$10:$B$16,0))),"N/A")</f>
        <v/>
      </c>
      <c r="Q265" s="25">
        <f>IFERROR(IF(INDEX('CIOG'!$N$10:$N$13,MATCH($F265,'CIOG'!$B$10:$B$13,0))="","Cell will autofill based on response",INDEX('CIOG'!$N$10:$N$13,MATCH($F265,'CIOG'!$B$10:$B$13,0))),"N/A")</f>
        <v/>
      </c>
      <c r="R265" s="25">
        <f>IFERROR(IF(INDEX('MRE'!$N$10:$N$11,MATCH($F265,'MRE'!$B$10:$B$11,0))="","Cell will autofill based on response",INDEX('MRE'!$N$10:$N$11,MATCH($F265,'MRE'!$B$10:$B$11,0))),"N/A")</f>
        <v/>
      </c>
    </row>
    <row r="266">
      <c r="A266">
        <f>F266&amp;"|"&amp;G266</f>
        <v/>
      </c>
      <c r="B266" s="29" t="inlineStr"/>
      <c r="C266" s="8" t="inlineStr"/>
      <c r="D266" s="8" t="inlineStr"/>
      <c r="E266" s="8" t="inlineStr"/>
      <c r="F266" s="8" t="inlineStr">
        <is>
          <t>RI1(a)</t>
        </is>
      </c>
      <c r="G266" s="8" t="inlineStr">
        <is>
          <t>Supporting information/comments</t>
        </is>
      </c>
      <c r="H266" s="25">
        <f>IFERROR(IF(INDEX('Faculties'!$O$10:$O$29,MATCH($F266,'Faculties'!$B$10:$B$29,0))="","Cell will autofill based on response",INDEX('Faculties'!$O$10:$O$29,MATCH($F266,'Faculties'!$B$10:$B$29,0))),"N/A")</f>
        <v/>
      </c>
      <c r="I266" s="25">
        <f>IFERROR(IF(INDEX('Faculties'!$O$37:$O$56,MATCH($F266,'Faculties'!$B$37:$B$56,0))="","Cell will autofill based on response",INDEX('Faculties'!$O$37:$O$56,MATCH($F266,'Faculties'!$B$37:$B$56,0))),"N/A")</f>
        <v/>
      </c>
      <c r="J266" s="25">
        <f>IFERROR(IF(INDEX('Faculties'!$O$64:$O$83,MATCH($F266,'Faculties'!$B$64:$B$83,0))="","Cell will autofill based on response",INDEX('Faculties'!$O$64:$O$83,MATCH($F266,'Faculties'!$B$64:$B$83,0))),"N/A")</f>
        <v/>
      </c>
      <c r="K266" s="25">
        <f>IFERROR(IF(INDEX('Faculties'!$O$91:$O$110,MATCH($F266,'Faculties'!$B$91:$B$110,0))="","Cell will autofill based on response",INDEX('Faculties'!$O$91:$O$110,MATCH($F266,'Faculties'!$B$91:$B$110,0))),"N/A")</f>
        <v/>
      </c>
      <c r="L266" s="25">
        <f>IFERROR(IF(INDEX('CI&amp;S'!$O$10:$O$14,MATCH($F266,'CI&amp;S'!$B$10:$B$14,0))="","Cell will autofill based on response",INDEX('CI&amp;S'!$O$10:$O$14,MATCH($F266,'CI&amp;S'!$B$10:$B$14,0))),"N/A")</f>
        <v/>
      </c>
      <c r="M266" s="25">
        <f>IFERROR(IF(INDEX('CI&amp;S'!$O$22:$O$38,MATCH($F266,'CI&amp;S'!$B$22:$B$38,0))="","Cell will autofill based on response",INDEX('CI&amp;S'!$O$22:$O$38,MATCH($F266,'CI&amp;S'!$B$22:$B$38,0))),"N/A")</f>
        <v/>
      </c>
      <c r="N266" s="25">
        <f>IFERROR(IF(INDEX('CFOG'!$O$10:$O$15,MATCH($F266,'CFOG'!$B$10:$B$15,0))="","Cell will autofill based on response",INDEX('CFOG'!$O$10:$O$15,MATCH($F266,'CFOG'!$B$10:$B$15,0))),"N/A")</f>
        <v/>
      </c>
      <c r="O266" s="25">
        <f>IFERROR(IF(INDEX('CFOG'!$O$23:$O$23,MATCH($F266,'CFOG'!$B$23:$B$23,0))="","Cell will autofill based on response",INDEX('CFOG'!$O$23:$O$23,MATCH($F266,'CFOG'!$B$23:$B$23,0))),"N/A")</f>
        <v/>
      </c>
      <c r="P266" s="25">
        <f>IFERROR(IF(INDEX('ESG'!$O$10:$O$16,MATCH($F266,'ESG'!$B$10:$B$16,0))="","Cell will autofill based on response",INDEX('ESG'!$O$10:$O$16,MATCH($F266,'ESG'!$B$10:$B$16,0))),"N/A")</f>
        <v/>
      </c>
      <c r="Q266" s="25">
        <f>IFERROR(IF(INDEX('CIOG'!$O$10:$O$13,MATCH($F266,'CIOG'!$B$10:$B$13,0))="","Cell will autofill based on response",INDEX('CIOG'!$O$10:$O$13,MATCH($F266,'CIOG'!$B$10:$B$13,0))),"N/A")</f>
        <v/>
      </c>
      <c r="R266" s="25">
        <f>IFERROR(IF(INDEX('MRE'!$O$10:$O$11,MATCH($F266,'MRE'!$B$10:$B$11,0))="","Cell will autofill based on response",INDEX('MRE'!$O$10:$O$11,MATCH($F266,'MRE'!$B$10:$B$11,0))),"N/A")</f>
        <v/>
      </c>
    </row>
    <row r="267">
      <c r="A267">
        <f>F267&amp;"|"&amp;G267</f>
        <v/>
      </c>
      <c r="B267" s="29" t="inlineStr"/>
      <c r="C267" s="8" t="inlineStr"/>
      <c r="D267" s="8" t="inlineStr"/>
      <c r="E267" s="8" t="inlineStr"/>
      <c r="F267" s="8" t="inlineStr">
        <is>
          <t>RI1(a)</t>
        </is>
      </c>
      <c r="G267" s="8" t="inlineStr">
        <is>
          <t>Data source and limitations</t>
        </is>
      </c>
      <c r="H267" s="25">
        <f>IFERROR(IF(INDEX('Faculties'!$P$10:$P$29,MATCH($F267,'Faculties'!$B$10:$B$29,0))="","Cell will autofill based on response",INDEX('Faculties'!$P$10:$P$29,MATCH($F267,'Faculties'!$B$10:$B$29,0))),"N/A")</f>
        <v/>
      </c>
      <c r="I267" s="25">
        <f>IFERROR(IF(INDEX('Faculties'!$P$37:$P$56,MATCH($F267,'Faculties'!$B$37:$B$56,0))="","Cell will autofill based on response",INDEX('Faculties'!$P$37:$P$56,MATCH($F267,'Faculties'!$B$37:$B$56,0))),"N/A")</f>
        <v/>
      </c>
      <c r="J267" s="25">
        <f>IFERROR(IF(INDEX('Faculties'!$P$64:$P$83,MATCH($F267,'Faculties'!$B$64:$B$83,0))="","Cell will autofill based on response",INDEX('Faculties'!$P$64:$P$83,MATCH($F267,'Faculties'!$B$64:$B$83,0))),"N/A")</f>
        <v/>
      </c>
      <c r="K267" s="25">
        <f>IFERROR(IF(INDEX('Faculties'!$P$91:$P$110,MATCH($F267,'Faculties'!$B$91:$B$110,0))="","Cell will autofill based on response",INDEX('Faculties'!$P$91:$P$110,MATCH($F267,'Faculties'!$B$91:$B$110,0))),"N/A")</f>
        <v/>
      </c>
      <c r="L267" s="25">
        <f>IFERROR(IF(INDEX('CI&amp;S'!$P$10:$P$14,MATCH($F267,'CI&amp;S'!$B$10:$B$14,0))="","Cell will autofill based on response",INDEX('CI&amp;S'!$P$10:$P$14,MATCH($F267,'CI&amp;S'!$B$10:$B$14,0))),"N/A")</f>
        <v/>
      </c>
      <c r="M267" s="25">
        <f>IFERROR(IF(INDEX('CI&amp;S'!$P$22:$P$38,MATCH($F267,'CI&amp;S'!$B$22:$B$38,0))="","Cell will autofill based on response",INDEX('CI&amp;S'!$P$22:$P$38,MATCH($F267,'CI&amp;S'!$B$22:$B$38,0))),"N/A")</f>
        <v/>
      </c>
      <c r="N267" s="25">
        <f>IFERROR(IF(INDEX('CFOG'!$P$10:$P$15,MATCH($F267,'CFOG'!$B$10:$B$15,0))="","Cell will autofill based on response",INDEX('CFOG'!$P$10:$P$15,MATCH($F267,'CFOG'!$B$10:$B$15,0))),"N/A")</f>
        <v/>
      </c>
      <c r="O267" s="25">
        <f>IFERROR(IF(INDEX('CFOG'!$P$23:$P$23,MATCH($F267,'CFOG'!$B$23:$B$23,0))="","Cell will autofill based on response",INDEX('CFOG'!$P$23:$P$23,MATCH($F267,'CFOG'!$B$23:$B$23,0))),"N/A")</f>
        <v/>
      </c>
      <c r="P267" s="25">
        <f>IFERROR(IF(INDEX('ESG'!$P$10:$P$16,MATCH($F267,'ESG'!$B$10:$B$16,0))="","Cell will autofill based on response",INDEX('ESG'!$P$10:$P$16,MATCH($F267,'ESG'!$B$10:$B$16,0))),"N/A")</f>
        <v/>
      </c>
      <c r="Q267" s="25">
        <f>IFERROR(IF(INDEX('CIOG'!$P$10:$P$13,MATCH($F267,'CIOG'!$B$10:$B$13,0))="","Cell will autofill based on response",INDEX('CIOG'!$P$10:$P$13,MATCH($F267,'CIOG'!$B$10:$B$13,0))),"N/A")</f>
        <v/>
      </c>
      <c r="R267" s="25">
        <f>IFERROR(IF(INDEX('MRE'!$P$10:$P$11,MATCH($F267,'MRE'!$B$10:$B$11,0))="","Cell will autofill based on response",INDEX('MRE'!$P$10:$P$11,MATCH($F267,'MRE'!$B$10:$B$11,0))),"N/A")</f>
        <v/>
      </c>
    </row>
    <row r="268">
      <c r="A268">
        <f>F268&amp;"|"&amp;G268</f>
        <v/>
      </c>
      <c r="B268" s="29" t="inlineStr"/>
      <c r="C268" s="8" t="inlineStr"/>
      <c r="D268" s="8" t="inlineStr"/>
      <c r="E268" s="8" t="inlineStr"/>
      <c r="F268" s="8" t="inlineStr">
        <is>
          <t>RI1(a)</t>
        </is>
      </c>
      <c r="G268" s="8" t="inlineStr">
        <is>
          <t>Data owner confirms</t>
        </is>
      </c>
      <c r="H268" s="25">
        <f>IFERROR(IF(INDEX('Faculties'!$Q$10:$Q$29,MATCH($F268,'Faculties'!$B$10:$B$29,0))="","Cell will autofill based on response",INDEX('Faculties'!$Q$10:$Q$29,MATCH($F268,'Faculties'!$B$10:$B$29,0))),"N/A")</f>
        <v/>
      </c>
      <c r="I268" s="25">
        <f>IFERROR(IF(INDEX('Faculties'!$Q$37:$Q$56,MATCH($F268,'Faculties'!$B$37:$B$56,0))="","Cell will autofill based on response",INDEX('Faculties'!$Q$37:$Q$56,MATCH($F268,'Faculties'!$B$37:$B$56,0))),"N/A")</f>
        <v/>
      </c>
      <c r="J268" s="25">
        <f>IFERROR(IF(INDEX('Faculties'!$Q$64:$Q$83,MATCH($F268,'Faculties'!$B$64:$B$83,0))="","Cell will autofill based on response",INDEX('Faculties'!$Q$64:$Q$83,MATCH($F268,'Faculties'!$B$64:$B$83,0))),"N/A")</f>
        <v/>
      </c>
      <c r="K268" s="25">
        <f>IFERROR(IF(INDEX('Faculties'!$Q$91:$Q$110,MATCH($F268,'Faculties'!$B$91:$B$110,0))="","Cell will autofill based on response",INDEX('Faculties'!$Q$91:$Q$110,MATCH($F268,'Faculties'!$B$91:$B$110,0))),"N/A")</f>
        <v/>
      </c>
      <c r="L268" s="25">
        <f>IFERROR(IF(INDEX('CI&amp;S'!$Q$10:$Q$14,MATCH($F268,'CI&amp;S'!$B$10:$B$14,0))="","Cell will autofill based on response",INDEX('CI&amp;S'!$Q$10:$Q$14,MATCH($F268,'CI&amp;S'!$B$10:$B$14,0))),"N/A")</f>
        <v/>
      </c>
      <c r="M268" s="25">
        <f>IFERROR(IF(INDEX('CI&amp;S'!$Q$22:$Q$38,MATCH($F268,'CI&amp;S'!$B$22:$B$38,0))="","Cell will autofill based on response",INDEX('CI&amp;S'!$Q$22:$Q$38,MATCH($F268,'CI&amp;S'!$B$22:$B$38,0))),"N/A")</f>
        <v/>
      </c>
      <c r="N268" s="25">
        <f>IFERROR(IF(INDEX('CFOG'!$Q$10:$Q$15,MATCH($F268,'CFOG'!$B$10:$B$15,0))="","Cell will autofill based on response",INDEX('CFOG'!$Q$10:$Q$15,MATCH($F268,'CFOG'!$B$10:$B$15,0))),"N/A")</f>
        <v/>
      </c>
      <c r="O268" s="25">
        <f>IFERROR(IF(INDEX('CFOG'!$Q$23:$Q$23,MATCH($F268,'CFOG'!$B$23:$B$23,0))="","Cell will autofill based on response",INDEX('CFOG'!$Q$23:$Q$23,MATCH($F268,'CFOG'!$B$23:$B$23,0))),"N/A")</f>
        <v/>
      </c>
      <c r="P268" s="25">
        <f>IFERROR(IF(INDEX('ESG'!$Q$10:$Q$16,MATCH($F268,'ESG'!$B$10:$B$16,0))="","Cell will autofill based on response",INDEX('ESG'!$Q$10:$Q$16,MATCH($F268,'ESG'!$B$10:$B$16,0))),"N/A")</f>
        <v/>
      </c>
      <c r="Q268" s="25">
        <f>IFERROR(IF(INDEX('CIOG'!$Q$10:$Q$13,MATCH($F268,'CIOG'!$B$10:$B$13,0))="","Cell will autofill based on response",INDEX('CIOG'!$Q$10:$Q$13,MATCH($F268,'CIOG'!$B$10:$B$13,0))),"N/A")</f>
        <v/>
      </c>
      <c r="R268" s="25">
        <f>IFERROR(IF(INDEX('MRE'!$Q$10:$Q$11,MATCH($F268,'MRE'!$B$10:$B$11,0))="","Cell will autofill based on response",INDEX('MRE'!$Q$10:$Q$11,MATCH($F268,'MRE'!$B$10:$B$11,0))),"N/A")</f>
        <v/>
      </c>
    </row>
    <row r="269">
      <c r="A269">
        <f>F269&amp;"|"&amp;G269</f>
        <v/>
      </c>
      <c r="B269" s="7" t="inlineStr">
        <is>
          <t>RI1(b)</t>
        </is>
      </c>
      <c r="C269" s="12" t="inlineStr">
        <is>
          <t>Responsible investments</t>
        </is>
      </c>
      <c r="D269" s="12" t="inlineStr">
        <is>
          <t>Continuous improvement of the reporting of the University’s sustainability-related investment profile metrics, could include investment in climate mitigation and transition solutions, and compliance with related obligations (eg UNPRI).</t>
        </is>
      </c>
      <c r="E269" s="12" t="inlineStr">
        <is>
          <t>Report on relevant sustainability-related investment portfolio metrics and report on how the University has complied with its related obligations</t>
        </is>
      </c>
      <c r="F269" s="12" t="inlineStr">
        <is>
          <t>RI1(b)</t>
        </is>
      </c>
      <c r="G269" s="12" t="inlineStr">
        <is>
          <t>Confirm end-2026 target status</t>
        </is>
      </c>
      <c r="H269" s="25">
        <f>IFERROR(IF(INDEX('Faculties'!$L$10:$L$29,MATCH($F269,'Faculties'!$B$10:$B$29,0))="","Cell will autofill based on response",INDEX('Faculties'!$L$10:$L$29,MATCH($F269,'Faculties'!$B$10:$B$29,0))),"N/A")</f>
        <v/>
      </c>
      <c r="I269" s="25">
        <f>IFERROR(IF(INDEX('Faculties'!$L$37:$L$56,MATCH($F269,'Faculties'!$B$37:$B$56,0))="","Cell will autofill based on response",INDEX('Faculties'!$L$37:$L$56,MATCH($F269,'Faculties'!$B$37:$B$56,0))),"N/A")</f>
        <v/>
      </c>
      <c r="J269" s="25">
        <f>IFERROR(IF(INDEX('Faculties'!$L$64:$L$83,MATCH($F269,'Faculties'!$B$64:$B$83,0))="","Cell will autofill based on response",INDEX('Faculties'!$L$64:$L$83,MATCH($F269,'Faculties'!$B$64:$B$83,0))),"N/A")</f>
        <v/>
      </c>
      <c r="K269" s="25">
        <f>IFERROR(IF(INDEX('Faculties'!$L$91:$L$110,MATCH($F269,'Faculties'!$B$91:$B$110,0))="","Cell will autofill based on response",INDEX('Faculties'!$L$91:$L$110,MATCH($F269,'Faculties'!$B$91:$B$110,0))),"N/A")</f>
        <v/>
      </c>
      <c r="L269" s="25">
        <f>IFERROR(IF(INDEX('CI&amp;S'!$L$10:$L$14,MATCH($F269,'CI&amp;S'!$B$10:$B$14,0))="","Cell will autofill based on response",INDEX('CI&amp;S'!$L$10:$L$14,MATCH($F269,'CI&amp;S'!$B$10:$B$14,0))),"N/A")</f>
        <v/>
      </c>
      <c r="M269" s="25">
        <f>IFERROR(IF(INDEX('CI&amp;S'!$L$22:$L$38,MATCH($F269,'CI&amp;S'!$B$22:$B$38,0))="","Cell will autofill based on response",INDEX('CI&amp;S'!$L$22:$L$38,MATCH($F269,'CI&amp;S'!$B$22:$B$38,0))),"N/A")</f>
        <v/>
      </c>
      <c r="N269" s="25">
        <f>IFERROR(IF(INDEX('CFOG'!$L$10:$L$15,MATCH($F269,'CFOG'!$B$10:$B$15,0))="","Cell will autofill based on response",INDEX('CFOG'!$L$10:$L$15,MATCH($F269,'CFOG'!$B$10:$B$15,0))),"N/A")</f>
        <v/>
      </c>
      <c r="O269" s="25">
        <f>IFERROR(IF(INDEX('CFOG'!$L$23:$L$23,MATCH($F269,'CFOG'!$B$23:$B$23,0))="","Cell will autofill based on response",INDEX('CFOG'!$L$23:$L$23,MATCH($F269,'CFOG'!$B$23:$B$23,0))),"N/A")</f>
        <v/>
      </c>
      <c r="P269" s="25">
        <f>IFERROR(IF(INDEX('ESG'!$L$10:$L$16,MATCH($F269,'ESG'!$B$10:$B$16,0))="","Cell will autofill based on response",INDEX('ESG'!$L$10:$L$16,MATCH($F269,'ESG'!$B$10:$B$16,0))),"N/A")</f>
        <v/>
      </c>
      <c r="Q269" s="25">
        <f>IFERROR(IF(INDEX('CIOG'!$L$10:$L$13,MATCH($F269,'CIOG'!$B$10:$B$13,0))="","Cell will autofill based on response",INDEX('CIOG'!$L$10:$L$13,MATCH($F269,'CIOG'!$B$10:$B$13,0))),"N/A")</f>
        <v/>
      </c>
      <c r="R269" s="25">
        <f>IFERROR(IF(INDEX('MRE'!$L$10:$L$11,MATCH($F269,'MRE'!$B$10:$B$11,0))="","Cell will autofill based on response",INDEX('MRE'!$L$10:$L$11,MATCH($F269,'MRE'!$B$10:$B$11,0))),"N/A")</f>
        <v/>
      </c>
      <c r="T269" s="26">
        <f>COUNTIF($H269:$R269,"Cell will autofill based on response")</f>
        <v/>
      </c>
      <c r="U269" s="26">
        <f>COUNTIF($H269:$R269,"Not yet started")</f>
        <v/>
      </c>
      <c r="V269" s="26">
        <f>COUNTIF($H269:$R269,"Not met")</f>
        <v/>
      </c>
      <c r="W269" s="26">
        <f>COUNTIF($H269:$R269,"Partially met")</f>
        <v/>
      </c>
      <c r="X269" s="26">
        <f>COUNTIF($H269:$R269,"Met or exceeded")</f>
        <v/>
      </c>
      <c r="Y269" s="26">
        <f>3*X269+2*W269+V269</f>
        <v/>
      </c>
      <c r="Z269" s="26">
        <f>X269+W269+V269+U269</f>
        <v/>
      </c>
      <c r="AA269" s="27">
        <f>IF(Z269&gt;0,Y269/Z269,"No valid responses to date")</f>
        <v/>
      </c>
      <c r="AB269" s="26">
        <f>IF(ISNUMBER(AA269),INDEX(Lists!$G$2:$G$5,MATCH(ROUND(AA269,0),Lists!$H$2:$H$5,0)),"")</f>
        <v/>
      </c>
      <c r="AC269" s="28">
        <f>IF(Z269&gt;0,X269/Z269,"")</f>
        <v/>
      </c>
      <c r="AD269" s="28">
        <f>IF(Z269&gt;0,(X269+W269)/Z269,"")</f>
        <v/>
      </c>
      <c r="AE269" s="26">
        <f>IF(Z269=0,"",IF(AC269&gt;0.75,"Met or exceeded",IF(AD269&gt;=0.5,"Partially met","Not met")))</f>
        <v/>
      </c>
    </row>
    <row r="270">
      <c r="A270">
        <f>F270&amp;"|"&amp;G270</f>
        <v/>
      </c>
      <c r="B270" s="29" t="inlineStr"/>
      <c r="C270" s="8" t="inlineStr"/>
      <c r="D270" s="8" t="inlineStr"/>
      <c r="E270" s="8" t="inlineStr"/>
      <c r="F270" s="8" t="inlineStr">
        <is>
          <t>RI1(b)</t>
        </is>
      </c>
      <c r="G270" s="8" t="inlineStr">
        <is>
          <t>OPTION 1:  Target-level reporting</t>
        </is>
      </c>
      <c r="H270" s="25">
        <f>IFERROR(IF(INDEX('Faculties'!$M$10:$M$29,MATCH($F270,'Faculties'!$B$10:$B$29,0))="","Cell will autofill based on response",INDEX('Faculties'!$M$10:$M$29,MATCH($F270,'Faculties'!$B$10:$B$29,0))),"N/A")</f>
        <v/>
      </c>
      <c r="I270" s="25">
        <f>IFERROR(IF(INDEX('Faculties'!$M$37:$M$56,MATCH($F270,'Faculties'!$B$37:$B$56,0))="","Cell will autofill based on response",INDEX('Faculties'!$M$37:$M$56,MATCH($F270,'Faculties'!$B$37:$B$56,0))),"N/A")</f>
        <v/>
      </c>
      <c r="J270" s="25">
        <f>IFERROR(IF(INDEX('Faculties'!$M$64:$M$83,MATCH($F270,'Faculties'!$B$64:$B$83,0))="","Cell will autofill based on response",INDEX('Faculties'!$M$64:$M$83,MATCH($F270,'Faculties'!$B$64:$B$83,0))),"N/A")</f>
        <v/>
      </c>
      <c r="K270" s="25">
        <f>IFERROR(IF(INDEX('Faculties'!$M$91:$M$110,MATCH($F270,'Faculties'!$B$91:$B$110,0))="","Cell will autofill based on response",INDEX('Faculties'!$M$91:$M$110,MATCH($F270,'Faculties'!$B$91:$B$110,0))),"N/A")</f>
        <v/>
      </c>
      <c r="L270" s="25">
        <f>IFERROR(IF(INDEX('CI&amp;S'!$M$10:$M$14,MATCH($F270,'CI&amp;S'!$B$10:$B$14,0))="","Cell will autofill based on response",INDEX('CI&amp;S'!$M$10:$M$14,MATCH($F270,'CI&amp;S'!$B$10:$B$14,0))),"N/A")</f>
        <v/>
      </c>
      <c r="M270" s="25">
        <f>IFERROR(IF(INDEX('CI&amp;S'!$M$22:$M$38,MATCH($F270,'CI&amp;S'!$B$22:$B$38,0))="","Cell will autofill based on response",INDEX('CI&amp;S'!$M$22:$M$38,MATCH($F270,'CI&amp;S'!$B$22:$B$38,0))),"N/A")</f>
        <v/>
      </c>
      <c r="N270" s="25">
        <f>IFERROR(IF(INDEX('CFOG'!$M$10:$M$15,MATCH($F270,'CFOG'!$B$10:$B$15,0))="","Cell will autofill based on response",INDEX('CFOG'!$M$10:$M$15,MATCH($F270,'CFOG'!$B$10:$B$15,0))),"N/A")</f>
        <v/>
      </c>
      <c r="O270" s="25">
        <f>IFERROR(IF(INDEX('CFOG'!$M$23:$M$23,MATCH($F270,'CFOG'!$B$23:$B$23,0))="","Cell will autofill based on response",INDEX('CFOG'!$M$23:$M$23,MATCH($F270,'CFOG'!$B$23:$B$23,0))),"N/A")</f>
        <v/>
      </c>
      <c r="P270" s="25">
        <f>IFERROR(IF(INDEX('ESG'!$M$10:$M$16,MATCH($F270,'ESG'!$B$10:$B$16,0))="","Cell will autofill based on response",INDEX('ESG'!$M$10:$M$16,MATCH($F270,'ESG'!$B$10:$B$16,0))),"N/A")</f>
        <v/>
      </c>
      <c r="Q270" s="25">
        <f>IFERROR(IF(INDEX('CIOG'!$M$10:$M$13,MATCH($F270,'CIOG'!$B$10:$B$13,0))="","Cell will autofill based on response",INDEX('CIOG'!$M$10:$M$13,MATCH($F270,'CIOG'!$B$10:$B$13,0))),"N/A")</f>
        <v/>
      </c>
      <c r="R270" s="25">
        <f>IFERROR(IF(INDEX('MRE'!$M$10:$M$11,MATCH($F270,'MRE'!$B$10:$B$11,0))="","Cell will autofill based on response",INDEX('MRE'!$M$10:$M$11,MATCH($F270,'MRE'!$B$10:$B$11,0))),"N/A")</f>
        <v/>
      </c>
    </row>
    <row r="271">
      <c r="A271">
        <f>F271&amp;"|"&amp;G271</f>
        <v/>
      </c>
      <c r="B271" s="29" t="inlineStr"/>
      <c r="C271" s="8" t="inlineStr"/>
      <c r="D271" s="8" t="inlineStr"/>
      <c r="E271" s="8" t="inlineStr"/>
      <c r="F271" s="8" t="inlineStr">
        <is>
          <t>RI1(b)</t>
        </is>
      </c>
      <c r="G271" s="8" t="inlineStr">
        <is>
          <t>OPTION 2:  Indicator level reporting</t>
        </is>
      </c>
      <c r="H271" s="25">
        <f>IFERROR(IF(INDEX('Faculties'!$N$10:$N$29,MATCH($F271,'Faculties'!$B$10:$B$29,0))="","Cell will autofill based on response",INDEX('Faculties'!$N$10:$N$29,MATCH($F271,'Faculties'!$B$10:$B$29,0))),"N/A")</f>
        <v/>
      </c>
      <c r="I271" s="25">
        <f>IFERROR(IF(INDEX('Faculties'!$N$37:$N$56,MATCH($F271,'Faculties'!$B$37:$B$56,0))="","Cell will autofill based on response",INDEX('Faculties'!$N$37:$N$56,MATCH($F271,'Faculties'!$B$37:$B$56,0))),"N/A")</f>
        <v/>
      </c>
      <c r="J271" s="25">
        <f>IFERROR(IF(INDEX('Faculties'!$N$64:$N$83,MATCH($F271,'Faculties'!$B$64:$B$83,0))="","Cell will autofill based on response",INDEX('Faculties'!$N$64:$N$83,MATCH($F271,'Faculties'!$B$64:$B$83,0))),"N/A")</f>
        <v/>
      </c>
      <c r="K271" s="25">
        <f>IFERROR(IF(INDEX('Faculties'!$N$91:$N$110,MATCH($F271,'Faculties'!$B$91:$B$110,0))="","Cell will autofill based on response",INDEX('Faculties'!$N$91:$N$110,MATCH($F271,'Faculties'!$B$91:$B$110,0))),"N/A")</f>
        <v/>
      </c>
      <c r="L271" s="25">
        <f>IFERROR(IF(INDEX('CI&amp;S'!$N$10:$N$14,MATCH($F271,'CI&amp;S'!$B$10:$B$14,0))="","Cell will autofill based on response",INDEX('CI&amp;S'!$N$10:$N$14,MATCH($F271,'CI&amp;S'!$B$10:$B$14,0))),"N/A")</f>
        <v/>
      </c>
      <c r="M271" s="25">
        <f>IFERROR(IF(INDEX('CI&amp;S'!$N$22:$N$38,MATCH($F271,'CI&amp;S'!$B$22:$B$38,0))="","Cell will autofill based on response",INDEX('CI&amp;S'!$N$22:$N$38,MATCH($F271,'CI&amp;S'!$B$22:$B$38,0))),"N/A")</f>
        <v/>
      </c>
      <c r="N271" s="25">
        <f>IFERROR(IF(INDEX('CFOG'!$N$10:$N$15,MATCH($F271,'CFOG'!$B$10:$B$15,0))="","Cell will autofill based on response",INDEX('CFOG'!$N$10:$N$15,MATCH($F271,'CFOG'!$B$10:$B$15,0))),"N/A")</f>
        <v/>
      </c>
      <c r="O271" s="25">
        <f>IFERROR(IF(INDEX('CFOG'!$N$23:$N$23,MATCH($F271,'CFOG'!$B$23:$B$23,0))="","Cell will autofill based on response",INDEX('CFOG'!$N$23:$N$23,MATCH($F271,'CFOG'!$B$23:$B$23,0))),"N/A")</f>
        <v/>
      </c>
      <c r="P271" s="25">
        <f>IFERROR(IF(INDEX('ESG'!$N$10:$N$16,MATCH($F271,'ESG'!$B$10:$B$16,0))="","Cell will autofill based on response",INDEX('ESG'!$N$10:$N$16,MATCH($F271,'ESG'!$B$10:$B$16,0))),"N/A")</f>
        <v/>
      </c>
      <c r="Q271" s="25">
        <f>IFERROR(IF(INDEX('CIOG'!$N$10:$N$13,MATCH($F271,'CIOG'!$B$10:$B$13,0))="","Cell will autofill based on response",INDEX('CIOG'!$N$10:$N$13,MATCH($F271,'CIOG'!$B$10:$B$13,0))),"N/A")</f>
        <v/>
      </c>
      <c r="R271" s="25">
        <f>IFERROR(IF(INDEX('MRE'!$N$10:$N$11,MATCH($F271,'MRE'!$B$10:$B$11,0))="","Cell will autofill based on response",INDEX('MRE'!$N$10:$N$11,MATCH($F271,'MRE'!$B$10:$B$11,0))),"N/A")</f>
        <v/>
      </c>
    </row>
    <row r="272">
      <c r="A272">
        <f>F272&amp;"|"&amp;G272</f>
        <v/>
      </c>
      <c r="B272" s="29" t="inlineStr"/>
      <c r="C272" s="8" t="inlineStr"/>
      <c r="D272" s="8" t="inlineStr"/>
      <c r="E272" s="8" t="inlineStr"/>
      <c r="F272" s="8" t="inlineStr">
        <is>
          <t>RI1(b)</t>
        </is>
      </c>
      <c r="G272" s="8" t="inlineStr">
        <is>
          <t>Supporting information/comments</t>
        </is>
      </c>
      <c r="H272" s="25">
        <f>IFERROR(IF(INDEX('Faculties'!$O$10:$O$29,MATCH($F272,'Faculties'!$B$10:$B$29,0))="","Cell will autofill based on response",INDEX('Faculties'!$O$10:$O$29,MATCH($F272,'Faculties'!$B$10:$B$29,0))),"N/A")</f>
        <v/>
      </c>
      <c r="I272" s="25">
        <f>IFERROR(IF(INDEX('Faculties'!$O$37:$O$56,MATCH($F272,'Faculties'!$B$37:$B$56,0))="","Cell will autofill based on response",INDEX('Faculties'!$O$37:$O$56,MATCH($F272,'Faculties'!$B$37:$B$56,0))),"N/A")</f>
        <v/>
      </c>
      <c r="J272" s="25">
        <f>IFERROR(IF(INDEX('Faculties'!$O$64:$O$83,MATCH($F272,'Faculties'!$B$64:$B$83,0))="","Cell will autofill based on response",INDEX('Faculties'!$O$64:$O$83,MATCH($F272,'Faculties'!$B$64:$B$83,0))),"N/A")</f>
        <v/>
      </c>
      <c r="K272" s="25">
        <f>IFERROR(IF(INDEX('Faculties'!$O$91:$O$110,MATCH($F272,'Faculties'!$B$91:$B$110,0))="","Cell will autofill based on response",INDEX('Faculties'!$O$91:$O$110,MATCH($F272,'Faculties'!$B$91:$B$110,0))),"N/A")</f>
        <v/>
      </c>
      <c r="L272" s="25">
        <f>IFERROR(IF(INDEX('CI&amp;S'!$O$10:$O$14,MATCH($F272,'CI&amp;S'!$B$10:$B$14,0))="","Cell will autofill based on response",INDEX('CI&amp;S'!$O$10:$O$14,MATCH($F272,'CI&amp;S'!$B$10:$B$14,0))),"N/A")</f>
        <v/>
      </c>
      <c r="M272" s="25">
        <f>IFERROR(IF(INDEX('CI&amp;S'!$O$22:$O$38,MATCH($F272,'CI&amp;S'!$B$22:$B$38,0))="","Cell will autofill based on response",INDEX('CI&amp;S'!$O$22:$O$38,MATCH($F272,'CI&amp;S'!$B$22:$B$38,0))),"N/A")</f>
        <v/>
      </c>
      <c r="N272" s="25">
        <f>IFERROR(IF(INDEX('CFOG'!$O$10:$O$15,MATCH($F272,'CFOG'!$B$10:$B$15,0))="","Cell will autofill based on response",INDEX('CFOG'!$O$10:$O$15,MATCH($F272,'CFOG'!$B$10:$B$15,0))),"N/A")</f>
        <v/>
      </c>
      <c r="O272" s="25">
        <f>IFERROR(IF(INDEX('CFOG'!$O$23:$O$23,MATCH($F272,'CFOG'!$B$23:$B$23,0))="","Cell will autofill based on response",INDEX('CFOG'!$O$23:$O$23,MATCH($F272,'CFOG'!$B$23:$B$23,0))),"N/A")</f>
        <v/>
      </c>
      <c r="P272" s="25">
        <f>IFERROR(IF(INDEX('ESG'!$O$10:$O$16,MATCH($F272,'ESG'!$B$10:$B$16,0))="","Cell will autofill based on response",INDEX('ESG'!$O$10:$O$16,MATCH($F272,'ESG'!$B$10:$B$16,0))),"N/A")</f>
        <v/>
      </c>
      <c r="Q272" s="25">
        <f>IFERROR(IF(INDEX('CIOG'!$O$10:$O$13,MATCH($F272,'CIOG'!$B$10:$B$13,0))="","Cell will autofill based on response",INDEX('CIOG'!$O$10:$O$13,MATCH($F272,'CIOG'!$B$10:$B$13,0))),"N/A")</f>
        <v/>
      </c>
      <c r="R272" s="25">
        <f>IFERROR(IF(INDEX('MRE'!$O$10:$O$11,MATCH($F272,'MRE'!$B$10:$B$11,0))="","Cell will autofill based on response",INDEX('MRE'!$O$10:$O$11,MATCH($F272,'MRE'!$B$10:$B$11,0))),"N/A")</f>
        <v/>
      </c>
    </row>
    <row r="273">
      <c r="A273">
        <f>F273&amp;"|"&amp;G273</f>
        <v/>
      </c>
      <c r="B273" s="29" t="inlineStr"/>
      <c r="C273" s="8" t="inlineStr"/>
      <c r="D273" s="8" t="inlineStr"/>
      <c r="E273" s="8" t="inlineStr"/>
      <c r="F273" s="8" t="inlineStr">
        <is>
          <t>RI1(b)</t>
        </is>
      </c>
      <c r="G273" s="8" t="inlineStr">
        <is>
          <t>Data source and limitations</t>
        </is>
      </c>
      <c r="H273" s="25">
        <f>IFERROR(IF(INDEX('Faculties'!$P$10:$P$29,MATCH($F273,'Faculties'!$B$10:$B$29,0))="","Cell will autofill based on response",INDEX('Faculties'!$P$10:$P$29,MATCH($F273,'Faculties'!$B$10:$B$29,0))),"N/A")</f>
        <v/>
      </c>
      <c r="I273" s="25">
        <f>IFERROR(IF(INDEX('Faculties'!$P$37:$P$56,MATCH($F273,'Faculties'!$B$37:$B$56,0))="","Cell will autofill based on response",INDEX('Faculties'!$P$37:$P$56,MATCH($F273,'Faculties'!$B$37:$B$56,0))),"N/A")</f>
        <v/>
      </c>
      <c r="J273" s="25">
        <f>IFERROR(IF(INDEX('Faculties'!$P$64:$P$83,MATCH($F273,'Faculties'!$B$64:$B$83,0))="","Cell will autofill based on response",INDEX('Faculties'!$P$64:$P$83,MATCH($F273,'Faculties'!$B$64:$B$83,0))),"N/A")</f>
        <v/>
      </c>
      <c r="K273" s="25">
        <f>IFERROR(IF(INDEX('Faculties'!$P$91:$P$110,MATCH($F273,'Faculties'!$B$91:$B$110,0))="","Cell will autofill based on response",INDEX('Faculties'!$P$91:$P$110,MATCH($F273,'Faculties'!$B$91:$B$110,0))),"N/A")</f>
        <v/>
      </c>
      <c r="L273" s="25">
        <f>IFERROR(IF(INDEX('CI&amp;S'!$P$10:$P$14,MATCH($F273,'CI&amp;S'!$B$10:$B$14,0))="","Cell will autofill based on response",INDEX('CI&amp;S'!$P$10:$P$14,MATCH($F273,'CI&amp;S'!$B$10:$B$14,0))),"N/A")</f>
        <v/>
      </c>
      <c r="M273" s="25">
        <f>IFERROR(IF(INDEX('CI&amp;S'!$P$22:$P$38,MATCH($F273,'CI&amp;S'!$B$22:$B$38,0))="","Cell will autofill based on response",INDEX('CI&amp;S'!$P$22:$P$38,MATCH($F273,'CI&amp;S'!$B$22:$B$38,0))),"N/A")</f>
        <v/>
      </c>
      <c r="N273" s="25">
        <f>IFERROR(IF(INDEX('CFOG'!$P$10:$P$15,MATCH($F273,'CFOG'!$B$10:$B$15,0))="","Cell will autofill based on response",INDEX('CFOG'!$P$10:$P$15,MATCH($F273,'CFOG'!$B$10:$B$15,0))),"N/A")</f>
        <v/>
      </c>
      <c r="O273" s="25">
        <f>IFERROR(IF(INDEX('CFOG'!$P$23:$P$23,MATCH($F273,'CFOG'!$B$23:$B$23,0))="","Cell will autofill based on response",INDEX('CFOG'!$P$23:$P$23,MATCH($F273,'CFOG'!$B$23:$B$23,0))),"N/A")</f>
        <v/>
      </c>
      <c r="P273" s="25">
        <f>IFERROR(IF(INDEX('ESG'!$P$10:$P$16,MATCH($F273,'ESG'!$B$10:$B$16,0))="","Cell will autofill based on response",INDEX('ESG'!$P$10:$P$16,MATCH($F273,'ESG'!$B$10:$B$16,0))),"N/A")</f>
        <v/>
      </c>
      <c r="Q273" s="25">
        <f>IFERROR(IF(INDEX('CIOG'!$P$10:$P$13,MATCH($F273,'CIOG'!$B$10:$B$13,0))="","Cell will autofill based on response",INDEX('CIOG'!$P$10:$P$13,MATCH($F273,'CIOG'!$B$10:$B$13,0))),"N/A")</f>
        <v/>
      </c>
      <c r="R273" s="25">
        <f>IFERROR(IF(INDEX('MRE'!$P$10:$P$11,MATCH($F273,'MRE'!$B$10:$B$11,0))="","Cell will autofill based on response",INDEX('MRE'!$P$10:$P$11,MATCH($F273,'MRE'!$B$10:$B$11,0))),"N/A")</f>
        <v/>
      </c>
    </row>
    <row r="274">
      <c r="A274">
        <f>F274&amp;"|"&amp;G274</f>
        <v/>
      </c>
      <c r="B274" s="29" t="inlineStr"/>
      <c r="C274" s="8" t="inlineStr"/>
      <c r="D274" s="8" t="inlineStr"/>
      <c r="E274" s="8" t="inlineStr"/>
      <c r="F274" s="8" t="inlineStr">
        <is>
          <t>RI1(b)</t>
        </is>
      </c>
      <c r="G274" s="8" t="inlineStr">
        <is>
          <t>Data owner confirms</t>
        </is>
      </c>
      <c r="H274" s="25">
        <f>IFERROR(IF(INDEX('Faculties'!$Q$10:$Q$29,MATCH($F274,'Faculties'!$B$10:$B$29,0))="","Cell will autofill based on response",INDEX('Faculties'!$Q$10:$Q$29,MATCH($F274,'Faculties'!$B$10:$B$29,0))),"N/A")</f>
        <v/>
      </c>
      <c r="I274" s="25">
        <f>IFERROR(IF(INDEX('Faculties'!$Q$37:$Q$56,MATCH($F274,'Faculties'!$B$37:$B$56,0))="","Cell will autofill based on response",INDEX('Faculties'!$Q$37:$Q$56,MATCH($F274,'Faculties'!$B$37:$B$56,0))),"N/A")</f>
        <v/>
      </c>
      <c r="J274" s="25">
        <f>IFERROR(IF(INDEX('Faculties'!$Q$64:$Q$83,MATCH($F274,'Faculties'!$B$64:$B$83,0))="","Cell will autofill based on response",INDEX('Faculties'!$Q$64:$Q$83,MATCH($F274,'Faculties'!$B$64:$B$83,0))),"N/A")</f>
        <v/>
      </c>
      <c r="K274" s="25">
        <f>IFERROR(IF(INDEX('Faculties'!$Q$91:$Q$110,MATCH($F274,'Faculties'!$B$91:$B$110,0))="","Cell will autofill based on response",INDEX('Faculties'!$Q$91:$Q$110,MATCH($F274,'Faculties'!$B$91:$B$110,0))),"N/A")</f>
        <v/>
      </c>
      <c r="L274" s="25">
        <f>IFERROR(IF(INDEX('CI&amp;S'!$Q$10:$Q$14,MATCH($F274,'CI&amp;S'!$B$10:$B$14,0))="","Cell will autofill based on response",INDEX('CI&amp;S'!$Q$10:$Q$14,MATCH($F274,'CI&amp;S'!$B$10:$B$14,0))),"N/A")</f>
        <v/>
      </c>
      <c r="M274" s="25">
        <f>IFERROR(IF(INDEX('CI&amp;S'!$Q$22:$Q$38,MATCH($F274,'CI&amp;S'!$B$22:$B$38,0))="","Cell will autofill based on response",INDEX('CI&amp;S'!$Q$22:$Q$38,MATCH($F274,'CI&amp;S'!$B$22:$B$38,0))),"N/A")</f>
        <v/>
      </c>
      <c r="N274" s="25">
        <f>IFERROR(IF(INDEX('CFOG'!$Q$10:$Q$15,MATCH($F274,'CFOG'!$B$10:$B$15,0))="","Cell will autofill based on response",INDEX('CFOG'!$Q$10:$Q$15,MATCH($F274,'CFOG'!$B$10:$B$15,0))),"N/A")</f>
        <v/>
      </c>
      <c r="O274" s="25">
        <f>IFERROR(IF(INDEX('CFOG'!$Q$23:$Q$23,MATCH($F274,'CFOG'!$B$23:$B$23,0))="","Cell will autofill based on response",INDEX('CFOG'!$Q$23:$Q$23,MATCH($F274,'CFOG'!$B$23:$B$23,0))),"N/A")</f>
        <v/>
      </c>
      <c r="P274" s="25">
        <f>IFERROR(IF(INDEX('ESG'!$Q$10:$Q$16,MATCH($F274,'ESG'!$B$10:$B$16,0))="","Cell will autofill based on response",INDEX('ESG'!$Q$10:$Q$16,MATCH($F274,'ESG'!$B$10:$B$16,0))),"N/A")</f>
        <v/>
      </c>
      <c r="Q274" s="25">
        <f>IFERROR(IF(INDEX('CIOG'!$Q$10:$Q$13,MATCH($F274,'CIOG'!$B$10:$B$13,0))="","Cell will autofill based on response",INDEX('CIOG'!$Q$10:$Q$13,MATCH($F274,'CIOG'!$B$10:$B$13,0))),"N/A")</f>
        <v/>
      </c>
      <c r="R274" s="25">
        <f>IFERROR(IF(INDEX('MRE'!$Q$10:$Q$11,MATCH($F274,'MRE'!$B$10:$B$11,0))="","Cell will autofill based on response",INDEX('MRE'!$Q$10:$Q$11,MATCH($F274,'MRE'!$B$10:$B$11,0))),"N/A")</f>
        <v/>
      </c>
    </row>
    <row r="275">
      <c r="A275">
        <f>F275&amp;"|"&amp;G275</f>
        <v/>
      </c>
      <c r="B275" s="7" t="inlineStr">
        <is>
          <t>EN1(a)</t>
        </is>
      </c>
      <c r="C275" s="12" t="inlineStr">
        <is>
          <t>Enablers</t>
        </is>
      </c>
      <c r="D275" s="12" t="inlineStr">
        <is>
          <t>Evidence of sustainability outcomes informed by Indigenous knowledges</t>
        </is>
      </c>
      <c r="E275" s="12"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75" s="12" t="inlineStr">
        <is>
          <t>EN1(a)</t>
        </is>
      </c>
      <c r="G275" s="12" t="inlineStr">
        <is>
          <t>Confirm end-2026 target status</t>
        </is>
      </c>
      <c r="H275" s="25">
        <f>IFERROR(IF(INDEX('Faculties'!$L$10:$L$29,MATCH($F275,'Faculties'!$B$10:$B$29,0))="","Cell will autofill based on response",INDEX('Faculties'!$L$10:$L$29,MATCH($F275,'Faculties'!$B$10:$B$29,0))),"N/A")</f>
        <v/>
      </c>
      <c r="I275" s="25">
        <f>IFERROR(IF(INDEX('Faculties'!$L$37:$L$56,MATCH($F275,'Faculties'!$B$37:$B$56,0))="","Cell will autofill based on response",INDEX('Faculties'!$L$37:$L$56,MATCH($F275,'Faculties'!$B$37:$B$56,0))),"N/A")</f>
        <v/>
      </c>
      <c r="J275" s="25">
        <f>IFERROR(IF(INDEX('Faculties'!$L$64:$L$83,MATCH($F275,'Faculties'!$B$64:$B$83,0))="","Cell will autofill based on response",INDEX('Faculties'!$L$64:$L$83,MATCH($F275,'Faculties'!$B$64:$B$83,0))),"N/A")</f>
        <v/>
      </c>
      <c r="K275" s="25">
        <f>IFERROR(IF(INDEX('Faculties'!$L$91:$L$110,MATCH($F275,'Faculties'!$B$91:$B$110,0))="","Cell will autofill based on response",INDEX('Faculties'!$L$91:$L$110,MATCH($F275,'Faculties'!$B$91:$B$110,0))),"N/A")</f>
        <v/>
      </c>
      <c r="L275" s="25">
        <f>IFERROR(IF(INDEX('CI&amp;S'!$L$10:$L$14,MATCH($F275,'CI&amp;S'!$B$10:$B$14,0))="","Cell will autofill based on response",INDEX('CI&amp;S'!$L$10:$L$14,MATCH($F275,'CI&amp;S'!$B$10:$B$14,0))),"N/A")</f>
        <v/>
      </c>
      <c r="M275" s="25">
        <f>IFERROR(IF(INDEX('CI&amp;S'!$L$22:$L$38,MATCH($F275,'CI&amp;S'!$B$22:$B$38,0))="","Cell will autofill based on response",INDEX('CI&amp;S'!$L$22:$L$38,MATCH($F275,'CI&amp;S'!$B$22:$B$38,0))),"N/A")</f>
        <v/>
      </c>
      <c r="N275" s="25">
        <f>IFERROR(IF(INDEX('CFOG'!$L$10:$L$15,MATCH($F275,'CFOG'!$B$10:$B$15,0))="","Cell will autofill based on response",INDEX('CFOG'!$L$10:$L$15,MATCH($F275,'CFOG'!$B$10:$B$15,0))),"N/A")</f>
        <v/>
      </c>
      <c r="O275" s="25">
        <f>IFERROR(IF(INDEX('CFOG'!$L$23:$L$23,MATCH($F275,'CFOG'!$B$23:$B$23,0))="","Cell will autofill based on response",INDEX('CFOG'!$L$23:$L$23,MATCH($F275,'CFOG'!$B$23:$B$23,0))),"N/A")</f>
        <v/>
      </c>
      <c r="P275" s="25">
        <f>IFERROR(IF(INDEX('ESG'!$L$10:$L$16,MATCH($F275,'ESG'!$B$10:$B$16,0))="","Cell will autofill based on response",INDEX('ESG'!$L$10:$L$16,MATCH($F275,'ESG'!$B$10:$B$16,0))),"N/A")</f>
        <v/>
      </c>
      <c r="Q275" s="25">
        <f>IFERROR(IF(INDEX('CIOG'!$L$10:$L$13,MATCH($F275,'CIOG'!$B$10:$B$13,0))="","Cell will autofill based on response",INDEX('CIOG'!$L$10:$L$13,MATCH($F275,'CIOG'!$B$10:$B$13,0))),"N/A")</f>
        <v/>
      </c>
      <c r="R275" s="25">
        <f>IFERROR(IF(INDEX('MRE'!$L$10:$L$11,MATCH($F275,'MRE'!$B$10:$B$11,0))="","Cell will autofill based on response",INDEX('MRE'!$L$10:$L$11,MATCH($F275,'MRE'!$B$10:$B$11,0))),"N/A")</f>
        <v/>
      </c>
      <c r="T275" s="26">
        <f>COUNTIF($H275:$R275,"Cell will autofill based on response")</f>
        <v/>
      </c>
      <c r="U275" s="26">
        <f>COUNTIF($H275:$R275,"Not yet started")</f>
        <v/>
      </c>
      <c r="V275" s="26">
        <f>COUNTIF($H275:$R275,"Not met")</f>
        <v/>
      </c>
      <c r="W275" s="26">
        <f>COUNTIF($H275:$R275,"Partially met")</f>
        <v/>
      </c>
      <c r="X275" s="26">
        <f>COUNTIF($H275:$R275,"Met or exceeded")</f>
        <v/>
      </c>
      <c r="Y275" s="26">
        <f>3*X275+2*W275+V275</f>
        <v/>
      </c>
      <c r="Z275" s="26">
        <f>X275+W275+V275+U275</f>
        <v/>
      </c>
      <c r="AA275" s="27">
        <f>IF(Z275&gt;0,Y275/Z275,"No valid responses to date")</f>
        <v/>
      </c>
      <c r="AB275" s="26">
        <f>IF(ISNUMBER(AA275),INDEX(Lists!$G$2:$G$5,MATCH(ROUND(AA275,0),Lists!$H$2:$H$5,0)),"")</f>
        <v/>
      </c>
      <c r="AC275" s="28">
        <f>IF(Z275&gt;0,X275/Z275,"")</f>
        <v/>
      </c>
      <c r="AD275" s="28">
        <f>IF(Z275&gt;0,(X275+W275)/Z275,"")</f>
        <v/>
      </c>
      <c r="AE275" s="26">
        <f>IF(Z275=0,"",IF(AC275&gt;0.75,"Met or exceeded",IF(AD275&gt;=0.5,"Partially met","Not met")))</f>
        <v/>
      </c>
    </row>
    <row r="276">
      <c r="A276">
        <f>F276&amp;"|"&amp;G276</f>
        <v/>
      </c>
      <c r="B276" s="29" t="inlineStr"/>
      <c r="C276" s="8" t="inlineStr"/>
      <c r="D276" s="8" t="inlineStr"/>
      <c r="E276" s="8" t="inlineStr"/>
      <c r="F276" s="8" t="inlineStr">
        <is>
          <t>EN1(a)</t>
        </is>
      </c>
      <c r="G276" s="8" t="inlineStr">
        <is>
          <t>OPTION 1:  Target-level reporting</t>
        </is>
      </c>
      <c r="H276" s="25">
        <f>IFERROR(IF(INDEX('Faculties'!$M$10:$M$29,MATCH($F276,'Faculties'!$B$10:$B$29,0))="","Cell will autofill based on response",INDEX('Faculties'!$M$10:$M$29,MATCH($F276,'Faculties'!$B$10:$B$29,0))),"N/A")</f>
        <v/>
      </c>
      <c r="I276" s="25">
        <f>IFERROR(IF(INDEX('Faculties'!$M$37:$M$56,MATCH($F276,'Faculties'!$B$37:$B$56,0))="","Cell will autofill based on response",INDEX('Faculties'!$M$37:$M$56,MATCH($F276,'Faculties'!$B$37:$B$56,0))),"N/A")</f>
        <v/>
      </c>
      <c r="J276" s="25">
        <f>IFERROR(IF(INDEX('Faculties'!$M$64:$M$83,MATCH($F276,'Faculties'!$B$64:$B$83,0))="","Cell will autofill based on response",INDEX('Faculties'!$M$64:$M$83,MATCH($F276,'Faculties'!$B$64:$B$83,0))),"N/A")</f>
        <v/>
      </c>
      <c r="K276" s="25">
        <f>IFERROR(IF(INDEX('Faculties'!$M$91:$M$110,MATCH($F276,'Faculties'!$B$91:$B$110,0))="","Cell will autofill based on response",INDEX('Faculties'!$M$91:$M$110,MATCH($F276,'Faculties'!$B$91:$B$110,0))),"N/A")</f>
        <v/>
      </c>
      <c r="L276" s="25">
        <f>IFERROR(IF(INDEX('CI&amp;S'!$M$10:$M$14,MATCH($F276,'CI&amp;S'!$B$10:$B$14,0))="","Cell will autofill based on response",INDEX('CI&amp;S'!$M$10:$M$14,MATCH($F276,'CI&amp;S'!$B$10:$B$14,0))),"N/A")</f>
        <v/>
      </c>
      <c r="M276" s="25">
        <f>IFERROR(IF(INDEX('CI&amp;S'!$M$22:$M$38,MATCH($F276,'CI&amp;S'!$B$22:$B$38,0))="","Cell will autofill based on response",INDEX('CI&amp;S'!$M$22:$M$38,MATCH($F276,'CI&amp;S'!$B$22:$B$38,0))),"N/A")</f>
        <v/>
      </c>
      <c r="N276" s="25">
        <f>IFERROR(IF(INDEX('CFOG'!$M$10:$M$15,MATCH($F276,'CFOG'!$B$10:$B$15,0))="","Cell will autofill based on response",INDEX('CFOG'!$M$10:$M$15,MATCH($F276,'CFOG'!$B$10:$B$15,0))),"N/A")</f>
        <v/>
      </c>
      <c r="O276" s="25">
        <f>IFERROR(IF(INDEX('CFOG'!$M$23:$M$23,MATCH($F276,'CFOG'!$B$23:$B$23,0))="","Cell will autofill based on response",INDEX('CFOG'!$M$23:$M$23,MATCH($F276,'CFOG'!$B$23:$B$23,0))),"N/A")</f>
        <v/>
      </c>
      <c r="P276" s="25">
        <f>IFERROR(IF(INDEX('ESG'!$M$10:$M$16,MATCH($F276,'ESG'!$B$10:$B$16,0))="","Cell will autofill based on response",INDEX('ESG'!$M$10:$M$16,MATCH($F276,'ESG'!$B$10:$B$16,0))),"N/A")</f>
        <v/>
      </c>
      <c r="Q276" s="25">
        <f>IFERROR(IF(INDEX('CIOG'!$M$10:$M$13,MATCH($F276,'CIOG'!$B$10:$B$13,0))="","Cell will autofill based on response",INDEX('CIOG'!$M$10:$M$13,MATCH($F276,'CIOG'!$B$10:$B$13,0))),"N/A")</f>
        <v/>
      </c>
      <c r="R276" s="25">
        <f>IFERROR(IF(INDEX('MRE'!$M$10:$M$11,MATCH($F276,'MRE'!$B$10:$B$11,0))="","Cell will autofill based on response",INDEX('MRE'!$M$10:$M$11,MATCH($F276,'MRE'!$B$10:$B$11,0))),"N/A")</f>
        <v/>
      </c>
    </row>
    <row r="277">
      <c r="A277">
        <f>F277&amp;"|"&amp;G277</f>
        <v/>
      </c>
      <c r="B277" s="29" t="inlineStr"/>
      <c r="C277" s="8" t="inlineStr"/>
      <c r="D277" s="8" t="inlineStr"/>
      <c r="E277" s="8" t="inlineStr"/>
      <c r="F277" s="8" t="inlineStr">
        <is>
          <t>EN1(a)</t>
        </is>
      </c>
      <c r="G277" s="8" t="inlineStr">
        <is>
          <t>OPTION 2:  Indicator level reporting</t>
        </is>
      </c>
      <c r="H277" s="25">
        <f>IFERROR(IF(INDEX('Faculties'!$N$10:$N$29,MATCH($F277,'Faculties'!$B$10:$B$29,0))="","Cell will autofill based on response",INDEX('Faculties'!$N$10:$N$29,MATCH($F277,'Faculties'!$B$10:$B$29,0))),"N/A")</f>
        <v/>
      </c>
      <c r="I277" s="25">
        <f>IFERROR(IF(INDEX('Faculties'!$N$37:$N$56,MATCH($F277,'Faculties'!$B$37:$B$56,0))="","Cell will autofill based on response",INDEX('Faculties'!$N$37:$N$56,MATCH($F277,'Faculties'!$B$37:$B$56,0))),"N/A")</f>
        <v/>
      </c>
      <c r="J277" s="25">
        <f>IFERROR(IF(INDEX('Faculties'!$N$64:$N$83,MATCH($F277,'Faculties'!$B$64:$B$83,0))="","Cell will autofill based on response",INDEX('Faculties'!$N$64:$N$83,MATCH($F277,'Faculties'!$B$64:$B$83,0))),"N/A")</f>
        <v/>
      </c>
      <c r="K277" s="25">
        <f>IFERROR(IF(INDEX('Faculties'!$N$91:$N$110,MATCH($F277,'Faculties'!$B$91:$B$110,0))="","Cell will autofill based on response",INDEX('Faculties'!$N$91:$N$110,MATCH($F277,'Faculties'!$B$91:$B$110,0))),"N/A")</f>
        <v/>
      </c>
      <c r="L277" s="25">
        <f>IFERROR(IF(INDEX('CI&amp;S'!$N$10:$N$14,MATCH($F277,'CI&amp;S'!$B$10:$B$14,0))="","Cell will autofill based on response",INDEX('CI&amp;S'!$N$10:$N$14,MATCH($F277,'CI&amp;S'!$B$10:$B$14,0))),"N/A")</f>
        <v/>
      </c>
      <c r="M277" s="25">
        <f>IFERROR(IF(INDEX('CI&amp;S'!$N$22:$N$38,MATCH($F277,'CI&amp;S'!$B$22:$B$38,0))="","Cell will autofill based on response",INDEX('CI&amp;S'!$N$22:$N$38,MATCH($F277,'CI&amp;S'!$B$22:$B$38,0))),"N/A")</f>
        <v/>
      </c>
      <c r="N277" s="25">
        <f>IFERROR(IF(INDEX('CFOG'!$N$10:$N$15,MATCH($F277,'CFOG'!$B$10:$B$15,0))="","Cell will autofill based on response",INDEX('CFOG'!$N$10:$N$15,MATCH($F277,'CFOG'!$B$10:$B$15,0))),"N/A")</f>
        <v/>
      </c>
      <c r="O277" s="25">
        <f>IFERROR(IF(INDEX('CFOG'!$N$23:$N$23,MATCH($F277,'CFOG'!$B$23:$B$23,0))="","Cell will autofill based on response",INDEX('CFOG'!$N$23:$N$23,MATCH($F277,'CFOG'!$B$23:$B$23,0))),"N/A")</f>
        <v/>
      </c>
      <c r="P277" s="25">
        <f>IFERROR(IF(INDEX('ESG'!$N$10:$N$16,MATCH($F277,'ESG'!$B$10:$B$16,0))="","Cell will autofill based on response",INDEX('ESG'!$N$10:$N$16,MATCH($F277,'ESG'!$B$10:$B$16,0))),"N/A")</f>
        <v/>
      </c>
      <c r="Q277" s="25">
        <f>IFERROR(IF(INDEX('CIOG'!$N$10:$N$13,MATCH($F277,'CIOG'!$B$10:$B$13,0))="","Cell will autofill based on response",INDEX('CIOG'!$N$10:$N$13,MATCH($F277,'CIOG'!$B$10:$B$13,0))),"N/A")</f>
        <v/>
      </c>
      <c r="R277" s="25">
        <f>IFERROR(IF(INDEX('MRE'!$N$10:$N$11,MATCH($F277,'MRE'!$B$10:$B$11,0))="","Cell will autofill based on response",INDEX('MRE'!$N$10:$N$11,MATCH($F277,'MRE'!$B$10:$B$11,0))),"N/A")</f>
        <v/>
      </c>
    </row>
    <row r="278">
      <c r="A278">
        <f>F278&amp;"|"&amp;G278</f>
        <v/>
      </c>
      <c r="B278" s="29" t="inlineStr"/>
      <c r="C278" s="8" t="inlineStr"/>
      <c r="D278" s="8" t="inlineStr"/>
      <c r="E278" s="8" t="inlineStr"/>
      <c r="F278" s="8" t="inlineStr">
        <is>
          <t>EN1(a)</t>
        </is>
      </c>
      <c r="G278" s="8" t="inlineStr">
        <is>
          <t>Supporting information/comments</t>
        </is>
      </c>
      <c r="H278" s="25">
        <f>IFERROR(IF(INDEX('Faculties'!$O$10:$O$29,MATCH($F278,'Faculties'!$B$10:$B$29,0))="","Cell will autofill based on response",INDEX('Faculties'!$O$10:$O$29,MATCH($F278,'Faculties'!$B$10:$B$29,0))),"N/A")</f>
        <v/>
      </c>
      <c r="I278" s="25">
        <f>IFERROR(IF(INDEX('Faculties'!$O$37:$O$56,MATCH($F278,'Faculties'!$B$37:$B$56,0))="","Cell will autofill based on response",INDEX('Faculties'!$O$37:$O$56,MATCH($F278,'Faculties'!$B$37:$B$56,0))),"N/A")</f>
        <v/>
      </c>
      <c r="J278" s="25">
        <f>IFERROR(IF(INDEX('Faculties'!$O$64:$O$83,MATCH($F278,'Faculties'!$B$64:$B$83,0))="","Cell will autofill based on response",INDEX('Faculties'!$O$64:$O$83,MATCH($F278,'Faculties'!$B$64:$B$83,0))),"N/A")</f>
        <v/>
      </c>
      <c r="K278" s="25">
        <f>IFERROR(IF(INDEX('Faculties'!$O$91:$O$110,MATCH($F278,'Faculties'!$B$91:$B$110,0))="","Cell will autofill based on response",INDEX('Faculties'!$O$91:$O$110,MATCH($F278,'Faculties'!$B$91:$B$110,0))),"N/A")</f>
        <v/>
      </c>
      <c r="L278" s="25">
        <f>IFERROR(IF(INDEX('CI&amp;S'!$O$10:$O$14,MATCH($F278,'CI&amp;S'!$B$10:$B$14,0))="","Cell will autofill based on response",INDEX('CI&amp;S'!$O$10:$O$14,MATCH($F278,'CI&amp;S'!$B$10:$B$14,0))),"N/A")</f>
        <v/>
      </c>
      <c r="M278" s="25">
        <f>IFERROR(IF(INDEX('CI&amp;S'!$O$22:$O$38,MATCH($F278,'CI&amp;S'!$B$22:$B$38,0))="","Cell will autofill based on response",INDEX('CI&amp;S'!$O$22:$O$38,MATCH($F278,'CI&amp;S'!$B$22:$B$38,0))),"N/A")</f>
        <v/>
      </c>
      <c r="N278" s="25">
        <f>IFERROR(IF(INDEX('CFOG'!$O$10:$O$15,MATCH($F278,'CFOG'!$B$10:$B$15,0))="","Cell will autofill based on response",INDEX('CFOG'!$O$10:$O$15,MATCH($F278,'CFOG'!$B$10:$B$15,0))),"N/A")</f>
        <v/>
      </c>
      <c r="O278" s="25">
        <f>IFERROR(IF(INDEX('CFOG'!$O$23:$O$23,MATCH($F278,'CFOG'!$B$23:$B$23,0))="","Cell will autofill based on response",INDEX('CFOG'!$O$23:$O$23,MATCH($F278,'CFOG'!$B$23:$B$23,0))),"N/A")</f>
        <v/>
      </c>
      <c r="P278" s="25">
        <f>IFERROR(IF(INDEX('ESG'!$O$10:$O$16,MATCH($F278,'ESG'!$B$10:$B$16,0))="","Cell will autofill based on response",INDEX('ESG'!$O$10:$O$16,MATCH($F278,'ESG'!$B$10:$B$16,0))),"N/A")</f>
        <v/>
      </c>
      <c r="Q278" s="25">
        <f>IFERROR(IF(INDEX('CIOG'!$O$10:$O$13,MATCH($F278,'CIOG'!$B$10:$B$13,0))="","Cell will autofill based on response",INDEX('CIOG'!$O$10:$O$13,MATCH($F278,'CIOG'!$B$10:$B$13,0))),"N/A")</f>
        <v/>
      </c>
      <c r="R278" s="25">
        <f>IFERROR(IF(INDEX('MRE'!$O$10:$O$11,MATCH($F278,'MRE'!$B$10:$B$11,0))="","Cell will autofill based on response",INDEX('MRE'!$O$10:$O$11,MATCH($F278,'MRE'!$B$10:$B$11,0))),"N/A")</f>
        <v/>
      </c>
    </row>
    <row r="279">
      <c r="A279">
        <f>F279&amp;"|"&amp;G279</f>
        <v/>
      </c>
      <c r="B279" s="29" t="inlineStr"/>
      <c r="C279" s="8" t="inlineStr"/>
      <c r="D279" s="8" t="inlineStr"/>
      <c r="E279" s="8" t="inlineStr"/>
      <c r="F279" s="8" t="inlineStr">
        <is>
          <t>EN1(a)</t>
        </is>
      </c>
      <c r="G279" s="8" t="inlineStr">
        <is>
          <t>Data source and limitations</t>
        </is>
      </c>
      <c r="H279" s="25">
        <f>IFERROR(IF(INDEX('Faculties'!$P$10:$P$29,MATCH($F279,'Faculties'!$B$10:$B$29,0))="","Cell will autofill based on response",INDEX('Faculties'!$P$10:$P$29,MATCH($F279,'Faculties'!$B$10:$B$29,0))),"N/A")</f>
        <v/>
      </c>
      <c r="I279" s="25">
        <f>IFERROR(IF(INDEX('Faculties'!$P$37:$P$56,MATCH($F279,'Faculties'!$B$37:$B$56,0))="","Cell will autofill based on response",INDEX('Faculties'!$P$37:$P$56,MATCH($F279,'Faculties'!$B$37:$B$56,0))),"N/A")</f>
        <v/>
      </c>
      <c r="J279" s="25">
        <f>IFERROR(IF(INDEX('Faculties'!$P$64:$P$83,MATCH($F279,'Faculties'!$B$64:$B$83,0))="","Cell will autofill based on response",INDEX('Faculties'!$P$64:$P$83,MATCH($F279,'Faculties'!$B$64:$B$83,0))),"N/A")</f>
        <v/>
      </c>
      <c r="K279" s="25">
        <f>IFERROR(IF(INDEX('Faculties'!$P$91:$P$110,MATCH($F279,'Faculties'!$B$91:$B$110,0))="","Cell will autofill based on response",INDEX('Faculties'!$P$91:$P$110,MATCH($F279,'Faculties'!$B$91:$B$110,0))),"N/A")</f>
        <v/>
      </c>
      <c r="L279" s="25">
        <f>IFERROR(IF(INDEX('CI&amp;S'!$P$10:$P$14,MATCH($F279,'CI&amp;S'!$B$10:$B$14,0))="","Cell will autofill based on response",INDEX('CI&amp;S'!$P$10:$P$14,MATCH($F279,'CI&amp;S'!$B$10:$B$14,0))),"N/A")</f>
        <v/>
      </c>
      <c r="M279" s="25">
        <f>IFERROR(IF(INDEX('CI&amp;S'!$P$22:$P$38,MATCH($F279,'CI&amp;S'!$B$22:$B$38,0))="","Cell will autofill based on response",INDEX('CI&amp;S'!$P$22:$P$38,MATCH($F279,'CI&amp;S'!$B$22:$B$38,0))),"N/A")</f>
        <v/>
      </c>
      <c r="N279" s="25">
        <f>IFERROR(IF(INDEX('CFOG'!$P$10:$P$15,MATCH($F279,'CFOG'!$B$10:$B$15,0))="","Cell will autofill based on response",INDEX('CFOG'!$P$10:$P$15,MATCH($F279,'CFOG'!$B$10:$B$15,0))),"N/A")</f>
        <v/>
      </c>
      <c r="O279" s="25">
        <f>IFERROR(IF(INDEX('CFOG'!$P$23:$P$23,MATCH($F279,'CFOG'!$B$23:$B$23,0))="","Cell will autofill based on response",INDEX('CFOG'!$P$23:$P$23,MATCH($F279,'CFOG'!$B$23:$B$23,0))),"N/A")</f>
        <v/>
      </c>
      <c r="P279" s="25">
        <f>IFERROR(IF(INDEX('ESG'!$P$10:$P$16,MATCH($F279,'ESG'!$B$10:$B$16,0))="","Cell will autofill based on response",INDEX('ESG'!$P$10:$P$16,MATCH($F279,'ESG'!$B$10:$B$16,0))),"N/A")</f>
        <v/>
      </c>
      <c r="Q279" s="25">
        <f>IFERROR(IF(INDEX('CIOG'!$P$10:$P$13,MATCH($F279,'CIOG'!$B$10:$B$13,0))="","Cell will autofill based on response",INDEX('CIOG'!$P$10:$P$13,MATCH($F279,'CIOG'!$B$10:$B$13,0))),"N/A")</f>
        <v/>
      </c>
      <c r="R279" s="25">
        <f>IFERROR(IF(INDEX('MRE'!$P$10:$P$11,MATCH($F279,'MRE'!$B$10:$B$11,0))="","Cell will autofill based on response",INDEX('MRE'!$P$10:$P$11,MATCH($F279,'MRE'!$B$10:$B$11,0))),"N/A")</f>
        <v/>
      </c>
    </row>
    <row r="280">
      <c r="A280">
        <f>F280&amp;"|"&amp;G280</f>
        <v/>
      </c>
      <c r="B280" s="29" t="inlineStr"/>
      <c r="C280" s="8" t="inlineStr"/>
      <c r="D280" s="8" t="inlineStr"/>
      <c r="E280" s="8" t="inlineStr"/>
      <c r="F280" s="8" t="inlineStr">
        <is>
          <t>EN1(a)</t>
        </is>
      </c>
      <c r="G280" s="8" t="inlineStr">
        <is>
          <t>Data owner confirms</t>
        </is>
      </c>
      <c r="H280" s="25">
        <f>IFERROR(IF(INDEX('Faculties'!$Q$10:$Q$29,MATCH($F280,'Faculties'!$B$10:$B$29,0))="","Cell will autofill based on response",INDEX('Faculties'!$Q$10:$Q$29,MATCH($F280,'Faculties'!$B$10:$B$29,0))),"N/A")</f>
        <v/>
      </c>
      <c r="I280" s="25">
        <f>IFERROR(IF(INDEX('Faculties'!$Q$37:$Q$56,MATCH($F280,'Faculties'!$B$37:$B$56,0))="","Cell will autofill based on response",INDEX('Faculties'!$Q$37:$Q$56,MATCH($F280,'Faculties'!$B$37:$B$56,0))),"N/A")</f>
        <v/>
      </c>
      <c r="J280" s="25">
        <f>IFERROR(IF(INDEX('Faculties'!$Q$64:$Q$83,MATCH($F280,'Faculties'!$B$64:$B$83,0))="","Cell will autofill based on response",INDEX('Faculties'!$Q$64:$Q$83,MATCH($F280,'Faculties'!$B$64:$B$83,0))),"N/A")</f>
        <v/>
      </c>
      <c r="K280" s="25">
        <f>IFERROR(IF(INDEX('Faculties'!$Q$91:$Q$110,MATCH($F280,'Faculties'!$B$91:$B$110,0))="","Cell will autofill based on response",INDEX('Faculties'!$Q$91:$Q$110,MATCH($F280,'Faculties'!$B$91:$B$110,0))),"N/A")</f>
        <v/>
      </c>
      <c r="L280" s="25">
        <f>IFERROR(IF(INDEX('CI&amp;S'!$Q$10:$Q$14,MATCH($F280,'CI&amp;S'!$B$10:$B$14,0))="","Cell will autofill based on response",INDEX('CI&amp;S'!$Q$10:$Q$14,MATCH($F280,'CI&amp;S'!$B$10:$B$14,0))),"N/A")</f>
        <v/>
      </c>
      <c r="M280" s="25">
        <f>IFERROR(IF(INDEX('CI&amp;S'!$Q$22:$Q$38,MATCH($F280,'CI&amp;S'!$B$22:$B$38,0))="","Cell will autofill based on response",INDEX('CI&amp;S'!$Q$22:$Q$38,MATCH($F280,'CI&amp;S'!$B$22:$B$38,0))),"N/A")</f>
        <v/>
      </c>
      <c r="N280" s="25">
        <f>IFERROR(IF(INDEX('CFOG'!$Q$10:$Q$15,MATCH($F280,'CFOG'!$B$10:$B$15,0))="","Cell will autofill based on response",INDEX('CFOG'!$Q$10:$Q$15,MATCH($F280,'CFOG'!$B$10:$B$15,0))),"N/A")</f>
        <v/>
      </c>
      <c r="O280" s="25">
        <f>IFERROR(IF(INDEX('CFOG'!$Q$23:$Q$23,MATCH($F280,'CFOG'!$B$23:$B$23,0))="","Cell will autofill based on response",INDEX('CFOG'!$Q$23:$Q$23,MATCH($F280,'CFOG'!$B$23:$B$23,0))),"N/A")</f>
        <v/>
      </c>
      <c r="P280" s="25">
        <f>IFERROR(IF(INDEX('ESG'!$Q$10:$Q$16,MATCH($F280,'ESG'!$B$10:$B$16,0))="","Cell will autofill based on response",INDEX('ESG'!$Q$10:$Q$16,MATCH($F280,'ESG'!$B$10:$B$16,0))),"N/A")</f>
        <v/>
      </c>
      <c r="Q280" s="25">
        <f>IFERROR(IF(INDEX('CIOG'!$Q$10:$Q$13,MATCH($F280,'CIOG'!$B$10:$B$13,0))="","Cell will autofill based on response",INDEX('CIOG'!$Q$10:$Q$13,MATCH($F280,'CIOG'!$B$10:$B$13,0))),"N/A")</f>
        <v/>
      </c>
      <c r="R280" s="25">
        <f>IFERROR(IF(INDEX('MRE'!$Q$10:$Q$11,MATCH($F280,'MRE'!$B$10:$B$11,0))="","Cell will autofill based on response",INDEX('MRE'!$Q$10:$Q$11,MATCH($F280,'MRE'!$B$10:$B$11,0))),"N/A")</f>
        <v/>
      </c>
    </row>
    <row r="281">
      <c r="A281">
        <f>F281&amp;"|"&amp;G281</f>
        <v/>
      </c>
      <c r="B281" s="7" t="inlineStr">
        <is>
          <t>EN1(b)</t>
        </is>
      </c>
      <c r="C281" s="12" t="inlineStr">
        <is>
          <t>Enablers</t>
        </is>
      </c>
      <c r="D281" s="12" t="inlineStr">
        <is>
          <t>Living laboratories enabling applied learning, research and operational sustainability outcomes</t>
        </is>
      </c>
      <c r="E281" s="12" t="inlineStr">
        <is>
          <t>Comment on living labs in the Faculty - outputs, outcomes, and impact</t>
        </is>
      </c>
      <c r="F281" s="12" t="inlineStr">
        <is>
          <t>EN1(b)</t>
        </is>
      </c>
      <c r="G281" s="12" t="inlineStr">
        <is>
          <t>Confirm end-2026 target status</t>
        </is>
      </c>
      <c r="H281" s="25">
        <f>IFERROR(IF(INDEX('Faculties'!$L$10:$L$29,MATCH($F281,'Faculties'!$B$10:$B$29,0))="","Cell will autofill based on response",INDEX('Faculties'!$L$10:$L$29,MATCH($F281,'Faculties'!$B$10:$B$29,0))),"N/A")</f>
        <v/>
      </c>
      <c r="I281" s="25">
        <f>IFERROR(IF(INDEX('Faculties'!$L$37:$L$56,MATCH($F281,'Faculties'!$B$37:$B$56,0))="","Cell will autofill based on response",INDEX('Faculties'!$L$37:$L$56,MATCH($F281,'Faculties'!$B$37:$B$56,0))),"N/A")</f>
        <v/>
      </c>
      <c r="J281" s="25">
        <f>IFERROR(IF(INDEX('Faculties'!$L$64:$L$83,MATCH($F281,'Faculties'!$B$64:$B$83,0))="","Cell will autofill based on response",INDEX('Faculties'!$L$64:$L$83,MATCH($F281,'Faculties'!$B$64:$B$83,0))),"N/A")</f>
        <v/>
      </c>
      <c r="K281" s="25">
        <f>IFERROR(IF(INDEX('Faculties'!$L$91:$L$110,MATCH($F281,'Faculties'!$B$91:$B$110,0))="","Cell will autofill based on response",INDEX('Faculties'!$L$91:$L$110,MATCH($F281,'Faculties'!$B$91:$B$110,0))),"N/A")</f>
        <v/>
      </c>
      <c r="L281" s="25">
        <f>IFERROR(IF(INDEX('CI&amp;S'!$L$10:$L$14,MATCH($F281,'CI&amp;S'!$B$10:$B$14,0))="","Cell will autofill based on response",INDEX('CI&amp;S'!$L$10:$L$14,MATCH($F281,'CI&amp;S'!$B$10:$B$14,0))),"N/A")</f>
        <v/>
      </c>
      <c r="M281" s="25">
        <f>IFERROR(IF(INDEX('CI&amp;S'!$L$22:$L$38,MATCH($F281,'CI&amp;S'!$B$22:$B$38,0))="","Cell will autofill based on response",INDEX('CI&amp;S'!$L$22:$L$38,MATCH($F281,'CI&amp;S'!$B$22:$B$38,0))),"N/A")</f>
        <v/>
      </c>
      <c r="N281" s="25">
        <f>IFERROR(IF(INDEX('CFOG'!$L$10:$L$15,MATCH($F281,'CFOG'!$B$10:$B$15,0))="","Cell will autofill based on response",INDEX('CFOG'!$L$10:$L$15,MATCH($F281,'CFOG'!$B$10:$B$15,0))),"N/A")</f>
        <v/>
      </c>
      <c r="O281" s="25">
        <f>IFERROR(IF(INDEX('CFOG'!$L$23:$L$23,MATCH($F281,'CFOG'!$B$23:$B$23,0))="","Cell will autofill based on response",INDEX('CFOG'!$L$23:$L$23,MATCH($F281,'CFOG'!$B$23:$B$23,0))),"N/A")</f>
        <v/>
      </c>
      <c r="P281" s="25">
        <f>IFERROR(IF(INDEX('ESG'!$L$10:$L$16,MATCH($F281,'ESG'!$B$10:$B$16,0))="","Cell will autofill based on response",INDEX('ESG'!$L$10:$L$16,MATCH($F281,'ESG'!$B$10:$B$16,0))),"N/A")</f>
        <v/>
      </c>
      <c r="Q281" s="25">
        <f>IFERROR(IF(INDEX('CIOG'!$L$10:$L$13,MATCH($F281,'CIOG'!$B$10:$B$13,0))="","Cell will autofill based on response",INDEX('CIOG'!$L$10:$L$13,MATCH($F281,'CIOG'!$B$10:$B$13,0))),"N/A")</f>
        <v/>
      </c>
      <c r="R281" s="25">
        <f>IFERROR(IF(INDEX('MRE'!$L$10:$L$11,MATCH($F281,'MRE'!$B$10:$B$11,0))="","Cell will autofill based on response",INDEX('MRE'!$L$10:$L$11,MATCH($F281,'MRE'!$B$10:$B$11,0))),"N/A")</f>
        <v/>
      </c>
      <c r="T281" s="26">
        <f>COUNTIF($H281:$R281,"Cell will autofill based on response")</f>
        <v/>
      </c>
      <c r="U281" s="26">
        <f>COUNTIF($H281:$R281,"Not yet started")</f>
        <v/>
      </c>
      <c r="V281" s="26">
        <f>COUNTIF($H281:$R281,"Not met")</f>
        <v/>
      </c>
      <c r="W281" s="26">
        <f>COUNTIF($H281:$R281,"Partially met")</f>
        <v/>
      </c>
      <c r="X281" s="26">
        <f>COUNTIF($H281:$R281,"Met or exceeded")</f>
        <v/>
      </c>
      <c r="Y281" s="26">
        <f>3*X281+2*W281+V281</f>
        <v/>
      </c>
      <c r="Z281" s="26">
        <f>X281+W281+V281+U281</f>
        <v/>
      </c>
      <c r="AA281" s="27">
        <f>IF(Z281&gt;0,Y281/Z281,"No valid responses to date")</f>
        <v/>
      </c>
      <c r="AB281" s="26">
        <f>IF(ISNUMBER(AA281),INDEX(Lists!$G$2:$G$5,MATCH(ROUND(AA281,0),Lists!$H$2:$H$5,0)),"")</f>
        <v/>
      </c>
      <c r="AC281" s="28">
        <f>IF(Z281&gt;0,X281/Z281,"")</f>
        <v/>
      </c>
      <c r="AD281" s="28">
        <f>IF(Z281&gt;0,(X281+W281)/Z281,"")</f>
        <v/>
      </c>
      <c r="AE281" s="26">
        <f>IF(Z281=0,"",IF(AC281&gt;0.75,"Met or exceeded",IF(AD281&gt;=0.5,"Partially met","Not met")))</f>
        <v/>
      </c>
    </row>
    <row r="282">
      <c r="A282">
        <f>F282&amp;"|"&amp;G282</f>
        <v/>
      </c>
      <c r="B282" s="29" t="inlineStr"/>
      <c r="C282" s="8" t="inlineStr"/>
      <c r="D282" s="8" t="inlineStr"/>
      <c r="E282" s="8" t="inlineStr"/>
      <c r="F282" s="8" t="inlineStr">
        <is>
          <t>EN1(b)</t>
        </is>
      </c>
      <c r="G282" s="8" t="inlineStr">
        <is>
          <t>OPTION 1:  Target-level reporting</t>
        </is>
      </c>
      <c r="H282" s="25">
        <f>IFERROR(IF(INDEX('Faculties'!$M$10:$M$29,MATCH($F282,'Faculties'!$B$10:$B$29,0))="","Cell will autofill based on response",INDEX('Faculties'!$M$10:$M$29,MATCH($F282,'Faculties'!$B$10:$B$29,0))),"N/A")</f>
        <v/>
      </c>
      <c r="I282" s="25">
        <f>IFERROR(IF(INDEX('Faculties'!$M$37:$M$56,MATCH($F282,'Faculties'!$B$37:$B$56,0))="","Cell will autofill based on response",INDEX('Faculties'!$M$37:$M$56,MATCH($F282,'Faculties'!$B$37:$B$56,0))),"N/A")</f>
        <v/>
      </c>
      <c r="J282" s="25">
        <f>IFERROR(IF(INDEX('Faculties'!$M$64:$M$83,MATCH($F282,'Faculties'!$B$64:$B$83,0))="","Cell will autofill based on response",INDEX('Faculties'!$M$64:$M$83,MATCH($F282,'Faculties'!$B$64:$B$83,0))),"N/A")</f>
        <v/>
      </c>
      <c r="K282" s="25">
        <f>IFERROR(IF(INDEX('Faculties'!$M$91:$M$110,MATCH($F282,'Faculties'!$B$91:$B$110,0))="","Cell will autofill based on response",INDEX('Faculties'!$M$91:$M$110,MATCH($F282,'Faculties'!$B$91:$B$110,0))),"N/A")</f>
        <v/>
      </c>
      <c r="L282" s="25">
        <f>IFERROR(IF(INDEX('CI&amp;S'!$M$10:$M$14,MATCH($F282,'CI&amp;S'!$B$10:$B$14,0))="","Cell will autofill based on response",INDEX('CI&amp;S'!$M$10:$M$14,MATCH($F282,'CI&amp;S'!$B$10:$B$14,0))),"N/A")</f>
        <v/>
      </c>
      <c r="M282" s="25">
        <f>IFERROR(IF(INDEX('CI&amp;S'!$M$22:$M$38,MATCH($F282,'CI&amp;S'!$B$22:$B$38,0))="","Cell will autofill based on response",INDEX('CI&amp;S'!$M$22:$M$38,MATCH($F282,'CI&amp;S'!$B$22:$B$38,0))),"N/A")</f>
        <v/>
      </c>
      <c r="N282" s="25">
        <f>IFERROR(IF(INDEX('CFOG'!$M$10:$M$15,MATCH($F282,'CFOG'!$B$10:$B$15,0))="","Cell will autofill based on response",INDEX('CFOG'!$M$10:$M$15,MATCH($F282,'CFOG'!$B$10:$B$15,0))),"N/A")</f>
        <v/>
      </c>
      <c r="O282" s="25">
        <f>IFERROR(IF(INDEX('CFOG'!$M$23:$M$23,MATCH($F282,'CFOG'!$B$23:$B$23,0))="","Cell will autofill based on response",INDEX('CFOG'!$M$23:$M$23,MATCH($F282,'CFOG'!$B$23:$B$23,0))),"N/A")</f>
        <v/>
      </c>
      <c r="P282" s="25">
        <f>IFERROR(IF(INDEX('ESG'!$M$10:$M$16,MATCH($F282,'ESG'!$B$10:$B$16,0))="","Cell will autofill based on response",INDEX('ESG'!$M$10:$M$16,MATCH($F282,'ESG'!$B$10:$B$16,0))),"N/A")</f>
        <v/>
      </c>
      <c r="Q282" s="25">
        <f>IFERROR(IF(INDEX('CIOG'!$M$10:$M$13,MATCH($F282,'CIOG'!$B$10:$B$13,0))="","Cell will autofill based on response",INDEX('CIOG'!$M$10:$M$13,MATCH($F282,'CIOG'!$B$10:$B$13,0))),"N/A")</f>
        <v/>
      </c>
      <c r="R282" s="25">
        <f>IFERROR(IF(INDEX('MRE'!$M$10:$M$11,MATCH($F282,'MRE'!$B$10:$B$11,0))="","Cell will autofill based on response",INDEX('MRE'!$M$10:$M$11,MATCH($F282,'MRE'!$B$10:$B$11,0))),"N/A")</f>
        <v/>
      </c>
    </row>
    <row r="283">
      <c r="A283">
        <f>F283&amp;"|"&amp;G283</f>
        <v/>
      </c>
      <c r="B283" s="29" t="inlineStr"/>
      <c r="C283" s="8" t="inlineStr"/>
      <c r="D283" s="8" t="inlineStr"/>
      <c r="E283" s="8" t="inlineStr"/>
      <c r="F283" s="8" t="inlineStr">
        <is>
          <t>EN1(b)</t>
        </is>
      </c>
      <c r="G283" s="8" t="inlineStr">
        <is>
          <t>OPTION 2:  Indicator level reporting</t>
        </is>
      </c>
      <c r="H283" s="25">
        <f>IFERROR(IF(INDEX('Faculties'!$N$10:$N$29,MATCH($F283,'Faculties'!$B$10:$B$29,0))="","Cell will autofill based on response",INDEX('Faculties'!$N$10:$N$29,MATCH($F283,'Faculties'!$B$10:$B$29,0))),"N/A")</f>
        <v/>
      </c>
      <c r="I283" s="25">
        <f>IFERROR(IF(INDEX('Faculties'!$N$37:$N$56,MATCH($F283,'Faculties'!$B$37:$B$56,0))="","Cell will autofill based on response",INDEX('Faculties'!$N$37:$N$56,MATCH($F283,'Faculties'!$B$37:$B$56,0))),"N/A")</f>
        <v/>
      </c>
      <c r="J283" s="25">
        <f>IFERROR(IF(INDEX('Faculties'!$N$64:$N$83,MATCH($F283,'Faculties'!$B$64:$B$83,0))="","Cell will autofill based on response",INDEX('Faculties'!$N$64:$N$83,MATCH($F283,'Faculties'!$B$64:$B$83,0))),"N/A")</f>
        <v/>
      </c>
      <c r="K283" s="25">
        <f>IFERROR(IF(INDEX('Faculties'!$N$91:$N$110,MATCH($F283,'Faculties'!$B$91:$B$110,0))="","Cell will autofill based on response",INDEX('Faculties'!$N$91:$N$110,MATCH($F283,'Faculties'!$B$91:$B$110,0))),"N/A")</f>
        <v/>
      </c>
      <c r="L283" s="25">
        <f>IFERROR(IF(INDEX('CI&amp;S'!$N$10:$N$14,MATCH($F283,'CI&amp;S'!$B$10:$B$14,0))="","Cell will autofill based on response",INDEX('CI&amp;S'!$N$10:$N$14,MATCH($F283,'CI&amp;S'!$B$10:$B$14,0))),"N/A")</f>
        <v/>
      </c>
      <c r="M283" s="25">
        <f>IFERROR(IF(INDEX('CI&amp;S'!$N$22:$N$38,MATCH($F283,'CI&amp;S'!$B$22:$B$38,0))="","Cell will autofill based on response",INDEX('CI&amp;S'!$N$22:$N$38,MATCH($F283,'CI&amp;S'!$B$22:$B$38,0))),"N/A")</f>
        <v/>
      </c>
      <c r="N283" s="25">
        <f>IFERROR(IF(INDEX('CFOG'!$N$10:$N$15,MATCH($F283,'CFOG'!$B$10:$B$15,0))="","Cell will autofill based on response",INDEX('CFOG'!$N$10:$N$15,MATCH($F283,'CFOG'!$B$10:$B$15,0))),"N/A")</f>
        <v/>
      </c>
      <c r="O283" s="25">
        <f>IFERROR(IF(INDEX('CFOG'!$N$23:$N$23,MATCH($F283,'CFOG'!$B$23:$B$23,0))="","Cell will autofill based on response",INDEX('CFOG'!$N$23:$N$23,MATCH($F283,'CFOG'!$B$23:$B$23,0))),"N/A")</f>
        <v/>
      </c>
      <c r="P283" s="25">
        <f>IFERROR(IF(INDEX('ESG'!$N$10:$N$16,MATCH($F283,'ESG'!$B$10:$B$16,0))="","Cell will autofill based on response",INDEX('ESG'!$N$10:$N$16,MATCH($F283,'ESG'!$B$10:$B$16,0))),"N/A")</f>
        <v/>
      </c>
      <c r="Q283" s="25">
        <f>IFERROR(IF(INDEX('CIOG'!$N$10:$N$13,MATCH($F283,'CIOG'!$B$10:$B$13,0))="","Cell will autofill based on response",INDEX('CIOG'!$N$10:$N$13,MATCH($F283,'CIOG'!$B$10:$B$13,0))),"N/A")</f>
        <v/>
      </c>
      <c r="R283" s="25">
        <f>IFERROR(IF(INDEX('MRE'!$N$10:$N$11,MATCH($F283,'MRE'!$B$10:$B$11,0))="","Cell will autofill based on response",INDEX('MRE'!$N$10:$N$11,MATCH($F283,'MRE'!$B$10:$B$11,0))),"N/A")</f>
        <v/>
      </c>
    </row>
    <row r="284">
      <c r="A284">
        <f>F284&amp;"|"&amp;G284</f>
        <v/>
      </c>
      <c r="B284" s="29" t="inlineStr"/>
      <c r="C284" s="8" t="inlineStr"/>
      <c r="D284" s="8" t="inlineStr"/>
      <c r="E284" s="8" t="inlineStr"/>
      <c r="F284" s="8" t="inlineStr">
        <is>
          <t>EN1(b)</t>
        </is>
      </c>
      <c r="G284" s="8" t="inlineStr">
        <is>
          <t>Supporting information/comments</t>
        </is>
      </c>
      <c r="H284" s="25">
        <f>IFERROR(IF(INDEX('Faculties'!$O$10:$O$29,MATCH($F284,'Faculties'!$B$10:$B$29,0))="","Cell will autofill based on response",INDEX('Faculties'!$O$10:$O$29,MATCH($F284,'Faculties'!$B$10:$B$29,0))),"N/A")</f>
        <v/>
      </c>
      <c r="I284" s="25">
        <f>IFERROR(IF(INDEX('Faculties'!$O$37:$O$56,MATCH($F284,'Faculties'!$B$37:$B$56,0))="","Cell will autofill based on response",INDEX('Faculties'!$O$37:$O$56,MATCH($F284,'Faculties'!$B$37:$B$56,0))),"N/A")</f>
        <v/>
      </c>
      <c r="J284" s="25">
        <f>IFERROR(IF(INDEX('Faculties'!$O$64:$O$83,MATCH($F284,'Faculties'!$B$64:$B$83,0))="","Cell will autofill based on response",INDEX('Faculties'!$O$64:$O$83,MATCH($F284,'Faculties'!$B$64:$B$83,0))),"N/A")</f>
        <v/>
      </c>
      <c r="K284" s="25">
        <f>IFERROR(IF(INDEX('Faculties'!$O$91:$O$110,MATCH($F284,'Faculties'!$B$91:$B$110,0))="","Cell will autofill based on response",INDEX('Faculties'!$O$91:$O$110,MATCH($F284,'Faculties'!$B$91:$B$110,0))),"N/A")</f>
        <v/>
      </c>
      <c r="L284" s="25">
        <f>IFERROR(IF(INDEX('CI&amp;S'!$O$10:$O$14,MATCH($F284,'CI&amp;S'!$B$10:$B$14,0))="","Cell will autofill based on response",INDEX('CI&amp;S'!$O$10:$O$14,MATCH($F284,'CI&amp;S'!$B$10:$B$14,0))),"N/A")</f>
        <v/>
      </c>
      <c r="M284" s="25">
        <f>IFERROR(IF(INDEX('CI&amp;S'!$O$22:$O$38,MATCH($F284,'CI&amp;S'!$B$22:$B$38,0))="","Cell will autofill based on response",INDEX('CI&amp;S'!$O$22:$O$38,MATCH($F284,'CI&amp;S'!$B$22:$B$38,0))),"N/A")</f>
        <v/>
      </c>
      <c r="N284" s="25">
        <f>IFERROR(IF(INDEX('CFOG'!$O$10:$O$15,MATCH($F284,'CFOG'!$B$10:$B$15,0))="","Cell will autofill based on response",INDEX('CFOG'!$O$10:$O$15,MATCH($F284,'CFOG'!$B$10:$B$15,0))),"N/A")</f>
        <v/>
      </c>
      <c r="O284" s="25">
        <f>IFERROR(IF(INDEX('CFOG'!$O$23:$O$23,MATCH($F284,'CFOG'!$B$23:$B$23,0))="","Cell will autofill based on response",INDEX('CFOG'!$O$23:$O$23,MATCH($F284,'CFOG'!$B$23:$B$23,0))),"N/A")</f>
        <v/>
      </c>
      <c r="P284" s="25">
        <f>IFERROR(IF(INDEX('ESG'!$O$10:$O$16,MATCH($F284,'ESG'!$B$10:$B$16,0))="","Cell will autofill based on response",INDEX('ESG'!$O$10:$O$16,MATCH($F284,'ESG'!$B$10:$B$16,0))),"N/A")</f>
        <v/>
      </c>
      <c r="Q284" s="25">
        <f>IFERROR(IF(INDEX('CIOG'!$O$10:$O$13,MATCH($F284,'CIOG'!$B$10:$B$13,0))="","Cell will autofill based on response",INDEX('CIOG'!$O$10:$O$13,MATCH($F284,'CIOG'!$B$10:$B$13,0))),"N/A")</f>
        <v/>
      </c>
      <c r="R284" s="25">
        <f>IFERROR(IF(INDEX('MRE'!$O$10:$O$11,MATCH($F284,'MRE'!$B$10:$B$11,0))="","Cell will autofill based on response",INDEX('MRE'!$O$10:$O$11,MATCH($F284,'MRE'!$B$10:$B$11,0))),"N/A")</f>
        <v/>
      </c>
    </row>
    <row r="285">
      <c r="A285">
        <f>F285&amp;"|"&amp;G285</f>
        <v/>
      </c>
      <c r="B285" s="29" t="inlineStr"/>
      <c r="C285" s="8" t="inlineStr"/>
      <c r="D285" s="8" t="inlineStr"/>
      <c r="E285" s="8" t="inlineStr"/>
      <c r="F285" s="8" t="inlineStr">
        <is>
          <t>EN1(b)</t>
        </is>
      </c>
      <c r="G285" s="8" t="inlineStr">
        <is>
          <t>Data source and limitations</t>
        </is>
      </c>
      <c r="H285" s="25">
        <f>IFERROR(IF(INDEX('Faculties'!$P$10:$P$29,MATCH($F285,'Faculties'!$B$10:$B$29,0))="","Cell will autofill based on response",INDEX('Faculties'!$P$10:$P$29,MATCH($F285,'Faculties'!$B$10:$B$29,0))),"N/A")</f>
        <v/>
      </c>
      <c r="I285" s="25">
        <f>IFERROR(IF(INDEX('Faculties'!$P$37:$P$56,MATCH($F285,'Faculties'!$B$37:$B$56,0))="","Cell will autofill based on response",INDEX('Faculties'!$P$37:$P$56,MATCH($F285,'Faculties'!$B$37:$B$56,0))),"N/A")</f>
        <v/>
      </c>
      <c r="J285" s="25">
        <f>IFERROR(IF(INDEX('Faculties'!$P$64:$P$83,MATCH($F285,'Faculties'!$B$64:$B$83,0))="","Cell will autofill based on response",INDEX('Faculties'!$P$64:$P$83,MATCH($F285,'Faculties'!$B$64:$B$83,0))),"N/A")</f>
        <v/>
      </c>
      <c r="K285" s="25">
        <f>IFERROR(IF(INDEX('Faculties'!$P$91:$P$110,MATCH($F285,'Faculties'!$B$91:$B$110,0))="","Cell will autofill based on response",INDEX('Faculties'!$P$91:$P$110,MATCH($F285,'Faculties'!$B$91:$B$110,0))),"N/A")</f>
        <v/>
      </c>
      <c r="L285" s="25">
        <f>IFERROR(IF(INDEX('CI&amp;S'!$P$10:$P$14,MATCH($F285,'CI&amp;S'!$B$10:$B$14,0))="","Cell will autofill based on response",INDEX('CI&amp;S'!$P$10:$P$14,MATCH($F285,'CI&amp;S'!$B$10:$B$14,0))),"N/A")</f>
        <v/>
      </c>
      <c r="M285" s="25">
        <f>IFERROR(IF(INDEX('CI&amp;S'!$P$22:$P$38,MATCH($F285,'CI&amp;S'!$B$22:$B$38,0))="","Cell will autofill based on response",INDEX('CI&amp;S'!$P$22:$P$38,MATCH($F285,'CI&amp;S'!$B$22:$B$38,0))),"N/A")</f>
        <v/>
      </c>
      <c r="N285" s="25">
        <f>IFERROR(IF(INDEX('CFOG'!$P$10:$P$15,MATCH($F285,'CFOG'!$B$10:$B$15,0))="","Cell will autofill based on response",INDEX('CFOG'!$P$10:$P$15,MATCH($F285,'CFOG'!$B$10:$B$15,0))),"N/A")</f>
        <v/>
      </c>
      <c r="O285" s="25">
        <f>IFERROR(IF(INDEX('CFOG'!$P$23:$P$23,MATCH($F285,'CFOG'!$B$23:$B$23,0))="","Cell will autofill based on response",INDEX('CFOG'!$P$23:$P$23,MATCH($F285,'CFOG'!$B$23:$B$23,0))),"N/A")</f>
        <v/>
      </c>
      <c r="P285" s="25">
        <f>IFERROR(IF(INDEX('ESG'!$P$10:$P$16,MATCH($F285,'ESG'!$B$10:$B$16,0))="","Cell will autofill based on response",INDEX('ESG'!$P$10:$P$16,MATCH($F285,'ESG'!$B$10:$B$16,0))),"N/A")</f>
        <v/>
      </c>
      <c r="Q285" s="25">
        <f>IFERROR(IF(INDEX('CIOG'!$P$10:$P$13,MATCH($F285,'CIOG'!$B$10:$B$13,0))="","Cell will autofill based on response",INDEX('CIOG'!$P$10:$P$13,MATCH($F285,'CIOG'!$B$10:$B$13,0))),"N/A")</f>
        <v/>
      </c>
      <c r="R285" s="25">
        <f>IFERROR(IF(INDEX('MRE'!$P$10:$P$11,MATCH($F285,'MRE'!$B$10:$B$11,0))="","Cell will autofill based on response",INDEX('MRE'!$P$10:$P$11,MATCH($F285,'MRE'!$B$10:$B$11,0))),"N/A")</f>
        <v/>
      </c>
    </row>
    <row r="286">
      <c r="A286">
        <f>F286&amp;"|"&amp;G286</f>
        <v/>
      </c>
      <c r="B286" s="29" t="inlineStr"/>
      <c r="C286" s="8" t="inlineStr"/>
      <c r="D286" s="8" t="inlineStr"/>
      <c r="E286" s="8" t="inlineStr"/>
      <c r="F286" s="8" t="inlineStr">
        <is>
          <t>EN1(b)</t>
        </is>
      </c>
      <c r="G286" s="8" t="inlineStr">
        <is>
          <t>Data owner confirms</t>
        </is>
      </c>
      <c r="H286" s="25">
        <f>IFERROR(IF(INDEX('Faculties'!$Q$10:$Q$29,MATCH($F286,'Faculties'!$B$10:$B$29,0))="","Cell will autofill based on response",INDEX('Faculties'!$Q$10:$Q$29,MATCH($F286,'Faculties'!$B$10:$B$29,0))),"N/A")</f>
        <v/>
      </c>
      <c r="I286" s="25">
        <f>IFERROR(IF(INDEX('Faculties'!$Q$37:$Q$56,MATCH($F286,'Faculties'!$B$37:$B$56,0))="","Cell will autofill based on response",INDEX('Faculties'!$Q$37:$Q$56,MATCH($F286,'Faculties'!$B$37:$B$56,0))),"N/A")</f>
        <v/>
      </c>
      <c r="J286" s="25">
        <f>IFERROR(IF(INDEX('Faculties'!$Q$64:$Q$83,MATCH($F286,'Faculties'!$B$64:$B$83,0))="","Cell will autofill based on response",INDEX('Faculties'!$Q$64:$Q$83,MATCH($F286,'Faculties'!$B$64:$B$83,0))),"N/A")</f>
        <v/>
      </c>
      <c r="K286" s="25">
        <f>IFERROR(IF(INDEX('Faculties'!$Q$91:$Q$110,MATCH($F286,'Faculties'!$B$91:$B$110,0))="","Cell will autofill based on response",INDEX('Faculties'!$Q$91:$Q$110,MATCH($F286,'Faculties'!$B$91:$B$110,0))),"N/A")</f>
        <v/>
      </c>
      <c r="L286" s="25">
        <f>IFERROR(IF(INDEX('CI&amp;S'!$Q$10:$Q$14,MATCH($F286,'CI&amp;S'!$B$10:$B$14,0))="","Cell will autofill based on response",INDEX('CI&amp;S'!$Q$10:$Q$14,MATCH($F286,'CI&amp;S'!$B$10:$B$14,0))),"N/A")</f>
        <v/>
      </c>
      <c r="M286" s="25">
        <f>IFERROR(IF(INDEX('CI&amp;S'!$Q$22:$Q$38,MATCH($F286,'CI&amp;S'!$B$22:$B$38,0))="","Cell will autofill based on response",INDEX('CI&amp;S'!$Q$22:$Q$38,MATCH($F286,'CI&amp;S'!$B$22:$B$38,0))),"N/A")</f>
        <v/>
      </c>
      <c r="N286" s="25">
        <f>IFERROR(IF(INDEX('CFOG'!$Q$10:$Q$15,MATCH($F286,'CFOG'!$B$10:$B$15,0))="","Cell will autofill based on response",INDEX('CFOG'!$Q$10:$Q$15,MATCH($F286,'CFOG'!$B$10:$B$15,0))),"N/A")</f>
        <v/>
      </c>
      <c r="O286" s="25">
        <f>IFERROR(IF(INDEX('CFOG'!$Q$23:$Q$23,MATCH($F286,'CFOG'!$B$23:$B$23,0))="","Cell will autofill based on response",INDEX('CFOG'!$Q$23:$Q$23,MATCH($F286,'CFOG'!$B$23:$B$23,0))),"N/A")</f>
        <v/>
      </c>
      <c r="P286" s="25">
        <f>IFERROR(IF(INDEX('ESG'!$Q$10:$Q$16,MATCH($F286,'ESG'!$B$10:$B$16,0))="","Cell will autofill based on response",INDEX('ESG'!$Q$10:$Q$16,MATCH($F286,'ESG'!$B$10:$B$16,0))),"N/A")</f>
        <v/>
      </c>
      <c r="Q286" s="25">
        <f>IFERROR(IF(INDEX('CIOG'!$Q$10:$Q$13,MATCH($F286,'CIOG'!$B$10:$B$13,0))="","Cell will autofill based on response",INDEX('CIOG'!$Q$10:$Q$13,MATCH($F286,'CIOG'!$B$10:$B$13,0))),"N/A")</f>
        <v/>
      </c>
      <c r="R286" s="25">
        <f>IFERROR(IF(INDEX('MRE'!$Q$10:$Q$11,MATCH($F286,'MRE'!$B$10:$B$11,0))="","Cell will autofill based on response",INDEX('MRE'!$Q$10:$Q$11,MATCH($F286,'MRE'!$B$10:$B$11,0))),"N/A")</f>
        <v/>
      </c>
    </row>
    <row r="287">
      <c r="A287">
        <f>F287&amp;"|"&amp;G287</f>
        <v/>
      </c>
      <c r="B287" s="7" t="inlineStr">
        <is>
          <t>EN1(c)</t>
        </is>
      </c>
      <c r="C287" s="12" t="inlineStr">
        <is>
          <t>Enablers</t>
        </is>
      </c>
      <c r="D287" s="12" t="inlineStr">
        <is>
          <t>Coordinated internal engagement and external partnerships contributing to delivery of sustainability outcomes across priority areas.</t>
        </is>
      </c>
      <c r="E287" s="12"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87" s="12" t="inlineStr">
        <is>
          <t>EN1(c)</t>
        </is>
      </c>
      <c r="G287" s="12" t="inlineStr">
        <is>
          <t>Confirm end-2026 target status</t>
        </is>
      </c>
      <c r="H287" s="25">
        <f>IFERROR(IF(INDEX('Faculties'!$L$10:$L$29,MATCH($F287,'Faculties'!$B$10:$B$29,0))="","Cell will autofill based on response",INDEX('Faculties'!$L$10:$L$29,MATCH($F287,'Faculties'!$B$10:$B$29,0))),"N/A")</f>
        <v/>
      </c>
      <c r="I287" s="25">
        <f>IFERROR(IF(INDEX('Faculties'!$L$37:$L$56,MATCH($F287,'Faculties'!$B$37:$B$56,0))="","Cell will autofill based on response",INDEX('Faculties'!$L$37:$L$56,MATCH($F287,'Faculties'!$B$37:$B$56,0))),"N/A")</f>
        <v/>
      </c>
      <c r="J287" s="25">
        <f>IFERROR(IF(INDEX('Faculties'!$L$64:$L$83,MATCH($F287,'Faculties'!$B$64:$B$83,0))="","Cell will autofill based on response",INDEX('Faculties'!$L$64:$L$83,MATCH($F287,'Faculties'!$B$64:$B$83,0))),"N/A")</f>
        <v/>
      </c>
      <c r="K287" s="25">
        <f>IFERROR(IF(INDEX('Faculties'!$L$91:$L$110,MATCH($F287,'Faculties'!$B$91:$B$110,0))="","Cell will autofill based on response",INDEX('Faculties'!$L$91:$L$110,MATCH($F287,'Faculties'!$B$91:$B$110,0))),"N/A")</f>
        <v/>
      </c>
      <c r="L287" s="25">
        <f>IFERROR(IF(INDEX('CI&amp;S'!$L$10:$L$14,MATCH($F287,'CI&amp;S'!$B$10:$B$14,0))="","Cell will autofill based on response",INDEX('CI&amp;S'!$L$10:$L$14,MATCH($F287,'CI&amp;S'!$B$10:$B$14,0))),"N/A")</f>
        <v/>
      </c>
      <c r="M287" s="25">
        <f>IFERROR(IF(INDEX('CI&amp;S'!$L$22:$L$38,MATCH($F287,'CI&amp;S'!$B$22:$B$38,0))="","Cell will autofill based on response",INDEX('CI&amp;S'!$L$22:$L$38,MATCH($F287,'CI&amp;S'!$B$22:$B$38,0))),"N/A")</f>
        <v/>
      </c>
      <c r="N287" s="25">
        <f>IFERROR(IF(INDEX('CFOG'!$L$10:$L$15,MATCH($F287,'CFOG'!$B$10:$B$15,0))="","Cell will autofill based on response",INDEX('CFOG'!$L$10:$L$15,MATCH($F287,'CFOG'!$B$10:$B$15,0))),"N/A")</f>
        <v/>
      </c>
      <c r="O287" s="25">
        <f>IFERROR(IF(INDEX('CFOG'!$L$23:$L$23,MATCH($F287,'CFOG'!$B$23:$B$23,0))="","Cell will autofill based on response",INDEX('CFOG'!$L$23:$L$23,MATCH($F287,'CFOG'!$B$23:$B$23,0))),"N/A")</f>
        <v/>
      </c>
      <c r="P287" s="25">
        <f>IFERROR(IF(INDEX('ESG'!$L$10:$L$16,MATCH($F287,'ESG'!$B$10:$B$16,0))="","Cell will autofill based on response",INDEX('ESG'!$L$10:$L$16,MATCH($F287,'ESG'!$B$10:$B$16,0))),"N/A")</f>
        <v/>
      </c>
      <c r="Q287" s="25">
        <f>IFERROR(IF(INDEX('CIOG'!$L$10:$L$13,MATCH($F287,'CIOG'!$B$10:$B$13,0))="","Cell will autofill based on response",INDEX('CIOG'!$L$10:$L$13,MATCH($F287,'CIOG'!$B$10:$B$13,0))),"N/A")</f>
        <v/>
      </c>
      <c r="R287" s="25">
        <f>IFERROR(IF(INDEX('MRE'!$L$10:$L$11,MATCH($F287,'MRE'!$B$10:$B$11,0))="","Cell will autofill based on response",INDEX('MRE'!$L$10:$L$11,MATCH($F287,'MRE'!$B$10:$B$11,0))),"N/A")</f>
        <v/>
      </c>
      <c r="T287" s="26">
        <f>COUNTIF($H287:$R287,"Cell will autofill based on response")</f>
        <v/>
      </c>
      <c r="U287" s="26">
        <f>COUNTIF($H287:$R287,"Not yet started")</f>
        <v/>
      </c>
      <c r="V287" s="26">
        <f>COUNTIF($H287:$R287,"Not met")</f>
        <v/>
      </c>
      <c r="W287" s="26">
        <f>COUNTIF($H287:$R287,"Partially met")</f>
        <v/>
      </c>
      <c r="X287" s="26">
        <f>COUNTIF($H287:$R287,"Met or exceeded")</f>
        <v/>
      </c>
      <c r="Y287" s="26">
        <f>3*X287+2*W287+V287</f>
        <v/>
      </c>
      <c r="Z287" s="26">
        <f>X287+W287+V287+U287</f>
        <v/>
      </c>
      <c r="AA287" s="27">
        <f>IF(Z287&gt;0,Y287/Z287,"No valid responses to date")</f>
        <v/>
      </c>
      <c r="AB287" s="26">
        <f>IF(ISNUMBER(AA287),INDEX(Lists!$G$2:$G$5,MATCH(ROUND(AA287,0),Lists!$H$2:$H$5,0)),"")</f>
        <v/>
      </c>
      <c r="AC287" s="28">
        <f>IF(Z287&gt;0,X287/Z287,"")</f>
        <v/>
      </c>
      <c r="AD287" s="28">
        <f>IF(Z287&gt;0,(X287+W287)/Z287,"")</f>
        <v/>
      </c>
      <c r="AE287" s="26">
        <f>IF(Z287=0,"",IF(AC287&gt;0.75,"Met or exceeded",IF(AD287&gt;=0.5,"Partially met","Not met")))</f>
        <v/>
      </c>
    </row>
    <row r="288">
      <c r="A288">
        <f>F288&amp;"|"&amp;G288</f>
        <v/>
      </c>
      <c r="B288" s="29" t="inlineStr"/>
      <c r="C288" s="8" t="inlineStr"/>
      <c r="D288" s="8" t="inlineStr"/>
      <c r="E288" s="8" t="inlineStr"/>
      <c r="F288" s="8" t="inlineStr">
        <is>
          <t>EN1(c)</t>
        </is>
      </c>
      <c r="G288" s="8" t="inlineStr">
        <is>
          <t>OPTION 1:  Target-level reporting</t>
        </is>
      </c>
      <c r="H288" s="25">
        <f>IFERROR(IF(INDEX('Faculties'!$M$10:$M$29,MATCH($F288,'Faculties'!$B$10:$B$29,0))="","Cell will autofill based on response",INDEX('Faculties'!$M$10:$M$29,MATCH($F288,'Faculties'!$B$10:$B$29,0))),"N/A")</f>
        <v/>
      </c>
      <c r="I288" s="25">
        <f>IFERROR(IF(INDEX('Faculties'!$M$37:$M$56,MATCH($F288,'Faculties'!$B$37:$B$56,0))="","Cell will autofill based on response",INDEX('Faculties'!$M$37:$M$56,MATCH($F288,'Faculties'!$B$37:$B$56,0))),"N/A")</f>
        <v/>
      </c>
      <c r="J288" s="25">
        <f>IFERROR(IF(INDEX('Faculties'!$M$64:$M$83,MATCH($F288,'Faculties'!$B$64:$B$83,0))="","Cell will autofill based on response",INDEX('Faculties'!$M$64:$M$83,MATCH($F288,'Faculties'!$B$64:$B$83,0))),"N/A")</f>
        <v/>
      </c>
      <c r="K288" s="25">
        <f>IFERROR(IF(INDEX('Faculties'!$M$91:$M$110,MATCH($F288,'Faculties'!$B$91:$B$110,0))="","Cell will autofill based on response",INDEX('Faculties'!$M$91:$M$110,MATCH($F288,'Faculties'!$B$91:$B$110,0))),"N/A")</f>
        <v/>
      </c>
      <c r="L288" s="25">
        <f>IFERROR(IF(INDEX('CI&amp;S'!$M$10:$M$14,MATCH($F288,'CI&amp;S'!$B$10:$B$14,0))="","Cell will autofill based on response",INDEX('CI&amp;S'!$M$10:$M$14,MATCH($F288,'CI&amp;S'!$B$10:$B$14,0))),"N/A")</f>
        <v/>
      </c>
      <c r="M288" s="25">
        <f>IFERROR(IF(INDEX('CI&amp;S'!$M$22:$M$38,MATCH($F288,'CI&amp;S'!$B$22:$B$38,0))="","Cell will autofill based on response",INDEX('CI&amp;S'!$M$22:$M$38,MATCH($F288,'CI&amp;S'!$B$22:$B$38,0))),"N/A")</f>
        <v/>
      </c>
      <c r="N288" s="25">
        <f>IFERROR(IF(INDEX('CFOG'!$M$10:$M$15,MATCH($F288,'CFOG'!$B$10:$B$15,0))="","Cell will autofill based on response",INDEX('CFOG'!$M$10:$M$15,MATCH($F288,'CFOG'!$B$10:$B$15,0))),"N/A")</f>
        <v/>
      </c>
      <c r="O288" s="25">
        <f>IFERROR(IF(INDEX('CFOG'!$M$23:$M$23,MATCH($F288,'CFOG'!$B$23:$B$23,0))="","Cell will autofill based on response",INDEX('CFOG'!$M$23:$M$23,MATCH($F288,'CFOG'!$B$23:$B$23,0))),"N/A")</f>
        <v/>
      </c>
      <c r="P288" s="25">
        <f>IFERROR(IF(INDEX('ESG'!$M$10:$M$16,MATCH($F288,'ESG'!$B$10:$B$16,0))="","Cell will autofill based on response",INDEX('ESG'!$M$10:$M$16,MATCH($F288,'ESG'!$B$10:$B$16,0))),"N/A")</f>
        <v/>
      </c>
      <c r="Q288" s="25">
        <f>IFERROR(IF(INDEX('CIOG'!$M$10:$M$13,MATCH($F288,'CIOG'!$B$10:$B$13,0))="","Cell will autofill based on response",INDEX('CIOG'!$M$10:$M$13,MATCH($F288,'CIOG'!$B$10:$B$13,0))),"N/A")</f>
        <v/>
      </c>
      <c r="R288" s="25">
        <f>IFERROR(IF(INDEX('MRE'!$M$10:$M$11,MATCH($F288,'MRE'!$B$10:$B$11,0))="","Cell will autofill based on response",INDEX('MRE'!$M$10:$M$11,MATCH($F288,'MRE'!$B$10:$B$11,0))),"N/A")</f>
        <v/>
      </c>
    </row>
    <row r="289">
      <c r="A289">
        <f>F289&amp;"|"&amp;G289</f>
        <v/>
      </c>
      <c r="B289" s="29" t="inlineStr"/>
      <c r="C289" s="8" t="inlineStr"/>
      <c r="D289" s="8" t="inlineStr"/>
      <c r="E289" s="8" t="inlineStr"/>
      <c r="F289" s="8" t="inlineStr">
        <is>
          <t>EN1(c)</t>
        </is>
      </c>
      <c r="G289" s="8" t="inlineStr">
        <is>
          <t>OPTION 2:  Indicator level reporting</t>
        </is>
      </c>
      <c r="H289" s="25">
        <f>IFERROR(IF(INDEX('Faculties'!$N$10:$N$29,MATCH($F289,'Faculties'!$B$10:$B$29,0))="","Cell will autofill based on response",INDEX('Faculties'!$N$10:$N$29,MATCH($F289,'Faculties'!$B$10:$B$29,0))),"N/A")</f>
        <v/>
      </c>
      <c r="I289" s="25">
        <f>IFERROR(IF(INDEX('Faculties'!$N$37:$N$56,MATCH($F289,'Faculties'!$B$37:$B$56,0))="","Cell will autofill based on response",INDEX('Faculties'!$N$37:$N$56,MATCH($F289,'Faculties'!$B$37:$B$56,0))),"N/A")</f>
        <v/>
      </c>
      <c r="J289" s="25">
        <f>IFERROR(IF(INDEX('Faculties'!$N$64:$N$83,MATCH($F289,'Faculties'!$B$64:$B$83,0))="","Cell will autofill based on response",INDEX('Faculties'!$N$64:$N$83,MATCH($F289,'Faculties'!$B$64:$B$83,0))),"N/A")</f>
        <v/>
      </c>
      <c r="K289" s="25">
        <f>IFERROR(IF(INDEX('Faculties'!$N$91:$N$110,MATCH($F289,'Faculties'!$B$91:$B$110,0))="","Cell will autofill based on response",INDEX('Faculties'!$N$91:$N$110,MATCH($F289,'Faculties'!$B$91:$B$110,0))),"N/A")</f>
        <v/>
      </c>
      <c r="L289" s="25">
        <f>IFERROR(IF(INDEX('CI&amp;S'!$N$10:$N$14,MATCH($F289,'CI&amp;S'!$B$10:$B$14,0))="","Cell will autofill based on response",INDEX('CI&amp;S'!$N$10:$N$14,MATCH($F289,'CI&amp;S'!$B$10:$B$14,0))),"N/A")</f>
        <v/>
      </c>
      <c r="M289" s="25">
        <f>IFERROR(IF(INDEX('CI&amp;S'!$N$22:$N$38,MATCH($F289,'CI&amp;S'!$B$22:$B$38,0))="","Cell will autofill based on response",INDEX('CI&amp;S'!$N$22:$N$38,MATCH($F289,'CI&amp;S'!$B$22:$B$38,0))),"N/A")</f>
        <v/>
      </c>
      <c r="N289" s="25">
        <f>IFERROR(IF(INDEX('CFOG'!$N$10:$N$15,MATCH($F289,'CFOG'!$B$10:$B$15,0))="","Cell will autofill based on response",INDEX('CFOG'!$N$10:$N$15,MATCH($F289,'CFOG'!$B$10:$B$15,0))),"N/A")</f>
        <v/>
      </c>
      <c r="O289" s="25">
        <f>IFERROR(IF(INDEX('CFOG'!$N$23:$N$23,MATCH($F289,'CFOG'!$B$23:$B$23,0))="","Cell will autofill based on response",INDEX('CFOG'!$N$23:$N$23,MATCH($F289,'CFOG'!$B$23:$B$23,0))),"N/A")</f>
        <v/>
      </c>
      <c r="P289" s="25">
        <f>IFERROR(IF(INDEX('ESG'!$N$10:$N$16,MATCH($F289,'ESG'!$B$10:$B$16,0))="","Cell will autofill based on response",INDEX('ESG'!$N$10:$N$16,MATCH($F289,'ESG'!$B$10:$B$16,0))),"N/A")</f>
        <v/>
      </c>
      <c r="Q289" s="25">
        <f>IFERROR(IF(INDEX('CIOG'!$N$10:$N$13,MATCH($F289,'CIOG'!$B$10:$B$13,0))="","Cell will autofill based on response",INDEX('CIOG'!$N$10:$N$13,MATCH($F289,'CIOG'!$B$10:$B$13,0))),"N/A")</f>
        <v/>
      </c>
      <c r="R289" s="25">
        <f>IFERROR(IF(INDEX('MRE'!$N$10:$N$11,MATCH($F289,'MRE'!$B$10:$B$11,0))="","Cell will autofill based on response",INDEX('MRE'!$N$10:$N$11,MATCH($F289,'MRE'!$B$10:$B$11,0))),"N/A")</f>
        <v/>
      </c>
    </row>
    <row r="290">
      <c r="A290">
        <f>F290&amp;"|"&amp;G290</f>
        <v/>
      </c>
      <c r="B290" s="29" t="inlineStr"/>
      <c r="C290" s="8" t="inlineStr"/>
      <c r="D290" s="8" t="inlineStr"/>
      <c r="E290" s="8" t="inlineStr"/>
      <c r="F290" s="8" t="inlineStr">
        <is>
          <t>EN1(c)</t>
        </is>
      </c>
      <c r="G290" s="8" t="inlineStr">
        <is>
          <t>Supporting information/comments</t>
        </is>
      </c>
      <c r="H290" s="25">
        <f>IFERROR(IF(INDEX('Faculties'!$O$10:$O$29,MATCH($F290,'Faculties'!$B$10:$B$29,0))="","Cell will autofill based on response",INDEX('Faculties'!$O$10:$O$29,MATCH($F290,'Faculties'!$B$10:$B$29,0))),"N/A")</f>
        <v/>
      </c>
      <c r="I290" s="25">
        <f>IFERROR(IF(INDEX('Faculties'!$O$37:$O$56,MATCH($F290,'Faculties'!$B$37:$B$56,0))="","Cell will autofill based on response",INDEX('Faculties'!$O$37:$O$56,MATCH($F290,'Faculties'!$B$37:$B$56,0))),"N/A")</f>
        <v/>
      </c>
      <c r="J290" s="25">
        <f>IFERROR(IF(INDEX('Faculties'!$O$64:$O$83,MATCH($F290,'Faculties'!$B$64:$B$83,0))="","Cell will autofill based on response",INDEX('Faculties'!$O$64:$O$83,MATCH($F290,'Faculties'!$B$64:$B$83,0))),"N/A")</f>
        <v/>
      </c>
      <c r="K290" s="25">
        <f>IFERROR(IF(INDEX('Faculties'!$O$91:$O$110,MATCH($F290,'Faculties'!$B$91:$B$110,0))="","Cell will autofill based on response",INDEX('Faculties'!$O$91:$O$110,MATCH($F290,'Faculties'!$B$91:$B$110,0))),"N/A")</f>
        <v/>
      </c>
      <c r="L290" s="25">
        <f>IFERROR(IF(INDEX('CI&amp;S'!$O$10:$O$14,MATCH($F290,'CI&amp;S'!$B$10:$B$14,0))="","Cell will autofill based on response",INDEX('CI&amp;S'!$O$10:$O$14,MATCH($F290,'CI&amp;S'!$B$10:$B$14,0))),"N/A")</f>
        <v/>
      </c>
      <c r="M290" s="25">
        <f>IFERROR(IF(INDEX('CI&amp;S'!$O$22:$O$38,MATCH($F290,'CI&amp;S'!$B$22:$B$38,0))="","Cell will autofill based on response",INDEX('CI&amp;S'!$O$22:$O$38,MATCH($F290,'CI&amp;S'!$B$22:$B$38,0))),"N/A")</f>
        <v/>
      </c>
      <c r="N290" s="25">
        <f>IFERROR(IF(INDEX('CFOG'!$O$10:$O$15,MATCH($F290,'CFOG'!$B$10:$B$15,0))="","Cell will autofill based on response",INDEX('CFOG'!$O$10:$O$15,MATCH($F290,'CFOG'!$B$10:$B$15,0))),"N/A")</f>
        <v/>
      </c>
      <c r="O290" s="25">
        <f>IFERROR(IF(INDEX('CFOG'!$O$23:$O$23,MATCH($F290,'CFOG'!$B$23:$B$23,0))="","Cell will autofill based on response",INDEX('CFOG'!$O$23:$O$23,MATCH($F290,'CFOG'!$B$23:$B$23,0))),"N/A")</f>
        <v/>
      </c>
      <c r="P290" s="25">
        <f>IFERROR(IF(INDEX('ESG'!$O$10:$O$16,MATCH($F290,'ESG'!$B$10:$B$16,0))="","Cell will autofill based on response",INDEX('ESG'!$O$10:$O$16,MATCH($F290,'ESG'!$B$10:$B$16,0))),"N/A")</f>
        <v/>
      </c>
      <c r="Q290" s="25">
        <f>IFERROR(IF(INDEX('CIOG'!$O$10:$O$13,MATCH($F290,'CIOG'!$B$10:$B$13,0))="","Cell will autofill based on response",INDEX('CIOG'!$O$10:$O$13,MATCH($F290,'CIOG'!$B$10:$B$13,0))),"N/A")</f>
        <v/>
      </c>
      <c r="R290" s="25">
        <f>IFERROR(IF(INDEX('MRE'!$O$10:$O$11,MATCH($F290,'MRE'!$B$10:$B$11,0))="","Cell will autofill based on response",INDEX('MRE'!$O$10:$O$11,MATCH($F290,'MRE'!$B$10:$B$11,0))),"N/A")</f>
        <v/>
      </c>
    </row>
    <row r="291">
      <c r="A291">
        <f>F291&amp;"|"&amp;G291</f>
        <v/>
      </c>
      <c r="B291" s="29" t="inlineStr"/>
      <c r="C291" s="8" t="inlineStr"/>
      <c r="D291" s="8" t="inlineStr"/>
      <c r="E291" s="8" t="inlineStr"/>
      <c r="F291" s="8" t="inlineStr">
        <is>
          <t>EN1(c)</t>
        </is>
      </c>
      <c r="G291" s="8" t="inlineStr">
        <is>
          <t>Data source and limitations</t>
        </is>
      </c>
      <c r="H291" s="25">
        <f>IFERROR(IF(INDEX('Faculties'!$P$10:$P$29,MATCH($F291,'Faculties'!$B$10:$B$29,0))="","Cell will autofill based on response",INDEX('Faculties'!$P$10:$P$29,MATCH($F291,'Faculties'!$B$10:$B$29,0))),"N/A")</f>
        <v/>
      </c>
      <c r="I291" s="25">
        <f>IFERROR(IF(INDEX('Faculties'!$P$37:$P$56,MATCH($F291,'Faculties'!$B$37:$B$56,0))="","Cell will autofill based on response",INDEX('Faculties'!$P$37:$P$56,MATCH($F291,'Faculties'!$B$37:$B$56,0))),"N/A")</f>
        <v/>
      </c>
      <c r="J291" s="25">
        <f>IFERROR(IF(INDEX('Faculties'!$P$64:$P$83,MATCH($F291,'Faculties'!$B$64:$B$83,0))="","Cell will autofill based on response",INDEX('Faculties'!$P$64:$P$83,MATCH($F291,'Faculties'!$B$64:$B$83,0))),"N/A")</f>
        <v/>
      </c>
      <c r="K291" s="25">
        <f>IFERROR(IF(INDEX('Faculties'!$P$91:$P$110,MATCH($F291,'Faculties'!$B$91:$B$110,0))="","Cell will autofill based on response",INDEX('Faculties'!$P$91:$P$110,MATCH($F291,'Faculties'!$B$91:$B$110,0))),"N/A")</f>
        <v/>
      </c>
      <c r="L291" s="25">
        <f>IFERROR(IF(INDEX('CI&amp;S'!$P$10:$P$14,MATCH($F291,'CI&amp;S'!$B$10:$B$14,0))="","Cell will autofill based on response",INDEX('CI&amp;S'!$P$10:$P$14,MATCH($F291,'CI&amp;S'!$B$10:$B$14,0))),"N/A")</f>
        <v/>
      </c>
      <c r="M291" s="25">
        <f>IFERROR(IF(INDEX('CI&amp;S'!$P$22:$P$38,MATCH($F291,'CI&amp;S'!$B$22:$B$38,0))="","Cell will autofill based on response",INDEX('CI&amp;S'!$P$22:$P$38,MATCH($F291,'CI&amp;S'!$B$22:$B$38,0))),"N/A")</f>
        <v/>
      </c>
      <c r="N291" s="25">
        <f>IFERROR(IF(INDEX('CFOG'!$P$10:$P$15,MATCH($F291,'CFOG'!$B$10:$B$15,0))="","Cell will autofill based on response",INDEX('CFOG'!$P$10:$P$15,MATCH($F291,'CFOG'!$B$10:$B$15,0))),"N/A")</f>
        <v/>
      </c>
      <c r="O291" s="25">
        <f>IFERROR(IF(INDEX('CFOG'!$P$23:$P$23,MATCH($F291,'CFOG'!$B$23:$B$23,0))="","Cell will autofill based on response",INDEX('CFOG'!$P$23:$P$23,MATCH($F291,'CFOG'!$B$23:$B$23,0))),"N/A")</f>
        <v/>
      </c>
      <c r="P291" s="25">
        <f>IFERROR(IF(INDEX('ESG'!$P$10:$P$16,MATCH($F291,'ESG'!$B$10:$B$16,0))="","Cell will autofill based on response",INDEX('ESG'!$P$10:$P$16,MATCH($F291,'ESG'!$B$10:$B$16,0))),"N/A")</f>
        <v/>
      </c>
      <c r="Q291" s="25">
        <f>IFERROR(IF(INDEX('CIOG'!$P$10:$P$13,MATCH($F291,'CIOG'!$B$10:$B$13,0))="","Cell will autofill based on response",INDEX('CIOG'!$P$10:$P$13,MATCH($F291,'CIOG'!$B$10:$B$13,0))),"N/A")</f>
        <v/>
      </c>
      <c r="R291" s="25">
        <f>IFERROR(IF(INDEX('MRE'!$P$10:$P$11,MATCH($F291,'MRE'!$B$10:$B$11,0))="","Cell will autofill based on response",INDEX('MRE'!$P$10:$P$11,MATCH($F291,'MRE'!$B$10:$B$11,0))),"N/A")</f>
        <v/>
      </c>
    </row>
    <row r="292">
      <c r="A292">
        <f>F292&amp;"|"&amp;G292</f>
        <v/>
      </c>
      <c r="B292" s="29" t="inlineStr"/>
      <c r="C292" s="8" t="inlineStr"/>
      <c r="D292" s="8" t="inlineStr"/>
      <c r="E292" s="8" t="inlineStr"/>
      <c r="F292" s="8" t="inlineStr">
        <is>
          <t>EN1(c)</t>
        </is>
      </c>
      <c r="G292" s="8" t="inlineStr">
        <is>
          <t>Data owner confirms</t>
        </is>
      </c>
      <c r="H292" s="25">
        <f>IFERROR(IF(INDEX('Faculties'!$Q$10:$Q$29,MATCH($F292,'Faculties'!$B$10:$B$29,0))="","Cell will autofill based on response",INDEX('Faculties'!$Q$10:$Q$29,MATCH($F292,'Faculties'!$B$10:$B$29,0))),"N/A")</f>
        <v/>
      </c>
      <c r="I292" s="25">
        <f>IFERROR(IF(INDEX('Faculties'!$Q$37:$Q$56,MATCH($F292,'Faculties'!$B$37:$B$56,0))="","Cell will autofill based on response",INDEX('Faculties'!$Q$37:$Q$56,MATCH($F292,'Faculties'!$B$37:$B$56,0))),"N/A")</f>
        <v/>
      </c>
      <c r="J292" s="25">
        <f>IFERROR(IF(INDEX('Faculties'!$Q$64:$Q$83,MATCH($F292,'Faculties'!$B$64:$B$83,0))="","Cell will autofill based on response",INDEX('Faculties'!$Q$64:$Q$83,MATCH($F292,'Faculties'!$B$64:$B$83,0))),"N/A")</f>
        <v/>
      </c>
      <c r="K292" s="25">
        <f>IFERROR(IF(INDEX('Faculties'!$Q$91:$Q$110,MATCH($F292,'Faculties'!$B$91:$B$110,0))="","Cell will autofill based on response",INDEX('Faculties'!$Q$91:$Q$110,MATCH($F292,'Faculties'!$B$91:$B$110,0))),"N/A")</f>
        <v/>
      </c>
      <c r="L292" s="25">
        <f>IFERROR(IF(INDEX('CI&amp;S'!$Q$10:$Q$14,MATCH($F292,'CI&amp;S'!$B$10:$B$14,0))="","Cell will autofill based on response",INDEX('CI&amp;S'!$Q$10:$Q$14,MATCH($F292,'CI&amp;S'!$B$10:$B$14,0))),"N/A")</f>
        <v/>
      </c>
      <c r="M292" s="25">
        <f>IFERROR(IF(INDEX('CI&amp;S'!$Q$22:$Q$38,MATCH($F292,'CI&amp;S'!$B$22:$B$38,0))="","Cell will autofill based on response",INDEX('CI&amp;S'!$Q$22:$Q$38,MATCH($F292,'CI&amp;S'!$B$22:$B$38,0))),"N/A")</f>
        <v/>
      </c>
      <c r="N292" s="25">
        <f>IFERROR(IF(INDEX('CFOG'!$Q$10:$Q$15,MATCH($F292,'CFOG'!$B$10:$B$15,0))="","Cell will autofill based on response",INDEX('CFOG'!$Q$10:$Q$15,MATCH($F292,'CFOG'!$B$10:$B$15,0))),"N/A")</f>
        <v/>
      </c>
      <c r="O292" s="25">
        <f>IFERROR(IF(INDEX('CFOG'!$Q$23:$Q$23,MATCH($F292,'CFOG'!$B$23:$B$23,0))="","Cell will autofill based on response",INDEX('CFOG'!$Q$23:$Q$23,MATCH($F292,'CFOG'!$B$23:$B$23,0))),"N/A")</f>
        <v/>
      </c>
      <c r="P292" s="25">
        <f>IFERROR(IF(INDEX('ESG'!$Q$10:$Q$16,MATCH($F292,'ESG'!$B$10:$B$16,0))="","Cell will autofill based on response",INDEX('ESG'!$Q$10:$Q$16,MATCH($F292,'ESG'!$B$10:$B$16,0))),"N/A")</f>
        <v/>
      </c>
      <c r="Q292" s="25">
        <f>IFERROR(IF(INDEX('CIOG'!$Q$10:$Q$13,MATCH($F292,'CIOG'!$B$10:$B$13,0))="","Cell will autofill based on response",INDEX('CIOG'!$Q$10:$Q$13,MATCH($F292,'CIOG'!$B$10:$B$13,0))),"N/A")</f>
        <v/>
      </c>
      <c r="R292" s="25">
        <f>IFERROR(IF(INDEX('MRE'!$Q$10:$Q$11,MATCH($F292,'MRE'!$B$10:$B$11,0))="","Cell will autofill based on response",INDEX('MRE'!$Q$10:$Q$11,MATCH($F292,'MRE'!$B$10:$B$11,0))),"N/A")</f>
        <v/>
      </c>
    </row>
    <row r="293">
      <c r="A293">
        <f>F293&amp;"|"&amp;G293</f>
        <v/>
      </c>
      <c r="B293" s="7" t="inlineStr">
        <is>
          <t>EN1(d)</t>
        </is>
      </c>
      <c r="C293" s="12" t="inlineStr">
        <is>
          <t>Enablers</t>
        </is>
      </c>
      <c r="D293" s="12" t="inlineStr">
        <is>
          <t>Sustainability objectives integrated into governance and decision‑making processes, supported by transparent reporting.</t>
        </is>
      </c>
      <c r="E293" s="12"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93" s="12" t="inlineStr">
        <is>
          <t>EN1(d)</t>
        </is>
      </c>
      <c r="G293" s="12" t="inlineStr">
        <is>
          <t>Confirm end-2026 target status</t>
        </is>
      </c>
      <c r="H293" s="25">
        <f>IFERROR(IF(INDEX('Faculties'!$L$10:$L$29,MATCH($F293,'Faculties'!$B$10:$B$29,0))="","Cell will autofill based on response",INDEX('Faculties'!$L$10:$L$29,MATCH($F293,'Faculties'!$B$10:$B$29,0))),"N/A")</f>
        <v/>
      </c>
      <c r="I293" s="25">
        <f>IFERROR(IF(INDEX('Faculties'!$L$37:$L$56,MATCH($F293,'Faculties'!$B$37:$B$56,0))="","Cell will autofill based on response",INDEX('Faculties'!$L$37:$L$56,MATCH($F293,'Faculties'!$B$37:$B$56,0))),"N/A")</f>
        <v/>
      </c>
      <c r="J293" s="25">
        <f>IFERROR(IF(INDEX('Faculties'!$L$64:$L$83,MATCH($F293,'Faculties'!$B$64:$B$83,0))="","Cell will autofill based on response",INDEX('Faculties'!$L$64:$L$83,MATCH($F293,'Faculties'!$B$64:$B$83,0))),"N/A")</f>
        <v/>
      </c>
      <c r="K293" s="25">
        <f>IFERROR(IF(INDEX('Faculties'!$L$91:$L$110,MATCH($F293,'Faculties'!$B$91:$B$110,0))="","Cell will autofill based on response",INDEX('Faculties'!$L$91:$L$110,MATCH($F293,'Faculties'!$B$91:$B$110,0))),"N/A")</f>
        <v/>
      </c>
      <c r="L293" s="25">
        <f>IFERROR(IF(INDEX('CI&amp;S'!$L$10:$L$14,MATCH($F293,'CI&amp;S'!$B$10:$B$14,0))="","Cell will autofill based on response",INDEX('CI&amp;S'!$L$10:$L$14,MATCH($F293,'CI&amp;S'!$B$10:$B$14,0))),"N/A")</f>
        <v/>
      </c>
      <c r="M293" s="25">
        <f>IFERROR(IF(INDEX('CI&amp;S'!$L$22:$L$38,MATCH($F293,'CI&amp;S'!$B$22:$B$38,0))="","Cell will autofill based on response",INDEX('CI&amp;S'!$L$22:$L$38,MATCH($F293,'CI&amp;S'!$B$22:$B$38,0))),"N/A")</f>
        <v/>
      </c>
      <c r="N293" s="25">
        <f>IFERROR(IF(INDEX('CFOG'!$L$10:$L$15,MATCH($F293,'CFOG'!$B$10:$B$15,0))="","Cell will autofill based on response",INDEX('CFOG'!$L$10:$L$15,MATCH($F293,'CFOG'!$B$10:$B$15,0))),"N/A")</f>
        <v/>
      </c>
      <c r="O293" s="25">
        <f>IFERROR(IF(INDEX('CFOG'!$L$23:$L$23,MATCH($F293,'CFOG'!$B$23:$B$23,0))="","Cell will autofill based on response",INDEX('CFOG'!$L$23:$L$23,MATCH($F293,'CFOG'!$B$23:$B$23,0))),"N/A")</f>
        <v/>
      </c>
      <c r="P293" s="25">
        <f>IFERROR(IF(INDEX('ESG'!$L$10:$L$16,MATCH($F293,'ESG'!$B$10:$B$16,0))="","Cell will autofill based on response",INDEX('ESG'!$L$10:$L$16,MATCH($F293,'ESG'!$B$10:$B$16,0))),"N/A")</f>
        <v/>
      </c>
      <c r="Q293" s="25">
        <f>IFERROR(IF(INDEX('CIOG'!$L$10:$L$13,MATCH($F293,'CIOG'!$B$10:$B$13,0))="","Cell will autofill based on response",INDEX('CIOG'!$L$10:$L$13,MATCH($F293,'CIOG'!$B$10:$B$13,0))),"N/A")</f>
        <v/>
      </c>
      <c r="R293" s="25">
        <f>IFERROR(IF(INDEX('MRE'!$L$10:$L$11,MATCH($F293,'MRE'!$B$10:$B$11,0))="","Cell will autofill based on response",INDEX('MRE'!$L$10:$L$11,MATCH($F293,'MRE'!$B$10:$B$11,0))),"N/A")</f>
        <v/>
      </c>
      <c r="T293" s="26">
        <f>COUNTIF($H293:$R293,"Cell will autofill based on response")</f>
        <v/>
      </c>
      <c r="U293" s="26">
        <f>COUNTIF($H293:$R293,"Not yet started")</f>
        <v/>
      </c>
      <c r="V293" s="26">
        <f>COUNTIF($H293:$R293,"Not met")</f>
        <v/>
      </c>
      <c r="W293" s="26">
        <f>COUNTIF($H293:$R293,"Partially met")</f>
        <v/>
      </c>
      <c r="X293" s="26">
        <f>COUNTIF($H293:$R293,"Met or exceeded")</f>
        <v/>
      </c>
      <c r="Y293" s="26">
        <f>3*X293+2*W293+V293</f>
        <v/>
      </c>
      <c r="Z293" s="26">
        <f>X293+W293+V293+U293</f>
        <v/>
      </c>
      <c r="AA293" s="27">
        <f>IF(Z293&gt;0,Y293/Z293,"No valid responses to date")</f>
        <v/>
      </c>
      <c r="AB293" s="26">
        <f>IF(ISNUMBER(AA293),INDEX(Lists!$G$2:$G$5,MATCH(ROUND(AA293,0),Lists!$H$2:$H$5,0)),"")</f>
        <v/>
      </c>
      <c r="AC293" s="28">
        <f>IF(Z293&gt;0,X293/Z293,"")</f>
        <v/>
      </c>
      <c r="AD293" s="28">
        <f>IF(Z293&gt;0,(X293+W293)/Z293,"")</f>
        <v/>
      </c>
      <c r="AE293" s="26">
        <f>IF(Z293=0,"",IF(AC293&gt;0.75,"Met or exceeded",IF(AD293&gt;=0.5,"Partially met","Not met")))</f>
        <v/>
      </c>
    </row>
    <row r="294">
      <c r="A294">
        <f>F294&amp;"|"&amp;G294</f>
        <v/>
      </c>
      <c r="B294" s="29" t="inlineStr"/>
      <c r="C294" s="8" t="inlineStr"/>
      <c r="D294" s="8" t="inlineStr"/>
      <c r="E294" s="8" t="inlineStr"/>
      <c r="F294" s="8" t="inlineStr">
        <is>
          <t>EN1(d)</t>
        </is>
      </c>
      <c r="G294" s="8" t="inlineStr">
        <is>
          <t>OPTION 1:  Target-level reporting</t>
        </is>
      </c>
      <c r="H294" s="25">
        <f>IFERROR(IF(INDEX('Faculties'!$M$10:$M$29,MATCH($F294,'Faculties'!$B$10:$B$29,0))="","Cell will autofill based on response",INDEX('Faculties'!$M$10:$M$29,MATCH($F294,'Faculties'!$B$10:$B$29,0))),"N/A")</f>
        <v/>
      </c>
      <c r="I294" s="25">
        <f>IFERROR(IF(INDEX('Faculties'!$M$37:$M$56,MATCH($F294,'Faculties'!$B$37:$B$56,0))="","Cell will autofill based on response",INDEX('Faculties'!$M$37:$M$56,MATCH($F294,'Faculties'!$B$37:$B$56,0))),"N/A")</f>
        <v/>
      </c>
      <c r="J294" s="25">
        <f>IFERROR(IF(INDEX('Faculties'!$M$64:$M$83,MATCH($F294,'Faculties'!$B$64:$B$83,0))="","Cell will autofill based on response",INDEX('Faculties'!$M$64:$M$83,MATCH($F294,'Faculties'!$B$64:$B$83,0))),"N/A")</f>
        <v/>
      </c>
      <c r="K294" s="25">
        <f>IFERROR(IF(INDEX('Faculties'!$M$91:$M$110,MATCH($F294,'Faculties'!$B$91:$B$110,0))="","Cell will autofill based on response",INDEX('Faculties'!$M$91:$M$110,MATCH($F294,'Faculties'!$B$91:$B$110,0))),"N/A")</f>
        <v/>
      </c>
      <c r="L294" s="25">
        <f>IFERROR(IF(INDEX('CI&amp;S'!$M$10:$M$14,MATCH($F294,'CI&amp;S'!$B$10:$B$14,0))="","Cell will autofill based on response",INDEX('CI&amp;S'!$M$10:$M$14,MATCH($F294,'CI&amp;S'!$B$10:$B$14,0))),"N/A")</f>
        <v/>
      </c>
      <c r="M294" s="25">
        <f>IFERROR(IF(INDEX('CI&amp;S'!$M$22:$M$38,MATCH($F294,'CI&amp;S'!$B$22:$B$38,0))="","Cell will autofill based on response",INDEX('CI&amp;S'!$M$22:$M$38,MATCH($F294,'CI&amp;S'!$B$22:$B$38,0))),"N/A")</f>
        <v/>
      </c>
      <c r="N294" s="25">
        <f>IFERROR(IF(INDEX('CFOG'!$M$10:$M$15,MATCH($F294,'CFOG'!$B$10:$B$15,0))="","Cell will autofill based on response",INDEX('CFOG'!$M$10:$M$15,MATCH($F294,'CFOG'!$B$10:$B$15,0))),"N/A")</f>
        <v/>
      </c>
      <c r="O294" s="25">
        <f>IFERROR(IF(INDEX('CFOG'!$M$23:$M$23,MATCH($F294,'CFOG'!$B$23:$B$23,0))="","Cell will autofill based on response",INDEX('CFOG'!$M$23:$M$23,MATCH($F294,'CFOG'!$B$23:$B$23,0))),"N/A")</f>
        <v/>
      </c>
      <c r="P294" s="25">
        <f>IFERROR(IF(INDEX('ESG'!$M$10:$M$16,MATCH($F294,'ESG'!$B$10:$B$16,0))="","Cell will autofill based on response",INDEX('ESG'!$M$10:$M$16,MATCH($F294,'ESG'!$B$10:$B$16,0))),"N/A")</f>
        <v/>
      </c>
      <c r="Q294" s="25">
        <f>IFERROR(IF(INDEX('CIOG'!$M$10:$M$13,MATCH($F294,'CIOG'!$B$10:$B$13,0))="","Cell will autofill based on response",INDEX('CIOG'!$M$10:$M$13,MATCH($F294,'CIOG'!$B$10:$B$13,0))),"N/A")</f>
        <v/>
      </c>
      <c r="R294" s="25">
        <f>IFERROR(IF(INDEX('MRE'!$M$10:$M$11,MATCH($F294,'MRE'!$B$10:$B$11,0))="","Cell will autofill based on response",INDEX('MRE'!$M$10:$M$11,MATCH($F294,'MRE'!$B$10:$B$11,0))),"N/A")</f>
        <v/>
      </c>
    </row>
    <row r="295">
      <c r="A295">
        <f>F295&amp;"|"&amp;G295</f>
        <v/>
      </c>
      <c r="B295" s="29" t="inlineStr"/>
      <c r="C295" s="8" t="inlineStr"/>
      <c r="D295" s="8" t="inlineStr"/>
      <c r="E295" s="8" t="inlineStr"/>
      <c r="F295" s="8" t="inlineStr">
        <is>
          <t>EN1(d)</t>
        </is>
      </c>
      <c r="G295" s="8" t="inlineStr">
        <is>
          <t>OPTION 2:  Indicator level reporting</t>
        </is>
      </c>
      <c r="H295" s="25">
        <f>IFERROR(IF(INDEX('Faculties'!$N$10:$N$29,MATCH($F295,'Faculties'!$B$10:$B$29,0))="","Cell will autofill based on response",INDEX('Faculties'!$N$10:$N$29,MATCH($F295,'Faculties'!$B$10:$B$29,0))),"N/A")</f>
        <v/>
      </c>
      <c r="I295" s="25">
        <f>IFERROR(IF(INDEX('Faculties'!$N$37:$N$56,MATCH($F295,'Faculties'!$B$37:$B$56,0))="","Cell will autofill based on response",INDEX('Faculties'!$N$37:$N$56,MATCH($F295,'Faculties'!$B$37:$B$56,0))),"N/A")</f>
        <v/>
      </c>
      <c r="J295" s="25">
        <f>IFERROR(IF(INDEX('Faculties'!$N$64:$N$83,MATCH($F295,'Faculties'!$B$64:$B$83,0))="","Cell will autofill based on response",INDEX('Faculties'!$N$64:$N$83,MATCH($F295,'Faculties'!$B$64:$B$83,0))),"N/A")</f>
        <v/>
      </c>
      <c r="K295" s="25">
        <f>IFERROR(IF(INDEX('Faculties'!$N$91:$N$110,MATCH($F295,'Faculties'!$B$91:$B$110,0))="","Cell will autofill based on response",INDEX('Faculties'!$N$91:$N$110,MATCH($F295,'Faculties'!$B$91:$B$110,0))),"N/A")</f>
        <v/>
      </c>
      <c r="L295" s="25">
        <f>IFERROR(IF(INDEX('CI&amp;S'!$N$10:$N$14,MATCH($F295,'CI&amp;S'!$B$10:$B$14,0))="","Cell will autofill based on response",INDEX('CI&amp;S'!$N$10:$N$14,MATCH($F295,'CI&amp;S'!$B$10:$B$14,0))),"N/A")</f>
        <v/>
      </c>
      <c r="M295" s="25">
        <f>IFERROR(IF(INDEX('CI&amp;S'!$N$22:$N$38,MATCH($F295,'CI&amp;S'!$B$22:$B$38,0))="","Cell will autofill based on response",INDEX('CI&amp;S'!$N$22:$N$38,MATCH($F295,'CI&amp;S'!$B$22:$B$38,0))),"N/A")</f>
        <v/>
      </c>
      <c r="N295" s="25">
        <f>IFERROR(IF(INDEX('CFOG'!$N$10:$N$15,MATCH($F295,'CFOG'!$B$10:$B$15,0))="","Cell will autofill based on response",INDEX('CFOG'!$N$10:$N$15,MATCH($F295,'CFOG'!$B$10:$B$15,0))),"N/A")</f>
        <v/>
      </c>
      <c r="O295" s="25">
        <f>IFERROR(IF(INDEX('CFOG'!$N$23:$N$23,MATCH($F295,'CFOG'!$B$23:$B$23,0))="","Cell will autofill based on response",INDEX('CFOG'!$N$23:$N$23,MATCH($F295,'CFOG'!$B$23:$B$23,0))),"N/A")</f>
        <v/>
      </c>
      <c r="P295" s="25">
        <f>IFERROR(IF(INDEX('ESG'!$N$10:$N$16,MATCH($F295,'ESG'!$B$10:$B$16,0))="","Cell will autofill based on response",INDEX('ESG'!$N$10:$N$16,MATCH($F295,'ESG'!$B$10:$B$16,0))),"N/A")</f>
        <v/>
      </c>
      <c r="Q295" s="25">
        <f>IFERROR(IF(INDEX('CIOG'!$N$10:$N$13,MATCH($F295,'CIOG'!$B$10:$B$13,0))="","Cell will autofill based on response",INDEX('CIOG'!$N$10:$N$13,MATCH($F295,'CIOG'!$B$10:$B$13,0))),"N/A")</f>
        <v/>
      </c>
      <c r="R295" s="25">
        <f>IFERROR(IF(INDEX('MRE'!$N$10:$N$11,MATCH($F295,'MRE'!$B$10:$B$11,0))="","Cell will autofill based on response",INDEX('MRE'!$N$10:$N$11,MATCH($F295,'MRE'!$B$10:$B$11,0))),"N/A")</f>
        <v/>
      </c>
    </row>
    <row r="296">
      <c r="A296">
        <f>F296&amp;"|"&amp;G296</f>
        <v/>
      </c>
      <c r="B296" s="29" t="inlineStr"/>
      <c r="C296" s="8" t="inlineStr"/>
      <c r="D296" s="8" t="inlineStr"/>
      <c r="E296" s="8" t="inlineStr"/>
      <c r="F296" s="8" t="inlineStr">
        <is>
          <t>EN1(d)</t>
        </is>
      </c>
      <c r="G296" s="8" t="inlineStr">
        <is>
          <t>Supporting information/comments</t>
        </is>
      </c>
      <c r="H296" s="25">
        <f>IFERROR(IF(INDEX('Faculties'!$O$10:$O$29,MATCH($F296,'Faculties'!$B$10:$B$29,0))="","Cell will autofill based on response",INDEX('Faculties'!$O$10:$O$29,MATCH($F296,'Faculties'!$B$10:$B$29,0))),"N/A")</f>
        <v/>
      </c>
      <c r="I296" s="25">
        <f>IFERROR(IF(INDEX('Faculties'!$O$37:$O$56,MATCH($F296,'Faculties'!$B$37:$B$56,0))="","Cell will autofill based on response",INDEX('Faculties'!$O$37:$O$56,MATCH($F296,'Faculties'!$B$37:$B$56,0))),"N/A")</f>
        <v/>
      </c>
      <c r="J296" s="25">
        <f>IFERROR(IF(INDEX('Faculties'!$O$64:$O$83,MATCH($F296,'Faculties'!$B$64:$B$83,0))="","Cell will autofill based on response",INDEX('Faculties'!$O$64:$O$83,MATCH($F296,'Faculties'!$B$64:$B$83,0))),"N/A")</f>
        <v/>
      </c>
      <c r="K296" s="25">
        <f>IFERROR(IF(INDEX('Faculties'!$O$91:$O$110,MATCH($F296,'Faculties'!$B$91:$B$110,0))="","Cell will autofill based on response",INDEX('Faculties'!$O$91:$O$110,MATCH($F296,'Faculties'!$B$91:$B$110,0))),"N/A")</f>
        <v/>
      </c>
      <c r="L296" s="25">
        <f>IFERROR(IF(INDEX('CI&amp;S'!$O$10:$O$14,MATCH($F296,'CI&amp;S'!$B$10:$B$14,0))="","Cell will autofill based on response",INDEX('CI&amp;S'!$O$10:$O$14,MATCH($F296,'CI&amp;S'!$B$10:$B$14,0))),"N/A")</f>
        <v/>
      </c>
      <c r="M296" s="25">
        <f>IFERROR(IF(INDEX('CI&amp;S'!$O$22:$O$38,MATCH($F296,'CI&amp;S'!$B$22:$B$38,0))="","Cell will autofill based on response",INDEX('CI&amp;S'!$O$22:$O$38,MATCH($F296,'CI&amp;S'!$B$22:$B$38,0))),"N/A")</f>
        <v/>
      </c>
      <c r="N296" s="25">
        <f>IFERROR(IF(INDEX('CFOG'!$O$10:$O$15,MATCH($F296,'CFOG'!$B$10:$B$15,0))="","Cell will autofill based on response",INDEX('CFOG'!$O$10:$O$15,MATCH($F296,'CFOG'!$B$10:$B$15,0))),"N/A")</f>
        <v/>
      </c>
      <c r="O296" s="25">
        <f>IFERROR(IF(INDEX('CFOG'!$O$23:$O$23,MATCH($F296,'CFOG'!$B$23:$B$23,0))="","Cell will autofill based on response",INDEX('CFOG'!$O$23:$O$23,MATCH($F296,'CFOG'!$B$23:$B$23,0))),"N/A")</f>
        <v/>
      </c>
      <c r="P296" s="25">
        <f>IFERROR(IF(INDEX('ESG'!$O$10:$O$16,MATCH($F296,'ESG'!$B$10:$B$16,0))="","Cell will autofill based on response",INDEX('ESG'!$O$10:$O$16,MATCH($F296,'ESG'!$B$10:$B$16,0))),"N/A")</f>
        <v/>
      </c>
      <c r="Q296" s="25">
        <f>IFERROR(IF(INDEX('CIOG'!$O$10:$O$13,MATCH($F296,'CIOG'!$B$10:$B$13,0))="","Cell will autofill based on response",INDEX('CIOG'!$O$10:$O$13,MATCH($F296,'CIOG'!$B$10:$B$13,0))),"N/A")</f>
        <v/>
      </c>
      <c r="R296" s="25">
        <f>IFERROR(IF(INDEX('MRE'!$O$10:$O$11,MATCH($F296,'MRE'!$B$10:$B$11,0))="","Cell will autofill based on response",INDEX('MRE'!$O$10:$O$11,MATCH($F296,'MRE'!$B$10:$B$11,0))),"N/A")</f>
        <v/>
      </c>
    </row>
    <row r="297">
      <c r="A297">
        <f>F297&amp;"|"&amp;G297</f>
        <v/>
      </c>
      <c r="B297" s="29" t="inlineStr"/>
      <c r="C297" s="8" t="inlineStr"/>
      <c r="D297" s="8" t="inlineStr"/>
      <c r="E297" s="8" t="inlineStr"/>
      <c r="F297" s="8" t="inlineStr">
        <is>
          <t>EN1(d)</t>
        </is>
      </c>
      <c r="G297" s="8" t="inlineStr">
        <is>
          <t>Data source and limitations</t>
        </is>
      </c>
      <c r="H297" s="25">
        <f>IFERROR(IF(INDEX('Faculties'!$P$10:$P$29,MATCH($F297,'Faculties'!$B$10:$B$29,0))="","Cell will autofill based on response",INDEX('Faculties'!$P$10:$P$29,MATCH($F297,'Faculties'!$B$10:$B$29,0))),"N/A")</f>
        <v/>
      </c>
      <c r="I297" s="25">
        <f>IFERROR(IF(INDEX('Faculties'!$P$37:$P$56,MATCH($F297,'Faculties'!$B$37:$B$56,0))="","Cell will autofill based on response",INDEX('Faculties'!$P$37:$P$56,MATCH($F297,'Faculties'!$B$37:$B$56,0))),"N/A")</f>
        <v/>
      </c>
      <c r="J297" s="25">
        <f>IFERROR(IF(INDEX('Faculties'!$P$64:$P$83,MATCH($F297,'Faculties'!$B$64:$B$83,0))="","Cell will autofill based on response",INDEX('Faculties'!$P$64:$P$83,MATCH($F297,'Faculties'!$B$64:$B$83,0))),"N/A")</f>
        <v/>
      </c>
      <c r="K297" s="25">
        <f>IFERROR(IF(INDEX('Faculties'!$P$91:$P$110,MATCH($F297,'Faculties'!$B$91:$B$110,0))="","Cell will autofill based on response",INDEX('Faculties'!$P$91:$P$110,MATCH($F297,'Faculties'!$B$91:$B$110,0))),"N/A")</f>
        <v/>
      </c>
      <c r="L297" s="25">
        <f>IFERROR(IF(INDEX('CI&amp;S'!$P$10:$P$14,MATCH($F297,'CI&amp;S'!$B$10:$B$14,0))="","Cell will autofill based on response",INDEX('CI&amp;S'!$P$10:$P$14,MATCH($F297,'CI&amp;S'!$B$10:$B$14,0))),"N/A")</f>
        <v/>
      </c>
      <c r="M297" s="25">
        <f>IFERROR(IF(INDEX('CI&amp;S'!$P$22:$P$38,MATCH($F297,'CI&amp;S'!$B$22:$B$38,0))="","Cell will autofill based on response",INDEX('CI&amp;S'!$P$22:$P$38,MATCH($F297,'CI&amp;S'!$B$22:$B$38,0))),"N/A")</f>
        <v/>
      </c>
      <c r="N297" s="25">
        <f>IFERROR(IF(INDEX('CFOG'!$P$10:$P$15,MATCH($F297,'CFOG'!$B$10:$B$15,0))="","Cell will autofill based on response",INDEX('CFOG'!$P$10:$P$15,MATCH($F297,'CFOG'!$B$10:$B$15,0))),"N/A")</f>
        <v/>
      </c>
      <c r="O297" s="25">
        <f>IFERROR(IF(INDEX('CFOG'!$P$23:$P$23,MATCH($F297,'CFOG'!$B$23:$B$23,0))="","Cell will autofill based on response",INDEX('CFOG'!$P$23:$P$23,MATCH($F297,'CFOG'!$B$23:$B$23,0))),"N/A")</f>
        <v/>
      </c>
      <c r="P297" s="25">
        <f>IFERROR(IF(INDEX('ESG'!$P$10:$P$16,MATCH($F297,'ESG'!$B$10:$B$16,0))="","Cell will autofill based on response",INDEX('ESG'!$P$10:$P$16,MATCH($F297,'ESG'!$B$10:$B$16,0))),"N/A")</f>
        <v/>
      </c>
      <c r="Q297" s="25">
        <f>IFERROR(IF(INDEX('CIOG'!$P$10:$P$13,MATCH($F297,'CIOG'!$B$10:$B$13,0))="","Cell will autofill based on response",INDEX('CIOG'!$P$10:$P$13,MATCH($F297,'CIOG'!$B$10:$B$13,0))),"N/A")</f>
        <v/>
      </c>
      <c r="R297" s="25">
        <f>IFERROR(IF(INDEX('MRE'!$P$10:$P$11,MATCH($F297,'MRE'!$B$10:$B$11,0))="","Cell will autofill based on response",INDEX('MRE'!$P$10:$P$11,MATCH($F297,'MRE'!$B$10:$B$11,0))),"N/A")</f>
        <v/>
      </c>
    </row>
    <row r="298">
      <c r="A298">
        <f>F298&amp;"|"&amp;G298</f>
        <v/>
      </c>
      <c r="B298" s="29" t="inlineStr"/>
      <c r="C298" s="8" t="inlineStr"/>
      <c r="D298" s="8" t="inlineStr"/>
      <c r="E298" s="8" t="inlineStr"/>
      <c r="F298" s="8" t="inlineStr">
        <is>
          <t>EN1(d)</t>
        </is>
      </c>
      <c r="G298" s="8" t="inlineStr">
        <is>
          <t>Data owner confirms</t>
        </is>
      </c>
      <c r="H298" s="25">
        <f>IFERROR(IF(INDEX('Faculties'!$Q$10:$Q$29,MATCH($F298,'Faculties'!$B$10:$B$29,0))="","Cell will autofill based on response",INDEX('Faculties'!$Q$10:$Q$29,MATCH($F298,'Faculties'!$B$10:$B$29,0))),"N/A")</f>
        <v/>
      </c>
      <c r="I298" s="25">
        <f>IFERROR(IF(INDEX('Faculties'!$Q$37:$Q$56,MATCH($F298,'Faculties'!$B$37:$B$56,0))="","Cell will autofill based on response",INDEX('Faculties'!$Q$37:$Q$56,MATCH($F298,'Faculties'!$B$37:$B$56,0))),"N/A")</f>
        <v/>
      </c>
      <c r="J298" s="25">
        <f>IFERROR(IF(INDEX('Faculties'!$Q$64:$Q$83,MATCH($F298,'Faculties'!$B$64:$B$83,0))="","Cell will autofill based on response",INDEX('Faculties'!$Q$64:$Q$83,MATCH($F298,'Faculties'!$B$64:$B$83,0))),"N/A")</f>
        <v/>
      </c>
      <c r="K298" s="25">
        <f>IFERROR(IF(INDEX('Faculties'!$Q$91:$Q$110,MATCH($F298,'Faculties'!$B$91:$B$110,0))="","Cell will autofill based on response",INDEX('Faculties'!$Q$91:$Q$110,MATCH($F298,'Faculties'!$B$91:$B$110,0))),"N/A")</f>
        <v/>
      </c>
      <c r="L298" s="25">
        <f>IFERROR(IF(INDEX('CI&amp;S'!$Q$10:$Q$14,MATCH($F298,'CI&amp;S'!$B$10:$B$14,0))="","Cell will autofill based on response",INDEX('CI&amp;S'!$Q$10:$Q$14,MATCH($F298,'CI&amp;S'!$B$10:$B$14,0))),"N/A")</f>
        <v/>
      </c>
      <c r="M298" s="25">
        <f>IFERROR(IF(INDEX('CI&amp;S'!$Q$22:$Q$38,MATCH($F298,'CI&amp;S'!$B$22:$B$38,0))="","Cell will autofill based on response",INDEX('CI&amp;S'!$Q$22:$Q$38,MATCH($F298,'CI&amp;S'!$B$22:$B$38,0))),"N/A")</f>
        <v/>
      </c>
      <c r="N298" s="25">
        <f>IFERROR(IF(INDEX('CFOG'!$Q$10:$Q$15,MATCH($F298,'CFOG'!$B$10:$B$15,0))="","Cell will autofill based on response",INDEX('CFOG'!$Q$10:$Q$15,MATCH($F298,'CFOG'!$B$10:$B$15,0))),"N/A")</f>
        <v/>
      </c>
      <c r="O298" s="25">
        <f>IFERROR(IF(INDEX('CFOG'!$Q$23:$Q$23,MATCH($F298,'CFOG'!$B$23:$B$23,0))="","Cell will autofill based on response",INDEX('CFOG'!$Q$23:$Q$23,MATCH($F298,'CFOG'!$B$23:$B$23,0))),"N/A")</f>
        <v/>
      </c>
      <c r="P298" s="25">
        <f>IFERROR(IF(INDEX('ESG'!$Q$10:$Q$16,MATCH($F298,'ESG'!$B$10:$B$16,0))="","Cell will autofill based on response",INDEX('ESG'!$Q$10:$Q$16,MATCH($F298,'ESG'!$B$10:$B$16,0))),"N/A")</f>
        <v/>
      </c>
      <c r="Q298" s="25">
        <f>IFERROR(IF(INDEX('CIOG'!$Q$10:$Q$13,MATCH($F298,'CIOG'!$B$10:$B$13,0))="","Cell will autofill based on response",INDEX('CIOG'!$Q$10:$Q$13,MATCH($F298,'CIOG'!$B$10:$B$13,0))),"N/A")</f>
        <v/>
      </c>
      <c r="R298" s="25">
        <f>IFERROR(IF(INDEX('MRE'!$Q$10:$Q$11,MATCH($F298,'MRE'!$B$10:$B$11,0))="","Cell will autofill based on response",INDEX('MRE'!$Q$10:$Q$11,MATCH($F298,'MRE'!$B$10:$B$11,0))),"N/A")</f>
        <v/>
      </c>
    </row>
  </sheetData>
  <autoFilter ref="B10:AE298"/>
  <mergeCells count="1">
    <mergeCell ref="D4:N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No. of units requested</t>
        </is>
      </c>
    </row>
    <row r="7">
      <c r="B7" s="7" t="inlineStr">
        <is>
          <t>EE1(a)</t>
        </is>
      </c>
      <c r="C7" s="14">
        <f>IF('A1. Data scoring'!H11&lt;&gt;"N/A","Yes","No")</f>
        <v/>
      </c>
      <c r="D7" s="14">
        <f>IF('A1. Data scoring'!I11&lt;&gt;"N/A","Yes","No")</f>
        <v/>
      </c>
      <c r="E7" s="14">
        <f>IF('A1. Data scoring'!J11&lt;&gt;"N/A","Yes","No")</f>
        <v/>
      </c>
      <c r="F7" s="14">
        <f>IF('A1. Data scoring'!K11&lt;&gt;"N/A","Yes","No")</f>
        <v/>
      </c>
      <c r="G7" s="14">
        <f>IF('A1. Data scoring'!L11&lt;&gt;"N/A","Yes","No")</f>
        <v/>
      </c>
      <c r="H7" s="14">
        <f>IF('A1. Data scoring'!M11&lt;&gt;"N/A","Yes","No")</f>
        <v/>
      </c>
      <c r="I7" s="14">
        <f>IF('A1. Data scoring'!N11&lt;&gt;"N/A","Yes","No")</f>
        <v/>
      </c>
      <c r="J7" s="14">
        <f>IF('A1. Data scoring'!O11&lt;&gt;"N/A","Yes","No")</f>
        <v/>
      </c>
      <c r="K7" s="14">
        <f>IF('A1. Data scoring'!P11&lt;&gt;"N/A","Yes","No")</f>
        <v/>
      </c>
      <c r="L7" s="14">
        <f>IF('A1. Data scoring'!Q11&lt;&gt;"N/A","Yes","No")</f>
        <v/>
      </c>
      <c r="M7" s="14">
        <f>IF('A1. Data scoring'!R11&lt;&gt;"N/A","Yes","No")</f>
        <v/>
      </c>
      <c r="N7" s="8">
        <f>COUNTIF(C7:M7,"Yes")</f>
        <v/>
      </c>
    </row>
    <row r="8">
      <c r="B8" s="7" t="inlineStr">
        <is>
          <t>EE1(b)</t>
        </is>
      </c>
      <c r="C8" s="14">
        <f>IF('A1. Data scoring'!H17&lt;&gt;"N/A","Yes","No")</f>
        <v/>
      </c>
      <c r="D8" s="14">
        <f>IF('A1. Data scoring'!I17&lt;&gt;"N/A","Yes","No")</f>
        <v/>
      </c>
      <c r="E8" s="14">
        <f>IF('A1. Data scoring'!J17&lt;&gt;"N/A","Yes","No")</f>
        <v/>
      </c>
      <c r="F8" s="14">
        <f>IF('A1. Data scoring'!K17&lt;&gt;"N/A","Yes","No")</f>
        <v/>
      </c>
      <c r="G8" s="14">
        <f>IF('A1. Data scoring'!L17&lt;&gt;"N/A","Yes","No")</f>
        <v/>
      </c>
      <c r="H8" s="14">
        <f>IF('A1. Data scoring'!M17&lt;&gt;"N/A","Yes","No")</f>
        <v/>
      </c>
      <c r="I8" s="14">
        <f>IF('A1. Data scoring'!N17&lt;&gt;"N/A","Yes","No")</f>
        <v/>
      </c>
      <c r="J8" s="14">
        <f>IF('A1. Data scoring'!O17&lt;&gt;"N/A","Yes","No")</f>
        <v/>
      </c>
      <c r="K8" s="14">
        <f>IF('A1. Data scoring'!P17&lt;&gt;"N/A","Yes","No")</f>
        <v/>
      </c>
      <c r="L8" s="14">
        <f>IF('A1. Data scoring'!Q17&lt;&gt;"N/A","Yes","No")</f>
        <v/>
      </c>
      <c r="M8" s="14">
        <f>IF('A1. Data scoring'!R17&lt;&gt;"N/A","Yes","No")</f>
        <v/>
      </c>
      <c r="N8" s="8">
        <f>COUNTIF(C8:M8,"Yes")</f>
        <v/>
      </c>
    </row>
    <row r="9">
      <c r="B9" s="7" t="inlineStr">
        <is>
          <t>EE1(c)</t>
        </is>
      </c>
      <c r="C9" s="14">
        <f>IF('A1. Data scoring'!H23&lt;&gt;"N/A","Yes","No")</f>
        <v/>
      </c>
      <c r="D9" s="14">
        <f>IF('A1. Data scoring'!I23&lt;&gt;"N/A","Yes","No")</f>
        <v/>
      </c>
      <c r="E9" s="14">
        <f>IF('A1. Data scoring'!J23&lt;&gt;"N/A","Yes","No")</f>
        <v/>
      </c>
      <c r="F9" s="14">
        <f>IF('A1. Data scoring'!K23&lt;&gt;"N/A","Yes","No")</f>
        <v/>
      </c>
      <c r="G9" s="14">
        <f>IF('A1. Data scoring'!L23&lt;&gt;"N/A","Yes","No")</f>
        <v/>
      </c>
      <c r="H9" s="14">
        <f>IF('A1. Data scoring'!M23&lt;&gt;"N/A","Yes","No")</f>
        <v/>
      </c>
      <c r="I9" s="14">
        <f>IF('A1. Data scoring'!N23&lt;&gt;"N/A","Yes","No")</f>
        <v/>
      </c>
      <c r="J9" s="14">
        <f>IF('A1. Data scoring'!O23&lt;&gt;"N/A","Yes","No")</f>
        <v/>
      </c>
      <c r="K9" s="14">
        <f>IF('A1. Data scoring'!P23&lt;&gt;"N/A","Yes","No")</f>
        <v/>
      </c>
      <c r="L9" s="14">
        <f>IF('A1. Data scoring'!Q23&lt;&gt;"N/A","Yes","No")</f>
        <v/>
      </c>
      <c r="M9" s="14">
        <f>IF('A1. Data scoring'!R23&lt;&gt;"N/A","Yes","No")</f>
        <v/>
      </c>
      <c r="N9" s="8">
        <f>COUNTIF(C9:M9,"Yes")</f>
        <v/>
      </c>
    </row>
    <row r="10">
      <c r="B10" s="7" t="inlineStr">
        <is>
          <t>EE1(d)</t>
        </is>
      </c>
      <c r="C10" s="14">
        <f>IF('A1. Data scoring'!H29&lt;&gt;"N/A","Yes","No")</f>
        <v/>
      </c>
      <c r="D10" s="14">
        <f>IF('A1. Data scoring'!I29&lt;&gt;"N/A","Yes","No")</f>
        <v/>
      </c>
      <c r="E10" s="14">
        <f>IF('A1. Data scoring'!J29&lt;&gt;"N/A","Yes","No")</f>
        <v/>
      </c>
      <c r="F10" s="14">
        <f>IF('A1. Data scoring'!K29&lt;&gt;"N/A","Yes","No")</f>
        <v/>
      </c>
      <c r="G10" s="14">
        <f>IF('A1. Data scoring'!L29&lt;&gt;"N/A","Yes","No")</f>
        <v/>
      </c>
      <c r="H10" s="14">
        <f>IF('A1. Data scoring'!M29&lt;&gt;"N/A","Yes","No")</f>
        <v/>
      </c>
      <c r="I10" s="14">
        <f>IF('A1. Data scoring'!N29&lt;&gt;"N/A","Yes","No")</f>
        <v/>
      </c>
      <c r="J10" s="14">
        <f>IF('A1. Data scoring'!O29&lt;&gt;"N/A","Yes","No")</f>
        <v/>
      </c>
      <c r="K10" s="14">
        <f>IF('A1. Data scoring'!P29&lt;&gt;"N/A","Yes","No")</f>
        <v/>
      </c>
      <c r="L10" s="14">
        <f>IF('A1. Data scoring'!Q29&lt;&gt;"N/A","Yes","No")</f>
        <v/>
      </c>
      <c r="M10" s="14">
        <f>IF('A1. Data scoring'!R29&lt;&gt;"N/A","Yes","No")</f>
        <v/>
      </c>
      <c r="N10" s="8">
        <f>COUNTIF(C10:M10,"Yes")</f>
        <v/>
      </c>
    </row>
    <row r="11">
      <c r="B11" s="7" t="inlineStr">
        <is>
          <t>TR1(a)</t>
        </is>
      </c>
      <c r="C11" s="14">
        <f>IF('A1. Data scoring'!H35&lt;&gt;"N/A","Yes","No")</f>
        <v/>
      </c>
      <c r="D11" s="14">
        <f>IF('A1. Data scoring'!I35&lt;&gt;"N/A","Yes","No")</f>
        <v/>
      </c>
      <c r="E11" s="14">
        <f>IF('A1. Data scoring'!J35&lt;&gt;"N/A","Yes","No")</f>
        <v/>
      </c>
      <c r="F11" s="14">
        <f>IF('A1. Data scoring'!K35&lt;&gt;"N/A","Yes","No")</f>
        <v/>
      </c>
      <c r="G11" s="14">
        <f>IF('A1. Data scoring'!L35&lt;&gt;"N/A","Yes","No")</f>
        <v/>
      </c>
      <c r="H11" s="14">
        <f>IF('A1. Data scoring'!M35&lt;&gt;"N/A","Yes","No")</f>
        <v/>
      </c>
      <c r="I11" s="14">
        <f>IF('A1. Data scoring'!N35&lt;&gt;"N/A","Yes","No")</f>
        <v/>
      </c>
      <c r="J11" s="14">
        <f>IF('A1. Data scoring'!O35&lt;&gt;"N/A","Yes","No")</f>
        <v/>
      </c>
      <c r="K11" s="14">
        <f>IF('A1. Data scoring'!P35&lt;&gt;"N/A","Yes","No")</f>
        <v/>
      </c>
      <c r="L11" s="14">
        <f>IF('A1. Data scoring'!Q35&lt;&gt;"N/A","Yes","No")</f>
        <v/>
      </c>
      <c r="M11" s="14">
        <f>IF('A1. Data scoring'!R35&lt;&gt;"N/A","Yes","No")</f>
        <v/>
      </c>
      <c r="N11" s="8">
        <f>COUNTIF(C11:M11,"Yes")</f>
        <v/>
      </c>
    </row>
    <row r="12">
      <c r="B12" s="7" t="inlineStr">
        <is>
          <t>TR1(b)</t>
        </is>
      </c>
      <c r="C12" s="14">
        <f>IF('A1. Data scoring'!H41&lt;&gt;"N/A","Yes","No")</f>
        <v/>
      </c>
      <c r="D12" s="14">
        <f>IF('A1. Data scoring'!I41&lt;&gt;"N/A","Yes","No")</f>
        <v/>
      </c>
      <c r="E12" s="14">
        <f>IF('A1. Data scoring'!J41&lt;&gt;"N/A","Yes","No")</f>
        <v/>
      </c>
      <c r="F12" s="14">
        <f>IF('A1. Data scoring'!K41&lt;&gt;"N/A","Yes","No")</f>
        <v/>
      </c>
      <c r="G12" s="14">
        <f>IF('A1. Data scoring'!L41&lt;&gt;"N/A","Yes","No")</f>
        <v/>
      </c>
      <c r="H12" s="14">
        <f>IF('A1. Data scoring'!M41&lt;&gt;"N/A","Yes","No")</f>
        <v/>
      </c>
      <c r="I12" s="14">
        <f>IF('A1. Data scoring'!N41&lt;&gt;"N/A","Yes","No")</f>
        <v/>
      </c>
      <c r="J12" s="14">
        <f>IF('A1. Data scoring'!O41&lt;&gt;"N/A","Yes","No")</f>
        <v/>
      </c>
      <c r="K12" s="14">
        <f>IF('A1. Data scoring'!P41&lt;&gt;"N/A","Yes","No")</f>
        <v/>
      </c>
      <c r="L12" s="14">
        <f>IF('A1. Data scoring'!Q41&lt;&gt;"N/A","Yes","No")</f>
        <v/>
      </c>
      <c r="M12" s="14">
        <f>IF('A1. Data scoring'!R41&lt;&gt;"N/A","Yes","No")</f>
        <v/>
      </c>
      <c r="N12" s="8">
        <f>COUNTIF(C12:M12,"Yes")</f>
        <v/>
      </c>
    </row>
    <row r="13">
      <c r="B13" s="7" t="inlineStr">
        <is>
          <t>TR1(c)</t>
        </is>
      </c>
      <c r="C13" s="14">
        <f>IF('A1. Data scoring'!H47&lt;&gt;"N/A","Yes","No")</f>
        <v/>
      </c>
      <c r="D13" s="14">
        <f>IF('A1. Data scoring'!I47&lt;&gt;"N/A","Yes","No")</f>
        <v/>
      </c>
      <c r="E13" s="14">
        <f>IF('A1. Data scoring'!J47&lt;&gt;"N/A","Yes","No")</f>
        <v/>
      </c>
      <c r="F13" s="14">
        <f>IF('A1. Data scoring'!K47&lt;&gt;"N/A","Yes","No")</f>
        <v/>
      </c>
      <c r="G13" s="14">
        <f>IF('A1. Data scoring'!L47&lt;&gt;"N/A","Yes","No")</f>
        <v/>
      </c>
      <c r="H13" s="14">
        <f>IF('A1. Data scoring'!M47&lt;&gt;"N/A","Yes","No")</f>
        <v/>
      </c>
      <c r="I13" s="14">
        <f>IF('A1. Data scoring'!N47&lt;&gt;"N/A","Yes","No")</f>
        <v/>
      </c>
      <c r="J13" s="14">
        <f>IF('A1. Data scoring'!O47&lt;&gt;"N/A","Yes","No")</f>
        <v/>
      </c>
      <c r="K13" s="14">
        <f>IF('A1. Data scoring'!P47&lt;&gt;"N/A","Yes","No")</f>
        <v/>
      </c>
      <c r="L13" s="14">
        <f>IF('A1. Data scoring'!Q47&lt;&gt;"N/A","Yes","No")</f>
        <v/>
      </c>
      <c r="M13" s="14">
        <f>IF('A1. Data scoring'!R47&lt;&gt;"N/A","Yes","No")</f>
        <v/>
      </c>
      <c r="N13" s="8">
        <f>COUNTIF(C13:M13,"Yes")</f>
        <v/>
      </c>
    </row>
    <row r="14">
      <c r="B14" s="7" t="inlineStr">
        <is>
          <t>TR1(d)</t>
        </is>
      </c>
      <c r="C14" s="14">
        <f>IF('A1. Data scoring'!H53&lt;&gt;"N/A","Yes","No")</f>
        <v/>
      </c>
      <c r="D14" s="14">
        <f>IF('A1. Data scoring'!I53&lt;&gt;"N/A","Yes","No")</f>
        <v/>
      </c>
      <c r="E14" s="14">
        <f>IF('A1. Data scoring'!J53&lt;&gt;"N/A","Yes","No")</f>
        <v/>
      </c>
      <c r="F14" s="14">
        <f>IF('A1. Data scoring'!K53&lt;&gt;"N/A","Yes","No")</f>
        <v/>
      </c>
      <c r="G14" s="14">
        <f>IF('A1. Data scoring'!L53&lt;&gt;"N/A","Yes","No")</f>
        <v/>
      </c>
      <c r="H14" s="14">
        <f>IF('A1. Data scoring'!M53&lt;&gt;"N/A","Yes","No")</f>
        <v/>
      </c>
      <c r="I14" s="14">
        <f>IF('A1. Data scoring'!N53&lt;&gt;"N/A","Yes","No")</f>
        <v/>
      </c>
      <c r="J14" s="14">
        <f>IF('A1. Data scoring'!O53&lt;&gt;"N/A","Yes","No")</f>
        <v/>
      </c>
      <c r="K14" s="14">
        <f>IF('A1. Data scoring'!P53&lt;&gt;"N/A","Yes","No")</f>
        <v/>
      </c>
      <c r="L14" s="14">
        <f>IF('A1. Data scoring'!Q53&lt;&gt;"N/A","Yes","No")</f>
        <v/>
      </c>
      <c r="M14" s="14">
        <f>IF('A1. Data scoring'!R53&lt;&gt;"N/A","Yes","No")</f>
        <v/>
      </c>
      <c r="N14" s="8">
        <f>COUNTIF(C14:M14,"Yes")</f>
        <v/>
      </c>
    </row>
    <row r="15">
      <c r="B15" s="7" t="inlineStr">
        <is>
          <t>TR2(a)</t>
        </is>
      </c>
      <c r="C15" s="14">
        <f>IF('A1. Data scoring'!H59&lt;&gt;"N/A","Yes","No")</f>
        <v/>
      </c>
      <c r="D15" s="14">
        <f>IF('A1. Data scoring'!I59&lt;&gt;"N/A","Yes","No")</f>
        <v/>
      </c>
      <c r="E15" s="14">
        <f>IF('A1. Data scoring'!J59&lt;&gt;"N/A","Yes","No")</f>
        <v/>
      </c>
      <c r="F15" s="14">
        <f>IF('A1. Data scoring'!K59&lt;&gt;"N/A","Yes","No")</f>
        <v/>
      </c>
      <c r="G15" s="14">
        <f>IF('A1. Data scoring'!L59&lt;&gt;"N/A","Yes","No")</f>
        <v/>
      </c>
      <c r="H15" s="14">
        <f>IF('A1. Data scoring'!M59&lt;&gt;"N/A","Yes","No")</f>
        <v/>
      </c>
      <c r="I15" s="14">
        <f>IF('A1. Data scoring'!N59&lt;&gt;"N/A","Yes","No")</f>
        <v/>
      </c>
      <c r="J15" s="14">
        <f>IF('A1. Data scoring'!O59&lt;&gt;"N/A","Yes","No")</f>
        <v/>
      </c>
      <c r="K15" s="14">
        <f>IF('A1. Data scoring'!P59&lt;&gt;"N/A","Yes","No")</f>
        <v/>
      </c>
      <c r="L15" s="14">
        <f>IF('A1. Data scoring'!Q59&lt;&gt;"N/A","Yes","No")</f>
        <v/>
      </c>
      <c r="M15" s="14">
        <f>IF('A1. Data scoring'!R59&lt;&gt;"N/A","Yes","No")</f>
        <v/>
      </c>
      <c r="N15" s="8">
        <f>COUNTIF(C15:M15,"Yes")</f>
        <v/>
      </c>
    </row>
    <row r="16">
      <c r="B16" s="7" t="inlineStr">
        <is>
          <t>TR2(b)</t>
        </is>
      </c>
      <c r="C16" s="14">
        <f>IF('A1. Data scoring'!H65&lt;&gt;"N/A","Yes","No")</f>
        <v/>
      </c>
      <c r="D16" s="14">
        <f>IF('A1. Data scoring'!I65&lt;&gt;"N/A","Yes","No")</f>
        <v/>
      </c>
      <c r="E16" s="14">
        <f>IF('A1. Data scoring'!J65&lt;&gt;"N/A","Yes","No")</f>
        <v/>
      </c>
      <c r="F16" s="14">
        <f>IF('A1. Data scoring'!K65&lt;&gt;"N/A","Yes","No")</f>
        <v/>
      </c>
      <c r="G16" s="14">
        <f>IF('A1. Data scoring'!L65&lt;&gt;"N/A","Yes","No")</f>
        <v/>
      </c>
      <c r="H16" s="14">
        <f>IF('A1. Data scoring'!M65&lt;&gt;"N/A","Yes","No")</f>
        <v/>
      </c>
      <c r="I16" s="14">
        <f>IF('A1. Data scoring'!N65&lt;&gt;"N/A","Yes","No")</f>
        <v/>
      </c>
      <c r="J16" s="14">
        <f>IF('A1. Data scoring'!O65&lt;&gt;"N/A","Yes","No")</f>
        <v/>
      </c>
      <c r="K16" s="14">
        <f>IF('A1. Data scoring'!P65&lt;&gt;"N/A","Yes","No")</f>
        <v/>
      </c>
      <c r="L16" s="14">
        <f>IF('A1. Data scoring'!Q65&lt;&gt;"N/A","Yes","No")</f>
        <v/>
      </c>
      <c r="M16" s="14">
        <f>IF('A1. Data scoring'!R65&lt;&gt;"N/A","Yes","No")</f>
        <v/>
      </c>
      <c r="N16" s="8">
        <f>COUNTIF(C16:M16,"Yes")</f>
        <v/>
      </c>
    </row>
    <row r="17">
      <c r="B17" s="7" t="inlineStr">
        <is>
          <t>TR2(c)</t>
        </is>
      </c>
      <c r="C17" s="14">
        <f>IF('A1. Data scoring'!H71&lt;&gt;"N/A","Yes","No")</f>
        <v/>
      </c>
      <c r="D17" s="14">
        <f>IF('A1. Data scoring'!I71&lt;&gt;"N/A","Yes","No")</f>
        <v/>
      </c>
      <c r="E17" s="14">
        <f>IF('A1. Data scoring'!J71&lt;&gt;"N/A","Yes","No")</f>
        <v/>
      </c>
      <c r="F17" s="14">
        <f>IF('A1. Data scoring'!K71&lt;&gt;"N/A","Yes","No")</f>
        <v/>
      </c>
      <c r="G17" s="14">
        <f>IF('A1. Data scoring'!L71&lt;&gt;"N/A","Yes","No")</f>
        <v/>
      </c>
      <c r="H17" s="14">
        <f>IF('A1. Data scoring'!M71&lt;&gt;"N/A","Yes","No")</f>
        <v/>
      </c>
      <c r="I17" s="14">
        <f>IF('A1. Data scoring'!N71&lt;&gt;"N/A","Yes","No")</f>
        <v/>
      </c>
      <c r="J17" s="14">
        <f>IF('A1. Data scoring'!O71&lt;&gt;"N/A","Yes","No")</f>
        <v/>
      </c>
      <c r="K17" s="14">
        <f>IF('A1. Data scoring'!P71&lt;&gt;"N/A","Yes","No")</f>
        <v/>
      </c>
      <c r="L17" s="14">
        <f>IF('A1. Data scoring'!Q71&lt;&gt;"N/A","Yes","No")</f>
        <v/>
      </c>
      <c r="M17" s="14">
        <f>IF('A1. Data scoring'!R71&lt;&gt;"N/A","Yes","No")</f>
        <v/>
      </c>
      <c r="N17" s="8">
        <f>COUNTIF(C17:M17,"Yes")</f>
        <v/>
      </c>
    </row>
    <row r="18">
      <c r="B18" s="7" t="inlineStr">
        <is>
          <t>TR2(d)</t>
        </is>
      </c>
      <c r="C18" s="14">
        <f>IF('A1. Data scoring'!H77&lt;&gt;"N/A","Yes","No")</f>
        <v/>
      </c>
      <c r="D18" s="14">
        <f>IF('A1. Data scoring'!I77&lt;&gt;"N/A","Yes","No")</f>
        <v/>
      </c>
      <c r="E18" s="14">
        <f>IF('A1. Data scoring'!J77&lt;&gt;"N/A","Yes","No")</f>
        <v/>
      </c>
      <c r="F18" s="14">
        <f>IF('A1. Data scoring'!K77&lt;&gt;"N/A","Yes","No")</f>
        <v/>
      </c>
      <c r="G18" s="14">
        <f>IF('A1. Data scoring'!L77&lt;&gt;"N/A","Yes","No")</f>
        <v/>
      </c>
      <c r="H18" s="14">
        <f>IF('A1. Data scoring'!M77&lt;&gt;"N/A","Yes","No")</f>
        <v/>
      </c>
      <c r="I18" s="14">
        <f>IF('A1. Data scoring'!N77&lt;&gt;"N/A","Yes","No")</f>
        <v/>
      </c>
      <c r="J18" s="14">
        <f>IF('A1. Data scoring'!O77&lt;&gt;"N/A","Yes","No")</f>
        <v/>
      </c>
      <c r="K18" s="14">
        <f>IF('A1. Data scoring'!P77&lt;&gt;"N/A","Yes","No")</f>
        <v/>
      </c>
      <c r="L18" s="14">
        <f>IF('A1. Data scoring'!Q77&lt;&gt;"N/A","Yes","No")</f>
        <v/>
      </c>
      <c r="M18" s="14">
        <f>IF('A1. Data scoring'!R77&lt;&gt;"N/A","Yes","No")</f>
        <v/>
      </c>
      <c r="N18" s="8">
        <f>COUNTIF(C18:M18,"Yes")</f>
        <v/>
      </c>
    </row>
    <row r="19">
      <c r="B19" s="7" t="inlineStr">
        <is>
          <t>TR3(a)</t>
        </is>
      </c>
      <c r="C19" s="14">
        <f>IF('A1. Data scoring'!H83&lt;&gt;"N/A","Yes","No")</f>
        <v/>
      </c>
      <c r="D19" s="14">
        <f>IF('A1. Data scoring'!I83&lt;&gt;"N/A","Yes","No")</f>
        <v/>
      </c>
      <c r="E19" s="14">
        <f>IF('A1. Data scoring'!J83&lt;&gt;"N/A","Yes","No")</f>
        <v/>
      </c>
      <c r="F19" s="14">
        <f>IF('A1. Data scoring'!K83&lt;&gt;"N/A","Yes","No")</f>
        <v/>
      </c>
      <c r="G19" s="14">
        <f>IF('A1. Data scoring'!L83&lt;&gt;"N/A","Yes","No")</f>
        <v/>
      </c>
      <c r="H19" s="14">
        <f>IF('A1. Data scoring'!M83&lt;&gt;"N/A","Yes","No")</f>
        <v/>
      </c>
      <c r="I19" s="14">
        <f>IF('A1. Data scoring'!N83&lt;&gt;"N/A","Yes","No")</f>
        <v/>
      </c>
      <c r="J19" s="14">
        <f>IF('A1. Data scoring'!O83&lt;&gt;"N/A","Yes","No")</f>
        <v/>
      </c>
      <c r="K19" s="14">
        <f>IF('A1. Data scoring'!P83&lt;&gt;"N/A","Yes","No")</f>
        <v/>
      </c>
      <c r="L19" s="14">
        <f>IF('A1. Data scoring'!Q83&lt;&gt;"N/A","Yes","No")</f>
        <v/>
      </c>
      <c r="M19" s="14">
        <f>IF('A1. Data scoring'!R83&lt;&gt;"N/A","Yes","No")</f>
        <v/>
      </c>
      <c r="N19" s="8">
        <f>COUNTIF(C19:M19,"Yes")</f>
        <v/>
      </c>
    </row>
    <row r="20">
      <c r="B20" s="7" t="inlineStr">
        <is>
          <t>TR3(b)</t>
        </is>
      </c>
      <c r="C20" s="14">
        <f>IF('A1. Data scoring'!H89&lt;&gt;"N/A","Yes","No")</f>
        <v/>
      </c>
      <c r="D20" s="14">
        <f>IF('A1. Data scoring'!I89&lt;&gt;"N/A","Yes","No")</f>
        <v/>
      </c>
      <c r="E20" s="14">
        <f>IF('A1. Data scoring'!J89&lt;&gt;"N/A","Yes","No")</f>
        <v/>
      </c>
      <c r="F20" s="14">
        <f>IF('A1. Data scoring'!K89&lt;&gt;"N/A","Yes","No")</f>
        <v/>
      </c>
      <c r="G20" s="14">
        <f>IF('A1. Data scoring'!L89&lt;&gt;"N/A","Yes","No")</f>
        <v/>
      </c>
      <c r="H20" s="14">
        <f>IF('A1. Data scoring'!M89&lt;&gt;"N/A","Yes","No")</f>
        <v/>
      </c>
      <c r="I20" s="14">
        <f>IF('A1. Data scoring'!N89&lt;&gt;"N/A","Yes","No")</f>
        <v/>
      </c>
      <c r="J20" s="14">
        <f>IF('A1. Data scoring'!O89&lt;&gt;"N/A","Yes","No")</f>
        <v/>
      </c>
      <c r="K20" s="14">
        <f>IF('A1. Data scoring'!P89&lt;&gt;"N/A","Yes","No")</f>
        <v/>
      </c>
      <c r="L20" s="14">
        <f>IF('A1. Data scoring'!Q89&lt;&gt;"N/A","Yes","No")</f>
        <v/>
      </c>
      <c r="M20" s="14">
        <f>IF('A1. Data scoring'!R89&lt;&gt;"N/A","Yes","No")</f>
        <v/>
      </c>
      <c r="N20" s="8">
        <f>COUNTIF(C20:M20,"Yes")</f>
        <v/>
      </c>
    </row>
    <row r="21">
      <c r="B21" s="7" t="inlineStr">
        <is>
          <t>TR3(c)</t>
        </is>
      </c>
      <c r="C21" s="14">
        <f>IF('A1. Data scoring'!H95&lt;&gt;"N/A","Yes","No")</f>
        <v/>
      </c>
      <c r="D21" s="14">
        <f>IF('A1. Data scoring'!I95&lt;&gt;"N/A","Yes","No")</f>
        <v/>
      </c>
      <c r="E21" s="14">
        <f>IF('A1. Data scoring'!J95&lt;&gt;"N/A","Yes","No")</f>
        <v/>
      </c>
      <c r="F21" s="14">
        <f>IF('A1. Data scoring'!K95&lt;&gt;"N/A","Yes","No")</f>
        <v/>
      </c>
      <c r="G21" s="14">
        <f>IF('A1. Data scoring'!L95&lt;&gt;"N/A","Yes","No")</f>
        <v/>
      </c>
      <c r="H21" s="14">
        <f>IF('A1. Data scoring'!M95&lt;&gt;"N/A","Yes","No")</f>
        <v/>
      </c>
      <c r="I21" s="14">
        <f>IF('A1. Data scoring'!N95&lt;&gt;"N/A","Yes","No")</f>
        <v/>
      </c>
      <c r="J21" s="14">
        <f>IF('A1. Data scoring'!O95&lt;&gt;"N/A","Yes","No")</f>
        <v/>
      </c>
      <c r="K21" s="14">
        <f>IF('A1. Data scoring'!P95&lt;&gt;"N/A","Yes","No")</f>
        <v/>
      </c>
      <c r="L21" s="14">
        <f>IF('A1. Data scoring'!Q95&lt;&gt;"N/A","Yes","No")</f>
        <v/>
      </c>
      <c r="M21" s="14">
        <f>IF('A1. Data scoring'!R95&lt;&gt;"N/A","Yes","No")</f>
        <v/>
      </c>
      <c r="N21" s="8">
        <f>COUNTIF(C21:M21,"Yes")</f>
        <v/>
      </c>
    </row>
    <row r="22">
      <c r="B22" s="7" t="inlineStr">
        <is>
          <t>TR3(d)</t>
        </is>
      </c>
      <c r="C22" s="14">
        <f>IF('A1. Data scoring'!H101&lt;&gt;"N/A","Yes","No")</f>
        <v/>
      </c>
      <c r="D22" s="14">
        <f>IF('A1. Data scoring'!I101&lt;&gt;"N/A","Yes","No")</f>
        <v/>
      </c>
      <c r="E22" s="14">
        <f>IF('A1. Data scoring'!J101&lt;&gt;"N/A","Yes","No")</f>
        <v/>
      </c>
      <c r="F22" s="14">
        <f>IF('A1. Data scoring'!K101&lt;&gt;"N/A","Yes","No")</f>
        <v/>
      </c>
      <c r="G22" s="14">
        <f>IF('A1. Data scoring'!L101&lt;&gt;"N/A","Yes","No")</f>
        <v/>
      </c>
      <c r="H22" s="14">
        <f>IF('A1. Data scoring'!M101&lt;&gt;"N/A","Yes","No")</f>
        <v/>
      </c>
      <c r="I22" s="14">
        <f>IF('A1. Data scoring'!N101&lt;&gt;"N/A","Yes","No")</f>
        <v/>
      </c>
      <c r="J22" s="14">
        <f>IF('A1. Data scoring'!O101&lt;&gt;"N/A","Yes","No")</f>
        <v/>
      </c>
      <c r="K22" s="14">
        <f>IF('A1. Data scoring'!P101&lt;&gt;"N/A","Yes","No")</f>
        <v/>
      </c>
      <c r="L22" s="14">
        <f>IF('A1. Data scoring'!Q101&lt;&gt;"N/A","Yes","No")</f>
        <v/>
      </c>
      <c r="M22" s="14">
        <f>IF('A1. Data scoring'!R101&lt;&gt;"N/A","Yes","No")</f>
        <v/>
      </c>
      <c r="N22" s="8">
        <f>COUNTIF(C22:M22,"Yes")</f>
        <v/>
      </c>
    </row>
    <row r="23">
      <c r="B23" s="7" t="inlineStr">
        <is>
          <t>CL1(a)</t>
        </is>
      </c>
      <c r="C23" s="14">
        <f>IF('A1. Data scoring'!H107&lt;&gt;"N/A","Yes","No")</f>
        <v/>
      </c>
      <c r="D23" s="14">
        <f>IF('A1. Data scoring'!I107&lt;&gt;"N/A","Yes","No")</f>
        <v/>
      </c>
      <c r="E23" s="14">
        <f>IF('A1. Data scoring'!J107&lt;&gt;"N/A","Yes","No")</f>
        <v/>
      </c>
      <c r="F23" s="14">
        <f>IF('A1. Data scoring'!K107&lt;&gt;"N/A","Yes","No")</f>
        <v/>
      </c>
      <c r="G23" s="14">
        <f>IF('A1. Data scoring'!L107&lt;&gt;"N/A","Yes","No")</f>
        <v/>
      </c>
      <c r="H23" s="14">
        <f>IF('A1. Data scoring'!M107&lt;&gt;"N/A","Yes","No")</f>
        <v/>
      </c>
      <c r="I23" s="14">
        <f>IF('A1. Data scoring'!N107&lt;&gt;"N/A","Yes","No")</f>
        <v/>
      </c>
      <c r="J23" s="14">
        <f>IF('A1. Data scoring'!O107&lt;&gt;"N/A","Yes","No")</f>
        <v/>
      </c>
      <c r="K23" s="14">
        <f>IF('A1. Data scoring'!P107&lt;&gt;"N/A","Yes","No")</f>
        <v/>
      </c>
      <c r="L23" s="14">
        <f>IF('A1. Data scoring'!Q107&lt;&gt;"N/A","Yes","No")</f>
        <v/>
      </c>
      <c r="M23" s="14">
        <f>IF('A1. Data scoring'!R107&lt;&gt;"N/A","Yes","No")</f>
        <v/>
      </c>
      <c r="N23" s="8">
        <f>COUNTIF(C23:M23,"Yes")</f>
        <v/>
      </c>
    </row>
    <row r="24">
      <c r="B24" s="7" t="inlineStr">
        <is>
          <t>CL1(b)</t>
        </is>
      </c>
      <c r="C24" s="14">
        <f>IF('A1. Data scoring'!H113&lt;&gt;"N/A","Yes","No")</f>
        <v/>
      </c>
      <c r="D24" s="14">
        <f>IF('A1. Data scoring'!I113&lt;&gt;"N/A","Yes","No")</f>
        <v/>
      </c>
      <c r="E24" s="14">
        <f>IF('A1. Data scoring'!J113&lt;&gt;"N/A","Yes","No")</f>
        <v/>
      </c>
      <c r="F24" s="14">
        <f>IF('A1. Data scoring'!K113&lt;&gt;"N/A","Yes","No")</f>
        <v/>
      </c>
      <c r="G24" s="14">
        <f>IF('A1. Data scoring'!L113&lt;&gt;"N/A","Yes","No")</f>
        <v/>
      </c>
      <c r="H24" s="14">
        <f>IF('A1. Data scoring'!M113&lt;&gt;"N/A","Yes","No")</f>
        <v/>
      </c>
      <c r="I24" s="14">
        <f>IF('A1. Data scoring'!N113&lt;&gt;"N/A","Yes","No")</f>
        <v/>
      </c>
      <c r="J24" s="14">
        <f>IF('A1. Data scoring'!O113&lt;&gt;"N/A","Yes","No")</f>
        <v/>
      </c>
      <c r="K24" s="14">
        <f>IF('A1. Data scoring'!P113&lt;&gt;"N/A","Yes","No")</f>
        <v/>
      </c>
      <c r="L24" s="14">
        <f>IF('A1. Data scoring'!Q113&lt;&gt;"N/A","Yes","No")</f>
        <v/>
      </c>
      <c r="M24" s="14">
        <f>IF('A1. Data scoring'!R113&lt;&gt;"N/A","Yes","No")</f>
        <v/>
      </c>
      <c r="N24" s="8">
        <f>COUNTIF(C24:M24,"Yes")</f>
        <v/>
      </c>
    </row>
    <row r="25">
      <c r="B25" s="7" t="inlineStr">
        <is>
          <t>CL1(c)</t>
        </is>
      </c>
      <c r="C25" s="14">
        <f>IF('A1. Data scoring'!H119&lt;&gt;"N/A","Yes","No")</f>
        <v/>
      </c>
      <c r="D25" s="14">
        <f>IF('A1. Data scoring'!I119&lt;&gt;"N/A","Yes","No")</f>
        <v/>
      </c>
      <c r="E25" s="14">
        <f>IF('A1. Data scoring'!J119&lt;&gt;"N/A","Yes","No")</f>
        <v/>
      </c>
      <c r="F25" s="14">
        <f>IF('A1. Data scoring'!K119&lt;&gt;"N/A","Yes","No")</f>
        <v/>
      </c>
      <c r="G25" s="14">
        <f>IF('A1. Data scoring'!L119&lt;&gt;"N/A","Yes","No")</f>
        <v/>
      </c>
      <c r="H25" s="14">
        <f>IF('A1. Data scoring'!M119&lt;&gt;"N/A","Yes","No")</f>
        <v/>
      </c>
      <c r="I25" s="14">
        <f>IF('A1. Data scoring'!N119&lt;&gt;"N/A","Yes","No")</f>
        <v/>
      </c>
      <c r="J25" s="14">
        <f>IF('A1. Data scoring'!O119&lt;&gt;"N/A","Yes","No")</f>
        <v/>
      </c>
      <c r="K25" s="14">
        <f>IF('A1. Data scoring'!P119&lt;&gt;"N/A","Yes","No")</f>
        <v/>
      </c>
      <c r="L25" s="14">
        <f>IF('A1. Data scoring'!Q119&lt;&gt;"N/A","Yes","No")</f>
        <v/>
      </c>
      <c r="M25" s="14">
        <f>IF('A1. Data scoring'!R119&lt;&gt;"N/A","Yes","No")</f>
        <v/>
      </c>
      <c r="N25" s="8">
        <f>COUNTIF(C25:M25,"Yes")</f>
        <v/>
      </c>
    </row>
    <row r="26">
      <c r="B26" s="7" t="inlineStr">
        <is>
          <t>CL2(a)</t>
        </is>
      </c>
      <c r="C26" s="14">
        <f>IF('A1. Data scoring'!H125&lt;&gt;"N/A","Yes","No")</f>
        <v/>
      </c>
      <c r="D26" s="14">
        <f>IF('A1. Data scoring'!I125&lt;&gt;"N/A","Yes","No")</f>
        <v/>
      </c>
      <c r="E26" s="14">
        <f>IF('A1. Data scoring'!J125&lt;&gt;"N/A","Yes","No")</f>
        <v/>
      </c>
      <c r="F26" s="14">
        <f>IF('A1. Data scoring'!K125&lt;&gt;"N/A","Yes","No")</f>
        <v/>
      </c>
      <c r="G26" s="14">
        <f>IF('A1. Data scoring'!L125&lt;&gt;"N/A","Yes","No")</f>
        <v/>
      </c>
      <c r="H26" s="14">
        <f>IF('A1. Data scoring'!M125&lt;&gt;"N/A","Yes","No")</f>
        <v/>
      </c>
      <c r="I26" s="14">
        <f>IF('A1. Data scoring'!N125&lt;&gt;"N/A","Yes","No")</f>
        <v/>
      </c>
      <c r="J26" s="14">
        <f>IF('A1. Data scoring'!O125&lt;&gt;"N/A","Yes","No")</f>
        <v/>
      </c>
      <c r="K26" s="14">
        <f>IF('A1. Data scoring'!P125&lt;&gt;"N/A","Yes","No")</f>
        <v/>
      </c>
      <c r="L26" s="14">
        <f>IF('A1. Data scoring'!Q125&lt;&gt;"N/A","Yes","No")</f>
        <v/>
      </c>
      <c r="M26" s="14">
        <f>IF('A1. Data scoring'!R125&lt;&gt;"N/A","Yes","No")</f>
        <v/>
      </c>
      <c r="N26" s="8">
        <f>COUNTIF(C26:M26,"Yes")</f>
        <v/>
      </c>
    </row>
    <row r="27">
      <c r="B27" s="7" t="inlineStr">
        <is>
          <t>CL2(b)</t>
        </is>
      </c>
      <c r="C27" s="14">
        <f>IF('A1. Data scoring'!H131&lt;&gt;"N/A","Yes","No")</f>
        <v/>
      </c>
      <c r="D27" s="14">
        <f>IF('A1. Data scoring'!I131&lt;&gt;"N/A","Yes","No")</f>
        <v/>
      </c>
      <c r="E27" s="14">
        <f>IF('A1. Data scoring'!J131&lt;&gt;"N/A","Yes","No")</f>
        <v/>
      </c>
      <c r="F27" s="14">
        <f>IF('A1. Data scoring'!K131&lt;&gt;"N/A","Yes","No")</f>
        <v/>
      </c>
      <c r="G27" s="14">
        <f>IF('A1. Data scoring'!L131&lt;&gt;"N/A","Yes","No")</f>
        <v/>
      </c>
      <c r="H27" s="14">
        <f>IF('A1. Data scoring'!M131&lt;&gt;"N/A","Yes","No")</f>
        <v/>
      </c>
      <c r="I27" s="14">
        <f>IF('A1. Data scoring'!N131&lt;&gt;"N/A","Yes","No")</f>
        <v/>
      </c>
      <c r="J27" s="14">
        <f>IF('A1. Data scoring'!O131&lt;&gt;"N/A","Yes","No")</f>
        <v/>
      </c>
      <c r="K27" s="14">
        <f>IF('A1. Data scoring'!P131&lt;&gt;"N/A","Yes","No")</f>
        <v/>
      </c>
      <c r="L27" s="14">
        <f>IF('A1. Data scoring'!Q131&lt;&gt;"N/A","Yes","No")</f>
        <v/>
      </c>
      <c r="M27" s="14">
        <f>IF('A1. Data scoring'!R131&lt;&gt;"N/A","Yes","No")</f>
        <v/>
      </c>
      <c r="N27" s="8">
        <f>COUNTIF(C27:M27,"Yes")</f>
        <v/>
      </c>
    </row>
    <row r="28">
      <c r="B28" s="7" t="inlineStr">
        <is>
          <t>CL2(c)</t>
        </is>
      </c>
      <c r="C28" s="14">
        <f>IF('A1. Data scoring'!H137&lt;&gt;"N/A","Yes","No")</f>
        <v/>
      </c>
      <c r="D28" s="14">
        <f>IF('A1. Data scoring'!I137&lt;&gt;"N/A","Yes","No")</f>
        <v/>
      </c>
      <c r="E28" s="14">
        <f>IF('A1. Data scoring'!J137&lt;&gt;"N/A","Yes","No")</f>
        <v/>
      </c>
      <c r="F28" s="14">
        <f>IF('A1. Data scoring'!K137&lt;&gt;"N/A","Yes","No")</f>
        <v/>
      </c>
      <c r="G28" s="14">
        <f>IF('A1. Data scoring'!L137&lt;&gt;"N/A","Yes","No")</f>
        <v/>
      </c>
      <c r="H28" s="14">
        <f>IF('A1. Data scoring'!M137&lt;&gt;"N/A","Yes","No")</f>
        <v/>
      </c>
      <c r="I28" s="14">
        <f>IF('A1. Data scoring'!N137&lt;&gt;"N/A","Yes","No")</f>
        <v/>
      </c>
      <c r="J28" s="14">
        <f>IF('A1. Data scoring'!O137&lt;&gt;"N/A","Yes","No")</f>
        <v/>
      </c>
      <c r="K28" s="14">
        <f>IF('A1. Data scoring'!P137&lt;&gt;"N/A","Yes","No")</f>
        <v/>
      </c>
      <c r="L28" s="14">
        <f>IF('A1. Data scoring'!Q137&lt;&gt;"N/A","Yes","No")</f>
        <v/>
      </c>
      <c r="M28" s="14">
        <f>IF('A1. Data scoring'!R137&lt;&gt;"N/A","Yes","No")</f>
        <v/>
      </c>
      <c r="N28" s="8">
        <f>COUNTIF(C28:M28,"Yes")</f>
        <v/>
      </c>
    </row>
    <row r="29">
      <c r="B29" s="7" t="inlineStr">
        <is>
          <t>CL3(a)</t>
        </is>
      </c>
      <c r="C29" s="14">
        <f>IF('A1. Data scoring'!H143&lt;&gt;"N/A","Yes","No")</f>
        <v/>
      </c>
      <c r="D29" s="14">
        <f>IF('A1. Data scoring'!I143&lt;&gt;"N/A","Yes","No")</f>
        <v/>
      </c>
      <c r="E29" s="14">
        <f>IF('A1. Data scoring'!J143&lt;&gt;"N/A","Yes","No")</f>
        <v/>
      </c>
      <c r="F29" s="14">
        <f>IF('A1. Data scoring'!K143&lt;&gt;"N/A","Yes","No")</f>
        <v/>
      </c>
      <c r="G29" s="14">
        <f>IF('A1. Data scoring'!L143&lt;&gt;"N/A","Yes","No")</f>
        <v/>
      </c>
      <c r="H29" s="14">
        <f>IF('A1. Data scoring'!M143&lt;&gt;"N/A","Yes","No")</f>
        <v/>
      </c>
      <c r="I29" s="14">
        <f>IF('A1. Data scoring'!N143&lt;&gt;"N/A","Yes","No")</f>
        <v/>
      </c>
      <c r="J29" s="14">
        <f>IF('A1. Data scoring'!O143&lt;&gt;"N/A","Yes","No")</f>
        <v/>
      </c>
      <c r="K29" s="14">
        <f>IF('A1. Data scoring'!P143&lt;&gt;"N/A","Yes","No")</f>
        <v/>
      </c>
      <c r="L29" s="14">
        <f>IF('A1. Data scoring'!Q143&lt;&gt;"N/A","Yes","No")</f>
        <v/>
      </c>
      <c r="M29" s="14">
        <f>IF('A1. Data scoring'!R143&lt;&gt;"N/A","Yes","No")</f>
        <v/>
      </c>
      <c r="N29" s="8">
        <f>COUNTIF(C29:M29,"Yes")</f>
        <v/>
      </c>
    </row>
    <row r="30">
      <c r="B30" s="7" t="inlineStr">
        <is>
          <t>NB1(a)</t>
        </is>
      </c>
      <c r="C30" s="14">
        <f>IF('A1. Data scoring'!H149&lt;&gt;"N/A","Yes","No")</f>
        <v/>
      </c>
      <c r="D30" s="14">
        <f>IF('A1. Data scoring'!I149&lt;&gt;"N/A","Yes","No")</f>
        <v/>
      </c>
      <c r="E30" s="14">
        <f>IF('A1. Data scoring'!J149&lt;&gt;"N/A","Yes","No")</f>
        <v/>
      </c>
      <c r="F30" s="14">
        <f>IF('A1. Data scoring'!K149&lt;&gt;"N/A","Yes","No")</f>
        <v/>
      </c>
      <c r="G30" s="14">
        <f>IF('A1. Data scoring'!L149&lt;&gt;"N/A","Yes","No")</f>
        <v/>
      </c>
      <c r="H30" s="14">
        <f>IF('A1. Data scoring'!M149&lt;&gt;"N/A","Yes","No")</f>
        <v/>
      </c>
      <c r="I30" s="14">
        <f>IF('A1. Data scoring'!N149&lt;&gt;"N/A","Yes","No")</f>
        <v/>
      </c>
      <c r="J30" s="14">
        <f>IF('A1. Data scoring'!O149&lt;&gt;"N/A","Yes","No")</f>
        <v/>
      </c>
      <c r="K30" s="14">
        <f>IF('A1. Data scoring'!P149&lt;&gt;"N/A","Yes","No")</f>
        <v/>
      </c>
      <c r="L30" s="14">
        <f>IF('A1. Data scoring'!Q149&lt;&gt;"N/A","Yes","No")</f>
        <v/>
      </c>
      <c r="M30" s="14">
        <f>IF('A1. Data scoring'!R149&lt;&gt;"N/A","Yes","No")</f>
        <v/>
      </c>
      <c r="N30" s="8">
        <f>COUNTIF(C30:M30,"Yes")</f>
        <v/>
      </c>
    </row>
    <row r="31">
      <c r="B31" s="7" t="inlineStr">
        <is>
          <t>NB1(b)</t>
        </is>
      </c>
      <c r="C31" s="14">
        <f>IF('A1. Data scoring'!H155&lt;&gt;"N/A","Yes","No")</f>
        <v/>
      </c>
      <c r="D31" s="14">
        <f>IF('A1. Data scoring'!I155&lt;&gt;"N/A","Yes","No")</f>
        <v/>
      </c>
      <c r="E31" s="14">
        <f>IF('A1. Data scoring'!J155&lt;&gt;"N/A","Yes","No")</f>
        <v/>
      </c>
      <c r="F31" s="14">
        <f>IF('A1. Data scoring'!K155&lt;&gt;"N/A","Yes","No")</f>
        <v/>
      </c>
      <c r="G31" s="14">
        <f>IF('A1. Data scoring'!L155&lt;&gt;"N/A","Yes","No")</f>
        <v/>
      </c>
      <c r="H31" s="14">
        <f>IF('A1. Data scoring'!M155&lt;&gt;"N/A","Yes","No")</f>
        <v/>
      </c>
      <c r="I31" s="14">
        <f>IF('A1. Data scoring'!N155&lt;&gt;"N/A","Yes","No")</f>
        <v/>
      </c>
      <c r="J31" s="14">
        <f>IF('A1. Data scoring'!O155&lt;&gt;"N/A","Yes","No")</f>
        <v/>
      </c>
      <c r="K31" s="14">
        <f>IF('A1. Data scoring'!P155&lt;&gt;"N/A","Yes","No")</f>
        <v/>
      </c>
      <c r="L31" s="14">
        <f>IF('A1. Data scoring'!Q155&lt;&gt;"N/A","Yes","No")</f>
        <v/>
      </c>
      <c r="M31" s="14">
        <f>IF('A1. Data scoring'!R155&lt;&gt;"N/A","Yes","No")</f>
        <v/>
      </c>
      <c r="N31" s="8">
        <f>COUNTIF(C31:M31,"Yes")</f>
        <v/>
      </c>
    </row>
    <row r="32">
      <c r="B32" s="7" t="inlineStr">
        <is>
          <t>NB1(c)</t>
        </is>
      </c>
      <c r="C32" s="14">
        <f>IF('A1. Data scoring'!H161&lt;&gt;"N/A","Yes","No")</f>
        <v/>
      </c>
      <c r="D32" s="14">
        <f>IF('A1. Data scoring'!I161&lt;&gt;"N/A","Yes","No")</f>
        <v/>
      </c>
      <c r="E32" s="14">
        <f>IF('A1. Data scoring'!J161&lt;&gt;"N/A","Yes","No")</f>
        <v/>
      </c>
      <c r="F32" s="14">
        <f>IF('A1. Data scoring'!K161&lt;&gt;"N/A","Yes","No")</f>
        <v/>
      </c>
      <c r="G32" s="14">
        <f>IF('A1. Data scoring'!L161&lt;&gt;"N/A","Yes","No")</f>
        <v/>
      </c>
      <c r="H32" s="14">
        <f>IF('A1. Data scoring'!M161&lt;&gt;"N/A","Yes","No")</f>
        <v/>
      </c>
      <c r="I32" s="14">
        <f>IF('A1. Data scoring'!N161&lt;&gt;"N/A","Yes","No")</f>
        <v/>
      </c>
      <c r="J32" s="14">
        <f>IF('A1. Data scoring'!O161&lt;&gt;"N/A","Yes","No")</f>
        <v/>
      </c>
      <c r="K32" s="14">
        <f>IF('A1. Data scoring'!P161&lt;&gt;"N/A","Yes","No")</f>
        <v/>
      </c>
      <c r="L32" s="14">
        <f>IF('A1. Data scoring'!Q161&lt;&gt;"N/A","Yes","No")</f>
        <v/>
      </c>
      <c r="M32" s="14">
        <f>IF('A1. Data scoring'!R161&lt;&gt;"N/A","Yes","No")</f>
        <v/>
      </c>
      <c r="N32" s="8">
        <f>COUNTIF(C32:M32,"Yes")</f>
        <v/>
      </c>
    </row>
    <row r="33">
      <c r="B33" s="7" t="inlineStr">
        <is>
          <t>NB1(d)</t>
        </is>
      </c>
      <c r="C33" s="14">
        <f>IF('A1. Data scoring'!H167&lt;&gt;"N/A","Yes","No")</f>
        <v/>
      </c>
      <c r="D33" s="14">
        <f>IF('A1. Data scoring'!I167&lt;&gt;"N/A","Yes","No")</f>
        <v/>
      </c>
      <c r="E33" s="14">
        <f>IF('A1. Data scoring'!J167&lt;&gt;"N/A","Yes","No")</f>
        <v/>
      </c>
      <c r="F33" s="14">
        <f>IF('A1. Data scoring'!K167&lt;&gt;"N/A","Yes","No")</f>
        <v/>
      </c>
      <c r="G33" s="14">
        <f>IF('A1. Data scoring'!L167&lt;&gt;"N/A","Yes","No")</f>
        <v/>
      </c>
      <c r="H33" s="14">
        <f>IF('A1. Data scoring'!M167&lt;&gt;"N/A","Yes","No")</f>
        <v/>
      </c>
      <c r="I33" s="14">
        <f>IF('A1. Data scoring'!N167&lt;&gt;"N/A","Yes","No")</f>
        <v/>
      </c>
      <c r="J33" s="14">
        <f>IF('A1. Data scoring'!O167&lt;&gt;"N/A","Yes","No")</f>
        <v/>
      </c>
      <c r="K33" s="14">
        <f>IF('A1. Data scoring'!P167&lt;&gt;"N/A","Yes","No")</f>
        <v/>
      </c>
      <c r="L33" s="14">
        <f>IF('A1. Data scoring'!Q167&lt;&gt;"N/A","Yes","No")</f>
        <v/>
      </c>
      <c r="M33" s="14">
        <f>IF('A1. Data scoring'!R167&lt;&gt;"N/A","Yes","No")</f>
        <v/>
      </c>
      <c r="N33" s="8">
        <f>COUNTIF(C33:M33,"Yes")</f>
        <v/>
      </c>
    </row>
    <row r="34">
      <c r="B34" s="7" t="inlineStr">
        <is>
          <t>NB2(a)</t>
        </is>
      </c>
      <c r="C34" s="14">
        <f>IF('A1. Data scoring'!H173&lt;&gt;"N/A","Yes","No")</f>
        <v/>
      </c>
      <c r="D34" s="14">
        <f>IF('A1. Data scoring'!I173&lt;&gt;"N/A","Yes","No")</f>
        <v/>
      </c>
      <c r="E34" s="14">
        <f>IF('A1. Data scoring'!J173&lt;&gt;"N/A","Yes","No")</f>
        <v/>
      </c>
      <c r="F34" s="14">
        <f>IF('A1. Data scoring'!K173&lt;&gt;"N/A","Yes","No")</f>
        <v/>
      </c>
      <c r="G34" s="14">
        <f>IF('A1. Data scoring'!L173&lt;&gt;"N/A","Yes","No")</f>
        <v/>
      </c>
      <c r="H34" s="14">
        <f>IF('A1. Data scoring'!M173&lt;&gt;"N/A","Yes","No")</f>
        <v/>
      </c>
      <c r="I34" s="14">
        <f>IF('A1. Data scoring'!N173&lt;&gt;"N/A","Yes","No")</f>
        <v/>
      </c>
      <c r="J34" s="14">
        <f>IF('A1. Data scoring'!O173&lt;&gt;"N/A","Yes","No")</f>
        <v/>
      </c>
      <c r="K34" s="14">
        <f>IF('A1. Data scoring'!P173&lt;&gt;"N/A","Yes","No")</f>
        <v/>
      </c>
      <c r="L34" s="14">
        <f>IF('A1. Data scoring'!Q173&lt;&gt;"N/A","Yes","No")</f>
        <v/>
      </c>
      <c r="M34" s="14">
        <f>IF('A1. Data scoring'!R173&lt;&gt;"N/A","Yes","No")</f>
        <v/>
      </c>
      <c r="N34" s="8">
        <f>COUNTIF(C34:M34,"Yes")</f>
        <v/>
      </c>
    </row>
    <row r="35">
      <c r="B35" s="7" t="inlineStr">
        <is>
          <t>NB2(b)</t>
        </is>
      </c>
      <c r="C35" s="14">
        <f>IF('A1. Data scoring'!H179&lt;&gt;"N/A","Yes","No")</f>
        <v/>
      </c>
      <c r="D35" s="14">
        <f>IF('A1. Data scoring'!I179&lt;&gt;"N/A","Yes","No")</f>
        <v/>
      </c>
      <c r="E35" s="14">
        <f>IF('A1. Data scoring'!J179&lt;&gt;"N/A","Yes","No")</f>
        <v/>
      </c>
      <c r="F35" s="14">
        <f>IF('A1. Data scoring'!K179&lt;&gt;"N/A","Yes","No")</f>
        <v/>
      </c>
      <c r="G35" s="14">
        <f>IF('A1. Data scoring'!L179&lt;&gt;"N/A","Yes","No")</f>
        <v/>
      </c>
      <c r="H35" s="14">
        <f>IF('A1. Data scoring'!M179&lt;&gt;"N/A","Yes","No")</f>
        <v/>
      </c>
      <c r="I35" s="14">
        <f>IF('A1. Data scoring'!N179&lt;&gt;"N/A","Yes","No")</f>
        <v/>
      </c>
      <c r="J35" s="14">
        <f>IF('A1. Data scoring'!O179&lt;&gt;"N/A","Yes","No")</f>
        <v/>
      </c>
      <c r="K35" s="14">
        <f>IF('A1. Data scoring'!P179&lt;&gt;"N/A","Yes","No")</f>
        <v/>
      </c>
      <c r="L35" s="14">
        <f>IF('A1. Data scoring'!Q179&lt;&gt;"N/A","Yes","No")</f>
        <v/>
      </c>
      <c r="M35" s="14">
        <f>IF('A1. Data scoring'!R179&lt;&gt;"N/A","Yes","No")</f>
        <v/>
      </c>
      <c r="N35" s="8">
        <f>COUNTIF(C35:M35,"Yes")</f>
        <v/>
      </c>
    </row>
    <row r="36">
      <c r="B36" s="7" t="inlineStr">
        <is>
          <t>NB2(c)</t>
        </is>
      </c>
      <c r="C36" s="14">
        <f>IF('A1. Data scoring'!H185&lt;&gt;"N/A","Yes","No")</f>
        <v/>
      </c>
      <c r="D36" s="14">
        <f>IF('A1. Data scoring'!I185&lt;&gt;"N/A","Yes","No")</f>
        <v/>
      </c>
      <c r="E36" s="14">
        <f>IF('A1. Data scoring'!J185&lt;&gt;"N/A","Yes","No")</f>
        <v/>
      </c>
      <c r="F36" s="14">
        <f>IF('A1. Data scoring'!K185&lt;&gt;"N/A","Yes","No")</f>
        <v/>
      </c>
      <c r="G36" s="14">
        <f>IF('A1. Data scoring'!L185&lt;&gt;"N/A","Yes","No")</f>
        <v/>
      </c>
      <c r="H36" s="14">
        <f>IF('A1. Data scoring'!M185&lt;&gt;"N/A","Yes","No")</f>
        <v/>
      </c>
      <c r="I36" s="14">
        <f>IF('A1. Data scoring'!N185&lt;&gt;"N/A","Yes","No")</f>
        <v/>
      </c>
      <c r="J36" s="14">
        <f>IF('A1. Data scoring'!O185&lt;&gt;"N/A","Yes","No")</f>
        <v/>
      </c>
      <c r="K36" s="14">
        <f>IF('A1. Data scoring'!P185&lt;&gt;"N/A","Yes","No")</f>
        <v/>
      </c>
      <c r="L36" s="14">
        <f>IF('A1. Data scoring'!Q185&lt;&gt;"N/A","Yes","No")</f>
        <v/>
      </c>
      <c r="M36" s="14">
        <f>IF('A1. Data scoring'!R185&lt;&gt;"N/A","Yes","No")</f>
        <v/>
      </c>
      <c r="N36" s="8">
        <f>COUNTIF(C36:M36,"Yes")</f>
        <v/>
      </c>
    </row>
    <row r="37">
      <c r="B37" s="7" t="inlineStr">
        <is>
          <t>AI1(a)</t>
        </is>
      </c>
      <c r="C37" s="14">
        <f>IF('A1. Data scoring'!H191&lt;&gt;"N/A","Yes","No")</f>
        <v/>
      </c>
      <c r="D37" s="14">
        <f>IF('A1. Data scoring'!I191&lt;&gt;"N/A","Yes","No")</f>
        <v/>
      </c>
      <c r="E37" s="14">
        <f>IF('A1. Data scoring'!J191&lt;&gt;"N/A","Yes","No")</f>
        <v/>
      </c>
      <c r="F37" s="14">
        <f>IF('A1. Data scoring'!K191&lt;&gt;"N/A","Yes","No")</f>
        <v/>
      </c>
      <c r="G37" s="14">
        <f>IF('A1. Data scoring'!L191&lt;&gt;"N/A","Yes","No")</f>
        <v/>
      </c>
      <c r="H37" s="14">
        <f>IF('A1. Data scoring'!M191&lt;&gt;"N/A","Yes","No")</f>
        <v/>
      </c>
      <c r="I37" s="14">
        <f>IF('A1. Data scoring'!N191&lt;&gt;"N/A","Yes","No")</f>
        <v/>
      </c>
      <c r="J37" s="14">
        <f>IF('A1. Data scoring'!O191&lt;&gt;"N/A","Yes","No")</f>
        <v/>
      </c>
      <c r="K37" s="14">
        <f>IF('A1. Data scoring'!P191&lt;&gt;"N/A","Yes","No")</f>
        <v/>
      </c>
      <c r="L37" s="14">
        <f>IF('A1. Data scoring'!Q191&lt;&gt;"N/A","Yes","No")</f>
        <v/>
      </c>
      <c r="M37" s="14">
        <f>IF('A1. Data scoring'!R191&lt;&gt;"N/A","Yes","No")</f>
        <v/>
      </c>
      <c r="N37" s="8">
        <f>COUNTIF(C37:M37,"Yes")</f>
        <v/>
      </c>
    </row>
    <row r="38">
      <c r="B38" s="7" t="inlineStr">
        <is>
          <t>AI1(b)</t>
        </is>
      </c>
      <c r="C38" s="14">
        <f>IF('A1. Data scoring'!H197&lt;&gt;"N/A","Yes","No")</f>
        <v/>
      </c>
      <c r="D38" s="14">
        <f>IF('A1. Data scoring'!I197&lt;&gt;"N/A","Yes","No")</f>
        <v/>
      </c>
      <c r="E38" s="14">
        <f>IF('A1. Data scoring'!J197&lt;&gt;"N/A","Yes","No")</f>
        <v/>
      </c>
      <c r="F38" s="14">
        <f>IF('A1. Data scoring'!K197&lt;&gt;"N/A","Yes","No")</f>
        <v/>
      </c>
      <c r="G38" s="14">
        <f>IF('A1. Data scoring'!L197&lt;&gt;"N/A","Yes","No")</f>
        <v/>
      </c>
      <c r="H38" s="14">
        <f>IF('A1. Data scoring'!M197&lt;&gt;"N/A","Yes","No")</f>
        <v/>
      </c>
      <c r="I38" s="14">
        <f>IF('A1. Data scoring'!N197&lt;&gt;"N/A","Yes","No")</f>
        <v/>
      </c>
      <c r="J38" s="14">
        <f>IF('A1. Data scoring'!O197&lt;&gt;"N/A","Yes","No")</f>
        <v/>
      </c>
      <c r="K38" s="14">
        <f>IF('A1. Data scoring'!P197&lt;&gt;"N/A","Yes","No")</f>
        <v/>
      </c>
      <c r="L38" s="14">
        <f>IF('A1. Data scoring'!Q197&lt;&gt;"N/A","Yes","No")</f>
        <v/>
      </c>
      <c r="M38" s="14">
        <f>IF('A1. Data scoring'!R197&lt;&gt;"N/A","Yes","No")</f>
        <v/>
      </c>
      <c r="N38" s="8">
        <f>COUNTIF(C38:M38,"Yes")</f>
        <v/>
      </c>
    </row>
    <row r="39">
      <c r="B39" s="7" t="inlineStr">
        <is>
          <t>EI1(a)</t>
        </is>
      </c>
      <c r="C39" s="14">
        <f>IF('A1. Data scoring'!H203&lt;&gt;"N/A","Yes","No")</f>
        <v/>
      </c>
      <c r="D39" s="14">
        <f>IF('A1. Data scoring'!I203&lt;&gt;"N/A","Yes","No")</f>
        <v/>
      </c>
      <c r="E39" s="14">
        <f>IF('A1. Data scoring'!J203&lt;&gt;"N/A","Yes","No")</f>
        <v/>
      </c>
      <c r="F39" s="14">
        <f>IF('A1. Data scoring'!K203&lt;&gt;"N/A","Yes","No")</f>
        <v/>
      </c>
      <c r="G39" s="14">
        <f>IF('A1. Data scoring'!L203&lt;&gt;"N/A","Yes","No")</f>
        <v/>
      </c>
      <c r="H39" s="14">
        <f>IF('A1. Data scoring'!M203&lt;&gt;"N/A","Yes","No")</f>
        <v/>
      </c>
      <c r="I39" s="14">
        <f>IF('A1. Data scoring'!N203&lt;&gt;"N/A","Yes","No")</f>
        <v/>
      </c>
      <c r="J39" s="14">
        <f>IF('A1. Data scoring'!O203&lt;&gt;"N/A","Yes","No")</f>
        <v/>
      </c>
      <c r="K39" s="14">
        <f>IF('A1. Data scoring'!P203&lt;&gt;"N/A","Yes","No")</f>
        <v/>
      </c>
      <c r="L39" s="14">
        <f>IF('A1. Data scoring'!Q203&lt;&gt;"N/A","Yes","No")</f>
        <v/>
      </c>
      <c r="M39" s="14">
        <f>IF('A1. Data scoring'!R203&lt;&gt;"N/A","Yes","No")</f>
        <v/>
      </c>
      <c r="N39" s="8">
        <f>COUNTIF(C39:M39,"Yes")</f>
        <v/>
      </c>
    </row>
    <row r="40">
      <c r="B40" s="7" t="inlineStr">
        <is>
          <t>EI1(b)</t>
        </is>
      </c>
      <c r="C40" s="14">
        <f>IF('A1. Data scoring'!H209&lt;&gt;"N/A","Yes","No")</f>
        <v/>
      </c>
      <c r="D40" s="14">
        <f>IF('A1. Data scoring'!I209&lt;&gt;"N/A","Yes","No")</f>
        <v/>
      </c>
      <c r="E40" s="14">
        <f>IF('A1. Data scoring'!J209&lt;&gt;"N/A","Yes","No")</f>
        <v/>
      </c>
      <c r="F40" s="14">
        <f>IF('A1. Data scoring'!K209&lt;&gt;"N/A","Yes","No")</f>
        <v/>
      </c>
      <c r="G40" s="14">
        <f>IF('A1. Data scoring'!L209&lt;&gt;"N/A","Yes","No")</f>
        <v/>
      </c>
      <c r="H40" s="14">
        <f>IF('A1. Data scoring'!M209&lt;&gt;"N/A","Yes","No")</f>
        <v/>
      </c>
      <c r="I40" s="14">
        <f>IF('A1. Data scoring'!N209&lt;&gt;"N/A","Yes","No")</f>
        <v/>
      </c>
      <c r="J40" s="14">
        <f>IF('A1. Data scoring'!O209&lt;&gt;"N/A","Yes","No")</f>
        <v/>
      </c>
      <c r="K40" s="14">
        <f>IF('A1. Data scoring'!P209&lt;&gt;"N/A","Yes","No")</f>
        <v/>
      </c>
      <c r="L40" s="14">
        <f>IF('A1. Data scoring'!Q209&lt;&gt;"N/A","Yes","No")</f>
        <v/>
      </c>
      <c r="M40" s="14">
        <f>IF('A1. Data scoring'!R209&lt;&gt;"N/A","Yes","No")</f>
        <v/>
      </c>
      <c r="N40" s="8">
        <f>COUNTIF(C40:M40,"Yes")</f>
        <v/>
      </c>
    </row>
    <row r="41">
      <c r="B41" s="7" t="inlineStr">
        <is>
          <t>EI1(c)</t>
        </is>
      </c>
      <c r="C41" s="14">
        <f>IF('A1. Data scoring'!H215&lt;&gt;"N/A","Yes","No")</f>
        <v/>
      </c>
      <c r="D41" s="14">
        <f>IF('A1. Data scoring'!I215&lt;&gt;"N/A","Yes","No")</f>
        <v/>
      </c>
      <c r="E41" s="14">
        <f>IF('A1. Data scoring'!J215&lt;&gt;"N/A","Yes","No")</f>
        <v/>
      </c>
      <c r="F41" s="14">
        <f>IF('A1. Data scoring'!K215&lt;&gt;"N/A","Yes","No")</f>
        <v/>
      </c>
      <c r="G41" s="14">
        <f>IF('A1. Data scoring'!L215&lt;&gt;"N/A","Yes","No")</f>
        <v/>
      </c>
      <c r="H41" s="14">
        <f>IF('A1. Data scoring'!M215&lt;&gt;"N/A","Yes","No")</f>
        <v/>
      </c>
      <c r="I41" s="14">
        <f>IF('A1. Data scoring'!N215&lt;&gt;"N/A","Yes","No")</f>
        <v/>
      </c>
      <c r="J41" s="14">
        <f>IF('A1. Data scoring'!O215&lt;&gt;"N/A","Yes","No")</f>
        <v/>
      </c>
      <c r="K41" s="14">
        <f>IF('A1. Data scoring'!P215&lt;&gt;"N/A","Yes","No")</f>
        <v/>
      </c>
      <c r="L41" s="14">
        <f>IF('A1. Data scoring'!Q215&lt;&gt;"N/A","Yes","No")</f>
        <v/>
      </c>
      <c r="M41" s="14">
        <f>IF('A1. Data scoring'!R215&lt;&gt;"N/A","Yes","No")</f>
        <v/>
      </c>
      <c r="N41" s="8">
        <f>COUNTIF(C41:M41,"Yes")</f>
        <v/>
      </c>
    </row>
    <row r="42">
      <c r="B42" s="7" t="inlineStr">
        <is>
          <t>EI1(d)</t>
        </is>
      </c>
      <c r="C42" s="14">
        <f>IF('A1. Data scoring'!H221&lt;&gt;"N/A","Yes","No")</f>
        <v/>
      </c>
      <c r="D42" s="14">
        <f>IF('A1. Data scoring'!I221&lt;&gt;"N/A","Yes","No")</f>
        <v/>
      </c>
      <c r="E42" s="14">
        <f>IF('A1. Data scoring'!J221&lt;&gt;"N/A","Yes","No")</f>
        <v/>
      </c>
      <c r="F42" s="14">
        <f>IF('A1. Data scoring'!K221&lt;&gt;"N/A","Yes","No")</f>
        <v/>
      </c>
      <c r="G42" s="14">
        <f>IF('A1. Data scoring'!L221&lt;&gt;"N/A","Yes","No")</f>
        <v/>
      </c>
      <c r="H42" s="14">
        <f>IF('A1. Data scoring'!M221&lt;&gt;"N/A","Yes","No")</f>
        <v/>
      </c>
      <c r="I42" s="14">
        <f>IF('A1. Data scoring'!N221&lt;&gt;"N/A","Yes","No")</f>
        <v/>
      </c>
      <c r="J42" s="14">
        <f>IF('A1. Data scoring'!O221&lt;&gt;"N/A","Yes","No")</f>
        <v/>
      </c>
      <c r="K42" s="14">
        <f>IF('A1. Data scoring'!P221&lt;&gt;"N/A","Yes","No")</f>
        <v/>
      </c>
      <c r="L42" s="14">
        <f>IF('A1. Data scoring'!Q221&lt;&gt;"N/A","Yes","No")</f>
        <v/>
      </c>
      <c r="M42" s="14">
        <f>IF('A1. Data scoring'!R221&lt;&gt;"N/A","Yes","No")</f>
        <v/>
      </c>
      <c r="N42" s="8">
        <f>COUNTIF(C42:M42,"Yes")</f>
        <v/>
      </c>
    </row>
    <row r="43">
      <c r="B43" s="7" t="inlineStr">
        <is>
          <t>CE1(a)</t>
        </is>
      </c>
      <c r="C43" s="14">
        <f>IF('A1. Data scoring'!H227&lt;&gt;"N/A","Yes","No")</f>
        <v/>
      </c>
      <c r="D43" s="14">
        <f>IF('A1. Data scoring'!I227&lt;&gt;"N/A","Yes","No")</f>
        <v/>
      </c>
      <c r="E43" s="14">
        <f>IF('A1. Data scoring'!J227&lt;&gt;"N/A","Yes","No")</f>
        <v/>
      </c>
      <c r="F43" s="14">
        <f>IF('A1. Data scoring'!K227&lt;&gt;"N/A","Yes","No")</f>
        <v/>
      </c>
      <c r="G43" s="14">
        <f>IF('A1. Data scoring'!L227&lt;&gt;"N/A","Yes","No")</f>
        <v/>
      </c>
      <c r="H43" s="14">
        <f>IF('A1. Data scoring'!M227&lt;&gt;"N/A","Yes","No")</f>
        <v/>
      </c>
      <c r="I43" s="14">
        <f>IF('A1. Data scoring'!N227&lt;&gt;"N/A","Yes","No")</f>
        <v/>
      </c>
      <c r="J43" s="14">
        <f>IF('A1. Data scoring'!O227&lt;&gt;"N/A","Yes","No")</f>
        <v/>
      </c>
      <c r="K43" s="14">
        <f>IF('A1. Data scoring'!P227&lt;&gt;"N/A","Yes","No")</f>
        <v/>
      </c>
      <c r="L43" s="14">
        <f>IF('A1. Data scoring'!Q227&lt;&gt;"N/A","Yes","No")</f>
        <v/>
      </c>
      <c r="M43" s="14">
        <f>IF('A1. Data scoring'!R227&lt;&gt;"N/A","Yes","No")</f>
        <v/>
      </c>
      <c r="N43" s="8">
        <f>COUNTIF(C43:M43,"Yes")</f>
        <v/>
      </c>
    </row>
    <row r="44">
      <c r="B44" s="7" t="inlineStr">
        <is>
          <t>CE2(a)</t>
        </is>
      </c>
      <c r="C44" s="14">
        <f>IF('A1. Data scoring'!H233&lt;&gt;"N/A","Yes","No")</f>
        <v/>
      </c>
      <c r="D44" s="14">
        <f>IF('A1. Data scoring'!I233&lt;&gt;"N/A","Yes","No")</f>
        <v/>
      </c>
      <c r="E44" s="14">
        <f>IF('A1. Data scoring'!J233&lt;&gt;"N/A","Yes","No")</f>
        <v/>
      </c>
      <c r="F44" s="14">
        <f>IF('A1. Data scoring'!K233&lt;&gt;"N/A","Yes","No")</f>
        <v/>
      </c>
      <c r="G44" s="14">
        <f>IF('A1. Data scoring'!L233&lt;&gt;"N/A","Yes","No")</f>
        <v/>
      </c>
      <c r="H44" s="14">
        <f>IF('A1. Data scoring'!M233&lt;&gt;"N/A","Yes","No")</f>
        <v/>
      </c>
      <c r="I44" s="14">
        <f>IF('A1. Data scoring'!N233&lt;&gt;"N/A","Yes","No")</f>
        <v/>
      </c>
      <c r="J44" s="14">
        <f>IF('A1. Data scoring'!O233&lt;&gt;"N/A","Yes","No")</f>
        <v/>
      </c>
      <c r="K44" s="14">
        <f>IF('A1. Data scoring'!P233&lt;&gt;"N/A","Yes","No")</f>
        <v/>
      </c>
      <c r="L44" s="14">
        <f>IF('A1. Data scoring'!Q233&lt;&gt;"N/A","Yes","No")</f>
        <v/>
      </c>
      <c r="M44" s="14">
        <f>IF('A1. Data scoring'!R233&lt;&gt;"N/A","Yes","No")</f>
        <v/>
      </c>
      <c r="N44" s="8">
        <f>COUNTIF(C44:M44,"Yes")</f>
        <v/>
      </c>
    </row>
    <row r="45">
      <c r="B45" s="7" t="inlineStr">
        <is>
          <t>RP1(a)</t>
        </is>
      </c>
      <c r="C45" s="14">
        <f>IF('A1. Data scoring'!H239&lt;&gt;"N/A","Yes","No")</f>
        <v/>
      </c>
      <c r="D45" s="14">
        <f>IF('A1. Data scoring'!I239&lt;&gt;"N/A","Yes","No")</f>
        <v/>
      </c>
      <c r="E45" s="14">
        <f>IF('A1. Data scoring'!J239&lt;&gt;"N/A","Yes","No")</f>
        <v/>
      </c>
      <c r="F45" s="14">
        <f>IF('A1. Data scoring'!K239&lt;&gt;"N/A","Yes","No")</f>
        <v/>
      </c>
      <c r="G45" s="14">
        <f>IF('A1. Data scoring'!L239&lt;&gt;"N/A","Yes","No")</f>
        <v/>
      </c>
      <c r="H45" s="14">
        <f>IF('A1. Data scoring'!M239&lt;&gt;"N/A","Yes","No")</f>
        <v/>
      </c>
      <c r="I45" s="14">
        <f>IF('A1. Data scoring'!N239&lt;&gt;"N/A","Yes","No")</f>
        <v/>
      </c>
      <c r="J45" s="14">
        <f>IF('A1. Data scoring'!O239&lt;&gt;"N/A","Yes","No")</f>
        <v/>
      </c>
      <c r="K45" s="14">
        <f>IF('A1. Data scoring'!P239&lt;&gt;"N/A","Yes","No")</f>
        <v/>
      </c>
      <c r="L45" s="14">
        <f>IF('A1. Data scoring'!Q239&lt;&gt;"N/A","Yes","No")</f>
        <v/>
      </c>
      <c r="M45" s="14">
        <f>IF('A1. Data scoring'!R239&lt;&gt;"N/A","Yes","No")</f>
        <v/>
      </c>
      <c r="N45" s="8">
        <f>COUNTIF(C45:M45,"Yes")</f>
        <v/>
      </c>
    </row>
    <row r="46">
      <c r="B46" s="7" t="inlineStr">
        <is>
          <t>RP2(a)</t>
        </is>
      </c>
      <c r="C46" s="14">
        <f>IF('A1. Data scoring'!H245&lt;&gt;"N/A","Yes","No")</f>
        <v/>
      </c>
      <c r="D46" s="14">
        <f>IF('A1. Data scoring'!I245&lt;&gt;"N/A","Yes","No")</f>
        <v/>
      </c>
      <c r="E46" s="14">
        <f>IF('A1. Data scoring'!J245&lt;&gt;"N/A","Yes","No")</f>
        <v/>
      </c>
      <c r="F46" s="14">
        <f>IF('A1. Data scoring'!K245&lt;&gt;"N/A","Yes","No")</f>
        <v/>
      </c>
      <c r="G46" s="14">
        <f>IF('A1. Data scoring'!L245&lt;&gt;"N/A","Yes","No")</f>
        <v/>
      </c>
      <c r="H46" s="14">
        <f>IF('A1. Data scoring'!M245&lt;&gt;"N/A","Yes","No")</f>
        <v/>
      </c>
      <c r="I46" s="14">
        <f>IF('A1. Data scoring'!N245&lt;&gt;"N/A","Yes","No")</f>
        <v/>
      </c>
      <c r="J46" s="14">
        <f>IF('A1. Data scoring'!O245&lt;&gt;"N/A","Yes","No")</f>
        <v/>
      </c>
      <c r="K46" s="14">
        <f>IF('A1. Data scoring'!P245&lt;&gt;"N/A","Yes","No")</f>
        <v/>
      </c>
      <c r="L46" s="14">
        <f>IF('A1. Data scoring'!Q245&lt;&gt;"N/A","Yes","No")</f>
        <v/>
      </c>
      <c r="M46" s="14">
        <f>IF('A1. Data scoring'!R245&lt;&gt;"N/A","Yes","No")</f>
        <v/>
      </c>
      <c r="N46" s="8">
        <f>COUNTIF(C46:M46,"Yes")</f>
        <v/>
      </c>
    </row>
    <row r="47">
      <c r="B47" s="7" t="inlineStr">
        <is>
          <t>RP2(b)</t>
        </is>
      </c>
      <c r="C47" s="14">
        <f>IF('A1. Data scoring'!H251&lt;&gt;"N/A","Yes","No")</f>
        <v/>
      </c>
      <c r="D47" s="14">
        <f>IF('A1. Data scoring'!I251&lt;&gt;"N/A","Yes","No")</f>
        <v/>
      </c>
      <c r="E47" s="14">
        <f>IF('A1. Data scoring'!J251&lt;&gt;"N/A","Yes","No")</f>
        <v/>
      </c>
      <c r="F47" s="14">
        <f>IF('A1. Data scoring'!K251&lt;&gt;"N/A","Yes","No")</f>
        <v/>
      </c>
      <c r="G47" s="14">
        <f>IF('A1. Data scoring'!L251&lt;&gt;"N/A","Yes","No")</f>
        <v/>
      </c>
      <c r="H47" s="14">
        <f>IF('A1. Data scoring'!M251&lt;&gt;"N/A","Yes","No")</f>
        <v/>
      </c>
      <c r="I47" s="14">
        <f>IF('A1. Data scoring'!N251&lt;&gt;"N/A","Yes","No")</f>
        <v/>
      </c>
      <c r="J47" s="14">
        <f>IF('A1. Data scoring'!O251&lt;&gt;"N/A","Yes","No")</f>
        <v/>
      </c>
      <c r="K47" s="14">
        <f>IF('A1. Data scoring'!P251&lt;&gt;"N/A","Yes","No")</f>
        <v/>
      </c>
      <c r="L47" s="14">
        <f>IF('A1. Data scoring'!Q251&lt;&gt;"N/A","Yes","No")</f>
        <v/>
      </c>
      <c r="M47" s="14">
        <f>IF('A1. Data scoring'!R251&lt;&gt;"N/A","Yes","No")</f>
        <v/>
      </c>
      <c r="N47" s="8">
        <f>COUNTIF(C47:M47,"Yes")</f>
        <v/>
      </c>
    </row>
    <row r="48">
      <c r="B48" s="7" t="inlineStr">
        <is>
          <t>MS1(a)</t>
        </is>
      </c>
      <c r="C48" s="14">
        <f>IF('A1. Data scoring'!H257&lt;&gt;"N/A","Yes","No")</f>
        <v/>
      </c>
      <c r="D48" s="14">
        <f>IF('A1. Data scoring'!I257&lt;&gt;"N/A","Yes","No")</f>
        <v/>
      </c>
      <c r="E48" s="14">
        <f>IF('A1. Data scoring'!J257&lt;&gt;"N/A","Yes","No")</f>
        <v/>
      </c>
      <c r="F48" s="14">
        <f>IF('A1. Data scoring'!K257&lt;&gt;"N/A","Yes","No")</f>
        <v/>
      </c>
      <c r="G48" s="14">
        <f>IF('A1. Data scoring'!L257&lt;&gt;"N/A","Yes","No")</f>
        <v/>
      </c>
      <c r="H48" s="14">
        <f>IF('A1. Data scoring'!M257&lt;&gt;"N/A","Yes","No")</f>
        <v/>
      </c>
      <c r="I48" s="14">
        <f>IF('A1. Data scoring'!N257&lt;&gt;"N/A","Yes","No")</f>
        <v/>
      </c>
      <c r="J48" s="14">
        <f>IF('A1. Data scoring'!O257&lt;&gt;"N/A","Yes","No")</f>
        <v/>
      </c>
      <c r="K48" s="14">
        <f>IF('A1. Data scoring'!P257&lt;&gt;"N/A","Yes","No")</f>
        <v/>
      </c>
      <c r="L48" s="14">
        <f>IF('A1. Data scoring'!Q257&lt;&gt;"N/A","Yes","No")</f>
        <v/>
      </c>
      <c r="M48" s="14">
        <f>IF('A1. Data scoring'!R257&lt;&gt;"N/A","Yes","No")</f>
        <v/>
      </c>
      <c r="N48" s="8">
        <f>COUNTIF(C48:M48,"Yes")</f>
        <v/>
      </c>
    </row>
    <row r="49">
      <c r="B49" s="7" t="inlineStr">
        <is>
          <t>RI1(a)</t>
        </is>
      </c>
      <c r="C49" s="14">
        <f>IF('A1. Data scoring'!H263&lt;&gt;"N/A","Yes","No")</f>
        <v/>
      </c>
      <c r="D49" s="14">
        <f>IF('A1. Data scoring'!I263&lt;&gt;"N/A","Yes","No")</f>
        <v/>
      </c>
      <c r="E49" s="14">
        <f>IF('A1. Data scoring'!J263&lt;&gt;"N/A","Yes","No")</f>
        <v/>
      </c>
      <c r="F49" s="14">
        <f>IF('A1. Data scoring'!K263&lt;&gt;"N/A","Yes","No")</f>
        <v/>
      </c>
      <c r="G49" s="14">
        <f>IF('A1. Data scoring'!L263&lt;&gt;"N/A","Yes","No")</f>
        <v/>
      </c>
      <c r="H49" s="14">
        <f>IF('A1. Data scoring'!M263&lt;&gt;"N/A","Yes","No")</f>
        <v/>
      </c>
      <c r="I49" s="14">
        <f>IF('A1. Data scoring'!N263&lt;&gt;"N/A","Yes","No")</f>
        <v/>
      </c>
      <c r="J49" s="14">
        <f>IF('A1. Data scoring'!O263&lt;&gt;"N/A","Yes","No")</f>
        <v/>
      </c>
      <c r="K49" s="14">
        <f>IF('A1. Data scoring'!P263&lt;&gt;"N/A","Yes","No")</f>
        <v/>
      </c>
      <c r="L49" s="14">
        <f>IF('A1. Data scoring'!Q263&lt;&gt;"N/A","Yes","No")</f>
        <v/>
      </c>
      <c r="M49" s="14">
        <f>IF('A1. Data scoring'!R263&lt;&gt;"N/A","Yes","No")</f>
        <v/>
      </c>
      <c r="N49" s="8">
        <f>COUNTIF(C49:M49,"Yes")</f>
        <v/>
      </c>
    </row>
    <row r="50">
      <c r="B50" s="7" t="inlineStr">
        <is>
          <t>RI1(b)</t>
        </is>
      </c>
      <c r="C50" s="14">
        <f>IF('A1. Data scoring'!H269&lt;&gt;"N/A","Yes","No")</f>
        <v/>
      </c>
      <c r="D50" s="14">
        <f>IF('A1. Data scoring'!I269&lt;&gt;"N/A","Yes","No")</f>
        <v/>
      </c>
      <c r="E50" s="14">
        <f>IF('A1. Data scoring'!J269&lt;&gt;"N/A","Yes","No")</f>
        <v/>
      </c>
      <c r="F50" s="14">
        <f>IF('A1. Data scoring'!K269&lt;&gt;"N/A","Yes","No")</f>
        <v/>
      </c>
      <c r="G50" s="14">
        <f>IF('A1. Data scoring'!L269&lt;&gt;"N/A","Yes","No")</f>
        <v/>
      </c>
      <c r="H50" s="14">
        <f>IF('A1. Data scoring'!M269&lt;&gt;"N/A","Yes","No")</f>
        <v/>
      </c>
      <c r="I50" s="14">
        <f>IF('A1. Data scoring'!N269&lt;&gt;"N/A","Yes","No")</f>
        <v/>
      </c>
      <c r="J50" s="14">
        <f>IF('A1. Data scoring'!O269&lt;&gt;"N/A","Yes","No")</f>
        <v/>
      </c>
      <c r="K50" s="14">
        <f>IF('A1. Data scoring'!P269&lt;&gt;"N/A","Yes","No")</f>
        <v/>
      </c>
      <c r="L50" s="14">
        <f>IF('A1. Data scoring'!Q269&lt;&gt;"N/A","Yes","No")</f>
        <v/>
      </c>
      <c r="M50" s="14">
        <f>IF('A1. Data scoring'!R269&lt;&gt;"N/A","Yes","No")</f>
        <v/>
      </c>
      <c r="N50" s="8">
        <f>COUNTIF(C50:M50,"Yes")</f>
        <v/>
      </c>
    </row>
    <row r="51">
      <c r="B51" s="7" t="inlineStr">
        <is>
          <t>EN1(a)</t>
        </is>
      </c>
      <c r="C51" s="14">
        <f>IF('A1. Data scoring'!H275&lt;&gt;"N/A","Yes","No")</f>
        <v/>
      </c>
      <c r="D51" s="14">
        <f>IF('A1. Data scoring'!I275&lt;&gt;"N/A","Yes","No")</f>
        <v/>
      </c>
      <c r="E51" s="14">
        <f>IF('A1. Data scoring'!J275&lt;&gt;"N/A","Yes","No")</f>
        <v/>
      </c>
      <c r="F51" s="14">
        <f>IF('A1. Data scoring'!K275&lt;&gt;"N/A","Yes","No")</f>
        <v/>
      </c>
      <c r="G51" s="14">
        <f>IF('A1. Data scoring'!L275&lt;&gt;"N/A","Yes","No")</f>
        <v/>
      </c>
      <c r="H51" s="14">
        <f>IF('A1. Data scoring'!M275&lt;&gt;"N/A","Yes","No")</f>
        <v/>
      </c>
      <c r="I51" s="14">
        <f>IF('A1. Data scoring'!N275&lt;&gt;"N/A","Yes","No")</f>
        <v/>
      </c>
      <c r="J51" s="14">
        <f>IF('A1. Data scoring'!O275&lt;&gt;"N/A","Yes","No")</f>
        <v/>
      </c>
      <c r="K51" s="14">
        <f>IF('A1. Data scoring'!P275&lt;&gt;"N/A","Yes","No")</f>
        <v/>
      </c>
      <c r="L51" s="14">
        <f>IF('A1. Data scoring'!Q275&lt;&gt;"N/A","Yes","No")</f>
        <v/>
      </c>
      <c r="M51" s="14">
        <f>IF('A1. Data scoring'!R275&lt;&gt;"N/A","Yes","No")</f>
        <v/>
      </c>
      <c r="N51" s="8">
        <f>COUNTIF(C51:M51,"Yes")</f>
        <v/>
      </c>
    </row>
    <row r="52">
      <c r="B52" s="7" t="inlineStr">
        <is>
          <t>EN1(b)</t>
        </is>
      </c>
      <c r="C52" s="14">
        <f>IF('A1. Data scoring'!H281&lt;&gt;"N/A","Yes","No")</f>
        <v/>
      </c>
      <c r="D52" s="14">
        <f>IF('A1. Data scoring'!I281&lt;&gt;"N/A","Yes","No")</f>
        <v/>
      </c>
      <c r="E52" s="14">
        <f>IF('A1. Data scoring'!J281&lt;&gt;"N/A","Yes","No")</f>
        <v/>
      </c>
      <c r="F52" s="14">
        <f>IF('A1. Data scoring'!K281&lt;&gt;"N/A","Yes","No")</f>
        <v/>
      </c>
      <c r="G52" s="14">
        <f>IF('A1. Data scoring'!L281&lt;&gt;"N/A","Yes","No")</f>
        <v/>
      </c>
      <c r="H52" s="14">
        <f>IF('A1. Data scoring'!M281&lt;&gt;"N/A","Yes","No")</f>
        <v/>
      </c>
      <c r="I52" s="14">
        <f>IF('A1. Data scoring'!N281&lt;&gt;"N/A","Yes","No")</f>
        <v/>
      </c>
      <c r="J52" s="14">
        <f>IF('A1. Data scoring'!O281&lt;&gt;"N/A","Yes","No")</f>
        <v/>
      </c>
      <c r="K52" s="14">
        <f>IF('A1. Data scoring'!P281&lt;&gt;"N/A","Yes","No")</f>
        <v/>
      </c>
      <c r="L52" s="14">
        <f>IF('A1. Data scoring'!Q281&lt;&gt;"N/A","Yes","No")</f>
        <v/>
      </c>
      <c r="M52" s="14">
        <f>IF('A1. Data scoring'!R281&lt;&gt;"N/A","Yes","No")</f>
        <v/>
      </c>
      <c r="N52" s="8">
        <f>COUNTIF(C52:M52,"Yes")</f>
        <v/>
      </c>
    </row>
    <row r="53">
      <c r="B53" s="7" t="inlineStr">
        <is>
          <t>EN1(c)</t>
        </is>
      </c>
      <c r="C53" s="14">
        <f>IF('A1. Data scoring'!H287&lt;&gt;"N/A","Yes","No")</f>
        <v/>
      </c>
      <c r="D53" s="14">
        <f>IF('A1. Data scoring'!I287&lt;&gt;"N/A","Yes","No")</f>
        <v/>
      </c>
      <c r="E53" s="14">
        <f>IF('A1. Data scoring'!J287&lt;&gt;"N/A","Yes","No")</f>
        <v/>
      </c>
      <c r="F53" s="14">
        <f>IF('A1. Data scoring'!K287&lt;&gt;"N/A","Yes","No")</f>
        <v/>
      </c>
      <c r="G53" s="14">
        <f>IF('A1. Data scoring'!L287&lt;&gt;"N/A","Yes","No")</f>
        <v/>
      </c>
      <c r="H53" s="14">
        <f>IF('A1. Data scoring'!M287&lt;&gt;"N/A","Yes","No")</f>
        <v/>
      </c>
      <c r="I53" s="14">
        <f>IF('A1. Data scoring'!N287&lt;&gt;"N/A","Yes","No")</f>
        <v/>
      </c>
      <c r="J53" s="14">
        <f>IF('A1. Data scoring'!O287&lt;&gt;"N/A","Yes","No")</f>
        <v/>
      </c>
      <c r="K53" s="14">
        <f>IF('A1. Data scoring'!P287&lt;&gt;"N/A","Yes","No")</f>
        <v/>
      </c>
      <c r="L53" s="14">
        <f>IF('A1. Data scoring'!Q287&lt;&gt;"N/A","Yes","No")</f>
        <v/>
      </c>
      <c r="M53" s="14">
        <f>IF('A1. Data scoring'!R287&lt;&gt;"N/A","Yes","No")</f>
        <v/>
      </c>
      <c r="N53" s="8">
        <f>COUNTIF(C53:M53,"Yes")</f>
        <v/>
      </c>
    </row>
    <row r="54">
      <c r="B54" s="7" t="inlineStr">
        <is>
          <t>EN1(d)</t>
        </is>
      </c>
      <c r="C54" s="14">
        <f>IF('A1. Data scoring'!H293&lt;&gt;"N/A","Yes","No")</f>
        <v/>
      </c>
      <c r="D54" s="14">
        <f>IF('A1. Data scoring'!I293&lt;&gt;"N/A","Yes","No")</f>
        <v/>
      </c>
      <c r="E54" s="14">
        <f>IF('A1. Data scoring'!J293&lt;&gt;"N/A","Yes","No")</f>
        <v/>
      </c>
      <c r="F54" s="14">
        <f>IF('A1. Data scoring'!K293&lt;&gt;"N/A","Yes","No")</f>
        <v/>
      </c>
      <c r="G54" s="14">
        <f>IF('A1. Data scoring'!L293&lt;&gt;"N/A","Yes","No")</f>
        <v/>
      </c>
      <c r="H54" s="14">
        <f>IF('A1. Data scoring'!M293&lt;&gt;"N/A","Yes","No")</f>
        <v/>
      </c>
      <c r="I54" s="14">
        <f>IF('A1. Data scoring'!N293&lt;&gt;"N/A","Yes","No")</f>
        <v/>
      </c>
      <c r="J54" s="14">
        <f>IF('A1. Data scoring'!O293&lt;&gt;"N/A","Yes","No")</f>
        <v/>
      </c>
      <c r="K54" s="14">
        <f>IF('A1. Data scoring'!P293&lt;&gt;"N/A","Yes","No")</f>
        <v/>
      </c>
      <c r="L54" s="14">
        <f>IF('A1. Data scoring'!Q293&lt;&gt;"N/A","Yes","No")</f>
        <v/>
      </c>
      <c r="M54" s="14">
        <f>IF('A1. Data scoring'!R293&lt;&gt;"N/A","Yes","No")</f>
        <v/>
      </c>
      <c r="N54" s="8">
        <f>COUNTIF(C54:M54,"Yes")</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t>
        </is>
      </c>
      <c r="B1" s="2" t="inlineStr">
        <is>
          <t>End-2026 target status assessment and reporting</t>
        </is>
      </c>
    </row>
    <row r="2">
      <c r="B2" s="3" t="inlineStr">
        <is>
          <t>T2. Single target review</t>
        </is>
      </c>
    </row>
    <row r="4">
      <c r="B4" s="15" t="inlineStr">
        <is>
          <t>Target selected</t>
        </is>
      </c>
      <c r="C4" s="30" t="inlineStr">
        <is>
          <t>EE1(a)</t>
        </is>
      </c>
      <c r="D4" t="inlineStr">
        <is>
          <t>← select an indicator ref from the dropdown</t>
        </is>
      </c>
    </row>
    <row r="5" ht="45" customHeight="1">
      <c r="B5" s="31" t="inlineStr">
        <is>
          <t>Priority area</t>
        </is>
      </c>
      <c r="C5" s="32">
        <f>IFERROR(INDEX('1. Requirements matrix'!$D$6:$D$53,MATCH($C$4,'1. Requirements matrix'!$B$6:$B$53,0)),"")</f>
        <v/>
      </c>
    </row>
    <row r="6" ht="45" customHeight="1">
      <c r="B6" s="31" t="inlineStr">
        <is>
          <t>Target</t>
        </is>
      </c>
      <c r="C6" s="32">
        <f>IFERROR(INDEX('1. Requirements matrix'!$E$6:$E$53,MATCH($C$4,'1. Requirements matrix'!$B$6:$B$53,0)),"")</f>
        <v/>
      </c>
    </row>
    <row r="7" ht="45" customHeight="1">
      <c r="B7" s="31" t="inlineStr">
        <is>
          <t>Indicator</t>
        </is>
      </c>
      <c r="C7" s="32">
        <f>IFERROR(INDEX('1. Requirements matrix'!$F$6:$F$53,MATCH($C$4,'1. Requirements matrix'!$B$6:$B$53,0)),"")</f>
        <v/>
      </c>
    </row>
    <row r="8" ht="45" customHeight="1">
      <c r="B8" s="31" t="inlineStr">
        <is>
          <t>Reporting requirement</t>
        </is>
      </c>
      <c r="C8" s="32">
        <f>IFERROR(INDEX('1. Requirements matrix'!$G$6:$G$53,MATCH($C$4,'1. Requirements matrix'!$B$6:$B$53,0)),"")</f>
        <v/>
      </c>
    </row>
    <row r="9" ht="45" customHeight="1">
      <c r="B9" s="31" t="inlineStr">
        <is>
          <t>Request issued to</t>
        </is>
      </c>
      <c r="C9" s="32">
        <f>IFERROR(INDEX('1. Requirements matrix'!$I$6:$I$53,MATCH($C$4,'1. Requirements matrix'!$B$6:$B$53,0)),"")</f>
        <v/>
      </c>
    </row>
    <row r="11">
      <c r="B11" s="33" t="inlineStr">
        <is>
          <t>Target score (text)</t>
        </is>
      </c>
      <c r="D11" s="33" t="inlineStr">
        <is>
          <t>Threshold status (SR25 rule)</t>
        </is>
      </c>
      <c r="F11" s="33" t="inlineStr">
        <is>
          <t>% met</t>
        </is>
      </c>
      <c r="H11" s="33" t="inlineStr">
        <is>
          <t>Total valid responses</t>
        </is>
      </c>
      <c r="J11" s="33" t="inlineStr">
        <is>
          <t>Requested, no response received</t>
        </is>
      </c>
    </row>
    <row r="12">
      <c r="B12" s="34">
        <f>IFERROR(INDEX('A1. Data scoring'!$AB$11:$AB$298,MATCH($C$4&amp;"|"&amp;"Confirm end-2026 target status",'A1. Data scoring'!$A$11:$A$298,0)),"")</f>
        <v/>
      </c>
      <c r="D12" s="34">
        <f>IFERROR(INDEX('A1. Data scoring'!$AE$11:$AE$298,MATCH($C$4&amp;"|"&amp;"Confirm end-2026 target status",'A1. Data scoring'!$A$11:$A$298,0)),"")</f>
        <v/>
      </c>
      <c r="F12" s="35">
        <f>IFERROR(INDEX('A1. Data scoring'!$AC$11:$AC$298,MATCH($C$4&amp;"|"&amp;"Confirm end-2026 target status",'A1. Data scoring'!$A$11:$A$298,0)),"")</f>
        <v/>
      </c>
      <c r="H12" s="34">
        <f>IFERROR(INDEX('A1. Data scoring'!$Z$11:$Z$298,MATCH($C$4&amp;"|"&amp;"Confirm end-2026 target status",'A1. Data scoring'!$A$11:$A$298,0)),"")</f>
        <v/>
      </c>
      <c r="J12" s="34">
        <f>IFERROR(INDEX('A1. Data scoring'!$T$11:$T$298,MATCH($C$4&amp;"|"&amp;"Confirm end-2026 target status",'A1. Data scoring'!$A$11:$A$298,0)),"")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row>
    <row r="15">
      <c r="B15" s="36" t="inlineStr">
        <is>
          <t>Requested?</t>
        </is>
      </c>
      <c r="C15" s="37">
        <f>IFERROR(INDEX('0.5 Target Check'!C$7:C$54,MATCH($C$4,'0.5 Target Check'!$B$7:$B$54,0)),"")</f>
        <v/>
      </c>
      <c r="D15" s="37">
        <f>IFERROR(INDEX('0.5 Target Check'!D$7:D$54,MATCH($C$4,'0.5 Target Check'!$B$7:$B$54,0)),"")</f>
        <v/>
      </c>
      <c r="E15" s="37">
        <f>IFERROR(INDEX('0.5 Target Check'!E$7:E$54,MATCH($C$4,'0.5 Target Check'!$B$7:$B$54,0)),"")</f>
        <v/>
      </c>
      <c r="F15" s="37">
        <f>IFERROR(INDEX('0.5 Target Check'!F$7:F$54,MATCH($C$4,'0.5 Target Check'!$B$7:$B$54,0)),"")</f>
        <v/>
      </c>
      <c r="G15" s="37">
        <f>IFERROR(INDEX('0.5 Target Check'!G$7:G$54,MATCH($C$4,'0.5 Target Check'!$B$7:$B$54,0)),"")</f>
        <v/>
      </c>
      <c r="H15" s="37">
        <f>IFERROR(INDEX('0.5 Target Check'!H$7:H$54,MATCH($C$4,'0.5 Target Check'!$B$7:$B$54,0)),"")</f>
        <v/>
      </c>
      <c r="I15" s="37">
        <f>IFERROR(INDEX('0.5 Target Check'!I$7:I$54,MATCH($C$4,'0.5 Target Check'!$B$7:$B$54,0)),"")</f>
        <v/>
      </c>
      <c r="J15" s="37">
        <f>IFERROR(INDEX('0.5 Target Check'!J$7:J$54,MATCH($C$4,'0.5 Target Check'!$B$7:$B$54,0)),"")</f>
        <v/>
      </c>
      <c r="K15" s="37">
        <f>IFERROR(INDEX('0.5 Target Check'!K$7:K$54,MATCH($C$4,'0.5 Target Check'!$B$7:$B$54,0)),"")</f>
        <v/>
      </c>
      <c r="L15" s="37">
        <f>IFERROR(INDEX('0.5 Target Check'!L$7:L$54,MATCH($C$4,'0.5 Target Check'!$B$7:$B$54,0)),"")</f>
        <v/>
      </c>
      <c r="M15" s="37">
        <f>IFERROR(INDEX('0.5 Target Check'!M$7:M$54,MATCH($C$4,'0.5 Target Check'!$B$7:$B$54,0)),"")</f>
        <v/>
      </c>
    </row>
    <row r="16" ht="45" customHeight="1">
      <c r="B16" s="7" t="inlineStr">
        <is>
          <t>Confirm end-2026 target status</t>
        </is>
      </c>
      <c r="C16" s="8">
        <f>IFERROR(INDEX('A1. Data scoring'!H$11:H$298,MATCH($C$4&amp;"|"&amp;$B16,'A1. Data scoring'!$A$11:$A$298,0)),"")</f>
        <v/>
      </c>
      <c r="D16" s="8">
        <f>IFERROR(INDEX('A1. Data scoring'!I$11:I$298,MATCH($C$4&amp;"|"&amp;$B16,'A1. Data scoring'!$A$11:$A$298,0)),"")</f>
        <v/>
      </c>
      <c r="E16" s="8">
        <f>IFERROR(INDEX('A1. Data scoring'!J$11:J$298,MATCH($C$4&amp;"|"&amp;$B16,'A1. Data scoring'!$A$11:$A$298,0)),"")</f>
        <v/>
      </c>
      <c r="F16" s="8">
        <f>IFERROR(INDEX('A1. Data scoring'!K$11:K$298,MATCH($C$4&amp;"|"&amp;$B16,'A1. Data scoring'!$A$11:$A$298,0)),"")</f>
        <v/>
      </c>
      <c r="G16" s="8">
        <f>IFERROR(INDEX('A1. Data scoring'!L$11:L$298,MATCH($C$4&amp;"|"&amp;$B16,'A1. Data scoring'!$A$11:$A$298,0)),"")</f>
        <v/>
      </c>
      <c r="H16" s="8">
        <f>IFERROR(INDEX('A1. Data scoring'!M$11:M$298,MATCH($C$4&amp;"|"&amp;$B16,'A1. Data scoring'!$A$11:$A$298,0)),"")</f>
        <v/>
      </c>
      <c r="I16" s="8">
        <f>IFERROR(INDEX('A1. Data scoring'!N$11:N$298,MATCH($C$4&amp;"|"&amp;$B16,'A1. Data scoring'!$A$11:$A$298,0)),"")</f>
        <v/>
      </c>
      <c r="J16" s="8">
        <f>IFERROR(INDEX('A1. Data scoring'!O$11:O$298,MATCH($C$4&amp;"|"&amp;$B16,'A1. Data scoring'!$A$11:$A$298,0)),"")</f>
        <v/>
      </c>
      <c r="K16" s="8">
        <f>IFERROR(INDEX('A1. Data scoring'!P$11:P$298,MATCH($C$4&amp;"|"&amp;$B16,'A1. Data scoring'!$A$11:$A$298,0)),"")</f>
        <v/>
      </c>
      <c r="L16" s="8">
        <f>IFERROR(INDEX('A1. Data scoring'!Q$11:Q$298,MATCH($C$4&amp;"|"&amp;$B16,'A1. Data scoring'!$A$11:$A$298,0)),"")</f>
        <v/>
      </c>
      <c r="M16" s="8">
        <f>IFERROR(INDEX('A1. Data scoring'!R$11:R$298,MATCH($C$4&amp;"|"&amp;$B16,'A1. Data scoring'!$A$11:$A$298,0)),"")</f>
        <v/>
      </c>
    </row>
    <row r="17" ht="120" customHeight="1">
      <c r="B17" s="7" t="inlineStr">
        <is>
          <t>OPTION 1:  Target-level reporting</t>
        </is>
      </c>
      <c r="C17" s="8">
        <f>IFERROR(INDEX('A1. Data scoring'!H$11:H$298,MATCH($C$4&amp;"|"&amp;$B17,'A1. Data scoring'!$A$11:$A$298,0)),"")</f>
        <v/>
      </c>
      <c r="D17" s="8">
        <f>IFERROR(INDEX('A1. Data scoring'!I$11:I$298,MATCH($C$4&amp;"|"&amp;$B17,'A1. Data scoring'!$A$11:$A$298,0)),"")</f>
        <v/>
      </c>
      <c r="E17" s="8">
        <f>IFERROR(INDEX('A1. Data scoring'!J$11:J$298,MATCH($C$4&amp;"|"&amp;$B17,'A1. Data scoring'!$A$11:$A$298,0)),"")</f>
        <v/>
      </c>
      <c r="F17" s="8">
        <f>IFERROR(INDEX('A1. Data scoring'!K$11:K$298,MATCH($C$4&amp;"|"&amp;$B17,'A1. Data scoring'!$A$11:$A$298,0)),"")</f>
        <v/>
      </c>
      <c r="G17" s="8">
        <f>IFERROR(INDEX('A1. Data scoring'!L$11:L$298,MATCH($C$4&amp;"|"&amp;$B17,'A1. Data scoring'!$A$11:$A$298,0)),"")</f>
        <v/>
      </c>
      <c r="H17" s="8">
        <f>IFERROR(INDEX('A1. Data scoring'!M$11:M$298,MATCH($C$4&amp;"|"&amp;$B17,'A1. Data scoring'!$A$11:$A$298,0)),"")</f>
        <v/>
      </c>
      <c r="I17" s="8">
        <f>IFERROR(INDEX('A1. Data scoring'!N$11:N$298,MATCH($C$4&amp;"|"&amp;$B17,'A1. Data scoring'!$A$11:$A$298,0)),"")</f>
        <v/>
      </c>
      <c r="J17" s="8">
        <f>IFERROR(INDEX('A1. Data scoring'!O$11:O$298,MATCH($C$4&amp;"|"&amp;$B17,'A1. Data scoring'!$A$11:$A$298,0)),"")</f>
        <v/>
      </c>
      <c r="K17" s="8">
        <f>IFERROR(INDEX('A1. Data scoring'!P$11:P$298,MATCH($C$4&amp;"|"&amp;$B17,'A1. Data scoring'!$A$11:$A$298,0)),"")</f>
        <v/>
      </c>
      <c r="L17" s="8">
        <f>IFERROR(INDEX('A1. Data scoring'!Q$11:Q$298,MATCH($C$4&amp;"|"&amp;$B17,'A1. Data scoring'!$A$11:$A$298,0)),"")</f>
        <v/>
      </c>
      <c r="M17" s="8">
        <f>IFERROR(INDEX('A1. Data scoring'!R$11:R$298,MATCH($C$4&amp;"|"&amp;$B17,'A1. Data scoring'!$A$11:$A$298,0)),"")</f>
        <v/>
      </c>
    </row>
    <row r="18" ht="120" customHeight="1">
      <c r="B18" s="7" t="inlineStr">
        <is>
          <t>OPTION 2:  Indicator level reporting</t>
        </is>
      </c>
      <c r="C18" s="8">
        <f>IFERROR(INDEX('A1. Data scoring'!H$11:H$298,MATCH($C$4&amp;"|"&amp;$B18,'A1. Data scoring'!$A$11:$A$298,0)),"")</f>
        <v/>
      </c>
      <c r="D18" s="8">
        <f>IFERROR(INDEX('A1. Data scoring'!I$11:I$298,MATCH($C$4&amp;"|"&amp;$B18,'A1. Data scoring'!$A$11:$A$298,0)),"")</f>
        <v/>
      </c>
      <c r="E18" s="8">
        <f>IFERROR(INDEX('A1. Data scoring'!J$11:J$298,MATCH($C$4&amp;"|"&amp;$B18,'A1. Data scoring'!$A$11:$A$298,0)),"")</f>
        <v/>
      </c>
      <c r="F18" s="8">
        <f>IFERROR(INDEX('A1. Data scoring'!K$11:K$298,MATCH($C$4&amp;"|"&amp;$B18,'A1. Data scoring'!$A$11:$A$298,0)),"")</f>
        <v/>
      </c>
      <c r="G18" s="8">
        <f>IFERROR(INDEX('A1. Data scoring'!L$11:L$298,MATCH($C$4&amp;"|"&amp;$B18,'A1. Data scoring'!$A$11:$A$298,0)),"")</f>
        <v/>
      </c>
      <c r="H18" s="8">
        <f>IFERROR(INDEX('A1. Data scoring'!M$11:M$298,MATCH($C$4&amp;"|"&amp;$B18,'A1. Data scoring'!$A$11:$A$298,0)),"")</f>
        <v/>
      </c>
      <c r="I18" s="8">
        <f>IFERROR(INDEX('A1. Data scoring'!N$11:N$298,MATCH($C$4&amp;"|"&amp;$B18,'A1. Data scoring'!$A$11:$A$298,0)),"")</f>
        <v/>
      </c>
      <c r="J18" s="8">
        <f>IFERROR(INDEX('A1. Data scoring'!O$11:O$298,MATCH($C$4&amp;"|"&amp;$B18,'A1. Data scoring'!$A$11:$A$298,0)),"")</f>
        <v/>
      </c>
      <c r="K18" s="8">
        <f>IFERROR(INDEX('A1. Data scoring'!P$11:P$298,MATCH($C$4&amp;"|"&amp;$B18,'A1. Data scoring'!$A$11:$A$298,0)),"")</f>
        <v/>
      </c>
      <c r="L18" s="8">
        <f>IFERROR(INDEX('A1. Data scoring'!Q$11:Q$298,MATCH($C$4&amp;"|"&amp;$B18,'A1. Data scoring'!$A$11:$A$298,0)),"")</f>
        <v/>
      </c>
      <c r="M18" s="8">
        <f>IFERROR(INDEX('A1. Data scoring'!R$11:R$298,MATCH($C$4&amp;"|"&amp;$B18,'A1. Data scoring'!$A$11:$A$298,0)),"")</f>
        <v/>
      </c>
    </row>
    <row r="19" ht="45" customHeight="1">
      <c r="B19" s="7" t="inlineStr">
        <is>
          <t>Supporting information/comments</t>
        </is>
      </c>
      <c r="C19" s="8">
        <f>IFERROR(INDEX('A1. Data scoring'!H$11:H$298,MATCH($C$4&amp;"|"&amp;$B19,'A1. Data scoring'!$A$11:$A$298,0)),"")</f>
        <v/>
      </c>
      <c r="D19" s="8">
        <f>IFERROR(INDEX('A1. Data scoring'!I$11:I$298,MATCH($C$4&amp;"|"&amp;$B19,'A1. Data scoring'!$A$11:$A$298,0)),"")</f>
        <v/>
      </c>
      <c r="E19" s="8">
        <f>IFERROR(INDEX('A1. Data scoring'!J$11:J$298,MATCH($C$4&amp;"|"&amp;$B19,'A1. Data scoring'!$A$11:$A$298,0)),"")</f>
        <v/>
      </c>
      <c r="F19" s="8">
        <f>IFERROR(INDEX('A1. Data scoring'!K$11:K$298,MATCH($C$4&amp;"|"&amp;$B19,'A1. Data scoring'!$A$11:$A$298,0)),"")</f>
        <v/>
      </c>
      <c r="G19" s="8">
        <f>IFERROR(INDEX('A1. Data scoring'!L$11:L$298,MATCH($C$4&amp;"|"&amp;$B19,'A1. Data scoring'!$A$11:$A$298,0)),"")</f>
        <v/>
      </c>
      <c r="H19" s="8">
        <f>IFERROR(INDEX('A1. Data scoring'!M$11:M$298,MATCH($C$4&amp;"|"&amp;$B19,'A1. Data scoring'!$A$11:$A$298,0)),"")</f>
        <v/>
      </c>
      <c r="I19" s="8">
        <f>IFERROR(INDEX('A1. Data scoring'!N$11:N$298,MATCH($C$4&amp;"|"&amp;$B19,'A1. Data scoring'!$A$11:$A$298,0)),"")</f>
        <v/>
      </c>
      <c r="J19" s="8">
        <f>IFERROR(INDEX('A1. Data scoring'!O$11:O$298,MATCH($C$4&amp;"|"&amp;$B19,'A1. Data scoring'!$A$11:$A$298,0)),"")</f>
        <v/>
      </c>
      <c r="K19" s="8">
        <f>IFERROR(INDEX('A1. Data scoring'!P$11:P$298,MATCH($C$4&amp;"|"&amp;$B19,'A1. Data scoring'!$A$11:$A$298,0)),"")</f>
        <v/>
      </c>
      <c r="L19" s="8">
        <f>IFERROR(INDEX('A1. Data scoring'!Q$11:Q$298,MATCH($C$4&amp;"|"&amp;$B19,'A1. Data scoring'!$A$11:$A$298,0)),"")</f>
        <v/>
      </c>
      <c r="M19" s="8">
        <f>IFERROR(INDEX('A1. Data scoring'!R$11:R$298,MATCH($C$4&amp;"|"&amp;$B19,'A1. Data scoring'!$A$11:$A$298,0)),"")</f>
        <v/>
      </c>
    </row>
    <row r="20" ht="45" customHeight="1">
      <c r="B20" s="7" t="inlineStr">
        <is>
          <t>Data source and limitations</t>
        </is>
      </c>
      <c r="C20" s="8">
        <f>IFERROR(INDEX('A1. Data scoring'!H$11:H$298,MATCH($C$4&amp;"|"&amp;$B20,'A1. Data scoring'!$A$11:$A$298,0)),"")</f>
        <v/>
      </c>
      <c r="D20" s="8">
        <f>IFERROR(INDEX('A1. Data scoring'!I$11:I$298,MATCH($C$4&amp;"|"&amp;$B20,'A1. Data scoring'!$A$11:$A$298,0)),"")</f>
        <v/>
      </c>
      <c r="E20" s="8">
        <f>IFERROR(INDEX('A1. Data scoring'!J$11:J$298,MATCH($C$4&amp;"|"&amp;$B20,'A1. Data scoring'!$A$11:$A$298,0)),"")</f>
        <v/>
      </c>
      <c r="F20" s="8">
        <f>IFERROR(INDEX('A1. Data scoring'!K$11:K$298,MATCH($C$4&amp;"|"&amp;$B20,'A1. Data scoring'!$A$11:$A$298,0)),"")</f>
        <v/>
      </c>
      <c r="G20" s="8">
        <f>IFERROR(INDEX('A1. Data scoring'!L$11:L$298,MATCH($C$4&amp;"|"&amp;$B20,'A1. Data scoring'!$A$11:$A$298,0)),"")</f>
        <v/>
      </c>
      <c r="H20" s="8">
        <f>IFERROR(INDEX('A1. Data scoring'!M$11:M$298,MATCH($C$4&amp;"|"&amp;$B20,'A1. Data scoring'!$A$11:$A$298,0)),"")</f>
        <v/>
      </c>
      <c r="I20" s="8">
        <f>IFERROR(INDEX('A1. Data scoring'!N$11:N$298,MATCH($C$4&amp;"|"&amp;$B20,'A1. Data scoring'!$A$11:$A$298,0)),"")</f>
        <v/>
      </c>
      <c r="J20" s="8">
        <f>IFERROR(INDEX('A1. Data scoring'!O$11:O$298,MATCH($C$4&amp;"|"&amp;$B20,'A1. Data scoring'!$A$11:$A$298,0)),"")</f>
        <v/>
      </c>
      <c r="K20" s="8">
        <f>IFERROR(INDEX('A1. Data scoring'!P$11:P$298,MATCH($C$4&amp;"|"&amp;$B20,'A1. Data scoring'!$A$11:$A$298,0)),"")</f>
        <v/>
      </c>
      <c r="L20" s="8">
        <f>IFERROR(INDEX('A1. Data scoring'!Q$11:Q$298,MATCH($C$4&amp;"|"&amp;$B20,'A1. Data scoring'!$A$11:$A$298,0)),"")</f>
        <v/>
      </c>
      <c r="M20" s="8">
        <f>IFERROR(INDEX('A1. Data scoring'!R$11:R$298,MATCH($C$4&amp;"|"&amp;$B20,'A1. Data scoring'!$A$11:$A$298,0)),"")</f>
        <v/>
      </c>
    </row>
    <row r="21" ht="45" customHeight="1">
      <c r="B21" s="7" t="inlineStr">
        <is>
          <t>Data owner confirms</t>
        </is>
      </c>
      <c r="C21" s="8">
        <f>IFERROR(INDEX('A1. Data scoring'!H$11:H$298,MATCH($C$4&amp;"|"&amp;$B21,'A1. Data scoring'!$A$11:$A$298,0)),"")</f>
        <v/>
      </c>
      <c r="D21" s="8">
        <f>IFERROR(INDEX('A1. Data scoring'!I$11:I$298,MATCH($C$4&amp;"|"&amp;$B21,'A1. Data scoring'!$A$11:$A$298,0)),"")</f>
        <v/>
      </c>
      <c r="E21" s="8">
        <f>IFERROR(INDEX('A1. Data scoring'!J$11:J$298,MATCH($C$4&amp;"|"&amp;$B21,'A1. Data scoring'!$A$11:$A$298,0)),"")</f>
        <v/>
      </c>
      <c r="F21" s="8">
        <f>IFERROR(INDEX('A1. Data scoring'!K$11:K$298,MATCH($C$4&amp;"|"&amp;$B21,'A1. Data scoring'!$A$11:$A$298,0)),"")</f>
        <v/>
      </c>
      <c r="G21" s="8">
        <f>IFERROR(INDEX('A1. Data scoring'!L$11:L$298,MATCH($C$4&amp;"|"&amp;$B21,'A1. Data scoring'!$A$11:$A$298,0)),"")</f>
        <v/>
      </c>
      <c r="H21" s="8">
        <f>IFERROR(INDEX('A1. Data scoring'!M$11:M$298,MATCH($C$4&amp;"|"&amp;$B21,'A1. Data scoring'!$A$11:$A$298,0)),"")</f>
        <v/>
      </c>
      <c r="I21" s="8">
        <f>IFERROR(INDEX('A1. Data scoring'!N$11:N$298,MATCH($C$4&amp;"|"&amp;$B21,'A1. Data scoring'!$A$11:$A$298,0)),"")</f>
        <v/>
      </c>
      <c r="J21" s="8">
        <f>IFERROR(INDEX('A1. Data scoring'!O$11:O$298,MATCH($C$4&amp;"|"&amp;$B21,'A1. Data scoring'!$A$11:$A$298,0)),"")</f>
        <v/>
      </c>
      <c r="K21" s="8">
        <f>IFERROR(INDEX('A1. Data scoring'!P$11:P$298,MATCH($C$4&amp;"|"&amp;$B21,'A1. Data scoring'!$A$11:$A$298,0)),"")</f>
        <v/>
      </c>
      <c r="L21" s="8">
        <f>IFERROR(INDEX('A1. Data scoring'!Q$11:Q$298,MATCH($C$4&amp;"|"&amp;$B21,'A1. Data scoring'!$A$11:$A$298,0)),"")</f>
        <v/>
      </c>
      <c r="M21" s="8">
        <f>IFERROR(INDEX('A1. Data scoring'!R$11:R$298,MATCH($C$4&amp;"|"&amp;$B21,'A1. Data scoring'!$A$11:$A$298,0)),"")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matrix'!$B$6:$B$53</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23"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EE1(c)</t>
        </is>
      </c>
      <c r="C8" s="8" t="inlineStr">
        <is>
          <t>Evidence of sustainability focused experiential and co curricular learning (eg Wattle Fellowship; Melbourne Plus)</t>
        </is>
      </c>
      <c r="D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E8"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F8" s="8" t="inlineStr">
        <is>
          <t>N/A – new indicator</t>
        </is>
      </c>
      <c r="G8" s="8" t="inlineStr">
        <is>
          <t>None (new indicator)</t>
        </is>
      </c>
    </row>
    <row r="9" ht="130" customHeight="1">
      <c r="B9" s="7" t="inlineStr">
        <is>
          <t>EE1(d)</t>
        </is>
      </c>
      <c r="C9" s="8" t="inlineStr">
        <is>
          <t>Alumni profiles demonstrating how graduates contribute to sustainability through their careers or communities.</t>
        </is>
      </c>
      <c r="D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E9" s="8" t="inlineStr">
        <is>
          <t>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F9" s="8" t="inlineStr">
        <is>
          <t>4b(i)</t>
        </is>
      </c>
      <c r="G9" s="8" t="inlineStr">
        <is>
          <t>Points to the faculty's end-2025 response and rating</t>
        </is>
      </c>
    </row>
    <row r="10" ht="13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10" s="8" t="inlineStr">
        <is>
          <t>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F10" s="8" t="inlineStr">
        <is>
          <t>2a</t>
        </is>
      </c>
      <c r="G10" s="8" t="inlineStr">
        <is>
          <t>Points to the faculty's end-2025 response and rating</t>
        </is>
      </c>
    </row>
    <row r="11" ht="130" customHeight="1">
      <c r="B11" s="7" t="inlineStr">
        <is>
          <t>TR1(b)</t>
        </is>
      </c>
      <c r="C11" s="8" t="inlineStr">
        <is>
          <t>Evidence of institutional pathways that enable ongoing collaboration between academic and professional staff</t>
        </is>
      </c>
      <c r="D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E11"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F11" s="8" t="inlineStr">
        <is>
          <t>N/A – new indicator</t>
        </is>
      </c>
      <c r="G11" s="8" t="inlineStr">
        <is>
          <t>None (new indicator)</t>
        </is>
      </c>
    </row>
    <row r="12" ht="130" customHeight="1">
      <c r="B12" s="7" t="inlineStr">
        <is>
          <t>TR1(c)</t>
        </is>
      </c>
      <c r="C12" s="8" t="inlineStr">
        <is>
          <t>Expert assessment of the quality, relevance and continuity of these collaborations</t>
        </is>
      </c>
      <c r="D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E12" s="8" t="inlineStr">
        <is>
          <t>For the collaborations described in TR1(a)–(b), please give a short assessment (a paragraph is sufficient) of their quality, relevance and continuity: are they ongoing, useful to the University's operational priorities, and producing outcomes?</t>
        </is>
      </c>
      <c r="F12" s="8" t="inlineStr">
        <is>
          <t>N/A – new indicator</t>
        </is>
      </c>
      <c r="G12" s="8" t="inlineStr">
        <is>
          <t>None (new indicator)</t>
        </is>
      </c>
    </row>
    <row r="13" ht="130" customHeight="1">
      <c r="B13" s="7" t="inlineStr">
        <is>
          <t>TR1(d)</t>
        </is>
      </c>
      <c r="C13" s="8" t="inlineStr">
        <is>
          <t>Periodic feedback from participants on the effectiveness and mutual benefit of collaboration mechanisms.</t>
        </is>
      </c>
      <c r="D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E13"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F13" s="8" t="inlineStr">
        <is>
          <t>N/A – new indicator</t>
        </is>
      </c>
      <c r="G13" s="8" t="inlineStr">
        <is>
          <t>None (new indicator)</t>
        </is>
      </c>
    </row>
    <row r="14" ht="130" customHeight="1">
      <c r="B14" s="7" t="inlineStr">
        <is>
          <t>TR2(a)</t>
        </is>
      </c>
      <c r="C14" s="8" t="inlineStr">
        <is>
          <t>Evidence of sustainability-related research impact across diverse pathways, could include policy, industry, community, practice, cultural and institutional outcomes</t>
        </is>
      </c>
      <c r="D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14" s="8" t="inlineStr">
        <is>
          <t>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14" s="8" t="inlineStr">
        <is>
          <t>5b(i)</t>
        </is>
      </c>
      <c r="G14" s="8" t="inlineStr">
        <is>
          <t>Points to the faculty's end-2025 response and rating</t>
        </is>
      </c>
    </row>
    <row r="15" ht="130" customHeight="1">
      <c r="B15" s="7" t="inlineStr">
        <is>
          <t>TR2(d)</t>
        </is>
      </c>
      <c r="C15" s="8" t="inlineStr">
        <is>
          <t>Case-based evidence demonstrating how research has contributed to meaningful sustainability outcomes.</t>
        </is>
      </c>
      <c r="D15"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5" s="8" t="inlineStr">
        <is>
          <t>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F15" s="8" t="inlineStr">
        <is>
          <t>5b(i)</t>
        </is>
      </c>
      <c r="G15" s="8" t="inlineStr">
        <is>
          <t>Points to the faculty's end-2025 response and rating</t>
        </is>
      </c>
    </row>
    <row r="16" ht="130" customHeight="1">
      <c r="B16" s="7" t="inlineStr">
        <is>
          <t>TR3(a)</t>
        </is>
      </c>
      <c r="C16" s="8" t="inlineStr">
        <is>
          <t>Evidence that sustainability considerations are integrated into relevant research systems, planning processes, guidance, training, induction or support services</t>
        </is>
      </c>
      <c r="D16" s="8" t="inlineStr">
        <is>
          <t>Please describe how sustainability considerations are integrated into research systems, planning processes, guidance, training, induction or support services within your Faculty/Portfolio, could include examples of any new or improved processes.</t>
        </is>
      </c>
      <c r="E16" s="8" t="inlineStr">
        <is>
          <t>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F16" s="8" t="inlineStr">
        <is>
          <t>5c(ii)</t>
        </is>
      </c>
      <c r="G16" s="8" t="inlineStr">
        <is>
          <t>Points to the faculty's end-2025 response and rating</t>
        </is>
      </c>
    </row>
    <row r="17" ht="130" customHeight="1">
      <c r="B17" s="7" t="inlineStr">
        <is>
          <t>TR3(b)</t>
        </is>
      </c>
      <c r="C17" s="8" t="inlineStr">
        <is>
          <t>Demonstrated examples of more sustainable research practices in laboratories, fieldwork, procurement, travel or infrastructure use</t>
        </is>
      </c>
      <c r="D1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7" s="8" t="inlineStr">
        <is>
          <t>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F17" s="8" t="inlineStr">
        <is>
          <t>5c(ii)</t>
        </is>
      </c>
      <c r="G17" s="8" t="inlineStr">
        <is>
          <t>Points to the faculty's end-2025 response and rating</t>
        </is>
      </c>
    </row>
    <row r="18" ht="130" customHeight="1">
      <c r="B18" s="7" t="inlineStr">
        <is>
          <t>TR3(c)</t>
        </is>
      </c>
      <c r="C18" s="8" t="inlineStr">
        <is>
          <t>Evidence of progress in sustainability-related research culture, capability and awareness, informed by periodic staff and graduate researcher surveys</t>
        </is>
      </c>
      <c r="D18"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E18"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F18" s="8" t="inlineStr">
        <is>
          <t>N/A – new indicator</t>
        </is>
      </c>
      <c r="G18" s="8" t="inlineStr">
        <is>
          <t>None (new indicator)</t>
        </is>
      </c>
    </row>
    <row r="19" ht="130" customHeight="1">
      <c r="B19" s="7" t="inlineStr">
        <is>
          <t>TR3(d)</t>
        </is>
      </c>
      <c r="C19" s="8" t="inlineStr">
        <is>
          <t>Expert assessment of progress in embedding sustainable research practices across the institution.</t>
        </is>
      </c>
      <c r="D19" s="8" t="inlineStr">
        <is>
          <t>Faculty/Portfolio’s assessment of progress in embedding sustainable research practices, highlighting areas of strong progress, remaining gaps and priority actions for further improvement.</t>
        </is>
      </c>
      <c r="E19" s="8" t="inlineStr">
        <is>
          <t>Drawing on your responses to TR3(a)–(c), please provide a short overall assessment (2–3 sentences) of your faculty's progress in embedding sustainable research practices: where progress is strongest, the main gaps, and priority actions for 2027.</t>
        </is>
      </c>
      <c r="F19" s="8" t="inlineStr">
        <is>
          <t>N/A – new indicator</t>
        </is>
      </c>
      <c r="G19" s="8" t="inlineStr">
        <is>
          <t>None (new indicator)</t>
        </is>
      </c>
    </row>
    <row r="20" ht="130" customHeight="1">
      <c r="B20" s="7" t="inlineStr">
        <is>
          <t>CL2(a)</t>
        </is>
      </c>
      <c r="C20" s="8" t="inlineStr">
        <is>
          <t>By 2028, develop and document institutional mapping of research and education activities that are designed to contribute to global decarbonisation</t>
        </is>
      </c>
      <c r="D20"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E20"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F20" s="8" t="inlineStr">
        <is>
          <t>N/A – new indicator</t>
        </is>
      </c>
      <c r="G20" s="8" t="inlineStr">
        <is>
          <t>None (new indicator)</t>
        </is>
      </c>
    </row>
    <row r="21" ht="130" customHeight="1">
      <c r="B21" s="7" t="inlineStr">
        <is>
          <t>CL2(c)</t>
        </is>
      </c>
      <c r="C21" s="8" t="inlineStr">
        <is>
          <t>Ongoing communications that evidence the University’s climate action, research and learning to inform policy, sector and community decarbonisation efforts.</t>
        </is>
      </c>
      <c r="D21" s="8" t="inlineStr">
        <is>
          <t>List and describe communications from the faculty in terms of climate action, research and learning to inform policy, sector and community decarbonisation efforts</t>
        </is>
      </c>
      <c r="E21"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F21" s="8" t="inlineStr">
        <is>
          <t>N/A – new indicator</t>
        </is>
      </c>
      <c r="G21" s="8" t="inlineStr">
        <is>
          <t>None (new indicator)</t>
        </is>
      </c>
    </row>
    <row r="22" ht="130" customHeight="1">
      <c r="B22" s="7" t="inlineStr">
        <is>
          <t>EN1(a)</t>
        </is>
      </c>
      <c r="C22" s="8" t="inlineStr">
        <is>
          <t>Evidence of sustainability outcomes informed by Indigenous knowledges</t>
        </is>
      </c>
      <c r="D2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22" s="8" t="inlineStr">
        <is>
          <t>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22" s="8" t="inlineStr">
        <is>
          <t>6a</t>
        </is>
      </c>
      <c r="G22" s="8" t="inlineStr">
        <is>
          <t>Points to the faculty's end-2025 response and rating</t>
        </is>
      </c>
    </row>
    <row r="23" ht="130" customHeight="1">
      <c r="B23" s="7" t="inlineStr">
        <is>
          <t>EN1(b)</t>
        </is>
      </c>
      <c r="C23" s="8" t="inlineStr">
        <is>
          <t>Living laboratories enabling applied learning, research and operational sustainability outcomes</t>
        </is>
      </c>
      <c r="D23" s="8" t="inlineStr">
        <is>
          <t>Comment on living labs in the Faculty - outputs, outcomes, and impact</t>
        </is>
      </c>
      <c r="E23" s="8" t="inlineStr">
        <is>
          <t>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F23" s="8" t="inlineStr">
        <is>
          <t>2a</t>
        </is>
      </c>
      <c r="G23" s="8" t="inlineStr">
        <is>
          <t>Points to the faculty's end-2025 response and rating</t>
        </is>
      </c>
    </row>
    <row r="24" ht="130" customHeight="1">
      <c r="B24" s="7" t="inlineStr">
        <is>
          <t>EN1(c)</t>
        </is>
      </c>
      <c r="C24" s="8" t="inlineStr">
        <is>
          <t>Coordinated internal engagement and external partnerships contributing to delivery of sustainability outcomes across priority areas.</t>
        </is>
      </c>
      <c r="D2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24" s="8" t="inlineStr">
        <is>
          <t>Please list the key sustainability-focused communities of practice, internal networks or external partnerships active in your faculty in 2026 (name, partners, priority area), and provide a short description of one that has contributed to a Sustainability 2030 outcome.</t>
        </is>
      </c>
      <c r="F24" s="8" t="inlineStr">
        <is>
          <t>3a(ii)</t>
        </is>
      </c>
      <c r="G24" s="8" t="inlineStr">
        <is>
          <t>Points to the faculty's end-2025 response and rating</t>
        </is>
      </c>
    </row>
    <row r="25" ht="130" customHeight="1">
      <c r="B25" s="7" t="inlineStr">
        <is>
          <t>EN1(d)</t>
        </is>
      </c>
      <c r="C25" s="8" t="inlineStr">
        <is>
          <t>Sustainability objectives integrated into governance and decision‑making processes, supported by transparent reporting.</t>
        </is>
      </c>
      <c r="D2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E25"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F25" s="8" t="inlineStr">
        <is>
          <t>N/A – new indicator</t>
        </is>
      </c>
      <c r="G25" s="8" t="inlineStr">
        <is>
          <t>None (new indicator)</t>
        </is>
      </c>
    </row>
  </sheetData>
  <mergeCells count="1">
    <mergeCell ref="B3:G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15" t="inlineStr">
        <is>
          <t>How to use this spreadsheet</t>
        </is>
      </c>
      <c r="C5" s="23"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38" t="inlineStr">
        <is>
          <t>Faculty/Portfolio</t>
        </is>
      </c>
      <c r="C8" s="38" t="inlineStr">
        <is>
          <t>Title</t>
        </is>
      </c>
      <c r="D8" s="38" t="inlineStr">
        <is>
          <t>Description</t>
        </is>
      </c>
      <c r="E8" s="38" t="inlineStr">
        <is>
          <t>Related Sustainability 2030 targets (optional)</t>
        </is>
      </c>
      <c r="F8" s="38" t="inlineStr">
        <is>
          <t>Images and other media</t>
        </is>
      </c>
      <c r="G8" s="38" t="inlineStr">
        <is>
          <t>Links and supporting documentation</t>
        </is>
      </c>
      <c r="H8" s="38" t="inlineStr">
        <is>
          <t>SST: shortlisted for case study?</t>
        </is>
      </c>
      <c r="I8" s="38" t="inlineStr">
        <is>
          <t>SST: permission to publish confirmed?</t>
        </is>
      </c>
      <c r="J8" s="38" t="inlineStr">
        <is>
          <t>SST notes</t>
        </is>
      </c>
    </row>
    <row r="9" ht="90" customHeight="1">
      <c r="B9" s="39" t="inlineStr"/>
      <c r="C9" s="39" t="inlineStr"/>
      <c r="D9" s="3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E9" s="39" t="inlineStr"/>
      <c r="F9" s="39" t="inlineStr">
        <is>
          <t>(link to OneDrive/SharePoint files or published online content preferred)</t>
        </is>
      </c>
      <c r="G9" s="39" t="inlineStr"/>
      <c r="H9" s="39" t="inlineStr"/>
      <c r="I9" s="39" t="inlineStr"/>
      <c r="J9" s="39" t="inlineStr"/>
    </row>
    <row r="10" ht="120" customHeight="1">
      <c r="B10" s="8" t="n"/>
      <c r="C10" s="8" t="n"/>
      <c r="D10" s="8" t="n"/>
      <c r="E10" s="8" t="n"/>
      <c r="F10" s="8" t="n"/>
      <c r="G10" s="8" t="n"/>
      <c r="H10" s="8" t="n"/>
      <c r="I10" s="8" t="n"/>
      <c r="J10" s="8" t="n"/>
    </row>
    <row r="11" ht="120" customHeight="1">
      <c r="B11" s="8" t="n"/>
      <c r="C11" s="8" t="n"/>
      <c r="D11" s="8" t="n"/>
      <c r="E11" s="8" t="n"/>
      <c r="F11" s="8" t="n"/>
      <c r="G11" s="8" t="n"/>
      <c r="H11" s="8" t="n"/>
      <c r="I11" s="8" t="n"/>
      <c r="J11" s="8" t="n"/>
    </row>
    <row r="12" ht="120" customHeight="1">
      <c r="B12" s="8" t="n"/>
      <c r="C12" s="8" t="n"/>
      <c r="D12" s="8" t="n"/>
      <c r="E12" s="8" t="n"/>
      <c r="F12" s="8" t="n"/>
      <c r="G12" s="8" t="n"/>
      <c r="H12" s="8" t="n"/>
      <c r="I12" s="8" t="n"/>
      <c r="J12" s="8" t="n"/>
    </row>
    <row r="13" ht="120" customHeight="1">
      <c r="B13" s="8" t="n"/>
      <c r="C13" s="8" t="n"/>
      <c r="D13" s="8" t="n"/>
      <c r="E13" s="8" t="n"/>
      <c r="F13" s="8" t="n"/>
      <c r="G13" s="8" t="n"/>
      <c r="H13" s="8" t="n"/>
      <c r="I13" s="8" t="n"/>
      <c r="J13" s="8" t="n"/>
    </row>
    <row r="14" ht="120" customHeight="1">
      <c r="B14" s="8" t="n"/>
      <c r="C14" s="8" t="n"/>
      <c r="D14" s="8" t="n"/>
      <c r="E14" s="8" t="n"/>
      <c r="F14" s="8" t="n"/>
      <c r="G14" s="8" t="n"/>
      <c r="H14" s="8" t="n"/>
      <c r="I14" s="8" t="n"/>
      <c r="J14" s="8" t="n"/>
    </row>
    <row r="15" ht="120" customHeight="1">
      <c r="B15" s="8" t="n"/>
      <c r="C15" s="8" t="n"/>
      <c r="D15" s="8" t="n"/>
      <c r="E15" s="8" t="n"/>
      <c r="F15" s="8" t="n"/>
      <c r="G15" s="8" t="n"/>
      <c r="H15" s="8" t="n"/>
      <c r="I15" s="8" t="n"/>
      <c r="J15" s="8" t="n"/>
    </row>
    <row r="16" ht="120" customHeight="1">
      <c r="B16" s="8" t="n"/>
      <c r="C16" s="8" t="n"/>
      <c r="D16" s="8" t="n"/>
      <c r="E16" s="8" t="n"/>
      <c r="F16" s="8" t="n"/>
      <c r="G16" s="8" t="n"/>
      <c r="H16" s="8" t="n"/>
      <c r="I16" s="8" t="n"/>
      <c r="J16" s="8" t="n"/>
    </row>
    <row r="17" ht="120" customHeight="1">
      <c r="B17" s="8" t="n"/>
      <c r="C17" s="8" t="n"/>
      <c r="D17" s="8" t="n"/>
      <c r="E17" s="8" t="n"/>
      <c r="F17" s="8" t="n"/>
      <c r="G17" s="8" t="n"/>
      <c r="H17" s="8" t="n"/>
      <c r="I17" s="8" t="n"/>
      <c r="J17" s="8" t="n"/>
    </row>
    <row r="18" ht="120" customHeight="1">
      <c r="B18" s="8" t="n"/>
      <c r="C18" s="8" t="n"/>
      <c r="D18" s="8" t="n"/>
      <c r="E18" s="8" t="n"/>
      <c r="F18" s="8" t="n"/>
      <c r="G18" s="8" t="n"/>
      <c r="H18" s="8" t="n"/>
      <c r="I18" s="8" t="n"/>
      <c r="J18" s="8" t="n"/>
    </row>
    <row r="19" ht="120" customHeight="1">
      <c r="B19" s="8" t="n"/>
      <c r="C19" s="8" t="n"/>
      <c r="D19" s="8" t="n"/>
      <c r="E19" s="8" t="n"/>
      <c r="F19" s="8" t="n"/>
      <c r="G19" s="8" t="n"/>
      <c r="H19" s="8" t="n"/>
      <c r="I19" s="8" t="n"/>
      <c r="J19" s="8" t="n"/>
    </row>
    <row r="20" ht="120" customHeight="1">
      <c r="B20" s="8" t="n"/>
      <c r="C20" s="8" t="n"/>
      <c r="D20" s="8" t="n"/>
      <c r="E20" s="8" t="n"/>
      <c r="F20" s="8" t="n"/>
      <c r="G20" s="8" t="n"/>
      <c r="H20" s="8" t="n"/>
      <c r="I20" s="8" t="n"/>
      <c r="J20" s="8" t="n"/>
    </row>
    <row r="21" ht="120" customHeight="1">
      <c r="B21" s="8" t="n"/>
      <c r="C21" s="8" t="n"/>
      <c r="D21" s="8" t="n"/>
      <c r="E21" s="8" t="n"/>
      <c r="F21" s="8" t="n"/>
      <c r="G21" s="8" t="n"/>
      <c r="H21" s="8" t="n"/>
      <c r="I21" s="8" t="n"/>
      <c r="J21" s="8" t="n"/>
    </row>
  </sheetData>
  <mergeCells count="1">
    <mergeCell ref="C5: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30" customWidth="1" min="4" max="4"/>
    <col width="18" customWidth="1" min="5" max="5"/>
    <col width="40" customWidth="1" min="6" max="6"/>
    <col width="36" customWidth="1" min="7" max="7"/>
    <col width="30" customWidth="1" min="8" max="8"/>
    <col width="16" customWidth="1" min="9" max="9"/>
    <col width="12" customWidth="1" min="10" max="10"/>
    <col width="16" customWidth="1" min="11" max="11"/>
    <col width="30" customWidth="1" min="12" max="12"/>
    <col width="22" customWidth="1" min="13" max="13"/>
    <col width="11" customWidth="1" min="14" max="14"/>
    <col width="13" customWidth="1" min="15" max="15"/>
    <col width="14" customWidth="1" min="16" max="16"/>
    <col width="18" customWidth="1" min="17" max="17"/>
    <col width="11" customWidth="1" min="18" max="18"/>
    <col width="26" customWidth="1" min="19" max="19"/>
  </cols>
  <sheetData>
    <row r="1">
      <c r="A1" s="1" t="inlineStr">
        <is>
          <t>↑</t>
        </is>
      </c>
      <c r="B1" s="2" t="inlineStr">
        <is>
          <t>End-2026 target status assessment and reporting</t>
        </is>
      </c>
    </row>
    <row r="2">
      <c r="B2" s="3" t="inlineStr">
        <is>
          <t>Evidence register</t>
        </is>
      </c>
    </row>
    <row r="3">
      <c r="B3" s="9" t="inlineStr">
        <is>
          <t>Every material figure or claim needs a named owner, definition, source, reporting boundary, period, quality note and confirmation record (SR26 approach – Data quality).</t>
        </is>
      </c>
    </row>
    <row r="5">
      <c r="B5" s="6" t="inlineStr">
        <is>
          <t>Evidence ID</t>
        </is>
      </c>
      <c r="C5" s="6" t="inlineStr">
        <is>
          <t>Ref</t>
        </is>
      </c>
      <c r="D5" s="6" t="inlineStr">
        <is>
          <t>Indicator</t>
        </is>
      </c>
      <c r="E5" s="6" t="inlineStr">
        <is>
          <t>Faculty/Portfolio</t>
        </is>
      </c>
      <c r="F5" s="6" t="inlineStr">
        <is>
          <t>Claim / figure used in report</t>
        </is>
      </c>
      <c r="G5" s="6" t="inlineStr">
        <is>
          <t>Evidence description</t>
        </is>
      </c>
      <c r="H5" s="6" t="inlineStr">
        <is>
          <t>Link / file location</t>
        </is>
      </c>
      <c r="I5" s="6" t="inlineStr">
        <is>
          <t>Source system</t>
        </is>
      </c>
      <c r="J5" s="6" t="inlineStr">
        <is>
          <t>Reporting period</t>
        </is>
      </c>
      <c r="K5" s="6" t="inlineStr">
        <is>
          <t>Reporting boundary</t>
        </is>
      </c>
      <c r="L5" s="6" t="inlineStr">
        <is>
          <t>Limitations / quality note</t>
        </is>
      </c>
      <c r="M5" s="6" t="inlineStr">
        <is>
          <t>Data owner (name, role)</t>
        </is>
      </c>
      <c r="N5" s="6" t="inlineStr">
        <is>
          <t>Owner confirmed?</t>
        </is>
      </c>
      <c r="O5" s="6" t="inlineStr">
        <is>
          <t>Confirmation date</t>
        </is>
      </c>
      <c r="P5" s="6" t="inlineStr">
        <is>
          <t>SST reviewer</t>
        </is>
      </c>
      <c r="Q5" s="6" t="inlineStr">
        <is>
          <t>Report section</t>
        </is>
      </c>
      <c r="R5" s="6" t="inlineStr">
        <is>
          <t>Databook aligned?</t>
        </is>
      </c>
      <c r="S5" s="6" t="inlineStr">
        <is>
          <t>Status / notes</t>
        </is>
      </c>
    </row>
    <row r="6">
      <c r="B6" s="8">
        <f>IF(C6="","","EV-"&amp;TEXT(ROW()-5,"000"))</f>
        <v/>
      </c>
      <c r="C6" s="8" t="n"/>
      <c r="D6" s="8" t="n"/>
      <c r="E6" s="8" t="n"/>
      <c r="F6" s="8" t="n"/>
      <c r="G6" s="8" t="n"/>
      <c r="H6" s="8" t="n"/>
      <c r="I6" s="8" t="n"/>
      <c r="J6" s="8" t="n"/>
      <c r="K6" s="8" t="n"/>
      <c r="L6" s="8" t="n"/>
      <c r="M6" s="8" t="n"/>
      <c r="N6" s="8" t="n"/>
      <c r="O6" s="8" t="n"/>
      <c r="P6" s="8" t="n"/>
      <c r="Q6" s="8" t="n"/>
      <c r="R6" s="8" t="n"/>
      <c r="S6" s="8" t="n"/>
    </row>
    <row r="7">
      <c r="B7" s="8">
        <f>IF(C7="","","EV-"&amp;TEXT(ROW()-5,"000"))</f>
        <v/>
      </c>
      <c r="C7" s="8" t="n"/>
      <c r="D7" s="8" t="n"/>
      <c r="E7" s="8" t="n"/>
      <c r="F7" s="8" t="n"/>
      <c r="G7" s="8" t="n"/>
      <c r="H7" s="8" t="n"/>
      <c r="I7" s="8" t="n"/>
      <c r="J7" s="8" t="n"/>
      <c r="K7" s="8" t="n"/>
      <c r="L7" s="8" t="n"/>
      <c r="M7" s="8" t="n"/>
      <c r="N7" s="8" t="n"/>
      <c r="O7" s="8" t="n"/>
      <c r="P7" s="8" t="n"/>
      <c r="Q7" s="8" t="n"/>
      <c r="R7" s="8" t="n"/>
      <c r="S7" s="8" t="n"/>
    </row>
    <row r="8">
      <c r="B8" s="8">
        <f>IF(C8="","","EV-"&amp;TEXT(ROW()-5,"000"))</f>
        <v/>
      </c>
      <c r="C8" s="8" t="n"/>
      <c r="D8" s="8" t="n"/>
      <c r="E8" s="8" t="n"/>
      <c r="F8" s="8" t="n"/>
      <c r="G8" s="8" t="n"/>
      <c r="H8" s="8" t="n"/>
      <c r="I8" s="8" t="n"/>
      <c r="J8" s="8" t="n"/>
      <c r="K8" s="8" t="n"/>
      <c r="L8" s="8" t="n"/>
      <c r="M8" s="8" t="n"/>
      <c r="N8" s="8" t="n"/>
      <c r="O8" s="8" t="n"/>
      <c r="P8" s="8" t="n"/>
      <c r="Q8" s="8" t="n"/>
      <c r="R8" s="8" t="n"/>
      <c r="S8" s="8" t="n"/>
    </row>
    <row r="9">
      <c r="B9" s="8">
        <f>IF(C9="","","EV-"&amp;TEXT(ROW()-5,"000"))</f>
        <v/>
      </c>
      <c r="C9" s="8" t="n"/>
      <c r="D9" s="8" t="n"/>
      <c r="E9" s="8" t="n"/>
      <c r="F9" s="8" t="n"/>
      <c r="G9" s="8" t="n"/>
      <c r="H9" s="8" t="n"/>
      <c r="I9" s="8" t="n"/>
      <c r="J9" s="8" t="n"/>
      <c r="K9" s="8" t="n"/>
      <c r="L9" s="8" t="n"/>
      <c r="M9" s="8" t="n"/>
      <c r="N9" s="8" t="n"/>
      <c r="O9" s="8" t="n"/>
      <c r="P9" s="8" t="n"/>
      <c r="Q9" s="8" t="n"/>
      <c r="R9" s="8" t="n"/>
      <c r="S9" s="8" t="n"/>
    </row>
    <row r="10">
      <c r="B10" s="8">
        <f>IF(C10="","","EV-"&amp;TEXT(ROW()-5,"000"))</f>
        <v/>
      </c>
      <c r="C10" s="8" t="n"/>
      <c r="D10" s="8" t="n"/>
      <c r="E10" s="8" t="n"/>
      <c r="F10" s="8" t="n"/>
      <c r="G10" s="8" t="n"/>
      <c r="H10" s="8" t="n"/>
      <c r="I10" s="8" t="n"/>
      <c r="J10" s="8" t="n"/>
      <c r="K10" s="8" t="n"/>
      <c r="L10" s="8" t="n"/>
      <c r="M10" s="8" t="n"/>
      <c r="N10" s="8" t="n"/>
      <c r="O10" s="8" t="n"/>
      <c r="P10" s="8" t="n"/>
      <c r="Q10" s="8" t="n"/>
      <c r="R10" s="8" t="n"/>
      <c r="S10" s="8" t="n"/>
    </row>
    <row r="11">
      <c r="B11" s="8">
        <f>IF(C11="","","EV-"&amp;TEXT(ROW()-5,"000"))</f>
        <v/>
      </c>
      <c r="C11" s="8" t="n"/>
      <c r="D11" s="8" t="n"/>
      <c r="E11" s="8" t="n"/>
      <c r="F11" s="8" t="n"/>
      <c r="G11" s="8" t="n"/>
      <c r="H11" s="8" t="n"/>
      <c r="I11" s="8" t="n"/>
      <c r="J11" s="8" t="n"/>
      <c r="K11" s="8" t="n"/>
      <c r="L11" s="8" t="n"/>
      <c r="M11" s="8" t="n"/>
      <c r="N11" s="8" t="n"/>
      <c r="O11" s="8" t="n"/>
      <c r="P11" s="8" t="n"/>
      <c r="Q11" s="8" t="n"/>
      <c r="R11" s="8" t="n"/>
      <c r="S11" s="8" t="n"/>
    </row>
    <row r="12">
      <c r="B12" s="8">
        <f>IF(C12="","","EV-"&amp;TEXT(ROW()-5,"000"))</f>
        <v/>
      </c>
      <c r="C12" s="8" t="n"/>
      <c r="D12" s="8" t="n"/>
      <c r="E12" s="8" t="n"/>
      <c r="F12" s="8" t="n"/>
      <c r="G12" s="8" t="n"/>
      <c r="H12" s="8" t="n"/>
      <c r="I12" s="8" t="n"/>
      <c r="J12" s="8" t="n"/>
      <c r="K12" s="8" t="n"/>
      <c r="L12" s="8" t="n"/>
      <c r="M12" s="8" t="n"/>
      <c r="N12" s="8" t="n"/>
      <c r="O12" s="8" t="n"/>
      <c r="P12" s="8" t="n"/>
      <c r="Q12" s="8" t="n"/>
      <c r="R12" s="8" t="n"/>
      <c r="S12" s="8" t="n"/>
    </row>
    <row r="13">
      <c r="B13" s="8">
        <f>IF(C13="","","EV-"&amp;TEXT(ROW()-5,"000"))</f>
        <v/>
      </c>
      <c r="C13" s="8" t="n"/>
      <c r="D13" s="8" t="n"/>
      <c r="E13" s="8" t="n"/>
      <c r="F13" s="8" t="n"/>
      <c r="G13" s="8" t="n"/>
      <c r="H13" s="8" t="n"/>
      <c r="I13" s="8" t="n"/>
      <c r="J13" s="8" t="n"/>
      <c r="K13" s="8" t="n"/>
      <c r="L13" s="8" t="n"/>
      <c r="M13" s="8" t="n"/>
      <c r="N13" s="8" t="n"/>
      <c r="O13" s="8" t="n"/>
      <c r="P13" s="8" t="n"/>
      <c r="Q13" s="8" t="n"/>
      <c r="R13" s="8" t="n"/>
      <c r="S13" s="8" t="n"/>
    </row>
    <row r="14">
      <c r="B14" s="8">
        <f>IF(C14="","","EV-"&amp;TEXT(ROW()-5,"000"))</f>
        <v/>
      </c>
      <c r="C14" s="8" t="n"/>
      <c r="D14" s="8" t="n"/>
      <c r="E14" s="8" t="n"/>
      <c r="F14" s="8" t="n"/>
      <c r="G14" s="8" t="n"/>
      <c r="H14" s="8" t="n"/>
      <c r="I14" s="8" t="n"/>
      <c r="J14" s="8" t="n"/>
      <c r="K14" s="8" t="n"/>
      <c r="L14" s="8" t="n"/>
      <c r="M14" s="8" t="n"/>
      <c r="N14" s="8" t="n"/>
      <c r="O14" s="8" t="n"/>
      <c r="P14" s="8" t="n"/>
      <c r="Q14" s="8" t="n"/>
      <c r="R14" s="8" t="n"/>
      <c r="S14" s="8" t="n"/>
    </row>
    <row r="15">
      <c r="B15" s="8">
        <f>IF(C15="","","EV-"&amp;TEXT(ROW()-5,"000"))</f>
        <v/>
      </c>
      <c r="C15" s="8" t="n"/>
      <c r="D15" s="8" t="n"/>
      <c r="E15" s="8" t="n"/>
      <c r="F15" s="8" t="n"/>
      <c r="G15" s="8" t="n"/>
      <c r="H15" s="8" t="n"/>
      <c r="I15" s="8" t="n"/>
      <c r="J15" s="8" t="n"/>
      <c r="K15" s="8" t="n"/>
      <c r="L15" s="8" t="n"/>
      <c r="M15" s="8" t="n"/>
      <c r="N15" s="8" t="n"/>
      <c r="O15" s="8" t="n"/>
      <c r="P15" s="8" t="n"/>
      <c r="Q15" s="8" t="n"/>
      <c r="R15" s="8" t="n"/>
      <c r="S15" s="8" t="n"/>
    </row>
    <row r="16">
      <c r="B16" s="8">
        <f>IF(C16="","","EV-"&amp;TEXT(ROW()-5,"000"))</f>
        <v/>
      </c>
      <c r="C16" s="8" t="n"/>
      <c r="D16" s="8" t="n"/>
      <c r="E16" s="8" t="n"/>
      <c r="F16" s="8" t="n"/>
      <c r="G16" s="8" t="n"/>
      <c r="H16" s="8" t="n"/>
      <c r="I16" s="8" t="n"/>
      <c r="J16" s="8" t="n"/>
      <c r="K16" s="8" t="n"/>
      <c r="L16" s="8" t="n"/>
      <c r="M16" s="8" t="n"/>
      <c r="N16" s="8" t="n"/>
      <c r="O16" s="8" t="n"/>
      <c r="P16" s="8" t="n"/>
      <c r="Q16" s="8" t="n"/>
      <c r="R16" s="8" t="n"/>
      <c r="S16" s="8" t="n"/>
    </row>
    <row r="17">
      <c r="B17" s="8">
        <f>IF(C17="","","EV-"&amp;TEXT(ROW()-5,"000"))</f>
        <v/>
      </c>
      <c r="C17" s="8" t="n"/>
      <c r="D17" s="8" t="n"/>
      <c r="E17" s="8" t="n"/>
      <c r="F17" s="8" t="n"/>
      <c r="G17" s="8" t="n"/>
      <c r="H17" s="8" t="n"/>
      <c r="I17" s="8" t="n"/>
      <c r="J17" s="8" t="n"/>
      <c r="K17" s="8" t="n"/>
      <c r="L17" s="8" t="n"/>
      <c r="M17" s="8" t="n"/>
      <c r="N17" s="8" t="n"/>
      <c r="O17" s="8" t="n"/>
      <c r="P17" s="8" t="n"/>
      <c r="Q17" s="8" t="n"/>
      <c r="R17" s="8" t="n"/>
      <c r="S17" s="8" t="n"/>
    </row>
    <row r="18">
      <c r="B18" s="8">
        <f>IF(C18="","","EV-"&amp;TEXT(ROW()-5,"000"))</f>
        <v/>
      </c>
      <c r="C18" s="8" t="n"/>
      <c r="D18" s="8" t="n"/>
      <c r="E18" s="8" t="n"/>
      <c r="F18" s="8" t="n"/>
      <c r="G18" s="8" t="n"/>
      <c r="H18" s="8" t="n"/>
      <c r="I18" s="8" t="n"/>
      <c r="J18" s="8" t="n"/>
      <c r="K18" s="8" t="n"/>
      <c r="L18" s="8" t="n"/>
      <c r="M18" s="8" t="n"/>
      <c r="N18" s="8" t="n"/>
      <c r="O18" s="8" t="n"/>
      <c r="P18" s="8" t="n"/>
      <c r="Q18" s="8" t="n"/>
      <c r="R18" s="8" t="n"/>
      <c r="S18" s="8" t="n"/>
    </row>
    <row r="19">
      <c r="B19" s="8">
        <f>IF(C19="","","EV-"&amp;TEXT(ROW()-5,"000"))</f>
        <v/>
      </c>
      <c r="C19" s="8" t="n"/>
      <c r="D19" s="8" t="n"/>
      <c r="E19" s="8" t="n"/>
      <c r="F19" s="8" t="n"/>
      <c r="G19" s="8" t="n"/>
      <c r="H19" s="8" t="n"/>
      <c r="I19" s="8" t="n"/>
      <c r="J19" s="8" t="n"/>
      <c r="K19" s="8" t="n"/>
      <c r="L19" s="8" t="n"/>
      <c r="M19" s="8" t="n"/>
      <c r="N19" s="8" t="n"/>
      <c r="O19" s="8" t="n"/>
      <c r="P19" s="8" t="n"/>
      <c r="Q19" s="8" t="n"/>
      <c r="R19" s="8" t="n"/>
      <c r="S19" s="8" t="n"/>
    </row>
    <row r="20">
      <c r="B20" s="8">
        <f>IF(C20="","","EV-"&amp;TEXT(ROW()-5,"000"))</f>
        <v/>
      </c>
      <c r="C20" s="8" t="n"/>
      <c r="D20" s="8" t="n"/>
      <c r="E20" s="8" t="n"/>
      <c r="F20" s="8" t="n"/>
      <c r="G20" s="8" t="n"/>
      <c r="H20" s="8" t="n"/>
      <c r="I20" s="8" t="n"/>
      <c r="J20" s="8" t="n"/>
      <c r="K20" s="8" t="n"/>
      <c r="L20" s="8" t="n"/>
      <c r="M20" s="8" t="n"/>
      <c r="N20" s="8" t="n"/>
      <c r="O20" s="8" t="n"/>
      <c r="P20" s="8" t="n"/>
      <c r="Q20" s="8" t="n"/>
      <c r="R20" s="8" t="n"/>
      <c r="S20" s="8" t="n"/>
    </row>
    <row r="21">
      <c r="B21" s="8">
        <f>IF(C21="","","EV-"&amp;TEXT(ROW()-5,"000"))</f>
        <v/>
      </c>
      <c r="C21" s="8" t="n"/>
      <c r="D21" s="8" t="n"/>
      <c r="E21" s="8" t="n"/>
      <c r="F21" s="8" t="n"/>
      <c r="G21" s="8" t="n"/>
      <c r="H21" s="8" t="n"/>
      <c r="I21" s="8" t="n"/>
      <c r="J21" s="8" t="n"/>
      <c r="K21" s="8" t="n"/>
      <c r="L21" s="8" t="n"/>
      <c r="M21" s="8" t="n"/>
      <c r="N21" s="8" t="n"/>
      <c r="O21" s="8" t="n"/>
      <c r="P21" s="8" t="n"/>
      <c r="Q21" s="8" t="n"/>
      <c r="R21" s="8" t="n"/>
      <c r="S21" s="8" t="n"/>
    </row>
    <row r="22">
      <c r="B22" s="8">
        <f>IF(C22="","","EV-"&amp;TEXT(ROW()-5,"000"))</f>
        <v/>
      </c>
      <c r="C22" s="8" t="n"/>
      <c r="D22" s="8" t="n"/>
      <c r="E22" s="8" t="n"/>
      <c r="F22" s="8" t="n"/>
      <c r="G22" s="8" t="n"/>
      <c r="H22" s="8" t="n"/>
      <c r="I22" s="8" t="n"/>
      <c r="J22" s="8" t="n"/>
      <c r="K22" s="8" t="n"/>
      <c r="L22" s="8" t="n"/>
      <c r="M22" s="8" t="n"/>
      <c r="N22" s="8" t="n"/>
      <c r="O22" s="8" t="n"/>
      <c r="P22" s="8" t="n"/>
      <c r="Q22" s="8" t="n"/>
      <c r="R22" s="8" t="n"/>
      <c r="S22" s="8" t="n"/>
    </row>
    <row r="23">
      <c r="B23" s="8">
        <f>IF(C23="","","EV-"&amp;TEXT(ROW()-5,"000"))</f>
        <v/>
      </c>
      <c r="C23" s="8" t="n"/>
      <c r="D23" s="8" t="n"/>
      <c r="E23" s="8" t="n"/>
      <c r="F23" s="8" t="n"/>
      <c r="G23" s="8" t="n"/>
      <c r="H23" s="8" t="n"/>
      <c r="I23" s="8" t="n"/>
      <c r="J23" s="8" t="n"/>
      <c r="K23" s="8" t="n"/>
      <c r="L23" s="8" t="n"/>
      <c r="M23" s="8" t="n"/>
      <c r="N23" s="8" t="n"/>
      <c r="O23" s="8" t="n"/>
      <c r="P23" s="8" t="n"/>
      <c r="Q23" s="8" t="n"/>
      <c r="R23" s="8" t="n"/>
      <c r="S23" s="8" t="n"/>
    </row>
    <row r="24">
      <c r="B24" s="8">
        <f>IF(C24="","","EV-"&amp;TEXT(ROW()-5,"000"))</f>
        <v/>
      </c>
      <c r="C24" s="8" t="n"/>
      <c r="D24" s="8" t="n"/>
      <c r="E24" s="8" t="n"/>
      <c r="F24" s="8" t="n"/>
      <c r="G24" s="8" t="n"/>
      <c r="H24" s="8" t="n"/>
      <c r="I24" s="8" t="n"/>
      <c r="J24" s="8" t="n"/>
      <c r="K24" s="8" t="n"/>
      <c r="L24" s="8" t="n"/>
      <c r="M24" s="8" t="n"/>
      <c r="N24" s="8" t="n"/>
      <c r="O24" s="8" t="n"/>
      <c r="P24" s="8" t="n"/>
      <c r="Q24" s="8" t="n"/>
      <c r="R24" s="8" t="n"/>
      <c r="S24" s="8" t="n"/>
    </row>
    <row r="25">
      <c r="B25" s="8">
        <f>IF(C25="","","EV-"&amp;TEXT(ROW()-5,"000"))</f>
        <v/>
      </c>
      <c r="C25" s="8" t="n"/>
      <c r="D25" s="8" t="n"/>
      <c r="E25" s="8" t="n"/>
      <c r="F25" s="8" t="n"/>
      <c r="G25" s="8" t="n"/>
      <c r="H25" s="8" t="n"/>
      <c r="I25" s="8" t="n"/>
      <c r="J25" s="8" t="n"/>
      <c r="K25" s="8" t="n"/>
      <c r="L25" s="8" t="n"/>
      <c r="M25" s="8" t="n"/>
      <c r="N25" s="8" t="n"/>
      <c r="O25" s="8" t="n"/>
      <c r="P25" s="8" t="n"/>
      <c r="Q25" s="8" t="n"/>
      <c r="R25" s="8" t="n"/>
      <c r="S25" s="8" t="n"/>
    </row>
    <row r="26">
      <c r="B26" s="8">
        <f>IF(C26="","","EV-"&amp;TEXT(ROW()-5,"000"))</f>
        <v/>
      </c>
      <c r="C26" s="8" t="n"/>
      <c r="D26" s="8" t="n"/>
      <c r="E26" s="8" t="n"/>
      <c r="F26" s="8" t="n"/>
      <c r="G26" s="8" t="n"/>
      <c r="H26" s="8" t="n"/>
      <c r="I26" s="8" t="n"/>
      <c r="J26" s="8" t="n"/>
      <c r="K26" s="8" t="n"/>
      <c r="L26" s="8" t="n"/>
      <c r="M26" s="8" t="n"/>
      <c r="N26" s="8" t="n"/>
      <c r="O26" s="8" t="n"/>
      <c r="P26" s="8" t="n"/>
      <c r="Q26" s="8" t="n"/>
      <c r="R26" s="8" t="n"/>
      <c r="S26" s="8" t="n"/>
    </row>
    <row r="27">
      <c r="B27" s="8">
        <f>IF(C27="","","EV-"&amp;TEXT(ROW()-5,"000"))</f>
        <v/>
      </c>
      <c r="C27" s="8" t="n"/>
      <c r="D27" s="8" t="n"/>
      <c r="E27" s="8" t="n"/>
      <c r="F27" s="8" t="n"/>
      <c r="G27" s="8" t="n"/>
      <c r="H27" s="8" t="n"/>
      <c r="I27" s="8" t="n"/>
      <c r="J27" s="8" t="n"/>
      <c r="K27" s="8" t="n"/>
      <c r="L27" s="8" t="n"/>
      <c r="M27" s="8" t="n"/>
      <c r="N27" s="8" t="n"/>
      <c r="O27" s="8" t="n"/>
      <c r="P27" s="8" t="n"/>
      <c r="Q27" s="8" t="n"/>
      <c r="R27" s="8" t="n"/>
      <c r="S27" s="8" t="n"/>
    </row>
    <row r="28">
      <c r="B28" s="8">
        <f>IF(C28="","","EV-"&amp;TEXT(ROW()-5,"000"))</f>
        <v/>
      </c>
      <c r="C28" s="8" t="n"/>
      <c r="D28" s="8" t="n"/>
      <c r="E28" s="8" t="n"/>
      <c r="F28" s="8" t="n"/>
      <c r="G28" s="8" t="n"/>
      <c r="H28" s="8" t="n"/>
      <c r="I28" s="8" t="n"/>
      <c r="J28" s="8" t="n"/>
      <c r="K28" s="8" t="n"/>
      <c r="L28" s="8" t="n"/>
      <c r="M28" s="8" t="n"/>
      <c r="N28" s="8" t="n"/>
      <c r="O28" s="8" t="n"/>
      <c r="P28" s="8" t="n"/>
      <c r="Q28" s="8" t="n"/>
      <c r="R28" s="8" t="n"/>
      <c r="S28" s="8" t="n"/>
    </row>
    <row r="29">
      <c r="B29" s="8">
        <f>IF(C29="","","EV-"&amp;TEXT(ROW()-5,"000"))</f>
        <v/>
      </c>
      <c r="C29" s="8" t="n"/>
      <c r="D29" s="8" t="n"/>
      <c r="E29" s="8" t="n"/>
      <c r="F29" s="8" t="n"/>
      <c r="G29" s="8" t="n"/>
      <c r="H29" s="8" t="n"/>
      <c r="I29" s="8" t="n"/>
      <c r="J29" s="8" t="n"/>
      <c r="K29" s="8" t="n"/>
      <c r="L29" s="8" t="n"/>
      <c r="M29" s="8" t="n"/>
      <c r="N29" s="8" t="n"/>
      <c r="O29" s="8" t="n"/>
      <c r="P29" s="8" t="n"/>
      <c r="Q29" s="8" t="n"/>
      <c r="R29" s="8" t="n"/>
      <c r="S29" s="8" t="n"/>
    </row>
    <row r="30">
      <c r="B30" s="8">
        <f>IF(C30="","","EV-"&amp;TEXT(ROW()-5,"000"))</f>
        <v/>
      </c>
      <c r="C30" s="8" t="n"/>
      <c r="D30" s="8" t="n"/>
      <c r="E30" s="8" t="n"/>
      <c r="F30" s="8" t="n"/>
      <c r="G30" s="8" t="n"/>
      <c r="H30" s="8" t="n"/>
      <c r="I30" s="8" t="n"/>
      <c r="J30" s="8" t="n"/>
      <c r="K30" s="8" t="n"/>
      <c r="L30" s="8" t="n"/>
      <c r="M30" s="8" t="n"/>
      <c r="N30" s="8" t="n"/>
      <c r="O30" s="8" t="n"/>
      <c r="P30" s="8" t="n"/>
      <c r="Q30" s="8" t="n"/>
      <c r="R30" s="8" t="n"/>
      <c r="S30" s="8" t="n"/>
    </row>
    <row r="31">
      <c r="B31" s="8">
        <f>IF(C31="","","EV-"&amp;TEXT(ROW()-5,"000"))</f>
        <v/>
      </c>
      <c r="C31" s="8" t="n"/>
      <c r="D31" s="8" t="n"/>
      <c r="E31" s="8" t="n"/>
      <c r="F31" s="8" t="n"/>
      <c r="G31" s="8" t="n"/>
      <c r="H31" s="8" t="n"/>
      <c r="I31" s="8" t="n"/>
      <c r="J31" s="8" t="n"/>
      <c r="K31" s="8" t="n"/>
      <c r="L31" s="8" t="n"/>
      <c r="M31" s="8" t="n"/>
      <c r="N31" s="8" t="n"/>
      <c r="O31" s="8" t="n"/>
      <c r="P31" s="8" t="n"/>
      <c r="Q31" s="8" t="n"/>
      <c r="R31" s="8" t="n"/>
      <c r="S31" s="8" t="n"/>
    </row>
    <row r="32">
      <c r="B32" s="8">
        <f>IF(C32="","","EV-"&amp;TEXT(ROW()-5,"000"))</f>
        <v/>
      </c>
      <c r="C32" s="8" t="n"/>
      <c r="D32" s="8" t="n"/>
      <c r="E32" s="8" t="n"/>
      <c r="F32" s="8" t="n"/>
      <c r="G32" s="8" t="n"/>
      <c r="H32" s="8" t="n"/>
      <c r="I32" s="8" t="n"/>
      <c r="J32" s="8" t="n"/>
      <c r="K32" s="8" t="n"/>
      <c r="L32" s="8" t="n"/>
      <c r="M32" s="8" t="n"/>
      <c r="N32" s="8" t="n"/>
      <c r="O32" s="8" t="n"/>
      <c r="P32" s="8" t="n"/>
      <c r="Q32" s="8" t="n"/>
      <c r="R32" s="8" t="n"/>
      <c r="S32" s="8" t="n"/>
    </row>
    <row r="33">
      <c r="B33" s="8">
        <f>IF(C33="","","EV-"&amp;TEXT(ROW()-5,"000"))</f>
        <v/>
      </c>
      <c r="C33" s="8" t="n"/>
      <c r="D33" s="8" t="n"/>
      <c r="E33" s="8" t="n"/>
      <c r="F33" s="8" t="n"/>
      <c r="G33" s="8" t="n"/>
      <c r="H33" s="8" t="n"/>
      <c r="I33" s="8" t="n"/>
      <c r="J33" s="8" t="n"/>
      <c r="K33" s="8" t="n"/>
      <c r="L33" s="8" t="n"/>
      <c r="M33" s="8" t="n"/>
      <c r="N33" s="8" t="n"/>
      <c r="O33" s="8" t="n"/>
      <c r="P33" s="8" t="n"/>
      <c r="Q33" s="8" t="n"/>
      <c r="R33" s="8" t="n"/>
      <c r="S33" s="8" t="n"/>
    </row>
    <row r="34">
      <c r="B34" s="8">
        <f>IF(C34="","","EV-"&amp;TEXT(ROW()-5,"000"))</f>
        <v/>
      </c>
      <c r="C34" s="8" t="n"/>
      <c r="D34" s="8" t="n"/>
      <c r="E34" s="8" t="n"/>
      <c r="F34" s="8" t="n"/>
      <c r="G34" s="8" t="n"/>
      <c r="H34" s="8" t="n"/>
      <c r="I34" s="8" t="n"/>
      <c r="J34" s="8" t="n"/>
      <c r="K34" s="8" t="n"/>
      <c r="L34" s="8" t="n"/>
      <c r="M34" s="8" t="n"/>
      <c r="N34" s="8" t="n"/>
      <c r="O34" s="8" t="n"/>
      <c r="P34" s="8" t="n"/>
      <c r="Q34" s="8" t="n"/>
      <c r="R34" s="8" t="n"/>
      <c r="S34" s="8" t="n"/>
    </row>
    <row r="35">
      <c r="B35" s="8">
        <f>IF(C35="","","EV-"&amp;TEXT(ROW()-5,"000"))</f>
        <v/>
      </c>
      <c r="C35" s="8" t="n"/>
      <c r="D35" s="8" t="n"/>
      <c r="E35" s="8" t="n"/>
      <c r="F35" s="8" t="n"/>
      <c r="G35" s="8" t="n"/>
      <c r="H35" s="8" t="n"/>
      <c r="I35" s="8" t="n"/>
      <c r="J35" s="8" t="n"/>
      <c r="K35" s="8" t="n"/>
      <c r="L35" s="8" t="n"/>
      <c r="M35" s="8" t="n"/>
      <c r="N35" s="8" t="n"/>
      <c r="O35" s="8" t="n"/>
      <c r="P35" s="8" t="n"/>
      <c r="Q35" s="8" t="n"/>
      <c r="R35" s="8" t="n"/>
      <c r="S35" s="8" t="n"/>
    </row>
    <row r="36">
      <c r="B36" s="8">
        <f>IF(C36="","","EV-"&amp;TEXT(ROW()-5,"000"))</f>
        <v/>
      </c>
      <c r="C36" s="8" t="n"/>
      <c r="D36" s="8" t="n"/>
      <c r="E36" s="8" t="n"/>
      <c r="F36" s="8" t="n"/>
      <c r="G36" s="8" t="n"/>
      <c r="H36" s="8" t="n"/>
      <c r="I36" s="8" t="n"/>
      <c r="J36" s="8" t="n"/>
      <c r="K36" s="8" t="n"/>
      <c r="L36" s="8" t="n"/>
      <c r="M36" s="8" t="n"/>
      <c r="N36" s="8" t="n"/>
      <c r="O36" s="8" t="n"/>
      <c r="P36" s="8" t="n"/>
      <c r="Q36" s="8" t="n"/>
      <c r="R36" s="8" t="n"/>
      <c r="S36" s="8" t="n"/>
    </row>
    <row r="37">
      <c r="B37" s="8">
        <f>IF(C37="","","EV-"&amp;TEXT(ROW()-5,"000"))</f>
        <v/>
      </c>
      <c r="C37" s="8" t="n"/>
      <c r="D37" s="8" t="n"/>
      <c r="E37" s="8" t="n"/>
      <c r="F37" s="8" t="n"/>
      <c r="G37" s="8" t="n"/>
      <c r="H37" s="8" t="n"/>
      <c r="I37" s="8" t="n"/>
      <c r="J37" s="8" t="n"/>
      <c r="K37" s="8" t="n"/>
      <c r="L37" s="8" t="n"/>
      <c r="M37" s="8" t="n"/>
      <c r="N37" s="8" t="n"/>
      <c r="O37" s="8" t="n"/>
      <c r="P37" s="8" t="n"/>
      <c r="Q37" s="8" t="n"/>
      <c r="R37" s="8" t="n"/>
      <c r="S37" s="8" t="n"/>
    </row>
    <row r="38">
      <c r="B38" s="8">
        <f>IF(C38="","","EV-"&amp;TEXT(ROW()-5,"000"))</f>
        <v/>
      </c>
      <c r="C38" s="8" t="n"/>
      <c r="D38" s="8" t="n"/>
      <c r="E38" s="8" t="n"/>
      <c r="F38" s="8" t="n"/>
      <c r="G38" s="8" t="n"/>
      <c r="H38" s="8" t="n"/>
      <c r="I38" s="8" t="n"/>
      <c r="J38" s="8" t="n"/>
      <c r="K38" s="8" t="n"/>
      <c r="L38" s="8" t="n"/>
      <c r="M38" s="8" t="n"/>
      <c r="N38" s="8" t="n"/>
      <c r="O38" s="8" t="n"/>
      <c r="P38" s="8" t="n"/>
      <c r="Q38" s="8" t="n"/>
      <c r="R38" s="8" t="n"/>
      <c r="S38" s="8" t="n"/>
    </row>
    <row r="39">
      <c r="B39" s="8">
        <f>IF(C39="","","EV-"&amp;TEXT(ROW()-5,"000"))</f>
        <v/>
      </c>
      <c r="C39" s="8" t="n"/>
      <c r="D39" s="8" t="n"/>
      <c r="E39" s="8" t="n"/>
      <c r="F39" s="8" t="n"/>
      <c r="G39" s="8" t="n"/>
      <c r="H39" s="8" t="n"/>
      <c r="I39" s="8" t="n"/>
      <c r="J39" s="8" t="n"/>
      <c r="K39" s="8" t="n"/>
      <c r="L39" s="8" t="n"/>
      <c r="M39" s="8" t="n"/>
      <c r="N39" s="8" t="n"/>
      <c r="O39" s="8" t="n"/>
      <c r="P39" s="8" t="n"/>
      <c r="Q39" s="8" t="n"/>
      <c r="R39" s="8" t="n"/>
      <c r="S39" s="8" t="n"/>
    </row>
    <row r="40">
      <c r="B40" s="8">
        <f>IF(C40="","","EV-"&amp;TEXT(ROW()-5,"000"))</f>
        <v/>
      </c>
      <c r="C40" s="8" t="n"/>
      <c r="D40" s="8" t="n"/>
      <c r="E40" s="8" t="n"/>
      <c r="F40" s="8" t="n"/>
      <c r="G40" s="8" t="n"/>
      <c r="H40" s="8" t="n"/>
      <c r="I40" s="8" t="n"/>
      <c r="J40" s="8" t="n"/>
      <c r="K40" s="8" t="n"/>
      <c r="L40" s="8" t="n"/>
      <c r="M40" s="8" t="n"/>
      <c r="N40" s="8" t="n"/>
      <c r="O40" s="8" t="n"/>
      <c r="P40" s="8" t="n"/>
      <c r="Q40" s="8" t="n"/>
      <c r="R40" s="8" t="n"/>
      <c r="S40" s="8" t="n"/>
    </row>
    <row r="41">
      <c r="B41" s="8">
        <f>IF(C41="","","EV-"&amp;TEXT(ROW()-5,"000"))</f>
        <v/>
      </c>
      <c r="C41" s="8" t="n"/>
      <c r="D41" s="8" t="n"/>
      <c r="E41" s="8" t="n"/>
      <c r="F41" s="8" t="n"/>
      <c r="G41" s="8" t="n"/>
      <c r="H41" s="8" t="n"/>
      <c r="I41" s="8" t="n"/>
      <c r="J41" s="8" t="n"/>
      <c r="K41" s="8" t="n"/>
      <c r="L41" s="8" t="n"/>
      <c r="M41" s="8" t="n"/>
      <c r="N41" s="8" t="n"/>
      <c r="O41" s="8" t="n"/>
      <c r="P41" s="8" t="n"/>
      <c r="Q41" s="8" t="n"/>
      <c r="R41" s="8" t="n"/>
      <c r="S41" s="8" t="n"/>
    </row>
    <row r="42">
      <c r="B42" s="8">
        <f>IF(C42="","","EV-"&amp;TEXT(ROW()-5,"000"))</f>
        <v/>
      </c>
      <c r="C42" s="8" t="n"/>
      <c r="D42" s="8" t="n"/>
      <c r="E42" s="8" t="n"/>
      <c r="F42" s="8" t="n"/>
      <c r="G42" s="8" t="n"/>
      <c r="H42" s="8" t="n"/>
      <c r="I42" s="8" t="n"/>
      <c r="J42" s="8" t="n"/>
      <c r="K42" s="8" t="n"/>
      <c r="L42" s="8" t="n"/>
      <c r="M42" s="8" t="n"/>
      <c r="N42" s="8" t="n"/>
      <c r="O42" s="8" t="n"/>
      <c r="P42" s="8" t="n"/>
      <c r="Q42" s="8" t="n"/>
      <c r="R42" s="8" t="n"/>
      <c r="S42" s="8" t="n"/>
    </row>
    <row r="43">
      <c r="B43" s="8">
        <f>IF(C43="","","EV-"&amp;TEXT(ROW()-5,"000"))</f>
        <v/>
      </c>
      <c r="C43" s="8" t="n"/>
      <c r="D43" s="8" t="n"/>
      <c r="E43" s="8" t="n"/>
      <c r="F43" s="8" t="n"/>
      <c r="G43" s="8" t="n"/>
      <c r="H43" s="8" t="n"/>
      <c r="I43" s="8" t="n"/>
      <c r="J43" s="8" t="n"/>
      <c r="K43" s="8" t="n"/>
      <c r="L43" s="8" t="n"/>
      <c r="M43" s="8" t="n"/>
      <c r="N43" s="8" t="n"/>
      <c r="O43" s="8" t="n"/>
      <c r="P43" s="8" t="n"/>
      <c r="Q43" s="8" t="n"/>
      <c r="R43" s="8" t="n"/>
      <c r="S43" s="8" t="n"/>
    </row>
    <row r="44">
      <c r="B44" s="8">
        <f>IF(C44="","","EV-"&amp;TEXT(ROW()-5,"000"))</f>
        <v/>
      </c>
      <c r="C44" s="8" t="n"/>
      <c r="D44" s="8" t="n"/>
      <c r="E44" s="8" t="n"/>
      <c r="F44" s="8" t="n"/>
      <c r="G44" s="8" t="n"/>
      <c r="H44" s="8" t="n"/>
      <c r="I44" s="8" t="n"/>
      <c r="J44" s="8" t="n"/>
      <c r="K44" s="8" t="n"/>
      <c r="L44" s="8" t="n"/>
      <c r="M44" s="8" t="n"/>
      <c r="N44" s="8" t="n"/>
      <c r="O44" s="8" t="n"/>
      <c r="P44" s="8" t="n"/>
      <c r="Q44" s="8" t="n"/>
      <c r="R44" s="8" t="n"/>
      <c r="S44" s="8" t="n"/>
    </row>
    <row r="45">
      <c r="B45" s="8">
        <f>IF(C45="","","EV-"&amp;TEXT(ROW()-5,"000"))</f>
        <v/>
      </c>
      <c r="C45" s="8" t="n"/>
      <c r="D45" s="8" t="n"/>
      <c r="E45" s="8" t="n"/>
      <c r="F45" s="8" t="n"/>
      <c r="G45" s="8" t="n"/>
      <c r="H45" s="8" t="n"/>
      <c r="I45" s="8" t="n"/>
      <c r="J45" s="8" t="n"/>
      <c r="K45" s="8" t="n"/>
      <c r="L45" s="8" t="n"/>
      <c r="M45" s="8" t="n"/>
      <c r="N45" s="8" t="n"/>
      <c r="O45" s="8" t="n"/>
      <c r="P45" s="8" t="n"/>
      <c r="Q45" s="8" t="n"/>
      <c r="R45" s="8" t="n"/>
      <c r="S45" s="8" t="n"/>
    </row>
    <row r="46">
      <c r="B46" s="8">
        <f>IF(C46="","","EV-"&amp;TEXT(ROW()-5,"000"))</f>
        <v/>
      </c>
      <c r="C46" s="8" t="n"/>
      <c r="D46" s="8" t="n"/>
      <c r="E46" s="8" t="n"/>
      <c r="F46" s="8" t="n"/>
      <c r="G46" s="8" t="n"/>
      <c r="H46" s="8" t="n"/>
      <c r="I46" s="8" t="n"/>
      <c r="J46" s="8" t="n"/>
      <c r="K46" s="8" t="n"/>
      <c r="L46" s="8" t="n"/>
      <c r="M46" s="8" t="n"/>
      <c r="N46" s="8" t="n"/>
      <c r="O46" s="8" t="n"/>
      <c r="P46" s="8" t="n"/>
      <c r="Q46" s="8" t="n"/>
      <c r="R46" s="8" t="n"/>
      <c r="S46" s="8" t="n"/>
    </row>
    <row r="47">
      <c r="B47" s="8">
        <f>IF(C47="","","EV-"&amp;TEXT(ROW()-5,"000"))</f>
        <v/>
      </c>
      <c r="C47" s="8" t="n"/>
      <c r="D47" s="8" t="n"/>
      <c r="E47" s="8" t="n"/>
      <c r="F47" s="8" t="n"/>
      <c r="G47" s="8" t="n"/>
      <c r="H47" s="8" t="n"/>
      <c r="I47" s="8" t="n"/>
      <c r="J47" s="8" t="n"/>
      <c r="K47" s="8" t="n"/>
      <c r="L47" s="8" t="n"/>
      <c r="M47" s="8" t="n"/>
      <c r="N47" s="8" t="n"/>
      <c r="O47" s="8" t="n"/>
      <c r="P47" s="8" t="n"/>
      <c r="Q47" s="8" t="n"/>
      <c r="R47" s="8" t="n"/>
      <c r="S47" s="8" t="n"/>
    </row>
    <row r="48">
      <c r="B48" s="8">
        <f>IF(C48="","","EV-"&amp;TEXT(ROW()-5,"000"))</f>
        <v/>
      </c>
      <c r="C48" s="8" t="n"/>
      <c r="D48" s="8" t="n"/>
      <c r="E48" s="8" t="n"/>
      <c r="F48" s="8" t="n"/>
      <c r="G48" s="8" t="n"/>
      <c r="H48" s="8" t="n"/>
      <c r="I48" s="8" t="n"/>
      <c r="J48" s="8" t="n"/>
      <c r="K48" s="8" t="n"/>
      <c r="L48" s="8" t="n"/>
      <c r="M48" s="8" t="n"/>
      <c r="N48" s="8" t="n"/>
      <c r="O48" s="8" t="n"/>
      <c r="P48" s="8" t="n"/>
      <c r="Q48" s="8" t="n"/>
      <c r="R48" s="8" t="n"/>
      <c r="S48" s="8" t="n"/>
    </row>
    <row r="49">
      <c r="B49" s="8">
        <f>IF(C49="","","EV-"&amp;TEXT(ROW()-5,"000"))</f>
        <v/>
      </c>
      <c r="C49" s="8" t="n"/>
      <c r="D49" s="8" t="n"/>
      <c r="E49" s="8" t="n"/>
      <c r="F49" s="8" t="n"/>
      <c r="G49" s="8" t="n"/>
      <c r="H49" s="8" t="n"/>
      <c r="I49" s="8" t="n"/>
      <c r="J49" s="8" t="n"/>
      <c r="K49" s="8" t="n"/>
      <c r="L49" s="8" t="n"/>
      <c r="M49" s="8" t="n"/>
      <c r="N49" s="8" t="n"/>
      <c r="O49" s="8" t="n"/>
      <c r="P49" s="8" t="n"/>
      <c r="Q49" s="8" t="n"/>
      <c r="R49" s="8" t="n"/>
      <c r="S49" s="8" t="n"/>
    </row>
    <row r="50">
      <c r="B50" s="8">
        <f>IF(C50="","","EV-"&amp;TEXT(ROW()-5,"000"))</f>
        <v/>
      </c>
      <c r="C50" s="8" t="n"/>
      <c r="D50" s="8" t="n"/>
      <c r="E50" s="8" t="n"/>
      <c r="F50" s="8" t="n"/>
      <c r="G50" s="8" t="n"/>
      <c r="H50" s="8" t="n"/>
      <c r="I50" s="8" t="n"/>
      <c r="J50" s="8" t="n"/>
      <c r="K50" s="8" t="n"/>
      <c r="L50" s="8" t="n"/>
      <c r="M50" s="8" t="n"/>
      <c r="N50" s="8" t="n"/>
      <c r="O50" s="8" t="n"/>
      <c r="P50" s="8" t="n"/>
      <c r="Q50" s="8" t="n"/>
      <c r="R50" s="8" t="n"/>
      <c r="S50" s="8" t="n"/>
    </row>
    <row r="51">
      <c r="B51" s="8">
        <f>IF(C51="","","EV-"&amp;TEXT(ROW()-5,"000"))</f>
        <v/>
      </c>
      <c r="C51" s="8" t="n"/>
      <c r="D51" s="8" t="n"/>
      <c r="E51" s="8" t="n"/>
      <c r="F51" s="8" t="n"/>
      <c r="G51" s="8" t="n"/>
      <c r="H51" s="8" t="n"/>
      <c r="I51" s="8" t="n"/>
      <c r="J51" s="8" t="n"/>
      <c r="K51" s="8" t="n"/>
      <c r="L51" s="8" t="n"/>
      <c r="M51" s="8" t="n"/>
      <c r="N51" s="8" t="n"/>
      <c r="O51" s="8" t="n"/>
      <c r="P51" s="8" t="n"/>
      <c r="Q51" s="8" t="n"/>
      <c r="R51" s="8" t="n"/>
      <c r="S51" s="8" t="n"/>
    </row>
    <row r="52">
      <c r="B52" s="8">
        <f>IF(C52="","","EV-"&amp;TEXT(ROW()-5,"000"))</f>
        <v/>
      </c>
      <c r="C52" s="8" t="n"/>
      <c r="D52" s="8" t="n"/>
      <c r="E52" s="8" t="n"/>
      <c r="F52" s="8" t="n"/>
      <c r="G52" s="8" t="n"/>
      <c r="H52" s="8" t="n"/>
      <c r="I52" s="8" t="n"/>
      <c r="J52" s="8" t="n"/>
      <c r="K52" s="8" t="n"/>
      <c r="L52" s="8" t="n"/>
      <c r="M52" s="8" t="n"/>
      <c r="N52" s="8" t="n"/>
      <c r="O52" s="8" t="n"/>
      <c r="P52" s="8" t="n"/>
      <c r="Q52" s="8" t="n"/>
      <c r="R52" s="8" t="n"/>
      <c r="S52" s="8" t="n"/>
    </row>
    <row r="53">
      <c r="B53" s="8">
        <f>IF(C53="","","EV-"&amp;TEXT(ROW()-5,"000"))</f>
        <v/>
      </c>
      <c r="C53" s="8" t="n"/>
      <c r="D53" s="8" t="n"/>
      <c r="E53" s="8" t="n"/>
      <c r="F53" s="8" t="n"/>
      <c r="G53" s="8" t="n"/>
      <c r="H53" s="8" t="n"/>
      <c r="I53" s="8" t="n"/>
      <c r="J53" s="8" t="n"/>
      <c r="K53" s="8" t="n"/>
      <c r="L53" s="8" t="n"/>
      <c r="M53" s="8" t="n"/>
      <c r="N53" s="8" t="n"/>
      <c r="O53" s="8" t="n"/>
      <c r="P53" s="8" t="n"/>
      <c r="Q53" s="8" t="n"/>
      <c r="R53" s="8" t="n"/>
      <c r="S53" s="8" t="n"/>
    </row>
    <row r="54">
      <c r="B54" s="8">
        <f>IF(C54="","","EV-"&amp;TEXT(ROW()-5,"000"))</f>
        <v/>
      </c>
      <c r="C54" s="8" t="n"/>
      <c r="D54" s="8" t="n"/>
      <c r="E54" s="8" t="n"/>
      <c r="F54" s="8" t="n"/>
      <c r="G54" s="8" t="n"/>
      <c r="H54" s="8" t="n"/>
      <c r="I54" s="8" t="n"/>
      <c r="J54" s="8" t="n"/>
      <c r="K54" s="8" t="n"/>
      <c r="L54" s="8" t="n"/>
      <c r="M54" s="8" t="n"/>
      <c r="N54" s="8" t="n"/>
      <c r="O54" s="8" t="n"/>
      <c r="P54" s="8" t="n"/>
      <c r="Q54" s="8" t="n"/>
      <c r="R54" s="8" t="n"/>
      <c r="S54" s="8" t="n"/>
    </row>
    <row r="55">
      <c r="B55" s="8">
        <f>IF(C55="","","EV-"&amp;TEXT(ROW()-5,"000"))</f>
        <v/>
      </c>
      <c r="C55" s="8" t="n"/>
      <c r="D55" s="8" t="n"/>
      <c r="E55" s="8" t="n"/>
      <c r="F55" s="8" t="n"/>
      <c r="G55" s="8" t="n"/>
      <c r="H55" s="8" t="n"/>
      <c r="I55" s="8" t="n"/>
      <c r="J55" s="8" t="n"/>
      <c r="K55" s="8" t="n"/>
      <c r="L55" s="8" t="n"/>
      <c r="M55" s="8" t="n"/>
      <c r="N55" s="8" t="n"/>
      <c r="O55" s="8" t="n"/>
      <c r="P55" s="8" t="n"/>
      <c r="Q55" s="8" t="n"/>
      <c r="R55" s="8" t="n"/>
      <c r="S55" s="8" t="n"/>
    </row>
    <row r="56">
      <c r="B56" s="8">
        <f>IF(C56="","","EV-"&amp;TEXT(ROW()-5,"000"))</f>
        <v/>
      </c>
      <c r="C56" s="8" t="n"/>
      <c r="D56" s="8" t="n"/>
      <c r="E56" s="8" t="n"/>
      <c r="F56" s="8" t="n"/>
      <c r="G56" s="8" t="n"/>
      <c r="H56" s="8" t="n"/>
      <c r="I56" s="8" t="n"/>
      <c r="J56" s="8" t="n"/>
      <c r="K56" s="8" t="n"/>
      <c r="L56" s="8" t="n"/>
      <c r="M56" s="8" t="n"/>
      <c r="N56" s="8" t="n"/>
      <c r="O56" s="8" t="n"/>
      <c r="P56" s="8" t="n"/>
      <c r="Q56" s="8" t="n"/>
      <c r="R56" s="8" t="n"/>
      <c r="S56" s="8" t="n"/>
    </row>
    <row r="57">
      <c r="B57" s="8">
        <f>IF(C57="","","EV-"&amp;TEXT(ROW()-5,"000"))</f>
        <v/>
      </c>
      <c r="C57" s="8" t="n"/>
      <c r="D57" s="8" t="n"/>
      <c r="E57" s="8" t="n"/>
      <c r="F57" s="8" t="n"/>
      <c r="G57" s="8" t="n"/>
      <c r="H57" s="8" t="n"/>
      <c r="I57" s="8" t="n"/>
      <c r="J57" s="8" t="n"/>
      <c r="K57" s="8" t="n"/>
      <c r="L57" s="8" t="n"/>
      <c r="M57" s="8" t="n"/>
      <c r="N57" s="8" t="n"/>
      <c r="O57" s="8" t="n"/>
      <c r="P57" s="8" t="n"/>
      <c r="Q57" s="8" t="n"/>
      <c r="R57" s="8" t="n"/>
      <c r="S57" s="8" t="n"/>
    </row>
    <row r="58">
      <c r="B58" s="8">
        <f>IF(C58="","","EV-"&amp;TEXT(ROW()-5,"000"))</f>
        <v/>
      </c>
      <c r="C58" s="8" t="n"/>
      <c r="D58" s="8" t="n"/>
      <c r="E58" s="8" t="n"/>
      <c r="F58" s="8" t="n"/>
      <c r="G58" s="8" t="n"/>
      <c r="H58" s="8" t="n"/>
      <c r="I58" s="8" t="n"/>
      <c r="J58" s="8" t="n"/>
      <c r="K58" s="8" t="n"/>
      <c r="L58" s="8" t="n"/>
      <c r="M58" s="8" t="n"/>
      <c r="N58" s="8" t="n"/>
      <c r="O58" s="8" t="n"/>
      <c r="P58" s="8" t="n"/>
      <c r="Q58" s="8" t="n"/>
      <c r="R58" s="8" t="n"/>
      <c r="S58" s="8" t="n"/>
    </row>
    <row r="59">
      <c r="B59" s="8">
        <f>IF(C59="","","EV-"&amp;TEXT(ROW()-5,"000"))</f>
        <v/>
      </c>
      <c r="C59" s="8" t="n"/>
      <c r="D59" s="8" t="n"/>
      <c r="E59" s="8" t="n"/>
      <c r="F59" s="8" t="n"/>
      <c r="G59" s="8" t="n"/>
      <c r="H59" s="8" t="n"/>
      <c r="I59" s="8" t="n"/>
      <c r="J59" s="8" t="n"/>
      <c r="K59" s="8" t="n"/>
      <c r="L59" s="8" t="n"/>
      <c r="M59" s="8" t="n"/>
      <c r="N59" s="8" t="n"/>
      <c r="O59" s="8" t="n"/>
      <c r="P59" s="8" t="n"/>
      <c r="Q59" s="8" t="n"/>
      <c r="R59" s="8" t="n"/>
      <c r="S59" s="8" t="n"/>
    </row>
    <row r="60">
      <c r="B60" s="8">
        <f>IF(C60="","","EV-"&amp;TEXT(ROW()-5,"000"))</f>
        <v/>
      </c>
      <c r="C60" s="8" t="n"/>
      <c r="D60" s="8" t="n"/>
      <c r="E60" s="8" t="n"/>
      <c r="F60" s="8" t="n"/>
      <c r="G60" s="8" t="n"/>
      <c r="H60" s="8" t="n"/>
      <c r="I60" s="8" t="n"/>
      <c r="J60" s="8" t="n"/>
      <c r="K60" s="8" t="n"/>
      <c r="L60" s="8" t="n"/>
      <c r="M60" s="8" t="n"/>
      <c r="N60" s="8" t="n"/>
      <c r="O60" s="8" t="n"/>
      <c r="P60" s="8" t="n"/>
      <c r="Q60" s="8" t="n"/>
      <c r="R60" s="8" t="n"/>
      <c r="S60" s="8" t="n"/>
    </row>
    <row r="61">
      <c r="B61" s="8">
        <f>IF(C61="","","EV-"&amp;TEXT(ROW()-5,"000"))</f>
        <v/>
      </c>
      <c r="C61" s="8" t="n"/>
      <c r="D61" s="8" t="n"/>
      <c r="E61" s="8" t="n"/>
      <c r="F61" s="8" t="n"/>
      <c r="G61" s="8" t="n"/>
      <c r="H61" s="8" t="n"/>
      <c r="I61" s="8" t="n"/>
      <c r="J61" s="8" t="n"/>
      <c r="K61" s="8" t="n"/>
      <c r="L61" s="8" t="n"/>
      <c r="M61" s="8" t="n"/>
      <c r="N61" s="8" t="n"/>
      <c r="O61" s="8" t="n"/>
      <c r="P61" s="8" t="n"/>
      <c r="Q61" s="8" t="n"/>
      <c r="R61" s="8" t="n"/>
      <c r="S61" s="8" t="n"/>
    </row>
    <row r="62">
      <c r="B62" s="8">
        <f>IF(C62="","","EV-"&amp;TEXT(ROW()-5,"000"))</f>
        <v/>
      </c>
      <c r="C62" s="8" t="n"/>
      <c r="D62" s="8" t="n"/>
      <c r="E62" s="8" t="n"/>
      <c r="F62" s="8" t="n"/>
      <c r="G62" s="8" t="n"/>
      <c r="H62" s="8" t="n"/>
      <c r="I62" s="8" t="n"/>
      <c r="J62" s="8" t="n"/>
      <c r="K62" s="8" t="n"/>
      <c r="L62" s="8" t="n"/>
      <c r="M62" s="8" t="n"/>
      <c r="N62" s="8" t="n"/>
      <c r="O62" s="8" t="n"/>
      <c r="P62" s="8" t="n"/>
      <c r="Q62" s="8" t="n"/>
      <c r="R62" s="8" t="n"/>
      <c r="S62" s="8" t="n"/>
    </row>
    <row r="63">
      <c r="B63" s="8">
        <f>IF(C63="","","EV-"&amp;TEXT(ROW()-5,"000"))</f>
        <v/>
      </c>
      <c r="C63" s="8" t="n"/>
      <c r="D63" s="8" t="n"/>
      <c r="E63" s="8" t="n"/>
      <c r="F63" s="8" t="n"/>
      <c r="G63" s="8" t="n"/>
      <c r="H63" s="8" t="n"/>
      <c r="I63" s="8" t="n"/>
      <c r="J63" s="8" t="n"/>
      <c r="K63" s="8" t="n"/>
      <c r="L63" s="8" t="n"/>
      <c r="M63" s="8" t="n"/>
      <c r="N63" s="8" t="n"/>
      <c r="O63" s="8" t="n"/>
      <c r="P63" s="8" t="n"/>
      <c r="Q63" s="8" t="n"/>
      <c r="R63" s="8" t="n"/>
      <c r="S63" s="8" t="n"/>
    </row>
    <row r="64">
      <c r="B64" s="8">
        <f>IF(C64="","","EV-"&amp;TEXT(ROW()-5,"000"))</f>
        <v/>
      </c>
      <c r="C64" s="8" t="n"/>
      <c r="D64" s="8" t="n"/>
      <c r="E64" s="8" t="n"/>
      <c r="F64" s="8" t="n"/>
      <c r="G64" s="8" t="n"/>
      <c r="H64" s="8" t="n"/>
      <c r="I64" s="8" t="n"/>
      <c r="J64" s="8" t="n"/>
      <c r="K64" s="8" t="n"/>
      <c r="L64" s="8" t="n"/>
      <c r="M64" s="8" t="n"/>
      <c r="N64" s="8" t="n"/>
      <c r="O64" s="8" t="n"/>
      <c r="P64" s="8" t="n"/>
      <c r="Q64" s="8" t="n"/>
      <c r="R64" s="8" t="n"/>
      <c r="S64" s="8" t="n"/>
    </row>
    <row r="65">
      <c r="B65" s="8">
        <f>IF(C65="","","EV-"&amp;TEXT(ROW()-5,"000"))</f>
        <v/>
      </c>
      <c r="C65" s="8" t="n"/>
      <c r="D65" s="8" t="n"/>
      <c r="E65" s="8" t="n"/>
      <c r="F65" s="8" t="n"/>
      <c r="G65" s="8" t="n"/>
      <c r="H65" s="8" t="n"/>
      <c r="I65" s="8" t="n"/>
      <c r="J65" s="8" t="n"/>
      <c r="K65" s="8" t="n"/>
      <c r="L65" s="8" t="n"/>
      <c r="M65" s="8" t="n"/>
      <c r="N65" s="8" t="n"/>
      <c r="O65" s="8" t="n"/>
      <c r="P65" s="8" t="n"/>
      <c r="Q65" s="8" t="n"/>
      <c r="R65" s="8" t="n"/>
      <c r="S65" s="8" t="n"/>
    </row>
    <row r="66">
      <c r="B66" s="8">
        <f>IF(C66="","","EV-"&amp;TEXT(ROW()-5,"000"))</f>
        <v/>
      </c>
      <c r="C66" s="8" t="n"/>
      <c r="D66" s="8" t="n"/>
      <c r="E66" s="8" t="n"/>
      <c r="F66" s="8" t="n"/>
      <c r="G66" s="8" t="n"/>
      <c r="H66" s="8" t="n"/>
      <c r="I66" s="8" t="n"/>
      <c r="J66" s="8" t="n"/>
      <c r="K66" s="8" t="n"/>
      <c r="L66" s="8" t="n"/>
      <c r="M66" s="8" t="n"/>
      <c r="N66" s="8" t="n"/>
      <c r="O66" s="8" t="n"/>
      <c r="P66" s="8" t="n"/>
      <c r="Q66" s="8" t="n"/>
      <c r="R66" s="8" t="n"/>
      <c r="S66" s="8" t="n"/>
    </row>
    <row r="67">
      <c r="B67" s="8">
        <f>IF(C67="","","EV-"&amp;TEXT(ROW()-5,"000"))</f>
        <v/>
      </c>
      <c r="C67" s="8" t="n"/>
      <c r="D67" s="8" t="n"/>
      <c r="E67" s="8" t="n"/>
      <c r="F67" s="8" t="n"/>
      <c r="G67" s="8" t="n"/>
      <c r="H67" s="8" t="n"/>
      <c r="I67" s="8" t="n"/>
      <c r="J67" s="8" t="n"/>
      <c r="K67" s="8" t="n"/>
      <c r="L67" s="8" t="n"/>
      <c r="M67" s="8" t="n"/>
      <c r="N67" s="8" t="n"/>
      <c r="O67" s="8" t="n"/>
      <c r="P67" s="8" t="n"/>
      <c r="Q67" s="8" t="n"/>
      <c r="R67" s="8" t="n"/>
      <c r="S67" s="8" t="n"/>
    </row>
    <row r="68">
      <c r="B68" s="8">
        <f>IF(C68="","","EV-"&amp;TEXT(ROW()-5,"000"))</f>
        <v/>
      </c>
      <c r="C68" s="8" t="n"/>
      <c r="D68" s="8" t="n"/>
      <c r="E68" s="8" t="n"/>
      <c r="F68" s="8" t="n"/>
      <c r="G68" s="8" t="n"/>
      <c r="H68" s="8" t="n"/>
      <c r="I68" s="8" t="n"/>
      <c r="J68" s="8" t="n"/>
      <c r="K68" s="8" t="n"/>
      <c r="L68" s="8" t="n"/>
      <c r="M68" s="8" t="n"/>
      <c r="N68" s="8" t="n"/>
      <c r="O68" s="8" t="n"/>
      <c r="P68" s="8" t="n"/>
      <c r="Q68" s="8" t="n"/>
      <c r="R68" s="8" t="n"/>
      <c r="S68" s="8" t="n"/>
    </row>
    <row r="69">
      <c r="B69" s="8">
        <f>IF(C69="","","EV-"&amp;TEXT(ROW()-5,"000"))</f>
        <v/>
      </c>
      <c r="C69" s="8" t="n"/>
      <c r="D69" s="8" t="n"/>
      <c r="E69" s="8" t="n"/>
      <c r="F69" s="8" t="n"/>
      <c r="G69" s="8" t="n"/>
      <c r="H69" s="8" t="n"/>
      <c r="I69" s="8" t="n"/>
      <c r="J69" s="8" t="n"/>
      <c r="K69" s="8" t="n"/>
      <c r="L69" s="8" t="n"/>
      <c r="M69" s="8" t="n"/>
      <c r="N69" s="8" t="n"/>
      <c r="O69" s="8" t="n"/>
      <c r="P69" s="8" t="n"/>
      <c r="Q69" s="8" t="n"/>
      <c r="R69" s="8" t="n"/>
      <c r="S69" s="8" t="n"/>
    </row>
    <row r="70">
      <c r="B70" s="8">
        <f>IF(C70="","","EV-"&amp;TEXT(ROW()-5,"000"))</f>
        <v/>
      </c>
      <c r="C70" s="8" t="n"/>
      <c r="D70" s="8" t="n"/>
      <c r="E70" s="8" t="n"/>
      <c r="F70" s="8" t="n"/>
      <c r="G70" s="8" t="n"/>
      <c r="H70" s="8" t="n"/>
      <c r="I70" s="8" t="n"/>
      <c r="J70" s="8" t="n"/>
      <c r="K70" s="8" t="n"/>
      <c r="L70" s="8" t="n"/>
      <c r="M70" s="8" t="n"/>
      <c r="N70" s="8" t="n"/>
      <c r="O70" s="8" t="n"/>
      <c r="P70" s="8" t="n"/>
      <c r="Q70" s="8" t="n"/>
      <c r="R70" s="8" t="n"/>
      <c r="S70" s="8" t="n"/>
    </row>
    <row r="71">
      <c r="B71" s="8">
        <f>IF(C71="","","EV-"&amp;TEXT(ROW()-5,"000"))</f>
        <v/>
      </c>
      <c r="C71" s="8" t="n"/>
      <c r="D71" s="8" t="n"/>
      <c r="E71" s="8" t="n"/>
      <c r="F71" s="8" t="n"/>
      <c r="G71" s="8" t="n"/>
      <c r="H71" s="8" t="n"/>
      <c r="I71" s="8" t="n"/>
      <c r="J71" s="8" t="n"/>
      <c r="K71" s="8" t="n"/>
      <c r="L71" s="8" t="n"/>
      <c r="M71" s="8" t="n"/>
      <c r="N71" s="8" t="n"/>
      <c r="O71" s="8" t="n"/>
      <c r="P71" s="8" t="n"/>
      <c r="Q71" s="8" t="n"/>
      <c r="R71" s="8" t="n"/>
      <c r="S71" s="8" t="n"/>
    </row>
    <row r="72">
      <c r="B72" s="8">
        <f>IF(C72="","","EV-"&amp;TEXT(ROW()-5,"000"))</f>
        <v/>
      </c>
      <c r="C72" s="8" t="n"/>
      <c r="D72" s="8" t="n"/>
      <c r="E72" s="8" t="n"/>
      <c r="F72" s="8" t="n"/>
      <c r="G72" s="8" t="n"/>
      <c r="H72" s="8" t="n"/>
      <c r="I72" s="8" t="n"/>
      <c r="J72" s="8" t="n"/>
      <c r="K72" s="8" t="n"/>
      <c r="L72" s="8" t="n"/>
      <c r="M72" s="8" t="n"/>
      <c r="N72" s="8" t="n"/>
      <c r="O72" s="8" t="n"/>
      <c r="P72" s="8" t="n"/>
      <c r="Q72" s="8" t="n"/>
      <c r="R72" s="8" t="n"/>
      <c r="S72" s="8" t="n"/>
    </row>
    <row r="73">
      <c r="B73" s="8">
        <f>IF(C73="","","EV-"&amp;TEXT(ROW()-5,"000"))</f>
        <v/>
      </c>
      <c r="C73" s="8" t="n"/>
      <c r="D73" s="8" t="n"/>
      <c r="E73" s="8" t="n"/>
      <c r="F73" s="8" t="n"/>
      <c r="G73" s="8" t="n"/>
      <c r="H73" s="8" t="n"/>
      <c r="I73" s="8" t="n"/>
      <c r="J73" s="8" t="n"/>
      <c r="K73" s="8" t="n"/>
      <c r="L73" s="8" t="n"/>
      <c r="M73" s="8" t="n"/>
      <c r="N73" s="8" t="n"/>
      <c r="O73" s="8" t="n"/>
      <c r="P73" s="8" t="n"/>
      <c r="Q73" s="8" t="n"/>
      <c r="R73" s="8" t="n"/>
      <c r="S73" s="8" t="n"/>
    </row>
    <row r="74">
      <c r="B74" s="8">
        <f>IF(C74="","","EV-"&amp;TEXT(ROW()-5,"000"))</f>
        <v/>
      </c>
      <c r="C74" s="8" t="n"/>
      <c r="D74" s="8" t="n"/>
      <c r="E74" s="8" t="n"/>
      <c r="F74" s="8" t="n"/>
      <c r="G74" s="8" t="n"/>
      <c r="H74" s="8" t="n"/>
      <c r="I74" s="8" t="n"/>
      <c r="J74" s="8" t="n"/>
      <c r="K74" s="8" t="n"/>
      <c r="L74" s="8" t="n"/>
      <c r="M74" s="8" t="n"/>
      <c r="N74" s="8" t="n"/>
      <c r="O74" s="8" t="n"/>
      <c r="P74" s="8" t="n"/>
      <c r="Q74" s="8" t="n"/>
      <c r="R74" s="8" t="n"/>
      <c r="S74" s="8" t="n"/>
    </row>
    <row r="75">
      <c r="B75" s="8">
        <f>IF(C75="","","EV-"&amp;TEXT(ROW()-5,"000"))</f>
        <v/>
      </c>
      <c r="C75" s="8" t="n"/>
      <c r="D75" s="8" t="n"/>
      <c r="E75" s="8" t="n"/>
      <c r="F75" s="8" t="n"/>
      <c r="G75" s="8" t="n"/>
      <c r="H75" s="8" t="n"/>
      <c r="I75" s="8" t="n"/>
      <c r="J75" s="8" t="n"/>
      <c r="K75" s="8" t="n"/>
      <c r="L75" s="8" t="n"/>
      <c r="M75" s="8" t="n"/>
      <c r="N75" s="8" t="n"/>
      <c r="O75" s="8" t="n"/>
      <c r="P75" s="8" t="n"/>
      <c r="Q75" s="8" t="n"/>
      <c r="R75" s="8" t="n"/>
      <c r="S75" s="8" t="n"/>
    </row>
    <row r="76">
      <c r="B76" s="8">
        <f>IF(C76="","","EV-"&amp;TEXT(ROW()-5,"000"))</f>
        <v/>
      </c>
      <c r="C76" s="8" t="n"/>
      <c r="D76" s="8" t="n"/>
      <c r="E76" s="8" t="n"/>
      <c r="F76" s="8" t="n"/>
      <c r="G76" s="8" t="n"/>
      <c r="H76" s="8" t="n"/>
      <c r="I76" s="8" t="n"/>
      <c r="J76" s="8" t="n"/>
      <c r="K76" s="8" t="n"/>
      <c r="L76" s="8" t="n"/>
      <c r="M76" s="8" t="n"/>
      <c r="N76" s="8" t="n"/>
      <c r="O76" s="8" t="n"/>
      <c r="P76" s="8" t="n"/>
      <c r="Q76" s="8" t="n"/>
      <c r="R76" s="8" t="n"/>
      <c r="S76" s="8" t="n"/>
    </row>
    <row r="77">
      <c r="B77" s="8">
        <f>IF(C77="","","EV-"&amp;TEXT(ROW()-5,"000"))</f>
        <v/>
      </c>
      <c r="C77" s="8" t="n"/>
      <c r="D77" s="8" t="n"/>
      <c r="E77" s="8" t="n"/>
      <c r="F77" s="8" t="n"/>
      <c r="G77" s="8" t="n"/>
      <c r="H77" s="8" t="n"/>
      <c r="I77" s="8" t="n"/>
      <c r="J77" s="8" t="n"/>
      <c r="K77" s="8" t="n"/>
      <c r="L77" s="8" t="n"/>
      <c r="M77" s="8" t="n"/>
      <c r="N77" s="8" t="n"/>
      <c r="O77" s="8" t="n"/>
      <c r="P77" s="8" t="n"/>
      <c r="Q77" s="8" t="n"/>
      <c r="R77" s="8" t="n"/>
      <c r="S77" s="8" t="n"/>
    </row>
    <row r="78">
      <c r="B78" s="8">
        <f>IF(C78="","","EV-"&amp;TEXT(ROW()-5,"000"))</f>
        <v/>
      </c>
      <c r="C78" s="8" t="n"/>
      <c r="D78" s="8" t="n"/>
      <c r="E78" s="8" t="n"/>
      <c r="F78" s="8" t="n"/>
      <c r="G78" s="8" t="n"/>
      <c r="H78" s="8" t="n"/>
      <c r="I78" s="8" t="n"/>
      <c r="J78" s="8" t="n"/>
      <c r="K78" s="8" t="n"/>
      <c r="L78" s="8" t="n"/>
      <c r="M78" s="8" t="n"/>
      <c r="N78" s="8" t="n"/>
      <c r="O78" s="8" t="n"/>
      <c r="P78" s="8" t="n"/>
      <c r="Q78" s="8" t="n"/>
      <c r="R78" s="8" t="n"/>
      <c r="S78" s="8" t="n"/>
    </row>
    <row r="79">
      <c r="B79" s="8">
        <f>IF(C79="","","EV-"&amp;TEXT(ROW()-5,"000"))</f>
        <v/>
      </c>
      <c r="C79" s="8" t="n"/>
      <c r="D79" s="8" t="n"/>
      <c r="E79" s="8" t="n"/>
      <c r="F79" s="8" t="n"/>
      <c r="G79" s="8" t="n"/>
      <c r="H79" s="8" t="n"/>
      <c r="I79" s="8" t="n"/>
      <c r="J79" s="8" t="n"/>
      <c r="K79" s="8" t="n"/>
      <c r="L79" s="8" t="n"/>
      <c r="M79" s="8" t="n"/>
      <c r="N79" s="8" t="n"/>
      <c r="O79" s="8" t="n"/>
      <c r="P79" s="8" t="n"/>
      <c r="Q79" s="8" t="n"/>
      <c r="R79" s="8" t="n"/>
      <c r="S79" s="8" t="n"/>
    </row>
    <row r="80">
      <c r="B80" s="8">
        <f>IF(C80="","","EV-"&amp;TEXT(ROW()-5,"000"))</f>
        <v/>
      </c>
      <c r="C80" s="8" t="n"/>
      <c r="D80" s="8" t="n"/>
      <c r="E80" s="8" t="n"/>
      <c r="F80" s="8" t="n"/>
      <c r="G80" s="8" t="n"/>
      <c r="H80" s="8" t="n"/>
      <c r="I80" s="8" t="n"/>
      <c r="J80" s="8" t="n"/>
      <c r="K80" s="8" t="n"/>
      <c r="L80" s="8" t="n"/>
      <c r="M80" s="8" t="n"/>
      <c r="N80" s="8" t="n"/>
      <c r="O80" s="8" t="n"/>
      <c r="P80" s="8" t="n"/>
      <c r="Q80" s="8" t="n"/>
      <c r="R80" s="8" t="n"/>
      <c r="S80" s="8" t="n"/>
    </row>
    <row r="81">
      <c r="B81" s="8">
        <f>IF(C81="","","EV-"&amp;TEXT(ROW()-5,"000"))</f>
        <v/>
      </c>
      <c r="C81" s="8" t="n"/>
      <c r="D81" s="8" t="n"/>
      <c r="E81" s="8" t="n"/>
      <c r="F81" s="8" t="n"/>
      <c r="G81" s="8" t="n"/>
      <c r="H81" s="8" t="n"/>
      <c r="I81" s="8" t="n"/>
      <c r="J81" s="8" t="n"/>
      <c r="K81" s="8" t="n"/>
      <c r="L81" s="8" t="n"/>
      <c r="M81" s="8" t="n"/>
      <c r="N81" s="8" t="n"/>
      <c r="O81" s="8" t="n"/>
      <c r="P81" s="8" t="n"/>
      <c r="Q81" s="8" t="n"/>
      <c r="R81" s="8" t="n"/>
      <c r="S81" s="8" t="n"/>
    </row>
    <row r="82">
      <c r="B82" s="8">
        <f>IF(C82="","","EV-"&amp;TEXT(ROW()-5,"000"))</f>
        <v/>
      </c>
      <c r="C82" s="8" t="n"/>
      <c r="D82" s="8" t="n"/>
      <c r="E82" s="8" t="n"/>
      <c r="F82" s="8" t="n"/>
      <c r="G82" s="8" t="n"/>
      <c r="H82" s="8" t="n"/>
      <c r="I82" s="8" t="n"/>
      <c r="J82" s="8" t="n"/>
      <c r="K82" s="8" t="n"/>
      <c r="L82" s="8" t="n"/>
      <c r="M82" s="8" t="n"/>
      <c r="N82" s="8" t="n"/>
      <c r="O82" s="8" t="n"/>
      <c r="P82" s="8" t="n"/>
      <c r="Q82" s="8" t="n"/>
      <c r="R82" s="8" t="n"/>
      <c r="S82" s="8" t="n"/>
    </row>
    <row r="83">
      <c r="B83" s="8">
        <f>IF(C83="","","EV-"&amp;TEXT(ROW()-5,"000"))</f>
        <v/>
      </c>
      <c r="C83" s="8" t="n"/>
      <c r="D83" s="8" t="n"/>
      <c r="E83" s="8" t="n"/>
      <c r="F83" s="8" t="n"/>
      <c r="G83" s="8" t="n"/>
      <c r="H83" s="8" t="n"/>
      <c r="I83" s="8" t="n"/>
      <c r="J83" s="8" t="n"/>
      <c r="K83" s="8" t="n"/>
      <c r="L83" s="8" t="n"/>
      <c r="M83" s="8" t="n"/>
      <c r="N83" s="8" t="n"/>
      <c r="O83" s="8" t="n"/>
      <c r="P83" s="8" t="n"/>
      <c r="Q83" s="8" t="n"/>
      <c r="R83" s="8" t="n"/>
      <c r="S83" s="8" t="n"/>
    </row>
    <row r="84">
      <c r="B84" s="8">
        <f>IF(C84="","","EV-"&amp;TEXT(ROW()-5,"000"))</f>
        <v/>
      </c>
      <c r="C84" s="8" t="n"/>
      <c r="D84" s="8" t="n"/>
      <c r="E84" s="8" t="n"/>
      <c r="F84" s="8" t="n"/>
      <c r="G84" s="8" t="n"/>
      <c r="H84" s="8" t="n"/>
      <c r="I84" s="8" t="n"/>
      <c r="J84" s="8" t="n"/>
      <c r="K84" s="8" t="n"/>
      <c r="L84" s="8" t="n"/>
      <c r="M84" s="8" t="n"/>
      <c r="N84" s="8" t="n"/>
      <c r="O84" s="8" t="n"/>
      <c r="P84" s="8" t="n"/>
      <c r="Q84" s="8" t="n"/>
      <c r="R84" s="8" t="n"/>
      <c r="S84" s="8" t="n"/>
    </row>
    <row r="85">
      <c r="B85" s="8">
        <f>IF(C85="","","EV-"&amp;TEXT(ROW()-5,"000"))</f>
        <v/>
      </c>
      <c r="C85" s="8" t="n"/>
      <c r="D85" s="8" t="n"/>
      <c r="E85" s="8" t="n"/>
      <c r="F85" s="8" t="n"/>
      <c r="G85" s="8" t="n"/>
      <c r="H85" s="8" t="n"/>
      <c r="I85" s="8" t="n"/>
      <c r="J85" s="8" t="n"/>
      <c r="K85" s="8" t="n"/>
      <c r="L85" s="8" t="n"/>
      <c r="M85" s="8" t="n"/>
      <c r="N85" s="8" t="n"/>
      <c r="O85" s="8" t="n"/>
      <c r="P85" s="8" t="n"/>
      <c r="Q85" s="8" t="n"/>
      <c r="R85" s="8" t="n"/>
      <c r="S85" s="8" t="n"/>
    </row>
    <row r="86">
      <c r="B86" s="8">
        <f>IF(C86="","","EV-"&amp;TEXT(ROW()-5,"000"))</f>
        <v/>
      </c>
      <c r="C86" s="8" t="n"/>
      <c r="D86" s="8" t="n"/>
      <c r="E86" s="8" t="n"/>
      <c r="F86" s="8" t="n"/>
      <c r="G86" s="8" t="n"/>
      <c r="H86" s="8" t="n"/>
      <c r="I86" s="8" t="n"/>
      <c r="J86" s="8" t="n"/>
      <c r="K86" s="8" t="n"/>
      <c r="L86" s="8" t="n"/>
      <c r="M86" s="8" t="n"/>
      <c r="N86" s="8" t="n"/>
      <c r="O86" s="8" t="n"/>
      <c r="P86" s="8" t="n"/>
      <c r="Q86" s="8" t="n"/>
      <c r="R86" s="8" t="n"/>
      <c r="S86" s="8" t="n"/>
    </row>
    <row r="87">
      <c r="B87" s="8">
        <f>IF(C87="","","EV-"&amp;TEXT(ROW()-5,"000"))</f>
        <v/>
      </c>
      <c r="C87" s="8" t="n"/>
      <c r="D87" s="8" t="n"/>
      <c r="E87" s="8" t="n"/>
      <c r="F87" s="8" t="n"/>
      <c r="G87" s="8" t="n"/>
      <c r="H87" s="8" t="n"/>
      <c r="I87" s="8" t="n"/>
      <c r="J87" s="8" t="n"/>
      <c r="K87" s="8" t="n"/>
      <c r="L87" s="8" t="n"/>
      <c r="M87" s="8" t="n"/>
      <c r="N87" s="8" t="n"/>
      <c r="O87" s="8" t="n"/>
      <c r="P87" s="8" t="n"/>
      <c r="Q87" s="8" t="n"/>
      <c r="R87" s="8" t="n"/>
      <c r="S87" s="8" t="n"/>
    </row>
    <row r="88">
      <c r="B88" s="8">
        <f>IF(C88="","","EV-"&amp;TEXT(ROW()-5,"000"))</f>
        <v/>
      </c>
      <c r="C88" s="8" t="n"/>
      <c r="D88" s="8" t="n"/>
      <c r="E88" s="8" t="n"/>
      <c r="F88" s="8" t="n"/>
      <c r="G88" s="8" t="n"/>
      <c r="H88" s="8" t="n"/>
      <c r="I88" s="8" t="n"/>
      <c r="J88" s="8" t="n"/>
      <c r="K88" s="8" t="n"/>
      <c r="L88" s="8" t="n"/>
      <c r="M88" s="8" t="n"/>
      <c r="N88" s="8" t="n"/>
      <c r="O88" s="8" t="n"/>
      <c r="P88" s="8" t="n"/>
      <c r="Q88" s="8" t="n"/>
      <c r="R88" s="8" t="n"/>
      <c r="S88" s="8" t="n"/>
    </row>
    <row r="89">
      <c r="B89" s="8">
        <f>IF(C89="","","EV-"&amp;TEXT(ROW()-5,"000"))</f>
        <v/>
      </c>
      <c r="C89" s="8" t="n"/>
      <c r="D89" s="8" t="n"/>
      <c r="E89" s="8" t="n"/>
      <c r="F89" s="8" t="n"/>
      <c r="G89" s="8" t="n"/>
      <c r="H89" s="8" t="n"/>
      <c r="I89" s="8" t="n"/>
      <c r="J89" s="8" t="n"/>
      <c r="K89" s="8" t="n"/>
      <c r="L89" s="8" t="n"/>
      <c r="M89" s="8" t="n"/>
      <c r="N89" s="8" t="n"/>
      <c r="O89" s="8" t="n"/>
      <c r="P89" s="8" t="n"/>
      <c r="Q89" s="8" t="n"/>
      <c r="R89" s="8" t="n"/>
      <c r="S89" s="8" t="n"/>
    </row>
    <row r="90">
      <c r="B90" s="8">
        <f>IF(C90="","","EV-"&amp;TEXT(ROW()-5,"000"))</f>
        <v/>
      </c>
      <c r="C90" s="8" t="n"/>
      <c r="D90" s="8" t="n"/>
      <c r="E90" s="8" t="n"/>
      <c r="F90" s="8" t="n"/>
      <c r="G90" s="8" t="n"/>
      <c r="H90" s="8" t="n"/>
      <c r="I90" s="8" t="n"/>
      <c r="J90" s="8" t="n"/>
      <c r="K90" s="8" t="n"/>
      <c r="L90" s="8" t="n"/>
      <c r="M90" s="8" t="n"/>
      <c r="N90" s="8" t="n"/>
      <c r="O90" s="8" t="n"/>
      <c r="P90" s="8" t="n"/>
      <c r="Q90" s="8" t="n"/>
      <c r="R90" s="8" t="n"/>
      <c r="S90" s="8" t="n"/>
    </row>
    <row r="91">
      <c r="B91" s="8">
        <f>IF(C91="","","EV-"&amp;TEXT(ROW()-5,"000"))</f>
        <v/>
      </c>
      <c r="C91" s="8" t="n"/>
      <c r="D91" s="8" t="n"/>
      <c r="E91" s="8" t="n"/>
      <c r="F91" s="8" t="n"/>
      <c r="G91" s="8" t="n"/>
      <c r="H91" s="8" t="n"/>
      <c r="I91" s="8" t="n"/>
      <c r="J91" s="8" t="n"/>
      <c r="K91" s="8" t="n"/>
      <c r="L91" s="8" t="n"/>
      <c r="M91" s="8" t="n"/>
      <c r="N91" s="8" t="n"/>
      <c r="O91" s="8" t="n"/>
      <c r="P91" s="8" t="n"/>
      <c r="Q91" s="8" t="n"/>
      <c r="R91" s="8" t="n"/>
      <c r="S91" s="8" t="n"/>
    </row>
    <row r="92">
      <c r="B92" s="8">
        <f>IF(C92="","","EV-"&amp;TEXT(ROW()-5,"000"))</f>
        <v/>
      </c>
      <c r="C92" s="8" t="n"/>
      <c r="D92" s="8" t="n"/>
      <c r="E92" s="8" t="n"/>
      <c r="F92" s="8" t="n"/>
      <c r="G92" s="8" t="n"/>
      <c r="H92" s="8" t="n"/>
      <c r="I92" s="8" t="n"/>
      <c r="J92" s="8" t="n"/>
      <c r="K92" s="8" t="n"/>
      <c r="L92" s="8" t="n"/>
      <c r="M92" s="8" t="n"/>
      <c r="N92" s="8" t="n"/>
      <c r="O92" s="8" t="n"/>
      <c r="P92" s="8" t="n"/>
      <c r="Q92" s="8" t="n"/>
      <c r="R92" s="8" t="n"/>
      <c r="S92" s="8" t="n"/>
    </row>
    <row r="93">
      <c r="B93" s="8">
        <f>IF(C93="","","EV-"&amp;TEXT(ROW()-5,"000"))</f>
        <v/>
      </c>
      <c r="C93" s="8" t="n"/>
      <c r="D93" s="8" t="n"/>
      <c r="E93" s="8" t="n"/>
      <c r="F93" s="8" t="n"/>
      <c r="G93" s="8" t="n"/>
      <c r="H93" s="8" t="n"/>
      <c r="I93" s="8" t="n"/>
      <c r="J93" s="8" t="n"/>
      <c r="K93" s="8" t="n"/>
      <c r="L93" s="8" t="n"/>
      <c r="M93" s="8" t="n"/>
      <c r="N93" s="8" t="n"/>
      <c r="O93" s="8" t="n"/>
      <c r="P93" s="8" t="n"/>
      <c r="Q93" s="8" t="n"/>
      <c r="R93" s="8" t="n"/>
      <c r="S93" s="8" t="n"/>
    </row>
    <row r="94">
      <c r="B94" s="8">
        <f>IF(C94="","","EV-"&amp;TEXT(ROW()-5,"000"))</f>
        <v/>
      </c>
      <c r="C94" s="8" t="n"/>
      <c r="D94" s="8" t="n"/>
      <c r="E94" s="8" t="n"/>
      <c r="F94" s="8" t="n"/>
      <c r="G94" s="8" t="n"/>
      <c r="H94" s="8" t="n"/>
      <c r="I94" s="8" t="n"/>
      <c r="J94" s="8" t="n"/>
      <c r="K94" s="8" t="n"/>
      <c r="L94" s="8" t="n"/>
      <c r="M94" s="8" t="n"/>
      <c r="N94" s="8" t="n"/>
      <c r="O94" s="8" t="n"/>
      <c r="P94" s="8" t="n"/>
      <c r="Q94" s="8" t="n"/>
      <c r="R94" s="8" t="n"/>
      <c r="S94" s="8" t="n"/>
    </row>
    <row r="95">
      <c r="B95" s="8">
        <f>IF(C95="","","EV-"&amp;TEXT(ROW()-5,"000"))</f>
        <v/>
      </c>
      <c r="C95" s="8" t="n"/>
      <c r="D95" s="8" t="n"/>
      <c r="E95" s="8" t="n"/>
      <c r="F95" s="8" t="n"/>
      <c r="G95" s="8" t="n"/>
      <c r="H95" s="8" t="n"/>
      <c r="I95" s="8" t="n"/>
      <c r="J95" s="8" t="n"/>
      <c r="K95" s="8" t="n"/>
      <c r="L95" s="8" t="n"/>
      <c r="M95" s="8" t="n"/>
      <c r="N95" s="8" t="n"/>
      <c r="O95" s="8" t="n"/>
      <c r="P95" s="8" t="n"/>
      <c r="Q95" s="8" t="n"/>
      <c r="R95" s="8" t="n"/>
      <c r="S95" s="8" t="n"/>
    </row>
    <row r="96">
      <c r="B96" s="8">
        <f>IF(C96="","","EV-"&amp;TEXT(ROW()-5,"000"))</f>
        <v/>
      </c>
      <c r="C96" s="8" t="n"/>
      <c r="D96" s="8" t="n"/>
      <c r="E96" s="8" t="n"/>
      <c r="F96" s="8" t="n"/>
      <c r="G96" s="8" t="n"/>
      <c r="H96" s="8" t="n"/>
      <c r="I96" s="8" t="n"/>
      <c r="J96" s="8" t="n"/>
      <c r="K96" s="8" t="n"/>
      <c r="L96" s="8" t="n"/>
      <c r="M96" s="8" t="n"/>
      <c r="N96" s="8" t="n"/>
      <c r="O96" s="8" t="n"/>
      <c r="P96" s="8" t="n"/>
      <c r="Q96" s="8" t="n"/>
      <c r="R96" s="8" t="n"/>
      <c r="S96" s="8" t="n"/>
    </row>
    <row r="97">
      <c r="B97" s="8">
        <f>IF(C97="","","EV-"&amp;TEXT(ROW()-5,"000"))</f>
        <v/>
      </c>
      <c r="C97" s="8" t="n"/>
      <c r="D97" s="8" t="n"/>
      <c r="E97" s="8" t="n"/>
      <c r="F97" s="8" t="n"/>
      <c r="G97" s="8" t="n"/>
      <c r="H97" s="8" t="n"/>
      <c r="I97" s="8" t="n"/>
      <c r="J97" s="8" t="n"/>
      <c r="K97" s="8" t="n"/>
      <c r="L97" s="8" t="n"/>
      <c r="M97" s="8" t="n"/>
      <c r="N97" s="8" t="n"/>
      <c r="O97" s="8" t="n"/>
      <c r="P97" s="8" t="n"/>
      <c r="Q97" s="8" t="n"/>
      <c r="R97" s="8" t="n"/>
      <c r="S97" s="8" t="n"/>
    </row>
    <row r="98">
      <c r="B98" s="8">
        <f>IF(C98="","","EV-"&amp;TEXT(ROW()-5,"000"))</f>
        <v/>
      </c>
      <c r="C98" s="8" t="n"/>
      <c r="D98" s="8" t="n"/>
      <c r="E98" s="8" t="n"/>
      <c r="F98" s="8" t="n"/>
      <c r="G98" s="8" t="n"/>
      <c r="H98" s="8" t="n"/>
      <c r="I98" s="8" t="n"/>
      <c r="J98" s="8" t="n"/>
      <c r="K98" s="8" t="n"/>
      <c r="L98" s="8" t="n"/>
      <c r="M98" s="8" t="n"/>
      <c r="N98" s="8" t="n"/>
      <c r="O98" s="8" t="n"/>
      <c r="P98" s="8" t="n"/>
      <c r="Q98" s="8" t="n"/>
      <c r="R98" s="8" t="n"/>
      <c r="S98" s="8" t="n"/>
    </row>
    <row r="99">
      <c r="B99" s="8">
        <f>IF(C99="","","EV-"&amp;TEXT(ROW()-5,"000"))</f>
        <v/>
      </c>
      <c r="C99" s="8" t="n"/>
      <c r="D99" s="8" t="n"/>
      <c r="E99" s="8" t="n"/>
      <c r="F99" s="8" t="n"/>
      <c r="G99" s="8" t="n"/>
      <c r="H99" s="8" t="n"/>
      <c r="I99" s="8" t="n"/>
      <c r="J99" s="8" t="n"/>
      <c r="K99" s="8" t="n"/>
      <c r="L99" s="8" t="n"/>
      <c r="M99" s="8" t="n"/>
      <c r="N99" s="8" t="n"/>
      <c r="O99" s="8" t="n"/>
      <c r="P99" s="8" t="n"/>
      <c r="Q99" s="8" t="n"/>
      <c r="R99" s="8" t="n"/>
      <c r="S99" s="8" t="n"/>
    </row>
    <row r="100">
      <c r="B100" s="8">
        <f>IF(C100="","","EV-"&amp;TEXT(ROW()-5,"000"))</f>
        <v/>
      </c>
      <c r="C100" s="8" t="n"/>
      <c r="D100" s="8" t="n"/>
      <c r="E100" s="8" t="n"/>
      <c r="F100" s="8" t="n"/>
      <c r="G100" s="8" t="n"/>
      <c r="H100" s="8" t="n"/>
      <c r="I100" s="8" t="n"/>
      <c r="J100" s="8" t="n"/>
      <c r="K100" s="8" t="n"/>
      <c r="L100" s="8" t="n"/>
      <c r="M100" s="8" t="n"/>
      <c r="N100" s="8" t="n"/>
      <c r="O100" s="8" t="n"/>
      <c r="P100" s="8" t="n"/>
      <c r="Q100" s="8" t="n"/>
      <c r="R100" s="8" t="n"/>
      <c r="S100" s="8" t="n"/>
    </row>
    <row r="101">
      <c r="B101" s="8">
        <f>IF(C101="","","EV-"&amp;TEXT(ROW()-5,"000"))</f>
        <v/>
      </c>
      <c r="C101" s="8" t="n"/>
      <c r="D101" s="8" t="n"/>
      <c r="E101" s="8" t="n"/>
      <c r="F101" s="8" t="n"/>
      <c r="G101" s="8" t="n"/>
      <c r="H101" s="8" t="n"/>
      <c r="I101" s="8" t="n"/>
      <c r="J101" s="8" t="n"/>
      <c r="K101" s="8" t="n"/>
      <c r="L101" s="8" t="n"/>
      <c r="M101" s="8" t="n"/>
      <c r="N101" s="8" t="n"/>
      <c r="O101" s="8" t="n"/>
      <c r="P101" s="8" t="n"/>
      <c r="Q101" s="8" t="n"/>
      <c r="R101" s="8" t="n"/>
      <c r="S101" s="8" t="n"/>
    </row>
    <row r="102">
      <c r="B102" s="8">
        <f>IF(C102="","","EV-"&amp;TEXT(ROW()-5,"000"))</f>
        <v/>
      </c>
      <c r="C102" s="8" t="n"/>
      <c r="D102" s="8" t="n"/>
      <c r="E102" s="8" t="n"/>
      <c r="F102" s="8" t="n"/>
      <c r="G102" s="8" t="n"/>
      <c r="H102" s="8" t="n"/>
      <c r="I102" s="8" t="n"/>
      <c r="J102" s="8" t="n"/>
      <c r="K102" s="8" t="n"/>
      <c r="L102" s="8" t="n"/>
      <c r="M102" s="8" t="n"/>
      <c r="N102" s="8" t="n"/>
      <c r="O102" s="8" t="n"/>
      <c r="P102" s="8" t="n"/>
      <c r="Q102" s="8" t="n"/>
      <c r="R102" s="8" t="n"/>
      <c r="S102" s="8" t="n"/>
    </row>
    <row r="103">
      <c r="B103" s="8">
        <f>IF(C103="","","EV-"&amp;TEXT(ROW()-5,"000"))</f>
        <v/>
      </c>
      <c r="C103" s="8" t="n"/>
      <c r="D103" s="8" t="n"/>
      <c r="E103" s="8" t="n"/>
      <c r="F103" s="8" t="n"/>
      <c r="G103" s="8" t="n"/>
      <c r="H103" s="8" t="n"/>
      <c r="I103" s="8" t="n"/>
      <c r="J103" s="8" t="n"/>
      <c r="K103" s="8" t="n"/>
      <c r="L103" s="8" t="n"/>
      <c r="M103" s="8" t="n"/>
      <c r="N103" s="8" t="n"/>
      <c r="O103" s="8" t="n"/>
      <c r="P103" s="8" t="n"/>
      <c r="Q103" s="8" t="n"/>
      <c r="R103" s="8" t="n"/>
      <c r="S103" s="8" t="n"/>
    </row>
    <row r="104">
      <c r="B104" s="8">
        <f>IF(C104="","","EV-"&amp;TEXT(ROW()-5,"000"))</f>
        <v/>
      </c>
      <c r="C104" s="8" t="n"/>
      <c r="D104" s="8" t="n"/>
      <c r="E104" s="8" t="n"/>
      <c r="F104" s="8" t="n"/>
      <c r="G104" s="8" t="n"/>
      <c r="H104" s="8" t="n"/>
      <c r="I104" s="8" t="n"/>
      <c r="J104" s="8" t="n"/>
      <c r="K104" s="8" t="n"/>
      <c r="L104" s="8" t="n"/>
      <c r="M104" s="8" t="n"/>
      <c r="N104" s="8" t="n"/>
      <c r="O104" s="8" t="n"/>
      <c r="P104" s="8" t="n"/>
      <c r="Q104" s="8" t="n"/>
      <c r="R104" s="8" t="n"/>
      <c r="S104" s="8" t="n"/>
    </row>
    <row r="105">
      <c r="B105" s="8">
        <f>IF(C105="","","EV-"&amp;TEXT(ROW()-5,"000"))</f>
        <v/>
      </c>
      <c r="C105" s="8" t="n"/>
      <c r="D105" s="8" t="n"/>
      <c r="E105" s="8" t="n"/>
      <c r="F105" s="8" t="n"/>
      <c r="G105" s="8" t="n"/>
      <c r="H105" s="8" t="n"/>
      <c r="I105" s="8" t="n"/>
      <c r="J105" s="8" t="n"/>
      <c r="K105" s="8" t="n"/>
      <c r="L105" s="8" t="n"/>
      <c r="M105" s="8" t="n"/>
      <c r="N105" s="8" t="n"/>
      <c r="O105" s="8" t="n"/>
      <c r="P105" s="8" t="n"/>
      <c r="Q105" s="8" t="n"/>
      <c r="R105" s="8" t="n"/>
      <c r="S105" s="8" t="n"/>
    </row>
    <row r="106">
      <c r="B106" s="8">
        <f>IF(C106="","","EV-"&amp;TEXT(ROW()-5,"000"))</f>
        <v/>
      </c>
      <c r="C106" s="8" t="n"/>
      <c r="D106" s="8" t="n"/>
      <c r="E106" s="8" t="n"/>
      <c r="F106" s="8" t="n"/>
      <c r="G106" s="8" t="n"/>
      <c r="H106" s="8" t="n"/>
      <c r="I106" s="8" t="n"/>
      <c r="J106" s="8" t="n"/>
      <c r="K106" s="8" t="n"/>
      <c r="L106" s="8" t="n"/>
      <c r="M106" s="8" t="n"/>
      <c r="N106" s="8" t="n"/>
      <c r="O106" s="8" t="n"/>
      <c r="P106" s="8" t="n"/>
      <c r="Q106" s="8" t="n"/>
      <c r="R106" s="8" t="n"/>
      <c r="S106" s="8" t="n"/>
    </row>
    <row r="107">
      <c r="B107" s="8">
        <f>IF(C107="","","EV-"&amp;TEXT(ROW()-5,"000"))</f>
        <v/>
      </c>
      <c r="C107" s="8" t="n"/>
      <c r="D107" s="8" t="n"/>
      <c r="E107" s="8" t="n"/>
      <c r="F107" s="8" t="n"/>
      <c r="G107" s="8" t="n"/>
      <c r="H107" s="8" t="n"/>
      <c r="I107" s="8" t="n"/>
      <c r="J107" s="8" t="n"/>
      <c r="K107" s="8" t="n"/>
      <c r="L107" s="8" t="n"/>
      <c r="M107" s="8" t="n"/>
      <c r="N107" s="8" t="n"/>
      <c r="O107" s="8" t="n"/>
      <c r="P107" s="8" t="n"/>
      <c r="Q107" s="8" t="n"/>
      <c r="R107" s="8" t="n"/>
      <c r="S107" s="8" t="n"/>
    </row>
    <row r="108">
      <c r="B108" s="8">
        <f>IF(C108="","","EV-"&amp;TEXT(ROW()-5,"000"))</f>
        <v/>
      </c>
      <c r="C108" s="8" t="n"/>
      <c r="D108" s="8" t="n"/>
      <c r="E108" s="8" t="n"/>
      <c r="F108" s="8" t="n"/>
      <c r="G108" s="8" t="n"/>
      <c r="H108" s="8" t="n"/>
      <c r="I108" s="8" t="n"/>
      <c r="J108" s="8" t="n"/>
      <c r="K108" s="8" t="n"/>
      <c r="L108" s="8" t="n"/>
      <c r="M108" s="8" t="n"/>
      <c r="N108" s="8" t="n"/>
      <c r="O108" s="8" t="n"/>
      <c r="P108" s="8" t="n"/>
      <c r="Q108" s="8" t="n"/>
      <c r="R108" s="8" t="n"/>
      <c r="S108" s="8" t="n"/>
    </row>
    <row r="109">
      <c r="B109" s="8">
        <f>IF(C109="","","EV-"&amp;TEXT(ROW()-5,"000"))</f>
        <v/>
      </c>
      <c r="C109" s="8" t="n"/>
      <c r="D109" s="8" t="n"/>
      <c r="E109" s="8" t="n"/>
      <c r="F109" s="8" t="n"/>
      <c r="G109" s="8" t="n"/>
      <c r="H109" s="8" t="n"/>
      <c r="I109" s="8" t="n"/>
      <c r="J109" s="8" t="n"/>
      <c r="K109" s="8" t="n"/>
      <c r="L109" s="8" t="n"/>
      <c r="M109" s="8" t="n"/>
      <c r="N109" s="8" t="n"/>
      <c r="O109" s="8" t="n"/>
      <c r="P109" s="8" t="n"/>
      <c r="Q109" s="8" t="n"/>
      <c r="R109" s="8" t="n"/>
      <c r="S109" s="8" t="n"/>
    </row>
    <row r="110">
      <c r="B110" s="8">
        <f>IF(C110="","","EV-"&amp;TEXT(ROW()-5,"000"))</f>
        <v/>
      </c>
      <c r="C110" s="8" t="n"/>
      <c r="D110" s="8" t="n"/>
      <c r="E110" s="8" t="n"/>
      <c r="F110" s="8" t="n"/>
      <c r="G110" s="8" t="n"/>
      <c r="H110" s="8" t="n"/>
      <c r="I110" s="8" t="n"/>
      <c r="J110" s="8" t="n"/>
      <c r="K110" s="8" t="n"/>
      <c r="L110" s="8" t="n"/>
      <c r="M110" s="8" t="n"/>
      <c r="N110" s="8" t="n"/>
      <c r="O110" s="8" t="n"/>
      <c r="P110" s="8" t="n"/>
      <c r="Q110" s="8" t="n"/>
      <c r="R110" s="8" t="n"/>
      <c r="S110" s="8" t="n"/>
    </row>
    <row r="111">
      <c r="B111" s="8">
        <f>IF(C111="","","EV-"&amp;TEXT(ROW()-5,"000"))</f>
        <v/>
      </c>
      <c r="C111" s="8" t="n"/>
      <c r="D111" s="8" t="n"/>
      <c r="E111" s="8" t="n"/>
      <c r="F111" s="8" t="n"/>
      <c r="G111" s="8" t="n"/>
      <c r="H111" s="8" t="n"/>
      <c r="I111" s="8" t="n"/>
      <c r="J111" s="8" t="n"/>
      <c r="K111" s="8" t="n"/>
      <c r="L111" s="8" t="n"/>
      <c r="M111" s="8" t="n"/>
      <c r="N111" s="8" t="n"/>
      <c r="O111" s="8" t="n"/>
      <c r="P111" s="8" t="n"/>
      <c r="Q111" s="8" t="n"/>
      <c r="R111" s="8" t="n"/>
      <c r="S111" s="8" t="n"/>
    </row>
    <row r="112">
      <c r="B112" s="8">
        <f>IF(C112="","","EV-"&amp;TEXT(ROW()-5,"000"))</f>
        <v/>
      </c>
      <c r="C112" s="8" t="n"/>
      <c r="D112" s="8" t="n"/>
      <c r="E112" s="8" t="n"/>
      <c r="F112" s="8" t="n"/>
      <c r="G112" s="8" t="n"/>
      <c r="H112" s="8" t="n"/>
      <c r="I112" s="8" t="n"/>
      <c r="J112" s="8" t="n"/>
      <c r="K112" s="8" t="n"/>
      <c r="L112" s="8" t="n"/>
      <c r="M112" s="8" t="n"/>
      <c r="N112" s="8" t="n"/>
      <c r="O112" s="8" t="n"/>
      <c r="P112" s="8" t="n"/>
      <c r="Q112" s="8" t="n"/>
      <c r="R112" s="8" t="n"/>
      <c r="S112" s="8" t="n"/>
    </row>
    <row r="113">
      <c r="B113" s="8">
        <f>IF(C113="","","EV-"&amp;TEXT(ROW()-5,"000"))</f>
        <v/>
      </c>
      <c r="C113" s="8" t="n"/>
      <c r="D113" s="8" t="n"/>
      <c r="E113" s="8" t="n"/>
      <c r="F113" s="8" t="n"/>
      <c r="G113" s="8" t="n"/>
      <c r="H113" s="8" t="n"/>
      <c r="I113" s="8" t="n"/>
      <c r="J113" s="8" t="n"/>
      <c r="K113" s="8" t="n"/>
      <c r="L113" s="8" t="n"/>
      <c r="M113" s="8" t="n"/>
      <c r="N113" s="8" t="n"/>
      <c r="O113" s="8" t="n"/>
      <c r="P113" s="8" t="n"/>
      <c r="Q113" s="8" t="n"/>
      <c r="R113" s="8" t="n"/>
      <c r="S113" s="8" t="n"/>
    </row>
    <row r="114">
      <c r="B114" s="8">
        <f>IF(C114="","","EV-"&amp;TEXT(ROW()-5,"000"))</f>
        <v/>
      </c>
      <c r="C114" s="8" t="n"/>
      <c r="D114" s="8" t="n"/>
      <c r="E114" s="8" t="n"/>
      <c r="F114" s="8" t="n"/>
      <c r="G114" s="8" t="n"/>
      <c r="H114" s="8" t="n"/>
      <c r="I114" s="8" t="n"/>
      <c r="J114" s="8" t="n"/>
      <c r="K114" s="8" t="n"/>
      <c r="L114" s="8" t="n"/>
      <c r="M114" s="8" t="n"/>
      <c r="N114" s="8" t="n"/>
      <c r="O114" s="8" t="n"/>
      <c r="P114" s="8" t="n"/>
      <c r="Q114" s="8" t="n"/>
      <c r="R114" s="8" t="n"/>
      <c r="S114" s="8" t="n"/>
    </row>
    <row r="115">
      <c r="B115" s="8">
        <f>IF(C115="","","EV-"&amp;TEXT(ROW()-5,"000"))</f>
        <v/>
      </c>
      <c r="C115" s="8" t="n"/>
      <c r="D115" s="8" t="n"/>
      <c r="E115" s="8" t="n"/>
      <c r="F115" s="8" t="n"/>
      <c r="G115" s="8" t="n"/>
      <c r="H115" s="8" t="n"/>
      <c r="I115" s="8" t="n"/>
      <c r="J115" s="8" t="n"/>
      <c r="K115" s="8" t="n"/>
      <c r="L115" s="8" t="n"/>
      <c r="M115" s="8" t="n"/>
      <c r="N115" s="8" t="n"/>
      <c r="O115" s="8" t="n"/>
      <c r="P115" s="8" t="n"/>
      <c r="Q115" s="8" t="n"/>
      <c r="R115" s="8" t="n"/>
      <c r="S115" s="8" t="n"/>
    </row>
    <row r="116">
      <c r="B116" s="8">
        <f>IF(C116="","","EV-"&amp;TEXT(ROW()-5,"000"))</f>
        <v/>
      </c>
      <c r="C116" s="8" t="n"/>
      <c r="D116" s="8" t="n"/>
      <c r="E116" s="8" t="n"/>
      <c r="F116" s="8" t="n"/>
      <c r="G116" s="8" t="n"/>
      <c r="H116" s="8" t="n"/>
      <c r="I116" s="8" t="n"/>
      <c r="J116" s="8" t="n"/>
      <c r="K116" s="8" t="n"/>
      <c r="L116" s="8" t="n"/>
      <c r="M116" s="8" t="n"/>
      <c r="N116" s="8" t="n"/>
      <c r="O116" s="8" t="n"/>
      <c r="P116" s="8" t="n"/>
      <c r="Q116" s="8" t="n"/>
      <c r="R116" s="8" t="n"/>
      <c r="S116" s="8" t="n"/>
    </row>
    <row r="117">
      <c r="B117" s="8">
        <f>IF(C117="","","EV-"&amp;TEXT(ROW()-5,"000"))</f>
        <v/>
      </c>
      <c r="C117" s="8" t="n"/>
      <c r="D117" s="8" t="n"/>
      <c r="E117" s="8" t="n"/>
      <c r="F117" s="8" t="n"/>
      <c r="G117" s="8" t="n"/>
      <c r="H117" s="8" t="n"/>
      <c r="I117" s="8" t="n"/>
      <c r="J117" s="8" t="n"/>
      <c r="K117" s="8" t="n"/>
      <c r="L117" s="8" t="n"/>
      <c r="M117" s="8" t="n"/>
      <c r="N117" s="8" t="n"/>
      <c r="O117" s="8" t="n"/>
      <c r="P117" s="8" t="n"/>
      <c r="Q117" s="8" t="n"/>
      <c r="R117" s="8" t="n"/>
      <c r="S117" s="8" t="n"/>
    </row>
    <row r="118">
      <c r="B118" s="8">
        <f>IF(C118="","","EV-"&amp;TEXT(ROW()-5,"000"))</f>
        <v/>
      </c>
      <c r="C118" s="8" t="n"/>
      <c r="D118" s="8" t="n"/>
      <c r="E118" s="8" t="n"/>
      <c r="F118" s="8" t="n"/>
      <c r="G118" s="8" t="n"/>
      <c r="H118" s="8" t="n"/>
      <c r="I118" s="8" t="n"/>
      <c r="J118" s="8" t="n"/>
      <c r="K118" s="8" t="n"/>
      <c r="L118" s="8" t="n"/>
      <c r="M118" s="8" t="n"/>
      <c r="N118" s="8" t="n"/>
      <c r="O118" s="8" t="n"/>
      <c r="P118" s="8" t="n"/>
      <c r="Q118" s="8" t="n"/>
      <c r="R118" s="8" t="n"/>
      <c r="S118" s="8" t="n"/>
    </row>
    <row r="119">
      <c r="B119" s="8">
        <f>IF(C119="","","EV-"&amp;TEXT(ROW()-5,"000"))</f>
        <v/>
      </c>
      <c r="C119" s="8" t="n"/>
      <c r="D119" s="8" t="n"/>
      <c r="E119" s="8" t="n"/>
      <c r="F119" s="8" t="n"/>
      <c r="G119" s="8" t="n"/>
      <c r="H119" s="8" t="n"/>
      <c r="I119" s="8" t="n"/>
      <c r="J119" s="8" t="n"/>
      <c r="K119" s="8" t="n"/>
      <c r="L119" s="8" t="n"/>
      <c r="M119" s="8" t="n"/>
      <c r="N119" s="8" t="n"/>
      <c r="O119" s="8" t="n"/>
      <c r="P119" s="8" t="n"/>
      <c r="Q119" s="8" t="n"/>
      <c r="R119" s="8" t="n"/>
      <c r="S119" s="8" t="n"/>
    </row>
    <row r="120">
      <c r="B120" s="8">
        <f>IF(C120="","","EV-"&amp;TEXT(ROW()-5,"000"))</f>
        <v/>
      </c>
      <c r="C120" s="8" t="n"/>
      <c r="D120" s="8" t="n"/>
      <c r="E120" s="8" t="n"/>
      <c r="F120" s="8" t="n"/>
      <c r="G120" s="8" t="n"/>
      <c r="H120" s="8" t="n"/>
      <c r="I120" s="8" t="n"/>
      <c r="J120" s="8" t="n"/>
      <c r="K120" s="8" t="n"/>
      <c r="L120" s="8" t="n"/>
      <c r="M120" s="8" t="n"/>
      <c r="N120" s="8" t="n"/>
      <c r="O120" s="8" t="n"/>
      <c r="P120" s="8" t="n"/>
      <c r="Q120" s="8" t="n"/>
      <c r="R120" s="8" t="n"/>
      <c r="S120" s="8" t="n"/>
    </row>
    <row r="121">
      <c r="B121" s="8">
        <f>IF(C121="","","EV-"&amp;TEXT(ROW()-5,"000"))</f>
        <v/>
      </c>
      <c r="C121" s="8" t="n"/>
      <c r="D121" s="8" t="n"/>
      <c r="E121" s="8" t="n"/>
      <c r="F121" s="8" t="n"/>
      <c r="G121" s="8" t="n"/>
      <c r="H121" s="8" t="n"/>
      <c r="I121" s="8" t="n"/>
      <c r="J121" s="8" t="n"/>
      <c r="K121" s="8" t="n"/>
      <c r="L121" s="8" t="n"/>
      <c r="M121" s="8" t="n"/>
      <c r="N121" s="8" t="n"/>
      <c r="O121" s="8" t="n"/>
      <c r="P121" s="8" t="n"/>
      <c r="Q121" s="8" t="n"/>
      <c r="R121" s="8" t="n"/>
      <c r="S121" s="8" t="n"/>
    </row>
    <row r="122">
      <c r="B122" s="8">
        <f>IF(C122="","","EV-"&amp;TEXT(ROW()-5,"000"))</f>
        <v/>
      </c>
      <c r="C122" s="8" t="n"/>
      <c r="D122" s="8" t="n"/>
      <c r="E122" s="8" t="n"/>
      <c r="F122" s="8" t="n"/>
      <c r="G122" s="8" t="n"/>
      <c r="H122" s="8" t="n"/>
      <c r="I122" s="8" t="n"/>
      <c r="J122" s="8" t="n"/>
      <c r="K122" s="8" t="n"/>
      <c r="L122" s="8" t="n"/>
      <c r="M122" s="8" t="n"/>
      <c r="N122" s="8" t="n"/>
      <c r="O122" s="8" t="n"/>
      <c r="P122" s="8" t="n"/>
      <c r="Q122" s="8" t="n"/>
      <c r="R122" s="8" t="n"/>
      <c r="S122" s="8" t="n"/>
    </row>
    <row r="123">
      <c r="B123" s="8">
        <f>IF(C123="","","EV-"&amp;TEXT(ROW()-5,"000"))</f>
        <v/>
      </c>
      <c r="C123" s="8" t="n"/>
      <c r="D123" s="8" t="n"/>
      <c r="E123" s="8" t="n"/>
      <c r="F123" s="8" t="n"/>
      <c r="G123" s="8" t="n"/>
      <c r="H123" s="8" t="n"/>
      <c r="I123" s="8" t="n"/>
      <c r="J123" s="8" t="n"/>
      <c r="K123" s="8" t="n"/>
      <c r="L123" s="8" t="n"/>
      <c r="M123" s="8" t="n"/>
      <c r="N123" s="8" t="n"/>
      <c r="O123" s="8" t="n"/>
      <c r="P123" s="8" t="n"/>
      <c r="Q123" s="8" t="n"/>
      <c r="R123" s="8" t="n"/>
      <c r="S123" s="8" t="n"/>
    </row>
    <row r="124">
      <c r="B124" s="8">
        <f>IF(C124="","","EV-"&amp;TEXT(ROW()-5,"000"))</f>
        <v/>
      </c>
      <c r="C124" s="8" t="n"/>
      <c r="D124" s="8" t="n"/>
      <c r="E124" s="8" t="n"/>
      <c r="F124" s="8" t="n"/>
      <c r="G124" s="8" t="n"/>
      <c r="H124" s="8" t="n"/>
      <c r="I124" s="8" t="n"/>
      <c r="J124" s="8" t="n"/>
      <c r="K124" s="8" t="n"/>
      <c r="L124" s="8" t="n"/>
      <c r="M124" s="8" t="n"/>
      <c r="N124" s="8" t="n"/>
      <c r="O124" s="8" t="n"/>
      <c r="P124" s="8" t="n"/>
      <c r="Q124" s="8" t="n"/>
      <c r="R124" s="8" t="n"/>
      <c r="S124" s="8" t="n"/>
    </row>
    <row r="125">
      <c r="B125" s="8">
        <f>IF(C125="","","EV-"&amp;TEXT(ROW()-5,"000"))</f>
        <v/>
      </c>
      <c r="C125" s="8" t="n"/>
      <c r="D125" s="8" t="n"/>
      <c r="E125" s="8" t="n"/>
      <c r="F125" s="8" t="n"/>
      <c r="G125" s="8" t="n"/>
      <c r="H125" s="8" t="n"/>
      <c r="I125" s="8" t="n"/>
      <c r="J125" s="8" t="n"/>
      <c r="K125" s="8" t="n"/>
      <c r="L125" s="8" t="n"/>
      <c r="M125" s="8" t="n"/>
      <c r="N125" s="8" t="n"/>
      <c r="O125" s="8" t="n"/>
      <c r="P125" s="8" t="n"/>
      <c r="Q125" s="8" t="n"/>
      <c r="R125" s="8" t="n"/>
      <c r="S125" s="8" t="n"/>
    </row>
    <row r="126">
      <c r="B126" s="8">
        <f>IF(C126="","","EV-"&amp;TEXT(ROW()-5,"000"))</f>
        <v/>
      </c>
      <c r="C126" s="8" t="n"/>
      <c r="D126" s="8" t="n"/>
      <c r="E126" s="8" t="n"/>
      <c r="F126" s="8" t="n"/>
      <c r="G126" s="8" t="n"/>
      <c r="H126" s="8" t="n"/>
      <c r="I126" s="8" t="n"/>
      <c r="J126" s="8" t="n"/>
      <c r="K126" s="8" t="n"/>
      <c r="L126" s="8" t="n"/>
      <c r="M126" s="8" t="n"/>
      <c r="N126" s="8" t="n"/>
      <c r="O126" s="8" t="n"/>
      <c r="P126" s="8" t="n"/>
      <c r="Q126" s="8" t="n"/>
      <c r="R126" s="8" t="n"/>
      <c r="S126" s="8" t="n"/>
    </row>
    <row r="127">
      <c r="B127" s="8">
        <f>IF(C127="","","EV-"&amp;TEXT(ROW()-5,"000"))</f>
        <v/>
      </c>
      <c r="C127" s="8" t="n"/>
      <c r="D127" s="8" t="n"/>
      <c r="E127" s="8" t="n"/>
      <c r="F127" s="8" t="n"/>
      <c r="G127" s="8" t="n"/>
      <c r="H127" s="8" t="n"/>
      <c r="I127" s="8" t="n"/>
      <c r="J127" s="8" t="n"/>
      <c r="K127" s="8" t="n"/>
      <c r="L127" s="8" t="n"/>
      <c r="M127" s="8" t="n"/>
      <c r="N127" s="8" t="n"/>
      <c r="O127" s="8" t="n"/>
      <c r="P127" s="8" t="n"/>
      <c r="Q127" s="8" t="n"/>
      <c r="R127" s="8" t="n"/>
      <c r="S127" s="8" t="n"/>
    </row>
    <row r="128">
      <c r="B128" s="8">
        <f>IF(C128="","","EV-"&amp;TEXT(ROW()-5,"000"))</f>
        <v/>
      </c>
      <c r="C128" s="8" t="n"/>
      <c r="D128" s="8" t="n"/>
      <c r="E128" s="8" t="n"/>
      <c r="F128" s="8" t="n"/>
      <c r="G128" s="8" t="n"/>
      <c r="H128" s="8" t="n"/>
      <c r="I128" s="8" t="n"/>
      <c r="J128" s="8" t="n"/>
      <c r="K128" s="8" t="n"/>
      <c r="L128" s="8" t="n"/>
      <c r="M128" s="8" t="n"/>
      <c r="N128" s="8" t="n"/>
      <c r="O128" s="8" t="n"/>
      <c r="P128" s="8" t="n"/>
      <c r="Q128" s="8" t="n"/>
      <c r="R128" s="8" t="n"/>
      <c r="S128" s="8" t="n"/>
    </row>
    <row r="129">
      <c r="B129" s="8">
        <f>IF(C129="","","EV-"&amp;TEXT(ROW()-5,"000"))</f>
        <v/>
      </c>
      <c r="C129" s="8" t="n"/>
      <c r="D129" s="8" t="n"/>
      <c r="E129" s="8" t="n"/>
      <c r="F129" s="8" t="n"/>
      <c r="G129" s="8" t="n"/>
      <c r="H129" s="8" t="n"/>
      <c r="I129" s="8" t="n"/>
      <c r="J129" s="8" t="n"/>
      <c r="K129" s="8" t="n"/>
      <c r="L129" s="8" t="n"/>
      <c r="M129" s="8" t="n"/>
      <c r="N129" s="8" t="n"/>
      <c r="O129" s="8" t="n"/>
      <c r="P129" s="8" t="n"/>
      <c r="Q129" s="8" t="n"/>
      <c r="R129" s="8" t="n"/>
      <c r="S129" s="8" t="n"/>
    </row>
    <row r="130">
      <c r="B130" s="8">
        <f>IF(C130="","","EV-"&amp;TEXT(ROW()-5,"000"))</f>
        <v/>
      </c>
      <c r="C130" s="8" t="n"/>
      <c r="D130" s="8" t="n"/>
      <c r="E130" s="8" t="n"/>
      <c r="F130" s="8" t="n"/>
      <c r="G130" s="8" t="n"/>
      <c r="H130" s="8" t="n"/>
      <c r="I130" s="8" t="n"/>
      <c r="J130" s="8" t="n"/>
      <c r="K130" s="8" t="n"/>
      <c r="L130" s="8" t="n"/>
      <c r="M130" s="8" t="n"/>
      <c r="N130" s="8" t="n"/>
      <c r="O130" s="8" t="n"/>
      <c r="P130" s="8" t="n"/>
      <c r="Q130" s="8" t="n"/>
      <c r="R130" s="8" t="n"/>
      <c r="S130" s="8" t="n"/>
    </row>
    <row r="131">
      <c r="B131" s="8">
        <f>IF(C131="","","EV-"&amp;TEXT(ROW()-5,"000"))</f>
        <v/>
      </c>
      <c r="C131" s="8" t="n"/>
      <c r="D131" s="8" t="n"/>
      <c r="E131" s="8" t="n"/>
      <c r="F131" s="8" t="n"/>
      <c r="G131" s="8" t="n"/>
      <c r="H131" s="8" t="n"/>
      <c r="I131" s="8" t="n"/>
      <c r="J131" s="8" t="n"/>
      <c r="K131" s="8" t="n"/>
      <c r="L131" s="8" t="n"/>
      <c r="M131" s="8" t="n"/>
      <c r="N131" s="8" t="n"/>
      <c r="O131" s="8" t="n"/>
      <c r="P131" s="8" t="n"/>
      <c r="Q131" s="8" t="n"/>
      <c r="R131" s="8" t="n"/>
      <c r="S131" s="8" t="n"/>
    </row>
    <row r="132">
      <c r="B132" s="8">
        <f>IF(C132="","","EV-"&amp;TEXT(ROW()-5,"000"))</f>
        <v/>
      </c>
      <c r="C132" s="8" t="n"/>
      <c r="D132" s="8" t="n"/>
      <c r="E132" s="8" t="n"/>
      <c r="F132" s="8" t="n"/>
      <c r="G132" s="8" t="n"/>
      <c r="H132" s="8" t="n"/>
      <c r="I132" s="8" t="n"/>
      <c r="J132" s="8" t="n"/>
      <c r="K132" s="8" t="n"/>
      <c r="L132" s="8" t="n"/>
      <c r="M132" s="8" t="n"/>
      <c r="N132" s="8" t="n"/>
      <c r="O132" s="8" t="n"/>
      <c r="P132" s="8" t="n"/>
      <c r="Q132" s="8" t="n"/>
      <c r="R132" s="8" t="n"/>
      <c r="S132" s="8" t="n"/>
    </row>
    <row r="133">
      <c r="B133" s="8">
        <f>IF(C133="","","EV-"&amp;TEXT(ROW()-5,"000"))</f>
        <v/>
      </c>
      <c r="C133" s="8" t="n"/>
      <c r="D133" s="8" t="n"/>
      <c r="E133" s="8" t="n"/>
      <c r="F133" s="8" t="n"/>
      <c r="G133" s="8" t="n"/>
      <c r="H133" s="8" t="n"/>
      <c r="I133" s="8" t="n"/>
      <c r="J133" s="8" t="n"/>
      <c r="K133" s="8" t="n"/>
      <c r="L133" s="8" t="n"/>
      <c r="M133" s="8" t="n"/>
      <c r="N133" s="8" t="n"/>
      <c r="O133" s="8" t="n"/>
      <c r="P133" s="8" t="n"/>
      <c r="Q133" s="8" t="n"/>
      <c r="R133" s="8" t="n"/>
      <c r="S133" s="8" t="n"/>
    </row>
    <row r="134">
      <c r="B134" s="8">
        <f>IF(C134="","","EV-"&amp;TEXT(ROW()-5,"000"))</f>
        <v/>
      </c>
      <c r="C134" s="8" t="n"/>
      <c r="D134" s="8" t="n"/>
      <c r="E134" s="8" t="n"/>
      <c r="F134" s="8" t="n"/>
      <c r="G134" s="8" t="n"/>
      <c r="H134" s="8" t="n"/>
      <c r="I134" s="8" t="n"/>
      <c r="J134" s="8" t="n"/>
      <c r="K134" s="8" t="n"/>
      <c r="L134" s="8" t="n"/>
      <c r="M134" s="8" t="n"/>
      <c r="N134" s="8" t="n"/>
      <c r="O134" s="8" t="n"/>
      <c r="P134" s="8" t="n"/>
      <c r="Q134" s="8" t="n"/>
      <c r="R134" s="8" t="n"/>
      <c r="S134" s="8" t="n"/>
    </row>
    <row r="135">
      <c r="B135" s="8">
        <f>IF(C135="","","EV-"&amp;TEXT(ROW()-5,"000"))</f>
        <v/>
      </c>
      <c r="C135" s="8" t="n"/>
      <c r="D135" s="8" t="n"/>
      <c r="E135" s="8" t="n"/>
      <c r="F135" s="8" t="n"/>
      <c r="G135" s="8" t="n"/>
      <c r="H135" s="8" t="n"/>
      <c r="I135" s="8" t="n"/>
      <c r="J135" s="8" t="n"/>
      <c r="K135" s="8" t="n"/>
      <c r="L135" s="8" t="n"/>
      <c r="M135" s="8" t="n"/>
      <c r="N135" s="8" t="n"/>
      <c r="O135" s="8" t="n"/>
      <c r="P135" s="8" t="n"/>
      <c r="Q135" s="8" t="n"/>
      <c r="R135" s="8" t="n"/>
      <c r="S135" s="8" t="n"/>
    </row>
    <row r="136">
      <c r="B136" s="8">
        <f>IF(C136="","","EV-"&amp;TEXT(ROW()-5,"000"))</f>
        <v/>
      </c>
      <c r="C136" s="8" t="n"/>
      <c r="D136" s="8" t="n"/>
      <c r="E136" s="8" t="n"/>
      <c r="F136" s="8" t="n"/>
      <c r="G136" s="8" t="n"/>
      <c r="H136" s="8" t="n"/>
      <c r="I136" s="8" t="n"/>
      <c r="J136" s="8" t="n"/>
      <c r="K136" s="8" t="n"/>
      <c r="L136" s="8" t="n"/>
      <c r="M136" s="8" t="n"/>
      <c r="N136" s="8" t="n"/>
      <c r="O136" s="8" t="n"/>
      <c r="P136" s="8" t="n"/>
      <c r="Q136" s="8" t="n"/>
      <c r="R136" s="8" t="n"/>
      <c r="S136" s="8" t="n"/>
    </row>
    <row r="137">
      <c r="B137" s="8">
        <f>IF(C137="","","EV-"&amp;TEXT(ROW()-5,"000"))</f>
        <v/>
      </c>
      <c r="C137" s="8" t="n"/>
      <c r="D137" s="8" t="n"/>
      <c r="E137" s="8" t="n"/>
      <c r="F137" s="8" t="n"/>
      <c r="G137" s="8" t="n"/>
      <c r="H137" s="8" t="n"/>
      <c r="I137" s="8" t="n"/>
      <c r="J137" s="8" t="n"/>
      <c r="K137" s="8" t="n"/>
      <c r="L137" s="8" t="n"/>
      <c r="M137" s="8" t="n"/>
      <c r="N137" s="8" t="n"/>
      <c r="O137" s="8" t="n"/>
      <c r="P137" s="8" t="n"/>
      <c r="Q137" s="8" t="n"/>
      <c r="R137" s="8" t="n"/>
      <c r="S137" s="8" t="n"/>
    </row>
    <row r="138">
      <c r="B138" s="8">
        <f>IF(C138="","","EV-"&amp;TEXT(ROW()-5,"000"))</f>
        <v/>
      </c>
      <c r="C138" s="8" t="n"/>
      <c r="D138" s="8" t="n"/>
      <c r="E138" s="8" t="n"/>
      <c r="F138" s="8" t="n"/>
      <c r="G138" s="8" t="n"/>
      <c r="H138" s="8" t="n"/>
      <c r="I138" s="8" t="n"/>
      <c r="J138" s="8" t="n"/>
      <c r="K138" s="8" t="n"/>
      <c r="L138" s="8" t="n"/>
      <c r="M138" s="8" t="n"/>
      <c r="N138" s="8" t="n"/>
      <c r="O138" s="8" t="n"/>
      <c r="P138" s="8" t="n"/>
      <c r="Q138" s="8" t="n"/>
      <c r="R138" s="8" t="n"/>
      <c r="S138" s="8" t="n"/>
    </row>
    <row r="139">
      <c r="B139" s="8">
        <f>IF(C139="","","EV-"&amp;TEXT(ROW()-5,"000"))</f>
        <v/>
      </c>
      <c r="C139" s="8" t="n"/>
      <c r="D139" s="8" t="n"/>
      <c r="E139" s="8" t="n"/>
      <c r="F139" s="8" t="n"/>
      <c r="G139" s="8" t="n"/>
      <c r="H139" s="8" t="n"/>
      <c r="I139" s="8" t="n"/>
      <c r="J139" s="8" t="n"/>
      <c r="K139" s="8" t="n"/>
      <c r="L139" s="8" t="n"/>
      <c r="M139" s="8" t="n"/>
      <c r="N139" s="8" t="n"/>
      <c r="O139" s="8" t="n"/>
      <c r="P139" s="8" t="n"/>
      <c r="Q139" s="8" t="n"/>
      <c r="R139" s="8" t="n"/>
      <c r="S139" s="8" t="n"/>
    </row>
    <row r="140">
      <c r="B140" s="8">
        <f>IF(C140="","","EV-"&amp;TEXT(ROW()-5,"000"))</f>
        <v/>
      </c>
      <c r="C140" s="8" t="n"/>
      <c r="D140" s="8" t="n"/>
      <c r="E140" s="8" t="n"/>
      <c r="F140" s="8" t="n"/>
      <c r="G140" s="8" t="n"/>
      <c r="H140" s="8" t="n"/>
      <c r="I140" s="8" t="n"/>
      <c r="J140" s="8" t="n"/>
      <c r="K140" s="8" t="n"/>
      <c r="L140" s="8" t="n"/>
      <c r="M140" s="8" t="n"/>
      <c r="N140" s="8" t="n"/>
      <c r="O140" s="8" t="n"/>
      <c r="P140" s="8" t="n"/>
      <c r="Q140" s="8" t="n"/>
      <c r="R140" s="8" t="n"/>
      <c r="S140" s="8" t="n"/>
    </row>
    <row r="141">
      <c r="B141" s="8">
        <f>IF(C141="","","EV-"&amp;TEXT(ROW()-5,"000"))</f>
        <v/>
      </c>
      <c r="C141" s="8" t="n"/>
      <c r="D141" s="8" t="n"/>
      <c r="E141" s="8" t="n"/>
      <c r="F141" s="8" t="n"/>
      <c r="G141" s="8" t="n"/>
      <c r="H141" s="8" t="n"/>
      <c r="I141" s="8" t="n"/>
      <c r="J141" s="8" t="n"/>
      <c r="K141" s="8" t="n"/>
      <c r="L141" s="8" t="n"/>
      <c r="M141" s="8" t="n"/>
      <c r="N141" s="8" t="n"/>
      <c r="O141" s="8" t="n"/>
      <c r="P141" s="8" t="n"/>
      <c r="Q141" s="8" t="n"/>
      <c r="R141" s="8" t="n"/>
      <c r="S141" s="8" t="n"/>
    </row>
    <row r="142">
      <c r="B142" s="8">
        <f>IF(C142="","","EV-"&amp;TEXT(ROW()-5,"000"))</f>
        <v/>
      </c>
      <c r="C142" s="8" t="n"/>
      <c r="D142" s="8" t="n"/>
      <c r="E142" s="8" t="n"/>
      <c r="F142" s="8" t="n"/>
      <c r="G142" s="8" t="n"/>
      <c r="H142" s="8" t="n"/>
      <c r="I142" s="8" t="n"/>
      <c r="J142" s="8" t="n"/>
      <c r="K142" s="8" t="n"/>
      <c r="L142" s="8" t="n"/>
      <c r="M142" s="8" t="n"/>
      <c r="N142" s="8" t="n"/>
      <c r="O142" s="8" t="n"/>
      <c r="P142" s="8" t="n"/>
      <c r="Q142" s="8" t="n"/>
      <c r="R142" s="8" t="n"/>
      <c r="S142" s="8" t="n"/>
    </row>
    <row r="143">
      <c r="B143" s="8">
        <f>IF(C143="","","EV-"&amp;TEXT(ROW()-5,"000"))</f>
        <v/>
      </c>
      <c r="C143" s="8" t="n"/>
      <c r="D143" s="8" t="n"/>
      <c r="E143" s="8" t="n"/>
      <c r="F143" s="8" t="n"/>
      <c r="G143" s="8" t="n"/>
      <c r="H143" s="8" t="n"/>
      <c r="I143" s="8" t="n"/>
      <c r="J143" s="8" t="n"/>
      <c r="K143" s="8" t="n"/>
      <c r="L143" s="8" t="n"/>
      <c r="M143" s="8" t="n"/>
      <c r="N143" s="8" t="n"/>
      <c r="O143" s="8" t="n"/>
      <c r="P143" s="8" t="n"/>
      <c r="Q143" s="8" t="n"/>
      <c r="R143" s="8" t="n"/>
      <c r="S143" s="8" t="n"/>
    </row>
    <row r="144">
      <c r="B144" s="8">
        <f>IF(C144="","","EV-"&amp;TEXT(ROW()-5,"000"))</f>
        <v/>
      </c>
      <c r="C144" s="8" t="n"/>
      <c r="D144" s="8" t="n"/>
      <c r="E144" s="8" t="n"/>
      <c r="F144" s="8" t="n"/>
      <c r="G144" s="8" t="n"/>
      <c r="H144" s="8" t="n"/>
      <c r="I144" s="8" t="n"/>
      <c r="J144" s="8" t="n"/>
      <c r="K144" s="8" t="n"/>
      <c r="L144" s="8" t="n"/>
      <c r="M144" s="8" t="n"/>
      <c r="N144" s="8" t="n"/>
      <c r="O144" s="8" t="n"/>
      <c r="P144" s="8" t="n"/>
      <c r="Q144" s="8" t="n"/>
      <c r="R144" s="8" t="n"/>
      <c r="S144" s="8" t="n"/>
    </row>
    <row r="145">
      <c r="B145" s="8">
        <f>IF(C145="","","EV-"&amp;TEXT(ROW()-5,"000"))</f>
        <v/>
      </c>
      <c r="C145" s="8" t="n"/>
      <c r="D145" s="8" t="n"/>
      <c r="E145" s="8" t="n"/>
      <c r="F145" s="8" t="n"/>
      <c r="G145" s="8" t="n"/>
      <c r="H145" s="8" t="n"/>
      <c r="I145" s="8" t="n"/>
      <c r="J145" s="8" t="n"/>
      <c r="K145" s="8" t="n"/>
      <c r="L145" s="8" t="n"/>
      <c r="M145" s="8" t="n"/>
      <c r="N145" s="8" t="n"/>
      <c r="O145" s="8" t="n"/>
      <c r="P145" s="8" t="n"/>
      <c r="Q145" s="8" t="n"/>
      <c r="R145" s="8" t="n"/>
      <c r="S145" s="8" t="n"/>
    </row>
    <row r="146">
      <c r="B146" s="8">
        <f>IF(C146="","","EV-"&amp;TEXT(ROW()-5,"000"))</f>
        <v/>
      </c>
      <c r="C146" s="8" t="n"/>
      <c r="D146" s="8" t="n"/>
      <c r="E146" s="8" t="n"/>
      <c r="F146" s="8" t="n"/>
      <c r="G146" s="8" t="n"/>
      <c r="H146" s="8" t="n"/>
      <c r="I146" s="8" t="n"/>
      <c r="J146" s="8" t="n"/>
      <c r="K146" s="8" t="n"/>
      <c r="L146" s="8" t="n"/>
      <c r="M146" s="8" t="n"/>
      <c r="N146" s="8" t="n"/>
      <c r="O146" s="8" t="n"/>
      <c r="P146" s="8" t="n"/>
      <c r="Q146" s="8" t="n"/>
      <c r="R146" s="8" t="n"/>
      <c r="S146" s="8" t="n"/>
    </row>
    <row r="147">
      <c r="B147" s="8">
        <f>IF(C147="","","EV-"&amp;TEXT(ROW()-5,"000"))</f>
        <v/>
      </c>
      <c r="C147" s="8" t="n"/>
      <c r="D147" s="8" t="n"/>
      <c r="E147" s="8" t="n"/>
      <c r="F147" s="8" t="n"/>
      <c r="G147" s="8" t="n"/>
      <c r="H147" s="8" t="n"/>
      <c r="I147" s="8" t="n"/>
      <c r="J147" s="8" t="n"/>
      <c r="K147" s="8" t="n"/>
      <c r="L147" s="8" t="n"/>
      <c r="M147" s="8" t="n"/>
      <c r="N147" s="8" t="n"/>
      <c r="O147" s="8" t="n"/>
      <c r="P147" s="8" t="n"/>
      <c r="Q147" s="8" t="n"/>
      <c r="R147" s="8" t="n"/>
      <c r="S147" s="8" t="n"/>
    </row>
    <row r="148">
      <c r="B148" s="8">
        <f>IF(C148="","","EV-"&amp;TEXT(ROW()-5,"000"))</f>
        <v/>
      </c>
      <c r="C148" s="8" t="n"/>
      <c r="D148" s="8" t="n"/>
      <c r="E148" s="8" t="n"/>
      <c r="F148" s="8" t="n"/>
      <c r="G148" s="8" t="n"/>
      <c r="H148" s="8" t="n"/>
      <c r="I148" s="8" t="n"/>
      <c r="J148" s="8" t="n"/>
      <c r="K148" s="8" t="n"/>
      <c r="L148" s="8" t="n"/>
      <c r="M148" s="8" t="n"/>
      <c r="N148" s="8" t="n"/>
      <c r="O148" s="8" t="n"/>
      <c r="P148" s="8" t="n"/>
      <c r="Q148" s="8" t="n"/>
      <c r="R148" s="8" t="n"/>
      <c r="S148" s="8" t="n"/>
    </row>
    <row r="149">
      <c r="B149" s="8">
        <f>IF(C149="","","EV-"&amp;TEXT(ROW()-5,"000"))</f>
        <v/>
      </c>
      <c r="C149" s="8" t="n"/>
      <c r="D149" s="8" t="n"/>
      <c r="E149" s="8" t="n"/>
      <c r="F149" s="8" t="n"/>
      <c r="G149" s="8" t="n"/>
      <c r="H149" s="8" t="n"/>
      <c r="I149" s="8" t="n"/>
      <c r="J149" s="8" t="n"/>
      <c r="K149" s="8" t="n"/>
      <c r="L149" s="8" t="n"/>
      <c r="M149" s="8" t="n"/>
      <c r="N149" s="8" t="n"/>
      <c r="O149" s="8" t="n"/>
      <c r="P149" s="8" t="n"/>
      <c r="Q149" s="8" t="n"/>
      <c r="R149" s="8" t="n"/>
      <c r="S149" s="8" t="n"/>
    </row>
    <row r="150">
      <c r="B150" s="8">
        <f>IF(C150="","","EV-"&amp;TEXT(ROW()-5,"000"))</f>
        <v/>
      </c>
      <c r="C150" s="8" t="n"/>
      <c r="D150" s="8" t="n"/>
      <c r="E150" s="8" t="n"/>
      <c r="F150" s="8" t="n"/>
      <c r="G150" s="8" t="n"/>
      <c r="H150" s="8" t="n"/>
      <c r="I150" s="8" t="n"/>
      <c r="J150" s="8" t="n"/>
      <c r="K150" s="8" t="n"/>
      <c r="L150" s="8" t="n"/>
      <c r="M150" s="8" t="n"/>
      <c r="N150" s="8" t="n"/>
      <c r="O150" s="8" t="n"/>
      <c r="P150" s="8" t="n"/>
      <c r="Q150" s="8" t="n"/>
      <c r="R150" s="8" t="n"/>
      <c r="S150" s="8" t="n"/>
    </row>
    <row r="151">
      <c r="B151" s="8">
        <f>IF(C151="","","EV-"&amp;TEXT(ROW()-5,"000"))</f>
        <v/>
      </c>
      <c r="C151" s="8" t="n"/>
      <c r="D151" s="8" t="n"/>
      <c r="E151" s="8" t="n"/>
      <c r="F151" s="8" t="n"/>
      <c r="G151" s="8" t="n"/>
      <c r="H151" s="8" t="n"/>
      <c r="I151" s="8" t="n"/>
      <c r="J151" s="8" t="n"/>
      <c r="K151" s="8" t="n"/>
      <c r="L151" s="8" t="n"/>
      <c r="M151" s="8" t="n"/>
      <c r="N151" s="8" t="n"/>
      <c r="O151" s="8" t="n"/>
      <c r="P151" s="8" t="n"/>
      <c r="Q151" s="8" t="n"/>
      <c r="R151" s="8" t="n"/>
      <c r="S151" s="8" t="n"/>
    </row>
    <row r="152">
      <c r="B152" s="8">
        <f>IF(C152="","","EV-"&amp;TEXT(ROW()-5,"000"))</f>
        <v/>
      </c>
      <c r="C152" s="8" t="n"/>
      <c r="D152" s="8" t="n"/>
      <c r="E152" s="8" t="n"/>
      <c r="F152" s="8" t="n"/>
      <c r="G152" s="8" t="n"/>
      <c r="H152" s="8" t="n"/>
      <c r="I152" s="8" t="n"/>
      <c r="J152" s="8" t="n"/>
      <c r="K152" s="8" t="n"/>
      <c r="L152" s="8" t="n"/>
      <c r="M152" s="8" t="n"/>
      <c r="N152" s="8" t="n"/>
      <c r="O152" s="8" t="n"/>
      <c r="P152" s="8" t="n"/>
      <c r="Q152" s="8" t="n"/>
      <c r="R152" s="8" t="n"/>
      <c r="S152" s="8" t="n"/>
    </row>
    <row r="153">
      <c r="B153" s="8">
        <f>IF(C153="","","EV-"&amp;TEXT(ROW()-5,"000"))</f>
        <v/>
      </c>
      <c r="C153" s="8" t="n"/>
      <c r="D153" s="8" t="n"/>
      <c r="E153" s="8" t="n"/>
      <c r="F153" s="8" t="n"/>
      <c r="G153" s="8" t="n"/>
      <c r="H153" s="8" t="n"/>
      <c r="I153" s="8" t="n"/>
      <c r="J153" s="8" t="n"/>
      <c r="K153" s="8" t="n"/>
      <c r="L153" s="8" t="n"/>
      <c r="M153" s="8" t="n"/>
      <c r="N153" s="8" t="n"/>
      <c r="O153" s="8" t="n"/>
      <c r="P153" s="8" t="n"/>
      <c r="Q153" s="8" t="n"/>
      <c r="R153" s="8" t="n"/>
      <c r="S153" s="8" t="n"/>
    </row>
    <row r="154">
      <c r="B154" s="8">
        <f>IF(C154="","","EV-"&amp;TEXT(ROW()-5,"000"))</f>
        <v/>
      </c>
      <c r="C154" s="8" t="n"/>
      <c r="D154" s="8" t="n"/>
      <c r="E154" s="8" t="n"/>
      <c r="F154" s="8" t="n"/>
      <c r="G154" s="8" t="n"/>
      <c r="H154" s="8" t="n"/>
      <c r="I154" s="8" t="n"/>
      <c r="J154" s="8" t="n"/>
      <c r="K154" s="8" t="n"/>
      <c r="L154" s="8" t="n"/>
      <c r="M154" s="8" t="n"/>
      <c r="N154" s="8" t="n"/>
      <c r="O154" s="8" t="n"/>
      <c r="P154" s="8" t="n"/>
      <c r="Q154" s="8" t="n"/>
      <c r="R154" s="8" t="n"/>
      <c r="S154" s="8" t="n"/>
    </row>
    <row r="155">
      <c r="B155" s="8">
        <f>IF(C155="","","EV-"&amp;TEXT(ROW()-5,"000"))</f>
        <v/>
      </c>
      <c r="C155" s="8" t="n"/>
      <c r="D155" s="8" t="n"/>
      <c r="E155" s="8" t="n"/>
      <c r="F155" s="8" t="n"/>
      <c r="G155" s="8" t="n"/>
      <c r="H155" s="8" t="n"/>
      <c r="I155" s="8" t="n"/>
      <c r="J155" s="8" t="n"/>
      <c r="K155" s="8" t="n"/>
      <c r="L155" s="8" t="n"/>
      <c r="M155" s="8" t="n"/>
      <c r="N155" s="8" t="n"/>
      <c r="O155" s="8" t="n"/>
      <c r="P155" s="8" t="n"/>
      <c r="Q155" s="8" t="n"/>
      <c r="R155" s="8" t="n"/>
      <c r="S155" s="8" t="n"/>
    </row>
    <row r="156">
      <c r="B156" s="8">
        <f>IF(C156="","","EV-"&amp;TEXT(ROW()-5,"000"))</f>
        <v/>
      </c>
      <c r="C156" s="8" t="n"/>
      <c r="D156" s="8" t="n"/>
      <c r="E156" s="8" t="n"/>
      <c r="F156" s="8" t="n"/>
      <c r="G156" s="8" t="n"/>
      <c r="H156" s="8" t="n"/>
      <c r="I156" s="8" t="n"/>
      <c r="J156" s="8" t="n"/>
      <c r="K156" s="8" t="n"/>
      <c r="L156" s="8" t="n"/>
      <c r="M156" s="8" t="n"/>
      <c r="N156" s="8" t="n"/>
      <c r="O156" s="8" t="n"/>
      <c r="P156" s="8" t="n"/>
      <c r="Q156" s="8" t="n"/>
      <c r="R156" s="8" t="n"/>
      <c r="S156" s="8" t="n"/>
    </row>
    <row r="157">
      <c r="B157" s="8">
        <f>IF(C157="","","EV-"&amp;TEXT(ROW()-5,"000"))</f>
        <v/>
      </c>
      <c r="C157" s="8" t="n"/>
      <c r="D157" s="8" t="n"/>
      <c r="E157" s="8" t="n"/>
      <c r="F157" s="8" t="n"/>
      <c r="G157" s="8" t="n"/>
      <c r="H157" s="8" t="n"/>
      <c r="I157" s="8" t="n"/>
      <c r="J157" s="8" t="n"/>
      <c r="K157" s="8" t="n"/>
      <c r="L157" s="8" t="n"/>
      <c r="M157" s="8" t="n"/>
      <c r="N157" s="8" t="n"/>
      <c r="O157" s="8" t="n"/>
      <c r="P157" s="8" t="n"/>
      <c r="Q157" s="8" t="n"/>
      <c r="R157" s="8" t="n"/>
      <c r="S157" s="8" t="n"/>
    </row>
    <row r="158">
      <c r="B158" s="8">
        <f>IF(C158="","","EV-"&amp;TEXT(ROW()-5,"000"))</f>
        <v/>
      </c>
      <c r="C158" s="8" t="n"/>
      <c r="D158" s="8" t="n"/>
      <c r="E158" s="8" t="n"/>
      <c r="F158" s="8" t="n"/>
      <c r="G158" s="8" t="n"/>
      <c r="H158" s="8" t="n"/>
      <c r="I158" s="8" t="n"/>
      <c r="J158" s="8" t="n"/>
      <c r="K158" s="8" t="n"/>
      <c r="L158" s="8" t="n"/>
      <c r="M158" s="8" t="n"/>
      <c r="N158" s="8" t="n"/>
      <c r="O158" s="8" t="n"/>
      <c r="P158" s="8" t="n"/>
      <c r="Q158" s="8" t="n"/>
      <c r="R158" s="8" t="n"/>
      <c r="S158" s="8" t="n"/>
    </row>
    <row r="159">
      <c r="B159" s="8">
        <f>IF(C159="","","EV-"&amp;TEXT(ROW()-5,"000"))</f>
        <v/>
      </c>
      <c r="C159" s="8" t="n"/>
      <c r="D159" s="8" t="n"/>
      <c r="E159" s="8" t="n"/>
      <c r="F159" s="8" t="n"/>
      <c r="G159" s="8" t="n"/>
      <c r="H159" s="8" t="n"/>
      <c r="I159" s="8" t="n"/>
      <c r="J159" s="8" t="n"/>
      <c r="K159" s="8" t="n"/>
      <c r="L159" s="8" t="n"/>
      <c r="M159" s="8" t="n"/>
      <c r="N159" s="8" t="n"/>
      <c r="O159" s="8" t="n"/>
      <c r="P159" s="8" t="n"/>
      <c r="Q159" s="8" t="n"/>
      <c r="R159" s="8" t="n"/>
      <c r="S159" s="8" t="n"/>
    </row>
    <row r="160">
      <c r="B160" s="8">
        <f>IF(C160="","","EV-"&amp;TEXT(ROW()-5,"000"))</f>
        <v/>
      </c>
      <c r="C160" s="8" t="n"/>
      <c r="D160" s="8" t="n"/>
      <c r="E160" s="8" t="n"/>
      <c r="F160" s="8" t="n"/>
      <c r="G160" s="8" t="n"/>
      <c r="H160" s="8" t="n"/>
      <c r="I160" s="8" t="n"/>
      <c r="J160" s="8" t="n"/>
      <c r="K160" s="8" t="n"/>
      <c r="L160" s="8" t="n"/>
      <c r="M160" s="8" t="n"/>
      <c r="N160" s="8" t="n"/>
      <c r="O160" s="8" t="n"/>
      <c r="P160" s="8" t="n"/>
      <c r="Q160" s="8" t="n"/>
      <c r="R160" s="8" t="n"/>
      <c r="S160" s="8" t="n"/>
    </row>
    <row r="161">
      <c r="B161" s="8">
        <f>IF(C161="","","EV-"&amp;TEXT(ROW()-5,"000"))</f>
        <v/>
      </c>
      <c r="C161" s="8" t="n"/>
      <c r="D161" s="8" t="n"/>
      <c r="E161" s="8" t="n"/>
      <c r="F161" s="8" t="n"/>
      <c r="G161" s="8" t="n"/>
      <c r="H161" s="8" t="n"/>
      <c r="I161" s="8" t="n"/>
      <c r="J161" s="8" t="n"/>
      <c r="K161" s="8" t="n"/>
      <c r="L161" s="8" t="n"/>
      <c r="M161" s="8" t="n"/>
      <c r="N161" s="8" t="n"/>
      <c r="O161" s="8" t="n"/>
      <c r="P161" s="8" t="n"/>
      <c r="Q161" s="8" t="n"/>
      <c r="R161" s="8" t="n"/>
      <c r="S161" s="8" t="n"/>
    </row>
    <row r="162">
      <c r="B162" s="8">
        <f>IF(C162="","","EV-"&amp;TEXT(ROW()-5,"000"))</f>
        <v/>
      </c>
      <c r="C162" s="8" t="n"/>
      <c r="D162" s="8" t="n"/>
      <c r="E162" s="8" t="n"/>
      <c r="F162" s="8" t="n"/>
      <c r="G162" s="8" t="n"/>
      <c r="H162" s="8" t="n"/>
      <c r="I162" s="8" t="n"/>
      <c r="J162" s="8" t="n"/>
      <c r="K162" s="8" t="n"/>
      <c r="L162" s="8" t="n"/>
      <c r="M162" s="8" t="n"/>
      <c r="N162" s="8" t="n"/>
      <c r="O162" s="8" t="n"/>
      <c r="P162" s="8" t="n"/>
      <c r="Q162" s="8" t="n"/>
      <c r="R162" s="8" t="n"/>
      <c r="S162" s="8" t="n"/>
    </row>
    <row r="163">
      <c r="B163" s="8">
        <f>IF(C163="","","EV-"&amp;TEXT(ROW()-5,"000"))</f>
        <v/>
      </c>
      <c r="C163" s="8" t="n"/>
      <c r="D163" s="8" t="n"/>
      <c r="E163" s="8" t="n"/>
      <c r="F163" s="8" t="n"/>
      <c r="G163" s="8" t="n"/>
      <c r="H163" s="8" t="n"/>
      <c r="I163" s="8" t="n"/>
      <c r="J163" s="8" t="n"/>
      <c r="K163" s="8" t="n"/>
      <c r="L163" s="8" t="n"/>
      <c r="M163" s="8" t="n"/>
      <c r="N163" s="8" t="n"/>
      <c r="O163" s="8" t="n"/>
      <c r="P163" s="8" t="n"/>
      <c r="Q163" s="8" t="n"/>
      <c r="R163" s="8" t="n"/>
      <c r="S163" s="8" t="n"/>
    </row>
    <row r="164">
      <c r="B164" s="8">
        <f>IF(C164="","","EV-"&amp;TEXT(ROW()-5,"000"))</f>
        <v/>
      </c>
      <c r="C164" s="8" t="n"/>
      <c r="D164" s="8" t="n"/>
      <c r="E164" s="8" t="n"/>
      <c r="F164" s="8" t="n"/>
      <c r="G164" s="8" t="n"/>
      <c r="H164" s="8" t="n"/>
      <c r="I164" s="8" t="n"/>
      <c r="J164" s="8" t="n"/>
      <c r="K164" s="8" t="n"/>
      <c r="L164" s="8" t="n"/>
      <c r="M164" s="8" t="n"/>
      <c r="N164" s="8" t="n"/>
      <c r="O164" s="8" t="n"/>
      <c r="P164" s="8" t="n"/>
      <c r="Q164" s="8" t="n"/>
      <c r="R164" s="8" t="n"/>
      <c r="S164" s="8" t="n"/>
    </row>
    <row r="165">
      <c r="B165" s="8">
        <f>IF(C165="","","EV-"&amp;TEXT(ROW()-5,"000"))</f>
        <v/>
      </c>
      <c r="C165" s="8" t="n"/>
      <c r="D165" s="8" t="n"/>
      <c r="E165" s="8" t="n"/>
      <c r="F165" s="8" t="n"/>
      <c r="G165" s="8" t="n"/>
      <c r="H165" s="8" t="n"/>
      <c r="I165" s="8" t="n"/>
      <c r="J165" s="8" t="n"/>
      <c r="K165" s="8" t="n"/>
      <c r="L165" s="8" t="n"/>
      <c r="M165" s="8" t="n"/>
      <c r="N165" s="8" t="n"/>
      <c r="O165" s="8" t="n"/>
      <c r="P165" s="8" t="n"/>
      <c r="Q165" s="8" t="n"/>
      <c r="R165" s="8" t="n"/>
      <c r="S165" s="8" t="n"/>
    </row>
    <row r="166">
      <c r="B166" s="8">
        <f>IF(C166="","","EV-"&amp;TEXT(ROW()-5,"000"))</f>
        <v/>
      </c>
      <c r="C166" s="8" t="n"/>
      <c r="D166" s="8" t="n"/>
      <c r="E166" s="8" t="n"/>
      <c r="F166" s="8" t="n"/>
      <c r="G166" s="8" t="n"/>
      <c r="H166" s="8" t="n"/>
      <c r="I166" s="8" t="n"/>
      <c r="J166" s="8" t="n"/>
      <c r="K166" s="8" t="n"/>
      <c r="L166" s="8" t="n"/>
      <c r="M166" s="8" t="n"/>
      <c r="N166" s="8" t="n"/>
      <c r="O166" s="8" t="n"/>
      <c r="P166" s="8" t="n"/>
      <c r="Q166" s="8" t="n"/>
      <c r="R166" s="8" t="n"/>
      <c r="S166" s="8" t="n"/>
    </row>
    <row r="167">
      <c r="B167" s="8">
        <f>IF(C167="","","EV-"&amp;TEXT(ROW()-5,"000"))</f>
        <v/>
      </c>
      <c r="C167" s="8" t="n"/>
      <c r="D167" s="8" t="n"/>
      <c r="E167" s="8" t="n"/>
      <c r="F167" s="8" t="n"/>
      <c r="G167" s="8" t="n"/>
      <c r="H167" s="8" t="n"/>
      <c r="I167" s="8" t="n"/>
      <c r="J167" s="8" t="n"/>
      <c r="K167" s="8" t="n"/>
      <c r="L167" s="8" t="n"/>
      <c r="M167" s="8" t="n"/>
      <c r="N167" s="8" t="n"/>
      <c r="O167" s="8" t="n"/>
      <c r="P167" s="8" t="n"/>
      <c r="Q167" s="8" t="n"/>
      <c r="R167" s="8" t="n"/>
      <c r="S167" s="8" t="n"/>
    </row>
    <row r="168">
      <c r="B168" s="8">
        <f>IF(C168="","","EV-"&amp;TEXT(ROW()-5,"000"))</f>
        <v/>
      </c>
      <c r="C168" s="8" t="n"/>
      <c r="D168" s="8" t="n"/>
      <c r="E168" s="8" t="n"/>
      <c r="F168" s="8" t="n"/>
      <c r="G168" s="8" t="n"/>
      <c r="H168" s="8" t="n"/>
      <c r="I168" s="8" t="n"/>
      <c r="J168" s="8" t="n"/>
      <c r="K168" s="8" t="n"/>
      <c r="L168" s="8" t="n"/>
      <c r="M168" s="8" t="n"/>
      <c r="N168" s="8" t="n"/>
      <c r="O168" s="8" t="n"/>
      <c r="P168" s="8" t="n"/>
      <c r="Q168" s="8" t="n"/>
      <c r="R168" s="8" t="n"/>
      <c r="S168" s="8" t="n"/>
    </row>
    <row r="169">
      <c r="B169" s="8">
        <f>IF(C169="","","EV-"&amp;TEXT(ROW()-5,"000"))</f>
        <v/>
      </c>
      <c r="C169" s="8" t="n"/>
      <c r="D169" s="8" t="n"/>
      <c r="E169" s="8" t="n"/>
      <c r="F169" s="8" t="n"/>
      <c r="G169" s="8" t="n"/>
      <c r="H169" s="8" t="n"/>
      <c r="I169" s="8" t="n"/>
      <c r="J169" s="8" t="n"/>
      <c r="K169" s="8" t="n"/>
      <c r="L169" s="8" t="n"/>
      <c r="M169" s="8" t="n"/>
      <c r="N169" s="8" t="n"/>
      <c r="O169" s="8" t="n"/>
      <c r="P169" s="8" t="n"/>
      <c r="Q169" s="8" t="n"/>
      <c r="R169" s="8" t="n"/>
      <c r="S169" s="8" t="n"/>
    </row>
    <row r="170">
      <c r="B170" s="8">
        <f>IF(C170="","","EV-"&amp;TEXT(ROW()-5,"000"))</f>
        <v/>
      </c>
      <c r="C170" s="8" t="n"/>
      <c r="D170" s="8" t="n"/>
      <c r="E170" s="8" t="n"/>
      <c r="F170" s="8" t="n"/>
      <c r="G170" s="8" t="n"/>
      <c r="H170" s="8" t="n"/>
      <c r="I170" s="8" t="n"/>
      <c r="J170" s="8" t="n"/>
      <c r="K170" s="8" t="n"/>
      <c r="L170" s="8" t="n"/>
      <c r="M170" s="8" t="n"/>
      <c r="N170" s="8" t="n"/>
      <c r="O170" s="8" t="n"/>
      <c r="P170" s="8" t="n"/>
      <c r="Q170" s="8" t="n"/>
      <c r="R170" s="8" t="n"/>
      <c r="S170" s="8" t="n"/>
    </row>
    <row r="171">
      <c r="B171" s="8">
        <f>IF(C171="","","EV-"&amp;TEXT(ROW()-5,"000"))</f>
        <v/>
      </c>
      <c r="C171" s="8" t="n"/>
      <c r="D171" s="8" t="n"/>
      <c r="E171" s="8" t="n"/>
      <c r="F171" s="8" t="n"/>
      <c r="G171" s="8" t="n"/>
      <c r="H171" s="8" t="n"/>
      <c r="I171" s="8" t="n"/>
      <c r="J171" s="8" t="n"/>
      <c r="K171" s="8" t="n"/>
      <c r="L171" s="8" t="n"/>
      <c r="M171" s="8" t="n"/>
      <c r="N171" s="8" t="n"/>
      <c r="O171" s="8" t="n"/>
      <c r="P171" s="8" t="n"/>
      <c r="Q171" s="8" t="n"/>
      <c r="R171" s="8" t="n"/>
      <c r="S171" s="8" t="n"/>
    </row>
    <row r="172">
      <c r="B172" s="8">
        <f>IF(C172="","","EV-"&amp;TEXT(ROW()-5,"000"))</f>
        <v/>
      </c>
      <c r="C172" s="8" t="n"/>
      <c r="D172" s="8" t="n"/>
      <c r="E172" s="8" t="n"/>
      <c r="F172" s="8" t="n"/>
      <c r="G172" s="8" t="n"/>
      <c r="H172" s="8" t="n"/>
      <c r="I172" s="8" t="n"/>
      <c r="J172" s="8" t="n"/>
      <c r="K172" s="8" t="n"/>
      <c r="L172" s="8" t="n"/>
      <c r="M172" s="8" t="n"/>
      <c r="N172" s="8" t="n"/>
      <c r="O172" s="8" t="n"/>
      <c r="P172" s="8" t="n"/>
      <c r="Q172" s="8" t="n"/>
      <c r="R172" s="8" t="n"/>
      <c r="S172" s="8" t="n"/>
    </row>
    <row r="173">
      <c r="B173" s="8">
        <f>IF(C173="","","EV-"&amp;TEXT(ROW()-5,"000"))</f>
        <v/>
      </c>
      <c r="C173" s="8" t="n"/>
      <c r="D173" s="8" t="n"/>
      <c r="E173" s="8" t="n"/>
      <c r="F173" s="8" t="n"/>
      <c r="G173" s="8" t="n"/>
      <c r="H173" s="8" t="n"/>
      <c r="I173" s="8" t="n"/>
      <c r="J173" s="8" t="n"/>
      <c r="K173" s="8" t="n"/>
      <c r="L173" s="8" t="n"/>
      <c r="M173" s="8" t="n"/>
      <c r="N173" s="8" t="n"/>
      <c r="O173" s="8" t="n"/>
      <c r="P173" s="8" t="n"/>
      <c r="Q173" s="8" t="n"/>
      <c r="R173" s="8" t="n"/>
      <c r="S173" s="8" t="n"/>
    </row>
    <row r="174">
      <c r="B174" s="8">
        <f>IF(C174="","","EV-"&amp;TEXT(ROW()-5,"000"))</f>
        <v/>
      </c>
      <c r="C174" s="8" t="n"/>
      <c r="D174" s="8" t="n"/>
      <c r="E174" s="8" t="n"/>
      <c r="F174" s="8" t="n"/>
      <c r="G174" s="8" t="n"/>
      <c r="H174" s="8" t="n"/>
      <c r="I174" s="8" t="n"/>
      <c r="J174" s="8" t="n"/>
      <c r="K174" s="8" t="n"/>
      <c r="L174" s="8" t="n"/>
      <c r="M174" s="8" t="n"/>
      <c r="N174" s="8" t="n"/>
      <c r="O174" s="8" t="n"/>
      <c r="P174" s="8" t="n"/>
      <c r="Q174" s="8" t="n"/>
      <c r="R174" s="8" t="n"/>
      <c r="S174" s="8" t="n"/>
    </row>
    <row r="175">
      <c r="B175" s="8">
        <f>IF(C175="","","EV-"&amp;TEXT(ROW()-5,"000"))</f>
        <v/>
      </c>
      <c r="C175" s="8" t="n"/>
      <c r="D175" s="8" t="n"/>
      <c r="E175" s="8" t="n"/>
      <c r="F175" s="8" t="n"/>
      <c r="G175" s="8" t="n"/>
      <c r="H175" s="8" t="n"/>
      <c r="I175" s="8" t="n"/>
      <c r="J175" s="8" t="n"/>
      <c r="K175" s="8" t="n"/>
      <c r="L175" s="8" t="n"/>
      <c r="M175" s="8" t="n"/>
      <c r="N175" s="8" t="n"/>
      <c r="O175" s="8" t="n"/>
      <c r="P175" s="8" t="n"/>
      <c r="Q175" s="8" t="n"/>
      <c r="R175" s="8" t="n"/>
      <c r="S175" s="8" t="n"/>
    </row>
    <row r="176">
      <c r="B176" s="8">
        <f>IF(C176="","","EV-"&amp;TEXT(ROW()-5,"000"))</f>
        <v/>
      </c>
      <c r="C176" s="8" t="n"/>
      <c r="D176" s="8" t="n"/>
      <c r="E176" s="8" t="n"/>
      <c r="F176" s="8" t="n"/>
      <c r="G176" s="8" t="n"/>
      <c r="H176" s="8" t="n"/>
      <c r="I176" s="8" t="n"/>
      <c r="J176" s="8" t="n"/>
      <c r="K176" s="8" t="n"/>
      <c r="L176" s="8" t="n"/>
      <c r="M176" s="8" t="n"/>
      <c r="N176" s="8" t="n"/>
      <c r="O176" s="8" t="n"/>
      <c r="P176" s="8" t="n"/>
      <c r="Q176" s="8" t="n"/>
      <c r="R176" s="8" t="n"/>
      <c r="S176" s="8" t="n"/>
    </row>
    <row r="177">
      <c r="B177" s="8">
        <f>IF(C177="","","EV-"&amp;TEXT(ROW()-5,"000"))</f>
        <v/>
      </c>
      <c r="C177" s="8" t="n"/>
      <c r="D177" s="8" t="n"/>
      <c r="E177" s="8" t="n"/>
      <c r="F177" s="8" t="n"/>
      <c r="G177" s="8" t="n"/>
      <c r="H177" s="8" t="n"/>
      <c r="I177" s="8" t="n"/>
      <c r="J177" s="8" t="n"/>
      <c r="K177" s="8" t="n"/>
      <c r="L177" s="8" t="n"/>
      <c r="M177" s="8" t="n"/>
      <c r="N177" s="8" t="n"/>
      <c r="O177" s="8" t="n"/>
      <c r="P177" s="8" t="n"/>
      <c r="Q177" s="8" t="n"/>
      <c r="R177" s="8" t="n"/>
      <c r="S177" s="8" t="n"/>
    </row>
    <row r="178">
      <c r="B178" s="8">
        <f>IF(C178="","","EV-"&amp;TEXT(ROW()-5,"000"))</f>
        <v/>
      </c>
      <c r="C178" s="8" t="n"/>
      <c r="D178" s="8" t="n"/>
      <c r="E178" s="8" t="n"/>
      <c r="F178" s="8" t="n"/>
      <c r="G178" s="8" t="n"/>
      <c r="H178" s="8" t="n"/>
      <c r="I178" s="8" t="n"/>
      <c r="J178" s="8" t="n"/>
      <c r="K178" s="8" t="n"/>
      <c r="L178" s="8" t="n"/>
      <c r="M178" s="8" t="n"/>
      <c r="N178" s="8" t="n"/>
      <c r="O178" s="8" t="n"/>
      <c r="P178" s="8" t="n"/>
      <c r="Q178" s="8" t="n"/>
      <c r="R178" s="8" t="n"/>
      <c r="S178" s="8" t="n"/>
    </row>
    <row r="179">
      <c r="B179" s="8">
        <f>IF(C179="","","EV-"&amp;TEXT(ROW()-5,"000"))</f>
        <v/>
      </c>
      <c r="C179" s="8" t="n"/>
      <c r="D179" s="8" t="n"/>
      <c r="E179" s="8" t="n"/>
      <c r="F179" s="8" t="n"/>
      <c r="G179" s="8" t="n"/>
      <c r="H179" s="8" t="n"/>
      <c r="I179" s="8" t="n"/>
      <c r="J179" s="8" t="n"/>
      <c r="K179" s="8" t="n"/>
      <c r="L179" s="8" t="n"/>
      <c r="M179" s="8" t="n"/>
      <c r="N179" s="8" t="n"/>
      <c r="O179" s="8" t="n"/>
      <c r="P179" s="8" t="n"/>
      <c r="Q179" s="8" t="n"/>
      <c r="R179" s="8" t="n"/>
      <c r="S179" s="8" t="n"/>
    </row>
    <row r="180">
      <c r="B180" s="8">
        <f>IF(C180="","","EV-"&amp;TEXT(ROW()-5,"000"))</f>
        <v/>
      </c>
      <c r="C180" s="8" t="n"/>
      <c r="D180" s="8" t="n"/>
      <c r="E180" s="8" t="n"/>
      <c r="F180" s="8" t="n"/>
      <c r="G180" s="8" t="n"/>
      <c r="H180" s="8" t="n"/>
      <c r="I180" s="8" t="n"/>
      <c r="J180" s="8" t="n"/>
      <c r="K180" s="8" t="n"/>
      <c r="L180" s="8" t="n"/>
      <c r="M180" s="8" t="n"/>
      <c r="N180" s="8" t="n"/>
      <c r="O180" s="8" t="n"/>
      <c r="P180" s="8" t="n"/>
      <c r="Q180" s="8" t="n"/>
      <c r="R180" s="8" t="n"/>
      <c r="S180" s="8" t="n"/>
    </row>
    <row r="181">
      <c r="B181" s="8">
        <f>IF(C181="","","EV-"&amp;TEXT(ROW()-5,"000"))</f>
        <v/>
      </c>
      <c r="C181" s="8" t="n"/>
      <c r="D181" s="8" t="n"/>
      <c r="E181" s="8" t="n"/>
      <c r="F181" s="8" t="n"/>
      <c r="G181" s="8" t="n"/>
      <c r="H181" s="8" t="n"/>
      <c r="I181" s="8" t="n"/>
      <c r="J181" s="8" t="n"/>
      <c r="K181" s="8" t="n"/>
      <c r="L181" s="8" t="n"/>
      <c r="M181" s="8" t="n"/>
      <c r="N181" s="8" t="n"/>
      <c r="O181" s="8" t="n"/>
      <c r="P181" s="8" t="n"/>
      <c r="Q181" s="8" t="n"/>
      <c r="R181" s="8" t="n"/>
      <c r="S181" s="8" t="n"/>
    </row>
    <row r="182">
      <c r="B182" s="8">
        <f>IF(C182="","","EV-"&amp;TEXT(ROW()-5,"000"))</f>
        <v/>
      </c>
      <c r="C182" s="8" t="n"/>
      <c r="D182" s="8" t="n"/>
      <c r="E182" s="8" t="n"/>
      <c r="F182" s="8" t="n"/>
      <c r="G182" s="8" t="n"/>
      <c r="H182" s="8" t="n"/>
      <c r="I182" s="8" t="n"/>
      <c r="J182" s="8" t="n"/>
      <c r="K182" s="8" t="n"/>
      <c r="L182" s="8" t="n"/>
      <c r="M182" s="8" t="n"/>
      <c r="N182" s="8" t="n"/>
      <c r="O182" s="8" t="n"/>
      <c r="P182" s="8" t="n"/>
      <c r="Q182" s="8" t="n"/>
      <c r="R182" s="8" t="n"/>
      <c r="S182" s="8" t="n"/>
    </row>
    <row r="183">
      <c r="B183" s="8">
        <f>IF(C183="","","EV-"&amp;TEXT(ROW()-5,"000"))</f>
        <v/>
      </c>
      <c r="C183" s="8" t="n"/>
      <c r="D183" s="8" t="n"/>
      <c r="E183" s="8" t="n"/>
      <c r="F183" s="8" t="n"/>
      <c r="G183" s="8" t="n"/>
      <c r="H183" s="8" t="n"/>
      <c r="I183" s="8" t="n"/>
      <c r="J183" s="8" t="n"/>
      <c r="K183" s="8" t="n"/>
      <c r="L183" s="8" t="n"/>
      <c r="M183" s="8" t="n"/>
      <c r="N183" s="8" t="n"/>
      <c r="O183" s="8" t="n"/>
      <c r="P183" s="8" t="n"/>
      <c r="Q183" s="8" t="n"/>
      <c r="R183" s="8" t="n"/>
      <c r="S183" s="8" t="n"/>
    </row>
    <row r="184">
      <c r="B184" s="8">
        <f>IF(C184="","","EV-"&amp;TEXT(ROW()-5,"000"))</f>
        <v/>
      </c>
      <c r="C184" s="8" t="n"/>
      <c r="D184" s="8" t="n"/>
      <c r="E184" s="8" t="n"/>
      <c r="F184" s="8" t="n"/>
      <c r="G184" s="8" t="n"/>
      <c r="H184" s="8" t="n"/>
      <c r="I184" s="8" t="n"/>
      <c r="J184" s="8" t="n"/>
      <c r="K184" s="8" t="n"/>
      <c r="L184" s="8" t="n"/>
      <c r="M184" s="8" t="n"/>
      <c r="N184" s="8" t="n"/>
      <c r="O184" s="8" t="n"/>
      <c r="P184" s="8" t="n"/>
      <c r="Q184" s="8" t="n"/>
      <c r="R184" s="8" t="n"/>
      <c r="S184" s="8" t="n"/>
    </row>
    <row r="185">
      <c r="B185" s="8">
        <f>IF(C185="","","EV-"&amp;TEXT(ROW()-5,"000"))</f>
        <v/>
      </c>
      <c r="C185" s="8" t="n"/>
      <c r="D185" s="8" t="n"/>
      <c r="E185" s="8" t="n"/>
      <c r="F185" s="8" t="n"/>
      <c r="G185" s="8" t="n"/>
      <c r="H185" s="8" t="n"/>
      <c r="I185" s="8" t="n"/>
      <c r="J185" s="8" t="n"/>
      <c r="K185" s="8" t="n"/>
      <c r="L185" s="8" t="n"/>
      <c r="M185" s="8" t="n"/>
      <c r="N185" s="8" t="n"/>
      <c r="O185" s="8" t="n"/>
      <c r="P185" s="8" t="n"/>
      <c r="Q185" s="8" t="n"/>
      <c r="R185" s="8" t="n"/>
      <c r="S185" s="8" t="n"/>
    </row>
    <row r="186">
      <c r="B186" s="8">
        <f>IF(C186="","","EV-"&amp;TEXT(ROW()-5,"000"))</f>
        <v/>
      </c>
      <c r="C186" s="8" t="n"/>
      <c r="D186" s="8" t="n"/>
      <c r="E186" s="8" t="n"/>
      <c r="F186" s="8" t="n"/>
      <c r="G186" s="8" t="n"/>
      <c r="H186" s="8" t="n"/>
      <c r="I186" s="8" t="n"/>
      <c r="J186" s="8" t="n"/>
      <c r="K186" s="8" t="n"/>
      <c r="L186" s="8" t="n"/>
      <c r="M186" s="8" t="n"/>
      <c r="N186" s="8" t="n"/>
      <c r="O186" s="8" t="n"/>
      <c r="P186" s="8" t="n"/>
      <c r="Q186" s="8" t="n"/>
      <c r="R186" s="8" t="n"/>
      <c r="S186" s="8" t="n"/>
    </row>
    <row r="187">
      <c r="B187" s="8">
        <f>IF(C187="","","EV-"&amp;TEXT(ROW()-5,"000"))</f>
        <v/>
      </c>
      <c r="C187" s="8" t="n"/>
      <c r="D187" s="8" t="n"/>
      <c r="E187" s="8" t="n"/>
      <c r="F187" s="8" t="n"/>
      <c r="G187" s="8" t="n"/>
      <c r="H187" s="8" t="n"/>
      <c r="I187" s="8" t="n"/>
      <c r="J187" s="8" t="n"/>
      <c r="K187" s="8" t="n"/>
      <c r="L187" s="8" t="n"/>
      <c r="M187" s="8" t="n"/>
      <c r="N187" s="8" t="n"/>
      <c r="O187" s="8" t="n"/>
      <c r="P187" s="8" t="n"/>
      <c r="Q187" s="8" t="n"/>
      <c r="R187" s="8" t="n"/>
      <c r="S187" s="8" t="n"/>
    </row>
    <row r="188">
      <c r="B188" s="8">
        <f>IF(C188="","","EV-"&amp;TEXT(ROW()-5,"000"))</f>
        <v/>
      </c>
      <c r="C188" s="8" t="n"/>
      <c r="D188" s="8" t="n"/>
      <c r="E188" s="8" t="n"/>
      <c r="F188" s="8" t="n"/>
      <c r="G188" s="8" t="n"/>
      <c r="H188" s="8" t="n"/>
      <c r="I188" s="8" t="n"/>
      <c r="J188" s="8" t="n"/>
      <c r="K188" s="8" t="n"/>
      <c r="L188" s="8" t="n"/>
      <c r="M188" s="8" t="n"/>
      <c r="N188" s="8" t="n"/>
      <c r="O188" s="8" t="n"/>
      <c r="P188" s="8" t="n"/>
      <c r="Q188" s="8" t="n"/>
      <c r="R188" s="8" t="n"/>
      <c r="S188" s="8" t="n"/>
    </row>
    <row r="189">
      <c r="B189" s="8">
        <f>IF(C189="","","EV-"&amp;TEXT(ROW()-5,"000"))</f>
        <v/>
      </c>
      <c r="C189" s="8" t="n"/>
      <c r="D189" s="8" t="n"/>
      <c r="E189" s="8" t="n"/>
      <c r="F189" s="8" t="n"/>
      <c r="G189" s="8" t="n"/>
      <c r="H189" s="8" t="n"/>
      <c r="I189" s="8" t="n"/>
      <c r="J189" s="8" t="n"/>
      <c r="K189" s="8" t="n"/>
      <c r="L189" s="8" t="n"/>
      <c r="M189" s="8" t="n"/>
      <c r="N189" s="8" t="n"/>
      <c r="O189" s="8" t="n"/>
      <c r="P189" s="8" t="n"/>
      <c r="Q189" s="8" t="n"/>
      <c r="R189" s="8" t="n"/>
      <c r="S189" s="8" t="n"/>
    </row>
    <row r="190">
      <c r="B190" s="8">
        <f>IF(C190="","","EV-"&amp;TEXT(ROW()-5,"000"))</f>
        <v/>
      </c>
      <c r="C190" s="8" t="n"/>
      <c r="D190" s="8" t="n"/>
      <c r="E190" s="8" t="n"/>
      <c r="F190" s="8" t="n"/>
      <c r="G190" s="8" t="n"/>
      <c r="H190" s="8" t="n"/>
      <c r="I190" s="8" t="n"/>
      <c r="J190" s="8" t="n"/>
      <c r="K190" s="8" t="n"/>
      <c r="L190" s="8" t="n"/>
      <c r="M190" s="8" t="n"/>
      <c r="N190" s="8" t="n"/>
      <c r="O190" s="8" t="n"/>
      <c r="P190" s="8" t="n"/>
      <c r="Q190" s="8" t="n"/>
      <c r="R190" s="8" t="n"/>
      <c r="S190" s="8" t="n"/>
    </row>
    <row r="191">
      <c r="B191" s="8">
        <f>IF(C191="","","EV-"&amp;TEXT(ROW()-5,"000"))</f>
        <v/>
      </c>
      <c r="C191" s="8" t="n"/>
      <c r="D191" s="8" t="n"/>
      <c r="E191" s="8" t="n"/>
      <c r="F191" s="8" t="n"/>
      <c r="G191" s="8" t="n"/>
      <c r="H191" s="8" t="n"/>
      <c r="I191" s="8" t="n"/>
      <c r="J191" s="8" t="n"/>
      <c r="K191" s="8" t="n"/>
      <c r="L191" s="8" t="n"/>
      <c r="M191" s="8" t="n"/>
      <c r="N191" s="8" t="n"/>
      <c r="O191" s="8" t="n"/>
      <c r="P191" s="8" t="n"/>
      <c r="Q191" s="8" t="n"/>
      <c r="R191" s="8" t="n"/>
      <c r="S191" s="8" t="n"/>
    </row>
    <row r="192">
      <c r="B192" s="8">
        <f>IF(C192="","","EV-"&amp;TEXT(ROW()-5,"000"))</f>
        <v/>
      </c>
      <c r="C192" s="8" t="n"/>
      <c r="D192" s="8" t="n"/>
      <c r="E192" s="8" t="n"/>
      <c r="F192" s="8" t="n"/>
      <c r="G192" s="8" t="n"/>
      <c r="H192" s="8" t="n"/>
      <c r="I192" s="8" t="n"/>
      <c r="J192" s="8" t="n"/>
      <c r="K192" s="8" t="n"/>
      <c r="L192" s="8" t="n"/>
      <c r="M192" s="8" t="n"/>
      <c r="N192" s="8" t="n"/>
      <c r="O192" s="8" t="n"/>
      <c r="P192" s="8" t="n"/>
      <c r="Q192" s="8" t="n"/>
      <c r="R192" s="8" t="n"/>
      <c r="S192" s="8" t="n"/>
    </row>
    <row r="193">
      <c r="B193" s="8">
        <f>IF(C193="","","EV-"&amp;TEXT(ROW()-5,"000"))</f>
        <v/>
      </c>
      <c r="C193" s="8" t="n"/>
      <c r="D193" s="8" t="n"/>
      <c r="E193" s="8" t="n"/>
      <c r="F193" s="8" t="n"/>
      <c r="G193" s="8" t="n"/>
      <c r="H193" s="8" t="n"/>
      <c r="I193" s="8" t="n"/>
      <c r="J193" s="8" t="n"/>
      <c r="K193" s="8" t="n"/>
      <c r="L193" s="8" t="n"/>
      <c r="M193" s="8" t="n"/>
      <c r="N193" s="8" t="n"/>
      <c r="O193" s="8" t="n"/>
      <c r="P193" s="8" t="n"/>
      <c r="Q193" s="8" t="n"/>
      <c r="R193" s="8" t="n"/>
      <c r="S193" s="8" t="n"/>
    </row>
    <row r="194">
      <c r="B194" s="8">
        <f>IF(C194="","","EV-"&amp;TEXT(ROW()-5,"000"))</f>
        <v/>
      </c>
      <c r="C194" s="8" t="n"/>
      <c r="D194" s="8" t="n"/>
      <c r="E194" s="8" t="n"/>
      <c r="F194" s="8" t="n"/>
      <c r="G194" s="8" t="n"/>
      <c r="H194" s="8" t="n"/>
      <c r="I194" s="8" t="n"/>
      <c r="J194" s="8" t="n"/>
      <c r="K194" s="8" t="n"/>
      <c r="L194" s="8" t="n"/>
      <c r="M194" s="8" t="n"/>
      <c r="N194" s="8" t="n"/>
      <c r="O194" s="8" t="n"/>
      <c r="P194" s="8" t="n"/>
      <c r="Q194" s="8" t="n"/>
      <c r="R194" s="8" t="n"/>
      <c r="S194" s="8" t="n"/>
    </row>
    <row r="195">
      <c r="B195" s="8">
        <f>IF(C195="","","EV-"&amp;TEXT(ROW()-5,"000"))</f>
        <v/>
      </c>
      <c r="C195" s="8" t="n"/>
      <c r="D195" s="8" t="n"/>
      <c r="E195" s="8" t="n"/>
      <c r="F195" s="8" t="n"/>
      <c r="G195" s="8" t="n"/>
      <c r="H195" s="8" t="n"/>
      <c r="I195" s="8" t="n"/>
      <c r="J195" s="8" t="n"/>
      <c r="K195" s="8" t="n"/>
      <c r="L195" s="8" t="n"/>
      <c r="M195" s="8" t="n"/>
      <c r="N195" s="8" t="n"/>
      <c r="O195" s="8" t="n"/>
      <c r="P195" s="8" t="n"/>
      <c r="Q195" s="8" t="n"/>
      <c r="R195" s="8" t="n"/>
      <c r="S195" s="8" t="n"/>
    </row>
    <row r="196">
      <c r="B196" s="8">
        <f>IF(C196="","","EV-"&amp;TEXT(ROW()-5,"000"))</f>
        <v/>
      </c>
      <c r="C196" s="8" t="n"/>
      <c r="D196" s="8" t="n"/>
      <c r="E196" s="8" t="n"/>
      <c r="F196" s="8" t="n"/>
      <c r="G196" s="8" t="n"/>
      <c r="H196" s="8" t="n"/>
      <c r="I196" s="8" t="n"/>
      <c r="J196" s="8" t="n"/>
      <c r="K196" s="8" t="n"/>
      <c r="L196" s="8" t="n"/>
      <c r="M196" s="8" t="n"/>
      <c r="N196" s="8" t="n"/>
      <c r="O196" s="8" t="n"/>
      <c r="P196" s="8" t="n"/>
      <c r="Q196" s="8" t="n"/>
      <c r="R196" s="8" t="n"/>
      <c r="S196" s="8" t="n"/>
    </row>
    <row r="197">
      <c r="B197" s="8">
        <f>IF(C197="","","EV-"&amp;TEXT(ROW()-5,"000"))</f>
        <v/>
      </c>
      <c r="C197" s="8" t="n"/>
      <c r="D197" s="8" t="n"/>
      <c r="E197" s="8" t="n"/>
      <c r="F197" s="8" t="n"/>
      <c r="G197" s="8" t="n"/>
      <c r="H197" s="8" t="n"/>
      <c r="I197" s="8" t="n"/>
      <c r="J197" s="8" t="n"/>
      <c r="K197" s="8" t="n"/>
      <c r="L197" s="8" t="n"/>
      <c r="M197" s="8" t="n"/>
      <c r="N197" s="8" t="n"/>
      <c r="O197" s="8" t="n"/>
      <c r="P197" s="8" t="n"/>
      <c r="Q197" s="8" t="n"/>
      <c r="R197" s="8" t="n"/>
      <c r="S197" s="8" t="n"/>
    </row>
    <row r="198">
      <c r="B198" s="8">
        <f>IF(C198="","","EV-"&amp;TEXT(ROW()-5,"000"))</f>
        <v/>
      </c>
      <c r="C198" s="8" t="n"/>
      <c r="D198" s="8" t="n"/>
      <c r="E198" s="8" t="n"/>
      <c r="F198" s="8" t="n"/>
      <c r="G198" s="8" t="n"/>
      <c r="H198" s="8" t="n"/>
      <c r="I198" s="8" t="n"/>
      <c r="J198" s="8" t="n"/>
      <c r="K198" s="8" t="n"/>
      <c r="L198" s="8" t="n"/>
      <c r="M198" s="8" t="n"/>
      <c r="N198" s="8" t="n"/>
      <c r="O198" s="8" t="n"/>
      <c r="P198" s="8" t="n"/>
      <c r="Q198" s="8" t="n"/>
      <c r="R198" s="8" t="n"/>
      <c r="S198" s="8" t="n"/>
    </row>
    <row r="199">
      <c r="B199" s="8">
        <f>IF(C199="","","EV-"&amp;TEXT(ROW()-5,"000"))</f>
        <v/>
      </c>
      <c r="C199" s="8" t="n"/>
      <c r="D199" s="8" t="n"/>
      <c r="E199" s="8" t="n"/>
      <c r="F199" s="8" t="n"/>
      <c r="G199" s="8" t="n"/>
      <c r="H199" s="8" t="n"/>
      <c r="I199" s="8" t="n"/>
      <c r="J199" s="8" t="n"/>
      <c r="K199" s="8" t="n"/>
      <c r="L199" s="8" t="n"/>
      <c r="M199" s="8" t="n"/>
      <c r="N199" s="8" t="n"/>
      <c r="O199" s="8" t="n"/>
      <c r="P199" s="8" t="n"/>
      <c r="Q199" s="8" t="n"/>
      <c r="R199" s="8" t="n"/>
      <c r="S199" s="8" t="n"/>
    </row>
    <row r="200">
      <c r="B200" s="8">
        <f>IF(C200="","","EV-"&amp;TEXT(ROW()-5,"000"))</f>
        <v/>
      </c>
      <c r="C200" s="8" t="n"/>
      <c r="D200" s="8" t="n"/>
      <c r="E200" s="8" t="n"/>
      <c r="F200" s="8" t="n"/>
      <c r="G200" s="8" t="n"/>
      <c r="H200" s="8" t="n"/>
      <c r="I200" s="8" t="n"/>
      <c r="J200" s="8" t="n"/>
      <c r="K200" s="8" t="n"/>
      <c r="L200" s="8" t="n"/>
      <c r="M200" s="8" t="n"/>
      <c r="N200" s="8" t="n"/>
      <c r="O200" s="8" t="n"/>
      <c r="P200" s="8" t="n"/>
      <c r="Q200" s="8" t="n"/>
      <c r="R200" s="8" t="n"/>
      <c r="S200" s="8" t="n"/>
    </row>
    <row r="201">
      <c r="B201" s="8">
        <f>IF(C201="","","EV-"&amp;TEXT(ROW()-5,"000"))</f>
        <v/>
      </c>
      <c r="C201" s="8" t="n"/>
      <c r="D201" s="8" t="n"/>
      <c r="E201" s="8" t="n"/>
      <c r="F201" s="8" t="n"/>
      <c r="G201" s="8" t="n"/>
      <c r="H201" s="8" t="n"/>
      <c r="I201" s="8" t="n"/>
      <c r="J201" s="8" t="n"/>
      <c r="K201" s="8" t="n"/>
      <c r="L201" s="8" t="n"/>
      <c r="M201" s="8" t="n"/>
      <c r="N201" s="8" t="n"/>
      <c r="O201" s="8" t="n"/>
      <c r="P201" s="8" t="n"/>
      <c r="Q201" s="8" t="n"/>
      <c r="R201" s="8" t="n"/>
      <c r="S201" s="8" t="n"/>
    </row>
    <row r="202">
      <c r="B202" s="8">
        <f>IF(C202="","","EV-"&amp;TEXT(ROW()-5,"000"))</f>
        <v/>
      </c>
      <c r="C202" s="8" t="n"/>
      <c r="D202" s="8" t="n"/>
      <c r="E202" s="8" t="n"/>
      <c r="F202" s="8" t="n"/>
      <c r="G202" s="8" t="n"/>
      <c r="H202" s="8" t="n"/>
      <c r="I202" s="8" t="n"/>
      <c r="J202" s="8" t="n"/>
      <c r="K202" s="8" t="n"/>
      <c r="L202" s="8" t="n"/>
      <c r="M202" s="8" t="n"/>
      <c r="N202" s="8" t="n"/>
      <c r="O202" s="8" t="n"/>
      <c r="P202" s="8" t="n"/>
      <c r="Q202" s="8" t="n"/>
      <c r="R202" s="8" t="n"/>
      <c r="S202" s="8" t="n"/>
    </row>
    <row r="203">
      <c r="B203" s="8">
        <f>IF(C203="","","EV-"&amp;TEXT(ROW()-5,"000"))</f>
        <v/>
      </c>
      <c r="C203" s="8" t="n"/>
      <c r="D203" s="8" t="n"/>
      <c r="E203" s="8" t="n"/>
      <c r="F203" s="8" t="n"/>
      <c r="G203" s="8" t="n"/>
      <c r="H203" s="8" t="n"/>
      <c r="I203" s="8" t="n"/>
      <c r="J203" s="8" t="n"/>
      <c r="K203" s="8" t="n"/>
      <c r="L203" s="8" t="n"/>
      <c r="M203" s="8" t="n"/>
      <c r="N203" s="8" t="n"/>
      <c r="O203" s="8" t="n"/>
      <c r="P203" s="8" t="n"/>
      <c r="Q203" s="8" t="n"/>
      <c r="R203" s="8" t="n"/>
      <c r="S203" s="8" t="n"/>
    </row>
    <row r="204">
      <c r="B204" s="8">
        <f>IF(C204="","","EV-"&amp;TEXT(ROW()-5,"000"))</f>
        <v/>
      </c>
      <c r="C204" s="8" t="n"/>
      <c r="D204" s="8" t="n"/>
      <c r="E204" s="8" t="n"/>
      <c r="F204" s="8" t="n"/>
      <c r="G204" s="8" t="n"/>
      <c r="H204" s="8" t="n"/>
      <c r="I204" s="8" t="n"/>
      <c r="J204" s="8" t="n"/>
      <c r="K204" s="8" t="n"/>
      <c r="L204" s="8" t="n"/>
      <c r="M204" s="8" t="n"/>
      <c r="N204" s="8" t="n"/>
      <c r="O204" s="8" t="n"/>
      <c r="P204" s="8" t="n"/>
      <c r="Q204" s="8" t="n"/>
      <c r="R204" s="8" t="n"/>
      <c r="S204" s="8" t="n"/>
    </row>
    <row r="205">
      <c r="B205" s="8">
        <f>IF(C205="","","EV-"&amp;TEXT(ROW()-5,"000"))</f>
        <v/>
      </c>
      <c r="C205" s="8" t="n"/>
      <c r="D205" s="8" t="n"/>
      <c r="E205" s="8" t="n"/>
      <c r="F205" s="8" t="n"/>
      <c r="G205" s="8" t="n"/>
      <c r="H205" s="8" t="n"/>
      <c r="I205" s="8" t="n"/>
      <c r="J205" s="8" t="n"/>
      <c r="K205" s="8" t="n"/>
      <c r="L205" s="8" t="n"/>
      <c r="M205" s="8" t="n"/>
      <c r="N205" s="8" t="n"/>
      <c r="O205" s="8" t="n"/>
      <c r="P205" s="8" t="n"/>
      <c r="Q205" s="8" t="n"/>
      <c r="R205" s="8" t="n"/>
      <c r="S205" s="8" t="n"/>
    </row>
  </sheetData>
  <dataValidations count="2">
    <dataValidation sqref="N6:N205" showDropDown="0" showInputMessage="0" showErrorMessage="0" allowBlank="1" errorTitle="Invalid entry" error="Please select from the dropdown" type="list">
      <formula1>=Lists!$E$2:$E$4</formula1>
    </dataValidation>
    <dataValidation sqref="R6:R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4" customWidth="1" min="1" max="1"/>
    <col width="5" customWidth="1" min="2" max="2"/>
    <col width="12" customWidth="1" min="3" max="3"/>
    <col width="70" customWidth="1" min="4" max="4"/>
    <col width="24" customWidth="1" min="5" max="5"/>
    <col width="18" customWidth="1" min="6" max="6"/>
    <col width="26" customWidth="1" min="7" max="7"/>
    <col width="10" customWidth="1" min="8" max="8"/>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Ref / unit</t>
        </is>
      </c>
      <c r="F4" s="6" t="inlineStr">
        <is>
          <t>Owner</t>
        </is>
      </c>
      <c r="G4" s="6" t="inlineStr">
        <is>
          <t>Proposed action</t>
        </is>
      </c>
      <c r="H4" s="6" t="inlineStr">
        <is>
          <t>Status</t>
        </is>
      </c>
    </row>
    <row r="5">
      <c r="B5" s="8" t="n">
        <v>1</v>
      </c>
      <c r="C5" s="17" t="n">
        <v>46300</v>
      </c>
      <c r="D5" s="8" t="inlineStr">
        <is>
          <t>Climate resilience maturity (CL3(a)) and Estate &amp; infrastructure indicators – confirm owner and request with Gerard.</t>
        </is>
      </c>
      <c r="E5" s="8" t="inlineStr">
        <is>
          <t>CL3(a); EI1(a)–(d)</t>
        </is>
      </c>
      <c r="F5" s="8" t="inlineStr">
        <is>
          <t>Stefanus</t>
        </is>
      </c>
      <c r="G5" s="8" t="inlineStr">
        <is>
          <t>Meet Gerard</t>
        </is>
      </c>
      <c r="H5" s="8" t="inlineStr">
        <is>
          <t>Open</t>
        </is>
      </c>
    </row>
    <row r="6">
      <c r="B6" s="8" t="n">
        <v>2</v>
      </c>
      <c r="C6" s="17" t="n">
        <v>46300</v>
      </c>
      <c r="D6" s="8" t="inlineStr">
        <is>
          <t>Confirm whether CGOP, CDEP and CDSS structures have changed since the 2025 master spreadsheet stakeholder mapping.</t>
        </is>
      </c>
      <c r="E6" s="8" t="inlineStr">
        <is>
          <t>Stakeholder map</t>
        </is>
      </c>
      <c r="F6" s="8" t="inlineStr">
        <is>
          <t>Stefanus</t>
        </is>
      </c>
      <c r="G6" s="8" t="inlineStr">
        <is>
          <t>Confirm with team</t>
        </is>
      </c>
      <c r="H6" s="8" t="inlineStr">
        <is>
          <t>Open</t>
        </is>
      </c>
    </row>
    <row r="7">
      <c r="B7" s="8" t="n">
        <v>3</v>
      </c>
      <c r="C7" s="17" t="n">
        <v>46300</v>
      </c>
      <c r="D7" s="8" t="inlineStr">
        <is>
          <t>Business Services split into CIOG (AI) and ESG (nature &amp; biodiversity, waste &amp; circular economy, part of quant. climate leadership) – confirm contacts.</t>
        </is>
      </c>
      <c r="E7" s="8" t="inlineStr">
        <is>
          <t>CIOG; ESG</t>
        </is>
      </c>
      <c r="F7" s="8" t="inlineStr">
        <is>
          <t>TBC</t>
        </is>
      </c>
      <c r="G7" s="8" t="inlineStr">
        <is>
          <t>Confirm contacts</t>
        </is>
      </c>
      <c r="H7" s="8" t="inlineStr">
        <is>
          <t>Open</t>
        </is>
      </c>
    </row>
    <row r="8">
      <c r="B8" s="8" t="n">
        <v>4</v>
      </c>
      <c r="C8" s="17" t="n">
        <v>46300</v>
      </c>
      <c r="D8" s="8" t="inlineStr">
        <is>
          <t>Procurement sits with CFOG (RP1(a) procurement case studies routed to CFOG – Procurement although the Qual sheet names no stakeholder); estate planning centralised in CI&amp;S – requests issued centrally, not to faculties.</t>
        </is>
      </c>
      <c r="E8" s="8" t="inlineStr">
        <is>
          <t>CFOG; CI&amp;S</t>
        </is>
      </c>
      <c r="F8" s="8" t="inlineStr">
        <is>
          <t>—</t>
        </is>
      </c>
      <c r="G8" s="8" t="inlineStr">
        <is>
          <t>Noted</t>
        </is>
      </c>
      <c r="H8" s="8" t="inlineStr">
        <is>
          <t>Closed</t>
        </is>
      </c>
    </row>
    <row r="9">
      <c r="B9" s="8" t="n">
        <v>5</v>
      </c>
      <c r="C9" s="17" t="n">
        <v>46300</v>
      </c>
      <c r="D9" s="8" t="inlineStr">
        <is>
          <t>Chancellery units and Legal &amp; Risk had SR25 requests but no SR26 qualitative indicator names them – confirm if requests are needed.</t>
        </is>
      </c>
      <c r="E9" s="8" t="inlineStr">
        <is>
          <t>Stakeholder map</t>
        </is>
      </c>
      <c r="F9" s="8" t="inlineStr">
        <is>
          <t>TBC</t>
        </is>
      </c>
      <c r="G9" s="8" t="inlineStr">
        <is>
          <t>Decide</t>
        </is>
      </c>
      <c r="H9" s="8" t="inlineStr">
        <is>
          <t>Open</t>
        </is>
      </c>
    </row>
    <row r="10">
      <c r="B10" s="8" t="n">
        <v>6</v>
      </c>
      <c r="C10" s="17" t="n">
        <v>46300</v>
      </c>
      <c r="D10" s="8" t="inlineStr">
        <is>
          <t>TR2(b) 'Documented progress of strategic initiatives, incl. Impact Accelerators' reuses the TR2(d) case-study wording and has no stakeholder in the Qual sheet – left as-is.</t>
        </is>
      </c>
      <c r="E10" s="8" t="inlineStr">
        <is>
          <t>TR2(b)</t>
        </is>
      </c>
      <c r="F10" s="8" t="inlineStr">
        <is>
          <t>TBC</t>
        </is>
      </c>
      <c r="G10" s="8" t="inlineStr">
        <is>
          <t>Review wording/owner</t>
        </is>
      </c>
      <c r="H10" s="8" t="inlineStr">
        <is>
          <t>Open</t>
        </is>
      </c>
    </row>
    <row r="11">
      <c r="B11" s="8" t="n">
        <v>7</v>
      </c>
      <c r="C11" s="17" t="n">
        <v>46300</v>
      </c>
      <c r="D11" s="8" t="inlineStr">
        <is>
          <t>Several rows in the Qual sheet are quantitative (GHG inventory, intensity, waste, procurement spend %, AUM %, biodiversity metrics) and have no stakeholder – routed to the Databook mapping tab, not requested from units.</t>
        </is>
      </c>
      <c r="E11" s="8" t="inlineStr">
        <is>
          <t>CL1(a)-(b); CL2(b); NB1(a); CE1-2; RP2; RI1(a)</t>
        </is>
      </c>
      <c r="F11" s="8" t="inlineStr">
        <is>
          <t>TBC</t>
        </is>
      </c>
      <c r="G11" s="8" t="inlineStr">
        <is>
          <t>Confirm Databook coverage</t>
        </is>
      </c>
      <c r="H11" s="8" t="inlineStr">
        <is>
          <t>Open</t>
        </is>
      </c>
    </row>
    <row r="12">
      <c r="B12" s="8" t="n">
        <v>8</v>
      </c>
      <c r="C12" s="17" t="n">
        <v>46300</v>
      </c>
      <c r="D12" s="8" t="inlineStr">
        <is>
          <t>Target status rating (Met/Partially met/Not met) retained pending revamp of the traffic-light framework.</t>
        </is>
      </c>
      <c r="E12" s="8" t="inlineStr">
        <is>
          <t>All</t>
        </is>
      </c>
      <c r="F12" s="8" t="inlineStr">
        <is>
          <t>Director, Sustainability</t>
        </is>
      </c>
      <c r="G12" s="8" t="inlineStr">
        <is>
          <t>Update templates once agreed</t>
        </is>
      </c>
      <c r="H12" s="8" t="inlineStr">
        <is>
          <t>Open</t>
        </is>
      </c>
    </row>
    <row r="13">
      <c r="B13" s="8" t="n">
        <v>9</v>
      </c>
      <c r="C13" s="17" t="n">
        <v>46300</v>
      </c>
      <c r="D13" s="8" t="inlineStr">
        <is>
          <t>Due dates are placeholders based on the SR26 approach timeline (stories early Dec; requests due January).</t>
        </is>
      </c>
      <c r="E13" s="8" t="inlineStr">
        <is>
          <t>All</t>
        </is>
      </c>
      <c r="F13" s="8" t="inlineStr">
        <is>
          <t>TBC</t>
        </is>
      </c>
      <c r="G13" s="8" t="inlineStr">
        <is>
          <t>Confirm dates</t>
        </is>
      </c>
      <c r="H13" s="8" t="inlineStr">
        <is>
          <t>Open</t>
        </is>
      </c>
    </row>
    <row r="14">
      <c r="B14" s="8" t="n">
        <v>10</v>
      </c>
      <c r="C14" s="17" t="n">
        <v>46300</v>
      </c>
      <c r="D14" s="8" t="inlineStr">
        <is>
          <t>20 indicators are requested from each faculty (SR25 sent 10). Monitor burden in pilot.</t>
        </is>
      </c>
      <c r="E14" s="8" t="inlineStr">
        <is>
          <t>Faculties</t>
        </is>
      </c>
      <c r="F14" s="8" t="inlineStr">
        <is>
          <t>TBC</t>
        </is>
      </c>
      <c r="G14" s="8" t="inlineStr">
        <is>
          <t>Review after pilot</t>
        </is>
      </c>
      <c r="H14" s="8" t="inlineStr">
        <is>
          <t>Open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2026-10-05T23:51:04Z</dcterms:created>
  <dcterms:modified xmlns:dcterms="http://purl.org/dc/terms/" xmlns:xsi="http://www.w3.org/2001/XMLSchema-instance" xsi:type="dcterms:W3CDTF">2026-10-05T23:51:05Z</dcterms:modified>
</cp:coreProperties>
</file>