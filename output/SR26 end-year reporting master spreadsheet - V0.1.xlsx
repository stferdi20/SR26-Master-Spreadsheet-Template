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 Databook mapping" sheetId="3" state="visible" r:id="rId3"/>
    <sheet xmlns:r="http://schemas.openxmlformats.org/officeDocument/2006/relationships" name="3. Stakeholder map &amp; RASCI" sheetId="4" state="visible" r:id="rId4"/>
    <sheet xmlns:r="http://schemas.openxmlformats.org/officeDocument/2006/relationships" name="4. Request tracker" sheetId="5" state="visible" r:id="rId5"/>
    <sheet xmlns:r="http://schemas.openxmlformats.org/officeDocument/2006/relationships" name="Faculties" sheetId="6" state="visible" r:id="rId6"/>
    <sheet xmlns:r="http://schemas.openxmlformats.org/officeDocument/2006/relationships" name="CI&amp;S" sheetId="7" state="visible" r:id="rId7"/>
    <sheet xmlns:r="http://schemas.openxmlformats.org/officeDocument/2006/relationships" name="CFOG" sheetId="8" state="visible" r:id="rId8"/>
    <sheet xmlns:r="http://schemas.openxmlformats.org/officeDocument/2006/relationships" name="ESG" sheetId="9" state="visible" r:id="rId9"/>
    <sheet xmlns:r="http://schemas.openxmlformats.org/officeDocument/2006/relationships" name="CIOG" sheetId="10" state="visible" r:id="rId10"/>
    <sheet xmlns:r="http://schemas.openxmlformats.org/officeDocument/2006/relationships" name="MRE" sheetId="11" state="visible" r:id="rId11"/>
    <sheet xmlns:r="http://schemas.openxmlformats.org/officeDocument/2006/relationships" name="Highlighted stories" sheetId="12" state="visible" r:id="rId12"/>
    <sheet xmlns:r="http://schemas.openxmlformats.org/officeDocument/2006/relationships" name="Evidence register" sheetId="13" state="visible" r:id="rId13"/>
    <sheet xmlns:r="http://schemas.openxmlformats.org/officeDocument/2006/relationships" name="Issues log" sheetId="14" state="visible" r:id="rId14"/>
    <sheet xmlns:r="http://schemas.openxmlformats.org/officeDocument/2006/relationships" name="Lists" sheetId="15" state="hidden" r:id="rId15"/>
  </sheets>
  <definedNames>
    <definedName name="_xlnm._FilterDatabase" localSheetId="1" hidden="1">'1. Requirements matrix'!$B$5:$Q$53</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14"/>
    </font>
    <font>
      <name val="Aptos"/>
      <b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s>
  <fills count="8">
    <fill>
      <patternFill/>
    </fill>
    <fill>
      <patternFill patternType="gray125"/>
    </fill>
    <fill>
      <patternFill patternType="solid">
        <fgColor rgb="000B3040"/>
      </patternFill>
    </fill>
    <fill>
      <patternFill patternType="solid">
        <fgColor rgb="00C1E4F5"/>
      </patternFill>
    </fill>
    <fill>
      <patternFill patternType="solid">
        <fgColor rgb="00FFC000"/>
      </patternFill>
    </fill>
    <fill>
      <patternFill patternType="solid">
        <fgColor rgb="00FFF2CC"/>
      </patternFill>
    </fill>
    <fill>
      <patternFill patternType="solid">
        <fgColor rgb="00E2EFDA"/>
      </patternFill>
    </fill>
    <fill>
      <patternFill patternType="solid">
        <fgColor rgb="00F2F2F2"/>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8" fillId="5" borderId="1" applyAlignment="1" pivotButton="0" quotePrefix="0" xfId="0">
      <alignment vertical="top" wrapText="1"/>
    </xf>
    <xf numFmtId="0" fontId="10" fillId="0" borderId="0" pivotButton="0" quotePrefix="0" xfId="0"/>
    <xf numFmtId="0" fontId="8" fillId="3" borderId="1" applyAlignment="1" pivotButton="0" quotePrefix="0" xfId="0">
      <alignment vertical="top" wrapText="1"/>
    </xf>
    <xf numFmtId="0" fontId="8" fillId="6" borderId="1" applyAlignment="1" pivotButton="0" quotePrefix="0" xfId="0">
      <alignment horizontal="center" vertical="center" wrapText="1"/>
    </xf>
    <xf numFmtId="0" fontId="8" fillId="0" borderId="1" applyAlignment="1" pivotButton="0" quotePrefix="0" xfId="0">
      <alignment horizontal="center" vertical="center" wrapText="1"/>
    </xf>
    <xf numFmtId="0" fontId="11" fillId="0" borderId="0" pivotButton="0" quotePrefix="0" xfId="0"/>
    <xf numFmtId="9" fontId="0" fillId="0" borderId="0" pivotButton="0" quotePrefix="0" xfId="0"/>
    <xf numFmtId="165" fontId="8" fillId="0" borderId="1" applyAlignment="1" pivotButton="0" quotePrefix="0" xfId="0">
      <alignment vertical="top" wrapText="1"/>
    </xf>
    <xf numFmtId="0" fontId="12" fillId="7" borderId="0" pivotButton="0" quotePrefix="0" xfId="0"/>
    <xf numFmtId="0" fontId="13" fillId="2" borderId="0" applyAlignment="1" pivotButton="0" quotePrefix="0" xfId="0">
      <alignment horizontal="center" vertical="center" wrapText="1"/>
    </xf>
    <xf numFmtId="0" fontId="14" fillId="4" borderId="0" applyAlignment="1" pivotButton="0" quotePrefix="0" xfId="0">
      <alignment horizontal="center" vertical="center" wrapText="1"/>
    </xf>
    <xf numFmtId="0" fontId="16" fillId="4" borderId="1" applyAlignment="1" pivotButton="0" quotePrefix="0" xfId="0">
      <alignment horizontal="center" vertical="center" wrapText="1"/>
    </xf>
    <xf numFmtId="0" fontId="15" fillId="7" borderId="1" applyAlignment="1" pivotButton="0" quotePrefix="0" xfId="0">
      <alignment horizontal="center" vertical="center" wrapText="1"/>
    </xf>
    <xf numFmtId="0" fontId="0" fillId="0" borderId="0" applyAlignment="1" pivotButton="0" quotePrefix="0" xfId="0">
      <alignment vertical="top" wrapText="1"/>
    </xf>
    <xf numFmtId="0" fontId="4" fillId="2" borderId="1" applyAlignment="1" pivotButton="0" quotePrefix="0" xfId="0">
      <alignment horizontal="center" vertical="center" wrapText="1"/>
    </xf>
    <xf numFmtId="0" fontId="8"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1"/>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5 central units (CI&amp;S, CFOG, ESG, CIOG, MRE).</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210" customHeight="1">
      <c r="B8" s="4" t="inlineStr">
        <is>
          <t>Tabs</t>
        </is>
      </c>
      <c r="C8" s="5" t="inlineStr">
        <is>
          <t>1. Requirements matrix – every S2030 qualitative indicator, owner and request
2. Quant – Databook mapping – quantitative indicators to confirm with the Databook/central data owners
3. Stakeholder map &amp; RASCI – SR25 → SR26 unit mapping and who is asked for what
4. Request tracker – sent/chased/received/confirmed status and response rate
Faculties / CI&amp;S / CFOG / ESG / CIOG / MRE – consolidated responses (copy in from returned request workbooks; same layout)
Highlighted stories – consolidated optional stories and case-study shortlist
Evidence register – source, evidence, limitations and owner confirmation for every material claim
Issues log – open questions, TBCs and decisions</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Not changed</t>
        </is>
      </c>
      <c r="C11" s="5" t="inlineStr">
        <is>
          <t>Request wording is taken as-is from the S2030 'Qual' worksheet (Reporting Requirements column); known wording issues are recorded in the Issues log rather than edited.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11" customWidth="1" min="7" max="7"/>
    <col width="50" customWidth="1" min="8" max="8"/>
    <col width="18" customWidth="1" min="9" max="9"/>
    <col width="22" customWidth="1" min="10" max="10"/>
    <col width="40" customWidth="1" min="11" max="11"/>
    <col width="11" customWidth="1" min="12" max="12"/>
    <col width="12" customWidth="1" min="13" max="13"/>
    <col width="30" customWidth="1" min="14" max="14"/>
    <col width="10" customWidth="1" min="15" max="15"/>
    <col width="18" customWidth="1" min="16" max="16"/>
    <col width="12" customWidth="1" min="17" max="17"/>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Qualitative target? (Y/M)</t>
        </is>
      </c>
      <c r="H5" s="6" t="inlineStr">
        <is>
          <t>Reporting requirement</t>
        </is>
      </c>
      <c r="I5" s="6" t="inlineStr">
        <is>
          <t>Key stakeholders (S2030 sheet)</t>
        </is>
      </c>
      <c r="J5" s="6" t="inlineStr">
        <is>
          <t>SR26 request issued to</t>
        </is>
      </c>
      <c r="K5" s="6" t="inlineStr">
        <is>
          <t>Specific projects we are aware of (area &amp; person)</t>
        </is>
      </c>
      <c r="L5" s="6" t="inlineStr">
        <is>
          <t>Internal vs External</t>
        </is>
      </c>
      <c r="M5" s="6" t="inlineStr">
        <is>
          <t>Flag for continuous improvement</t>
        </is>
      </c>
      <c r="N5" s="6" t="inlineStr">
        <is>
          <t>Notes</t>
        </is>
      </c>
      <c r="O5" s="6" t="inlineStr">
        <is>
          <t>Related SR25 ref</t>
        </is>
      </c>
      <c r="P5" s="6" t="inlineStr">
        <is>
          <t>Channel</t>
        </is>
      </c>
      <c r="Q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Y</t>
        </is>
      </c>
      <c r="H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I6" s="8" t="inlineStr">
        <is>
          <t>Faculties, CI&amp;S</t>
        </is>
      </c>
      <c r="J6" s="8" t="inlineStr">
        <is>
          <t>Faculties (pilot), CI&amp;S</t>
        </is>
      </c>
      <c r="K6" s="8" t="inlineStr"/>
      <c r="L6" s="8" t="inlineStr">
        <is>
          <t>Both</t>
        </is>
      </c>
      <c r="M6" s="8" t="inlineStr">
        <is>
          <t>No</t>
        </is>
      </c>
      <c r="N6" s="8" t="inlineStr"/>
      <c r="O6" s="8" t="inlineStr">
        <is>
          <t>4a(ii)</t>
        </is>
      </c>
      <c r="P6" s="8" t="inlineStr">
        <is>
          <t>Tailored request</t>
        </is>
      </c>
      <c r="Q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Y</t>
        </is>
      </c>
      <c r="H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I7" s="8" t="inlineStr">
        <is>
          <t>Faculties, CI&amp;S</t>
        </is>
      </c>
      <c r="J7" s="8" t="inlineStr">
        <is>
          <t>Faculties (pilot), CI&amp;S</t>
        </is>
      </c>
      <c r="K7" s="8" t="inlineStr">
        <is>
          <t>* Living Lab project (case study): Personalising Sustainability Pathways for students - Sustainability Strengths Compass. Project lead: Dianne Vella Brodrick. Funded partly by the Campus Living Lab Accelerator Program (CLLAP) (SST)</t>
        </is>
      </c>
      <c r="L7" s="8" t="inlineStr">
        <is>
          <t>Both</t>
        </is>
      </c>
      <c r="M7" s="8" t="inlineStr">
        <is>
          <t>No</t>
        </is>
      </c>
      <c r="N7" s="8" t="inlineStr"/>
      <c r="O7" s="8" t="inlineStr"/>
      <c r="P7" s="8" t="inlineStr">
        <is>
          <t>Tailored request</t>
        </is>
      </c>
      <c r="Q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Y</t>
        </is>
      </c>
      <c r="H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I8" s="8" t="inlineStr">
        <is>
          <t>Faculties, CI&amp;S</t>
        </is>
      </c>
      <c r="J8" s="8" t="inlineStr">
        <is>
          <t>Faculties (pilot), CI&amp;S</t>
        </is>
      </c>
      <c r="K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L8" s="8" t="inlineStr">
        <is>
          <t>Both</t>
        </is>
      </c>
      <c r="M8" s="8" t="inlineStr">
        <is>
          <t>No</t>
        </is>
      </c>
      <c r="N8" s="8" t="inlineStr"/>
      <c r="O8" s="8" t="inlineStr"/>
      <c r="P8" s="8" t="inlineStr">
        <is>
          <t>Tailored request</t>
        </is>
      </c>
      <c r="Q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Y</t>
        </is>
      </c>
      <c r="H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I9" s="8" t="inlineStr">
        <is>
          <t>Faculties, CI&amp;S</t>
        </is>
      </c>
      <c r="J9" s="8" t="inlineStr">
        <is>
          <t>Faculties (pilot), CI&amp;S</t>
        </is>
      </c>
      <c r="K9" s="8" t="inlineStr"/>
      <c r="L9" s="8" t="inlineStr">
        <is>
          <t>Both</t>
        </is>
      </c>
      <c r="M9" s="8" t="inlineStr">
        <is>
          <t>No</t>
        </is>
      </c>
      <c r="N9" s="8" t="inlineStr"/>
      <c r="O9" s="8" t="inlineStr">
        <is>
          <t>4b(i)</t>
        </is>
      </c>
      <c r="P9" s="8" t="inlineStr">
        <is>
          <t>Tailored request</t>
        </is>
      </c>
      <c r="Q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Y</t>
        </is>
      </c>
      <c r="H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I10" s="8" t="inlineStr">
        <is>
          <t>Faculties, CI&amp;S</t>
        </is>
      </c>
      <c r="J10" s="8" t="inlineStr">
        <is>
          <t>Faculties (pilot), CI&amp;S</t>
        </is>
      </c>
      <c r="K10" s="8" t="inlineStr">
        <is>
          <t>MRE
Campus Living Lab Accelerator Program (CLLAP) case studies (CI&amp;S).
Also Enterprise Services Group - Campus Operations and Delivery (COD) might have collaborations we're not aware of (e.g. Rachael Miller)</t>
        </is>
      </c>
      <c r="L10" s="8" t="inlineStr">
        <is>
          <t>Both</t>
        </is>
      </c>
      <c r="M10" s="8" t="inlineStr">
        <is>
          <t>No</t>
        </is>
      </c>
      <c r="N10" s="8" t="inlineStr"/>
      <c r="O10" s="8" t="inlineStr">
        <is>
          <t>2a</t>
        </is>
      </c>
      <c r="P10" s="8" t="inlineStr">
        <is>
          <t>Tailored request</t>
        </is>
      </c>
      <c r="Q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Y</t>
        </is>
      </c>
      <c r="H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I11" s="8" t="inlineStr">
        <is>
          <t>Faculties</t>
        </is>
      </c>
      <c r="J11" s="8" t="inlineStr">
        <is>
          <t>Faculties (pilot)</t>
        </is>
      </c>
      <c r="K11" s="8" t="inlineStr">
        <is>
          <t>MRE</t>
        </is>
      </c>
      <c r="L11" s="8" t="inlineStr">
        <is>
          <t>Both</t>
        </is>
      </c>
      <c r="M11" s="8" t="inlineStr">
        <is>
          <t>No</t>
        </is>
      </c>
      <c r="N11" s="8" t="inlineStr"/>
      <c r="O11" s="8" t="inlineStr"/>
      <c r="P11" s="8" t="inlineStr">
        <is>
          <t>Tailored request</t>
        </is>
      </c>
      <c r="Q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Y</t>
        </is>
      </c>
      <c r="H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I12" s="8" t="inlineStr">
        <is>
          <t>Faculties</t>
        </is>
      </c>
      <c r="J12" s="8" t="inlineStr">
        <is>
          <t>Faculties (pilot)</t>
        </is>
      </c>
      <c r="K12" s="8" t="inlineStr">
        <is>
          <t>MRE</t>
        </is>
      </c>
      <c r="L12" s="8" t="inlineStr">
        <is>
          <t>Both</t>
        </is>
      </c>
      <c r="M12" s="8" t="inlineStr">
        <is>
          <t>No</t>
        </is>
      </c>
      <c r="N12" s="8" t="inlineStr"/>
      <c r="O12" s="8" t="inlineStr"/>
      <c r="P12" s="8" t="inlineStr">
        <is>
          <t>Tailored request</t>
        </is>
      </c>
      <c r="Q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Y</t>
        </is>
      </c>
      <c r="H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I13" s="8" t="inlineStr">
        <is>
          <t>Faculties</t>
        </is>
      </c>
      <c r="J13" s="8" t="inlineStr">
        <is>
          <t>Faculties (pilot)</t>
        </is>
      </c>
      <c r="K13" s="8" t="inlineStr">
        <is>
          <t>MRE</t>
        </is>
      </c>
      <c r="L13" s="8" t="inlineStr">
        <is>
          <t>Both</t>
        </is>
      </c>
      <c r="M13" s="8" t="inlineStr">
        <is>
          <t>No</t>
        </is>
      </c>
      <c r="N13" s="8" t="inlineStr"/>
      <c r="O13" s="8" t="inlineStr"/>
      <c r="P13" s="8" t="inlineStr">
        <is>
          <t>Tailored request</t>
        </is>
      </c>
      <c r="Q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Y</t>
        </is>
      </c>
      <c r="H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I14" s="8" t="inlineStr">
        <is>
          <t>Faculties</t>
        </is>
      </c>
      <c r="J14" s="8" t="inlineStr">
        <is>
          <t>Faculties (pilot)</t>
        </is>
      </c>
      <c r="K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L14" s="8" t="inlineStr">
        <is>
          <t>Both</t>
        </is>
      </c>
      <c r="M14" s="8" t="inlineStr">
        <is>
          <t>No</t>
        </is>
      </c>
      <c r="N14" s="8" t="inlineStr"/>
      <c r="O14" s="8" t="inlineStr">
        <is>
          <t>5b(i)</t>
        </is>
      </c>
      <c r="P14" s="8" t="inlineStr">
        <is>
          <t>Tailored request</t>
        </is>
      </c>
      <c r="Q14" s="8" t="inlineStr"/>
    </row>
    <row r="15" ht="90" customHeight="1">
      <c r="B15" s="7" t="inlineStr">
        <is>
          <t>TR2(b)</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Documented progress of relevant strategic initiatives, including Impact Accelerators</t>
        </is>
      </c>
      <c r="G15" s="8" t="inlineStr">
        <is>
          <t>Y</t>
        </is>
      </c>
      <c r="H15" s="8"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I15" s="8" t="inlineStr"/>
      <c r="J15" s="8" t="inlineStr">
        <is>
          <t>TBC – no owner identified</t>
        </is>
      </c>
      <c r="K15" s="8" t="inlineStr"/>
      <c r="L15" s="8" t="inlineStr">
        <is>
          <t>Both</t>
        </is>
      </c>
      <c r="M15" s="8" t="inlineStr">
        <is>
          <t>No</t>
        </is>
      </c>
      <c r="N15" s="8" t="inlineStr">
        <is>
          <t>documented progress imply that university have good governance over the management of initiatives and therefore could provide percentage of milestone completion</t>
        </is>
      </c>
      <c r="O15" s="8" t="inlineStr"/>
      <c r="P15" s="8" t="inlineStr">
        <is>
          <t>Databook / central data owner</t>
        </is>
      </c>
      <c r="Q15" s="8" t="inlineStr"/>
    </row>
    <row r="16" ht="90" customHeight="1">
      <c r="B16" s="7" t="inlineStr">
        <is>
          <t>TR2(c)</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Expert-reviewed summary of sustainability-related research outputs, outcomes and influence using available institutional evidence sources</t>
        </is>
      </c>
      <c r="G16" s="8" t="inlineStr">
        <is>
          <t>Y</t>
        </is>
      </c>
      <c r="H16" s="8" t="inlineStr">
        <is>
          <t>currently mapped to the SDGs using SciVal</t>
        </is>
      </c>
      <c r="I16" s="8" t="inlineStr">
        <is>
          <t>MRE</t>
        </is>
      </c>
      <c r="J16" s="8" t="inlineStr">
        <is>
          <t>MRE</t>
        </is>
      </c>
      <c r="K16" s="8" t="inlineStr"/>
      <c r="L16" s="8" t="inlineStr">
        <is>
          <t>Both</t>
        </is>
      </c>
      <c r="M16" s="8" t="inlineStr">
        <is>
          <t>No</t>
        </is>
      </c>
      <c r="N16" s="8" t="inlineStr"/>
      <c r="O16" s="8" t="inlineStr"/>
      <c r="P16" s="8" t="inlineStr">
        <is>
          <t>Tailored request</t>
        </is>
      </c>
      <c r="Q16" s="8" t="inlineStr"/>
    </row>
    <row r="17" ht="90" customHeight="1">
      <c r="B17" s="7" t="inlineStr">
        <is>
          <t>TR2(d)</t>
        </is>
      </c>
      <c r="C17" s="8" t="inlineStr">
        <is>
          <t>Education and research</t>
        </is>
      </c>
      <c r="D17" s="8" t="inlineStr">
        <is>
          <t>Transformational research</t>
        </is>
      </c>
      <c r="E17" s="8" t="inlineStr">
        <is>
          <t>Deliver high-quality research and partnerships that contribute to sustainability outcomes and demonstrable societal benefit.</t>
        </is>
      </c>
      <c r="F17" s="8" t="inlineStr">
        <is>
          <t>Case-based evidence demonstrating how research has contributed to meaningful sustainability outcomes.</t>
        </is>
      </c>
      <c r="G17" s="8" t="inlineStr">
        <is>
          <t>Y</t>
        </is>
      </c>
      <c r="H1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I17" s="8" t="inlineStr">
        <is>
          <t>Faculties, CI&amp;S</t>
        </is>
      </c>
      <c r="J17" s="8" t="inlineStr">
        <is>
          <t>Faculties (pilot), CI&amp;S</t>
        </is>
      </c>
      <c r="K17"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L17" s="8" t="inlineStr">
        <is>
          <t>Both</t>
        </is>
      </c>
      <c r="M17" s="8" t="inlineStr">
        <is>
          <t>No</t>
        </is>
      </c>
      <c r="N17" s="8" t="inlineStr"/>
      <c r="O17" s="8" t="inlineStr">
        <is>
          <t>5b(i)</t>
        </is>
      </c>
      <c r="P17" s="8" t="inlineStr">
        <is>
          <t>Tailored request</t>
        </is>
      </c>
      <c r="Q17" s="8" t="inlineStr"/>
    </row>
    <row r="18" ht="90" customHeight="1">
      <c r="B18" s="7" t="inlineStr">
        <is>
          <t>TR3(a)</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Evidence that sustainability considerations are integrated into relevant research systems, planning processes, guidance, training, induction or support services</t>
        </is>
      </c>
      <c r="G18" s="8" t="inlineStr">
        <is>
          <t>Y</t>
        </is>
      </c>
      <c r="H18" s="8" t="inlineStr">
        <is>
          <t>Please describe how sustainability considerations are integrated into research systems, planning processes, guidance, training, induction or support services within your Faculty/Portfolio, could include examples of any new or improved processes.</t>
        </is>
      </c>
      <c r="I18" s="8" t="inlineStr">
        <is>
          <t>Faculties, CI&amp;S</t>
        </is>
      </c>
      <c r="J18" s="8" t="inlineStr">
        <is>
          <t>Faculties (pilot), CI&amp;S</t>
        </is>
      </c>
      <c r="K18" s="8" t="inlineStr"/>
      <c r="L18" s="8" t="inlineStr">
        <is>
          <t>Both</t>
        </is>
      </c>
      <c r="M18" s="8" t="inlineStr">
        <is>
          <t>No</t>
        </is>
      </c>
      <c r="N18" s="8" t="inlineStr"/>
      <c r="O18" s="8" t="inlineStr">
        <is>
          <t>5c(ii)</t>
        </is>
      </c>
      <c r="P18" s="8" t="inlineStr">
        <is>
          <t>Tailored request</t>
        </is>
      </c>
      <c r="Q18" s="8" t="inlineStr"/>
    </row>
    <row r="19" ht="90" customHeight="1">
      <c r="B19" s="7" t="inlineStr">
        <is>
          <t>TR3(b)</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Demonstrated examples of more sustainable research practices in laboratories, fieldwork, procurement, travel or infrastructure use</t>
        </is>
      </c>
      <c r="G19" s="8" t="inlineStr">
        <is>
          <t>Y</t>
        </is>
      </c>
      <c r="H1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I19" s="8" t="inlineStr">
        <is>
          <t>Faculties, CI&amp;S, CFOG</t>
        </is>
      </c>
      <c r="J19" s="8" t="inlineStr">
        <is>
          <t>Faculties (pilot), CI&amp;S, CFOG</t>
        </is>
      </c>
      <c r="K19" s="8" t="inlineStr"/>
      <c r="L19" s="8" t="inlineStr">
        <is>
          <t>Both</t>
        </is>
      </c>
      <c r="M19" s="8" t="inlineStr">
        <is>
          <t>No</t>
        </is>
      </c>
      <c r="N19" s="8" t="inlineStr"/>
      <c r="O19" s="8" t="inlineStr">
        <is>
          <t>5c(ii)</t>
        </is>
      </c>
      <c r="P19" s="8" t="inlineStr">
        <is>
          <t>Tailored request</t>
        </is>
      </c>
      <c r="Q19" s="8" t="inlineStr"/>
    </row>
    <row r="20" ht="90" customHeight="1">
      <c r="B20" s="7" t="inlineStr">
        <is>
          <t>TR3(c)</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Evidence of progress in sustainability-related research culture, capability and awareness, informed by periodic staff and graduate researcher surveys</t>
        </is>
      </c>
      <c r="G20" s="8" t="inlineStr">
        <is>
          <t>Y</t>
        </is>
      </c>
      <c r="H20"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I20" s="8" t="inlineStr">
        <is>
          <t>Faculties</t>
        </is>
      </c>
      <c r="J20" s="8" t="inlineStr">
        <is>
          <t>Faculties (pilot)</t>
        </is>
      </c>
      <c r="K20" s="8" t="inlineStr">
        <is>
          <t>Melbourne Research and Enterprise (Nishi Raja-Stranger; Ivan Marusic) - MRE will be a key reporter for all research targets.</t>
        </is>
      </c>
      <c r="L20" s="8" t="inlineStr">
        <is>
          <t>Both</t>
        </is>
      </c>
      <c r="M20" s="8" t="inlineStr">
        <is>
          <t>No</t>
        </is>
      </c>
      <c r="N20" s="8" t="inlineStr"/>
      <c r="O20" s="8" t="inlineStr"/>
      <c r="P20" s="8" t="inlineStr">
        <is>
          <t>Tailored request</t>
        </is>
      </c>
      <c r="Q20" s="8" t="inlineStr"/>
    </row>
    <row r="21" ht="90" customHeight="1">
      <c r="B21" s="7" t="inlineStr">
        <is>
          <t>TR3(d)</t>
        </is>
      </c>
      <c r="C21" s="8" t="inlineStr">
        <is>
          <t>Education and research</t>
        </is>
      </c>
      <c r="D21" s="8" t="inlineStr">
        <is>
          <t>Transformational research</t>
        </is>
      </c>
      <c r="E21" s="8" t="inlineStr">
        <is>
          <t>Embed sustainability within research systems, processes, capability and culture, so research is conducted responsibly, efficiently and with reduced environmental impact.</t>
        </is>
      </c>
      <c r="F21" s="8" t="inlineStr">
        <is>
          <t>Expert assessment of progress in embedding sustainable research practices across the institution.</t>
        </is>
      </c>
      <c r="G21" s="8" t="inlineStr">
        <is>
          <t>Y</t>
        </is>
      </c>
      <c r="H21" s="8" t="inlineStr">
        <is>
          <t>Faculty/Portfolio’s assessment of progress in embedding sustainable research practices, highlighting areas of strong progress, remaining gaps and priority actions for further improvement.</t>
        </is>
      </c>
      <c r="I21" s="8" t="inlineStr">
        <is>
          <t>Faculties</t>
        </is>
      </c>
      <c r="J21" s="8" t="inlineStr">
        <is>
          <t>Faculties (pilot)</t>
        </is>
      </c>
      <c r="K21" s="8" t="inlineStr"/>
      <c r="L21" s="8" t="inlineStr">
        <is>
          <t>Both</t>
        </is>
      </c>
      <c r="M21" s="8" t="inlineStr">
        <is>
          <t>No</t>
        </is>
      </c>
      <c r="N21" s="8" t="inlineStr"/>
      <c r="O21" s="8" t="inlineStr"/>
      <c r="P21" s="8" t="inlineStr">
        <is>
          <t>Tailored request</t>
        </is>
      </c>
      <c r="Q21" s="8" t="inlineStr"/>
    </row>
    <row r="22" ht="90" customHeight="1">
      <c r="B22" s="7" t="inlineStr">
        <is>
          <t>CL1(a)</t>
        </is>
      </c>
      <c r="C22" s="8" t="inlineStr">
        <is>
          <t>Sustainability leadership</t>
        </is>
      </c>
      <c r="D22" s="8" t="inlineStr">
        <is>
          <t>Climate leadership</t>
        </is>
      </c>
      <c r="E22"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2" s="8" t="inlineStr">
        <is>
          <t>Annual Greenhouse Gas Inventory (including emissions scopes 1, 2 and 3) demonstrates carbon emission reductions, including maintaining procurement of 100% renewable electricity for all scope 2 sources[1]</t>
        </is>
      </c>
      <c r="G22" s="8" t="inlineStr">
        <is>
          <t>Y</t>
        </is>
      </c>
      <c r="H22" s="8" t="inlineStr">
        <is>
          <t>Total scope 1,2 and 3 emissions (tCO2-e); emissions by scope; % reduction from previous baseline; % renewable electircity produced</t>
        </is>
      </c>
      <c r="I22" s="8" t="inlineStr"/>
      <c r="J22" s="8" t="inlineStr">
        <is>
          <t>TBC – no owner identified</t>
        </is>
      </c>
      <c r="K22" s="8" t="inlineStr"/>
      <c r="L22" s="8" t="inlineStr">
        <is>
          <t>Both</t>
        </is>
      </c>
      <c r="M22" s="8" t="inlineStr">
        <is>
          <t>No</t>
        </is>
      </c>
      <c r="N22" s="8" t="inlineStr">
        <is>
          <t>Directly measures progress against the stated emission reduction targets and allows annual comparison against the baseline and trajectory</t>
        </is>
      </c>
      <c r="O22" s="8" t="inlineStr"/>
      <c r="P22" s="8" t="inlineStr">
        <is>
          <t>Databook / central data owner</t>
        </is>
      </c>
      <c r="Q22" s="8" t="inlineStr"/>
    </row>
    <row r="23" ht="90" customHeight="1">
      <c r="B23" s="7" t="inlineStr">
        <is>
          <t>CL1(b)</t>
        </is>
      </c>
      <c r="C23" s="8" t="inlineStr">
        <is>
          <t>Sustainability leadership</t>
        </is>
      </c>
      <c r="D23" s="8" t="inlineStr">
        <is>
          <t>Climate leadership</t>
        </is>
      </c>
      <c r="E23"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3" s="8" t="inlineStr">
        <is>
          <t>Development of Greenhouse Gas  intensity metrics</t>
        </is>
      </c>
      <c r="G23" s="8" t="inlineStr">
        <is>
          <t>Y</t>
        </is>
      </c>
      <c r="H23" s="8" t="inlineStr">
        <is>
          <t>Greenhouse gas emissions by FTE, EFTSL, and Gross floor area (https://www.unimelb.edu.au/sustainabilityreport/2025/data-tables#GHGe-scope)</t>
        </is>
      </c>
      <c r="I23" s="8" t="inlineStr"/>
      <c r="J23" s="8" t="inlineStr">
        <is>
          <t>TBC – no owner identified</t>
        </is>
      </c>
      <c r="K23" s="8" t="inlineStr"/>
      <c r="L23" s="8" t="inlineStr">
        <is>
          <t>Both</t>
        </is>
      </c>
      <c r="M23" s="8" t="inlineStr">
        <is>
          <t>Yes</t>
        </is>
      </c>
      <c r="N23" s="8" t="inlineStr">
        <is>
          <t>Quantiative indicator</t>
        </is>
      </c>
      <c r="O23" s="8" t="inlineStr"/>
      <c r="P23" s="8" t="inlineStr">
        <is>
          <t>Databook / central data owner</t>
        </is>
      </c>
      <c r="Q23" s="8" t="inlineStr"/>
    </row>
    <row r="24" ht="90" customHeight="1">
      <c r="B24" s="7" t="inlineStr">
        <is>
          <t>CL1(c)</t>
        </is>
      </c>
      <c r="C24" s="8" t="inlineStr">
        <is>
          <t>Sustainability leadership</t>
        </is>
      </c>
      <c r="D24" s="8" t="inlineStr">
        <is>
          <t>Climate leadership</t>
        </is>
      </c>
      <c r="E24"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4" s="8" t="inlineStr">
        <is>
          <t>Review of Climate Leadership targets by 2030.[2]</t>
        </is>
      </c>
      <c r="G24" s="8" t="inlineStr">
        <is>
          <t>M</t>
        </is>
      </c>
      <c r="H24" s="8" t="inlineStr"/>
      <c r="I24" s="8" t="inlineStr">
        <is>
          <t>CI&amp;S</t>
        </is>
      </c>
      <c r="J24" s="8" t="inlineStr">
        <is>
          <t>CI&amp;S</t>
        </is>
      </c>
      <c r="K24" s="8" t="inlineStr"/>
      <c r="L24" s="8" t="inlineStr">
        <is>
          <t>Both</t>
        </is>
      </c>
      <c r="M24" s="8" t="inlineStr">
        <is>
          <t>Yes</t>
        </is>
      </c>
      <c r="N24" s="8" t="inlineStr">
        <is>
          <t>Need to review again on 2030. The climate target itself is still two months old</t>
        </is>
      </c>
      <c r="O24" s="8" t="inlineStr"/>
      <c r="P24" s="8" t="inlineStr">
        <is>
          <t>Tailored request</t>
        </is>
      </c>
      <c r="Q24" s="8" t="inlineStr"/>
    </row>
    <row r="25" ht="90" customHeight="1">
      <c r="B25" s="7" t="inlineStr">
        <is>
          <t>CL2(a)</t>
        </is>
      </c>
      <c r="C25" s="8" t="inlineStr">
        <is>
          <t>Sustainability leadership</t>
        </is>
      </c>
      <c r="D25" s="8" t="inlineStr">
        <is>
          <t>Climate leadership</t>
        </is>
      </c>
      <c r="E25" s="8" t="inlineStr">
        <is>
          <t>Develop understanding of our research and education programs that contribute to accelerating global decarbonisation and our own climate transition.</t>
        </is>
      </c>
      <c r="F25" s="8" t="inlineStr">
        <is>
          <t>By 2028, develop and document institutional mapping of research and education activities that are designed to contribute to global decarbonisation</t>
        </is>
      </c>
      <c r="G25" s="8" t="inlineStr">
        <is>
          <t>M</t>
        </is>
      </c>
      <c r="H2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I25" s="8" t="inlineStr">
        <is>
          <t>Faculties, CI&amp;S</t>
        </is>
      </c>
      <c r="J25" s="8" t="inlineStr">
        <is>
          <t>Faculties (pilot), CI&amp;S</t>
        </is>
      </c>
      <c r="K25" s="8" t="inlineStr"/>
      <c r="L25" s="8" t="inlineStr">
        <is>
          <t>Both</t>
        </is>
      </c>
      <c r="M25" s="8" t="inlineStr">
        <is>
          <t>No</t>
        </is>
      </c>
      <c r="N25" s="8" t="inlineStr"/>
      <c r="O25" s="8" t="inlineStr"/>
      <c r="P25" s="8" t="inlineStr">
        <is>
          <t>Tailored request</t>
        </is>
      </c>
      <c r="Q25" s="8" t="inlineStr"/>
    </row>
    <row r="26" ht="90" customHeight="1">
      <c r="B26" s="7" t="inlineStr">
        <is>
          <t>CL2(b)</t>
        </is>
      </c>
      <c r="C26" s="8" t="inlineStr">
        <is>
          <t>Sustainability leadership</t>
        </is>
      </c>
      <c r="D26" s="8" t="inlineStr">
        <is>
          <t>Climate leadership</t>
        </is>
      </c>
      <c r="E26" s="8" t="inlineStr">
        <is>
          <t>Develop understanding of our research and education programs that contribute to accelerating global decarbonisation and our own climate transition.</t>
        </is>
      </c>
      <c r="F26" s="8" t="inlineStr">
        <is>
          <t>Prioritised pipeline of decarbonisation focused research and education opportunities aligned with University emissions reduction priorities from 2028</t>
        </is>
      </c>
      <c r="G26" s="8" t="inlineStr">
        <is>
          <t>Y</t>
        </is>
      </c>
      <c r="H26" s="8" t="inlineStr">
        <is>
          <t>Number of pipelined projects or research transitioned from opportunity to active per year</t>
        </is>
      </c>
      <c r="I26" s="8" t="inlineStr"/>
      <c r="J26" s="8" t="inlineStr">
        <is>
          <t>TBC – no owner identified</t>
        </is>
      </c>
      <c r="K26" s="8" t="inlineStr"/>
      <c r="L26" s="8" t="inlineStr">
        <is>
          <t>Both</t>
        </is>
      </c>
      <c r="M26" s="8" t="inlineStr">
        <is>
          <t>No</t>
        </is>
      </c>
      <c r="N26" s="8" t="inlineStr">
        <is>
          <t>Pipeline can be quantitatively tracked through volume and progression, but since the target is prioritised pipeline, showing number of sucessful pipeline transitioned is more desirable</t>
        </is>
      </c>
      <c r="O26" s="8" t="inlineStr"/>
      <c r="P26" s="8" t="inlineStr">
        <is>
          <t>Databook / central data owner</t>
        </is>
      </c>
      <c r="Q26" s="8" t="inlineStr"/>
    </row>
    <row r="27" ht="90" customHeight="1">
      <c r="B27" s="7" t="inlineStr">
        <is>
          <t>CL2(c)</t>
        </is>
      </c>
      <c r="C27" s="8" t="inlineStr">
        <is>
          <t>Sustainability leadership</t>
        </is>
      </c>
      <c r="D27" s="8" t="inlineStr">
        <is>
          <t>Climate leadership</t>
        </is>
      </c>
      <c r="E27" s="8" t="inlineStr">
        <is>
          <t>Develop understanding of our research and education programs that contribute to accelerating global decarbonisation and our own climate transition.</t>
        </is>
      </c>
      <c r="F27" s="8" t="inlineStr">
        <is>
          <t>Ongoing communications that evidence the University’s climate action, research and learning to inform policy, sector and community decarbonisation efforts.</t>
        </is>
      </c>
      <c r="G27" s="8" t="inlineStr">
        <is>
          <t>Y</t>
        </is>
      </c>
      <c r="H27" s="8" t="inlineStr">
        <is>
          <t>List and describe communications from the faculty in terms of climate action, research and learning to inform policy, sector and community decarbonisation efforts</t>
        </is>
      </c>
      <c r="I27" s="8" t="inlineStr">
        <is>
          <t>Faculties,</t>
        </is>
      </c>
      <c r="J27" s="8" t="inlineStr">
        <is>
          <t>Faculties (pilot)</t>
        </is>
      </c>
      <c r="K27" s="8" t="inlineStr"/>
      <c r="L27" s="8" t="inlineStr">
        <is>
          <t>Both</t>
        </is>
      </c>
      <c r="M27" s="8" t="inlineStr">
        <is>
          <t>No</t>
        </is>
      </c>
      <c r="N27" s="8" t="inlineStr"/>
      <c r="O27" s="8" t="inlineStr"/>
      <c r="P27" s="8" t="inlineStr">
        <is>
          <t>Tailored request</t>
        </is>
      </c>
      <c r="Q27" s="8" t="inlineStr"/>
    </row>
    <row r="28" ht="90" customHeight="1">
      <c r="B28" s="7" t="inlineStr">
        <is>
          <t>CL3(a)</t>
        </is>
      </c>
      <c r="C28" s="8" t="inlineStr">
        <is>
          <t>Sustainability leadership</t>
        </is>
      </c>
      <c r="D28" s="8" t="inlineStr">
        <is>
          <t>Climate leadership</t>
        </is>
      </c>
      <c r="E28" s="8" t="inlineStr">
        <is>
          <t>Reach and maintain high levels of climate-change resilience maturity</t>
        </is>
      </c>
      <c r="F28"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8" s="8" t="inlineStr">
        <is>
          <t>M</t>
        </is>
      </c>
      <c r="H28" s="8" t="inlineStr">
        <is>
          <t>Provide update of University maturity assesment. Include maturity ratings, key gaps and priority improvement actions.when available</t>
        </is>
      </c>
      <c r="I28" s="8" t="inlineStr">
        <is>
          <t>CI&amp;S</t>
        </is>
      </c>
      <c r="J28" s="8" t="inlineStr">
        <is>
          <t>CI&amp;S</t>
        </is>
      </c>
      <c r="K28" s="8" t="inlineStr"/>
      <c r="L28" s="8" t="inlineStr">
        <is>
          <t>Both</t>
        </is>
      </c>
      <c r="M28" s="8" t="inlineStr">
        <is>
          <t>No</t>
        </is>
      </c>
      <c r="N28" s="8" t="inlineStr">
        <is>
          <t>Could check with Gerard. Gerard is the one who manage this indicator</t>
        </is>
      </c>
      <c r="O28" s="8" t="inlineStr"/>
      <c r="P28" s="8" t="inlineStr">
        <is>
          <t>Tailored request</t>
        </is>
      </c>
      <c r="Q28" s="8" t="inlineStr"/>
    </row>
    <row r="29" ht="90" customHeight="1">
      <c r="B29" s="7" t="inlineStr">
        <is>
          <t>NB1(a)</t>
        </is>
      </c>
      <c r="C29" s="8" t="inlineStr">
        <is>
          <t>Sustainability leadership</t>
        </is>
      </c>
      <c r="D29" s="8" t="inlineStr">
        <is>
          <t>Nature and biodiversity</t>
        </is>
      </c>
      <c r="E29" s="8" t="inlineStr">
        <is>
          <t>Achieve an increase of biodiversity relative to defined baseline years for each campus.</t>
        </is>
      </c>
      <c r="F29" s="8" t="inlineStr">
        <is>
          <t>Monitoring of biodiversity metrics from the Biodiversity Baseline Data Project</t>
        </is>
      </c>
      <c r="G29" s="8" t="inlineStr">
        <is>
          <t>Y</t>
        </is>
      </c>
      <c r="H29" s="8" t="inlineStr">
        <is>
          <t>7 diversity metrics from https://sustainablecampus.unimelb.edu.au/biodiversity/biodiversity-baseline-data-project#main-content</t>
        </is>
      </c>
      <c r="I29" s="8" t="inlineStr"/>
      <c r="J29" s="8" t="inlineStr">
        <is>
          <t>TBC – no owner identified</t>
        </is>
      </c>
      <c r="K29" s="8" t="inlineStr"/>
      <c r="L29" s="8" t="inlineStr">
        <is>
          <t>Both</t>
        </is>
      </c>
      <c r="M29" s="8" t="inlineStr">
        <is>
          <t>No</t>
        </is>
      </c>
      <c r="N29" s="8" t="inlineStr">
        <is>
          <t>Quantitative indicator</t>
        </is>
      </c>
      <c r="O29" s="8" t="inlineStr"/>
      <c r="P29" s="8" t="inlineStr">
        <is>
          <t>Databook / central data owner</t>
        </is>
      </c>
      <c r="Q29" s="8" t="inlineStr"/>
    </row>
    <row r="30" ht="90" customHeight="1">
      <c r="B30" s="7" t="inlineStr">
        <is>
          <t>NB1(b)</t>
        </is>
      </c>
      <c r="C30" s="8" t="inlineStr">
        <is>
          <t>Sustainability leadership</t>
        </is>
      </c>
      <c r="D30" s="8" t="inlineStr">
        <is>
          <t>Nature and biodiversity</t>
        </is>
      </c>
      <c r="E30" s="8" t="inlineStr">
        <is>
          <t>Achieve an increase of biodiversity relative to defined baseline years for each campus.</t>
        </is>
      </c>
      <c r="F30" s="8" t="inlineStr">
        <is>
          <t>Size, health and diversity of remnant vegetation at the Dookie and Creswick campuses</t>
        </is>
      </c>
      <c r="G30" s="8" t="inlineStr">
        <is>
          <t>Y</t>
        </is>
      </c>
      <c r="H30" s="8" t="inlineStr"/>
      <c r="I30" s="8" t="inlineStr">
        <is>
          <t>Rachel</t>
        </is>
      </c>
      <c r="J30" s="8" t="inlineStr">
        <is>
          <t>ESG</t>
        </is>
      </c>
      <c r="K30" s="8" t="inlineStr"/>
      <c r="L30" s="8" t="inlineStr">
        <is>
          <t>Internal</t>
        </is>
      </c>
      <c r="M30" s="8" t="inlineStr">
        <is>
          <t>No</t>
        </is>
      </c>
      <c r="N30" s="8" t="inlineStr">
        <is>
          <t>Havent been previously disclose publicly</t>
        </is>
      </c>
      <c r="O30" s="8" t="inlineStr"/>
      <c r="P30" s="8" t="inlineStr">
        <is>
          <t>Tailored request</t>
        </is>
      </c>
      <c r="Q30" s="8" t="inlineStr"/>
    </row>
    <row r="31" ht="90" customHeight="1">
      <c r="B31" s="7" t="inlineStr">
        <is>
          <t>NB1(c)</t>
        </is>
      </c>
      <c r="C31" s="8" t="inlineStr">
        <is>
          <t>Sustainability leadership</t>
        </is>
      </c>
      <c r="D31" s="8" t="inlineStr">
        <is>
          <t>Nature and biodiversity</t>
        </is>
      </c>
      <c r="E31" s="8" t="inlineStr">
        <is>
          <t>Achieve an increase of biodiversity relative to defined baseline years for each campus.</t>
        </is>
      </c>
      <c r="F31" s="8" t="inlineStr">
        <is>
          <t>Defined quality measurement framework</t>
        </is>
      </c>
      <c r="G31" s="8" t="inlineStr">
        <is>
          <t>M</t>
        </is>
      </c>
      <c r="H31" s="8" t="inlineStr"/>
      <c r="I31" s="8" t="inlineStr">
        <is>
          <t>ESG</t>
        </is>
      </c>
      <c r="J31" s="8" t="inlineStr">
        <is>
          <t>ESG</t>
        </is>
      </c>
      <c r="K31" s="8" t="inlineStr"/>
      <c r="L31" s="8" t="inlineStr">
        <is>
          <t>Both</t>
        </is>
      </c>
      <c r="M31" s="8" t="inlineStr">
        <is>
          <t>No</t>
        </is>
      </c>
      <c r="N31" s="8" t="inlineStr">
        <is>
          <t>Follow up with Rachel</t>
        </is>
      </c>
      <c r="O31" s="8" t="inlineStr"/>
      <c r="P31" s="8" t="inlineStr">
        <is>
          <t>Tailored request</t>
        </is>
      </c>
      <c r="Q31" s="8" t="inlineStr"/>
    </row>
    <row r="32" ht="90" customHeight="1">
      <c r="B32" s="7" t="inlineStr">
        <is>
          <t>NB1(d)</t>
        </is>
      </c>
      <c r="C32" s="8" t="inlineStr">
        <is>
          <t>Sustainability leadership</t>
        </is>
      </c>
      <c r="D32" s="8" t="inlineStr">
        <is>
          <t>Nature and biodiversity</t>
        </is>
      </c>
      <c r="E32" s="8" t="inlineStr">
        <is>
          <t>Achieve an increase of biodiversity relative to defined baseline years for each campus.</t>
        </is>
      </c>
      <c r="F32" s="8" t="inlineStr">
        <is>
          <t>Defined and quantified campus connectivity</t>
        </is>
      </c>
      <c r="G32" s="8" t="inlineStr">
        <is>
          <t>M</t>
        </is>
      </c>
      <c r="H32" s="8" t="inlineStr">
        <is>
          <t>Please provide the current definition and quantified assessment of campus ecological connectivity, could include the methodology used, campuses covered, baseline or benchmark values, and any material change over the reporting period.</t>
        </is>
      </c>
      <c r="I32" s="8" t="inlineStr">
        <is>
          <t>ESG</t>
        </is>
      </c>
      <c r="J32" s="8" t="inlineStr">
        <is>
          <t>ESG</t>
        </is>
      </c>
      <c r="K32" s="8" t="inlineStr"/>
      <c r="L32" s="8" t="inlineStr">
        <is>
          <t>Both</t>
        </is>
      </c>
      <c r="M32" s="8" t="inlineStr">
        <is>
          <t>No</t>
        </is>
      </c>
      <c r="N32" s="8" t="inlineStr"/>
      <c r="O32" s="8" t="inlineStr"/>
      <c r="P32" s="8" t="inlineStr">
        <is>
          <t>Tailored request</t>
        </is>
      </c>
      <c r="Q32" s="8" t="inlineStr"/>
    </row>
    <row r="33" ht="90" customHeight="1">
      <c r="B33" s="7" t="inlineStr">
        <is>
          <t>NB2(a)</t>
        </is>
      </c>
      <c r="C33" s="8" t="inlineStr">
        <is>
          <t>Sustainability leadership</t>
        </is>
      </c>
      <c r="D33" s="8" t="inlineStr">
        <is>
          <t>Nature and biodiversity</t>
        </is>
      </c>
      <c r="E33" s="8" t="inlineStr">
        <is>
          <t>Improve our understanding of our supply chain impacts on nature.</t>
        </is>
      </c>
      <c r="F33" s="8" t="inlineStr">
        <is>
          <t>Documented baseline nature footprint analysis</t>
        </is>
      </c>
      <c r="G33" s="8" t="inlineStr">
        <is>
          <t>Y</t>
        </is>
      </c>
      <c r="H33" s="8" t="inlineStr">
        <is>
          <t>Impact Encore Measurement</t>
        </is>
      </c>
      <c r="I33" s="8" t="inlineStr">
        <is>
          <t>MBI</t>
        </is>
      </c>
      <c r="J33" s="8" t="inlineStr">
        <is>
          <t>MRE</t>
        </is>
      </c>
      <c r="K33" s="8" t="inlineStr"/>
      <c r="L33" s="8" t="inlineStr">
        <is>
          <t>Both</t>
        </is>
      </c>
      <c r="M33" s="8" t="inlineStr">
        <is>
          <t>No</t>
        </is>
      </c>
      <c r="N33" s="8" t="inlineStr"/>
      <c r="O33" s="8" t="inlineStr"/>
      <c r="P33" s="8" t="inlineStr">
        <is>
          <t>Tailored request</t>
        </is>
      </c>
      <c r="Q33" s="8" t="inlineStr"/>
    </row>
    <row r="34" ht="90" customHeight="1">
      <c r="B34" s="7" t="inlineStr">
        <is>
          <t>NB2(b)</t>
        </is>
      </c>
      <c r="C34" s="8" t="inlineStr">
        <is>
          <t>Sustainability leadership</t>
        </is>
      </c>
      <c r="D34" s="8" t="inlineStr">
        <is>
          <t>Nature and biodiversity</t>
        </is>
      </c>
      <c r="E34" s="8" t="inlineStr">
        <is>
          <t>Improve our understanding of our supply chain impacts on nature.</t>
        </is>
      </c>
      <c r="F34" s="8" t="inlineStr">
        <is>
          <t>Evidence of established framework to monitor and track supply-chain nature impacts over time</t>
        </is>
      </c>
      <c r="G34" s="8" t="inlineStr">
        <is>
          <t>M</t>
        </is>
      </c>
      <c r="H34" s="8" t="inlineStr">
        <is>
          <t>Please describe the framework established to monitor and track supply-chain impacts on nature over time, could include metrics, data sources, governance/ownership, reporting frequency and current implementation status.</t>
        </is>
      </c>
      <c r="I34" s="8" t="inlineStr">
        <is>
          <t>ESG</t>
        </is>
      </c>
      <c r="J34" s="8" t="inlineStr">
        <is>
          <t>ESG</t>
        </is>
      </c>
      <c r="K34" s="8" t="inlineStr">
        <is>
          <t>Melbourne Biodiversity Institute (MBI) - Brendan Wintle and August Wylynko</t>
        </is>
      </c>
      <c r="L34" s="8" t="inlineStr">
        <is>
          <t>Both</t>
        </is>
      </c>
      <c r="M34" s="8" t="inlineStr">
        <is>
          <t>No</t>
        </is>
      </c>
      <c r="N34" s="8" t="inlineStr"/>
      <c r="O34" s="8" t="inlineStr"/>
      <c r="P34" s="8" t="inlineStr">
        <is>
          <t>Tailored request</t>
        </is>
      </c>
      <c r="Q34" s="8" t="inlineStr"/>
    </row>
    <row r="35" ht="90" customHeight="1">
      <c r="B35" s="7" t="inlineStr">
        <is>
          <t>NB2(c)</t>
        </is>
      </c>
      <c r="C35" s="8" t="inlineStr">
        <is>
          <t>Sustainability leadership</t>
        </is>
      </c>
      <c r="D35" s="8" t="inlineStr">
        <is>
          <t>Nature and biodiversity</t>
        </is>
      </c>
      <c r="E35" s="8" t="inlineStr">
        <is>
          <t>Improve our understanding of our supply chain impacts on nature.</t>
        </is>
      </c>
      <c r="F35" s="8" t="inlineStr">
        <is>
          <t>Evidence of prioritised high risk procurement categories or suppliers for nature impact management</t>
        </is>
      </c>
      <c r="G35" s="8" t="inlineStr">
        <is>
          <t>M</t>
        </is>
      </c>
      <c r="H35" s="8" t="inlineStr">
        <is>
          <t>Please provide the prioritised high-risk procurement categories and/or suppliers identified for nature-impact management, could include the basis for prioritisation and any risk-management, engagement or mitigation actions undertaken or planned.</t>
        </is>
      </c>
      <c r="I35" s="8" t="inlineStr">
        <is>
          <t>ESG, CFOG</t>
        </is>
      </c>
      <c r="J35" s="8" t="inlineStr">
        <is>
          <t>CFOG, ESG</t>
        </is>
      </c>
      <c r="K35" s="8" t="inlineStr">
        <is>
          <t>MBI</t>
        </is>
      </c>
      <c r="L35" s="8" t="inlineStr">
        <is>
          <t>Both</t>
        </is>
      </c>
      <c r="M35" s="8" t="inlineStr">
        <is>
          <t>No</t>
        </is>
      </c>
      <c r="N35" s="8" t="inlineStr"/>
      <c r="O35" s="8" t="inlineStr"/>
      <c r="P35" s="8" t="inlineStr">
        <is>
          <t>Tailored request</t>
        </is>
      </c>
      <c r="Q35" s="8" t="inlineStr"/>
    </row>
    <row r="36" ht="90" customHeight="1">
      <c r="B36" s="7" t="inlineStr">
        <is>
          <t>AI1(a)</t>
        </is>
      </c>
      <c r="C36" s="8" t="inlineStr">
        <is>
          <t>Sustainability leadership</t>
        </is>
      </c>
      <c r="D36" s="8" t="inlineStr">
        <is>
          <t>Responsible AI</t>
        </is>
      </c>
      <c r="E36" s="8" t="inlineStr">
        <is>
          <t>Improve understanding of our sustainability-related risks and opportunities of AI technologies by 2028.</t>
        </is>
      </c>
      <c r="F36" s="8" t="inlineStr">
        <is>
          <t>Established measurement of estimated operational impacts and opportunities (eg operational impacts could include energy, water, emissions and intensity measures)</t>
        </is>
      </c>
      <c r="G36" s="8" t="inlineStr">
        <is>
          <t>M</t>
        </is>
      </c>
      <c r="H36" s="8" t="inlineStr"/>
      <c r="I36" s="8" t="inlineStr">
        <is>
          <t>CI&amp;S, CIOG</t>
        </is>
      </c>
      <c r="J36" s="8" t="inlineStr">
        <is>
          <t>CI&amp;S, CIOG</t>
        </is>
      </c>
      <c r="K36" s="8" t="inlineStr"/>
      <c r="L36" s="8" t="inlineStr">
        <is>
          <t>Both</t>
        </is>
      </c>
      <c r="M36" s="8" t="inlineStr">
        <is>
          <t>Yes</t>
        </is>
      </c>
      <c r="N36" s="8" t="inlineStr">
        <is>
          <t>Rose &amp; Sally currently actively managing this target and indicator. High level overview on 2026, will work on the detailed measurement next year</t>
        </is>
      </c>
      <c r="O36" s="8" t="inlineStr"/>
      <c r="P36" s="8" t="inlineStr">
        <is>
          <t>Tailored request</t>
        </is>
      </c>
      <c r="Q36" s="8" t="inlineStr"/>
    </row>
    <row r="37" ht="90" customHeight="1">
      <c r="B37" s="7" t="inlineStr">
        <is>
          <t>AI1(b)</t>
        </is>
      </c>
      <c r="C37" s="8" t="inlineStr">
        <is>
          <t>Sustainability leadership</t>
        </is>
      </c>
      <c r="D37" s="8" t="inlineStr">
        <is>
          <t>Responsible AI</t>
        </is>
      </c>
      <c r="E37" s="8" t="inlineStr">
        <is>
          <t>Improve understanding of our sustainability-related risks and opportunities of AI technologies by 2028.</t>
        </is>
      </c>
      <c r="F37" s="8" t="inlineStr">
        <is>
          <t>Case studies of sustainability and AI-related education, research and collaboration activities.</t>
        </is>
      </c>
      <c r="G37" s="8" t="inlineStr">
        <is>
          <t>Y</t>
        </is>
      </c>
      <c r="H37" s="8" t="inlineStr">
        <is>
          <t>Please provide case studies from your Faculty/Portfolio of sustainability and AI-related education, research or collaboration activities, describing the activity, participants or partners, sustainability issue addressed and key outcomes or lessons.</t>
        </is>
      </c>
      <c r="I37" s="8" t="inlineStr">
        <is>
          <t>CI&amp;S, CIOG</t>
        </is>
      </c>
      <c r="J37" s="8" t="inlineStr">
        <is>
          <t>CI&amp;S, CIOG</t>
        </is>
      </c>
      <c r="K37" s="8" t="inlineStr">
        <is>
          <t>AI Steering Committee - developing AI roadmap, which includes responsible AI as a key pillar.</t>
        </is>
      </c>
      <c r="L37" s="8" t="inlineStr">
        <is>
          <t>Both</t>
        </is>
      </c>
      <c r="M37" s="8" t="inlineStr">
        <is>
          <t>No</t>
        </is>
      </c>
      <c r="N37" s="8" t="inlineStr"/>
      <c r="O37" s="8" t="inlineStr"/>
      <c r="P37" s="8" t="inlineStr">
        <is>
          <t>Tailored request</t>
        </is>
      </c>
      <c r="Q37" s="8" t="inlineStr"/>
    </row>
    <row r="38" ht="90" customHeight="1">
      <c r="B38" s="7" t="inlineStr">
        <is>
          <t>EI1(a)</t>
        </is>
      </c>
      <c r="C38" s="8" t="inlineStr">
        <is>
          <t>Resilient University</t>
        </is>
      </c>
      <c r="D38" s="8" t="inlineStr">
        <is>
          <t>Estate and infrastructure</t>
        </is>
      </c>
      <c r="E38" s="8" t="inlineStr">
        <is>
          <t>Integrate environmental sustainability in the way that the University achieves strategic and operational objectives for our estate and infrastructure.</t>
        </is>
      </c>
      <c r="F38" s="8" t="inlineStr">
        <is>
          <t>Evidence of increased maturity of estate and infrastructure planning, development and operations to support the other priority areas in Sustainability 2030</t>
        </is>
      </c>
      <c r="G38" s="8" t="inlineStr">
        <is>
          <t>Y</t>
        </is>
      </c>
      <c r="H38"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I38" s="8" t="inlineStr">
        <is>
          <t>CI&amp;S</t>
        </is>
      </c>
      <c r="J38" s="8" t="inlineStr">
        <is>
          <t>CI&amp;S</t>
        </is>
      </c>
      <c r="K38" s="8" t="inlineStr">
        <is>
          <t>CI&amp;S - Estate Planning and Development teams</t>
        </is>
      </c>
      <c r="L38" s="8" t="inlineStr">
        <is>
          <t>Both</t>
        </is>
      </c>
      <c r="M38" s="8" t="inlineStr">
        <is>
          <t>No</t>
        </is>
      </c>
      <c r="N38" s="8" t="inlineStr">
        <is>
          <t>Facilitated by Gerard</t>
        </is>
      </c>
      <c r="O38" s="8" t="inlineStr"/>
      <c r="P38" s="8" t="inlineStr">
        <is>
          <t>Tailored request</t>
        </is>
      </c>
      <c r="Q38" s="8" t="inlineStr"/>
    </row>
    <row r="39" ht="90" customHeight="1">
      <c r="B39" s="7" t="inlineStr">
        <is>
          <t>EI1(b)</t>
        </is>
      </c>
      <c r="C39" s="8" t="inlineStr">
        <is>
          <t>Resilient University</t>
        </is>
      </c>
      <c r="D39" s="8" t="inlineStr">
        <is>
          <t>Estate and infrastructure</t>
        </is>
      </c>
      <c r="E39" s="8" t="inlineStr">
        <is>
          <t>Integrate environmental sustainability in the way that the University achieves strategic and operational objectives for our estate and infrastructure.</t>
        </is>
      </c>
      <c r="F39" s="8" t="inlineStr">
        <is>
          <t>Estimated sustainability impacts of the University’s estate and infrastructure capital plan to inform progress towards emissions reduction targets and other priority areas (to the extent enabled by available information)</t>
        </is>
      </c>
      <c r="G39" s="8" t="inlineStr">
        <is>
          <t>Y</t>
        </is>
      </c>
      <c r="H39"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I39" s="8" t="inlineStr">
        <is>
          <t>CI&amp;S</t>
        </is>
      </c>
      <c r="J39" s="8" t="inlineStr">
        <is>
          <t>CI&amp;S</t>
        </is>
      </c>
      <c r="K39" s="8" t="inlineStr">
        <is>
          <t>CI&amp;S - Estate Planning and Development teams</t>
        </is>
      </c>
      <c r="L39" s="8" t="inlineStr">
        <is>
          <t>Both</t>
        </is>
      </c>
      <c r="M39" s="8" t="inlineStr">
        <is>
          <t>No</t>
        </is>
      </c>
      <c r="N39" s="8" t="inlineStr"/>
      <c r="O39" s="8" t="inlineStr"/>
      <c r="P39" s="8" t="inlineStr">
        <is>
          <t>Tailored request</t>
        </is>
      </c>
      <c r="Q39" s="8" t="inlineStr"/>
    </row>
    <row r="40" ht="90" customHeight="1">
      <c r="B40" s="7" t="inlineStr">
        <is>
          <t>EI1(c)</t>
        </is>
      </c>
      <c r="C40" s="8" t="inlineStr">
        <is>
          <t>Resilient University</t>
        </is>
      </c>
      <c r="D40" s="8" t="inlineStr">
        <is>
          <t>Estate and infrastructure</t>
        </is>
      </c>
      <c r="E40" s="8" t="inlineStr">
        <is>
          <t>Integrate environmental sustainability in the way that the University achieves strategic and operational objectives for our estate and infrastructure.</t>
        </is>
      </c>
      <c r="F40" s="8" t="inlineStr">
        <is>
          <t>Reporting on relevant activities and impacts for the University’s major estate and infrastructure projects and programs aligned with the other priority areas in Sustainability 2030</t>
        </is>
      </c>
      <c r="G40" s="8" t="inlineStr">
        <is>
          <t>Y</t>
        </is>
      </c>
      <c r="H40"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I40" s="8" t="inlineStr">
        <is>
          <t>CI&amp;S</t>
        </is>
      </c>
      <c r="J40" s="8" t="inlineStr">
        <is>
          <t>CI&amp;S</t>
        </is>
      </c>
      <c r="K40" s="8" t="inlineStr">
        <is>
          <t>CI&amp;S - Estate Planning and Development teams</t>
        </is>
      </c>
      <c r="L40" s="8" t="inlineStr">
        <is>
          <t>Both</t>
        </is>
      </c>
      <c r="M40" s="8" t="inlineStr">
        <is>
          <t>No</t>
        </is>
      </c>
      <c r="N40" s="8" t="inlineStr"/>
      <c r="O40" s="8" t="inlineStr"/>
      <c r="P40" s="8" t="inlineStr">
        <is>
          <t>Tailored request</t>
        </is>
      </c>
      <c r="Q40" s="8" t="inlineStr"/>
    </row>
    <row r="41" ht="90" customHeight="1">
      <c r="B41" s="7" t="inlineStr">
        <is>
          <t>EI1(d)</t>
        </is>
      </c>
      <c r="C41" s="8" t="inlineStr">
        <is>
          <t>Resilient University</t>
        </is>
      </c>
      <c r="D41" s="8" t="inlineStr">
        <is>
          <t>Estate and infrastructure</t>
        </is>
      </c>
      <c r="E41" s="8" t="inlineStr">
        <is>
          <t>Integrate environmental sustainability in the way that the University achieves strategic and operational objectives for our estate and infrastructure.</t>
        </is>
      </c>
      <c r="F41" s="8" t="inlineStr">
        <is>
          <t>Evidence of understanding and integration of Indigenous approaches to sustainability in estate planning and development programs and projects.</t>
        </is>
      </c>
      <c r="G41" s="8" t="inlineStr">
        <is>
          <t>Y</t>
        </is>
      </c>
      <c r="H41"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I41" s="8" t="inlineStr">
        <is>
          <t>CI&amp;S</t>
        </is>
      </c>
      <c r="J41" s="8" t="inlineStr">
        <is>
          <t>CI&amp;S</t>
        </is>
      </c>
      <c r="K41" s="8" t="inlineStr">
        <is>
          <t>CI&amp;S - Estate Planning and Development teams</t>
        </is>
      </c>
      <c r="L41" s="8" t="inlineStr">
        <is>
          <t>Both</t>
        </is>
      </c>
      <c r="M41" s="8" t="inlineStr">
        <is>
          <t>No</t>
        </is>
      </c>
      <c r="N41" s="8" t="inlineStr"/>
      <c r="O41" s="8" t="inlineStr"/>
      <c r="P41" s="8" t="inlineStr">
        <is>
          <t>Tailored request</t>
        </is>
      </c>
      <c r="Q41" s="8" t="inlineStr"/>
    </row>
    <row r="42" ht="90" customHeight="1">
      <c r="B42" s="7" t="inlineStr">
        <is>
          <t>CE1(a)</t>
        </is>
      </c>
      <c r="C42" s="8" t="inlineStr">
        <is>
          <t>Resilient University</t>
        </is>
      </c>
      <c r="D42" s="8" t="inlineStr">
        <is>
          <t>Circular economy</t>
        </is>
      </c>
      <c r="E42" s="8" t="inlineStr">
        <is>
          <t>Reduce waste to landfill by 10% by CY2030 on the CY2025 baseline.</t>
        </is>
      </c>
      <c r="F42" s="8" t="inlineStr">
        <is>
          <t>Comparison of year-to-year tonnes of waste (absolute).</t>
        </is>
      </c>
      <c r="G42" s="8" t="inlineStr">
        <is>
          <t>Y</t>
        </is>
      </c>
      <c r="H42" s="8" t="inlineStr">
        <is>
          <t>tonnes of waste; % change against previous baseline</t>
        </is>
      </c>
      <c r="I42" s="8" t="inlineStr"/>
      <c r="J42" s="8" t="inlineStr">
        <is>
          <t>TBC – no owner identified</t>
        </is>
      </c>
      <c r="K42" s="8" t="inlineStr"/>
      <c r="L42" s="8" t="inlineStr">
        <is>
          <t>Both</t>
        </is>
      </c>
      <c r="M42" s="8" t="inlineStr">
        <is>
          <t>No</t>
        </is>
      </c>
      <c r="N42" s="8" t="inlineStr">
        <is>
          <t>Quantitative indicator</t>
        </is>
      </c>
      <c r="O42" s="8" t="inlineStr"/>
      <c r="P42" s="8" t="inlineStr">
        <is>
          <t>Databook / central data owner</t>
        </is>
      </c>
      <c r="Q42" s="8" t="inlineStr"/>
    </row>
    <row r="43" ht="90" customHeight="1">
      <c r="B43" s="7" t="inlineStr">
        <is>
          <t>CE2(a)</t>
        </is>
      </c>
      <c r="C43" s="8" t="inlineStr">
        <is>
          <t>Resilient University</t>
        </is>
      </c>
      <c r="D43" s="8" t="inlineStr">
        <is>
          <t>Circular economy</t>
        </is>
      </c>
      <c r="E43" s="8" t="inlineStr">
        <is>
          <t>Increase diversion of recyclable materials from landfill by 10% by CY2030 on the CY2025 baseline.</t>
        </is>
      </c>
      <c r="F43" s="8" t="inlineStr">
        <is>
          <t>Comparison of year-to-year tonnes of recyclables (absolute).</t>
        </is>
      </c>
      <c r="G43" s="8" t="inlineStr">
        <is>
          <t>Y</t>
        </is>
      </c>
      <c r="H43" s="8" t="inlineStr">
        <is>
          <t>waste diversion rate; tonnes diverted from landfill; % change against previous baseline</t>
        </is>
      </c>
      <c r="I43" s="8" t="inlineStr"/>
      <c r="J43" s="8" t="inlineStr">
        <is>
          <t>TBC – no owner identified</t>
        </is>
      </c>
      <c r="K43" s="8" t="inlineStr"/>
      <c r="L43" s="8" t="inlineStr">
        <is>
          <t>Both</t>
        </is>
      </c>
      <c r="M43" s="8" t="inlineStr">
        <is>
          <t>No</t>
        </is>
      </c>
      <c r="N43" s="8" t="inlineStr">
        <is>
          <t>Quantitative indicator</t>
        </is>
      </c>
      <c r="O43" s="8" t="inlineStr"/>
      <c r="P43" s="8" t="inlineStr">
        <is>
          <t>Databook / central data owner</t>
        </is>
      </c>
      <c r="Q43" s="8" t="inlineStr"/>
    </row>
    <row r="44" ht="90" customHeight="1">
      <c r="B44" s="7" t="inlineStr">
        <is>
          <t>RP1(a)</t>
        </is>
      </c>
      <c r="C44" s="8" t="inlineStr">
        <is>
          <t>Resilient University</t>
        </is>
      </c>
      <c r="D44" s="8" t="inlineStr">
        <is>
          <t>Responsible procurement</t>
        </is>
      </c>
      <c r="E44" s="8" t="inlineStr">
        <is>
          <t>Strengthen our ethical and sustainable procurement approach.</t>
        </is>
      </c>
      <c r="F44" s="8" t="inlineStr">
        <is>
          <t>Case studies of maturity improvement related to responsible procurement process and systems.</t>
        </is>
      </c>
      <c r="G44" s="8" t="inlineStr">
        <is>
          <t>Y</t>
        </is>
      </c>
      <c r="H44" s="8" t="inlineStr">
        <is>
          <t>Maturity score if framework established; % procurement staff trained</t>
        </is>
      </c>
      <c r="I44" s="8" t="inlineStr"/>
      <c r="J44" s="8" t="inlineStr">
        <is>
          <t>CFOG</t>
        </is>
      </c>
      <c r="K44" s="8" t="inlineStr"/>
      <c r="L44" s="8" t="inlineStr">
        <is>
          <t>Both</t>
        </is>
      </c>
      <c r="M44" s="8" t="inlineStr">
        <is>
          <t>No</t>
        </is>
      </c>
      <c r="N44" s="8" t="inlineStr">
        <is>
          <t>Quantitative metrics could support qualitative case studies to demonstrate system/process improvements</t>
        </is>
      </c>
      <c r="O44" s="8" t="inlineStr"/>
      <c r="P44" s="8" t="inlineStr">
        <is>
          <t>Tailored request</t>
        </is>
      </c>
      <c r="Q44" s="8" t="inlineStr"/>
    </row>
    <row r="45" ht="90" customHeight="1">
      <c r="B45" s="7" t="inlineStr">
        <is>
          <t>RP2(a)</t>
        </is>
      </c>
      <c r="C45" s="8" t="inlineStr">
        <is>
          <t>Resilient University</t>
        </is>
      </c>
      <c r="D45" s="8" t="inlineStr">
        <is>
          <t>Responsible procurement</t>
        </is>
      </c>
      <c r="E45" s="8" t="inlineStr">
        <is>
          <t>Increase our Indigenous and social spend, reaching 3% Indigenous and 1% social spend of addressable procurement by 2030.</t>
        </is>
      </c>
      <c r="F45" s="8" t="inlineStr">
        <is>
          <t>Percentage of Indigenous spend of total addressable procurement spend</t>
        </is>
      </c>
      <c r="G45" s="8" t="inlineStr">
        <is>
          <t>Y</t>
        </is>
      </c>
      <c r="H45" s="8" t="inlineStr">
        <is>
          <t>Percentage of Indigenous spend of total addressable procurement spend</t>
        </is>
      </c>
      <c r="I45" s="8" t="inlineStr"/>
      <c r="J45" s="8" t="inlineStr">
        <is>
          <t>TBC – no owner identified</t>
        </is>
      </c>
      <c r="K45" s="8" t="inlineStr"/>
      <c r="L45" s="8" t="inlineStr">
        <is>
          <t>Both</t>
        </is>
      </c>
      <c r="M45" s="8" t="inlineStr">
        <is>
          <t>No</t>
        </is>
      </c>
      <c r="N45" s="8" t="inlineStr">
        <is>
          <t>Quantitative indicator</t>
        </is>
      </c>
      <c r="O45" s="8" t="inlineStr"/>
      <c r="P45" s="8" t="inlineStr">
        <is>
          <t>Databook / central data owner</t>
        </is>
      </c>
      <c r="Q45" s="8" t="inlineStr"/>
    </row>
    <row r="46" ht="90" customHeight="1">
      <c r="B46" s="7" t="inlineStr">
        <is>
          <t>RP2(b)</t>
        </is>
      </c>
      <c r="C46" s="8" t="inlineStr">
        <is>
          <t>Resilient University</t>
        </is>
      </c>
      <c r="D46" s="8" t="inlineStr">
        <is>
          <t>Responsible procurement</t>
        </is>
      </c>
      <c r="E46" s="8" t="inlineStr">
        <is>
          <t>Increase our Indigenous and social spend, reaching 3% Indigenous and 1% social spend of addressable procurement by 2030.</t>
        </is>
      </c>
      <c r="F46" s="8" t="inlineStr">
        <is>
          <t>Percentage of social spend of total addressable procurement spend.</t>
        </is>
      </c>
      <c r="G46" s="8" t="inlineStr">
        <is>
          <t>Y</t>
        </is>
      </c>
      <c r="H46" s="8" t="inlineStr">
        <is>
          <t>Percentage of social spend of total addressable procurement spend.</t>
        </is>
      </c>
      <c r="I46" s="8" t="inlineStr"/>
      <c r="J46" s="8" t="inlineStr">
        <is>
          <t>TBC – no owner identified</t>
        </is>
      </c>
      <c r="K46" s="8" t="inlineStr"/>
      <c r="L46" s="8" t="inlineStr">
        <is>
          <t>Both</t>
        </is>
      </c>
      <c r="M46" s="8" t="inlineStr">
        <is>
          <t>No</t>
        </is>
      </c>
      <c r="N46" s="8" t="inlineStr">
        <is>
          <t>Quantitative indicator</t>
        </is>
      </c>
      <c r="O46" s="8" t="inlineStr"/>
      <c r="P46" s="8" t="inlineStr">
        <is>
          <t>Databook / central data owner</t>
        </is>
      </c>
      <c r="Q46" s="8" t="inlineStr"/>
    </row>
    <row r="47" ht="90" customHeight="1">
      <c r="B47" s="7" t="inlineStr">
        <is>
          <t>MS1(a)</t>
        </is>
      </c>
      <c r="C47" s="8" t="inlineStr">
        <is>
          <t>Resilient University</t>
        </is>
      </c>
      <c r="D47" s="8" t="inlineStr">
        <is>
          <t>Modern slavery and human rights</t>
        </is>
      </c>
      <c r="E47" s="8" t="inlineStr">
        <is>
          <t>Manage our approach to modern slavery and human rights-related risks and opportunities.</t>
        </is>
      </c>
      <c r="F47" s="8" t="inlineStr">
        <is>
          <t>Annual progress reporting via the Modern Slavery Statement</t>
        </is>
      </c>
      <c r="G47" s="8" t="inlineStr">
        <is>
          <t>M</t>
        </is>
      </c>
      <c r="H47" s="8" t="inlineStr">
        <is>
          <t>Annual Modern Slavery Statement, with case studies</t>
        </is>
      </c>
      <c r="I47" s="8" t="inlineStr">
        <is>
          <t>CFOG, CI&amp;S</t>
        </is>
      </c>
      <c r="J47" s="8" t="inlineStr">
        <is>
          <t>CI&amp;S, CFOG</t>
        </is>
      </c>
      <c r="K47" s="8" t="inlineStr">
        <is>
          <t>CFOG - Procurement; Modern Slavery Working Group (existing).</t>
        </is>
      </c>
      <c r="L47" s="8" t="inlineStr">
        <is>
          <t>External</t>
        </is>
      </c>
      <c r="M47" s="8" t="inlineStr">
        <is>
          <t>No</t>
        </is>
      </c>
      <c r="N47" s="8" t="inlineStr"/>
      <c r="O47" s="8" t="inlineStr"/>
      <c r="P47" s="8" t="inlineStr">
        <is>
          <t>Tailored request</t>
        </is>
      </c>
      <c r="Q47" s="8" t="inlineStr"/>
    </row>
    <row r="48" ht="90" customHeight="1">
      <c r="B48" s="7" t="inlineStr">
        <is>
          <t>RI1(a)</t>
        </is>
      </c>
      <c r="C48" s="8" t="inlineStr">
        <is>
          <t>Resilient University</t>
        </is>
      </c>
      <c r="D48" s="8" t="inlineStr">
        <is>
          <t>Responsible investments</t>
        </is>
      </c>
      <c r="E48" s="8" t="inlineStr">
        <is>
          <t>Achieve net zero financed emissions for the University’s investment portfolio by 2050.</t>
        </is>
      </c>
      <c r="F48" s="8" t="inlineStr">
        <is>
          <t>Annual monitoring and reporting on the investment portfolio’s net zero transition progress, including tracking the percentage of assets under management (AUM) managed by investment managers aligned with (or committed to) net zero by 2050</t>
        </is>
      </c>
      <c r="G48" s="8" t="inlineStr">
        <is>
          <t>Y</t>
        </is>
      </c>
      <c r="H48" s="8" t="inlineStr">
        <is>
          <t>Percentage of AUM managed by investment managers aligned with net zero by 2050</t>
        </is>
      </c>
      <c r="I48" s="8" t="inlineStr"/>
      <c r="J48" s="8" t="inlineStr">
        <is>
          <t>TBC – no owner identified</t>
        </is>
      </c>
      <c r="K48" s="8" t="inlineStr"/>
      <c r="L48" s="8" t="inlineStr">
        <is>
          <t>Both</t>
        </is>
      </c>
      <c r="M48" s="8" t="inlineStr">
        <is>
          <t>No</t>
        </is>
      </c>
      <c r="N48" s="8" t="inlineStr">
        <is>
          <t>Quantitative indicator</t>
        </is>
      </c>
      <c r="O48" s="8" t="inlineStr"/>
      <c r="P48" s="8" t="inlineStr">
        <is>
          <t>Databook / central data owner</t>
        </is>
      </c>
      <c r="Q48" s="8" t="inlineStr"/>
    </row>
    <row r="49" ht="90" customHeight="1">
      <c r="B49" s="7" t="inlineStr">
        <is>
          <t>RI1(b)</t>
        </is>
      </c>
      <c r="C49" s="8" t="inlineStr">
        <is>
          <t>Resilient University</t>
        </is>
      </c>
      <c r="D49" s="8" t="inlineStr">
        <is>
          <t>Responsible investments</t>
        </is>
      </c>
      <c r="E49" s="8" t="inlineStr">
        <is>
          <t>Achieve net zero financed emissions for the University’s investment portfolio by 2050.</t>
        </is>
      </c>
      <c r="F49" s="8" t="inlineStr">
        <is>
          <t>Continuous improvement of the reporting of the University’s sustainability-related investment profile metrics, could include investment in climate mitigation and transition solutions, and compliance with related obligations (eg UNPRI).</t>
        </is>
      </c>
      <c r="G49" s="8" t="inlineStr">
        <is>
          <t>Y</t>
        </is>
      </c>
      <c r="H49" s="8" t="inlineStr">
        <is>
          <t>Report on relevant sustainability-related investment portfolio metrics and report on how the University has complied with its related obligations</t>
        </is>
      </c>
      <c r="I49" s="8" t="inlineStr">
        <is>
          <t>CFOG, CI&amp;S</t>
        </is>
      </c>
      <c r="J49" s="8" t="inlineStr">
        <is>
          <t>CI&amp;S, CFOG</t>
        </is>
      </c>
      <c r="K49" s="8" t="inlineStr"/>
      <c r="L49" s="8" t="inlineStr">
        <is>
          <t>Both</t>
        </is>
      </c>
      <c r="M49" s="8" t="inlineStr">
        <is>
          <t>No</t>
        </is>
      </c>
      <c r="N49" s="8" t="inlineStr"/>
      <c r="O49" s="8" t="inlineStr"/>
      <c r="P49" s="8" t="inlineStr">
        <is>
          <t>Tailored request</t>
        </is>
      </c>
      <c r="Q49" s="8" t="inlineStr"/>
    </row>
    <row r="50" ht="90" customHeight="1">
      <c r="B50" s="7" t="inlineStr">
        <is>
          <t>EN1(a)</t>
        </is>
      </c>
      <c r="C50" s="8" t="inlineStr">
        <is>
          <t>Enablers</t>
        </is>
      </c>
      <c r="D50" s="8" t="inlineStr">
        <is>
          <t>Enablers</t>
        </is>
      </c>
      <c r="E50" s="8" t="inlineStr">
        <is>
          <t>Enablers</t>
        </is>
      </c>
      <c r="F50" s="8" t="inlineStr">
        <is>
          <t>Evidence of sustainability outcomes informed by Indigenous knowledges</t>
        </is>
      </c>
      <c r="G50" s="8" t="inlineStr">
        <is>
          <t>Y</t>
        </is>
      </c>
      <c r="H5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I50" s="8" t="inlineStr">
        <is>
          <t>Faculties</t>
        </is>
      </c>
      <c r="J50" s="8" t="inlineStr">
        <is>
          <t>Faculties (pilot)</t>
        </is>
      </c>
      <c r="K50" s="8" t="inlineStr">
        <is>
          <t>For discussion - it would be good to chat about the nuances of this one</t>
        </is>
      </c>
      <c r="L50" s="8" t="inlineStr">
        <is>
          <t>Both</t>
        </is>
      </c>
      <c r="M50" s="8" t="inlineStr">
        <is>
          <t>No</t>
        </is>
      </c>
      <c r="N50" s="8" t="inlineStr"/>
      <c r="O50" s="8" t="inlineStr">
        <is>
          <t>6a</t>
        </is>
      </c>
      <c r="P50" s="8" t="inlineStr">
        <is>
          <t>Tailored request</t>
        </is>
      </c>
      <c r="Q50" s="8" t="inlineStr"/>
    </row>
    <row r="51" ht="90" customHeight="1">
      <c r="B51" s="7" t="inlineStr">
        <is>
          <t>EN1(b)</t>
        </is>
      </c>
      <c r="C51" s="8" t="inlineStr">
        <is>
          <t>Enablers</t>
        </is>
      </c>
      <c r="D51" s="8" t="inlineStr">
        <is>
          <t>Enablers</t>
        </is>
      </c>
      <c r="E51" s="8" t="inlineStr">
        <is>
          <t>Enablers</t>
        </is>
      </c>
      <c r="F51" s="8" t="inlineStr">
        <is>
          <t>Living laboratories enabling applied learning, research and operational sustainability outcomes</t>
        </is>
      </c>
      <c r="G51" s="8" t="inlineStr">
        <is>
          <t>Y</t>
        </is>
      </c>
      <c r="H51" s="8" t="inlineStr">
        <is>
          <t>Comment on living labs in the Faculty - outputs, outcomes, and impact</t>
        </is>
      </c>
      <c r="I51" s="8" t="inlineStr">
        <is>
          <t>Faculties, CI&amp;S</t>
        </is>
      </c>
      <c r="J51" s="8" t="inlineStr">
        <is>
          <t>Faculties (pilot), CI&amp;S</t>
        </is>
      </c>
      <c r="K51" s="8" t="inlineStr">
        <is>
          <t>SST is a key data owner: Can report on projects and outcomes from the Campus Living Lab Accelerator Program. Also will gather case studies from individual projects (4)</t>
        </is>
      </c>
      <c r="L51" s="8" t="inlineStr">
        <is>
          <t>Both</t>
        </is>
      </c>
      <c r="M51" s="8" t="inlineStr">
        <is>
          <t>No</t>
        </is>
      </c>
      <c r="N51" s="8" t="inlineStr"/>
      <c r="O51" s="8" t="inlineStr">
        <is>
          <t>2a</t>
        </is>
      </c>
      <c r="P51" s="8" t="inlineStr">
        <is>
          <t>Tailored request</t>
        </is>
      </c>
      <c r="Q51" s="8" t="inlineStr"/>
    </row>
    <row r="52" ht="90" customHeight="1">
      <c r="B52" s="7" t="inlineStr">
        <is>
          <t>EN1(c)</t>
        </is>
      </c>
      <c r="C52" s="8" t="inlineStr">
        <is>
          <t>Enablers</t>
        </is>
      </c>
      <c r="D52" s="8" t="inlineStr">
        <is>
          <t>Enablers</t>
        </is>
      </c>
      <c r="E52" s="8" t="inlineStr">
        <is>
          <t>Enablers</t>
        </is>
      </c>
      <c r="F52" s="8" t="inlineStr">
        <is>
          <t>Coordinated internal engagement and external partnerships contributing to delivery of sustainability outcomes across priority areas.</t>
        </is>
      </c>
      <c r="G52" s="8" t="inlineStr">
        <is>
          <t>Y</t>
        </is>
      </c>
      <c r="H5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I52" s="8" t="inlineStr">
        <is>
          <t>Faculties, CIOG, CFOG, CI&amp;S, ESG</t>
        </is>
      </c>
      <c r="J52" s="8" t="inlineStr">
        <is>
          <t>Faculties (pilot), CI&amp;S, CFOG, ESG, CIOG</t>
        </is>
      </c>
      <c r="K5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L52" s="8" t="inlineStr">
        <is>
          <t>Both</t>
        </is>
      </c>
      <c r="M52" s="8" t="inlineStr">
        <is>
          <t>No</t>
        </is>
      </c>
      <c r="N52" s="8" t="inlineStr"/>
      <c r="O52" s="8" t="inlineStr">
        <is>
          <t>3a(ii)</t>
        </is>
      </c>
      <c r="P52" s="8" t="inlineStr">
        <is>
          <t>Tailored request</t>
        </is>
      </c>
      <c r="Q52" s="8" t="inlineStr"/>
    </row>
    <row r="53" ht="90" customHeight="1">
      <c r="B53" s="7" t="inlineStr">
        <is>
          <t>EN1(d)</t>
        </is>
      </c>
      <c r="C53" s="8" t="inlineStr">
        <is>
          <t>Enablers</t>
        </is>
      </c>
      <c r="D53" s="8" t="inlineStr">
        <is>
          <t>Enablers</t>
        </is>
      </c>
      <c r="E53" s="8" t="inlineStr">
        <is>
          <t>Enablers</t>
        </is>
      </c>
      <c r="F53" s="8" t="inlineStr">
        <is>
          <t>Sustainability objectives integrated into governance and decision‑making processes, supported by transparent reporting.</t>
        </is>
      </c>
      <c r="G53" s="8" t="inlineStr">
        <is>
          <t>Y</t>
        </is>
      </c>
      <c r="H5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I53" s="8" t="inlineStr">
        <is>
          <t>Faculties, CIOG, CFOG, CI&amp;S, ESG</t>
        </is>
      </c>
      <c r="J53" s="8" t="inlineStr">
        <is>
          <t>Faculties (pilot), CI&amp;S, CFOG, ESG, CIOG</t>
        </is>
      </c>
      <c r="K53" s="8" t="inlineStr">
        <is>
          <t>Reporting working group set up - talking about potential alignment with ASRS in future. Collaboration of SST, FBE (Accounting) and the Finance team in CFOG. Sally is the key contact for more info.</t>
        </is>
      </c>
      <c r="L53" s="8" t="inlineStr">
        <is>
          <t>Both</t>
        </is>
      </c>
      <c r="M53" s="8" t="inlineStr">
        <is>
          <t>No</t>
        </is>
      </c>
      <c r="N53" s="8" t="inlineStr"/>
      <c r="O53" s="8" t="inlineStr"/>
      <c r="P53" s="8" t="inlineStr">
        <is>
          <t>Tailored request</t>
        </is>
      </c>
      <c r="Q53" s="8" t="inlineStr"/>
    </row>
  </sheetData>
  <autoFilter ref="B5:Q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0" customWidth="1" min="4" max="4"/>
    <col width="9" customWidth="1" min="5" max="5"/>
    <col width="40" customWidth="1" min="6" max="6"/>
    <col width="18" customWidth="1" min="7" max="7"/>
    <col width="11" customWidth="1" min="8" max="8"/>
    <col width="36" customWidth="1" min="9" max="9"/>
    <col width="12" customWidth="1" min="10" max="10"/>
    <col width="24" customWidth="1" min="11" max="11"/>
    <col width="18" customWidth="1" min="12" max="12"/>
    <col width="12" customWidth="1" min="13" max="13"/>
    <col width="18" customWidth="1" min="14" max="14"/>
    <col width="14" customWidth="1" min="15" max="15"/>
    <col width="26" customWidth="1" min="16" max="16"/>
    <col width="18" customWidth="1" min="17" max="17"/>
    <col width="12" customWidth="1" min="18" max="18"/>
    <col width="14" customWidth="1" min="19" max="19"/>
  </cols>
  <sheetData>
    <row r="1">
      <c r="A1" s="1" t="inlineStr">
        <is>
          <t>↑</t>
        </is>
      </c>
      <c r="B1" s="2" t="inlineStr">
        <is>
          <t>End-2026 target status assessment and reporting</t>
        </is>
      </c>
    </row>
    <row r="2">
      <c r="B2" s="3" t="inlineStr">
        <is>
          <t>2. Quantitative indicators – Databook mapping</t>
        </is>
      </c>
    </row>
    <row r="3">
      <c r="B3" s="9" t="inlineStr">
        <is>
          <t>Databook is the authoritative quantitative source – confirm coverage first and only request data separately where an indicator is not covered. Per the SR26 approach: map Sep–Oct; confirm provisional data in January; finalise by February.</t>
        </is>
      </c>
    </row>
    <row r="5">
      <c r="B5" s="6" t="inlineStr">
        <is>
          <t>Ref</t>
        </is>
      </c>
      <c r="C5" s="6" t="inlineStr">
        <is>
          <t>Priority area</t>
        </is>
      </c>
      <c r="D5" s="6" t="inlineStr">
        <is>
          <t>Indicator</t>
        </is>
      </c>
      <c r="E5" s="6" t="inlineStr">
        <is>
          <t>Quant? (Y/M)</t>
        </is>
      </c>
      <c r="F5" s="6" t="inlineStr">
        <is>
          <t>Suggested metric</t>
        </is>
      </c>
      <c r="G5" s="6" t="inlineStr">
        <is>
          <t>Key person to follow up</t>
        </is>
      </c>
      <c r="H5" s="6" t="inlineStr">
        <is>
          <t>Internal vs External</t>
        </is>
      </c>
      <c r="I5" s="6" t="inlineStr">
        <is>
          <t>Analysis notes</t>
        </is>
      </c>
      <c r="J5" s="6" t="inlineStr">
        <is>
          <t>Covered by Databook?</t>
        </is>
      </c>
      <c r="K5" s="6" t="inlineStr">
        <is>
          <t>Definition</t>
        </is>
      </c>
      <c r="L5" s="6" t="inlineStr">
        <is>
          <t>Reporting boundary</t>
        </is>
      </c>
      <c r="M5" s="6" t="inlineStr">
        <is>
          <t>Period</t>
        </is>
      </c>
      <c r="N5" s="6" t="inlineStr">
        <is>
          <t>Source system</t>
        </is>
      </c>
      <c r="O5" s="6" t="inlineStr">
        <is>
          <t>End-2026 figure</t>
        </is>
      </c>
      <c r="P5" s="6" t="inlineStr">
        <is>
          <t>Quality note / limitations</t>
        </is>
      </c>
      <c r="Q5" s="6" t="inlineStr">
        <is>
          <t>Data owner</t>
        </is>
      </c>
      <c r="R5" s="6" t="inlineStr">
        <is>
          <t>Owner confirmed?</t>
        </is>
      </c>
      <c r="S5" s="6" t="inlineStr">
        <is>
          <t>Confirmation date</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t>
        </is>
      </c>
      <c r="F6" s="8" t="inlineStr">
        <is>
          <t>Number of experiential learning projects; number of participating students</t>
        </is>
      </c>
      <c r="G6" s="8" t="inlineStr"/>
      <c r="H6" s="8" t="inlineStr">
        <is>
          <t>Both</t>
        </is>
      </c>
      <c r="I6" s="8" t="inlineStr">
        <is>
          <t>Quantitative metrics could help shows the reach of projects, especially the student metrics</t>
        </is>
      </c>
      <c r="J6" s="10" t="inlineStr"/>
      <c r="K6" s="10" t="inlineStr"/>
      <c r="L6" s="10" t="inlineStr"/>
      <c r="M6" s="10" t="inlineStr"/>
      <c r="N6" s="10" t="inlineStr"/>
      <c r="O6" s="10" t="inlineStr"/>
      <c r="P6" s="10" t="inlineStr"/>
      <c r="Q6" s="10" t="inlineStr"/>
      <c r="R6" s="10" t="inlineStr"/>
      <c r="S6" s="10"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t>
        </is>
      </c>
      <c r="F7" s="8" t="inlineStr">
        <is>
          <t>Number of alumni that contribute to sustainability; % profiles demonstrating sustainability contribution; insights form different industries that influenced by alumni</t>
        </is>
      </c>
      <c r="G7" s="8" t="inlineStr"/>
      <c r="H7" s="8" t="inlineStr">
        <is>
          <t>Both</t>
        </is>
      </c>
      <c r="I7" s="8" t="inlineStr">
        <is>
          <t>Number and percentage of profiles could be underwhelming, but it helps to track the trajectory. I supposed qualitative case of selected profiles would still be the primary metrics.</t>
        </is>
      </c>
      <c r="J7" s="10" t="inlineStr"/>
      <c r="K7" s="10" t="inlineStr"/>
      <c r="L7" s="10" t="inlineStr"/>
      <c r="M7" s="10" t="inlineStr"/>
      <c r="N7" s="10" t="inlineStr"/>
      <c r="O7" s="10" t="inlineStr"/>
      <c r="P7" s="10" t="inlineStr"/>
      <c r="Q7" s="10" t="inlineStr"/>
      <c r="R7" s="10" t="inlineStr"/>
      <c r="S7" s="10" t="inlineStr"/>
    </row>
    <row r="8" ht="75" customHeight="1">
      <c r="B8" s="7" t="inlineStr">
        <is>
          <t>TR2(b)</t>
        </is>
      </c>
      <c r="C8" s="8" t="inlineStr">
        <is>
          <t>Transformational research</t>
        </is>
      </c>
      <c r="D8" s="8" t="inlineStr">
        <is>
          <t>Documented progress of relevant strategic initiatives, including Impact Accelerators</t>
        </is>
      </c>
      <c r="E8" s="8" t="inlineStr">
        <is>
          <t>Y</t>
        </is>
      </c>
      <c r="F8" s="8" t="inlineStr">
        <is>
          <t>Percentage of milestone completion rate to the set annual target of strategic initiatives; number of initiatives on track; number of initiatives delivered</t>
        </is>
      </c>
      <c r="G8" s="8" t="inlineStr"/>
      <c r="H8" s="8" t="inlineStr">
        <is>
          <t>Both</t>
        </is>
      </c>
      <c r="I8" s="8" t="inlineStr">
        <is>
          <t>documented progress imply that university have good governance over the management of initiatives and therefore could provide percentage of milestone completion</t>
        </is>
      </c>
      <c r="J8" s="10" t="inlineStr"/>
      <c r="K8" s="10" t="inlineStr"/>
      <c r="L8" s="10" t="inlineStr"/>
      <c r="M8" s="10" t="inlineStr"/>
      <c r="N8" s="10" t="inlineStr"/>
      <c r="O8" s="10" t="inlineStr"/>
      <c r="P8" s="10" t="inlineStr"/>
      <c r="Q8" s="10" t="inlineStr"/>
      <c r="R8" s="10" t="inlineStr"/>
      <c r="S8" s="10"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Y</t>
        </is>
      </c>
      <c r="F9" s="8" t="inlineStr">
        <is>
          <t>currently mapped to the SDGs using SciVal, old metrics explorer (publication mapped to SDG whether they mentioned in mews, media, policy,etc),</t>
        </is>
      </c>
      <c r="G9" s="8" t="inlineStr">
        <is>
          <t>MRE, Gerard</t>
        </is>
      </c>
      <c r="H9" s="8" t="inlineStr">
        <is>
          <t>Both</t>
        </is>
      </c>
      <c r="I9" s="8" t="inlineStr">
        <is>
          <t>To discuss contatct of researchers with Gerad</t>
        </is>
      </c>
      <c r="J9" s="10" t="inlineStr"/>
      <c r="K9" s="10" t="inlineStr"/>
      <c r="L9" s="10" t="inlineStr"/>
      <c r="M9" s="10" t="inlineStr"/>
      <c r="N9" s="10" t="inlineStr"/>
      <c r="O9" s="10" t="inlineStr"/>
      <c r="P9" s="10" t="inlineStr"/>
      <c r="Q9" s="10" t="inlineStr"/>
      <c r="R9" s="10" t="inlineStr"/>
      <c r="S9" s="10"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t>
        </is>
      </c>
      <c r="F10" s="8" t="inlineStr">
        <is>
          <t>Number of laboratories achieving green lab certification; number of new sustainable activity; number of sustainability fieldwork</t>
        </is>
      </c>
      <c r="G10" s="8" t="inlineStr">
        <is>
          <t>MRE, Gerard</t>
        </is>
      </c>
      <c r="H10" s="8" t="inlineStr">
        <is>
          <t>Both</t>
        </is>
      </c>
      <c r="I10" s="8" t="inlineStr">
        <is>
          <t>To discuss contatct of researchers with Gerad</t>
        </is>
      </c>
      <c r="J10" s="10" t="inlineStr"/>
      <c r="K10" s="10" t="inlineStr"/>
      <c r="L10" s="10" t="inlineStr"/>
      <c r="M10" s="10" t="inlineStr"/>
      <c r="N10" s="10" t="inlineStr"/>
      <c r="O10" s="10" t="inlineStr"/>
      <c r="P10" s="10" t="inlineStr"/>
      <c r="Q10" s="10" t="inlineStr"/>
      <c r="R10" s="10" t="inlineStr"/>
      <c r="S10" s="10"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Y</t>
        </is>
      </c>
      <c r="F11" s="8" t="inlineStr">
        <is>
          <t>Total scope 1,2 and 3 emissions (tCO2-e); emissions by scope; % reduction from previous baseline; % renewable electircity produced</t>
        </is>
      </c>
      <c r="G11" s="8" t="inlineStr"/>
      <c r="H11" s="8" t="inlineStr">
        <is>
          <t>Both</t>
        </is>
      </c>
      <c r="I11" s="8" t="inlineStr">
        <is>
          <t>Directly measures progress against the stated emission reduction targets and allows annual comparison against the baseline and trajectory</t>
        </is>
      </c>
      <c r="J11" s="10" t="inlineStr"/>
      <c r="K11" s="10" t="inlineStr"/>
      <c r="L11" s="10" t="inlineStr"/>
      <c r="M11" s="10" t="inlineStr"/>
      <c r="N11" s="10" t="inlineStr"/>
      <c r="O11" s="10" t="inlineStr"/>
      <c r="P11" s="10" t="inlineStr"/>
      <c r="Q11" s="10" t="inlineStr"/>
      <c r="R11" s="10" t="inlineStr"/>
      <c r="S11" s="10" t="inlineStr"/>
    </row>
    <row r="12" ht="75" customHeight="1">
      <c r="B12" s="7" t="inlineStr">
        <is>
          <t>CL1(b)</t>
        </is>
      </c>
      <c r="C12" s="8" t="inlineStr">
        <is>
          <t>Climate leadership</t>
        </is>
      </c>
      <c r="D12" s="8" t="inlineStr">
        <is>
          <t>Development of Greenhouse Gas  intensity metrics</t>
        </is>
      </c>
      <c r="E12" s="8" t="inlineStr">
        <is>
          <t>Y</t>
        </is>
      </c>
      <c r="F12" s="8" t="inlineStr">
        <is>
          <t>Greenhouse gas emissions by FTE, EFTSL, and Gross floor area (https://www.unimelb.edu.au/sustainabilityreport/2025/data-tables#GHGe-scope)</t>
        </is>
      </c>
      <c r="G12" s="8" t="inlineStr"/>
      <c r="H12" s="8" t="inlineStr">
        <is>
          <t>Both</t>
        </is>
      </c>
      <c r="I12" s="8" t="inlineStr">
        <is>
          <t>Quantiative indicator</t>
        </is>
      </c>
      <c r="J12" s="10" t="inlineStr"/>
      <c r="K12" s="10" t="inlineStr"/>
      <c r="L12" s="10" t="inlineStr"/>
      <c r="M12" s="10" t="inlineStr"/>
      <c r="N12" s="10" t="inlineStr"/>
      <c r="O12" s="10" t="inlineStr"/>
      <c r="P12" s="10" t="inlineStr"/>
      <c r="Q12" s="10" t="inlineStr"/>
      <c r="R12" s="10" t="inlineStr"/>
      <c r="S12" s="10" t="inlineStr"/>
    </row>
    <row r="13" ht="75" customHeight="1">
      <c r="B13" s="7" t="inlineStr">
        <is>
          <t>CL1(c)</t>
        </is>
      </c>
      <c r="C13" s="8" t="inlineStr">
        <is>
          <t>Climate leadership</t>
        </is>
      </c>
      <c r="D13" s="8" t="inlineStr">
        <is>
          <t>Review of Climate Leadership targets by 2030.[2]</t>
        </is>
      </c>
      <c r="E13" s="8" t="inlineStr">
        <is>
          <t>M</t>
        </is>
      </c>
      <c r="F13" s="8" t="inlineStr"/>
      <c r="G13" s="8" t="inlineStr"/>
      <c r="H13" s="8" t="inlineStr">
        <is>
          <t>Both</t>
        </is>
      </c>
      <c r="I13" s="8" t="inlineStr">
        <is>
          <t>Will be re-assesed in 2030</t>
        </is>
      </c>
      <c r="J13" s="10" t="inlineStr"/>
      <c r="K13" s="10" t="inlineStr"/>
      <c r="L13" s="10" t="inlineStr"/>
      <c r="M13" s="10" t="inlineStr"/>
      <c r="N13" s="10" t="inlineStr"/>
      <c r="O13" s="10" t="inlineStr"/>
      <c r="P13" s="10" t="inlineStr"/>
      <c r="Q13" s="10" t="inlineStr"/>
      <c r="R13" s="10" t="inlineStr"/>
      <c r="S13" s="10"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t>
        </is>
      </c>
      <c r="F14" s="8" t="inlineStr">
        <is>
          <t>Number of relevant research projects/programs mapped; number of relevant subjects mapped</t>
        </is>
      </c>
      <c r="G14" s="8" t="inlineStr"/>
      <c r="H14" s="8" t="inlineStr">
        <is>
          <t>Both</t>
        </is>
      </c>
      <c r="I14" s="8" t="inlineStr">
        <is>
          <t>Although the core commitment is completion of the mapping (binary), quantitative measures still useful to show its coverage and comprehensiveness</t>
        </is>
      </c>
      <c r="J14" s="10" t="inlineStr"/>
      <c r="K14" s="10" t="inlineStr"/>
      <c r="L14" s="10" t="inlineStr"/>
      <c r="M14" s="10" t="inlineStr"/>
      <c r="N14" s="10" t="inlineStr"/>
      <c r="O14" s="10" t="inlineStr"/>
      <c r="P14" s="10" t="inlineStr"/>
      <c r="Q14" s="10" t="inlineStr"/>
      <c r="R14" s="10" t="inlineStr"/>
      <c r="S14" s="10"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Y</t>
        </is>
      </c>
      <c r="F15" s="8" t="inlineStr">
        <is>
          <t>Number of pipelined projects or research transitioned from opportunity to active per year</t>
        </is>
      </c>
      <c r="G15" s="8" t="inlineStr"/>
      <c r="H15" s="8" t="inlineStr">
        <is>
          <t>Both</t>
        </is>
      </c>
      <c r="I15" s="8" t="inlineStr">
        <is>
          <t>Pipeline can be quantitatively tracked through volume and progression, but since the target is prioritised pipeline, showing number of sucessful pipeline transitioned is more desirable</t>
        </is>
      </c>
      <c r="J15" s="10" t="inlineStr"/>
      <c r="K15" s="10" t="inlineStr"/>
      <c r="L15" s="10" t="inlineStr"/>
      <c r="M15" s="10" t="inlineStr"/>
      <c r="N15" s="10" t="inlineStr"/>
      <c r="O15" s="10" t="inlineStr"/>
      <c r="P15" s="10" t="inlineStr"/>
      <c r="Q15" s="10" t="inlineStr"/>
      <c r="R15" s="10" t="inlineStr"/>
      <c r="S15" s="10"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t>
        </is>
      </c>
      <c r="F16" s="8" t="inlineStr">
        <is>
          <t>Annual count of published documents, policy briefs, or public engagement events; number of policy/sector engagement; # views of communication material</t>
        </is>
      </c>
      <c r="G16" s="8" t="inlineStr">
        <is>
          <t>MCF; MEI</t>
        </is>
      </c>
      <c r="H16" s="8" t="inlineStr">
        <is>
          <t>Both</t>
        </is>
      </c>
      <c r="I16" s="8" t="inlineStr">
        <is>
          <t>Brainstorm with MCF and MEI</t>
        </is>
      </c>
      <c r="J16" s="10" t="inlineStr"/>
      <c r="K16" s="10" t="inlineStr"/>
      <c r="L16" s="10" t="inlineStr"/>
      <c r="M16" s="10" t="inlineStr"/>
      <c r="N16" s="10" t="inlineStr"/>
      <c r="O16" s="10" t="inlineStr"/>
      <c r="P16" s="10" t="inlineStr"/>
      <c r="Q16" s="10" t="inlineStr"/>
      <c r="R16" s="10" t="inlineStr"/>
      <c r="S16" s="10"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t>
        </is>
      </c>
      <c r="F17" s="8" t="inlineStr">
        <is>
          <t>Maturity score by function; overall/average maturity score; % functions raching target maturity level</t>
        </is>
      </c>
      <c r="G17" s="8" t="inlineStr"/>
      <c r="H17" s="8" t="inlineStr">
        <is>
          <t>Both</t>
        </is>
      </c>
      <c r="I17" s="8" t="inlineStr">
        <is>
          <t>If defined maturity is already available, then it is desirable to have quantitative metrics, especially since the target mentioned maturity assesment</t>
        </is>
      </c>
      <c r="J17" s="10" t="inlineStr"/>
      <c r="K17" s="10" t="inlineStr"/>
      <c r="L17" s="10" t="inlineStr"/>
      <c r="M17" s="10" t="inlineStr"/>
      <c r="N17" s="10" t="inlineStr"/>
      <c r="O17" s="10" t="inlineStr"/>
      <c r="P17" s="10" t="inlineStr"/>
      <c r="Q17" s="10" t="inlineStr"/>
      <c r="R17" s="10" t="inlineStr"/>
      <c r="S17" s="10" t="inlineStr"/>
    </row>
    <row r="18" ht="75" customHeight="1">
      <c r="B18" s="7" t="inlineStr">
        <is>
          <t>NB1(a)</t>
        </is>
      </c>
      <c r="C18" s="8" t="inlineStr">
        <is>
          <t>Nature and biodiversity</t>
        </is>
      </c>
      <c r="D18" s="8" t="inlineStr">
        <is>
          <t>Monitoring of biodiversity metrics from the Biodiversity Baseline Data Project</t>
        </is>
      </c>
      <c r="E18" s="8" t="inlineStr">
        <is>
          <t>Y</t>
        </is>
      </c>
      <c r="F18" s="8" t="inlineStr">
        <is>
          <t>7 diversity metrics from https://sustainablecampus.unimelb.edu.au/biodiversity/biodiversity-baseline-data-project#main-content</t>
        </is>
      </c>
      <c r="G18" s="8" t="inlineStr"/>
      <c r="H18" s="8" t="inlineStr">
        <is>
          <t>Both</t>
        </is>
      </c>
      <c r="I18" s="8" t="inlineStr">
        <is>
          <t>Quantitative indicator</t>
        </is>
      </c>
      <c r="J18" s="10" t="inlineStr"/>
      <c r="K18" s="10" t="inlineStr"/>
      <c r="L18" s="10" t="inlineStr"/>
      <c r="M18" s="10" t="inlineStr"/>
      <c r="N18" s="10" t="inlineStr"/>
      <c r="O18" s="10" t="inlineStr"/>
      <c r="P18" s="10" t="inlineStr"/>
      <c r="Q18" s="10" t="inlineStr"/>
      <c r="R18" s="10" t="inlineStr"/>
      <c r="S18" s="10" t="inlineStr"/>
    </row>
    <row r="19" ht="75" customHeight="1">
      <c r="B19" s="7" t="inlineStr">
        <is>
          <t>NB1(b)</t>
        </is>
      </c>
      <c r="C19" s="8" t="inlineStr">
        <is>
          <t>Nature and biodiversity</t>
        </is>
      </c>
      <c r="D19" s="8" t="inlineStr">
        <is>
          <t>Size, health and diversity of remnant vegetation at the Dookie and Creswick campuses</t>
        </is>
      </c>
      <c r="E19" s="8" t="inlineStr">
        <is>
          <t>Y</t>
        </is>
      </c>
      <c r="F19" s="8" t="inlineStr"/>
      <c r="G19" s="8" t="inlineStr">
        <is>
          <t>Rachel</t>
        </is>
      </c>
      <c r="H19" s="8" t="inlineStr">
        <is>
          <t>Both</t>
        </is>
      </c>
      <c r="I19" s="8" t="inlineStr"/>
      <c r="J19" s="10" t="inlineStr"/>
      <c r="K19" s="10" t="inlineStr"/>
      <c r="L19" s="10" t="inlineStr"/>
      <c r="M19" s="10" t="inlineStr"/>
      <c r="N19" s="10" t="inlineStr"/>
      <c r="O19" s="10" t="inlineStr"/>
      <c r="P19" s="10" t="inlineStr"/>
      <c r="Q19" s="10" t="inlineStr"/>
      <c r="R19" s="10" t="inlineStr"/>
      <c r="S19" s="10" t="inlineStr"/>
    </row>
    <row r="20" ht="75" customHeight="1">
      <c r="B20" s="7" t="inlineStr">
        <is>
          <t>NB1(c)</t>
        </is>
      </c>
      <c r="C20" s="8" t="inlineStr">
        <is>
          <t>Nature and biodiversity</t>
        </is>
      </c>
      <c r="D20" s="8" t="inlineStr">
        <is>
          <t>Defined quality measurement framework</t>
        </is>
      </c>
      <c r="E20" s="8" t="inlineStr">
        <is>
          <t>M</t>
        </is>
      </c>
      <c r="F20" s="8" t="inlineStr"/>
      <c r="G20" s="8" t="inlineStr">
        <is>
          <t>Rachel</t>
        </is>
      </c>
      <c r="H20" s="8" t="inlineStr">
        <is>
          <t>Both</t>
        </is>
      </c>
      <c r="I20" s="8" t="inlineStr"/>
      <c r="J20" s="10" t="inlineStr"/>
      <c r="K20" s="10" t="inlineStr"/>
      <c r="L20" s="10" t="inlineStr"/>
      <c r="M20" s="10" t="inlineStr"/>
      <c r="N20" s="10" t="inlineStr"/>
      <c r="O20" s="10" t="inlineStr"/>
      <c r="P20" s="10" t="inlineStr"/>
      <c r="Q20" s="10" t="inlineStr"/>
      <c r="R20" s="10" t="inlineStr"/>
      <c r="S20" s="10" t="inlineStr"/>
    </row>
    <row r="21" ht="75" customHeight="1">
      <c r="B21" s="7" t="inlineStr">
        <is>
          <t>NB1(d)</t>
        </is>
      </c>
      <c r="C21" s="8" t="inlineStr">
        <is>
          <t>Nature and biodiversity</t>
        </is>
      </c>
      <c r="D21" s="8" t="inlineStr">
        <is>
          <t>Defined and quantified campus connectivity</t>
        </is>
      </c>
      <c r="E21" s="8" t="inlineStr">
        <is>
          <t>M</t>
        </is>
      </c>
      <c r="F21" s="8" t="inlineStr"/>
      <c r="G21" s="8" t="inlineStr">
        <is>
          <t>Rachel</t>
        </is>
      </c>
      <c r="H21" s="8" t="inlineStr">
        <is>
          <t>Both</t>
        </is>
      </c>
      <c r="I21" s="8" t="inlineStr"/>
      <c r="J21" s="10" t="inlineStr"/>
      <c r="K21" s="10" t="inlineStr"/>
      <c r="L21" s="10" t="inlineStr"/>
      <c r="M21" s="10" t="inlineStr"/>
      <c r="N21" s="10" t="inlineStr"/>
      <c r="O21" s="10" t="inlineStr"/>
      <c r="P21" s="10" t="inlineStr"/>
      <c r="Q21" s="10" t="inlineStr"/>
      <c r="R21" s="10" t="inlineStr"/>
      <c r="S21" s="10" t="inlineStr"/>
    </row>
    <row r="22" ht="75" customHeight="1">
      <c r="B22" s="7" t="inlineStr">
        <is>
          <t>NB2(a)</t>
        </is>
      </c>
      <c r="C22" s="8" t="inlineStr">
        <is>
          <t>Nature and biodiversity</t>
        </is>
      </c>
      <c r="D22" s="8" t="inlineStr">
        <is>
          <t>Documented baseline nature footprint analysis</t>
        </is>
      </c>
      <c r="E22" s="8" t="inlineStr">
        <is>
          <t>Y</t>
        </is>
      </c>
      <c r="F22" s="8" t="inlineStr">
        <is>
          <t>Impact Encore Measurement</t>
        </is>
      </c>
      <c r="G22" s="8" t="inlineStr">
        <is>
          <t>August, MBI</t>
        </is>
      </c>
      <c r="H22" s="8" t="inlineStr">
        <is>
          <t>Both</t>
        </is>
      </c>
      <c r="I22" s="8" t="inlineStr"/>
      <c r="J22" s="10" t="inlineStr"/>
      <c r="K22" s="10" t="inlineStr"/>
      <c r="L22" s="10" t="inlineStr"/>
      <c r="M22" s="10" t="inlineStr"/>
      <c r="N22" s="10" t="inlineStr"/>
      <c r="O22" s="10" t="inlineStr"/>
      <c r="P22" s="10" t="inlineStr"/>
      <c r="Q22" s="10" t="inlineStr"/>
      <c r="R22" s="10" t="inlineStr"/>
      <c r="S22" s="10" t="inlineStr"/>
    </row>
    <row r="23" ht="75" customHeight="1">
      <c r="B23" s="7" t="inlineStr">
        <is>
          <t>AI1(a)</t>
        </is>
      </c>
      <c r="C23" s="8" t="inlineStr">
        <is>
          <t>Responsible AI</t>
        </is>
      </c>
      <c r="D23" s="8" t="inlineStr">
        <is>
          <t>Established measurement of estimated operational impacts and opportunities (eg operational impacts including energy, water, emissions and intensity measures)</t>
        </is>
      </c>
      <c r="E23" s="8" t="inlineStr">
        <is>
          <t>M</t>
        </is>
      </c>
      <c r="F23" s="8" t="inlineStr">
        <is>
          <t>Pending denominator</t>
        </is>
      </c>
      <c r="G23" s="8" t="inlineStr"/>
      <c r="H23" s="8" t="inlineStr">
        <is>
          <t>Both</t>
        </is>
      </c>
      <c r="I23" s="8" t="inlineStr">
        <is>
          <t>Will start with qual on 2026, then move on to quan</t>
        </is>
      </c>
      <c r="J23" s="10" t="inlineStr"/>
      <c r="K23" s="10" t="inlineStr"/>
      <c r="L23" s="10" t="inlineStr"/>
      <c r="M23" s="10" t="inlineStr"/>
      <c r="N23" s="10" t="inlineStr"/>
      <c r="O23" s="10" t="inlineStr"/>
      <c r="P23" s="10" t="inlineStr"/>
      <c r="Q23" s="10" t="inlineStr"/>
      <c r="R23" s="10" t="inlineStr"/>
      <c r="S23" s="10"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t>
        </is>
      </c>
      <c r="F24" s="8" t="inlineStr">
        <is>
          <t>qual, climate resilience?,</t>
        </is>
      </c>
      <c r="G24" s="8" t="inlineStr">
        <is>
          <t>Gerard</t>
        </is>
      </c>
      <c r="H24" s="8" t="inlineStr">
        <is>
          <t>Both</t>
        </is>
      </c>
      <c r="I24" s="8" t="inlineStr"/>
      <c r="J24" s="10" t="inlineStr"/>
      <c r="K24" s="10" t="inlineStr"/>
      <c r="L24" s="10" t="inlineStr"/>
      <c r="M24" s="10" t="inlineStr"/>
      <c r="N24" s="10" t="inlineStr"/>
      <c r="O24" s="10" t="inlineStr"/>
      <c r="P24" s="10" t="inlineStr"/>
      <c r="Q24" s="10" t="inlineStr"/>
      <c r="R24" s="10" t="inlineStr"/>
      <c r="S24" s="10"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t>
        </is>
      </c>
      <c r="F25" s="8" t="inlineStr">
        <is>
          <t>Forecast operational emission (tCO2-e); expected energy consumptions/savings; expected water impact; expected waste material impact; potential biodiversity impact</t>
        </is>
      </c>
      <c r="G25" s="8" t="inlineStr">
        <is>
          <t>Gerard</t>
        </is>
      </c>
      <c r="H25" s="8" t="inlineStr">
        <is>
          <t>Both</t>
        </is>
      </c>
      <c r="I25" s="8" t="inlineStr">
        <is>
          <t>Quantitative estimates/forecast (impact estimation) allow better planning and management to achieve the overall sustainability plan and targets (follow up with Gerard)</t>
        </is>
      </c>
      <c r="J25" s="10" t="inlineStr"/>
      <c r="K25" s="10" t="inlineStr"/>
      <c r="L25" s="10" t="inlineStr"/>
      <c r="M25" s="10" t="inlineStr"/>
      <c r="N25" s="10" t="inlineStr"/>
      <c r="O25" s="10" t="inlineStr"/>
      <c r="P25" s="10" t="inlineStr"/>
      <c r="Q25" s="10" t="inlineStr"/>
      <c r="R25" s="10" t="inlineStr"/>
      <c r="S25" s="10"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t>
        </is>
      </c>
      <c r="F26" s="8" t="inlineStr">
        <is>
          <t>case by case</t>
        </is>
      </c>
      <c r="G26" s="8" t="inlineStr">
        <is>
          <t>Gerard</t>
        </is>
      </c>
      <c r="H26" s="8" t="inlineStr">
        <is>
          <t>Both</t>
        </is>
      </c>
      <c r="I26" s="8" t="inlineStr"/>
      <c r="J26" s="10" t="inlineStr"/>
      <c r="K26" s="10" t="inlineStr"/>
      <c r="L26" s="10" t="inlineStr"/>
      <c r="M26" s="10" t="inlineStr"/>
      <c r="N26" s="10" t="inlineStr"/>
      <c r="O26" s="10" t="inlineStr"/>
      <c r="P26" s="10" t="inlineStr"/>
      <c r="Q26" s="10" t="inlineStr"/>
      <c r="R26" s="10" t="inlineStr"/>
      <c r="S26" s="10" t="inlineStr"/>
    </row>
    <row r="27" ht="75" customHeight="1">
      <c r="B27" s="7" t="inlineStr">
        <is>
          <t>CE1(a)</t>
        </is>
      </c>
      <c r="C27" s="8" t="inlineStr">
        <is>
          <t>Circular economy</t>
        </is>
      </c>
      <c r="D27" s="8" t="inlineStr">
        <is>
          <t>Comparison of year-to-year tonnes of waste (absolute).</t>
        </is>
      </c>
      <c r="E27" s="8" t="inlineStr">
        <is>
          <t>Y</t>
        </is>
      </c>
      <c r="F27" s="8" t="inlineStr">
        <is>
          <t>tonnes of waste; % change against previous baseline</t>
        </is>
      </c>
      <c r="G27" s="8" t="inlineStr"/>
      <c r="H27" s="8" t="inlineStr">
        <is>
          <t>Both</t>
        </is>
      </c>
      <c r="I27" s="8" t="inlineStr">
        <is>
          <t>Quantitative indicator</t>
        </is>
      </c>
      <c r="J27" s="10" t="inlineStr"/>
      <c r="K27" s="10" t="inlineStr"/>
      <c r="L27" s="10" t="inlineStr"/>
      <c r="M27" s="10" t="inlineStr"/>
      <c r="N27" s="10" t="inlineStr"/>
      <c r="O27" s="10" t="inlineStr"/>
      <c r="P27" s="10" t="inlineStr"/>
      <c r="Q27" s="10" t="inlineStr"/>
      <c r="R27" s="10" t="inlineStr"/>
      <c r="S27" s="10" t="inlineStr"/>
    </row>
    <row r="28" ht="75" customHeight="1">
      <c r="B28" s="7" t="inlineStr">
        <is>
          <t>CE2(a)</t>
        </is>
      </c>
      <c r="C28" s="8" t="inlineStr">
        <is>
          <t>Circular economy</t>
        </is>
      </c>
      <c r="D28" s="8" t="inlineStr">
        <is>
          <t>Comparison of year-to-year tonnes of recyclables (absolute).</t>
        </is>
      </c>
      <c r="E28" s="8" t="inlineStr">
        <is>
          <t>Y</t>
        </is>
      </c>
      <c r="F28" s="8" t="inlineStr">
        <is>
          <t>waste diversion rate; tonnes diverted from landfill; % change against previous baseline</t>
        </is>
      </c>
      <c r="G28" s="8" t="inlineStr"/>
      <c r="H28" s="8" t="inlineStr">
        <is>
          <t>Both</t>
        </is>
      </c>
      <c r="I28" s="8" t="inlineStr">
        <is>
          <t>Quantitative indicator</t>
        </is>
      </c>
      <c r="J28" s="10" t="inlineStr"/>
      <c r="K28" s="10" t="inlineStr"/>
      <c r="L28" s="10" t="inlineStr"/>
      <c r="M28" s="10" t="inlineStr"/>
      <c r="N28" s="10" t="inlineStr"/>
      <c r="O28" s="10" t="inlineStr"/>
      <c r="P28" s="10" t="inlineStr"/>
      <c r="Q28" s="10" t="inlineStr"/>
      <c r="R28" s="10" t="inlineStr"/>
      <c r="S28" s="10"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Y</t>
        </is>
      </c>
      <c r="F29" s="8" t="inlineStr">
        <is>
          <t>Maturity score if framework established; % procurement staff trained</t>
        </is>
      </c>
      <c r="G29" s="8" t="inlineStr"/>
      <c r="H29" s="8" t="inlineStr">
        <is>
          <t>Both</t>
        </is>
      </c>
      <c r="I29" s="8" t="inlineStr">
        <is>
          <t>Quantitative metrics could support qualitative case studies to demonstrate system/process improvements</t>
        </is>
      </c>
      <c r="J29" s="10" t="inlineStr"/>
      <c r="K29" s="10" t="inlineStr"/>
      <c r="L29" s="10" t="inlineStr"/>
      <c r="M29" s="10" t="inlineStr"/>
      <c r="N29" s="10" t="inlineStr"/>
      <c r="O29" s="10" t="inlineStr"/>
      <c r="P29" s="10" t="inlineStr"/>
      <c r="Q29" s="10" t="inlineStr"/>
      <c r="R29" s="10" t="inlineStr"/>
      <c r="S29" s="10" t="inlineStr"/>
    </row>
    <row r="30" ht="75" customHeight="1">
      <c r="B30" s="7" t="inlineStr">
        <is>
          <t>RP2(a)</t>
        </is>
      </c>
      <c r="C30" s="8" t="inlineStr">
        <is>
          <t>Responsible procurement</t>
        </is>
      </c>
      <c r="D30" s="8" t="inlineStr">
        <is>
          <t>Percentage of Indigenous spend of total addressable procurement spend</t>
        </is>
      </c>
      <c r="E30" s="8" t="inlineStr">
        <is>
          <t>Y</t>
        </is>
      </c>
      <c r="F30" s="8" t="inlineStr">
        <is>
          <t>Percentage of Indigenous spend of total addressable procurement spend</t>
        </is>
      </c>
      <c r="G30" s="8" t="inlineStr"/>
      <c r="H30" s="8" t="inlineStr">
        <is>
          <t>Both</t>
        </is>
      </c>
      <c r="I30" s="8" t="inlineStr">
        <is>
          <t>Quantitative indicator</t>
        </is>
      </c>
      <c r="J30" s="10" t="inlineStr"/>
      <c r="K30" s="10" t="inlineStr"/>
      <c r="L30" s="10" t="inlineStr"/>
      <c r="M30" s="10" t="inlineStr"/>
      <c r="N30" s="10" t="inlineStr"/>
      <c r="O30" s="10" t="inlineStr"/>
      <c r="P30" s="10" t="inlineStr"/>
      <c r="Q30" s="10" t="inlineStr"/>
      <c r="R30" s="10" t="inlineStr"/>
      <c r="S30" s="10" t="inlineStr"/>
    </row>
    <row r="31" ht="75" customHeight="1">
      <c r="B31" s="7" t="inlineStr">
        <is>
          <t>RP2(b)</t>
        </is>
      </c>
      <c r="C31" s="8" t="inlineStr">
        <is>
          <t>Responsible procurement</t>
        </is>
      </c>
      <c r="D31" s="8" t="inlineStr">
        <is>
          <t>Percentage of social spend of total addressable procurement spend.</t>
        </is>
      </c>
      <c r="E31" s="8" t="inlineStr">
        <is>
          <t>Y</t>
        </is>
      </c>
      <c r="F31" s="8" t="inlineStr">
        <is>
          <t>Percentage of social spend of total addressable procurement spend.</t>
        </is>
      </c>
      <c r="G31" s="8" t="inlineStr"/>
      <c r="H31" s="8" t="inlineStr">
        <is>
          <t>Both</t>
        </is>
      </c>
      <c r="I31" s="8" t="inlineStr">
        <is>
          <t>Quantitative indicator</t>
        </is>
      </c>
      <c r="J31" s="10" t="inlineStr"/>
      <c r="K31" s="10" t="inlineStr"/>
      <c r="L31" s="10" t="inlineStr"/>
      <c r="M31" s="10" t="inlineStr"/>
      <c r="N31" s="10" t="inlineStr"/>
      <c r="O31" s="10" t="inlineStr"/>
      <c r="P31" s="10" t="inlineStr"/>
      <c r="Q31" s="10" t="inlineStr"/>
      <c r="R31" s="10" t="inlineStr"/>
      <c r="S31" s="10"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Y</t>
        </is>
      </c>
      <c r="F32" s="8" t="inlineStr">
        <is>
          <t>Percentage of AUM managed by investment managers aligned with net zero by 2050</t>
        </is>
      </c>
      <c r="G32" s="8" t="inlineStr"/>
      <c r="H32" s="8" t="inlineStr">
        <is>
          <t>Both</t>
        </is>
      </c>
      <c r="I32" s="8" t="inlineStr">
        <is>
          <t>Quantitative indicator</t>
        </is>
      </c>
      <c r="J32" s="10" t="inlineStr"/>
      <c r="K32" s="10" t="inlineStr"/>
      <c r="L32" s="10" t="inlineStr"/>
      <c r="M32" s="10" t="inlineStr"/>
      <c r="N32" s="10" t="inlineStr"/>
      <c r="O32" s="10" t="inlineStr"/>
      <c r="P32" s="10" t="inlineStr"/>
      <c r="Q32" s="10" t="inlineStr"/>
      <c r="R32" s="10" t="inlineStr"/>
      <c r="S32" s="10" t="inlineStr"/>
    </row>
    <row r="33" ht="75" customHeight="1">
      <c r="B33" s="7" t="inlineStr">
        <is>
          <t>RI1(b)</t>
        </is>
      </c>
      <c r="C33" s="8" t="inlineStr">
        <is>
          <t>Responsible investments</t>
        </is>
      </c>
      <c r="D33" s="8" t="inlineStr">
        <is>
          <t>Continuous improvement of the reporting of the University’s sustainability-related investment profile metrics, including investment in climate mitigation and transition solutions, and compliance with related obligations (eg UNPRI).</t>
        </is>
      </c>
      <c r="E33" s="8" t="inlineStr">
        <is>
          <t>M</t>
        </is>
      </c>
      <c r="F33" s="8" t="inlineStr">
        <is>
          <t>$ and % AUM invested in climate/transition solution</t>
        </is>
      </c>
      <c r="G33" s="8" t="inlineStr"/>
      <c r="H33" s="8" t="inlineStr">
        <is>
          <t>Both</t>
        </is>
      </c>
      <c r="I33" s="8" t="inlineStr">
        <is>
          <t>"Continuous improvement" wording makes it desirable to have a quantitative comparison metrics. However i also acknowledge that this target is mainly a qualitative target</t>
        </is>
      </c>
      <c r="J33" s="10" t="inlineStr"/>
      <c r="K33" s="10" t="inlineStr"/>
      <c r="L33" s="10" t="inlineStr"/>
      <c r="M33" s="10" t="inlineStr"/>
      <c r="N33" s="10" t="inlineStr"/>
      <c r="O33" s="10" t="inlineStr"/>
      <c r="P33" s="10" t="inlineStr"/>
      <c r="Q33" s="10" t="inlineStr"/>
      <c r="R33" s="10" t="inlineStr"/>
      <c r="S33" s="10" t="inlineStr"/>
    </row>
    <row r="34" ht="75" customHeight="1">
      <c r="B34" s="7" t="inlineStr">
        <is>
          <t>EN1(b)</t>
        </is>
      </c>
      <c r="C34" s="8" t="inlineStr">
        <is>
          <t>Enablers</t>
        </is>
      </c>
      <c r="D34" s="8" t="inlineStr">
        <is>
          <t>Living laboratories enabling applied learning, research and operational sustainability outcomes</t>
        </is>
      </c>
      <c r="E34" s="8" t="inlineStr">
        <is>
          <t>M</t>
        </is>
      </c>
      <c r="F34" s="8" t="inlineStr">
        <is>
          <t>Number of projects funded; $ project funding</t>
        </is>
      </c>
      <c r="G34" s="8" t="inlineStr"/>
      <c r="H34" s="8" t="inlineStr">
        <is>
          <t>Both</t>
        </is>
      </c>
      <c r="I34" s="8" t="inlineStr">
        <is>
          <t>Qualitative case evidence is better to articulate the impact of living laboratories in learning, research, and operational sustainability outcomes</t>
        </is>
      </c>
      <c r="J34" s="10" t="inlineStr"/>
      <c r="K34" s="10" t="inlineStr"/>
      <c r="L34" s="10" t="inlineStr"/>
      <c r="M34" s="10" t="inlineStr"/>
      <c r="N34" s="10" t="inlineStr"/>
      <c r="O34" s="10" t="inlineStr"/>
      <c r="P34" s="10" t="inlineStr"/>
      <c r="Q34" s="10" t="inlineStr"/>
      <c r="R34" s="10" t="inlineStr"/>
      <c r="S34" s="10" t="inlineStr"/>
    </row>
  </sheetData>
  <dataValidations count="2">
    <dataValidation sqref="J6:J34" showDropDown="0" showInputMessage="0" showErrorMessage="0" allowBlank="1" errorTitle="Invalid entry" error="Please select from the dropdown" type="list">
      <formula1>=Lists!$E$2:$E$4</formula1>
    </dataValidation>
    <dataValidation sqref="R6:R3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Chancellery</t>
        </is>
      </c>
      <c r="C16" s="8" t="inlineStr">
        <is>
          <t>Advancement, Communications &amp; Marketing; Global, Culture &amp; Engagement; Education (incl. SASS); Indigenous</t>
        </is>
      </c>
      <c r="D16" s="8" t="inlineStr">
        <is>
          <t>Chancellery tab</t>
        </is>
      </c>
      <c r="E16" s="8" t="inlineStr">
        <is>
          <t>—</t>
        </is>
      </c>
      <c r="F16" s="8" t="inlineStr">
        <is>
          <t>TBC</t>
        </is>
      </c>
      <c r="G16" s="8" t="inlineStr">
        <is>
          <t>No SR26 qualitative indicator currently names these units. SASS (Melbourne Plus) referenced for EE1(c). Confirm whether requests are needed.</t>
        </is>
      </c>
    </row>
    <row r="17">
      <c r="B17" s="8" t="inlineStr">
        <is>
          <t>Legal &amp; Risk</t>
        </is>
      </c>
      <c r="C17" s="8" t="inlineStr">
        <is>
          <t>Legal and Risk</t>
        </is>
      </c>
      <c r="D17" s="8" t="inlineStr">
        <is>
          <t>Legal and Risk tab</t>
        </is>
      </c>
      <c r="E17" s="8" t="inlineStr">
        <is>
          <t>—</t>
        </is>
      </c>
      <c r="F17" s="8" t="inlineStr">
        <is>
          <t>TBC</t>
        </is>
      </c>
      <c r="G17" s="8" t="inlineStr">
        <is>
          <t>No SR26 indicator currently assigned – may be relevant to climate resilience maturity (CL3(a)). TBC.</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11"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row>
    <row r="22" ht="45" customHeight="1">
      <c r="B22" s="12" t="inlineStr">
        <is>
          <t>EE1(a)</t>
        </is>
      </c>
      <c r="C22" s="8" t="inlineStr">
        <is>
          <t>Exceptional education</t>
        </is>
      </c>
      <c r="D22" s="8" t="inlineStr">
        <is>
          <t>Evidence of innovative approaches to sustainability teaching and learning</t>
        </is>
      </c>
      <c r="E22" s="13" t="inlineStr">
        <is>
          <t>R</t>
        </is>
      </c>
      <c r="F22" s="13" t="inlineStr">
        <is>
          <t>R</t>
        </is>
      </c>
      <c r="G22" s="13" t="inlineStr">
        <is>
          <t>R</t>
        </is>
      </c>
      <c r="H22" s="13" t="inlineStr">
        <is>
          <t>R</t>
        </is>
      </c>
      <c r="I22" s="13" t="inlineStr">
        <is>
          <t>R</t>
        </is>
      </c>
      <c r="J22" s="14" t="inlineStr"/>
      <c r="K22" s="14" t="inlineStr"/>
      <c r="L22" s="14" t="inlineStr"/>
      <c r="M22" s="14" t="inlineStr"/>
    </row>
    <row r="23" ht="45" customHeight="1">
      <c r="B23" s="12" t="inlineStr">
        <is>
          <t>EE1(b)</t>
        </is>
      </c>
      <c r="C23" s="8" t="inlineStr">
        <is>
          <t>Exceptional education</t>
        </is>
      </c>
      <c r="D23" s="8" t="inlineStr">
        <is>
          <t>Pilots of possible approaches for understanding and developing students’ sustainability self-efficacy</t>
        </is>
      </c>
      <c r="E23" s="13" t="inlineStr">
        <is>
          <t>R</t>
        </is>
      </c>
      <c r="F23" s="13" t="inlineStr">
        <is>
          <t>R</t>
        </is>
      </c>
      <c r="G23" s="13" t="inlineStr">
        <is>
          <t>R</t>
        </is>
      </c>
      <c r="H23" s="13" t="inlineStr">
        <is>
          <t>R</t>
        </is>
      </c>
      <c r="I23" s="13" t="inlineStr">
        <is>
          <t>R</t>
        </is>
      </c>
      <c r="J23" s="14" t="inlineStr"/>
      <c r="K23" s="14" t="inlineStr"/>
      <c r="L23" s="14" t="inlineStr"/>
      <c r="M23" s="14" t="inlineStr"/>
    </row>
    <row r="24" ht="45" customHeight="1">
      <c r="B24" s="12" t="inlineStr">
        <is>
          <t>EE1(c)</t>
        </is>
      </c>
      <c r="C24" s="8" t="inlineStr">
        <is>
          <t>Exceptional education</t>
        </is>
      </c>
      <c r="D24" s="8" t="inlineStr">
        <is>
          <t>Evidence of sustainability focused experiential and co curricular learning (eg Wattle Fellowship; Melbourne Plus)</t>
        </is>
      </c>
      <c r="E24" s="13" t="inlineStr">
        <is>
          <t>R</t>
        </is>
      </c>
      <c r="F24" s="13" t="inlineStr">
        <is>
          <t>R</t>
        </is>
      </c>
      <c r="G24" s="13" t="inlineStr">
        <is>
          <t>R</t>
        </is>
      </c>
      <c r="H24" s="13" t="inlineStr">
        <is>
          <t>R</t>
        </is>
      </c>
      <c r="I24" s="13" t="inlineStr">
        <is>
          <t>R</t>
        </is>
      </c>
      <c r="J24" s="14" t="inlineStr"/>
      <c r="K24" s="14" t="inlineStr"/>
      <c r="L24" s="14" t="inlineStr"/>
      <c r="M24" s="14" t="inlineStr"/>
    </row>
    <row r="25" ht="45" customHeight="1">
      <c r="B25" s="12" t="inlineStr">
        <is>
          <t>EE1(d)</t>
        </is>
      </c>
      <c r="C25" s="8" t="inlineStr">
        <is>
          <t>Exceptional education</t>
        </is>
      </c>
      <c r="D25" s="8" t="inlineStr">
        <is>
          <t>Alumni profiles demonstrating how graduates contribute to sustainability through their careers or communities.</t>
        </is>
      </c>
      <c r="E25" s="13" t="inlineStr">
        <is>
          <t>R</t>
        </is>
      </c>
      <c r="F25" s="13" t="inlineStr">
        <is>
          <t>R</t>
        </is>
      </c>
      <c r="G25" s="13" t="inlineStr">
        <is>
          <t>R</t>
        </is>
      </c>
      <c r="H25" s="13" t="inlineStr">
        <is>
          <t>R</t>
        </is>
      </c>
      <c r="I25" s="13" t="inlineStr">
        <is>
          <t>R</t>
        </is>
      </c>
      <c r="J25" s="14" t="inlineStr"/>
      <c r="K25" s="14" t="inlineStr"/>
      <c r="L25" s="14" t="inlineStr"/>
      <c r="M25" s="14" t="inlineStr"/>
    </row>
    <row r="26" ht="45" customHeight="1">
      <c r="B26" s="12"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13" t="inlineStr">
        <is>
          <t>R</t>
        </is>
      </c>
      <c r="F26" s="13" t="inlineStr">
        <is>
          <t>R</t>
        </is>
      </c>
      <c r="G26" s="13" t="inlineStr">
        <is>
          <t>R</t>
        </is>
      </c>
      <c r="H26" s="13" t="inlineStr">
        <is>
          <t>R</t>
        </is>
      </c>
      <c r="I26" s="13" t="inlineStr">
        <is>
          <t>R</t>
        </is>
      </c>
      <c r="J26" s="14" t="inlineStr"/>
      <c r="K26" s="14" t="inlineStr"/>
      <c r="L26" s="14" t="inlineStr"/>
      <c r="M26" s="14" t="inlineStr"/>
    </row>
    <row r="27" ht="45" customHeight="1">
      <c r="B27" s="12" t="inlineStr">
        <is>
          <t>TR1(b)</t>
        </is>
      </c>
      <c r="C27" s="8" t="inlineStr">
        <is>
          <t>Transformational research</t>
        </is>
      </c>
      <c r="D27" s="8" t="inlineStr">
        <is>
          <t>Evidence of institutional pathways that enable ongoing collaboration between academic and professional staff</t>
        </is>
      </c>
      <c r="E27" s="13" t="inlineStr">
        <is>
          <t>R</t>
        </is>
      </c>
      <c r="F27" s="13" t="inlineStr">
        <is>
          <t>R</t>
        </is>
      </c>
      <c r="G27" s="13" t="inlineStr">
        <is>
          <t>R</t>
        </is>
      </c>
      <c r="H27" s="13" t="inlineStr">
        <is>
          <t>R</t>
        </is>
      </c>
      <c r="I27" s="14" t="inlineStr"/>
      <c r="J27" s="14" t="inlineStr"/>
      <c r="K27" s="14" t="inlineStr"/>
      <c r="L27" s="14" t="inlineStr"/>
      <c r="M27" s="14" t="inlineStr"/>
    </row>
    <row r="28" ht="45" customHeight="1">
      <c r="B28" s="12" t="inlineStr">
        <is>
          <t>TR1(c)</t>
        </is>
      </c>
      <c r="C28" s="8" t="inlineStr">
        <is>
          <t>Transformational research</t>
        </is>
      </c>
      <c r="D28" s="8" t="inlineStr">
        <is>
          <t>Expert assessment of the quality, relevance and continuity of these collaborations</t>
        </is>
      </c>
      <c r="E28" s="13" t="inlineStr">
        <is>
          <t>R</t>
        </is>
      </c>
      <c r="F28" s="13" t="inlineStr">
        <is>
          <t>R</t>
        </is>
      </c>
      <c r="G28" s="13" t="inlineStr">
        <is>
          <t>R</t>
        </is>
      </c>
      <c r="H28" s="13" t="inlineStr">
        <is>
          <t>R</t>
        </is>
      </c>
      <c r="I28" s="14" t="inlineStr"/>
      <c r="J28" s="14" t="inlineStr"/>
      <c r="K28" s="14" t="inlineStr"/>
      <c r="L28" s="14" t="inlineStr"/>
      <c r="M28" s="14" t="inlineStr"/>
    </row>
    <row r="29" ht="45" customHeight="1">
      <c r="B29" s="12" t="inlineStr">
        <is>
          <t>TR1(d)</t>
        </is>
      </c>
      <c r="C29" s="8" t="inlineStr">
        <is>
          <t>Transformational research</t>
        </is>
      </c>
      <c r="D29" s="8" t="inlineStr">
        <is>
          <t>Periodic feedback from participants on the effectiveness and mutual benefit of collaboration mechanisms.</t>
        </is>
      </c>
      <c r="E29" s="13" t="inlineStr">
        <is>
          <t>R</t>
        </is>
      </c>
      <c r="F29" s="13" t="inlineStr">
        <is>
          <t>R</t>
        </is>
      </c>
      <c r="G29" s="13" t="inlineStr">
        <is>
          <t>R</t>
        </is>
      </c>
      <c r="H29" s="13" t="inlineStr">
        <is>
          <t>R</t>
        </is>
      </c>
      <c r="I29" s="14" t="inlineStr"/>
      <c r="J29" s="14" t="inlineStr"/>
      <c r="K29" s="14" t="inlineStr"/>
      <c r="L29" s="14" t="inlineStr"/>
      <c r="M29" s="14" t="inlineStr"/>
    </row>
    <row r="30" ht="45" customHeight="1">
      <c r="B30" s="12"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13" t="inlineStr">
        <is>
          <t>R</t>
        </is>
      </c>
      <c r="F30" s="13" t="inlineStr">
        <is>
          <t>R</t>
        </is>
      </c>
      <c r="G30" s="13" t="inlineStr">
        <is>
          <t>R</t>
        </is>
      </c>
      <c r="H30" s="13" t="inlineStr">
        <is>
          <t>R</t>
        </is>
      </c>
      <c r="I30" s="14" t="inlineStr"/>
      <c r="J30" s="14" t="inlineStr"/>
      <c r="K30" s="14" t="inlineStr"/>
      <c r="L30" s="14" t="inlineStr"/>
      <c r="M30" s="14" t="inlineStr"/>
    </row>
    <row r="31" ht="45" customHeight="1">
      <c r="B31" s="12" t="inlineStr">
        <is>
          <t>TR2(b)</t>
        </is>
      </c>
      <c r="C31" s="8" t="inlineStr">
        <is>
          <t>Transformational research</t>
        </is>
      </c>
      <c r="D31" s="8" t="inlineStr">
        <is>
          <t>Documented progress of relevant strategic initiatives, including Impact Accelerators</t>
        </is>
      </c>
      <c r="E31" s="14" t="inlineStr"/>
      <c r="F31" s="14" t="inlineStr"/>
      <c r="G31" s="14" t="inlineStr"/>
      <c r="H31" s="14" t="inlineStr"/>
      <c r="I31" s="14" t="inlineStr"/>
      <c r="J31" s="14" t="inlineStr"/>
      <c r="K31" s="14" t="inlineStr"/>
      <c r="L31" s="14" t="inlineStr"/>
      <c r="M31" s="14" t="inlineStr"/>
    </row>
    <row r="32" ht="45" customHeight="1">
      <c r="B32" s="12" t="inlineStr">
        <is>
          <t>TR2(c)</t>
        </is>
      </c>
      <c r="C32" s="8" t="inlineStr">
        <is>
          <t>Transformational research</t>
        </is>
      </c>
      <c r="D32" s="8" t="inlineStr">
        <is>
          <t>Expert-reviewed summary of sustainability-related research outputs, outcomes and influence using available institutional evidence sources</t>
        </is>
      </c>
      <c r="E32" s="14" t="inlineStr"/>
      <c r="F32" s="14" t="inlineStr"/>
      <c r="G32" s="14" t="inlineStr"/>
      <c r="H32" s="14" t="inlineStr"/>
      <c r="I32" s="14" t="inlineStr"/>
      <c r="J32" s="14" t="inlineStr"/>
      <c r="K32" s="14" t="inlineStr"/>
      <c r="L32" s="14" t="inlineStr"/>
      <c r="M32" s="13" t="inlineStr">
        <is>
          <t>R</t>
        </is>
      </c>
    </row>
    <row r="33" ht="45" customHeight="1">
      <c r="B33" s="12" t="inlineStr">
        <is>
          <t>TR2(d)</t>
        </is>
      </c>
      <c r="C33" s="8" t="inlineStr">
        <is>
          <t>Transformational research</t>
        </is>
      </c>
      <c r="D33" s="8" t="inlineStr">
        <is>
          <t>Case-based evidence demonstrating how research has contributed to meaningful sustainability outcomes.</t>
        </is>
      </c>
      <c r="E33" s="13" t="inlineStr">
        <is>
          <t>R</t>
        </is>
      </c>
      <c r="F33" s="13" t="inlineStr">
        <is>
          <t>R</t>
        </is>
      </c>
      <c r="G33" s="13" t="inlineStr">
        <is>
          <t>R</t>
        </is>
      </c>
      <c r="H33" s="13" t="inlineStr">
        <is>
          <t>R</t>
        </is>
      </c>
      <c r="I33" s="13" t="inlineStr">
        <is>
          <t>R</t>
        </is>
      </c>
      <c r="J33" s="14" t="inlineStr"/>
      <c r="K33" s="14" t="inlineStr"/>
      <c r="L33" s="14" t="inlineStr"/>
      <c r="M33" s="14" t="inlineStr"/>
    </row>
    <row r="34" ht="45" customHeight="1">
      <c r="B34" s="12" t="inlineStr">
        <is>
          <t>TR3(a)</t>
        </is>
      </c>
      <c r="C34" s="8" t="inlineStr">
        <is>
          <t>Transformational research</t>
        </is>
      </c>
      <c r="D34" s="8" t="inlineStr">
        <is>
          <t>Evidence that sustainability considerations are integrated into relevant research systems, planning processes, guidance, training, induction or support services</t>
        </is>
      </c>
      <c r="E34" s="13" t="inlineStr">
        <is>
          <t>R</t>
        </is>
      </c>
      <c r="F34" s="13" t="inlineStr">
        <is>
          <t>R</t>
        </is>
      </c>
      <c r="G34" s="13" t="inlineStr">
        <is>
          <t>R</t>
        </is>
      </c>
      <c r="H34" s="13" t="inlineStr">
        <is>
          <t>R</t>
        </is>
      </c>
      <c r="I34" s="13" t="inlineStr">
        <is>
          <t>R</t>
        </is>
      </c>
      <c r="J34" s="14" t="inlineStr"/>
      <c r="K34" s="14" t="inlineStr"/>
      <c r="L34" s="14" t="inlineStr"/>
      <c r="M34" s="14" t="inlineStr"/>
    </row>
    <row r="35" ht="45" customHeight="1">
      <c r="B35" s="12" t="inlineStr">
        <is>
          <t>TR3(b)</t>
        </is>
      </c>
      <c r="C35" s="8" t="inlineStr">
        <is>
          <t>Transformational research</t>
        </is>
      </c>
      <c r="D35" s="8" t="inlineStr">
        <is>
          <t>Demonstrated examples of more sustainable research practices in laboratories, fieldwork, procurement, travel or infrastructure use</t>
        </is>
      </c>
      <c r="E35" s="13" t="inlineStr">
        <is>
          <t>R</t>
        </is>
      </c>
      <c r="F35" s="13" t="inlineStr">
        <is>
          <t>R</t>
        </is>
      </c>
      <c r="G35" s="13" t="inlineStr">
        <is>
          <t>R</t>
        </is>
      </c>
      <c r="H35" s="13" t="inlineStr">
        <is>
          <t>R</t>
        </is>
      </c>
      <c r="I35" s="13" t="inlineStr">
        <is>
          <t>R</t>
        </is>
      </c>
      <c r="J35" s="13" t="inlineStr">
        <is>
          <t>R</t>
        </is>
      </c>
      <c r="K35" s="14" t="inlineStr"/>
      <c r="L35" s="14" t="inlineStr"/>
      <c r="M35" s="14" t="inlineStr"/>
    </row>
    <row r="36" ht="45" customHeight="1">
      <c r="B36" s="12" t="inlineStr">
        <is>
          <t>TR3(c)</t>
        </is>
      </c>
      <c r="C36" s="8" t="inlineStr">
        <is>
          <t>Transformational research</t>
        </is>
      </c>
      <c r="D36" s="8" t="inlineStr">
        <is>
          <t>Evidence of progress in sustainability-related research culture, capability and awareness, informed by periodic staff and graduate researcher surveys</t>
        </is>
      </c>
      <c r="E36" s="13" t="inlineStr">
        <is>
          <t>R</t>
        </is>
      </c>
      <c r="F36" s="13" t="inlineStr">
        <is>
          <t>R</t>
        </is>
      </c>
      <c r="G36" s="13" t="inlineStr">
        <is>
          <t>R</t>
        </is>
      </c>
      <c r="H36" s="13" t="inlineStr">
        <is>
          <t>R</t>
        </is>
      </c>
      <c r="I36" s="14" t="inlineStr"/>
      <c r="J36" s="14" t="inlineStr"/>
      <c r="K36" s="14" t="inlineStr"/>
      <c r="L36" s="14" t="inlineStr"/>
      <c r="M36" s="14" t="inlineStr"/>
    </row>
    <row r="37" ht="45" customHeight="1">
      <c r="B37" s="12" t="inlineStr">
        <is>
          <t>TR3(d)</t>
        </is>
      </c>
      <c r="C37" s="8" t="inlineStr">
        <is>
          <t>Transformational research</t>
        </is>
      </c>
      <c r="D37" s="8" t="inlineStr">
        <is>
          <t>Expert assessment of progress in embedding sustainable research practices across the institution.</t>
        </is>
      </c>
      <c r="E37" s="13" t="inlineStr">
        <is>
          <t>R</t>
        </is>
      </c>
      <c r="F37" s="13" t="inlineStr">
        <is>
          <t>R</t>
        </is>
      </c>
      <c r="G37" s="13" t="inlineStr">
        <is>
          <t>R</t>
        </is>
      </c>
      <c r="H37" s="13" t="inlineStr">
        <is>
          <t>R</t>
        </is>
      </c>
      <c r="I37" s="14" t="inlineStr"/>
      <c r="J37" s="14" t="inlineStr"/>
      <c r="K37" s="14" t="inlineStr"/>
      <c r="L37" s="14" t="inlineStr"/>
      <c r="M37" s="14" t="inlineStr"/>
    </row>
    <row r="38" ht="45" customHeight="1">
      <c r="B38" s="12" t="inlineStr">
        <is>
          <t>CL1(a)</t>
        </is>
      </c>
      <c r="C38" s="8" t="inlineStr">
        <is>
          <t>Climate leadership</t>
        </is>
      </c>
      <c r="D38" s="8" t="inlineStr">
        <is>
          <t>Annual Greenhouse Gas Inventory (including emissions scopes 1, 2 and 3) demonstrates carbon emission reductions, including maintaining procurement of 100% renewable electricity for all scope 2 sources[1]</t>
        </is>
      </c>
      <c r="E38" s="14" t="inlineStr"/>
      <c r="F38" s="14" t="inlineStr"/>
      <c r="G38" s="14" t="inlineStr"/>
      <c r="H38" s="14" t="inlineStr"/>
      <c r="I38" s="14" t="inlineStr"/>
      <c r="J38" s="14" t="inlineStr"/>
      <c r="K38" s="14" t="inlineStr"/>
      <c r="L38" s="14" t="inlineStr"/>
      <c r="M38" s="14" t="inlineStr"/>
    </row>
    <row r="39" ht="45" customHeight="1">
      <c r="B39" s="12" t="inlineStr">
        <is>
          <t>CL1(b)</t>
        </is>
      </c>
      <c r="C39" s="8" t="inlineStr">
        <is>
          <t>Climate leadership</t>
        </is>
      </c>
      <c r="D39" s="8" t="inlineStr">
        <is>
          <t>Development of Greenhouse Gas  intensity metrics</t>
        </is>
      </c>
      <c r="E39" s="14" t="inlineStr"/>
      <c r="F39" s="14" t="inlineStr"/>
      <c r="G39" s="14" t="inlineStr"/>
      <c r="H39" s="14" t="inlineStr"/>
      <c r="I39" s="14" t="inlineStr"/>
      <c r="J39" s="14" t="inlineStr"/>
      <c r="K39" s="14" t="inlineStr"/>
      <c r="L39" s="14" t="inlineStr"/>
      <c r="M39" s="14" t="inlineStr"/>
    </row>
    <row r="40" ht="45" customHeight="1">
      <c r="B40" s="12" t="inlineStr">
        <is>
          <t>CL1(c)</t>
        </is>
      </c>
      <c r="C40" s="8" t="inlineStr">
        <is>
          <t>Climate leadership</t>
        </is>
      </c>
      <c r="D40" s="8" t="inlineStr">
        <is>
          <t>Review of Climate Leadership targets by 2030.[2]</t>
        </is>
      </c>
      <c r="E40" s="14" t="inlineStr"/>
      <c r="F40" s="14" t="inlineStr"/>
      <c r="G40" s="14" t="inlineStr"/>
      <c r="H40" s="14" t="inlineStr"/>
      <c r="I40" s="13" t="inlineStr">
        <is>
          <t>R</t>
        </is>
      </c>
      <c r="J40" s="14" t="inlineStr"/>
      <c r="K40" s="14" t="inlineStr"/>
      <c r="L40" s="14" t="inlineStr"/>
      <c r="M40" s="14" t="inlineStr"/>
    </row>
    <row r="41" ht="45" customHeight="1">
      <c r="B41" s="12" t="inlineStr">
        <is>
          <t>CL2(a)</t>
        </is>
      </c>
      <c r="C41" s="8" t="inlineStr">
        <is>
          <t>Climate leadership</t>
        </is>
      </c>
      <c r="D41" s="8" t="inlineStr">
        <is>
          <t>By 2028, develop and document institutional mapping of research and education activities that are designed to contribute to global decarbonisation</t>
        </is>
      </c>
      <c r="E41" s="13" t="inlineStr">
        <is>
          <t>R</t>
        </is>
      </c>
      <c r="F41" s="13" t="inlineStr">
        <is>
          <t>R</t>
        </is>
      </c>
      <c r="G41" s="13" t="inlineStr">
        <is>
          <t>R</t>
        </is>
      </c>
      <c r="H41" s="13" t="inlineStr">
        <is>
          <t>R</t>
        </is>
      </c>
      <c r="I41" s="13" t="inlineStr">
        <is>
          <t>R</t>
        </is>
      </c>
      <c r="J41" s="14" t="inlineStr"/>
      <c r="K41" s="14" t="inlineStr"/>
      <c r="L41" s="14" t="inlineStr"/>
      <c r="M41" s="14" t="inlineStr"/>
    </row>
    <row r="42" ht="45" customHeight="1">
      <c r="B42" s="12" t="inlineStr">
        <is>
          <t>CL2(b)</t>
        </is>
      </c>
      <c r="C42" s="8" t="inlineStr">
        <is>
          <t>Climate leadership</t>
        </is>
      </c>
      <c r="D42" s="8" t="inlineStr">
        <is>
          <t>Prioritised pipeline of decarbonisation focused research and education opportunities aligned with University emissions reduction priorities from 2028</t>
        </is>
      </c>
      <c r="E42" s="14" t="inlineStr"/>
      <c r="F42" s="14" t="inlineStr"/>
      <c r="G42" s="14" t="inlineStr"/>
      <c r="H42" s="14" t="inlineStr"/>
      <c r="I42" s="14" t="inlineStr"/>
      <c r="J42" s="14" t="inlineStr"/>
      <c r="K42" s="14" t="inlineStr"/>
      <c r="L42" s="14" t="inlineStr"/>
      <c r="M42" s="14" t="inlineStr"/>
    </row>
    <row r="43" ht="45" customHeight="1">
      <c r="B43" s="12" t="inlineStr">
        <is>
          <t>CL2(c)</t>
        </is>
      </c>
      <c r="C43" s="8" t="inlineStr">
        <is>
          <t>Climate leadership</t>
        </is>
      </c>
      <c r="D43" s="8" t="inlineStr">
        <is>
          <t>Ongoing communications that evidence the University’s climate action, research and learning to inform policy, sector and community decarbonisation efforts.</t>
        </is>
      </c>
      <c r="E43" s="13" t="inlineStr">
        <is>
          <t>R</t>
        </is>
      </c>
      <c r="F43" s="13" t="inlineStr">
        <is>
          <t>R</t>
        </is>
      </c>
      <c r="G43" s="13" t="inlineStr">
        <is>
          <t>R</t>
        </is>
      </c>
      <c r="H43" s="13" t="inlineStr">
        <is>
          <t>R</t>
        </is>
      </c>
      <c r="I43" s="14" t="inlineStr"/>
      <c r="J43" s="14" t="inlineStr"/>
      <c r="K43" s="14" t="inlineStr"/>
      <c r="L43" s="14" t="inlineStr"/>
      <c r="M43" s="14" t="inlineStr"/>
    </row>
    <row r="44" ht="45" customHeight="1">
      <c r="B44" s="12" t="inlineStr">
        <is>
          <t>CL3(a)</t>
        </is>
      </c>
      <c r="C44" s="8" t="inlineStr">
        <is>
          <t>Climate leadership</t>
        </is>
      </c>
      <c r="D4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4" s="14" t="inlineStr"/>
      <c r="F44" s="14" t="inlineStr"/>
      <c r="G44" s="14" t="inlineStr"/>
      <c r="H44" s="14" t="inlineStr"/>
      <c r="I44" s="13" t="inlineStr">
        <is>
          <t>R</t>
        </is>
      </c>
      <c r="J44" s="14" t="inlineStr"/>
      <c r="K44" s="14" t="inlineStr"/>
      <c r="L44" s="14" t="inlineStr"/>
      <c r="M44" s="14" t="inlineStr"/>
    </row>
    <row r="45" ht="45" customHeight="1">
      <c r="B45" s="12" t="inlineStr">
        <is>
          <t>NB1(a)</t>
        </is>
      </c>
      <c r="C45" s="8" t="inlineStr">
        <is>
          <t>Nature and biodiversity</t>
        </is>
      </c>
      <c r="D45" s="8" t="inlineStr">
        <is>
          <t>Monitoring of biodiversity metrics from the Biodiversity Baseline Data Project</t>
        </is>
      </c>
      <c r="E45" s="14" t="inlineStr"/>
      <c r="F45" s="14" t="inlineStr"/>
      <c r="G45" s="14" t="inlineStr"/>
      <c r="H45" s="14" t="inlineStr"/>
      <c r="I45" s="14" t="inlineStr"/>
      <c r="J45" s="14" t="inlineStr"/>
      <c r="K45" s="14" t="inlineStr"/>
      <c r="L45" s="14" t="inlineStr"/>
      <c r="M45" s="14" t="inlineStr"/>
    </row>
    <row r="46" ht="45" customHeight="1">
      <c r="B46" s="12" t="inlineStr">
        <is>
          <t>NB1(b)</t>
        </is>
      </c>
      <c r="C46" s="8" t="inlineStr">
        <is>
          <t>Nature and biodiversity</t>
        </is>
      </c>
      <c r="D46" s="8" t="inlineStr">
        <is>
          <t>Size, health and diversity of remnant vegetation at the Dookie and Creswick campuses</t>
        </is>
      </c>
      <c r="E46" s="14" t="inlineStr"/>
      <c r="F46" s="14" t="inlineStr"/>
      <c r="G46" s="14" t="inlineStr"/>
      <c r="H46" s="14" t="inlineStr"/>
      <c r="I46" s="14" t="inlineStr"/>
      <c r="J46" s="14" t="inlineStr"/>
      <c r="K46" s="13" t="inlineStr">
        <is>
          <t>R</t>
        </is>
      </c>
      <c r="L46" s="14" t="inlineStr"/>
      <c r="M46" s="14" t="inlineStr"/>
    </row>
    <row r="47" ht="45" customHeight="1">
      <c r="B47" s="12" t="inlineStr">
        <is>
          <t>NB1(c)</t>
        </is>
      </c>
      <c r="C47" s="8" t="inlineStr">
        <is>
          <t>Nature and biodiversity</t>
        </is>
      </c>
      <c r="D47" s="8" t="inlineStr">
        <is>
          <t>Defined quality measurement framework</t>
        </is>
      </c>
      <c r="E47" s="14" t="inlineStr"/>
      <c r="F47" s="14" t="inlineStr"/>
      <c r="G47" s="14" t="inlineStr"/>
      <c r="H47" s="14" t="inlineStr"/>
      <c r="I47" s="14" t="inlineStr"/>
      <c r="J47" s="14" t="inlineStr"/>
      <c r="K47" s="13" t="inlineStr">
        <is>
          <t>R</t>
        </is>
      </c>
      <c r="L47" s="14" t="inlineStr"/>
      <c r="M47" s="14" t="inlineStr"/>
    </row>
    <row r="48" ht="45" customHeight="1">
      <c r="B48" s="12" t="inlineStr">
        <is>
          <t>NB1(d)</t>
        </is>
      </c>
      <c r="C48" s="8" t="inlineStr">
        <is>
          <t>Nature and biodiversity</t>
        </is>
      </c>
      <c r="D48" s="8" t="inlineStr">
        <is>
          <t>Defined and quantified campus connectivity</t>
        </is>
      </c>
      <c r="E48" s="14" t="inlineStr"/>
      <c r="F48" s="14" t="inlineStr"/>
      <c r="G48" s="14" t="inlineStr"/>
      <c r="H48" s="14" t="inlineStr"/>
      <c r="I48" s="14" t="inlineStr"/>
      <c r="J48" s="14" t="inlineStr"/>
      <c r="K48" s="13" t="inlineStr">
        <is>
          <t>R</t>
        </is>
      </c>
      <c r="L48" s="14" t="inlineStr"/>
      <c r="M48" s="14" t="inlineStr"/>
    </row>
    <row r="49" ht="45" customHeight="1">
      <c r="B49" s="12" t="inlineStr">
        <is>
          <t>NB2(a)</t>
        </is>
      </c>
      <c r="C49" s="8" t="inlineStr">
        <is>
          <t>Nature and biodiversity</t>
        </is>
      </c>
      <c r="D49" s="8" t="inlineStr">
        <is>
          <t>Documented baseline nature footprint analysis</t>
        </is>
      </c>
      <c r="E49" s="14" t="inlineStr"/>
      <c r="F49" s="14" t="inlineStr"/>
      <c r="G49" s="14" t="inlineStr"/>
      <c r="H49" s="14" t="inlineStr"/>
      <c r="I49" s="14" t="inlineStr"/>
      <c r="J49" s="14" t="inlineStr"/>
      <c r="K49" s="14" t="inlineStr"/>
      <c r="L49" s="14" t="inlineStr"/>
      <c r="M49" s="13" t="inlineStr">
        <is>
          <t>R</t>
        </is>
      </c>
    </row>
    <row r="50" ht="45" customHeight="1">
      <c r="B50" s="12" t="inlineStr">
        <is>
          <t>NB2(b)</t>
        </is>
      </c>
      <c r="C50" s="8" t="inlineStr">
        <is>
          <t>Nature and biodiversity</t>
        </is>
      </c>
      <c r="D50" s="8" t="inlineStr">
        <is>
          <t>Evidence of established framework to monitor and track supply-chain nature impacts over time</t>
        </is>
      </c>
      <c r="E50" s="14" t="inlineStr"/>
      <c r="F50" s="14" t="inlineStr"/>
      <c r="G50" s="14" t="inlineStr"/>
      <c r="H50" s="14" t="inlineStr"/>
      <c r="I50" s="14" t="inlineStr"/>
      <c r="J50" s="14" t="inlineStr"/>
      <c r="K50" s="13" t="inlineStr">
        <is>
          <t>R</t>
        </is>
      </c>
      <c r="L50" s="14" t="inlineStr"/>
      <c r="M50" s="14" t="inlineStr"/>
    </row>
    <row r="51" ht="45" customHeight="1">
      <c r="B51" s="12" t="inlineStr">
        <is>
          <t>NB2(c)</t>
        </is>
      </c>
      <c r="C51" s="8" t="inlineStr">
        <is>
          <t>Nature and biodiversity</t>
        </is>
      </c>
      <c r="D51" s="8" t="inlineStr">
        <is>
          <t>Evidence of prioritised high risk procurement categories or suppliers for nature impact management</t>
        </is>
      </c>
      <c r="E51" s="14" t="inlineStr"/>
      <c r="F51" s="14" t="inlineStr"/>
      <c r="G51" s="14" t="inlineStr"/>
      <c r="H51" s="14" t="inlineStr"/>
      <c r="I51" s="14" t="inlineStr"/>
      <c r="J51" s="13" t="inlineStr">
        <is>
          <t>R</t>
        </is>
      </c>
      <c r="K51" s="13" t="inlineStr">
        <is>
          <t>R</t>
        </is>
      </c>
      <c r="L51" s="14" t="inlineStr"/>
      <c r="M51" s="14" t="inlineStr"/>
    </row>
    <row r="52" ht="45" customHeight="1">
      <c r="B52" s="12" t="inlineStr">
        <is>
          <t>AI1(a)</t>
        </is>
      </c>
      <c r="C52" s="8" t="inlineStr">
        <is>
          <t>Responsible AI</t>
        </is>
      </c>
      <c r="D52" s="8" t="inlineStr">
        <is>
          <t>Established measurement of estimated operational impacts and opportunities (eg operational impacts could include energy, water, emissions and intensity measures)</t>
        </is>
      </c>
      <c r="E52" s="14" t="inlineStr"/>
      <c r="F52" s="14" t="inlineStr"/>
      <c r="G52" s="14" t="inlineStr"/>
      <c r="H52" s="14" t="inlineStr"/>
      <c r="I52" s="13" t="inlineStr">
        <is>
          <t>R</t>
        </is>
      </c>
      <c r="J52" s="14" t="inlineStr"/>
      <c r="K52" s="14" t="inlineStr"/>
      <c r="L52" s="13" t="inlineStr">
        <is>
          <t>R</t>
        </is>
      </c>
      <c r="M52" s="14" t="inlineStr"/>
    </row>
    <row r="53" ht="45" customHeight="1">
      <c r="B53" s="12" t="inlineStr">
        <is>
          <t>AI1(b)</t>
        </is>
      </c>
      <c r="C53" s="8" t="inlineStr">
        <is>
          <t>Responsible AI</t>
        </is>
      </c>
      <c r="D53" s="8" t="inlineStr">
        <is>
          <t>Case studies of sustainability and AI-related education, research and collaboration activities.</t>
        </is>
      </c>
      <c r="E53" s="14" t="inlineStr"/>
      <c r="F53" s="14" t="inlineStr"/>
      <c r="G53" s="14" t="inlineStr"/>
      <c r="H53" s="14" t="inlineStr"/>
      <c r="I53" s="13" t="inlineStr">
        <is>
          <t>R</t>
        </is>
      </c>
      <c r="J53" s="14" t="inlineStr"/>
      <c r="K53" s="14" t="inlineStr"/>
      <c r="L53" s="13" t="inlineStr">
        <is>
          <t>R</t>
        </is>
      </c>
      <c r="M53" s="14" t="inlineStr"/>
    </row>
    <row r="54" ht="45" customHeight="1">
      <c r="B54" s="12" t="inlineStr">
        <is>
          <t>EI1(a)</t>
        </is>
      </c>
      <c r="C54" s="8" t="inlineStr">
        <is>
          <t>Estate and infrastructure</t>
        </is>
      </c>
      <c r="D54" s="8" t="inlineStr">
        <is>
          <t>Evidence of increased maturity of estate and infrastructure planning, development and operations to support the other priority areas in Sustainability 2030</t>
        </is>
      </c>
      <c r="E54" s="14" t="inlineStr"/>
      <c r="F54" s="14" t="inlineStr"/>
      <c r="G54" s="14" t="inlineStr"/>
      <c r="H54" s="14" t="inlineStr"/>
      <c r="I54" s="13" t="inlineStr">
        <is>
          <t>R</t>
        </is>
      </c>
      <c r="J54" s="14" t="inlineStr"/>
      <c r="K54" s="14" t="inlineStr"/>
      <c r="L54" s="14" t="inlineStr"/>
      <c r="M54" s="14" t="inlineStr"/>
    </row>
    <row r="55" ht="45" customHeight="1">
      <c r="B55" s="12" t="inlineStr">
        <is>
          <t>EI1(b)</t>
        </is>
      </c>
      <c r="C55" s="8" t="inlineStr">
        <is>
          <t>Estate and infrastructure</t>
        </is>
      </c>
      <c r="D55" s="8" t="inlineStr">
        <is>
          <t>Estimated sustainability impacts of the University’s estate and infrastructure capital plan to inform progress towards emissions reduction targets and other priority areas (to the extent enabled by available information)</t>
        </is>
      </c>
      <c r="E55" s="14" t="inlineStr"/>
      <c r="F55" s="14" t="inlineStr"/>
      <c r="G55" s="14" t="inlineStr"/>
      <c r="H55" s="14" t="inlineStr"/>
      <c r="I55" s="13" t="inlineStr">
        <is>
          <t>R</t>
        </is>
      </c>
      <c r="J55" s="14" t="inlineStr"/>
      <c r="K55" s="14" t="inlineStr"/>
      <c r="L55" s="14" t="inlineStr"/>
      <c r="M55" s="14" t="inlineStr"/>
    </row>
    <row r="56" ht="45" customHeight="1">
      <c r="B56" s="12" t="inlineStr">
        <is>
          <t>EI1(c)</t>
        </is>
      </c>
      <c r="C56" s="8" t="inlineStr">
        <is>
          <t>Estate and infrastructure</t>
        </is>
      </c>
      <c r="D56" s="8" t="inlineStr">
        <is>
          <t>Reporting on relevant activities and impacts for the University’s major estate and infrastructure projects and programs aligned with the other priority areas in Sustainability 2030</t>
        </is>
      </c>
      <c r="E56" s="14" t="inlineStr"/>
      <c r="F56" s="14" t="inlineStr"/>
      <c r="G56" s="14" t="inlineStr"/>
      <c r="H56" s="14" t="inlineStr"/>
      <c r="I56" s="13" t="inlineStr">
        <is>
          <t>R</t>
        </is>
      </c>
      <c r="J56" s="14" t="inlineStr"/>
      <c r="K56" s="14" t="inlineStr"/>
      <c r="L56" s="14" t="inlineStr"/>
      <c r="M56" s="14" t="inlineStr"/>
    </row>
    <row r="57" ht="45" customHeight="1">
      <c r="B57" s="12" t="inlineStr">
        <is>
          <t>EI1(d)</t>
        </is>
      </c>
      <c r="C57" s="8" t="inlineStr">
        <is>
          <t>Estate and infrastructure</t>
        </is>
      </c>
      <c r="D57" s="8" t="inlineStr">
        <is>
          <t>Evidence of understanding and integration of Indigenous approaches to sustainability in estate planning and development programs and projects.</t>
        </is>
      </c>
      <c r="E57" s="14" t="inlineStr"/>
      <c r="F57" s="14" t="inlineStr"/>
      <c r="G57" s="14" t="inlineStr"/>
      <c r="H57" s="14" t="inlineStr"/>
      <c r="I57" s="13" t="inlineStr">
        <is>
          <t>R</t>
        </is>
      </c>
      <c r="J57" s="14" t="inlineStr"/>
      <c r="K57" s="14" t="inlineStr"/>
      <c r="L57" s="14" t="inlineStr"/>
      <c r="M57" s="14" t="inlineStr"/>
    </row>
    <row r="58" ht="45" customHeight="1">
      <c r="B58" s="12" t="inlineStr">
        <is>
          <t>CE1(a)</t>
        </is>
      </c>
      <c r="C58" s="8" t="inlineStr">
        <is>
          <t>Circular economy</t>
        </is>
      </c>
      <c r="D58" s="8" t="inlineStr">
        <is>
          <t>Comparison of year-to-year tonnes of waste (absolute).</t>
        </is>
      </c>
      <c r="E58" s="14" t="inlineStr"/>
      <c r="F58" s="14" t="inlineStr"/>
      <c r="G58" s="14" t="inlineStr"/>
      <c r="H58" s="14" t="inlineStr"/>
      <c r="I58" s="14" t="inlineStr"/>
      <c r="J58" s="14" t="inlineStr"/>
      <c r="K58" s="14" t="inlineStr"/>
      <c r="L58" s="14" t="inlineStr"/>
      <c r="M58" s="14" t="inlineStr"/>
    </row>
    <row r="59" ht="45" customHeight="1">
      <c r="B59" s="12" t="inlineStr">
        <is>
          <t>CE2(a)</t>
        </is>
      </c>
      <c r="C59" s="8" t="inlineStr">
        <is>
          <t>Circular economy</t>
        </is>
      </c>
      <c r="D59" s="8" t="inlineStr">
        <is>
          <t>Comparison of year-to-year tonnes of recyclables (absolute).</t>
        </is>
      </c>
      <c r="E59" s="14" t="inlineStr"/>
      <c r="F59" s="14" t="inlineStr"/>
      <c r="G59" s="14" t="inlineStr"/>
      <c r="H59" s="14" t="inlineStr"/>
      <c r="I59" s="14" t="inlineStr"/>
      <c r="J59" s="14" t="inlineStr"/>
      <c r="K59" s="14" t="inlineStr"/>
      <c r="L59" s="14" t="inlineStr"/>
      <c r="M59" s="14" t="inlineStr"/>
    </row>
    <row r="60" ht="45" customHeight="1">
      <c r="B60" s="12" t="inlineStr">
        <is>
          <t>RP1(a)</t>
        </is>
      </c>
      <c r="C60" s="8" t="inlineStr">
        <is>
          <t>Responsible procurement</t>
        </is>
      </c>
      <c r="D60" s="8" t="inlineStr">
        <is>
          <t>Case studies of maturity improvement related to responsible procurement process and systems.</t>
        </is>
      </c>
      <c r="E60" s="14" t="inlineStr"/>
      <c r="F60" s="14" t="inlineStr"/>
      <c r="G60" s="14" t="inlineStr"/>
      <c r="H60" s="14" t="inlineStr"/>
      <c r="I60" s="14" t="inlineStr"/>
      <c r="J60" s="13" t="inlineStr">
        <is>
          <t>R</t>
        </is>
      </c>
      <c r="K60" s="14" t="inlineStr"/>
      <c r="L60" s="14" t="inlineStr"/>
      <c r="M60" s="14" t="inlineStr"/>
    </row>
    <row r="61" ht="45" customHeight="1">
      <c r="B61" s="12" t="inlineStr">
        <is>
          <t>RP2(a)</t>
        </is>
      </c>
      <c r="C61" s="8" t="inlineStr">
        <is>
          <t>Responsible procurement</t>
        </is>
      </c>
      <c r="D61" s="8" t="inlineStr">
        <is>
          <t>Percentage of Indigenous spend of total addressable procurement spend</t>
        </is>
      </c>
      <c r="E61" s="14" t="inlineStr"/>
      <c r="F61" s="14" t="inlineStr"/>
      <c r="G61" s="14" t="inlineStr"/>
      <c r="H61" s="14" t="inlineStr"/>
      <c r="I61" s="14" t="inlineStr"/>
      <c r="J61" s="14" t="inlineStr"/>
      <c r="K61" s="14" t="inlineStr"/>
      <c r="L61" s="14" t="inlineStr"/>
      <c r="M61" s="14" t="inlineStr"/>
    </row>
    <row r="62" ht="45" customHeight="1">
      <c r="B62" s="12" t="inlineStr">
        <is>
          <t>RP2(b)</t>
        </is>
      </c>
      <c r="C62" s="8" t="inlineStr">
        <is>
          <t>Responsible procurement</t>
        </is>
      </c>
      <c r="D62" s="8" t="inlineStr">
        <is>
          <t>Percentage of social spend of total addressable procurement spend.</t>
        </is>
      </c>
      <c r="E62" s="14" t="inlineStr"/>
      <c r="F62" s="14" t="inlineStr"/>
      <c r="G62" s="14" t="inlineStr"/>
      <c r="H62" s="14" t="inlineStr"/>
      <c r="I62" s="14" t="inlineStr"/>
      <c r="J62" s="14" t="inlineStr"/>
      <c r="K62" s="14" t="inlineStr"/>
      <c r="L62" s="14" t="inlineStr"/>
      <c r="M62" s="14" t="inlineStr"/>
    </row>
    <row r="63" ht="45" customHeight="1">
      <c r="B63" s="12" t="inlineStr">
        <is>
          <t>MS1(a)</t>
        </is>
      </c>
      <c r="C63" s="8" t="inlineStr">
        <is>
          <t>Modern slavery and human rights</t>
        </is>
      </c>
      <c r="D63" s="8" t="inlineStr">
        <is>
          <t>Annual progress reporting via the Modern Slavery Statement</t>
        </is>
      </c>
      <c r="E63" s="14" t="inlineStr"/>
      <c r="F63" s="14" t="inlineStr"/>
      <c r="G63" s="14" t="inlineStr"/>
      <c r="H63" s="14" t="inlineStr"/>
      <c r="I63" s="13" t="inlineStr">
        <is>
          <t>R</t>
        </is>
      </c>
      <c r="J63" s="13" t="inlineStr">
        <is>
          <t>R</t>
        </is>
      </c>
      <c r="K63" s="14" t="inlineStr"/>
      <c r="L63" s="14" t="inlineStr"/>
      <c r="M63" s="14" t="inlineStr"/>
    </row>
    <row r="64" ht="45" customHeight="1">
      <c r="B64" s="12" t="inlineStr">
        <is>
          <t>RI1(a)</t>
        </is>
      </c>
      <c r="C64" s="8" t="inlineStr">
        <is>
          <t>Responsible investments</t>
        </is>
      </c>
      <c r="D64" s="8" t="inlineStr">
        <is>
          <t>Annual monitoring and reporting on the investment portfolio’s net zero transition progress, including tracking the percentage of assets under management (AUM) managed by investment managers aligned with (or committed to) net zero by 2050</t>
        </is>
      </c>
      <c r="E64" s="14" t="inlineStr"/>
      <c r="F64" s="14" t="inlineStr"/>
      <c r="G64" s="14" t="inlineStr"/>
      <c r="H64" s="14" t="inlineStr"/>
      <c r="I64" s="14" t="inlineStr"/>
      <c r="J64" s="14" t="inlineStr"/>
      <c r="K64" s="14" t="inlineStr"/>
      <c r="L64" s="14" t="inlineStr"/>
      <c r="M64" s="14" t="inlineStr"/>
    </row>
    <row r="65" ht="45" customHeight="1">
      <c r="B65" s="12" t="inlineStr">
        <is>
          <t>RI1(b)</t>
        </is>
      </c>
      <c r="C65" s="8" t="inlineStr">
        <is>
          <t>Responsible investments</t>
        </is>
      </c>
      <c r="D65" s="8" t="inlineStr">
        <is>
          <t>Continuous improvement of the reporting of the University’s sustainability-related investment profile metrics, could include investment in climate mitigation and transition solutions, and compliance with related obligations (eg UNPRI).</t>
        </is>
      </c>
      <c r="E65" s="14" t="inlineStr"/>
      <c r="F65" s="14" t="inlineStr"/>
      <c r="G65" s="14" t="inlineStr"/>
      <c r="H65" s="14" t="inlineStr"/>
      <c r="I65" s="13" t="inlineStr">
        <is>
          <t>R</t>
        </is>
      </c>
      <c r="J65" s="13" t="inlineStr">
        <is>
          <t>R</t>
        </is>
      </c>
      <c r="K65" s="14" t="inlineStr"/>
      <c r="L65" s="14" t="inlineStr"/>
      <c r="M65" s="14" t="inlineStr"/>
    </row>
    <row r="66" ht="45" customHeight="1">
      <c r="B66" s="12" t="inlineStr">
        <is>
          <t>EN1(a)</t>
        </is>
      </c>
      <c r="C66" s="8" t="inlineStr">
        <is>
          <t>Enablers</t>
        </is>
      </c>
      <c r="D66" s="8" t="inlineStr">
        <is>
          <t>Evidence of sustainability outcomes informed by Indigenous knowledges</t>
        </is>
      </c>
      <c r="E66" s="13" t="inlineStr">
        <is>
          <t>R</t>
        </is>
      </c>
      <c r="F66" s="13" t="inlineStr">
        <is>
          <t>R</t>
        </is>
      </c>
      <c r="G66" s="13" t="inlineStr">
        <is>
          <t>R</t>
        </is>
      </c>
      <c r="H66" s="13" t="inlineStr">
        <is>
          <t>R</t>
        </is>
      </c>
      <c r="I66" s="14" t="inlineStr"/>
      <c r="J66" s="14" t="inlineStr"/>
      <c r="K66" s="14" t="inlineStr"/>
      <c r="L66" s="14" t="inlineStr"/>
      <c r="M66" s="14" t="inlineStr"/>
    </row>
    <row r="67" ht="45" customHeight="1">
      <c r="B67" s="12" t="inlineStr">
        <is>
          <t>EN1(b)</t>
        </is>
      </c>
      <c r="C67" s="8" t="inlineStr">
        <is>
          <t>Enablers</t>
        </is>
      </c>
      <c r="D67" s="8" t="inlineStr">
        <is>
          <t>Living laboratories enabling applied learning, research and operational sustainability outcomes</t>
        </is>
      </c>
      <c r="E67" s="13" t="inlineStr">
        <is>
          <t>R</t>
        </is>
      </c>
      <c r="F67" s="13" t="inlineStr">
        <is>
          <t>R</t>
        </is>
      </c>
      <c r="G67" s="13" t="inlineStr">
        <is>
          <t>R</t>
        </is>
      </c>
      <c r="H67" s="13" t="inlineStr">
        <is>
          <t>R</t>
        </is>
      </c>
      <c r="I67" s="13" t="inlineStr">
        <is>
          <t>R</t>
        </is>
      </c>
      <c r="J67" s="14" t="inlineStr"/>
      <c r="K67" s="14" t="inlineStr"/>
      <c r="L67" s="14" t="inlineStr"/>
      <c r="M67" s="14" t="inlineStr"/>
    </row>
    <row r="68" ht="45" customHeight="1">
      <c r="B68" s="12" t="inlineStr">
        <is>
          <t>EN1(c)</t>
        </is>
      </c>
      <c r="C68" s="8" t="inlineStr">
        <is>
          <t>Enablers</t>
        </is>
      </c>
      <c r="D68" s="8" t="inlineStr">
        <is>
          <t>Coordinated internal engagement and external partnerships contributing to delivery of sustainability outcomes across priority areas.</t>
        </is>
      </c>
      <c r="E68" s="13" t="inlineStr">
        <is>
          <t>R</t>
        </is>
      </c>
      <c r="F68" s="13" t="inlineStr">
        <is>
          <t>R</t>
        </is>
      </c>
      <c r="G68" s="13" t="inlineStr">
        <is>
          <t>R</t>
        </is>
      </c>
      <c r="H68" s="13" t="inlineStr">
        <is>
          <t>R</t>
        </is>
      </c>
      <c r="I68" s="13" t="inlineStr">
        <is>
          <t>R</t>
        </is>
      </c>
      <c r="J68" s="13" t="inlineStr">
        <is>
          <t>R</t>
        </is>
      </c>
      <c r="K68" s="13" t="inlineStr">
        <is>
          <t>R</t>
        </is>
      </c>
      <c r="L68" s="13" t="inlineStr">
        <is>
          <t>R</t>
        </is>
      </c>
      <c r="M68" s="14" t="inlineStr"/>
    </row>
    <row r="69" ht="45" customHeight="1">
      <c r="B69" s="12" t="inlineStr">
        <is>
          <t>EN1(d)</t>
        </is>
      </c>
      <c r="C69" s="8" t="inlineStr">
        <is>
          <t>Enablers</t>
        </is>
      </c>
      <c r="D69" s="8" t="inlineStr">
        <is>
          <t>Sustainability objectives integrated into governance and decision‑making processes, supported by transparent reporting.</t>
        </is>
      </c>
      <c r="E69" s="13" t="inlineStr">
        <is>
          <t>R</t>
        </is>
      </c>
      <c r="F69" s="13" t="inlineStr">
        <is>
          <t>R</t>
        </is>
      </c>
      <c r="G69" s="13" t="inlineStr">
        <is>
          <t>R</t>
        </is>
      </c>
      <c r="H69" s="13" t="inlineStr">
        <is>
          <t>R</t>
        </is>
      </c>
      <c r="I69" s="13" t="inlineStr">
        <is>
          <t>R</t>
        </is>
      </c>
      <c r="J69" s="13" t="inlineStr">
        <is>
          <t>R</t>
        </is>
      </c>
      <c r="K69" s="13" t="inlineStr">
        <is>
          <t>R</t>
        </is>
      </c>
      <c r="L69" s="13" t="inlineStr">
        <is>
          <t>R</t>
        </is>
      </c>
      <c r="M69" s="1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0"/>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11" t="inlineStr">
        <is>
          <t>Summary</t>
        </is>
      </c>
    </row>
    <row r="5">
      <c r="C5" s="15" t="inlineStr">
        <is>
          <t>Not sent</t>
        </is>
      </c>
      <c r="E5" s="15" t="inlineStr">
        <is>
          <t>Sent</t>
        </is>
      </c>
      <c r="G5" s="15" t="inlineStr">
        <is>
          <t>Chased</t>
        </is>
      </c>
      <c r="I5" s="15" t="inlineStr">
        <is>
          <t>Support meeting</t>
        </is>
      </c>
      <c r="L5" s="15" t="inlineStr">
        <is>
          <t>Response rate</t>
        </is>
      </c>
      <c r="N5" s="15" t="inlineStr">
        <is>
          <t>Owner confirmed</t>
        </is>
      </c>
    </row>
    <row r="6">
      <c r="C6">
        <f>COUNTIF($N$10:$N$20,"Not sent")</f>
        <v/>
      </c>
      <c r="E6">
        <f>COUNTIF($N$10:$N$20,"Sent")</f>
        <v/>
      </c>
      <c r="G6">
        <f>COUNTIF($N$10:$N$20,"Chased")</f>
        <v/>
      </c>
      <c r="I6">
        <f>COUNTIF($N$10:$N$20,"Support meeting")</f>
        <v/>
      </c>
      <c r="L6" s="16">
        <f>IFERROR((COUNTIF($N$10:$N$20,"Received")+COUNTIF($N$10:$N$20,"Under review")+COUNTIF($N$10:$N$20,"Complete"))/(COUNTA($N$10:$N$20)-COUNTIF($N$10:$N$20,"Not required")),0)</f>
        <v/>
      </c>
      <c r="N6">
        <f>COUNTIF($M$10:$M$20,"Yes")&amp;" / "&amp;COUNTA($C$10:$C$20)</f>
        <v/>
      </c>
    </row>
    <row r="7">
      <c r="C7" s="15" t="inlineStr">
        <is>
          <t>Received</t>
        </is>
      </c>
      <c r="E7" s="15" t="inlineStr">
        <is>
          <t>Under review</t>
        </is>
      </c>
      <c r="G7" s="15" t="inlineStr">
        <is>
          <t>Complete</t>
        </is>
      </c>
      <c r="I7" s="15" t="inlineStr">
        <is>
          <t>Not required</t>
        </is>
      </c>
    </row>
    <row r="8">
      <c r="C8">
        <f>COUNTIF($N$10:$N$20,"Received")</f>
        <v/>
      </c>
      <c r="E8">
        <f>COUNTIF($N$10:$N$20,"Under review")</f>
        <v/>
      </c>
      <c r="G8">
        <f>COUNTIF($N$10:$N$20,"Complete")</f>
        <v/>
      </c>
      <c r="I8">
        <f>COUNTIF($N$10:$N$20,"Not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17" t="n"/>
      <c r="I10" s="17" t="n">
        <v>46402</v>
      </c>
      <c r="J10" s="17">
        <f>IF(I10="","",I10-7)</f>
        <v/>
      </c>
      <c r="K10" s="8" t="inlineStr"/>
      <c r="L10" s="17"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17" t="n"/>
      <c r="I11" s="17" t="n">
        <v>46402</v>
      </c>
      <c r="J11" s="17">
        <f>IF(I11="","",I11-7)</f>
        <v/>
      </c>
      <c r="K11" s="8" t="inlineStr"/>
      <c r="L11" s="17"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17" t="n"/>
      <c r="I12" s="17" t="n">
        <v>46402</v>
      </c>
      <c r="J12" s="17">
        <f>IF(I12="","",I12-7)</f>
        <v/>
      </c>
      <c r="K12" s="8" t="inlineStr"/>
      <c r="L12" s="17"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17" t="n"/>
      <c r="I13" s="17" t="n">
        <v>46402</v>
      </c>
      <c r="J13" s="17">
        <f>IF(I13="","",I13-7)</f>
        <v/>
      </c>
      <c r="K13" s="8" t="inlineStr"/>
      <c r="L13" s="17"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17" t="n"/>
      <c r="I14" s="17" t="n">
        <v>46402</v>
      </c>
      <c r="J14" s="17">
        <f>IF(I14="","",I14-7)</f>
        <v/>
      </c>
      <c r="K14" s="8" t="inlineStr"/>
      <c r="L14" s="17"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17" t="n"/>
      <c r="I15" s="17" t="n">
        <v>46402</v>
      </c>
      <c r="J15" s="17">
        <f>IF(I15="","",I15-7)</f>
        <v/>
      </c>
      <c r="K15" s="8" t="inlineStr"/>
      <c r="L15" s="17"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17" t="n"/>
      <c r="I16" s="17" t="n">
        <v>46402</v>
      </c>
      <c r="J16" s="17">
        <f>IF(I16="","",I16-7)</f>
        <v/>
      </c>
      <c r="K16" s="8" t="inlineStr"/>
      <c r="L16" s="17"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17" t="n"/>
      <c r="I17" s="17" t="n">
        <v>46402</v>
      </c>
      <c r="J17" s="17">
        <f>IF(I17="","",I17-7)</f>
        <v/>
      </c>
      <c r="K17" s="8" t="inlineStr"/>
      <c r="L17" s="17"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17" t="n"/>
      <c r="I18" s="17" t="n">
        <v>46402</v>
      </c>
      <c r="J18" s="17">
        <f>IF(I18="","",I18-7)</f>
        <v/>
      </c>
      <c r="K18" s="8" t="inlineStr"/>
      <c r="L18" s="17"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17" t="n"/>
      <c r="I19" s="17" t="n">
        <v>46402</v>
      </c>
      <c r="J19" s="17">
        <f>IF(I19="","",I19-7)</f>
        <v/>
      </c>
      <c r="K19" s="8" t="inlineStr"/>
      <c r="L19" s="17"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17" t="n"/>
      <c r="I20" s="17" t="n">
        <v>46402</v>
      </c>
      <c r="J20" s="17">
        <f>IF(I20="","",I20-7)</f>
        <v/>
      </c>
      <c r="K20" s="8" t="inlineStr"/>
      <c r="L20" s="17" t="n"/>
      <c r="M20" s="8" t="inlineStr"/>
      <c r="N20" s="8" t="inlineStr">
        <is>
          <t>Not sent</t>
        </is>
      </c>
      <c r="O20" s="8">
        <f>IF(OR(I20="",L20&lt;&gt;""),"",MAX(0,TODAY()-I20))</f>
        <v/>
      </c>
      <c r="P20" s="8" t="inlineStr"/>
    </row>
  </sheetData>
  <dataValidations count="2">
    <dataValidation sqref="N10:N20" showDropDown="0" showInputMessage="0" showErrorMessage="0" allowBlank="1" errorTitle="Invalid entry" error="Please select from the dropdown" type="list">
      <formula1>=Lists!$D$2:$D$9</formula1>
    </dataValidation>
    <dataValidation sqref="M10:M20"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0"/>
    <pageSetUpPr/>
  </sheetPr>
  <dimension ref="A1:R1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9" t="inlineStr">
        <is>
          <t>Consolidated responses – paste from returned request workbooks (identical column layout). Click [+] above Columns H–K for end-2025 responses.</t>
        </is>
      </c>
    </row>
    <row r="5">
      <c r="B5" s="18" t="inlineStr">
        <is>
          <t>1.1  ABP – Faculty of Architecture, Building and Planning</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EE1(a)</t>
        </is>
      </c>
      <c r="C10" s="12" t="inlineStr">
        <is>
          <t>Exceptional education</t>
        </is>
      </c>
      <c r="D10" s="12" t="inlineStr">
        <is>
          <t>Provide our students with learning experiences that help them build the knowledge, skills and relationships to lead change for sustainable societies.</t>
        </is>
      </c>
      <c r="E10" s="12" t="inlineStr">
        <is>
          <t>Evidence of innovative approaches to sustainability teaching and learning</t>
        </is>
      </c>
      <c r="F10"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0" s="8" t="inlineStr">
        <is>
          <t>We will use this to inform the Exceptional education section of the 2026 Sustainability Report (transition year), and to establish a baseline for reporting against Sustainability 2030 from 2027. Strong examples may be followed up as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12" t="inlineStr">
        <is>
          <t>Exceptional education</t>
        </is>
      </c>
      <c r="D11" s="12" t="inlineStr">
        <is>
          <t>Provide our students with learning experiences that help them build the knowledge, skills and relationships to lead change for sustainable societies.</t>
        </is>
      </c>
      <c r="E11" s="12" t="inlineStr">
        <is>
          <t>Pilots of possible approaches for understanding and developing students’ sustainability self-efficacy</t>
        </is>
      </c>
      <c r="F11"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1" s="8" t="inlineStr">
        <is>
          <t>We will use this to inform the Exceptional education section of the 2026 Sustainability Report (transition year), and to establish a baseline for reporting against Sustainability 2030 from 2027. Strong examples may be followed up as case studies.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12" t="inlineStr">
        <is>
          <t>Exceptional education</t>
        </is>
      </c>
      <c r="D12" s="12" t="inlineStr">
        <is>
          <t>Provide our students with learning experiences that help them build the knowledge, skills and relationships to lead change for sustainable societies.</t>
        </is>
      </c>
      <c r="E12" s="12" t="inlineStr">
        <is>
          <t>Evidence of sustainability focused experiential and co curricular learning (eg Wattle Fellowship; Melbourne Plus)</t>
        </is>
      </c>
      <c r="F12"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12" s="8" t="inlineStr">
        <is>
          <t>We will use this to inform the Exceptional education section of the 2026 Sustainability Report (transition year), and to establish a baseline for reporting against Sustainability 2030 from 2027. Strong examples may be followed up as case studies.</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12" t="inlineStr">
        <is>
          <t>Exceptional education</t>
        </is>
      </c>
      <c r="D13" s="12" t="inlineStr">
        <is>
          <t>Provide our students with learning experiences that help them build the knowledge, skills and relationships to lead change for sustainable societies.</t>
        </is>
      </c>
      <c r="E13" s="12" t="inlineStr">
        <is>
          <t>Alumni profiles demonstrating how graduates contribute to sustainability through their careers or communities.</t>
        </is>
      </c>
      <c r="F13"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13" s="8" t="inlineStr">
        <is>
          <t>We will use this to inform the Exceptional education section of the 2026 Sustainability Report (transition year), and to establish a baseline for reporting against Sustainability 2030 from 2027. Strong examples may be followed up as case studies.</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12" t="inlineStr">
        <is>
          <t>Transformational research</t>
        </is>
      </c>
      <c r="D14" s="12" t="inlineStr">
        <is>
          <t>Utilise the expertise of the University’s researchers through mutually beneficial partnerships to help address the University’s operational sustainability challenges.</t>
        </is>
      </c>
      <c r="E14" s="12" t="inlineStr">
        <is>
          <t>Expert-reviewed evidence of researchers contributing to operational sustainability priorities through partnerships, advisory input, living labs, applied projects or decision-support</t>
        </is>
      </c>
      <c r="F14"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14" s="8" t="inlineStr">
        <is>
          <t>We will use this to inform the Transformational research section of the 2026 Sustainability Report (transition year), and to establish a baseline for reporting against Sustainability 2030 from 2027. Strong examples may be followed up as case studies.</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12" t="inlineStr">
        <is>
          <t>Transformational research</t>
        </is>
      </c>
      <c r="D15" s="12" t="inlineStr">
        <is>
          <t>Utilise the expertise of the University’s researchers through mutually beneficial partnerships to help address the University’s operational sustainability challenges.</t>
        </is>
      </c>
      <c r="E15" s="12" t="inlineStr">
        <is>
          <t>Evidence of institutional pathways that enable ongoing collaboration between academic and professional staff</t>
        </is>
      </c>
      <c r="F15"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5" s="8" t="inlineStr">
        <is>
          <t>We will use this to inform the Transformational research section of the 2026 Sustainability Report (transition year), and to establish a baseline for reporting against Sustainability 2030 from 2027. Strong examples may be followed up as case studies.</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 assessment of the quality, relevance and continuity of these collaborations</t>
        </is>
      </c>
      <c r="F16"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6" s="8" t="inlineStr">
        <is>
          <t>We will use this to inform the Transformational research section of the 2026 Sustainability Report (transition year), and to establish a baseline for reporting against Sustainability 2030 from 2027. Strong examples may be followed up as case studies.</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Periodic feedback from participants on the effectiveness and mutual benefit of collaboration mechanisms.</t>
        </is>
      </c>
      <c r="F17"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7" s="8" t="inlineStr">
        <is>
          <t>We will use this to inform the Transformational research section of the 2026 Sustainability Report (transition year), and to establish a baseline for reporting against Sustainability 2030 from 2027. Strong examples may be followed up as case studies.</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8" s="8" t="inlineStr">
        <is>
          <t>We will use this to inform the Transformational research section of the 2026 Sustainability Report (transition year), and to establish a baseline for reporting against Sustainability 2030 from 2027. Strong examples may be followed up as case studies.</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19" s="8" t="inlineStr">
        <is>
          <t>We will use this to inform the Transformational research section of the 2026 Sustainability Report (transition year), and to establish a baseline for reporting against Sustainability 2030 from 2027. Strong examples may be followed up as case studies.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8" t="inlineStr">
        <is>
          <t>Please describe how sustainability considerations are integrated into research systems, planning processes, guidance, training, induction or support services within your Faculty/Portfolio, could include examples of any new or improved processes.</t>
        </is>
      </c>
      <c r="G20" s="8" t="inlineStr">
        <is>
          <t>We will use this to inform the Transformational research section of the 2026 Sustainability Report (transition year), and to establish a baseline for reporting against Sustainability 2030 from 2027. Strong examples may be followed up as case studies.</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1" s="8" t="inlineStr">
        <is>
          <t>We will use this to inform the Transformational research section of the 2026 Sustainability Report (transition year), and to establish a baseline for reporting against Sustainability 2030 from 2027. Strong examples may be followed up as case studies.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Evidence of progress in sustainability-related research culture, capability and awareness, informed by periodic staff and graduate researcher surveys</t>
        </is>
      </c>
      <c r="F22"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2" s="8" t="inlineStr">
        <is>
          <t>We will use this to inform the Transformational research section of the 2026 Sustainability Report (transition year), and to establish a baseline for reporting against Sustainability 2030 from 2027. Strong examples may be followed up as case studies.</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12" t="inlineStr">
        <is>
          <t>Transformational research</t>
        </is>
      </c>
      <c r="D23" s="12" t="inlineStr">
        <is>
          <t>Embed sustainability within research systems, processes, capability and culture, so research is conducted responsibly, efficiently and with reduced environmental impact.</t>
        </is>
      </c>
      <c r="E23" s="12" t="inlineStr">
        <is>
          <t>Expert assessment of progress in embedding sustainable research practices across the institution.</t>
        </is>
      </c>
      <c r="F23" s="8" t="inlineStr">
        <is>
          <t>Faculty/Portfolio’s assessment of progress in embedding sustainable research practices, highlighting areas of strong progress, remaining gaps and priority actions for further improvement.</t>
        </is>
      </c>
      <c r="G23" s="8" t="inlineStr">
        <is>
          <t>We will use this to inform the Transformational research section of the 2026 Sustainability Report (transition year), and to establish a baseline for reporting against Sustainability 2030 from 2027. Strong examples may be followed up as case studies.</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12" t="inlineStr">
        <is>
          <t>Climate leadership</t>
        </is>
      </c>
      <c r="D24" s="12" t="inlineStr">
        <is>
          <t>Develop understanding of our research and education programs that contribute to accelerating global decarbonisation and our own climate transition.</t>
        </is>
      </c>
      <c r="E24" s="12" t="inlineStr">
        <is>
          <t>By 2028, develop and document institutional mapping of research and education activities that are designed to contribute to global decarbonisation</t>
        </is>
      </c>
      <c r="F24"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24" s="8" t="inlineStr">
        <is>
          <t>We will use this to inform the Climate leadership section of the 2026 Sustainability Report (transition year), and to establish a baseline for reporting against Sustainability 2030 from 2027. Strong examples may be followed up as case studies.</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12" t="inlineStr">
        <is>
          <t>Climate leadership</t>
        </is>
      </c>
      <c r="D25" s="12" t="inlineStr">
        <is>
          <t>Develop understanding of our research and education programs that contribute to accelerating global decarbonisation and our own climate transition.</t>
        </is>
      </c>
      <c r="E25" s="12" t="inlineStr">
        <is>
          <t>Ongoing communications that evidence the University’s climate action, research and learning to inform policy, sector and community decarbonisation efforts.</t>
        </is>
      </c>
      <c r="F25" s="8" t="inlineStr">
        <is>
          <t>List and describe communications from the faculty in terms of climate action, research and learning to inform policy, sector and community decarbonisation efforts</t>
        </is>
      </c>
      <c r="G25" s="8" t="inlineStr">
        <is>
          <t>We will use this to inform the Climate leadership section of the 2026 Sustainability Report (transition year), and to establish a baseline for reporting against Sustainability 2030 from 2027. Strong examples may be followed up as case studies.</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12" t="inlineStr">
        <is>
          <t>Enablers</t>
        </is>
      </c>
      <c r="D26" s="12" t="inlineStr">
        <is>
          <t>Enablers</t>
        </is>
      </c>
      <c r="E26" s="12" t="inlineStr">
        <is>
          <t>Evidence of sustainability outcomes informed by Indigenous knowledges</t>
        </is>
      </c>
      <c r="F26"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26" s="8" t="inlineStr">
        <is>
          <t>We will use this to inform the Enablers section of the 2026 Sustainability Report (transition year), and to establish a baseline for reporting against Sustainability 2030 from 2027. Strong examples may be followed up as case studies.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12" t="inlineStr">
        <is>
          <t>Enablers</t>
        </is>
      </c>
      <c r="D27" s="12" t="inlineStr">
        <is>
          <t>Enablers</t>
        </is>
      </c>
      <c r="E27" s="12" t="inlineStr">
        <is>
          <t>Living laboratories enabling applied learning, research and operational sustainability outcomes</t>
        </is>
      </c>
      <c r="F27" s="8" t="inlineStr">
        <is>
          <t>Comment on living labs in the Faculty - outputs, outcomes, and impact</t>
        </is>
      </c>
      <c r="G27" s="8" t="inlineStr">
        <is>
          <t>We will use this to inform the Enablers section of the 2026 Sustainability Report (transition year), and to establish a baseline for reporting against Sustainability 2030 from 2027. Strong examples may be followed up as case studies.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12" t="inlineStr">
        <is>
          <t>Enablers</t>
        </is>
      </c>
      <c r="D28" s="12" t="inlineStr">
        <is>
          <t>Enablers</t>
        </is>
      </c>
      <c r="E28" s="12" t="inlineStr">
        <is>
          <t>Coordinated internal engagement and external partnerships contributing to delivery of sustainability outcomes across priority areas.</t>
        </is>
      </c>
      <c r="F28"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8" s="8" t="inlineStr">
        <is>
          <t>We will use this to inform the Enablers section of the 2026 Sustainability Report (transition year), and to establish a baseline for reporting against Sustainability 2030 from 2027. Strong examples may be followed up as case studies.</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12" t="inlineStr">
        <is>
          <t>Enablers</t>
        </is>
      </c>
      <c r="D29" s="12" t="inlineStr">
        <is>
          <t>Enablers</t>
        </is>
      </c>
      <c r="E29" s="12" t="inlineStr">
        <is>
          <t>Sustainability objectives integrated into governance and decision‑making processes, supported by transparent reporting.</t>
        </is>
      </c>
      <c r="F29"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9" s="8" t="inlineStr">
        <is>
          <t>We will use this to inform the Enablers section of the 2026 Sustainability Report (transition year), and to establish a baseline for reporting against Sustainability 2030 from 2027. Strong examples may be followed up as case studies.</t>
        </is>
      </c>
      <c r="H29" s="8" t="inlineStr">
        <is>
          <t>N/A – new indicator</t>
        </is>
      </c>
      <c r="I29" s="8" t="inlineStr"/>
      <c r="J29" s="8" t="inlineStr"/>
      <c r="K29" s="8" t="inlineStr"/>
      <c r="L29" s="8" t="n"/>
      <c r="M29" s="8" t="n"/>
      <c r="N29" s="8" t="n"/>
      <c r="O29" s="8" t="n"/>
      <c r="P29" s="8" t="n"/>
      <c r="Q29" s="8" t="n"/>
      <c r="R29" s="8" t="n"/>
    </row>
    <row r="32">
      <c r="B32" s="18" t="inlineStr">
        <is>
          <t>1.2  ARTS – Faculty of Arts</t>
        </is>
      </c>
    </row>
    <row r="34">
      <c r="C34" s="19" t="inlineStr">
        <is>
          <t>Sustainability 2030 target and indicator</t>
        </is>
      </c>
      <c r="H34" s="19" t="inlineStr">
        <is>
          <t>End-2025 reporting (for reference – click [+] above to expand)</t>
        </is>
      </c>
      <c r="L34" s="2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21" t="inlineStr">
        <is>
          <t>Confirm end-2026 target status</t>
        </is>
      </c>
      <c r="M35" s="21" t="inlineStr">
        <is>
          <t>OPTION 1:  Target-level reporting (Column D)</t>
        </is>
      </c>
      <c r="N35" s="21" t="inlineStr">
        <is>
          <t>OPTION 2:  Indicator level reporting (Column E/F)</t>
        </is>
      </c>
      <c r="O35" s="21" t="inlineStr">
        <is>
          <t>Supporting information/comments</t>
        </is>
      </c>
      <c r="P35" s="21" t="inlineStr">
        <is>
          <t>Data source and limitations</t>
        </is>
      </c>
      <c r="Q35" s="21" t="inlineStr">
        <is>
          <t>Data owner confirms information is accurate</t>
        </is>
      </c>
      <c r="R35" s="21" t="inlineStr">
        <is>
          <t>Confirmed by (name, role, date)</t>
        </is>
      </c>
    </row>
    <row r="36">
      <c r="B36" s="22" t="inlineStr"/>
      <c r="C36" s="22" t="inlineStr"/>
      <c r="D36" s="22" t="inlineStr"/>
      <c r="E36" s="22" t="inlineStr"/>
      <c r="F36" s="22" t="inlineStr"/>
      <c r="G36" s="22" t="inlineStr"/>
      <c r="H36" s="22" t="inlineStr"/>
      <c r="I36" s="22" t="inlineStr"/>
      <c r="J36" s="22" t="inlineStr"/>
      <c r="K36" s="22" t="inlineStr"/>
      <c r="L36" s="22" t="inlineStr">
        <is>
          <t>(Met or exceeded; partially met; not met; not yet started)</t>
        </is>
      </c>
      <c r="M36" s="22" t="inlineStr">
        <is>
          <t>Provide further evidence of target status assessment in the form of:
A general update on activities in relation to the overarching target (Column D)</t>
        </is>
      </c>
      <c r="N36" s="22" t="inlineStr">
        <is>
          <t>Provide further evidence of target status assessment in the form of:
Data and commentary in direct response to the reporting request (Column F)</t>
        </is>
      </c>
      <c r="O36" s="22" t="inlineStr">
        <is>
          <t>Provide any additional information to support the target status assessment (e.g. links, images, rationale for selection of target status)</t>
        </is>
      </c>
      <c r="P36" s="22" t="inlineStr">
        <is>
          <t>Where did this information come from (system, report, survey, person)? Note any gaps or limitations.</t>
        </is>
      </c>
      <c r="Q36" s="22" t="inlineStr">
        <is>
          <t>Select 'Yes' to confirm the information provided is accurate and can be used for reporting</t>
        </is>
      </c>
      <c r="R36" s="22" t="inlineStr">
        <is>
          <t>Name, role and date of the person confirming</t>
        </is>
      </c>
    </row>
    <row r="37" ht="150" customHeight="1">
      <c r="B37" s="7" t="inlineStr">
        <is>
          <t>EE1(a)</t>
        </is>
      </c>
      <c r="C37" s="12" t="inlineStr">
        <is>
          <t>Exceptional education</t>
        </is>
      </c>
      <c r="D37" s="12" t="inlineStr">
        <is>
          <t>Provide our students with learning experiences that help them build the knowledge, skills and relationships to lead change for sustainable societies.</t>
        </is>
      </c>
      <c r="E37" s="12" t="inlineStr">
        <is>
          <t>Evidence of innovative approaches to sustainability teaching and learning</t>
        </is>
      </c>
      <c r="F37"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37" s="8" t="inlineStr">
        <is>
          <t>We will use this to inform the Exceptional education section of the 2026 Sustainability Report (transition year), and to establish a baseline for reporting against Sustainability 2030 from 2027. Strong examples may be followed up as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12" t="inlineStr">
        <is>
          <t>Exceptional education</t>
        </is>
      </c>
      <c r="D38" s="12" t="inlineStr">
        <is>
          <t>Provide our students with learning experiences that help them build the knowledge, skills and relationships to lead change for sustainable societies.</t>
        </is>
      </c>
      <c r="E38" s="12" t="inlineStr">
        <is>
          <t>Pilots of possible approaches for understanding and developing students’ sustainability self-efficacy</t>
        </is>
      </c>
      <c r="F38"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38" s="8" t="inlineStr">
        <is>
          <t>We will use this to inform the Exceptional education section of the 2026 Sustainability Report (transition year), and to establish a baseline for reporting against Sustainability 2030 from 2027. Strong examples may be followed up as case studies.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12" t="inlineStr">
        <is>
          <t>Exceptional education</t>
        </is>
      </c>
      <c r="D39" s="12" t="inlineStr">
        <is>
          <t>Provide our students with learning experiences that help them build the knowledge, skills and relationships to lead change for sustainable societies.</t>
        </is>
      </c>
      <c r="E39" s="12" t="inlineStr">
        <is>
          <t>Evidence of sustainability focused experiential and co curricular learning (eg Wattle Fellowship; Melbourne Plus)</t>
        </is>
      </c>
      <c r="F39"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9" s="8" t="inlineStr">
        <is>
          <t>We will use this to inform the Exceptional education section of the 2026 Sustainability Report (transition year), and to establish a baseline for reporting against Sustainability 2030 from 2027. Strong examples may be followed up as case studies.</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12" t="inlineStr">
        <is>
          <t>Exceptional education</t>
        </is>
      </c>
      <c r="D40" s="12" t="inlineStr">
        <is>
          <t>Provide our students with learning experiences that help them build the knowledge, skills and relationships to lead change for sustainable societies.</t>
        </is>
      </c>
      <c r="E40" s="12" t="inlineStr">
        <is>
          <t>Alumni profiles demonstrating how graduates contribute to sustainability through their careers or communities.</t>
        </is>
      </c>
      <c r="F40"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40" s="8" t="inlineStr">
        <is>
          <t>We will use this to inform the Exceptional education section of the 2026 Sustainability Report (transition year), and to establish a baseline for reporting against Sustainability 2030 from 2027. Strong examples may be followed up as case studies.</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12" t="inlineStr">
        <is>
          <t>Transformational research</t>
        </is>
      </c>
      <c r="D41" s="12" t="inlineStr">
        <is>
          <t>Utilise the expertise of the University’s researchers through mutually beneficial partnerships to help address the University’s operational sustainability challenges.</t>
        </is>
      </c>
      <c r="E41" s="12" t="inlineStr">
        <is>
          <t>Expert-reviewed evidence of researchers contributing to operational sustainability priorities through partnerships, advisory input, living labs, applied projects or decision-support</t>
        </is>
      </c>
      <c r="F41"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41" s="8" t="inlineStr">
        <is>
          <t>We will use this to inform the Transformational research section of the 2026 Sustainability Report (transition year), and to establish a baseline for reporting against Sustainability 2030 from 2027. Strong examples may be followed up as case studies.</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12" t="inlineStr">
        <is>
          <t>Transformational research</t>
        </is>
      </c>
      <c r="D42" s="12" t="inlineStr">
        <is>
          <t>Utilise the expertise of the University’s researchers through mutually beneficial partnerships to help address the University’s operational sustainability challenges.</t>
        </is>
      </c>
      <c r="E42" s="12" t="inlineStr">
        <is>
          <t>Evidence of institutional pathways that enable ongoing collaboration between academic and professional staff</t>
        </is>
      </c>
      <c r="F42"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42" s="8" t="inlineStr">
        <is>
          <t>We will use this to inform the Transformational research section of the 2026 Sustainability Report (transition year), and to establish a baseline for reporting against Sustainability 2030 from 2027. Strong examples may be followed up as case studies.</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12" t="inlineStr">
        <is>
          <t>Transformational research</t>
        </is>
      </c>
      <c r="D43" s="12" t="inlineStr">
        <is>
          <t>Utilise the expertise of the University’s researchers through mutually beneficial partnerships to help address the University’s operational sustainability challenges.</t>
        </is>
      </c>
      <c r="E43" s="12" t="inlineStr">
        <is>
          <t>Expert assessment of the quality, relevance and continuity of these collaborations</t>
        </is>
      </c>
      <c r="F43"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43" s="8" t="inlineStr">
        <is>
          <t>We will use this to inform the Transformational research section of the 2026 Sustainability Report (transition year), and to establish a baseline for reporting against Sustainability 2030 from 2027. Strong examples may be followed up as case studies.</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12" t="inlineStr">
        <is>
          <t>Transformational research</t>
        </is>
      </c>
      <c r="D44" s="12" t="inlineStr">
        <is>
          <t>Utilise the expertise of the University’s researchers through mutually beneficial partnerships to help address the University’s operational sustainability challenges.</t>
        </is>
      </c>
      <c r="E44" s="12" t="inlineStr">
        <is>
          <t>Periodic feedback from participants on the effectiveness and mutual benefit of collaboration mechanisms.</t>
        </is>
      </c>
      <c r="F44"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44" s="8" t="inlineStr">
        <is>
          <t>We will use this to inform the Transformational research section of the 2026 Sustainability Report (transition year), and to establish a baseline for reporting against Sustainability 2030 from 2027. Strong examples may be followed up as case studies.</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12" t="inlineStr">
        <is>
          <t>Transformational research</t>
        </is>
      </c>
      <c r="D45" s="12" t="inlineStr">
        <is>
          <t>Deliver high-quality research and partnerships that contribute to sustainability outcomes and demonstrable societal benefit.</t>
        </is>
      </c>
      <c r="E45" s="12" t="inlineStr">
        <is>
          <t>Evidence of sustainability-related research impact across diverse pathways, could include policy, industry, community, practice, cultural and institutional outcomes</t>
        </is>
      </c>
      <c r="F45"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45" s="8" t="inlineStr">
        <is>
          <t>We will use this to inform the Transformational research section of the 2026 Sustainability Report (transition year), and to establish a baseline for reporting against Sustainability 2030 from 2027. Strong examples may be followed up as case studies.</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12" t="inlineStr">
        <is>
          <t>Transformational research</t>
        </is>
      </c>
      <c r="D46" s="12" t="inlineStr">
        <is>
          <t>Deliver high-quality research and partnerships that contribute to sustainability outcomes and demonstrable societal benefit.</t>
        </is>
      </c>
      <c r="E46" s="12" t="inlineStr">
        <is>
          <t>Case-based evidence demonstrating how research has contributed to meaningful sustainability outcomes.</t>
        </is>
      </c>
      <c r="F46"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46" s="8" t="inlineStr">
        <is>
          <t>We will use this to inform the Transformational research section of the 2026 Sustainability Report (transition year), and to establish a baseline for reporting against Sustainability 2030 from 2027. Strong examples may be followed up as case studies.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12" t="inlineStr">
        <is>
          <t>Transformational research</t>
        </is>
      </c>
      <c r="D47" s="12" t="inlineStr">
        <is>
          <t>Embed sustainability within research systems, processes, capability and culture, so research is conducted responsibly, efficiently and with reduced environmental impact.</t>
        </is>
      </c>
      <c r="E47" s="12" t="inlineStr">
        <is>
          <t>Evidence that sustainability considerations are integrated into relevant research systems, planning processes, guidance, training, induction or support services</t>
        </is>
      </c>
      <c r="F47" s="8" t="inlineStr">
        <is>
          <t>Please describe how sustainability considerations are integrated into research systems, planning processes, guidance, training, induction or support services within your Faculty/Portfolio, could include examples of any new or improved processes.</t>
        </is>
      </c>
      <c r="G47" s="8" t="inlineStr">
        <is>
          <t>We will use this to inform the Transformational research section of the 2026 Sustainability Report (transition year), and to establish a baseline for reporting against Sustainability 2030 from 2027. Strong examples may be followed up as case studies.</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12" t="inlineStr">
        <is>
          <t>Transformational research</t>
        </is>
      </c>
      <c r="D48" s="12" t="inlineStr">
        <is>
          <t>Embed sustainability within research systems, processes, capability and culture, so research is conducted responsibly, efficiently and with reduced environmental impact.</t>
        </is>
      </c>
      <c r="E48" s="12" t="inlineStr">
        <is>
          <t>Demonstrated examples of more sustainable research practices in laboratories, fieldwork, procurement, travel or infrastructure use</t>
        </is>
      </c>
      <c r="F48"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48" s="8" t="inlineStr">
        <is>
          <t>We will use this to inform the Transformational research section of the 2026 Sustainability Report (transition year), and to establish a baseline for reporting against Sustainability 2030 from 2027. Strong examples may be followed up as case studies.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12" t="inlineStr">
        <is>
          <t>Transformational research</t>
        </is>
      </c>
      <c r="D49" s="12" t="inlineStr">
        <is>
          <t>Embed sustainability within research systems, processes, capability and culture, so research is conducted responsibly, efficiently and with reduced environmental impact.</t>
        </is>
      </c>
      <c r="E49" s="12" t="inlineStr">
        <is>
          <t>Evidence of progress in sustainability-related research culture, capability and awareness, informed by periodic staff and graduate researcher surveys</t>
        </is>
      </c>
      <c r="F49"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49" s="8" t="inlineStr">
        <is>
          <t>We will use this to inform the Transformational research section of the 2026 Sustainability Report (transition year), and to establish a baseline for reporting against Sustainability 2030 from 2027. Strong examples may be followed up as case studies.</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12" t="inlineStr">
        <is>
          <t>Transformational research</t>
        </is>
      </c>
      <c r="D50" s="12" t="inlineStr">
        <is>
          <t>Embed sustainability within research systems, processes, capability and culture, so research is conducted responsibly, efficiently and with reduced environmental impact.</t>
        </is>
      </c>
      <c r="E50" s="12" t="inlineStr">
        <is>
          <t>Expert assessment of progress in embedding sustainable research practices across the institution.</t>
        </is>
      </c>
      <c r="F50" s="8" t="inlineStr">
        <is>
          <t>Faculty/Portfolio’s assessment of progress in embedding sustainable research practices, highlighting areas of strong progress, remaining gaps and priority actions for further improvement.</t>
        </is>
      </c>
      <c r="G50" s="8" t="inlineStr">
        <is>
          <t>We will use this to inform the Transformational research section of the 2026 Sustainability Report (transition year), and to establish a baseline for reporting against Sustainability 2030 from 2027. Strong examples may be followed up as case studies.</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12" t="inlineStr">
        <is>
          <t>Climate leadership</t>
        </is>
      </c>
      <c r="D51" s="12" t="inlineStr">
        <is>
          <t>Develop understanding of our research and education programs that contribute to accelerating global decarbonisation and our own climate transition.</t>
        </is>
      </c>
      <c r="E51" s="12" t="inlineStr">
        <is>
          <t>By 2028, develop and document institutional mapping of research and education activities that are designed to contribute to global decarbonisation</t>
        </is>
      </c>
      <c r="F5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51" s="8" t="inlineStr">
        <is>
          <t>We will use this to inform the Climate leadership section of the 2026 Sustainability Report (transition year), and to establish a baseline for reporting against Sustainability 2030 from 2027. Strong examples may be followed up as case studies.</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12" t="inlineStr">
        <is>
          <t>Climate leadership</t>
        </is>
      </c>
      <c r="D52" s="12" t="inlineStr">
        <is>
          <t>Develop understanding of our research and education programs that contribute to accelerating global decarbonisation and our own climate transition.</t>
        </is>
      </c>
      <c r="E52" s="12" t="inlineStr">
        <is>
          <t>Ongoing communications that evidence the University’s climate action, research and learning to inform policy, sector and community decarbonisation efforts.</t>
        </is>
      </c>
      <c r="F52" s="8" t="inlineStr">
        <is>
          <t>List and describe communications from the faculty in terms of climate action, research and learning to inform policy, sector and community decarbonisation efforts</t>
        </is>
      </c>
      <c r="G52" s="8" t="inlineStr">
        <is>
          <t>We will use this to inform the Climate leadership section of the 2026 Sustainability Report (transition year), and to establish a baseline for reporting against Sustainability 2030 from 2027. Strong examples may be followed up as case studies.</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12" t="inlineStr">
        <is>
          <t>Enablers</t>
        </is>
      </c>
      <c r="D53" s="12" t="inlineStr">
        <is>
          <t>Enablers</t>
        </is>
      </c>
      <c r="E53" s="12" t="inlineStr">
        <is>
          <t>Evidence of sustainability outcomes informed by Indigenous knowledges</t>
        </is>
      </c>
      <c r="F53"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53" s="8" t="inlineStr">
        <is>
          <t>We will use this to inform the Enablers section of the 2026 Sustainability Report (transition year), and to establish a baseline for reporting against Sustainability 2030 from 2027. Strong examples may be followed up as case studies.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12" t="inlineStr">
        <is>
          <t>Enablers</t>
        </is>
      </c>
      <c r="D54" s="12" t="inlineStr">
        <is>
          <t>Enablers</t>
        </is>
      </c>
      <c r="E54" s="12" t="inlineStr">
        <is>
          <t>Living laboratories enabling applied learning, research and operational sustainability outcomes</t>
        </is>
      </c>
      <c r="F54" s="8" t="inlineStr">
        <is>
          <t>Comment on living labs in the Faculty - outputs, outcomes, and impact</t>
        </is>
      </c>
      <c r="G54" s="8" t="inlineStr">
        <is>
          <t>We will use this to inform the Enablers section of the 2026 Sustainability Report (transition year), and to establish a baseline for reporting against Sustainability 2030 from 2027. Strong examples may be followed up as case studies.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12" t="inlineStr">
        <is>
          <t>Enablers</t>
        </is>
      </c>
      <c r="D55" s="12" t="inlineStr">
        <is>
          <t>Enablers</t>
        </is>
      </c>
      <c r="E55" s="12" t="inlineStr">
        <is>
          <t>Coordinated internal engagement and external partnerships contributing to delivery of sustainability outcomes across priority areas.</t>
        </is>
      </c>
      <c r="F55"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55" s="8" t="inlineStr">
        <is>
          <t>We will use this to inform the Enablers section of the 2026 Sustainability Report (transition year), and to establish a baseline for reporting against Sustainability 2030 from 2027. Strong examples may be followed up as case studies.</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12" t="inlineStr">
        <is>
          <t>Enablers</t>
        </is>
      </c>
      <c r="D56" s="12" t="inlineStr">
        <is>
          <t>Enablers</t>
        </is>
      </c>
      <c r="E56" s="12" t="inlineStr">
        <is>
          <t>Sustainability objectives integrated into governance and decision‑making processes, supported by transparent reporting.</t>
        </is>
      </c>
      <c r="F5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56" s="8" t="inlineStr">
        <is>
          <t>We will use this to inform the Enablers section of the 2026 Sustainability Report (transition year), and to establish a baseline for reporting against Sustainability 2030 from 2027. Strong examples may be followed up as case studies.</t>
        </is>
      </c>
      <c r="H56" s="8" t="inlineStr">
        <is>
          <t>N/A – new indicator</t>
        </is>
      </c>
      <c r="I56" s="8" t="inlineStr"/>
      <c r="J56" s="8" t="inlineStr"/>
      <c r="K56" s="8" t="inlineStr"/>
      <c r="L56" s="8" t="n"/>
      <c r="M56" s="8" t="n"/>
      <c r="N56" s="8" t="n"/>
      <c r="O56" s="8" t="n"/>
      <c r="P56" s="8" t="n"/>
      <c r="Q56" s="8" t="n"/>
      <c r="R56" s="8" t="n"/>
    </row>
    <row r="59">
      <c r="B59" s="18" t="inlineStr">
        <is>
          <t>1.3  FBE – Faculty of Business and Economics</t>
        </is>
      </c>
    </row>
    <row r="61">
      <c r="C61" s="19" t="inlineStr">
        <is>
          <t>Sustainability 2030 target and indicator</t>
        </is>
      </c>
      <c r="H61" s="19" t="inlineStr">
        <is>
          <t>End-2025 reporting (for reference – click [+] above to expand)</t>
        </is>
      </c>
      <c r="L61" s="2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21" t="inlineStr">
        <is>
          <t>Confirm end-2026 target status</t>
        </is>
      </c>
      <c r="M62" s="21" t="inlineStr">
        <is>
          <t>OPTION 1:  Target-level reporting (Column D)</t>
        </is>
      </c>
      <c r="N62" s="21" t="inlineStr">
        <is>
          <t>OPTION 2:  Indicator level reporting (Column E/F)</t>
        </is>
      </c>
      <c r="O62" s="21" t="inlineStr">
        <is>
          <t>Supporting information/comments</t>
        </is>
      </c>
      <c r="P62" s="21" t="inlineStr">
        <is>
          <t>Data source and limitations</t>
        </is>
      </c>
      <c r="Q62" s="21" t="inlineStr">
        <is>
          <t>Data owner confirms information is accurate</t>
        </is>
      </c>
      <c r="R62" s="21" t="inlineStr">
        <is>
          <t>Confirmed by (name, role, date)</t>
        </is>
      </c>
    </row>
    <row r="63">
      <c r="B63" s="22" t="inlineStr"/>
      <c r="C63" s="22" t="inlineStr"/>
      <c r="D63" s="22" t="inlineStr"/>
      <c r="E63" s="22" t="inlineStr"/>
      <c r="F63" s="22" t="inlineStr"/>
      <c r="G63" s="22" t="inlineStr"/>
      <c r="H63" s="22" t="inlineStr"/>
      <c r="I63" s="22" t="inlineStr"/>
      <c r="J63" s="22" t="inlineStr"/>
      <c r="K63" s="22" t="inlineStr"/>
      <c r="L63" s="22" t="inlineStr">
        <is>
          <t>(Met or exceeded; partially met; not met; not yet started)</t>
        </is>
      </c>
      <c r="M63" s="22" t="inlineStr">
        <is>
          <t>Provide further evidence of target status assessment in the form of:
A general update on activities in relation to the overarching target (Column D)</t>
        </is>
      </c>
      <c r="N63" s="22" t="inlineStr">
        <is>
          <t>Provide further evidence of target status assessment in the form of:
Data and commentary in direct response to the reporting request (Column F)</t>
        </is>
      </c>
      <c r="O63" s="22" t="inlineStr">
        <is>
          <t>Provide any additional information to support the target status assessment (e.g. links, images, rationale for selection of target status)</t>
        </is>
      </c>
      <c r="P63" s="22" t="inlineStr">
        <is>
          <t>Where did this information come from (system, report, survey, person)? Note any gaps or limitations.</t>
        </is>
      </c>
      <c r="Q63" s="22" t="inlineStr">
        <is>
          <t>Select 'Yes' to confirm the information provided is accurate and can be used for reporting</t>
        </is>
      </c>
      <c r="R63" s="22" t="inlineStr">
        <is>
          <t>Name, role and date of the person confirming</t>
        </is>
      </c>
    </row>
    <row r="64" ht="150" customHeight="1">
      <c r="B64" s="7" t="inlineStr">
        <is>
          <t>EE1(a)</t>
        </is>
      </c>
      <c r="C64" s="12" t="inlineStr">
        <is>
          <t>Exceptional education</t>
        </is>
      </c>
      <c r="D64" s="12" t="inlineStr">
        <is>
          <t>Provide our students with learning experiences that help them build the knowledge, skills and relationships to lead change for sustainable societies.</t>
        </is>
      </c>
      <c r="E64" s="12" t="inlineStr">
        <is>
          <t>Evidence of innovative approaches to sustainability teaching and learning</t>
        </is>
      </c>
      <c r="F64"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64" s="8" t="inlineStr">
        <is>
          <t>We will use this to inform the Exceptional education section of the 2026 Sustainability Report (transition year), and to establish a baseline for reporting against Sustainability 2030 from 2027. Strong examples may be followed up as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12" t="inlineStr">
        <is>
          <t>Exceptional education</t>
        </is>
      </c>
      <c r="D65" s="12" t="inlineStr">
        <is>
          <t>Provide our students with learning experiences that help them build the knowledge, skills and relationships to lead change for sustainable societies.</t>
        </is>
      </c>
      <c r="E65" s="12" t="inlineStr">
        <is>
          <t>Pilots of possible approaches for understanding and developing students’ sustainability self-efficacy</t>
        </is>
      </c>
      <c r="F65"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65" s="8" t="inlineStr">
        <is>
          <t>We will use this to inform the Exceptional education section of the 2026 Sustainability Report (transition year), and to establish a baseline for reporting against Sustainability 2030 from 2027. Strong examples may be followed up as case studies.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12" t="inlineStr">
        <is>
          <t>Exceptional education</t>
        </is>
      </c>
      <c r="D66" s="12" t="inlineStr">
        <is>
          <t>Provide our students with learning experiences that help them build the knowledge, skills and relationships to lead change for sustainable societies.</t>
        </is>
      </c>
      <c r="E66" s="12" t="inlineStr">
        <is>
          <t>Evidence of sustainability focused experiential and co curricular learning (eg Wattle Fellowship; Melbourne Plus)</t>
        </is>
      </c>
      <c r="F66"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66" s="8" t="inlineStr">
        <is>
          <t>We will use this to inform the Exceptional education section of the 2026 Sustainability Report (transition year), and to establish a baseline for reporting against Sustainability 2030 from 2027. Strong examples may be followed up as case studies.</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12" t="inlineStr">
        <is>
          <t>Exceptional education</t>
        </is>
      </c>
      <c r="D67" s="12" t="inlineStr">
        <is>
          <t>Provide our students with learning experiences that help them build the knowledge, skills and relationships to lead change for sustainable societies.</t>
        </is>
      </c>
      <c r="E67" s="12" t="inlineStr">
        <is>
          <t>Alumni profiles demonstrating how graduates contribute to sustainability through their careers or communities.</t>
        </is>
      </c>
      <c r="F67"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67" s="8" t="inlineStr">
        <is>
          <t>We will use this to inform the Exceptional education section of the 2026 Sustainability Report (transition year), and to establish a baseline for reporting against Sustainability 2030 from 2027. Strong examples may be followed up as case studies.</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12" t="inlineStr">
        <is>
          <t>Transformational research</t>
        </is>
      </c>
      <c r="D68" s="12" t="inlineStr">
        <is>
          <t>Utilise the expertise of the University’s researchers through mutually beneficial partnerships to help address the University’s operational sustainability challenges.</t>
        </is>
      </c>
      <c r="E68" s="12" t="inlineStr">
        <is>
          <t>Expert-reviewed evidence of researchers contributing to operational sustainability priorities through partnerships, advisory input, living labs, applied projects or decision-support</t>
        </is>
      </c>
      <c r="F68"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68" s="8" t="inlineStr">
        <is>
          <t>We will use this to inform the Transformational research section of the 2026 Sustainability Report (transition year), and to establish a baseline for reporting against Sustainability 2030 from 2027. Strong examples may be followed up as case studies.</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12" t="inlineStr">
        <is>
          <t>Transformational research</t>
        </is>
      </c>
      <c r="D69" s="12" t="inlineStr">
        <is>
          <t>Utilise the expertise of the University’s researchers through mutually beneficial partnerships to help address the University’s operational sustainability challenges.</t>
        </is>
      </c>
      <c r="E69" s="12" t="inlineStr">
        <is>
          <t>Evidence of institutional pathways that enable ongoing collaboration between academic and professional staff</t>
        </is>
      </c>
      <c r="F69"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69" s="8" t="inlineStr">
        <is>
          <t>We will use this to inform the Transformational research section of the 2026 Sustainability Report (transition year), and to establish a baseline for reporting against Sustainability 2030 from 2027. Strong examples may be followed up as case studies.</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12" t="inlineStr">
        <is>
          <t>Transformational research</t>
        </is>
      </c>
      <c r="D70" s="12" t="inlineStr">
        <is>
          <t>Utilise the expertise of the University’s researchers through mutually beneficial partnerships to help address the University’s operational sustainability challenges.</t>
        </is>
      </c>
      <c r="E70" s="12" t="inlineStr">
        <is>
          <t>Expert assessment of the quality, relevance and continuity of these collaborations</t>
        </is>
      </c>
      <c r="F70"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70" s="8" t="inlineStr">
        <is>
          <t>We will use this to inform the Transformational research section of the 2026 Sustainability Report (transition year), and to establish a baseline for reporting against Sustainability 2030 from 2027. Strong examples may be followed up as case studies.</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12" t="inlineStr">
        <is>
          <t>Transformational research</t>
        </is>
      </c>
      <c r="D71" s="12" t="inlineStr">
        <is>
          <t>Utilise the expertise of the University’s researchers through mutually beneficial partnerships to help address the University’s operational sustainability challenges.</t>
        </is>
      </c>
      <c r="E71" s="12" t="inlineStr">
        <is>
          <t>Periodic feedback from participants on the effectiveness and mutual benefit of collaboration mechanisms.</t>
        </is>
      </c>
      <c r="F71"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71" s="8" t="inlineStr">
        <is>
          <t>We will use this to inform the Transformational research section of the 2026 Sustainability Report (transition year), and to establish a baseline for reporting against Sustainability 2030 from 2027. Strong examples may be followed up as case studies.</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12" t="inlineStr">
        <is>
          <t>Transformational research</t>
        </is>
      </c>
      <c r="D72" s="12" t="inlineStr">
        <is>
          <t>Deliver high-quality research and partnerships that contribute to sustainability outcomes and demonstrable societal benefit.</t>
        </is>
      </c>
      <c r="E72" s="12" t="inlineStr">
        <is>
          <t>Evidence of sustainability-related research impact across diverse pathways, could include policy, industry, community, practice, cultural and institutional outcomes</t>
        </is>
      </c>
      <c r="F72"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72" s="8" t="inlineStr">
        <is>
          <t>We will use this to inform the Transformational research section of the 2026 Sustainability Report (transition year), and to establish a baseline for reporting against Sustainability 2030 from 2027. Strong examples may be followed up as case studies.</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12" t="inlineStr">
        <is>
          <t>Transformational research</t>
        </is>
      </c>
      <c r="D73" s="12" t="inlineStr">
        <is>
          <t>Deliver high-quality research and partnerships that contribute to sustainability outcomes and demonstrable societal benefit.</t>
        </is>
      </c>
      <c r="E73" s="12" t="inlineStr">
        <is>
          <t>Case-based evidence demonstrating how research has contributed to meaningful sustainability outcomes.</t>
        </is>
      </c>
      <c r="F73"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73" s="8" t="inlineStr">
        <is>
          <t>We will use this to inform the Transformational research section of the 2026 Sustainability Report (transition year), and to establish a baseline for reporting against Sustainability 2030 from 2027. Strong examples may be followed up as case studies.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12" t="inlineStr">
        <is>
          <t>Transformational research</t>
        </is>
      </c>
      <c r="D74" s="12" t="inlineStr">
        <is>
          <t>Embed sustainability within research systems, processes, capability and culture, so research is conducted responsibly, efficiently and with reduced environmental impact.</t>
        </is>
      </c>
      <c r="E74" s="12" t="inlineStr">
        <is>
          <t>Evidence that sustainability considerations are integrated into relevant research systems, planning processes, guidance, training, induction or support services</t>
        </is>
      </c>
      <c r="F74" s="8" t="inlineStr">
        <is>
          <t>Please describe how sustainability considerations are integrated into research systems, planning processes, guidance, training, induction or support services within your Faculty/Portfolio, could include examples of any new or improved processes.</t>
        </is>
      </c>
      <c r="G74" s="8" t="inlineStr">
        <is>
          <t>We will use this to inform the Transformational research section of the 2026 Sustainability Report (transition year), and to establish a baseline for reporting against Sustainability 2030 from 2027. Strong examples may be followed up as case studies.</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12" t="inlineStr">
        <is>
          <t>Transformational research</t>
        </is>
      </c>
      <c r="D75" s="12" t="inlineStr">
        <is>
          <t>Embed sustainability within research systems, processes, capability and culture, so research is conducted responsibly, efficiently and with reduced environmental impact.</t>
        </is>
      </c>
      <c r="E75" s="12" t="inlineStr">
        <is>
          <t>Demonstrated examples of more sustainable research practices in laboratories, fieldwork, procurement, travel or infrastructure use</t>
        </is>
      </c>
      <c r="F75"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75" s="8" t="inlineStr">
        <is>
          <t>We will use this to inform the Transformational research section of the 2026 Sustainability Report (transition year), and to establish a baseline for reporting against Sustainability 2030 from 2027. Strong examples may be followed up as case studies.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12" t="inlineStr">
        <is>
          <t>Transformational research</t>
        </is>
      </c>
      <c r="D76" s="12" t="inlineStr">
        <is>
          <t>Embed sustainability within research systems, processes, capability and culture, so research is conducted responsibly, efficiently and with reduced environmental impact.</t>
        </is>
      </c>
      <c r="E76" s="12" t="inlineStr">
        <is>
          <t>Evidence of progress in sustainability-related research culture, capability and awareness, informed by periodic staff and graduate researcher surveys</t>
        </is>
      </c>
      <c r="F76"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76" s="8" t="inlineStr">
        <is>
          <t>We will use this to inform the Transformational research section of the 2026 Sustainability Report (transition year), and to establish a baseline for reporting against Sustainability 2030 from 2027. Strong examples may be followed up as case studies.</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12" t="inlineStr">
        <is>
          <t>Transformational research</t>
        </is>
      </c>
      <c r="D77" s="12" t="inlineStr">
        <is>
          <t>Embed sustainability within research systems, processes, capability and culture, so research is conducted responsibly, efficiently and with reduced environmental impact.</t>
        </is>
      </c>
      <c r="E77" s="12" t="inlineStr">
        <is>
          <t>Expert assessment of progress in embedding sustainable research practices across the institution.</t>
        </is>
      </c>
      <c r="F77" s="8" t="inlineStr">
        <is>
          <t>Faculty/Portfolio’s assessment of progress in embedding sustainable research practices, highlighting areas of strong progress, remaining gaps and priority actions for further improvement.</t>
        </is>
      </c>
      <c r="G77" s="8" t="inlineStr">
        <is>
          <t>We will use this to inform the Transformational research section of the 2026 Sustainability Report (transition year), and to establish a baseline for reporting against Sustainability 2030 from 2027. Strong examples may be followed up as case studies.</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12" t="inlineStr">
        <is>
          <t>Climate leadership</t>
        </is>
      </c>
      <c r="D78" s="12" t="inlineStr">
        <is>
          <t>Develop understanding of our research and education programs that contribute to accelerating global decarbonisation and our own climate transition.</t>
        </is>
      </c>
      <c r="E78" s="12" t="inlineStr">
        <is>
          <t>By 2028, develop and document institutional mapping of research and education activities that are designed to contribute to global decarbonisation</t>
        </is>
      </c>
      <c r="F78"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78" s="8" t="inlineStr">
        <is>
          <t>We will use this to inform the Climate leadership section of the 2026 Sustainability Report (transition year), and to establish a baseline for reporting against Sustainability 2030 from 2027. Strong examples may be followed up as case studies.</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12" t="inlineStr">
        <is>
          <t>Climate leadership</t>
        </is>
      </c>
      <c r="D79" s="12" t="inlineStr">
        <is>
          <t>Develop understanding of our research and education programs that contribute to accelerating global decarbonisation and our own climate transition.</t>
        </is>
      </c>
      <c r="E79" s="12" t="inlineStr">
        <is>
          <t>Ongoing communications that evidence the University’s climate action, research and learning to inform policy, sector and community decarbonisation efforts.</t>
        </is>
      </c>
      <c r="F79" s="8" t="inlineStr">
        <is>
          <t>List and describe communications from the faculty in terms of climate action, research and learning to inform policy, sector and community decarbonisation efforts</t>
        </is>
      </c>
      <c r="G79" s="8" t="inlineStr">
        <is>
          <t>We will use this to inform the Climate leadership section of the 2026 Sustainability Report (transition year), and to establish a baseline for reporting against Sustainability 2030 from 2027. Strong examples may be followed up as case studies.</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12" t="inlineStr">
        <is>
          <t>Enablers</t>
        </is>
      </c>
      <c r="D80" s="12" t="inlineStr">
        <is>
          <t>Enablers</t>
        </is>
      </c>
      <c r="E80" s="12" t="inlineStr">
        <is>
          <t>Evidence of sustainability outcomes informed by Indigenous knowledges</t>
        </is>
      </c>
      <c r="F8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80" s="8" t="inlineStr">
        <is>
          <t>We will use this to inform the Enablers section of the 2026 Sustainability Report (transition year), and to establish a baseline for reporting against Sustainability 2030 from 2027. Strong examples may be followed up as case studies.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12" t="inlineStr">
        <is>
          <t>Enablers</t>
        </is>
      </c>
      <c r="D81" s="12" t="inlineStr">
        <is>
          <t>Enablers</t>
        </is>
      </c>
      <c r="E81" s="12" t="inlineStr">
        <is>
          <t>Living laboratories enabling applied learning, research and operational sustainability outcomes</t>
        </is>
      </c>
      <c r="F81" s="8" t="inlineStr">
        <is>
          <t>Comment on living labs in the Faculty - outputs, outcomes, and impact</t>
        </is>
      </c>
      <c r="G81" s="8" t="inlineStr">
        <is>
          <t>We will use this to inform the Enablers section of the 2026 Sustainability Report (transition year), and to establish a baseline for reporting against Sustainability 2030 from 2027. Strong examples may be followed up as case studies.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12" t="inlineStr">
        <is>
          <t>Enablers</t>
        </is>
      </c>
      <c r="D82" s="12" t="inlineStr">
        <is>
          <t>Enablers</t>
        </is>
      </c>
      <c r="E82" s="12" t="inlineStr">
        <is>
          <t>Coordinated internal engagement and external partnerships contributing to delivery of sustainability outcomes across priority areas.</t>
        </is>
      </c>
      <c r="F8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82" s="8" t="inlineStr">
        <is>
          <t>We will use this to inform the Enablers section of the 2026 Sustainability Report (transition year), and to establish a baseline for reporting against Sustainability 2030 from 2027. Strong examples may be followed up as case studies.</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12" t="inlineStr">
        <is>
          <t>Enablers</t>
        </is>
      </c>
      <c r="D83" s="12" t="inlineStr">
        <is>
          <t>Enablers</t>
        </is>
      </c>
      <c r="E83" s="12" t="inlineStr">
        <is>
          <t>Sustainability objectives integrated into governance and decision‑making processes, supported by transparent reporting.</t>
        </is>
      </c>
      <c r="F8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83" s="8" t="inlineStr">
        <is>
          <t>We will use this to inform the Enablers section of the 2026 Sustainability Report (transition year), and to establish a baseline for reporting against Sustainability 2030 from 2027. Strong examples may be followed up as case studies.</t>
        </is>
      </c>
      <c r="H83" s="8" t="inlineStr">
        <is>
          <t>N/A – new indicator</t>
        </is>
      </c>
      <c r="I83" s="8" t="inlineStr"/>
      <c r="J83" s="8" t="inlineStr"/>
      <c r="K83" s="8" t="inlineStr"/>
      <c r="L83" s="8" t="n"/>
      <c r="M83" s="8" t="n"/>
      <c r="N83" s="8" t="n"/>
      <c r="O83" s="8" t="n"/>
      <c r="P83" s="8" t="n"/>
      <c r="Q83" s="8" t="n"/>
      <c r="R83" s="8" t="n"/>
    </row>
    <row r="86">
      <c r="B86" s="18" t="inlineStr">
        <is>
          <t>1.4  SCI – Faculty of Science</t>
        </is>
      </c>
    </row>
    <row r="88">
      <c r="C88" s="19" t="inlineStr">
        <is>
          <t>Sustainability 2030 target and indicator</t>
        </is>
      </c>
      <c r="H88" s="19" t="inlineStr">
        <is>
          <t>End-2025 reporting (for reference – click [+] above to expand)</t>
        </is>
      </c>
      <c r="L88" s="2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21" t="inlineStr">
        <is>
          <t>Confirm end-2026 target status</t>
        </is>
      </c>
      <c r="M89" s="21" t="inlineStr">
        <is>
          <t>OPTION 1:  Target-level reporting (Column D)</t>
        </is>
      </c>
      <c r="N89" s="21" t="inlineStr">
        <is>
          <t>OPTION 2:  Indicator level reporting (Column E/F)</t>
        </is>
      </c>
      <c r="O89" s="21" t="inlineStr">
        <is>
          <t>Supporting information/comments</t>
        </is>
      </c>
      <c r="P89" s="21" t="inlineStr">
        <is>
          <t>Data source and limitations</t>
        </is>
      </c>
      <c r="Q89" s="21" t="inlineStr">
        <is>
          <t>Data owner confirms information is accurate</t>
        </is>
      </c>
      <c r="R89" s="21" t="inlineStr">
        <is>
          <t>Confirmed by (name, role, date)</t>
        </is>
      </c>
    </row>
    <row r="90">
      <c r="B90" s="22" t="inlineStr"/>
      <c r="C90" s="22" t="inlineStr"/>
      <c r="D90" s="22" t="inlineStr"/>
      <c r="E90" s="22" t="inlineStr"/>
      <c r="F90" s="22" t="inlineStr"/>
      <c r="G90" s="22" t="inlineStr"/>
      <c r="H90" s="22" t="inlineStr"/>
      <c r="I90" s="22" t="inlineStr"/>
      <c r="J90" s="22" t="inlineStr"/>
      <c r="K90" s="22" t="inlineStr"/>
      <c r="L90" s="22" t="inlineStr">
        <is>
          <t>(Met or exceeded; partially met; not met; not yet started)</t>
        </is>
      </c>
      <c r="M90" s="22" t="inlineStr">
        <is>
          <t>Provide further evidence of target status assessment in the form of:
A general update on activities in relation to the overarching target (Column D)</t>
        </is>
      </c>
      <c r="N90" s="22" t="inlineStr">
        <is>
          <t>Provide further evidence of target status assessment in the form of:
Data and commentary in direct response to the reporting request (Column F)</t>
        </is>
      </c>
      <c r="O90" s="22" t="inlineStr">
        <is>
          <t>Provide any additional information to support the target status assessment (e.g. links, images, rationale for selection of target status)</t>
        </is>
      </c>
      <c r="P90" s="22" t="inlineStr">
        <is>
          <t>Where did this information come from (system, report, survey, person)? Note any gaps or limitations.</t>
        </is>
      </c>
      <c r="Q90" s="22" t="inlineStr">
        <is>
          <t>Select 'Yes' to confirm the information provided is accurate and can be used for reporting</t>
        </is>
      </c>
      <c r="R90" s="22" t="inlineStr">
        <is>
          <t>Name, role and date of the person confirming</t>
        </is>
      </c>
    </row>
    <row r="91" ht="150" customHeight="1">
      <c r="B91" s="7" t="inlineStr">
        <is>
          <t>EE1(a)</t>
        </is>
      </c>
      <c r="C91" s="12" t="inlineStr">
        <is>
          <t>Exceptional education</t>
        </is>
      </c>
      <c r="D91" s="12" t="inlineStr">
        <is>
          <t>Provide our students with learning experiences that help them build the knowledge, skills and relationships to lead change for sustainable societies.</t>
        </is>
      </c>
      <c r="E91" s="12" t="inlineStr">
        <is>
          <t>Evidence of innovative approaches to sustainability teaching and learning</t>
        </is>
      </c>
      <c r="F91"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91" s="8" t="inlineStr">
        <is>
          <t>We will use this to inform the Exceptional education section of the 2026 Sustainability Report (transition year), and to establish a baseline for reporting against Sustainability 2030 from 2027. Strong examples may be followed up as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12" t="inlineStr">
        <is>
          <t>Exceptional education</t>
        </is>
      </c>
      <c r="D92" s="12" t="inlineStr">
        <is>
          <t>Provide our students with learning experiences that help them build the knowledge, skills and relationships to lead change for sustainable societies.</t>
        </is>
      </c>
      <c r="E92" s="12" t="inlineStr">
        <is>
          <t>Pilots of possible approaches for understanding and developing students’ sustainability self-efficacy</t>
        </is>
      </c>
      <c r="F92"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92" s="8" t="inlineStr">
        <is>
          <t>We will use this to inform the Exceptional education section of the 2026 Sustainability Report (transition year), and to establish a baseline for reporting against Sustainability 2030 from 2027. Strong examples may be followed up as case studies.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12" t="inlineStr">
        <is>
          <t>Exceptional education</t>
        </is>
      </c>
      <c r="D93" s="12" t="inlineStr">
        <is>
          <t>Provide our students with learning experiences that help them build the knowledge, skills and relationships to lead change for sustainable societies.</t>
        </is>
      </c>
      <c r="E93" s="12" t="inlineStr">
        <is>
          <t>Evidence of sustainability focused experiential and co curricular learning (eg Wattle Fellowship; Melbourne Plus)</t>
        </is>
      </c>
      <c r="F93"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93" s="8" t="inlineStr">
        <is>
          <t>We will use this to inform the Exceptional education section of the 2026 Sustainability Report (transition year), and to establish a baseline for reporting against Sustainability 2030 from 2027. Strong examples may be followed up as case studies.</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12" t="inlineStr">
        <is>
          <t>Exceptional education</t>
        </is>
      </c>
      <c r="D94" s="12" t="inlineStr">
        <is>
          <t>Provide our students with learning experiences that help them build the knowledge, skills and relationships to lead change for sustainable societies.</t>
        </is>
      </c>
      <c r="E94" s="12" t="inlineStr">
        <is>
          <t>Alumni profiles demonstrating how graduates contribute to sustainability through their careers or communities.</t>
        </is>
      </c>
      <c r="F94"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94" s="8" t="inlineStr">
        <is>
          <t>We will use this to inform the Exceptional education section of the 2026 Sustainability Report (transition year), and to establish a baseline for reporting against Sustainability 2030 from 2027. Strong examples may be followed up as case studies.</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12" t="inlineStr">
        <is>
          <t>Transformational research</t>
        </is>
      </c>
      <c r="D95" s="12" t="inlineStr">
        <is>
          <t>Utilise the expertise of the University’s researchers through mutually beneficial partnerships to help address the University’s operational sustainability challenges.</t>
        </is>
      </c>
      <c r="E95" s="12" t="inlineStr">
        <is>
          <t>Expert-reviewed evidence of researchers contributing to operational sustainability priorities through partnerships, advisory input, living labs, applied projects or decision-support</t>
        </is>
      </c>
      <c r="F95"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95" s="8" t="inlineStr">
        <is>
          <t>We will use this to inform the Transformational research section of the 2026 Sustainability Report (transition year), and to establish a baseline for reporting against Sustainability 2030 from 2027. Strong examples may be followed up as case studies.</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12" t="inlineStr">
        <is>
          <t>Transformational research</t>
        </is>
      </c>
      <c r="D96" s="12" t="inlineStr">
        <is>
          <t>Utilise the expertise of the University’s researchers through mutually beneficial partnerships to help address the University’s operational sustainability challenges.</t>
        </is>
      </c>
      <c r="E96" s="12" t="inlineStr">
        <is>
          <t>Evidence of institutional pathways that enable ongoing collaboration between academic and professional staff</t>
        </is>
      </c>
      <c r="F96"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96" s="8" t="inlineStr">
        <is>
          <t>We will use this to inform the Transformational research section of the 2026 Sustainability Report (transition year), and to establish a baseline for reporting against Sustainability 2030 from 2027. Strong examples may be followed up as case studies.</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12" t="inlineStr">
        <is>
          <t>Transformational research</t>
        </is>
      </c>
      <c r="D97" s="12" t="inlineStr">
        <is>
          <t>Utilise the expertise of the University’s researchers through mutually beneficial partnerships to help address the University’s operational sustainability challenges.</t>
        </is>
      </c>
      <c r="E97" s="12" t="inlineStr">
        <is>
          <t>Expert assessment of the quality, relevance and continuity of these collaborations</t>
        </is>
      </c>
      <c r="F97"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97" s="8" t="inlineStr">
        <is>
          <t>We will use this to inform the Transformational research section of the 2026 Sustainability Report (transition year), and to establish a baseline for reporting against Sustainability 2030 from 2027. Strong examples may be followed up as case studies.</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12" t="inlineStr">
        <is>
          <t>Transformational research</t>
        </is>
      </c>
      <c r="D98" s="12" t="inlineStr">
        <is>
          <t>Utilise the expertise of the University’s researchers through mutually beneficial partnerships to help address the University’s operational sustainability challenges.</t>
        </is>
      </c>
      <c r="E98" s="12" t="inlineStr">
        <is>
          <t>Periodic feedback from participants on the effectiveness and mutual benefit of collaboration mechanisms.</t>
        </is>
      </c>
      <c r="F98"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98" s="8" t="inlineStr">
        <is>
          <t>We will use this to inform the Transformational research section of the 2026 Sustainability Report (transition year), and to establish a baseline for reporting against Sustainability 2030 from 2027. Strong examples may be followed up as case studies.</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12" t="inlineStr">
        <is>
          <t>Transformational research</t>
        </is>
      </c>
      <c r="D99" s="12" t="inlineStr">
        <is>
          <t>Deliver high-quality research and partnerships that contribute to sustainability outcomes and demonstrable societal benefit.</t>
        </is>
      </c>
      <c r="E99" s="12" t="inlineStr">
        <is>
          <t>Evidence of sustainability-related research impact across diverse pathways, could include policy, industry, community, practice, cultural and institutional outcomes</t>
        </is>
      </c>
      <c r="F99"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99" s="8" t="inlineStr">
        <is>
          <t>We will use this to inform the Transformational research section of the 2026 Sustainability Report (transition year), and to establish a baseline for reporting against Sustainability 2030 from 2027. Strong examples may be followed up as case studies.</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12" t="inlineStr">
        <is>
          <t>Transformational research</t>
        </is>
      </c>
      <c r="D100" s="12" t="inlineStr">
        <is>
          <t>Deliver high-quality research and partnerships that contribute to sustainability outcomes and demonstrable societal benefit.</t>
        </is>
      </c>
      <c r="E100" s="12" t="inlineStr">
        <is>
          <t>Case-based evidence demonstrating how research has contributed to meaningful sustainability outcomes.</t>
        </is>
      </c>
      <c r="F100"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100" s="8" t="inlineStr">
        <is>
          <t>We will use this to inform the Transformational research section of the 2026 Sustainability Report (transition year), and to establish a baseline for reporting against Sustainability 2030 from 2027. Strong examples may be followed up as case studies.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12" t="inlineStr">
        <is>
          <t>Transformational research</t>
        </is>
      </c>
      <c r="D101" s="12" t="inlineStr">
        <is>
          <t>Embed sustainability within research systems, processes, capability and culture, so research is conducted responsibly, efficiently and with reduced environmental impact.</t>
        </is>
      </c>
      <c r="E101" s="12" t="inlineStr">
        <is>
          <t>Evidence that sustainability considerations are integrated into relevant research systems, planning processes, guidance, training, induction or support services</t>
        </is>
      </c>
      <c r="F101" s="8" t="inlineStr">
        <is>
          <t>Please describe how sustainability considerations are integrated into research systems, planning processes, guidance, training, induction or support services within your Faculty/Portfolio, could include examples of any new or improved processes.</t>
        </is>
      </c>
      <c r="G101" s="8" t="inlineStr">
        <is>
          <t>We will use this to inform the Transformational research section of the 2026 Sustainability Report (transition year), and to establish a baseline for reporting against Sustainability 2030 from 2027. Strong examples may be followed up as case studies.</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12" t="inlineStr">
        <is>
          <t>Transformational research</t>
        </is>
      </c>
      <c r="D102" s="12" t="inlineStr">
        <is>
          <t>Embed sustainability within research systems, processes, capability and culture, so research is conducted responsibly, efficiently and with reduced environmental impact.</t>
        </is>
      </c>
      <c r="E102" s="12" t="inlineStr">
        <is>
          <t>Demonstrated examples of more sustainable research practices in laboratories, fieldwork, procurement, travel or infrastructure use</t>
        </is>
      </c>
      <c r="F102"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2" s="8" t="inlineStr">
        <is>
          <t>We will use this to inform the Transformational research section of the 2026 Sustainability Report (transition year), and to establish a baseline for reporting against Sustainability 2030 from 2027. Strong examples may be followed up as case studies.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12" t="inlineStr">
        <is>
          <t>Transformational research</t>
        </is>
      </c>
      <c r="D103" s="12" t="inlineStr">
        <is>
          <t>Embed sustainability within research systems, processes, capability and culture, so research is conducted responsibly, efficiently and with reduced environmental impact.</t>
        </is>
      </c>
      <c r="E103" s="12" t="inlineStr">
        <is>
          <t>Evidence of progress in sustainability-related research culture, capability and awareness, informed by periodic staff and graduate researcher surveys</t>
        </is>
      </c>
      <c r="F103"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103" s="8" t="inlineStr">
        <is>
          <t>We will use this to inform the Transformational research section of the 2026 Sustainability Report (transition year), and to establish a baseline for reporting against Sustainability 2030 from 2027. Strong examples may be followed up as case studies.</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12" t="inlineStr">
        <is>
          <t>Transformational research</t>
        </is>
      </c>
      <c r="D104" s="12" t="inlineStr">
        <is>
          <t>Embed sustainability within research systems, processes, capability and culture, so research is conducted responsibly, efficiently and with reduced environmental impact.</t>
        </is>
      </c>
      <c r="E104" s="12" t="inlineStr">
        <is>
          <t>Expert assessment of progress in embedding sustainable research practices across the institution.</t>
        </is>
      </c>
      <c r="F104" s="8" t="inlineStr">
        <is>
          <t>Faculty/Portfolio’s assessment of progress in embedding sustainable research practices, highlighting areas of strong progress, remaining gaps and priority actions for further improvement.</t>
        </is>
      </c>
      <c r="G104" s="8" t="inlineStr">
        <is>
          <t>We will use this to inform the Transformational research section of the 2026 Sustainability Report (transition year), and to establish a baseline for reporting against Sustainability 2030 from 2027. Strong examples may be followed up as case studies.</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12" t="inlineStr">
        <is>
          <t>Climate leadership</t>
        </is>
      </c>
      <c r="D105" s="12" t="inlineStr">
        <is>
          <t>Develop understanding of our research and education programs that contribute to accelerating global decarbonisation and our own climate transition.</t>
        </is>
      </c>
      <c r="E105" s="12" t="inlineStr">
        <is>
          <t>By 2028, develop and document institutional mapping of research and education activities that are designed to contribute to global decarbonisation</t>
        </is>
      </c>
      <c r="F10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05" s="8" t="inlineStr">
        <is>
          <t>We will use this to inform the Climate leadership section of the 2026 Sustainability Report (transition year), and to establish a baseline for reporting against Sustainability 2030 from 2027. Strong examples may be followed up as case studies.</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12" t="inlineStr">
        <is>
          <t>Climate leadership</t>
        </is>
      </c>
      <c r="D106" s="12" t="inlineStr">
        <is>
          <t>Develop understanding of our research and education programs that contribute to accelerating global decarbonisation and our own climate transition.</t>
        </is>
      </c>
      <c r="E106" s="12" t="inlineStr">
        <is>
          <t>Ongoing communications that evidence the University’s climate action, research and learning to inform policy, sector and community decarbonisation efforts.</t>
        </is>
      </c>
      <c r="F106" s="8" t="inlineStr">
        <is>
          <t>List and describe communications from the faculty in terms of climate action, research and learning to inform policy, sector and community decarbonisation efforts</t>
        </is>
      </c>
      <c r="G106" s="8" t="inlineStr">
        <is>
          <t>We will use this to inform the Climate leadership section of the 2026 Sustainability Report (transition year), and to establish a baseline for reporting against Sustainability 2030 from 2027. Strong examples may be followed up as case studies.</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12" t="inlineStr">
        <is>
          <t>Enablers</t>
        </is>
      </c>
      <c r="D107" s="12" t="inlineStr">
        <is>
          <t>Enablers</t>
        </is>
      </c>
      <c r="E107" s="12" t="inlineStr">
        <is>
          <t>Evidence of sustainability outcomes informed by Indigenous knowledges</t>
        </is>
      </c>
      <c r="F107"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07" s="8" t="inlineStr">
        <is>
          <t>We will use this to inform the Enablers section of the 2026 Sustainability Report (transition year), and to establish a baseline for reporting against Sustainability 2030 from 2027. Strong examples may be followed up as case studies.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12" t="inlineStr">
        <is>
          <t>Enablers</t>
        </is>
      </c>
      <c r="D108" s="12" t="inlineStr">
        <is>
          <t>Enablers</t>
        </is>
      </c>
      <c r="E108" s="12" t="inlineStr">
        <is>
          <t>Living laboratories enabling applied learning, research and operational sustainability outcomes</t>
        </is>
      </c>
      <c r="F108" s="8" t="inlineStr">
        <is>
          <t>Comment on living labs in the Faculty - outputs, outcomes, and impact</t>
        </is>
      </c>
      <c r="G108" s="8" t="inlineStr">
        <is>
          <t>We will use this to inform the Enablers section of the 2026 Sustainability Report (transition year), and to establish a baseline for reporting against Sustainability 2030 from 2027. Strong examples may be followed up as case studies.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12" t="inlineStr">
        <is>
          <t>Enablers</t>
        </is>
      </c>
      <c r="D109" s="12" t="inlineStr">
        <is>
          <t>Enablers</t>
        </is>
      </c>
      <c r="E109" s="12" t="inlineStr">
        <is>
          <t>Coordinated internal engagement and external partnerships contributing to delivery of sustainability outcomes across priority areas.</t>
        </is>
      </c>
      <c r="F109"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09" s="8" t="inlineStr">
        <is>
          <t>We will use this to inform the Enablers section of the 2026 Sustainability Report (transition year), and to establish a baseline for reporting against Sustainability 2030 from 2027. Strong examples may be followed up as case studies.</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12" t="inlineStr">
        <is>
          <t>Enablers</t>
        </is>
      </c>
      <c r="D110" s="12" t="inlineStr">
        <is>
          <t>Enablers</t>
        </is>
      </c>
      <c r="E110" s="12" t="inlineStr">
        <is>
          <t>Sustainability objectives integrated into governance and decision‑making processes, supported by transparent reporting.</t>
        </is>
      </c>
      <c r="F110"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10" s="8" t="inlineStr">
        <is>
          <t>We will use this to inform the Enablers section of the 2026 Sustainability Report (transition year), and to establish a baseline for reporting against Sustainability 2030 from 2027. Strong examples may be followed up as case studies.</t>
        </is>
      </c>
      <c r="H110" s="8" t="inlineStr">
        <is>
          <t>N/A – new indicator</t>
        </is>
      </c>
      <c r="I110" s="8" t="inlineStr"/>
      <c r="J110" s="8" t="inlineStr"/>
      <c r="K110" s="8" t="inlineStr"/>
      <c r="L110" s="8" t="n"/>
      <c r="M110" s="8" t="n"/>
      <c r="N110" s="8" t="n"/>
      <c r="O110" s="8" t="n"/>
      <c r="P110" s="8" t="n"/>
      <c r="Q110" s="8" t="n"/>
      <c r="R110" s="8" t="n"/>
    </row>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3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9" t="inlineStr">
        <is>
          <t>Consolidated responses – paste from returned request workbooks (identical column layout). Click [+] above Columns H–K for end-2025 responses.</t>
        </is>
      </c>
    </row>
    <row r="5">
      <c r="B5" s="18" t="inlineStr">
        <is>
          <t>1.1  CI&amp;S – Estate Planning &amp; Development (TBC: confirm with Gerard)</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Provide update of University maturity assesment. Include maturity ratings, key gaps and priority improvement actions.when available</t>
        </is>
      </c>
      <c r="G10" s="8" t="inlineStr">
        <is>
          <t>We will use this to inform the Climate leadership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EI1(a)</t>
        </is>
      </c>
      <c r="C11" s="12" t="inlineStr">
        <is>
          <t>Estate and infrastructure</t>
        </is>
      </c>
      <c r="D11" s="12" t="inlineStr">
        <is>
          <t>Integrate environmental sustainability in the way that the University achieves strategic and operational objectives for our estate and infrastructure.</t>
        </is>
      </c>
      <c r="E11" s="12" t="inlineStr">
        <is>
          <t>Evidence of increased maturity of estate and infrastructure planning, development and operations to support the other priority areas in Sustainability 2030</t>
        </is>
      </c>
      <c r="F11"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this to inform the Estate and infrastructure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EI1(b)</t>
        </is>
      </c>
      <c r="C12" s="12" t="inlineStr">
        <is>
          <t>Estate and infrastructure</t>
        </is>
      </c>
      <c r="D12" s="12" t="inlineStr">
        <is>
          <t>Integrate environmental sustainability in the way that the University achieves strategic and operational objectives for our estate and infrastructure.</t>
        </is>
      </c>
      <c r="E12" s="12"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this to inform the Estate and infrastructure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EI1(c)</t>
        </is>
      </c>
      <c r="C13" s="12" t="inlineStr">
        <is>
          <t>Estate and infrastructure</t>
        </is>
      </c>
      <c r="D13" s="12" t="inlineStr">
        <is>
          <t>Integrate environmental sustainability in the way that the University achieves strategic and operational objectives for our estate and infrastructure.</t>
        </is>
      </c>
      <c r="E13" s="12"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use this to inform the Estate and infrastructure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row r="14" ht="150" customHeight="1">
      <c r="B14" s="7" t="inlineStr">
        <is>
          <t>EI1(d)</t>
        </is>
      </c>
      <c r="C14" s="12" t="inlineStr">
        <is>
          <t>Estate and infrastructure</t>
        </is>
      </c>
      <c r="D14" s="12" t="inlineStr">
        <is>
          <t>Integrate environmental sustainability in the way that the University achieves strategic and operational objectives for our estate and infrastructure.</t>
        </is>
      </c>
      <c r="E14" s="12"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use this to inform the Estate and infrastructure section of the 2026 Sustainability Report (transition year), and to establish a baseline for reporting against Sustainability 2030 from 2027. Strong examples may be followed up as case studies.</t>
        </is>
      </c>
      <c r="H14" s="8" t="inlineStr"/>
      <c r="I14" s="8" t="inlineStr"/>
      <c r="J14" s="8" t="inlineStr"/>
      <c r="K14" s="8" t="inlineStr"/>
      <c r="L14" s="8" t="n"/>
      <c r="M14" s="8" t="n"/>
      <c r="N14" s="8" t="n"/>
      <c r="O14" s="8" t="n"/>
      <c r="P14" s="8" t="n"/>
      <c r="Q14" s="8" t="n"/>
      <c r="R14" s="8" t="n"/>
    </row>
    <row r="17">
      <c r="B17" s="18" t="inlineStr">
        <is>
          <t>1.2  CI&amp;S – Sustainability Strategy (incl. CLLAP)</t>
        </is>
      </c>
    </row>
    <row r="19">
      <c r="C19" s="19" t="inlineStr">
        <is>
          <t>Sustainability 2030 target and indicator</t>
        </is>
      </c>
      <c r="H19" s="19" t="inlineStr">
        <is>
          <t>End-2025 reporting (for reference – click [+] above to expand)</t>
        </is>
      </c>
      <c r="L19" s="2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21" t="inlineStr">
        <is>
          <t>Confirm end-2026 target status</t>
        </is>
      </c>
      <c r="M20" s="21" t="inlineStr">
        <is>
          <t>OPTION 1:  Target-level reporting (Column D)</t>
        </is>
      </c>
      <c r="N20" s="21" t="inlineStr">
        <is>
          <t>OPTION 2:  Indicator level reporting (Column E/F)</t>
        </is>
      </c>
      <c r="O20" s="21" t="inlineStr">
        <is>
          <t>Supporting information/comments</t>
        </is>
      </c>
      <c r="P20" s="21" t="inlineStr">
        <is>
          <t>Data source and limitations</t>
        </is>
      </c>
      <c r="Q20" s="21" t="inlineStr">
        <is>
          <t>Data owner confirms information is accurate</t>
        </is>
      </c>
      <c r="R20" s="21" t="inlineStr">
        <is>
          <t>Confirmed by (name, role, date)</t>
        </is>
      </c>
    </row>
    <row r="21">
      <c r="B21" s="22" t="inlineStr"/>
      <c r="C21" s="22" t="inlineStr"/>
      <c r="D21" s="22" t="inlineStr"/>
      <c r="E21" s="22" t="inlineStr"/>
      <c r="F21" s="22" t="inlineStr"/>
      <c r="G21" s="22" t="inlineStr"/>
      <c r="H21" s="22" t="inlineStr"/>
      <c r="I21" s="22" t="inlineStr"/>
      <c r="J21" s="22" t="inlineStr"/>
      <c r="K21" s="22" t="inlineStr"/>
      <c r="L21" s="22" t="inlineStr">
        <is>
          <t>(Met or exceeded; partially met; not met; not yet started)</t>
        </is>
      </c>
      <c r="M21" s="22" t="inlineStr">
        <is>
          <t>Provide further evidence of target status assessment in the form of:
A general update on activities in relation to the overarching target (Column D)</t>
        </is>
      </c>
      <c r="N21" s="22" t="inlineStr">
        <is>
          <t>Provide further evidence of target status assessment in the form of:
Data and commentary in direct response to the reporting request (Column F)</t>
        </is>
      </c>
      <c r="O21" s="22" t="inlineStr">
        <is>
          <t>Provide any additional information to support the target status assessment (e.g. links, images, rationale for selection of target status)</t>
        </is>
      </c>
      <c r="P21" s="22" t="inlineStr">
        <is>
          <t>Where did this information come from (system, report, survey, person)? Note any gaps or limitations.</t>
        </is>
      </c>
      <c r="Q21" s="22" t="inlineStr">
        <is>
          <t>Select 'Yes' to confirm the information provided is accurate and can be used for reporting</t>
        </is>
      </c>
      <c r="R21" s="22" t="inlineStr">
        <is>
          <t>Name, role and date of the person confirming</t>
        </is>
      </c>
    </row>
    <row r="22" ht="150" customHeight="1">
      <c r="B22" s="7" t="inlineStr">
        <is>
          <t>EE1(a)</t>
        </is>
      </c>
      <c r="C22" s="12" t="inlineStr">
        <is>
          <t>Exceptional education</t>
        </is>
      </c>
      <c r="D22" s="12" t="inlineStr">
        <is>
          <t>Provide our students with learning experiences that help them build the knowledge, skills and relationships to lead change for sustainable societies.</t>
        </is>
      </c>
      <c r="E22" s="12"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use this to inform the Exceptional education section of the 2026 Sustainability Report (transition year), and to establish a baseline for reporting against Sustainability 2030 from 2027. Strong examples may be followed up as case studies.</t>
        </is>
      </c>
      <c r="H22" s="8" t="inlineStr"/>
      <c r="I22" s="8" t="inlineStr"/>
      <c r="J22" s="8" t="inlineStr"/>
      <c r="K22" s="8" t="inlineStr"/>
      <c r="L22" s="8" t="n"/>
      <c r="M22" s="8" t="n"/>
      <c r="N22" s="8" t="n"/>
      <c r="O22" s="8" t="n"/>
      <c r="P22" s="8" t="n"/>
      <c r="Q22" s="8" t="n"/>
      <c r="R22" s="8" t="n"/>
    </row>
    <row r="23" ht="150" customHeight="1">
      <c r="B23" s="7" t="inlineStr">
        <is>
          <t>EE1(b)</t>
        </is>
      </c>
      <c r="C23" s="12" t="inlineStr">
        <is>
          <t>Exceptional education</t>
        </is>
      </c>
      <c r="D23" s="12" t="inlineStr">
        <is>
          <t>Provide our students with learning experiences that help them build the knowledge, skills and relationships to lead change for sustainable societies.</t>
        </is>
      </c>
      <c r="E23" s="12"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We will use this to inform the Exceptional education section of the 2026 Sustainability Report (transition year), and to establish a baseline for reporting against Sustainability 2030 from 2027. Strong examples may be followed up as case studies.</t>
        </is>
      </c>
      <c r="H23" s="8" t="inlineStr"/>
      <c r="I23" s="8" t="inlineStr"/>
      <c r="J23" s="8" t="inlineStr"/>
      <c r="K23" s="8" t="inlineStr"/>
      <c r="L23" s="8" t="n"/>
      <c r="M23" s="8" t="n"/>
      <c r="N23" s="8" t="n"/>
      <c r="O23" s="8" t="n"/>
      <c r="P23" s="8" t="n"/>
      <c r="Q23" s="8" t="n"/>
      <c r="R23" s="8" t="n"/>
    </row>
    <row r="24" ht="150" customHeight="1">
      <c r="B24" s="7" t="inlineStr">
        <is>
          <t>EE1(c)</t>
        </is>
      </c>
      <c r="C24" s="12" t="inlineStr">
        <is>
          <t>Exceptional education</t>
        </is>
      </c>
      <c r="D24" s="12" t="inlineStr">
        <is>
          <t>Provide our students with learning experiences that help them build the knowledge, skills and relationships to lead change for sustainable societies.</t>
        </is>
      </c>
      <c r="E24" s="12"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use this to inform the Exceptional education section of the 2026 Sustainability Report (transition year), and to establish a baseline for reporting against Sustainability 2030 from 2027. Strong examples may be followed up as case studies.</t>
        </is>
      </c>
      <c r="H24" s="8" t="inlineStr"/>
      <c r="I24" s="8" t="inlineStr"/>
      <c r="J24" s="8" t="inlineStr"/>
      <c r="K24" s="8" t="inlineStr"/>
      <c r="L24" s="8" t="n"/>
      <c r="M24" s="8" t="n"/>
      <c r="N24" s="8" t="n"/>
      <c r="O24" s="8" t="n"/>
      <c r="P24" s="8" t="n"/>
      <c r="Q24" s="8" t="n"/>
      <c r="R24" s="8" t="n"/>
    </row>
    <row r="25" ht="150" customHeight="1">
      <c r="B25" s="7" t="inlineStr">
        <is>
          <t>EE1(d)</t>
        </is>
      </c>
      <c r="C25" s="12" t="inlineStr">
        <is>
          <t>Exceptional education</t>
        </is>
      </c>
      <c r="D25" s="12" t="inlineStr">
        <is>
          <t>Provide our students with learning experiences that help them build the knowledge, skills and relationships to lead change for sustainable societies.</t>
        </is>
      </c>
      <c r="E25" s="12"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this to inform the Exceptional education section of the 2026 Sustainability Report (transition year), and to establish a baseline for reporting against Sustainability 2030 from 2027. Strong examples may be followed up as case studies.</t>
        </is>
      </c>
      <c r="H25" s="8" t="inlineStr"/>
      <c r="I25" s="8" t="inlineStr"/>
      <c r="J25" s="8" t="inlineStr"/>
      <c r="K25" s="8" t="inlineStr"/>
      <c r="L25" s="8" t="n"/>
      <c r="M25" s="8" t="n"/>
      <c r="N25" s="8" t="n"/>
      <c r="O25" s="8" t="n"/>
      <c r="P25" s="8" t="n"/>
      <c r="Q25" s="8" t="n"/>
      <c r="R25" s="8" t="n"/>
    </row>
    <row r="26" ht="150" customHeight="1">
      <c r="B26" s="7" t="inlineStr">
        <is>
          <t>TR1(a)</t>
        </is>
      </c>
      <c r="C26" s="12" t="inlineStr">
        <is>
          <t>Transformational research</t>
        </is>
      </c>
      <c r="D26" s="12" t="inlineStr">
        <is>
          <t>Utilise the expertise of the University’s researchers through mutually beneficial partnerships to help address the University’s operational sustainability challenges.</t>
        </is>
      </c>
      <c r="E26" s="12" t="inlineStr">
        <is>
          <t>Expert-reviewed evidence of researchers contributing to operational sustainability priorities through partnerships, advisory input, living labs, applied projects or decision-support</t>
        </is>
      </c>
      <c r="F26"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use this to inform the Transformational research section of the 2026 Sustainability Report (transition year), and to establish a baseline for reporting against Sustainability 2030 from 2027. Strong examples may be followed up as case studies.</t>
        </is>
      </c>
      <c r="H26" s="8" t="inlineStr"/>
      <c r="I26" s="8" t="inlineStr"/>
      <c r="J26" s="8" t="inlineStr"/>
      <c r="K26" s="8" t="inlineStr"/>
      <c r="L26" s="8" t="n"/>
      <c r="M26" s="8" t="n"/>
      <c r="N26" s="8" t="n"/>
      <c r="O26" s="8" t="n"/>
      <c r="P26" s="8" t="n"/>
      <c r="Q26" s="8" t="n"/>
      <c r="R26" s="8" t="n"/>
    </row>
    <row r="27" ht="150" customHeight="1">
      <c r="B27" s="7" t="inlineStr">
        <is>
          <t>TR2(d)</t>
        </is>
      </c>
      <c r="C27" s="12" t="inlineStr">
        <is>
          <t>Transformational research</t>
        </is>
      </c>
      <c r="D27" s="12" t="inlineStr">
        <is>
          <t>Deliver high-quality research and partnerships that contribute to sustainability outcomes and demonstrable societal benefit.</t>
        </is>
      </c>
      <c r="E27" s="12"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use this to inform the Transformational research section of the 2026 Sustainability Report (transition year), and to establish a baseline for reporting against Sustainability 2030 from 2027. Strong examples may be followed up as case studies.</t>
        </is>
      </c>
      <c r="H27" s="8" t="inlineStr"/>
      <c r="I27" s="8" t="inlineStr"/>
      <c r="J27" s="8" t="inlineStr"/>
      <c r="K27" s="8" t="inlineStr"/>
      <c r="L27" s="8" t="n"/>
      <c r="M27" s="8" t="n"/>
      <c r="N27" s="8" t="n"/>
      <c r="O27" s="8" t="n"/>
      <c r="P27" s="8" t="n"/>
      <c r="Q27" s="8" t="n"/>
      <c r="R27" s="8" t="n"/>
    </row>
    <row r="28" ht="150" customHeight="1">
      <c r="B28" s="7" t="inlineStr">
        <is>
          <t>TR3(a)</t>
        </is>
      </c>
      <c r="C28" s="12" t="inlineStr">
        <is>
          <t>Transformational research</t>
        </is>
      </c>
      <c r="D28" s="12" t="inlineStr">
        <is>
          <t>Embed sustainability within research systems, processes, capability and culture, so research is conducted responsibly, efficiently and with reduced environmental impact.</t>
        </is>
      </c>
      <c r="E28" s="12"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use this to inform the Transformational research section of the 2026 Sustainability Report (transition year), and to establish a baseline for reporting against Sustainability 2030 from 2027. Strong examples may be followed up as case studies.</t>
        </is>
      </c>
      <c r="H28" s="8" t="inlineStr"/>
      <c r="I28" s="8" t="inlineStr"/>
      <c r="J28" s="8" t="inlineStr"/>
      <c r="K28" s="8" t="inlineStr"/>
      <c r="L28" s="8" t="n"/>
      <c r="M28" s="8" t="n"/>
      <c r="N28" s="8" t="n"/>
      <c r="O28" s="8" t="n"/>
      <c r="P28" s="8" t="n"/>
      <c r="Q28" s="8" t="n"/>
      <c r="R28" s="8" t="n"/>
    </row>
    <row r="29" ht="150" customHeight="1">
      <c r="B29" s="7" t="inlineStr">
        <is>
          <t>TR3(b)</t>
        </is>
      </c>
      <c r="C29" s="12" t="inlineStr">
        <is>
          <t>Transformational research</t>
        </is>
      </c>
      <c r="D29" s="12" t="inlineStr">
        <is>
          <t>Embed sustainability within research systems, processes, capability and culture, so research is conducted responsibly, efficiently and with reduced environmental impact.</t>
        </is>
      </c>
      <c r="E29" s="12"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use this to inform the Transformational research section of the 2026 Sustainability Report (transition year), and to establish a baseline for reporting against Sustainability 2030 from 2027. Strong examples may be followed up as case studies.</t>
        </is>
      </c>
      <c r="H29" s="8" t="inlineStr"/>
      <c r="I29" s="8" t="inlineStr"/>
      <c r="J29" s="8" t="inlineStr"/>
      <c r="K29" s="8" t="inlineStr"/>
      <c r="L29" s="8" t="n"/>
      <c r="M29" s="8" t="n"/>
      <c r="N29" s="8" t="n"/>
      <c r="O29" s="8" t="n"/>
      <c r="P29" s="8" t="n"/>
      <c r="Q29" s="8" t="n"/>
      <c r="R29" s="8" t="n"/>
    </row>
    <row r="30" ht="150" customHeight="1">
      <c r="B30" s="7" t="inlineStr">
        <is>
          <t>CL1(c)</t>
        </is>
      </c>
      <c r="C30" s="12" t="inlineStr">
        <is>
          <t>Climate leadership</t>
        </is>
      </c>
      <c r="D30"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12" t="inlineStr">
        <is>
          <t>Review of Climate Leadership targets by 2030.[2]</t>
        </is>
      </c>
      <c r="F30" s="8" t="inlineStr">
        <is>
          <t>(Reporting request TBC)</t>
        </is>
      </c>
      <c r="G30" s="8" t="inlineStr">
        <is>
          <t>We will use this to inform the Climate leadership section of the 2026 Sustainability Report (transition year), and to establish a baseline for reporting against Sustainability 2030 from 2027. Strong examples may be followed up as case studies.</t>
        </is>
      </c>
      <c r="H30" s="8" t="inlineStr"/>
      <c r="I30" s="8" t="inlineStr"/>
      <c r="J30" s="8" t="inlineStr"/>
      <c r="K30" s="8" t="inlineStr"/>
      <c r="L30" s="8" t="n"/>
      <c r="M30" s="8" t="n"/>
      <c r="N30" s="8" t="n"/>
      <c r="O30" s="8" t="n"/>
      <c r="P30" s="8" t="n"/>
      <c r="Q30" s="8" t="n"/>
      <c r="R30" s="8" t="n"/>
    </row>
    <row r="31" ht="150" customHeight="1">
      <c r="B31" s="7" t="inlineStr">
        <is>
          <t>CL2(a)</t>
        </is>
      </c>
      <c r="C31" s="12" t="inlineStr">
        <is>
          <t>Climate leadership</t>
        </is>
      </c>
      <c r="D31" s="12" t="inlineStr">
        <is>
          <t>Develop understanding of our research and education programs that contribute to accelerating global decarbonisation and our own climate transition.</t>
        </is>
      </c>
      <c r="E31" s="12"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this to inform the Climate leadership section of the 2026 Sustainability Report (transition year), and to establish a baseline for reporting against Sustainability 2030 from 2027. Strong examples may be followed up as case studies.</t>
        </is>
      </c>
      <c r="H31" s="8" t="inlineStr"/>
      <c r="I31" s="8" t="inlineStr"/>
      <c r="J31" s="8" t="inlineStr"/>
      <c r="K31" s="8" t="inlineStr"/>
      <c r="L31" s="8" t="n"/>
      <c r="M31" s="8" t="n"/>
      <c r="N31" s="8" t="n"/>
      <c r="O31" s="8" t="n"/>
      <c r="P31" s="8" t="n"/>
      <c r="Q31" s="8" t="n"/>
      <c r="R31" s="8" t="n"/>
    </row>
    <row r="32" ht="150" customHeight="1">
      <c r="B32" s="7" t="inlineStr">
        <is>
          <t>AI1(a)</t>
        </is>
      </c>
      <c r="C32" s="12" t="inlineStr">
        <is>
          <t>Responsible AI</t>
        </is>
      </c>
      <c r="D32" s="12" t="inlineStr">
        <is>
          <t>Improve understanding of our sustainability-related risks and opportunities of AI technologies by 2028.</t>
        </is>
      </c>
      <c r="E32" s="12" t="inlineStr">
        <is>
          <t>Established measurement of estimated operational impacts and opportunities (eg operational impacts could include energy, water, emissions and intensity measures)</t>
        </is>
      </c>
      <c r="F32" s="8" t="inlineStr">
        <is>
          <t>(Reporting request TBC)</t>
        </is>
      </c>
      <c r="G32" s="8" t="inlineStr">
        <is>
          <t>We will use this to inform the Responsible AI section of the 2026 Sustainability Report (transition year), and to establish a baseline for reporting against Sustainability 2030 from 2027. Strong examples may be followed up as case studies.</t>
        </is>
      </c>
      <c r="H32" s="8" t="inlineStr"/>
      <c r="I32" s="8" t="inlineStr"/>
      <c r="J32" s="8" t="inlineStr"/>
      <c r="K32" s="8" t="inlineStr"/>
      <c r="L32" s="8" t="n"/>
      <c r="M32" s="8" t="n"/>
      <c r="N32" s="8" t="n"/>
      <c r="O32" s="8" t="n"/>
      <c r="P32" s="8" t="n"/>
      <c r="Q32" s="8" t="n"/>
      <c r="R32" s="8" t="n"/>
    </row>
    <row r="33" ht="150" customHeight="1">
      <c r="B33" s="7" t="inlineStr">
        <is>
          <t>AI1(b)</t>
        </is>
      </c>
      <c r="C33" s="12" t="inlineStr">
        <is>
          <t>Responsible AI</t>
        </is>
      </c>
      <c r="D33" s="12" t="inlineStr">
        <is>
          <t>Improve understanding of our sustainability-related risks and opportunities of AI technologies by 2028.</t>
        </is>
      </c>
      <c r="E33" s="12"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use this to inform the Responsible AI section of the 2026 Sustainability Report (transition year), and to establish a baseline for reporting against Sustainability 2030 from 2027. Strong examples may be followed up as case studies.</t>
        </is>
      </c>
      <c r="H33" s="8" t="inlineStr"/>
      <c r="I33" s="8" t="inlineStr"/>
      <c r="J33" s="8" t="inlineStr"/>
      <c r="K33" s="8" t="inlineStr"/>
      <c r="L33" s="8" t="n"/>
      <c r="M33" s="8" t="n"/>
      <c r="N33" s="8" t="n"/>
      <c r="O33" s="8" t="n"/>
      <c r="P33" s="8" t="n"/>
      <c r="Q33" s="8" t="n"/>
      <c r="R33" s="8" t="n"/>
    </row>
    <row r="34" ht="150" customHeight="1">
      <c r="B34" s="7" t="inlineStr">
        <is>
          <t>MS1(a)</t>
        </is>
      </c>
      <c r="C34" s="12" t="inlineStr">
        <is>
          <t>Modern slavery and human rights</t>
        </is>
      </c>
      <c r="D34" s="12" t="inlineStr">
        <is>
          <t>Manage our approach to modern slavery and human rights-related risks and opportunities.</t>
        </is>
      </c>
      <c r="E34" s="12" t="inlineStr">
        <is>
          <t>Annual progress reporting via the Modern Slavery Statement</t>
        </is>
      </c>
      <c r="F34" s="8" t="inlineStr">
        <is>
          <t>Annual Modern Slavery Statement, with case studies</t>
        </is>
      </c>
      <c r="G34" s="8" t="inlineStr">
        <is>
          <t>We will use this to inform the Modern slavery and human rights section of the 2026 Sustainability Report (transition year), and to establish a baseline for reporting against Sustainability 2030 from 2027. Strong examples may be followed up as case studies.</t>
        </is>
      </c>
      <c r="H34" s="8" t="inlineStr"/>
      <c r="I34" s="8" t="inlineStr"/>
      <c r="J34" s="8" t="inlineStr"/>
      <c r="K34" s="8" t="inlineStr"/>
      <c r="L34" s="8" t="n"/>
      <c r="M34" s="8" t="n"/>
      <c r="N34" s="8" t="n"/>
      <c r="O34" s="8" t="n"/>
      <c r="P34" s="8" t="n"/>
      <c r="Q34" s="8" t="n"/>
      <c r="R34" s="8" t="n"/>
    </row>
    <row r="35" ht="150" customHeight="1">
      <c r="B35" s="7" t="inlineStr">
        <is>
          <t>RI1(b)</t>
        </is>
      </c>
      <c r="C35" s="12" t="inlineStr">
        <is>
          <t>Responsible investments</t>
        </is>
      </c>
      <c r="D35" s="12" t="inlineStr">
        <is>
          <t>Achieve net zero financed emissions for the University’s investment portfolio by 2050.</t>
        </is>
      </c>
      <c r="E35" s="12" t="inlineStr">
        <is>
          <t>Continuous improvement of the reporting of the University’s sustainability-related investment profile metrics, could include investment in climate mitigation and transition solutions, and compliance with related obligations (eg UNPRI).</t>
        </is>
      </c>
      <c r="F35" s="8" t="inlineStr">
        <is>
          <t>Report on relevant sustainability-related investment portfolio metrics and report on how the University has complied with its related obligations</t>
        </is>
      </c>
      <c r="G35" s="8" t="inlineStr">
        <is>
          <t>We will use this to inform the Responsible investments section of the 2026 Sustainability Report (transition year), and to establish a baseline for reporting against Sustainability 2030 from 2027. Strong examples may be followed up as case studies.</t>
        </is>
      </c>
      <c r="H35" s="8" t="inlineStr"/>
      <c r="I35" s="8" t="inlineStr"/>
      <c r="J35" s="8" t="inlineStr"/>
      <c r="K35" s="8" t="inlineStr"/>
      <c r="L35" s="8" t="n"/>
      <c r="M35" s="8" t="n"/>
      <c r="N35" s="8" t="n"/>
      <c r="O35" s="8" t="n"/>
      <c r="P35" s="8" t="n"/>
      <c r="Q35" s="8" t="n"/>
      <c r="R35" s="8" t="n"/>
    </row>
    <row r="36" ht="150" customHeight="1">
      <c r="B36" s="7" t="inlineStr">
        <is>
          <t>EN1(b)</t>
        </is>
      </c>
      <c r="C36" s="12" t="inlineStr">
        <is>
          <t>Enablers</t>
        </is>
      </c>
      <c r="D36" s="12" t="inlineStr">
        <is>
          <t>Enablers</t>
        </is>
      </c>
      <c r="E36" s="12" t="inlineStr">
        <is>
          <t>Living laboratories enabling applied learning, research and operational sustainability outcomes</t>
        </is>
      </c>
      <c r="F36" s="8" t="inlineStr">
        <is>
          <t>Comment on living labs in the Faculty - outputs, outcomes, and impact</t>
        </is>
      </c>
      <c r="G36" s="8" t="inlineStr">
        <is>
          <t>We will use this to inform the Enablers section of the 2026 Sustainability Report (transition year), and to establish a baseline for reporting against Sustainability 2030 from 2027. Strong examples may be followed up as case studies.</t>
        </is>
      </c>
      <c r="H36" s="8" t="inlineStr"/>
      <c r="I36" s="8" t="inlineStr"/>
      <c r="J36" s="8" t="inlineStr"/>
      <c r="K36" s="8" t="inlineStr"/>
      <c r="L36" s="8" t="n"/>
      <c r="M36" s="8" t="n"/>
      <c r="N36" s="8" t="n"/>
      <c r="O36" s="8" t="n"/>
      <c r="P36" s="8" t="n"/>
      <c r="Q36" s="8" t="n"/>
      <c r="R36" s="8" t="n"/>
    </row>
    <row r="37" ht="150" customHeight="1">
      <c r="B37" s="7" t="inlineStr">
        <is>
          <t>EN1(c)</t>
        </is>
      </c>
      <c r="C37" s="12" t="inlineStr">
        <is>
          <t>Enablers</t>
        </is>
      </c>
      <c r="D37" s="12" t="inlineStr">
        <is>
          <t>Enablers</t>
        </is>
      </c>
      <c r="E37" s="12"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use this to inform the Enablers section of the 2026 Sustainability Report (transition year), and to establish a baseline for reporting against Sustainability 2030 from 2027. Strong examples may be followed up as case studies.</t>
        </is>
      </c>
      <c r="H37" s="8" t="inlineStr"/>
      <c r="I37" s="8" t="inlineStr"/>
      <c r="J37" s="8" t="inlineStr"/>
      <c r="K37" s="8" t="inlineStr"/>
      <c r="L37" s="8" t="n"/>
      <c r="M37" s="8" t="n"/>
      <c r="N37" s="8" t="n"/>
      <c r="O37" s="8" t="n"/>
      <c r="P37" s="8" t="n"/>
      <c r="Q37" s="8" t="n"/>
      <c r="R37" s="8" t="n"/>
    </row>
    <row r="38" ht="150" customHeight="1">
      <c r="B38" s="7" t="inlineStr">
        <is>
          <t>EN1(d)</t>
        </is>
      </c>
      <c r="C38" s="12" t="inlineStr">
        <is>
          <t>Enablers</t>
        </is>
      </c>
      <c r="D38" s="12" t="inlineStr">
        <is>
          <t>Enablers</t>
        </is>
      </c>
      <c r="E38" s="12"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use this to inform the Enablers section of the 2026 Sustainability Report (transition year), and to establish a baseline for reporting against Sustainability 2030 from 2027. Strong examples may be followed up as case studies.</t>
        </is>
      </c>
      <c r="H38" s="8" t="inlineStr"/>
      <c r="I38" s="8" t="inlineStr"/>
      <c r="J38" s="8" t="inlineStr"/>
      <c r="K38" s="8" t="inlineStr"/>
      <c r="L38" s="8" t="n"/>
      <c r="M38" s="8" t="n"/>
      <c r="N38" s="8" t="n"/>
      <c r="O38" s="8" t="n"/>
      <c r="P38" s="8" t="n"/>
      <c r="Q38" s="8" t="n"/>
      <c r="R38" s="8" t="n"/>
    </row>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9" t="inlineStr">
        <is>
          <t>Consolidated responses – paste from returned request workbooks (identical column layout). Click [+] above Columns H–K for end-2025 responses.</t>
        </is>
      </c>
    </row>
    <row r="5">
      <c r="B5" s="18" t="inlineStr">
        <is>
          <t>1.1  CFOG – Procurement</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TR3(b)</t>
        </is>
      </c>
      <c r="C10" s="12" t="inlineStr">
        <is>
          <t>Transformational research</t>
        </is>
      </c>
      <c r="D10" s="12" t="inlineStr">
        <is>
          <t>Embed sustainability within research systems, processes, capability and culture, so research is conducted responsibly, efficiently and with reduced environmental impact.</t>
        </is>
      </c>
      <c r="E10" s="12"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use this to inform the Transformational research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NB2(c)</t>
        </is>
      </c>
      <c r="C11" s="12" t="inlineStr">
        <is>
          <t>Nature and biodiversity</t>
        </is>
      </c>
      <c r="D11" s="12" t="inlineStr">
        <is>
          <t>Improve our understanding of our supply chain impacts on nature.</t>
        </is>
      </c>
      <c r="E11" s="12"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use this to inform the Nature and biodiversity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RP1(a)</t>
        </is>
      </c>
      <c r="C12" s="12" t="inlineStr">
        <is>
          <t>Responsible procurement</t>
        </is>
      </c>
      <c r="D12" s="12" t="inlineStr">
        <is>
          <t>Strengthen our ethical and sustainable procurement approach.</t>
        </is>
      </c>
      <c r="E12" s="12" t="inlineStr">
        <is>
          <t>Case studies of maturity improvement related to responsible procurement process and systems.</t>
        </is>
      </c>
      <c r="F12" s="8" t="inlineStr">
        <is>
          <t>Maturity score if framework established; % procurement staff trained</t>
        </is>
      </c>
      <c r="G12" s="8" t="inlineStr">
        <is>
          <t>We will use this to inform the Responsible procurement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MS1(a)</t>
        </is>
      </c>
      <c r="C13" s="12" t="inlineStr">
        <is>
          <t>Modern slavery and human rights</t>
        </is>
      </c>
      <c r="D13" s="12" t="inlineStr">
        <is>
          <t>Manage our approach to modern slavery and human rights-related risks and opportunities.</t>
        </is>
      </c>
      <c r="E13" s="12" t="inlineStr">
        <is>
          <t>Annual progress reporting via the Modern Slavery Statement</t>
        </is>
      </c>
      <c r="F13" s="8" t="inlineStr">
        <is>
          <t>Annual Modern Slavery Statement, with case studies</t>
        </is>
      </c>
      <c r="G13" s="8" t="inlineStr">
        <is>
          <t>We will use this to inform the Modern slavery and human rights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row r="14" ht="150" customHeight="1">
      <c r="B14" s="7" t="inlineStr">
        <is>
          <t>EN1(c)</t>
        </is>
      </c>
      <c r="C14" s="12" t="inlineStr">
        <is>
          <t>Enablers</t>
        </is>
      </c>
      <c r="D14" s="12" t="inlineStr">
        <is>
          <t>Enablers</t>
        </is>
      </c>
      <c r="E14" s="12"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use this to inform the Enablers section of the 2026 Sustainability Report (transition year), and to establish a baseline for reporting against Sustainability 2030 from 2027. Strong examples may be followed up as case studies.</t>
        </is>
      </c>
      <c r="H14" s="8" t="inlineStr"/>
      <c r="I14" s="8" t="inlineStr"/>
      <c r="J14" s="8" t="inlineStr"/>
      <c r="K14" s="8" t="inlineStr"/>
      <c r="L14" s="8" t="n"/>
      <c r="M14" s="8" t="n"/>
      <c r="N14" s="8" t="n"/>
      <c r="O14" s="8" t="n"/>
      <c r="P14" s="8" t="n"/>
      <c r="Q14" s="8" t="n"/>
      <c r="R14" s="8" t="n"/>
    </row>
    <row r="15" ht="150" customHeight="1">
      <c r="B15" s="7" t="inlineStr">
        <is>
          <t>EN1(d)</t>
        </is>
      </c>
      <c r="C15" s="12" t="inlineStr">
        <is>
          <t>Enablers</t>
        </is>
      </c>
      <c r="D15" s="12" t="inlineStr">
        <is>
          <t>Enablers</t>
        </is>
      </c>
      <c r="E15" s="12"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use this to inform the Enablers section of the 2026 Sustainability Report (transition year), and to establish a baseline for reporting against Sustainability 2030 from 2027. Strong examples may be followed up as case studies.</t>
        </is>
      </c>
      <c r="H15" s="8" t="inlineStr"/>
      <c r="I15" s="8" t="inlineStr"/>
      <c r="J15" s="8" t="inlineStr"/>
      <c r="K15" s="8" t="inlineStr"/>
      <c r="L15" s="8" t="n"/>
      <c r="M15" s="8" t="n"/>
      <c r="N15" s="8" t="n"/>
      <c r="O15" s="8" t="n"/>
      <c r="P15" s="8" t="n"/>
      <c r="Q15" s="8" t="n"/>
      <c r="R15" s="8" t="n"/>
    </row>
    <row r="18">
      <c r="B18" s="18" t="inlineStr">
        <is>
          <t>1.2  CFOG – Treasury &amp; Investments</t>
        </is>
      </c>
    </row>
    <row r="20">
      <c r="C20" s="19" t="inlineStr">
        <is>
          <t>Sustainability 2030 target and indicator</t>
        </is>
      </c>
      <c r="H20" s="19" t="inlineStr">
        <is>
          <t>End-2025 reporting (for reference – click [+] above to expand)</t>
        </is>
      </c>
      <c r="L20" s="2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21" t="inlineStr">
        <is>
          <t>Confirm end-2026 target status</t>
        </is>
      </c>
      <c r="M21" s="21" t="inlineStr">
        <is>
          <t>OPTION 1:  Target-level reporting (Column D)</t>
        </is>
      </c>
      <c r="N21" s="21" t="inlineStr">
        <is>
          <t>OPTION 2:  Indicator level reporting (Column E/F)</t>
        </is>
      </c>
      <c r="O21" s="21" t="inlineStr">
        <is>
          <t>Supporting information/comments</t>
        </is>
      </c>
      <c r="P21" s="21" t="inlineStr">
        <is>
          <t>Data source and limitations</t>
        </is>
      </c>
      <c r="Q21" s="21" t="inlineStr">
        <is>
          <t>Data owner confirms information is accurate</t>
        </is>
      </c>
      <c r="R21" s="21" t="inlineStr">
        <is>
          <t>Confirmed by (name, role, date)</t>
        </is>
      </c>
    </row>
    <row r="22">
      <c r="B22" s="22" t="inlineStr"/>
      <c r="C22" s="22" t="inlineStr"/>
      <c r="D22" s="22" t="inlineStr"/>
      <c r="E22" s="22" t="inlineStr"/>
      <c r="F22" s="22" t="inlineStr"/>
      <c r="G22" s="22" t="inlineStr"/>
      <c r="H22" s="22" t="inlineStr"/>
      <c r="I22" s="22" t="inlineStr"/>
      <c r="J22" s="22" t="inlineStr"/>
      <c r="K22" s="22" t="inlineStr"/>
      <c r="L22" s="22" t="inlineStr">
        <is>
          <t>(Met or exceeded; partially met; not met; not yet started)</t>
        </is>
      </c>
      <c r="M22" s="22" t="inlineStr">
        <is>
          <t>Provide further evidence of target status assessment in the form of:
A general update on activities in relation to the overarching target (Column D)</t>
        </is>
      </c>
      <c r="N22" s="22" t="inlineStr">
        <is>
          <t>Provide further evidence of target status assessment in the form of:
Data and commentary in direct response to the reporting request (Column F)</t>
        </is>
      </c>
      <c r="O22" s="22" t="inlineStr">
        <is>
          <t>Provide any additional information to support the target status assessment (e.g. links, images, rationale for selection of target status)</t>
        </is>
      </c>
      <c r="P22" s="22" t="inlineStr">
        <is>
          <t>Where did this information come from (system, report, survey, person)? Note any gaps or limitations.</t>
        </is>
      </c>
      <c r="Q22" s="22" t="inlineStr">
        <is>
          <t>Select 'Yes' to confirm the information provided is accurate and can be used for reporting</t>
        </is>
      </c>
      <c r="R22" s="22" t="inlineStr">
        <is>
          <t>Name, role and date of the person confirming</t>
        </is>
      </c>
    </row>
    <row r="23" ht="150" customHeight="1">
      <c r="B23" s="7" t="inlineStr">
        <is>
          <t>RI1(b)</t>
        </is>
      </c>
      <c r="C23" s="12" t="inlineStr">
        <is>
          <t>Responsible investments</t>
        </is>
      </c>
      <c r="D23" s="12" t="inlineStr">
        <is>
          <t>Achieve net zero financed emissions for the University’s investment portfolio by 2050.</t>
        </is>
      </c>
      <c r="E23" s="12" t="inlineStr">
        <is>
          <t>Continuous improvement of the reporting of the University’s sustainability-related investment profile metrics, could include investment in climate mitigation and transition solutions, and compliance with related obligations (eg UNPRI).</t>
        </is>
      </c>
      <c r="F23" s="8" t="inlineStr">
        <is>
          <t>Report on relevant sustainability-related investment portfolio metrics and report on how the University has complied with its related obligations</t>
        </is>
      </c>
      <c r="G23" s="8" t="inlineStr">
        <is>
          <t>We will use this to inform the Responsible investments section of the 2026 Sustainability Report (transition year), and to establish a baseline for reporting against Sustainability 2030 from 2027. Strong examples may be followed up as case studies.</t>
        </is>
      </c>
      <c r="H23" s="8" t="inlineStr"/>
      <c r="I23" s="8" t="inlineStr"/>
      <c r="J23" s="8" t="inlineStr"/>
      <c r="K23" s="8" t="inlineStr"/>
      <c r="L23" s="8" t="n"/>
      <c r="M23" s="8" t="n"/>
      <c r="N23" s="8" t="n"/>
      <c r="O23" s="8" t="n"/>
      <c r="P23" s="8" t="n"/>
      <c r="Q23" s="8" t="n"/>
      <c r="R23" s="8" t="n"/>
    </row>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16"/>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9" t="inlineStr">
        <is>
          <t>Consolidated responses – paste from returned request workbooks (identical column layout). Click [+] above Columns H–K for end-2025 responses.</t>
        </is>
      </c>
    </row>
    <row r="5">
      <c r="B5" s="18" t="inlineStr">
        <is>
          <t>1.1  ESG – Campus Operations &amp; Sustainability Delivery</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NB1(b)</t>
        </is>
      </c>
      <c r="C10" s="12" t="inlineStr">
        <is>
          <t>Nature and biodiversity</t>
        </is>
      </c>
      <c r="D10" s="12" t="inlineStr">
        <is>
          <t>Achieve an increase of biodiversity relative to defined baseline years for each campus.</t>
        </is>
      </c>
      <c r="E10" s="12" t="inlineStr">
        <is>
          <t>Size, health and diversity of remnant vegetation at the Dookie and Creswick campuses</t>
        </is>
      </c>
      <c r="F10" s="8" t="inlineStr">
        <is>
          <t>(Reporting request TBC)</t>
        </is>
      </c>
      <c r="G10" s="8" t="inlineStr">
        <is>
          <t>For internal management reporting only – this information will not be published.</t>
        </is>
      </c>
      <c r="H10" s="8" t="inlineStr"/>
      <c r="I10" s="8" t="inlineStr"/>
      <c r="J10" s="8" t="inlineStr"/>
      <c r="K10" s="8" t="inlineStr"/>
      <c r="L10" s="8" t="n"/>
      <c r="M10" s="8" t="n"/>
      <c r="N10" s="8" t="n"/>
      <c r="O10" s="8" t="n"/>
      <c r="P10" s="8" t="n"/>
      <c r="Q10" s="8" t="n"/>
      <c r="R10" s="8" t="n"/>
    </row>
    <row r="11" ht="150" customHeight="1">
      <c r="B11" s="7" t="inlineStr">
        <is>
          <t>NB1(c)</t>
        </is>
      </c>
      <c r="C11" s="12" t="inlineStr">
        <is>
          <t>Nature and biodiversity</t>
        </is>
      </c>
      <c r="D11" s="12" t="inlineStr">
        <is>
          <t>Achieve an increase of biodiversity relative to defined baseline years for each campus.</t>
        </is>
      </c>
      <c r="E11" s="12" t="inlineStr">
        <is>
          <t>Defined quality measurement framework</t>
        </is>
      </c>
      <c r="F11" s="8" t="inlineStr">
        <is>
          <t>(Reporting request TBC)</t>
        </is>
      </c>
      <c r="G11" s="8" t="inlineStr">
        <is>
          <t>We will use this to inform the Nature and biodiversity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NB1(d)</t>
        </is>
      </c>
      <c r="C12" s="12" t="inlineStr">
        <is>
          <t>Nature and biodiversity</t>
        </is>
      </c>
      <c r="D12" s="12" t="inlineStr">
        <is>
          <t>Achieve an increase of biodiversity relative to defined baseline years for each campus.</t>
        </is>
      </c>
      <c r="E12" s="12" t="inlineStr">
        <is>
          <t>Defined and quantified campus connectivity</t>
        </is>
      </c>
      <c r="F12" s="8" t="inlineStr">
        <is>
          <t>Please provide the current definition and quantified assessment of campus ecological connectivity, could include the methodology used, campuses covered, baseline or benchmark values, and any material change over the reporting period.</t>
        </is>
      </c>
      <c r="G12" s="8" t="inlineStr">
        <is>
          <t>We will use this to inform the Nature and biodiversity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NB2(b)</t>
        </is>
      </c>
      <c r="C13" s="12" t="inlineStr">
        <is>
          <t>Nature and biodiversity</t>
        </is>
      </c>
      <c r="D13" s="12" t="inlineStr">
        <is>
          <t>Improve our understanding of our supply chain impacts on nature.</t>
        </is>
      </c>
      <c r="E13" s="12"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use this to inform the Nature and biodiversity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row r="14" ht="150" customHeight="1">
      <c r="B14" s="7" t="inlineStr">
        <is>
          <t>NB2(c)</t>
        </is>
      </c>
      <c r="C14" s="12" t="inlineStr">
        <is>
          <t>Nature and biodiversity</t>
        </is>
      </c>
      <c r="D14" s="12" t="inlineStr">
        <is>
          <t>Improve our understanding of our supply chain impacts on nature.</t>
        </is>
      </c>
      <c r="E14" s="12"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use this to inform the Nature and biodiversity section of the 2026 Sustainability Report (transition year), and to establish a baseline for reporting against Sustainability 2030 from 2027. Strong examples may be followed up as case studies.</t>
        </is>
      </c>
      <c r="H14" s="8" t="inlineStr"/>
      <c r="I14" s="8" t="inlineStr"/>
      <c r="J14" s="8" t="inlineStr"/>
      <c r="K14" s="8" t="inlineStr"/>
      <c r="L14" s="8" t="n"/>
      <c r="M14" s="8" t="n"/>
      <c r="N14" s="8" t="n"/>
      <c r="O14" s="8" t="n"/>
      <c r="P14" s="8" t="n"/>
      <c r="Q14" s="8" t="n"/>
      <c r="R14" s="8" t="n"/>
    </row>
    <row r="15" ht="150" customHeight="1">
      <c r="B15" s="7" t="inlineStr">
        <is>
          <t>EN1(c)</t>
        </is>
      </c>
      <c r="C15" s="12" t="inlineStr">
        <is>
          <t>Enablers</t>
        </is>
      </c>
      <c r="D15" s="12" t="inlineStr">
        <is>
          <t>Enablers</t>
        </is>
      </c>
      <c r="E15" s="12" t="inlineStr">
        <is>
          <t>Coordinated internal engagement and external partnerships contributing to delivery of sustainability outcomes across priority areas.</t>
        </is>
      </c>
      <c r="F15"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use this to inform the Enablers section of the 2026 Sustainability Report (transition year), and to establish a baseline for reporting against Sustainability 2030 from 2027. Strong examples may be followed up as case studies.</t>
        </is>
      </c>
      <c r="H15" s="8" t="inlineStr"/>
      <c r="I15" s="8" t="inlineStr"/>
      <c r="J15" s="8" t="inlineStr"/>
      <c r="K15" s="8" t="inlineStr"/>
      <c r="L15" s="8" t="n"/>
      <c r="M15" s="8" t="n"/>
      <c r="N15" s="8" t="n"/>
      <c r="O15" s="8" t="n"/>
      <c r="P15" s="8" t="n"/>
      <c r="Q15" s="8" t="n"/>
      <c r="R15" s="8" t="n"/>
    </row>
    <row r="16" ht="150" customHeight="1">
      <c r="B16" s="7" t="inlineStr">
        <is>
          <t>EN1(d)</t>
        </is>
      </c>
      <c r="C16" s="12" t="inlineStr">
        <is>
          <t>Enablers</t>
        </is>
      </c>
      <c r="D16" s="12" t="inlineStr">
        <is>
          <t>Enablers</t>
        </is>
      </c>
      <c r="E16" s="12"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use this to inform the Enablers section of the 2026 Sustainability Report (transition year), and to establish a baseline for reporting against Sustainability 2030 from 2027. Strong examples may be followed up as case studies.</t>
        </is>
      </c>
      <c r="H16" s="8" t="inlineStr"/>
      <c r="I16" s="8" t="inlineStr"/>
      <c r="J16" s="8" t="inlineStr"/>
      <c r="K16" s="8" t="inlineStr"/>
      <c r="L16" s="8" t="n"/>
      <c r="M16" s="8" t="n"/>
      <c r="N16" s="8" t="n"/>
      <c r="O16" s="8" t="n"/>
      <c r="P16" s="8" t="n"/>
      <c r="Q16" s="8" t="n"/>
      <c r="R16" s="8" t="n"/>
    </row>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9" t="inlineStr">
        <is>
          <t>Consolidated responses – paste from returned request workbooks (identical column layout). Click [+] above Columns H–K for end-2025 responses.</t>
        </is>
      </c>
    </row>
    <row r="5">
      <c r="B5" s="18" t="inlineStr">
        <is>
          <t>1.1  CIOG – Responsible AI &amp; digital</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AI1(a)</t>
        </is>
      </c>
      <c r="C10" s="12" t="inlineStr">
        <is>
          <t>Responsible AI</t>
        </is>
      </c>
      <c r="D10" s="12" t="inlineStr">
        <is>
          <t>Improve understanding of our sustainability-related risks and opportunities of AI technologies by 2028.</t>
        </is>
      </c>
      <c r="E10" s="12" t="inlineStr">
        <is>
          <t>Established measurement of estimated operational impacts and opportunities (eg operational impacts could include energy, water, emissions and intensity measures)</t>
        </is>
      </c>
      <c r="F10" s="8" t="inlineStr">
        <is>
          <t>(Reporting request TBC)</t>
        </is>
      </c>
      <c r="G10" s="8" t="inlineStr">
        <is>
          <t>We will use this to inform the Responsible AI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AI1(b)</t>
        </is>
      </c>
      <c r="C11" s="12" t="inlineStr">
        <is>
          <t>Responsible AI</t>
        </is>
      </c>
      <c r="D11" s="12" t="inlineStr">
        <is>
          <t>Improve understanding of our sustainability-related risks and opportunities of AI technologies by 2028.</t>
        </is>
      </c>
      <c r="E11" s="12"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use this to inform the Responsible AI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row r="12" ht="150" customHeight="1">
      <c r="B12" s="7" t="inlineStr">
        <is>
          <t>EN1(c)</t>
        </is>
      </c>
      <c r="C12" s="12" t="inlineStr">
        <is>
          <t>Enablers</t>
        </is>
      </c>
      <c r="D12" s="12" t="inlineStr">
        <is>
          <t>Enablers</t>
        </is>
      </c>
      <c r="E12" s="12"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use this to inform the Enablers section of the 2026 Sustainability Report (transition year), and to establish a baseline for reporting against Sustainability 2030 from 2027. Strong examples may be followed up as case studies.</t>
        </is>
      </c>
      <c r="H12" s="8" t="inlineStr"/>
      <c r="I12" s="8" t="inlineStr"/>
      <c r="J12" s="8" t="inlineStr"/>
      <c r="K12" s="8" t="inlineStr"/>
      <c r="L12" s="8" t="n"/>
      <c r="M12" s="8" t="n"/>
      <c r="N12" s="8" t="n"/>
      <c r="O12" s="8" t="n"/>
      <c r="P12" s="8" t="n"/>
      <c r="Q12" s="8" t="n"/>
      <c r="R12" s="8" t="n"/>
    </row>
    <row r="13" ht="150" customHeight="1">
      <c r="B13" s="7" t="inlineStr">
        <is>
          <t>EN1(d)</t>
        </is>
      </c>
      <c r="C13" s="12" t="inlineStr">
        <is>
          <t>Enablers</t>
        </is>
      </c>
      <c r="D13" s="12" t="inlineStr">
        <is>
          <t>Enablers</t>
        </is>
      </c>
      <c r="E13" s="12"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use this to inform the Enablers section of the 2026 Sustainability Report (transition year), and to establish a baseline for reporting against Sustainability 2030 from 2027. Strong examples may be followed up as case studies.</t>
        </is>
      </c>
      <c r="H13" s="8" t="inlineStr"/>
      <c r="I13" s="8" t="inlineStr"/>
      <c r="J13" s="8" t="inlineStr"/>
      <c r="K13" s="8" t="inlineStr"/>
      <c r="L13" s="8" t="n"/>
      <c r="M13" s="8" t="n"/>
      <c r="N13" s="8" t="n"/>
      <c r="O13" s="8" t="n"/>
      <c r="P13" s="8" t="n"/>
      <c r="Q13" s="8" t="n"/>
      <c r="R13" s="8" t="n"/>
    </row>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9" t="inlineStr">
        <is>
          <t>Consolidated responses – paste from returned request workbooks (identical column layout). Click [+] above Columns H–K for end-2025 responses.</t>
        </is>
      </c>
    </row>
    <row r="5">
      <c r="B5" s="18" t="inlineStr">
        <is>
          <t>1.1  MRE – Research (incl. MBI – TBC)</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TR2(c)</t>
        </is>
      </c>
      <c r="C10" s="12" t="inlineStr">
        <is>
          <t>Transformational research</t>
        </is>
      </c>
      <c r="D10" s="12" t="inlineStr">
        <is>
          <t>Deliver high-quality research and partnerships that contribute to sustainability outcomes and demonstrable societal benefit.</t>
        </is>
      </c>
      <c r="E10" s="12" t="inlineStr">
        <is>
          <t>Expert-reviewed summary of sustainability-related research outputs, outcomes and influence using available institutional evidence sources</t>
        </is>
      </c>
      <c r="F10" s="8" t="inlineStr">
        <is>
          <t>currently mapped to the SDGs using SciVal</t>
        </is>
      </c>
      <c r="G10" s="8" t="inlineStr">
        <is>
          <t>We will use this to inform the Transformational research section of the 2026 Sustainability Report (transition year), and to establish a baseline for reporting against Sustainability 2030 from 2027. Strong examples may be followed up as case studies.</t>
        </is>
      </c>
      <c r="H10" s="8" t="inlineStr"/>
      <c r="I10" s="8" t="inlineStr"/>
      <c r="J10" s="8" t="inlineStr"/>
      <c r="K10" s="8" t="inlineStr"/>
      <c r="L10" s="8" t="n"/>
      <c r="M10" s="8" t="n"/>
      <c r="N10" s="8" t="n"/>
      <c r="O10" s="8" t="n"/>
      <c r="P10" s="8" t="n"/>
      <c r="Q10" s="8" t="n"/>
      <c r="R10" s="8" t="n"/>
    </row>
    <row r="11" ht="150" customHeight="1">
      <c r="B11" s="7" t="inlineStr">
        <is>
          <t>NB2(a)</t>
        </is>
      </c>
      <c r="C11" s="12" t="inlineStr">
        <is>
          <t>Nature and biodiversity</t>
        </is>
      </c>
      <c r="D11" s="12" t="inlineStr">
        <is>
          <t>Improve our understanding of our supply chain impacts on nature.</t>
        </is>
      </c>
      <c r="E11" s="12" t="inlineStr">
        <is>
          <t>Documented baseline nature footprint analysis</t>
        </is>
      </c>
      <c r="F11" s="8" t="inlineStr">
        <is>
          <t>Impact Encore Measurement</t>
        </is>
      </c>
      <c r="G11" s="8" t="inlineStr">
        <is>
          <t>We will use this to inform the Nature and biodiversity section of the 2026 Sustainability Report (transition year), and to establish a baseline for reporting against Sustainability 2030 from 2027. Strong examples may be followed up as case studies.</t>
        </is>
      </c>
      <c r="H11" s="8" t="inlineStr"/>
      <c r="I11" s="8" t="inlineStr"/>
      <c r="J11" s="8" t="inlineStr"/>
      <c r="K11" s="8" t="inlineStr"/>
      <c r="L11" s="8" t="n"/>
      <c r="M11" s="8" t="n"/>
      <c r="N11" s="8" t="n"/>
      <c r="O11" s="8" t="n"/>
      <c r="P11" s="8" t="n"/>
      <c r="Q11" s="8" t="n"/>
      <c r="R11" s="8" t="n"/>
    </row>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15" t="inlineStr">
        <is>
          <t>How to use this spreadsheet</t>
        </is>
      </c>
      <c r="C5" s="23"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4" t="inlineStr">
        <is>
          <t>Faculty/Portfolio</t>
        </is>
      </c>
      <c r="C8" s="24" t="inlineStr">
        <is>
          <t>Title</t>
        </is>
      </c>
      <c r="D8" s="24" t="inlineStr">
        <is>
          <t>Description</t>
        </is>
      </c>
      <c r="E8" s="24" t="inlineStr">
        <is>
          <t>Related Sustainability 2030 targets (optional)</t>
        </is>
      </c>
      <c r="F8" s="24" t="inlineStr">
        <is>
          <t>Images and other media</t>
        </is>
      </c>
      <c r="G8" s="24" t="inlineStr">
        <is>
          <t>Links and supporting documentation</t>
        </is>
      </c>
      <c r="H8" s="24" t="inlineStr">
        <is>
          <t>SST: shortlisted for case study?</t>
        </is>
      </c>
      <c r="I8" s="24" t="inlineStr">
        <is>
          <t>SST: permission to publish confirmed?</t>
        </is>
      </c>
      <c r="J8" s="24" t="inlineStr">
        <is>
          <t>SST notes</t>
        </is>
      </c>
    </row>
    <row r="9" ht="90" customHeight="1">
      <c r="B9" s="25" t="inlineStr"/>
      <c r="C9" s="25" t="inlineStr"/>
      <c r="D9" s="25"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25" t="inlineStr"/>
      <c r="F9" s="25" t="inlineStr">
        <is>
          <t>(link to OneDrive/SharePoint files or published online content preferred)</t>
        </is>
      </c>
      <c r="G9" s="25" t="inlineStr"/>
      <c r="H9" s="25" t="inlineStr"/>
      <c r="I9" s="25" t="inlineStr"/>
      <c r="J9" s="25"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9"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17"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17"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17"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17"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17" t="n">
        <v>46300</v>
      </c>
      <c r="D9" s="8" t="inlineStr">
        <is>
          <t>Chancellery units and Legal &amp; Risk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17" t="n">
        <v>46300</v>
      </c>
      <c r="D10" s="8" t="inlineStr">
        <is>
          <t>TR2(b) 'Documented progress of strategic initiatives, incl. Impact Accelerators' reuses the TR2(d) case-study wording and has no stakeholder in the Qual sheet – left as-is.</t>
        </is>
      </c>
      <c r="E10" s="8" t="inlineStr">
        <is>
          <t>TR2(b)</t>
        </is>
      </c>
      <c r="F10" s="8" t="inlineStr">
        <is>
          <t>TBC</t>
        </is>
      </c>
      <c r="G10" s="8" t="inlineStr">
        <is>
          <t>Review wording/owner</t>
        </is>
      </c>
      <c r="H10" s="8" t="inlineStr">
        <is>
          <t>Open</t>
        </is>
      </c>
    </row>
    <row r="11">
      <c r="B11" s="8" t="n">
        <v>7</v>
      </c>
      <c r="C11" s="17" t="n">
        <v>46300</v>
      </c>
      <c r="D11" s="8" t="inlineStr">
        <is>
          <t>Several rows in the Qual sheet are quantitative (GHG inventory, intensity, waste, procurement spend %, AUM %, biodiversity metrics) and have no stakeholder – routed to the Databook mapping tab, not requested from units.</t>
        </is>
      </c>
      <c r="E11" s="8" t="inlineStr">
        <is>
          <t>CL1(a)-(b); CL2(b); NB1(a); CE1-2; RP2; RI1(a)</t>
        </is>
      </c>
      <c r="F11" s="8" t="inlineStr">
        <is>
          <t>TBC</t>
        </is>
      </c>
      <c r="G11" s="8" t="inlineStr">
        <is>
          <t>Confirm Databook coverage</t>
        </is>
      </c>
      <c r="H11" s="8" t="inlineStr">
        <is>
          <t>Open</t>
        </is>
      </c>
    </row>
    <row r="12">
      <c r="B12" s="8" t="n">
        <v>8</v>
      </c>
      <c r="C12" s="17" t="n">
        <v>46300</v>
      </c>
      <c r="D12" s="8" t="inlineStr">
        <is>
          <t>Target status rating (Met/Partially met/Not met) retained pending revamp of the traffic-light framework.</t>
        </is>
      </c>
      <c r="E12" s="8" t="inlineStr">
        <is>
          <t>All</t>
        </is>
      </c>
      <c r="F12" s="8" t="inlineStr">
        <is>
          <t>Director, Sustainability</t>
        </is>
      </c>
      <c r="G12" s="8" t="inlineStr">
        <is>
          <t>Update templates once agreed</t>
        </is>
      </c>
      <c r="H12" s="8" t="inlineStr">
        <is>
          <t>Open</t>
        </is>
      </c>
    </row>
    <row r="13">
      <c r="B13" s="8" t="n">
        <v>9</v>
      </c>
      <c r="C13" s="17" t="n">
        <v>46300</v>
      </c>
      <c r="D13" s="8" t="inlineStr">
        <is>
          <t>Due dates are placeholders based on the SR26 approach timeline (stories early Dec; requests due January).</t>
        </is>
      </c>
      <c r="E13" s="8" t="inlineStr">
        <is>
          <t>All</t>
        </is>
      </c>
      <c r="F13" s="8" t="inlineStr">
        <is>
          <t>TBC</t>
        </is>
      </c>
      <c r="G13" s="8" t="inlineStr">
        <is>
          <t>Confirm dates</t>
        </is>
      </c>
      <c r="H13" s="8" t="inlineStr">
        <is>
          <t>Open</t>
        </is>
      </c>
    </row>
    <row r="14">
      <c r="B14" s="8" t="n">
        <v>10</v>
      </c>
      <c r="C14" s="17" t="n">
        <v>46300</v>
      </c>
      <c r="D14" s="8" t="inlineStr">
        <is>
          <t>20 indicators are requested from each faculty (SR25 sent 10). Monitor burden in pilot.</t>
        </is>
      </c>
      <c r="E14" s="8" t="inlineStr">
        <is>
          <t>Faculties</t>
        </is>
      </c>
      <c r="F14" s="8" t="inlineStr">
        <is>
          <t>TBC</t>
        </is>
      </c>
      <c r="G14" s="8" t="inlineStr">
        <is>
          <t>Review after pilot</t>
        </is>
      </c>
      <c r="H14" s="8" t="inlineStr">
        <is>
          <t>Open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2026-10-05T16:13:01Z</dcterms:modified>
</cp:coreProperties>
</file>